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ホーム" sheetId="1" state="visible" r:id="rId1"/>
    <sheet xmlns:r="http://schemas.openxmlformats.org/officeDocument/2006/relationships" name="設定" sheetId="2" state="visible" r:id="rId2"/>
    <sheet xmlns:r="http://schemas.openxmlformats.org/officeDocument/2006/relationships" name="名簿" sheetId="3" state="visible" r:id="rId3"/>
    <sheet xmlns:r="http://schemas.openxmlformats.org/officeDocument/2006/relationships" name="×入力" sheetId="4" state="visible" r:id="rId4"/>
    <sheet xmlns:r="http://schemas.openxmlformats.org/officeDocument/2006/relationships" name="自動案" sheetId="5" state="visible" r:id="rId5"/>
    <sheet xmlns:r="http://schemas.openxmlformats.org/officeDocument/2006/relationships" name="割り当て" sheetId="6" state="visible" r:id="rId6"/>
    <sheet xmlns:r="http://schemas.openxmlformats.org/officeDocument/2006/relationships" name="計算A" sheetId="7" state="hidden" r:id="rId7"/>
    <sheet xmlns:r="http://schemas.openxmlformats.org/officeDocument/2006/relationships" name="計算B" sheetId="8" state="hidden" r:id="rId8"/>
  </sheets>
  <definedNames>
    <definedName name="自動案の表">'自動案'!$C$6:$L$17</definedName>
    <definedName name="割り当ての表">'割り当て'!$C$6:$L$17</definedName>
    <definedName name="_xlnm._FilterDatabase" localSheetId="2" hidden="1">'名簿'!$A$4:$O$49</definedName>
  </definedNames>
  <calcPr calcId="124519" fullCalcOnLoad="1"/>
</workbook>
</file>

<file path=xl/styles.xml><?xml version="1.0" encoding="utf-8"?>
<styleSheet xmlns="http://schemas.openxmlformats.org/spreadsheetml/2006/main">
  <numFmts count="3">
    <numFmt numFmtId="164" formatCode="0&quot;人&quot;"/>
    <numFmt numFmtId="165" formatCode="yyyy-mm-dd"/>
    <numFmt numFmtId="166" formatCode="m/d"/>
  </numFmts>
  <fonts count="36">
    <font>
      <name val="Calibri"/>
      <family val="2"/>
      <color theme="1"/>
      <sz val="11"/>
      <scheme val="minor"/>
    </font>
    <font>
      <name val="BIZ UDPゴシック"/>
    </font>
    <font>
      <name val="BIZ UDPゴシック"/>
      <b val="1"/>
      <color rgb="001B365D"/>
      <sz val="13"/>
    </font>
    <font>
      <name val="BIZ UDPゴシック"/>
      <b val="1"/>
      <color rgb="001B365D"/>
      <sz val="10"/>
    </font>
    <font>
      <name val="BIZ UDPゴシック"/>
      <b val="1"/>
      <color rgb="001B365D"/>
      <sz val="24"/>
    </font>
    <font>
      <name val="BIZ UDPゴシック"/>
      <b val="1"/>
      <color rgb="00FFFFFF"/>
      <sz val="20"/>
    </font>
    <font>
      <name val="BIZ UDPゴシック"/>
      <b val="1"/>
      <sz val="13"/>
    </font>
    <font>
      <name val="BIZ UDPゴシック"/>
      <color rgb="004A5568"/>
      <sz val="10"/>
    </font>
    <font>
      <name val="BIZ UDPゴシック"/>
      <b val="1"/>
      <color rgb="00FFFFFF"/>
      <sz val="12"/>
    </font>
    <font>
      <name val="BIZ UDPゴシック"/>
      <b val="1"/>
      <sz val="12"/>
    </font>
    <font>
      <name val="BIZ UDPゴシック"/>
      <sz val="10.5"/>
    </font>
    <font>
      <name val="BIZ UDPゴシック"/>
      <color rgb="009A6A00"/>
    </font>
    <font>
      <name val="BIZ UDPゴシック"/>
      <b val="1"/>
      <sz val="16"/>
    </font>
    <font>
      <name val="BIZ UDPゴシック"/>
      <b val="1"/>
      <color rgb="00B23A3A"/>
      <sz val="10"/>
    </font>
    <font>
      <name val="BIZ UDPゴシック"/>
      <color rgb="00666666"/>
      <sz val="9"/>
    </font>
    <font>
      <name val="BIZ UDPゴシック"/>
      <b val="1"/>
    </font>
    <font>
      <name val="BIZ UDPゴシック"/>
      <color rgb="00999999"/>
      <sz val="9"/>
    </font>
    <font>
      <name val="BIZ UDPゴシック"/>
      <color rgb="00444444"/>
      <sz val="10"/>
    </font>
    <font>
      <name val="BIZ UDPゴシック"/>
      <color rgb="002D5FA8"/>
      <u val="single"/>
    </font>
    <font>
      <name val="BIZ UDPゴシック"/>
      <b val="1"/>
      <sz val="14"/>
    </font>
    <font>
      <name val="BIZ UDPゴシック"/>
      <b val="1"/>
      <color rgb="00B23A3A"/>
      <sz val="16"/>
    </font>
    <font>
      <name val="BIZ UDPゴシック"/>
      <color rgb="00666666"/>
    </font>
    <font>
      <name val="BIZ UDPゴシック"/>
      <b val="1"/>
      <color rgb="00000000"/>
      <sz val="9"/>
    </font>
    <font>
      <name val="BIZ UDPゴシック"/>
      <b val="1"/>
      <color rgb="00FFFFFF"/>
      <sz val="9"/>
    </font>
    <font>
      <name val="BIZ UDPゴシック"/>
      <b val="1"/>
      <sz val="9"/>
    </font>
    <font>
      <name val="BIZ UDPゴシック"/>
      <sz val="9"/>
    </font>
    <font>
      <name val="BIZ UDPゴシック"/>
      <b val="1"/>
      <color rgb="00B23A3A"/>
    </font>
    <font>
      <name val="BIZ UDPゴシック"/>
      <b val="1"/>
      <color rgb="009A6A00"/>
    </font>
    <font>
      <name val="BIZ UDPゴシック"/>
      <b val="1"/>
      <color rgb="00FFFFFF"/>
      <sz val="18"/>
    </font>
    <font>
      <name val="BIZ UDPゴシック"/>
      <color rgb="001B365D"/>
      <sz val="10"/>
    </font>
    <font>
      <name val="BIZ UDPゴシック"/>
      <b val="1"/>
      <color rgb="00FFFFFF"/>
      <sz val="11"/>
    </font>
    <font>
      <name val="BIZ UDPゴシック"/>
      <b val="1"/>
      <color rgb="001B365D"/>
      <sz val="11"/>
    </font>
    <font>
      <name val="BIZ UDPゴシック"/>
      <b val="1"/>
      <color rgb="00FFFFFF"/>
    </font>
    <font>
      <name val="BIZ UDPゴシック"/>
      <b val="1"/>
      <color rgb="00FFFFFF"/>
      <sz val="10"/>
    </font>
    <font>
      <name val="BIZ UDPゴシック"/>
      <b val="1"/>
      <color rgb="001B365D"/>
    </font>
    <font>
      <name val="BIZ UDPゴシック"/>
      <b val="1"/>
      <color rgb="001B365D"/>
      <sz val="14"/>
    </font>
  </fonts>
  <fills count="21">
    <fill>
      <patternFill/>
    </fill>
    <fill>
      <patternFill patternType="gray125"/>
    </fill>
    <fill>
      <patternFill patternType="solid">
        <fgColor rgb="00DCE6F2"/>
        <bgColor rgb="00DCE6F2"/>
      </patternFill>
    </fill>
    <fill>
      <patternFill patternType="solid">
        <fgColor rgb="00FFFFFF"/>
        <bgColor rgb="00FFFFFF"/>
      </patternFill>
    </fill>
    <fill>
      <patternFill patternType="solid">
        <fgColor rgb="002B5797"/>
        <bgColor rgb="002B5797"/>
      </patternFill>
    </fill>
    <fill>
      <patternFill patternType="solid">
        <fgColor rgb="00F4F7FC"/>
        <bgColor rgb="00F4F7FC"/>
      </patternFill>
    </fill>
    <fill>
      <patternFill patternType="solid">
        <fgColor rgb="003A6DB5"/>
        <bgColor rgb="003A6DB5"/>
      </patternFill>
    </fill>
    <fill>
      <patternFill patternType="solid">
        <fgColor rgb="00FFF8D6"/>
        <bgColor rgb="00FFF8D6"/>
      </patternFill>
    </fill>
    <fill>
      <patternFill patternType="solid">
        <fgColor rgb="00E8EEF7"/>
        <bgColor rgb="00E8EEF7"/>
      </patternFill>
    </fill>
    <fill>
      <patternFill patternType="solid">
        <fgColor rgb="00C5D7F4"/>
        <bgColor rgb="00C5D7F4"/>
      </patternFill>
    </fill>
    <fill>
      <patternFill patternType="solid">
        <fgColor rgb="00D6F0DF"/>
        <bgColor rgb="00D6F0DF"/>
      </patternFill>
    </fill>
    <fill>
      <patternFill patternType="solid">
        <fgColor rgb="00FBEFC9"/>
        <bgColor rgb="00FBEFC9"/>
      </patternFill>
    </fill>
    <fill>
      <patternFill patternType="solid">
        <fgColor rgb="00F6DEDB"/>
        <bgColor rgb="00F6DEDB"/>
      </patternFill>
    </fill>
    <fill>
      <patternFill patternType="solid">
        <fgColor rgb="00B23A3A"/>
        <bgColor rgb="00B23A3A"/>
      </patternFill>
    </fill>
    <fill>
      <patternFill patternType="solid">
        <fgColor rgb="00F2B36B"/>
        <bgColor rgb="00F2B36B"/>
      </patternFill>
    </fill>
    <fill>
      <patternFill patternType="solid">
        <fgColor rgb="00C9B3E6"/>
        <bgColor rgb="00C9B3E6"/>
      </patternFill>
    </fill>
    <fill>
      <patternFill patternType="lightUp">
        <fgColor rgb="005B8BD0"/>
      </patternFill>
    </fill>
    <fill>
      <patternFill patternType="lightUp">
        <fgColor rgb="00BBBBBB"/>
      </patternFill>
    </fill>
    <fill>
      <patternFill patternType="solid">
        <fgColor rgb="001B365D"/>
        <bgColor rgb="001B365D"/>
      </patternFill>
    </fill>
    <fill>
      <patternFill patternType="solid">
        <fgColor rgb="00FFE9A8"/>
        <bgColor rgb="00FFE9A8"/>
      </patternFill>
    </fill>
    <fill>
      <patternFill patternType="solid">
        <fgColor rgb="00B7791F"/>
        <bgColor rgb="00B7791F"/>
      </patternFill>
    </fill>
  </fills>
  <borders count="13">
    <border>
      <left/>
      <right/>
      <top/>
      <bottom/>
      <diagonal/>
    </border>
    <border>
      <left style="thin">
        <color rgb="00FFFFFF"/>
      </left>
      <right style="thin">
        <color rgb="00FFFFFF"/>
      </right>
      <top style="thin">
        <color rgb="00DCE6F2"/>
      </top>
    </border>
    <border>
      <left style="thin">
        <color rgb="00FFFFFF"/>
      </left>
      <right style="thin">
        <color rgb="00FFFFFF"/>
      </right>
      <top style="thin">
        <color rgb="00DCE6F2"/>
      </top>
      <bottom style="medium">
        <color rgb="002B5797"/>
      </bottom>
    </border>
    <border>
      <bottom style="thin">
        <color rgb="00D3DEEC"/>
      </bottom>
    </border>
    <border>
      <left style="thin">
        <color rgb="00B4C3D6"/>
      </left>
      <right style="thin">
        <color rgb="00B4C3D6"/>
      </right>
      <top style="thin">
        <color rgb="00B4C3D6"/>
      </top>
      <bottom style="thin">
        <color rgb="00B4C3D6"/>
      </bottom>
    </border>
    <border>
      <left/>
      <right/>
      <top style="thin">
        <color rgb="00B4C3D6"/>
      </top>
      <bottom/>
      <diagonal/>
    </border>
    <border>
      <left/>
      <right style="thin">
        <color rgb="00B4C3D6"/>
      </right>
      <top style="thin">
        <color rgb="00B4C3D6"/>
      </top>
      <bottom/>
      <diagonal/>
    </border>
    <border>
      <left/>
      <right/>
      <top style="thin">
        <color rgb="00B4C3D6"/>
      </top>
      <bottom style="thin">
        <color rgb="00B4C3D6"/>
      </bottom>
      <diagonal/>
    </border>
    <border>
      <left/>
      <right style="thin">
        <color rgb="00B4C3D6"/>
      </right>
      <top style="thin">
        <color rgb="00B4C3D6"/>
      </top>
      <bottom style="thin">
        <color rgb="00B4C3D6"/>
      </bottom>
      <diagonal/>
    </border>
    <border>
      <left style="medium">
        <color rgb="001B365D"/>
      </left>
      <right style="medium">
        <color rgb="001B365D"/>
      </right>
      <top style="medium">
        <color rgb="001B365D"/>
      </top>
      <bottom style="medium">
        <color rgb="001B365D"/>
      </bottom>
    </border>
    <border>
      <left/>
      <right/>
      <top style="medium">
        <color rgb="001B365D"/>
      </top>
      <bottom/>
      <diagonal/>
    </border>
    <border>
      <left/>
      <right style="medium">
        <color rgb="001B365D"/>
      </right>
      <top style="medium">
        <color rgb="001B365D"/>
      </top>
      <bottom/>
      <diagonal/>
    </border>
    <border>
      <left/>
      <right style="medium">
        <color rgb="001B365D"/>
      </right>
      <top style="medium">
        <color rgb="001B365D"/>
      </top>
      <bottom style="medium">
        <color rgb="001B365D"/>
      </bottom>
      <diagonal/>
    </border>
  </borders>
  <cellStyleXfs count="1">
    <xf numFmtId="0" fontId="0" fillId="0" borderId="0"/>
  </cellStyleXfs>
  <cellXfs count="73">
    <xf numFmtId="0" fontId="0" fillId="0" borderId="0" pivotButton="0" quotePrefix="0" xfId="0"/>
    <xf numFmtId="0" fontId="28" fillId="18" borderId="0" applyAlignment="1" pivotButton="0" quotePrefix="0" xfId="0">
      <alignment vertical="center" indent="1"/>
    </xf>
    <xf numFmtId="0" fontId="0" fillId="18" borderId="0" pivotButton="0" quotePrefix="0" xfId="0"/>
    <xf numFmtId="0" fontId="29" fillId="2" borderId="0" applyAlignment="1" pivotButton="0" quotePrefix="0" xfId="0">
      <alignment vertical="center" indent="1"/>
    </xf>
    <xf numFmtId="0" fontId="0" fillId="2"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pivotButton="0" quotePrefix="0" xfId="0"/>
    <xf numFmtId="164" fontId="4" fillId="3" borderId="2" applyAlignment="1" pivotButton="0" quotePrefix="0" xfId="0">
      <alignment horizontal="center" vertical="center" wrapText="1"/>
    </xf>
    <xf numFmtId="0" fontId="0" fillId="0" borderId="2" pivotButton="0" quotePrefix="0" xfId="0"/>
    <xf numFmtId="0" fontId="5" fillId="4" borderId="0" applyAlignment="1" pivotButton="0" quotePrefix="0" xfId="0">
      <alignment horizontal="center" vertical="center" wrapText="1"/>
    </xf>
    <xf numFmtId="0" fontId="6" fillId="5" borderId="0" applyAlignment="1" pivotButton="0" quotePrefix="0" xfId="0">
      <alignment vertical="bottom" indent="1"/>
    </xf>
    <xf numFmtId="0" fontId="8" fillId="6" borderId="0" applyAlignment="1" pivotButton="0" quotePrefix="0" xfId="0">
      <alignment horizontal="center" vertical="center" wrapText="1"/>
    </xf>
    <xf numFmtId="0" fontId="7" fillId="5" borderId="3" applyAlignment="1" pivotButton="0" quotePrefix="0" xfId="0">
      <alignment vertical="top" wrapText="1" indent="1"/>
    </xf>
    <xf numFmtId="0" fontId="0" fillId="0" borderId="3"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30" fillId="6" borderId="9" applyAlignment="1" pivotButton="0" quotePrefix="0" xfId="0">
      <alignment horizontal="center" vertical="center" wrapText="1"/>
    </xf>
    <xf numFmtId="0" fontId="31" fillId="19" borderId="9" applyAlignment="1" pivotButton="0" quotePrefix="0" xfId="0">
      <alignment horizontal="center" vertical="center" wrapText="1"/>
    </xf>
    <xf numFmtId="0" fontId="0" fillId="0" borderId="12" pivotButton="0" quotePrefix="0" xfId="0"/>
    <xf numFmtId="0" fontId="34" fillId="0" borderId="0" pivotButton="0" quotePrefix="0" xfId="0"/>
    <xf numFmtId="20" fontId="1" fillId="7" borderId="4" applyAlignment="1" pivotButton="0" quotePrefix="0" xfId="0">
      <alignment horizontal="center" vertical="center" wrapText="1"/>
    </xf>
    <xf numFmtId="0" fontId="13" fillId="0" borderId="0" pivotButton="0" quotePrefix="0" xfId="0"/>
    <xf numFmtId="1" fontId="1" fillId="7" borderId="4" applyAlignment="1" pivotButton="0" quotePrefix="0" xfId="0">
      <alignment horizontal="center" vertical="center" wrapText="1"/>
    </xf>
    <xf numFmtId="0" fontId="1" fillId="0" borderId="0" applyAlignment="1" pivotButton="0" quotePrefix="0" xfId="0">
      <alignment horizontal="center" vertical="center" wrapText="1"/>
    </xf>
    <xf numFmtId="0" fontId="14" fillId="0" borderId="0" pivotButton="0" quotePrefix="0" xfId="0"/>
    <xf numFmtId="0" fontId="1" fillId="7" borderId="4" pivotButton="0" quotePrefix="0" xfId="0"/>
    <xf numFmtId="0" fontId="0" fillId="0" borderId="7" pivotButton="0" quotePrefix="0" xfId="0"/>
    <xf numFmtId="0" fontId="0" fillId="0" borderId="8" pivotButton="0" quotePrefix="0" xfId="0"/>
    <xf numFmtId="0" fontId="32" fillId="4" borderId="4" applyAlignment="1" pivotButton="0" quotePrefix="0" xfId="0">
      <alignment horizontal="center" vertical="center" wrapText="1"/>
    </xf>
    <xf numFmtId="166" fontId="1" fillId="7" borderId="4" applyAlignment="1" pivotButton="0" quotePrefix="0" xfId="0">
      <alignment horizontal="center" vertical="center" wrapText="1"/>
    </xf>
    <xf numFmtId="0" fontId="1" fillId="0" borderId="4" applyAlignment="1" pivotButton="0" quotePrefix="0" xfId="0">
      <alignment horizontal="center" vertical="center" wrapText="1"/>
    </xf>
    <xf numFmtId="0" fontId="1" fillId="7" borderId="4" applyAlignment="1" pivotButton="0" quotePrefix="0" xfId="0">
      <alignment horizontal="center" vertical="center" wrapText="1"/>
    </xf>
    <xf numFmtId="0" fontId="1" fillId="0" borderId="4" pivotButton="0" quotePrefix="0" xfId="0"/>
    <xf numFmtId="0" fontId="16" fillId="0" borderId="0" applyAlignment="1" pivotButton="0" quotePrefix="0" xfId="0">
      <alignment horizontal="center" vertical="center" wrapText="1"/>
    </xf>
    <xf numFmtId="20" fontId="1" fillId="0" borderId="4" applyAlignment="1" pivotButton="0" quotePrefix="0" xfId="0">
      <alignment horizontal="center" vertical="center" wrapText="1"/>
    </xf>
    <xf numFmtId="0" fontId="17" fillId="0" borderId="0" pivotButton="0" quotePrefix="0" xfId="0"/>
    <xf numFmtId="0" fontId="33" fillId="20" borderId="4" applyAlignment="1" pivotButton="0" quotePrefix="0" xfId="0">
      <alignment horizontal="center" vertical="center" wrapText="1"/>
    </xf>
    <xf numFmtId="0" fontId="33" fillId="4" borderId="4" applyAlignment="1" pivotButton="0" quotePrefix="0" xfId="0">
      <alignment horizontal="center" vertical="center" wrapText="1"/>
    </xf>
    <xf numFmtId="0" fontId="1" fillId="7" borderId="4" applyAlignment="1" pivotButton="0" quotePrefix="0" xfId="0">
      <alignment horizontal="center" vertical="center" shrinkToFit="1"/>
    </xf>
    <xf numFmtId="0" fontId="1" fillId="7" borderId="4" applyAlignment="1" pivotButton="0" quotePrefix="0" xfId="0">
      <alignment vertical="center"/>
    </xf>
    <xf numFmtId="0" fontId="18" fillId="0" borderId="0" applyAlignment="1" pivotButton="0" quotePrefix="0" xfId="0">
      <alignment horizontal="center" vertical="center" wrapText="1"/>
    </xf>
    <xf numFmtId="0" fontId="28" fillId="18" borderId="0" applyAlignment="1" pivotButton="0" quotePrefix="0" xfId="0">
      <alignment vertical="center"/>
    </xf>
    <xf numFmtId="0" fontId="29" fillId="2" borderId="0" applyAlignment="1" pivotButton="0" quotePrefix="0" xfId="0">
      <alignment vertical="center"/>
    </xf>
    <xf numFmtId="0" fontId="35" fillId="2" borderId="0" pivotButton="0" quotePrefix="0" xfId="0"/>
    <xf numFmtId="0" fontId="1" fillId="2" borderId="0" applyAlignment="1" pivotButton="0" quotePrefix="0" xfId="0">
      <alignment horizontal="right" vertical="center"/>
    </xf>
    <xf numFmtId="0" fontId="1" fillId="2" borderId="0" applyAlignment="1" pivotButton="0" quotePrefix="0" xfId="0">
      <alignment horizontal="right"/>
    </xf>
    <xf numFmtId="0" fontId="15" fillId="2" borderId="0" pivotButton="0" quotePrefix="0" xfId="0"/>
    <xf numFmtId="0" fontId="1" fillId="8" borderId="4" pivotButton="0" quotePrefix="0" xfId="0"/>
    <xf numFmtId="0" fontId="15" fillId="8" borderId="4" applyAlignment="1" pivotButton="0" quotePrefix="0" xfId="0">
      <alignment horizontal="center" vertical="center" wrapText="1"/>
    </xf>
    <xf numFmtId="0" fontId="20" fillId="0" borderId="4" applyAlignment="1" pivotButton="0" quotePrefix="0" xfId="0">
      <alignment horizontal="center" vertical="center" wrapText="1"/>
    </xf>
    <xf numFmtId="0" fontId="24" fillId="10" borderId="4" applyAlignment="1" pivotButton="0" quotePrefix="0" xfId="0">
      <alignment horizontal="center" vertical="center" wrapText="1"/>
    </xf>
    <xf numFmtId="0" fontId="24" fillId="16" borderId="4" applyAlignment="1" pivotButton="0" quotePrefix="0" xfId="0">
      <alignment horizontal="center" vertical="center" wrapText="1"/>
    </xf>
    <xf numFmtId="0" fontId="24" fillId="17" borderId="4" applyAlignment="1" pivotButton="0" quotePrefix="0" xfId="0">
      <alignment horizontal="center" vertical="center" wrapText="1"/>
    </xf>
    <xf numFmtId="0" fontId="21" fillId="0" borderId="0" pivotButton="0" quotePrefix="0" xfId="0"/>
    <xf numFmtId="0" fontId="15" fillId="0" borderId="0" pivotButton="0" quotePrefix="0" xfId="0"/>
    <xf numFmtId="0" fontId="26" fillId="0" borderId="0" pivotButton="0" quotePrefix="0" xfId="0"/>
    <xf numFmtId="0" fontId="26" fillId="0" borderId="0" applyAlignment="1" pivotButton="0" quotePrefix="0" xfId="0">
      <alignment vertical="top" wrapText="1"/>
    </xf>
    <xf numFmtId="0" fontId="27" fillId="0" borderId="0" pivotButton="0" quotePrefix="0" xfId="0"/>
    <xf numFmtId="0" fontId="1" fillId="0" borderId="0" applyAlignment="1" pivotButton="0" quotePrefix="0" xfId="0">
      <alignment vertical="top" wrapText="1"/>
    </xf>
    <xf numFmtId="0" fontId="22" fillId="9" borderId="4" applyAlignment="1" pivotButton="0" quotePrefix="0" xfId="0">
      <alignment horizontal="center" vertical="center" wrapText="1"/>
    </xf>
    <xf numFmtId="0" fontId="22" fillId="10" borderId="4" applyAlignment="1" pivotButton="0" quotePrefix="0" xfId="0">
      <alignment horizontal="center" vertical="center" wrapText="1"/>
    </xf>
    <xf numFmtId="0" fontId="22" fillId="11" borderId="4" applyAlignment="1" pivotButton="0" quotePrefix="0" xfId="0">
      <alignment horizontal="center" vertical="center" wrapText="1"/>
    </xf>
    <xf numFmtId="0" fontId="22" fillId="12" borderId="4" applyAlignment="1" pivotButton="0" quotePrefix="0" xfId="0">
      <alignment horizontal="center" vertical="center" wrapText="1"/>
    </xf>
    <xf numFmtId="0" fontId="23" fillId="13" borderId="4" applyAlignment="1" pivotButton="0" quotePrefix="0" xfId="0">
      <alignment horizontal="center" vertical="center" wrapText="1"/>
    </xf>
    <xf numFmtId="0" fontId="22" fillId="14" borderId="4" applyAlignment="1" pivotButton="0" quotePrefix="0" xfId="0">
      <alignment horizontal="center" vertical="center" wrapText="1"/>
    </xf>
    <xf numFmtId="0" fontId="22" fillId="15" borderId="4" applyAlignment="1" pivotButton="0" quotePrefix="0" xfId="0">
      <alignment horizontal="center" vertical="center" wrapText="1"/>
    </xf>
    <xf numFmtId="0" fontId="9" fillId="7" borderId="4" pivotButton="0" quotePrefix="0" xfId="0"/>
    <xf numFmtId="0" fontId="15" fillId="0" borderId="0" applyAlignment="1" pivotButton="0" quotePrefix="0" xfId="0">
      <alignment horizontal="left"/>
    </xf>
    <xf numFmtId="0" fontId="6" fillId="0" borderId="0" pivotButton="0" quotePrefix="0" xfId="0"/>
    <xf numFmtId="0" fontId="25" fillId="0" borderId="4" applyAlignment="1" pivotButton="0" quotePrefix="0" xfId="0">
      <alignment vertical="top" wrapText="1"/>
    </xf>
    <xf numFmtId="0" fontId="1" fillId="0" borderId="0" pivotButton="0" quotePrefix="0" xfId="0"/>
  </cellXfs>
  <cellStyles count="1">
    <cellStyle name="Normal" xfId="0" builtinId="0" hidden="0"/>
  </cellStyles>
  <dxfs count="18">
    <dxf>
      <font>
        <name val="BIZ UDPゴシック"/>
        <b val="1"/>
        <color rgb="009A6A00"/>
        <sz val="24"/>
      </font>
    </dxf>
    <dxf>
      <font>
        <name val="BIZ UDPゴシック"/>
        <b val="1"/>
        <color rgb="00B23A3A"/>
        <sz val="24"/>
      </font>
    </dxf>
    <dxf>
      <font>
        <name val="BIZ UDPゴシック"/>
        <b val="1"/>
        <color rgb="009A6A00"/>
      </font>
    </dxf>
    <dxf>
      <font>
        <name val="BIZ UDPゴシック"/>
        <b val="1"/>
        <color rgb="00B23A3A"/>
      </font>
    </dxf>
    <dxf>
      <fill>
        <patternFill patternType="solid">
          <fgColor rgb="00FBEFC9"/>
          <bgColor rgb="00FBEFC9"/>
        </patternFill>
      </fill>
    </dxf>
    <dxf>
      <fill>
        <patternFill patternType="solid">
          <fgColor rgb="00F6DEDB"/>
          <bgColor rgb="00F6DEDB"/>
        </patternFill>
      </fill>
    </dxf>
    <dxf>
      <fill>
        <patternFill patternType="solid">
          <fgColor rgb="00D9D9D9"/>
          <bgColor rgb="00D9D9D9"/>
        </patternFill>
      </fill>
    </dxf>
    <dxf>
      <fill>
        <patternFill patternType="solid">
          <fgColor rgb="00D0D6DE"/>
          <bgColor rgb="00D0D6DE"/>
        </patternFill>
      </fill>
    </dxf>
    <dxf>
      <font>
        <name val="BIZ UDPゴシック"/>
        <b val="1"/>
      </font>
      <fill>
        <patternFill patternType="solid">
          <fgColor rgb="00D6F0DF"/>
          <bgColor rgb="00D6F0DF"/>
        </patternFill>
      </fill>
    </dxf>
    <dxf>
      <fill>
        <patternFill patternType="lightUp">
          <fgColor rgb="005B8BD0"/>
        </patternFill>
      </fill>
    </dxf>
    <dxf>
      <fill>
        <patternFill patternType="lightUp">
          <fgColor rgb="00BBBBBB"/>
        </patternFill>
      </fill>
    </dxf>
    <dxf>
      <font>
        <name val="BIZ UDPゴシック"/>
        <b val="1"/>
        <color rgb="00FFFFFF"/>
      </font>
      <fill>
        <patternFill patternType="solid">
          <fgColor rgb="00B23A3A"/>
          <bgColor rgb="00B23A3A"/>
        </patternFill>
      </fill>
    </dxf>
    <dxf>
      <fill>
        <patternFill patternType="solid">
          <fgColor rgb="00F2B36B"/>
          <bgColor rgb="00F2B36B"/>
        </patternFill>
      </fill>
    </dxf>
    <dxf>
      <fill>
        <patternFill patternType="solid">
          <fgColor rgb="00C9B3E6"/>
          <bgColor rgb="00C9B3E6"/>
        </patternFill>
      </fill>
    </dxf>
    <dxf>
      <font>
        <name val="BIZ UDPゴシック"/>
        <b val="1"/>
        <color rgb="001F3F7A"/>
      </font>
      <fill>
        <patternFill patternType="solid">
          <fgColor rgb="00C5D7F4"/>
          <bgColor rgb="00C5D7F4"/>
        </patternFill>
      </fill>
    </dxf>
    <dxf>
      <fill>
        <patternFill patternType="solid">
          <fgColor rgb="00D6F0DF"/>
          <bgColor rgb="00D6F0DF"/>
        </patternFill>
      </fill>
    </dxf>
    <dxf>
      <font>
        <name val="BIZ UDPゴシック"/>
        <b val="1"/>
        <color rgb="00B23A3A"/>
      </font>
      <fill>
        <patternFill patternType="solid">
          <fgColor rgb="00F6DEDB"/>
          <bgColor rgb="00F6DEDB"/>
        </patternFill>
      </fill>
    </dxf>
    <dxf>
      <fill>
        <patternFill patternType="solid">
          <fgColor rgb="00FBE0C2"/>
          <bgColor rgb="00FBE0C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365D"/>
    <outlinePr summaryBelow="1" summaryRight="1"/>
    <pageSetUpPr/>
  </sheetPr>
  <dimension ref="A1:M57"/>
  <sheetViews>
    <sheetView showGridLines="0" showRowColHeaders="0" workbookViewId="0">
      <selection activeCell="A1" sqref="A1"/>
    </sheetView>
  </sheetViews>
  <sheetFormatPr baseColWidth="8" defaultRowHeight="15"/>
  <cols>
    <col width="3"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44" customHeight="1">
      <c r="A1" s="1" t="inlineStr">
        <is>
          <t>面談日程ツール</t>
        </is>
      </c>
      <c r="B1" s="2" t="n"/>
      <c r="C1" s="2" t="n"/>
      <c r="D1" s="2" t="n"/>
      <c r="E1" s="2" t="n"/>
      <c r="F1" s="2" t="n"/>
      <c r="G1" s="2" t="n"/>
      <c r="H1" s="2" t="n"/>
      <c r="I1" s="2" t="n"/>
      <c r="J1" s="2" t="n"/>
      <c r="K1" s="2" t="n"/>
      <c r="L1" s="2" t="n"/>
      <c r="M1" s="2" t="n"/>
    </row>
    <row r="2" ht="24" customHeight="1">
      <c r="A2" s="3" t="inlineStr">
        <is>
          <t>×のついた予定表から、個人面談の日程を組むツールです（マクロなし）。黄色のマスが入力する場所です。</t>
        </is>
      </c>
      <c r="B2" s="4" t="n"/>
      <c r="C2" s="4" t="n"/>
      <c r="D2" s="4" t="n"/>
      <c r="E2" s="4" t="n"/>
      <c r="F2" s="4" t="n"/>
      <c r="G2" s="4" t="n"/>
      <c r="H2" s="4" t="n"/>
      <c r="I2" s="4" t="n"/>
      <c r="J2" s="4" t="n"/>
      <c r="K2" s="4" t="n"/>
      <c r="L2" s="4" t="n"/>
      <c r="M2" s="4" t="n"/>
    </row>
    <row r="3"/>
    <row r="4">
      <c r="B4" s="5" t="inlineStr">
        <is>
          <t>いまの状況</t>
        </is>
      </c>
    </row>
    <row r="5" ht="22" customHeight="1">
      <c r="B5" s="6" t="inlineStr">
        <is>
          <t>名簿の人数</t>
        </is>
      </c>
      <c r="C5" s="7" t="n"/>
      <c r="D5" s="6" t="inlineStr">
        <is>
          <t>×入力済み</t>
        </is>
      </c>
      <c r="E5" s="7" t="n"/>
      <c r="F5" s="6" t="inlineStr">
        <is>
          <t>未入力</t>
        </is>
      </c>
      <c r="G5" s="7" t="n"/>
      <c r="H5" s="6" t="inlineStr">
        <is>
          <t>未提出</t>
        </is>
      </c>
      <c r="I5" s="7" t="n"/>
      <c r="J5" s="6" t="inlineStr">
        <is>
          <t>割り当て済み</t>
        </is>
      </c>
      <c r="K5" s="7" t="n"/>
      <c r="L5" s="6" t="inlineStr">
        <is>
          <t>未割り当て</t>
        </is>
      </c>
      <c r="M5" s="7" t="n"/>
    </row>
    <row r="6" ht="46" customHeight="1">
      <c r="B6" s="8">
        <f>COUNTIF('名簿'!$B$5:$B$49,"?*")</f>
        <v/>
      </c>
      <c r="C6" s="9" t="n"/>
      <c r="D6" s="8">
        <f>COUNTIF('名簿'!$H$5:$H$49,"入力済み")+COUNTIF('名簿'!$H$5:$H$49,"×なし")</f>
        <v/>
      </c>
      <c r="E6" s="9" t="n"/>
      <c r="F6" s="8">
        <f>COUNTIF('名簿'!$H$5:$H$49,"未入力")</f>
        <v/>
      </c>
      <c r="G6" s="9" t="n"/>
      <c r="H6" s="8">
        <f>COUNTIF('名簿'!$H$5:$H$49,"未提出")</f>
        <v/>
      </c>
      <c r="I6" s="9" t="n"/>
      <c r="J6" s="8">
        <f>SUMPRODUCT(('名簿'!$L$5:$L$49&lt;&gt;"")*1)</f>
        <v/>
      </c>
      <c r="K6" s="9" t="n"/>
      <c r="L6" s="8">
        <f>COUNTIF('名簿'!$N$5:$N$49,"未割り当て")</f>
        <v/>
      </c>
      <c r="M6" s="9" t="n"/>
    </row>
    <row r="7"/>
    <row r="8">
      <c r="B8" s="5" t="inlineStr">
        <is>
          <t>使う順番</t>
        </is>
      </c>
    </row>
    <row r="9" ht="24" customHeight="1">
      <c r="B9" s="10" t="n">
        <v>1</v>
      </c>
      <c r="C9" s="11" t="inlineStr">
        <is>
          <t>日付と時間枠を決める</t>
        </is>
      </c>
      <c r="K9" s="12">
        <f>HYPERLINK("#'設定'!A1","開く ▶")</f>
        <v/>
      </c>
    </row>
    <row r="10" ht="30" customHeight="1">
      <c r="C10" s="13" t="inlineStr">
        <is>
          <t>面談する日付、最初と最後の枠の時刻、1枠の長さ。空けたい日・休憩もここで。</t>
        </is>
      </c>
      <c r="D10" s="14" t="n"/>
      <c r="E10" s="14" t="n"/>
      <c r="F10" s="14" t="n"/>
      <c r="G10" s="14" t="n"/>
      <c r="H10" s="14" t="n"/>
      <c r="I10" s="14" t="n"/>
      <c r="J10" s="14" t="n"/>
    </row>
    <row r="11"/>
    <row r="12" ht="24" customHeight="1">
      <c r="B12" s="10" t="n">
        <v>2</v>
      </c>
      <c r="C12" s="11" t="inlineStr">
        <is>
          <t>名簿を貼り付ける</t>
        </is>
      </c>
      <c r="K12" s="12">
        <f>HYPERLINK("#'名簿'!A1","開く ▶")</f>
        <v/>
      </c>
    </row>
    <row r="13" ht="30" customHeight="1">
      <c r="C13" s="13" t="inlineStr">
        <is>
          <t>番号と名前を貼り付けます。兄弟・希望の時間・後ろを空けるもここで選びます。</t>
        </is>
      </c>
      <c r="D13" s="14" t="n"/>
      <c r="E13" s="14" t="n"/>
      <c r="F13" s="14" t="n"/>
      <c r="G13" s="14" t="n"/>
      <c r="H13" s="14" t="n"/>
      <c r="I13" s="14" t="n"/>
      <c r="J13" s="14" t="n"/>
    </row>
    <row r="14"/>
    <row r="15" ht="24" customHeight="1">
      <c r="B15" s="10" t="n">
        <v>3</v>
      </c>
      <c r="C15" s="11" t="inlineStr">
        <is>
          <t>×を入力する</t>
        </is>
      </c>
      <c r="K15" s="12">
        <f>HYPERLINK("#'×入力'!A1","開く ▶")</f>
        <v/>
      </c>
    </row>
    <row r="16" ht="30" customHeight="1">
      <c r="C16" s="13" t="inlineStr">
        <is>
          <t>予定表と同じ形の表に「×」。なぞって選んで「×」→ Ctrl+Enter でまとめて入ります。</t>
        </is>
      </c>
      <c r="D16" s="14" t="n"/>
      <c r="E16" s="14" t="n"/>
      <c r="F16" s="14" t="n"/>
      <c r="G16" s="14" t="n"/>
      <c r="H16" s="14" t="n"/>
      <c r="I16" s="14" t="n"/>
      <c r="J16" s="14" t="n"/>
    </row>
    <row r="17"/>
    <row r="18" ht="24" customHeight="1">
      <c r="B18" s="10" t="n">
        <v>4</v>
      </c>
      <c r="C18" s="11" t="inlineStr">
        <is>
          <t>自動案を見る</t>
        </is>
      </c>
      <c r="K18" s="12">
        <f>HYPERLINK("#'自動案'!A1","開く ▶")</f>
        <v/>
      </c>
    </row>
    <row r="19" ht="30" customHeight="1">
      <c r="C19" s="13" t="inlineStr">
        <is>
          <t>入れられる枠が少ない家庭から順に自動で組んだ案。よければ割り当てに貼り付けます。</t>
        </is>
      </c>
      <c r="D19" s="14" t="n"/>
      <c r="E19" s="14" t="n"/>
      <c r="F19" s="14" t="n"/>
      <c r="G19" s="14" t="n"/>
      <c r="H19" s="14" t="n"/>
      <c r="I19" s="14" t="n"/>
      <c r="J19" s="14" t="n"/>
    </row>
    <row r="20"/>
    <row r="21" ht="24" customHeight="1">
      <c r="B21" s="10" t="n">
        <v>5</v>
      </c>
      <c r="C21" s="11" t="inlineStr">
        <is>
          <t>割り当てて仕上げる</t>
        </is>
      </c>
      <c r="K21" s="12">
        <f>HYPERLINK("#'割り当て'!A1","開く ▶")</f>
        <v/>
      </c>
    </row>
    <row r="22" ht="30" customHeight="1">
      <c r="C22" s="13" t="inlineStr">
        <is>
          <t>プルダウンで手直し。児童を選ぶと、入れられる枠に色がつきます。</t>
        </is>
      </c>
      <c r="D22" s="14" t="n"/>
      <c r="E22" s="14" t="n"/>
      <c r="F22" s="14" t="n"/>
      <c r="G22" s="14" t="n"/>
      <c r="H22" s="14" t="n"/>
      <c r="I22" s="14" t="n"/>
      <c r="J22" s="14" t="n"/>
    </row>
    <row r="23"/>
    <row r="24"/>
    <row r="25"/>
    <row r="26">
      <c r="B26" s="5" t="inlineStr">
        <is>
          <t>くわしい使い方</t>
        </is>
      </c>
    </row>
    <row r="27">
      <c r="B27" s="15" t="inlineStr">
        <is>
          <t>1. 「設定」シート</t>
        </is>
      </c>
    </row>
    <row r="28">
      <c r="B28" s="16" t="inlineStr">
        <is>
          <t>・面談の日付（上から順に、最大10日）、最初の枠・最後の枠の時刻、1枠の長さを入れます（1日最大12枠）。</t>
        </is>
      </c>
    </row>
    <row r="29">
      <c r="B29" s="16" t="inlineStr">
        <is>
          <t>・空けたい日や休憩の時刻には「〇」を選びます。自動案では、ほかに入る枠がないときだけ使われます。</t>
        </is>
      </c>
    </row>
    <row r="30">
      <c r="B30" s="15" t="inlineStr">
        <is>
          <t>2. 「名簿」シート</t>
        </is>
      </c>
    </row>
    <row r="31">
      <c r="B31" s="16" t="inlineStr">
        <is>
          <t>・Excelの名簿から「出席番号」と「名前」をコピーして、「番号」の列のいちばん上のマスに貼り付けます（最大45人）。</t>
        </is>
      </c>
    </row>
    <row r="32">
      <c r="B32" s="16" t="inlineStr">
        <is>
          <t>・他のクラスに兄弟がいる家庭は、「兄弟」の列で「〇」を選び、「兄弟メモ」に兄弟のクラスなどをメモします。</t>
        </is>
      </c>
    </row>
    <row r="33" ht="30" customHeight="1">
      <c r="B33" s="16" t="inlineStr">
        <is>
          <t>・「希望」：早い時刻／遅い時刻／早い日／遅い日 から選べます。自動案で、×のない枠の中からできるだけ希望に合う枠を選びます（希望なので、合わないこともあります）。</t>
        </is>
      </c>
    </row>
    <row r="34" ht="30" customHeight="1">
      <c r="B34" s="16" t="inlineStr">
        <is>
          <t>・「後ろを空ける」：話が長引きそうな家庭は、同じ日のすぐ次の枠を空けます。「必ず空けたい」「出来れば空けたい」から選びます（出来れば空けたいは、空けられないときは詰めて入れます）。日の最後の枠なら空ける必要はありません。</t>
        </is>
      </c>
    </row>
    <row r="35">
      <c r="B35" s="16" t="inlineStr">
        <is>
          <t>・名簿の行は並べ替えないでください（×入力の内容とずれてしまいます）。絞り込み（フィルター）は使えます。</t>
        </is>
      </c>
    </row>
    <row r="36">
      <c r="B36" s="15" t="inlineStr">
        <is>
          <t>3. 「×入力」シート</t>
        </is>
      </c>
    </row>
    <row r="37">
      <c r="B37" s="16" t="inlineStr">
        <is>
          <t>・1人ずつ、予定表と同じ形の表があります。名簿の「×入力へ」をクリックすると、その人の表に移動します。</t>
        </is>
      </c>
    </row>
    <row r="38">
      <c r="B38" s="16" t="inlineStr">
        <is>
          <t>・都合の悪い枠に「×」を入れます（何か文字が入っていれば×として扱います）。消すときは Delete キー。</t>
        </is>
      </c>
    </row>
    <row r="39">
      <c r="B39" s="16" t="inlineStr">
        <is>
          <t>・まとめて入れるとき：マウスでなぞって範囲を選び、「×」と打って Ctrl + Enter を押すと、選んだ枠が全部×になります。</t>
        </is>
      </c>
    </row>
    <row r="40">
      <c r="B40" s="16" t="inlineStr">
        <is>
          <t>・その日全部（縦の列）・その時間全部（横の列）も、同じようになぞって選んで Ctrl + Enter でできます。</t>
        </is>
      </c>
    </row>
    <row r="41">
      <c r="B41" s="16" t="inlineStr">
        <is>
          <t>・×が1つもない家庭は「提出状況」で「×なし（どこでもOK）」、提出していない家庭は「未提出」を選びます。</t>
        </is>
      </c>
    </row>
    <row r="42">
      <c r="B42" s="15" t="inlineStr">
        <is>
          <t>4. 「自動案」シート</t>
        </is>
      </c>
    </row>
    <row r="43">
      <c r="B43" s="16" t="inlineStr">
        <is>
          <t>・入れられる枠が少ない家庭から順に、自動で割り当てた案が表示されます（未入力・未提出の家庭は外れます）。</t>
        </is>
      </c>
    </row>
    <row r="44" ht="30" customHeight="1">
      <c r="B44" s="16" t="inlineStr">
        <is>
          <t>・案でよければ、表をコピーして、「割り当て」シートの表の左上（いちばん早い日・時刻のマス）に［値の貼り付け］をします。左上の名前ボックスで「自動案の表」を選ぶと、表全体をまとめて選べます。</t>
        </is>
      </c>
    </row>
    <row r="45">
      <c r="B45" s="16" t="inlineStr">
        <is>
          <t>・「割り当て」シートですでに決めた人はそのまま残り、残りの人だけで案が作られます。やり直したいときは割り当ての表を消します。</t>
        </is>
      </c>
    </row>
    <row r="46">
      <c r="B46" s="15" t="inlineStr">
        <is>
          <t>5. 「割り当て」シート</t>
        </is>
      </c>
    </row>
    <row r="47">
      <c r="B47" s="16" t="inlineStr">
        <is>
          <t>・各枠のセルで、プルダウンから児童を選びます。</t>
        </is>
      </c>
    </row>
    <row r="48" ht="30" customHeight="1">
      <c r="B48" s="16" t="inlineStr">
        <is>
          <t>・右の「児童を選ぶ」で児童を選ぶと、表の色が変わります：緑＝入れられる空き枠／黄＝入れられる（ほかの人がいる）／ピンク＝×の枠／青＝今いる枠。</t>
        </is>
      </c>
    </row>
    <row r="49">
      <c r="B49" s="16" t="inlineStr">
        <is>
          <t>・赤い枠は「×の枠に入れてしまった」、オレンジの枠は「同じ人が2か所に入っている」です。</t>
        </is>
      </c>
    </row>
    <row r="50">
      <c r="B50" s="16" t="inlineStr">
        <is>
          <t>・青い斜線の枠は「前の人の後ろを空ける枠」です。紫の枠は、空けるはずの枠に人が入っています。</t>
        </is>
      </c>
    </row>
    <row r="51">
      <c r="B51" s="16" t="inlineStr">
        <is>
          <t>・下の「候補」の表には、その枠に入れられる、まだ決まっていない児童が表示されます。「1人」の枠は先に決めると楽です。</t>
        </is>
      </c>
    </row>
    <row r="52">
      <c r="B52" s="15" t="inlineStr">
        <is>
          <t>6. 結果</t>
        </is>
      </c>
    </row>
    <row r="53">
      <c r="B53" s="16" t="inlineStr">
        <is>
          <t>・「名簿」シートの右側に、決まった日時・注意（×の枠／2か所／後ろが空いていない／未割り当て）・自動案が表示されます。</t>
        </is>
      </c>
    </row>
    <row r="54">
      <c r="B54" s="16" t="inlineStr">
        <is>
          <t>・CSVが必要なときは「名簿」シートを開いて［ファイル］→［名前を付けて保存］→ 種類を「CSV UTF-8」にします。</t>
        </is>
      </c>
    </row>
    <row r="55">
      <c r="B55" s="16" t="inlineStr">
        <is>
          <t>・兄弟ありの家庭だけ見たいときは、名簿の「兄弟」の列でフィルターをかけます。</t>
        </is>
      </c>
    </row>
    <row r="56">
      <c r="B56" s="16" t="inlineStr"/>
    </row>
    <row r="57">
      <c r="B57" s="17" t="inlineStr">
        <is>
          <t>※ 「計算A」「計算B」は計算用の隠しシートです。さわらないでください。</t>
        </is>
      </c>
    </row>
  </sheetData>
  <mergeCells count="63">
    <mergeCell ref="B48:M48"/>
    <mergeCell ref="B42:M42"/>
    <mergeCell ref="J5:K5"/>
    <mergeCell ref="B12:B13"/>
    <mergeCell ref="K12:L13"/>
    <mergeCell ref="C15:J15"/>
    <mergeCell ref="B18:B19"/>
    <mergeCell ref="F6:G6"/>
    <mergeCell ref="B57:M57"/>
    <mergeCell ref="B44:M44"/>
    <mergeCell ref="B53:M53"/>
    <mergeCell ref="B29:M29"/>
    <mergeCell ref="D6:E6"/>
    <mergeCell ref="B38:M38"/>
    <mergeCell ref="B34:M34"/>
    <mergeCell ref="H6:I6"/>
    <mergeCell ref="B28:M28"/>
    <mergeCell ref="J6:K6"/>
    <mergeCell ref="B37:M37"/>
    <mergeCell ref="F5:G5"/>
    <mergeCell ref="C10:J10"/>
    <mergeCell ref="C16:J16"/>
    <mergeCell ref="L5:M5"/>
    <mergeCell ref="C22:J22"/>
    <mergeCell ref="B40:M40"/>
    <mergeCell ref="B49:M49"/>
    <mergeCell ref="B30:M30"/>
    <mergeCell ref="B15:B16"/>
    <mergeCell ref="C9:J9"/>
    <mergeCell ref="B55:M55"/>
    <mergeCell ref="K9:L10"/>
    <mergeCell ref="B9:B10"/>
    <mergeCell ref="C12:J12"/>
    <mergeCell ref="B33:M33"/>
    <mergeCell ref="C21:J21"/>
    <mergeCell ref="K15:L16"/>
    <mergeCell ref="B51:M51"/>
    <mergeCell ref="B45:M45"/>
    <mergeCell ref="K18:L19"/>
    <mergeCell ref="B36:M36"/>
    <mergeCell ref="B32:M32"/>
    <mergeCell ref="B50:M50"/>
    <mergeCell ref="B41:M41"/>
    <mergeCell ref="B35:M35"/>
    <mergeCell ref="K21:L22"/>
    <mergeCell ref="B6:C6"/>
    <mergeCell ref="B47:M47"/>
    <mergeCell ref="B54:M54"/>
    <mergeCell ref="L6:M6"/>
    <mergeCell ref="B5:C5"/>
    <mergeCell ref="B31:M31"/>
    <mergeCell ref="D5:E5"/>
    <mergeCell ref="B46:M46"/>
    <mergeCell ref="H5:I5"/>
    <mergeCell ref="C13:J13"/>
    <mergeCell ref="C19:J19"/>
    <mergeCell ref="B27:M27"/>
    <mergeCell ref="B52:M52"/>
    <mergeCell ref="B56:M56"/>
    <mergeCell ref="B21:B22"/>
    <mergeCell ref="B43:M43"/>
    <mergeCell ref="B39:M39"/>
    <mergeCell ref="C18:J18"/>
  </mergeCells>
  <conditionalFormatting sqref="F6">
    <cfRule type="expression" priority="1" dxfId="0">
      <formula>F6&gt;0</formula>
    </cfRule>
  </conditionalFormatting>
  <conditionalFormatting sqref="H6">
    <cfRule type="expression" priority="2" dxfId="0">
      <formula>H6&gt;0</formula>
    </cfRule>
  </conditionalFormatting>
  <conditionalFormatting sqref="L6">
    <cfRule type="expression" priority="3" dxfId="1">
      <formula>L6&gt;0</formula>
    </cfRule>
  </conditionalFormatting>
  <pageMargins left="0.75" right="0.75" top="1" bottom="1" header="0.5" footer="0.5"/>
</worksheet>
</file>

<file path=xl/worksheets/sheet2.xml><?xml version="1.0" encoding="utf-8"?>
<worksheet xmlns="http://schemas.openxmlformats.org/spreadsheetml/2006/main">
  <sheetPr>
    <tabColor rgb="007A8699"/>
    <outlinePr summaryBelow="1" summaryRight="1"/>
    <pageSetUpPr/>
  </sheetPr>
  <dimension ref="A1:L22"/>
  <sheetViews>
    <sheetView showGridLines="0" showRowColHeaders="0" workbookViewId="0">
      <selection activeCell="A1" sqref="A1"/>
    </sheetView>
  </sheetViews>
  <sheetFormatPr baseColWidth="8" defaultRowHeight="15"/>
  <cols>
    <col width="16" customWidth="1" min="1" max="1"/>
    <col width="14" customWidth="1" min="2" max="2"/>
    <col width="7" customWidth="1" min="3" max="3"/>
    <col width="12" customWidth="1" min="4" max="4"/>
    <col width="18" customWidth="1" min="5" max="5"/>
    <col width="4" customWidth="1" min="6" max="6"/>
    <col width="10" customWidth="1" min="7" max="7"/>
    <col width="12" customWidth="1" min="8" max="8"/>
    <col width="10" customWidth="1" min="9" max="9"/>
    <col width="8" customWidth="1" min="10" max="10"/>
    <col width="8" customWidth="1" min="11" max="11"/>
  </cols>
  <sheetData>
    <row r="1" ht="44" customHeight="1">
      <c r="A1" s="1" t="inlineStr">
        <is>
          <t>設定</t>
        </is>
      </c>
      <c r="B1" s="2" t="n"/>
      <c r="C1" s="2" t="n"/>
      <c r="D1" s="18">
        <f>HYPERLINK("#'ホーム'!A1","ホーム")</f>
        <v/>
      </c>
      <c r="E1" s="19">
        <f>HYPERLINK("#'設定'!A1","① 設定")</f>
        <v/>
      </c>
      <c r="F1" s="18">
        <f>HYPERLINK("#'名簿'!A1","② 名簿")</f>
        <v/>
      </c>
      <c r="G1" s="20" t="n"/>
      <c r="H1" s="18">
        <f>HYPERLINK("#'×入力'!A1","③ ×入力")</f>
        <v/>
      </c>
      <c r="I1" s="18">
        <f>HYPERLINK("#'自動案'!A1","④ 自動案")</f>
        <v/>
      </c>
      <c r="J1" s="18">
        <f>HYPERLINK("#'割り当て'!A1","⑤ 割り当て")</f>
        <v/>
      </c>
      <c r="K1" s="20" t="n"/>
      <c r="L1" s="2" t="n"/>
    </row>
    <row r="2" ht="24" customHeight="1">
      <c r="A2" s="3" t="inlineStr">
        <is>
          <t>面談の日付と時間枠を決めます。黄色のマスを入力してください。</t>
        </is>
      </c>
      <c r="B2" s="4" t="n"/>
      <c r="C2" s="4" t="n"/>
      <c r="D2" s="4" t="n"/>
      <c r="E2" s="4" t="n"/>
      <c r="F2" s="4" t="n"/>
      <c r="G2" s="4" t="n"/>
      <c r="H2" s="4" t="n"/>
      <c r="I2" s="4" t="n"/>
      <c r="J2" s="4" t="n"/>
      <c r="K2" s="4" t="n"/>
      <c r="L2" s="4" t="n"/>
    </row>
    <row r="3">
      <c r="A3" s="21" t="inlineStr">
        <is>
          <t>最初の枠</t>
        </is>
      </c>
      <c r="B3" s="22" t="n">
        <v>0.5625</v>
      </c>
      <c r="C3" s="23">
        <f>IF(ISNUMBER(B3),"","← 時刻（例 13:30）を入れてください")</f>
        <v/>
      </c>
    </row>
    <row r="4">
      <c r="A4" s="21" t="inlineStr">
        <is>
          <t>最後の枠</t>
        </is>
      </c>
      <c r="B4" s="22" t="n">
        <v>0.6458333333333334</v>
      </c>
      <c r="C4" s="23">
        <f>IF(NOT(ISNUMBER(B4)),"← 時刻（例 15:30）を入れてください",IF(AND(ISNUMBER(B3),B4&lt;B3),"← 最初の枠より後の時刻にしてください",""))</f>
        <v/>
      </c>
    </row>
    <row r="5">
      <c r="A5" s="21" t="inlineStr">
        <is>
          <t>1枠の長さ（分）</t>
        </is>
      </c>
      <c r="B5" s="24" t="n">
        <v>15</v>
      </c>
      <c r="C5" s="23">
        <f>IF(AND(ISNUMBER(B5),B5&gt;0),"","← 5〜120の数字を入れてください")</f>
        <v/>
      </c>
    </row>
    <row r="6">
      <c r="A6" s="21" t="inlineStr">
        <is>
          <t>1日の枠の数</t>
        </is>
      </c>
      <c r="B6" s="25">
        <f>IF(AND(ISNUMBER(B3),ISNUMBER(B4),ISNUMBER(B5)),IF(B5&gt;0,MIN(12,MAX(1,ROUND((B4-B3)*1440/B5,0)+1)),1),1)</f>
        <v/>
      </c>
      <c r="C6" s="26" t="inlineStr">
        <is>
          <t>（最大12枠）</t>
        </is>
      </c>
    </row>
    <row r="7"/>
    <row r="8">
      <c r="A8" s="21" t="inlineStr">
        <is>
          <t>自動案の詰め方</t>
        </is>
      </c>
      <c r="B8" s="27" t="inlineStr">
        <is>
          <t>早い時間から（各日の最後を空ける）</t>
        </is>
      </c>
      <c r="C8" s="28" t="n"/>
      <c r="D8" s="28" t="n"/>
      <c r="E8" s="29" t="n"/>
    </row>
    <row r="9"/>
    <row r="10">
      <c r="B10" s="30" t="inlineStr">
        <is>
          <t>日付</t>
        </is>
      </c>
      <c r="C10" s="30" t="inlineStr">
        <is>
          <t>曜日</t>
        </is>
      </c>
      <c r="D10" s="30" t="inlineStr">
        <is>
          <t>空ける日</t>
        </is>
      </c>
      <c r="E10" s="30" t="inlineStr">
        <is>
          <t>表示</t>
        </is>
      </c>
      <c r="G10" s="30" t="inlineStr">
        <is>
          <t>時刻</t>
        </is>
      </c>
      <c r="H10" s="30" t="inlineStr">
        <is>
          <t>休憩（空ける）</t>
        </is>
      </c>
      <c r="I10" s="30" t="inlineStr">
        <is>
          <t>表示</t>
        </is>
      </c>
    </row>
    <row r="11">
      <c r="A11" s="25" t="inlineStr">
        <is>
          <t>1日目</t>
        </is>
      </c>
      <c r="B11" s="31" t="n">
        <v>46350</v>
      </c>
      <c r="C11" s="32">
        <f>IF(B11="","",CHOOSE(WEEKDAY(B11),"日","月","火","水","木","金","土"))</f>
        <v/>
      </c>
      <c r="D11" s="33" t="n"/>
      <c r="E11" s="34">
        <f>IF(B11="","",MONTH(B11)&amp;"月"&amp;DAY(B11)&amp;"日（"&amp;C11&amp;"）")</f>
        <v/>
      </c>
      <c r="F11" s="35" t="n">
        <v>1</v>
      </c>
      <c r="G11" s="36">
        <f>IF(AND(F11&lt;=$B$6,ISNUMBER($B$3)),$B$3+(F11-1)*IF(ISNUMBER($B$5),$B$5,0)/1440,"")</f>
        <v/>
      </c>
      <c r="H11" s="33" t="n"/>
      <c r="I11" s="32">
        <f>IF(G11="","",TEXT(G11,"h:mm")&amp;"〜")</f>
        <v/>
      </c>
    </row>
    <row r="12">
      <c r="A12" s="25" t="inlineStr">
        <is>
          <t>2日目</t>
        </is>
      </c>
      <c r="B12" s="31" t="n">
        <v>46351</v>
      </c>
      <c r="C12" s="32">
        <f>IF(B12="","",CHOOSE(WEEKDAY(B12),"日","月","火","水","木","金","土"))</f>
        <v/>
      </c>
      <c r="D12" s="33" t="n"/>
      <c r="E12" s="34">
        <f>IF(B12="","",MONTH(B12)&amp;"月"&amp;DAY(B12)&amp;"日（"&amp;C12&amp;"）")</f>
        <v/>
      </c>
      <c r="F12" s="35" t="n">
        <v>2</v>
      </c>
      <c r="G12" s="36">
        <f>IF(AND(F12&lt;=$B$6,ISNUMBER($B$3)),$B$3+(F12-1)*IF(ISNUMBER($B$5),$B$5,0)/1440,"")</f>
        <v/>
      </c>
      <c r="H12" s="33" t="n"/>
      <c r="I12" s="32">
        <f>IF(G12="","",TEXT(G12,"h:mm")&amp;"〜")</f>
        <v/>
      </c>
    </row>
    <row r="13">
      <c r="A13" s="25" t="inlineStr">
        <is>
          <t>3日目</t>
        </is>
      </c>
      <c r="B13" s="31" t="n">
        <v>46352</v>
      </c>
      <c r="C13" s="32">
        <f>IF(B13="","",CHOOSE(WEEKDAY(B13),"日","月","火","水","木","金","土"))</f>
        <v/>
      </c>
      <c r="D13" s="33" t="n"/>
      <c r="E13" s="34">
        <f>IF(B13="","",MONTH(B13)&amp;"月"&amp;DAY(B13)&amp;"日（"&amp;C13&amp;"）")</f>
        <v/>
      </c>
      <c r="F13" s="35" t="n">
        <v>3</v>
      </c>
      <c r="G13" s="36">
        <f>IF(AND(F13&lt;=$B$6,ISNUMBER($B$3)),$B$3+(F13-1)*IF(ISNUMBER($B$5),$B$5,0)/1440,"")</f>
        <v/>
      </c>
      <c r="H13" s="33" t="n"/>
      <c r="I13" s="32">
        <f>IF(G13="","",TEXT(G13,"h:mm")&amp;"〜")</f>
        <v/>
      </c>
    </row>
    <row r="14">
      <c r="A14" s="25" t="inlineStr">
        <is>
          <t>4日目</t>
        </is>
      </c>
      <c r="B14" s="31" t="n">
        <v>46353</v>
      </c>
      <c r="C14" s="32">
        <f>IF(B14="","",CHOOSE(WEEKDAY(B14),"日","月","火","水","木","金","土"))</f>
        <v/>
      </c>
      <c r="D14" s="33" t="n"/>
      <c r="E14" s="34">
        <f>IF(B14="","",MONTH(B14)&amp;"月"&amp;DAY(B14)&amp;"日（"&amp;C14&amp;"）")</f>
        <v/>
      </c>
      <c r="F14" s="35" t="n">
        <v>4</v>
      </c>
      <c r="G14" s="36">
        <f>IF(AND(F14&lt;=$B$6,ISNUMBER($B$3)),$B$3+(F14-1)*IF(ISNUMBER($B$5),$B$5,0)/1440,"")</f>
        <v/>
      </c>
      <c r="H14" s="33" t="n"/>
      <c r="I14" s="32">
        <f>IF(G14="","",TEXT(G14,"h:mm")&amp;"〜")</f>
        <v/>
      </c>
    </row>
    <row r="15">
      <c r="A15" s="25" t="inlineStr">
        <is>
          <t>5日目</t>
        </is>
      </c>
      <c r="B15" s="31" t="n">
        <v>46356</v>
      </c>
      <c r="C15" s="32">
        <f>IF(B15="","",CHOOSE(WEEKDAY(B15),"日","月","火","水","木","金","土"))</f>
        <v/>
      </c>
      <c r="D15" s="33" t="n"/>
      <c r="E15" s="34">
        <f>IF(B15="","",MONTH(B15)&amp;"月"&amp;DAY(B15)&amp;"日（"&amp;C15&amp;"）")</f>
        <v/>
      </c>
      <c r="F15" s="35" t="n">
        <v>5</v>
      </c>
      <c r="G15" s="36">
        <f>IF(AND(F15&lt;=$B$6,ISNUMBER($B$3)),$B$3+(F15-1)*IF(ISNUMBER($B$5),$B$5,0)/1440,"")</f>
        <v/>
      </c>
      <c r="H15" s="33" t="n"/>
      <c r="I15" s="32">
        <f>IF(G15="","",TEXT(G15,"h:mm")&amp;"〜")</f>
        <v/>
      </c>
    </row>
    <row r="16">
      <c r="A16" s="25" t="inlineStr">
        <is>
          <t>6日目</t>
        </is>
      </c>
      <c r="B16" s="31" t="n"/>
      <c r="C16" s="32">
        <f>IF(B16="","",CHOOSE(WEEKDAY(B16),"日","月","火","水","木","金","土"))</f>
        <v/>
      </c>
      <c r="D16" s="33" t="n"/>
      <c r="E16" s="34">
        <f>IF(B16="","",MONTH(B16)&amp;"月"&amp;DAY(B16)&amp;"日（"&amp;C16&amp;"）")</f>
        <v/>
      </c>
      <c r="F16" s="35" t="n">
        <v>6</v>
      </c>
      <c r="G16" s="36">
        <f>IF(AND(F16&lt;=$B$6,ISNUMBER($B$3)),$B$3+(F16-1)*IF(ISNUMBER($B$5),$B$5,0)/1440,"")</f>
        <v/>
      </c>
      <c r="H16" s="33" t="n"/>
      <c r="I16" s="32">
        <f>IF(G16="","",TEXT(G16,"h:mm")&amp;"〜")</f>
        <v/>
      </c>
    </row>
    <row r="17">
      <c r="A17" s="25" t="inlineStr">
        <is>
          <t>7日目</t>
        </is>
      </c>
      <c r="B17" s="31" t="n"/>
      <c r="C17" s="32">
        <f>IF(B17="","",CHOOSE(WEEKDAY(B17),"日","月","火","水","木","金","土"))</f>
        <v/>
      </c>
      <c r="D17" s="33" t="n"/>
      <c r="E17" s="34">
        <f>IF(B17="","",MONTH(B17)&amp;"月"&amp;DAY(B17)&amp;"日（"&amp;C17&amp;"）")</f>
        <v/>
      </c>
      <c r="F17" s="35" t="n">
        <v>7</v>
      </c>
      <c r="G17" s="36">
        <f>IF(AND(F17&lt;=$B$6,ISNUMBER($B$3)),$B$3+(F17-1)*IF(ISNUMBER($B$5),$B$5,0)/1440,"")</f>
        <v/>
      </c>
      <c r="H17" s="33" t="n"/>
      <c r="I17" s="32">
        <f>IF(G17="","",TEXT(G17,"h:mm")&amp;"〜")</f>
        <v/>
      </c>
    </row>
    <row r="18">
      <c r="A18" s="25" t="inlineStr">
        <is>
          <t>8日目</t>
        </is>
      </c>
      <c r="B18" s="31" t="n"/>
      <c r="C18" s="32">
        <f>IF(B18="","",CHOOSE(WEEKDAY(B18),"日","月","火","水","木","金","土"))</f>
        <v/>
      </c>
      <c r="D18" s="33" t="n"/>
      <c r="E18" s="34">
        <f>IF(B18="","",MONTH(B18)&amp;"月"&amp;DAY(B18)&amp;"日（"&amp;C18&amp;"）")</f>
        <v/>
      </c>
      <c r="F18" s="35" t="n">
        <v>8</v>
      </c>
      <c r="G18" s="36">
        <f>IF(AND(F18&lt;=$B$6,ISNUMBER($B$3)),$B$3+(F18-1)*IF(ISNUMBER($B$5),$B$5,0)/1440,"")</f>
        <v/>
      </c>
      <c r="H18" s="33" t="n"/>
      <c r="I18" s="32">
        <f>IF(G18="","",TEXT(G18,"h:mm")&amp;"〜")</f>
        <v/>
      </c>
    </row>
    <row r="19">
      <c r="A19" s="25" t="inlineStr">
        <is>
          <t>9日目</t>
        </is>
      </c>
      <c r="B19" s="31" t="n"/>
      <c r="C19" s="32">
        <f>IF(B19="","",CHOOSE(WEEKDAY(B19),"日","月","火","水","木","金","土"))</f>
        <v/>
      </c>
      <c r="D19" s="33" t="n"/>
      <c r="E19" s="34">
        <f>IF(B19="","",MONTH(B19)&amp;"月"&amp;DAY(B19)&amp;"日（"&amp;C19&amp;"）")</f>
        <v/>
      </c>
      <c r="F19" s="35" t="n">
        <v>9</v>
      </c>
      <c r="G19" s="36">
        <f>IF(AND(F19&lt;=$B$6,ISNUMBER($B$3)),$B$3+(F19-1)*IF(ISNUMBER($B$5),$B$5,0)/1440,"")</f>
        <v/>
      </c>
      <c r="H19" s="33" t="n"/>
      <c r="I19" s="32">
        <f>IF(G19="","",TEXT(G19,"h:mm")&amp;"〜")</f>
        <v/>
      </c>
    </row>
    <row r="20">
      <c r="A20" s="25" t="inlineStr">
        <is>
          <t>10日目</t>
        </is>
      </c>
      <c r="B20" s="31" t="n"/>
      <c r="C20" s="32">
        <f>IF(B20="","",CHOOSE(WEEKDAY(B20),"日","月","火","水","木","金","土"))</f>
        <v/>
      </c>
      <c r="D20" s="33" t="n"/>
      <c r="E20" s="34">
        <f>IF(B20="","",MONTH(B20)&amp;"月"&amp;DAY(B20)&amp;"日（"&amp;C20&amp;"）")</f>
        <v/>
      </c>
      <c r="F20" s="35" t="n">
        <v>10</v>
      </c>
      <c r="G20" s="36">
        <f>IF(AND(F20&lt;=$B$6,ISNUMBER($B$3)),$B$3+(F20-1)*IF(ISNUMBER($B$5),$B$5,0)/1440,"")</f>
        <v/>
      </c>
      <c r="H20" s="33" t="n"/>
      <c r="I20" s="32">
        <f>IF(G20="","",TEXT(G20,"h:mm")&amp;"〜")</f>
        <v/>
      </c>
    </row>
    <row r="21">
      <c r="F21" s="35" t="n">
        <v>11</v>
      </c>
      <c r="G21" s="36">
        <f>IF(AND(F21&lt;=$B$6,ISNUMBER($B$3)),$B$3+(F21-1)*IF(ISNUMBER($B$5),$B$5,0)/1440,"")</f>
        <v/>
      </c>
      <c r="H21" s="33" t="n"/>
      <c r="I21" s="32">
        <f>IF(G21="","",TEXT(G21,"h:mm")&amp;"〜")</f>
        <v/>
      </c>
    </row>
    <row r="22">
      <c r="A22" s="26" t="inlineStr">
        <is>
          <t>※ 日付は上から詰めて入れてください。曜日・表示・時刻は自動で出ます。</t>
        </is>
      </c>
      <c r="F22" s="35" t="n">
        <v>12</v>
      </c>
      <c r="G22" s="36">
        <f>IF(AND(F22&lt;=$B$6,ISNUMBER($B$3)),$B$3+(F22-1)*IF(ISNUMBER($B$5),$B$5,0)/1440,"")</f>
        <v/>
      </c>
      <c r="H22" s="33" t="n"/>
      <c r="I22" s="32">
        <f>IF(G22="","",TEXT(G22,"h:mm")&amp;"〜")</f>
        <v/>
      </c>
    </row>
  </sheetData>
  <mergeCells count="3">
    <mergeCell ref="J1:K1"/>
    <mergeCell ref="F1:G1"/>
    <mergeCell ref="B8:E8"/>
  </mergeCells>
  <dataValidations count="5">
    <dataValidation sqref="B3:B4" showDropDown="0" showInputMessage="0" showErrorMessage="1" allowBlank="0" error="時刻を「13:30」のように入れてください。" type="time" operator="between">
      <formula1>0</formula1>
      <formula2>0.999988426</formula2>
    </dataValidation>
    <dataValidation sqref="B5" showDropDown="0" showInputMessage="0" showErrorMessage="1" allowBlank="0" error="5〜120の数字（分）を入れてください。" type="whole" operator="between">
      <formula1>5</formula1>
      <formula2>120</formula2>
    </dataValidation>
    <dataValidation sqref="B11:B20" showDropDown="0" showInputMessage="0" showErrorMessage="1" allowBlank="0" error="日付を「11/24」のように入れてください。" type="date" operator="greaterThan">
      <formula1>36526</formula1>
    </dataValidation>
    <dataValidation sqref="B8" showDropDown="0" showInputMessage="0" showErrorMessage="0" allowBlank="0" type="list">
      <formula1>"早い時間から（各日の最後を空ける）,日付順に詰める（後ろの日を空ける）"</formula1>
    </dataValidation>
    <dataValidation sqref="D11 D12 D13 D14 D15 D16 D17 D18 D19 D20 H11 H12 H13 H14 H15 H16 H17 H18 H19 H20 H21 H22" showDropDown="0" showInputMessage="0" showErrorMessage="0" allowBlank="1" type="list">
      <formula1>"〇"</formula1>
    </dataValidation>
  </dataValidations>
  <pageMargins left="0.75" right="0.75" top="1" bottom="1" header="0.5" footer="0.5"/>
</worksheet>
</file>

<file path=xl/worksheets/sheet3.xml><?xml version="1.0" encoding="utf-8"?>
<worksheet xmlns="http://schemas.openxmlformats.org/spreadsheetml/2006/main">
  <sheetPr>
    <tabColor rgb="002B5797"/>
    <outlinePr summaryBelow="1" summaryRight="1"/>
    <pageSetUpPr/>
  </sheetPr>
  <dimension ref="A1:P49"/>
  <sheetViews>
    <sheetView showGridLines="0" showRowColHeader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16" customWidth="1" min="2" max="2"/>
    <col width="6" customWidth="1" min="3" max="3"/>
    <col width="18" customWidth="1" min="4" max="4"/>
    <col width="10" customWidth="1" min="5" max="5"/>
    <col width="16" customWidth="1" min="6" max="6"/>
    <col width="18" customWidth="1" min="7" max="7"/>
    <col width="10" customWidth="1" min="8" max="8"/>
    <col width="7" customWidth="1" min="9" max="9"/>
    <col width="9" customWidth="1" min="10" max="10"/>
    <col width="7" customWidth="1" min="11" max="11"/>
    <col width="15" customWidth="1" min="12" max="12"/>
    <col width="8" customWidth="1" min="13" max="13"/>
    <col width="30" customWidth="1" min="14" max="14"/>
    <col width="22" customWidth="1" min="15" max="15"/>
    <col width="9" customWidth="1" min="16" max="16"/>
  </cols>
  <sheetData>
    <row r="1" ht="44" customHeight="1">
      <c r="A1" s="1" t="inlineStr">
        <is>
          <t>名簿・結果</t>
        </is>
      </c>
      <c r="B1" s="2" t="n"/>
      <c r="C1" s="2" t="n"/>
      <c r="D1" s="2" t="n"/>
      <c r="E1" s="18">
        <f>HYPERLINK("#'ホーム'!A1","ホーム")</f>
        <v/>
      </c>
      <c r="F1" s="20" t="n"/>
      <c r="G1" s="18">
        <f>HYPERLINK("#'設定'!A1","① 設定")</f>
        <v/>
      </c>
      <c r="H1" s="19">
        <f>HYPERLINK("#'名簿'!A1","② 名簿")</f>
        <v/>
      </c>
      <c r="I1" s="20" t="n"/>
      <c r="J1" s="18">
        <f>HYPERLINK("#'×入力'!A1","③ ×入力")</f>
        <v/>
      </c>
      <c r="K1" s="20" t="n"/>
      <c r="L1" s="18">
        <f>HYPERLINK("#'自動案'!A1","④ 自動案")</f>
        <v/>
      </c>
      <c r="M1" s="20" t="n"/>
      <c r="N1" s="18">
        <f>HYPERLINK("#'割り当て'!A1","⑤ 割り当て")</f>
        <v/>
      </c>
      <c r="O1" s="2" t="n"/>
      <c r="P1" s="2" t="n"/>
    </row>
    <row r="2" ht="24" customHeight="1">
      <c r="A2" s="3" t="inlineStr">
        <is>
          <t>黄色の列（番号〜後ろを空ける）を入力します。Excelの名簿から番号と名前を「番号」の列のいちばん上に貼り付けてください（最大45人）。行の並べ替えはしないでください。</t>
        </is>
      </c>
      <c r="B2" s="4" t="n"/>
      <c r="C2" s="4" t="n"/>
      <c r="D2" s="4" t="n"/>
      <c r="E2" s="4" t="n"/>
      <c r="F2" s="4" t="n"/>
      <c r="G2" s="4" t="n"/>
      <c r="H2" s="4" t="n"/>
      <c r="I2" s="4" t="n"/>
      <c r="J2" s="4" t="n"/>
      <c r="K2" s="4" t="n"/>
      <c r="L2" s="4" t="n"/>
      <c r="M2" s="4" t="n"/>
      <c r="N2" s="4" t="n"/>
      <c r="O2" s="4" t="n"/>
      <c r="P2" s="4" t="n"/>
    </row>
    <row r="3">
      <c r="A3" s="37" t="inlineStr">
        <is>
          <t>希望：早い時刻／遅い時刻／早い日／遅い日。後ろを空ける：必ず空けたい／出来れば空けたい（同じ日のすぐ次の枠を空けます）。</t>
        </is>
      </c>
    </row>
    <row r="4" ht="32" customHeight="1">
      <c r="A4" s="38" t="inlineStr">
        <is>
          <t>番号</t>
        </is>
      </c>
      <c r="B4" s="38" t="inlineStr">
        <is>
          <t>名前</t>
        </is>
      </c>
      <c r="C4" s="38" t="inlineStr">
        <is>
          <t>兄弟</t>
        </is>
      </c>
      <c r="D4" s="38" t="inlineStr">
        <is>
          <t>兄弟メモ</t>
        </is>
      </c>
      <c r="E4" s="38" t="inlineStr">
        <is>
          <t>希望</t>
        </is>
      </c>
      <c r="F4" s="38" t="inlineStr">
        <is>
          <t>後ろを空ける</t>
        </is>
      </c>
      <c r="G4" s="39" t="inlineStr">
        <is>
          <t>表示名</t>
        </is>
      </c>
      <c r="H4" s="39" t="inlineStr">
        <is>
          <t>状況</t>
        </is>
      </c>
      <c r="I4" s="39" t="inlineStr">
        <is>
          <t>×の数</t>
        </is>
      </c>
      <c r="J4" s="39" t="inlineStr">
        <is>
          <t>入れられる空き枠</t>
        </is>
      </c>
      <c r="K4" s="39" t="inlineStr">
        <is>
          <t>決める順</t>
        </is>
      </c>
      <c r="L4" s="39" t="inlineStr">
        <is>
          <t>日付</t>
        </is>
      </c>
      <c r="M4" s="39" t="inlineStr">
        <is>
          <t>時刻</t>
        </is>
      </c>
      <c r="N4" s="39" t="inlineStr">
        <is>
          <t>注意</t>
        </is>
      </c>
      <c r="O4" s="39" t="inlineStr">
        <is>
          <t>自動案</t>
        </is>
      </c>
    </row>
    <row r="5" ht="19" customHeight="1">
      <c r="A5" s="40" t="n"/>
      <c r="B5" s="41" t="n"/>
      <c r="C5" s="40" t="n"/>
      <c r="D5" s="41" t="n"/>
      <c r="E5" s="40" t="n"/>
      <c r="F5" s="40" t="n"/>
      <c r="G5" s="34">
        <f>IF(B5="","",IF(A5="","",A5&amp;" ")&amp;B5)</f>
        <v/>
      </c>
      <c r="H5" s="32">
        <f>IF(B5="","",IF('×入力'!F5="未提出","未提出",IF(I5&gt;0,"入力済み",IF('×入力'!F5="×なし（どこでもOK）","×なし","未入力"))))</f>
        <v/>
      </c>
      <c r="I5" s="32">
        <f>IF(B5="","",'計算A'!DX10)</f>
        <v/>
      </c>
      <c r="J5" s="32">
        <f>IF(OR(H5="入力済み",H5="×なし"),'計算A'!DW10,"")</f>
        <v/>
      </c>
      <c r="K5" s="32">
        <f>IF('計算A'!C10=1,COUNTIFS('計算A'!$C$10:$C$54,1,'計算A'!$DW$10:$DW$54,"&lt;"&amp;'計算A'!DW10)+1,"")</f>
        <v/>
      </c>
      <c r="L5" s="34">
        <f>IF('計算A'!DY10=0,"",INDEX('設定'!$E$11:$E$20,INDEX('計算A'!$D$2:$DS$2,'計算A'!DY10)))</f>
        <v/>
      </c>
      <c r="M5" s="32">
        <f>IF('計算A'!DY10=0,"",INDEX('設定'!$I$11:$I$22,INDEX('計算A'!$D$3:$DS$3,'計算A'!DY10)))</f>
        <v/>
      </c>
      <c r="N5" s="34">
        <f>IF(G5="","",IF(COUNTIF('割り当て'!$C$6:$L$17,G5)&gt;1,"2か所以上に入っています",IF('計算A'!DY10&gt;0,IF(INDEX('計算A'!$D$10:$DS$10,'計算A'!DY10)=1,"×の枠に入っています",IF(AND(F5&lt;&gt;"",INDEX('計算A'!$D$106:$DS$106,'計算A'!DY10)=1,INDEX('計算A'!$D$109:$DS$109,'計算A'!DY10+1)=1),IF(F5="必ず空けたい","後ろの枠が空いていません","（出来れば）後ろが空いていません"),"")),IF(OR(H5="入力済み",H5="×なし"),"未割り当て",""))))</f>
        <v/>
      </c>
      <c r="O5" s="34">
        <f>IF('計算A'!DU10=0,IF('計算A'!DV10=1,"入る枠がありません",""),INDEX('計算A'!$D$8:$DS$8,'計算A'!DU10))</f>
        <v/>
      </c>
      <c r="P5" s="42">
        <f>HYPERLINK("#'×入力'!B5","×入力へ")</f>
        <v/>
      </c>
    </row>
    <row r="6" ht="19" customHeight="1">
      <c r="A6" s="40" t="n"/>
      <c r="B6" s="41" t="n"/>
      <c r="C6" s="40" t="n"/>
      <c r="D6" s="41" t="n"/>
      <c r="E6" s="40" t="n"/>
      <c r="F6" s="40" t="n"/>
      <c r="G6" s="34">
        <f>IF(B6="","",IF(A6="","",A6&amp;" ")&amp;B6)</f>
        <v/>
      </c>
      <c r="H6" s="32">
        <f>IF(B6="","",IF('×入力'!F20="未提出","未提出",IF(I6&gt;0,"入力済み",IF('×入力'!F20="×なし（どこでもOK）","×なし","未入力"))))</f>
        <v/>
      </c>
      <c r="I6" s="32">
        <f>IF(B6="","",'計算A'!DX11)</f>
        <v/>
      </c>
      <c r="J6" s="32">
        <f>IF(OR(H6="入力済み",H6="×なし"),'計算A'!DW11,"")</f>
        <v/>
      </c>
      <c r="K6" s="32">
        <f>IF('計算A'!C11=1,COUNTIFS('計算A'!$C$10:$C$54,1,'計算A'!$DW$10:$DW$54,"&lt;"&amp;'計算A'!DW11)+1,"")</f>
        <v/>
      </c>
      <c r="L6" s="34">
        <f>IF('計算A'!DY11=0,"",INDEX('設定'!$E$11:$E$20,INDEX('計算A'!$D$2:$DS$2,'計算A'!DY11)))</f>
        <v/>
      </c>
      <c r="M6" s="32">
        <f>IF('計算A'!DY11=0,"",INDEX('設定'!$I$11:$I$22,INDEX('計算A'!$D$3:$DS$3,'計算A'!DY11)))</f>
        <v/>
      </c>
      <c r="N6" s="34">
        <f>IF(G6="","",IF(COUNTIF('割り当て'!$C$6:$L$17,G6)&gt;1,"2か所以上に入っています",IF('計算A'!DY11&gt;0,IF(INDEX('計算A'!$D$11:$DS$11,'計算A'!DY11)=1,"×の枠に入っています",IF(AND(F6&lt;&gt;"",INDEX('計算A'!$D$106:$DS$106,'計算A'!DY11)=1,INDEX('計算A'!$D$109:$DS$109,'計算A'!DY11+1)=1),IF(F6="必ず空けたい","後ろの枠が空いていません","（出来れば）後ろが空いていません"),"")),IF(OR(H6="入力済み",H6="×なし"),"未割り当て",""))))</f>
        <v/>
      </c>
      <c r="O6" s="34">
        <f>IF('計算A'!DU11=0,IF('計算A'!DV11=1,"入る枠がありません",""),INDEX('計算A'!$D$8:$DS$8,'計算A'!DU11))</f>
        <v/>
      </c>
      <c r="P6" s="42">
        <f>HYPERLINK("#'×入力'!B20","×入力へ")</f>
        <v/>
      </c>
    </row>
    <row r="7" ht="19" customHeight="1">
      <c r="A7" s="40" t="n"/>
      <c r="B7" s="41" t="n"/>
      <c r="C7" s="40" t="n"/>
      <c r="D7" s="41" t="n"/>
      <c r="E7" s="40" t="n"/>
      <c r="F7" s="40" t="n"/>
      <c r="G7" s="34">
        <f>IF(B7="","",IF(A7="","",A7&amp;" ")&amp;B7)</f>
        <v/>
      </c>
      <c r="H7" s="32">
        <f>IF(B7="","",IF('×入力'!F35="未提出","未提出",IF(I7&gt;0,"入力済み",IF('×入力'!F35="×なし（どこでもOK）","×なし","未入力"))))</f>
        <v/>
      </c>
      <c r="I7" s="32">
        <f>IF(B7="","",'計算A'!DX12)</f>
        <v/>
      </c>
      <c r="J7" s="32">
        <f>IF(OR(H7="入力済み",H7="×なし"),'計算A'!DW12,"")</f>
        <v/>
      </c>
      <c r="K7" s="32">
        <f>IF('計算A'!C12=1,COUNTIFS('計算A'!$C$10:$C$54,1,'計算A'!$DW$10:$DW$54,"&lt;"&amp;'計算A'!DW12)+1,"")</f>
        <v/>
      </c>
      <c r="L7" s="34">
        <f>IF('計算A'!DY12=0,"",INDEX('設定'!$E$11:$E$20,INDEX('計算A'!$D$2:$DS$2,'計算A'!DY12)))</f>
        <v/>
      </c>
      <c r="M7" s="32">
        <f>IF('計算A'!DY12=0,"",INDEX('設定'!$I$11:$I$22,INDEX('計算A'!$D$3:$DS$3,'計算A'!DY12)))</f>
        <v/>
      </c>
      <c r="N7" s="34">
        <f>IF(G7="","",IF(COUNTIF('割り当て'!$C$6:$L$17,G7)&gt;1,"2か所以上に入っています",IF('計算A'!DY12&gt;0,IF(INDEX('計算A'!$D$12:$DS$12,'計算A'!DY12)=1,"×の枠に入っています",IF(AND(F7&lt;&gt;"",INDEX('計算A'!$D$106:$DS$106,'計算A'!DY12)=1,INDEX('計算A'!$D$109:$DS$109,'計算A'!DY12+1)=1),IF(F7="必ず空けたい","後ろの枠が空いていません","（出来れば）後ろが空いていません"),"")),IF(OR(H7="入力済み",H7="×なし"),"未割り当て",""))))</f>
        <v/>
      </c>
      <c r="O7" s="34">
        <f>IF('計算A'!DU12=0,IF('計算A'!DV12=1,"入る枠がありません",""),INDEX('計算A'!$D$8:$DS$8,'計算A'!DU12))</f>
        <v/>
      </c>
      <c r="P7" s="42">
        <f>HYPERLINK("#'×入力'!B35","×入力へ")</f>
        <v/>
      </c>
    </row>
    <row r="8" ht="19" customHeight="1">
      <c r="A8" s="40" t="n"/>
      <c r="B8" s="41" t="n"/>
      <c r="C8" s="40" t="n"/>
      <c r="D8" s="41" t="n"/>
      <c r="E8" s="40" t="n"/>
      <c r="F8" s="40" t="n"/>
      <c r="G8" s="34">
        <f>IF(B8="","",IF(A8="","",A8&amp;" ")&amp;B8)</f>
        <v/>
      </c>
      <c r="H8" s="32">
        <f>IF(B8="","",IF('×入力'!F50="未提出","未提出",IF(I8&gt;0,"入力済み",IF('×入力'!F50="×なし（どこでもOK）","×なし","未入力"))))</f>
        <v/>
      </c>
      <c r="I8" s="32">
        <f>IF(B8="","",'計算A'!DX13)</f>
        <v/>
      </c>
      <c r="J8" s="32">
        <f>IF(OR(H8="入力済み",H8="×なし"),'計算A'!DW13,"")</f>
        <v/>
      </c>
      <c r="K8" s="32">
        <f>IF('計算A'!C13=1,COUNTIFS('計算A'!$C$10:$C$54,1,'計算A'!$DW$10:$DW$54,"&lt;"&amp;'計算A'!DW13)+1,"")</f>
        <v/>
      </c>
      <c r="L8" s="34">
        <f>IF('計算A'!DY13=0,"",INDEX('設定'!$E$11:$E$20,INDEX('計算A'!$D$2:$DS$2,'計算A'!DY13)))</f>
        <v/>
      </c>
      <c r="M8" s="32">
        <f>IF('計算A'!DY13=0,"",INDEX('設定'!$I$11:$I$22,INDEX('計算A'!$D$3:$DS$3,'計算A'!DY13)))</f>
        <v/>
      </c>
      <c r="N8" s="34">
        <f>IF(G8="","",IF(COUNTIF('割り当て'!$C$6:$L$17,G8)&gt;1,"2か所以上に入っています",IF('計算A'!DY13&gt;0,IF(INDEX('計算A'!$D$13:$DS$13,'計算A'!DY13)=1,"×の枠に入っています",IF(AND(F8&lt;&gt;"",INDEX('計算A'!$D$106:$DS$106,'計算A'!DY13)=1,INDEX('計算A'!$D$109:$DS$109,'計算A'!DY13+1)=1),IF(F8="必ず空けたい","後ろの枠が空いていません","（出来れば）後ろが空いていません"),"")),IF(OR(H8="入力済み",H8="×なし"),"未割り当て",""))))</f>
        <v/>
      </c>
      <c r="O8" s="34">
        <f>IF('計算A'!DU13=0,IF('計算A'!DV13=1,"入る枠がありません",""),INDEX('計算A'!$D$8:$DS$8,'計算A'!DU13))</f>
        <v/>
      </c>
      <c r="P8" s="42">
        <f>HYPERLINK("#'×入力'!B50","×入力へ")</f>
        <v/>
      </c>
    </row>
    <row r="9" ht="19" customHeight="1">
      <c r="A9" s="40" t="n"/>
      <c r="B9" s="41" t="n"/>
      <c r="C9" s="40" t="n"/>
      <c r="D9" s="41" t="n"/>
      <c r="E9" s="40" t="n"/>
      <c r="F9" s="40" t="n"/>
      <c r="G9" s="34">
        <f>IF(B9="","",IF(A9="","",A9&amp;" ")&amp;B9)</f>
        <v/>
      </c>
      <c r="H9" s="32">
        <f>IF(B9="","",IF('×入力'!F65="未提出","未提出",IF(I9&gt;0,"入力済み",IF('×入力'!F65="×なし（どこでもOK）","×なし","未入力"))))</f>
        <v/>
      </c>
      <c r="I9" s="32">
        <f>IF(B9="","",'計算A'!DX14)</f>
        <v/>
      </c>
      <c r="J9" s="32">
        <f>IF(OR(H9="入力済み",H9="×なし"),'計算A'!DW14,"")</f>
        <v/>
      </c>
      <c r="K9" s="32">
        <f>IF('計算A'!C14=1,COUNTIFS('計算A'!$C$10:$C$54,1,'計算A'!$DW$10:$DW$54,"&lt;"&amp;'計算A'!DW14)+1,"")</f>
        <v/>
      </c>
      <c r="L9" s="34">
        <f>IF('計算A'!DY14=0,"",INDEX('設定'!$E$11:$E$20,INDEX('計算A'!$D$2:$DS$2,'計算A'!DY14)))</f>
        <v/>
      </c>
      <c r="M9" s="32">
        <f>IF('計算A'!DY14=0,"",INDEX('設定'!$I$11:$I$22,INDEX('計算A'!$D$3:$DS$3,'計算A'!DY14)))</f>
        <v/>
      </c>
      <c r="N9" s="34">
        <f>IF(G9="","",IF(COUNTIF('割り当て'!$C$6:$L$17,G9)&gt;1,"2か所以上に入っています",IF('計算A'!DY14&gt;0,IF(INDEX('計算A'!$D$14:$DS$14,'計算A'!DY14)=1,"×の枠に入っています",IF(AND(F9&lt;&gt;"",INDEX('計算A'!$D$106:$DS$106,'計算A'!DY14)=1,INDEX('計算A'!$D$109:$DS$109,'計算A'!DY14+1)=1),IF(F9="必ず空けたい","後ろの枠が空いていません","（出来れば）後ろが空いていません"),"")),IF(OR(H9="入力済み",H9="×なし"),"未割り当て",""))))</f>
        <v/>
      </c>
      <c r="O9" s="34">
        <f>IF('計算A'!DU14=0,IF('計算A'!DV14=1,"入る枠がありません",""),INDEX('計算A'!$D$8:$DS$8,'計算A'!DU14))</f>
        <v/>
      </c>
      <c r="P9" s="42">
        <f>HYPERLINK("#'×入力'!B65","×入力へ")</f>
        <v/>
      </c>
    </row>
    <row r="10" ht="19" customHeight="1">
      <c r="A10" s="40" t="n"/>
      <c r="B10" s="41" t="n"/>
      <c r="C10" s="40" t="n"/>
      <c r="D10" s="41" t="n"/>
      <c r="E10" s="40" t="n"/>
      <c r="F10" s="40" t="n"/>
      <c r="G10" s="34">
        <f>IF(B10="","",IF(A10="","",A10&amp;" ")&amp;B10)</f>
        <v/>
      </c>
      <c r="H10" s="32">
        <f>IF(B10="","",IF('×入力'!F80="未提出","未提出",IF(I10&gt;0,"入力済み",IF('×入力'!F80="×なし（どこでもOK）","×なし","未入力"))))</f>
        <v/>
      </c>
      <c r="I10" s="32">
        <f>IF(B10="","",'計算A'!DX15)</f>
        <v/>
      </c>
      <c r="J10" s="32">
        <f>IF(OR(H10="入力済み",H10="×なし"),'計算A'!DW15,"")</f>
        <v/>
      </c>
      <c r="K10" s="32">
        <f>IF('計算A'!C15=1,COUNTIFS('計算A'!$C$10:$C$54,1,'計算A'!$DW$10:$DW$54,"&lt;"&amp;'計算A'!DW15)+1,"")</f>
        <v/>
      </c>
      <c r="L10" s="34">
        <f>IF('計算A'!DY15=0,"",INDEX('設定'!$E$11:$E$20,INDEX('計算A'!$D$2:$DS$2,'計算A'!DY15)))</f>
        <v/>
      </c>
      <c r="M10" s="32">
        <f>IF('計算A'!DY15=0,"",INDEX('設定'!$I$11:$I$22,INDEX('計算A'!$D$3:$DS$3,'計算A'!DY15)))</f>
        <v/>
      </c>
      <c r="N10" s="34">
        <f>IF(G10="","",IF(COUNTIF('割り当て'!$C$6:$L$17,G10)&gt;1,"2か所以上に入っています",IF('計算A'!DY15&gt;0,IF(INDEX('計算A'!$D$15:$DS$15,'計算A'!DY15)=1,"×の枠に入っています",IF(AND(F10&lt;&gt;"",INDEX('計算A'!$D$106:$DS$106,'計算A'!DY15)=1,INDEX('計算A'!$D$109:$DS$109,'計算A'!DY15+1)=1),IF(F10="必ず空けたい","後ろの枠が空いていません","（出来れば）後ろが空いていません"),"")),IF(OR(H10="入力済み",H10="×なし"),"未割り当て",""))))</f>
        <v/>
      </c>
      <c r="O10" s="34">
        <f>IF('計算A'!DU15=0,IF('計算A'!DV15=1,"入る枠がありません",""),INDEX('計算A'!$D$8:$DS$8,'計算A'!DU15))</f>
        <v/>
      </c>
      <c r="P10" s="42">
        <f>HYPERLINK("#'×入力'!B80","×入力へ")</f>
        <v/>
      </c>
    </row>
    <row r="11" ht="19" customHeight="1">
      <c r="A11" s="40" t="n"/>
      <c r="B11" s="41" t="n"/>
      <c r="C11" s="40" t="n"/>
      <c r="D11" s="41" t="n"/>
      <c r="E11" s="40" t="n"/>
      <c r="F11" s="40" t="n"/>
      <c r="G11" s="34">
        <f>IF(B11="","",IF(A11="","",A11&amp;" ")&amp;B11)</f>
        <v/>
      </c>
      <c r="H11" s="32">
        <f>IF(B11="","",IF('×入力'!F95="未提出","未提出",IF(I11&gt;0,"入力済み",IF('×入力'!F95="×なし（どこでもOK）","×なし","未入力"))))</f>
        <v/>
      </c>
      <c r="I11" s="32">
        <f>IF(B11="","",'計算A'!DX16)</f>
        <v/>
      </c>
      <c r="J11" s="32">
        <f>IF(OR(H11="入力済み",H11="×なし"),'計算A'!DW16,"")</f>
        <v/>
      </c>
      <c r="K11" s="32">
        <f>IF('計算A'!C16=1,COUNTIFS('計算A'!$C$10:$C$54,1,'計算A'!$DW$10:$DW$54,"&lt;"&amp;'計算A'!DW16)+1,"")</f>
        <v/>
      </c>
      <c r="L11" s="34">
        <f>IF('計算A'!DY16=0,"",INDEX('設定'!$E$11:$E$20,INDEX('計算A'!$D$2:$DS$2,'計算A'!DY16)))</f>
        <v/>
      </c>
      <c r="M11" s="32">
        <f>IF('計算A'!DY16=0,"",INDEX('設定'!$I$11:$I$22,INDEX('計算A'!$D$3:$DS$3,'計算A'!DY16)))</f>
        <v/>
      </c>
      <c r="N11" s="34">
        <f>IF(G11="","",IF(COUNTIF('割り当て'!$C$6:$L$17,G11)&gt;1,"2か所以上に入っています",IF('計算A'!DY16&gt;0,IF(INDEX('計算A'!$D$16:$DS$16,'計算A'!DY16)=1,"×の枠に入っています",IF(AND(F11&lt;&gt;"",INDEX('計算A'!$D$106:$DS$106,'計算A'!DY16)=1,INDEX('計算A'!$D$109:$DS$109,'計算A'!DY16+1)=1),IF(F11="必ず空けたい","後ろの枠が空いていません","（出来れば）後ろが空いていません"),"")),IF(OR(H11="入力済み",H11="×なし"),"未割り当て",""))))</f>
        <v/>
      </c>
      <c r="O11" s="34">
        <f>IF('計算A'!DU16=0,IF('計算A'!DV16=1,"入る枠がありません",""),INDEX('計算A'!$D$8:$DS$8,'計算A'!DU16))</f>
        <v/>
      </c>
      <c r="P11" s="42">
        <f>HYPERLINK("#'×入力'!B95","×入力へ")</f>
        <v/>
      </c>
    </row>
    <row r="12" ht="19" customHeight="1">
      <c r="A12" s="40" t="n"/>
      <c r="B12" s="41" t="n"/>
      <c r="C12" s="40" t="n"/>
      <c r="D12" s="41" t="n"/>
      <c r="E12" s="40" t="n"/>
      <c r="F12" s="40" t="n"/>
      <c r="G12" s="34">
        <f>IF(B12="","",IF(A12="","",A12&amp;" ")&amp;B12)</f>
        <v/>
      </c>
      <c r="H12" s="32">
        <f>IF(B12="","",IF('×入力'!F110="未提出","未提出",IF(I12&gt;0,"入力済み",IF('×入力'!F110="×なし（どこでもOK）","×なし","未入力"))))</f>
        <v/>
      </c>
      <c r="I12" s="32">
        <f>IF(B12="","",'計算A'!DX17)</f>
        <v/>
      </c>
      <c r="J12" s="32">
        <f>IF(OR(H12="入力済み",H12="×なし"),'計算A'!DW17,"")</f>
        <v/>
      </c>
      <c r="K12" s="32">
        <f>IF('計算A'!C17=1,COUNTIFS('計算A'!$C$10:$C$54,1,'計算A'!$DW$10:$DW$54,"&lt;"&amp;'計算A'!DW17)+1,"")</f>
        <v/>
      </c>
      <c r="L12" s="34">
        <f>IF('計算A'!DY17=0,"",INDEX('設定'!$E$11:$E$20,INDEX('計算A'!$D$2:$DS$2,'計算A'!DY17)))</f>
        <v/>
      </c>
      <c r="M12" s="32">
        <f>IF('計算A'!DY17=0,"",INDEX('設定'!$I$11:$I$22,INDEX('計算A'!$D$3:$DS$3,'計算A'!DY17)))</f>
        <v/>
      </c>
      <c r="N12" s="34">
        <f>IF(G12="","",IF(COUNTIF('割り当て'!$C$6:$L$17,G12)&gt;1,"2か所以上に入っています",IF('計算A'!DY17&gt;0,IF(INDEX('計算A'!$D$17:$DS$17,'計算A'!DY17)=1,"×の枠に入っています",IF(AND(F12&lt;&gt;"",INDEX('計算A'!$D$106:$DS$106,'計算A'!DY17)=1,INDEX('計算A'!$D$109:$DS$109,'計算A'!DY17+1)=1),IF(F12="必ず空けたい","後ろの枠が空いていません","（出来れば）後ろが空いていません"),"")),IF(OR(H12="入力済み",H12="×なし"),"未割り当て",""))))</f>
        <v/>
      </c>
      <c r="O12" s="34">
        <f>IF('計算A'!DU17=0,IF('計算A'!DV17=1,"入る枠がありません",""),INDEX('計算A'!$D$8:$DS$8,'計算A'!DU17))</f>
        <v/>
      </c>
      <c r="P12" s="42">
        <f>HYPERLINK("#'×入力'!B110","×入力へ")</f>
        <v/>
      </c>
    </row>
    <row r="13" ht="19" customHeight="1">
      <c r="A13" s="40" t="n"/>
      <c r="B13" s="41" t="n"/>
      <c r="C13" s="40" t="n"/>
      <c r="D13" s="41" t="n"/>
      <c r="E13" s="40" t="n"/>
      <c r="F13" s="40" t="n"/>
      <c r="G13" s="34">
        <f>IF(B13="","",IF(A13="","",A13&amp;" ")&amp;B13)</f>
        <v/>
      </c>
      <c r="H13" s="32">
        <f>IF(B13="","",IF('×入力'!F125="未提出","未提出",IF(I13&gt;0,"入力済み",IF('×入力'!F125="×なし（どこでもOK）","×なし","未入力"))))</f>
        <v/>
      </c>
      <c r="I13" s="32">
        <f>IF(B13="","",'計算A'!DX18)</f>
        <v/>
      </c>
      <c r="J13" s="32">
        <f>IF(OR(H13="入力済み",H13="×なし"),'計算A'!DW18,"")</f>
        <v/>
      </c>
      <c r="K13" s="32">
        <f>IF('計算A'!C18=1,COUNTIFS('計算A'!$C$10:$C$54,1,'計算A'!$DW$10:$DW$54,"&lt;"&amp;'計算A'!DW18)+1,"")</f>
        <v/>
      </c>
      <c r="L13" s="34">
        <f>IF('計算A'!DY18=0,"",INDEX('設定'!$E$11:$E$20,INDEX('計算A'!$D$2:$DS$2,'計算A'!DY18)))</f>
        <v/>
      </c>
      <c r="M13" s="32">
        <f>IF('計算A'!DY18=0,"",INDEX('設定'!$I$11:$I$22,INDEX('計算A'!$D$3:$DS$3,'計算A'!DY18)))</f>
        <v/>
      </c>
      <c r="N13" s="34">
        <f>IF(G13="","",IF(COUNTIF('割り当て'!$C$6:$L$17,G13)&gt;1,"2か所以上に入っています",IF('計算A'!DY18&gt;0,IF(INDEX('計算A'!$D$18:$DS$18,'計算A'!DY18)=1,"×の枠に入っています",IF(AND(F13&lt;&gt;"",INDEX('計算A'!$D$106:$DS$106,'計算A'!DY18)=1,INDEX('計算A'!$D$109:$DS$109,'計算A'!DY18+1)=1),IF(F13="必ず空けたい","後ろの枠が空いていません","（出来れば）後ろが空いていません"),"")),IF(OR(H13="入力済み",H13="×なし"),"未割り当て",""))))</f>
        <v/>
      </c>
      <c r="O13" s="34">
        <f>IF('計算A'!DU18=0,IF('計算A'!DV18=1,"入る枠がありません",""),INDEX('計算A'!$D$8:$DS$8,'計算A'!DU18))</f>
        <v/>
      </c>
      <c r="P13" s="42">
        <f>HYPERLINK("#'×入力'!B125","×入力へ")</f>
        <v/>
      </c>
    </row>
    <row r="14" ht="19" customHeight="1">
      <c r="A14" s="40" t="n"/>
      <c r="B14" s="41" t="n"/>
      <c r="C14" s="40" t="n"/>
      <c r="D14" s="41" t="n"/>
      <c r="E14" s="40" t="n"/>
      <c r="F14" s="40" t="n"/>
      <c r="G14" s="34">
        <f>IF(B14="","",IF(A14="","",A14&amp;" ")&amp;B14)</f>
        <v/>
      </c>
      <c r="H14" s="32">
        <f>IF(B14="","",IF('×入力'!F140="未提出","未提出",IF(I14&gt;0,"入力済み",IF('×入力'!F140="×なし（どこでもOK）","×なし","未入力"))))</f>
        <v/>
      </c>
      <c r="I14" s="32">
        <f>IF(B14="","",'計算A'!DX19)</f>
        <v/>
      </c>
      <c r="J14" s="32">
        <f>IF(OR(H14="入力済み",H14="×なし"),'計算A'!DW19,"")</f>
        <v/>
      </c>
      <c r="K14" s="32">
        <f>IF('計算A'!C19=1,COUNTIFS('計算A'!$C$10:$C$54,1,'計算A'!$DW$10:$DW$54,"&lt;"&amp;'計算A'!DW19)+1,"")</f>
        <v/>
      </c>
      <c r="L14" s="34">
        <f>IF('計算A'!DY19=0,"",INDEX('設定'!$E$11:$E$20,INDEX('計算A'!$D$2:$DS$2,'計算A'!DY19)))</f>
        <v/>
      </c>
      <c r="M14" s="32">
        <f>IF('計算A'!DY19=0,"",INDEX('設定'!$I$11:$I$22,INDEX('計算A'!$D$3:$DS$3,'計算A'!DY19)))</f>
        <v/>
      </c>
      <c r="N14" s="34">
        <f>IF(G14="","",IF(COUNTIF('割り当て'!$C$6:$L$17,G14)&gt;1,"2か所以上に入っています",IF('計算A'!DY19&gt;0,IF(INDEX('計算A'!$D$19:$DS$19,'計算A'!DY19)=1,"×の枠に入っています",IF(AND(F14&lt;&gt;"",INDEX('計算A'!$D$106:$DS$106,'計算A'!DY19)=1,INDEX('計算A'!$D$109:$DS$109,'計算A'!DY19+1)=1),IF(F14="必ず空けたい","後ろの枠が空いていません","（出来れば）後ろが空いていません"),"")),IF(OR(H14="入力済み",H14="×なし"),"未割り当て",""))))</f>
        <v/>
      </c>
      <c r="O14" s="34">
        <f>IF('計算A'!DU19=0,IF('計算A'!DV19=1,"入る枠がありません",""),INDEX('計算A'!$D$8:$DS$8,'計算A'!DU19))</f>
        <v/>
      </c>
      <c r="P14" s="42">
        <f>HYPERLINK("#'×入力'!B140","×入力へ")</f>
        <v/>
      </c>
    </row>
    <row r="15" ht="19" customHeight="1">
      <c r="A15" s="40" t="n"/>
      <c r="B15" s="41" t="n"/>
      <c r="C15" s="40" t="n"/>
      <c r="D15" s="41" t="n"/>
      <c r="E15" s="40" t="n"/>
      <c r="F15" s="40" t="n"/>
      <c r="G15" s="34">
        <f>IF(B15="","",IF(A15="","",A15&amp;" ")&amp;B15)</f>
        <v/>
      </c>
      <c r="H15" s="32">
        <f>IF(B15="","",IF('×入力'!F155="未提出","未提出",IF(I15&gt;0,"入力済み",IF('×入力'!F155="×なし（どこでもOK）","×なし","未入力"))))</f>
        <v/>
      </c>
      <c r="I15" s="32">
        <f>IF(B15="","",'計算A'!DX20)</f>
        <v/>
      </c>
      <c r="J15" s="32">
        <f>IF(OR(H15="入力済み",H15="×なし"),'計算A'!DW20,"")</f>
        <v/>
      </c>
      <c r="K15" s="32">
        <f>IF('計算A'!C20=1,COUNTIFS('計算A'!$C$10:$C$54,1,'計算A'!$DW$10:$DW$54,"&lt;"&amp;'計算A'!DW20)+1,"")</f>
        <v/>
      </c>
      <c r="L15" s="34">
        <f>IF('計算A'!DY20=0,"",INDEX('設定'!$E$11:$E$20,INDEX('計算A'!$D$2:$DS$2,'計算A'!DY20)))</f>
        <v/>
      </c>
      <c r="M15" s="32">
        <f>IF('計算A'!DY20=0,"",INDEX('設定'!$I$11:$I$22,INDEX('計算A'!$D$3:$DS$3,'計算A'!DY20)))</f>
        <v/>
      </c>
      <c r="N15" s="34">
        <f>IF(G15="","",IF(COUNTIF('割り当て'!$C$6:$L$17,G15)&gt;1,"2か所以上に入っています",IF('計算A'!DY20&gt;0,IF(INDEX('計算A'!$D$20:$DS$20,'計算A'!DY20)=1,"×の枠に入っています",IF(AND(F15&lt;&gt;"",INDEX('計算A'!$D$106:$DS$106,'計算A'!DY20)=1,INDEX('計算A'!$D$109:$DS$109,'計算A'!DY20+1)=1),IF(F15="必ず空けたい","後ろの枠が空いていません","（出来れば）後ろが空いていません"),"")),IF(OR(H15="入力済み",H15="×なし"),"未割り当て",""))))</f>
        <v/>
      </c>
      <c r="O15" s="34">
        <f>IF('計算A'!DU20=0,IF('計算A'!DV20=1,"入る枠がありません",""),INDEX('計算A'!$D$8:$DS$8,'計算A'!DU20))</f>
        <v/>
      </c>
      <c r="P15" s="42">
        <f>HYPERLINK("#'×入力'!B155","×入力へ")</f>
        <v/>
      </c>
    </row>
    <row r="16" ht="19" customHeight="1">
      <c r="A16" s="40" t="n"/>
      <c r="B16" s="41" t="n"/>
      <c r="C16" s="40" t="n"/>
      <c r="D16" s="41" t="n"/>
      <c r="E16" s="40" t="n"/>
      <c r="F16" s="40" t="n"/>
      <c r="G16" s="34">
        <f>IF(B16="","",IF(A16="","",A16&amp;" ")&amp;B16)</f>
        <v/>
      </c>
      <c r="H16" s="32">
        <f>IF(B16="","",IF('×入力'!F170="未提出","未提出",IF(I16&gt;0,"入力済み",IF('×入力'!F170="×なし（どこでもOK）","×なし","未入力"))))</f>
        <v/>
      </c>
      <c r="I16" s="32">
        <f>IF(B16="","",'計算A'!DX21)</f>
        <v/>
      </c>
      <c r="J16" s="32">
        <f>IF(OR(H16="入力済み",H16="×なし"),'計算A'!DW21,"")</f>
        <v/>
      </c>
      <c r="K16" s="32">
        <f>IF('計算A'!C21=1,COUNTIFS('計算A'!$C$10:$C$54,1,'計算A'!$DW$10:$DW$54,"&lt;"&amp;'計算A'!DW21)+1,"")</f>
        <v/>
      </c>
      <c r="L16" s="34">
        <f>IF('計算A'!DY21=0,"",INDEX('設定'!$E$11:$E$20,INDEX('計算A'!$D$2:$DS$2,'計算A'!DY21)))</f>
        <v/>
      </c>
      <c r="M16" s="32">
        <f>IF('計算A'!DY21=0,"",INDEX('設定'!$I$11:$I$22,INDEX('計算A'!$D$3:$DS$3,'計算A'!DY21)))</f>
        <v/>
      </c>
      <c r="N16" s="34">
        <f>IF(G16="","",IF(COUNTIF('割り当て'!$C$6:$L$17,G16)&gt;1,"2か所以上に入っています",IF('計算A'!DY21&gt;0,IF(INDEX('計算A'!$D$21:$DS$21,'計算A'!DY21)=1,"×の枠に入っています",IF(AND(F16&lt;&gt;"",INDEX('計算A'!$D$106:$DS$106,'計算A'!DY21)=1,INDEX('計算A'!$D$109:$DS$109,'計算A'!DY21+1)=1),IF(F16="必ず空けたい","後ろの枠が空いていません","（出来れば）後ろが空いていません"),"")),IF(OR(H16="入力済み",H16="×なし"),"未割り当て",""))))</f>
        <v/>
      </c>
      <c r="O16" s="34">
        <f>IF('計算A'!DU21=0,IF('計算A'!DV21=1,"入る枠がありません",""),INDEX('計算A'!$D$8:$DS$8,'計算A'!DU21))</f>
        <v/>
      </c>
      <c r="P16" s="42">
        <f>HYPERLINK("#'×入力'!B170","×入力へ")</f>
        <v/>
      </c>
    </row>
    <row r="17" ht="19" customHeight="1">
      <c r="A17" s="40" t="n"/>
      <c r="B17" s="41" t="n"/>
      <c r="C17" s="40" t="n"/>
      <c r="D17" s="41" t="n"/>
      <c r="E17" s="40" t="n"/>
      <c r="F17" s="40" t="n"/>
      <c r="G17" s="34">
        <f>IF(B17="","",IF(A17="","",A17&amp;" ")&amp;B17)</f>
        <v/>
      </c>
      <c r="H17" s="32">
        <f>IF(B17="","",IF('×入力'!F185="未提出","未提出",IF(I17&gt;0,"入力済み",IF('×入力'!F185="×なし（どこでもOK）","×なし","未入力"))))</f>
        <v/>
      </c>
      <c r="I17" s="32">
        <f>IF(B17="","",'計算A'!DX22)</f>
        <v/>
      </c>
      <c r="J17" s="32">
        <f>IF(OR(H17="入力済み",H17="×なし"),'計算A'!DW22,"")</f>
        <v/>
      </c>
      <c r="K17" s="32">
        <f>IF('計算A'!C22=1,COUNTIFS('計算A'!$C$10:$C$54,1,'計算A'!$DW$10:$DW$54,"&lt;"&amp;'計算A'!DW22)+1,"")</f>
        <v/>
      </c>
      <c r="L17" s="34">
        <f>IF('計算A'!DY22=0,"",INDEX('設定'!$E$11:$E$20,INDEX('計算A'!$D$2:$DS$2,'計算A'!DY22)))</f>
        <v/>
      </c>
      <c r="M17" s="32">
        <f>IF('計算A'!DY22=0,"",INDEX('設定'!$I$11:$I$22,INDEX('計算A'!$D$3:$DS$3,'計算A'!DY22)))</f>
        <v/>
      </c>
      <c r="N17" s="34">
        <f>IF(G17="","",IF(COUNTIF('割り当て'!$C$6:$L$17,G17)&gt;1,"2か所以上に入っています",IF('計算A'!DY22&gt;0,IF(INDEX('計算A'!$D$22:$DS$22,'計算A'!DY22)=1,"×の枠に入っています",IF(AND(F17&lt;&gt;"",INDEX('計算A'!$D$106:$DS$106,'計算A'!DY22)=1,INDEX('計算A'!$D$109:$DS$109,'計算A'!DY22+1)=1),IF(F17="必ず空けたい","後ろの枠が空いていません","（出来れば）後ろが空いていません"),"")),IF(OR(H17="入力済み",H17="×なし"),"未割り当て",""))))</f>
        <v/>
      </c>
      <c r="O17" s="34">
        <f>IF('計算A'!DU22=0,IF('計算A'!DV22=1,"入る枠がありません",""),INDEX('計算A'!$D$8:$DS$8,'計算A'!DU22))</f>
        <v/>
      </c>
      <c r="P17" s="42">
        <f>HYPERLINK("#'×入力'!B185","×入力へ")</f>
        <v/>
      </c>
    </row>
    <row r="18" ht="19" customHeight="1">
      <c r="A18" s="40" t="n"/>
      <c r="B18" s="41" t="n"/>
      <c r="C18" s="40" t="n"/>
      <c r="D18" s="41" t="n"/>
      <c r="E18" s="40" t="n"/>
      <c r="F18" s="40" t="n"/>
      <c r="G18" s="34">
        <f>IF(B18="","",IF(A18="","",A18&amp;" ")&amp;B18)</f>
        <v/>
      </c>
      <c r="H18" s="32">
        <f>IF(B18="","",IF('×入力'!F200="未提出","未提出",IF(I18&gt;0,"入力済み",IF('×入力'!F200="×なし（どこでもOK）","×なし","未入力"))))</f>
        <v/>
      </c>
      <c r="I18" s="32">
        <f>IF(B18="","",'計算A'!DX23)</f>
        <v/>
      </c>
      <c r="J18" s="32">
        <f>IF(OR(H18="入力済み",H18="×なし"),'計算A'!DW23,"")</f>
        <v/>
      </c>
      <c r="K18" s="32">
        <f>IF('計算A'!C23=1,COUNTIFS('計算A'!$C$10:$C$54,1,'計算A'!$DW$10:$DW$54,"&lt;"&amp;'計算A'!DW23)+1,"")</f>
        <v/>
      </c>
      <c r="L18" s="34">
        <f>IF('計算A'!DY23=0,"",INDEX('設定'!$E$11:$E$20,INDEX('計算A'!$D$2:$DS$2,'計算A'!DY23)))</f>
        <v/>
      </c>
      <c r="M18" s="32">
        <f>IF('計算A'!DY23=0,"",INDEX('設定'!$I$11:$I$22,INDEX('計算A'!$D$3:$DS$3,'計算A'!DY23)))</f>
        <v/>
      </c>
      <c r="N18" s="34">
        <f>IF(G18="","",IF(COUNTIF('割り当て'!$C$6:$L$17,G18)&gt;1,"2か所以上に入っています",IF('計算A'!DY23&gt;0,IF(INDEX('計算A'!$D$23:$DS$23,'計算A'!DY23)=1,"×の枠に入っています",IF(AND(F18&lt;&gt;"",INDEX('計算A'!$D$106:$DS$106,'計算A'!DY23)=1,INDEX('計算A'!$D$109:$DS$109,'計算A'!DY23+1)=1),IF(F18="必ず空けたい","後ろの枠が空いていません","（出来れば）後ろが空いていません"),"")),IF(OR(H18="入力済み",H18="×なし"),"未割り当て",""))))</f>
        <v/>
      </c>
      <c r="O18" s="34">
        <f>IF('計算A'!DU23=0,IF('計算A'!DV23=1,"入る枠がありません",""),INDEX('計算A'!$D$8:$DS$8,'計算A'!DU23))</f>
        <v/>
      </c>
      <c r="P18" s="42">
        <f>HYPERLINK("#'×入力'!B200","×入力へ")</f>
        <v/>
      </c>
    </row>
    <row r="19" ht="19" customHeight="1">
      <c r="A19" s="40" t="n"/>
      <c r="B19" s="41" t="n"/>
      <c r="C19" s="40" t="n"/>
      <c r="D19" s="41" t="n"/>
      <c r="E19" s="40" t="n"/>
      <c r="F19" s="40" t="n"/>
      <c r="G19" s="34">
        <f>IF(B19="","",IF(A19="","",A19&amp;" ")&amp;B19)</f>
        <v/>
      </c>
      <c r="H19" s="32">
        <f>IF(B19="","",IF('×入力'!F215="未提出","未提出",IF(I19&gt;0,"入力済み",IF('×入力'!F215="×なし（どこでもOK）","×なし","未入力"))))</f>
        <v/>
      </c>
      <c r="I19" s="32">
        <f>IF(B19="","",'計算A'!DX24)</f>
        <v/>
      </c>
      <c r="J19" s="32">
        <f>IF(OR(H19="入力済み",H19="×なし"),'計算A'!DW24,"")</f>
        <v/>
      </c>
      <c r="K19" s="32">
        <f>IF('計算A'!C24=1,COUNTIFS('計算A'!$C$10:$C$54,1,'計算A'!$DW$10:$DW$54,"&lt;"&amp;'計算A'!DW24)+1,"")</f>
        <v/>
      </c>
      <c r="L19" s="34">
        <f>IF('計算A'!DY24=0,"",INDEX('設定'!$E$11:$E$20,INDEX('計算A'!$D$2:$DS$2,'計算A'!DY24)))</f>
        <v/>
      </c>
      <c r="M19" s="32">
        <f>IF('計算A'!DY24=0,"",INDEX('設定'!$I$11:$I$22,INDEX('計算A'!$D$3:$DS$3,'計算A'!DY24)))</f>
        <v/>
      </c>
      <c r="N19" s="34">
        <f>IF(G19="","",IF(COUNTIF('割り当て'!$C$6:$L$17,G19)&gt;1,"2か所以上に入っています",IF('計算A'!DY24&gt;0,IF(INDEX('計算A'!$D$24:$DS$24,'計算A'!DY24)=1,"×の枠に入っています",IF(AND(F19&lt;&gt;"",INDEX('計算A'!$D$106:$DS$106,'計算A'!DY24)=1,INDEX('計算A'!$D$109:$DS$109,'計算A'!DY24+1)=1),IF(F19="必ず空けたい","後ろの枠が空いていません","（出来れば）後ろが空いていません"),"")),IF(OR(H19="入力済み",H19="×なし"),"未割り当て",""))))</f>
        <v/>
      </c>
      <c r="O19" s="34">
        <f>IF('計算A'!DU24=0,IF('計算A'!DV24=1,"入る枠がありません",""),INDEX('計算A'!$D$8:$DS$8,'計算A'!DU24))</f>
        <v/>
      </c>
      <c r="P19" s="42">
        <f>HYPERLINK("#'×入力'!B215","×入力へ")</f>
        <v/>
      </c>
    </row>
    <row r="20" ht="19" customHeight="1">
      <c r="A20" s="40" t="n"/>
      <c r="B20" s="41" t="n"/>
      <c r="C20" s="40" t="n"/>
      <c r="D20" s="41" t="n"/>
      <c r="E20" s="40" t="n"/>
      <c r="F20" s="40" t="n"/>
      <c r="G20" s="34">
        <f>IF(B20="","",IF(A20="","",A20&amp;" ")&amp;B20)</f>
        <v/>
      </c>
      <c r="H20" s="32">
        <f>IF(B20="","",IF('×入力'!F230="未提出","未提出",IF(I20&gt;0,"入力済み",IF('×入力'!F230="×なし（どこでもOK）","×なし","未入力"))))</f>
        <v/>
      </c>
      <c r="I20" s="32">
        <f>IF(B20="","",'計算A'!DX25)</f>
        <v/>
      </c>
      <c r="J20" s="32">
        <f>IF(OR(H20="入力済み",H20="×なし"),'計算A'!DW25,"")</f>
        <v/>
      </c>
      <c r="K20" s="32">
        <f>IF('計算A'!C25=1,COUNTIFS('計算A'!$C$10:$C$54,1,'計算A'!$DW$10:$DW$54,"&lt;"&amp;'計算A'!DW25)+1,"")</f>
        <v/>
      </c>
      <c r="L20" s="34">
        <f>IF('計算A'!DY25=0,"",INDEX('設定'!$E$11:$E$20,INDEX('計算A'!$D$2:$DS$2,'計算A'!DY25)))</f>
        <v/>
      </c>
      <c r="M20" s="32">
        <f>IF('計算A'!DY25=0,"",INDEX('設定'!$I$11:$I$22,INDEX('計算A'!$D$3:$DS$3,'計算A'!DY25)))</f>
        <v/>
      </c>
      <c r="N20" s="34">
        <f>IF(G20="","",IF(COUNTIF('割り当て'!$C$6:$L$17,G20)&gt;1,"2か所以上に入っています",IF('計算A'!DY25&gt;0,IF(INDEX('計算A'!$D$25:$DS$25,'計算A'!DY25)=1,"×の枠に入っています",IF(AND(F20&lt;&gt;"",INDEX('計算A'!$D$106:$DS$106,'計算A'!DY25)=1,INDEX('計算A'!$D$109:$DS$109,'計算A'!DY25+1)=1),IF(F20="必ず空けたい","後ろの枠が空いていません","（出来れば）後ろが空いていません"),"")),IF(OR(H20="入力済み",H20="×なし"),"未割り当て",""))))</f>
        <v/>
      </c>
      <c r="O20" s="34">
        <f>IF('計算A'!DU25=0,IF('計算A'!DV25=1,"入る枠がありません",""),INDEX('計算A'!$D$8:$DS$8,'計算A'!DU25))</f>
        <v/>
      </c>
      <c r="P20" s="42">
        <f>HYPERLINK("#'×入力'!B230","×入力へ")</f>
        <v/>
      </c>
    </row>
    <row r="21" ht="19" customHeight="1">
      <c r="A21" s="40" t="n"/>
      <c r="B21" s="41" t="n"/>
      <c r="C21" s="40" t="n"/>
      <c r="D21" s="41" t="n"/>
      <c r="E21" s="40" t="n"/>
      <c r="F21" s="40" t="n"/>
      <c r="G21" s="34">
        <f>IF(B21="","",IF(A21="","",A21&amp;" ")&amp;B21)</f>
        <v/>
      </c>
      <c r="H21" s="32">
        <f>IF(B21="","",IF('×入力'!F245="未提出","未提出",IF(I21&gt;0,"入力済み",IF('×入力'!F245="×なし（どこでもOK）","×なし","未入力"))))</f>
        <v/>
      </c>
      <c r="I21" s="32">
        <f>IF(B21="","",'計算A'!DX26)</f>
        <v/>
      </c>
      <c r="J21" s="32">
        <f>IF(OR(H21="入力済み",H21="×なし"),'計算A'!DW26,"")</f>
        <v/>
      </c>
      <c r="K21" s="32">
        <f>IF('計算A'!C26=1,COUNTIFS('計算A'!$C$10:$C$54,1,'計算A'!$DW$10:$DW$54,"&lt;"&amp;'計算A'!DW26)+1,"")</f>
        <v/>
      </c>
      <c r="L21" s="34">
        <f>IF('計算A'!DY26=0,"",INDEX('設定'!$E$11:$E$20,INDEX('計算A'!$D$2:$DS$2,'計算A'!DY26)))</f>
        <v/>
      </c>
      <c r="M21" s="32">
        <f>IF('計算A'!DY26=0,"",INDEX('設定'!$I$11:$I$22,INDEX('計算A'!$D$3:$DS$3,'計算A'!DY26)))</f>
        <v/>
      </c>
      <c r="N21" s="34">
        <f>IF(G21="","",IF(COUNTIF('割り当て'!$C$6:$L$17,G21)&gt;1,"2か所以上に入っています",IF('計算A'!DY26&gt;0,IF(INDEX('計算A'!$D$26:$DS$26,'計算A'!DY26)=1,"×の枠に入っています",IF(AND(F21&lt;&gt;"",INDEX('計算A'!$D$106:$DS$106,'計算A'!DY26)=1,INDEX('計算A'!$D$109:$DS$109,'計算A'!DY26+1)=1),IF(F21="必ず空けたい","後ろの枠が空いていません","（出来れば）後ろが空いていません"),"")),IF(OR(H21="入力済み",H21="×なし"),"未割り当て",""))))</f>
        <v/>
      </c>
      <c r="O21" s="34">
        <f>IF('計算A'!DU26=0,IF('計算A'!DV26=1,"入る枠がありません",""),INDEX('計算A'!$D$8:$DS$8,'計算A'!DU26))</f>
        <v/>
      </c>
      <c r="P21" s="42">
        <f>HYPERLINK("#'×入力'!B245","×入力へ")</f>
        <v/>
      </c>
    </row>
    <row r="22" ht="19" customHeight="1">
      <c r="A22" s="40" t="n"/>
      <c r="B22" s="41" t="n"/>
      <c r="C22" s="40" t="n"/>
      <c r="D22" s="41" t="n"/>
      <c r="E22" s="40" t="n"/>
      <c r="F22" s="40" t="n"/>
      <c r="G22" s="34">
        <f>IF(B22="","",IF(A22="","",A22&amp;" ")&amp;B22)</f>
        <v/>
      </c>
      <c r="H22" s="32">
        <f>IF(B22="","",IF('×入力'!F260="未提出","未提出",IF(I22&gt;0,"入力済み",IF('×入力'!F260="×なし（どこでもOK）","×なし","未入力"))))</f>
        <v/>
      </c>
      <c r="I22" s="32">
        <f>IF(B22="","",'計算A'!DX27)</f>
        <v/>
      </c>
      <c r="J22" s="32">
        <f>IF(OR(H22="入力済み",H22="×なし"),'計算A'!DW27,"")</f>
        <v/>
      </c>
      <c r="K22" s="32">
        <f>IF('計算A'!C27=1,COUNTIFS('計算A'!$C$10:$C$54,1,'計算A'!$DW$10:$DW$54,"&lt;"&amp;'計算A'!DW27)+1,"")</f>
        <v/>
      </c>
      <c r="L22" s="34">
        <f>IF('計算A'!DY27=0,"",INDEX('設定'!$E$11:$E$20,INDEX('計算A'!$D$2:$DS$2,'計算A'!DY27)))</f>
        <v/>
      </c>
      <c r="M22" s="32">
        <f>IF('計算A'!DY27=0,"",INDEX('設定'!$I$11:$I$22,INDEX('計算A'!$D$3:$DS$3,'計算A'!DY27)))</f>
        <v/>
      </c>
      <c r="N22" s="34">
        <f>IF(G22="","",IF(COUNTIF('割り当て'!$C$6:$L$17,G22)&gt;1,"2か所以上に入っています",IF('計算A'!DY27&gt;0,IF(INDEX('計算A'!$D$27:$DS$27,'計算A'!DY27)=1,"×の枠に入っています",IF(AND(F22&lt;&gt;"",INDEX('計算A'!$D$106:$DS$106,'計算A'!DY27)=1,INDEX('計算A'!$D$109:$DS$109,'計算A'!DY27+1)=1),IF(F22="必ず空けたい","後ろの枠が空いていません","（出来れば）後ろが空いていません"),"")),IF(OR(H22="入力済み",H22="×なし"),"未割り当て",""))))</f>
        <v/>
      </c>
      <c r="O22" s="34">
        <f>IF('計算A'!DU27=0,IF('計算A'!DV27=1,"入る枠がありません",""),INDEX('計算A'!$D$8:$DS$8,'計算A'!DU27))</f>
        <v/>
      </c>
      <c r="P22" s="42">
        <f>HYPERLINK("#'×入力'!B260","×入力へ")</f>
        <v/>
      </c>
    </row>
    <row r="23" ht="19" customHeight="1">
      <c r="A23" s="40" t="n"/>
      <c r="B23" s="41" t="n"/>
      <c r="C23" s="40" t="n"/>
      <c r="D23" s="41" t="n"/>
      <c r="E23" s="40" t="n"/>
      <c r="F23" s="40" t="n"/>
      <c r="G23" s="34">
        <f>IF(B23="","",IF(A23="","",A23&amp;" ")&amp;B23)</f>
        <v/>
      </c>
      <c r="H23" s="32">
        <f>IF(B23="","",IF('×入力'!F275="未提出","未提出",IF(I23&gt;0,"入力済み",IF('×入力'!F275="×なし（どこでもOK）","×なし","未入力"))))</f>
        <v/>
      </c>
      <c r="I23" s="32">
        <f>IF(B23="","",'計算A'!DX28)</f>
        <v/>
      </c>
      <c r="J23" s="32">
        <f>IF(OR(H23="入力済み",H23="×なし"),'計算A'!DW28,"")</f>
        <v/>
      </c>
      <c r="K23" s="32">
        <f>IF('計算A'!C28=1,COUNTIFS('計算A'!$C$10:$C$54,1,'計算A'!$DW$10:$DW$54,"&lt;"&amp;'計算A'!DW28)+1,"")</f>
        <v/>
      </c>
      <c r="L23" s="34">
        <f>IF('計算A'!DY28=0,"",INDEX('設定'!$E$11:$E$20,INDEX('計算A'!$D$2:$DS$2,'計算A'!DY28)))</f>
        <v/>
      </c>
      <c r="M23" s="32">
        <f>IF('計算A'!DY28=0,"",INDEX('設定'!$I$11:$I$22,INDEX('計算A'!$D$3:$DS$3,'計算A'!DY28)))</f>
        <v/>
      </c>
      <c r="N23" s="34">
        <f>IF(G23="","",IF(COUNTIF('割り当て'!$C$6:$L$17,G23)&gt;1,"2か所以上に入っています",IF('計算A'!DY28&gt;0,IF(INDEX('計算A'!$D$28:$DS$28,'計算A'!DY28)=1,"×の枠に入っています",IF(AND(F23&lt;&gt;"",INDEX('計算A'!$D$106:$DS$106,'計算A'!DY28)=1,INDEX('計算A'!$D$109:$DS$109,'計算A'!DY28+1)=1),IF(F23="必ず空けたい","後ろの枠が空いていません","（出来れば）後ろが空いていません"),"")),IF(OR(H23="入力済み",H23="×なし"),"未割り当て",""))))</f>
        <v/>
      </c>
      <c r="O23" s="34">
        <f>IF('計算A'!DU28=0,IF('計算A'!DV28=1,"入る枠がありません",""),INDEX('計算A'!$D$8:$DS$8,'計算A'!DU28))</f>
        <v/>
      </c>
      <c r="P23" s="42">
        <f>HYPERLINK("#'×入力'!B275","×入力へ")</f>
        <v/>
      </c>
    </row>
    <row r="24" ht="19" customHeight="1">
      <c r="A24" s="40" t="n"/>
      <c r="B24" s="41" t="n"/>
      <c r="C24" s="40" t="n"/>
      <c r="D24" s="41" t="n"/>
      <c r="E24" s="40" t="n"/>
      <c r="F24" s="40" t="n"/>
      <c r="G24" s="34">
        <f>IF(B24="","",IF(A24="","",A24&amp;" ")&amp;B24)</f>
        <v/>
      </c>
      <c r="H24" s="32">
        <f>IF(B24="","",IF('×入力'!F290="未提出","未提出",IF(I24&gt;0,"入力済み",IF('×入力'!F290="×なし（どこでもOK）","×なし","未入力"))))</f>
        <v/>
      </c>
      <c r="I24" s="32">
        <f>IF(B24="","",'計算A'!DX29)</f>
        <v/>
      </c>
      <c r="J24" s="32">
        <f>IF(OR(H24="入力済み",H24="×なし"),'計算A'!DW29,"")</f>
        <v/>
      </c>
      <c r="K24" s="32">
        <f>IF('計算A'!C29=1,COUNTIFS('計算A'!$C$10:$C$54,1,'計算A'!$DW$10:$DW$54,"&lt;"&amp;'計算A'!DW29)+1,"")</f>
        <v/>
      </c>
      <c r="L24" s="34">
        <f>IF('計算A'!DY29=0,"",INDEX('設定'!$E$11:$E$20,INDEX('計算A'!$D$2:$DS$2,'計算A'!DY29)))</f>
        <v/>
      </c>
      <c r="M24" s="32">
        <f>IF('計算A'!DY29=0,"",INDEX('設定'!$I$11:$I$22,INDEX('計算A'!$D$3:$DS$3,'計算A'!DY29)))</f>
        <v/>
      </c>
      <c r="N24" s="34">
        <f>IF(G24="","",IF(COUNTIF('割り当て'!$C$6:$L$17,G24)&gt;1,"2か所以上に入っています",IF('計算A'!DY29&gt;0,IF(INDEX('計算A'!$D$29:$DS$29,'計算A'!DY29)=1,"×の枠に入っています",IF(AND(F24&lt;&gt;"",INDEX('計算A'!$D$106:$DS$106,'計算A'!DY29)=1,INDEX('計算A'!$D$109:$DS$109,'計算A'!DY29+1)=1),IF(F24="必ず空けたい","後ろの枠が空いていません","（出来れば）後ろが空いていません"),"")),IF(OR(H24="入力済み",H24="×なし"),"未割り当て",""))))</f>
        <v/>
      </c>
      <c r="O24" s="34">
        <f>IF('計算A'!DU29=0,IF('計算A'!DV29=1,"入る枠がありません",""),INDEX('計算A'!$D$8:$DS$8,'計算A'!DU29))</f>
        <v/>
      </c>
      <c r="P24" s="42">
        <f>HYPERLINK("#'×入力'!B290","×入力へ")</f>
        <v/>
      </c>
    </row>
    <row r="25" ht="19" customHeight="1">
      <c r="A25" s="40" t="n"/>
      <c r="B25" s="41" t="n"/>
      <c r="C25" s="40" t="n"/>
      <c r="D25" s="41" t="n"/>
      <c r="E25" s="40" t="n"/>
      <c r="F25" s="40" t="n"/>
      <c r="G25" s="34">
        <f>IF(B25="","",IF(A25="","",A25&amp;" ")&amp;B25)</f>
        <v/>
      </c>
      <c r="H25" s="32">
        <f>IF(B25="","",IF('×入力'!F305="未提出","未提出",IF(I25&gt;0,"入力済み",IF('×入力'!F305="×なし（どこでもOK）","×なし","未入力"))))</f>
        <v/>
      </c>
      <c r="I25" s="32">
        <f>IF(B25="","",'計算A'!DX30)</f>
        <v/>
      </c>
      <c r="J25" s="32">
        <f>IF(OR(H25="入力済み",H25="×なし"),'計算A'!DW30,"")</f>
        <v/>
      </c>
      <c r="K25" s="32">
        <f>IF('計算A'!C30=1,COUNTIFS('計算A'!$C$10:$C$54,1,'計算A'!$DW$10:$DW$54,"&lt;"&amp;'計算A'!DW30)+1,"")</f>
        <v/>
      </c>
      <c r="L25" s="34">
        <f>IF('計算A'!DY30=0,"",INDEX('設定'!$E$11:$E$20,INDEX('計算A'!$D$2:$DS$2,'計算A'!DY30)))</f>
        <v/>
      </c>
      <c r="M25" s="32">
        <f>IF('計算A'!DY30=0,"",INDEX('設定'!$I$11:$I$22,INDEX('計算A'!$D$3:$DS$3,'計算A'!DY30)))</f>
        <v/>
      </c>
      <c r="N25" s="34">
        <f>IF(G25="","",IF(COUNTIF('割り当て'!$C$6:$L$17,G25)&gt;1,"2か所以上に入っています",IF('計算A'!DY30&gt;0,IF(INDEX('計算A'!$D$30:$DS$30,'計算A'!DY30)=1,"×の枠に入っています",IF(AND(F25&lt;&gt;"",INDEX('計算A'!$D$106:$DS$106,'計算A'!DY30)=1,INDEX('計算A'!$D$109:$DS$109,'計算A'!DY30+1)=1),IF(F25="必ず空けたい","後ろの枠が空いていません","（出来れば）後ろが空いていません"),"")),IF(OR(H25="入力済み",H25="×なし"),"未割り当て",""))))</f>
        <v/>
      </c>
      <c r="O25" s="34">
        <f>IF('計算A'!DU30=0,IF('計算A'!DV30=1,"入る枠がありません",""),INDEX('計算A'!$D$8:$DS$8,'計算A'!DU30))</f>
        <v/>
      </c>
      <c r="P25" s="42">
        <f>HYPERLINK("#'×入力'!B305","×入力へ")</f>
        <v/>
      </c>
    </row>
    <row r="26" ht="19" customHeight="1">
      <c r="A26" s="40" t="n"/>
      <c r="B26" s="41" t="n"/>
      <c r="C26" s="40" t="n"/>
      <c r="D26" s="41" t="n"/>
      <c r="E26" s="40" t="n"/>
      <c r="F26" s="40" t="n"/>
      <c r="G26" s="34">
        <f>IF(B26="","",IF(A26="","",A26&amp;" ")&amp;B26)</f>
        <v/>
      </c>
      <c r="H26" s="32">
        <f>IF(B26="","",IF('×入力'!F320="未提出","未提出",IF(I26&gt;0,"入力済み",IF('×入力'!F320="×なし（どこでもOK）","×なし","未入力"))))</f>
        <v/>
      </c>
      <c r="I26" s="32">
        <f>IF(B26="","",'計算A'!DX31)</f>
        <v/>
      </c>
      <c r="J26" s="32">
        <f>IF(OR(H26="入力済み",H26="×なし"),'計算A'!DW31,"")</f>
        <v/>
      </c>
      <c r="K26" s="32">
        <f>IF('計算A'!C31=1,COUNTIFS('計算A'!$C$10:$C$54,1,'計算A'!$DW$10:$DW$54,"&lt;"&amp;'計算A'!DW31)+1,"")</f>
        <v/>
      </c>
      <c r="L26" s="34">
        <f>IF('計算A'!DY31=0,"",INDEX('設定'!$E$11:$E$20,INDEX('計算A'!$D$2:$DS$2,'計算A'!DY31)))</f>
        <v/>
      </c>
      <c r="M26" s="32">
        <f>IF('計算A'!DY31=0,"",INDEX('設定'!$I$11:$I$22,INDEX('計算A'!$D$3:$DS$3,'計算A'!DY31)))</f>
        <v/>
      </c>
      <c r="N26" s="34">
        <f>IF(G26="","",IF(COUNTIF('割り当て'!$C$6:$L$17,G26)&gt;1,"2か所以上に入っています",IF('計算A'!DY31&gt;0,IF(INDEX('計算A'!$D$31:$DS$31,'計算A'!DY31)=1,"×の枠に入っています",IF(AND(F26&lt;&gt;"",INDEX('計算A'!$D$106:$DS$106,'計算A'!DY31)=1,INDEX('計算A'!$D$109:$DS$109,'計算A'!DY31+1)=1),IF(F26="必ず空けたい","後ろの枠が空いていません","（出来れば）後ろが空いていません"),"")),IF(OR(H26="入力済み",H26="×なし"),"未割り当て",""))))</f>
        <v/>
      </c>
      <c r="O26" s="34">
        <f>IF('計算A'!DU31=0,IF('計算A'!DV31=1,"入る枠がありません",""),INDEX('計算A'!$D$8:$DS$8,'計算A'!DU31))</f>
        <v/>
      </c>
      <c r="P26" s="42">
        <f>HYPERLINK("#'×入力'!B320","×入力へ")</f>
        <v/>
      </c>
    </row>
    <row r="27" ht="19" customHeight="1">
      <c r="A27" s="40" t="n"/>
      <c r="B27" s="41" t="n"/>
      <c r="C27" s="40" t="n"/>
      <c r="D27" s="41" t="n"/>
      <c r="E27" s="40" t="n"/>
      <c r="F27" s="40" t="n"/>
      <c r="G27" s="34">
        <f>IF(B27="","",IF(A27="","",A27&amp;" ")&amp;B27)</f>
        <v/>
      </c>
      <c r="H27" s="32">
        <f>IF(B27="","",IF('×入力'!F335="未提出","未提出",IF(I27&gt;0,"入力済み",IF('×入力'!F335="×なし（どこでもOK）","×なし","未入力"))))</f>
        <v/>
      </c>
      <c r="I27" s="32">
        <f>IF(B27="","",'計算A'!DX32)</f>
        <v/>
      </c>
      <c r="J27" s="32">
        <f>IF(OR(H27="入力済み",H27="×なし"),'計算A'!DW32,"")</f>
        <v/>
      </c>
      <c r="K27" s="32">
        <f>IF('計算A'!C32=1,COUNTIFS('計算A'!$C$10:$C$54,1,'計算A'!$DW$10:$DW$54,"&lt;"&amp;'計算A'!DW32)+1,"")</f>
        <v/>
      </c>
      <c r="L27" s="34">
        <f>IF('計算A'!DY32=0,"",INDEX('設定'!$E$11:$E$20,INDEX('計算A'!$D$2:$DS$2,'計算A'!DY32)))</f>
        <v/>
      </c>
      <c r="M27" s="32">
        <f>IF('計算A'!DY32=0,"",INDEX('設定'!$I$11:$I$22,INDEX('計算A'!$D$3:$DS$3,'計算A'!DY32)))</f>
        <v/>
      </c>
      <c r="N27" s="34">
        <f>IF(G27="","",IF(COUNTIF('割り当て'!$C$6:$L$17,G27)&gt;1,"2か所以上に入っています",IF('計算A'!DY32&gt;0,IF(INDEX('計算A'!$D$32:$DS$32,'計算A'!DY32)=1,"×の枠に入っています",IF(AND(F27&lt;&gt;"",INDEX('計算A'!$D$106:$DS$106,'計算A'!DY32)=1,INDEX('計算A'!$D$109:$DS$109,'計算A'!DY32+1)=1),IF(F27="必ず空けたい","後ろの枠が空いていません","（出来れば）後ろが空いていません"),"")),IF(OR(H27="入力済み",H27="×なし"),"未割り当て",""))))</f>
        <v/>
      </c>
      <c r="O27" s="34">
        <f>IF('計算A'!DU32=0,IF('計算A'!DV32=1,"入る枠がありません",""),INDEX('計算A'!$D$8:$DS$8,'計算A'!DU32))</f>
        <v/>
      </c>
      <c r="P27" s="42">
        <f>HYPERLINK("#'×入力'!B335","×入力へ")</f>
        <v/>
      </c>
    </row>
    <row r="28" ht="19" customHeight="1">
      <c r="A28" s="40" t="n"/>
      <c r="B28" s="41" t="n"/>
      <c r="C28" s="40" t="n"/>
      <c r="D28" s="41" t="n"/>
      <c r="E28" s="40" t="n"/>
      <c r="F28" s="40" t="n"/>
      <c r="G28" s="34">
        <f>IF(B28="","",IF(A28="","",A28&amp;" ")&amp;B28)</f>
        <v/>
      </c>
      <c r="H28" s="32">
        <f>IF(B28="","",IF('×入力'!F350="未提出","未提出",IF(I28&gt;0,"入力済み",IF('×入力'!F350="×なし（どこでもOK）","×なし","未入力"))))</f>
        <v/>
      </c>
      <c r="I28" s="32">
        <f>IF(B28="","",'計算A'!DX33)</f>
        <v/>
      </c>
      <c r="J28" s="32">
        <f>IF(OR(H28="入力済み",H28="×なし"),'計算A'!DW33,"")</f>
        <v/>
      </c>
      <c r="K28" s="32">
        <f>IF('計算A'!C33=1,COUNTIFS('計算A'!$C$10:$C$54,1,'計算A'!$DW$10:$DW$54,"&lt;"&amp;'計算A'!DW33)+1,"")</f>
        <v/>
      </c>
      <c r="L28" s="34">
        <f>IF('計算A'!DY33=0,"",INDEX('設定'!$E$11:$E$20,INDEX('計算A'!$D$2:$DS$2,'計算A'!DY33)))</f>
        <v/>
      </c>
      <c r="M28" s="32">
        <f>IF('計算A'!DY33=0,"",INDEX('設定'!$I$11:$I$22,INDEX('計算A'!$D$3:$DS$3,'計算A'!DY33)))</f>
        <v/>
      </c>
      <c r="N28" s="34">
        <f>IF(G28="","",IF(COUNTIF('割り当て'!$C$6:$L$17,G28)&gt;1,"2か所以上に入っています",IF('計算A'!DY33&gt;0,IF(INDEX('計算A'!$D$33:$DS$33,'計算A'!DY33)=1,"×の枠に入っています",IF(AND(F28&lt;&gt;"",INDEX('計算A'!$D$106:$DS$106,'計算A'!DY33)=1,INDEX('計算A'!$D$109:$DS$109,'計算A'!DY33+1)=1),IF(F28="必ず空けたい","後ろの枠が空いていません","（出来れば）後ろが空いていません"),"")),IF(OR(H28="入力済み",H28="×なし"),"未割り当て",""))))</f>
        <v/>
      </c>
      <c r="O28" s="34">
        <f>IF('計算A'!DU33=0,IF('計算A'!DV33=1,"入る枠がありません",""),INDEX('計算A'!$D$8:$DS$8,'計算A'!DU33))</f>
        <v/>
      </c>
      <c r="P28" s="42">
        <f>HYPERLINK("#'×入力'!B350","×入力へ")</f>
        <v/>
      </c>
    </row>
    <row r="29" ht="19" customHeight="1">
      <c r="A29" s="40" t="n"/>
      <c r="B29" s="41" t="n"/>
      <c r="C29" s="40" t="n"/>
      <c r="D29" s="41" t="n"/>
      <c r="E29" s="40" t="n"/>
      <c r="F29" s="40" t="n"/>
      <c r="G29" s="34">
        <f>IF(B29="","",IF(A29="","",A29&amp;" ")&amp;B29)</f>
        <v/>
      </c>
      <c r="H29" s="32">
        <f>IF(B29="","",IF('×入力'!F365="未提出","未提出",IF(I29&gt;0,"入力済み",IF('×入力'!F365="×なし（どこでもOK）","×なし","未入力"))))</f>
        <v/>
      </c>
      <c r="I29" s="32">
        <f>IF(B29="","",'計算A'!DX34)</f>
        <v/>
      </c>
      <c r="J29" s="32">
        <f>IF(OR(H29="入力済み",H29="×なし"),'計算A'!DW34,"")</f>
        <v/>
      </c>
      <c r="K29" s="32">
        <f>IF('計算A'!C34=1,COUNTIFS('計算A'!$C$10:$C$54,1,'計算A'!$DW$10:$DW$54,"&lt;"&amp;'計算A'!DW34)+1,"")</f>
        <v/>
      </c>
      <c r="L29" s="34">
        <f>IF('計算A'!DY34=0,"",INDEX('設定'!$E$11:$E$20,INDEX('計算A'!$D$2:$DS$2,'計算A'!DY34)))</f>
        <v/>
      </c>
      <c r="M29" s="32">
        <f>IF('計算A'!DY34=0,"",INDEX('設定'!$I$11:$I$22,INDEX('計算A'!$D$3:$DS$3,'計算A'!DY34)))</f>
        <v/>
      </c>
      <c r="N29" s="34">
        <f>IF(G29="","",IF(COUNTIF('割り当て'!$C$6:$L$17,G29)&gt;1,"2か所以上に入っています",IF('計算A'!DY34&gt;0,IF(INDEX('計算A'!$D$34:$DS$34,'計算A'!DY34)=1,"×の枠に入っています",IF(AND(F29&lt;&gt;"",INDEX('計算A'!$D$106:$DS$106,'計算A'!DY34)=1,INDEX('計算A'!$D$109:$DS$109,'計算A'!DY34+1)=1),IF(F29="必ず空けたい","後ろの枠が空いていません","（出来れば）後ろが空いていません"),"")),IF(OR(H29="入力済み",H29="×なし"),"未割り当て",""))))</f>
        <v/>
      </c>
      <c r="O29" s="34">
        <f>IF('計算A'!DU34=0,IF('計算A'!DV34=1,"入る枠がありません",""),INDEX('計算A'!$D$8:$DS$8,'計算A'!DU34))</f>
        <v/>
      </c>
      <c r="P29" s="42">
        <f>HYPERLINK("#'×入力'!B365","×入力へ")</f>
        <v/>
      </c>
    </row>
    <row r="30" ht="19" customHeight="1">
      <c r="A30" s="40" t="n"/>
      <c r="B30" s="41" t="n"/>
      <c r="C30" s="40" t="n"/>
      <c r="D30" s="41" t="n"/>
      <c r="E30" s="40" t="n"/>
      <c r="F30" s="40" t="n"/>
      <c r="G30" s="34">
        <f>IF(B30="","",IF(A30="","",A30&amp;" ")&amp;B30)</f>
        <v/>
      </c>
      <c r="H30" s="32">
        <f>IF(B30="","",IF('×入力'!F380="未提出","未提出",IF(I30&gt;0,"入力済み",IF('×入力'!F380="×なし（どこでもOK）","×なし","未入力"))))</f>
        <v/>
      </c>
      <c r="I30" s="32">
        <f>IF(B30="","",'計算A'!DX35)</f>
        <v/>
      </c>
      <c r="J30" s="32">
        <f>IF(OR(H30="入力済み",H30="×なし"),'計算A'!DW35,"")</f>
        <v/>
      </c>
      <c r="K30" s="32">
        <f>IF('計算A'!C35=1,COUNTIFS('計算A'!$C$10:$C$54,1,'計算A'!$DW$10:$DW$54,"&lt;"&amp;'計算A'!DW35)+1,"")</f>
        <v/>
      </c>
      <c r="L30" s="34">
        <f>IF('計算A'!DY35=0,"",INDEX('設定'!$E$11:$E$20,INDEX('計算A'!$D$2:$DS$2,'計算A'!DY35)))</f>
        <v/>
      </c>
      <c r="M30" s="32">
        <f>IF('計算A'!DY35=0,"",INDEX('設定'!$I$11:$I$22,INDEX('計算A'!$D$3:$DS$3,'計算A'!DY35)))</f>
        <v/>
      </c>
      <c r="N30" s="34">
        <f>IF(G30="","",IF(COUNTIF('割り当て'!$C$6:$L$17,G30)&gt;1,"2か所以上に入っています",IF('計算A'!DY35&gt;0,IF(INDEX('計算A'!$D$35:$DS$35,'計算A'!DY35)=1,"×の枠に入っています",IF(AND(F30&lt;&gt;"",INDEX('計算A'!$D$106:$DS$106,'計算A'!DY35)=1,INDEX('計算A'!$D$109:$DS$109,'計算A'!DY35+1)=1),IF(F30="必ず空けたい","後ろの枠が空いていません","（出来れば）後ろが空いていません"),"")),IF(OR(H30="入力済み",H30="×なし"),"未割り当て",""))))</f>
        <v/>
      </c>
      <c r="O30" s="34">
        <f>IF('計算A'!DU35=0,IF('計算A'!DV35=1,"入る枠がありません",""),INDEX('計算A'!$D$8:$DS$8,'計算A'!DU35))</f>
        <v/>
      </c>
      <c r="P30" s="42">
        <f>HYPERLINK("#'×入力'!B380","×入力へ")</f>
        <v/>
      </c>
    </row>
    <row r="31" ht="19" customHeight="1">
      <c r="A31" s="40" t="n"/>
      <c r="B31" s="41" t="n"/>
      <c r="C31" s="40" t="n"/>
      <c r="D31" s="41" t="n"/>
      <c r="E31" s="40" t="n"/>
      <c r="F31" s="40" t="n"/>
      <c r="G31" s="34">
        <f>IF(B31="","",IF(A31="","",A31&amp;" ")&amp;B31)</f>
        <v/>
      </c>
      <c r="H31" s="32">
        <f>IF(B31="","",IF('×入力'!F395="未提出","未提出",IF(I31&gt;0,"入力済み",IF('×入力'!F395="×なし（どこでもOK）","×なし","未入力"))))</f>
        <v/>
      </c>
      <c r="I31" s="32">
        <f>IF(B31="","",'計算A'!DX36)</f>
        <v/>
      </c>
      <c r="J31" s="32">
        <f>IF(OR(H31="入力済み",H31="×なし"),'計算A'!DW36,"")</f>
        <v/>
      </c>
      <c r="K31" s="32">
        <f>IF('計算A'!C36=1,COUNTIFS('計算A'!$C$10:$C$54,1,'計算A'!$DW$10:$DW$54,"&lt;"&amp;'計算A'!DW36)+1,"")</f>
        <v/>
      </c>
      <c r="L31" s="34">
        <f>IF('計算A'!DY36=0,"",INDEX('設定'!$E$11:$E$20,INDEX('計算A'!$D$2:$DS$2,'計算A'!DY36)))</f>
        <v/>
      </c>
      <c r="M31" s="32">
        <f>IF('計算A'!DY36=0,"",INDEX('設定'!$I$11:$I$22,INDEX('計算A'!$D$3:$DS$3,'計算A'!DY36)))</f>
        <v/>
      </c>
      <c r="N31" s="34">
        <f>IF(G31="","",IF(COUNTIF('割り当て'!$C$6:$L$17,G31)&gt;1,"2か所以上に入っています",IF('計算A'!DY36&gt;0,IF(INDEX('計算A'!$D$36:$DS$36,'計算A'!DY36)=1,"×の枠に入っています",IF(AND(F31&lt;&gt;"",INDEX('計算A'!$D$106:$DS$106,'計算A'!DY36)=1,INDEX('計算A'!$D$109:$DS$109,'計算A'!DY36+1)=1),IF(F31="必ず空けたい","後ろの枠が空いていません","（出来れば）後ろが空いていません"),"")),IF(OR(H31="入力済み",H31="×なし"),"未割り当て",""))))</f>
        <v/>
      </c>
      <c r="O31" s="34">
        <f>IF('計算A'!DU36=0,IF('計算A'!DV36=1,"入る枠がありません",""),INDEX('計算A'!$D$8:$DS$8,'計算A'!DU36))</f>
        <v/>
      </c>
      <c r="P31" s="42">
        <f>HYPERLINK("#'×入力'!B395","×入力へ")</f>
        <v/>
      </c>
    </row>
    <row r="32" ht="19" customHeight="1">
      <c r="A32" s="40" t="n"/>
      <c r="B32" s="41" t="n"/>
      <c r="C32" s="40" t="n"/>
      <c r="D32" s="41" t="n"/>
      <c r="E32" s="40" t="n"/>
      <c r="F32" s="40" t="n"/>
      <c r="G32" s="34">
        <f>IF(B32="","",IF(A32="","",A32&amp;" ")&amp;B32)</f>
        <v/>
      </c>
      <c r="H32" s="32">
        <f>IF(B32="","",IF('×入力'!F410="未提出","未提出",IF(I32&gt;0,"入力済み",IF('×入力'!F410="×なし（どこでもOK）","×なし","未入力"))))</f>
        <v/>
      </c>
      <c r="I32" s="32">
        <f>IF(B32="","",'計算A'!DX37)</f>
        <v/>
      </c>
      <c r="J32" s="32">
        <f>IF(OR(H32="入力済み",H32="×なし"),'計算A'!DW37,"")</f>
        <v/>
      </c>
      <c r="K32" s="32">
        <f>IF('計算A'!C37=1,COUNTIFS('計算A'!$C$10:$C$54,1,'計算A'!$DW$10:$DW$54,"&lt;"&amp;'計算A'!DW37)+1,"")</f>
        <v/>
      </c>
      <c r="L32" s="34">
        <f>IF('計算A'!DY37=0,"",INDEX('設定'!$E$11:$E$20,INDEX('計算A'!$D$2:$DS$2,'計算A'!DY37)))</f>
        <v/>
      </c>
      <c r="M32" s="32">
        <f>IF('計算A'!DY37=0,"",INDEX('設定'!$I$11:$I$22,INDEX('計算A'!$D$3:$DS$3,'計算A'!DY37)))</f>
        <v/>
      </c>
      <c r="N32" s="34">
        <f>IF(G32="","",IF(COUNTIF('割り当て'!$C$6:$L$17,G32)&gt;1,"2か所以上に入っています",IF('計算A'!DY37&gt;0,IF(INDEX('計算A'!$D$37:$DS$37,'計算A'!DY37)=1,"×の枠に入っています",IF(AND(F32&lt;&gt;"",INDEX('計算A'!$D$106:$DS$106,'計算A'!DY37)=1,INDEX('計算A'!$D$109:$DS$109,'計算A'!DY37+1)=1),IF(F32="必ず空けたい","後ろの枠が空いていません","（出来れば）後ろが空いていません"),"")),IF(OR(H32="入力済み",H32="×なし"),"未割り当て",""))))</f>
        <v/>
      </c>
      <c r="O32" s="34">
        <f>IF('計算A'!DU37=0,IF('計算A'!DV37=1,"入る枠がありません",""),INDEX('計算A'!$D$8:$DS$8,'計算A'!DU37))</f>
        <v/>
      </c>
      <c r="P32" s="42">
        <f>HYPERLINK("#'×入力'!B410","×入力へ")</f>
        <v/>
      </c>
    </row>
    <row r="33" ht="19" customHeight="1">
      <c r="A33" s="40" t="n"/>
      <c r="B33" s="41" t="n"/>
      <c r="C33" s="40" t="n"/>
      <c r="D33" s="41" t="n"/>
      <c r="E33" s="40" t="n"/>
      <c r="F33" s="40" t="n"/>
      <c r="G33" s="34">
        <f>IF(B33="","",IF(A33="","",A33&amp;" ")&amp;B33)</f>
        <v/>
      </c>
      <c r="H33" s="32">
        <f>IF(B33="","",IF('×入力'!F425="未提出","未提出",IF(I33&gt;0,"入力済み",IF('×入力'!F425="×なし（どこでもOK）","×なし","未入力"))))</f>
        <v/>
      </c>
      <c r="I33" s="32">
        <f>IF(B33="","",'計算A'!DX38)</f>
        <v/>
      </c>
      <c r="J33" s="32">
        <f>IF(OR(H33="入力済み",H33="×なし"),'計算A'!DW38,"")</f>
        <v/>
      </c>
      <c r="K33" s="32">
        <f>IF('計算A'!C38=1,COUNTIFS('計算A'!$C$10:$C$54,1,'計算A'!$DW$10:$DW$54,"&lt;"&amp;'計算A'!DW38)+1,"")</f>
        <v/>
      </c>
      <c r="L33" s="34">
        <f>IF('計算A'!DY38=0,"",INDEX('設定'!$E$11:$E$20,INDEX('計算A'!$D$2:$DS$2,'計算A'!DY38)))</f>
        <v/>
      </c>
      <c r="M33" s="32">
        <f>IF('計算A'!DY38=0,"",INDEX('設定'!$I$11:$I$22,INDEX('計算A'!$D$3:$DS$3,'計算A'!DY38)))</f>
        <v/>
      </c>
      <c r="N33" s="34">
        <f>IF(G33="","",IF(COUNTIF('割り当て'!$C$6:$L$17,G33)&gt;1,"2か所以上に入っています",IF('計算A'!DY38&gt;0,IF(INDEX('計算A'!$D$38:$DS$38,'計算A'!DY38)=1,"×の枠に入っています",IF(AND(F33&lt;&gt;"",INDEX('計算A'!$D$106:$DS$106,'計算A'!DY38)=1,INDEX('計算A'!$D$109:$DS$109,'計算A'!DY38+1)=1),IF(F33="必ず空けたい","後ろの枠が空いていません","（出来れば）後ろが空いていません"),"")),IF(OR(H33="入力済み",H33="×なし"),"未割り当て",""))))</f>
        <v/>
      </c>
      <c r="O33" s="34">
        <f>IF('計算A'!DU38=0,IF('計算A'!DV38=1,"入る枠がありません",""),INDEX('計算A'!$D$8:$DS$8,'計算A'!DU38))</f>
        <v/>
      </c>
      <c r="P33" s="42">
        <f>HYPERLINK("#'×入力'!B425","×入力へ")</f>
        <v/>
      </c>
    </row>
    <row r="34" ht="19" customHeight="1">
      <c r="A34" s="40" t="n"/>
      <c r="B34" s="41" t="n"/>
      <c r="C34" s="40" t="n"/>
      <c r="D34" s="41" t="n"/>
      <c r="E34" s="40" t="n"/>
      <c r="F34" s="40" t="n"/>
      <c r="G34" s="34">
        <f>IF(B34="","",IF(A34="","",A34&amp;" ")&amp;B34)</f>
        <v/>
      </c>
      <c r="H34" s="32">
        <f>IF(B34="","",IF('×入力'!F440="未提出","未提出",IF(I34&gt;0,"入力済み",IF('×入力'!F440="×なし（どこでもOK）","×なし","未入力"))))</f>
        <v/>
      </c>
      <c r="I34" s="32">
        <f>IF(B34="","",'計算A'!DX39)</f>
        <v/>
      </c>
      <c r="J34" s="32">
        <f>IF(OR(H34="入力済み",H34="×なし"),'計算A'!DW39,"")</f>
        <v/>
      </c>
      <c r="K34" s="32">
        <f>IF('計算A'!C39=1,COUNTIFS('計算A'!$C$10:$C$54,1,'計算A'!$DW$10:$DW$54,"&lt;"&amp;'計算A'!DW39)+1,"")</f>
        <v/>
      </c>
      <c r="L34" s="34">
        <f>IF('計算A'!DY39=0,"",INDEX('設定'!$E$11:$E$20,INDEX('計算A'!$D$2:$DS$2,'計算A'!DY39)))</f>
        <v/>
      </c>
      <c r="M34" s="32">
        <f>IF('計算A'!DY39=0,"",INDEX('設定'!$I$11:$I$22,INDEX('計算A'!$D$3:$DS$3,'計算A'!DY39)))</f>
        <v/>
      </c>
      <c r="N34" s="34">
        <f>IF(G34="","",IF(COUNTIF('割り当て'!$C$6:$L$17,G34)&gt;1,"2か所以上に入っています",IF('計算A'!DY39&gt;0,IF(INDEX('計算A'!$D$39:$DS$39,'計算A'!DY39)=1,"×の枠に入っています",IF(AND(F34&lt;&gt;"",INDEX('計算A'!$D$106:$DS$106,'計算A'!DY39)=1,INDEX('計算A'!$D$109:$DS$109,'計算A'!DY39+1)=1),IF(F34="必ず空けたい","後ろの枠が空いていません","（出来れば）後ろが空いていません"),"")),IF(OR(H34="入力済み",H34="×なし"),"未割り当て",""))))</f>
        <v/>
      </c>
      <c r="O34" s="34">
        <f>IF('計算A'!DU39=0,IF('計算A'!DV39=1,"入る枠がありません",""),INDEX('計算A'!$D$8:$DS$8,'計算A'!DU39))</f>
        <v/>
      </c>
      <c r="P34" s="42">
        <f>HYPERLINK("#'×入力'!B440","×入力へ")</f>
        <v/>
      </c>
    </row>
    <row r="35" ht="19" customHeight="1">
      <c r="A35" s="40" t="n"/>
      <c r="B35" s="41" t="n"/>
      <c r="C35" s="40" t="n"/>
      <c r="D35" s="41" t="n"/>
      <c r="E35" s="40" t="n"/>
      <c r="F35" s="40" t="n"/>
      <c r="G35" s="34">
        <f>IF(B35="","",IF(A35="","",A35&amp;" ")&amp;B35)</f>
        <v/>
      </c>
      <c r="H35" s="32">
        <f>IF(B35="","",IF('×入力'!F455="未提出","未提出",IF(I35&gt;0,"入力済み",IF('×入力'!F455="×なし（どこでもOK）","×なし","未入力"))))</f>
        <v/>
      </c>
      <c r="I35" s="32">
        <f>IF(B35="","",'計算A'!DX40)</f>
        <v/>
      </c>
      <c r="J35" s="32">
        <f>IF(OR(H35="入力済み",H35="×なし"),'計算A'!DW40,"")</f>
        <v/>
      </c>
      <c r="K35" s="32">
        <f>IF('計算A'!C40=1,COUNTIFS('計算A'!$C$10:$C$54,1,'計算A'!$DW$10:$DW$54,"&lt;"&amp;'計算A'!DW40)+1,"")</f>
        <v/>
      </c>
      <c r="L35" s="34">
        <f>IF('計算A'!DY40=0,"",INDEX('設定'!$E$11:$E$20,INDEX('計算A'!$D$2:$DS$2,'計算A'!DY40)))</f>
        <v/>
      </c>
      <c r="M35" s="32">
        <f>IF('計算A'!DY40=0,"",INDEX('設定'!$I$11:$I$22,INDEX('計算A'!$D$3:$DS$3,'計算A'!DY40)))</f>
        <v/>
      </c>
      <c r="N35" s="34">
        <f>IF(G35="","",IF(COUNTIF('割り当て'!$C$6:$L$17,G35)&gt;1,"2か所以上に入っています",IF('計算A'!DY40&gt;0,IF(INDEX('計算A'!$D$40:$DS$40,'計算A'!DY40)=1,"×の枠に入っています",IF(AND(F35&lt;&gt;"",INDEX('計算A'!$D$106:$DS$106,'計算A'!DY40)=1,INDEX('計算A'!$D$109:$DS$109,'計算A'!DY40+1)=1),IF(F35="必ず空けたい","後ろの枠が空いていません","（出来れば）後ろが空いていません"),"")),IF(OR(H35="入力済み",H35="×なし"),"未割り当て",""))))</f>
        <v/>
      </c>
      <c r="O35" s="34">
        <f>IF('計算A'!DU40=0,IF('計算A'!DV40=1,"入る枠がありません",""),INDEX('計算A'!$D$8:$DS$8,'計算A'!DU40))</f>
        <v/>
      </c>
      <c r="P35" s="42">
        <f>HYPERLINK("#'×入力'!B455","×入力へ")</f>
        <v/>
      </c>
    </row>
    <row r="36" ht="19" customHeight="1">
      <c r="A36" s="40" t="n"/>
      <c r="B36" s="41" t="n"/>
      <c r="C36" s="40" t="n"/>
      <c r="D36" s="41" t="n"/>
      <c r="E36" s="40" t="n"/>
      <c r="F36" s="40" t="n"/>
      <c r="G36" s="34">
        <f>IF(B36="","",IF(A36="","",A36&amp;" ")&amp;B36)</f>
        <v/>
      </c>
      <c r="H36" s="32">
        <f>IF(B36="","",IF('×入力'!F470="未提出","未提出",IF(I36&gt;0,"入力済み",IF('×入力'!F470="×なし（どこでもOK）","×なし","未入力"))))</f>
        <v/>
      </c>
      <c r="I36" s="32">
        <f>IF(B36="","",'計算A'!DX41)</f>
        <v/>
      </c>
      <c r="J36" s="32">
        <f>IF(OR(H36="入力済み",H36="×なし"),'計算A'!DW41,"")</f>
        <v/>
      </c>
      <c r="K36" s="32">
        <f>IF('計算A'!C41=1,COUNTIFS('計算A'!$C$10:$C$54,1,'計算A'!$DW$10:$DW$54,"&lt;"&amp;'計算A'!DW41)+1,"")</f>
        <v/>
      </c>
      <c r="L36" s="34">
        <f>IF('計算A'!DY41=0,"",INDEX('設定'!$E$11:$E$20,INDEX('計算A'!$D$2:$DS$2,'計算A'!DY41)))</f>
        <v/>
      </c>
      <c r="M36" s="32">
        <f>IF('計算A'!DY41=0,"",INDEX('設定'!$I$11:$I$22,INDEX('計算A'!$D$3:$DS$3,'計算A'!DY41)))</f>
        <v/>
      </c>
      <c r="N36" s="34">
        <f>IF(G36="","",IF(COUNTIF('割り当て'!$C$6:$L$17,G36)&gt;1,"2か所以上に入っています",IF('計算A'!DY41&gt;0,IF(INDEX('計算A'!$D$41:$DS$41,'計算A'!DY41)=1,"×の枠に入っています",IF(AND(F36&lt;&gt;"",INDEX('計算A'!$D$106:$DS$106,'計算A'!DY41)=1,INDEX('計算A'!$D$109:$DS$109,'計算A'!DY41+1)=1),IF(F36="必ず空けたい","後ろの枠が空いていません","（出来れば）後ろが空いていません"),"")),IF(OR(H36="入力済み",H36="×なし"),"未割り当て",""))))</f>
        <v/>
      </c>
      <c r="O36" s="34">
        <f>IF('計算A'!DU41=0,IF('計算A'!DV41=1,"入る枠がありません",""),INDEX('計算A'!$D$8:$DS$8,'計算A'!DU41))</f>
        <v/>
      </c>
      <c r="P36" s="42">
        <f>HYPERLINK("#'×入力'!B470","×入力へ")</f>
        <v/>
      </c>
    </row>
    <row r="37" ht="19" customHeight="1">
      <c r="A37" s="40" t="n"/>
      <c r="B37" s="41" t="n"/>
      <c r="C37" s="40" t="n"/>
      <c r="D37" s="41" t="n"/>
      <c r="E37" s="40" t="n"/>
      <c r="F37" s="40" t="n"/>
      <c r="G37" s="34">
        <f>IF(B37="","",IF(A37="","",A37&amp;" ")&amp;B37)</f>
        <v/>
      </c>
      <c r="H37" s="32">
        <f>IF(B37="","",IF('×入力'!F485="未提出","未提出",IF(I37&gt;0,"入力済み",IF('×入力'!F485="×なし（どこでもOK）","×なし","未入力"))))</f>
        <v/>
      </c>
      <c r="I37" s="32">
        <f>IF(B37="","",'計算A'!DX42)</f>
        <v/>
      </c>
      <c r="J37" s="32">
        <f>IF(OR(H37="入力済み",H37="×なし"),'計算A'!DW42,"")</f>
        <v/>
      </c>
      <c r="K37" s="32">
        <f>IF('計算A'!C42=1,COUNTIFS('計算A'!$C$10:$C$54,1,'計算A'!$DW$10:$DW$54,"&lt;"&amp;'計算A'!DW42)+1,"")</f>
        <v/>
      </c>
      <c r="L37" s="34">
        <f>IF('計算A'!DY42=0,"",INDEX('設定'!$E$11:$E$20,INDEX('計算A'!$D$2:$DS$2,'計算A'!DY42)))</f>
        <v/>
      </c>
      <c r="M37" s="32">
        <f>IF('計算A'!DY42=0,"",INDEX('設定'!$I$11:$I$22,INDEX('計算A'!$D$3:$DS$3,'計算A'!DY42)))</f>
        <v/>
      </c>
      <c r="N37" s="34">
        <f>IF(G37="","",IF(COUNTIF('割り当て'!$C$6:$L$17,G37)&gt;1,"2か所以上に入っています",IF('計算A'!DY42&gt;0,IF(INDEX('計算A'!$D$42:$DS$42,'計算A'!DY42)=1,"×の枠に入っています",IF(AND(F37&lt;&gt;"",INDEX('計算A'!$D$106:$DS$106,'計算A'!DY42)=1,INDEX('計算A'!$D$109:$DS$109,'計算A'!DY42+1)=1),IF(F37="必ず空けたい","後ろの枠が空いていません","（出来れば）後ろが空いていません"),"")),IF(OR(H37="入力済み",H37="×なし"),"未割り当て",""))))</f>
        <v/>
      </c>
      <c r="O37" s="34">
        <f>IF('計算A'!DU42=0,IF('計算A'!DV42=1,"入る枠がありません",""),INDEX('計算A'!$D$8:$DS$8,'計算A'!DU42))</f>
        <v/>
      </c>
      <c r="P37" s="42">
        <f>HYPERLINK("#'×入力'!B485","×入力へ")</f>
        <v/>
      </c>
    </row>
    <row r="38" ht="19" customHeight="1">
      <c r="A38" s="40" t="n"/>
      <c r="B38" s="41" t="n"/>
      <c r="C38" s="40" t="n"/>
      <c r="D38" s="41" t="n"/>
      <c r="E38" s="40" t="n"/>
      <c r="F38" s="40" t="n"/>
      <c r="G38" s="34">
        <f>IF(B38="","",IF(A38="","",A38&amp;" ")&amp;B38)</f>
        <v/>
      </c>
      <c r="H38" s="32">
        <f>IF(B38="","",IF('×入力'!F500="未提出","未提出",IF(I38&gt;0,"入力済み",IF('×入力'!F500="×なし（どこでもOK）","×なし","未入力"))))</f>
        <v/>
      </c>
      <c r="I38" s="32">
        <f>IF(B38="","",'計算A'!DX43)</f>
        <v/>
      </c>
      <c r="J38" s="32">
        <f>IF(OR(H38="入力済み",H38="×なし"),'計算A'!DW43,"")</f>
        <v/>
      </c>
      <c r="K38" s="32">
        <f>IF('計算A'!C43=1,COUNTIFS('計算A'!$C$10:$C$54,1,'計算A'!$DW$10:$DW$54,"&lt;"&amp;'計算A'!DW43)+1,"")</f>
        <v/>
      </c>
      <c r="L38" s="34">
        <f>IF('計算A'!DY43=0,"",INDEX('設定'!$E$11:$E$20,INDEX('計算A'!$D$2:$DS$2,'計算A'!DY43)))</f>
        <v/>
      </c>
      <c r="M38" s="32">
        <f>IF('計算A'!DY43=0,"",INDEX('設定'!$I$11:$I$22,INDEX('計算A'!$D$3:$DS$3,'計算A'!DY43)))</f>
        <v/>
      </c>
      <c r="N38" s="34">
        <f>IF(G38="","",IF(COUNTIF('割り当て'!$C$6:$L$17,G38)&gt;1,"2か所以上に入っています",IF('計算A'!DY43&gt;0,IF(INDEX('計算A'!$D$43:$DS$43,'計算A'!DY43)=1,"×の枠に入っています",IF(AND(F38&lt;&gt;"",INDEX('計算A'!$D$106:$DS$106,'計算A'!DY43)=1,INDEX('計算A'!$D$109:$DS$109,'計算A'!DY43+1)=1),IF(F38="必ず空けたい","後ろの枠が空いていません","（出来れば）後ろが空いていません"),"")),IF(OR(H38="入力済み",H38="×なし"),"未割り当て",""))))</f>
        <v/>
      </c>
      <c r="O38" s="34">
        <f>IF('計算A'!DU43=0,IF('計算A'!DV43=1,"入る枠がありません",""),INDEX('計算A'!$D$8:$DS$8,'計算A'!DU43))</f>
        <v/>
      </c>
      <c r="P38" s="42">
        <f>HYPERLINK("#'×入力'!B500","×入力へ")</f>
        <v/>
      </c>
    </row>
    <row r="39" ht="19" customHeight="1">
      <c r="A39" s="40" t="n"/>
      <c r="B39" s="41" t="n"/>
      <c r="C39" s="40" t="n"/>
      <c r="D39" s="41" t="n"/>
      <c r="E39" s="40" t="n"/>
      <c r="F39" s="40" t="n"/>
      <c r="G39" s="34">
        <f>IF(B39="","",IF(A39="","",A39&amp;" ")&amp;B39)</f>
        <v/>
      </c>
      <c r="H39" s="32">
        <f>IF(B39="","",IF('×入力'!F515="未提出","未提出",IF(I39&gt;0,"入力済み",IF('×入力'!F515="×なし（どこでもOK）","×なし","未入力"))))</f>
        <v/>
      </c>
      <c r="I39" s="32">
        <f>IF(B39="","",'計算A'!DX44)</f>
        <v/>
      </c>
      <c r="J39" s="32">
        <f>IF(OR(H39="入力済み",H39="×なし"),'計算A'!DW44,"")</f>
        <v/>
      </c>
      <c r="K39" s="32">
        <f>IF('計算A'!C44=1,COUNTIFS('計算A'!$C$10:$C$54,1,'計算A'!$DW$10:$DW$54,"&lt;"&amp;'計算A'!DW44)+1,"")</f>
        <v/>
      </c>
      <c r="L39" s="34">
        <f>IF('計算A'!DY44=0,"",INDEX('設定'!$E$11:$E$20,INDEX('計算A'!$D$2:$DS$2,'計算A'!DY44)))</f>
        <v/>
      </c>
      <c r="M39" s="32">
        <f>IF('計算A'!DY44=0,"",INDEX('設定'!$I$11:$I$22,INDEX('計算A'!$D$3:$DS$3,'計算A'!DY44)))</f>
        <v/>
      </c>
      <c r="N39" s="34">
        <f>IF(G39="","",IF(COUNTIF('割り当て'!$C$6:$L$17,G39)&gt;1,"2か所以上に入っています",IF('計算A'!DY44&gt;0,IF(INDEX('計算A'!$D$44:$DS$44,'計算A'!DY44)=1,"×の枠に入っています",IF(AND(F39&lt;&gt;"",INDEX('計算A'!$D$106:$DS$106,'計算A'!DY44)=1,INDEX('計算A'!$D$109:$DS$109,'計算A'!DY44+1)=1),IF(F39="必ず空けたい","後ろの枠が空いていません","（出来れば）後ろが空いていません"),"")),IF(OR(H39="入力済み",H39="×なし"),"未割り当て",""))))</f>
        <v/>
      </c>
      <c r="O39" s="34">
        <f>IF('計算A'!DU44=0,IF('計算A'!DV44=1,"入る枠がありません",""),INDEX('計算A'!$D$8:$DS$8,'計算A'!DU44))</f>
        <v/>
      </c>
      <c r="P39" s="42">
        <f>HYPERLINK("#'×入力'!B515","×入力へ")</f>
        <v/>
      </c>
    </row>
    <row r="40" ht="19" customHeight="1">
      <c r="A40" s="40" t="n"/>
      <c r="B40" s="41" t="n"/>
      <c r="C40" s="40" t="n"/>
      <c r="D40" s="41" t="n"/>
      <c r="E40" s="40" t="n"/>
      <c r="F40" s="40" t="n"/>
      <c r="G40" s="34">
        <f>IF(B40="","",IF(A40="","",A40&amp;" ")&amp;B40)</f>
        <v/>
      </c>
      <c r="H40" s="32">
        <f>IF(B40="","",IF('×入力'!F530="未提出","未提出",IF(I40&gt;0,"入力済み",IF('×入力'!F530="×なし（どこでもOK）","×なし","未入力"))))</f>
        <v/>
      </c>
      <c r="I40" s="32">
        <f>IF(B40="","",'計算A'!DX45)</f>
        <v/>
      </c>
      <c r="J40" s="32">
        <f>IF(OR(H40="入力済み",H40="×なし"),'計算A'!DW45,"")</f>
        <v/>
      </c>
      <c r="K40" s="32">
        <f>IF('計算A'!C45=1,COUNTIFS('計算A'!$C$10:$C$54,1,'計算A'!$DW$10:$DW$54,"&lt;"&amp;'計算A'!DW45)+1,"")</f>
        <v/>
      </c>
      <c r="L40" s="34">
        <f>IF('計算A'!DY45=0,"",INDEX('設定'!$E$11:$E$20,INDEX('計算A'!$D$2:$DS$2,'計算A'!DY45)))</f>
        <v/>
      </c>
      <c r="M40" s="32">
        <f>IF('計算A'!DY45=0,"",INDEX('設定'!$I$11:$I$22,INDEX('計算A'!$D$3:$DS$3,'計算A'!DY45)))</f>
        <v/>
      </c>
      <c r="N40" s="34">
        <f>IF(G40="","",IF(COUNTIF('割り当て'!$C$6:$L$17,G40)&gt;1,"2か所以上に入っています",IF('計算A'!DY45&gt;0,IF(INDEX('計算A'!$D$45:$DS$45,'計算A'!DY45)=1,"×の枠に入っています",IF(AND(F40&lt;&gt;"",INDEX('計算A'!$D$106:$DS$106,'計算A'!DY45)=1,INDEX('計算A'!$D$109:$DS$109,'計算A'!DY45+1)=1),IF(F40="必ず空けたい","後ろの枠が空いていません","（出来れば）後ろが空いていません"),"")),IF(OR(H40="入力済み",H40="×なし"),"未割り当て",""))))</f>
        <v/>
      </c>
      <c r="O40" s="34">
        <f>IF('計算A'!DU45=0,IF('計算A'!DV45=1,"入る枠がありません",""),INDEX('計算A'!$D$8:$DS$8,'計算A'!DU45))</f>
        <v/>
      </c>
      <c r="P40" s="42">
        <f>HYPERLINK("#'×入力'!B530","×入力へ")</f>
        <v/>
      </c>
    </row>
    <row r="41" ht="19" customHeight="1">
      <c r="A41" s="40" t="n"/>
      <c r="B41" s="41" t="n"/>
      <c r="C41" s="40" t="n"/>
      <c r="D41" s="41" t="n"/>
      <c r="E41" s="40" t="n"/>
      <c r="F41" s="40" t="n"/>
      <c r="G41" s="34">
        <f>IF(B41="","",IF(A41="","",A41&amp;" ")&amp;B41)</f>
        <v/>
      </c>
      <c r="H41" s="32">
        <f>IF(B41="","",IF('×入力'!F545="未提出","未提出",IF(I41&gt;0,"入力済み",IF('×入力'!F545="×なし（どこでもOK）","×なし","未入力"))))</f>
        <v/>
      </c>
      <c r="I41" s="32">
        <f>IF(B41="","",'計算A'!DX46)</f>
        <v/>
      </c>
      <c r="J41" s="32">
        <f>IF(OR(H41="入力済み",H41="×なし"),'計算A'!DW46,"")</f>
        <v/>
      </c>
      <c r="K41" s="32">
        <f>IF('計算A'!C46=1,COUNTIFS('計算A'!$C$10:$C$54,1,'計算A'!$DW$10:$DW$54,"&lt;"&amp;'計算A'!DW46)+1,"")</f>
        <v/>
      </c>
      <c r="L41" s="34">
        <f>IF('計算A'!DY46=0,"",INDEX('設定'!$E$11:$E$20,INDEX('計算A'!$D$2:$DS$2,'計算A'!DY46)))</f>
        <v/>
      </c>
      <c r="M41" s="32">
        <f>IF('計算A'!DY46=0,"",INDEX('設定'!$I$11:$I$22,INDEX('計算A'!$D$3:$DS$3,'計算A'!DY46)))</f>
        <v/>
      </c>
      <c r="N41" s="34">
        <f>IF(G41="","",IF(COUNTIF('割り当て'!$C$6:$L$17,G41)&gt;1,"2か所以上に入っています",IF('計算A'!DY46&gt;0,IF(INDEX('計算A'!$D$46:$DS$46,'計算A'!DY46)=1,"×の枠に入っています",IF(AND(F41&lt;&gt;"",INDEX('計算A'!$D$106:$DS$106,'計算A'!DY46)=1,INDEX('計算A'!$D$109:$DS$109,'計算A'!DY46+1)=1),IF(F41="必ず空けたい","後ろの枠が空いていません","（出来れば）後ろが空いていません"),"")),IF(OR(H41="入力済み",H41="×なし"),"未割り当て",""))))</f>
        <v/>
      </c>
      <c r="O41" s="34">
        <f>IF('計算A'!DU46=0,IF('計算A'!DV46=1,"入る枠がありません",""),INDEX('計算A'!$D$8:$DS$8,'計算A'!DU46))</f>
        <v/>
      </c>
      <c r="P41" s="42">
        <f>HYPERLINK("#'×入力'!B545","×入力へ")</f>
        <v/>
      </c>
    </row>
    <row r="42" ht="19" customHeight="1">
      <c r="A42" s="40" t="n"/>
      <c r="B42" s="41" t="n"/>
      <c r="C42" s="40" t="n"/>
      <c r="D42" s="41" t="n"/>
      <c r="E42" s="40" t="n"/>
      <c r="F42" s="40" t="n"/>
      <c r="G42" s="34">
        <f>IF(B42="","",IF(A42="","",A42&amp;" ")&amp;B42)</f>
        <v/>
      </c>
      <c r="H42" s="32">
        <f>IF(B42="","",IF('×入力'!F560="未提出","未提出",IF(I42&gt;0,"入力済み",IF('×入力'!F560="×なし（どこでもOK）","×なし","未入力"))))</f>
        <v/>
      </c>
      <c r="I42" s="32">
        <f>IF(B42="","",'計算A'!DX47)</f>
        <v/>
      </c>
      <c r="J42" s="32">
        <f>IF(OR(H42="入力済み",H42="×なし"),'計算A'!DW47,"")</f>
        <v/>
      </c>
      <c r="K42" s="32">
        <f>IF('計算A'!C47=1,COUNTIFS('計算A'!$C$10:$C$54,1,'計算A'!$DW$10:$DW$54,"&lt;"&amp;'計算A'!DW47)+1,"")</f>
        <v/>
      </c>
      <c r="L42" s="34">
        <f>IF('計算A'!DY47=0,"",INDEX('設定'!$E$11:$E$20,INDEX('計算A'!$D$2:$DS$2,'計算A'!DY47)))</f>
        <v/>
      </c>
      <c r="M42" s="32">
        <f>IF('計算A'!DY47=0,"",INDEX('設定'!$I$11:$I$22,INDEX('計算A'!$D$3:$DS$3,'計算A'!DY47)))</f>
        <v/>
      </c>
      <c r="N42" s="34">
        <f>IF(G42="","",IF(COUNTIF('割り当て'!$C$6:$L$17,G42)&gt;1,"2か所以上に入っています",IF('計算A'!DY47&gt;0,IF(INDEX('計算A'!$D$47:$DS$47,'計算A'!DY47)=1,"×の枠に入っています",IF(AND(F42&lt;&gt;"",INDEX('計算A'!$D$106:$DS$106,'計算A'!DY47)=1,INDEX('計算A'!$D$109:$DS$109,'計算A'!DY47+1)=1),IF(F42="必ず空けたい","後ろの枠が空いていません","（出来れば）後ろが空いていません"),"")),IF(OR(H42="入力済み",H42="×なし"),"未割り当て",""))))</f>
        <v/>
      </c>
      <c r="O42" s="34">
        <f>IF('計算A'!DU47=0,IF('計算A'!DV47=1,"入る枠がありません",""),INDEX('計算A'!$D$8:$DS$8,'計算A'!DU47))</f>
        <v/>
      </c>
      <c r="P42" s="42">
        <f>HYPERLINK("#'×入力'!B560","×入力へ")</f>
        <v/>
      </c>
    </row>
    <row r="43" ht="19" customHeight="1">
      <c r="A43" s="40" t="n"/>
      <c r="B43" s="41" t="n"/>
      <c r="C43" s="40" t="n"/>
      <c r="D43" s="41" t="n"/>
      <c r="E43" s="40" t="n"/>
      <c r="F43" s="40" t="n"/>
      <c r="G43" s="34">
        <f>IF(B43="","",IF(A43="","",A43&amp;" ")&amp;B43)</f>
        <v/>
      </c>
      <c r="H43" s="32">
        <f>IF(B43="","",IF('×入力'!F575="未提出","未提出",IF(I43&gt;0,"入力済み",IF('×入力'!F575="×なし（どこでもOK）","×なし","未入力"))))</f>
        <v/>
      </c>
      <c r="I43" s="32">
        <f>IF(B43="","",'計算A'!DX48)</f>
        <v/>
      </c>
      <c r="J43" s="32">
        <f>IF(OR(H43="入力済み",H43="×なし"),'計算A'!DW48,"")</f>
        <v/>
      </c>
      <c r="K43" s="32">
        <f>IF('計算A'!C48=1,COUNTIFS('計算A'!$C$10:$C$54,1,'計算A'!$DW$10:$DW$54,"&lt;"&amp;'計算A'!DW48)+1,"")</f>
        <v/>
      </c>
      <c r="L43" s="34">
        <f>IF('計算A'!DY48=0,"",INDEX('設定'!$E$11:$E$20,INDEX('計算A'!$D$2:$DS$2,'計算A'!DY48)))</f>
        <v/>
      </c>
      <c r="M43" s="32">
        <f>IF('計算A'!DY48=0,"",INDEX('設定'!$I$11:$I$22,INDEX('計算A'!$D$3:$DS$3,'計算A'!DY48)))</f>
        <v/>
      </c>
      <c r="N43" s="34">
        <f>IF(G43="","",IF(COUNTIF('割り当て'!$C$6:$L$17,G43)&gt;1,"2か所以上に入っています",IF('計算A'!DY48&gt;0,IF(INDEX('計算A'!$D$48:$DS$48,'計算A'!DY48)=1,"×の枠に入っています",IF(AND(F43&lt;&gt;"",INDEX('計算A'!$D$106:$DS$106,'計算A'!DY48)=1,INDEX('計算A'!$D$109:$DS$109,'計算A'!DY48+1)=1),IF(F43="必ず空けたい","後ろの枠が空いていません","（出来れば）後ろが空いていません"),"")),IF(OR(H43="入力済み",H43="×なし"),"未割り当て",""))))</f>
        <v/>
      </c>
      <c r="O43" s="34">
        <f>IF('計算A'!DU48=0,IF('計算A'!DV48=1,"入る枠がありません",""),INDEX('計算A'!$D$8:$DS$8,'計算A'!DU48))</f>
        <v/>
      </c>
      <c r="P43" s="42">
        <f>HYPERLINK("#'×入力'!B575","×入力へ")</f>
        <v/>
      </c>
    </row>
    <row r="44" ht="19" customHeight="1">
      <c r="A44" s="40" t="n"/>
      <c r="B44" s="41" t="n"/>
      <c r="C44" s="40" t="n"/>
      <c r="D44" s="41" t="n"/>
      <c r="E44" s="40" t="n"/>
      <c r="F44" s="40" t="n"/>
      <c r="G44" s="34">
        <f>IF(B44="","",IF(A44="","",A44&amp;" ")&amp;B44)</f>
        <v/>
      </c>
      <c r="H44" s="32">
        <f>IF(B44="","",IF('×入力'!F590="未提出","未提出",IF(I44&gt;0,"入力済み",IF('×入力'!F590="×なし（どこでもOK）","×なし","未入力"))))</f>
        <v/>
      </c>
      <c r="I44" s="32">
        <f>IF(B44="","",'計算A'!DX49)</f>
        <v/>
      </c>
      <c r="J44" s="32">
        <f>IF(OR(H44="入力済み",H44="×なし"),'計算A'!DW49,"")</f>
        <v/>
      </c>
      <c r="K44" s="32">
        <f>IF('計算A'!C49=1,COUNTIFS('計算A'!$C$10:$C$54,1,'計算A'!$DW$10:$DW$54,"&lt;"&amp;'計算A'!DW49)+1,"")</f>
        <v/>
      </c>
      <c r="L44" s="34">
        <f>IF('計算A'!DY49=0,"",INDEX('設定'!$E$11:$E$20,INDEX('計算A'!$D$2:$DS$2,'計算A'!DY49)))</f>
        <v/>
      </c>
      <c r="M44" s="32">
        <f>IF('計算A'!DY49=0,"",INDEX('設定'!$I$11:$I$22,INDEX('計算A'!$D$3:$DS$3,'計算A'!DY49)))</f>
        <v/>
      </c>
      <c r="N44" s="34">
        <f>IF(G44="","",IF(COUNTIF('割り当て'!$C$6:$L$17,G44)&gt;1,"2か所以上に入っています",IF('計算A'!DY49&gt;0,IF(INDEX('計算A'!$D$49:$DS$49,'計算A'!DY49)=1,"×の枠に入っています",IF(AND(F44&lt;&gt;"",INDEX('計算A'!$D$106:$DS$106,'計算A'!DY49)=1,INDEX('計算A'!$D$109:$DS$109,'計算A'!DY49+1)=1),IF(F44="必ず空けたい","後ろの枠が空いていません","（出来れば）後ろが空いていません"),"")),IF(OR(H44="入力済み",H44="×なし"),"未割り当て",""))))</f>
        <v/>
      </c>
      <c r="O44" s="34">
        <f>IF('計算A'!DU49=0,IF('計算A'!DV49=1,"入る枠がありません",""),INDEX('計算A'!$D$8:$DS$8,'計算A'!DU49))</f>
        <v/>
      </c>
      <c r="P44" s="42">
        <f>HYPERLINK("#'×入力'!B590","×入力へ")</f>
        <v/>
      </c>
    </row>
    <row r="45" ht="19" customHeight="1">
      <c r="A45" s="40" t="n"/>
      <c r="B45" s="41" t="n"/>
      <c r="C45" s="40" t="n"/>
      <c r="D45" s="41" t="n"/>
      <c r="E45" s="40" t="n"/>
      <c r="F45" s="40" t="n"/>
      <c r="G45" s="34">
        <f>IF(B45="","",IF(A45="","",A45&amp;" ")&amp;B45)</f>
        <v/>
      </c>
      <c r="H45" s="32">
        <f>IF(B45="","",IF('×入力'!F605="未提出","未提出",IF(I45&gt;0,"入力済み",IF('×入力'!F605="×なし（どこでもOK）","×なし","未入力"))))</f>
        <v/>
      </c>
      <c r="I45" s="32">
        <f>IF(B45="","",'計算A'!DX50)</f>
        <v/>
      </c>
      <c r="J45" s="32">
        <f>IF(OR(H45="入力済み",H45="×なし"),'計算A'!DW50,"")</f>
        <v/>
      </c>
      <c r="K45" s="32">
        <f>IF('計算A'!C50=1,COUNTIFS('計算A'!$C$10:$C$54,1,'計算A'!$DW$10:$DW$54,"&lt;"&amp;'計算A'!DW50)+1,"")</f>
        <v/>
      </c>
      <c r="L45" s="34">
        <f>IF('計算A'!DY50=0,"",INDEX('設定'!$E$11:$E$20,INDEX('計算A'!$D$2:$DS$2,'計算A'!DY50)))</f>
        <v/>
      </c>
      <c r="M45" s="32">
        <f>IF('計算A'!DY50=0,"",INDEX('設定'!$I$11:$I$22,INDEX('計算A'!$D$3:$DS$3,'計算A'!DY50)))</f>
        <v/>
      </c>
      <c r="N45" s="34">
        <f>IF(G45="","",IF(COUNTIF('割り当て'!$C$6:$L$17,G45)&gt;1,"2か所以上に入っています",IF('計算A'!DY50&gt;0,IF(INDEX('計算A'!$D$50:$DS$50,'計算A'!DY50)=1,"×の枠に入っています",IF(AND(F45&lt;&gt;"",INDEX('計算A'!$D$106:$DS$106,'計算A'!DY50)=1,INDEX('計算A'!$D$109:$DS$109,'計算A'!DY50+1)=1),IF(F45="必ず空けたい","後ろの枠が空いていません","（出来れば）後ろが空いていません"),"")),IF(OR(H45="入力済み",H45="×なし"),"未割り当て",""))))</f>
        <v/>
      </c>
      <c r="O45" s="34">
        <f>IF('計算A'!DU50=0,IF('計算A'!DV50=1,"入る枠がありません",""),INDEX('計算A'!$D$8:$DS$8,'計算A'!DU50))</f>
        <v/>
      </c>
      <c r="P45" s="42">
        <f>HYPERLINK("#'×入力'!B605","×入力へ")</f>
        <v/>
      </c>
    </row>
    <row r="46" ht="19" customHeight="1">
      <c r="A46" s="40" t="n"/>
      <c r="B46" s="41" t="n"/>
      <c r="C46" s="40" t="n"/>
      <c r="D46" s="41" t="n"/>
      <c r="E46" s="40" t="n"/>
      <c r="F46" s="40" t="n"/>
      <c r="G46" s="34">
        <f>IF(B46="","",IF(A46="","",A46&amp;" ")&amp;B46)</f>
        <v/>
      </c>
      <c r="H46" s="32">
        <f>IF(B46="","",IF('×入力'!F620="未提出","未提出",IF(I46&gt;0,"入力済み",IF('×入力'!F620="×なし（どこでもOK）","×なし","未入力"))))</f>
        <v/>
      </c>
      <c r="I46" s="32">
        <f>IF(B46="","",'計算A'!DX51)</f>
        <v/>
      </c>
      <c r="J46" s="32">
        <f>IF(OR(H46="入力済み",H46="×なし"),'計算A'!DW51,"")</f>
        <v/>
      </c>
      <c r="K46" s="32">
        <f>IF('計算A'!C51=1,COUNTIFS('計算A'!$C$10:$C$54,1,'計算A'!$DW$10:$DW$54,"&lt;"&amp;'計算A'!DW51)+1,"")</f>
        <v/>
      </c>
      <c r="L46" s="34">
        <f>IF('計算A'!DY51=0,"",INDEX('設定'!$E$11:$E$20,INDEX('計算A'!$D$2:$DS$2,'計算A'!DY51)))</f>
        <v/>
      </c>
      <c r="M46" s="32">
        <f>IF('計算A'!DY51=0,"",INDEX('設定'!$I$11:$I$22,INDEX('計算A'!$D$3:$DS$3,'計算A'!DY51)))</f>
        <v/>
      </c>
      <c r="N46" s="34">
        <f>IF(G46="","",IF(COUNTIF('割り当て'!$C$6:$L$17,G46)&gt;1,"2か所以上に入っています",IF('計算A'!DY51&gt;0,IF(INDEX('計算A'!$D$51:$DS$51,'計算A'!DY51)=1,"×の枠に入っています",IF(AND(F46&lt;&gt;"",INDEX('計算A'!$D$106:$DS$106,'計算A'!DY51)=1,INDEX('計算A'!$D$109:$DS$109,'計算A'!DY51+1)=1),IF(F46="必ず空けたい","後ろの枠が空いていません","（出来れば）後ろが空いていません"),"")),IF(OR(H46="入力済み",H46="×なし"),"未割り当て",""))))</f>
        <v/>
      </c>
      <c r="O46" s="34">
        <f>IF('計算A'!DU51=0,IF('計算A'!DV51=1,"入る枠がありません",""),INDEX('計算A'!$D$8:$DS$8,'計算A'!DU51))</f>
        <v/>
      </c>
      <c r="P46" s="42">
        <f>HYPERLINK("#'×入力'!B620","×入力へ")</f>
        <v/>
      </c>
    </row>
    <row r="47" ht="19" customHeight="1">
      <c r="A47" s="40" t="n"/>
      <c r="B47" s="41" t="n"/>
      <c r="C47" s="40" t="n"/>
      <c r="D47" s="41" t="n"/>
      <c r="E47" s="40" t="n"/>
      <c r="F47" s="40" t="n"/>
      <c r="G47" s="34">
        <f>IF(B47="","",IF(A47="","",A47&amp;" ")&amp;B47)</f>
        <v/>
      </c>
      <c r="H47" s="32">
        <f>IF(B47="","",IF('×入力'!F635="未提出","未提出",IF(I47&gt;0,"入力済み",IF('×入力'!F635="×なし（どこでもOK）","×なし","未入力"))))</f>
        <v/>
      </c>
      <c r="I47" s="32">
        <f>IF(B47="","",'計算A'!DX52)</f>
        <v/>
      </c>
      <c r="J47" s="32">
        <f>IF(OR(H47="入力済み",H47="×なし"),'計算A'!DW52,"")</f>
        <v/>
      </c>
      <c r="K47" s="32">
        <f>IF('計算A'!C52=1,COUNTIFS('計算A'!$C$10:$C$54,1,'計算A'!$DW$10:$DW$54,"&lt;"&amp;'計算A'!DW52)+1,"")</f>
        <v/>
      </c>
      <c r="L47" s="34">
        <f>IF('計算A'!DY52=0,"",INDEX('設定'!$E$11:$E$20,INDEX('計算A'!$D$2:$DS$2,'計算A'!DY52)))</f>
        <v/>
      </c>
      <c r="M47" s="32">
        <f>IF('計算A'!DY52=0,"",INDEX('設定'!$I$11:$I$22,INDEX('計算A'!$D$3:$DS$3,'計算A'!DY52)))</f>
        <v/>
      </c>
      <c r="N47" s="34">
        <f>IF(G47="","",IF(COUNTIF('割り当て'!$C$6:$L$17,G47)&gt;1,"2か所以上に入っています",IF('計算A'!DY52&gt;0,IF(INDEX('計算A'!$D$52:$DS$52,'計算A'!DY52)=1,"×の枠に入っています",IF(AND(F47&lt;&gt;"",INDEX('計算A'!$D$106:$DS$106,'計算A'!DY52)=1,INDEX('計算A'!$D$109:$DS$109,'計算A'!DY52+1)=1),IF(F47="必ず空けたい","後ろの枠が空いていません","（出来れば）後ろが空いていません"),"")),IF(OR(H47="入力済み",H47="×なし"),"未割り当て",""))))</f>
        <v/>
      </c>
      <c r="O47" s="34">
        <f>IF('計算A'!DU52=0,IF('計算A'!DV52=1,"入る枠がありません",""),INDEX('計算A'!$D$8:$DS$8,'計算A'!DU52))</f>
        <v/>
      </c>
      <c r="P47" s="42">
        <f>HYPERLINK("#'×入力'!B635","×入力へ")</f>
        <v/>
      </c>
    </row>
    <row r="48" ht="19" customHeight="1">
      <c r="A48" s="40" t="n"/>
      <c r="B48" s="41" t="n"/>
      <c r="C48" s="40" t="n"/>
      <c r="D48" s="41" t="n"/>
      <c r="E48" s="40" t="n"/>
      <c r="F48" s="40" t="n"/>
      <c r="G48" s="34">
        <f>IF(B48="","",IF(A48="","",A48&amp;" ")&amp;B48)</f>
        <v/>
      </c>
      <c r="H48" s="32">
        <f>IF(B48="","",IF('×入力'!F650="未提出","未提出",IF(I48&gt;0,"入力済み",IF('×入力'!F650="×なし（どこでもOK）","×なし","未入力"))))</f>
        <v/>
      </c>
      <c r="I48" s="32">
        <f>IF(B48="","",'計算A'!DX53)</f>
        <v/>
      </c>
      <c r="J48" s="32">
        <f>IF(OR(H48="入力済み",H48="×なし"),'計算A'!DW53,"")</f>
        <v/>
      </c>
      <c r="K48" s="32">
        <f>IF('計算A'!C53=1,COUNTIFS('計算A'!$C$10:$C$54,1,'計算A'!$DW$10:$DW$54,"&lt;"&amp;'計算A'!DW53)+1,"")</f>
        <v/>
      </c>
      <c r="L48" s="34">
        <f>IF('計算A'!DY53=0,"",INDEX('設定'!$E$11:$E$20,INDEX('計算A'!$D$2:$DS$2,'計算A'!DY53)))</f>
        <v/>
      </c>
      <c r="M48" s="32">
        <f>IF('計算A'!DY53=0,"",INDEX('設定'!$I$11:$I$22,INDEX('計算A'!$D$3:$DS$3,'計算A'!DY53)))</f>
        <v/>
      </c>
      <c r="N48" s="34">
        <f>IF(G48="","",IF(COUNTIF('割り当て'!$C$6:$L$17,G48)&gt;1,"2か所以上に入っています",IF('計算A'!DY53&gt;0,IF(INDEX('計算A'!$D$53:$DS$53,'計算A'!DY53)=1,"×の枠に入っています",IF(AND(F48&lt;&gt;"",INDEX('計算A'!$D$106:$DS$106,'計算A'!DY53)=1,INDEX('計算A'!$D$109:$DS$109,'計算A'!DY53+1)=1),IF(F48="必ず空けたい","後ろの枠が空いていません","（出来れば）後ろが空いていません"),"")),IF(OR(H48="入力済み",H48="×なし"),"未割り当て",""))))</f>
        <v/>
      </c>
      <c r="O48" s="34">
        <f>IF('計算A'!DU53=0,IF('計算A'!DV53=1,"入る枠がありません",""),INDEX('計算A'!$D$8:$DS$8,'計算A'!DU53))</f>
        <v/>
      </c>
      <c r="P48" s="42">
        <f>HYPERLINK("#'×入力'!B650","×入力へ")</f>
        <v/>
      </c>
    </row>
    <row r="49" ht="19" customHeight="1">
      <c r="A49" s="40" t="n"/>
      <c r="B49" s="41" t="n"/>
      <c r="C49" s="40" t="n"/>
      <c r="D49" s="41" t="n"/>
      <c r="E49" s="40" t="n"/>
      <c r="F49" s="40" t="n"/>
      <c r="G49" s="34">
        <f>IF(B49="","",IF(A49="","",A49&amp;" ")&amp;B49)</f>
        <v/>
      </c>
      <c r="H49" s="32">
        <f>IF(B49="","",IF('×入力'!F665="未提出","未提出",IF(I49&gt;0,"入力済み",IF('×入力'!F665="×なし（どこでもOK）","×なし","未入力"))))</f>
        <v/>
      </c>
      <c r="I49" s="32">
        <f>IF(B49="","",'計算A'!DX54)</f>
        <v/>
      </c>
      <c r="J49" s="32">
        <f>IF(OR(H49="入力済み",H49="×なし"),'計算A'!DW54,"")</f>
        <v/>
      </c>
      <c r="K49" s="32">
        <f>IF('計算A'!C54=1,COUNTIFS('計算A'!$C$10:$C$54,1,'計算A'!$DW$10:$DW$54,"&lt;"&amp;'計算A'!DW54)+1,"")</f>
        <v/>
      </c>
      <c r="L49" s="34">
        <f>IF('計算A'!DY54=0,"",INDEX('設定'!$E$11:$E$20,INDEX('計算A'!$D$2:$DS$2,'計算A'!DY54)))</f>
        <v/>
      </c>
      <c r="M49" s="32">
        <f>IF('計算A'!DY54=0,"",INDEX('設定'!$I$11:$I$22,INDEX('計算A'!$D$3:$DS$3,'計算A'!DY54)))</f>
        <v/>
      </c>
      <c r="N49" s="34">
        <f>IF(G49="","",IF(COUNTIF('割り当て'!$C$6:$L$17,G49)&gt;1,"2か所以上に入っています",IF('計算A'!DY54&gt;0,IF(INDEX('計算A'!$D$54:$DS$54,'計算A'!DY54)=1,"×の枠に入っています",IF(AND(F49&lt;&gt;"",INDEX('計算A'!$D$106:$DS$106,'計算A'!DY54)=1,INDEX('計算A'!$D$109:$DS$109,'計算A'!DY54+1)=1),IF(F49="必ず空けたい","後ろの枠が空いていません","（出来れば）後ろが空いていません"),"")),IF(OR(H49="入力済み",H49="×なし"),"未割り当て",""))))</f>
        <v/>
      </c>
      <c r="O49" s="34">
        <f>IF('計算A'!DU54=0,IF('計算A'!DV54=1,"入る枠がありません",""),INDEX('計算A'!$D$8:$DS$8,'計算A'!DU54))</f>
        <v/>
      </c>
      <c r="P49" s="42">
        <f>HYPERLINK("#'×入力'!B665","×入力へ")</f>
        <v/>
      </c>
    </row>
  </sheetData>
  <autoFilter ref="A4:O49"/>
  <mergeCells count="4">
    <mergeCell ref="L1:M1"/>
    <mergeCell ref="J1:K1"/>
    <mergeCell ref="E1:F1"/>
    <mergeCell ref="H1:I1"/>
  </mergeCells>
  <conditionalFormatting sqref="N5:N49">
    <cfRule type="expression" priority="1" dxfId="2">
      <formula>OR(N5="未割り当て",LEFT(N5,6)="（出来れば）")</formula>
    </cfRule>
    <cfRule type="expression" priority="2" dxfId="3">
      <formula>N5&lt;&gt;""</formula>
    </cfRule>
  </conditionalFormatting>
  <conditionalFormatting sqref="O5:O49">
    <cfRule type="expression" priority="3" dxfId="3">
      <formula>O5="入る枠がありません"</formula>
    </cfRule>
  </conditionalFormatting>
  <conditionalFormatting sqref="H5:H49">
    <cfRule type="expression" priority="4" dxfId="4">
      <formula>OR(H5="未入力",H5="未提出")</formula>
    </cfRule>
  </conditionalFormatting>
  <conditionalFormatting sqref="J5:J49">
    <cfRule type="expression" priority="5" dxfId="5">
      <formula>AND(K5&lt;&gt;"",J5&lt;=2)</formula>
    </cfRule>
  </conditionalFormatting>
  <dataValidations count="3">
    <dataValidation sqref="C5 C6 C7 C8 C9 C10 C11 C12 C13 C14 C15 C16 C17 C18 C19 C20 C21 C22 C23 C24 C25 C26 C27 C28 C29 C30 C31 C32 C33 C34 C35 C36 C37 C38 C39 C40 C41 C42 C43 C44 C45 C46 C47 C48 C49" showDropDown="0" showInputMessage="0" showErrorMessage="0" allowBlank="1" type="list">
      <formula1>"〇"</formula1>
    </dataValidation>
    <dataValidation sqref="E5 E6 E7 E8 E9 E10 E11 E12 E13 E14 E15 E16 E17 E18 E19 E20 E21 E22 E23 E24 E25 E26 E27 E28 E29 E30 E31 E32 E33 E34 E35 E36 E37 E38 E39 E40 E41 E42 E43 E44 E45 E46 E47 E48 E49" showDropDown="0" showInputMessage="0" showErrorMessage="0" allowBlank="1" type="list">
      <formula1>"早い時刻,遅い時刻,早い日,遅い日"</formula1>
    </dataValidation>
    <dataValidation sqref="F5 F6 F7 F8 F9 F10 F11 F12 F13 F14 F15 F16 F17 F18 F19 F20 F21 F22 F23 F24 F25 F26 F27 F28 F29 F30 F31 F32 F33 F34 F35 F36 F37 F38 F39 F40 F41 F42 F43 F44 F45 F46 F47 F48 F49" showDropDown="0" showInputMessage="0" showErrorMessage="0" allowBlank="1" type="list">
      <formula1>"必ず空けたい,出来れば空けたい"</formula1>
    </dataValidation>
  </dataValidations>
  <pageMargins left="0.75" right="0.75" top="1" bottom="1" header="0.5" footer="0.5"/>
</worksheet>
</file>

<file path=xl/worksheets/sheet4.xml><?xml version="1.0" encoding="utf-8"?>
<worksheet xmlns="http://schemas.openxmlformats.org/spreadsheetml/2006/main">
  <sheetPr>
    <tabColor rgb="00B23A3A"/>
    <outlinePr summaryBelow="1" summaryRight="1"/>
    <pageSetUpPr/>
  </sheetPr>
  <dimension ref="A1:L678"/>
  <sheetViews>
    <sheetView showGridLines="0" showRowColHeaders="0" workbookViewId="0">
      <pane ySplit="4" topLeftCell="A5" activePane="bottomLeft" state="frozen"/>
      <selection pane="bottomLeft" activeCell="A1" sqref="A1"/>
    </sheetView>
  </sheetViews>
  <sheetFormatPr baseColWidth="8" defaultRowHeight="15"/>
  <cols>
    <col width="2" customWidth="1" min="1" max="1"/>
    <col width="10"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ht="44" customHeight="1">
      <c r="A1" s="2" t="n"/>
      <c r="B1" s="43" t="inlineStr">
        <is>
          <t>×入力</t>
        </is>
      </c>
      <c r="C1" s="2" t="n"/>
      <c r="D1" s="2" t="n"/>
      <c r="E1" s="2" t="n"/>
      <c r="F1" s="18">
        <f>HYPERLINK("#'ホーム'!A1","ホーム")</f>
        <v/>
      </c>
      <c r="G1" s="18">
        <f>HYPERLINK("#'設定'!A1","① 設定")</f>
        <v/>
      </c>
      <c r="H1" s="18">
        <f>HYPERLINK("#'名簿'!A1","② 名簿")</f>
        <v/>
      </c>
      <c r="I1" s="19">
        <f>HYPERLINK("#'×入力'!A1","③ ×入力")</f>
        <v/>
      </c>
      <c r="J1" s="18">
        <f>HYPERLINK("#'自動案'!A1","④ 自動案")</f>
        <v/>
      </c>
      <c r="K1" s="18">
        <f>HYPERLINK("#'割り当て'!A1","⑤ 割り当て")</f>
        <v/>
      </c>
      <c r="L1" s="2" t="n"/>
    </row>
    <row r="2" ht="24" customHeight="1">
      <c r="A2" s="4" t="n"/>
      <c r="B2" s="44" t="inlineStr">
        <is>
          <t>都合の悪い枠に「×」。まとめて入れるときは、なぞって選んで「×」と打ち Ctrl + Enter。消すときは Delete。</t>
        </is>
      </c>
      <c r="C2" s="4" t="n"/>
      <c r="D2" s="4" t="n"/>
      <c r="E2" s="4" t="n"/>
      <c r="F2" s="4" t="n"/>
      <c r="G2" s="4" t="n"/>
      <c r="H2" s="4" t="n"/>
      <c r="I2" s="4" t="n"/>
      <c r="J2" s="4" t="n"/>
      <c r="K2" s="4" t="n"/>
      <c r="L2" s="4" t="n"/>
    </row>
    <row r="3">
      <c r="B3" s="37" t="inlineStr">
        <is>
          <t>×が1つもない家庭は「提出状況」で「×なし（どこでもOK）」、出していない家庭は「未提出」を選びます。名簿の「×入力へ」で各児童の表に移動できます。</t>
        </is>
      </c>
    </row>
    <row r="4"/>
    <row r="5" ht="26" customHeight="1">
      <c r="B5" s="45">
        <f>IF('名簿'!B5="","（名簿 1行目：なし）",'名簿'!G5)</f>
        <v/>
      </c>
      <c r="C5" s="4" t="n"/>
      <c r="D5" s="4" t="n"/>
      <c r="E5" s="46" t="inlineStr">
        <is>
          <t>提出状況 ▶</t>
        </is>
      </c>
      <c r="F5" s="33" t="n"/>
      <c r="G5" s="29" t="n"/>
      <c r="H5" s="47" t="inlineStr">
        <is>
          <t>状況：</t>
        </is>
      </c>
      <c r="I5" s="48">
        <f>'名簿'!H5</f>
        <v/>
      </c>
      <c r="J5" s="47" t="inlineStr">
        <is>
          <t>×の数：</t>
        </is>
      </c>
      <c r="K5" s="48">
        <f>'名簿'!I5</f>
        <v/>
      </c>
      <c r="L5" s="4" t="n"/>
    </row>
    <row r="6">
      <c r="B6" s="49" t="inlineStr"/>
      <c r="C6" s="30">
        <f>'設定'!$E$11</f>
        <v/>
      </c>
      <c r="D6" s="30">
        <f>'設定'!$E$12</f>
        <v/>
      </c>
      <c r="E6" s="30">
        <f>'設定'!$E$13</f>
        <v/>
      </c>
      <c r="F6" s="30">
        <f>'設定'!$E$14</f>
        <v/>
      </c>
      <c r="G6" s="30">
        <f>'設定'!$E$15</f>
        <v/>
      </c>
      <c r="H6" s="30">
        <f>'設定'!$E$16</f>
        <v/>
      </c>
      <c r="I6" s="30">
        <f>'設定'!$E$17</f>
        <v/>
      </c>
      <c r="J6" s="30">
        <f>'設定'!$E$18</f>
        <v/>
      </c>
      <c r="K6" s="30">
        <f>'設定'!$E$19</f>
        <v/>
      </c>
      <c r="L6" s="30">
        <f>'設定'!$E$20</f>
        <v/>
      </c>
    </row>
    <row r="7" ht="22" customHeight="1">
      <c r="B7" s="50">
        <f>'設定'!$I$11</f>
        <v/>
      </c>
      <c r="C7" s="51" t="n"/>
      <c r="D7" s="51" t="n"/>
      <c r="E7" s="51" t="n"/>
      <c r="F7" s="51" t="n"/>
      <c r="G7" s="51" t="n"/>
      <c r="H7" s="51" t="n"/>
      <c r="I7" s="51" t="n"/>
      <c r="J7" s="51" t="n"/>
      <c r="K7" s="51" t="n"/>
      <c r="L7" s="51" t="n"/>
    </row>
    <row r="8" ht="22" customHeight="1">
      <c r="B8" s="50">
        <f>'設定'!$I$12</f>
        <v/>
      </c>
      <c r="C8" s="51" t="n"/>
      <c r="D8" s="51" t="n"/>
      <c r="E8" s="51" t="n"/>
      <c r="F8" s="51" t="n"/>
      <c r="G8" s="51" t="n"/>
      <c r="H8" s="51" t="n"/>
      <c r="I8" s="51" t="n"/>
      <c r="J8" s="51" t="n"/>
      <c r="K8" s="51" t="n"/>
      <c r="L8" s="51" t="n"/>
    </row>
    <row r="9" ht="22" customHeight="1">
      <c r="B9" s="50">
        <f>'設定'!$I$13</f>
        <v/>
      </c>
      <c r="C9" s="51" t="n"/>
      <c r="D9" s="51" t="n"/>
      <c r="E9" s="51" t="n"/>
      <c r="F9" s="51" t="n"/>
      <c r="G9" s="51" t="n"/>
      <c r="H9" s="51" t="n"/>
      <c r="I9" s="51" t="n"/>
      <c r="J9" s="51" t="n"/>
      <c r="K9" s="51" t="n"/>
      <c r="L9" s="51" t="n"/>
    </row>
    <row r="10" ht="22" customHeight="1">
      <c r="B10" s="50">
        <f>'設定'!$I$14</f>
        <v/>
      </c>
      <c r="C10" s="51" t="n"/>
      <c r="D10" s="51" t="n"/>
      <c r="E10" s="51" t="n"/>
      <c r="F10" s="51" t="n"/>
      <c r="G10" s="51" t="n"/>
      <c r="H10" s="51" t="n"/>
      <c r="I10" s="51" t="n"/>
      <c r="J10" s="51" t="n"/>
      <c r="K10" s="51" t="n"/>
      <c r="L10" s="51" t="n"/>
    </row>
    <row r="11" ht="22" customHeight="1">
      <c r="B11" s="50">
        <f>'設定'!$I$15</f>
        <v/>
      </c>
      <c r="C11" s="51" t="n"/>
      <c r="D11" s="51" t="n"/>
      <c r="E11" s="51" t="n"/>
      <c r="F11" s="51" t="n"/>
      <c r="G11" s="51" t="n"/>
      <c r="H11" s="51" t="n"/>
      <c r="I11" s="51" t="n"/>
      <c r="J11" s="51" t="n"/>
      <c r="K11" s="51" t="n"/>
      <c r="L11" s="51" t="n"/>
    </row>
    <row r="12" ht="22" customHeight="1">
      <c r="B12" s="50">
        <f>'設定'!$I$16</f>
        <v/>
      </c>
      <c r="C12" s="51" t="n"/>
      <c r="D12" s="51" t="n"/>
      <c r="E12" s="51" t="n"/>
      <c r="F12" s="51" t="n"/>
      <c r="G12" s="51" t="n"/>
      <c r="H12" s="51" t="n"/>
      <c r="I12" s="51" t="n"/>
      <c r="J12" s="51" t="n"/>
      <c r="K12" s="51" t="n"/>
      <c r="L12" s="51" t="n"/>
    </row>
    <row r="13" ht="22" customHeight="1">
      <c r="B13" s="50">
        <f>'設定'!$I$17</f>
        <v/>
      </c>
      <c r="C13" s="51" t="n"/>
      <c r="D13" s="51" t="n"/>
      <c r="E13" s="51" t="n"/>
      <c r="F13" s="51" t="n"/>
      <c r="G13" s="51" t="n"/>
      <c r="H13" s="51" t="n"/>
      <c r="I13" s="51" t="n"/>
      <c r="J13" s="51" t="n"/>
      <c r="K13" s="51" t="n"/>
      <c r="L13" s="51" t="n"/>
    </row>
    <row r="14" ht="22" customHeight="1">
      <c r="B14" s="50">
        <f>'設定'!$I$18</f>
        <v/>
      </c>
      <c r="C14" s="51" t="n"/>
      <c r="D14" s="51" t="n"/>
      <c r="E14" s="51" t="n"/>
      <c r="F14" s="51" t="n"/>
      <c r="G14" s="51" t="n"/>
      <c r="H14" s="51" t="n"/>
      <c r="I14" s="51" t="n"/>
      <c r="J14" s="51" t="n"/>
      <c r="K14" s="51" t="n"/>
      <c r="L14" s="51" t="n"/>
    </row>
    <row r="15" ht="22" customHeight="1">
      <c r="B15" s="50">
        <f>'設定'!$I$19</f>
        <v/>
      </c>
      <c r="C15" s="51" t="n"/>
      <c r="D15" s="51" t="n"/>
      <c r="E15" s="51" t="n"/>
      <c r="F15" s="51" t="n"/>
      <c r="G15" s="51" t="n"/>
      <c r="H15" s="51" t="n"/>
      <c r="I15" s="51" t="n"/>
      <c r="J15" s="51" t="n"/>
      <c r="K15" s="51" t="n"/>
      <c r="L15" s="51" t="n"/>
    </row>
    <row r="16" ht="22" customHeight="1">
      <c r="B16" s="50">
        <f>'設定'!$I$20</f>
        <v/>
      </c>
      <c r="C16" s="51" t="n"/>
      <c r="D16" s="51" t="n"/>
      <c r="E16" s="51" t="n"/>
      <c r="F16" s="51" t="n"/>
      <c r="G16" s="51" t="n"/>
      <c r="H16" s="51" t="n"/>
      <c r="I16" s="51" t="n"/>
      <c r="J16" s="51" t="n"/>
      <c r="K16" s="51" t="n"/>
      <c r="L16" s="51" t="n"/>
    </row>
    <row r="17" ht="22" customHeight="1">
      <c r="B17" s="50">
        <f>'設定'!$I$21</f>
        <v/>
      </c>
      <c r="C17" s="51" t="n"/>
      <c r="D17" s="51" t="n"/>
      <c r="E17" s="51" t="n"/>
      <c r="F17" s="51" t="n"/>
      <c r="G17" s="51" t="n"/>
      <c r="H17" s="51" t="n"/>
      <c r="I17" s="51" t="n"/>
      <c r="J17" s="51" t="n"/>
      <c r="K17" s="51" t="n"/>
      <c r="L17" s="51" t="n"/>
    </row>
    <row r="18" ht="22" customHeight="1">
      <c r="B18" s="50">
        <f>'設定'!$I$22</f>
        <v/>
      </c>
      <c r="C18" s="51" t="n"/>
      <c r="D18" s="51" t="n"/>
      <c r="E18" s="51" t="n"/>
      <c r="F18" s="51" t="n"/>
      <c r="G18" s="51" t="n"/>
      <c r="H18" s="51" t="n"/>
      <c r="I18" s="51" t="n"/>
      <c r="J18" s="51" t="n"/>
      <c r="K18" s="51" t="n"/>
      <c r="L18" s="51" t="n"/>
    </row>
    <row r="19"/>
    <row r="20" ht="26" customHeight="1">
      <c r="B20" s="45">
        <f>IF('名簿'!B6="","（名簿 2行目：なし）",'名簿'!G6)</f>
        <v/>
      </c>
      <c r="C20" s="4" t="n"/>
      <c r="D20" s="4" t="n"/>
      <c r="E20" s="46" t="inlineStr">
        <is>
          <t>提出状況 ▶</t>
        </is>
      </c>
      <c r="F20" s="33" t="n"/>
      <c r="G20" s="29" t="n"/>
      <c r="H20" s="47" t="inlineStr">
        <is>
          <t>状況：</t>
        </is>
      </c>
      <c r="I20" s="48">
        <f>'名簿'!H6</f>
        <v/>
      </c>
      <c r="J20" s="47" t="inlineStr">
        <is>
          <t>×の数：</t>
        </is>
      </c>
      <c r="K20" s="48">
        <f>'名簿'!I6</f>
        <v/>
      </c>
      <c r="L20" s="4" t="n"/>
    </row>
    <row r="21">
      <c r="B21" s="49" t="inlineStr"/>
      <c r="C21" s="30">
        <f>'設定'!$E$11</f>
        <v/>
      </c>
      <c r="D21" s="30">
        <f>'設定'!$E$12</f>
        <v/>
      </c>
      <c r="E21" s="30">
        <f>'設定'!$E$13</f>
        <v/>
      </c>
      <c r="F21" s="30">
        <f>'設定'!$E$14</f>
        <v/>
      </c>
      <c r="G21" s="30">
        <f>'設定'!$E$15</f>
        <v/>
      </c>
      <c r="H21" s="30">
        <f>'設定'!$E$16</f>
        <v/>
      </c>
      <c r="I21" s="30">
        <f>'設定'!$E$17</f>
        <v/>
      </c>
      <c r="J21" s="30">
        <f>'設定'!$E$18</f>
        <v/>
      </c>
      <c r="K21" s="30">
        <f>'設定'!$E$19</f>
        <v/>
      </c>
      <c r="L21" s="30">
        <f>'設定'!$E$20</f>
        <v/>
      </c>
    </row>
    <row r="22" ht="22" customHeight="1">
      <c r="B22" s="50">
        <f>'設定'!$I$11</f>
        <v/>
      </c>
      <c r="C22" s="51" t="n"/>
      <c r="D22" s="51" t="n"/>
      <c r="E22" s="51" t="n"/>
      <c r="F22" s="51" t="n"/>
      <c r="G22" s="51" t="n"/>
      <c r="H22" s="51" t="n"/>
      <c r="I22" s="51" t="n"/>
      <c r="J22" s="51" t="n"/>
      <c r="K22" s="51" t="n"/>
      <c r="L22" s="51" t="n"/>
    </row>
    <row r="23" ht="22" customHeight="1">
      <c r="B23" s="50">
        <f>'設定'!$I$12</f>
        <v/>
      </c>
      <c r="C23" s="51" t="n"/>
      <c r="D23" s="51" t="n"/>
      <c r="E23" s="51" t="n"/>
      <c r="F23" s="51" t="n"/>
      <c r="G23" s="51" t="n"/>
      <c r="H23" s="51" t="n"/>
      <c r="I23" s="51" t="n"/>
      <c r="J23" s="51" t="n"/>
      <c r="K23" s="51" t="n"/>
      <c r="L23" s="51" t="n"/>
    </row>
    <row r="24" ht="22" customHeight="1">
      <c r="B24" s="50">
        <f>'設定'!$I$13</f>
        <v/>
      </c>
      <c r="C24" s="51" t="n"/>
      <c r="D24" s="51" t="n"/>
      <c r="E24" s="51" t="n"/>
      <c r="F24" s="51" t="n"/>
      <c r="G24" s="51" t="n"/>
      <c r="H24" s="51" t="n"/>
      <c r="I24" s="51" t="n"/>
      <c r="J24" s="51" t="n"/>
      <c r="K24" s="51" t="n"/>
      <c r="L24" s="51" t="n"/>
    </row>
    <row r="25" ht="22" customHeight="1">
      <c r="B25" s="50">
        <f>'設定'!$I$14</f>
        <v/>
      </c>
      <c r="C25" s="51" t="n"/>
      <c r="D25" s="51" t="n"/>
      <c r="E25" s="51" t="n"/>
      <c r="F25" s="51" t="n"/>
      <c r="G25" s="51" t="n"/>
      <c r="H25" s="51" t="n"/>
      <c r="I25" s="51" t="n"/>
      <c r="J25" s="51" t="n"/>
      <c r="K25" s="51" t="n"/>
      <c r="L25" s="51" t="n"/>
    </row>
    <row r="26" ht="22" customHeight="1">
      <c r="B26" s="50">
        <f>'設定'!$I$15</f>
        <v/>
      </c>
      <c r="C26" s="51" t="n"/>
      <c r="D26" s="51" t="n"/>
      <c r="E26" s="51" t="n"/>
      <c r="F26" s="51" t="n"/>
      <c r="G26" s="51" t="n"/>
      <c r="H26" s="51" t="n"/>
      <c r="I26" s="51" t="n"/>
      <c r="J26" s="51" t="n"/>
      <c r="K26" s="51" t="n"/>
      <c r="L26" s="51" t="n"/>
    </row>
    <row r="27" ht="22" customHeight="1">
      <c r="B27" s="50">
        <f>'設定'!$I$16</f>
        <v/>
      </c>
      <c r="C27" s="51" t="n"/>
      <c r="D27" s="51" t="n"/>
      <c r="E27" s="51" t="n"/>
      <c r="F27" s="51" t="n"/>
      <c r="G27" s="51" t="n"/>
      <c r="H27" s="51" t="n"/>
      <c r="I27" s="51" t="n"/>
      <c r="J27" s="51" t="n"/>
      <c r="K27" s="51" t="n"/>
      <c r="L27" s="51" t="n"/>
    </row>
    <row r="28" ht="22" customHeight="1">
      <c r="B28" s="50">
        <f>'設定'!$I$17</f>
        <v/>
      </c>
      <c r="C28" s="51" t="n"/>
      <c r="D28" s="51" t="n"/>
      <c r="E28" s="51" t="n"/>
      <c r="F28" s="51" t="n"/>
      <c r="G28" s="51" t="n"/>
      <c r="H28" s="51" t="n"/>
      <c r="I28" s="51" t="n"/>
      <c r="J28" s="51" t="n"/>
      <c r="K28" s="51" t="n"/>
      <c r="L28" s="51" t="n"/>
    </row>
    <row r="29" ht="22" customHeight="1">
      <c r="B29" s="50">
        <f>'設定'!$I$18</f>
        <v/>
      </c>
      <c r="C29" s="51" t="n"/>
      <c r="D29" s="51" t="n"/>
      <c r="E29" s="51" t="n"/>
      <c r="F29" s="51" t="n"/>
      <c r="G29" s="51" t="n"/>
      <c r="H29" s="51" t="n"/>
      <c r="I29" s="51" t="n"/>
      <c r="J29" s="51" t="n"/>
      <c r="K29" s="51" t="n"/>
      <c r="L29" s="51" t="n"/>
    </row>
    <row r="30" ht="22" customHeight="1">
      <c r="B30" s="50">
        <f>'設定'!$I$19</f>
        <v/>
      </c>
      <c r="C30" s="51" t="n"/>
      <c r="D30" s="51" t="n"/>
      <c r="E30" s="51" t="n"/>
      <c r="F30" s="51" t="n"/>
      <c r="G30" s="51" t="n"/>
      <c r="H30" s="51" t="n"/>
      <c r="I30" s="51" t="n"/>
      <c r="J30" s="51" t="n"/>
      <c r="K30" s="51" t="n"/>
      <c r="L30" s="51" t="n"/>
    </row>
    <row r="31" ht="22" customHeight="1">
      <c r="B31" s="50">
        <f>'設定'!$I$20</f>
        <v/>
      </c>
      <c r="C31" s="51" t="n"/>
      <c r="D31" s="51" t="n"/>
      <c r="E31" s="51" t="n"/>
      <c r="F31" s="51" t="n"/>
      <c r="G31" s="51" t="n"/>
      <c r="H31" s="51" t="n"/>
      <c r="I31" s="51" t="n"/>
      <c r="J31" s="51" t="n"/>
      <c r="K31" s="51" t="n"/>
      <c r="L31" s="51" t="n"/>
    </row>
    <row r="32" ht="22" customHeight="1">
      <c r="B32" s="50">
        <f>'設定'!$I$21</f>
        <v/>
      </c>
      <c r="C32" s="51" t="n"/>
      <c r="D32" s="51" t="n"/>
      <c r="E32" s="51" t="n"/>
      <c r="F32" s="51" t="n"/>
      <c r="G32" s="51" t="n"/>
      <c r="H32" s="51" t="n"/>
      <c r="I32" s="51" t="n"/>
      <c r="J32" s="51" t="n"/>
      <c r="K32" s="51" t="n"/>
      <c r="L32" s="51" t="n"/>
    </row>
    <row r="33" ht="22" customHeight="1">
      <c r="B33" s="50">
        <f>'設定'!$I$22</f>
        <v/>
      </c>
      <c r="C33" s="51" t="n"/>
      <c r="D33" s="51" t="n"/>
      <c r="E33" s="51" t="n"/>
      <c r="F33" s="51" t="n"/>
      <c r="G33" s="51" t="n"/>
      <c r="H33" s="51" t="n"/>
      <c r="I33" s="51" t="n"/>
      <c r="J33" s="51" t="n"/>
      <c r="K33" s="51" t="n"/>
      <c r="L33" s="51" t="n"/>
    </row>
    <row r="34"/>
    <row r="35" ht="26" customHeight="1">
      <c r="B35" s="45">
        <f>IF('名簿'!B7="","（名簿 3行目：なし）",'名簿'!G7)</f>
        <v/>
      </c>
      <c r="C35" s="4" t="n"/>
      <c r="D35" s="4" t="n"/>
      <c r="E35" s="46" t="inlineStr">
        <is>
          <t>提出状況 ▶</t>
        </is>
      </c>
      <c r="F35" s="33" t="n"/>
      <c r="G35" s="29" t="n"/>
      <c r="H35" s="47" t="inlineStr">
        <is>
          <t>状況：</t>
        </is>
      </c>
      <c r="I35" s="48">
        <f>'名簿'!H7</f>
        <v/>
      </c>
      <c r="J35" s="47" t="inlineStr">
        <is>
          <t>×の数：</t>
        </is>
      </c>
      <c r="K35" s="48">
        <f>'名簿'!I7</f>
        <v/>
      </c>
      <c r="L35" s="4" t="n"/>
    </row>
    <row r="36">
      <c r="B36" s="49" t="inlineStr"/>
      <c r="C36" s="30">
        <f>'設定'!$E$11</f>
        <v/>
      </c>
      <c r="D36" s="30">
        <f>'設定'!$E$12</f>
        <v/>
      </c>
      <c r="E36" s="30">
        <f>'設定'!$E$13</f>
        <v/>
      </c>
      <c r="F36" s="30">
        <f>'設定'!$E$14</f>
        <v/>
      </c>
      <c r="G36" s="30">
        <f>'設定'!$E$15</f>
        <v/>
      </c>
      <c r="H36" s="30">
        <f>'設定'!$E$16</f>
        <v/>
      </c>
      <c r="I36" s="30">
        <f>'設定'!$E$17</f>
        <v/>
      </c>
      <c r="J36" s="30">
        <f>'設定'!$E$18</f>
        <v/>
      </c>
      <c r="K36" s="30">
        <f>'設定'!$E$19</f>
        <v/>
      </c>
      <c r="L36" s="30">
        <f>'設定'!$E$20</f>
        <v/>
      </c>
    </row>
    <row r="37" ht="22" customHeight="1">
      <c r="B37" s="50">
        <f>'設定'!$I$11</f>
        <v/>
      </c>
      <c r="C37" s="51" t="n"/>
      <c r="D37" s="51" t="n"/>
      <c r="E37" s="51" t="n"/>
      <c r="F37" s="51" t="n"/>
      <c r="G37" s="51" t="n"/>
      <c r="H37" s="51" t="n"/>
      <c r="I37" s="51" t="n"/>
      <c r="J37" s="51" t="n"/>
      <c r="K37" s="51" t="n"/>
      <c r="L37" s="51" t="n"/>
    </row>
    <row r="38" ht="22" customHeight="1">
      <c r="B38" s="50">
        <f>'設定'!$I$12</f>
        <v/>
      </c>
      <c r="C38" s="51" t="n"/>
      <c r="D38" s="51" t="n"/>
      <c r="E38" s="51" t="n"/>
      <c r="F38" s="51" t="n"/>
      <c r="G38" s="51" t="n"/>
      <c r="H38" s="51" t="n"/>
      <c r="I38" s="51" t="n"/>
      <c r="J38" s="51" t="n"/>
      <c r="K38" s="51" t="n"/>
      <c r="L38" s="51" t="n"/>
    </row>
    <row r="39" ht="22" customHeight="1">
      <c r="B39" s="50">
        <f>'設定'!$I$13</f>
        <v/>
      </c>
      <c r="C39" s="51" t="n"/>
      <c r="D39" s="51" t="n"/>
      <c r="E39" s="51" t="n"/>
      <c r="F39" s="51" t="n"/>
      <c r="G39" s="51" t="n"/>
      <c r="H39" s="51" t="n"/>
      <c r="I39" s="51" t="n"/>
      <c r="J39" s="51" t="n"/>
      <c r="K39" s="51" t="n"/>
      <c r="L39" s="51" t="n"/>
    </row>
    <row r="40" ht="22" customHeight="1">
      <c r="B40" s="50">
        <f>'設定'!$I$14</f>
        <v/>
      </c>
      <c r="C40" s="51" t="n"/>
      <c r="D40" s="51" t="n"/>
      <c r="E40" s="51" t="n"/>
      <c r="F40" s="51" t="n"/>
      <c r="G40" s="51" t="n"/>
      <c r="H40" s="51" t="n"/>
      <c r="I40" s="51" t="n"/>
      <c r="J40" s="51" t="n"/>
      <c r="K40" s="51" t="n"/>
      <c r="L40" s="51" t="n"/>
    </row>
    <row r="41" ht="22" customHeight="1">
      <c r="B41" s="50">
        <f>'設定'!$I$15</f>
        <v/>
      </c>
      <c r="C41" s="51" t="n"/>
      <c r="D41" s="51" t="n"/>
      <c r="E41" s="51" t="n"/>
      <c r="F41" s="51" t="n"/>
      <c r="G41" s="51" t="n"/>
      <c r="H41" s="51" t="n"/>
      <c r="I41" s="51" t="n"/>
      <c r="J41" s="51" t="n"/>
      <c r="K41" s="51" t="n"/>
      <c r="L41" s="51" t="n"/>
    </row>
    <row r="42" ht="22" customHeight="1">
      <c r="B42" s="50">
        <f>'設定'!$I$16</f>
        <v/>
      </c>
      <c r="C42" s="51" t="n"/>
      <c r="D42" s="51" t="n"/>
      <c r="E42" s="51" t="n"/>
      <c r="F42" s="51" t="n"/>
      <c r="G42" s="51" t="n"/>
      <c r="H42" s="51" t="n"/>
      <c r="I42" s="51" t="n"/>
      <c r="J42" s="51" t="n"/>
      <c r="K42" s="51" t="n"/>
      <c r="L42" s="51" t="n"/>
    </row>
    <row r="43" ht="22" customHeight="1">
      <c r="B43" s="50">
        <f>'設定'!$I$17</f>
        <v/>
      </c>
      <c r="C43" s="51" t="n"/>
      <c r="D43" s="51" t="n"/>
      <c r="E43" s="51" t="n"/>
      <c r="F43" s="51" t="n"/>
      <c r="G43" s="51" t="n"/>
      <c r="H43" s="51" t="n"/>
      <c r="I43" s="51" t="n"/>
      <c r="J43" s="51" t="n"/>
      <c r="K43" s="51" t="n"/>
      <c r="L43" s="51" t="n"/>
    </row>
    <row r="44" ht="22" customHeight="1">
      <c r="B44" s="50">
        <f>'設定'!$I$18</f>
        <v/>
      </c>
      <c r="C44" s="51" t="n"/>
      <c r="D44" s="51" t="n"/>
      <c r="E44" s="51" t="n"/>
      <c r="F44" s="51" t="n"/>
      <c r="G44" s="51" t="n"/>
      <c r="H44" s="51" t="n"/>
      <c r="I44" s="51" t="n"/>
      <c r="J44" s="51" t="n"/>
      <c r="K44" s="51" t="n"/>
      <c r="L44" s="51" t="n"/>
    </row>
    <row r="45" ht="22" customHeight="1">
      <c r="B45" s="50">
        <f>'設定'!$I$19</f>
        <v/>
      </c>
      <c r="C45" s="51" t="n"/>
      <c r="D45" s="51" t="n"/>
      <c r="E45" s="51" t="n"/>
      <c r="F45" s="51" t="n"/>
      <c r="G45" s="51" t="n"/>
      <c r="H45" s="51" t="n"/>
      <c r="I45" s="51" t="n"/>
      <c r="J45" s="51" t="n"/>
      <c r="K45" s="51" t="n"/>
      <c r="L45" s="51" t="n"/>
    </row>
    <row r="46" ht="22" customHeight="1">
      <c r="B46" s="50">
        <f>'設定'!$I$20</f>
        <v/>
      </c>
      <c r="C46" s="51" t="n"/>
      <c r="D46" s="51" t="n"/>
      <c r="E46" s="51" t="n"/>
      <c r="F46" s="51" t="n"/>
      <c r="G46" s="51" t="n"/>
      <c r="H46" s="51" t="n"/>
      <c r="I46" s="51" t="n"/>
      <c r="J46" s="51" t="n"/>
      <c r="K46" s="51" t="n"/>
      <c r="L46" s="51" t="n"/>
    </row>
    <row r="47" ht="22" customHeight="1">
      <c r="B47" s="50">
        <f>'設定'!$I$21</f>
        <v/>
      </c>
      <c r="C47" s="51" t="n"/>
      <c r="D47" s="51" t="n"/>
      <c r="E47" s="51" t="n"/>
      <c r="F47" s="51" t="n"/>
      <c r="G47" s="51" t="n"/>
      <c r="H47" s="51" t="n"/>
      <c r="I47" s="51" t="n"/>
      <c r="J47" s="51" t="n"/>
      <c r="K47" s="51" t="n"/>
      <c r="L47" s="51" t="n"/>
    </row>
    <row r="48" ht="22" customHeight="1">
      <c r="B48" s="50">
        <f>'設定'!$I$22</f>
        <v/>
      </c>
      <c r="C48" s="51" t="n"/>
      <c r="D48" s="51" t="n"/>
      <c r="E48" s="51" t="n"/>
      <c r="F48" s="51" t="n"/>
      <c r="G48" s="51" t="n"/>
      <c r="H48" s="51" t="n"/>
      <c r="I48" s="51" t="n"/>
      <c r="J48" s="51" t="n"/>
      <c r="K48" s="51" t="n"/>
      <c r="L48" s="51" t="n"/>
    </row>
    <row r="49"/>
    <row r="50" ht="26" customHeight="1">
      <c r="B50" s="45">
        <f>IF('名簿'!B8="","（名簿 4行目：なし）",'名簿'!G8)</f>
        <v/>
      </c>
      <c r="C50" s="4" t="n"/>
      <c r="D50" s="4" t="n"/>
      <c r="E50" s="46" t="inlineStr">
        <is>
          <t>提出状況 ▶</t>
        </is>
      </c>
      <c r="F50" s="33" t="n"/>
      <c r="G50" s="29" t="n"/>
      <c r="H50" s="47" t="inlineStr">
        <is>
          <t>状況：</t>
        </is>
      </c>
      <c r="I50" s="48">
        <f>'名簿'!H8</f>
        <v/>
      </c>
      <c r="J50" s="47" t="inlineStr">
        <is>
          <t>×の数：</t>
        </is>
      </c>
      <c r="K50" s="48">
        <f>'名簿'!I8</f>
        <v/>
      </c>
      <c r="L50" s="4" t="n"/>
    </row>
    <row r="51">
      <c r="B51" s="49" t="inlineStr"/>
      <c r="C51" s="30">
        <f>'設定'!$E$11</f>
        <v/>
      </c>
      <c r="D51" s="30">
        <f>'設定'!$E$12</f>
        <v/>
      </c>
      <c r="E51" s="30">
        <f>'設定'!$E$13</f>
        <v/>
      </c>
      <c r="F51" s="30">
        <f>'設定'!$E$14</f>
        <v/>
      </c>
      <c r="G51" s="30">
        <f>'設定'!$E$15</f>
        <v/>
      </c>
      <c r="H51" s="30">
        <f>'設定'!$E$16</f>
        <v/>
      </c>
      <c r="I51" s="30">
        <f>'設定'!$E$17</f>
        <v/>
      </c>
      <c r="J51" s="30">
        <f>'設定'!$E$18</f>
        <v/>
      </c>
      <c r="K51" s="30">
        <f>'設定'!$E$19</f>
        <v/>
      </c>
      <c r="L51" s="30">
        <f>'設定'!$E$20</f>
        <v/>
      </c>
    </row>
    <row r="52" ht="22" customHeight="1">
      <c r="B52" s="50">
        <f>'設定'!$I$11</f>
        <v/>
      </c>
      <c r="C52" s="51" t="n"/>
      <c r="D52" s="51" t="n"/>
      <c r="E52" s="51" t="n"/>
      <c r="F52" s="51" t="n"/>
      <c r="G52" s="51" t="n"/>
      <c r="H52" s="51" t="n"/>
      <c r="I52" s="51" t="n"/>
      <c r="J52" s="51" t="n"/>
      <c r="K52" s="51" t="n"/>
      <c r="L52" s="51" t="n"/>
    </row>
    <row r="53" ht="22" customHeight="1">
      <c r="B53" s="50">
        <f>'設定'!$I$12</f>
        <v/>
      </c>
      <c r="C53" s="51" t="n"/>
      <c r="D53" s="51" t="n"/>
      <c r="E53" s="51" t="n"/>
      <c r="F53" s="51" t="n"/>
      <c r="G53" s="51" t="n"/>
      <c r="H53" s="51" t="n"/>
      <c r="I53" s="51" t="n"/>
      <c r="J53" s="51" t="n"/>
      <c r="K53" s="51" t="n"/>
      <c r="L53" s="51" t="n"/>
    </row>
    <row r="54" ht="22" customHeight="1">
      <c r="B54" s="50">
        <f>'設定'!$I$13</f>
        <v/>
      </c>
      <c r="C54" s="51" t="n"/>
      <c r="D54" s="51" t="n"/>
      <c r="E54" s="51" t="n"/>
      <c r="F54" s="51" t="n"/>
      <c r="G54" s="51" t="n"/>
      <c r="H54" s="51" t="n"/>
      <c r="I54" s="51" t="n"/>
      <c r="J54" s="51" t="n"/>
      <c r="K54" s="51" t="n"/>
      <c r="L54" s="51" t="n"/>
    </row>
    <row r="55" ht="22" customHeight="1">
      <c r="B55" s="50">
        <f>'設定'!$I$14</f>
        <v/>
      </c>
      <c r="C55" s="51" t="n"/>
      <c r="D55" s="51" t="n"/>
      <c r="E55" s="51" t="n"/>
      <c r="F55" s="51" t="n"/>
      <c r="G55" s="51" t="n"/>
      <c r="H55" s="51" t="n"/>
      <c r="I55" s="51" t="n"/>
      <c r="J55" s="51" t="n"/>
      <c r="K55" s="51" t="n"/>
      <c r="L55" s="51" t="n"/>
    </row>
    <row r="56" ht="22" customHeight="1">
      <c r="B56" s="50">
        <f>'設定'!$I$15</f>
        <v/>
      </c>
      <c r="C56" s="51" t="n"/>
      <c r="D56" s="51" t="n"/>
      <c r="E56" s="51" t="n"/>
      <c r="F56" s="51" t="n"/>
      <c r="G56" s="51" t="n"/>
      <c r="H56" s="51" t="n"/>
      <c r="I56" s="51" t="n"/>
      <c r="J56" s="51" t="n"/>
      <c r="K56" s="51" t="n"/>
      <c r="L56" s="51" t="n"/>
    </row>
    <row r="57" ht="22" customHeight="1">
      <c r="B57" s="50">
        <f>'設定'!$I$16</f>
        <v/>
      </c>
      <c r="C57" s="51" t="n"/>
      <c r="D57" s="51" t="n"/>
      <c r="E57" s="51" t="n"/>
      <c r="F57" s="51" t="n"/>
      <c r="G57" s="51" t="n"/>
      <c r="H57" s="51" t="n"/>
      <c r="I57" s="51" t="n"/>
      <c r="J57" s="51" t="n"/>
      <c r="K57" s="51" t="n"/>
      <c r="L57" s="51" t="n"/>
    </row>
    <row r="58" ht="22" customHeight="1">
      <c r="B58" s="50">
        <f>'設定'!$I$17</f>
        <v/>
      </c>
      <c r="C58" s="51" t="n"/>
      <c r="D58" s="51" t="n"/>
      <c r="E58" s="51" t="n"/>
      <c r="F58" s="51" t="n"/>
      <c r="G58" s="51" t="n"/>
      <c r="H58" s="51" t="n"/>
      <c r="I58" s="51" t="n"/>
      <c r="J58" s="51" t="n"/>
      <c r="K58" s="51" t="n"/>
      <c r="L58" s="51" t="n"/>
    </row>
    <row r="59" ht="22" customHeight="1">
      <c r="B59" s="50">
        <f>'設定'!$I$18</f>
        <v/>
      </c>
      <c r="C59" s="51" t="n"/>
      <c r="D59" s="51" t="n"/>
      <c r="E59" s="51" t="n"/>
      <c r="F59" s="51" t="n"/>
      <c r="G59" s="51" t="n"/>
      <c r="H59" s="51" t="n"/>
      <c r="I59" s="51" t="n"/>
      <c r="J59" s="51" t="n"/>
      <c r="K59" s="51" t="n"/>
      <c r="L59" s="51" t="n"/>
    </row>
    <row r="60" ht="22" customHeight="1">
      <c r="B60" s="50">
        <f>'設定'!$I$19</f>
        <v/>
      </c>
      <c r="C60" s="51" t="n"/>
      <c r="D60" s="51" t="n"/>
      <c r="E60" s="51" t="n"/>
      <c r="F60" s="51" t="n"/>
      <c r="G60" s="51" t="n"/>
      <c r="H60" s="51" t="n"/>
      <c r="I60" s="51" t="n"/>
      <c r="J60" s="51" t="n"/>
      <c r="K60" s="51" t="n"/>
      <c r="L60" s="51" t="n"/>
    </row>
    <row r="61" ht="22" customHeight="1">
      <c r="B61" s="50">
        <f>'設定'!$I$20</f>
        <v/>
      </c>
      <c r="C61" s="51" t="n"/>
      <c r="D61" s="51" t="n"/>
      <c r="E61" s="51" t="n"/>
      <c r="F61" s="51" t="n"/>
      <c r="G61" s="51" t="n"/>
      <c r="H61" s="51" t="n"/>
      <c r="I61" s="51" t="n"/>
      <c r="J61" s="51" t="n"/>
      <c r="K61" s="51" t="n"/>
      <c r="L61" s="51" t="n"/>
    </row>
    <row r="62" ht="22" customHeight="1">
      <c r="B62" s="50">
        <f>'設定'!$I$21</f>
        <v/>
      </c>
      <c r="C62" s="51" t="n"/>
      <c r="D62" s="51" t="n"/>
      <c r="E62" s="51" t="n"/>
      <c r="F62" s="51" t="n"/>
      <c r="G62" s="51" t="n"/>
      <c r="H62" s="51" t="n"/>
      <c r="I62" s="51" t="n"/>
      <c r="J62" s="51" t="n"/>
      <c r="K62" s="51" t="n"/>
      <c r="L62" s="51" t="n"/>
    </row>
    <row r="63" ht="22" customHeight="1">
      <c r="B63" s="50">
        <f>'設定'!$I$22</f>
        <v/>
      </c>
      <c r="C63" s="51" t="n"/>
      <c r="D63" s="51" t="n"/>
      <c r="E63" s="51" t="n"/>
      <c r="F63" s="51" t="n"/>
      <c r="G63" s="51" t="n"/>
      <c r="H63" s="51" t="n"/>
      <c r="I63" s="51" t="n"/>
      <c r="J63" s="51" t="n"/>
      <c r="K63" s="51" t="n"/>
      <c r="L63" s="51" t="n"/>
    </row>
    <row r="64"/>
    <row r="65" ht="26" customHeight="1">
      <c r="B65" s="45">
        <f>IF('名簿'!B9="","（名簿 5行目：なし）",'名簿'!G9)</f>
        <v/>
      </c>
      <c r="C65" s="4" t="n"/>
      <c r="D65" s="4" t="n"/>
      <c r="E65" s="46" t="inlineStr">
        <is>
          <t>提出状況 ▶</t>
        </is>
      </c>
      <c r="F65" s="33" t="n"/>
      <c r="G65" s="29" t="n"/>
      <c r="H65" s="47" t="inlineStr">
        <is>
          <t>状況：</t>
        </is>
      </c>
      <c r="I65" s="48">
        <f>'名簿'!H9</f>
        <v/>
      </c>
      <c r="J65" s="47" t="inlineStr">
        <is>
          <t>×の数：</t>
        </is>
      </c>
      <c r="K65" s="48">
        <f>'名簿'!I9</f>
        <v/>
      </c>
      <c r="L65" s="4" t="n"/>
    </row>
    <row r="66">
      <c r="B66" s="49" t="inlineStr"/>
      <c r="C66" s="30">
        <f>'設定'!$E$11</f>
        <v/>
      </c>
      <c r="D66" s="30">
        <f>'設定'!$E$12</f>
        <v/>
      </c>
      <c r="E66" s="30">
        <f>'設定'!$E$13</f>
        <v/>
      </c>
      <c r="F66" s="30">
        <f>'設定'!$E$14</f>
        <v/>
      </c>
      <c r="G66" s="30">
        <f>'設定'!$E$15</f>
        <v/>
      </c>
      <c r="H66" s="30">
        <f>'設定'!$E$16</f>
        <v/>
      </c>
      <c r="I66" s="30">
        <f>'設定'!$E$17</f>
        <v/>
      </c>
      <c r="J66" s="30">
        <f>'設定'!$E$18</f>
        <v/>
      </c>
      <c r="K66" s="30">
        <f>'設定'!$E$19</f>
        <v/>
      </c>
      <c r="L66" s="30">
        <f>'設定'!$E$20</f>
        <v/>
      </c>
    </row>
    <row r="67" ht="22" customHeight="1">
      <c r="B67" s="50">
        <f>'設定'!$I$11</f>
        <v/>
      </c>
      <c r="C67" s="51" t="n"/>
      <c r="D67" s="51" t="n"/>
      <c r="E67" s="51" t="n"/>
      <c r="F67" s="51" t="n"/>
      <c r="G67" s="51" t="n"/>
      <c r="H67" s="51" t="n"/>
      <c r="I67" s="51" t="n"/>
      <c r="J67" s="51" t="n"/>
      <c r="K67" s="51" t="n"/>
      <c r="L67" s="51" t="n"/>
    </row>
    <row r="68" ht="22" customHeight="1">
      <c r="B68" s="50">
        <f>'設定'!$I$12</f>
        <v/>
      </c>
      <c r="C68" s="51" t="n"/>
      <c r="D68" s="51" t="n"/>
      <c r="E68" s="51" t="n"/>
      <c r="F68" s="51" t="n"/>
      <c r="G68" s="51" t="n"/>
      <c r="H68" s="51" t="n"/>
      <c r="I68" s="51" t="n"/>
      <c r="J68" s="51" t="n"/>
      <c r="K68" s="51" t="n"/>
      <c r="L68" s="51" t="n"/>
    </row>
    <row r="69" ht="22" customHeight="1">
      <c r="B69" s="50">
        <f>'設定'!$I$13</f>
        <v/>
      </c>
      <c r="C69" s="51" t="n"/>
      <c r="D69" s="51" t="n"/>
      <c r="E69" s="51" t="n"/>
      <c r="F69" s="51" t="n"/>
      <c r="G69" s="51" t="n"/>
      <c r="H69" s="51" t="n"/>
      <c r="I69" s="51" t="n"/>
      <c r="J69" s="51" t="n"/>
      <c r="K69" s="51" t="n"/>
      <c r="L69" s="51" t="n"/>
    </row>
    <row r="70" ht="22" customHeight="1">
      <c r="B70" s="50">
        <f>'設定'!$I$14</f>
        <v/>
      </c>
      <c r="C70" s="51" t="n"/>
      <c r="D70" s="51" t="n"/>
      <c r="E70" s="51" t="n"/>
      <c r="F70" s="51" t="n"/>
      <c r="G70" s="51" t="n"/>
      <c r="H70" s="51" t="n"/>
      <c r="I70" s="51" t="n"/>
      <c r="J70" s="51" t="n"/>
      <c r="K70" s="51" t="n"/>
      <c r="L70" s="51" t="n"/>
    </row>
    <row r="71" ht="22" customHeight="1">
      <c r="B71" s="50">
        <f>'設定'!$I$15</f>
        <v/>
      </c>
      <c r="C71" s="51" t="n"/>
      <c r="D71" s="51" t="n"/>
      <c r="E71" s="51" t="n"/>
      <c r="F71" s="51" t="n"/>
      <c r="G71" s="51" t="n"/>
      <c r="H71" s="51" t="n"/>
      <c r="I71" s="51" t="n"/>
      <c r="J71" s="51" t="n"/>
      <c r="K71" s="51" t="n"/>
      <c r="L71" s="51" t="n"/>
    </row>
    <row r="72" ht="22" customHeight="1">
      <c r="B72" s="50">
        <f>'設定'!$I$16</f>
        <v/>
      </c>
      <c r="C72" s="51" t="n"/>
      <c r="D72" s="51" t="n"/>
      <c r="E72" s="51" t="n"/>
      <c r="F72" s="51" t="n"/>
      <c r="G72" s="51" t="n"/>
      <c r="H72" s="51" t="n"/>
      <c r="I72" s="51" t="n"/>
      <c r="J72" s="51" t="n"/>
      <c r="K72" s="51" t="n"/>
      <c r="L72" s="51" t="n"/>
    </row>
    <row r="73" ht="22" customHeight="1">
      <c r="B73" s="50">
        <f>'設定'!$I$17</f>
        <v/>
      </c>
      <c r="C73" s="51" t="n"/>
      <c r="D73" s="51" t="n"/>
      <c r="E73" s="51" t="n"/>
      <c r="F73" s="51" t="n"/>
      <c r="G73" s="51" t="n"/>
      <c r="H73" s="51" t="n"/>
      <c r="I73" s="51" t="n"/>
      <c r="J73" s="51" t="n"/>
      <c r="K73" s="51" t="n"/>
      <c r="L73" s="51" t="n"/>
    </row>
    <row r="74" ht="22" customHeight="1">
      <c r="B74" s="50">
        <f>'設定'!$I$18</f>
        <v/>
      </c>
      <c r="C74" s="51" t="n"/>
      <c r="D74" s="51" t="n"/>
      <c r="E74" s="51" t="n"/>
      <c r="F74" s="51" t="n"/>
      <c r="G74" s="51" t="n"/>
      <c r="H74" s="51" t="n"/>
      <c r="I74" s="51" t="n"/>
      <c r="J74" s="51" t="n"/>
      <c r="K74" s="51" t="n"/>
      <c r="L74" s="51" t="n"/>
    </row>
    <row r="75" ht="22" customHeight="1">
      <c r="B75" s="50">
        <f>'設定'!$I$19</f>
        <v/>
      </c>
      <c r="C75" s="51" t="n"/>
      <c r="D75" s="51" t="n"/>
      <c r="E75" s="51" t="n"/>
      <c r="F75" s="51" t="n"/>
      <c r="G75" s="51" t="n"/>
      <c r="H75" s="51" t="n"/>
      <c r="I75" s="51" t="n"/>
      <c r="J75" s="51" t="n"/>
      <c r="K75" s="51" t="n"/>
      <c r="L75" s="51" t="n"/>
    </row>
    <row r="76" ht="22" customHeight="1">
      <c r="B76" s="50">
        <f>'設定'!$I$20</f>
        <v/>
      </c>
      <c r="C76" s="51" t="n"/>
      <c r="D76" s="51" t="n"/>
      <c r="E76" s="51" t="n"/>
      <c r="F76" s="51" t="n"/>
      <c r="G76" s="51" t="n"/>
      <c r="H76" s="51" t="n"/>
      <c r="I76" s="51" t="n"/>
      <c r="J76" s="51" t="n"/>
      <c r="K76" s="51" t="n"/>
      <c r="L76" s="51" t="n"/>
    </row>
    <row r="77" ht="22" customHeight="1">
      <c r="B77" s="50">
        <f>'設定'!$I$21</f>
        <v/>
      </c>
      <c r="C77" s="51" t="n"/>
      <c r="D77" s="51" t="n"/>
      <c r="E77" s="51" t="n"/>
      <c r="F77" s="51" t="n"/>
      <c r="G77" s="51" t="n"/>
      <c r="H77" s="51" t="n"/>
      <c r="I77" s="51" t="n"/>
      <c r="J77" s="51" t="n"/>
      <c r="K77" s="51" t="n"/>
      <c r="L77" s="51" t="n"/>
    </row>
    <row r="78" ht="22" customHeight="1">
      <c r="B78" s="50">
        <f>'設定'!$I$22</f>
        <v/>
      </c>
      <c r="C78" s="51" t="n"/>
      <c r="D78" s="51" t="n"/>
      <c r="E78" s="51" t="n"/>
      <c r="F78" s="51" t="n"/>
      <c r="G78" s="51" t="n"/>
      <c r="H78" s="51" t="n"/>
      <c r="I78" s="51" t="n"/>
      <c r="J78" s="51" t="n"/>
      <c r="K78" s="51" t="n"/>
      <c r="L78" s="51" t="n"/>
    </row>
    <row r="79"/>
    <row r="80" ht="26" customHeight="1">
      <c r="B80" s="45">
        <f>IF('名簿'!B10="","（名簿 6行目：なし）",'名簿'!G10)</f>
        <v/>
      </c>
      <c r="C80" s="4" t="n"/>
      <c r="D80" s="4" t="n"/>
      <c r="E80" s="46" t="inlineStr">
        <is>
          <t>提出状況 ▶</t>
        </is>
      </c>
      <c r="F80" s="33" t="n"/>
      <c r="G80" s="29" t="n"/>
      <c r="H80" s="47" t="inlineStr">
        <is>
          <t>状況：</t>
        </is>
      </c>
      <c r="I80" s="48">
        <f>'名簿'!H10</f>
        <v/>
      </c>
      <c r="J80" s="47" t="inlineStr">
        <is>
          <t>×の数：</t>
        </is>
      </c>
      <c r="K80" s="48">
        <f>'名簿'!I10</f>
        <v/>
      </c>
      <c r="L80" s="4" t="n"/>
    </row>
    <row r="81">
      <c r="B81" s="49" t="inlineStr"/>
      <c r="C81" s="30">
        <f>'設定'!$E$11</f>
        <v/>
      </c>
      <c r="D81" s="30">
        <f>'設定'!$E$12</f>
        <v/>
      </c>
      <c r="E81" s="30">
        <f>'設定'!$E$13</f>
        <v/>
      </c>
      <c r="F81" s="30">
        <f>'設定'!$E$14</f>
        <v/>
      </c>
      <c r="G81" s="30">
        <f>'設定'!$E$15</f>
        <v/>
      </c>
      <c r="H81" s="30">
        <f>'設定'!$E$16</f>
        <v/>
      </c>
      <c r="I81" s="30">
        <f>'設定'!$E$17</f>
        <v/>
      </c>
      <c r="J81" s="30">
        <f>'設定'!$E$18</f>
        <v/>
      </c>
      <c r="K81" s="30">
        <f>'設定'!$E$19</f>
        <v/>
      </c>
      <c r="L81" s="30">
        <f>'設定'!$E$20</f>
        <v/>
      </c>
    </row>
    <row r="82" ht="22" customHeight="1">
      <c r="B82" s="50">
        <f>'設定'!$I$11</f>
        <v/>
      </c>
      <c r="C82" s="51" t="n"/>
      <c r="D82" s="51" t="n"/>
      <c r="E82" s="51" t="n"/>
      <c r="F82" s="51" t="n"/>
      <c r="G82" s="51" t="n"/>
      <c r="H82" s="51" t="n"/>
      <c r="I82" s="51" t="n"/>
      <c r="J82" s="51" t="n"/>
      <c r="K82" s="51" t="n"/>
      <c r="L82" s="51" t="n"/>
    </row>
    <row r="83" ht="22" customHeight="1">
      <c r="B83" s="50">
        <f>'設定'!$I$12</f>
        <v/>
      </c>
      <c r="C83" s="51" t="n"/>
      <c r="D83" s="51" t="n"/>
      <c r="E83" s="51" t="n"/>
      <c r="F83" s="51" t="n"/>
      <c r="G83" s="51" t="n"/>
      <c r="H83" s="51" t="n"/>
      <c r="I83" s="51" t="n"/>
      <c r="J83" s="51" t="n"/>
      <c r="K83" s="51" t="n"/>
      <c r="L83" s="51" t="n"/>
    </row>
    <row r="84" ht="22" customHeight="1">
      <c r="B84" s="50">
        <f>'設定'!$I$13</f>
        <v/>
      </c>
      <c r="C84" s="51" t="n"/>
      <c r="D84" s="51" t="n"/>
      <c r="E84" s="51" t="n"/>
      <c r="F84" s="51" t="n"/>
      <c r="G84" s="51" t="n"/>
      <c r="H84" s="51" t="n"/>
      <c r="I84" s="51" t="n"/>
      <c r="J84" s="51" t="n"/>
      <c r="K84" s="51" t="n"/>
      <c r="L84" s="51" t="n"/>
    </row>
    <row r="85" ht="22" customHeight="1">
      <c r="B85" s="50">
        <f>'設定'!$I$14</f>
        <v/>
      </c>
      <c r="C85" s="51" t="n"/>
      <c r="D85" s="51" t="n"/>
      <c r="E85" s="51" t="n"/>
      <c r="F85" s="51" t="n"/>
      <c r="G85" s="51" t="n"/>
      <c r="H85" s="51" t="n"/>
      <c r="I85" s="51" t="n"/>
      <c r="J85" s="51" t="n"/>
      <c r="K85" s="51" t="n"/>
      <c r="L85" s="51" t="n"/>
    </row>
    <row r="86" ht="22" customHeight="1">
      <c r="B86" s="50">
        <f>'設定'!$I$15</f>
        <v/>
      </c>
      <c r="C86" s="51" t="n"/>
      <c r="D86" s="51" t="n"/>
      <c r="E86" s="51" t="n"/>
      <c r="F86" s="51" t="n"/>
      <c r="G86" s="51" t="n"/>
      <c r="H86" s="51" t="n"/>
      <c r="I86" s="51" t="n"/>
      <c r="J86" s="51" t="n"/>
      <c r="K86" s="51" t="n"/>
      <c r="L86" s="51" t="n"/>
    </row>
    <row r="87" ht="22" customHeight="1">
      <c r="B87" s="50">
        <f>'設定'!$I$16</f>
        <v/>
      </c>
      <c r="C87" s="51" t="n"/>
      <c r="D87" s="51" t="n"/>
      <c r="E87" s="51" t="n"/>
      <c r="F87" s="51" t="n"/>
      <c r="G87" s="51" t="n"/>
      <c r="H87" s="51" t="n"/>
      <c r="I87" s="51" t="n"/>
      <c r="J87" s="51" t="n"/>
      <c r="K87" s="51" t="n"/>
      <c r="L87" s="51" t="n"/>
    </row>
    <row r="88" ht="22" customHeight="1">
      <c r="B88" s="50">
        <f>'設定'!$I$17</f>
        <v/>
      </c>
      <c r="C88" s="51" t="n"/>
      <c r="D88" s="51" t="n"/>
      <c r="E88" s="51" t="n"/>
      <c r="F88" s="51" t="n"/>
      <c r="G88" s="51" t="n"/>
      <c r="H88" s="51" t="n"/>
      <c r="I88" s="51" t="n"/>
      <c r="J88" s="51" t="n"/>
      <c r="K88" s="51" t="n"/>
      <c r="L88" s="51" t="n"/>
    </row>
    <row r="89" ht="22" customHeight="1">
      <c r="B89" s="50">
        <f>'設定'!$I$18</f>
        <v/>
      </c>
      <c r="C89" s="51" t="n"/>
      <c r="D89" s="51" t="n"/>
      <c r="E89" s="51" t="n"/>
      <c r="F89" s="51" t="n"/>
      <c r="G89" s="51" t="n"/>
      <c r="H89" s="51" t="n"/>
      <c r="I89" s="51" t="n"/>
      <c r="J89" s="51" t="n"/>
      <c r="K89" s="51" t="n"/>
      <c r="L89" s="51" t="n"/>
    </row>
    <row r="90" ht="22" customHeight="1">
      <c r="B90" s="50">
        <f>'設定'!$I$19</f>
        <v/>
      </c>
      <c r="C90" s="51" t="n"/>
      <c r="D90" s="51" t="n"/>
      <c r="E90" s="51" t="n"/>
      <c r="F90" s="51" t="n"/>
      <c r="G90" s="51" t="n"/>
      <c r="H90" s="51" t="n"/>
      <c r="I90" s="51" t="n"/>
      <c r="J90" s="51" t="n"/>
      <c r="K90" s="51" t="n"/>
      <c r="L90" s="51" t="n"/>
    </row>
    <row r="91" ht="22" customHeight="1">
      <c r="B91" s="50">
        <f>'設定'!$I$20</f>
        <v/>
      </c>
      <c r="C91" s="51" t="n"/>
      <c r="D91" s="51" t="n"/>
      <c r="E91" s="51" t="n"/>
      <c r="F91" s="51" t="n"/>
      <c r="G91" s="51" t="n"/>
      <c r="H91" s="51" t="n"/>
      <c r="I91" s="51" t="n"/>
      <c r="J91" s="51" t="n"/>
      <c r="K91" s="51" t="n"/>
      <c r="L91" s="51" t="n"/>
    </row>
    <row r="92" ht="22" customHeight="1">
      <c r="B92" s="50">
        <f>'設定'!$I$21</f>
        <v/>
      </c>
      <c r="C92" s="51" t="n"/>
      <c r="D92" s="51" t="n"/>
      <c r="E92" s="51" t="n"/>
      <c r="F92" s="51" t="n"/>
      <c r="G92" s="51" t="n"/>
      <c r="H92" s="51" t="n"/>
      <c r="I92" s="51" t="n"/>
      <c r="J92" s="51" t="n"/>
      <c r="K92" s="51" t="n"/>
      <c r="L92" s="51" t="n"/>
    </row>
    <row r="93" ht="22" customHeight="1">
      <c r="B93" s="50">
        <f>'設定'!$I$22</f>
        <v/>
      </c>
      <c r="C93" s="51" t="n"/>
      <c r="D93" s="51" t="n"/>
      <c r="E93" s="51" t="n"/>
      <c r="F93" s="51" t="n"/>
      <c r="G93" s="51" t="n"/>
      <c r="H93" s="51" t="n"/>
      <c r="I93" s="51" t="n"/>
      <c r="J93" s="51" t="n"/>
      <c r="K93" s="51" t="n"/>
      <c r="L93" s="51" t="n"/>
    </row>
    <row r="94"/>
    <row r="95" ht="26" customHeight="1">
      <c r="B95" s="45">
        <f>IF('名簿'!B11="","（名簿 7行目：なし）",'名簿'!G11)</f>
        <v/>
      </c>
      <c r="C95" s="4" t="n"/>
      <c r="D95" s="4" t="n"/>
      <c r="E95" s="46" t="inlineStr">
        <is>
          <t>提出状況 ▶</t>
        </is>
      </c>
      <c r="F95" s="33" t="n"/>
      <c r="G95" s="29" t="n"/>
      <c r="H95" s="47" t="inlineStr">
        <is>
          <t>状況：</t>
        </is>
      </c>
      <c r="I95" s="48">
        <f>'名簿'!H11</f>
        <v/>
      </c>
      <c r="J95" s="47" t="inlineStr">
        <is>
          <t>×の数：</t>
        </is>
      </c>
      <c r="K95" s="48">
        <f>'名簿'!I11</f>
        <v/>
      </c>
      <c r="L95" s="4" t="n"/>
    </row>
    <row r="96">
      <c r="B96" s="49" t="inlineStr"/>
      <c r="C96" s="30">
        <f>'設定'!$E$11</f>
        <v/>
      </c>
      <c r="D96" s="30">
        <f>'設定'!$E$12</f>
        <v/>
      </c>
      <c r="E96" s="30">
        <f>'設定'!$E$13</f>
        <v/>
      </c>
      <c r="F96" s="30">
        <f>'設定'!$E$14</f>
        <v/>
      </c>
      <c r="G96" s="30">
        <f>'設定'!$E$15</f>
        <v/>
      </c>
      <c r="H96" s="30">
        <f>'設定'!$E$16</f>
        <v/>
      </c>
      <c r="I96" s="30">
        <f>'設定'!$E$17</f>
        <v/>
      </c>
      <c r="J96" s="30">
        <f>'設定'!$E$18</f>
        <v/>
      </c>
      <c r="K96" s="30">
        <f>'設定'!$E$19</f>
        <v/>
      </c>
      <c r="L96" s="30">
        <f>'設定'!$E$20</f>
        <v/>
      </c>
    </row>
    <row r="97" ht="22" customHeight="1">
      <c r="B97" s="50">
        <f>'設定'!$I$11</f>
        <v/>
      </c>
      <c r="C97" s="51" t="n"/>
      <c r="D97" s="51" t="n"/>
      <c r="E97" s="51" t="n"/>
      <c r="F97" s="51" t="n"/>
      <c r="G97" s="51" t="n"/>
      <c r="H97" s="51" t="n"/>
      <c r="I97" s="51" t="n"/>
      <c r="J97" s="51" t="n"/>
      <c r="K97" s="51" t="n"/>
      <c r="L97" s="51" t="n"/>
    </row>
    <row r="98" ht="22" customHeight="1">
      <c r="B98" s="50">
        <f>'設定'!$I$12</f>
        <v/>
      </c>
      <c r="C98" s="51" t="n"/>
      <c r="D98" s="51" t="n"/>
      <c r="E98" s="51" t="n"/>
      <c r="F98" s="51" t="n"/>
      <c r="G98" s="51" t="n"/>
      <c r="H98" s="51" t="n"/>
      <c r="I98" s="51" t="n"/>
      <c r="J98" s="51" t="n"/>
      <c r="K98" s="51" t="n"/>
      <c r="L98" s="51" t="n"/>
    </row>
    <row r="99" ht="22" customHeight="1">
      <c r="B99" s="50">
        <f>'設定'!$I$13</f>
        <v/>
      </c>
      <c r="C99" s="51" t="n"/>
      <c r="D99" s="51" t="n"/>
      <c r="E99" s="51" t="n"/>
      <c r="F99" s="51" t="n"/>
      <c r="G99" s="51" t="n"/>
      <c r="H99" s="51" t="n"/>
      <c r="I99" s="51" t="n"/>
      <c r="J99" s="51" t="n"/>
      <c r="K99" s="51" t="n"/>
      <c r="L99" s="51" t="n"/>
    </row>
    <row r="100" ht="22" customHeight="1">
      <c r="B100" s="50">
        <f>'設定'!$I$14</f>
        <v/>
      </c>
      <c r="C100" s="51" t="n"/>
      <c r="D100" s="51" t="n"/>
      <c r="E100" s="51" t="n"/>
      <c r="F100" s="51" t="n"/>
      <c r="G100" s="51" t="n"/>
      <c r="H100" s="51" t="n"/>
      <c r="I100" s="51" t="n"/>
      <c r="J100" s="51" t="n"/>
      <c r="K100" s="51" t="n"/>
      <c r="L100" s="51" t="n"/>
    </row>
    <row r="101" ht="22" customHeight="1">
      <c r="B101" s="50">
        <f>'設定'!$I$15</f>
        <v/>
      </c>
      <c r="C101" s="51" t="n"/>
      <c r="D101" s="51" t="n"/>
      <c r="E101" s="51" t="n"/>
      <c r="F101" s="51" t="n"/>
      <c r="G101" s="51" t="n"/>
      <c r="H101" s="51" t="n"/>
      <c r="I101" s="51" t="n"/>
      <c r="J101" s="51" t="n"/>
      <c r="K101" s="51" t="n"/>
      <c r="L101" s="51" t="n"/>
    </row>
    <row r="102" ht="22" customHeight="1">
      <c r="B102" s="50">
        <f>'設定'!$I$16</f>
        <v/>
      </c>
      <c r="C102" s="51" t="n"/>
      <c r="D102" s="51" t="n"/>
      <c r="E102" s="51" t="n"/>
      <c r="F102" s="51" t="n"/>
      <c r="G102" s="51" t="n"/>
      <c r="H102" s="51" t="n"/>
      <c r="I102" s="51" t="n"/>
      <c r="J102" s="51" t="n"/>
      <c r="K102" s="51" t="n"/>
      <c r="L102" s="51" t="n"/>
    </row>
    <row r="103" ht="22" customHeight="1">
      <c r="B103" s="50">
        <f>'設定'!$I$17</f>
        <v/>
      </c>
      <c r="C103" s="51" t="n"/>
      <c r="D103" s="51" t="n"/>
      <c r="E103" s="51" t="n"/>
      <c r="F103" s="51" t="n"/>
      <c r="G103" s="51" t="n"/>
      <c r="H103" s="51" t="n"/>
      <c r="I103" s="51" t="n"/>
      <c r="J103" s="51" t="n"/>
      <c r="K103" s="51" t="n"/>
      <c r="L103" s="51" t="n"/>
    </row>
    <row r="104" ht="22" customHeight="1">
      <c r="B104" s="50">
        <f>'設定'!$I$18</f>
        <v/>
      </c>
      <c r="C104" s="51" t="n"/>
      <c r="D104" s="51" t="n"/>
      <c r="E104" s="51" t="n"/>
      <c r="F104" s="51" t="n"/>
      <c r="G104" s="51" t="n"/>
      <c r="H104" s="51" t="n"/>
      <c r="I104" s="51" t="n"/>
      <c r="J104" s="51" t="n"/>
      <c r="K104" s="51" t="n"/>
      <c r="L104" s="51" t="n"/>
    </row>
    <row r="105" ht="22" customHeight="1">
      <c r="B105" s="50">
        <f>'設定'!$I$19</f>
        <v/>
      </c>
      <c r="C105" s="51" t="n"/>
      <c r="D105" s="51" t="n"/>
      <c r="E105" s="51" t="n"/>
      <c r="F105" s="51" t="n"/>
      <c r="G105" s="51" t="n"/>
      <c r="H105" s="51" t="n"/>
      <c r="I105" s="51" t="n"/>
      <c r="J105" s="51" t="n"/>
      <c r="K105" s="51" t="n"/>
      <c r="L105" s="51" t="n"/>
    </row>
    <row r="106" ht="22" customHeight="1">
      <c r="B106" s="50">
        <f>'設定'!$I$20</f>
        <v/>
      </c>
      <c r="C106" s="51" t="n"/>
      <c r="D106" s="51" t="n"/>
      <c r="E106" s="51" t="n"/>
      <c r="F106" s="51" t="n"/>
      <c r="G106" s="51" t="n"/>
      <c r="H106" s="51" t="n"/>
      <c r="I106" s="51" t="n"/>
      <c r="J106" s="51" t="n"/>
      <c r="K106" s="51" t="n"/>
      <c r="L106" s="51" t="n"/>
    </row>
    <row r="107" ht="22" customHeight="1">
      <c r="B107" s="50">
        <f>'設定'!$I$21</f>
        <v/>
      </c>
      <c r="C107" s="51" t="n"/>
      <c r="D107" s="51" t="n"/>
      <c r="E107" s="51" t="n"/>
      <c r="F107" s="51" t="n"/>
      <c r="G107" s="51" t="n"/>
      <c r="H107" s="51" t="n"/>
      <c r="I107" s="51" t="n"/>
      <c r="J107" s="51" t="n"/>
      <c r="K107" s="51" t="n"/>
      <c r="L107" s="51" t="n"/>
    </row>
    <row r="108" ht="22" customHeight="1">
      <c r="B108" s="50">
        <f>'設定'!$I$22</f>
        <v/>
      </c>
      <c r="C108" s="51" t="n"/>
      <c r="D108" s="51" t="n"/>
      <c r="E108" s="51" t="n"/>
      <c r="F108" s="51" t="n"/>
      <c r="G108" s="51" t="n"/>
      <c r="H108" s="51" t="n"/>
      <c r="I108" s="51" t="n"/>
      <c r="J108" s="51" t="n"/>
      <c r="K108" s="51" t="n"/>
      <c r="L108" s="51" t="n"/>
    </row>
    <row r="109"/>
    <row r="110" ht="26" customHeight="1">
      <c r="B110" s="45">
        <f>IF('名簿'!B12="","（名簿 8行目：なし）",'名簿'!G12)</f>
        <v/>
      </c>
      <c r="C110" s="4" t="n"/>
      <c r="D110" s="4" t="n"/>
      <c r="E110" s="46" t="inlineStr">
        <is>
          <t>提出状況 ▶</t>
        </is>
      </c>
      <c r="F110" s="33" t="n"/>
      <c r="G110" s="29" t="n"/>
      <c r="H110" s="47" t="inlineStr">
        <is>
          <t>状況：</t>
        </is>
      </c>
      <c r="I110" s="48">
        <f>'名簿'!H12</f>
        <v/>
      </c>
      <c r="J110" s="47" t="inlineStr">
        <is>
          <t>×の数：</t>
        </is>
      </c>
      <c r="K110" s="48">
        <f>'名簿'!I12</f>
        <v/>
      </c>
      <c r="L110" s="4" t="n"/>
    </row>
    <row r="111">
      <c r="B111" s="49" t="inlineStr"/>
      <c r="C111" s="30">
        <f>'設定'!$E$11</f>
        <v/>
      </c>
      <c r="D111" s="30">
        <f>'設定'!$E$12</f>
        <v/>
      </c>
      <c r="E111" s="30">
        <f>'設定'!$E$13</f>
        <v/>
      </c>
      <c r="F111" s="30">
        <f>'設定'!$E$14</f>
        <v/>
      </c>
      <c r="G111" s="30">
        <f>'設定'!$E$15</f>
        <v/>
      </c>
      <c r="H111" s="30">
        <f>'設定'!$E$16</f>
        <v/>
      </c>
      <c r="I111" s="30">
        <f>'設定'!$E$17</f>
        <v/>
      </c>
      <c r="J111" s="30">
        <f>'設定'!$E$18</f>
        <v/>
      </c>
      <c r="K111" s="30">
        <f>'設定'!$E$19</f>
        <v/>
      </c>
      <c r="L111" s="30">
        <f>'設定'!$E$20</f>
        <v/>
      </c>
    </row>
    <row r="112" ht="22" customHeight="1">
      <c r="B112" s="50">
        <f>'設定'!$I$11</f>
        <v/>
      </c>
      <c r="C112" s="51" t="n"/>
      <c r="D112" s="51" t="n"/>
      <c r="E112" s="51" t="n"/>
      <c r="F112" s="51" t="n"/>
      <c r="G112" s="51" t="n"/>
      <c r="H112" s="51" t="n"/>
      <c r="I112" s="51" t="n"/>
      <c r="J112" s="51" t="n"/>
      <c r="K112" s="51" t="n"/>
      <c r="L112" s="51" t="n"/>
    </row>
    <row r="113" ht="22" customHeight="1">
      <c r="B113" s="50">
        <f>'設定'!$I$12</f>
        <v/>
      </c>
      <c r="C113" s="51" t="n"/>
      <c r="D113" s="51" t="n"/>
      <c r="E113" s="51" t="n"/>
      <c r="F113" s="51" t="n"/>
      <c r="G113" s="51" t="n"/>
      <c r="H113" s="51" t="n"/>
      <c r="I113" s="51" t="n"/>
      <c r="J113" s="51" t="n"/>
      <c r="K113" s="51" t="n"/>
      <c r="L113" s="51" t="n"/>
    </row>
    <row r="114" ht="22" customHeight="1">
      <c r="B114" s="50">
        <f>'設定'!$I$13</f>
        <v/>
      </c>
      <c r="C114" s="51" t="n"/>
      <c r="D114" s="51" t="n"/>
      <c r="E114" s="51" t="n"/>
      <c r="F114" s="51" t="n"/>
      <c r="G114" s="51" t="n"/>
      <c r="H114" s="51" t="n"/>
      <c r="I114" s="51" t="n"/>
      <c r="J114" s="51" t="n"/>
      <c r="K114" s="51" t="n"/>
      <c r="L114" s="51" t="n"/>
    </row>
    <row r="115" ht="22" customHeight="1">
      <c r="B115" s="50">
        <f>'設定'!$I$14</f>
        <v/>
      </c>
      <c r="C115" s="51" t="n"/>
      <c r="D115" s="51" t="n"/>
      <c r="E115" s="51" t="n"/>
      <c r="F115" s="51" t="n"/>
      <c r="G115" s="51" t="n"/>
      <c r="H115" s="51" t="n"/>
      <c r="I115" s="51" t="n"/>
      <c r="J115" s="51" t="n"/>
      <c r="K115" s="51" t="n"/>
      <c r="L115" s="51" t="n"/>
    </row>
    <row r="116" ht="22" customHeight="1">
      <c r="B116" s="50">
        <f>'設定'!$I$15</f>
        <v/>
      </c>
      <c r="C116" s="51" t="n"/>
      <c r="D116" s="51" t="n"/>
      <c r="E116" s="51" t="n"/>
      <c r="F116" s="51" t="n"/>
      <c r="G116" s="51" t="n"/>
      <c r="H116" s="51" t="n"/>
      <c r="I116" s="51" t="n"/>
      <c r="J116" s="51" t="n"/>
      <c r="K116" s="51" t="n"/>
      <c r="L116" s="51" t="n"/>
    </row>
    <row r="117" ht="22" customHeight="1">
      <c r="B117" s="50">
        <f>'設定'!$I$16</f>
        <v/>
      </c>
      <c r="C117" s="51" t="n"/>
      <c r="D117" s="51" t="n"/>
      <c r="E117" s="51" t="n"/>
      <c r="F117" s="51" t="n"/>
      <c r="G117" s="51" t="n"/>
      <c r="H117" s="51" t="n"/>
      <c r="I117" s="51" t="n"/>
      <c r="J117" s="51" t="n"/>
      <c r="K117" s="51" t="n"/>
      <c r="L117" s="51" t="n"/>
    </row>
    <row r="118" ht="22" customHeight="1">
      <c r="B118" s="50">
        <f>'設定'!$I$17</f>
        <v/>
      </c>
      <c r="C118" s="51" t="n"/>
      <c r="D118" s="51" t="n"/>
      <c r="E118" s="51" t="n"/>
      <c r="F118" s="51" t="n"/>
      <c r="G118" s="51" t="n"/>
      <c r="H118" s="51" t="n"/>
      <c r="I118" s="51" t="n"/>
      <c r="J118" s="51" t="n"/>
      <c r="K118" s="51" t="n"/>
      <c r="L118" s="51" t="n"/>
    </row>
    <row r="119" ht="22" customHeight="1">
      <c r="B119" s="50">
        <f>'設定'!$I$18</f>
        <v/>
      </c>
      <c r="C119" s="51" t="n"/>
      <c r="D119" s="51" t="n"/>
      <c r="E119" s="51" t="n"/>
      <c r="F119" s="51" t="n"/>
      <c r="G119" s="51" t="n"/>
      <c r="H119" s="51" t="n"/>
      <c r="I119" s="51" t="n"/>
      <c r="J119" s="51" t="n"/>
      <c r="K119" s="51" t="n"/>
      <c r="L119" s="51" t="n"/>
    </row>
    <row r="120" ht="22" customHeight="1">
      <c r="B120" s="50">
        <f>'設定'!$I$19</f>
        <v/>
      </c>
      <c r="C120" s="51" t="n"/>
      <c r="D120" s="51" t="n"/>
      <c r="E120" s="51" t="n"/>
      <c r="F120" s="51" t="n"/>
      <c r="G120" s="51" t="n"/>
      <c r="H120" s="51" t="n"/>
      <c r="I120" s="51" t="n"/>
      <c r="J120" s="51" t="n"/>
      <c r="K120" s="51" t="n"/>
      <c r="L120" s="51" t="n"/>
    </row>
    <row r="121" ht="22" customHeight="1">
      <c r="B121" s="50">
        <f>'設定'!$I$20</f>
        <v/>
      </c>
      <c r="C121" s="51" t="n"/>
      <c r="D121" s="51" t="n"/>
      <c r="E121" s="51" t="n"/>
      <c r="F121" s="51" t="n"/>
      <c r="G121" s="51" t="n"/>
      <c r="H121" s="51" t="n"/>
      <c r="I121" s="51" t="n"/>
      <c r="J121" s="51" t="n"/>
      <c r="K121" s="51" t="n"/>
      <c r="L121" s="51" t="n"/>
    </row>
    <row r="122" ht="22" customHeight="1">
      <c r="B122" s="50">
        <f>'設定'!$I$21</f>
        <v/>
      </c>
      <c r="C122" s="51" t="n"/>
      <c r="D122" s="51" t="n"/>
      <c r="E122" s="51" t="n"/>
      <c r="F122" s="51" t="n"/>
      <c r="G122" s="51" t="n"/>
      <c r="H122" s="51" t="n"/>
      <c r="I122" s="51" t="n"/>
      <c r="J122" s="51" t="n"/>
      <c r="K122" s="51" t="n"/>
      <c r="L122" s="51" t="n"/>
    </row>
    <row r="123" ht="22" customHeight="1">
      <c r="B123" s="50">
        <f>'設定'!$I$22</f>
        <v/>
      </c>
      <c r="C123" s="51" t="n"/>
      <c r="D123" s="51" t="n"/>
      <c r="E123" s="51" t="n"/>
      <c r="F123" s="51" t="n"/>
      <c r="G123" s="51" t="n"/>
      <c r="H123" s="51" t="n"/>
      <c r="I123" s="51" t="n"/>
      <c r="J123" s="51" t="n"/>
      <c r="K123" s="51" t="n"/>
      <c r="L123" s="51" t="n"/>
    </row>
    <row r="124"/>
    <row r="125" ht="26" customHeight="1">
      <c r="B125" s="45">
        <f>IF('名簿'!B13="","（名簿 9行目：なし）",'名簿'!G13)</f>
        <v/>
      </c>
      <c r="C125" s="4" t="n"/>
      <c r="D125" s="4" t="n"/>
      <c r="E125" s="46" t="inlineStr">
        <is>
          <t>提出状況 ▶</t>
        </is>
      </c>
      <c r="F125" s="33" t="n"/>
      <c r="G125" s="29" t="n"/>
      <c r="H125" s="47" t="inlineStr">
        <is>
          <t>状況：</t>
        </is>
      </c>
      <c r="I125" s="48">
        <f>'名簿'!H13</f>
        <v/>
      </c>
      <c r="J125" s="47" t="inlineStr">
        <is>
          <t>×の数：</t>
        </is>
      </c>
      <c r="K125" s="48">
        <f>'名簿'!I13</f>
        <v/>
      </c>
      <c r="L125" s="4" t="n"/>
    </row>
    <row r="126">
      <c r="B126" s="49" t="inlineStr"/>
      <c r="C126" s="30">
        <f>'設定'!$E$11</f>
        <v/>
      </c>
      <c r="D126" s="30">
        <f>'設定'!$E$12</f>
        <v/>
      </c>
      <c r="E126" s="30">
        <f>'設定'!$E$13</f>
        <v/>
      </c>
      <c r="F126" s="30">
        <f>'設定'!$E$14</f>
        <v/>
      </c>
      <c r="G126" s="30">
        <f>'設定'!$E$15</f>
        <v/>
      </c>
      <c r="H126" s="30">
        <f>'設定'!$E$16</f>
        <v/>
      </c>
      <c r="I126" s="30">
        <f>'設定'!$E$17</f>
        <v/>
      </c>
      <c r="J126" s="30">
        <f>'設定'!$E$18</f>
        <v/>
      </c>
      <c r="K126" s="30">
        <f>'設定'!$E$19</f>
        <v/>
      </c>
      <c r="L126" s="30">
        <f>'設定'!$E$20</f>
        <v/>
      </c>
    </row>
    <row r="127" ht="22" customHeight="1">
      <c r="B127" s="50">
        <f>'設定'!$I$11</f>
        <v/>
      </c>
      <c r="C127" s="51" t="n"/>
      <c r="D127" s="51" t="n"/>
      <c r="E127" s="51" t="n"/>
      <c r="F127" s="51" t="n"/>
      <c r="G127" s="51" t="n"/>
      <c r="H127" s="51" t="n"/>
      <c r="I127" s="51" t="n"/>
      <c r="J127" s="51" t="n"/>
      <c r="K127" s="51" t="n"/>
      <c r="L127" s="51" t="n"/>
    </row>
    <row r="128" ht="22" customHeight="1">
      <c r="B128" s="50">
        <f>'設定'!$I$12</f>
        <v/>
      </c>
      <c r="C128" s="51" t="n"/>
      <c r="D128" s="51" t="n"/>
      <c r="E128" s="51" t="n"/>
      <c r="F128" s="51" t="n"/>
      <c r="G128" s="51" t="n"/>
      <c r="H128" s="51" t="n"/>
      <c r="I128" s="51" t="n"/>
      <c r="J128" s="51" t="n"/>
      <c r="K128" s="51" t="n"/>
      <c r="L128" s="51" t="n"/>
    </row>
    <row r="129" ht="22" customHeight="1">
      <c r="B129" s="50">
        <f>'設定'!$I$13</f>
        <v/>
      </c>
      <c r="C129" s="51" t="n"/>
      <c r="D129" s="51" t="n"/>
      <c r="E129" s="51" t="n"/>
      <c r="F129" s="51" t="n"/>
      <c r="G129" s="51" t="n"/>
      <c r="H129" s="51" t="n"/>
      <c r="I129" s="51" t="n"/>
      <c r="J129" s="51" t="n"/>
      <c r="K129" s="51" t="n"/>
      <c r="L129" s="51" t="n"/>
    </row>
    <row r="130" ht="22" customHeight="1">
      <c r="B130" s="50">
        <f>'設定'!$I$14</f>
        <v/>
      </c>
      <c r="C130" s="51" t="n"/>
      <c r="D130" s="51" t="n"/>
      <c r="E130" s="51" t="n"/>
      <c r="F130" s="51" t="n"/>
      <c r="G130" s="51" t="n"/>
      <c r="H130" s="51" t="n"/>
      <c r="I130" s="51" t="n"/>
      <c r="J130" s="51" t="n"/>
      <c r="K130" s="51" t="n"/>
      <c r="L130" s="51" t="n"/>
    </row>
    <row r="131" ht="22" customHeight="1">
      <c r="B131" s="50">
        <f>'設定'!$I$15</f>
        <v/>
      </c>
      <c r="C131" s="51" t="n"/>
      <c r="D131" s="51" t="n"/>
      <c r="E131" s="51" t="n"/>
      <c r="F131" s="51" t="n"/>
      <c r="G131" s="51" t="n"/>
      <c r="H131" s="51" t="n"/>
      <c r="I131" s="51" t="n"/>
      <c r="J131" s="51" t="n"/>
      <c r="K131" s="51" t="n"/>
      <c r="L131" s="51" t="n"/>
    </row>
    <row r="132" ht="22" customHeight="1">
      <c r="B132" s="50">
        <f>'設定'!$I$16</f>
        <v/>
      </c>
      <c r="C132" s="51" t="n"/>
      <c r="D132" s="51" t="n"/>
      <c r="E132" s="51" t="n"/>
      <c r="F132" s="51" t="n"/>
      <c r="G132" s="51" t="n"/>
      <c r="H132" s="51" t="n"/>
      <c r="I132" s="51" t="n"/>
      <c r="J132" s="51" t="n"/>
      <c r="K132" s="51" t="n"/>
      <c r="L132" s="51" t="n"/>
    </row>
    <row r="133" ht="22" customHeight="1">
      <c r="B133" s="50">
        <f>'設定'!$I$17</f>
        <v/>
      </c>
      <c r="C133" s="51" t="n"/>
      <c r="D133" s="51" t="n"/>
      <c r="E133" s="51" t="n"/>
      <c r="F133" s="51" t="n"/>
      <c r="G133" s="51" t="n"/>
      <c r="H133" s="51" t="n"/>
      <c r="I133" s="51" t="n"/>
      <c r="J133" s="51" t="n"/>
      <c r="K133" s="51" t="n"/>
      <c r="L133" s="51" t="n"/>
    </row>
    <row r="134" ht="22" customHeight="1">
      <c r="B134" s="50">
        <f>'設定'!$I$18</f>
        <v/>
      </c>
      <c r="C134" s="51" t="n"/>
      <c r="D134" s="51" t="n"/>
      <c r="E134" s="51" t="n"/>
      <c r="F134" s="51" t="n"/>
      <c r="G134" s="51" t="n"/>
      <c r="H134" s="51" t="n"/>
      <c r="I134" s="51" t="n"/>
      <c r="J134" s="51" t="n"/>
      <c r="K134" s="51" t="n"/>
      <c r="L134" s="51" t="n"/>
    </row>
    <row r="135" ht="22" customHeight="1">
      <c r="B135" s="50">
        <f>'設定'!$I$19</f>
        <v/>
      </c>
      <c r="C135" s="51" t="n"/>
      <c r="D135" s="51" t="n"/>
      <c r="E135" s="51" t="n"/>
      <c r="F135" s="51" t="n"/>
      <c r="G135" s="51" t="n"/>
      <c r="H135" s="51" t="n"/>
      <c r="I135" s="51" t="n"/>
      <c r="J135" s="51" t="n"/>
      <c r="K135" s="51" t="n"/>
      <c r="L135" s="51" t="n"/>
    </row>
    <row r="136" ht="22" customHeight="1">
      <c r="B136" s="50">
        <f>'設定'!$I$20</f>
        <v/>
      </c>
      <c r="C136" s="51" t="n"/>
      <c r="D136" s="51" t="n"/>
      <c r="E136" s="51" t="n"/>
      <c r="F136" s="51" t="n"/>
      <c r="G136" s="51" t="n"/>
      <c r="H136" s="51" t="n"/>
      <c r="I136" s="51" t="n"/>
      <c r="J136" s="51" t="n"/>
      <c r="K136" s="51" t="n"/>
      <c r="L136" s="51" t="n"/>
    </row>
    <row r="137" ht="22" customHeight="1">
      <c r="B137" s="50">
        <f>'設定'!$I$21</f>
        <v/>
      </c>
      <c r="C137" s="51" t="n"/>
      <c r="D137" s="51" t="n"/>
      <c r="E137" s="51" t="n"/>
      <c r="F137" s="51" t="n"/>
      <c r="G137" s="51" t="n"/>
      <c r="H137" s="51" t="n"/>
      <c r="I137" s="51" t="n"/>
      <c r="J137" s="51" t="n"/>
      <c r="K137" s="51" t="n"/>
      <c r="L137" s="51" t="n"/>
    </row>
    <row r="138" ht="22" customHeight="1">
      <c r="B138" s="50">
        <f>'設定'!$I$22</f>
        <v/>
      </c>
      <c r="C138" s="51" t="n"/>
      <c r="D138" s="51" t="n"/>
      <c r="E138" s="51" t="n"/>
      <c r="F138" s="51" t="n"/>
      <c r="G138" s="51" t="n"/>
      <c r="H138" s="51" t="n"/>
      <c r="I138" s="51" t="n"/>
      <c r="J138" s="51" t="n"/>
      <c r="K138" s="51" t="n"/>
      <c r="L138" s="51" t="n"/>
    </row>
    <row r="139"/>
    <row r="140" ht="26" customHeight="1">
      <c r="B140" s="45">
        <f>IF('名簿'!B14="","（名簿 10行目：なし）",'名簿'!G14)</f>
        <v/>
      </c>
      <c r="C140" s="4" t="n"/>
      <c r="D140" s="4" t="n"/>
      <c r="E140" s="46" t="inlineStr">
        <is>
          <t>提出状況 ▶</t>
        </is>
      </c>
      <c r="F140" s="33" t="n"/>
      <c r="G140" s="29" t="n"/>
      <c r="H140" s="47" t="inlineStr">
        <is>
          <t>状況：</t>
        </is>
      </c>
      <c r="I140" s="48">
        <f>'名簿'!H14</f>
        <v/>
      </c>
      <c r="J140" s="47" t="inlineStr">
        <is>
          <t>×の数：</t>
        </is>
      </c>
      <c r="K140" s="48">
        <f>'名簿'!I14</f>
        <v/>
      </c>
      <c r="L140" s="4" t="n"/>
    </row>
    <row r="141">
      <c r="B141" s="49" t="inlineStr"/>
      <c r="C141" s="30">
        <f>'設定'!$E$11</f>
        <v/>
      </c>
      <c r="D141" s="30">
        <f>'設定'!$E$12</f>
        <v/>
      </c>
      <c r="E141" s="30">
        <f>'設定'!$E$13</f>
        <v/>
      </c>
      <c r="F141" s="30">
        <f>'設定'!$E$14</f>
        <v/>
      </c>
      <c r="G141" s="30">
        <f>'設定'!$E$15</f>
        <v/>
      </c>
      <c r="H141" s="30">
        <f>'設定'!$E$16</f>
        <v/>
      </c>
      <c r="I141" s="30">
        <f>'設定'!$E$17</f>
        <v/>
      </c>
      <c r="J141" s="30">
        <f>'設定'!$E$18</f>
        <v/>
      </c>
      <c r="K141" s="30">
        <f>'設定'!$E$19</f>
        <v/>
      </c>
      <c r="L141" s="30">
        <f>'設定'!$E$20</f>
        <v/>
      </c>
    </row>
    <row r="142" ht="22" customHeight="1">
      <c r="B142" s="50">
        <f>'設定'!$I$11</f>
        <v/>
      </c>
      <c r="C142" s="51" t="n"/>
      <c r="D142" s="51" t="n"/>
      <c r="E142" s="51" t="n"/>
      <c r="F142" s="51" t="n"/>
      <c r="G142" s="51" t="n"/>
      <c r="H142" s="51" t="n"/>
      <c r="I142" s="51" t="n"/>
      <c r="J142" s="51" t="n"/>
      <c r="K142" s="51" t="n"/>
      <c r="L142" s="51" t="n"/>
    </row>
    <row r="143" ht="22" customHeight="1">
      <c r="B143" s="50">
        <f>'設定'!$I$12</f>
        <v/>
      </c>
      <c r="C143" s="51" t="n"/>
      <c r="D143" s="51" t="n"/>
      <c r="E143" s="51" t="n"/>
      <c r="F143" s="51" t="n"/>
      <c r="G143" s="51" t="n"/>
      <c r="H143" s="51" t="n"/>
      <c r="I143" s="51" t="n"/>
      <c r="J143" s="51" t="n"/>
      <c r="K143" s="51" t="n"/>
      <c r="L143" s="51" t="n"/>
    </row>
    <row r="144" ht="22" customHeight="1">
      <c r="B144" s="50">
        <f>'設定'!$I$13</f>
        <v/>
      </c>
      <c r="C144" s="51" t="n"/>
      <c r="D144" s="51" t="n"/>
      <c r="E144" s="51" t="n"/>
      <c r="F144" s="51" t="n"/>
      <c r="G144" s="51" t="n"/>
      <c r="H144" s="51" t="n"/>
      <c r="I144" s="51" t="n"/>
      <c r="J144" s="51" t="n"/>
      <c r="K144" s="51" t="n"/>
      <c r="L144" s="51" t="n"/>
    </row>
    <row r="145" ht="22" customHeight="1">
      <c r="B145" s="50">
        <f>'設定'!$I$14</f>
        <v/>
      </c>
      <c r="C145" s="51" t="n"/>
      <c r="D145" s="51" t="n"/>
      <c r="E145" s="51" t="n"/>
      <c r="F145" s="51" t="n"/>
      <c r="G145" s="51" t="n"/>
      <c r="H145" s="51" t="n"/>
      <c r="I145" s="51" t="n"/>
      <c r="J145" s="51" t="n"/>
      <c r="K145" s="51" t="n"/>
      <c r="L145" s="51" t="n"/>
    </row>
    <row r="146" ht="22" customHeight="1">
      <c r="B146" s="50">
        <f>'設定'!$I$15</f>
        <v/>
      </c>
      <c r="C146" s="51" t="n"/>
      <c r="D146" s="51" t="n"/>
      <c r="E146" s="51" t="n"/>
      <c r="F146" s="51" t="n"/>
      <c r="G146" s="51" t="n"/>
      <c r="H146" s="51" t="n"/>
      <c r="I146" s="51" t="n"/>
      <c r="J146" s="51" t="n"/>
      <c r="K146" s="51" t="n"/>
      <c r="L146" s="51" t="n"/>
    </row>
    <row r="147" ht="22" customHeight="1">
      <c r="B147" s="50">
        <f>'設定'!$I$16</f>
        <v/>
      </c>
      <c r="C147" s="51" t="n"/>
      <c r="D147" s="51" t="n"/>
      <c r="E147" s="51" t="n"/>
      <c r="F147" s="51" t="n"/>
      <c r="G147" s="51" t="n"/>
      <c r="H147" s="51" t="n"/>
      <c r="I147" s="51" t="n"/>
      <c r="J147" s="51" t="n"/>
      <c r="K147" s="51" t="n"/>
      <c r="L147" s="51" t="n"/>
    </row>
    <row r="148" ht="22" customHeight="1">
      <c r="B148" s="50">
        <f>'設定'!$I$17</f>
        <v/>
      </c>
      <c r="C148" s="51" t="n"/>
      <c r="D148" s="51" t="n"/>
      <c r="E148" s="51" t="n"/>
      <c r="F148" s="51" t="n"/>
      <c r="G148" s="51" t="n"/>
      <c r="H148" s="51" t="n"/>
      <c r="I148" s="51" t="n"/>
      <c r="J148" s="51" t="n"/>
      <c r="K148" s="51" t="n"/>
      <c r="L148" s="51" t="n"/>
    </row>
    <row r="149" ht="22" customHeight="1">
      <c r="B149" s="50">
        <f>'設定'!$I$18</f>
        <v/>
      </c>
      <c r="C149" s="51" t="n"/>
      <c r="D149" s="51" t="n"/>
      <c r="E149" s="51" t="n"/>
      <c r="F149" s="51" t="n"/>
      <c r="G149" s="51" t="n"/>
      <c r="H149" s="51" t="n"/>
      <c r="I149" s="51" t="n"/>
      <c r="J149" s="51" t="n"/>
      <c r="K149" s="51" t="n"/>
      <c r="L149" s="51" t="n"/>
    </row>
    <row r="150" ht="22" customHeight="1">
      <c r="B150" s="50">
        <f>'設定'!$I$19</f>
        <v/>
      </c>
      <c r="C150" s="51" t="n"/>
      <c r="D150" s="51" t="n"/>
      <c r="E150" s="51" t="n"/>
      <c r="F150" s="51" t="n"/>
      <c r="G150" s="51" t="n"/>
      <c r="H150" s="51" t="n"/>
      <c r="I150" s="51" t="n"/>
      <c r="J150" s="51" t="n"/>
      <c r="K150" s="51" t="n"/>
      <c r="L150" s="51" t="n"/>
    </row>
    <row r="151" ht="22" customHeight="1">
      <c r="B151" s="50">
        <f>'設定'!$I$20</f>
        <v/>
      </c>
      <c r="C151" s="51" t="n"/>
      <c r="D151" s="51" t="n"/>
      <c r="E151" s="51" t="n"/>
      <c r="F151" s="51" t="n"/>
      <c r="G151" s="51" t="n"/>
      <c r="H151" s="51" t="n"/>
      <c r="I151" s="51" t="n"/>
      <c r="J151" s="51" t="n"/>
      <c r="K151" s="51" t="n"/>
      <c r="L151" s="51" t="n"/>
    </row>
    <row r="152" ht="22" customHeight="1">
      <c r="B152" s="50">
        <f>'設定'!$I$21</f>
        <v/>
      </c>
      <c r="C152" s="51" t="n"/>
      <c r="D152" s="51" t="n"/>
      <c r="E152" s="51" t="n"/>
      <c r="F152" s="51" t="n"/>
      <c r="G152" s="51" t="n"/>
      <c r="H152" s="51" t="n"/>
      <c r="I152" s="51" t="n"/>
      <c r="J152" s="51" t="n"/>
      <c r="K152" s="51" t="n"/>
      <c r="L152" s="51" t="n"/>
    </row>
    <row r="153" ht="22" customHeight="1">
      <c r="B153" s="50">
        <f>'設定'!$I$22</f>
        <v/>
      </c>
      <c r="C153" s="51" t="n"/>
      <c r="D153" s="51" t="n"/>
      <c r="E153" s="51" t="n"/>
      <c r="F153" s="51" t="n"/>
      <c r="G153" s="51" t="n"/>
      <c r="H153" s="51" t="n"/>
      <c r="I153" s="51" t="n"/>
      <c r="J153" s="51" t="n"/>
      <c r="K153" s="51" t="n"/>
      <c r="L153" s="51" t="n"/>
    </row>
    <row r="154"/>
    <row r="155" ht="26" customHeight="1">
      <c r="B155" s="45">
        <f>IF('名簿'!B15="","（名簿 11行目：なし）",'名簿'!G15)</f>
        <v/>
      </c>
      <c r="C155" s="4" t="n"/>
      <c r="D155" s="4" t="n"/>
      <c r="E155" s="46" t="inlineStr">
        <is>
          <t>提出状況 ▶</t>
        </is>
      </c>
      <c r="F155" s="33" t="n"/>
      <c r="G155" s="29" t="n"/>
      <c r="H155" s="47" t="inlineStr">
        <is>
          <t>状況：</t>
        </is>
      </c>
      <c r="I155" s="48">
        <f>'名簿'!H15</f>
        <v/>
      </c>
      <c r="J155" s="47" t="inlineStr">
        <is>
          <t>×の数：</t>
        </is>
      </c>
      <c r="K155" s="48">
        <f>'名簿'!I15</f>
        <v/>
      </c>
      <c r="L155" s="4" t="n"/>
    </row>
    <row r="156">
      <c r="B156" s="49" t="inlineStr"/>
      <c r="C156" s="30">
        <f>'設定'!$E$11</f>
        <v/>
      </c>
      <c r="D156" s="30">
        <f>'設定'!$E$12</f>
        <v/>
      </c>
      <c r="E156" s="30">
        <f>'設定'!$E$13</f>
        <v/>
      </c>
      <c r="F156" s="30">
        <f>'設定'!$E$14</f>
        <v/>
      </c>
      <c r="G156" s="30">
        <f>'設定'!$E$15</f>
        <v/>
      </c>
      <c r="H156" s="30">
        <f>'設定'!$E$16</f>
        <v/>
      </c>
      <c r="I156" s="30">
        <f>'設定'!$E$17</f>
        <v/>
      </c>
      <c r="J156" s="30">
        <f>'設定'!$E$18</f>
        <v/>
      </c>
      <c r="K156" s="30">
        <f>'設定'!$E$19</f>
        <v/>
      </c>
      <c r="L156" s="30">
        <f>'設定'!$E$20</f>
        <v/>
      </c>
    </row>
    <row r="157" ht="22" customHeight="1">
      <c r="B157" s="50">
        <f>'設定'!$I$11</f>
        <v/>
      </c>
      <c r="C157" s="51" t="n"/>
      <c r="D157" s="51" t="n"/>
      <c r="E157" s="51" t="n"/>
      <c r="F157" s="51" t="n"/>
      <c r="G157" s="51" t="n"/>
      <c r="H157" s="51" t="n"/>
      <c r="I157" s="51" t="n"/>
      <c r="J157" s="51" t="n"/>
      <c r="K157" s="51" t="n"/>
      <c r="L157" s="51" t="n"/>
    </row>
    <row r="158" ht="22" customHeight="1">
      <c r="B158" s="50">
        <f>'設定'!$I$12</f>
        <v/>
      </c>
      <c r="C158" s="51" t="n"/>
      <c r="D158" s="51" t="n"/>
      <c r="E158" s="51" t="n"/>
      <c r="F158" s="51" t="n"/>
      <c r="G158" s="51" t="n"/>
      <c r="H158" s="51" t="n"/>
      <c r="I158" s="51" t="n"/>
      <c r="J158" s="51" t="n"/>
      <c r="K158" s="51" t="n"/>
      <c r="L158" s="51" t="n"/>
    </row>
    <row r="159" ht="22" customHeight="1">
      <c r="B159" s="50">
        <f>'設定'!$I$13</f>
        <v/>
      </c>
      <c r="C159" s="51" t="n"/>
      <c r="D159" s="51" t="n"/>
      <c r="E159" s="51" t="n"/>
      <c r="F159" s="51" t="n"/>
      <c r="G159" s="51" t="n"/>
      <c r="H159" s="51" t="n"/>
      <c r="I159" s="51" t="n"/>
      <c r="J159" s="51" t="n"/>
      <c r="K159" s="51" t="n"/>
      <c r="L159" s="51" t="n"/>
    </row>
    <row r="160" ht="22" customHeight="1">
      <c r="B160" s="50">
        <f>'設定'!$I$14</f>
        <v/>
      </c>
      <c r="C160" s="51" t="n"/>
      <c r="D160" s="51" t="n"/>
      <c r="E160" s="51" t="n"/>
      <c r="F160" s="51" t="n"/>
      <c r="G160" s="51" t="n"/>
      <c r="H160" s="51" t="n"/>
      <c r="I160" s="51" t="n"/>
      <c r="J160" s="51" t="n"/>
      <c r="K160" s="51" t="n"/>
      <c r="L160" s="51" t="n"/>
    </row>
    <row r="161" ht="22" customHeight="1">
      <c r="B161" s="50">
        <f>'設定'!$I$15</f>
        <v/>
      </c>
      <c r="C161" s="51" t="n"/>
      <c r="D161" s="51" t="n"/>
      <c r="E161" s="51" t="n"/>
      <c r="F161" s="51" t="n"/>
      <c r="G161" s="51" t="n"/>
      <c r="H161" s="51" t="n"/>
      <c r="I161" s="51" t="n"/>
      <c r="J161" s="51" t="n"/>
      <c r="K161" s="51" t="n"/>
      <c r="L161" s="51" t="n"/>
    </row>
    <row r="162" ht="22" customHeight="1">
      <c r="B162" s="50">
        <f>'設定'!$I$16</f>
        <v/>
      </c>
      <c r="C162" s="51" t="n"/>
      <c r="D162" s="51" t="n"/>
      <c r="E162" s="51" t="n"/>
      <c r="F162" s="51" t="n"/>
      <c r="G162" s="51" t="n"/>
      <c r="H162" s="51" t="n"/>
      <c r="I162" s="51" t="n"/>
      <c r="J162" s="51" t="n"/>
      <c r="K162" s="51" t="n"/>
      <c r="L162" s="51" t="n"/>
    </row>
    <row r="163" ht="22" customHeight="1">
      <c r="B163" s="50">
        <f>'設定'!$I$17</f>
        <v/>
      </c>
      <c r="C163" s="51" t="n"/>
      <c r="D163" s="51" t="n"/>
      <c r="E163" s="51" t="n"/>
      <c r="F163" s="51" t="n"/>
      <c r="G163" s="51" t="n"/>
      <c r="H163" s="51" t="n"/>
      <c r="I163" s="51" t="n"/>
      <c r="J163" s="51" t="n"/>
      <c r="K163" s="51" t="n"/>
      <c r="L163" s="51" t="n"/>
    </row>
    <row r="164" ht="22" customHeight="1">
      <c r="B164" s="50">
        <f>'設定'!$I$18</f>
        <v/>
      </c>
      <c r="C164" s="51" t="n"/>
      <c r="D164" s="51" t="n"/>
      <c r="E164" s="51" t="n"/>
      <c r="F164" s="51" t="n"/>
      <c r="G164" s="51" t="n"/>
      <c r="H164" s="51" t="n"/>
      <c r="I164" s="51" t="n"/>
      <c r="J164" s="51" t="n"/>
      <c r="K164" s="51" t="n"/>
      <c r="L164" s="51" t="n"/>
    </row>
    <row r="165" ht="22" customHeight="1">
      <c r="B165" s="50">
        <f>'設定'!$I$19</f>
        <v/>
      </c>
      <c r="C165" s="51" t="n"/>
      <c r="D165" s="51" t="n"/>
      <c r="E165" s="51" t="n"/>
      <c r="F165" s="51" t="n"/>
      <c r="G165" s="51" t="n"/>
      <c r="H165" s="51" t="n"/>
      <c r="I165" s="51" t="n"/>
      <c r="J165" s="51" t="n"/>
      <c r="K165" s="51" t="n"/>
      <c r="L165" s="51" t="n"/>
    </row>
    <row r="166" ht="22" customHeight="1">
      <c r="B166" s="50">
        <f>'設定'!$I$20</f>
        <v/>
      </c>
      <c r="C166" s="51" t="n"/>
      <c r="D166" s="51" t="n"/>
      <c r="E166" s="51" t="n"/>
      <c r="F166" s="51" t="n"/>
      <c r="G166" s="51" t="n"/>
      <c r="H166" s="51" t="n"/>
      <c r="I166" s="51" t="n"/>
      <c r="J166" s="51" t="n"/>
      <c r="K166" s="51" t="n"/>
      <c r="L166" s="51" t="n"/>
    </row>
    <row r="167" ht="22" customHeight="1">
      <c r="B167" s="50">
        <f>'設定'!$I$21</f>
        <v/>
      </c>
      <c r="C167" s="51" t="n"/>
      <c r="D167" s="51" t="n"/>
      <c r="E167" s="51" t="n"/>
      <c r="F167" s="51" t="n"/>
      <c r="G167" s="51" t="n"/>
      <c r="H167" s="51" t="n"/>
      <c r="I167" s="51" t="n"/>
      <c r="J167" s="51" t="n"/>
      <c r="K167" s="51" t="n"/>
      <c r="L167" s="51" t="n"/>
    </row>
    <row r="168" ht="22" customHeight="1">
      <c r="B168" s="50">
        <f>'設定'!$I$22</f>
        <v/>
      </c>
      <c r="C168" s="51" t="n"/>
      <c r="D168" s="51" t="n"/>
      <c r="E168" s="51" t="n"/>
      <c r="F168" s="51" t="n"/>
      <c r="G168" s="51" t="n"/>
      <c r="H168" s="51" t="n"/>
      <c r="I168" s="51" t="n"/>
      <c r="J168" s="51" t="n"/>
      <c r="K168" s="51" t="n"/>
      <c r="L168" s="51" t="n"/>
    </row>
    <row r="169"/>
    <row r="170" ht="26" customHeight="1">
      <c r="B170" s="45">
        <f>IF('名簿'!B16="","（名簿 12行目：なし）",'名簿'!G16)</f>
        <v/>
      </c>
      <c r="C170" s="4" t="n"/>
      <c r="D170" s="4" t="n"/>
      <c r="E170" s="46" t="inlineStr">
        <is>
          <t>提出状況 ▶</t>
        </is>
      </c>
      <c r="F170" s="33" t="n"/>
      <c r="G170" s="29" t="n"/>
      <c r="H170" s="47" t="inlineStr">
        <is>
          <t>状況：</t>
        </is>
      </c>
      <c r="I170" s="48">
        <f>'名簿'!H16</f>
        <v/>
      </c>
      <c r="J170" s="47" t="inlineStr">
        <is>
          <t>×の数：</t>
        </is>
      </c>
      <c r="K170" s="48">
        <f>'名簿'!I16</f>
        <v/>
      </c>
      <c r="L170" s="4" t="n"/>
    </row>
    <row r="171">
      <c r="B171" s="49" t="inlineStr"/>
      <c r="C171" s="30">
        <f>'設定'!$E$11</f>
        <v/>
      </c>
      <c r="D171" s="30">
        <f>'設定'!$E$12</f>
        <v/>
      </c>
      <c r="E171" s="30">
        <f>'設定'!$E$13</f>
        <v/>
      </c>
      <c r="F171" s="30">
        <f>'設定'!$E$14</f>
        <v/>
      </c>
      <c r="G171" s="30">
        <f>'設定'!$E$15</f>
        <v/>
      </c>
      <c r="H171" s="30">
        <f>'設定'!$E$16</f>
        <v/>
      </c>
      <c r="I171" s="30">
        <f>'設定'!$E$17</f>
        <v/>
      </c>
      <c r="J171" s="30">
        <f>'設定'!$E$18</f>
        <v/>
      </c>
      <c r="K171" s="30">
        <f>'設定'!$E$19</f>
        <v/>
      </c>
      <c r="L171" s="30">
        <f>'設定'!$E$20</f>
        <v/>
      </c>
    </row>
    <row r="172" ht="22" customHeight="1">
      <c r="B172" s="50">
        <f>'設定'!$I$11</f>
        <v/>
      </c>
      <c r="C172" s="51" t="n"/>
      <c r="D172" s="51" t="n"/>
      <c r="E172" s="51" t="n"/>
      <c r="F172" s="51" t="n"/>
      <c r="G172" s="51" t="n"/>
      <c r="H172" s="51" t="n"/>
      <c r="I172" s="51" t="n"/>
      <c r="J172" s="51" t="n"/>
      <c r="K172" s="51" t="n"/>
      <c r="L172" s="51" t="n"/>
    </row>
    <row r="173" ht="22" customHeight="1">
      <c r="B173" s="50">
        <f>'設定'!$I$12</f>
        <v/>
      </c>
      <c r="C173" s="51" t="n"/>
      <c r="D173" s="51" t="n"/>
      <c r="E173" s="51" t="n"/>
      <c r="F173" s="51" t="n"/>
      <c r="G173" s="51" t="n"/>
      <c r="H173" s="51" t="n"/>
      <c r="I173" s="51" t="n"/>
      <c r="J173" s="51" t="n"/>
      <c r="K173" s="51" t="n"/>
      <c r="L173" s="51" t="n"/>
    </row>
    <row r="174" ht="22" customHeight="1">
      <c r="B174" s="50">
        <f>'設定'!$I$13</f>
        <v/>
      </c>
      <c r="C174" s="51" t="n"/>
      <c r="D174" s="51" t="n"/>
      <c r="E174" s="51" t="n"/>
      <c r="F174" s="51" t="n"/>
      <c r="G174" s="51" t="n"/>
      <c r="H174" s="51" t="n"/>
      <c r="I174" s="51" t="n"/>
      <c r="J174" s="51" t="n"/>
      <c r="K174" s="51" t="n"/>
      <c r="L174" s="51" t="n"/>
    </row>
    <row r="175" ht="22" customHeight="1">
      <c r="B175" s="50">
        <f>'設定'!$I$14</f>
        <v/>
      </c>
      <c r="C175" s="51" t="n"/>
      <c r="D175" s="51" t="n"/>
      <c r="E175" s="51" t="n"/>
      <c r="F175" s="51" t="n"/>
      <c r="G175" s="51" t="n"/>
      <c r="H175" s="51" t="n"/>
      <c r="I175" s="51" t="n"/>
      <c r="J175" s="51" t="n"/>
      <c r="K175" s="51" t="n"/>
      <c r="L175" s="51" t="n"/>
    </row>
    <row r="176" ht="22" customHeight="1">
      <c r="B176" s="50">
        <f>'設定'!$I$15</f>
        <v/>
      </c>
      <c r="C176" s="51" t="n"/>
      <c r="D176" s="51" t="n"/>
      <c r="E176" s="51" t="n"/>
      <c r="F176" s="51" t="n"/>
      <c r="G176" s="51" t="n"/>
      <c r="H176" s="51" t="n"/>
      <c r="I176" s="51" t="n"/>
      <c r="J176" s="51" t="n"/>
      <c r="K176" s="51" t="n"/>
      <c r="L176" s="51" t="n"/>
    </row>
    <row r="177" ht="22" customHeight="1">
      <c r="B177" s="50">
        <f>'設定'!$I$16</f>
        <v/>
      </c>
      <c r="C177" s="51" t="n"/>
      <c r="D177" s="51" t="n"/>
      <c r="E177" s="51" t="n"/>
      <c r="F177" s="51" t="n"/>
      <c r="G177" s="51" t="n"/>
      <c r="H177" s="51" t="n"/>
      <c r="I177" s="51" t="n"/>
      <c r="J177" s="51" t="n"/>
      <c r="K177" s="51" t="n"/>
      <c r="L177" s="51" t="n"/>
    </row>
    <row r="178" ht="22" customHeight="1">
      <c r="B178" s="50">
        <f>'設定'!$I$17</f>
        <v/>
      </c>
      <c r="C178" s="51" t="n"/>
      <c r="D178" s="51" t="n"/>
      <c r="E178" s="51" t="n"/>
      <c r="F178" s="51" t="n"/>
      <c r="G178" s="51" t="n"/>
      <c r="H178" s="51" t="n"/>
      <c r="I178" s="51" t="n"/>
      <c r="J178" s="51" t="n"/>
      <c r="K178" s="51" t="n"/>
      <c r="L178" s="51" t="n"/>
    </row>
    <row r="179" ht="22" customHeight="1">
      <c r="B179" s="50">
        <f>'設定'!$I$18</f>
        <v/>
      </c>
      <c r="C179" s="51" t="n"/>
      <c r="D179" s="51" t="n"/>
      <c r="E179" s="51" t="n"/>
      <c r="F179" s="51" t="n"/>
      <c r="G179" s="51" t="n"/>
      <c r="H179" s="51" t="n"/>
      <c r="I179" s="51" t="n"/>
      <c r="J179" s="51" t="n"/>
      <c r="K179" s="51" t="n"/>
      <c r="L179" s="51" t="n"/>
    </row>
    <row r="180" ht="22" customHeight="1">
      <c r="B180" s="50">
        <f>'設定'!$I$19</f>
        <v/>
      </c>
      <c r="C180" s="51" t="n"/>
      <c r="D180" s="51" t="n"/>
      <c r="E180" s="51" t="n"/>
      <c r="F180" s="51" t="n"/>
      <c r="G180" s="51" t="n"/>
      <c r="H180" s="51" t="n"/>
      <c r="I180" s="51" t="n"/>
      <c r="J180" s="51" t="n"/>
      <c r="K180" s="51" t="n"/>
      <c r="L180" s="51" t="n"/>
    </row>
    <row r="181" ht="22" customHeight="1">
      <c r="B181" s="50">
        <f>'設定'!$I$20</f>
        <v/>
      </c>
      <c r="C181" s="51" t="n"/>
      <c r="D181" s="51" t="n"/>
      <c r="E181" s="51" t="n"/>
      <c r="F181" s="51" t="n"/>
      <c r="G181" s="51" t="n"/>
      <c r="H181" s="51" t="n"/>
      <c r="I181" s="51" t="n"/>
      <c r="J181" s="51" t="n"/>
      <c r="K181" s="51" t="n"/>
      <c r="L181" s="51" t="n"/>
    </row>
    <row r="182" ht="22" customHeight="1">
      <c r="B182" s="50">
        <f>'設定'!$I$21</f>
        <v/>
      </c>
      <c r="C182" s="51" t="n"/>
      <c r="D182" s="51" t="n"/>
      <c r="E182" s="51" t="n"/>
      <c r="F182" s="51" t="n"/>
      <c r="G182" s="51" t="n"/>
      <c r="H182" s="51" t="n"/>
      <c r="I182" s="51" t="n"/>
      <c r="J182" s="51" t="n"/>
      <c r="K182" s="51" t="n"/>
      <c r="L182" s="51" t="n"/>
    </row>
    <row r="183" ht="22" customHeight="1">
      <c r="B183" s="50">
        <f>'設定'!$I$22</f>
        <v/>
      </c>
      <c r="C183" s="51" t="n"/>
      <c r="D183" s="51" t="n"/>
      <c r="E183" s="51" t="n"/>
      <c r="F183" s="51" t="n"/>
      <c r="G183" s="51" t="n"/>
      <c r="H183" s="51" t="n"/>
      <c r="I183" s="51" t="n"/>
      <c r="J183" s="51" t="n"/>
      <c r="K183" s="51" t="n"/>
      <c r="L183" s="51" t="n"/>
    </row>
    <row r="184"/>
    <row r="185" ht="26" customHeight="1">
      <c r="B185" s="45">
        <f>IF('名簿'!B17="","（名簿 13行目：なし）",'名簿'!G17)</f>
        <v/>
      </c>
      <c r="C185" s="4" t="n"/>
      <c r="D185" s="4" t="n"/>
      <c r="E185" s="46" t="inlineStr">
        <is>
          <t>提出状況 ▶</t>
        </is>
      </c>
      <c r="F185" s="33" t="n"/>
      <c r="G185" s="29" t="n"/>
      <c r="H185" s="47" t="inlineStr">
        <is>
          <t>状況：</t>
        </is>
      </c>
      <c r="I185" s="48">
        <f>'名簿'!H17</f>
        <v/>
      </c>
      <c r="J185" s="47" t="inlineStr">
        <is>
          <t>×の数：</t>
        </is>
      </c>
      <c r="K185" s="48">
        <f>'名簿'!I17</f>
        <v/>
      </c>
      <c r="L185" s="4" t="n"/>
    </row>
    <row r="186">
      <c r="B186" s="49" t="inlineStr"/>
      <c r="C186" s="30">
        <f>'設定'!$E$11</f>
        <v/>
      </c>
      <c r="D186" s="30">
        <f>'設定'!$E$12</f>
        <v/>
      </c>
      <c r="E186" s="30">
        <f>'設定'!$E$13</f>
        <v/>
      </c>
      <c r="F186" s="30">
        <f>'設定'!$E$14</f>
        <v/>
      </c>
      <c r="G186" s="30">
        <f>'設定'!$E$15</f>
        <v/>
      </c>
      <c r="H186" s="30">
        <f>'設定'!$E$16</f>
        <v/>
      </c>
      <c r="I186" s="30">
        <f>'設定'!$E$17</f>
        <v/>
      </c>
      <c r="J186" s="30">
        <f>'設定'!$E$18</f>
        <v/>
      </c>
      <c r="K186" s="30">
        <f>'設定'!$E$19</f>
        <v/>
      </c>
      <c r="L186" s="30">
        <f>'設定'!$E$20</f>
        <v/>
      </c>
    </row>
    <row r="187" ht="22" customHeight="1">
      <c r="B187" s="50">
        <f>'設定'!$I$11</f>
        <v/>
      </c>
      <c r="C187" s="51" t="n"/>
      <c r="D187" s="51" t="n"/>
      <c r="E187" s="51" t="n"/>
      <c r="F187" s="51" t="n"/>
      <c r="G187" s="51" t="n"/>
      <c r="H187" s="51" t="n"/>
      <c r="I187" s="51" t="n"/>
      <c r="J187" s="51" t="n"/>
      <c r="K187" s="51" t="n"/>
      <c r="L187" s="51" t="n"/>
    </row>
    <row r="188" ht="22" customHeight="1">
      <c r="B188" s="50">
        <f>'設定'!$I$12</f>
        <v/>
      </c>
      <c r="C188" s="51" t="n"/>
      <c r="D188" s="51" t="n"/>
      <c r="E188" s="51" t="n"/>
      <c r="F188" s="51" t="n"/>
      <c r="G188" s="51" t="n"/>
      <c r="H188" s="51" t="n"/>
      <c r="I188" s="51" t="n"/>
      <c r="J188" s="51" t="n"/>
      <c r="K188" s="51" t="n"/>
      <c r="L188" s="51" t="n"/>
    </row>
    <row r="189" ht="22" customHeight="1">
      <c r="B189" s="50">
        <f>'設定'!$I$13</f>
        <v/>
      </c>
      <c r="C189" s="51" t="n"/>
      <c r="D189" s="51" t="n"/>
      <c r="E189" s="51" t="n"/>
      <c r="F189" s="51" t="n"/>
      <c r="G189" s="51" t="n"/>
      <c r="H189" s="51" t="n"/>
      <c r="I189" s="51" t="n"/>
      <c r="J189" s="51" t="n"/>
      <c r="K189" s="51" t="n"/>
      <c r="L189" s="51" t="n"/>
    </row>
    <row r="190" ht="22" customHeight="1">
      <c r="B190" s="50">
        <f>'設定'!$I$14</f>
        <v/>
      </c>
      <c r="C190" s="51" t="n"/>
      <c r="D190" s="51" t="n"/>
      <c r="E190" s="51" t="n"/>
      <c r="F190" s="51" t="n"/>
      <c r="G190" s="51" t="n"/>
      <c r="H190" s="51" t="n"/>
      <c r="I190" s="51" t="n"/>
      <c r="J190" s="51" t="n"/>
      <c r="K190" s="51" t="n"/>
      <c r="L190" s="51" t="n"/>
    </row>
    <row r="191" ht="22" customHeight="1">
      <c r="B191" s="50">
        <f>'設定'!$I$15</f>
        <v/>
      </c>
      <c r="C191" s="51" t="n"/>
      <c r="D191" s="51" t="n"/>
      <c r="E191" s="51" t="n"/>
      <c r="F191" s="51" t="n"/>
      <c r="G191" s="51" t="n"/>
      <c r="H191" s="51" t="n"/>
      <c r="I191" s="51" t="n"/>
      <c r="J191" s="51" t="n"/>
      <c r="K191" s="51" t="n"/>
      <c r="L191" s="51" t="n"/>
    </row>
    <row r="192" ht="22" customHeight="1">
      <c r="B192" s="50">
        <f>'設定'!$I$16</f>
        <v/>
      </c>
      <c r="C192" s="51" t="n"/>
      <c r="D192" s="51" t="n"/>
      <c r="E192" s="51" t="n"/>
      <c r="F192" s="51" t="n"/>
      <c r="G192" s="51" t="n"/>
      <c r="H192" s="51" t="n"/>
      <c r="I192" s="51" t="n"/>
      <c r="J192" s="51" t="n"/>
      <c r="K192" s="51" t="n"/>
      <c r="L192" s="51" t="n"/>
    </row>
    <row r="193" ht="22" customHeight="1">
      <c r="B193" s="50">
        <f>'設定'!$I$17</f>
        <v/>
      </c>
      <c r="C193" s="51" t="n"/>
      <c r="D193" s="51" t="n"/>
      <c r="E193" s="51" t="n"/>
      <c r="F193" s="51" t="n"/>
      <c r="G193" s="51" t="n"/>
      <c r="H193" s="51" t="n"/>
      <c r="I193" s="51" t="n"/>
      <c r="J193" s="51" t="n"/>
      <c r="K193" s="51" t="n"/>
      <c r="L193" s="51" t="n"/>
    </row>
    <row r="194" ht="22" customHeight="1">
      <c r="B194" s="50">
        <f>'設定'!$I$18</f>
        <v/>
      </c>
      <c r="C194" s="51" t="n"/>
      <c r="D194" s="51" t="n"/>
      <c r="E194" s="51" t="n"/>
      <c r="F194" s="51" t="n"/>
      <c r="G194" s="51" t="n"/>
      <c r="H194" s="51" t="n"/>
      <c r="I194" s="51" t="n"/>
      <c r="J194" s="51" t="n"/>
      <c r="K194" s="51" t="n"/>
      <c r="L194" s="51" t="n"/>
    </row>
    <row r="195" ht="22" customHeight="1">
      <c r="B195" s="50">
        <f>'設定'!$I$19</f>
        <v/>
      </c>
      <c r="C195" s="51" t="n"/>
      <c r="D195" s="51" t="n"/>
      <c r="E195" s="51" t="n"/>
      <c r="F195" s="51" t="n"/>
      <c r="G195" s="51" t="n"/>
      <c r="H195" s="51" t="n"/>
      <c r="I195" s="51" t="n"/>
      <c r="J195" s="51" t="n"/>
      <c r="K195" s="51" t="n"/>
      <c r="L195" s="51" t="n"/>
    </row>
    <row r="196" ht="22" customHeight="1">
      <c r="B196" s="50">
        <f>'設定'!$I$20</f>
        <v/>
      </c>
      <c r="C196" s="51" t="n"/>
      <c r="D196" s="51" t="n"/>
      <c r="E196" s="51" t="n"/>
      <c r="F196" s="51" t="n"/>
      <c r="G196" s="51" t="n"/>
      <c r="H196" s="51" t="n"/>
      <c r="I196" s="51" t="n"/>
      <c r="J196" s="51" t="n"/>
      <c r="K196" s="51" t="n"/>
      <c r="L196" s="51" t="n"/>
    </row>
    <row r="197" ht="22" customHeight="1">
      <c r="B197" s="50">
        <f>'設定'!$I$21</f>
        <v/>
      </c>
      <c r="C197" s="51" t="n"/>
      <c r="D197" s="51" t="n"/>
      <c r="E197" s="51" t="n"/>
      <c r="F197" s="51" t="n"/>
      <c r="G197" s="51" t="n"/>
      <c r="H197" s="51" t="n"/>
      <c r="I197" s="51" t="n"/>
      <c r="J197" s="51" t="n"/>
      <c r="K197" s="51" t="n"/>
      <c r="L197" s="51" t="n"/>
    </row>
    <row r="198" ht="22" customHeight="1">
      <c r="B198" s="50">
        <f>'設定'!$I$22</f>
        <v/>
      </c>
      <c r="C198" s="51" t="n"/>
      <c r="D198" s="51" t="n"/>
      <c r="E198" s="51" t="n"/>
      <c r="F198" s="51" t="n"/>
      <c r="G198" s="51" t="n"/>
      <c r="H198" s="51" t="n"/>
      <c r="I198" s="51" t="n"/>
      <c r="J198" s="51" t="n"/>
      <c r="K198" s="51" t="n"/>
      <c r="L198" s="51" t="n"/>
    </row>
    <row r="199"/>
    <row r="200" ht="26" customHeight="1">
      <c r="B200" s="45">
        <f>IF('名簿'!B18="","（名簿 14行目：なし）",'名簿'!G18)</f>
        <v/>
      </c>
      <c r="C200" s="4" t="n"/>
      <c r="D200" s="4" t="n"/>
      <c r="E200" s="46" t="inlineStr">
        <is>
          <t>提出状況 ▶</t>
        </is>
      </c>
      <c r="F200" s="33" t="n"/>
      <c r="G200" s="29" t="n"/>
      <c r="H200" s="47" t="inlineStr">
        <is>
          <t>状況：</t>
        </is>
      </c>
      <c r="I200" s="48">
        <f>'名簿'!H18</f>
        <v/>
      </c>
      <c r="J200" s="47" t="inlineStr">
        <is>
          <t>×の数：</t>
        </is>
      </c>
      <c r="K200" s="48">
        <f>'名簿'!I18</f>
        <v/>
      </c>
      <c r="L200" s="4" t="n"/>
    </row>
    <row r="201">
      <c r="B201" s="49" t="inlineStr"/>
      <c r="C201" s="30">
        <f>'設定'!$E$11</f>
        <v/>
      </c>
      <c r="D201" s="30">
        <f>'設定'!$E$12</f>
        <v/>
      </c>
      <c r="E201" s="30">
        <f>'設定'!$E$13</f>
        <v/>
      </c>
      <c r="F201" s="30">
        <f>'設定'!$E$14</f>
        <v/>
      </c>
      <c r="G201" s="30">
        <f>'設定'!$E$15</f>
        <v/>
      </c>
      <c r="H201" s="30">
        <f>'設定'!$E$16</f>
        <v/>
      </c>
      <c r="I201" s="30">
        <f>'設定'!$E$17</f>
        <v/>
      </c>
      <c r="J201" s="30">
        <f>'設定'!$E$18</f>
        <v/>
      </c>
      <c r="K201" s="30">
        <f>'設定'!$E$19</f>
        <v/>
      </c>
      <c r="L201" s="30">
        <f>'設定'!$E$20</f>
        <v/>
      </c>
    </row>
    <row r="202" ht="22" customHeight="1">
      <c r="B202" s="50">
        <f>'設定'!$I$11</f>
        <v/>
      </c>
      <c r="C202" s="51" t="n"/>
      <c r="D202" s="51" t="n"/>
      <c r="E202" s="51" t="n"/>
      <c r="F202" s="51" t="n"/>
      <c r="G202" s="51" t="n"/>
      <c r="H202" s="51" t="n"/>
      <c r="I202" s="51" t="n"/>
      <c r="J202" s="51" t="n"/>
      <c r="K202" s="51" t="n"/>
      <c r="L202" s="51" t="n"/>
    </row>
    <row r="203" ht="22" customHeight="1">
      <c r="B203" s="50">
        <f>'設定'!$I$12</f>
        <v/>
      </c>
      <c r="C203" s="51" t="n"/>
      <c r="D203" s="51" t="n"/>
      <c r="E203" s="51" t="n"/>
      <c r="F203" s="51" t="n"/>
      <c r="G203" s="51" t="n"/>
      <c r="H203" s="51" t="n"/>
      <c r="I203" s="51" t="n"/>
      <c r="J203" s="51" t="n"/>
      <c r="K203" s="51" t="n"/>
      <c r="L203" s="51" t="n"/>
    </row>
    <row r="204" ht="22" customHeight="1">
      <c r="B204" s="50">
        <f>'設定'!$I$13</f>
        <v/>
      </c>
      <c r="C204" s="51" t="n"/>
      <c r="D204" s="51" t="n"/>
      <c r="E204" s="51" t="n"/>
      <c r="F204" s="51" t="n"/>
      <c r="G204" s="51" t="n"/>
      <c r="H204" s="51" t="n"/>
      <c r="I204" s="51" t="n"/>
      <c r="J204" s="51" t="n"/>
      <c r="K204" s="51" t="n"/>
      <c r="L204" s="51" t="n"/>
    </row>
    <row r="205" ht="22" customHeight="1">
      <c r="B205" s="50">
        <f>'設定'!$I$14</f>
        <v/>
      </c>
      <c r="C205" s="51" t="n"/>
      <c r="D205" s="51" t="n"/>
      <c r="E205" s="51" t="n"/>
      <c r="F205" s="51" t="n"/>
      <c r="G205" s="51" t="n"/>
      <c r="H205" s="51" t="n"/>
      <c r="I205" s="51" t="n"/>
      <c r="J205" s="51" t="n"/>
      <c r="K205" s="51" t="n"/>
      <c r="L205" s="51" t="n"/>
    </row>
    <row r="206" ht="22" customHeight="1">
      <c r="B206" s="50">
        <f>'設定'!$I$15</f>
        <v/>
      </c>
      <c r="C206" s="51" t="n"/>
      <c r="D206" s="51" t="n"/>
      <c r="E206" s="51" t="n"/>
      <c r="F206" s="51" t="n"/>
      <c r="G206" s="51" t="n"/>
      <c r="H206" s="51" t="n"/>
      <c r="I206" s="51" t="n"/>
      <c r="J206" s="51" t="n"/>
      <c r="K206" s="51" t="n"/>
      <c r="L206" s="51" t="n"/>
    </row>
    <row r="207" ht="22" customHeight="1">
      <c r="B207" s="50">
        <f>'設定'!$I$16</f>
        <v/>
      </c>
      <c r="C207" s="51" t="n"/>
      <c r="D207" s="51" t="n"/>
      <c r="E207" s="51" t="n"/>
      <c r="F207" s="51" t="n"/>
      <c r="G207" s="51" t="n"/>
      <c r="H207" s="51" t="n"/>
      <c r="I207" s="51" t="n"/>
      <c r="J207" s="51" t="n"/>
      <c r="K207" s="51" t="n"/>
      <c r="L207" s="51" t="n"/>
    </row>
    <row r="208" ht="22" customHeight="1">
      <c r="B208" s="50">
        <f>'設定'!$I$17</f>
        <v/>
      </c>
      <c r="C208" s="51" t="n"/>
      <c r="D208" s="51" t="n"/>
      <c r="E208" s="51" t="n"/>
      <c r="F208" s="51" t="n"/>
      <c r="G208" s="51" t="n"/>
      <c r="H208" s="51" t="n"/>
      <c r="I208" s="51" t="n"/>
      <c r="J208" s="51" t="n"/>
      <c r="K208" s="51" t="n"/>
      <c r="L208" s="51" t="n"/>
    </row>
    <row r="209" ht="22" customHeight="1">
      <c r="B209" s="50">
        <f>'設定'!$I$18</f>
        <v/>
      </c>
      <c r="C209" s="51" t="n"/>
      <c r="D209" s="51" t="n"/>
      <c r="E209" s="51" t="n"/>
      <c r="F209" s="51" t="n"/>
      <c r="G209" s="51" t="n"/>
      <c r="H209" s="51" t="n"/>
      <c r="I209" s="51" t="n"/>
      <c r="J209" s="51" t="n"/>
      <c r="K209" s="51" t="n"/>
      <c r="L209" s="51" t="n"/>
    </row>
    <row r="210" ht="22" customHeight="1">
      <c r="B210" s="50">
        <f>'設定'!$I$19</f>
        <v/>
      </c>
      <c r="C210" s="51" t="n"/>
      <c r="D210" s="51" t="n"/>
      <c r="E210" s="51" t="n"/>
      <c r="F210" s="51" t="n"/>
      <c r="G210" s="51" t="n"/>
      <c r="H210" s="51" t="n"/>
      <c r="I210" s="51" t="n"/>
      <c r="J210" s="51" t="n"/>
      <c r="K210" s="51" t="n"/>
      <c r="L210" s="51" t="n"/>
    </row>
    <row r="211" ht="22" customHeight="1">
      <c r="B211" s="50">
        <f>'設定'!$I$20</f>
        <v/>
      </c>
      <c r="C211" s="51" t="n"/>
      <c r="D211" s="51" t="n"/>
      <c r="E211" s="51" t="n"/>
      <c r="F211" s="51" t="n"/>
      <c r="G211" s="51" t="n"/>
      <c r="H211" s="51" t="n"/>
      <c r="I211" s="51" t="n"/>
      <c r="J211" s="51" t="n"/>
      <c r="K211" s="51" t="n"/>
      <c r="L211" s="51" t="n"/>
    </row>
    <row r="212" ht="22" customHeight="1">
      <c r="B212" s="50">
        <f>'設定'!$I$21</f>
        <v/>
      </c>
      <c r="C212" s="51" t="n"/>
      <c r="D212" s="51" t="n"/>
      <c r="E212" s="51" t="n"/>
      <c r="F212" s="51" t="n"/>
      <c r="G212" s="51" t="n"/>
      <c r="H212" s="51" t="n"/>
      <c r="I212" s="51" t="n"/>
      <c r="J212" s="51" t="n"/>
      <c r="K212" s="51" t="n"/>
      <c r="L212" s="51" t="n"/>
    </row>
    <row r="213" ht="22" customHeight="1">
      <c r="B213" s="50">
        <f>'設定'!$I$22</f>
        <v/>
      </c>
      <c r="C213" s="51" t="n"/>
      <c r="D213" s="51" t="n"/>
      <c r="E213" s="51" t="n"/>
      <c r="F213" s="51" t="n"/>
      <c r="G213" s="51" t="n"/>
      <c r="H213" s="51" t="n"/>
      <c r="I213" s="51" t="n"/>
      <c r="J213" s="51" t="n"/>
      <c r="K213" s="51" t="n"/>
      <c r="L213" s="51" t="n"/>
    </row>
    <row r="214"/>
    <row r="215" ht="26" customHeight="1">
      <c r="B215" s="45">
        <f>IF('名簿'!B19="","（名簿 15行目：なし）",'名簿'!G19)</f>
        <v/>
      </c>
      <c r="C215" s="4" t="n"/>
      <c r="D215" s="4" t="n"/>
      <c r="E215" s="46" t="inlineStr">
        <is>
          <t>提出状況 ▶</t>
        </is>
      </c>
      <c r="F215" s="33" t="n"/>
      <c r="G215" s="29" t="n"/>
      <c r="H215" s="47" t="inlineStr">
        <is>
          <t>状況：</t>
        </is>
      </c>
      <c r="I215" s="48">
        <f>'名簿'!H19</f>
        <v/>
      </c>
      <c r="J215" s="47" t="inlineStr">
        <is>
          <t>×の数：</t>
        </is>
      </c>
      <c r="K215" s="48">
        <f>'名簿'!I19</f>
        <v/>
      </c>
      <c r="L215" s="4" t="n"/>
    </row>
    <row r="216">
      <c r="B216" s="49" t="inlineStr"/>
      <c r="C216" s="30">
        <f>'設定'!$E$11</f>
        <v/>
      </c>
      <c r="D216" s="30">
        <f>'設定'!$E$12</f>
        <v/>
      </c>
      <c r="E216" s="30">
        <f>'設定'!$E$13</f>
        <v/>
      </c>
      <c r="F216" s="30">
        <f>'設定'!$E$14</f>
        <v/>
      </c>
      <c r="G216" s="30">
        <f>'設定'!$E$15</f>
        <v/>
      </c>
      <c r="H216" s="30">
        <f>'設定'!$E$16</f>
        <v/>
      </c>
      <c r="I216" s="30">
        <f>'設定'!$E$17</f>
        <v/>
      </c>
      <c r="J216" s="30">
        <f>'設定'!$E$18</f>
        <v/>
      </c>
      <c r="K216" s="30">
        <f>'設定'!$E$19</f>
        <v/>
      </c>
      <c r="L216" s="30">
        <f>'設定'!$E$20</f>
        <v/>
      </c>
    </row>
    <row r="217" ht="22" customHeight="1">
      <c r="B217" s="50">
        <f>'設定'!$I$11</f>
        <v/>
      </c>
      <c r="C217" s="51" t="n"/>
      <c r="D217" s="51" t="n"/>
      <c r="E217" s="51" t="n"/>
      <c r="F217" s="51" t="n"/>
      <c r="G217" s="51" t="n"/>
      <c r="H217" s="51" t="n"/>
      <c r="I217" s="51" t="n"/>
      <c r="J217" s="51" t="n"/>
      <c r="K217" s="51" t="n"/>
      <c r="L217" s="51" t="n"/>
    </row>
    <row r="218" ht="22" customHeight="1">
      <c r="B218" s="50">
        <f>'設定'!$I$12</f>
        <v/>
      </c>
      <c r="C218" s="51" t="n"/>
      <c r="D218" s="51" t="n"/>
      <c r="E218" s="51" t="n"/>
      <c r="F218" s="51" t="n"/>
      <c r="G218" s="51" t="n"/>
      <c r="H218" s="51" t="n"/>
      <c r="I218" s="51" t="n"/>
      <c r="J218" s="51" t="n"/>
      <c r="K218" s="51" t="n"/>
      <c r="L218" s="51" t="n"/>
    </row>
    <row r="219" ht="22" customHeight="1">
      <c r="B219" s="50">
        <f>'設定'!$I$13</f>
        <v/>
      </c>
      <c r="C219" s="51" t="n"/>
      <c r="D219" s="51" t="n"/>
      <c r="E219" s="51" t="n"/>
      <c r="F219" s="51" t="n"/>
      <c r="G219" s="51" t="n"/>
      <c r="H219" s="51" t="n"/>
      <c r="I219" s="51" t="n"/>
      <c r="J219" s="51" t="n"/>
      <c r="K219" s="51" t="n"/>
      <c r="L219" s="51" t="n"/>
    </row>
    <row r="220" ht="22" customHeight="1">
      <c r="B220" s="50">
        <f>'設定'!$I$14</f>
        <v/>
      </c>
      <c r="C220" s="51" t="n"/>
      <c r="D220" s="51" t="n"/>
      <c r="E220" s="51" t="n"/>
      <c r="F220" s="51" t="n"/>
      <c r="G220" s="51" t="n"/>
      <c r="H220" s="51" t="n"/>
      <c r="I220" s="51" t="n"/>
      <c r="J220" s="51" t="n"/>
      <c r="K220" s="51" t="n"/>
      <c r="L220" s="51" t="n"/>
    </row>
    <row r="221" ht="22" customHeight="1">
      <c r="B221" s="50">
        <f>'設定'!$I$15</f>
        <v/>
      </c>
      <c r="C221" s="51" t="n"/>
      <c r="D221" s="51" t="n"/>
      <c r="E221" s="51" t="n"/>
      <c r="F221" s="51" t="n"/>
      <c r="G221" s="51" t="n"/>
      <c r="H221" s="51" t="n"/>
      <c r="I221" s="51" t="n"/>
      <c r="J221" s="51" t="n"/>
      <c r="K221" s="51" t="n"/>
      <c r="L221" s="51" t="n"/>
    </row>
    <row r="222" ht="22" customHeight="1">
      <c r="B222" s="50">
        <f>'設定'!$I$16</f>
        <v/>
      </c>
      <c r="C222" s="51" t="n"/>
      <c r="D222" s="51" t="n"/>
      <c r="E222" s="51" t="n"/>
      <c r="F222" s="51" t="n"/>
      <c r="G222" s="51" t="n"/>
      <c r="H222" s="51" t="n"/>
      <c r="I222" s="51" t="n"/>
      <c r="J222" s="51" t="n"/>
      <c r="K222" s="51" t="n"/>
      <c r="L222" s="51" t="n"/>
    </row>
    <row r="223" ht="22" customHeight="1">
      <c r="B223" s="50">
        <f>'設定'!$I$17</f>
        <v/>
      </c>
      <c r="C223" s="51" t="n"/>
      <c r="D223" s="51" t="n"/>
      <c r="E223" s="51" t="n"/>
      <c r="F223" s="51" t="n"/>
      <c r="G223" s="51" t="n"/>
      <c r="H223" s="51" t="n"/>
      <c r="I223" s="51" t="n"/>
      <c r="J223" s="51" t="n"/>
      <c r="K223" s="51" t="n"/>
      <c r="L223" s="51" t="n"/>
    </row>
    <row r="224" ht="22" customHeight="1">
      <c r="B224" s="50">
        <f>'設定'!$I$18</f>
        <v/>
      </c>
      <c r="C224" s="51" t="n"/>
      <c r="D224" s="51" t="n"/>
      <c r="E224" s="51" t="n"/>
      <c r="F224" s="51" t="n"/>
      <c r="G224" s="51" t="n"/>
      <c r="H224" s="51" t="n"/>
      <c r="I224" s="51" t="n"/>
      <c r="J224" s="51" t="n"/>
      <c r="K224" s="51" t="n"/>
      <c r="L224" s="51" t="n"/>
    </row>
    <row r="225" ht="22" customHeight="1">
      <c r="B225" s="50">
        <f>'設定'!$I$19</f>
        <v/>
      </c>
      <c r="C225" s="51" t="n"/>
      <c r="D225" s="51" t="n"/>
      <c r="E225" s="51" t="n"/>
      <c r="F225" s="51" t="n"/>
      <c r="G225" s="51" t="n"/>
      <c r="H225" s="51" t="n"/>
      <c r="I225" s="51" t="n"/>
      <c r="J225" s="51" t="n"/>
      <c r="K225" s="51" t="n"/>
      <c r="L225" s="51" t="n"/>
    </row>
    <row r="226" ht="22" customHeight="1">
      <c r="B226" s="50">
        <f>'設定'!$I$20</f>
        <v/>
      </c>
      <c r="C226" s="51" t="n"/>
      <c r="D226" s="51" t="n"/>
      <c r="E226" s="51" t="n"/>
      <c r="F226" s="51" t="n"/>
      <c r="G226" s="51" t="n"/>
      <c r="H226" s="51" t="n"/>
      <c r="I226" s="51" t="n"/>
      <c r="J226" s="51" t="n"/>
      <c r="K226" s="51" t="n"/>
      <c r="L226" s="51" t="n"/>
    </row>
    <row r="227" ht="22" customHeight="1">
      <c r="B227" s="50">
        <f>'設定'!$I$21</f>
        <v/>
      </c>
      <c r="C227" s="51" t="n"/>
      <c r="D227" s="51" t="n"/>
      <c r="E227" s="51" t="n"/>
      <c r="F227" s="51" t="n"/>
      <c r="G227" s="51" t="n"/>
      <c r="H227" s="51" t="n"/>
      <c r="I227" s="51" t="n"/>
      <c r="J227" s="51" t="n"/>
      <c r="K227" s="51" t="n"/>
      <c r="L227" s="51" t="n"/>
    </row>
    <row r="228" ht="22" customHeight="1">
      <c r="B228" s="50">
        <f>'設定'!$I$22</f>
        <v/>
      </c>
      <c r="C228" s="51" t="n"/>
      <c r="D228" s="51" t="n"/>
      <c r="E228" s="51" t="n"/>
      <c r="F228" s="51" t="n"/>
      <c r="G228" s="51" t="n"/>
      <c r="H228" s="51" t="n"/>
      <c r="I228" s="51" t="n"/>
      <c r="J228" s="51" t="n"/>
      <c r="K228" s="51" t="n"/>
      <c r="L228" s="51" t="n"/>
    </row>
    <row r="229"/>
    <row r="230" ht="26" customHeight="1">
      <c r="B230" s="45">
        <f>IF('名簿'!B20="","（名簿 16行目：なし）",'名簿'!G20)</f>
        <v/>
      </c>
      <c r="C230" s="4" t="n"/>
      <c r="D230" s="4" t="n"/>
      <c r="E230" s="46" t="inlineStr">
        <is>
          <t>提出状況 ▶</t>
        </is>
      </c>
      <c r="F230" s="33" t="n"/>
      <c r="G230" s="29" t="n"/>
      <c r="H230" s="47" t="inlineStr">
        <is>
          <t>状況：</t>
        </is>
      </c>
      <c r="I230" s="48">
        <f>'名簿'!H20</f>
        <v/>
      </c>
      <c r="J230" s="47" t="inlineStr">
        <is>
          <t>×の数：</t>
        </is>
      </c>
      <c r="K230" s="48">
        <f>'名簿'!I20</f>
        <v/>
      </c>
      <c r="L230" s="4" t="n"/>
    </row>
    <row r="231">
      <c r="B231" s="49" t="inlineStr"/>
      <c r="C231" s="30">
        <f>'設定'!$E$11</f>
        <v/>
      </c>
      <c r="D231" s="30">
        <f>'設定'!$E$12</f>
        <v/>
      </c>
      <c r="E231" s="30">
        <f>'設定'!$E$13</f>
        <v/>
      </c>
      <c r="F231" s="30">
        <f>'設定'!$E$14</f>
        <v/>
      </c>
      <c r="G231" s="30">
        <f>'設定'!$E$15</f>
        <v/>
      </c>
      <c r="H231" s="30">
        <f>'設定'!$E$16</f>
        <v/>
      </c>
      <c r="I231" s="30">
        <f>'設定'!$E$17</f>
        <v/>
      </c>
      <c r="J231" s="30">
        <f>'設定'!$E$18</f>
        <v/>
      </c>
      <c r="K231" s="30">
        <f>'設定'!$E$19</f>
        <v/>
      </c>
      <c r="L231" s="30">
        <f>'設定'!$E$20</f>
        <v/>
      </c>
    </row>
    <row r="232" ht="22" customHeight="1">
      <c r="B232" s="50">
        <f>'設定'!$I$11</f>
        <v/>
      </c>
      <c r="C232" s="51" t="n"/>
      <c r="D232" s="51" t="n"/>
      <c r="E232" s="51" t="n"/>
      <c r="F232" s="51" t="n"/>
      <c r="G232" s="51" t="n"/>
      <c r="H232" s="51" t="n"/>
      <c r="I232" s="51" t="n"/>
      <c r="J232" s="51" t="n"/>
      <c r="K232" s="51" t="n"/>
      <c r="L232" s="51" t="n"/>
    </row>
    <row r="233" ht="22" customHeight="1">
      <c r="B233" s="50">
        <f>'設定'!$I$12</f>
        <v/>
      </c>
      <c r="C233" s="51" t="n"/>
      <c r="D233" s="51" t="n"/>
      <c r="E233" s="51" t="n"/>
      <c r="F233" s="51" t="n"/>
      <c r="G233" s="51" t="n"/>
      <c r="H233" s="51" t="n"/>
      <c r="I233" s="51" t="n"/>
      <c r="J233" s="51" t="n"/>
      <c r="K233" s="51" t="n"/>
      <c r="L233" s="51" t="n"/>
    </row>
    <row r="234" ht="22" customHeight="1">
      <c r="B234" s="50">
        <f>'設定'!$I$13</f>
        <v/>
      </c>
      <c r="C234" s="51" t="n"/>
      <c r="D234" s="51" t="n"/>
      <c r="E234" s="51" t="n"/>
      <c r="F234" s="51" t="n"/>
      <c r="G234" s="51" t="n"/>
      <c r="H234" s="51" t="n"/>
      <c r="I234" s="51" t="n"/>
      <c r="J234" s="51" t="n"/>
      <c r="K234" s="51" t="n"/>
      <c r="L234" s="51" t="n"/>
    </row>
    <row r="235" ht="22" customHeight="1">
      <c r="B235" s="50">
        <f>'設定'!$I$14</f>
        <v/>
      </c>
      <c r="C235" s="51" t="n"/>
      <c r="D235" s="51" t="n"/>
      <c r="E235" s="51" t="n"/>
      <c r="F235" s="51" t="n"/>
      <c r="G235" s="51" t="n"/>
      <c r="H235" s="51" t="n"/>
      <c r="I235" s="51" t="n"/>
      <c r="J235" s="51" t="n"/>
      <c r="K235" s="51" t="n"/>
      <c r="L235" s="51" t="n"/>
    </row>
    <row r="236" ht="22" customHeight="1">
      <c r="B236" s="50">
        <f>'設定'!$I$15</f>
        <v/>
      </c>
      <c r="C236" s="51" t="n"/>
      <c r="D236" s="51" t="n"/>
      <c r="E236" s="51" t="n"/>
      <c r="F236" s="51" t="n"/>
      <c r="G236" s="51" t="n"/>
      <c r="H236" s="51" t="n"/>
      <c r="I236" s="51" t="n"/>
      <c r="J236" s="51" t="n"/>
      <c r="K236" s="51" t="n"/>
      <c r="L236" s="51" t="n"/>
    </row>
    <row r="237" ht="22" customHeight="1">
      <c r="B237" s="50">
        <f>'設定'!$I$16</f>
        <v/>
      </c>
      <c r="C237" s="51" t="n"/>
      <c r="D237" s="51" t="n"/>
      <c r="E237" s="51" t="n"/>
      <c r="F237" s="51" t="n"/>
      <c r="G237" s="51" t="n"/>
      <c r="H237" s="51" t="n"/>
      <c r="I237" s="51" t="n"/>
      <c r="J237" s="51" t="n"/>
      <c r="K237" s="51" t="n"/>
      <c r="L237" s="51" t="n"/>
    </row>
    <row r="238" ht="22" customHeight="1">
      <c r="B238" s="50">
        <f>'設定'!$I$17</f>
        <v/>
      </c>
      <c r="C238" s="51" t="n"/>
      <c r="D238" s="51" t="n"/>
      <c r="E238" s="51" t="n"/>
      <c r="F238" s="51" t="n"/>
      <c r="G238" s="51" t="n"/>
      <c r="H238" s="51" t="n"/>
      <c r="I238" s="51" t="n"/>
      <c r="J238" s="51" t="n"/>
      <c r="K238" s="51" t="n"/>
      <c r="L238" s="51" t="n"/>
    </row>
    <row r="239" ht="22" customHeight="1">
      <c r="B239" s="50">
        <f>'設定'!$I$18</f>
        <v/>
      </c>
      <c r="C239" s="51" t="n"/>
      <c r="D239" s="51" t="n"/>
      <c r="E239" s="51" t="n"/>
      <c r="F239" s="51" t="n"/>
      <c r="G239" s="51" t="n"/>
      <c r="H239" s="51" t="n"/>
      <c r="I239" s="51" t="n"/>
      <c r="J239" s="51" t="n"/>
      <c r="K239" s="51" t="n"/>
      <c r="L239" s="51" t="n"/>
    </row>
    <row r="240" ht="22" customHeight="1">
      <c r="B240" s="50">
        <f>'設定'!$I$19</f>
        <v/>
      </c>
      <c r="C240" s="51" t="n"/>
      <c r="D240" s="51" t="n"/>
      <c r="E240" s="51" t="n"/>
      <c r="F240" s="51" t="n"/>
      <c r="G240" s="51" t="n"/>
      <c r="H240" s="51" t="n"/>
      <c r="I240" s="51" t="n"/>
      <c r="J240" s="51" t="n"/>
      <c r="K240" s="51" t="n"/>
      <c r="L240" s="51" t="n"/>
    </row>
    <row r="241" ht="22" customHeight="1">
      <c r="B241" s="50">
        <f>'設定'!$I$20</f>
        <v/>
      </c>
      <c r="C241" s="51" t="n"/>
      <c r="D241" s="51" t="n"/>
      <c r="E241" s="51" t="n"/>
      <c r="F241" s="51" t="n"/>
      <c r="G241" s="51" t="n"/>
      <c r="H241" s="51" t="n"/>
      <c r="I241" s="51" t="n"/>
      <c r="J241" s="51" t="n"/>
      <c r="K241" s="51" t="n"/>
      <c r="L241" s="51" t="n"/>
    </row>
    <row r="242" ht="22" customHeight="1">
      <c r="B242" s="50">
        <f>'設定'!$I$21</f>
        <v/>
      </c>
      <c r="C242" s="51" t="n"/>
      <c r="D242" s="51" t="n"/>
      <c r="E242" s="51" t="n"/>
      <c r="F242" s="51" t="n"/>
      <c r="G242" s="51" t="n"/>
      <c r="H242" s="51" t="n"/>
      <c r="I242" s="51" t="n"/>
      <c r="J242" s="51" t="n"/>
      <c r="K242" s="51" t="n"/>
      <c r="L242" s="51" t="n"/>
    </row>
    <row r="243" ht="22" customHeight="1">
      <c r="B243" s="50">
        <f>'設定'!$I$22</f>
        <v/>
      </c>
      <c r="C243" s="51" t="n"/>
      <c r="D243" s="51" t="n"/>
      <c r="E243" s="51" t="n"/>
      <c r="F243" s="51" t="n"/>
      <c r="G243" s="51" t="n"/>
      <c r="H243" s="51" t="n"/>
      <c r="I243" s="51" t="n"/>
      <c r="J243" s="51" t="n"/>
      <c r="K243" s="51" t="n"/>
      <c r="L243" s="51" t="n"/>
    </row>
    <row r="244"/>
    <row r="245" ht="26" customHeight="1">
      <c r="B245" s="45">
        <f>IF('名簿'!B21="","（名簿 17行目：なし）",'名簿'!G21)</f>
        <v/>
      </c>
      <c r="C245" s="4" t="n"/>
      <c r="D245" s="4" t="n"/>
      <c r="E245" s="46" t="inlineStr">
        <is>
          <t>提出状況 ▶</t>
        </is>
      </c>
      <c r="F245" s="33" t="n"/>
      <c r="G245" s="29" t="n"/>
      <c r="H245" s="47" t="inlineStr">
        <is>
          <t>状況：</t>
        </is>
      </c>
      <c r="I245" s="48">
        <f>'名簿'!H21</f>
        <v/>
      </c>
      <c r="J245" s="47" t="inlineStr">
        <is>
          <t>×の数：</t>
        </is>
      </c>
      <c r="K245" s="48">
        <f>'名簿'!I21</f>
        <v/>
      </c>
      <c r="L245" s="4" t="n"/>
    </row>
    <row r="246">
      <c r="B246" s="49" t="inlineStr"/>
      <c r="C246" s="30">
        <f>'設定'!$E$11</f>
        <v/>
      </c>
      <c r="D246" s="30">
        <f>'設定'!$E$12</f>
        <v/>
      </c>
      <c r="E246" s="30">
        <f>'設定'!$E$13</f>
        <v/>
      </c>
      <c r="F246" s="30">
        <f>'設定'!$E$14</f>
        <v/>
      </c>
      <c r="G246" s="30">
        <f>'設定'!$E$15</f>
        <v/>
      </c>
      <c r="H246" s="30">
        <f>'設定'!$E$16</f>
        <v/>
      </c>
      <c r="I246" s="30">
        <f>'設定'!$E$17</f>
        <v/>
      </c>
      <c r="J246" s="30">
        <f>'設定'!$E$18</f>
        <v/>
      </c>
      <c r="K246" s="30">
        <f>'設定'!$E$19</f>
        <v/>
      </c>
      <c r="L246" s="30">
        <f>'設定'!$E$20</f>
        <v/>
      </c>
    </row>
    <row r="247" ht="22" customHeight="1">
      <c r="B247" s="50">
        <f>'設定'!$I$11</f>
        <v/>
      </c>
      <c r="C247" s="51" t="n"/>
      <c r="D247" s="51" t="n"/>
      <c r="E247" s="51" t="n"/>
      <c r="F247" s="51" t="n"/>
      <c r="G247" s="51" t="n"/>
      <c r="H247" s="51" t="n"/>
      <c r="I247" s="51" t="n"/>
      <c r="J247" s="51" t="n"/>
      <c r="K247" s="51" t="n"/>
      <c r="L247" s="51" t="n"/>
    </row>
    <row r="248" ht="22" customHeight="1">
      <c r="B248" s="50">
        <f>'設定'!$I$12</f>
        <v/>
      </c>
      <c r="C248" s="51" t="n"/>
      <c r="D248" s="51" t="n"/>
      <c r="E248" s="51" t="n"/>
      <c r="F248" s="51" t="n"/>
      <c r="G248" s="51" t="n"/>
      <c r="H248" s="51" t="n"/>
      <c r="I248" s="51" t="n"/>
      <c r="J248" s="51" t="n"/>
      <c r="K248" s="51" t="n"/>
      <c r="L248" s="51" t="n"/>
    </row>
    <row r="249" ht="22" customHeight="1">
      <c r="B249" s="50">
        <f>'設定'!$I$13</f>
        <v/>
      </c>
      <c r="C249" s="51" t="n"/>
      <c r="D249" s="51" t="n"/>
      <c r="E249" s="51" t="n"/>
      <c r="F249" s="51" t="n"/>
      <c r="G249" s="51" t="n"/>
      <c r="H249" s="51" t="n"/>
      <c r="I249" s="51" t="n"/>
      <c r="J249" s="51" t="n"/>
      <c r="K249" s="51" t="n"/>
      <c r="L249" s="51" t="n"/>
    </row>
    <row r="250" ht="22" customHeight="1">
      <c r="B250" s="50">
        <f>'設定'!$I$14</f>
        <v/>
      </c>
      <c r="C250" s="51" t="n"/>
      <c r="D250" s="51" t="n"/>
      <c r="E250" s="51" t="n"/>
      <c r="F250" s="51" t="n"/>
      <c r="G250" s="51" t="n"/>
      <c r="H250" s="51" t="n"/>
      <c r="I250" s="51" t="n"/>
      <c r="J250" s="51" t="n"/>
      <c r="K250" s="51" t="n"/>
      <c r="L250" s="51" t="n"/>
    </row>
    <row r="251" ht="22" customHeight="1">
      <c r="B251" s="50">
        <f>'設定'!$I$15</f>
        <v/>
      </c>
      <c r="C251" s="51" t="n"/>
      <c r="D251" s="51" t="n"/>
      <c r="E251" s="51" t="n"/>
      <c r="F251" s="51" t="n"/>
      <c r="G251" s="51" t="n"/>
      <c r="H251" s="51" t="n"/>
      <c r="I251" s="51" t="n"/>
      <c r="J251" s="51" t="n"/>
      <c r="K251" s="51" t="n"/>
      <c r="L251" s="51" t="n"/>
    </row>
    <row r="252" ht="22" customHeight="1">
      <c r="B252" s="50">
        <f>'設定'!$I$16</f>
        <v/>
      </c>
      <c r="C252" s="51" t="n"/>
      <c r="D252" s="51" t="n"/>
      <c r="E252" s="51" t="n"/>
      <c r="F252" s="51" t="n"/>
      <c r="G252" s="51" t="n"/>
      <c r="H252" s="51" t="n"/>
      <c r="I252" s="51" t="n"/>
      <c r="J252" s="51" t="n"/>
      <c r="K252" s="51" t="n"/>
      <c r="L252" s="51" t="n"/>
    </row>
    <row r="253" ht="22" customHeight="1">
      <c r="B253" s="50">
        <f>'設定'!$I$17</f>
        <v/>
      </c>
      <c r="C253" s="51" t="n"/>
      <c r="D253" s="51" t="n"/>
      <c r="E253" s="51" t="n"/>
      <c r="F253" s="51" t="n"/>
      <c r="G253" s="51" t="n"/>
      <c r="H253" s="51" t="n"/>
      <c r="I253" s="51" t="n"/>
      <c r="J253" s="51" t="n"/>
      <c r="K253" s="51" t="n"/>
      <c r="L253" s="51" t="n"/>
    </row>
    <row r="254" ht="22" customHeight="1">
      <c r="B254" s="50">
        <f>'設定'!$I$18</f>
        <v/>
      </c>
      <c r="C254" s="51" t="n"/>
      <c r="D254" s="51" t="n"/>
      <c r="E254" s="51" t="n"/>
      <c r="F254" s="51" t="n"/>
      <c r="G254" s="51" t="n"/>
      <c r="H254" s="51" t="n"/>
      <c r="I254" s="51" t="n"/>
      <c r="J254" s="51" t="n"/>
      <c r="K254" s="51" t="n"/>
      <c r="L254" s="51" t="n"/>
    </row>
    <row r="255" ht="22" customHeight="1">
      <c r="B255" s="50">
        <f>'設定'!$I$19</f>
        <v/>
      </c>
      <c r="C255" s="51" t="n"/>
      <c r="D255" s="51" t="n"/>
      <c r="E255" s="51" t="n"/>
      <c r="F255" s="51" t="n"/>
      <c r="G255" s="51" t="n"/>
      <c r="H255" s="51" t="n"/>
      <c r="I255" s="51" t="n"/>
      <c r="J255" s="51" t="n"/>
      <c r="K255" s="51" t="n"/>
      <c r="L255" s="51" t="n"/>
    </row>
    <row r="256" ht="22" customHeight="1">
      <c r="B256" s="50">
        <f>'設定'!$I$20</f>
        <v/>
      </c>
      <c r="C256" s="51" t="n"/>
      <c r="D256" s="51" t="n"/>
      <c r="E256" s="51" t="n"/>
      <c r="F256" s="51" t="n"/>
      <c r="G256" s="51" t="n"/>
      <c r="H256" s="51" t="n"/>
      <c r="I256" s="51" t="n"/>
      <c r="J256" s="51" t="n"/>
      <c r="K256" s="51" t="n"/>
      <c r="L256" s="51" t="n"/>
    </row>
    <row r="257" ht="22" customHeight="1">
      <c r="B257" s="50">
        <f>'設定'!$I$21</f>
        <v/>
      </c>
      <c r="C257" s="51" t="n"/>
      <c r="D257" s="51" t="n"/>
      <c r="E257" s="51" t="n"/>
      <c r="F257" s="51" t="n"/>
      <c r="G257" s="51" t="n"/>
      <c r="H257" s="51" t="n"/>
      <c r="I257" s="51" t="n"/>
      <c r="J257" s="51" t="n"/>
      <c r="K257" s="51" t="n"/>
      <c r="L257" s="51" t="n"/>
    </row>
    <row r="258" ht="22" customHeight="1">
      <c r="B258" s="50">
        <f>'設定'!$I$22</f>
        <v/>
      </c>
      <c r="C258" s="51" t="n"/>
      <c r="D258" s="51" t="n"/>
      <c r="E258" s="51" t="n"/>
      <c r="F258" s="51" t="n"/>
      <c r="G258" s="51" t="n"/>
      <c r="H258" s="51" t="n"/>
      <c r="I258" s="51" t="n"/>
      <c r="J258" s="51" t="n"/>
      <c r="K258" s="51" t="n"/>
      <c r="L258" s="51" t="n"/>
    </row>
    <row r="259"/>
    <row r="260" ht="26" customHeight="1">
      <c r="B260" s="45">
        <f>IF('名簿'!B22="","（名簿 18行目：なし）",'名簿'!G22)</f>
        <v/>
      </c>
      <c r="C260" s="4" t="n"/>
      <c r="D260" s="4" t="n"/>
      <c r="E260" s="46" t="inlineStr">
        <is>
          <t>提出状況 ▶</t>
        </is>
      </c>
      <c r="F260" s="33" t="n"/>
      <c r="G260" s="29" t="n"/>
      <c r="H260" s="47" t="inlineStr">
        <is>
          <t>状況：</t>
        </is>
      </c>
      <c r="I260" s="48">
        <f>'名簿'!H22</f>
        <v/>
      </c>
      <c r="J260" s="47" t="inlineStr">
        <is>
          <t>×の数：</t>
        </is>
      </c>
      <c r="K260" s="48">
        <f>'名簿'!I22</f>
        <v/>
      </c>
      <c r="L260" s="4" t="n"/>
    </row>
    <row r="261">
      <c r="B261" s="49" t="inlineStr"/>
      <c r="C261" s="30">
        <f>'設定'!$E$11</f>
        <v/>
      </c>
      <c r="D261" s="30">
        <f>'設定'!$E$12</f>
        <v/>
      </c>
      <c r="E261" s="30">
        <f>'設定'!$E$13</f>
        <v/>
      </c>
      <c r="F261" s="30">
        <f>'設定'!$E$14</f>
        <v/>
      </c>
      <c r="G261" s="30">
        <f>'設定'!$E$15</f>
        <v/>
      </c>
      <c r="H261" s="30">
        <f>'設定'!$E$16</f>
        <v/>
      </c>
      <c r="I261" s="30">
        <f>'設定'!$E$17</f>
        <v/>
      </c>
      <c r="J261" s="30">
        <f>'設定'!$E$18</f>
        <v/>
      </c>
      <c r="K261" s="30">
        <f>'設定'!$E$19</f>
        <v/>
      </c>
      <c r="L261" s="30">
        <f>'設定'!$E$20</f>
        <v/>
      </c>
    </row>
    <row r="262" ht="22" customHeight="1">
      <c r="B262" s="50">
        <f>'設定'!$I$11</f>
        <v/>
      </c>
      <c r="C262" s="51" t="n"/>
      <c r="D262" s="51" t="n"/>
      <c r="E262" s="51" t="n"/>
      <c r="F262" s="51" t="n"/>
      <c r="G262" s="51" t="n"/>
      <c r="H262" s="51" t="n"/>
      <c r="I262" s="51" t="n"/>
      <c r="J262" s="51" t="n"/>
      <c r="K262" s="51" t="n"/>
      <c r="L262" s="51" t="n"/>
    </row>
    <row r="263" ht="22" customHeight="1">
      <c r="B263" s="50">
        <f>'設定'!$I$12</f>
        <v/>
      </c>
      <c r="C263" s="51" t="n"/>
      <c r="D263" s="51" t="n"/>
      <c r="E263" s="51" t="n"/>
      <c r="F263" s="51" t="n"/>
      <c r="G263" s="51" t="n"/>
      <c r="H263" s="51" t="n"/>
      <c r="I263" s="51" t="n"/>
      <c r="J263" s="51" t="n"/>
      <c r="K263" s="51" t="n"/>
      <c r="L263" s="51" t="n"/>
    </row>
    <row r="264" ht="22" customHeight="1">
      <c r="B264" s="50">
        <f>'設定'!$I$13</f>
        <v/>
      </c>
      <c r="C264" s="51" t="n"/>
      <c r="D264" s="51" t="n"/>
      <c r="E264" s="51" t="n"/>
      <c r="F264" s="51" t="n"/>
      <c r="G264" s="51" t="n"/>
      <c r="H264" s="51" t="n"/>
      <c r="I264" s="51" t="n"/>
      <c r="J264" s="51" t="n"/>
      <c r="K264" s="51" t="n"/>
      <c r="L264" s="51" t="n"/>
    </row>
    <row r="265" ht="22" customHeight="1">
      <c r="B265" s="50">
        <f>'設定'!$I$14</f>
        <v/>
      </c>
      <c r="C265" s="51" t="n"/>
      <c r="D265" s="51" t="n"/>
      <c r="E265" s="51" t="n"/>
      <c r="F265" s="51" t="n"/>
      <c r="G265" s="51" t="n"/>
      <c r="H265" s="51" t="n"/>
      <c r="I265" s="51" t="n"/>
      <c r="J265" s="51" t="n"/>
      <c r="K265" s="51" t="n"/>
      <c r="L265" s="51" t="n"/>
    </row>
    <row r="266" ht="22" customHeight="1">
      <c r="B266" s="50">
        <f>'設定'!$I$15</f>
        <v/>
      </c>
      <c r="C266" s="51" t="n"/>
      <c r="D266" s="51" t="n"/>
      <c r="E266" s="51" t="n"/>
      <c r="F266" s="51" t="n"/>
      <c r="G266" s="51" t="n"/>
      <c r="H266" s="51" t="n"/>
      <c r="I266" s="51" t="n"/>
      <c r="J266" s="51" t="n"/>
      <c r="K266" s="51" t="n"/>
      <c r="L266" s="51" t="n"/>
    </row>
    <row r="267" ht="22" customHeight="1">
      <c r="B267" s="50">
        <f>'設定'!$I$16</f>
        <v/>
      </c>
      <c r="C267" s="51" t="n"/>
      <c r="D267" s="51" t="n"/>
      <c r="E267" s="51" t="n"/>
      <c r="F267" s="51" t="n"/>
      <c r="G267" s="51" t="n"/>
      <c r="H267" s="51" t="n"/>
      <c r="I267" s="51" t="n"/>
      <c r="J267" s="51" t="n"/>
      <c r="K267" s="51" t="n"/>
      <c r="L267" s="51" t="n"/>
    </row>
    <row r="268" ht="22" customHeight="1">
      <c r="B268" s="50">
        <f>'設定'!$I$17</f>
        <v/>
      </c>
      <c r="C268" s="51" t="n"/>
      <c r="D268" s="51" t="n"/>
      <c r="E268" s="51" t="n"/>
      <c r="F268" s="51" t="n"/>
      <c r="G268" s="51" t="n"/>
      <c r="H268" s="51" t="n"/>
      <c r="I268" s="51" t="n"/>
      <c r="J268" s="51" t="n"/>
      <c r="K268" s="51" t="n"/>
      <c r="L268" s="51" t="n"/>
    </row>
    <row r="269" ht="22" customHeight="1">
      <c r="B269" s="50">
        <f>'設定'!$I$18</f>
        <v/>
      </c>
      <c r="C269" s="51" t="n"/>
      <c r="D269" s="51" t="n"/>
      <c r="E269" s="51" t="n"/>
      <c r="F269" s="51" t="n"/>
      <c r="G269" s="51" t="n"/>
      <c r="H269" s="51" t="n"/>
      <c r="I269" s="51" t="n"/>
      <c r="J269" s="51" t="n"/>
      <c r="K269" s="51" t="n"/>
      <c r="L269" s="51" t="n"/>
    </row>
    <row r="270" ht="22" customHeight="1">
      <c r="B270" s="50">
        <f>'設定'!$I$19</f>
        <v/>
      </c>
      <c r="C270" s="51" t="n"/>
      <c r="D270" s="51" t="n"/>
      <c r="E270" s="51" t="n"/>
      <c r="F270" s="51" t="n"/>
      <c r="G270" s="51" t="n"/>
      <c r="H270" s="51" t="n"/>
      <c r="I270" s="51" t="n"/>
      <c r="J270" s="51" t="n"/>
      <c r="K270" s="51" t="n"/>
      <c r="L270" s="51" t="n"/>
    </row>
    <row r="271" ht="22" customHeight="1">
      <c r="B271" s="50">
        <f>'設定'!$I$20</f>
        <v/>
      </c>
      <c r="C271" s="51" t="n"/>
      <c r="D271" s="51" t="n"/>
      <c r="E271" s="51" t="n"/>
      <c r="F271" s="51" t="n"/>
      <c r="G271" s="51" t="n"/>
      <c r="H271" s="51" t="n"/>
      <c r="I271" s="51" t="n"/>
      <c r="J271" s="51" t="n"/>
      <c r="K271" s="51" t="n"/>
      <c r="L271" s="51" t="n"/>
    </row>
    <row r="272" ht="22" customHeight="1">
      <c r="B272" s="50">
        <f>'設定'!$I$21</f>
        <v/>
      </c>
      <c r="C272" s="51" t="n"/>
      <c r="D272" s="51" t="n"/>
      <c r="E272" s="51" t="n"/>
      <c r="F272" s="51" t="n"/>
      <c r="G272" s="51" t="n"/>
      <c r="H272" s="51" t="n"/>
      <c r="I272" s="51" t="n"/>
      <c r="J272" s="51" t="n"/>
      <c r="K272" s="51" t="n"/>
      <c r="L272" s="51" t="n"/>
    </row>
    <row r="273" ht="22" customHeight="1">
      <c r="B273" s="50">
        <f>'設定'!$I$22</f>
        <v/>
      </c>
      <c r="C273" s="51" t="n"/>
      <c r="D273" s="51" t="n"/>
      <c r="E273" s="51" t="n"/>
      <c r="F273" s="51" t="n"/>
      <c r="G273" s="51" t="n"/>
      <c r="H273" s="51" t="n"/>
      <c r="I273" s="51" t="n"/>
      <c r="J273" s="51" t="n"/>
      <c r="K273" s="51" t="n"/>
      <c r="L273" s="51" t="n"/>
    </row>
    <row r="274"/>
    <row r="275" ht="26" customHeight="1">
      <c r="B275" s="45">
        <f>IF('名簿'!B23="","（名簿 19行目：なし）",'名簿'!G23)</f>
        <v/>
      </c>
      <c r="C275" s="4" t="n"/>
      <c r="D275" s="4" t="n"/>
      <c r="E275" s="46" t="inlineStr">
        <is>
          <t>提出状況 ▶</t>
        </is>
      </c>
      <c r="F275" s="33" t="n"/>
      <c r="G275" s="29" t="n"/>
      <c r="H275" s="47" t="inlineStr">
        <is>
          <t>状況：</t>
        </is>
      </c>
      <c r="I275" s="48">
        <f>'名簿'!H23</f>
        <v/>
      </c>
      <c r="J275" s="47" t="inlineStr">
        <is>
          <t>×の数：</t>
        </is>
      </c>
      <c r="K275" s="48">
        <f>'名簿'!I23</f>
        <v/>
      </c>
      <c r="L275" s="4" t="n"/>
    </row>
    <row r="276">
      <c r="B276" s="49" t="inlineStr"/>
      <c r="C276" s="30">
        <f>'設定'!$E$11</f>
        <v/>
      </c>
      <c r="D276" s="30">
        <f>'設定'!$E$12</f>
        <v/>
      </c>
      <c r="E276" s="30">
        <f>'設定'!$E$13</f>
        <v/>
      </c>
      <c r="F276" s="30">
        <f>'設定'!$E$14</f>
        <v/>
      </c>
      <c r="G276" s="30">
        <f>'設定'!$E$15</f>
        <v/>
      </c>
      <c r="H276" s="30">
        <f>'設定'!$E$16</f>
        <v/>
      </c>
      <c r="I276" s="30">
        <f>'設定'!$E$17</f>
        <v/>
      </c>
      <c r="J276" s="30">
        <f>'設定'!$E$18</f>
        <v/>
      </c>
      <c r="K276" s="30">
        <f>'設定'!$E$19</f>
        <v/>
      </c>
      <c r="L276" s="30">
        <f>'設定'!$E$20</f>
        <v/>
      </c>
    </row>
    <row r="277" ht="22" customHeight="1">
      <c r="B277" s="50">
        <f>'設定'!$I$11</f>
        <v/>
      </c>
      <c r="C277" s="51" t="n"/>
      <c r="D277" s="51" t="n"/>
      <c r="E277" s="51" t="n"/>
      <c r="F277" s="51" t="n"/>
      <c r="G277" s="51" t="n"/>
      <c r="H277" s="51" t="n"/>
      <c r="I277" s="51" t="n"/>
      <c r="J277" s="51" t="n"/>
      <c r="K277" s="51" t="n"/>
      <c r="L277" s="51" t="n"/>
    </row>
    <row r="278" ht="22" customHeight="1">
      <c r="B278" s="50">
        <f>'設定'!$I$12</f>
        <v/>
      </c>
      <c r="C278" s="51" t="n"/>
      <c r="D278" s="51" t="n"/>
      <c r="E278" s="51" t="n"/>
      <c r="F278" s="51" t="n"/>
      <c r="G278" s="51" t="n"/>
      <c r="H278" s="51" t="n"/>
      <c r="I278" s="51" t="n"/>
      <c r="J278" s="51" t="n"/>
      <c r="K278" s="51" t="n"/>
      <c r="L278" s="51" t="n"/>
    </row>
    <row r="279" ht="22" customHeight="1">
      <c r="B279" s="50">
        <f>'設定'!$I$13</f>
        <v/>
      </c>
      <c r="C279" s="51" t="n"/>
      <c r="D279" s="51" t="n"/>
      <c r="E279" s="51" t="n"/>
      <c r="F279" s="51" t="n"/>
      <c r="G279" s="51" t="n"/>
      <c r="H279" s="51" t="n"/>
      <c r="I279" s="51" t="n"/>
      <c r="J279" s="51" t="n"/>
      <c r="K279" s="51" t="n"/>
      <c r="L279" s="51" t="n"/>
    </row>
    <row r="280" ht="22" customHeight="1">
      <c r="B280" s="50">
        <f>'設定'!$I$14</f>
        <v/>
      </c>
      <c r="C280" s="51" t="n"/>
      <c r="D280" s="51" t="n"/>
      <c r="E280" s="51" t="n"/>
      <c r="F280" s="51" t="n"/>
      <c r="G280" s="51" t="n"/>
      <c r="H280" s="51" t="n"/>
      <c r="I280" s="51" t="n"/>
      <c r="J280" s="51" t="n"/>
      <c r="K280" s="51" t="n"/>
      <c r="L280" s="51" t="n"/>
    </row>
    <row r="281" ht="22" customHeight="1">
      <c r="B281" s="50">
        <f>'設定'!$I$15</f>
        <v/>
      </c>
      <c r="C281" s="51" t="n"/>
      <c r="D281" s="51" t="n"/>
      <c r="E281" s="51" t="n"/>
      <c r="F281" s="51" t="n"/>
      <c r="G281" s="51" t="n"/>
      <c r="H281" s="51" t="n"/>
      <c r="I281" s="51" t="n"/>
      <c r="J281" s="51" t="n"/>
      <c r="K281" s="51" t="n"/>
      <c r="L281" s="51" t="n"/>
    </row>
    <row r="282" ht="22" customHeight="1">
      <c r="B282" s="50">
        <f>'設定'!$I$16</f>
        <v/>
      </c>
      <c r="C282" s="51" t="n"/>
      <c r="D282" s="51" t="n"/>
      <c r="E282" s="51" t="n"/>
      <c r="F282" s="51" t="n"/>
      <c r="G282" s="51" t="n"/>
      <c r="H282" s="51" t="n"/>
      <c r="I282" s="51" t="n"/>
      <c r="J282" s="51" t="n"/>
      <c r="K282" s="51" t="n"/>
      <c r="L282" s="51" t="n"/>
    </row>
    <row r="283" ht="22" customHeight="1">
      <c r="B283" s="50">
        <f>'設定'!$I$17</f>
        <v/>
      </c>
      <c r="C283" s="51" t="n"/>
      <c r="D283" s="51" t="n"/>
      <c r="E283" s="51" t="n"/>
      <c r="F283" s="51" t="n"/>
      <c r="G283" s="51" t="n"/>
      <c r="H283" s="51" t="n"/>
      <c r="I283" s="51" t="n"/>
      <c r="J283" s="51" t="n"/>
      <c r="K283" s="51" t="n"/>
      <c r="L283" s="51" t="n"/>
    </row>
    <row r="284" ht="22" customHeight="1">
      <c r="B284" s="50">
        <f>'設定'!$I$18</f>
        <v/>
      </c>
      <c r="C284" s="51" t="n"/>
      <c r="D284" s="51" t="n"/>
      <c r="E284" s="51" t="n"/>
      <c r="F284" s="51" t="n"/>
      <c r="G284" s="51" t="n"/>
      <c r="H284" s="51" t="n"/>
      <c r="I284" s="51" t="n"/>
      <c r="J284" s="51" t="n"/>
      <c r="K284" s="51" t="n"/>
      <c r="L284" s="51" t="n"/>
    </row>
    <row r="285" ht="22" customHeight="1">
      <c r="B285" s="50">
        <f>'設定'!$I$19</f>
        <v/>
      </c>
      <c r="C285" s="51" t="n"/>
      <c r="D285" s="51" t="n"/>
      <c r="E285" s="51" t="n"/>
      <c r="F285" s="51" t="n"/>
      <c r="G285" s="51" t="n"/>
      <c r="H285" s="51" t="n"/>
      <c r="I285" s="51" t="n"/>
      <c r="J285" s="51" t="n"/>
      <c r="K285" s="51" t="n"/>
      <c r="L285" s="51" t="n"/>
    </row>
    <row r="286" ht="22" customHeight="1">
      <c r="B286" s="50">
        <f>'設定'!$I$20</f>
        <v/>
      </c>
      <c r="C286" s="51" t="n"/>
      <c r="D286" s="51" t="n"/>
      <c r="E286" s="51" t="n"/>
      <c r="F286" s="51" t="n"/>
      <c r="G286" s="51" t="n"/>
      <c r="H286" s="51" t="n"/>
      <c r="I286" s="51" t="n"/>
      <c r="J286" s="51" t="n"/>
      <c r="K286" s="51" t="n"/>
      <c r="L286" s="51" t="n"/>
    </row>
    <row r="287" ht="22" customHeight="1">
      <c r="B287" s="50">
        <f>'設定'!$I$21</f>
        <v/>
      </c>
      <c r="C287" s="51" t="n"/>
      <c r="D287" s="51" t="n"/>
      <c r="E287" s="51" t="n"/>
      <c r="F287" s="51" t="n"/>
      <c r="G287" s="51" t="n"/>
      <c r="H287" s="51" t="n"/>
      <c r="I287" s="51" t="n"/>
      <c r="J287" s="51" t="n"/>
      <c r="K287" s="51" t="n"/>
      <c r="L287" s="51" t="n"/>
    </row>
    <row r="288" ht="22" customHeight="1">
      <c r="B288" s="50">
        <f>'設定'!$I$22</f>
        <v/>
      </c>
      <c r="C288" s="51" t="n"/>
      <c r="D288" s="51" t="n"/>
      <c r="E288" s="51" t="n"/>
      <c r="F288" s="51" t="n"/>
      <c r="G288" s="51" t="n"/>
      <c r="H288" s="51" t="n"/>
      <c r="I288" s="51" t="n"/>
      <c r="J288" s="51" t="n"/>
      <c r="K288" s="51" t="n"/>
      <c r="L288" s="51" t="n"/>
    </row>
    <row r="289"/>
    <row r="290" ht="26" customHeight="1">
      <c r="B290" s="45">
        <f>IF('名簿'!B24="","（名簿 20行目：なし）",'名簿'!G24)</f>
        <v/>
      </c>
      <c r="C290" s="4" t="n"/>
      <c r="D290" s="4" t="n"/>
      <c r="E290" s="46" t="inlineStr">
        <is>
          <t>提出状況 ▶</t>
        </is>
      </c>
      <c r="F290" s="33" t="n"/>
      <c r="G290" s="29" t="n"/>
      <c r="H290" s="47" t="inlineStr">
        <is>
          <t>状況：</t>
        </is>
      </c>
      <c r="I290" s="48">
        <f>'名簿'!H24</f>
        <v/>
      </c>
      <c r="J290" s="47" t="inlineStr">
        <is>
          <t>×の数：</t>
        </is>
      </c>
      <c r="K290" s="48">
        <f>'名簿'!I24</f>
        <v/>
      </c>
      <c r="L290" s="4" t="n"/>
    </row>
    <row r="291">
      <c r="B291" s="49" t="inlineStr"/>
      <c r="C291" s="30">
        <f>'設定'!$E$11</f>
        <v/>
      </c>
      <c r="D291" s="30">
        <f>'設定'!$E$12</f>
        <v/>
      </c>
      <c r="E291" s="30">
        <f>'設定'!$E$13</f>
        <v/>
      </c>
      <c r="F291" s="30">
        <f>'設定'!$E$14</f>
        <v/>
      </c>
      <c r="G291" s="30">
        <f>'設定'!$E$15</f>
        <v/>
      </c>
      <c r="H291" s="30">
        <f>'設定'!$E$16</f>
        <v/>
      </c>
      <c r="I291" s="30">
        <f>'設定'!$E$17</f>
        <v/>
      </c>
      <c r="J291" s="30">
        <f>'設定'!$E$18</f>
        <v/>
      </c>
      <c r="K291" s="30">
        <f>'設定'!$E$19</f>
        <v/>
      </c>
      <c r="L291" s="30">
        <f>'設定'!$E$20</f>
        <v/>
      </c>
    </row>
    <row r="292" ht="22" customHeight="1">
      <c r="B292" s="50">
        <f>'設定'!$I$11</f>
        <v/>
      </c>
      <c r="C292" s="51" t="n"/>
      <c r="D292" s="51" t="n"/>
      <c r="E292" s="51" t="n"/>
      <c r="F292" s="51" t="n"/>
      <c r="G292" s="51" t="n"/>
      <c r="H292" s="51" t="n"/>
      <c r="I292" s="51" t="n"/>
      <c r="J292" s="51" t="n"/>
      <c r="K292" s="51" t="n"/>
      <c r="L292" s="51" t="n"/>
    </row>
    <row r="293" ht="22" customHeight="1">
      <c r="B293" s="50">
        <f>'設定'!$I$12</f>
        <v/>
      </c>
      <c r="C293" s="51" t="n"/>
      <c r="D293" s="51" t="n"/>
      <c r="E293" s="51" t="n"/>
      <c r="F293" s="51" t="n"/>
      <c r="G293" s="51" t="n"/>
      <c r="H293" s="51" t="n"/>
      <c r="I293" s="51" t="n"/>
      <c r="J293" s="51" t="n"/>
      <c r="K293" s="51" t="n"/>
      <c r="L293" s="51" t="n"/>
    </row>
    <row r="294" ht="22" customHeight="1">
      <c r="B294" s="50">
        <f>'設定'!$I$13</f>
        <v/>
      </c>
      <c r="C294" s="51" t="n"/>
      <c r="D294" s="51" t="n"/>
      <c r="E294" s="51" t="n"/>
      <c r="F294" s="51" t="n"/>
      <c r="G294" s="51" t="n"/>
      <c r="H294" s="51" t="n"/>
      <c r="I294" s="51" t="n"/>
      <c r="J294" s="51" t="n"/>
      <c r="K294" s="51" t="n"/>
      <c r="L294" s="51" t="n"/>
    </row>
    <row r="295" ht="22" customHeight="1">
      <c r="B295" s="50">
        <f>'設定'!$I$14</f>
        <v/>
      </c>
      <c r="C295" s="51" t="n"/>
      <c r="D295" s="51" t="n"/>
      <c r="E295" s="51" t="n"/>
      <c r="F295" s="51" t="n"/>
      <c r="G295" s="51" t="n"/>
      <c r="H295" s="51" t="n"/>
      <c r="I295" s="51" t="n"/>
      <c r="J295" s="51" t="n"/>
      <c r="K295" s="51" t="n"/>
      <c r="L295" s="51" t="n"/>
    </row>
    <row r="296" ht="22" customHeight="1">
      <c r="B296" s="50">
        <f>'設定'!$I$15</f>
        <v/>
      </c>
      <c r="C296" s="51" t="n"/>
      <c r="D296" s="51" t="n"/>
      <c r="E296" s="51" t="n"/>
      <c r="F296" s="51" t="n"/>
      <c r="G296" s="51" t="n"/>
      <c r="H296" s="51" t="n"/>
      <c r="I296" s="51" t="n"/>
      <c r="J296" s="51" t="n"/>
      <c r="K296" s="51" t="n"/>
      <c r="L296" s="51" t="n"/>
    </row>
    <row r="297" ht="22" customHeight="1">
      <c r="B297" s="50">
        <f>'設定'!$I$16</f>
        <v/>
      </c>
      <c r="C297" s="51" t="n"/>
      <c r="D297" s="51" t="n"/>
      <c r="E297" s="51" t="n"/>
      <c r="F297" s="51" t="n"/>
      <c r="G297" s="51" t="n"/>
      <c r="H297" s="51" t="n"/>
      <c r="I297" s="51" t="n"/>
      <c r="J297" s="51" t="n"/>
      <c r="K297" s="51" t="n"/>
      <c r="L297" s="51" t="n"/>
    </row>
    <row r="298" ht="22" customHeight="1">
      <c r="B298" s="50">
        <f>'設定'!$I$17</f>
        <v/>
      </c>
      <c r="C298" s="51" t="n"/>
      <c r="D298" s="51" t="n"/>
      <c r="E298" s="51" t="n"/>
      <c r="F298" s="51" t="n"/>
      <c r="G298" s="51" t="n"/>
      <c r="H298" s="51" t="n"/>
      <c r="I298" s="51" t="n"/>
      <c r="J298" s="51" t="n"/>
      <c r="K298" s="51" t="n"/>
      <c r="L298" s="51" t="n"/>
    </row>
    <row r="299" ht="22" customHeight="1">
      <c r="B299" s="50">
        <f>'設定'!$I$18</f>
        <v/>
      </c>
      <c r="C299" s="51" t="n"/>
      <c r="D299" s="51" t="n"/>
      <c r="E299" s="51" t="n"/>
      <c r="F299" s="51" t="n"/>
      <c r="G299" s="51" t="n"/>
      <c r="H299" s="51" t="n"/>
      <c r="I299" s="51" t="n"/>
      <c r="J299" s="51" t="n"/>
      <c r="K299" s="51" t="n"/>
      <c r="L299" s="51" t="n"/>
    </row>
    <row r="300" ht="22" customHeight="1">
      <c r="B300" s="50">
        <f>'設定'!$I$19</f>
        <v/>
      </c>
      <c r="C300" s="51" t="n"/>
      <c r="D300" s="51" t="n"/>
      <c r="E300" s="51" t="n"/>
      <c r="F300" s="51" t="n"/>
      <c r="G300" s="51" t="n"/>
      <c r="H300" s="51" t="n"/>
      <c r="I300" s="51" t="n"/>
      <c r="J300" s="51" t="n"/>
      <c r="K300" s="51" t="n"/>
      <c r="L300" s="51" t="n"/>
    </row>
    <row r="301" ht="22" customHeight="1">
      <c r="B301" s="50">
        <f>'設定'!$I$20</f>
        <v/>
      </c>
      <c r="C301" s="51" t="n"/>
      <c r="D301" s="51" t="n"/>
      <c r="E301" s="51" t="n"/>
      <c r="F301" s="51" t="n"/>
      <c r="G301" s="51" t="n"/>
      <c r="H301" s="51" t="n"/>
      <c r="I301" s="51" t="n"/>
      <c r="J301" s="51" t="n"/>
      <c r="K301" s="51" t="n"/>
      <c r="L301" s="51" t="n"/>
    </row>
    <row r="302" ht="22" customHeight="1">
      <c r="B302" s="50">
        <f>'設定'!$I$21</f>
        <v/>
      </c>
      <c r="C302" s="51" t="n"/>
      <c r="D302" s="51" t="n"/>
      <c r="E302" s="51" t="n"/>
      <c r="F302" s="51" t="n"/>
      <c r="G302" s="51" t="n"/>
      <c r="H302" s="51" t="n"/>
      <c r="I302" s="51" t="n"/>
      <c r="J302" s="51" t="n"/>
      <c r="K302" s="51" t="n"/>
      <c r="L302" s="51" t="n"/>
    </row>
    <row r="303" ht="22" customHeight="1">
      <c r="B303" s="50">
        <f>'設定'!$I$22</f>
        <v/>
      </c>
      <c r="C303" s="51" t="n"/>
      <c r="D303" s="51" t="n"/>
      <c r="E303" s="51" t="n"/>
      <c r="F303" s="51" t="n"/>
      <c r="G303" s="51" t="n"/>
      <c r="H303" s="51" t="n"/>
      <c r="I303" s="51" t="n"/>
      <c r="J303" s="51" t="n"/>
      <c r="K303" s="51" t="n"/>
      <c r="L303" s="51" t="n"/>
    </row>
    <row r="304"/>
    <row r="305" ht="26" customHeight="1">
      <c r="B305" s="45">
        <f>IF('名簿'!B25="","（名簿 21行目：なし）",'名簿'!G25)</f>
        <v/>
      </c>
      <c r="C305" s="4" t="n"/>
      <c r="D305" s="4" t="n"/>
      <c r="E305" s="46" t="inlineStr">
        <is>
          <t>提出状況 ▶</t>
        </is>
      </c>
      <c r="F305" s="33" t="n"/>
      <c r="G305" s="29" t="n"/>
      <c r="H305" s="47" t="inlineStr">
        <is>
          <t>状況：</t>
        </is>
      </c>
      <c r="I305" s="48">
        <f>'名簿'!H25</f>
        <v/>
      </c>
      <c r="J305" s="47" t="inlineStr">
        <is>
          <t>×の数：</t>
        </is>
      </c>
      <c r="K305" s="48">
        <f>'名簿'!I25</f>
        <v/>
      </c>
      <c r="L305" s="4" t="n"/>
    </row>
    <row r="306">
      <c r="B306" s="49" t="inlineStr"/>
      <c r="C306" s="30">
        <f>'設定'!$E$11</f>
        <v/>
      </c>
      <c r="D306" s="30">
        <f>'設定'!$E$12</f>
        <v/>
      </c>
      <c r="E306" s="30">
        <f>'設定'!$E$13</f>
        <v/>
      </c>
      <c r="F306" s="30">
        <f>'設定'!$E$14</f>
        <v/>
      </c>
      <c r="G306" s="30">
        <f>'設定'!$E$15</f>
        <v/>
      </c>
      <c r="H306" s="30">
        <f>'設定'!$E$16</f>
        <v/>
      </c>
      <c r="I306" s="30">
        <f>'設定'!$E$17</f>
        <v/>
      </c>
      <c r="J306" s="30">
        <f>'設定'!$E$18</f>
        <v/>
      </c>
      <c r="K306" s="30">
        <f>'設定'!$E$19</f>
        <v/>
      </c>
      <c r="L306" s="30">
        <f>'設定'!$E$20</f>
        <v/>
      </c>
    </row>
    <row r="307" ht="22" customHeight="1">
      <c r="B307" s="50">
        <f>'設定'!$I$11</f>
        <v/>
      </c>
      <c r="C307" s="51" t="n"/>
      <c r="D307" s="51" t="n"/>
      <c r="E307" s="51" t="n"/>
      <c r="F307" s="51" t="n"/>
      <c r="G307" s="51" t="n"/>
      <c r="H307" s="51" t="n"/>
      <c r="I307" s="51" t="n"/>
      <c r="J307" s="51" t="n"/>
      <c r="K307" s="51" t="n"/>
      <c r="L307" s="51" t="n"/>
    </row>
    <row r="308" ht="22" customHeight="1">
      <c r="B308" s="50">
        <f>'設定'!$I$12</f>
        <v/>
      </c>
      <c r="C308" s="51" t="n"/>
      <c r="D308" s="51" t="n"/>
      <c r="E308" s="51" t="n"/>
      <c r="F308" s="51" t="n"/>
      <c r="G308" s="51" t="n"/>
      <c r="H308" s="51" t="n"/>
      <c r="I308" s="51" t="n"/>
      <c r="J308" s="51" t="n"/>
      <c r="K308" s="51" t="n"/>
      <c r="L308" s="51" t="n"/>
    </row>
    <row r="309" ht="22" customHeight="1">
      <c r="B309" s="50">
        <f>'設定'!$I$13</f>
        <v/>
      </c>
      <c r="C309" s="51" t="n"/>
      <c r="D309" s="51" t="n"/>
      <c r="E309" s="51" t="n"/>
      <c r="F309" s="51" t="n"/>
      <c r="G309" s="51" t="n"/>
      <c r="H309" s="51" t="n"/>
      <c r="I309" s="51" t="n"/>
      <c r="J309" s="51" t="n"/>
      <c r="K309" s="51" t="n"/>
      <c r="L309" s="51" t="n"/>
    </row>
    <row r="310" ht="22" customHeight="1">
      <c r="B310" s="50">
        <f>'設定'!$I$14</f>
        <v/>
      </c>
      <c r="C310" s="51" t="n"/>
      <c r="D310" s="51" t="n"/>
      <c r="E310" s="51" t="n"/>
      <c r="F310" s="51" t="n"/>
      <c r="G310" s="51" t="n"/>
      <c r="H310" s="51" t="n"/>
      <c r="I310" s="51" t="n"/>
      <c r="J310" s="51" t="n"/>
      <c r="K310" s="51" t="n"/>
      <c r="L310" s="51" t="n"/>
    </row>
    <row r="311" ht="22" customHeight="1">
      <c r="B311" s="50">
        <f>'設定'!$I$15</f>
        <v/>
      </c>
      <c r="C311" s="51" t="n"/>
      <c r="D311" s="51" t="n"/>
      <c r="E311" s="51" t="n"/>
      <c r="F311" s="51" t="n"/>
      <c r="G311" s="51" t="n"/>
      <c r="H311" s="51" t="n"/>
      <c r="I311" s="51" t="n"/>
      <c r="J311" s="51" t="n"/>
      <c r="K311" s="51" t="n"/>
      <c r="L311" s="51" t="n"/>
    </row>
    <row r="312" ht="22" customHeight="1">
      <c r="B312" s="50">
        <f>'設定'!$I$16</f>
        <v/>
      </c>
      <c r="C312" s="51" t="n"/>
      <c r="D312" s="51" t="n"/>
      <c r="E312" s="51" t="n"/>
      <c r="F312" s="51" t="n"/>
      <c r="G312" s="51" t="n"/>
      <c r="H312" s="51" t="n"/>
      <c r="I312" s="51" t="n"/>
      <c r="J312" s="51" t="n"/>
      <c r="K312" s="51" t="n"/>
      <c r="L312" s="51" t="n"/>
    </row>
    <row r="313" ht="22" customHeight="1">
      <c r="B313" s="50">
        <f>'設定'!$I$17</f>
        <v/>
      </c>
      <c r="C313" s="51" t="n"/>
      <c r="D313" s="51" t="n"/>
      <c r="E313" s="51" t="n"/>
      <c r="F313" s="51" t="n"/>
      <c r="G313" s="51" t="n"/>
      <c r="H313" s="51" t="n"/>
      <c r="I313" s="51" t="n"/>
      <c r="J313" s="51" t="n"/>
      <c r="K313" s="51" t="n"/>
      <c r="L313" s="51" t="n"/>
    </row>
    <row r="314" ht="22" customHeight="1">
      <c r="B314" s="50">
        <f>'設定'!$I$18</f>
        <v/>
      </c>
      <c r="C314" s="51" t="n"/>
      <c r="D314" s="51" t="n"/>
      <c r="E314" s="51" t="n"/>
      <c r="F314" s="51" t="n"/>
      <c r="G314" s="51" t="n"/>
      <c r="H314" s="51" t="n"/>
      <c r="I314" s="51" t="n"/>
      <c r="J314" s="51" t="n"/>
      <c r="K314" s="51" t="n"/>
      <c r="L314" s="51" t="n"/>
    </row>
    <row r="315" ht="22" customHeight="1">
      <c r="B315" s="50">
        <f>'設定'!$I$19</f>
        <v/>
      </c>
      <c r="C315" s="51" t="n"/>
      <c r="D315" s="51" t="n"/>
      <c r="E315" s="51" t="n"/>
      <c r="F315" s="51" t="n"/>
      <c r="G315" s="51" t="n"/>
      <c r="H315" s="51" t="n"/>
      <c r="I315" s="51" t="n"/>
      <c r="J315" s="51" t="n"/>
      <c r="K315" s="51" t="n"/>
      <c r="L315" s="51" t="n"/>
    </row>
    <row r="316" ht="22" customHeight="1">
      <c r="B316" s="50">
        <f>'設定'!$I$20</f>
        <v/>
      </c>
      <c r="C316" s="51" t="n"/>
      <c r="D316" s="51" t="n"/>
      <c r="E316" s="51" t="n"/>
      <c r="F316" s="51" t="n"/>
      <c r="G316" s="51" t="n"/>
      <c r="H316" s="51" t="n"/>
      <c r="I316" s="51" t="n"/>
      <c r="J316" s="51" t="n"/>
      <c r="K316" s="51" t="n"/>
      <c r="L316" s="51" t="n"/>
    </row>
    <row r="317" ht="22" customHeight="1">
      <c r="B317" s="50">
        <f>'設定'!$I$21</f>
        <v/>
      </c>
      <c r="C317" s="51" t="n"/>
      <c r="D317" s="51" t="n"/>
      <c r="E317" s="51" t="n"/>
      <c r="F317" s="51" t="n"/>
      <c r="G317" s="51" t="n"/>
      <c r="H317" s="51" t="n"/>
      <c r="I317" s="51" t="n"/>
      <c r="J317" s="51" t="n"/>
      <c r="K317" s="51" t="n"/>
      <c r="L317" s="51" t="n"/>
    </row>
    <row r="318" ht="22" customHeight="1">
      <c r="B318" s="50">
        <f>'設定'!$I$22</f>
        <v/>
      </c>
      <c r="C318" s="51" t="n"/>
      <c r="D318" s="51" t="n"/>
      <c r="E318" s="51" t="n"/>
      <c r="F318" s="51" t="n"/>
      <c r="G318" s="51" t="n"/>
      <c r="H318" s="51" t="n"/>
      <c r="I318" s="51" t="n"/>
      <c r="J318" s="51" t="n"/>
      <c r="K318" s="51" t="n"/>
      <c r="L318" s="51" t="n"/>
    </row>
    <row r="319"/>
    <row r="320" ht="26" customHeight="1">
      <c r="B320" s="45">
        <f>IF('名簿'!B26="","（名簿 22行目：なし）",'名簿'!G26)</f>
        <v/>
      </c>
      <c r="C320" s="4" t="n"/>
      <c r="D320" s="4" t="n"/>
      <c r="E320" s="46" t="inlineStr">
        <is>
          <t>提出状況 ▶</t>
        </is>
      </c>
      <c r="F320" s="33" t="n"/>
      <c r="G320" s="29" t="n"/>
      <c r="H320" s="47" t="inlineStr">
        <is>
          <t>状況：</t>
        </is>
      </c>
      <c r="I320" s="48">
        <f>'名簿'!H26</f>
        <v/>
      </c>
      <c r="J320" s="47" t="inlineStr">
        <is>
          <t>×の数：</t>
        </is>
      </c>
      <c r="K320" s="48">
        <f>'名簿'!I26</f>
        <v/>
      </c>
      <c r="L320" s="4" t="n"/>
    </row>
    <row r="321">
      <c r="B321" s="49" t="inlineStr"/>
      <c r="C321" s="30">
        <f>'設定'!$E$11</f>
        <v/>
      </c>
      <c r="D321" s="30">
        <f>'設定'!$E$12</f>
        <v/>
      </c>
      <c r="E321" s="30">
        <f>'設定'!$E$13</f>
        <v/>
      </c>
      <c r="F321" s="30">
        <f>'設定'!$E$14</f>
        <v/>
      </c>
      <c r="G321" s="30">
        <f>'設定'!$E$15</f>
        <v/>
      </c>
      <c r="H321" s="30">
        <f>'設定'!$E$16</f>
        <v/>
      </c>
      <c r="I321" s="30">
        <f>'設定'!$E$17</f>
        <v/>
      </c>
      <c r="J321" s="30">
        <f>'設定'!$E$18</f>
        <v/>
      </c>
      <c r="K321" s="30">
        <f>'設定'!$E$19</f>
        <v/>
      </c>
      <c r="L321" s="30">
        <f>'設定'!$E$20</f>
        <v/>
      </c>
    </row>
    <row r="322" ht="22" customHeight="1">
      <c r="B322" s="50">
        <f>'設定'!$I$11</f>
        <v/>
      </c>
      <c r="C322" s="51" t="n"/>
      <c r="D322" s="51" t="n"/>
      <c r="E322" s="51" t="n"/>
      <c r="F322" s="51" t="n"/>
      <c r="G322" s="51" t="n"/>
      <c r="H322" s="51" t="n"/>
      <c r="I322" s="51" t="n"/>
      <c r="J322" s="51" t="n"/>
      <c r="K322" s="51" t="n"/>
      <c r="L322" s="51" t="n"/>
    </row>
    <row r="323" ht="22" customHeight="1">
      <c r="B323" s="50">
        <f>'設定'!$I$12</f>
        <v/>
      </c>
      <c r="C323" s="51" t="n"/>
      <c r="D323" s="51" t="n"/>
      <c r="E323" s="51" t="n"/>
      <c r="F323" s="51" t="n"/>
      <c r="G323" s="51" t="n"/>
      <c r="H323" s="51" t="n"/>
      <c r="I323" s="51" t="n"/>
      <c r="J323" s="51" t="n"/>
      <c r="K323" s="51" t="n"/>
      <c r="L323" s="51" t="n"/>
    </row>
    <row r="324" ht="22" customHeight="1">
      <c r="B324" s="50">
        <f>'設定'!$I$13</f>
        <v/>
      </c>
      <c r="C324" s="51" t="n"/>
      <c r="D324" s="51" t="n"/>
      <c r="E324" s="51" t="n"/>
      <c r="F324" s="51" t="n"/>
      <c r="G324" s="51" t="n"/>
      <c r="H324" s="51" t="n"/>
      <c r="I324" s="51" t="n"/>
      <c r="J324" s="51" t="n"/>
      <c r="K324" s="51" t="n"/>
      <c r="L324" s="51" t="n"/>
    </row>
    <row r="325" ht="22" customHeight="1">
      <c r="B325" s="50">
        <f>'設定'!$I$14</f>
        <v/>
      </c>
      <c r="C325" s="51" t="n"/>
      <c r="D325" s="51" t="n"/>
      <c r="E325" s="51" t="n"/>
      <c r="F325" s="51" t="n"/>
      <c r="G325" s="51" t="n"/>
      <c r="H325" s="51" t="n"/>
      <c r="I325" s="51" t="n"/>
      <c r="J325" s="51" t="n"/>
      <c r="K325" s="51" t="n"/>
      <c r="L325" s="51" t="n"/>
    </row>
    <row r="326" ht="22" customHeight="1">
      <c r="B326" s="50">
        <f>'設定'!$I$15</f>
        <v/>
      </c>
      <c r="C326" s="51" t="n"/>
      <c r="D326" s="51" t="n"/>
      <c r="E326" s="51" t="n"/>
      <c r="F326" s="51" t="n"/>
      <c r="G326" s="51" t="n"/>
      <c r="H326" s="51" t="n"/>
      <c r="I326" s="51" t="n"/>
      <c r="J326" s="51" t="n"/>
      <c r="K326" s="51" t="n"/>
      <c r="L326" s="51" t="n"/>
    </row>
    <row r="327" ht="22" customHeight="1">
      <c r="B327" s="50">
        <f>'設定'!$I$16</f>
        <v/>
      </c>
      <c r="C327" s="51" t="n"/>
      <c r="D327" s="51" t="n"/>
      <c r="E327" s="51" t="n"/>
      <c r="F327" s="51" t="n"/>
      <c r="G327" s="51" t="n"/>
      <c r="H327" s="51" t="n"/>
      <c r="I327" s="51" t="n"/>
      <c r="J327" s="51" t="n"/>
      <c r="K327" s="51" t="n"/>
      <c r="L327" s="51" t="n"/>
    </row>
    <row r="328" ht="22" customHeight="1">
      <c r="B328" s="50">
        <f>'設定'!$I$17</f>
        <v/>
      </c>
      <c r="C328" s="51" t="n"/>
      <c r="D328" s="51" t="n"/>
      <c r="E328" s="51" t="n"/>
      <c r="F328" s="51" t="n"/>
      <c r="G328" s="51" t="n"/>
      <c r="H328" s="51" t="n"/>
      <c r="I328" s="51" t="n"/>
      <c r="J328" s="51" t="n"/>
      <c r="K328" s="51" t="n"/>
      <c r="L328" s="51" t="n"/>
    </row>
    <row r="329" ht="22" customHeight="1">
      <c r="B329" s="50">
        <f>'設定'!$I$18</f>
        <v/>
      </c>
      <c r="C329" s="51" t="n"/>
      <c r="D329" s="51" t="n"/>
      <c r="E329" s="51" t="n"/>
      <c r="F329" s="51" t="n"/>
      <c r="G329" s="51" t="n"/>
      <c r="H329" s="51" t="n"/>
      <c r="I329" s="51" t="n"/>
      <c r="J329" s="51" t="n"/>
      <c r="K329" s="51" t="n"/>
      <c r="L329" s="51" t="n"/>
    </row>
    <row r="330" ht="22" customHeight="1">
      <c r="B330" s="50">
        <f>'設定'!$I$19</f>
        <v/>
      </c>
      <c r="C330" s="51" t="n"/>
      <c r="D330" s="51" t="n"/>
      <c r="E330" s="51" t="n"/>
      <c r="F330" s="51" t="n"/>
      <c r="G330" s="51" t="n"/>
      <c r="H330" s="51" t="n"/>
      <c r="I330" s="51" t="n"/>
      <c r="J330" s="51" t="n"/>
      <c r="K330" s="51" t="n"/>
      <c r="L330" s="51" t="n"/>
    </row>
    <row r="331" ht="22" customHeight="1">
      <c r="B331" s="50">
        <f>'設定'!$I$20</f>
        <v/>
      </c>
      <c r="C331" s="51" t="n"/>
      <c r="D331" s="51" t="n"/>
      <c r="E331" s="51" t="n"/>
      <c r="F331" s="51" t="n"/>
      <c r="G331" s="51" t="n"/>
      <c r="H331" s="51" t="n"/>
      <c r="I331" s="51" t="n"/>
      <c r="J331" s="51" t="n"/>
      <c r="K331" s="51" t="n"/>
      <c r="L331" s="51" t="n"/>
    </row>
    <row r="332" ht="22" customHeight="1">
      <c r="B332" s="50">
        <f>'設定'!$I$21</f>
        <v/>
      </c>
      <c r="C332" s="51" t="n"/>
      <c r="D332" s="51" t="n"/>
      <c r="E332" s="51" t="n"/>
      <c r="F332" s="51" t="n"/>
      <c r="G332" s="51" t="n"/>
      <c r="H332" s="51" t="n"/>
      <c r="I332" s="51" t="n"/>
      <c r="J332" s="51" t="n"/>
      <c r="K332" s="51" t="n"/>
      <c r="L332" s="51" t="n"/>
    </row>
    <row r="333" ht="22" customHeight="1">
      <c r="B333" s="50">
        <f>'設定'!$I$22</f>
        <v/>
      </c>
      <c r="C333" s="51" t="n"/>
      <c r="D333" s="51" t="n"/>
      <c r="E333" s="51" t="n"/>
      <c r="F333" s="51" t="n"/>
      <c r="G333" s="51" t="n"/>
      <c r="H333" s="51" t="n"/>
      <c r="I333" s="51" t="n"/>
      <c r="J333" s="51" t="n"/>
      <c r="K333" s="51" t="n"/>
      <c r="L333" s="51" t="n"/>
    </row>
    <row r="334"/>
    <row r="335" ht="26" customHeight="1">
      <c r="B335" s="45">
        <f>IF('名簿'!B27="","（名簿 23行目：なし）",'名簿'!G27)</f>
        <v/>
      </c>
      <c r="C335" s="4" t="n"/>
      <c r="D335" s="4" t="n"/>
      <c r="E335" s="46" t="inlineStr">
        <is>
          <t>提出状況 ▶</t>
        </is>
      </c>
      <c r="F335" s="33" t="n"/>
      <c r="G335" s="29" t="n"/>
      <c r="H335" s="47" t="inlineStr">
        <is>
          <t>状況：</t>
        </is>
      </c>
      <c r="I335" s="48">
        <f>'名簿'!H27</f>
        <v/>
      </c>
      <c r="J335" s="47" t="inlineStr">
        <is>
          <t>×の数：</t>
        </is>
      </c>
      <c r="K335" s="48">
        <f>'名簿'!I27</f>
        <v/>
      </c>
      <c r="L335" s="4" t="n"/>
    </row>
    <row r="336">
      <c r="B336" s="49" t="inlineStr"/>
      <c r="C336" s="30">
        <f>'設定'!$E$11</f>
        <v/>
      </c>
      <c r="D336" s="30">
        <f>'設定'!$E$12</f>
        <v/>
      </c>
      <c r="E336" s="30">
        <f>'設定'!$E$13</f>
        <v/>
      </c>
      <c r="F336" s="30">
        <f>'設定'!$E$14</f>
        <v/>
      </c>
      <c r="G336" s="30">
        <f>'設定'!$E$15</f>
        <v/>
      </c>
      <c r="H336" s="30">
        <f>'設定'!$E$16</f>
        <v/>
      </c>
      <c r="I336" s="30">
        <f>'設定'!$E$17</f>
        <v/>
      </c>
      <c r="J336" s="30">
        <f>'設定'!$E$18</f>
        <v/>
      </c>
      <c r="K336" s="30">
        <f>'設定'!$E$19</f>
        <v/>
      </c>
      <c r="L336" s="30">
        <f>'設定'!$E$20</f>
        <v/>
      </c>
    </row>
    <row r="337" ht="22" customHeight="1">
      <c r="B337" s="50">
        <f>'設定'!$I$11</f>
        <v/>
      </c>
      <c r="C337" s="51" t="n"/>
      <c r="D337" s="51" t="n"/>
      <c r="E337" s="51" t="n"/>
      <c r="F337" s="51" t="n"/>
      <c r="G337" s="51" t="n"/>
      <c r="H337" s="51" t="n"/>
      <c r="I337" s="51" t="n"/>
      <c r="J337" s="51" t="n"/>
      <c r="K337" s="51" t="n"/>
      <c r="L337" s="51" t="n"/>
    </row>
    <row r="338" ht="22" customHeight="1">
      <c r="B338" s="50">
        <f>'設定'!$I$12</f>
        <v/>
      </c>
      <c r="C338" s="51" t="n"/>
      <c r="D338" s="51" t="n"/>
      <c r="E338" s="51" t="n"/>
      <c r="F338" s="51" t="n"/>
      <c r="G338" s="51" t="n"/>
      <c r="H338" s="51" t="n"/>
      <c r="I338" s="51" t="n"/>
      <c r="J338" s="51" t="n"/>
      <c r="K338" s="51" t="n"/>
      <c r="L338" s="51" t="n"/>
    </row>
    <row r="339" ht="22" customHeight="1">
      <c r="B339" s="50">
        <f>'設定'!$I$13</f>
        <v/>
      </c>
      <c r="C339" s="51" t="n"/>
      <c r="D339" s="51" t="n"/>
      <c r="E339" s="51" t="n"/>
      <c r="F339" s="51" t="n"/>
      <c r="G339" s="51" t="n"/>
      <c r="H339" s="51" t="n"/>
      <c r="I339" s="51" t="n"/>
      <c r="J339" s="51" t="n"/>
      <c r="K339" s="51" t="n"/>
      <c r="L339" s="51" t="n"/>
    </row>
    <row r="340" ht="22" customHeight="1">
      <c r="B340" s="50">
        <f>'設定'!$I$14</f>
        <v/>
      </c>
      <c r="C340" s="51" t="n"/>
      <c r="D340" s="51" t="n"/>
      <c r="E340" s="51" t="n"/>
      <c r="F340" s="51" t="n"/>
      <c r="G340" s="51" t="n"/>
      <c r="H340" s="51" t="n"/>
      <c r="I340" s="51" t="n"/>
      <c r="J340" s="51" t="n"/>
      <c r="K340" s="51" t="n"/>
      <c r="L340" s="51" t="n"/>
    </row>
    <row r="341" ht="22" customHeight="1">
      <c r="B341" s="50">
        <f>'設定'!$I$15</f>
        <v/>
      </c>
      <c r="C341" s="51" t="n"/>
      <c r="D341" s="51" t="n"/>
      <c r="E341" s="51" t="n"/>
      <c r="F341" s="51" t="n"/>
      <c r="G341" s="51" t="n"/>
      <c r="H341" s="51" t="n"/>
      <c r="I341" s="51" t="n"/>
      <c r="J341" s="51" t="n"/>
      <c r="K341" s="51" t="n"/>
      <c r="L341" s="51" t="n"/>
    </row>
    <row r="342" ht="22" customHeight="1">
      <c r="B342" s="50">
        <f>'設定'!$I$16</f>
        <v/>
      </c>
      <c r="C342" s="51" t="n"/>
      <c r="D342" s="51" t="n"/>
      <c r="E342" s="51" t="n"/>
      <c r="F342" s="51" t="n"/>
      <c r="G342" s="51" t="n"/>
      <c r="H342" s="51" t="n"/>
      <c r="I342" s="51" t="n"/>
      <c r="J342" s="51" t="n"/>
      <c r="K342" s="51" t="n"/>
      <c r="L342" s="51" t="n"/>
    </row>
    <row r="343" ht="22" customHeight="1">
      <c r="B343" s="50">
        <f>'設定'!$I$17</f>
        <v/>
      </c>
      <c r="C343" s="51" t="n"/>
      <c r="D343" s="51" t="n"/>
      <c r="E343" s="51" t="n"/>
      <c r="F343" s="51" t="n"/>
      <c r="G343" s="51" t="n"/>
      <c r="H343" s="51" t="n"/>
      <c r="I343" s="51" t="n"/>
      <c r="J343" s="51" t="n"/>
      <c r="K343" s="51" t="n"/>
      <c r="L343" s="51" t="n"/>
    </row>
    <row r="344" ht="22" customHeight="1">
      <c r="B344" s="50">
        <f>'設定'!$I$18</f>
        <v/>
      </c>
      <c r="C344" s="51" t="n"/>
      <c r="D344" s="51" t="n"/>
      <c r="E344" s="51" t="n"/>
      <c r="F344" s="51" t="n"/>
      <c r="G344" s="51" t="n"/>
      <c r="H344" s="51" t="n"/>
      <c r="I344" s="51" t="n"/>
      <c r="J344" s="51" t="n"/>
      <c r="K344" s="51" t="n"/>
      <c r="L344" s="51" t="n"/>
    </row>
    <row r="345" ht="22" customHeight="1">
      <c r="B345" s="50">
        <f>'設定'!$I$19</f>
        <v/>
      </c>
      <c r="C345" s="51" t="n"/>
      <c r="D345" s="51" t="n"/>
      <c r="E345" s="51" t="n"/>
      <c r="F345" s="51" t="n"/>
      <c r="G345" s="51" t="n"/>
      <c r="H345" s="51" t="n"/>
      <c r="I345" s="51" t="n"/>
      <c r="J345" s="51" t="n"/>
      <c r="K345" s="51" t="n"/>
      <c r="L345" s="51" t="n"/>
    </row>
    <row r="346" ht="22" customHeight="1">
      <c r="B346" s="50">
        <f>'設定'!$I$20</f>
        <v/>
      </c>
      <c r="C346" s="51" t="n"/>
      <c r="D346" s="51" t="n"/>
      <c r="E346" s="51" t="n"/>
      <c r="F346" s="51" t="n"/>
      <c r="G346" s="51" t="n"/>
      <c r="H346" s="51" t="n"/>
      <c r="I346" s="51" t="n"/>
      <c r="J346" s="51" t="n"/>
      <c r="K346" s="51" t="n"/>
      <c r="L346" s="51" t="n"/>
    </row>
    <row r="347" ht="22" customHeight="1">
      <c r="B347" s="50">
        <f>'設定'!$I$21</f>
        <v/>
      </c>
      <c r="C347" s="51" t="n"/>
      <c r="D347" s="51" t="n"/>
      <c r="E347" s="51" t="n"/>
      <c r="F347" s="51" t="n"/>
      <c r="G347" s="51" t="n"/>
      <c r="H347" s="51" t="n"/>
      <c r="I347" s="51" t="n"/>
      <c r="J347" s="51" t="n"/>
      <c r="K347" s="51" t="n"/>
      <c r="L347" s="51" t="n"/>
    </row>
    <row r="348" ht="22" customHeight="1">
      <c r="B348" s="50">
        <f>'設定'!$I$22</f>
        <v/>
      </c>
      <c r="C348" s="51" t="n"/>
      <c r="D348" s="51" t="n"/>
      <c r="E348" s="51" t="n"/>
      <c r="F348" s="51" t="n"/>
      <c r="G348" s="51" t="n"/>
      <c r="H348" s="51" t="n"/>
      <c r="I348" s="51" t="n"/>
      <c r="J348" s="51" t="n"/>
      <c r="K348" s="51" t="n"/>
      <c r="L348" s="51" t="n"/>
    </row>
    <row r="349"/>
    <row r="350" ht="26" customHeight="1">
      <c r="B350" s="45">
        <f>IF('名簿'!B28="","（名簿 24行目：なし）",'名簿'!G28)</f>
        <v/>
      </c>
      <c r="C350" s="4" t="n"/>
      <c r="D350" s="4" t="n"/>
      <c r="E350" s="46" t="inlineStr">
        <is>
          <t>提出状況 ▶</t>
        </is>
      </c>
      <c r="F350" s="33" t="n"/>
      <c r="G350" s="29" t="n"/>
      <c r="H350" s="47" t="inlineStr">
        <is>
          <t>状況：</t>
        </is>
      </c>
      <c r="I350" s="48">
        <f>'名簿'!H28</f>
        <v/>
      </c>
      <c r="J350" s="47" t="inlineStr">
        <is>
          <t>×の数：</t>
        </is>
      </c>
      <c r="K350" s="48">
        <f>'名簿'!I28</f>
        <v/>
      </c>
      <c r="L350" s="4" t="n"/>
    </row>
    <row r="351">
      <c r="B351" s="49" t="inlineStr"/>
      <c r="C351" s="30">
        <f>'設定'!$E$11</f>
        <v/>
      </c>
      <c r="D351" s="30">
        <f>'設定'!$E$12</f>
        <v/>
      </c>
      <c r="E351" s="30">
        <f>'設定'!$E$13</f>
        <v/>
      </c>
      <c r="F351" s="30">
        <f>'設定'!$E$14</f>
        <v/>
      </c>
      <c r="G351" s="30">
        <f>'設定'!$E$15</f>
        <v/>
      </c>
      <c r="H351" s="30">
        <f>'設定'!$E$16</f>
        <v/>
      </c>
      <c r="I351" s="30">
        <f>'設定'!$E$17</f>
        <v/>
      </c>
      <c r="J351" s="30">
        <f>'設定'!$E$18</f>
        <v/>
      </c>
      <c r="K351" s="30">
        <f>'設定'!$E$19</f>
        <v/>
      </c>
      <c r="L351" s="30">
        <f>'設定'!$E$20</f>
        <v/>
      </c>
    </row>
    <row r="352" ht="22" customHeight="1">
      <c r="B352" s="50">
        <f>'設定'!$I$11</f>
        <v/>
      </c>
      <c r="C352" s="51" t="n"/>
      <c r="D352" s="51" t="n"/>
      <c r="E352" s="51" t="n"/>
      <c r="F352" s="51" t="n"/>
      <c r="G352" s="51" t="n"/>
      <c r="H352" s="51" t="n"/>
      <c r="I352" s="51" t="n"/>
      <c r="J352" s="51" t="n"/>
      <c r="K352" s="51" t="n"/>
      <c r="L352" s="51" t="n"/>
    </row>
    <row r="353" ht="22" customHeight="1">
      <c r="B353" s="50">
        <f>'設定'!$I$12</f>
        <v/>
      </c>
      <c r="C353" s="51" t="n"/>
      <c r="D353" s="51" t="n"/>
      <c r="E353" s="51" t="n"/>
      <c r="F353" s="51" t="n"/>
      <c r="G353" s="51" t="n"/>
      <c r="H353" s="51" t="n"/>
      <c r="I353" s="51" t="n"/>
      <c r="J353" s="51" t="n"/>
      <c r="K353" s="51" t="n"/>
      <c r="L353" s="51" t="n"/>
    </row>
    <row r="354" ht="22" customHeight="1">
      <c r="B354" s="50">
        <f>'設定'!$I$13</f>
        <v/>
      </c>
      <c r="C354" s="51" t="n"/>
      <c r="D354" s="51" t="n"/>
      <c r="E354" s="51" t="n"/>
      <c r="F354" s="51" t="n"/>
      <c r="G354" s="51" t="n"/>
      <c r="H354" s="51" t="n"/>
      <c r="I354" s="51" t="n"/>
      <c r="J354" s="51" t="n"/>
      <c r="K354" s="51" t="n"/>
      <c r="L354" s="51" t="n"/>
    </row>
    <row r="355" ht="22" customHeight="1">
      <c r="B355" s="50">
        <f>'設定'!$I$14</f>
        <v/>
      </c>
      <c r="C355" s="51" t="n"/>
      <c r="D355" s="51" t="n"/>
      <c r="E355" s="51" t="n"/>
      <c r="F355" s="51" t="n"/>
      <c r="G355" s="51" t="n"/>
      <c r="H355" s="51" t="n"/>
      <c r="I355" s="51" t="n"/>
      <c r="J355" s="51" t="n"/>
      <c r="K355" s="51" t="n"/>
      <c r="L355" s="51" t="n"/>
    </row>
    <row r="356" ht="22" customHeight="1">
      <c r="B356" s="50">
        <f>'設定'!$I$15</f>
        <v/>
      </c>
      <c r="C356" s="51" t="n"/>
      <c r="D356" s="51" t="n"/>
      <c r="E356" s="51" t="n"/>
      <c r="F356" s="51" t="n"/>
      <c r="G356" s="51" t="n"/>
      <c r="H356" s="51" t="n"/>
      <c r="I356" s="51" t="n"/>
      <c r="J356" s="51" t="n"/>
      <c r="K356" s="51" t="n"/>
      <c r="L356" s="51" t="n"/>
    </row>
    <row r="357" ht="22" customHeight="1">
      <c r="B357" s="50">
        <f>'設定'!$I$16</f>
        <v/>
      </c>
      <c r="C357" s="51" t="n"/>
      <c r="D357" s="51" t="n"/>
      <c r="E357" s="51" t="n"/>
      <c r="F357" s="51" t="n"/>
      <c r="G357" s="51" t="n"/>
      <c r="H357" s="51" t="n"/>
      <c r="I357" s="51" t="n"/>
      <c r="J357" s="51" t="n"/>
      <c r="K357" s="51" t="n"/>
      <c r="L357" s="51" t="n"/>
    </row>
    <row r="358" ht="22" customHeight="1">
      <c r="B358" s="50">
        <f>'設定'!$I$17</f>
        <v/>
      </c>
      <c r="C358" s="51" t="n"/>
      <c r="D358" s="51" t="n"/>
      <c r="E358" s="51" t="n"/>
      <c r="F358" s="51" t="n"/>
      <c r="G358" s="51" t="n"/>
      <c r="H358" s="51" t="n"/>
      <c r="I358" s="51" t="n"/>
      <c r="J358" s="51" t="n"/>
      <c r="K358" s="51" t="n"/>
      <c r="L358" s="51" t="n"/>
    </row>
    <row r="359" ht="22" customHeight="1">
      <c r="B359" s="50">
        <f>'設定'!$I$18</f>
        <v/>
      </c>
      <c r="C359" s="51" t="n"/>
      <c r="D359" s="51" t="n"/>
      <c r="E359" s="51" t="n"/>
      <c r="F359" s="51" t="n"/>
      <c r="G359" s="51" t="n"/>
      <c r="H359" s="51" t="n"/>
      <c r="I359" s="51" t="n"/>
      <c r="J359" s="51" t="n"/>
      <c r="K359" s="51" t="n"/>
      <c r="L359" s="51" t="n"/>
    </row>
    <row r="360" ht="22" customHeight="1">
      <c r="B360" s="50">
        <f>'設定'!$I$19</f>
        <v/>
      </c>
      <c r="C360" s="51" t="n"/>
      <c r="D360" s="51" t="n"/>
      <c r="E360" s="51" t="n"/>
      <c r="F360" s="51" t="n"/>
      <c r="G360" s="51" t="n"/>
      <c r="H360" s="51" t="n"/>
      <c r="I360" s="51" t="n"/>
      <c r="J360" s="51" t="n"/>
      <c r="K360" s="51" t="n"/>
      <c r="L360" s="51" t="n"/>
    </row>
    <row r="361" ht="22" customHeight="1">
      <c r="B361" s="50">
        <f>'設定'!$I$20</f>
        <v/>
      </c>
      <c r="C361" s="51" t="n"/>
      <c r="D361" s="51" t="n"/>
      <c r="E361" s="51" t="n"/>
      <c r="F361" s="51" t="n"/>
      <c r="G361" s="51" t="n"/>
      <c r="H361" s="51" t="n"/>
      <c r="I361" s="51" t="n"/>
      <c r="J361" s="51" t="n"/>
      <c r="K361" s="51" t="n"/>
      <c r="L361" s="51" t="n"/>
    </row>
    <row r="362" ht="22" customHeight="1">
      <c r="B362" s="50">
        <f>'設定'!$I$21</f>
        <v/>
      </c>
      <c r="C362" s="51" t="n"/>
      <c r="D362" s="51" t="n"/>
      <c r="E362" s="51" t="n"/>
      <c r="F362" s="51" t="n"/>
      <c r="G362" s="51" t="n"/>
      <c r="H362" s="51" t="n"/>
      <c r="I362" s="51" t="n"/>
      <c r="J362" s="51" t="n"/>
      <c r="K362" s="51" t="n"/>
      <c r="L362" s="51" t="n"/>
    </row>
    <row r="363" ht="22" customHeight="1">
      <c r="B363" s="50">
        <f>'設定'!$I$22</f>
        <v/>
      </c>
      <c r="C363" s="51" t="n"/>
      <c r="D363" s="51" t="n"/>
      <c r="E363" s="51" t="n"/>
      <c r="F363" s="51" t="n"/>
      <c r="G363" s="51" t="n"/>
      <c r="H363" s="51" t="n"/>
      <c r="I363" s="51" t="n"/>
      <c r="J363" s="51" t="n"/>
      <c r="K363" s="51" t="n"/>
      <c r="L363" s="51" t="n"/>
    </row>
    <row r="364"/>
    <row r="365" ht="26" customHeight="1">
      <c r="B365" s="45">
        <f>IF('名簿'!B29="","（名簿 25行目：なし）",'名簿'!G29)</f>
        <v/>
      </c>
      <c r="C365" s="4" t="n"/>
      <c r="D365" s="4" t="n"/>
      <c r="E365" s="46" t="inlineStr">
        <is>
          <t>提出状況 ▶</t>
        </is>
      </c>
      <c r="F365" s="33" t="n"/>
      <c r="G365" s="29" t="n"/>
      <c r="H365" s="47" t="inlineStr">
        <is>
          <t>状況：</t>
        </is>
      </c>
      <c r="I365" s="48">
        <f>'名簿'!H29</f>
        <v/>
      </c>
      <c r="J365" s="47" t="inlineStr">
        <is>
          <t>×の数：</t>
        </is>
      </c>
      <c r="K365" s="48">
        <f>'名簿'!I29</f>
        <v/>
      </c>
      <c r="L365" s="4" t="n"/>
    </row>
    <row r="366">
      <c r="B366" s="49" t="inlineStr"/>
      <c r="C366" s="30">
        <f>'設定'!$E$11</f>
        <v/>
      </c>
      <c r="D366" s="30">
        <f>'設定'!$E$12</f>
        <v/>
      </c>
      <c r="E366" s="30">
        <f>'設定'!$E$13</f>
        <v/>
      </c>
      <c r="F366" s="30">
        <f>'設定'!$E$14</f>
        <v/>
      </c>
      <c r="G366" s="30">
        <f>'設定'!$E$15</f>
        <v/>
      </c>
      <c r="H366" s="30">
        <f>'設定'!$E$16</f>
        <v/>
      </c>
      <c r="I366" s="30">
        <f>'設定'!$E$17</f>
        <v/>
      </c>
      <c r="J366" s="30">
        <f>'設定'!$E$18</f>
        <v/>
      </c>
      <c r="K366" s="30">
        <f>'設定'!$E$19</f>
        <v/>
      </c>
      <c r="L366" s="30">
        <f>'設定'!$E$20</f>
        <v/>
      </c>
    </row>
    <row r="367" ht="22" customHeight="1">
      <c r="B367" s="50">
        <f>'設定'!$I$11</f>
        <v/>
      </c>
      <c r="C367" s="51" t="n"/>
      <c r="D367" s="51" t="n"/>
      <c r="E367" s="51" t="n"/>
      <c r="F367" s="51" t="n"/>
      <c r="G367" s="51" t="n"/>
      <c r="H367" s="51" t="n"/>
      <c r="I367" s="51" t="n"/>
      <c r="J367" s="51" t="n"/>
      <c r="K367" s="51" t="n"/>
      <c r="L367" s="51" t="n"/>
    </row>
    <row r="368" ht="22" customHeight="1">
      <c r="B368" s="50">
        <f>'設定'!$I$12</f>
        <v/>
      </c>
      <c r="C368" s="51" t="n"/>
      <c r="D368" s="51" t="n"/>
      <c r="E368" s="51" t="n"/>
      <c r="F368" s="51" t="n"/>
      <c r="G368" s="51" t="n"/>
      <c r="H368" s="51" t="n"/>
      <c r="I368" s="51" t="n"/>
      <c r="J368" s="51" t="n"/>
      <c r="K368" s="51" t="n"/>
      <c r="L368" s="51" t="n"/>
    </row>
    <row r="369" ht="22" customHeight="1">
      <c r="B369" s="50">
        <f>'設定'!$I$13</f>
        <v/>
      </c>
      <c r="C369" s="51" t="n"/>
      <c r="D369" s="51" t="n"/>
      <c r="E369" s="51" t="n"/>
      <c r="F369" s="51" t="n"/>
      <c r="G369" s="51" t="n"/>
      <c r="H369" s="51" t="n"/>
      <c r="I369" s="51" t="n"/>
      <c r="J369" s="51" t="n"/>
      <c r="K369" s="51" t="n"/>
      <c r="L369" s="51" t="n"/>
    </row>
    <row r="370" ht="22" customHeight="1">
      <c r="B370" s="50">
        <f>'設定'!$I$14</f>
        <v/>
      </c>
      <c r="C370" s="51" t="n"/>
      <c r="D370" s="51" t="n"/>
      <c r="E370" s="51" t="n"/>
      <c r="F370" s="51" t="n"/>
      <c r="G370" s="51" t="n"/>
      <c r="H370" s="51" t="n"/>
      <c r="I370" s="51" t="n"/>
      <c r="J370" s="51" t="n"/>
      <c r="K370" s="51" t="n"/>
      <c r="L370" s="51" t="n"/>
    </row>
    <row r="371" ht="22" customHeight="1">
      <c r="B371" s="50">
        <f>'設定'!$I$15</f>
        <v/>
      </c>
      <c r="C371" s="51" t="n"/>
      <c r="D371" s="51" t="n"/>
      <c r="E371" s="51" t="n"/>
      <c r="F371" s="51" t="n"/>
      <c r="G371" s="51" t="n"/>
      <c r="H371" s="51" t="n"/>
      <c r="I371" s="51" t="n"/>
      <c r="J371" s="51" t="n"/>
      <c r="K371" s="51" t="n"/>
      <c r="L371" s="51" t="n"/>
    </row>
    <row r="372" ht="22" customHeight="1">
      <c r="B372" s="50">
        <f>'設定'!$I$16</f>
        <v/>
      </c>
      <c r="C372" s="51" t="n"/>
      <c r="D372" s="51" t="n"/>
      <c r="E372" s="51" t="n"/>
      <c r="F372" s="51" t="n"/>
      <c r="G372" s="51" t="n"/>
      <c r="H372" s="51" t="n"/>
      <c r="I372" s="51" t="n"/>
      <c r="J372" s="51" t="n"/>
      <c r="K372" s="51" t="n"/>
      <c r="L372" s="51" t="n"/>
    </row>
    <row r="373" ht="22" customHeight="1">
      <c r="B373" s="50">
        <f>'設定'!$I$17</f>
        <v/>
      </c>
      <c r="C373" s="51" t="n"/>
      <c r="D373" s="51" t="n"/>
      <c r="E373" s="51" t="n"/>
      <c r="F373" s="51" t="n"/>
      <c r="G373" s="51" t="n"/>
      <c r="H373" s="51" t="n"/>
      <c r="I373" s="51" t="n"/>
      <c r="J373" s="51" t="n"/>
      <c r="K373" s="51" t="n"/>
      <c r="L373" s="51" t="n"/>
    </row>
    <row r="374" ht="22" customHeight="1">
      <c r="B374" s="50">
        <f>'設定'!$I$18</f>
        <v/>
      </c>
      <c r="C374" s="51" t="n"/>
      <c r="D374" s="51" t="n"/>
      <c r="E374" s="51" t="n"/>
      <c r="F374" s="51" t="n"/>
      <c r="G374" s="51" t="n"/>
      <c r="H374" s="51" t="n"/>
      <c r="I374" s="51" t="n"/>
      <c r="J374" s="51" t="n"/>
      <c r="K374" s="51" t="n"/>
      <c r="L374" s="51" t="n"/>
    </row>
    <row r="375" ht="22" customHeight="1">
      <c r="B375" s="50">
        <f>'設定'!$I$19</f>
        <v/>
      </c>
      <c r="C375" s="51" t="n"/>
      <c r="D375" s="51" t="n"/>
      <c r="E375" s="51" t="n"/>
      <c r="F375" s="51" t="n"/>
      <c r="G375" s="51" t="n"/>
      <c r="H375" s="51" t="n"/>
      <c r="I375" s="51" t="n"/>
      <c r="J375" s="51" t="n"/>
      <c r="K375" s="51" t="n"/>
      <c r="L375" s="51" t="n"/>
    </row>
    <row r="376" ht="22" customHeight="1">
      <c r="B376" s="50">
        <f>'設定'!$I$20</f>
        <v/>
      </c>
      <c r="C376" s="51" t="n"/>
      <c r="D376" s="51" t="n"/>
      <c r="E376" s="51" t="n"/>
      <c r="F376" s="51" t="n"/>
      <c r="G376" s="51" t="n"/>
      <c r="H376" s="51" t="n"/>
      <c r="I376" s="51" t="n"/>
      <c r="J376" s="51" t="n"/>
      <c r="K376" s="51" t="n"/>
      <c r="L376" s="51" t="n"/>
    </row>
    <row r="377" ht="22" customHeight="1">
      <c r="B377" s="50">
        <f>'設定'!$I$21</f>
        <v/>
      </c>
      <c r="C377" s="51" t="n"/>
      <c r="D377" s="51" t="n"/>
      <c r="E377" s="51" t="n"/>
      <c r="F377" s="51" t="n"/>
      <c r="G377" s="51" t="n"/>
      <c r="H377" s="51" t="n"/>
      <c r="I377" s="51" t="n"/>
      <c r="J377" s="51" t="n"/>
      <c r="K377" s="51" t="n"/>
      <c r="L377" s="51" t="n"/>
    </row>
    <row r="378" ht="22" customHeight="1">
      <c r="B378" s="50">
        <f>'設定'!$I$22</f>
        <v/>
      </c>
      <c r="C378" s="51" t="n"/>
      <c r="D378" s="51" t="n"/>
      <c r="E378" s="51" t="n"/>
      <c r="F378" s="51" t="n"/>
      <c r="G378" s="51" t="n"/>
      <c r="H378" s="51" t="n"/>
      <c r="I378" s="51" t="n"/>
      <c r="J378" s="51" t="n"/>
      <c r="K378" s="51" t="n"/>
      <c r="L378" s="51" t="n"/>
    </row>
    <row r="379"/>
    <row r="380" ht="26" customHeight="1">
      <c r="B380" s="45">
        <f>IF('名簿'!B30="","（名簿 26行目：なし）",'名簿'!G30)</f>
        <v/>
      </c>
      <c r="C380" s="4" t="n"/>
      <c r="D380" s="4" t="n"/>
      <c r="E380" s="46" t="inlineStr">
        <is>
          <t>提出状況 ▶</t>
        </is>
      </c>
      <c r="F380" s="33" t="n"/>
      <c r="G380" s="29" t="n"/>
      <c r="H380" s="47" t="inlineStr">
        <is>
          <t>状況：</t>
        </is>
      </c>
      <c r="I380" s="48">
        <f>'名簿'!H30</f>
        <v/>
      </c>
      <c r="J380" s="47" t="inlineStr">
        <is>
          <t>×の数：</t>
        </is>
      </c>
      <c r="K380" s="48">
        <f>'名簿'!I30</f>
        <v/>
      </c>
      <c r="L380" s="4" t="n"/>
    </row>
    <row r="381">
      <c r="B381" s="49" t="inlineStr"/>
      <c r="C381" s="30">
        <f>'設定'!$E$11</f>
        <v/>
      </c>
      <c r="D381" s="30">
        <f>'設定'!$E$12</f>
        <v/>
      </c>
      <c r="E381" s="30">
        <f>'設定'!$E$13</f>
        <v/>
      </c>
      <c r="F381" s="30">
        <f>'設定'!$E$14</f>
        <v/>
      </c>
      <c r="G381" s="30">
        <f>'設定'!$E$15</f>
        <v/>
      </c>
      <c r="H381" s="30">
        <f>'設定'!$E$16</f>
        <v/>
      </c>
      <c r="I381" s="30">
        <f>'設定'!$E$17</f>
        <v/>
      </c>
      <c r="J381" s="30">
        <f>'設定'!$E$18</f>
        <v/>
      </c>
      <c r="K381" s="30">
        <f>'設定'!$E$19</f>
        <v/>
      </c>
      <c r="L381" s="30">
        <f>'設定'!$E$20</f>
        <v/>
      </c>
    </row>
    <row r="382" ht="22" customHeight="1">
      <c r="B382" s="50">
        <f>'設定'!$I$11</f>
        <v/>
      </c>
      <c r="C382" s="51" t="n"/>
      <c r="D382" s="51" t="n"/>
      <c r="E382" s="51" t="n"/>
      <c r="F382" s="51" t="n"/>
      <c r="G382" s="51" t="n"/>
      <c r="H382" s="51" t="n"/>
      <c r="I382" s="51" t="n"/>
      <c r="J382" s="51" t="n"/>
      <c r="K382" s="51" t="n"/>
      <c r="L382" s="51" t="n"/>
    </row>
    <row r="383" ht="22" customHeight="1">
      <c r="B383" s="50">
        <f>'設定'!$I$12</f>
        <v/>
      </c>
      <c r="C383" s="51" t="n"/>
      <c r="D383" s="51" t="n"/>
      <c r="E383" s="51" t="n"/>
      <c r="F383" s="51" t="n"/>
      <c r="G383" s="51" t="n"/>
      <c r="H383" s="51" t="n"/>
      <c r="I383" s="51" t="n"/>
      <c r="J383" s="51" t="n"/>
      <c r="K383" s="51" t="n"/>
      <c r="L383" s="51" t="n"/>
    </row>
    <row r="384" ht="22" customHeight="1">
      <c r="B384" s="50">
        <f>'設定'!$I$13</f>
        <v/>
      </c>
      <c r="C384" s="51" t="n"/>
      <c r="D384" s="51" t="n"/>
      <c r="E384" s="51" t="n"/>
      <c r="F384" s="51" t="n"/>
      <c r="G384" s="51" t="n"/>
      <c r="H384" s="51" t="n"/>
      <c r="I384" s="51" t="n"/>
      <c r="J384" s="51" t="n"/>
      <c r="K384" s="51" t="n"/>
      <c r="L384" s="51" t="n"/>
    </row>
    <row r="385" ht="22" customHeight="1">
      <c r="B385" s="50">
        <f>'設定'!$I$14</f>
        <v/>
      </c>
      <c r="C385" s="51" t="n"/>
      <c r="D385" s="51" t="n"/>
      <c r="E385" s="51" t="n"/>
      <c r="F385" s="51" t="n"/>
      <c r="G385" s="51" t="n"/>
      <c r="H385" s="51" t="n"/>
      <c r="I385" s="51" t="n"/>
      <c r="J385" s="51" t="n"/>
      <c r="K385" s="51" t="n"/>
      <c r="L385" s="51" t="n"/>
    </row>
    <row r="386" ht="22" customHeight="1">
      <c r="B386" s="50">
        <f>'設定'!$I$15</f>
        <v/>
      </c>
      <c r="C386" s="51" t="n"/>
      <c r="D386" s="51" t="n"/>
      <c r="E386" s="51" t="n"/>
      <c r="F386" s="51" t="n"/>
      <c r="G386" s="51" t="n"/>
      <c r="H386" s="51" t="n"/>
      <c r="I386" s="51" t="n"/>
      <c r="J386" s="51" t="n"/>
      <c r="K386" s="51" t="n"/>
      <c r="L386" s="51" t="n"/>
    </row>
    <row r="387" ht="22" customHeight="1">
      <c r="B387" s="50">
        <f>'設定'!$I$16</f>
        <v/>
      </c>
      <c r="C387" s="51" t="n"/>
      <c r="D387" s="51" t="n"/>
      <c r="E387" s="51" t="n"/>
      <c r="F387" s="51" t="n"/>
      <c r="G387" s="51" t="n"/>
      <c r="H387" s="51" t="n"/>
      <c r="I387" s="51" t="n"/>
      <c r="J387" s="51" t="n"/>
      <c r="K387" s="51" t="n"/>
      <c r="L387" s="51" t="n"/>
    </row>
    <row r="388" ht="22" customHeight="1">
      <c r="B388" s="50">
        <f>'設定'!$I$17</f>
        <v/>
      </c>
      <c r="C388" s="51" t="n"/>
      <c r="D388" s="51" t="n"/>
      <c r="E388" s="51" t="n"/>
      <c r="F388" s="51" t="n"/>
      <c r="G388" s="51" t="n"/>
      <c r="H388" s="51" t="n"/>
      <c r="I388" s="51" t="n"/>
      <c r="J388" s="51" t="n"/>
      <c r="K388" s="51" t="n"/>
      <c r="L388" s="51" t="n"/>
    </row>
    <row r="389" ht="22" customHeight="1">
      <c r="B389" s="50">
        <f>'設定'!$I$18</f>
        <v/>
      </c>
      <c r="C389" s="51" t="n"/>
      <c r="D389" s="51" t="n"/>
      <c r="E389" s="51" t="n"/>
      <c r="F389" s="51" t="n"/>
      <c r="G389" s="51" t="n"/>
      <c r="H389" s="51" t="n"/>
      <c r="I389" s="51" t="n"/>
      <c r="J389" s="51" t="n"/>
      <c r="K389" s="51" t="n"/>
      <c r="L389" s="51" t="n"/>
    </row>
    <row r="390" ht="22" customHeight="1">
      <c r="B390" s="50">
        <f>'設定'!$I$19</f>
        <v/>
      </c>
      <c r="C390" s="51" t="n"/>
      <c r="D390" s="51" t="n"/>
      <c r="E390" s="51" t="n"/>
      <c r="F390" s="51" t="n"/>
      <c r="G390" s="51" t="n"/>
      <c r="H390" s="51" t="n"/>
      <c r="I390" s="51" t="n"/>
      <c r="J390" s="51" t="n"/>
      <c r="K390" s="51" t="n"/>
      <c r="L390" s="51" t="n"/>
    </row>
    <row r="391" ht="22" customHeight="1">
      <c r="B391" s="50">
        <f>'設定'!$I$20</f>
        <v/>
      </c>
      <c r="C391" s="51" t="n"/>
      <c r="D391" s="51" t="n"/>
      <c r="E391" s="51" t="n"/>
      <c r="F391" s="51" t="n"/>
      <c r="G391" s="51" t="n"/>
      <c r="H391" s="51" t="n"/>
      <c r="I391" s="51" t="n"/>
      <c r="J391" s="51" t="n"/>
      <c r="K391" s="51" t="n"/>
      <c r="L391" s="51" t="n"/>
    </row>
    <row r="392" ht="22" customHeight="1">
      <c r="B392" s="50">
        <f>'設定'!$I$21</f>
        <v/>
      </c>
      <c r="C392" s="51" t="n"/>
      <c r="D392" s="51" t="n"/>
      <c r="E392" s="51" t="n"/>
      <c r="F392" s="51" t="n"/>
      <c r="G392" s="51" t="n"/>
      <c r="H392" s="51" t="n"/>
      <c r="I392" s="51" t="n"/>
      <c r="J392" s="51" t="n"/>
      <c r="K392" s="51" t="n"/>
      <c r="L392" s="51" t="n"/>
    </row>
    <row r="393" ht="22" customHeight="1">
      <c r="B393" s="50">
        <f>'設定'!$I$22</f>
        <v/>
      </c>
      <c r="C393" s="51" t="n"/>
      <c r="D393" s="51" t="n"/>
      <c r="E393" s="51" t="n"/>
      <c r="F393" s="51" t="n"/>
      <c r="G393" s="51" t="n"/>
      <c r="H393" s="51" t="n"/>
      <c r="I393" s="51" t="n"/>
      <c r="J393" s="51" t="n"/>
      <c r="K393" s="51" t="n"/>
      <c r="L393" s="51" t="n"/>
    </row>
    <row r="394"/>
    <row r="395" ht="26" customHeight="1">
      <c r="B395" s="45">
        <f>IF('名簿'!B31="","（名簿 27行目：なし）",'名簿'!G31)</f>
        <v/>
      </c>
      <c r="C395" s="4" t="n"/>
      <c r="D395" s="4" t="n"/>
      <c r="E395" s="46" t="inlineStr">
        <is>
          <t>提出状況 ▶</t>
        </is>
      </c>
      <c r="F395" s="33" t="n"/>
      <c r="G395" s="29" t="n"/>
      <c r="H395" s="47" t="inlineStr">
        <is>
          <t>状況：</t>
        </is>
      </c>
      <c r="I395" s="48">
        <f>'名簿'!H31</f>
        <v/>
      </c>
      <c r="J395" s="47" t="inlineStr">
        <is>
          <t>×の数：</t>
        </is>
      </c>
      <c r="K395" s="48">
        <f>'名簿'!I31</f>
        <v/>
      </c>
      <c r="L395" s="4" t="n"/>
    </row>
    <row r="396">
      <c r="B396" s="49" t="inlineStr"/>
      <c r="C396" s="30">
        <f>'設定'!$E$11</f>
        <v/>
      </c>
      <c r="D396" s="30">
        <f>'設定'!$E$12</f>
        <v/>
      </c>
      <c r="E396" s="30">
        <f>'設定'!$E$13</f>
        <v/>
      </c>
      <c r="F396" s="30">
        <f>'設定'!$E$14</f>
        <v/>
      </c>
      <c r="G396" s="30">
        <f>'設定'!$E$15</f>
        <v/>
      </c>
      <c r="H396" s="30">
        <f>'設定'!$E$16</f>
        <v/>
      </c>
      <c r="I396" s="30">
        <f>'設定'!$E$17</f>
        <v/>
      </c>
      <c r="J396" s="30">
        <f>'設定'!$E$18</f>
        <v/>
      </c>
      <c r="K396" s="30">
        <f>'設定'!$E$19</f>
        <v/>
      </c>
      <c r="L396" s="30">
        <f>'設定'!$E$20</f>
        <v/>
      </c>
    </row>
    <row r="397" ht="22" customHeight="1">
      <c r="B397" s="50">
        <f>'設定'!$I$11</f>
        <v/>
      </c>
      <c r="C397" s="51" t="n"/>
      <c r="D397" s="51" t="n"/>
      <c r="E397" s="51" t="n"/>
      <c r="F397" s="51" t="n"/>
      <c r="G397" s="51" t="n"/>
      <c r="H397" s="51" t="n"/>
      <c r="I397" s="51" t="n"/>
      <c r="J397" s="51" t="n"/>
      <c r="K397" s="51" t="n"/>
      <c r="L397" s="51" t="n"/>
    </row>
    <row r="398" ht="22" customHeight="1">
      <c r="B398" s="50">
        <f>'設定'!$I$12</f>
        <v/>
      </c>
      <c r="C398" s="51" t="n"/>
      <c r="D398" s="51" t="n"/>
      <c r="E398" s="51" t="n"/>
      <c r="F398" s="51" t="n"/>
      <c r="G398" s="51" t="n"/>
      <c r="H398" s="51" t="n"/>
      <c r="I398" s="51" t="n"/>
      <c r="J398" s="51" t="n"/>
      <c r="K398" s="51" t="n"/>
      <c r="L398" s="51" t="n"/>
    </row>
    <row r="399" ht="22" customHeight="1">
      <c r="B399" s="50">
        <f>'設定'!$I$13</f>
        <v/>
      </c>
      <c r="C399" s="51" t="n"/>
      <c r="D399" s="51" t="n"/>
      <c r="E399" s="51" t="n"/>
      <c r="F399" s="51" t="n"/>
      <c r="G399" s="51" t="n"/>
      <c r="H399" s="51" t="n"/>
      <c r="I399" s="51" t="n"/>
      <c r="J399" s="51" t="n"/>
      <c r="K399" s="51" t="n"/>
      <c r="L399" s="51" t="n"/>
    </row>
    <row r="400" ht="22" customHeight="1">
      <c r="B400" s="50">
        <f>'設定'!$I$14</f>
        <v/>
      </c>
      <c r="C400" s="51" t="n"/>
      <c r="D400" s="51" t="n"/>
      <c r="E400" s="51" t="n"/>
      <c r="F400" s="51" t="n"/>
      <c r="G400" s="51" t="n"/>
      <c r="H400" s="51" t="n"/>
      <c r="I400" s="51" t="n"/>
      <c r="J400" s="51" t="n"/>
      <c r="K400" s="51" t="n"/>
      <c r="L400" s="51" t="n"/>
    </row>
    <row r="401" ht="22" customHeight="1">
      <c r="B401" s="50">
        <f>'設定'!$I$15</f>
        <v/>
      </c>
      <c r="C401" s="51" t="n"/>
      <c r="D401" s="51" t="n"/>
      <c r="E401" s="51" t="n"/>
      <c r="F401" s="51" t="n"/>
      <c r="G401" s="51" t="n"/>
      <c r="H401" s="51" t="n"/>
      <c r="I401" s="51" t="n"/>
      <c r="J401" s="51" t="n"/>
      <c r="K401" s="51" t="n"/>
      <c r="L401" s="51" t="n"/>
    </row>
    <row r="402" ht="22" customHeight="1">
      <c r="B402" s="50">
        <f>'設定'!$I$16</f>
        <v/>
      </c>
      <c r="C402" s="51" t="n"/>
      <c r="D402" s="51" t="n"/>
      <c r="E402" s="51" t="n"/>
      <c r="F402" s="51" t="n"/>
      <c r="G402" s="51" t="n"/>
      <c r="H402" s="51" t="n"/>
      <c r="I402" s="51" t="n"/>
      <c r="J402" s="51" t="n"/>
      <c r="K402" s="51" t="n"/>
      <c r="L402" s="51" t="n"/>
    </row>
    <row r="403" ht="22" customHeight="1">
      <c r="B403" s="50">
        <f>'設定'!$I$17</f>
        <v/>
      </c>
      <c r="C403" s="51" t="n"/>
      <c r="D403" s="51" t="n"/>
      <c r="E403" s="51" t="n"/>
      <c r="F403" s="51" t="n"/>
      <c r="G403" s="51" t="n"/>
      <c r="H403" s="51" t="n"/>
      <c r="I403" s="51" t="n"/>
      <c r="J403" s="51" t="n"/>
      <c r="K403" s="51" t="n"/>
      <c r="L403" s="51" t="n"/>
    </row>
    <row r="404" ht="22" customHeight="1">
      <c r="B404" s="50">
        <f>'設定'!$I$18</f>
        <v/>
      </c>
      <c r="C404" s="51" t="n"/>
      <c r="D404" s="51" t="n"/>
      <c r="E404" s="51" t="n"/>
      <c r="F404" s="51" t="n"/>
      <c r="G404" s="51" t="n"/>
      <c r="H404" s="51" t="n"/>
      <c r="I404" s="51" t="n"/>
      <c r="J404" s="51" t="n"/>
      <c r="K404" s="51" t="n"/>
      <c r="L404" s="51" t="n"/>
    </row>
    <row r="405" ht="22" customHeight="1">
      <c r="B405" s="50">
        <f>'設定'!$I$19</f>
        <v/>
      </c>
      <c r="C405" s="51" t="n"/>
      <c r="D405" s="51" t="n"/>
      <c r="E405" s="51" t="n"/>
      <c r="F405" s="51" t="n"/>
      <c r="G405" s="51" t="n"/>
      <c r="H405" s="51" t="n"/>
      <c r="I405" s="51" t="n"/>
      <c r="J405" s="51" t="n"/>
      <c r="K405" s="51" t="n"/>
      <c r="L405" s="51" t="n"/>
    </row>
    <row r="406" ht="22" customHeight="1">
      <c r="B406" s="50">
        <f>'設定'!$I$20</f>
        <v/>
      </c>
      <c r="C406" s="51" t="n"/>
      <c r="D406" s="51" t="n"/>
      <c r="E406" s="51" t="n"/>
      <c r="F406" s="51" t="n"/>
      <c r="G406" s="51" t="n"/>
      <c r="H406" s="51" t="n"/>
      <c r="I406" s="51" t="n"/>
      <c r="J406" s="51" t="n"/>
      <c r="K406" s="51" t="n"/>
      <c r="L406" s="51" t="n"/>
    </row>
    <row r="407" ht="22" customHeight="1">
      <c r="B407" s="50">
        <f>'設定'!$I$21</f>
        <v/>
      </c>
      <c r="C407" s="51" t="n"/>
      <c r="D407" s="51" t="n"/>
      <c r="E407" s="51" t="n"/>
      <c r="F407" s="51" t="n"/>
      <c r="G407" s="51" t="n"/>
      <c r="H407" s="51" t="n"/>
      <c r="I407" s="51" t="n"/>
      <c r="J407" s="51" t="n"/>
      <c r="K407" s="51" t="n"/>
      <c r="L407" s="51" t="n"/>
    </row>
    <row r="408" ht="22" customHeight="1">
      <c r="B408" s="50">
        <f>'設定'!$I$22</f>
        <v/>
      </c>
      <c r="C408" s="51" t="n"/>
      <c r="D408" s="51" t="n"/>
      <c r="E408" s="51" t="n"/>
      <c r="F408" s="51" t="n"/>
      <c r="G408" s="51" t="n"/>
      <c r="H408" s="51" t="n"/>
      <c r="I408" s="51" t="n"/>
      <c r="J408" s="51" t="n"/>
      <c r="K408" s="51" t="n"/>
      <c r="L408" s="51" t="n"/>
    </row>
    <row r="409"/>
    <row r="410" ht="26" customHeight="1">
      <c r="B410" s="45">
        <f>IF('名簿'!B32="","（名簿 28行目：なし）",'名簿'!G32)</f>
        <v/>
      </c>
      <c r="C410" s="4" t="n"/>
      <c r="D410" s="4" t="n"/>
      <c r="E410" s="46" t="inlineStr">
        <is>
          <t>提出状況 ▶</t>
        </is>
      </c>
      <c r="F410" s="33" t="n"/>
      <c r="G410" s="29" t="n"/>
      <c r="H410" s="47" t="inlineStr">
        <is>
          <t>状況：</t>
        </is>
      </c>
      <c r="I410" s="48">
        <f>'名簿'!H32</f>
        <v/>
      </c>
      <c r="J410" s="47" t="inlineStr">
        <is>
          <t>×の数：</t>
        </is>
      </c>
      <c r="K410" s="48">
        <f>'名簿'!I32</f>
        <v/>
      </c>
      <c r="L410" s="4" t="n"/>
    </row>
    <row r="411">
      <c r="B411" s="49" t="inlineStr"/>
      <c r="C411" s="30">
        <f>'設定'!$E$11</f>
        <v/>
      </c>
      <c r="D411" s="30">
        <f>'設定'!$E$12</f>
        <v/>
      </c>
      <c r="E411" s="30">
        <f>'設定'!$E$13</f>
        <v/>
      </c>
      <c r="F411" s="30">
        <f>'設定'!$E$14</f>
        <v/>
      </c>
      <c r="G411" s="30">
        <f>'設定'!$E$15</f>
        <v/>
      </c>
      <c r="H411" s="30">
        <f>'設定'!$E$16</f>
        <v/>
      </c>
      <c r="I411" s="30">
        <f>'設定'!$E$17</f>
        <v/>
      </c>
      <c r="J411" s="30">
        <f>'設定'!$E$18</f>
        <v/>
      </c>
      <c r="K411" s="30">
        <f>'設定'!$E$19</f>
        <v/>
      </c>
      <c r="L411" s="30">
        <f>'設定'!$E$20</f>
        <v/>
      </c>
    </row>
    <row r="412" ht="22" customHeight="1">
      <c r="B412" s="50">
        <f>'設定'!$I$11</f>
        <v/>
      </c>
      <c r="C412" s="51" t="n"/>
      <c r="D412" s="51" t="n"/>
      <c r="E412" s="51" t="n"/>
      <c r="F412" s="51" t="n"/>
      <c r="G412" s="51" t="n"/>
      <c r="H412" s="51" t="n"/>
      <c r="I412" s="51" t="n"/>
      <c r="J412" s="51" t="n"/>
      <c r="K412" s="51" t="n"/>
      <c r="L412" s="51" t="n"/>
    </row>
    <row r="413" ht="22" customHeight="1">
      <c r="B413" s="50">
        <f>'設定'!$I$12</f>
        <v/>
      </c>
      <c r="C413" s="51" t="n"/>
      <c r="D413" s="51" t="n"/>
      <c r="E413" s="51" t="n"/>
      <c r="F413" s="51" t="n"/>
      <c r="G413" s="51" t="n"/>
      <c r="H413" s="51" t="n"/>
      <c r="I413" s="51" t="n"/>
      <c r="J413" s="51" t="n"/>
      <c r="K413" s="51" t="n"/>
      <c r="L413" s="51" t="n"/>
    </row>
    <row r="414" ht="22" customHeight="1">
      <c r="B414" s="50">
        <f>'設定'!$I$13</f>
        <v/>
      </c>
      <c r="C414" s="51" t="n"/>
      <c r="D414" s="51" t="n"/>
      <c r="E414" s="51" t="n"/>
      <c r="F414" s="51" t="n"/>
      <c r="G414" s="51" t="n"/>
      <c r="H414" s="51" t="n"/>
      <c r="I414" s="51" t="n"/>
      <c r="J414" s="51" t="n"/>
      <c r="K414" s="51" t="n"/>
      <c r="L414" s="51" t="n"/>
    </row>
    <row r="415" ht="22" customHeight="1">
      <c r="B415" s="50">
        <f>'設定'!$I$14</f>
        <v/>
      </c>
      <c r="C415" s="51" t="n"/>
      <c r="D415" s="51" t="n"/>
      <c r="E415" s="51" t="n"/>
      <c r="F415" s="51" t="n"/>
      <c r="G415" s="51" t="n"/>
      <c r="H415" s="51" t="n"/>
      <c r="I415" s="51" t="n"/>
      <c r="J415" s="51" t="n"/>
      <c r="K415" s="51" t="n"/>
      <c r="L415" s="51" t="n"/>
    </row>
    <row r="416" ht="22" customHeight="1">
      <c r="B416" s="50">
        <f>'設定'!$I$15</f>
        <v/>
      </c>
      <c r="C416" s="51" t="n"/>
      <c r="D416" s="51" t="n"/>
      <c r="E416" s="51" t="n"/>
      <c r="F416" s="51" t="n"/>
      <c r="G416" s="51" t="n"/>
      <c r="H416" s="51" t="n"/>
      <c r="I416" s="51" t="n"/>
      <c r="J416" s="51" t="n"/>
      <c r="K416" s="51" t="n"/>
      <c r="L416" s="51" t="n"/>
    </row>
    <row r="417" ht="22" customHeight="1">
      <c r="B417" s="50">
        <f>'設定'!$I$16</f>
        <v/>
      </c>
      <c r="C417" s="51" t="n"/>
      <c r="D417" s="51" t="n"/>
      <c r="E417" s="51" t="n"/>
      <c r="F417" s="51" t="n"/>
      <c r="G417" s="51" t="n"/>
      <c r="H417" s="51" t="n"/>
      <c r="I417" s="51" t="n"/>
      <c r="J417" s="51" t="n"/>
      <c r="K417" s="51" t="n"/>
      <c r="L417" s="51" t="n"/>
    </row>
    <row r="418" ht="22" customHeight="1">
      <c r="B418" s="50">
        <f>'設定'!$I$17</f>
        <v/>
      </c>
      <c r="C418" s="51" t="n"/>
      <c r="D418" s="51" t="n"/>
      <c r="E418" s="51" t="n"/>
      <c r="F418" s="51" t="n"/>
      <c r="G418" s="51" t="n"/>
      <c r="H418" s="51" t="n"/>
      <c r="I418" s="51" t="n"/>
      <c r="J418" s="51" t="n"/>
      <c r="K418" s="51" t="n"/>
      <c r="L418" s="51" t="n"/>
    </row>
    <row r="419" ht="22" customHeight="1">
      <c r="B419" s="50">
        <f>'設定'!$I$18</f>
        <v/>
      </c>
      <c r="C419" s="51" t="n"/>
      <c r="D419" s="51" t="n"/>
      <c r="E419" s="51" t="n"/>
      <c r="F419" s="51" t="n"/>
      <c r="G419" s="51" t="n"/>
      <c r="H419" s="51" t="n"/>
      <c r="I419" s="51" t="n"/>
      <c r="J419" s="51" t="n"/>
      <c r="K419" s="51" t="n"/>
      <c r="L419" s="51" t="n"/>
    </row>
    <row r="420" ht="22" customHeight="1">
      <c r="B420" s="50">
        <f>'設定'!$I$19</f>
        <v/>
      </c>
      <c r="C420" s="51" t="n"/>
      <c r="D420" s="51" t="n"/>
      <c r="E420" s="51" t="n"/>
      <c r="F420" s="51" t="n"/>
      <c r="G420" s="51" t="n"/>
      <c r="H420" s="51" t="n"/>
      <c r="I420" s="51" t="n"/>
      <c r="J420" s="51" t="n"/>
      <c r="K420" s="51" t="n"/>
      <c r="L420" s="51" t="n"/>
    </row>
    <row r="421" ht="22" customHeight="1">
      <c r="B421" s="50">
        <f>'設定'!$I$20</f>
        <v/>
      </c>
      <c r="C421" s="51" t="n"/>
      <c r="D421" s="51" t="n"/>
      <c r="E421" s="51" t="n"/>
      <c r="F421" s="51" t="n"/>
      <c r="G421" s="51" t="n"/>
      <c r="H421" s="51" t="n"/>
      <c r="I421" s="51" t="n"/>
      <c r="J421" s="51" t="n"/>
      <c r="K421" s="51" t="n"/>
      <c r="L421" s="51" t="n"/>
    </row>
    <row r="422" ht="22" customHeight="1">
      <c r="B422" s="50">
        <f>'設定'!$I$21</f>
        <v/>
      </c>
      <c r="C422" s="51" t="n"/>
      <c r="D422" s="51" t="n"/>
      <c r="E422" s="51" t="n"/>
      <c r="F422" s="51" t="n"/>
      <c r="G422" s="51" t="n"/>
      <c r="H422" s="51" t="n"/>
      <c r="I422" s="51" t="n"/>
      <c r="J422" s="51" t="n"/>
      <c r="K422" s="51" t="n"/>
      <c r="L422" s="51" t="n"/>
    </row>
    <row r="423" ht="22" customHeight="1">
      <c r="B423" s="50">
        <f>'設定'!$I$22</f>
        <v/>
      </c>
      <c r="C423" s="51" t="n"/>
      <c r="D423" s="51" t="n"/>
      <c r="E423" s="51" t="n"/>
      <c r="F423" s="51" t="n"/>
      <c r="G423" s="51" t="n"/>
      <c r="H423" s="51" t="n"/>
      <c r="I423" s="51" t="n"/>
      <c r="J423" s="51" t="n"/>
      <c r="K423" s="51" t="n"/>
      <c r="L423" s="51" t="n"/>
    </row>
    <row r="424"/>
    <row r="425" ht="26" customHeight="1">
      <c r="B425" s="45">
        <f>IF('名簿'!B33="","（名簿 29行目：なし）",'名簿'!G33)</f>
        <v/>
      </c>
      <c r="C425" s="4" t="n"/>
      <c r="D425" s="4" t="n"/>
      <c r="E425" s="46" t="inlineStr">
        <is>
          <t>提出状況 ▶</t>
        </is>
      </c>
      <c r="F425" s="33" t="n"/>
      <c r="G425" s="29" t="n"/>
      <c r="H425" s="47" t="inlineStr">
        <is>
          <t>状況：</t>
        </is>
      </c>
      <c r="I425" s="48">
        <f>'名簿'!H33</f>
        <v/>
      </c>
      <c r="J425" s="47" t="inlineStr">
        <is>
          <t>×の数：</t>
        </is>
      </c>
      <c r="K425" s="48">
        <f>'名簿'!I33</f>
        <v/>
      </c>
      <c r="L425" s="4" t="n"/>
    </row>
    <row r="426">
      <c r="B426" s="49" t="inlineStr"/>
      <c r="C426" s="30">
        <f>'設定'!$E$11</f>
        <v/>
      </c>
      <c r="D426" s="30">
        <f>'設定'!$E$12</f>
        <v/>
      </c>
      <c r="E426" s="30">
        <f>'設定'!$E$13</f>
        <v/>
      </c>
      <c r="F426" s="30">
        <f>'設定'!$E$14</f>
        <v/>
      </c>
      <c r="G426" s="30">
        <f>'設定'!$E$15</f>
        <v/>
      </c>
      <c r="H426" s="30">
        <f>'設定'!$E$16</f>
        <v/>
      </c>
      <c r="I426" s="30">
        <f>'設定'!$E$17</f>
        <v/>
      </c>
      <c r="J426" s="30">
        <f>'設定'!$E$18</f>
        <v/>
      </c>
      <c r="K426" s="30">
        <f>'設定'!$E$19</f>
        <v/>
      </c>
      <c r="L426" s="30">
        <f>'設定'!$E$20</f>
        <v/>
      </c>
    </row>
    <row r="427" ht="22" customHeight="1">
      <c r="B427" s="50">
        <f>'設定'!$I$11</f>
        <v/>
      </c>
      <c r="C427" s="51" t="n"/>
      <c r="D427" s="51" t="n"/>
      <c r="E427" s="51" t="n"/>
      <c r="F427" s="51" t="n"/>
      <c r="G427" s="51" t="n"/>
      <c r="H427" s="51" t="n"/>
      <c r="I427" s="51" t="n"/>
      <c r="J427" s="51" t="n"/>
      <c r="K427" s="51" t="n"/>
      <c r="L427" s="51" t="n"/>
    </row>
    <row r="428" ht="22" customHeight="1">
      <c r="B428" s="50">
        <f>'設定'!$I$12</f>
        <v/>
      </c>
      <c r="C428" s="51" t="n"/>
      <c r="D428" s="51" t="n"/>
      <c r="E428" s="51" t="n"/>
      <c r="F428" s="51" t="n"/>
      <c r="G428" s="51" t="n"/>
      <c r="H428" s="51" t="n"/>
      <c r="I428" s="51" t="n"/>
      <c r="J428" s="51" t="n"/>
      <c r="K428" s="51" t="n"/>
      <c r="L428" s="51" t="n"/>
    </row>
    <row r="429" ht="22" customHeight="1">
      <c r="B429" s="50">
        <f>'設定'!$I$13</f>
        <v/>
      </c>
      <c r="C429" s="51" t="n"/>
      <c r="D429" s="51" t="n"/>
      <c r="E429" s="51" t="n"/>
      <c r="F429" s="51" t="n"/>
      <c r="G429" s="51" t="n"/>
      <c r="H429" s="51" t="n"/>
      <c r="I429" s="51" t="n"/>
      <c r="J429" s="51" t="n"/>
      <c r="K429" s="51" t="n"/>
      <c r="L429" s="51" t="n"/>
    </row>
    <row r="430" ht="22" customHeight="1">
      <c r="B430" s="50">
        <f>'設定'!$I$14</f>
        <v/>
      </c>
      <c r="C430" s="51" t="n"/>
      <c r="D430" s="51" t="n"/>
      <c r="E430" s="51" t="n"/>
      <c r="F430" s="51" t="n"/>
      <c r="G430" s="51" t="n"/>
      <c r="H430" s="51" t="n"/>
      <c r="I430" s="51" t="n"/>
      <c r="J430" s="51" t="n"/>
      <c r="K430" s="51" t="n"/>
      <c r="L430" s="51" t="n"/>
    </row>
    <row r="431" ht="22" customHeight="1">
      <c r="B431" s="50">
        <f>'設定'!$I$15</f>
        <v/>
      </c>
      <c r="C431" s="51" t="n"/>
      <c r="D431" s="51" t="n"/>
      <c r="E431" s="51" t="n"/>
      <c r="F431" s="51" t="n"/>
      <c r="G431" s="51" t="n"/>
      <c r="H431" s="51" t="n"/>
      <c r="I431" s="51" t="n"/>
      <c r="J431" s="51" t="n"/>
      <c r="K431" s="51" t="n"/>
      <c r="L431" s="51" t="n"/>
    </row>
    <row r="432" ht="22" customHeight="1">
      <c r="B432" s="50">
        <f>'設定'!$I$16</f>
        <v/>
      </c>
      <c r="C432" s="51" t="n"/>
      <c r="D432" s="51" t="n"/>
      <c r="E432" s="51" t="n"/>
      <c r="F432" s="51" t="n"/>
      <c r="G432" s="51" t="n"/>
      <c r="H432" s="51" t="n"/>
      <c r="I432" s="51" t="n"/>
      <c r="J432" s="51" t="n"/>
      <c r="K432" s="51" t="n"/>
      <c r="L432" s="51" t="n"/>
    </row>
    <row r="433" ht="22" customHeight="1">
      <c r="B433" s="50">
        <f>'設定'!$I$17</f>
        <v/>
      </c>
      <c r="C433" s="51" t="n"/>
      <c r="D433" s="51" t="n"/>
      <c r="E433" s="51" t="n"/>
      <c r="F433" s="51" t="n"/>
      <c r="G433" s="51" t="n"/>
      <c r="H433" s="51" t="n"/>
      <c r="I433" s="51" t="n"/>
      <c r="J433" s="51" t="n"/>
      <c r="K433" s="51" t="n"/>
      <c r="L433" s="51" t="n"/>
    </row>
    <row r="434" ht="22" customHeight="1">
      <c r="B434" s="50">
        <f>'設定'!$I$18</f>
        <v/>
      </c>
      <c r="C434" s="51" t="n"/>
      <c r="D434" s="51" t="n"/>
      <c r="E434" s="51" t="n"/>
      <c r="F434" s="51" t="n"/>
      <c r="G434" s="51" t="n"/>
      <c r="H434" s="51" t="n"/>
      <c r="I434" s="51" t="n"/>
      <c r="J434" s="51" t="n"/>
      <c r="K434" s="51" t="n"/>
      <c r="L434" s="51" t="n"/>
    </row>
    <row r="435" ht="22" customHeight="1">
      <c r="B435" s="50">
        <f>'設定'!$I$19</f>
        <v/>
      </c>
      <c r="C435" s="51" t="n"/>
      <c r="D435" s="51" t="n"/>
      <c r="E435" s="51" t="n"/>
      <c r="F435" s="51" t="n"/>
      <c r="G435" s="51" t="n"/>
      <c r="H435" s="51" t="n"/>
      <c r="I435" s="51" t="n"/>
      <c r="J435" s="51" t="n"/>
      <c r="K435" s="51" t="n"/>
      <c r="L435" s="51" t="n"/>
    </row>
    <row r="436" ht="22" customHeight="1">
      <c r="B436" s="50">
        <f>'設定'!$I$20</f>
        <v/>
      </c>
      <c r="C436" s="51" t="n"/>
      <c r="D436" s="51" t="n"/>
      <c r="E436" s="51" t="n"/>
      <c r="F436" s="51" t="n"/>
      <c r="G436" s="51" t="n"/>
      <c r="H436" s="51" t="n"/>
      <c r="I436" s="51" t="n"/>
      <c r="J436" s="51" t="n"/>
      <c r="K436" s="51" t="n"/>
      <c r="L436" s="51" t="n"/>
    </row>
    <row r="437" ht="22" customHeight="1">
      <c r="B437" s="50">
        <f>'設定'!$I$21</f>
        <v/>
      </c>
      <c r="C437" s="51" t="n"/>
      <c r="D437" s="51" t="n"/>
      <c r="E437" s="51" t="n"/>
      <c r="F437" s="51" t="n"/>
      <c r="G437" s="51" t="n"/>
      <c r="H437" s="51" t="n"/>
      <c r="I437" s="51" t="n"/>
      <c r="J437" s="51" t="n"/>
      <c r="K437" s="51" t="n"/>
      <c r="L437" s="51" t="n"/>
    </row>
    <row r="438" ht="22" customHeight="1">
      <c r="B438" s="50">
        <f>'設定'!$I$22</f>
        <v/>
      </c>
      <c r="C438" s="51" t="n"/>
      <c r="D438" s="51" t="n"/>
      <c r="E438" s="51" t="n"/>
      <c r="F438" s="51" t="n"/>
      <c r="G438" s="51" t="n"/>
      <c r="H438" s="51" t="n"/>
      <c r="I438" s="51" t="n"/>
      <c r="J438" s="51" t="n"/>
      <c r="K438" s="51" t="n"/>
      <c r="L438" s="51" t="n"/>
    </row>
    <row r="439"/>
    <row r="440" ht="26" customHeight="1">
      <c r="B440" s="45">
        <f>IF('名簿'!B34="","（名簿 30行目：なし）",'名簿'!G34)</f>
        <v/>
      </c>
      <c r="C440" s="4" t="n"/>
      <c r="D440" s="4" t="n"/>
      <c r="E440" s="46" t="inlineStr">
        <is>
          <t>提出状況 ▶</t>
        </is>
      </c>
      <c r="F440" s="33" t="n"/>
      <c r="G440" s="29" t="n"/>
      <c r="H440" s="47" t="inlineStr">
        <is>
          <t>状況：</t>
        </is>
      </c>
      <c r="I440" s="48">
        <f>'名簿'!H34</f>
        <v/>
      </c>
      <c r="J440" s="47" t="inlineStr">
        <is>
          <t>×の数：</t>
        </is>
      </c>
      <c r="K440" s="48">
        <f>'名簿'!I34</f>
        <v/>
      </c>
      <c r="L440" s="4" t="n"/>
    </row>
    <row r="441">
      <c r="B441" s="49" t="inlineStr"/>
      <c r="C441" s="30">
        <f>'設定'!$E$11</f>
        <v/>
      </c>
      <c r="D441" s="30">
        <f>'設定'!$E$12</f>
        <v/>
      </c>
      <c r="E441" s="30">
        <f>'設定'!$E$13</f>
        <v/>
      </c>
      <c r="F441" s="30">
        <f>'設定'!$E$14</f>
        <v/>
      </c>
      <c r="G441" s="30">
        <f>'設定'!$E$15</f>
        <v/>
      </c>
      <c r="H441" s="30">
        <f>'設定'!$E$16</f>
        <v/>
      </c>
      <c r="I441" s="30">
        <f>'設定'!$E$17</f>
        <v/>
      </c>
      <c r="J441" s="30">
        <f>'設定'!$E$18</f>
        <v/>
      </c>
      <c r="K441" s="30">
        <f>'設定'!$E$19</f>
        <v/>
      </c>
      <c r="L441" s="30">
        <f>'設定'!$E$20</f>
        <v/>
      </c>
    </row>
    <row r="442" ht="22" customHeight="1">
      <c r="B442" s="50">
        <f>'設定'!$I$11</f>
        <v/>
      </c>
      <c r="C442" s="51" t="n"/>
      <c r="D442" s="51" t="n"/>
      <c r="E442" s="51" t="n"/>
      <c r="F442" s="51" t="n"/>
      <c r="G442" s="51" t="n"/>
      <c r="H442" s="51" t="n"/>
      <c r="I442" s="51" t="n"/>
      <c r="J442" s="51" t="n"/>
      <c r="K442" s="51" t="n"/>
      <c r="L442" s="51" t="n"/>
    </row>
    <row r="443" ht="22" customHeight="1">
      <c r="B443" s="50">
        <f>'設定'!$I$12</f>
        <v/>
      </c>
      <c r="C443" s="51" t="n"/>
      <c r="D443" s="51" t="n"/>
      <c r="E443" s="51" t="n"/>
      <c r="F443" s="51" t="n"/>
      <c r="G443" s="51" t="n"/>
      <c r="H443" s="51" t="n"/>
      <c r="I443" s="51" t="n"/>
      <c r="J443" s="51" t="n"/>
      <c r="K443" s="51" t="n"/>
      <c r="L443" s="51" t="n"/>
    </row>
    <row r="444" ht="22" customHeight="1">
      <c r="B444" s="50">
        <f>'設定'!$I$13</f>
        <v/>
      </c>
      <c r="C444" s="51" t="n"/>
      <c r="D444" s="51" t="n"/>
      <c r="E444" s="51" t="n"/>
      <c r="F444" s="51" t="n"/>
      <c r="G444" s="51" t="n"/>
      <c r="H444" s="51" t="n"/>
      <c r="I444" s="51" t="n"/>
      <c r="J444" s="51" t="n"/>
      <c r="K444" s="51" t="n"/>
      <c r="L444" s="51" t="n"/>
    </row>
    <row r="445" ht="22" customHeight="1">
      <c r="B445" s="50">
        <f>'設定'!$I$14</f>
        <v/>
      </c>
      <c r="C445" s="51" t="n"/>
      <c r="D445" s="51" t="n"/>
      <c r="E445" s="51" t="n"/>
      <c r="F445" s="51" t="n"/>
      <c r="G445" s="51" t="n"/>
      <c r="H445" s="51" t="n"/>
      <c r="I445" s="51" t="n"/>
      <c r="J445" s="51" t="n"/>
      <c r="K445" s="51" t="n"/>
      <c r="L445" s="51" t="n"/>
    </row>
    <row r="446" ht="22" customHeight="1">
      <c r="B446" s="50">
        <f>'設定'!$I$15</f>
        <v/>
      </c>
      <c r="C446" s="51" t="n"/>
      <c r="D446" s="51" t="n"/>
      <c r="E446" s="51" t="n"/>
      <c r="F446" s="51" t="n"/>
      <c r="G446" s="51" t="n"/>
      <c r="H446" s="51" t="n"/>
      <c r="I446" s="51" t="n"/>
      <c r="J446" s="51" t="n"/>
      <c r="K446" s="51" t="n"/>
      <c r="L446" s="51" t="n"/>
    </row>
    <row r="447" ht="22" customHeight="1">
      <c r="B447" s="50">
        <f>'設定'!$I$16</f>
        <v/>
      </c>
      <c r="C447" s="51" t="n"/>
      <c r="D447" s="51" t="n"/>
      <c r="E447" s="51" t="n"/>
      <c r="F447" s="51" t="n"/>
      <c r="G447" s="51" t="n"/>
      <c r="H447" s="51" t="n"/>
      <c r="I447" s="51" t="n"/>
      <c r="J447" s="51" t="n"/>
      <c r="K447" s="51" t="n"/>
      <c r="L447" s="51" t="n"/>
    </row>
    <row r="448" ht="22" customHeight="1">
      <c r="B448" s="50">
        <f>'設定'!$I$17</f>
        <v/>
      </c>
      <c r="C448" s="51" t="n"/>
      <c r="D448" s="51" t="n"/>
      <c r="E448" s="51" t="n"/>
      <c r="F448" s="51" t="n"/>
      <c r="G448" s="51" t="n"/>
      <c r="H448" s="51" t="n"/>
      <c r="I448" s="51" t="n"/>
      <c r="J448" s="51" t="n"/>
      <c r="K448" s="51" t="n"/>
      <c r="L448" s="51" t="n"/>
    </row>
    <row r="449" ht="22" customHeight="1">
      <c r="B449" s="50">
        <f>'設定'!$I$18</f>
        <v/>
      </c>
      <c r="C449" s="51" t="n"/>
      <c r="D449" s="51" t="n"/>
      <c r="E449" s="51" t="n"/>
      <c r="F449" s="51" t="n"/>
      <c r="G449" s="51" t="n"/>
      <c r="H449" s="51" t="n"/>
      <c r="I449" s="51" t="n"/>
      <c r="J449" s="51" t="n"/>
      <c r="K449" s="51" t="n"/>
      <c r="L449" s="51" t="n"/>
    </row>
    <row r="450" ht="22" customHeight="1">
      <c r="B450" s="50">
        <f>'設定'!$I$19</f>
        <v/>
      </c>
      <c r="C450" s="51" t="n"/>
      <c r="D450" s="51" t="n"/>
      <c r="E450" s="51" t="n"/>
      <c r="F450" s="51" t="n"/>
      <c r="G450" s="51" t="n"/>
      <c r="H450" s="51" t="n"/>
      <c r="I450" s="51" t="n"/>
      <c r="J450" s="51" t="n"/>
      <c r="K450" s="51" t="n"/>
      <c r="L450" s="51" t="n"/>
    </row>
    <row r="451" ht="22" customHeight="1">
      <c r="B451" s="50">
        <f>'設定'!$I$20</f>
        <v/>
      </c>
      <c r="C451" s="51" t="n"/>
      <c r="D451" s="51" t="n"/>
      <c r="E451" s="51" t="n"/>
      <c r="F451" s="51" t="n"/>
      <c r="G451" s="51" t="n"/>
      <c r="H451" s="51" t="n"/>
      <c r="I451" s="51" t="n"/>
      <c r="J451" s="51" t="n"/>
      <c r="K451" s="51" t="n"/>
      <c r="L451" s="51" t="n"/>
    </row>
    <row r="452" ht="22" customHeight="1">
      <c r="B452" s="50">
        <f>'設定'!$I$21</f>
        <v/>
      </c>
      <c r="C452" s="51" t="n"/>
      <c r="D452" s="51" t="n"/>
      <c r="E452" s="51" t="n"/>
      <c r="F452" s="51" t="n"/>
      <c r="G452" s="51" t="n"/>
      <c r="H452" s="51" t="n"/>
      <c r="I452" s="51" t="n"/>
      <c r="J452" s="51" t="n"/>
      <c r="K452" s="51" t="n"/>
      <c r="L452" s="51" t="n"/>
    </row>
    <row r="453" ht="22" customHeight="1">
      <c r="B453" s="50">
        <f>'設定'!$I$22</f>
        <v/>
      </c>
      <c r="C453" s="51" t="n"/>
      <c r="D453" s="51" t="n"/>
      <c r="E453" s="51" t="n"/>
      <c r="F453" s="51" t="n"/>
      <c r="G453" s="51" t="n"/>
      <c r="H453" s="51" t="n"/>
      <c r="I453" s="51" t="n"/>
      <c r="J453" s="51" t="n"/>
      <c r="K453" s="51" t="n"/>
      <c r="L453" s="51" t="n"/>
    </row>
    <row r="454"/>
    <row r="455" ht="26" customHeight="1">
      <c r="B455" s="45">
        <f>IF('名簿'!B35="","（名簿 31行目：なし）",'名簿'!G35)</f>
        <v/>
      </c>
      <c r="C455" s="4" t="n"/>
      <c r="D455" s="4" t="n"/>
      <c r="E455" s="46" t="inlineStr">
        <is>
          <t>提出状況 ▶</t>
        </is>
      </c>
      <c r="F455" s="33" t="n"/>
      <c r="G455" s="29" t="n"/>
      <c r="H455" s="47" t="inlineStr">
        <is>
          <t>状況：</t>
        </is>
      </c>
      <c r="I455" s="48">
        <f>'名簿'!H35</f>
        <v/>
      </c>
      <c r="J455" s="47" t="inlineStr">
        <is>
          <t>×の数：</t>
        </is>
      </c>
      <c r="K455" s="48">
        <f>'名簿'!I35</f>
        <v/>
      </c>
      <c r="L455" s="4" t="n"/>
    </row>
    <row r="456">
      <c r="B456" s="49" t="inlineStr"/>
      <c r="C456" s="30">
        <f>'設定'!$E$11</f>
        <v/>
      </c>
      <c r="D456" s="30">
        <f>'設定'!$E$12</f>
        <v/>
      </c>
      <c r="E456" s="30">
        <f>'設定'!$E$13</f>
        <v/>
      </c>
      <c r="F456" s="30">
        <f>'設定'!$E$14</f>
        <v/>
      </c>
      <c r="G456" s="30">
        <f>'設定'!$E$15</f>
        <v/>
      </c>
      <c r="H456" s="30">
        <f>'設定'!$E$16</f>
        <v/>
      </c>
      <c r="I456" s="30">
        <f>'設定'!$E$17</f>
        <v/>
      </c>
      <c r="J456" s="30">
        <f>'設定'!$E$18</f>
        <v/>
      </c>
      <c r="K456" s="30">
        <f>'設定'!$E$19</f>
        <v/>
      </c>
      <c r="L456" s="30">
        <f>'設定'!$E$20</f>
        <v/>
      </c>
    </row>
    <row r="457" ht="22" customHeight="1">
      <c r="B457" s="50">
        <f>'設定'!$I$11</f>
        <v/>
      </c>
      <c r="C457" s="51" t="n"/>
      <c r="D457" s="51" t="n"/>
      <c r="E457" s="51" t="n"/>
      <c r="F457" s="51" t="n"/>
      <c r="G457" s="51" t="n"/>
      <c r="H457" s="51" t="n"/>
      <c r="I457" s="51" t="n"/>
      <c r="J457" s="51" t="n"/>
      <c r="K457" s="51" t="n"/>
      <c r="L457" s="51" t="n"/>
    </row>
    <row r="458" ht="22" customHeight="1">
      <c r="B458" s="50">
        <f>'設定'!$I$12</f>
        <v/>
      </c>
      <c r="C458" s="51" t="n"/>
      <c r="D458" s="51" t="n"/>
      <c r="E458" s="51" t="n"/>
      <c r="F458" s="51" t="n"/>
      <c r="G458" s="51" t="n"/>
      <c r="H458" s="51" t="n"/>
      <c r="I458" s="51" t="n"/>
      <c r="J458" s="51" t="n"/>
      <c r="K458" s="51" t="n"/>
      <c r="L458" s="51" t="n"/>
    </row>
    <row r="459" ht="22" customHeight="1">
      <c r="B459" s="50">
        <f>'設定'!$I$13</f>
        <v/>
      </c>
      <c r="C459" s="51" t="n"/>
      <c r="D459" s="51" t="n"/>
      <c r="E459" s="51" t="n"/>
      <c r="F459" s="51" t="n"/>
      <c r="G459" s="51" t="n"/>
      <c r="H459" s="51" t="n"/>
      <c r="I459" s="51" t="n"/>
      <c r="J459" s="51" t="n"/>
      <c r="K459" s="51" t="n"/>
      <c r="L459" s="51" t="n"/>
    </row>
    <row r="460" ht="22" customHeight="1">
      <c r="B460" s="50">
        <f>'設定'!$I$14</f>
        <v/>
      </c>
      <c r="C460" s="51" t="n"/>
      <c r="D460" s="51" t="n"/>
      <c r="E460" s="51" t="n"/>
      <c r="F460" s="51" t="n"/>
      <c r="G460" s="51" t="n"/>
      <c r="H460" s="51" t="n"/>
      <c r="I460" s="51" t="n"/>
      <c r="J460" s="51" t="n"/>
      <c r="K460" s="51" t="n"/>
      <c r="L460" s="51" t="n"/>
    </row>
    <row r="461" ht="22" customHeight="1">
      <c r="B461" s="50">
        <f>'設定'!$I$15</f>
        <v/>
      </c>
      <c r="C461" s="51" t="n"/>
      <c r="D461" s="51" t="n"/>
      <c r="E461" s="51" t="n"/>
      <c r="F461" s="51" t="n"/>
      <c r="G461" s="51" t="n"/>
      <c r="H461" s="51" t="n"/>
      <c r="I461" s="51" t="n"/>
      <c r="J461" s="51" t="n"/>
      <c r="K461" s="51" t="n"/>
      <c r="L461" s="51" t="n"/>
    </row>
    <row r="462" ht="22" customHeight="1">
      <c r="B462" s="50">
        <f>'設定'!$I$16</f>
        <v/>
      </c>
      <c r="C462" s="51" t="n"/>
      <c r="D462" s="51" t="n"/>
      <c r="E462" s="51" t="n"/>
      <c r="F462" s="51" t="n"/>
      <c r="G462" s="51" t="n"/>
      <c r="H462" s="51" t="n"/>
      <c r="I462" s="51" t="n"/>
      <c r="J462" s="51" t="n"/>
      <c r="K462" s="51" t="n"/>
      <c r="L462" s="51" t="n"/>
    </row>
    <row r="463" ht="22" customHeight="1">
      <c r="B463" s="50">
        <f>'設定'!$I$17</f>
        <v/>
      </c>
      <c r="C463" s="51" t="n"/>
      <c r="D463" s="51" t="n"/>
      <c r="E463" s="51" t="n"/>
      <c r="F463" s="51" t="n"/>
      <c r="G463" s="51" t="n"/>
      <c r="H463" s="51" t="n"/>
      <c r="I463" s="51" t="n"/>
      <c r="J463" s="51" t="n"/>
      <c r="K463" s="51" t="n"/>
      <c r="L463" s="51" t="n"/>
    </row>
    <row r="464" ht="22" customHeight="1">
      <c r="B464" s="50">
        <f>'設定'!$I$18</f>
        <v/>
      </c>
      <c r="C464" s="51" t="n"/>
      <c r="D464" s="51" t="n"/>
      <c r="E464" s="51" t="n"/>
      <c r="F464" s="51" t="n"/>
      <c r="G464" s="51" t="n"/>
      <c r="H464" s="51" t="n"/>
      <c r="I464" s="51" t="n"/>
      <c r="J464" s="51" t="n"/>
      <c r="K464" s="51" t="n"/>
      <c r="L464" s="51" t="n"/>
    </row>
    <row r="465" ht="22" customHeight="1">
      <c r="B465" s="50">
        <f>'設定'!$I$19</f>
        <v/>
      </c>
      <c r="C465" s="51" t="n"/>
      <c r="D465" s="51" t="n"/>
      <c r="E465" s="51" t="n"/>
      <c r="F465" s="51" t="n"/>
      <c r="G465" s="51" t="n"/>
      <c r="H465" s="51" t="n"/>
      <c r="I465" s="51" t="n"/>
      <c r="J465" s="51" t="n"/>
      <c r="K465" s="51" t="n"/>
      <c r="L465" s="51" t="n"/>
    </row>
    <row r="466" ht="22" customHeight="1">
      <c r="B466" s="50">
        <f>'設定'!$I$20</f>
        <v/>
      </c>
      <c r="C466" s="51" t="n"/>
      <c r="D466" s="51" t="n"/>
      <c r="E466" s="51" t="n"/>
      <c r="F466" s="51" t="n"/>
      <c r="G466" s="51" t="n"/>
      <c r="H466" s="51" t="n"/>
      <c r="I466" s="51" t="n"/>
      <c r="J466" s="51" t="n"/>
      <c r="K466" s="51" t="n"/>
      <c r="L466" s="51" t="n"/>
    </row>
    <row r="467" ht="22" customHeight="1">
      <c r="B467" s="50">
        <f>'設定'!$I$21</f>
        <v/>
      </c>
      <c r="C467" s="51" t="n"/>
      <c r="D467" s="51" t="n"/>
      <c r="E467" s="51" t="n"/>
      <c r="F467" s="51" t="n"/>
      <c r="G467" s="51" t="n"/>
      <c r="H467" s="51" t="n"/>
      <c r="I467" s="51" t="n"/>
      <c r="J467" s="51" t="n"/>
      <c r="K467" s="51" t="n"/>
      <c r="L467" s="51" t="n"/>
    </row>
    <row r="468" ht="22" customHeight="1">
      <c r="B468" s="50">
        <f>'設定'!$I$22</f>
        <v/>
      </c>
      <c r="C468" s="51" t="n"/>
      <c r="D468" s="51" t="n"/>
      <c r="E468" s="51" t="n"/>
      <c r="F468" s="51" t="n"/>
      <c r="G468" s="51" t="n"/>
      <c r="H468" s="51" t="n"/>
      <c r="I468" s="51" t="n"/>
      <c r="J468" s="51" t="n"/>
      <c r="K468" s="51" t="n"/>
      <c r="L468" s="51" t="n"/>
    </row>
    <row r="469"/>
    <row r="470" ht="26" customHeight="1">
      <c r="B470" s="45">
        <f>IF('名簿'!B36="","（名簿 32行目：なし）",'名簿'!G36)</f>
        <v/>
      </c>
      <c r="C470" s="4" t="n"/>
      <c r="D470" s="4" t="n"/>
      <c r="E470" s="46" t="inlineStr">
        <is>
          <t>提出状況 ▶</t>
        </is>
      </c>
      <c r="F470" s="33" t="n"/>
      <c r="G470" s="29" t="n"/>
      <c r="H470" s="47" t="inlineStr">
        <is>
          <t>状況：</t>
        </is>
      </c>
      <c r="I470" s="48">
        <f>'名簿'!H36</f>
        <v/>
      </c>
      <c r="J470" s="47" t="inlineStr">
        <is>
          <t>×の数：</t>
        </is>
      </c>
      <c r="K470" s="48">
        <f>'名簿'!I36</f>
        <v/>
      </c>
      <c r="L470" s="4" t="n"/>
    </row>
    <row r="471">
      <c r="B471" s="49" t="inlineStr"/>
      <c r="C471" s="30">
        <f>'設定'!$E$11</f>
        <v/>
      </c>
      <c r="D471" s="30">
        <f>'設定'!$E$12</f>
        <v/>
      </c>
      <c r="E471" s="30">
        <f>'設定'!$E$13</f>
        <v/>
      </c>
      <c r="F471" s="30">
        <f>'設定'!$E$14</f>
        <v/>
      </c>
      <c r="G471" s="30">
        <f>'設定'!$E$15</f>
        <v/>
      </c>
      <c r="H471" s="30">
        <f>'設定'!$E$16</f>
        <v/>
      </c>
      <c r="I471" s="30">
        <f>'設定'!$E$17</f>
        <v/>
      </c>
      <c r="J471" s="30">
        <f>'設定'!$E$18</f>
        <v/>
      </c>
      <c r="K471" s="30">
        <f>'設定'!$E$19</f>
        <v/>
      </c>
      <c r="L471" s="30">
        <f>'設定'!$E$20</f>
        <v/>
      </c>
    </row>
    <row r="472" ht="22" customHeight="1">
      <c r="B472" s="50">
        <f>'設定'!$I$11</f>
        <v/>
      </c>
      <c r="C472" s="51" t="n"/>
      <c r="D472" s="51" t="n"/>
      <c r="E472" s="51" t="n"/>
      <c r="F472" s="51" t="n"/>
      <c r="G472" s="51" t="n"/>
      <c r="H472" s="51" t="n"/>
      <c r="I472" s="51" t="n"/>
      <c r="J472" s="51" t="n"/>
      <c r="K472" s="51" t="n"/>
      <c r="L472" s="51" t="n"/>
    </row>
    <row r="473" ht="22" customHeight="1">
      <c r="B473" s="50">
        <f>'設定'!$I$12</f>
        <v/>
      </c>
      <c r="C473" s="51" t="n"/>
      <c r="D473" s="51" t="n"/>
      <c r="E473" s="51" t="n"/>
      <c r="F473" s="51" t="n"/>
      <c r="G473" s="51" t="n"/>
      <c r="H473" s="51" t="n"/>
      <c r="I473" s="51" t="n"/>
      <c r="J473" s="51" t="n"/>
      <c r="K473" s="51" t="n"/>
      <c r="L473" s="51" t="n"/>
    </row>
    <row r="474" ht="22" customHeight="1">
      <c r="B474" s="50">
        <f>'設定'!$I$13</f>
        <v/>
      </c>
      <c r="C474" s="51" t="n"/>
      <c r="D474" s="51" t="n"/>
      <c r="E474" s="51" t="n"/>
      <c r="F474" s="51" t="n"/>
      <c r="G474" s="51" t="n"/>
      <c r="H474" s="51" t="n"/>
      <c r="I474" s="51" t="n"/>
      <c r="J474" s="51" t="n"/>
      <c r="K474" s="51" t="n"/>
      <c r="L474" s="51" t="n"/>
    </row>
    <row r="475" ht="22" customHeight="1">
      <c r="B475" s="50">
        <f>'設定'!$I$14</f>
        <v/>
      </c>
      <c r="C475" s="51" t="n"/>
      <c r="D475" s="51" t="n"/>
      <c r="E475" s="51" t="n"/>
      <c r="F475" s="51" t="n"/>
      <c r="G475" s="51" t="n"/>
      <c r="H475" s="51" t="n"/>
      <c r="I475" s="51" t="n"/>
      <c r="J475" s="51" t="n"/>
      <c r="K475" s="51" t="n"/>
      <c r="L475" s="51" t="n"/>
    </row>
    <row r="476" ht="22" customHeight="1">
      <c r="B476" s="50">
        <f>'設定'!$I$15</f>
        <v/>
      </c>
      <c r="C476" s="51" t="n"/>
      <c r="D476" s="51" t="n"/>
      <c r="E476" s="51" t="n"/>
      <c r="F476" s="51" t="n"/>
      <c r="G476" s="51" t="n"/>
      <c r="H476" s="51" t="n"/>
      <c r="I476" s="51" t="n"/>
      <c r="J476" s="51" t="n"/>
      <c r="K476" s="51" t="n"/>
      <c r="L476" s="51" t="n"/>
    </row>
    <row r="477" ht="22" customHeight="1">
      <c r="B477" s="50">
        <f>'設定'!$I$16</f>
        <v/>
      </c>
      <c r="C477" s="51" t="n"/>
      <c r="D477" s="51" t="n"/>
      <c r="E477" s="51" t="n"/>
      <c r="F477" s="51" t="n"/>
      <c r="G477" s="51" t="n"/>
      <c r="H477" s="51" t="n"/>
      <c r="I477" s="51" t="n"/>
      <c r="J477" s="51" t="n"/>
      <c r="K477" s="51" t="n"/>
      <c r="L477" s="51" t="n"/>
    </row>
    <row r="478" ht="22" customHeight="1">
      <c r="B478" s="50">
        <f>'設定'!$I$17</f>
        <v/>
      </c>
      <c r="C478" s="51" t="n"/>
      <c r="D478" s="51" t="n"/>
      <c r="E478" s="51" t="n"/>
      <c r="F478" s="51" t="n"/>
      <c r="G478" s="51" t="n"/>
      <c r="H478" s="51" t="n"/>
      <c r="I478" s="51" t="n"/>
      <c r="J478" s="51" t="n"/>
      <c r="K478" s="51" t="n"/>
      <c r="L478" s="51" t="n"/>
    </row>
    <row r="479" ht="22" customHeight="1">
      <c r="B479" s="50">
        <f>'設定'!$I$18</f>
        <v/>
      </c>
      <c r="C479" s="51" t="n"/>
      <c r="D479" s="51" t="n"/>
      <c r="E479" s="51" t="n"/>
      <c r="F479" s="51" t="n"/>
      <c r="G479" s="51" t="n"/>
      <c r="H479" s="51" t="n"/>
      <c r="I479" s="51" t="n"/>
      <c r="J479" s="51" t="n"/>
      <c r="K479" s="51" t="n"/>
      <c r="L479" s="51" t="n"/>
    </row>
    <row r="480" ht="22" customHeight="1">
      <c r="B480" s="50">
        <f>'設定'!$I$19</f>
        <v/>
      </c>
      <c r="C480" s="51" t="n"/>
      <c r="D480" s="51" t="n"/>
      <c r="E480" s="51" t="n"/>
      <c r="F480" s="51" t="n"/>
      <c r="G480" s="51" t="n"/>
      <c r="H480" s="51" t="n"/>
      <c r="I480" s="51" t="n"/>
      <c r="J480" s="51" t="n"/>
      <c r="K480" s="51" t="n"/>
      <c r="L480" s="51" t="n"/>
    </row>
    <row r="481" ht="22" customHeight="1">
      <c r="B481" s="50">
        <f>'設定'!$I$20</f>
        <v/>
      </c>
      <c r="C481" s="51" t="n"/>
      <c r="D481" s="51" t="n"/>
      <c r="E481" s="51" t="n"/>
      <c r="F481" s="51" t="n"/>
      <c r="G481" s="51" t="n"/>
      <c r="H481" s="51" t="n"/>
      <c r="I481" s="51" t="n"/>
      <c r="J481" s="51" t="n"/>
      <c r="K481" s="51" t="n"/>
      <c r="L481" s="51" t="n"/>
    </row>
    <row r="482" ht="22" customHeight="1">
      <c r="B482" s="50">
        <f>'設定'!$I$21</f>
        <v/>
      </c>
      <c r="C482" s="51" t="n"/>
      <c r="D482" s="51" t="n"/>
      <c r="E482" s="51" t="n"/>
      <c r="F482" s="51" t="n"/>
      <c r="G482" s="51" t="n"/>
      <c r="H482" s="51" t="n"/>
      <c r="I482" s="51" t="n"/>
      <c r="J482" s="51" t="n"/>
      <c r="K482" s="51" t="n"/>
      <c r="L482" s="51" t="n"/>
    </row>
    <row r="483" ht="22" customHeight="1">
      <c r="B483" s="50">
        <f>'設定'!$I$22</f>
        <v/>
      </c>
      <c r="C483" s="51" t="n"/>
      <c r="D483" s="51" t="n"/>
      <c r="E483" s="51" t="n"/>
      <c r="F483" s="51" t="n"/>
      <c r="G483" s="51" t="n"/>
      <c r="H483" s="51" t="n"/>
      <c r="I483" s="51" t="n"/>
      <c r="J483" s="51" t="n"/>
      <c r="K483" s="51" t="n"/>
      <c r="L483" s="51" t="n"/>
    </row>
    <row r="484"/>
    <row r="485" ht="26" customHeight="1">
      <c r="B485" s="45">
        <f>IF('名簿'!B37="","（名簿 33行目：なし）",'名簿'!G37)</f>
        <v/>
      </c>
      <c r="C485" s="4" t="n"/>
      <c r="D485" s="4" t="n"/>
      <c r="E485" s="46" t="inlineStr">
        <is>
          <t>提出状況 ▶</t>
        </is>
      </c>
      <c r="F485" s="33" t="n"/>
      <c r="G485" s="29" t="n"/>
      <c r="H485" s="47" t="inlineStr">
        <is>
          <t>状況：</t>
        </is>
      </c>
      <c r="I485" s="48">
        <f>'名簿'!H37</f>
        <v/>
      </c>
      <c r="J485" s="47" t="inlineStr">
        <is>
          <t>×の数：</t>
        </is>
      </c>
      <c r="K485" s="48">
        <f>'名簿'!I37</f>
        <v/>
      </c>
      <c r="L485" s="4" t="n"/>
    </row>
    <row r="486">
      <c r="B486" s="49" t="inlineStr"/>
      <c r="C486" s="30">
        <f>'設定'!$E$11</f>
        <v/>
      </c>
      <c r="D486" s="30">
        <f>'設定'!$E$12</f>
        <v/>
      </c>
      <c r="E486" s="30">
        <f>'設定'!$E$13</f>
        <v/>
      </c>
      <c r="F486" s="30">
        <f>'設定'!$E$14</f>
        <v/>
      </c>
      <c r="G486" s="30">
        <f>'設定'!$E$15</f>
        <v/>
      </c>
      <c r="H486" s="30">
        <f>'設定'!$E$16</f>
        <v/>
      </c>
      <c r="I486" s="30">
        <f>'設定'!$E$17</f>
        <v/>
      </c>
      <c r="J486" s="30">
        <f>'設定'!$E$18</f>
        <v/>
      </c>
      <c r="K486" s="30">
        <f>'設定'!$E$19</f>
        <v/>
      </c>
      <c r="L486" s="30">
        <f>'設定'!$E$20</f>
        <v/>
      </c>
    </row>
    <row r="487" ht="22" customHeight="1">
      <c r="B487" s="50">
        <f>'設定'!$I$11</f>
        <v/>
      </c>
      <c r="C487" s="51" t="n"/>
      <c r="D487" s="51" t="n"/>
      <c r="E487" s="51" t="n"/>
      <c r="F487" s="51" t="n"/>
      <c r="G487" s="51" t="n"/>
      <c r="H487" s="51" t="n"/>
      <c r="I487" s="51" t="n"/>
      <c r="J487" s="51" t="n"/>
      <c r="K487" s="51" t="n"/>
      <c r="L487" s="51" t="n"/>
    </row>
    <row r="488" ht="22" customHeight="1">
      <c r="B488" s="50">
        <f>'設定'!$I$12</f>
        <v/>
      </c>
      <c r="C488" s="51" t="n"/>
      <c r="D488" s="51" t="n"/>
      <c r="E488" s="51" t="n"/>
      <c r="F488" s="51" t="n"/>
      <c r="G488" s="51" t="n"/>
      <c r="H488" s="51" t="n"/>
      <c r="I488" s="51" t="n"/>
      <c r="J488" s="51" t="n"/>
      <c r="K488" s="51" t="n"/>
      <c r="L488" s="51" t="n"/>
    </row>
    <row r="489" ht="22" customHeight="1">
      <c r="B489" s="50">
        <f>'設定'!$I$13</f>
        <v/>
      </c>
      <c r="C489" s="51" t="n"/>
      <c r="D489" s="51" t="n"/>
      <c r="E489" s="51" t="n"/>
      <c r="F489" s="51" t="n"/>
      <c r="G489" s="51" t="n"/>
      <c r="H489" s="51" t="n"/>
      <c r="I489" s="51" t="n"/>
      <c r="J489" s="51" t="n"/>
      <c r="K489" s="51" t="n"/>
      <c r="L489" s="51" t="n"/>
    </row>
    <row r="490" ht="22" customHeight="1">
      <c r="B490" s="50">
        <f>'設定'!$I$14</f>
        <v/>
      </c>
      <c r="C490" s="51" t="n"/>
      <c r="D490" s="51" t="n"/>
      <c r="E490" s="51" t="n"/>
      <c r="F490" s="51" t="n"/>
      <c r="G490" s="51" t="n"/>
      <c r="H490" s="51" t="n"/>
      <c r="I490" s="51" t="n"/>
      <c r="J490" s="51" t="n"/>
      <c r="K490" s="51" t="n"/>
      <c r="L490" s="51" t="n"/>
    </row>
    <row r="491" ht="22" customHeight="1">
      <c r="B491" s="50">
        <f>'設定'!$I$15</f>
        <v/>
      </c>
      <c r="C491" s="51" t="n"/>
      <c r="D491" s="51" t="n"/>
      <c r="E491" s="51" t="n"/>
      <c r="F491" s="51" t="n"/>
      <c r="G491" s="51" t="n"/>
      <c r="H491" s="51" t="n"/>
      <c r="I491" s="51" t="n"/>
      <c r="J491" s="51" t="n"/>
      <c r="K491" s="51" t="n"/>
      <c r="L491" s="51" t="n"/>
    </row>
    <row r="492" ht="22" customHeight="1">
      <c r="B492" s="50">
        <f>'設定'!$I$16</f>
        <v/>
      </c>
      <c r="C492" s="51" t="n"/>
      <c r="D492" s="51" t="n"/>
      <c r="E492" s="51" t="n"/>
      <c r="F492" s="51" t="n"/>
      <c r="G492" s="51" t="n"/>
      <c r="H492" s="51" t="n"/>
      <c r="I492" s="51" t="n"/>
      <c r="J492" s="51" t="n"/>
      <c r="K492" s="51" t="n"/>
      <c r="L492" s="51" t="n"/>
    </row>
    <row r="493" ht="22" customHeight="1">
      <c r="B493" s="50">
        <f>'設定'!$I$17</f>
        <v/>
      </c>
      <c r="C493" s="51" t="n"/>
      <c r="D493" s="51" t="n"/>
      <c r="E493" s="51" t="n"/>
      <c r="F493" s="51" t="n"/>
      <c r="G493" s="51" t="n"/>
      <c r="H493" s="51" t="n"/>
      <c r="I493" s="51" t="n"/>
      <c r="J493" s="51" t="n"/>
      <c r="K493" s="51" t="n"/>
      <c r="L493" s="51" t="n"/>
    </row>
    <row r="494" ht="22" customHeight="1">
      <c r="B494" s="50">
        <f>'設定'!$I$18</f>
        <v/>
      </c>
      <c r="C494" s="51" t="n"/>
      <c r="D494" s="51" t="n"/>
      <c r="E494" s="51" t="n"/>
      <c r="F494" s="51" t="n"/>
      <c r="G494" s="51" t="n"/>
      <c r="H494" s="51" t="n"/>
      <c r="I494" s="51" t="n"/>
      <c r="J494" s="51" t="n"/>
      <c r="K494" s="51" t="n"/>
      <c r="L494" s="51" t="n"/>
    </row>
    <row r="495" ht="22" customHeight="1">
      <c r="B495" s="50">
        <f>'設定'!$I$19</f>
        <v/>
      </c>
      <c r="C495" s="51" t="n"/>
      <c r="D495" s="51" t="n"/>
      <c r="E495" s="51" t="n"/>
      <c r="F495" s="51" t="n"/>
      <c r="G495" s="51" t="n"/>
      <c r="H495" s="51" t="n"/>
      <c r="I495" s="51" t="n"/>
      <c r="J495" s="51" t="n"/>
      <c r="K495" s="51" t="n"/>
      <c r="L495" s="51" t="n"/>
    </row>
    <row r="496" ht="22" customHeight="1">
      <c r="B496" s="50">
        <f>'設定'!$I$20</f>
        <v/>
      </c>
      <c r="C496" s="51" t="n"/>
      <c r="D496" s="51" t="n"/>
      <c r="E496" s="51" t="n"/>
      <c r="F496" s="51" t="n"/>
      <c r="G496" s="51" t="n"/>
      <c r="H496" s="51" t="n"/>
      <c r="I496" s="51" t="n"/>
      <c r="J496" s="51" t="n"/>
      <c r="K496" s="51" t="n"/>
      <c r="L496" s="51" t="n"/>
    </row>
    <row r="497" ht="22" customHeight="1">
      <c r="B497" s="50">
        <f>'設定'!$I$21</f>
        <v/>
      </c>
      <c r="C497" s="51" t="n"/>
      <c r="D497" s="51" t="n"/>
      <c r="E497" s="51" t="n"/>
      <c r="F497" s="51" t="n"/>
      <c r="G497" s="51" t="n"/>
      <c r="H497" s="51" t="n"/>
      <c r="I497" s="51" t="n"/>
      <c r="J497" s="51" t="n"/>
      <c r="K497" s="51" t="n"/>
      <c r="L497" s="51" t="n"/>
    </row>
    <row r="498" ht="22" customHeight="1">
      <c r="B498" s="50">
        <f>'設定'!$I$22</f>
        <v/>
      </c>
      <c r="C498" s="51" t="n"/>
      <c r="D498" s="51" t="n"/>
      <c r="E498" s="51" t="n"/>
      <c r="F498" s="51" t="n"/>
      <c r="G498" s="51" t="n"/>
      <c r="H498" s="51" t="n"/>
      <c r="I498" s="51" t="n"/>
      <c r="J498" s="51" t="n"/>
      <c r="K498" s="51" t="n"/>
      <c r="L498" s="51" t="n"/>
    </row>
    <row r="499"/>
    <row r="500" ht="26" customHeight="1">
      <c r="B500" s="45">
        <f>IF('名簿'!B38="","（名簿 34行目：なし）",'名簿'!G38)</f>
        <v/>
      </c>
      <c r="C500" s="4" t="n"/>
      <c r="D500" s="4" t="n"/>
      <c r="E500" s="46" t="inlineStr">
        <is>
          <t>提出状況 ▶</t>
        </is>
      </c>
      <c r="F500" s="33" t="n"/>
      <c r="G500" s="29" t="n"/>
      <c r="H500" s="47" t="inlineStr">
        <is>
          <t>状況：</t>
        </is>
      </c>
      <c r="I500" s="48">
        <f>'名簿'!H38</f>
        <v/>
      </c>
      <c r="J500" s="47" t="inlineStr">
        <is>
          <t>×の数：</t>
        </is>
      </c>
      <c r="K500" s="48">
        <f>'名簿'!I38</f>
        <v/>
      </c>
      <c r="L500" s="4" t="n"/>
    </row>
    <row r="501">
      <c r="B501" s="49" t="inlineStr"/>
      <c r="C501" s="30">
        <f>'設定'!$E$11</f>
        <v/>
      </c>
      <c r="D501" s="30">
        <f>'設定'!$E$12</f>
        <v/>
      </c>
      <c r="E501" s="30">
        <f>'設定'!$E$13</f>
        <v/>
      </c>
      <c r="F501" s="30">
        <f>'設定'!$E$14</f>
        <v/>
      </c>
      <c r="G501" s="30">
        <f>'設定'!$E$15</f>
        <v/>
      </c>
      <c r="H501" s="30">
        <f>'設定'!$E$16</f>
        <v/>
      </c>
      <c r="I501" s="30">
        <f>'設定'!$E$17</f>
        <v/>
      </c>
      <c r="J501" s="30">
        <f>'設定'!$E$18</f>
        <v/>
      </c>
      <c r="K501" s="30">
        <f>'設定'!$E$19</f>
        <v/>
      </c>
      <c r="L501" s="30">
        <f>'設定'!$E$20</f>
        <v/>
      </c>
    </row>
    <row r="502" ht="22" customHeight="1">
      <c r="B502" s="50">
        <f>'設定'!$I$11</f>
        <v/>
      </c>
      <c r="C502" s="51" t="n"/>
      <c r="D502" s="51" t="n"/>
      <c r="E502" s="51" t="n"/>
      <c r="F502" s="51" t="n"/>
      <c r="G502" s="51" t="n"/>
      <c r="H502" s="51" t="n"/>
      <c r="I502" s="51" t="n"/>
      <c r="J502" s="51" t="n"/>
      <c r="K502" s="51" t="n"/>
      <c r="L502" s="51" t="n"/>
    </row>
    <row r="503" ht="22" customHeight="1">
      <c r="B503" s="50">
        <f>'設定'!$I$12</f>
        <v/>
      </c>
      <c r="C503" s="51" t="n"/>
      <c r="D503" s="51" t="n"/>
      <c r="E503" s="51" t="n"/>
      <c r="F503" s="51" t="n"/>
      <c r="G503" s="51" t="n"/>
      <c r="H503" s="51" t="n"/>
      <c r="I503" s="51" t="n"/>
      <c r="J503" s="51" t="n"/>
      <c r="K503" s="51" t="n"/>
      <c r="L503" s="51" t="n"/>
    </row>
    <row r="504" ht="22" customHeight="1">
      <c r="B504" s="50">
        <f>'設定'!$I$13</f>
        <v/>
      </c>
      <c r="C504" s="51" t="n"/>
      <c r="D504" s="51" t="n"/>
      <c r="E504" s="51" t="n"/>
      <c r="F504" s="51" t="n"/>
      <c r="G504" s="51" t="n"/>
      <c r="H504" s="51" t="n"/>
      <c r="I504" s="51" t="n"/>
      <c r="J504" s="51" t="n"/>
      <c r="K504" s="51" t="n"/>
      <c r="L504" s="51" t="n"/>
    </row>
    <row r="505" ht="22" customHeight="1">
      <c r="B505" s="50">
        <f>'設定'!$I$14</f>
        <v/>
      </c>
      <c r="C505" s="51" t="n"/>
      <c r="D505" s="51" t="n"/>
      <c r="E505" s="51" t="n"/>
      <c r="F505" s="51" t="n"/>
      <c r="G505" s="51" t="n"/>
      <c r="H505" s="51" t="n"/>
      <c r="I505" s="51" t="n"/>
      <c r="J505" s="51" t="n"/>
      <c r="K505" s="51" t="n"/>
      <c r="L505" s="51" t="n"/>
    </row>
    <row r="506" ht="22" customHeight="1">
      <c r="B506" s="50">
        <f>'設定'!$I$15</f>
        <v/>
      </c>
      <c r="C506" s="51" t="n"/>
      <c r="D506" s="51" t="n"/>
      <c r="E506" s="51" t="n"/>
      <c r="F506" s="51" t="n"/>
      <c r="G506" s="51" t="n"/>
      <c r="H506" s="51" t="n"/>
      <c r="I506" s="51" t="n"/>
      <c r="J506" s="51" t="n"/>
      <c r="K506" s="51" t="n"/>
      <c r="L506" s="51" t="n"/>
    </row>
    <row r="507" ht="22" customHeight="1">
      <c r="B507" s="50">
        <f>'設定'!$I$16</f>
        <v/>
      </c>
      <c r="C507" s="51" t="n"/>
      <c r="D507" s="51" t="n"/>
      <c r="E507" s="51" t="n"/>
      <c r="F507" s="51" t="n"/>
      <c r="G507" s="51" t="n"/>
      <c r="H507" s="51" t="n"/>
      <c r="I507" s="51" t="n"/>
      <c r="J507" s="51" t="n"/>
      <c r="K507" s="51" t="n"/>
      <c r="L507" s="51" t="n"/>
    </row>
    <row r="508" ht="22" customHeight="1">
      <c r="B508" s="50">
        <f>'設定'!$I$17</f>
        <v/>
      </c>
      <c r="C508" s="51" t="n"/>
      <c r="D508" s="51" t="n"/>
      <c r="E508" s="51" t="n"/>
      <c r="F508" s="51" t="n"/>
      <c r="G508" s="51" t="n"/>
      <c r="H508" s="51" t="n"/>
      <c r="I508" s="51" t="n"/>
      <c r="J508" s="51" t="n"/>
      <c r="K508" s="51" t="n"/>
      <c r="L508" s="51" t="n"/>
    </row>
    <row r="509" ht="22" customHeight="1">
      <c r="B509" s="50">
        <f>'設定'!$I$18</f>
        <v/>
      </c>
      <c r="C509" s="51" t="n"/>
      <c r="D509" s="51" t="n"/>
      <c r="E509" s="51" t="n"/>
      <c r="F509" s="51" t="n"/>
      <c r="G509" s="51" t="n"/>
      <c r="H509" s="51" t="n"/>
      <c r="I509" s="51" t="n"/>
      <c r="J509" s="51" t="n"/>
      <c r="K509" s="51" t="n"/>
      <c r="L509" s="51" t="n"/>
    </row>
    <row r="510" ht="22" customHeight="1">
      <c r="B510" s="50">
        <f>'設定'!$I$19</f>
        <v/>
      </c>
      <c r="C510" s="51" t="n"/>
      <c r="D510" s="51" t="n"/>
      <c r="E510" s="51" t="n"/>
      <c r="F510" s="51" t="n"/>
      <c r="G510" s="51" t="n"/>
      <c r="H510" s="51" t="n"/>
      <c r="I510" s="51" t="n"/>
      <c r="J510" s="51" t="n"/>
      <c r="K510" s="51" t="n"/>
      <c r="L510" s="51" t="n"/>
    </row>
    <row r="511" ht="22" customHeight="1">
      <c r="B511" s="50">
        <f>'設定'!$I$20</f>
        <v/>
      </c>
      <c r="C511" s="51" t="n"/>
      <c r="D511" s="51" t="n"/>
      <c r="E511" s="51" t="n"/>
      <c r="F511" s="51" t="n"/>
      <c r="G511" s="51" t="n"/>
      <c r="H511" s="51" t="n"/>
      <c r="I511" s="51" t="n"/>
      <c r="J511" s="51" t="n"/>
      <c r="K511" s="51" t="n"/>
      <c r="L511" s="51" t="n"/>
    </row>
    <row r="512" ht="22" customHeight="1">
      <c r="B512" s="50">
        <f>'設定'!$I$21</f>
        <v/>
      </c>
      <c r="C512" s="51" t="n"/>
      <c r="D512" s="51" t="n"/>
      <c r="E512" s="51" t="n"/>
      <c r="F512" s="51" t="n"/>
      <c r="G512" s="51" t="n"/>
      <c r="H512" s="51" t="n"/>
      <c r="I512" s="51" t="n"/>
      <c r="J512" s="51" t="n"/>
      <c r="K512" s="51" t="n"/>
      <c r="L512" s="51" t="n"/>
    </row>
    <row r="513" ht="22" customHeight="1">
      <c r="B513" s="50">
        <f>'設定'!$I$22</f>
        <v/>
      </c>
      <c r="C513" s="51" t="n"/>
      <c r="D513" s="51" t="n"/>
      <c r="E513" s="51" t="n"/>
      <c r="F513" s="51" t="n"/>
      <c r="G513" s="51" t="n"/>
      <c r="H513" s="51" t="n"/>
      <c r="I513" s="51" t="n"/>
      <c r="J513" s="51" t="n"/>
      <c r="K513" s="51" t="n"/>
      <c r="L513" s="51" t="n"/>
    </row>
    <row r="514"/>
    <row r="515" ht="26" customHeight="1">
      <c r="B515" s="45">
        <f>IF('名簿'!B39="","（名簿 35行目：なし）",'名簿'!G39)</f>
        <v/>
      </c>
      <c r="C515" s="4" t="n"/>
      <c r="D515" s="4" t="n"/>
      <c r="E515" s="46" t="inlineStr">
        <is>
          <t>提出状況 ▶</t>
        </is>
      </c>
      <c r="F515" s="33" t="n"/>
      <c r="G515" s="29" t="n"/>
      <c r="H515" s="47" t="inlineStr">
        <is>
          <t>状況：</t>
        </is>
      </c>
      <c r="I515" s="48">
        <f>'名簿'!H39</f>
        <v/>
      </c>
      <c r="J515" s="47" t="inlineStr">
        <is>
          <t>×の数：</t>
        </is>
      </c>
      <c r="K515" s="48">
        <f>'名簿'!I39</f>
        <v/>
      </c>
      <c r="L515" s="4" t="n"/>
    </row>
    <row r="516">
      <c r="B516" s="49" t="inlineStr"/>
      <c r="C516" s="30">
        <f>'設定'!$E$11</f>
        <v/>
      </c>
      <c r="D516" s="30">
        <f>'設定'!$E$12</f>
        <v/>
      </c>
      <c r="E516" s="30">
        <f>'設定'!$E$13</f>
        <v/>
      </c>
      <c r="F516" s="30">
        <f>'設定'!$E$14</f>
        <v/>
      </c>
      <c r="G516" s="30">
        <f>'設定'!$E$15</f>
        <v/>
      </c>
      <c r="H516" s="30">
        <f>'設定'!$E$16</f>
        <v/>
      </c>
      <c r="I516" s="30">
        <f>'設定'!$E$17</f>
        <v/>
      </c>
      <c r="J516" s="30">
        <f>'設定'!$E$18</f>
        <v/>
      </c>
      <c r="K516" s="30">
        <f>'設定'!$E$19</f>
        <v/>
      </c>
      <c r="L516" s="30">
        <f>'設定'!$E$20</f>
        <v/>
      </c>
    </row>
    <row r="517" ht="22" customHeight="1">
      <c r="B517" s="50">
        <f>'設定'!$I$11</f>
        <v/>
      </c>
      <c r="C517" s="51" t="n"/>
      <c r="D517" s="51" t="n"/>
      <c r="E517" s="51" t="n"/>
      <c r="F517" s="51" t="n"/>
      <c r="G517" s="51" t="n"/>
      <c r="H517" s="51" t="n"/>
      <c r="I517" s="51" t="n"/>
      <c r="J517" s="51" t="n"/>
      <c r="K517" s="51" t="n"/>
      <c r="L517" s="51" t="n"/>
    </row>
    <row r="518" ht="22" customHeight="1">
      <c r="B518" s="50">
        <f>'設定'!$I$12</f>
        <v/>
      </c>
      <c r="C518" s="51" t="n"/>
      <c r="D518" s="51" t="n"/>
      <c r="E518" s="51" t="n"/>
      <c r="F518" s="51" t="n"/>
      <c r="G518" s="51" t="n"/>
      <c r="H518" s="51" t="n"/>
      <c r="I518" s="51" t="n"/>
      <c r="J518" s="51" t="n"/>
      <c r="K518" s="51" t="n"/>
      <c r="L518" s="51" t="n"/>
    </row>
    <row r="519" ht="22" customHeight="1">
      <c r="B519" s="50">
        <f>'設定'!$I$13</f>
        <v/>
      </c>
      <c r="C519" s="51" t="n"/>
      <c r="D519" s="51" t="n"/>
      <c r="E519" s="51" t="n"/>
      <c r="F519" s="51" t="n"/>
      <c r="G519" s="51" t="n"/>
      <c r="H519" s="51" t="n"/>
      <c r="I519" s="51" t="n"/>
      <c r="J519" s="51" t="n"/>
      <c r="K519" s="51" t="n"/>
      <c r="L519" s="51" t="n"/>
    </row>
    <row r="520" ht="22" customHeight="1">
      <c r="B520" s="50">
        <f>'設定'!$I$14</f>
        <v/>
      </c>
      <c r="C520" s="51" t="n"/>
      <c r="D520" s="51" t="n"/>
      <c r="E520" s="51" t="n"/>
      <c r="F520" s="51" t="n"/>
      <c r="G520" s="51" t="n"/>
      <c r="H520" s="51" t="n"/>
      <c r="I520" s="51" t="n"/>
      <c r="J520" s="51" t="n"/>
      <c r="K520" s="51" t="n"/>
      <c r="L520" s="51" t="n"/>
    </row>
    <row r="521" ht="22" customHeight="1">
      <c r="B521" s="50">
        <f>'設定'!$I$15</f>
        <v/>
      </c>
      <c r="C521" s="51" t="n"/>
      <c r="D521" s="51" t="n"/>
      <c r="E521" s="51" t="n"/>
      <c r="F521" s="51" t="n"/>
      <c r="G521" s="51" t="n"/>
      <c r="H521" s="51" t="n"/>
      <c r="I521" s="51" t="n"/>
      <c r="J521" s="51" t="n"/>
      <c r="K521" s="51" t="n"/>
      <c r="L521" s="51" t="n"/>
    </row>
    <row r="522" ht="22" customHeight="1">
      <c r="B522" s="50">
        <f>'設定'!$I$16</f>
        <v/>
      </c>
      <c r="C522" s="51" t="n"/>
      <c r="D522" s="51" t="n"/>
      <c r="E522" s="51" t="n"/>
      <c r="F522" s="51" t="n"/>
      <c r="G522" s="51" t="n"/>
      <c r="H522" s="51" t="n"/>
      <c r="I522" s="51" t="n"/>
      <c r="J522" s="51" t="n"/>
      <c r="K522" s="51" t="n"/>
      <c r="L522" s="51" t="n"/>
    </row>
    <row r="523" ht="22" customHeight="1">
      <c r="B523" s="50">
        <f>'設定'!$I$17</f>
        <v/>
      </c>
      <c r="C523" s="51" t="n"/>
      <c r="D523" s="51" t="n"/>
      <c r="E523" s="51" t="n"/>
      <c r="F523" s="51" t="n"/>
      <c r="G523" s="51" t="n"/>
      <c r="H523" s="51" t="n"/>
      <c r="I523" s="51" t="n"/>
      <c r="J523" s="51" t="n"/>
      <c r="K523" s="51" t="n"/>
      <c r="L523" s="51" t="n"/>
    </row>
    <row r="524" ht="22" customHeight="1">
      <c r="B524" s="50">
        <f>'設定'!$I$18</f>
        <v/>
      </c>
      <c r="C524" s="51" t="n"/>
      <c r="D524" s="51" t="n"/>
      <c r="E524" s="51" t="n"/>
      <c r="F524" s="51" t="n"/>
      <c r="G524" s="51" t="n"/>
      <c r="H524" s="51" t="n"/>
      <c r="I524" s="51" t="n"/>
      <c r="J524" s="51" t="n"/>
      <c r="K524" s="51" t="n"/>
      <c r="L524" s="51" t="n"/>
    </row>
    <row r="525" ht="22" customHeight="1">
      <c r="B525" s="50">
        <f>'設定'!$I$19</f>
        <v/>
      </c>
      <c r="C525" s="51" t="n"/>
      <c r="D525" s="51" t="n"/>
      <c r="E525" s="51" t="n"/>
      <c r="F525" s="51" t="n"/>
      <c r="G525" s="51" t="n"/>
      <c r="H525" s="51" t="n"/>
      <c r="I525" s="51" t="n"/>
      <c r="J525" s="51" t="n"/>
      <c r="K525" s="51" t="n"/>
      <c r="L525" s="51" t="n"/>
    </row>
    <row r="526" ht="22" customHeight="1">
      <c r="B526" s="50">
        <f>'設定'!$I$20</f>
        <v/>
      </c>
      <c r="C526" s="51" t="n"/>
      <c r="D526" s="51" t="n"/>
      <c r="E526" s="51" t="n"/>
      <c r="F526" s="51" t="n"/>
      <c r="G526" s="51" t="n"/>
      <c r="H526" s="51" t="n"/>
      <c r="I526" s="51" t="n"/>
      <c r="J526" s="51" t="n"/>
      <c r="K526" s="51" t="n"/>
      <c r="L526" s="51" t="n"/>
    </row>
    <row r="527" ht="22" customHeight="1">
      <c r="B527" s="50">
        <f>'設定'!$I$21</f>
        <v/>
      </c>
      <c r="C527" s="51" t="n"/>
      <c r="D527" s="51" t="n"/>
      <c r="E527" s="51" t="n"/>
      <c r="F527" s="51" t="n"/>
      <c r="G527" s="51" t="n"/>
      <c r="H527" s="51" t="n"/>
      <c r="I527" s="51" t="n"/>
      <c r="J527" s="51" t="n"/>
      <c r="K527" s="51" t="n"/>
      <c r="L527" s="51" t="n"/>
    </row>
    <row r="528" ht="22" customHeight="1">
      <c r="B528" s="50">
        <f>'設定'!$I$22</f>
        <v/>
      </c>
      <c r="C528" s="51" t="n"/>
      <c r="D528" s="51" t="n"/>
      <c r="E528" s="51" t="n"/>
      <c r="F528" s="51" t="n"/>
      <c r="G528" s="51" t="n"/>
      <c r="H528" s="51" t="n"/>
      <c r="I528" s="51" t="n"/>
      <c r="J528" s="51" t="n"/>
      <c r="K528" s="51" t="n"/>
      <c r="L528" s="51" t="n"/>
    </row>
    <row r="529"/>
    <row r="530" ht="26" customHeight="1">
      <c r="B530" s="45">
        <f>IF('名簿'!B40="","（名簿 36行目：なし）",'名簿'!G40)</f>
        <v/>
      </c>
      <c r="C530" s="4" t="n"/>
      <c r="D530" s="4" t="n"/>
      <c r="E530" s="46" t="inlineStr">
        <is>
          <t>提出状況 ▶</t>
        </is>
      </c>
      <c r="F530" s="33" t="n"/>
      <c r="G530" s="29" t="n"/>
      <c r="H530" s="47" t="inlineStr">
        <is>
          <t>状況：</t>
        </is>
      </c>
      <c r="I530" s="48">
        <f>'名簿'!H40</f>
        <v/>
      </c>
      <c r="J530" s="47" t="inlineStr">
        <is>
          <t>×の数：</t>
        </is>
      </c>
      <c r="K530" s="48">
        <f>'名簿'!I40</f>
        <v/>
      </c>
      <c r="L530" s="4" t="n"/>
    </row>
    <row r="531">
      <c r="B531" s="49" t="inlineStr"/>
      <c r="C531" s="30">
        <f>'設定'!$E$11</f>
        <v/>
      </c>
      <c r="D531" s="30">
        <f>'設定'!$E$12</f>
        <v/>
      </c>
      <c r="E531" s="30">
        <f>'設定'!$E$13</f>
        <v/>
      </c>
      <c r="F531" s="30">
        <f>'設定'!$E$14</f>
        <v/>
      </c>
      <c r="G531" s="30">
        <f>'設定'!$E$15</f>
        <v/>
      </c>
      <c r="H531" s="30">
        <f>'設定'!$E$16</f>
        <v/>
      </c>
      <c r="I531" s="30">
        <f>'設定'!$E$17</f>
        <v/>
      </c>
      <c r="J531" s="30">
        <f>'設定'!$E$18</f>
        <v/>
      </c>
      <c r="K531" s="30">
        <f>'設定'!$E$19</f>
        <v/>
      </c>
      <c r="L531" s="30">
        <f>'設定'!$E$20</f>
        <v/>
      </c>
    </row>
    <row r="532" ht="22" customHeight="1">
      <c r="B532" s="50">
        <f>'設定'!$I$11</f>
        <v/>
      </c>
      <c r="C532" s="51" t="n"/>
      <c r="D532" s="51" t="n"/>
      <c r="E532" s="51" t="n"/>
      <c r="F532" s="51" t="n"/>
      <c r="G532" s="51" t="n"/>
      <c r="H532" s="51" t="n"/>
      <c r="I532" s="51" t="n"/>
      <c r="J532" s="51" t="n"/>
      <c r="K532" s="51" t="n"/>
      <c r="L532" s="51" t="n"/>
    </row>
    <row r="533" ht="22" customHeight="1">
      <c r="B533" s="50">
        <f>'設定'!$I$12</f>
        <v/>
      </c>
      <c r="C533" s="51" t="n"/>
      <c r="D533" s="51" t="n"/>
      <c r="E533" s="51" t="n"/>
      <c r="F533" s="51" t="n"/>
      <c r="G533" s="51" t="n"/>
      <c r="H533" s="51" t="n"/>
      <c r="I533" s="51" t="n"/>
      <c r="J533" s="51" t="n"/>
      <c r="K533" s="51" t="n"/>
      <c r="L533" s="51" t="n"/>
    </row>
    <row r="534" ht="22" customHeight="1">
      <c r="B534" s="50">
        <f>'設定'!$I$13</f>
        <v/>
      </c>
      <c r="C534" s="51" t="n"/>
      <c r="D534" s="51" t="n"/>
      <c r="E534" s="51" t="n"/>
      <c r="F534" s="51" t="n"/>
      <c r="G534" s="51" t="n"/>
      <c r="H534" s="51" t="n"/>
      <c r="I534" s="51" t="n"/>
      <c r="J534" s="51" t="n"/>
      <c r="K534" s="51" t="n"/>
      <c r="L534" s="51" t="n"/>
    </row>
    <row r="535" ht="22" customHeight="1">
      <c r="B535" s="50">
        <f>'設定'!$I$14</f>
        <v/>
      </c>
      <c r="C535" s="51" t="n"/>
      <c r="D535" s="51" t="n"/>
      <c r="E535" s="51" t="n"/>
      <c r="F535" s="51" t="n"/>
      <c r="G535" s="51" t="n"/>
      <c r="H535" s="51" t="n"/>
      <c r="I535" s="51" t="n"/>
      <c r="J535" s="51" t="n"/>
      <c r="K535" s="51" t="n"/>
      <c r="L535" s="51" t="n"/>
    </row>
    <row r="536" ht="22" customHeight="1">
      <c r="B536" s="50">
        <f>'設定'!$I$15</f>
        <v/>
      </c>
      <c r="C536" s="51" t="n"/>
      <c r="D536" s="51" t="n"/>
      <c r="E536" s="51" t="n"/>
      <c r="F536" s="51" t="n"/>
      <c r="G536" s="51" t="n"/>
      <c r="H536" s="51" t="n"/>
      <c r="I536" s="51" t="n"/>
      <c r="J536" s="51" t="n"/>
      <c r="K536" s="51" t="n"/>
      <c r="L536" s="51" t="n"/>
    </row>
    <row r="537" ht="22" customHeight="1">
      <c r="B537" s="50">
        <f>'設定'!$I$16</f>
        <v/>
      </c>
      <c r="C537" s="51" t="n"/>
      <c r="D537" s="51" t="n"/>
      <c r="E537" s="51" t="n"/>
      <c r="F537" s="51" t="n"/>
      <c r="G537" s="51" t="n"/>
      <c r="H537" s="51" t="n"/>
      <c r="I537" s="51" t="n"/>
      <c r="J537" s="51" t="n"/>
      <c r="K537" s="51" t="n"/>
      <c r="L537" s="51" t="n"/>
    </row>
    <row r="538" ht="22" customHeight="1">
      <c r="B538" s="50">
        <f>'設定'!$I$17</f>
        <v/>
      </c>
      <c r="C538" s="51" t="n"/>
      <c r="D538" s="51" t="n"/>
      <c r="E538" s="51" t="n"/>
      <c r="F538" s="51" t="n"/>
      <c r="G538" s="51" t="n"/>
      <c r="H538" s="51" t="n"/>
      <c r="I538" s="51" t="n"/>
      <c r="J538" s="51" t="n"/>
      <c r="K538" s="51" t="n"/>
      <c r="L538" s="51" t="n"/>
    </row>
    <row r="539" ht="22" customHeight="1">
      <c r="B539" s="50">
        <f>'設定'!$I$18</f>
        <v/>
      </c>
      <c r="C539" s="51" t="n"/>
      <c r="D539" s="51" t="n"/>
      <c r="E539" s="51" t="n"/>
      <c r="F539" s="51" t="n"/>
      <c r="G539" s="51" t="n"/>
      <c r="H539" s="51" t="n"/>
      <c r="I539" s="51" t="n"/>
      <c r="J539" s="51" t="n"/>
      <c r="K539" s="51" t="n"/>
      <c r="L539" s="51" t="n"/>
    </row>
    <row r="540" ht="22" customHeight="1">
      <c r="B540" s="50">
        <f>'設定'!$I$19</f>
        <v/>
      </c>
      <c r="C540" s="51" t="n"/>
      <c r="D540" s="51" t="n"/>
      <c r="E540" s="51" t="n"/>
      <c r="F540" s="51" t="n"/>
      <c r="G540" s="51" t="n"/>
      <c r="H540" s="51" t="n"/>
      <c r="I540" s="51" t="n"/>
      <c r="J540" s="51" t="n"/>
      <c r="K540" s="51" t="n"/>
      <c r="L540" s="51" t="n"/>
    </row>
    <row r="541" ht="22" customHeight="1">
      <c r="B541" s="50">
        <f>'設定'!$I$20</f>
        <v/>
      </c>
      <c r="C541" s="51" t="n"/>
      <c r="D541" s="51" t="n"/>
      <c r="E541" s="51" t="n"/>
      <c r="F541" s="51" t="n"/>
      <c r="G541" s="51" t="n"/>
      <c r="H541" s="51" t="n"/>
      <c r="I541" s="51" t="n"/>
      <c r="J541" s="51" t="n"/>
      <c r="K541" s="51" t="n"/>
      <c r="L541" s="51" t="n"/>
    </row>
    <row r="542" ht="22" customHeight="1">
      <c r="B542" s="50">
        <f>'設定'!$I$21</f>
        <v/>
      </c>
      <c r="C542" s="51" t="n"/>
      <c r="D542" s="51" t="n"/>
      <c r="E542" s="51" t="n"/>
      <c r="F542" s="51" t="n"/>
      <c r="G542" s="51" t="n"/>
      <c r="H542" s="51" t="n"/>
      <c r="I542" s="51" t="n"/>
      <c r="J542" s="51" t="n"/>
      <c r="K542" s="51" t="n"/>
      <c r="L542" s="51" t="n"/>
    </row>
    <row r="543" ht="22" customHeight="1">
      <c r="B543" s="50">
        <f>'設定'!$I$22</f>
        <v/>
      </c>
      <c r="C543" s="51" t="n"/>
      <c r="D543" s="51" t="n"/>
      <c r="E543" s="51" t="n"/>
      <c r="F543" s="51" t="n"/>
      <c r="G543" s="51" t="n"/>
      <c r="H543" s="51" t="n"/>
      <c r="I543" s="51" t="n"/>
      <c r="J543" s="51" t="n"/>
      <c r="K543" s="51" t="n"/>
      <c r="L543" s="51" t="n"/>
    </row>
    <row r="544"/>
    <row r="545" ht="26" customHeight="1">
      <c r="B545" s="45">
        <f>IF('名簿'!B41="","（名簿 37行目：なし）",'名簿'!G41)</f>
        <v/>
      </c>
      <c r="C545" s="4" t="n"/>
      <c r="D545" s="4" t="n"/>
      <c r="E545" s="46" t="inlineStr">
        <is>
          <t>提出状況 ▶</t>
        </is>
      </c>
      <c r="F545" s="33" t="n"/>
      <c r="G545" s="29" t="n"/>
      <c r="H545" s="47" t="inlineStr">
        <is>
          <t>状況：</t>
        </is>
      </c>
      <c r="I545" s="48">
        <f>'名簿'!H41</f>
        <v/>
      </c>
      <c r="J545" s="47" t="inlineStr">
        <is>
          <t>×の数：</t>
        </is>
      </c>
      <c r="K545" s="48">
        <f>'名簿'!I41</f>
        <v/>
      </c>
      <c r="L545" s="4" t="n"/>
    </row>
    <row r="546">
      <c r="B546" s="49" t="inlineStr"/>
      <c r="C546" s="30">
        <f>'設定'!$E$11</f>
        <v/>
      </c>
      <c r="D546" s="30">
        <f>'設定'!$E$12</f>
        <v/>
      </c>
      <c r="E546" s="30">
        <f>'設定'!$E$13</f>
        <v/>
      </c>
      <c r="F546" s="30">
        <f>'設定'!$E$14</f>
        <v/>
      </c>
      <c r="G546" s="30">
        <f>'設定'!$E$15</f>
        <v/>
      </c>
      <c r="H546" s="30">
        <f>'設定'!$E$16</f>
        <v/>
      </c>
      <c r="I546" s="30">
        <f>'設定'!$E$17</f>
        <v/>
      </c>
      <c r="J546" s="30">
        <f>'設定'!$E$18</f>
        <v/>
      </c>
      <c r="K546" s="30">
        <f>'設定'!$E$19</f>
        <v/>
      </c>
      <c r="L546" s="30">
        <f>'設定'!$E$20</f>
        <v/>
      </c>
    </row>
    <row r="547" ht="22" customHeight="1">
      <c r="B547" s="50">
        <f>'設定'!$I$11</f>
        <v/>
      </c>
      <c r="C547" s="51" t="n"/>
      <c r="D547" s="51" t="n"/>
      <c r="E547" s="51" t="n"/>
      <c r="F547" s="51" t="n"/>
      <c r="G547" s="51" t="n"/>
      <c r="H547" s="51" t="n"/>
      <c r="I547" s="51" t="n"/>
      <c r="J547" s="51" t="n"/>
      <c r="K547" s="51" t="n"/>
      <c r="L547" s="51" t="n"/>
    </row>
    <row r="548" ht="22" customHeight="1">
      <c r="B548" s="50">
        <f>'設定'!$I$12</f>
        <v/>
      </c>
      <c r="C548" s="51" t="n"/>
      <c r="D548" s="51" t="n"/>
      <c r="E548" s="51" t="n"/>
      <c r="F548" s="51" t="n"/>
      <c r="G548" s="51" t="n"/>
      <c r="H548" s="51" t="n"/>
      <c r="I548" s="51" t="n"/>
      <c r="J548" s="51" t="n"/>
      <c r="K548" s="51" t="n"/>
      <c r="L548" s="51" t="n"/>
    </row>
    <row r="549" ht="22" customHeight="1">
      <c r="B549" s="50">
        <f>'設定'!$I$13</f>
        <v/>
      </c>
      <c r="C549" s="51" t="n"/>
      <c r="D549" s="51" t="n"/>
      <c r="E549" s="51" t="n"/>
      <c r="F549" s="51" t="n"/>
      <c r="G549" s="51" t="n"/>
      <c r="H549" s="51" t="n"/>
      <c r="I549" s="51" t="n"/>
      <c r="J549" s="51" t="n"/>
      <c r="K549" s="51" t="n"/>
      <c r="L549" s="51" t="n"/>
    </row>
    <row r="550" ht="22" customHeight="1">
      <c r="B550" s="50">
        <f>'設定'!$I$14</f>
        <v/>
      </c>
      <c r="C550" s="51" t="n"/>
      <c r="D550" s="51" t="n"/>
      <c r="E550" s="51" t="n"/>
      <c r="F550" s="51" t="n"/>
      <c r="G550" s="51" t="n"/>
      <c r="H550" s="51" t="n"/>
      <c r="I550" s="51" t="n"/>
      <c r="J550" s="51" t="n"/>
      <c r="K550" s="51" t="n"/>
      <c r="L550" s="51" t="n"/>
    </row>
    <row r="551" ht="22" customHeight="1">
      <c r="B551" s="50">
        <f>'設定'!$I$15</f>
        <v/>
      </c>
      <c r="C551" s="51" t="n"/>
      <c r="D551" s="51" t="n"/>
      <c r="E551" s="51" t="n"/>
      <c r="F551" s="51" t="n"/>
      <c r="G551" s="51" t="n"/>
      <c r="H551" s="51" t="n"/>
      <c r="I551" s="51" t="n"/>
      <c r="J551" s="51" t="n"/>
      <c r="K551" s="51" t="n"/>
      <c r="L551" s="51" t="n"/>
    </row>
    <row r="552" ht="22" customHeight="1">
      <c r="B552" s="50">
        <f>'設定'!$I$16</f>
        <v/>
      </c>
      <c r="C552" s="51" t="n"/>
      <c r="D552" s="51" t="n"/>
      <c r="E552" s="51" t="n"/>
      <c r="F552" s="51" t="n"/>
      <c r="G552" s="51" t="n"/>
      <c r="H552" s="51" t="n"/>
      <c r="I552" s="51" t="n"/>
      <c r="J552" s="51" t="n"/>
      <c r="K552" s="51" t="n"/>
      <c r="L552" s="51" t="n"/>
    </row>
    <row r="553" ht="22" customHeight="1">
      <c r="B553" s="50">
        <f>'設定'!$I$17</f>
        <v/>
      </c>
      <c r="C553" s="51" t="n"/>
      <c r="D553" s="51" t="n"/>
      <c r="E553" s="51" t="n"/>
      <c r="F553" s="51" t="n"/>
      <c r="G553" s="51" t="n"/>
      <c r="H553" s="51" t="n"/>
      <c r="I553" s="51" t="n"/>
      <c r="J553" s="51" t="n"/>
      <c r="K553" s="51" t="n"/>
      <c r="L553" s="51" t="n"/>
    </row>
    <row r="554" ht="22" customHeight="1">
      <c r="B554" s="50">
        <f>'設定'!$I$18</f>
        <v/>
      </c>
      <c r="C554" s="51" t="n"/>
      <c r="D554" s="51" t="n"/>
      <c r="E554" s="51" t="n"/>
      <c r="F554" s="51" t="n"/>
      <c r="G554" s="51" t="n"/>
      <c r="H554" s="51" t="n"/>
      <c r="I554" s="51" t="n"/>
      <c r="J554" s="51" t="n"/>
      <c r="K554" s="51" t="n"/>
      <c r="L554" s="51" t="n"/>
    </row>
    <row r="555" ht="22" customHeight="1">
      <c r="B555" s="50">
        <f>'設定'!$I$19</f>
        <v/>
      </c>
      <c r="C555" s="51" t="n"/>
      <c r="D555" s="51" t="n"/>
      <c r="E555" s="51" t="n"/>
      <c r="F555" s="51" t="n"/>
      <c r="G555" s="51" t="n"/>
      <c r="H555" s="51" t="n"/>
      <c r="I555" s="51" t="n"/>
      <c r="J555" s="51" t="n"/>
      <c r="K555" s="51" t="n"/>
      <c r="L555" s="51" t="n"/>
    </row>
    <row r="556" ht="22" customHeight="1">
      <c r="B556" s="50">
        <f>'設定'!$I$20</f>
        <v/>
      </c>
      <c r="C556" s="51" t="n"/>
      <c r="D556" s="51" t="n"/>
      <c r="E556" s="51" t="n"/>
      <c r="F556" s="51" t="n"/>
      <c r="G556" s="51" t="n"/>
      <c r="H556" s="51" t="n"/>
      <c r="I556" s="51" t="n"/>
      <c r="J556" s="51" t="n"/>
      <c r="K556" s="51" t="n"/>
      <c r="L556" s="51" t="n"/>
    </row>
    <row r="557" ht="22" customHeight="1">
      <c r="B557" s="50">
        <f>'設定'!$I$21</f>
        <v/>
      </c>
      <c r="C557" s="51" t="n"/>
      <c r="D557" s="51" t="n"/>
      <c r="E557" s="51" t="n"/>
      <c r="F557" s="51" t="n"/>
      <c r="G557" s="51" t="n"/>
      <c r="H557" s="51" t="n"/>
      <c r="I557" s="51" t="n"/>
      <c r="J557" s="51" t="n"/>
      <c r="K557" s="51" t="n"/>
      <c r="L557" s="51" t="n"/>
    </row>
    <row r="558" ht="22" customHeight="1">
      <c r="B558" s="50">
        <f>'設定'!$I$22</f>
        <v/>
      </c>
      <c r="C558" s="51" t="n"/>
      <c r="D558" s="51" t="n"/>
      <c r="E558" s="51" t="n"/>
      <c r="F558" s="51" t="n"/>
      <c r="G558" s="51" t="n"/>
      <c r="H558" s="51" t="n"/>
      <c r="I558" s="51" t="n"/>
      <c r="J558" s="51" t="n"/>
      <c r="K558" s="51" t="n"/>
      <c r="L558" s="51" t="n"/>
    </row>
    <row r="559"/>
    <row r="560" ht="26" customHeight="1">
      <c r="B560" s="45">
        <f>IF('名簿'!B42="","（名簿 38行目：なし）",'名簿'!G42)</f>
        <v/>
      </c>
      <c r="C560" s="4" t="n"/>
      <c r="D560" s="4" t="n"/>
      <c r="E560" s="46" t="inlineStr">
        <is>
          <t>提出状況 ▶</t>
        </is>
      </c>
      <c r="F560" s="33" t="n"/>
      <c r="G560" s="29" t="n"/>
      <c r="H560" s="47" t="inlineStr">
        <is>
          <t>状況：</t>
        </is>
      </c>
      <c r="I560" s="48">
        <f>'名簿'!H42</f>
        <v/>
      </c>
      <c r="J560" s="47" t="inlineStr">
        <is>
          <t>×の数：</t>
        </is>
      </c>
      <c r="K560" s="48">
        <f>'名簿'!I42</f>
        <v/>
      </c>
      <c r="L560" s="4" t="n"/>
    </row>
    <row r="561">
      <c r="B561" s="49" t="inlineStr"/>
      <c r="C561" s="30">
        <f>'設定'!$E$11</f>
        <v/>
      </c>
      <c r="D561" s="30">
        <f>'設定'!$E$12</f>
        <v/>
      </c>
      <c r="E561" s="30">
        <f>'設定'!$E$13</f>
        <v/>
      </c>
      <c r="F561" s="30">
        <f>'設定'!$E$14</f>
        <v/>
      </c>
      <c r="G561" s="30">
        <f>'設定'!$E$15</f>
        <v/>
      </c>
      <c r="H561" s="30">
        <f>'設定'!$E$16</f>
        <v/>
      </c>
      <c r="I561" s="30">
        <f>'設定'!$E$17</f>
        <v/>
      </c>
      <c r="J561" s="30">
        <f>'設定'!$E$18</f>
        <v/>
      </c>
      <c r="K561" s="30">
        <f>'設定'!$E$19</f>
        <v/>
      </c>
      <c r="L561" s="30">
        <f>'設定'!$E$20</f>
        <v/>
      </c>
    </row>
    <row r="562" ht="22" customHeight="1">
      <c r="B562" s="50">
        <f>'設定'!$I$11</f>
        <v/>
      </c>
      <c r="C562" s="51" t="n"/>
      <c r="D562" s="51" t="n"/>
      <c r="E562" s="51" t="n"/>
      <c r="F562" s="51" t="n"/>
      <c r="G562" s="51" t="n"/>
      <c r="H562" s="51" t="n"/>
      <c r="I562" s="51" t="n"/>
      <c r="J562" s="51" t="n"/>
      <c r="K562" s="51" t="n"/>
      <c r="L562" s="51" t="n"/>
    </row>
    <row r="563" ht="22" customHeight="1">
      <c r="B563" s="50">
        <f>'設定'!$I$12</f>
        <v/>
      </c>
      <c r="C563" s="51" t="n"/>
      <c r="D563" s="51" t="n"/>
      <c r="E563" s="51" t="n"/>
      <c r="F563" s="51" t="n"/>
      <c r="G563" s="51" t="n"/>
      <c r="H563" s="51" t="n"/>
      <c r="I563" s="51" t="n"/>
      <c r="J563" s="51" t="n"/>
      <c r="K563" s="51" t="n"/>
      <c r="L563" s="51" t="n"/>
    </row>
    <row r="564" ht="22" customHeight="1">
      <c r="B564" s="50">
        <f>'設定'!$I$13</f>
        <v/>
      </c>
      <c r="C564" s="51" t="n"/>
      <c r="D564" s="51" t="n"/>
      <c r="E564" s="51" t="n"/>
      <c r="F564" s="51" t="n"/>
      <c r="G564" s="51" t="n"/>
      <c r="H564" s="51" t="n"/>
      <c r="I564" s="51" t="n"/>
      <c r="J564" s="51" t="n"/>
      <c r="K564" s="51" t="n"/>
      <c r="L564" s="51" t="n"/>
    </row>
    <row r="565" ht="22" customHeight="1">
      <c r="B565" s="50">
        <f>'設定'!$I$14</f>
        <v/>
      </c>
      <c r="C565" s="51" t="n"/>
      <c r="D565" s="51" t="n"/>
      <c r="E565" s="51" t="n"/>
      <c r="F565" s="51" t="n"/>
      <c r="G565" s="51" t="n"/>
      <c r="H565" s="51" t="n"/>
      <c r="I565" s="51" t="n"/>
      <c r="J565" s="51" t="n"/>
      <c r="K565" s="51" t="n"/>
      <c r="L565" s="51" t="n"/>
    </row>
    <row r="566" ht="22" customHeight="1">
      <c r="B566" s="50">
        <f>'設定'!$I$15</f>
        <v/>
      </c>
      <c r="C566" s="51" t="n"/>
      <c r="D566" s="51" t="n"/>
      <c r="E566" s="51" t="n"/>
      <c r="F566" s="51" t="n"/>
      <c r="G566" s="51" t="n"/>
      <c r="H566" s="51" t="n"/>
      <c r="I566" s="51" t="n"/>
      <c r="J566" s="51" t="n"/>
      <c r="K566" s="51" t="n"/>
      <c r="L566" s="51" t="n"/>
    </row>
    <row r="567" ht="22" customHeight="1">
      <c r="B567" s="50">
        <f>'設定'!$I$16</f>
        <v/>
      </c>
      <c r="C567" s="51" t="n"/>
      <c r="D567" s="51" t="n"/>
      <c r="E567" s="51" t="n"/>
      <c r="F567" s="51" t="n"/>
      <c r="G567" s="51" t="n"/>
      <c r="H567" s="51" t="n"/>
      <c r="I567" s="51" t="n"/>
      <c r="J567" s="51" t="n"/>
      <c r="K567" s="51" t="n"/>
      <c r="L567" s="51" t="n"/>
    </row>
    <row r="568" ht="22" customHeight="1">
      <c r="B568" s="50">
        <f>'設定'!$I$17</f>
        <v/>
      </c>
      <c r="C568" s="51" t="n"/>
      <c r="D568" s="51" t="n"/>
      <c r="E568" s="51" t="n"/>
      <c r="F568" s="51" t="n"/>
      <c r="G568" s="51" t="n"/>
      <c r="H568" s="51" t="n"/>
      <c r="I568" s="51" t="n"/>
      <c r="J568" s="51" t="n"/>
      <c r="K568" s="51" t="n"/>
      <c r="L568" s="51" t="n"/>
    </row>
    <row r="569" ht="22" customHeight="1">
      <c r="B569" s="50">
        <f>'設定'!$I$18</f>
        <v/>
      </c>
      <c r="C569" s="51" t="n"/>
      <c r="D569" s="51" t="n"/>
      <c r="E569" s="51" t="n"/>
      <c r="F569" s="51" t="n"/>
      <c r="G569" s="51" t="n"/>
      <c r="H569" s="51" t="n"/>
      <c r="I569" s="51" t="n"/>
      <c r="J569" s="51" t="n"/>
      <c r="K569" s="51" t="n"/>
      <c r="L569" s="51" t="n"/>
    </row>
    <row r="570" ht="22" customHeight="1">
      <c r="B570" s="50">
        <f>'設定'!$I$19</f>
        <v/>
      </c>
      <c r="C570" s="51" t="n"/>
      <c r="D570" s="51" t="n"/>
      <c r="E570" s="51" t="n"/>
      <c r="F570" s="51" t="n"/>
      <c r="G570" s="51" t="n"/>
      <c r="H570" s="51" t="n"/>
      <c r="I570" s="51" t="n"/>
      <c r="J570" s="51" t="n"/>
      <c r="K570" s="51" t="n"/>
      <c r="L570" s="51" t="n"/>
    </row>
    <row r="571" ht="22" customHeight="1">
      <c r="B571" s="50">
        <f>'設定'!$I$20</f>
        <v/>
      </c>
      <c r="C571" s="51" t="n"/>
      <c r="D571" s="51" t="n"/>
      <c r="E571" s="51" t="n"/>
      <c r="F571" s="51" t="n"/>
      <c r="G571" s="51" t="n"/>
      <c r="H571" s="51" t="n"/>
      <c r="I571" s="51" t="n"/>
      <c r="J571" s="51" t="n"/>
      <c r="K571" s="51" t="n"/>
      <c r="L571" s="51" t="n"/>
    </row>
    <row r="572" ht="22" customHeight="1">
      <c r="B572" s="50">
        <f>'設定'!$I$21</f>
        <v/>
      </c>
      <c r="C572" s="51" t="n"/>
      <c r="D572" s="51" t="n"/>
      <c r="E572" s="51" t="n"/>
      <c r="F572" s="51" t="n"/>
      <c r="G572" s="51" t="n"/>
      <c r="H572" s="51" t="n"/>
      <c r="I572" s="51" t="n"/>
      <c r="J572" s="51" t="n"/>
      <c r="K572" s="51" t="n"/>
      <c r="L572" s="51" t="n"/>
    </row>
    <row r="573" ht="22" customHeight="1">
      <c r="B573" s="50">
        <f>'設定'!$I$22</f>
        <v/>
      </c>
      <c r="C573" s="51" t="n"/>
      <c r="D573" s="51" t="n"/>
      <c r="E573" s="51" t="n"/>
      <c r="F573" s="51" t="n"/>
      <c r="G573" s="51" t="n"/>
      <c r="H573" s="51" t="n"/>
      <c r="I573" s="51" t="n"/>
      <c r="J573" s="51" t="n"/>
      <c r="K573" s="51" t="n"/>
      <c r="L573" s="51" t="n"/>
    </row>
    <row r="574"/>
    <row r="575" ht="26" customHeight="1">
      <c r="B575" s="45">
        <f>IF('名簿'!B43="","（名簿 39行目：なし）",'名簿'!G43)</f>
        <v/>
      </c>
      <c r="C575" s="4" t="n"/>
      <c r="D575" s="4" t="n"/>
      <c r="E575" s="46" t="inlineStr">
        <is>
          <t>提出状況 ▶</t>
        </is>
      </c>
      <c r="F575" s="33" t="n"/>
      <c r="G575" s="29" t="n"/>
      <c r="H575" s="47" t="inlineStr">
        <is>
          <t>状況：</t>
        </is>
      </c>
      <c r="I575" s="48">
        <f>'名簿'!H43</f>
        <v/>
      </c>
      <c r="J575" s="47" t="inlineStr">
        <is>
          <t>×の数：</t>
        </is>
      </c>
      <c r="K575" s="48">
        <f>'名簿'!I43</f>
        <v/>
      </c>
      <c r="L575" s="4" t="n"/>
    </row>
    <row r="576">
      <c r="B576" s="49" t="inlineStr"/>
      <c r="C576" s="30">
        <f>'設定'!$E$11</f>
        <v/>
      </c>
      <c r="D576" s="30">
        <f>'設定'!$E$12</f>
        <v/>
      </c>
      <c r="E576" s="30">
        <f>'設定'!$E$13</f>
        <v/>
      </c>
      <c r="F576" s="30">
        <f>'設定'!$E$14</f>
        <v/>
      </c>
      <c r="G576" s="30">
        <f>'設定'!$E$15</f>
        <v/>
      </c>
      <c r="H576" s="30">
        <f>'設定'!$E$16</f>
        <v/>
      </c>
      <c r="I576" s="30">
        <f>'設定'!$E$17</f>
        <v/>
      </c>
      <c r="J576" s="30">
        <f>'設定'!$E$18</f>
        <v/>
      </c>
      <c r="K576" s="30">
        <f>'設定'!$E$19</f>
        <v/>
      </c>
      <c r="L576" s="30">
        <f>'設定'!$E$20</f>
        <v/>
      </c>
    </row>
    <row r="577" ht="22" customHeight="1">
      <c r="B577" s="50">
        <f>'設定'!$I$11</f>
        <v/>
      </c>
      <c r="C577" s="51" t="n"/>
      <c r="D577" s="51" t="n"/>
      <c r="E577" s="51" t="n"/>
      <c r="F577" s="51" t="n"/>
      <c r="G577" s="51" t="n"/>
      <c r="H577" s="51" t="n"/>
      <c r="I577" s="51" t="n"/>
      <c r="J577" s="51" t="n"/>
      <c r="K577" s="51" t="n"/>
      <c r="L577" s="51" t="n"/>
    </row>
    <row r="578" ht="22" customHeight="1">
      <c r="B578" s="50">
        <f>'設定'!$I$12</f>
        <v/>
      </c>
      <c r="C578" s="51" t="n"/>
      <c r="D578" s="51" t="n"/>
      <c r="E578" s="51" t="n"/>
      <c r="F578" s="51" t="n"/>
      <c r="G578" s="51" t="n"/>
      <c r="H578" s="51" t="n"/>
      <c r="I578" s="51" t="n"/>
      <c r="J578" s="51" t="n"/>
      <c r="K578" s="51" t="n"/>
      <c r="L578" s="51" t="n"/>
    </row>
    <row r="579" ht="22" customHeight="1">
      <c r="B579" s="50">
        <f>'設定'!$I$13</f>
        <v/>
      </c>
      <c r="C579" s="51" t="n"/>
      <c r="D579" s="51" t="n"/>
      <c r="E579" s="51" t="n"/>
      <c r="F579" s="51" t="n"/>
      <c r="G579" s="51" t="n"/>
      <c r="H579" s="51" t="n"/>
      <c r="I579" s="51" t="n"/>
      <c r="J579" s="51" t="n"/>
      <c r="K579" s="51" t="n"/>
      <c r="L579" s="51" t="n"/>
    </row>
    <row r="580" ht="22" customHeight="1">
      <c r="B580" s="50">
        <f>'設定'!$I$14</f>
        <v/>
      </c>
      <c r="C580" s="51" t="n"/>
      <c r="D580" s="51" t="n"/>
      <c r="E580" s="51" t="n"/>
      <c r="F580" s="51" t="n"/>
      <c r="G580" s="51" t="n"/>
      <c r="H580" s="51" t="n"/>
      <c r="I580" s="51" t="n"/>
      <c r="J580" s="51" t="n"/>
      <c r="K580" s="51" t="n"/>
      <c r="L580" s="51" t="n"/>
    </row>
    <row r="581" ht="22" customHeight="1">
      <c r="B581" s="50">
        <f>'設定'!$I$15</f>
        <v/>
      </c>
      <c r="C581" s="51" t="n"/>
      <c r="D581" s="51" t="n"/>
      <c r="E581" s="51" t="n"/>
      <c r="F581" s="51" t="n"/>
      <c r="G581" s="51" t="n"/>
      <c r="H581" s="51" t="n"/>
      <c r="I581" s="51" t="n"/>
      <c r="J581" s="51" t="n"/>
      <c r="K581" s="51" t="n"/>
      <c r="L581" s="51" t="n"/>
    </row>
    <row r="582" ht="22" customHeight="1">
      <c r="B582" s="50">
        <f>'設定'!$I$16</f>
        <v/>
      </c>
      <c r="C582" s="51" t="n"/>
      <c r="D582" s="51" t="n"/>
      <c r="E582" s="51" t="n"/>
      <c r="F582" s="51" t="n"/>
      <c r="G582" s="51" t="n"/>
      <c r="H582" s="51" t="n"/>
      <c r="I582" s="51" t="n"/>
      <c r="J582" s="51" t="n"/>
      <c r="K582" s="51" t="n"/>
      <c r="L582" s="51" t="n"/>
    </row>
    <row r="583" ht="22" customHeight="1">
      <c r="B583" s="50">
        <f>'設定'!$I$17</f>
        <v/>
      </c>
      <c r="C583" s="51" t="n"/>
      <c r="D583" s="51" t="n"/>
      <c r="E583" s="51" t="n"/>
      <c r="F583" s="51" t="n"/>
      <c r="G583" s="51" t="n"/>
      <c r="H583" s="51" t="n"/>
      <c r="I583" s="51" t="n"/>
      <c r="J583" s="51" t="n"/>
      <c r="K583" s="51" t="n"/>
      <c r="L583" s="51" t="n"/>
    </row>
    <row r="584" ht="22" customHeight="1">
      <c r="B584" s="50">
        <f>'設定'!$I$18</f>
        <v/>
      </c>
      <c r="C584" s="51" t="n"/>
      <c r="D584" s="51" t="n"/>
      <c r="E584" s="51" t="n"/>
      <c r="F584" s="51" t="n"/>
      <c r="G584" s="51" t="n"/>
      <c r="H584" s="51" t="n"/>
      <c r="I584" s="51" t="n"/>
      <c r="J584" s="51" t="n"/>
      <c r="K584" s="51" t="n"/>
      <c r="L584" s="51" t="n"/>
    </row>
    <row r="585" ht="22" customHeight="1">
      <c r="B585" s="50">
        <f>'設定'!$I$19</f>
        <v/>
      </c>
      <c r="C585" s="51" t="n"/>
      <c r="D585" s="51" t="n"/>
      <c r="E585" s="51" t="n"/>
      <c r="F585" s="51" t="n"/>
      <c r="G585" s="51" t="n"/>
      <c r="H585" s="51" t="n"/>
      <c r="I585" s="51" t="n"/>
      <c r="J585" s="51" t="n"/>
      <c r="K585" s="51" t="n"/>
      <c r="L585" s="51" t="n"/>
    </row>
    <row r="586" ht="22" customHeight="1">
      <c r="B586" s="50">
        <f>'設定'!$I$20</f>
        <v/>
      </c>
      <c r="C586" s="51" t="n"/>
      <c r="D586" s="51" t="n"/>
      <c r="E586" s="51" t="n"/>
      <c r="F586" s="51" t="n"/>
      <c r="G586" s="51" t="n"/>
      <c r="H586" s="51" t="n"/>
      <c r="I586" s="51" t="n"/>
      <c r="J586" s="51" t="n"/>
      <c r="K586" s="51" t="n"/>
      <c r="L586" s="51" t="n"/>
    </row>
    <row r="587" ht="22" customHeight="1">
      <c r="B587" s="50">
        <f>'設定'!$I$21</f>
        <v/>
      </c>
      <c r="C587" s="51" t="n"/>
      <c r="D587" s="51" t="n"/>
      <c r="E587" s="51" t="n"/>
      <c r="F587" s="51" t="n"/>
      <c r="G587" s="51" t="n"/>
      <c r="H587" s="51" t="n"/>
      <c r="I587" s="51" t="n"/>
      <c r="J587" s="51" t="n"/>
      <c r="K587" s="51" t="n"/>
      <c r="L587" s="51" t="n"/>
    </row>
    <row r="588" ht="22" customHeight="1">
      <c r="B588" s="50">
        <f>'設定'!$I$22</f>
        <v/>
      </c>
      <c r="C588" s="51" t="n"/>
      <c r="D588" s="51" t="n"/>
      <c r="E588" s="51" t="n"/>
      <c r="F588" s="51" t="n"/>
      <c r="G588" s="51" t="n"/>
      <c r="H588" s="51" t="n"/>
      <c r="I588" s="51" t="n"/>
      <c r="J588" s="51" t="n"/>
      <c r="K588" s="51" t="n"/>
      <c r="L588" s="51" t="n"/>
    </row>
    <row r="589"/>
    <row r="590" ht="26" customHeight="1">
      <c r="B590" s="45">
        <f>IF('名簿'!B44="","（名簿 40行目：なし）",'名簿'!G44)</f>
        <v/>
      </c>
      <c r="C590" s="4" t="n"/>
      <c r="D590" s="4" t="n"/>
      <c r="E590" s="46" t="inlineStr">
        <is>
          <t>提出状況 ▶</t>
        </is>
      </c>
      <c r="F590" s="33" t="n"/>
      <c r="G590" s="29" t="n"/>
      <c r="H590" s="47" t="inlineStr">
        <is>
          <t>状況：</t>
        </is>
      </c>
      <c r="I590" s="48">
        <f>'名簿'!H44</f>
        <v/>
      </c>
      <c r="J590" s="47" t="inlineStr">
        <is>
          <t>×の数：</t>
        </is>
      </c>
      <c r="K590" s="48">
        <f>'名簿'!I44</f>
        <v/>
      </c>
      <c r="L590" s="4" t="n"/>
    </row>
    <row r="591">
      <c r="B591" s="49" t="inlineStr"/>
      <c r="C591" s="30">
        <f>'設定'!$E$11</f>
        <v/>
      </c>
      <c r="D591" s="30">
        <f>'設定'!$E$12</f>
        <v/>
      </c>
      <c r="E591" s="30">
        <f>'設定'!$E$13</f>
        <v/>
      </c>
      <c r="F591" s="30">
        <f>'設定'!$E$14</f>
        <v/>
      </c>
      <c r="G591" s="30">
        <f>'設定'!$E$15</f>
        <v/>
      </c>
      <c r="H591" s="30">
        <f>'設定'!$E$16</f>
        <v/>
      </c>
      <c r="I591" s="30">
        <f>'設定'!$E$17</f>
        <v/>
      </c>
      <c r="J591" s="30">
        <f>'設定'!$E$18</f>
        <v/>
      </c>
      <c r="K591" s="30">
        <f>'設定'!$E$19</f>
        <v/>
      </c>
      <c r="L591" s="30">
        <f>'設定'!$E$20</f>
        <v/>
      </c>
    </row>
    <row r="592" ht="22" customHeight="1">
      <c r="B592" s="50">
        <f>'設定'!$I$11</f>
        <v/>
      </c>
      <c r="C592" s="51" t="n"/>
      <c r="D592" s="51" t="n"/>
      <c r="E592" s="51" t="n"/>
      <c r="F592" s="51" t="n"/>
      <c r="G592" s="51" t="n"/>
      <c r="H592" s="51" t="n"/>
      <c r="I592" s="51" t="n"/>
      <c r="J592" s="51" t="n"/>
      <c r="K592" s="51" t="n"/>
      <c r="L592" s="51" t="n"/>
    </row>
    <row r="593" ht="22" customHeight="1">
      <c r="B593" s="50">
        <f>'設定'!$I$12</f>
        <v/>
      </c>
      <c r="C593" s="51" t="n"/>
      <c r="D593" s="51" t="n"/>
      <c r="E593" s="51" t="n"/>
      <c r="F593" s="51" t="n"/>
      <c r="G593" s="51" t="n"/>
      <c r="H593" s="51" t="n"/>
      <c r="I593" s="51" t="n"/>
      <c r="J593" s="51" t="n"/>
      <c r="K593" s="51" t="n"/>
      <c r="L593" s="51" t="n"/>
    </row>
    <row r="594" ht="22" customHeight="1">
      <c r="B594" s="50">
        <f>'設定'!$I$13</f>
        <v/>
      </c>
      <c r="C594" s="51" t="n"/>
      <c r="D594" s="51" t="n"/>
      <c r="E594" s="51" t="n"/>
      <c r="F594" s="51" t="n"/>
      <c r="G594" s="51" t="n"/>
      <c r="H594" s="51" t="n"/>
      <c r="I594" s="51" t="n"/>
      <c r="J594" s="51" t="n"/>
      <c r="K594" s="51" t="n"/>
      <c r="L594" s="51" t="n"/>
    </row>
    <row r="595" ht="22" customHeight="1">
      <c r="B595" s="50">
        <f>'設定'!$I$14</f>
        <v/>
      </c>
      <c r="C595" s="51" t="n"/>
      <c r="D595" s="51" t="n"/>
      <c r="E595" s="51" t="n"/>
      <c r="F595" s="51" t="n"/>
      <c r="G595" s="51" t="n"/>
      <c r="H595" s="51" t="n"/>
      <c r="I595" s="51" t="n"/>
      <c r="J595" s="51" t="n"/>
      <c r="K595" s="51" t="n"/>
      <c r="L595" s="51" t="n"/>
    </row>
    <row r="596" ht="22" customHeight="1">
      <c r="B596" s="50">
        <f>'設定'!$I$15</f>
        <v/>
      </c>
      <c r="C596" s="51" t="n"/>
      <c r="D596" s="51" t="n"/>
      <c r="E596" s="51" t="n"/>
      <c r="F596" s="51" t="n"/>
      <c r="G596" s="51" t="n"/>
      <c r="H596" s="51" t="n"/>
      <c r="I596" s="51" t="n"/>
      <c r="J596" s="51" t="n"/>
      <c r="K596" s="51" t="n"/>
      <c r="L596" s="51" t="n"/>
    </row>
    <row r="597" ht="22" customHeight="1">
      <c r="B597" s="50">
        <f>'設定'!$I$16</f>
        <v/>
      </c>
      <c r="C597" s="51" t="n"/>
      <c r="D597" s="51" t="n"/>
      <c r="E597" s="51" t="n"/>
      <c r="F597" s="51" t="n"/>
      <c r="G597" s="51" t="n"/>
      <c r="H597" s="51" t="n"/>
      <c r="I597" s="51" t="n"/>
      <c r="J597" s="51" t="n"/>
      <c r="K597" s="51" t="n"/>
      <c r="L597" s="51" t="n"/>
    </row>
    <row r="598" ht="22" customHeight="1">
      <c r="B598" s="50">
        <f>'設定'!$I$17</f>
        <v/>
      </c>
      <c r="C598" s="51" t="n"/>
      <c r="D598" s="51" t="n"/>
      <c r="E598" s="51" t="n"/>
      <c r="F598" s="51" t="n"/>
      <c r="G598" s="51" t="n"/>
      <c r="H598" s="51" t="n"/>
      <c r="I598" s="51" t="n"/>
      <c r="J598" s="51" t="n"/>
      <c r="K598" s="51" t="n"/>
      <c r="L598" s="51" t="n"/>
    </row>
    <row r="599" ht="22" customHeight="1">
      <c r="B599" s="50">
        <f>'設定'!$I$18</f>
        <v/>
      </c>
      <c r="C599" s="51" t="n"/>
      <c r="D599" s="51" t="n"/>
      <c r="E599" s="51" t="n"/>
      <c r="F599" s="51" t="n"/>
      <c r="G599" s="51" t="n"/>
      <c r="H599" s="51" t="n"/>
      <c r="I599" s="51" t="n"/>
      <c r="J599" s="51" t="n"/>
      <c r="K599" s="51" t="n"/>
      <c r="L599" s="51" t="n"/>
    </row>
    <row r="600" ht="22" customHeight="1">
      <c r="B600" s="50">
        <f>'設定'!$I$19</f>
        <v/>
      </c>
      <c r="C600" s="51" t="n"/>
      <c r="D600" s="51" t="n"/>
      <c r="E600" s="51" t="n"/>
      <c r="F600" s="51" t="n"/>
      <c r="G600" s="51" t="n"/>
      <c r="H600" s="51" t="n"/>
      <c r="I600" s="51" t="n"/>
      <c r="J600" s="51" t="n"/>
      <c r="K600" s="51" t="n"/>
      <c r="L600" s="51" t="n"/>
    </row>
    <row r="601" ht="22" customHeight="1">
      <c r="B601" s="50">
        <f>'設定'!$I$20</f>
        <v/>
      </c>
      <c r="C601" s="51" t="n"/>
      <c r="D601" s="51" t="n"/>
      <c r="E601" s="51" t="n"/>
      <c r="F601" s="51" t="n"/>
      <c r="G601" s="51" t="n"/>
      <c r="H601" s="51" t="n"/>
      <c r="I601" s="51" t="n"/>
      <c r="J601" s="51" t="n"/>
      <c r="K601" s="51" t="n"/>
      <c r="L601" s="51" t="n"/>
    </row>
    <row r="602" ht="22" customHeight="1">
      <c r="B602" s="50">
        <f>'設定'!$I$21</f>
        <v/>
      </c>
      <c r="C602" s="51" t="n"/>
      <c r="D602" s="51" t="n"/>
      <c r="E602" s="51" t="n"/>
      <c r="F602" s="51" t="n"/>
      <c r="G602" s="51" t="n"/>
      <c r="H602" s="51" t="n"/>
      <c r="I602" s="51" t="n"/>
      <c r="J602" s="51" t="n"/>
      <c r="K602" s="51" t="n"/>
      <c r="L602" s="51" t="n"/>
    </row>
    <row r="603" ht="22" customHeight="1">
      <c r="B603" s="50">
        <f>'設定'!$I$22</f>
        <v/>
      </c>
      <c r="C603" s="51" t="n"/>
      <c r="D603" s="51" t="n"/>
      <c r="E603" s="51" t="n"/>
      <c r="F603" s="51" t="n"/>
      <c r="G603" s="51" t="n"/>
      <c r="H603" s="51" t="n"/>
      <c r="I603" s="51" t="n"/>
      <c r="J603" s="51" t="n"/>
      <c r="K603" s="51" t="n"/>
      <c r="L603" s="51" t="n"/>
    </row>
    <row r="604"/>
    <row r="605" ht="26" customHeight="1">
      <c r="B605" s="45">
        <f>IF('名簿'!B45="","（名簿 41行目：なし）",'名簿'!G45)</f>
        <v/>
      </c>
      <c r="C605" s="4" t="n"/>
      <c r="D605" s="4" t="n"/>
      <c r="E605" s="46" t="inlineStr">
        <is>
          <t>提出状況 ▶</t>
        </is>
      </c>
      <c r="F605" s="33" t="n"/>
      <c r="G605" s="29" t="n"/>
      <c r="H605" s="47" t="inlineStr">
        <is>
          <t>状況：</t>
        </is>
      </c>
      <c r="I605" s="48">
        <f>'名簿'!H45</f>
        <v/>
      </c>
      <c r="J605" s="47" t="inlineStr">
        <is>
          <t>×の数：</t>
        </is>
      </c>
      <c r="K605" s="48">
        <f>'名簿'!I45</f>
        <v/>
      </c>
      <c r="L605" s="4" t="n"/>
    </row>
    <row r="606">
      <c r="B606" s="49" t="inlineStr"/>
      <c r="C606" s="30">
        <f>'設定'!$E$11</f>
        <v/>
      </c>
      <c r="D606" s="30">
        <f>'設定'!$E$12</f>
        <v/>
      </c>
      <c r="E606" s="30">
        <f>'設定'!$E$13</f>
        <v/>
      </c>
      <c r="F606" s="30">
        <f>'設定'!$E$14</f>
        <v/>
      </c>
      <c r="G606" s="30">
        <f>'設定'!$E$15</f>
        <v/>
      </c>
      <c r="H606" s="30">
        <f>'設定'!$E$16</f>
        <v/>
      </c>
      <c r="I606" s="30">
        <f>'設定'!$E$17</f>
        <v/>
      </c>
      <c r="J606" s="30">
        <f>'設定'!$E$18</f>
        <v/>
      </c>
      <c r="K606" s="30">
        <f>'設定'!$E$19</f>
        <v/>
      </c>
      <c r="L606" s="30">
        <f>'設定'!$E$20</f>
        <v/>
      </c>
    </row>
    <row r="607" ht="22" customHeight="1">
      <c r="B607" s="50">
        <f>'設定'!$I$11</f>
        <v/>
      </c>
      <c r="C607" s="51" t="n"/>
      <c r="D607" s="51" t="n"/>
      <c r="E607" s="51" t="n"/>
      <c r="F607" s="51" t="n"/>
      <c r="G607" s="51" t="n"/>
      <c r="H607" s="51" t="n"/>
      <c r="I607" s="51" t="n"/>
      <c r="J607" s="51" t="n"/>
      <c r="K607" s="51" t="n"/>
      <c r="L607" s="51" t="n"/>
    </row>
    <row r="608" ht="22" customHeight="1">
      <c r="B608" s="50">
        <f>'設定'!$I$12</f>
        <v/>
      </c>
      <c r="C608" s="51" t="n"/>
      <c r="D608" s="51" t="n"/>
      <c r="E608" s="51" t="n"/>
      <c r="F608" s="51" t="n"/>
      <c r="G608" s="51" t="n"/>
      <c r="H608" s="51" t="n"/>
      <c r="I608" s="51" t="n"/>
      <c r="J608" s="51" t="n"/>
      <c r="K608" s="51" t="n"/>
      <c r="L608" s="51" t="n"/>
    </row>
    <row r="609" ht="22" customHeight="1">
      <c r="B609" s="50">
        <f>'設定'!$I$13</f>
        <v/>
      </c>
      <c r="C609" s="51" t="n"/>
      <c r="D609" s="51" t="n"/>
      <c r="E609" s="51" t="n"/>
      <c r="F609" s="51" t="n"/>
      <c r="G609" s="51" t="n"/>
      <c r="H609" s="51" t="n"/>
      <c r="I609" s="51" t="n"/>
      <c r="J609" s="51" t="n"/>
      <c r="K609" s="51" t="n"/>
      <c r="L609" s="51" t="n"/>
    </row>
    <row r="610" ht="22" customHeight="1">
      <c r="B610" s="50">
        <f>'設定'!$I$14</f>
        <v/>
      </c>
      <c r="C610" s="51" t="n"/>
      <c r="D610" s="51" t="n"/>
      <c r="E610" s="51" t="n"/>
      <c r="F610" s="51" t="n"/>
      <c r="G610" s="51" t="n"/>
      <c r="H610" s="51" t="n"/>
      <c r="I610" s="51" t="n"/>
      <c r="J610" s="51" t="n"/>
      <c r="K610" s="51" t="n"/>
      <c r="L610" s="51" t="n"/>
    </row>
    <row r="611" ht="22" customHeight="1">
      <c r="B611" s="50">
        <f>'設定'!$I$15</f>
        <v/>
      </c>
      <c r="C611" s="51" t="n"/>
      <c r="D611" s="51" t="n"/>
      <c r="E611" s="51" t="n"/>
      <c r="F611" s="51" t="n"/>
      <c r="G611" s="51" t="n"/>
      <c r="H611" s="51" t="n"/>
      <c r="I611" s="51" t="n"/>
      <c r="J611" s="51" t="n"/>
      <c r="K611" s="51" t="n"/>
      <c r="L611" s="51" t="n"/>
    </row>
    <row r="612" ht="22" customHeight="1">
      <c r="B612" s="50">
        <f>'設定'!$I$16</f>
        <v/>
      </c>
      <c r="C612" s="51" t="n"/>
      <c r="D612" s="51" t="n"/>
      <c r="E612" s="51" t="n"/>
      <c r="F612" s="51" t="n"/>
      <c r="G612" s="51" t="n"/>
      <c r="H612" s="51" t="n"/>
      <c r="I612" s="51" t="n"/>
      <c r="J612" s="51" t="n"/>
      <c r="K612" s="51" t="n"/>
      <c r="L612" s="51" t="n"/>
    </row>
    <row r="613" ht="22" customHeight="1">
      <c r="B613" s="50">
        <f>'設定'!$I$17</f>
        <v/>
      </c>
      <c r="C613" s="51" t="n"/>
      <c r="D613" s="51" t="n"/>
      <c r="E613" s="51" t="n"/>
      <c r="F613" s="51" t="n"/>
      <c r="G613" s="51" t="n"/>
      <c r="H613" s="51" t="n"/>
      <c r="I613" s="51" t="n"/>
      <c r="J613" s="51" t="n"/>
      <c r="K613" s="51" t="n"/>
      <c r="L613" s="51" t="n"/>
    </row>
    <row r="614" ht="22" customHeight="1">
      <c r="B614" s="50">
        <f>'設定'!$I$18</f>
        <v/>
      </c>
      <c r="C614" s="51" t="n"/>
      <c r="D614" s="51" t="n"/>
      <c r="E614" s="51" t="n"/>
      <c r="F614" s="51" t="n"/>
      <c r="G614" s="51" t="n"/>
      <c r="H614" s="51" t="n"/>
      <c r="I614" s="51" t="n"/>
      <c r="J614" s="51" t="n"/>
      <c r="K614" s="51" t="n"/>
      <c r="L614" s="51" t="n"/>
    </row>
    <row r="615" ht="22" customHeight="1">
      <c r="B615" s="50">
        <f>'設定'!$I$19</f>
        <v/>
      </c>
      <c r="C615" s="51" t="n"/>
      <c r="D615" s="51" t="n"/>
      <c r="E615" s="51" t="n"/>
      <c r="F615" s="51" t="n"/>
      <c r="G615" s="51" t="n"/>
      <c r="H615" s="51" t="n"/>
      <c r="I615" s="51" t="n"/>
      <c r="J615" s="51" t="n"/>
      <c r="K615" s="51" t="n"/>
      <c r="L615" s="51" t="n"/>
    </row>
    <row r="616" ht="22" customHeight="1">
      <c r="B616" s="50">
        <f>'設定'!$I$20</f>
        <v/>
      </c>
      <c r="C616" s="51" t="n"/>
      <c r="D616" s="51" t="n"/>
      <c r="E616" s="51" t="n"/>
      <c r="F616" s="51" t="n"/>
      <c r="G616" s="51" t="n"/>
      <c r="H616" s="51" t="n"/>
      <c r="I616" s="51" t="n"/>
      <c r="J616" s="51" t="n"/>
      <c r="K616" s="51" t="n"/>
      <c r="L616" s="51" t="n"/>
    </row>
    <row r="617" ht="22" customHeight="1">
      <c r="B617" s="50">
        <f>'設定'!$I$21</f>
        <v/>
      </c>
      <c r="C617" s="51" t="n"/>
      <c r="D617" s="51" t="n"/>
      <c r="E617" s="51" t="n"/>
      <c r="F617" s="51" t="n"/>
      <c r="G617" s="51" t="n"/>
      <c r="H617" s="51" t="n"/>
      <c r="I617" s="51" t="n"/>
      <c r="J617" s="51" t="n"/>
      <c r="K617" s="51" t="n"/>
      <c r="L617" s="51" t="n"/>
    </row>
    <row r="618" ht="22" customHeight="1">
      <c r="B618" s="50">
        <f>'設定'!$I$22</f>
        <v/>
      </c>
      <c r="C618" s="51" t="n"/>
      <c r="D618" s="51" t="n"/>
      <c r="E618" s="51" t="n"/>
      <c r="F618" s="51" t="n"/>
      <c r="G618" s="51" t="n"/>
      <c r="H618" s="51" t="n"/>
      <c r="I618" s="51" t="n"/>
      <c r="J618" s="51" t="n"/>
      <c r="K618" s="51" t="n"/>
      <c r="L618" s="51" t="n"/>
    </row>
    <row r="619"/>
    <row r="620" ht="26" customHeight="1">
      <c r="B620" s="45">
        <f>IF('名簿'!B46="","（名簿 42行目：なし）",'名簿'!G46)</f>
        <v/>
      </c>
      <c r="C620" s="4" t="n"/>
      <c r="D620" s="4" t="n"/>
      <c r="E620" s="46" t="inlineStr">
        <is>
          <t>提出状況 ▶</t>
        </is>
      </c>
      <c r="F620" s="33" t="n"/>
      <c r="G620" s="29" t="n"/>
      <c r="H620" s="47" t="inlineStr">
        <is>
          <t>状況：</t>
        </is>
      </c>
      <c r="I620" s="48">
        <f>'名簿'!H46</f>
        <v/>
      </c>
      <c r="J620" s="47" t="inlineStr">
        <is>
          <t>×の数：</t>
        </is>
      </c>
      <c r="K620" s="48">
        <f>'名簿'!I46</f>
        <v/>
      </c>
      <c r="L620" s="4" t="n"/>
    </row>
    <row r="621">
      <c r="B621" s="49" t="inlineStr"/>
      <c r="C621" s="30">
        <f>'設定'!$E$11</f>
        <v/>
      </c>
      <c r="D621" s="30">
        <f>'設定'!$E$12</f>
        <v/>
      </c>
      <c r="E621" s="30">
        <f>'設定'!$E$13</f>
        <v/>
      </c>
      <c r="F621" s="30">
        <f>'設定'!$E$14</f>
        <v/>
      </c>
      <c r="G621" s="30">
        <f>'設定'!$E$15</f>
        <v/>
      </c>
      <c r="H621" s="30">
        <f>'設定'!$E$16</f>
        <v/>
      </c>
      <c r="I621" s="30">
        <f>'設定'!$E$17</f>
        <v/>
      </c>
      <c r="J621" s="30">
        <f>'設定'!$E$18</f>
        <v/>
      </c>
      <c r="K621" s="30">
        <f>'設定'!$E$19</f>
        <v/>
      </c>
      <c r="L621" s="30">
        <f>'設定'!$E$20</f>
        <v/>
      </c>
    </row>
    <row r="622" ht="22" customHeight="1">
      <c r="B622" s="50">
        <f>'設定'!$I$11</f>
        <v/>
      </c>
      <c r="C622" s="51" t="n"/>
      <c r="D622" s="51" t="n"/>
      <c r="E622" s="51" t="n"/>
      <c r="F622" s="51" t="n"/>
      <c r="G622" s="51" t="n"/>
      <c r="H622" s="51" t="n"/>
      <c r="I622" s="51" t="n"/>
      <c r="J622" s="51" t="n"/>
      <c r="K622" s="51" t="n"/>
      <c r="L622" s="51" t="n"/>
    </row>
    <row r="623" ht="22" customHeight="1">
      <c r="B623" s="50">
        <f>'設定'!$I$12</f>
        <v/>
      </c>
      <c r="C623" s="51" t="n"/>
      <c r="D623" s="51" t="n"/>
      <c r="E623" s="51" t="n"/>
      <c r="F623" s="51" t="n"/>
      <c r="G623" s="51" t="n"/>
      <c r="H623" s="51" t="n"/>
      <c r="I623" s="51" t="n"/>
      <c r="J623" s="51" t="n"/>
      <c r="K623" s="51" t="n"/>
      <c r="L623" s="51" t="n"/>
    </row>
    <row r="624" ht="22" customHeight="1">
      <c r="B624" s="50">
        <f>'設定'!$I$13</f>
        <v/>
      </c>
      <c r="C624" s="51" t="n"/>
      <c r="D624" s="51" t="n"/>
      <c r="E624" s="51" t="n"/>
      <c r="F624" s="51" t="n"/>
      <c r="G624" s="51" t="n"/>
      <c r="H624" s="51" t="n"/>
      <c r="I624" s="51" t="n"/>
      <c r="J624" s="51" t="n"/>
      <c r="K624" s="51" t="n"/>
      <c r="L624" s="51" t="n"/>
    </row>
    <row r="625" ht="22" customHeight="1">
      <c r="B625" s="50">
        <f>'設定'!$I$14</f>
        <v/>
      </c>
      <c r="C625" s="51" t="n"/>
      <c r="D625" s="51" t="n"/>
      <c r="E625" s="51" t="n"/>
      <c r="F625" s="51" t="n"/>
      <c r="G625" s="51" t="n"/>
      <c r="H625" s="51" t="n"/>
      <c r="I625" s="51" t="n"/>
      <c r="J625" s="51" t="n"/>
      <c r="K625" s="51" t="n"/>
      <c r="L625" s="51" t="n"/>
    </row>
    <row r="626" ht="22" customHeight="1">
      <c r="B626" s="50">
        <f>'設定'!$I$15</f>
        <v/>
      </c>
      <c r="C626" s="51" t="n"/>
      <c r="D626" s="51" t="n"/>
      <c r="E626" s="51" t="n"/>
      <c r="F626" s="51" t="n"/>
      <c r="G626" s="51" t="n"/>
      <c r="H626" s="51" t="n"/>
      <c r="I626" s="51" t="n"/>
      <c r="J626" s="51" t="n"/>
      <c r="K626" s="51" t="n"/>
      <c r="L626" s="51" t="n"/>
    </row>
    <row r="627" ht="22" customHeight="1">
      <c r="B627" s="50">
        <f>'設定'!$I$16</f>
        <v/>
      </c>
      <c r="C627" s="51" t="n"/>
      <c r="D627" s="51" t="n"/>
      <c r="E627" s="51" t="n"/>
      <c r="F627" s="51" t="n"/>
      <c r="G627" s="51" t="n"/>
      <c r="H627" s="51" t="n"/>
      <c r="I627" s="51" t="n"/>
      <c r="J627" s="51" t="n"/>
      <c r="K627" s="51" t="n"/>
      <c r="L627" s="51" t="n"/>
    </row>
    <row r="628" ht="22" customHeight="1">
      <c r="B628" s="50">
        <f>'設定'!$I$17</f>
        <v/>
      </c>
      <c r="C628" s="51" t="n"/>
      <c r="D628" s="51" t="n"/>
      <c r="E628" s="51" t="n"/>
      <c r="F628" s="51" t="n"/>
      <c r="G628" s="51" t="n"/>
      <c r="H628" s="51" t="n"/>
      <c r="I628" s="51" t="n"/>
      <c r="J628" s="51" t="n"/>
      <c r="K628" s="51" t="n"/>
      <c r="L628" s="51" t="n"/>
    </row>
    <row r="629" ht="22" customHeight="1">
      <c r="B629" s="50">
        <f>'設定'!$I$18</f>
        <v/>
      </c>
      <c r="C629" s="51" t="n"/>
      <c r="D629" s="51" t="n"/>
      <c r="E629" s="51" t="n"/>
      <c r="F629" s="51" t="n"/>
      <c r="G629" s="51" t="n"/>
      <c r="H629" s="51" t="n"/>
      <c r="I629" s="51" t="n"/>
      <c r="J629" s="51" t="n"/>
      <c r="K629" s="51" t="n"/>
      <c r="L629" s="51" t="n"/>
    </row>
    <row r="630" ht="22" customHeight="1">
      <c r="B630" s="50">
        <f>'設定'!$I$19</f>
        <v/>
      </c>
      <c r="C630" s="51" t="n"/>
      <c r="D630" s="51" t="n"/>
      <c r="E630" s="51" t="n"/>
      <c r="F630" s="51" t="n"/>
      <c r="G630" s="51" t="n"/>
      <c r="H630" s="51" t="n"/>
      <c r="I630" s="51" t="n"/>
      <c r="J630" s="51" t="n"/>
      <c r="K630" s="51" t="n"/>
      <c r="L630" s="51" t="n"/>
    </row>
    <row r="631" ht="22" customHeight="1">
      <c r="B631" s="50">
        <f>'設定'!$I$20</f>
        <v/>
      </c>
      <c r="C631" s="51" t="n"/>
      <c r="D631" s="51" t="n"/>
      <c r="E631" s="51" t="n"/>
      <c r="F631" s="51" t="n"/>
      <c r="G631" s="51" t="n"/>
      <c r="H631" s="51" t="n"/>
      <c r="I631" s="51" t="n"/>
      <c r="J631" s="51" t="n"/>
      <c r="K631" s="51" t="n"/>
      <c r="L631" s="51" t="n"/>
    </row>
    <row r="632" ht="22" customHeight="1">
      <c r="B632" s="50">
        <f>'設定'!$I$21</f>
        <v/>
      </c>
      <c r="C632" s="51" t="n"/>
      <c r="D632" s="51" t="n"/>
      <c r="E632" s="51" t="n"/>
      <c r="F632" s="51" t="n"/>
      <c r="G632" s="51" t="n"/>
      <c r="H632" s="51" t="n"/>
      <c r="I632" s="51" t="n"/>
      <c r="J632" s="51" t="n"/>
      <c r="K632" s="51" t="n"/>
      <c r="L632" s="51" t="n"/>
    </row>
    <row r="633" ht="22" customHeight="1">
      <c r="B633" s="50">
        <f>'設定'!$I$22</f>
        <v/>
      </c>
      <c r="C633" s="51" t="n"/>
      <c r="D633" s="51" t="n"/>
      <c r="E633" s="51" t="n"/>
      <c r="F633" s="51" t="n"/>
      <c r="G633" s="51" t="n"/>
      <c r="H633" s="51" t="n"/>
      <c r="I633" s="51" t="n"/>
      <c r="J633" s="51" t="n"/>
      <c r="K633" s="51" t="n"/>
      <c r="L633" s="51" t="n"/>
    </row>
    <row r="634"/>
    <row r="635" ht="26" customHeight="1">
      <c r="B635" s="45">
        <f>IF('名簿'!B47="","（名簿 43行目：なし）",'名簿'!G47)</f>
        <v/>
      </c>
      <c r="C635" s="4" t="n"/>
      <c r="D635" s="4" t="n"/>
      <c r="E635" s="46" t="inlineStr">
        <is>
          <t>提出状況 ▶</t>
        </is>
      </c>
      <c r="F635" s="33" t="n"/>
      <c r="G635" s="29" t="n"/>
      <c r="H635" s="47" t="inlineStr">
        <is>
          <t>状況：</t>
        </is>
      </c>
      <c r="I635" s="48">
        <f>'名簿'!H47</f>
        <v/>
      </c>
      <c r="J635" s="47" t="inlineStr">
        <is>
          <t>×の数：</t>
        </is>
      </c>
      <c r="K635" s="48">
        <f>'名簿'!I47</f>
        <v/>
      </c>
      <c r="L635" s="4" t="n"/>
    </row>
    <row r="636">
      <c r="B636" s="49" t="inlineStr"/>
      <c r="C636" s="30">
        <f>'設定'!$E$11</f>
        <v/>
      </c>
      <c r="D636" s="30">
        <f>'設定'!$E$12</f>
        <v/>
      </c>
      <c r="E636" s="30">
        <f>'設定'!$E$13</f>
        <v/>
      </c>
      <c r="F636" s="30">
        <f>'設定'!$E$14</f>
        <v/>
      </c>
      <c r="G636" s="30">
        <f>'設定'!$E$15</f>
        <v/>
      </c>
      <c r="H636" s="30">
        <f>'設定'!$E$16</f>
        <v/>
      </c>
      <c r="I636" s="30">
        <f>'設定'!$E$17</f>
        <v/>
      </c>
      <c r="J636" s="30">
        <f>'設定'!$E$18</f>
        <v/>
      </c>
      <c r="K636" s="30">
        <f>'設定'!$E$19</f>
        <v/>
      </c>
      <c r="L636" s="30">
        <f>'設定'!$E$20</f>
        <v/>
      </c>
    </row>
    <row r="637" ht="22" customHeight="1">
      <c r="B637" s="50">
        <f>'設定'!$I$11</f>
        <v/>
      </c>
      <c r="C637" s="51" t="n"/>
      <c r="D637" s="51" t="n"/>
      <c r="E637" s="51" t="n"/>
      <c r="F637" s="51" t="n"/>
      <c r="G637" s="51" t="n"/>
      <c r="H637" s="51" t="n"/>
      <c r="I637" s="51" t="n"/>
      <c r="J637" s="51" t="n"/>
      <c r="K637" s="51" t="n"/>
      <c r="L637" s="51" t="n"/>
    </row>
    <row r="638" ht="22" customHeight="1">
      <c r="B638" s="50">
        <f>'設定'!$I$12</f>
        <v/>
      </c>
      <c r="C638" s="51" t="n"/>
      <c r="D638" s="51" t="n"/>
      <c r="E638" s="51" t="n"/>
      <c r="F638" s="51" t="n"/>
      <c r="G638" s="51" t="n"/>
      <c r="H638" s="51" t="n"/>
      <c r="I638" s="51" t="n"/>
      <c r="J638" s="51" t="n"/>
      <c r="K638" s="51" t="n"/>
      <c r="L638" s="51" t="n"/>
    </row>
    <row r="639" ht="22" customHeight="1">
      <c r="B639" s="50">
        <f>'設定'!$I$13</f>
        <v/>
      </c>
      <c r="C639" s="51" t="n"/>
      <c r="D639" s="51" t="n"/>
      <c r="E639" s="51" t="n"/>
      <c r="F639" s="51" t="n"/>
      <c r="G639" s="51" t="n"/>
      <c r="H639" s="51" t="n"/>
      <c r="I639" s="51" t="n"/>
      <c r="J639" s="51" t="n"/>
      <c r="K639" s="51" t="n"/>
      <c r="L639" s="51" t="n"/>
    </row>
    <row r="640" ht="22" customHeight="1">
      <c r="B640" s="50">
        <f>'設定'!$I$14</f>
        <v/>
      </c>
      <c r="C640" s="51" t="n"/>
      <c r="D640" s="51" t="n"/>
      <c r="E640" s="51" t="n"/>
      <c r="F640" s="51" t="n"/>
      <c r="G640" s="51" t="n"/>
      <c r="H640" s="51" t="n"/>
      <c r="I640" s="51" t="n"/>
      <c r="J640" s="51" t="n"/>
      <c r="K640" s="51" t="n"/>
      <c r="L640" s="51" t="n"/>
    </row>
    <row r="641" ht="22" customHeight="1">
      <c r="B641" s="50">
        <f>'設定'!$I$15</f>
        <v/>
      </c>
      <c r="C641" s="51" t="n"/>
      <c r="D641" s="51" t="n"/>
      <c r="E641" s="51" t="n"/>
      <c r="F641" s="51" t="n"/>
      <c r="G641" s="51" t="n"/>
      <c r="H641" s="51" t="n"/>
      <c r="I641" s="51" t="n"/>
      <c r="J641" s="51" t="n"/>
      <c r="K641" s="51" t="n"/>
      <c r="L641" s="51" t="n"/>
    </row>
    <row r="642" ht="22" customHeight="1">
      <c r="B642" s="50">
        <f>'設定'!$I$16</f>
        <v/>
      </c>
      <c r="C642" s="51" t="n"/>
      <c r="D642" s="51" t="n"/>
      <c r="E642" s="51" t="n"/>
      <c r="F642" s="51" t="n"/>
      <c r="G642" s="51" t="n"/>
      <c r="H642" s="51" t="n"/>
      <c r="I642" s="51" t="n"/>
      <c r="J642" s="51" t="n"/>
      <c r="K642" s="51" t="n"/>
      <c r="L642" s="51" t="n"/>
    </row>
    <row r="643" ht="22" customHeight="1">
      <c r="B643" s="50">
        <f>'設定'!$I$17</f>
        <v/>
      </c>
      <c r="C643" s="51" t="n"/>
      <c r="D643" s="51" t="n"/>
      <c r="E643" s="51" t="n"/>
      <c r="F643" s="51" t="n"/>
      <c r="G643" s="51" t="n"/>
      <c r="H643" s="51" t="n"/>
      <c r="I643" s="51" t="n"/>
      <c r="J643" s="51" t="n"/>
      <c r="K643" s="51" t="n"/>
      <c r="L643" s="51" t="n"/>
    </row>
    <row r="644" ht="22" customHeight="1">
      <c r="B644" s="50">
        <f>'設定'!$I$18</f>
        <v/>
      </c>
      <c r="C644" s="51" t="n"/>
      <c r="D644" s="51" t="n"/>
      <c r="E644" s="51" t="n"/>
      <c r="F644" s="51" t="n"/>
      <c r="G644" s="51" t="n"/>
      <c r="H644" s="51" t="n"/>
      <c r="I644" s="51" t="n"/>
      <c r="J644" s="51" t="n"/>
      <c r="K644" s="51" t="n"/>
      <c r="L644" s="51" t="n"/>
    </row>
    <row r="645" ht="22" customHeight="1">
      <c r="B645" s="50">
        <f>'設定'!$I$19</f>
        <v/>
      </c>
      <c r="C645" s="51" t="n"/>
      <c r="D645" s="51" t="n"/>
      <c r="E645" s="51" t="n"/>
      <c r="F645" s="51" t="n"/>
      <c r="G645" s="51" t="n"/>
      <c r="H645" s="51" t="n"/>
      <c r="I645" s="51" t="n"/>
      <c r="J645" s="51" t="n"/>
      <c r="K645" s="51" t="n"/>
      <c r="L645" s="51" t="n"/>
    </row>
    <row r="646" ht="22" customHeight="1">
      <c r="B646" s="50">
        <f>'設定'!$I$20</f>
        <v/>
      </c>
      <c r="C646" s="51" t="n"/>
      <c r="D646" s="51" t="n"/>
      <c r="E646" s="51" t="n"/>
      <c r="F646" s="51" t="n"/>
      <c r="G646" s="51" t="n"/>
      <c r="H646" s="51" t="n"/>
      <c r="I646" s="51" t="n"/>
      <c r="J646" s="51" t="n"/>
      <c r="K646" s="51" t="n"/>
      <c r="L646" s="51" t="n"/>
    </row>
    <row r="647" ht="22" customHeight="1">
      <c r="B647" s="50">
        <f>'設定'!$I$21</f>
        <v/>
      </c>
      <c r="C647" s="51" t="n"/>
      <c r="D647" s="51" t="n"/>
      <c r="E647" s="51" t="n"/>
      <c r="F647" s="51" t="n"/>
      <c r="G647" s="51" t="n"/>
      <c r="H647" s="51" t="n"/>
      <c r="I647" s="51" t="n"/>
      <c r="J647" s="51" t="n"/>
      <c r="K647" s="51" t="n"/>
      <c r="L647" s="51" t="n"/>
    </row>
    <row r="648" ht="22" customHeight="1">
      <c r="B648" s="50">
        <f>'設定'!$I$22</f>
        <v/>
      </c>
      <c r="C648" s="51" t="n"/>
      <c r="D648" s="51" t="n"/>
      <c r="E648" s="51" t="n"/>
      <c r="F648" s="51" t="n"/>
      <c r="G648" s="51" t="n"/>
      <c r="H648" s="51" t="n"/>
      <c r="I648" s="51" t="n"/>
      <c r="J648" s="51" t="n"/>
      <c r="K648" s="51" t="n"/>
      <c r="L648" s="51" t="n"/>
    </row>
    <row r="649"/>
    <row r="650" ht="26" customHeight="1">
      <c r="B650" s="45">
        <f>IF('名簿'!B48="","（名簿 44行目：なし）",'名簿'!G48)</f>
        <v/>
      </c>
      <c r="C650" s="4" t="n"/>
      <c r="D650" s="4" t="n"/>
      <c r="E650" s="46" t="inlineStr">
        <is>
          <t>提出状況 ▶</t>
        </is>
      </c>
      <c r="F650" s="33" t="n"/>
      <c r="G650" s="29" t="n"/>
      <c r="H650" s="47" t="inlineStr">
        <is>
          <t>状況：</t>
        </is>
      </c>
      <c r="I650" s="48">
        <f>'名簿'!H48</f>
        <v/>
      </c>
      <c r="J650" s="47" t="inlineStr">
        <is>
          <t>×の数：</t>
        </is>
      </c>
      <c r="K650" s="48">
        <f>'名簿'!I48</f>
        <v/>
      </c>
      <c r="L650" s="4" t="n"/>
    </row>
    <row r="651">
      <c r="B651" s="49" t="inlineStr"/>
      <c r="C651" s="30">
        <f>'設定'!$E$11</f>
        <v/>
      </c>
      <c r="D651" s="30">
        <f>'設定'!$E$12</f>
        <v/>
      </c>
      <c r="E651" s="30">
        <f>'設定'!$E$13</f>
        <v/>
      </c>
      <c r="F651" s="30">
        <f>'設定'!$E$14</f>
        <v/>
      </c>
      <c r="G651" s="30">
        <f>'設定'!$E$15</f>
        <v/>
      </c>
      <c r="H651" s="30">
        <f>'設定'!$E$16</f>
        <v/>
      </c>
      <c r="I651" s="30">
        <f>'設定'!$E$17</f>
        <v/>
      </c>
      <c r="J651" s="30">
        <f>'設定'!$E$18</f>
        <v/>
      </c>
      <c r="K651" s="30">
        <f>'設定'!$E$19</f>
        <v/>
      </c>
      <c r="L651" s="30">
        <f>'設定'!$E$20</f>
        <v/>
      </c>
    </row>
    <row r="652" ht="22" customHeight="1">
      <c r="B652" s="50">
        <f>'設定'!$I$11</f>
        <v/>
      </c>
      <c r="C652" s="51" t="n"/>
      <c r="D652" s="51" t="n"/>
      <c r="E652" s="51" t="n"/>
      <c r="F652" s="51" t="n"/>
      <c r="G652" s="51" t="n"/>
      <c r="H652" s="51" t="n"/>
      <c r="I652" s="51" t="n"/>
      <c r="J652" s="51" t="n"/>
      <c r="K652" s="51" t="n"/>
      <c r="L652" s="51" t="n"/>
    </row>
    <row r="653" ht="22" customHeight="1">
      <c r="B653" s="50">
        <f>'設定'!$I$12</f>
        <v/>
      </c>
      <c r="C653" s="51" t="n"/>
      <c r="D653" s="51" t="n"/>
      <c r="E653" s="51" t="n"/>
      <c r="F653" s="51" t="n"/>
      <c r="G653" s="51" t="n"/>
      <c r="H653" s="51" t="n"/>
      <c r="I653" s="51" t="n"/>
      <c r="J653" s="51" t="n"/>
      <c r="K653" s="51" t="n"/>
      <c r="L653" s="51" t="n"/>
    </row>
    <row r="654" ht="22" customHeight="1">
      <c r="B654" s="50">
        <f>'設定'!$I$13</f>
        <v/>
      </c>
      <c r="C654" s="51" t="n"/>
      <c r="D654" s="51" t="n"/>
      <c r="E654" s="51" t="n"/>
      <c r="F654" s="51" t="n"/>
      <c r="G654" s="51" t="n"/>
      <c r="H654" s="51" t="n"/>
      <c r="I654" s="51" t="n"/>
      <c r="J654" s="51" t="n"/>
      <c r="K654" s="51" t="n"/>
      <c r="L654" s="51" t="n"/>
    </row>
    <row r="655" ht="22" customHeight="1">
      <c r="B655" s="50">
        <f>'設定'!$I$14</f>
        <v/>
      </c>
      <c r="C655" s="51" t="n"/>
      <c r="D655" s="51" t="n"/>
      <c r="E655" s="51" t="n"/>
      <c r="F655" s="51" t="n"/>
      <c r="G655" s="51" t="n"/>
      <c r="H655" s="51" t="n"/>
      <c r="I655" s="51" t="n"/>
      <c r="J655" s="51" t="n"/>
      <c r="K655" s="51" t="n"/>
      <c r="L655" s="51" t="n"/>
    </row>
    <row r="656" ht="22" customHeight="1">
      <c r="B656" s="50">
        <f>'設定'!$I$15</f>
        <v/>
      </c>
      <c r="C656" s="51" t="n"/>
      <c r="D656" s="51" t="n"/>
      <c r="E656" s="51" t="n"/>
      <c r="F656" s="51" t="n"/>
      <c r="G656" s="51" t="n"/>
      <c r="H656" s="51" t="n"/>
      <c r="I656" s="51" t="n"/>
      <c r="J656" s="51" t="n"/>
      <c r="K656" s="51" t="n"/>
      <c r="L656" s="51" t="n"/>
    </row>
    <row r="657" ht="22" customHeight="1">
      <c r="B657" s="50">
        <f>'設定'!$I$16</f>
        <v/>
      </c>
      <c r="C657" s="51" t="n"/>
      <c r="D657" s="51" t="n"/>
      <c r="E657" s="51" t="n"/>
      <c r="F657" s="51" t="n"/>
      <c r="G657" s="51" t="n"/>
      <c r="H657" s="51" t="n"/>
      <c r="I657" s="51" t="n"/>
      <c r="J657" s="51" t="n"/>
      <c r="K657" s="51" t="n"/>
      <c r="L657" s="51" t="n"/>
    </row>
    <row r="658" ht="22" customHeight="1">
      <c r="B658" s="50">
        <f>'設定'!$I$17</f>
        <v/>
      </c>
      <c r="C658" s="51" t="n"/>
      <c r="D658" s="51" t="n"/>
      <c r="E658" s="51" t="n"/>
      <c r="F658" s="51" t="n"/>
      <c r="G658" s="51" t="n"/>
      <c r="H658" s="51" t="n"/>
      <c r="I658" s="51" t="n"/>
      <c r="J658" s="51" t="n"/>
      <c r="K658" s="51" t="n"/>
      <c r="L658" s="51" t="n"/>
    </row>
    <row r="659" ht="22" customHeight="1">
      <c r="B659" s="50">
        <f>'設定'!$I$18</f>
        <v/>
      </c>
      <c r="C659" s="51" t="n"/>
      <c r="D659" s="51" t="n"/>
      <c r="E659" s="51" t="n"/>
      <c r="F659" s="51" t="n"/>
      <c r="G659" s="51" t="n"/>
      <c r="H659" s="51" t="n"/>
      <c r="I659" s="51" t="n"/>
      <c r="J659" s="51" t="n"/>
      <c r="K659" s="51" t="n"/>
      <c r="L659" s="51" t="n"/>
    </row>
    <row r="660" ht="22" customHeight="1">
      <c r="B660" s="50">
        <f>'設定'!$I$19</f>
        <v/>
      </c>
      <c r="C660" s="51" t="n"/>
      <c r="D660" s="51" t="n"/>
      <c r="E660" s="51" t="n"/>
      <c r="F660" s="51" t="n"/>
      <c r="G660" s="51" t="n"/>
      <c r="H660" s="51" t="n"/>
      <c r="I660" s="51" t="n"/>
      <c r="J660" s="51" t="n"/>
      <c r="K660" s="51" t="n"/>
      <c r="L660" s="51" t="n"/>
    </row>
    <row r="661" ht="22" customHeight="1">
      <c r="B661" s="50">
        <f>'設定'!$I$20</f>
        <v/>
      </c>
      <c r="C661" s="51" t="n"/>
      <c r="D661" s="51" t="n"/>
      <c r="E661" s="51" t="n"/>
      <c r="F661" s="51" t="n"/>
      <c r="G661" s="51" t="n"/>
      <c r="H661" s="51" t="n"/>
      <c r="I661" s="51" t="n"/>
      <c r="J661" s="51" t="n"/>
      <c r="K661" s="51" t="n"/>
      <c r="L661" s="51" t="n"/>
    </row>
    <row r="662" ht="22" customHeight="1">
      <c r="B662" s="50">
        <f>'設定'!$I$21</f>
        <v/>
      </c>
      <c r="C662" s="51" t="n"/>
      <c r="D662" s="51" t="n"/>
      <c r="E662" s="51" t="n"/>
      <c r="F662" s="51" t="n"/>
      <c r="G662" s="51" t="n"/>
      <c r="H662" s="51" t="n"/>
      <c r="I662" s="51" t="n"/>
      <c r="J662" s="51" t="n"/>
      <c r="K662" s="51" t="n"/>
      <c r="L662" s="51" t="n"/>
    </row>
    <row r="663" ht="22" customHeight="1">
      <c r="B663" s="50">
        <f>'設定'!$I$22</f>
        <v/>
      </c>
      <c r="C663" s="51" t="n"/>
      <c r="D663" s="51" t="n"/>
      <c r="E663" s="51" t="n"/>
      <c r="F663" s="51" t="n"/>
      <c r="G663" s="51" t="n"/>
      <c r="H663" s="51" t="n"/>
      <c r="I663" s="51" t="n"/>
      <c r="J663" s="51" t="n"/>
      <c r="K663" s="51" t="n"/>
      <c r="L663" s="51" t="n"/>
    </row>
    <row r="664"/>
    <row r="665" ht="26" customHeight="1">
      <c r="B665" s="45">
        <f>IF('名簿'!B49="","（名簿 45行目：なし）",'名簿'!G49)</f>
        <v/>
      </c>
      <c r="C665" s="4" t="n"/>
      <c r="D665" s="4" t="n"/>
      <c r="E665" s="46" t="inlineStr">
        <is>
          <t>提出状況 ▶</t>
        </is>
      </c>
      <c r="F665" s="33" t="n"/>
      <c r="G665" s="29" t="n"/>
      <c r="H665" s="47" t="inlineStr">
        <is>
          <t>状況：</t>
        </is>
      </c>
      <c r="I665" s="48">
        <f>'名簿'!H49</f>
        <v/>
      </c>
      <c r="J665" s="47" t="inlineStr">
        <is>
          <t>×の数：</t>
        </is>
      </c>
      <c r="K665" s="48">
        <f>'名簿'!I49</f>
        <v/>
      </c>
      <c r="L665" s="4" t="n"/>
    </row>
    <row r="666">
      <c r="B666" s="49" t="inlineStr"/>
      <c r="C666" s="30">
        <f>'設定'!$E$11</f>
        <v/>
      </c>
      <c r="D666" s="30">
        <f>'設定'!$E$12</f>
        <v/>
      </c>
      <c r="E666" s="30">
        <f>'設定'!$E$13</f>
        <v/>
      </c>
      <c r="F666" s="30">
        <f>'設定'!$E$14</f>
        <v/>
      </c>
      <c r="G666" s="30">
        <f>'設定'!$E$15</f>
        <v/>
      </c>
      <c r="H666" s="30">
        <f>'設定'!$E$16</f>
        <v/>
      </c>
      <c r="I666" s="30">
        <f>'設定'!$E$17</f>
        <v/>
      </c>
      <c r="J666" s="30">
        <f>'設定'!$E$18</f>
        <v/>
      </c>
      <c r="K666" s="30">
        <f>'設定'!$E$19</f>
        <v/>
      </c>
      <c r="L666" s="30">
        <f>'設定'!$E$20</f>
        <v/>
      </c>
    </row>
    <row r="667" ht="22" customHeight="1">
      <c r="B667" s="50">
        <f>'設定'!$I$11</f>
        <v/>
      </c>
      <c r="C667" s="51" t="n"/>
      <c r="D667" s="51" t="n"/>
      <c r="E667" s="51" t="n"/>
      <c r="F667" s="51" t="n"/>
      <c r="G667" s="51" t="n"/>
      <c r="H667" s="51" t="n"/>
      <c r="I667" s="51" t="n"/>
      <c r="J667" s="51" t="n"/>
      <c r="K667" s="51" t="n"/>
      <c r="L667" s="51" t="n"/>
    </row>
    <row r="668" ht="22" customHeight="1">
      <c r="B668" s="50">
        <f>'設定'!$I$12</f>
        <v/>
      </c>
      <c r="C668" s="51" t="n"/>
      <c r="D668" s="51" t="n"/>
      <c r="E668" s="51" t="n"/>
      <c r="F668" s="51" t="n"/>
      <c r="G668" s="51" t="n"/>
      <c r="H668" s="51" t="n"/>
      <c r="I668" s="51" t="n"/>
      <c r="J668" s="51" t="n"/>
      <c r="K668" s="51" t="n"/>
      <c r="L668" s="51" t="n"/>
    </row>
    <row r="669" ht="22" customHeight="1">
      <c r="B669" s="50">
        <f>'設定'!$I$13</f>
        <v/>
      </c>
      <c r="C669" s="51" t="n"/>
      <c r="D669" s="51" t="n"/>
      <c r="E669" s="51" t="n"/>
      <c r="F669" s="51" t="n"/>
      <c r="G669" s="51" t="n"/>
      <c r="H669" s="51" t="n"/>
      <c r="I669" s="51" t="n"/>
      <c r="J669" s="51" t="n"/>
      <c r="K669" s="51" t="n"/>
      <c r="L669" s="51" t="n"/>
    </row>
    <row r="670" ht="22" customHeight="1">
      <c r="B670" s="50">
        <f>'設定'!$I$14</f>
        <v/>
      </c>
      <c r="C670" s="51" t="n"/>
      <c r="D670" s="51" t="n"/>
      <c r="E670" s="51" t="n"/>
      <c r="F670" s="51" t="n"/>
      <c r="G670" s="51" t="n"/>
      <c r="H670" s="51" t="n"/>
      <c r="I670" s="51" t="n"/>
      <c r="J670" s="51" t="n"/>
      <c r="K670" s="51" t="n"/>
      <c r="L670" s="51" t="n"/>
    </row>
    <row r="671" ht="22" customHeight="1">
      <c r="B671" s="50">
        <f>'設定'!$I$15</f>
        <v/>
      </c>
      <c r="C671" s="51" t="n"/>
      <c r="D671" s="51" t="n"/>
      <c r="E671" s="51" t="n"/>
      <c r="F671" s="51" t="n"/>
      <c r="G671" s="51" t="n"/>
      <c r="H671" s="51" t="n"/>
      <c r="I671" s="51" t="n"/>
      <c r="J671" s="51" t="n"/>
      <c r="K671" s="51" t="n"/>
      <c r="L671" s="51" t="n"/>
    </row>
    <row r="672" ht="22" customHeight="1">
      <c r="B672" s="50">
        <f>'設定'!$I$16</f>
        <v/>
      </c>
      <c r="C672" s="51" t="n"/>
      <c r="D672" s="51" t="n"/>
      <c r="E672" s="51" t="n"/>
      <c r="F672" s="51" t="n"/>
      <c r="G672" s="51" t="n"/>
      <c r="H672" s="51" t="n"/>
      <c r="I672" s="51" t="n"/>
      <c r="J672" s="51" t="n"/>
      <c r="K672" s="51" t="n"/>
      <c r="L672" s="51" t="n"/>
    </row>
    <row r="673" ht="22" customHeight="1">
      <c r="B673" s="50">
        <f>'設定'!$I$17</f>
        <v/>
      </c>
      <c r="C673" s="51" t="n"/>
      <c r="D673" s="51" t="n"/>
      <c r="E673" s="51" t="n"/>
      <c r="F673" s="51" t="n"/>
      <c r="G673" s="51" t="n"/>
      <c r="H673" s="51" t="n"/>
      <c r="I673" s="51" t="n"/>
      <c r="J673" s="51" t="n"/>
      <c r="K673" s="51" t="n"/>
      <c r="L673" s="51" t="n"/>
    </row>
    <row r="674" ht="22" customHeight="1">
      <c r="B674" s="50">
        <f>'設定'!$I$18</f>
        <v/>
      </c>
      <c r="C674" s="51" t="n"/>
      <c r="D674" s="51" t="n"/>
      <c r="E674" s="51" t="n"/>
      <c r="F674" s="51" t="n"/>
      <c r="G674" s="51" t="n"/>
      <c r="H674" s="51" t="n"/>
      <c r="I674" s="51" t="n"/>
      <c r="J674" s="51" t="n"/>
      <c r="K674" s="51" t="n"/>
      <c r="L674" s="51" t="n"/>
    </row>
    <row r="675" ht="22" customHeight="1">
      <c r="B675" s="50">
        <f>'設定'!$I$19</f>
        <v/>
      </c>
      <c r="C675" s="51" t="n"/>
      <c r="D675" s="51" t="n"/>
      <c r="E675" s="51" t="n"/>
      <c r="F675" s="51" t="n"/>
      <c r="G675" s="51" t="n"/>
      <c r="H675" s="51" t="n"/>
      <c r="I675" s="51" t="n"/>
      <c r="J675" s="51" t="n"/>
      <c r="K675" s="51" t="n"/>
      <c r="L675" s="51" t="n"/>
    </row>
    <row r="676" ht="22" customHeight="1">
      <c r="B676" s="50">
        <f>'設定'!$I$20</f>
        <v/>
      </c>
      <c r="C676" s="51" t="n"/>
      <c r="D676" s="51" t="n"/>
      <c r="E676" s="51" t="n"/>
      <c r="F676" s="51" t="n"/>
      <c r="G676" s="51" t="n"/>
      <c r="H676" s="51" t="n"/>
      <c r="I676" s="51" t="n"/>
      <c r="J676" s="51" t="n"/>
      <c r="K676" s="51" t="n"/>
      <c r="L676" s="51" t="n"/>
    </row>
    <row r="677" ht="22" customHeight="1">
      <c r="B677" s="50">
        <f>'設定'!$I$21</f>
        <v/>
      </c>
      <c r="C677" s="51" t="n"/>
      <c r="D677" s="51" t="n"/>
      <c r="E677" s="51" t="n"/>
      <c r="F677" s="51" t="n"/>
      <c r="G677" s="51" t="n"/>
      <c r="H677" s="51" t="n"/>
      <c r="I677" s="51" t="n"/>
      <c r="J677" s="51" t="n"/>
      <c r="K677" s="51" t="n"/>
      <c r="L677" s="51" t="n"/>
    </row>
    <row r="678" ht="22" customHeight="1">
      <c r="B678" s="50">
        <f>'設定'!$I$22</f>
        <v/>
      </c>
      <c r="C678" s="51" t="n"/>
      <c r="D678" s="51" t="n"/>
      <c r="E678" s="51" t="n"/>
      <c r="F678" s="51" t="n"/>
      <c r="G678" s="51" t="n"/>
      <c r="H678" s="51" t="n"/>
      <c r="I678" s="51" t="n"/>
      <c r="J678" s="51" t="n"/>
      <c r="K678" s="51" t="n"/>
      <c r="L678" s="51" t="n"/>
    </row>
  </sheetData>
  <mergeCells count="45">
    <mergeCell ref="F275:G275"/>
    <mergeCell ref="F545:G545"/>
    <mergeCell ref="F485:G485"/>
    <mergeCell ref="F65:G65"/>
    <mergeCell ref="F590:G590"/>
    <mergeCell ref="F410:G410"/>
    <mergeCell ref="F575:G575"/>
    <mergeCell ref="F560:G560"/>
    <mergeCell ref="F320:G320"/>
    <mergeCell ref="F305:G305"/>
    <mergeCell ref="F365:G365"/>
    <mergeCell ref="F605:G605"/>
    <mergeCell ref="F335:G335"/>
    <mergeCell ref="F95:G95"/>
    <mergeCell ref="F5:G5"/>
    <mergeCell ref="F20:G20"/>
    <mergeCell ref="F80:G80"/>
    <mergeCell ref="F620:G620"/>
    <mergeCell ref="F50:G50"/>
    <mergeCell ref="F110:G110"/>
    <mergeCell ref="F470:G470"/>
    <mergeCell ref="F35:G35"/>
    <mergeCell ref="F395:G395"/>
    <mergeCell ref="F650:G650"/>
    <mergeCell ref="F215:G215"/>
    <mergeCell ref="F200:G200"/>
    <mergeCell ref="F635:G635"/>
    <mergeCell ref="F125:G125"/>
    <mergeCell ref="F380:G380"/>
    <mergeCell ref="F185:G185"/>
    <mergeCell ref="F155:G155"/>
    <mergeCell ref="F230:G230"/>
    <mergeCell ref="F140:G140"/>
    <mergeCell ref="F500:G500"/>
    <mergeCell ref="F425:G425"/>
    <mergeCell ref="F665:G665"/>
    <mergeCell ref="F350:G350"/>
    <mergeCell ref="F170:G170"/>
    <mergeCell ref="F530:G530"/>
    <mergeCell ref="F260:G260"/>
    <mergeCell ref="F515:G515"/>
    <mergeCell ref="F245:G245"/>
    <mergeCell ref="F440:G440"/>
    <mergeCell ref="F290:G290"/>
    <mergeCell ref="F455:G455"/>
  </mergeCells>
  <conditionalFormatting sqref="C7:L18 C22:L33 C37:L48 C52:L63 C67:L78 C82:L93 C97:L108 C112:L123 C127:L138 C142:L153 C157:L168 C172:L183 C187:L198 C202:L213 C217:L228 C232:L243 C247:L258 C262:L273 C277:L288 C292:L303 C307:L318 C322:L333 C337:L348 C352:L363 C367:L378 C382:L393 C397:L408 C412:L423 C427:L438 C442:L453 C457:L468 C472:L483 C487:L498 C502:L513 C517:L528 C532:L543 C547:L558 C562:L573 C577:L588 C592:L603 C607:L618 C622:L633 C637:L648 C652:L663 C667:L678">
    <cfRule type="expression" priority="1" dxfId="6" stopIfTrue="1">
      <formula>OR(INDEX('設定'!$B$11:$B$20,COLUMN(C7)-2)="",MOD(ROW(C7)-5,15)-1&gt;'設定'!$B$6)</formula>
    </cfRule>
    <cfRule type="expression" priority="2" dxfId="5">
      <formula>C7&lt;&gt;""</formula>
    </cfRule>
  </conditionalFormatting>
  <conditionalFormatting sqref="C6:L6 C21:L21 C36:L36 C51:L51 C66:L66 C81:L81 C96:L96 C111:L111 C126:L126 C141:L141 C156:L156 C171:L171 C186:L186 C201:L201 C216:L216 C231:L231 C246:L246 C261:L261 C276:L276 C291:L291 C306:L306 C321:L321 C336:L336 C351:L351 C366:L366 C381:L381 C396:L396 C411:L411 C426:L426 C441:L441 C456:L456 C471:L471 C486:L486 C501:L501 C516:L516 C531:L531 C546:L546 C561:L561 C576:L576 C591:L591 C606:L606 C621:L621 C636:L636 C651:L651 C666:L666">
    <cfRule type="expression" priority="3" dxfId="7">
      <formula>C6=""</formula>
    </cfRule>
  </conditionalFormatting>
  <dataValidations count="1">
    <dataValidation sqref="F5 F20 F35 F50 F65 F80 F95 F110 F125 F140 F155 F170 F185 F200 F215 F230 F245 F260 F275 F290 F305 F320 F335 F350 F365 F380 F395 F410 F425 F440 F455 F470 F485 F500 F515 F530 F545 F560 F575 F590 F605 F620 F635 F650 F665" showDropDown="0" showInputMessage="0" showErrorMessage="0" allowBlank="1" type="list">
      <formula1>"×なし（どこでもOK）,未提出"</formula1>
    </dataValidation>
  </dataValidations>
  <pageMargins left="0.75" right="0.75" top="1" bottom="1" header="0.5" footer="0.5"/>
</worksheet>
</file>

<file path=xl/worksheets/sheet5.xml><?xml version="1.0" encoding="utf-8"?>
<worksheet xmlns="http://schemas.openxmlformats.org/spreadsheetml/2006/main">
  <sheetPr>
    <tabColor rgb="003A6DB5"/>
    <outlinePr summaryBelow="1" summaryRight="1"/>
    <pageSetUpPr/>
  </sheetPr>
  <dimension ref="A1:O17"/>
  <sheetViews>
    <sheetView showGridLines="0" showRowColHeaders="0" workbookViewId="0">
      <selection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22" customWidth="1" min="14" max="14"/>
    <col width="40" customWidth="1" min="15" max="15"/>
  </cols>
  <sheetData>
    <row r="1" ht="44" customHeight="1">
      <c r="A1" s="2" t="n"/>
      <c r="B1" s="43" t="inlineStr">
        <is>
          <t>自動案</t>
        </is>
      </c>
      <c r="C1" s="2" t="n"/>
      <c r="D1" s="2" t="n"/>
      <c r="E1" s="2" t="n"/>
      <c r="F1" s="18">
        <f>HYPERLINK("#'ホーム'!A1","ホーム")</f>
        <v/>
      </c>
      <c r="G1" s="18">
        <f>HYPERLINK("#'設定'!A1","① 設定")</f>
        <v/>
      </c>
      <c r="H1" s="18">
        <f>HYPERLINK("#'名簿'!A1","② 名簿")</f>
        <v/>
      </c>
      <c r="I1" s="18">
        <f>HYPERLINK("#'×入力'!A1","③ ×入力")</f>
        <v/>
      </c>
      <c r="J1" s="19">
        <f>HYPERLINK("#'自動案'!A1","④ 自動案")</f>
        <v/>
      </c>
      <c r="K1" s="18">
        <f>HYPERLINK("#'割り当て'!A1","⑤ 割り当て")</f>
        <v/>
      </c>
      <c r="L1" s="2" t="n"/>
      <c r="M1" s="2" t="n"/>
      <c r="N1" s="2" t="n"/>
      <c r="O1" s="2" t="n"/>
    </row>
    <row r="2" ht="24" customHeight="1">
      <c r="A2" s="4" t="n"/>
      <c r="B2" s="44" t="inlineStr">
        <is>
          <t>入れられる枠が少ない家庭から順に、自動で割り当てた案です。緑が新しく入った人。よければ表をコピーし（名前ボックスで「自動案の表」を選ぶと全体を選べます）、「割り当て」の表の左上に［値の貼り付け］をします。</t>
        </is>
      </c>
      <c r="C2" s="4" t="n"/>
      <c r="D2" s="4" t="n"/>
      <c r="E2" s="4" t="n"/>
      <c r="F2" s="4" t="n"/>
      <c r="G2" s="4" t="n"/>
      <c r="H2" s="4" t="n"/>
      <c r="I2" s="4" t="n"/>
      <c r="J2" s="4" t="n"/>
      <c r="K2" s="4" t="n"/>
      <c r="L2" s="4" t="n"/>
      <c r="M2" s="4" t="n"/>
      <c r="N2" s="4" t="n"/>
      <c r="O2" s="4" t="n"/>
    </row>
    <row r="3" ht="24" customHeight="1">
      <c r="C3" s="52" t="inlineStr">
        <is>
          <t>新しく入った人</t>
        </is>
      </c>
      <c r="D3" s="53" t="inlineStr">
        <is>
          <t>後ろを空ける枠</t>
        </is>
      </c>
      <c r="E3" s="54" t="inlineStr">
        <is>
          <t>空けたい日・休憩</t>
        </is>
      </c>
    </row>
    <row r="4"/>
    <row r="5">
      <c r="B5" s="49" t="inlineStr"/>
      <c r="C5" s="30">
        <f>'設定'!$E$11</f>
        <v/>
      </c>
      <c r="D5" s="30">
        <f>'設定'!$E$12</f>
        <v/>
      </c>
      <c r="E5" s="30">
        <f>'設定'!$E$13</f>
        <v/>
      </c>
      <c r="F5" s="30">
        <f>'設定'!$E$14</f>
        <v/>
      </c>
      <c r="G5" s="30">
        <f>'設定'!$E$15</f>
        <v/>
      </c>
      <c r="H5" s="30">
        <f>'設定'!$E$16</f>
        <v/>
      </c>
      <c r="I5" s="30">
        <f>'設定'!$E$17</f>
        <v/>
      </c>
      <c r="J5" s="30">
        <f>'設定'!$E$18</f>
        <v/>
      </c>
      <c r="K5" s="30">
        <f>'設定'!$E$19</f>
        <v/>
      </c>
      <c r="L5" s="30">
        <f>'設定'!$E$20</f>
        <v/>
      </c>
      <c r="N5" s="55" t="inlineStr">
        <is>
          <t>割り当て済み（割り当てシート）</t>
        </is>
      </c>
      <c r="O5" s="56">
        <f>SUMPRODUCT(('割り当て'!$C$6:$L$17&lt;&gt;"")*1)&amp;" 人"</f>
        <v/>
      </c>
    </row>
    <row r="6" ht="30" customHeight="1">
      <c r="B6" s="50">
        <f>'設定'!$I$11</f>
        <v/>
      </c>
      <c r="C6" s="32">
        <f>IF('計算A'!D$4=0,"",IF('割り当て'!C6&lt;&gt;"",'割り当て'!C6,IFERROR(INDEX('名簿'!$G$5:$G$49,INDEX('計算B'!$B$3:$B$47,MATCH(1,'計算B'!$C$3:$C$47,0))),"")))</f>
        <v/>
      </c>
      <c r="D6" s="32">
        <f>IF('計算A'!P$4=0,"",IF('割り当て'!D6&lt;&gt;"",'割り当て'!D6,IFERROR(INDEX('名簿'!$G$5:$G$49,INDEX('計算B'!$B$3:$B$47,MATCH(13,'計算B'!$C$3:$C$47,0))),"")))</f>
        <v/>
      </c>
      <c r="E6" s="32">
        <f>IF('計算A'!AB$4=0,"",IF('割り当て'!E6&lt;&gt;"",'割り当て'!E6,IFERROR(INDEX('名簿'!$G$5:$G$49,INDEX('計算B'!$B$3:$B$47,MATCH(25,'計算B'!$C$3:$C$47,0))),"")))</f>
        <v/>
      </c>
      <c r="F6" s="32">
        <f>IF('計算A'!AN$4=0,"",IF('割り当て'!F6&lt;&gt;"",'割り当て'!F6,IFERROR(INDEX('名簿'!$G$5:$G$49,INDEX('計算B'!$B$3:$B$47,MATCH(37,'計算B'!$C$3:$C$47,0))),"")))</f>
        <v/>
      </c>
      <c r="G6" s="32">
        <f>IF('計算A'!AZ$4=0,"",IF('割り当て'!G6&lt;&gt;"",'割り当て'!G6,IFERROR(INDEX('名簿'!$G$5:$G$49,INDEX('計算B'!$B$3:$B$47,MATCH(49,'計算B'!$C$3:$C$47,0))),"")))</f>
        <v/>
      </c>
      <c r="H6" s="32">
        <f>IF('計算A'!BL$4=0,"",IF('割り当て'!H6&lt;&gt;"",'割り当て'!H6,IFERROR(INDEX('名簿'!$G$5:$G$49,INDEX('計算B'!$B$3:$B$47,MATCH(61,'計算B'!$C$3:$C$47,0))),"")))</f>
        <v/>
      </c>
      <c r="I6" s="32">
        <f>IF('計算A'!BX$4=0,"",IF('割り当て'!I6&lt;&gt;"",'割り当て'!I6,IFERROR(INDEX('名簿'!$G$5:$G$49,INDEX('計算B'!$B$3:$B$47,MATCH(73,'計算B'!$C$3:$C$47,0))),"")))</f>
        <v/>
      </c>
      <c r="J6" s="32">
        <f>IF('計算A'!CJ$4=0,"",IF('割り当て'!J6&lt;&gt;"",'割り当て'!J6,IFERROR(INDEX('名簿'!$G$5:$G$49,INDEX('計算B'!$B$3:$B$47,MATCH(85,'計算B'!$C$3:$C$47,0))),"")))</f>
        <v/>
      </c>
      <c r="K6" s="32">
        <f>IF('計算A'!CV$4=0,"",IF('割り当て'!K6&lt;&gt;"",'割り当て'!K6,IFERROR(INDEX('名簿'!$G$5:$G$49,INDEX('計算B'!$B$3:$B$47,MATCH(97,'計算B'!$C$3:$C$47,0))),"")))</f>
        <v/>
      </c>
      <c r="L6" s="32">
        <f>IF('計算A'!DH$4=0,"",IF('割り当て'!L6&lt;&gt;"",'割り当て'!L6,IFERROR(INDEX('名簿'!$G$5:$G$49,INDEX('計算B'!$B$3:$B$47,MATCH(109,'計算B'!$C$3:$C$47,0))),"")))</f>
        <v/>
      </c>
      <c r="N6" s="55" t="inlineStr">
        <is>
          <t>自動で新しく入った</t>
        </is>
      </c>
      <c r="O6" s="56">
        <f>SUMPRODUCT(('計算B'!$B$3:$B$47&gt;0)*('計算B'!$C$3:$C$47&gt;0))&amp;" 人"</f>
        <v/>
      </c>
    </row>
    <row r="7" ht="30" customHeight="1">
      <c r="B7" s="50">
        <f>'設定'!$I$12</f>
        <v/>
      </c>
      <c r="C7" s="32">
        <f>IF('計算A'!E$4=0,"",IF('割り当て'!C7&lt;&gt;"",'割り当て'!C7,IFERROR(INDEX('名簿'!$G$5:$G$49,INDEX('計算B'!$B$3:$B$47,MATCH(2,'計算B'!$C$3:$C$47,0))),"")))</f>
        <v/>
      </c>
      <c r="D7" s="32">
        <f>IF('計算A'!Q$4=0,"",IF('割り当て'!D7&lt;&gt;"",'割り当て'!D7,IFERROR(INDEX('名簿'!$G$5:$G$49,INDEX('計算B'!$B$3:$B$47,MATCH(14,'計算B'!$C$3:$C$47,0))),"")))</f>
        <v/>
      </c>
      <c r="E7" s="32">
        <f>IF('計算A'!AC$4=0,"",IF('割り当て'!E7&lt;&gt;"",'割り当て'!E7,IFERROR(INDEX('名簿'!$G$5:$G$49,INDEX('計算B'!$B$3:$B$47,MATCH(26,'計算B'!$C$3:$C$47,0))),"")))</f>
        <v/>
      </c>
      <c r="F7" s="32">
        <f>IF('計算A'!AO$4=0,"",IF('割り当て'!F7&lt;&gt;"",'割り当て'!F7,IFERROR(INDEX('名簿'!$G$5:$G$49,INDEX('計算B'!$B$3:$B$47,MATCH(38,'計算B'!$C$3:$C$47,0))),"")))</f>
        <v/>
      </c>
      <c r="G7" s="32">
        <f>IF('計算A'!BA$4=0,"",IF('割り当て'!G7&lt;&gt;"",'割り当て'!G7,IFERROR(INDEX('名簿'!$G$5:$G$49,INDEX('計算B'!$B$3:$B$47,MATCH(50,'計算B'!$C$3:$C$47,0))),"")))</f>
        <v/>
      </c>
      <c r="H7" s="32">
        <f>IF('計算A'!BM$4=0,"",IF('割り当て'!H7&lt;&gt;"",'割り当て'!H7,IFERROR(INDEX('名簿'!$G$5:$G$49,INDEX('計算B'!$B$3:$B$47,MATCH(62,'計算B'!$C$3:$C$47,0))),"")))</f>
        <v/>
      </c>
      <c r="I7" s="32">
        <f>IF('計算A'!BY$4=0,"",IF('割り当て'!I7&lt;&gt;"",'割り当て'!I7,IFERROR(INDEX('名簿'!$G$5:$G$49,INDEX('計算B'!$B$3:$B$47,MATCH(74,'計算B'!$C$3:$C$47,0))),"")))</f>
        <v/>
      </c>
      <c r="J7" s="32">
        <f>IF('計算A'!CK$4=0,"",IF('割り当て'!J7&lt;&gt;"",'割り当て'!J7,IFERROR(INDEX('名簿'!$G$5:$G$49,INDEX('計算B'!$B$3:$B$47,MATCH(86,'計算B'!$C$3:$C$47,0))),"")))</f>
        <v/>
      </c>
      <c r="K7" s="32">
        <f>IF('計算A'!CW$4=0,"",IF('割り当て'!K7&lt;&gt;"",'割り当て'!K7,IFERROR(INDEX('名簿'!$G$5:$G$49,INDEX('計算B'!$B$3:$B$47,MATCH(98,'計算B'!$C$3:$C$47,0))),"")))</f>
        <v/>
      </c>
      <c r="L7" s="32">
        <f>IF('計算A'!DI$4=0,"",IF('割り当て'!L7&lt;&gt;"",'割り当て'!L7,IFERROR(INDEX('名簿'!$G$5:$G$49,INDEX('計算B'!$B$3:$B$47,MATCH(110,'計算B'!$C$3:$C$47,0))),"")))</f>
        <v/>
      </c>
    </row>
    <row r="8" ht="30" customHeight="1">
      <c r="B8" s="50">
        <f>'設定'!$I$13</f>
        <v/>
      </c>
      <c r="C8" s="32">
        <f>IF('計算A'!F$4=0,"",IF('割り当て'!C8&lt;&gt;"",'割り当て'!C8,IFERROR(INDEX('名簿'!$G$5:$G$49,INDEX('計算B'!$B$3:$B$47,MATCH(3,'計算B'!$C$3:$C$47,0))),"")))</f>
        <v/>
      </c>
      <c r="D8" s="32">
        <f>IF('計算A'!R$4=0,"",IF('割り当て'!D8&lt;&gt;"",'割り当て'!D8,IFERROR(INDEX('名簿'!$G$5:$G$49,INDEX('計算B'!$B$3:$B$47,MATCH(15,'計算B'!$C$3:$C$47,0))),"")))</f>
        <v/>
      </c>
      <c r="E8" s="32">
        <f>IF('計算A'!AD$4=0,"",IF('割り当て'!E8&lt;&gt;"",'割り当て'!E8,IFERROR(INDEX('名簿'!$G$5:$G$49,INDEX('計算B'!$B$3:$B$47,MATCH(27,'計算B'!$C$3:$C$47,0))),"")))</f>
        <v/>
      </c>
      <c r="F8" s="32">
        <f>IF('計算A'!AP$4=0,"",IF('割り当て'!F8&lt;&gt;"",'割り当て'!F8,IFERROR(INDEX('名簿'!$G$5:$G$49,INDEX('計算B'!$B$3:$B$47,MATCH(39,'計算B'!$C$3:$C$47,0))),"")))</f>
        <v/>
      </c>
      <c r="G8" s="32">
        <f>IF('計算A'!BB$4=0,"",IF('割り当て'!G8&lt;&gt;"",'割り当て'!G8,IFERROR(INDEX('名簿'!$G$5:$G$49,INDEX('計算B'!$B$3:$B$47,MATCH(51,'計算B'!$C$3:$C$47,0))),"")))</f>
        <v/>
      </c>
      <c r="H8" s="32">
        <f>IF('計算A'!BN$4=0,"",IF('割り当て'!H8&lt;&gt;"",'割り当て'!H8,IFERROR(INDEX('名簿'!$G$5:$G$49,INDEX('計算B'!$B$3:$B$47,MATCH(63,'計算B'!$C$3:$C$47,0))),"")))</f>
        <v/>
      </c>
      <c r="I8" s="32">
        <f>IF('計算A'!BZ$4=0,"",IF('割り当て'!I8&lt;&gt;"",'割り当て'!I8,IFERROR(INDEX('名簿'!$G$5:$G$49,INDEX('計算B'!$B$3:$B$47,MATCH(75,'計算B'!$C$3:$C$47,0))),"")))</f>
        <v/>
      </c>
      <c r="J8" s="32">
        <f>IF('計算A'!CL$4=0,"",IF('割り当て'!J8&lt;&gt;"",'割り当て'!J8,IFERROR(INDEX('名簿'!$G$5:$G$49,INDEX('計算B'!$B$3:$B$47,MATCH(87,'計算B'!$C$3:$C$47,0))),"")))</f>
        <v/>
      </c>
      <c r="K8" s="32">
        <f>IF('計算A'!CX$4=0,"",IF('割り当て'!K8&lt;&gt;"",'割り当て'!K8,IFERROR(INDEX('名簿'!$G$5:$G$49,INDEX('計算B'!$B$3:$B$47,MATCH(99,'計算B'!$C$3:$C$47,0))),"")))</f>
        <v/>
      </c>
      <c r="L8" s="32">
        <f>IF('計算A'!DJ$4=0,"",IF('割り当て'!L8&lt;&gt;"",'割り当て'!L8,IFERROR(INDEX('名簿'!$G$5:$G$49,INDEX('計算B'!$B$3:$B$47,MATCH(111,'計算B'!$C$3:$C$47,0))),"")))</f>
        <v/>
      </c>
      <c r="N8" s="57" t="inlineStr">
        <is>
          <t>入る枠がない（×・必ず空けたい）</t>
        </is>
      </c>
      <c r="O8" s="58">
        <f t="array" ref="O8">_xlfn.TEXTJOIN("、",TRUE,IF('計算A'!$DV$10:$DV$54=1,'計算A'!$B$10:$B$54,""))</f>
        <v/>
      </c>
    </row>
    <row r="9" ht="30" customHeight="1">
      <c r="B9" s="50">
        <f>'設定'!$I$14</f>
        <v/>
      </c>
      <c r="C9" s="32">
        <f>IF('計算A'!G$4=0,"",IF('割り当て'!C9&lt;&gt;"",'割り当て'!C9,IFERROR(INDEX('名簿'!$G$5:$G$49,INDEX('計算B'!$B$3:$B$47,MATCH(4,'計算B'!$C$3:$C$47,0))),"")))</f>
        <v/>
      </c>
      <c r="D9" s="32">
        <f>IF('計算A'!S$4=0,"",IF('割り当て'!D9&lt;&gt;"",'割り当て'!D9,IFERROR(INDEX('名簿'!$G$5:$G$49,INDEX('計算B'!$B$3:$B$47,MATCH(16,'計算B'!$C$3:$C$47,0))),"")))</f>
        <v/>
      </c>
      <c r="E9" s="32">
        <f>IF('計算A'!AE$4=0,"",IF('割り当て'!E9&lt;&gt;"",'割り当て'!E9,IFERROR(INDEX('名簿'!$G$5:$G$49,INDEX('計算B'!$B$3:$B$47,MATCH(28,'計算B'!$C$3:$C$47,0))),"")))</f>
        <v/>
      </c>
      <c r="F9" s="32">
        <f>IF('計算A'!AQ$4=0,"",IF('割り当て'!F9&lt;&gt;"",'割り当て'!F9,IFERROR(INDEX('名簿'!$G$5:$G$49,INDEX('計算B'!$B$3:$B$47,MATCH(40,'計算B'!$C$3:$C$47,0))),"")))</f>
        <v/>
      </c>
      <c r="G9" s="32">
        <f>IF('計算A'!BC$4=0,"",IF('割り当て'!G9&lt;&gt;"",'割り当て'!G9,IFERROR(INDEX('名簿'!$G$5:$G$49,INDEX('計算B'!$B$3:$B$47,MATCH(52,'計算B'!$C$3:$C$47,0))),"")))</f>
        <v/>
      </c>
      <c r="H9" s="32">
        <f>IF('計算A'!BO$4=0,"",IF('割り当て'!H9&lt;&gt;"",'割り当て'!H9,IFERROR(INDEX('名簿'!$G$5:$G$49,INDEX('計算B'!$B$3:$B$47,MATCH(64,'計算B'!$C$3:$C$47,0))),"")))</f>
        <v/>
      </c>
      <c r="I9" s="32">
        <f>IF('計算A'!CA$4=0,"",IF('割り当て'!I9&lt;&gt;"",'割り当て'!I9,IFERROR(INDEX('名簿'!$G$5:$G$49,INDEX('計算B'!$B$3:$B$47,MATCH(76,'計算B'!$C$3:$C$47,0))),"")))</f>
        <v/>
      </c>
      <c r="J9" s="32">
        <f>IF('計算A'!CM$4=0,"",IF('割り当て'!J9&lt;&gt;"",'割り当て'!J9,IFERROR(INDEX('名簿'!$G$5:$G$49,INDEX('計算B'!$B$3:$B$47,MATCH(88,'計算B'!$C$3:$C$47,0))),"")))</f>
        <v/>
      </c>
      <c r="K9" s="32">
        <f>IF('計算A'!CY$4=0,"",IF('割り当て'!K9&lt;&gt;"",'割り当て'!K9,IFERROR(INDEX('名簿'!$G$5:$G$49,INDEX('計算B'!$B$3:$B$47,MATCH(100,'計算B'!$C$3:$C$47,0))),"")))</f>
        <v/>
      </c>
      <c r="L9" s="32">
        <f>IF('計算A'!DK$4=0,"",IF('割り当て'!L9&lt;&gt;"",'割り当て'!L9,IFERROR(INDEX('名簿'!$G$5:$G$49,INDEX('計算B'!$B$3:$B$47,MATCH(112,'計算B'!$C$3:$C$47,0))),"")))</f>
        <v/>
      </c>
    </row>
    <row r="10" ht="30" customHeight="1">
      <c r="B10" s="50">
        <f>'設定'!$I$15</f>
        <v/>
      </c>
      <c r="C10" s="32">
        <f>IF('計算A'!H$4=0,"",IF('割り当て'!C10&lt;&gt;"",'割り当て'!C10,IFERROR(INDEX('名簿'!$G$5:$G$49,INDEX('計算B'!$B$3:$B$47,MATCH(5,'計算B'!$C$3:$C$47,0))),"")))</f>
        <v/>
      </c>
      <c r="D10" s="32">
        <f>IF('計算A'!T$4=0,"",IF('割り当て'!D10&lt;&gt;"",'割り当て'!D10,IFERROR(INDEX('名簿'!$G$5:$G$49,INDEX('計算B'!$B$3:$B$47,MATCH(17,'計算B'!$C$3:$C$47,0))),"")))</f>
        <v/>
      </c>
      <c r="E10" s="32">
        <f>IF('計算A'!AF$4=0,"",IF('割り当て'!E10&lt;&gt;"",'割り当て'!E10,IFERROR(INDEX('名簿'!$G$5:$G$49,INDEX('計算B'!$B$3:$B$47,MATCH(29,'計算B'!$C$3:$C$47,0))),"")))</f>
        <v/>
      </c>
      <c r="F10" s="32">
        <f>IF('計算A'!AR$4=0,"",IF('割り当て'!F10&lt;&gt;"",'割り当て'!F10,IFERROR(INDEX('名簿'!$G$5:$G$49,INDEX('計算B'!$B$3:$B$47,MATCH(41,'計算B'!$C$3:$C$47,0))),"")))</f>
        <v/>
      </c>
      <c r="G10" s="32">
        <f>IF('計算A'!BD$4=0,"",IF('割り当て'!G10&lt;&gt;"",'割り当て'!G10,IFERROR(INDEX('名簿'!$G$5:$G$49,INDEX('計算B'!$B$3:$B$47,MATCH(53,'計算B'!$C$3:$C$47,0))),"")))</f>
        <v/>
      </c>
      <c r="H10" s="32">
        <f>IF('計算A'!BP$4=0,"",IF('割り当て'!H10&lt;&gt;"",'割り当て'!H10,IFERROR(INDEX('名簿'!$G$5:$G$49,INDEX('計算B'!$B$3:$B$47,MATCH(65,'計算B'!$C$3:$C$47,0))),"")))</f>
        <v/>
      </c>
      <c r="I10" s="32">
        <f>IF('計算A'!CB$4=0,"",IF('割り当て'!I10&lt;&gt;"",'割り当て'!I10,IFERROR(INDEX('名簿'!$G$5:$G$49,INDEX('計算B'!$B$3:$B$47,MATCH(77,'計算B'!$C$3:$C$47,0))),"")))</f>
        <v/>
      </c>
      <c r="J10" s="32">
        <f>IF('計算A'!CN$4=0,"",IF('割り当て'!J10&lt;&gt;"",'割り当て'!J10,IFERROR(INDEX('名簿'!$G$5:$G$49,INDEX('計算B'!$B$3:$B$47,MATCH(89,'計算B'!$C$3:$C$47,0))),"")))</f>
        <v/>
      </c>
      <c r="K10" s="32">
        <f>IF('計算A'!CZ$4=0,"",IF('割り当て'!K10&lt;&gt;"",'割り当て'!K10,IFERROR(INDEX('名簿'!$G$5:$G$49,INDEX('計算B'!$B$3:$B$47,MATCH(101,'計算B'!$C$3:$C$47,0))),"")))</f>
        <v/>
      </c>
      <c r="L10" s="32">
        <f>IF('計算A'!DL$4=0,"",IF('割り当て'!L10&lt;&gt;"",'割り当て'!L10,IFERROR(INDEX('名簿'!$G$5:$G$49,INDEX('計算B'!$B$3:$B$47,MATCH(113,'計算B'!$C$3:$C$47,0))),"")))</f>
        <v/>
      </c>
      <c r="N10" s="59" t="inlineStr">
        <is>
          <t>未入力・未提出で外した</t>
        </is>
      </c>
      <c r="O10" s="60">
        <f t="array" ref="O10">_xlfn.TEXTJOIN("、",TRUE,IF((('名簿'!$H$5:$H$49="未入力")+('名簿'!$H$5:$H$49="未提出"))*('計算A'!$DY$10:$DY$54=0),'名簿'!$G$5:$G$49,""))</f>
        <v/>
      </c>
    </row>
    <row r="11" ht="30" customHeight="1">
      <c r="B11" s="50">
        <f>'設定'!$I$16</f>
        <v/>
      </c>
      <c r="C11" s="32">
        <f>IF('計算A'!I$4=0,"",IF('割り当て'!C11&lt;&gt;"",'割り当て'!C11,IFERROR(INDEX('名簿'!$G$5:$G$49,INDEX('計算B'!$B$3:$B$47,MATCH(6,'計算B'!$C$3:$C$47,0))),"")))</f>
        <v/>
      </c>
      <c r="D11" s="32">
        <f>IF('計算A'!U$4=0,"",IF('割り当て'!D11&lt;&gt;"",'割り当て'!D11,IFERROR(INDEX('名簿'!$G$5:$G$49,INDEX('計算B'!$B$3:$B$47,MATCH(18,'計算B'!$C$3:$C$47,0))),"")))</f>
        <v/>
      </c>
      <c r="E11" s="32">
        <f>IF('計算A'!AG$4=0,"",IF('割り当て'!E11&lt;&gt;"",'割り当て'!E11,IFERROR(INDEX('名簿'!$G$5:$G$49,INDEX('計算B'!$B$3:$B$47,MATCH(30,'計算B'!$C$3:$C$47,0))),"")))</f>
        <v/>
      </c>
      <c r="F11" s="32">
        <f>IF('計算A'!AS$4=0,"",IF('割り当て'!F11&lt;&gt;"",'割り当て'!F11,IFERROR(INDEX('名簿'!$G$5:$G$49,INDEX('計算B'!$B$3:$B$47,MATCH(42,'計算B'!$C$3:$C$47,0))),"")))</f>
        <v/>
      </c>
      <c r="G11" s="32">
        <f>IF('計算A'!BE$4=0,"",IF('割り当て'!G11&lt;&gt;"",'割り当て'!G11,IFERROR(INDEX('名簿'!$G$5:$G$49,INDEX('計算B'!$B$3:$B$47,MATCH(54,'計算B'!$C$3:$C$47,0))),"")))</f>
        <v/>
      </c>
      <c r="H11" s="32">
        <f>IF('計算A'!BQ$4=0,"",IF('割り当て'!H11&lt;&gt;"",'割り当て'!H11,IFERROR(INDEX('名簿'!$G$5:$G$49,INDEX('計算B'!$B$3:$B$47,MATCH(66,'計算B'!$C$3:$C$47,0))),"")))</f>
        <v/>
      </c>
      <c r="I11" s="32">
        <f>IF('計算A'!CC$4=0,"",IF('割り当て'!I11&lt;&gt;"",'割り当て'!I11,IFERROR(INDEX('名簿'!$G$5:$G$49,INDEX('計算B'!$B$3:$B$47,MATCH(78,'計算B'!$C$3:$C$47,0))),"")))</f>
        <v/>
      </c>
      <c r="J11" s="32">
        <f>IF('計算A'!CO$4=0,"",IF('割り当て'!J11&lt;&gt;"",'割り当て'!J11,IFERROR(INDEX('名簿'!$G$5:$G$49,INDEX('計算B'!$B$3:$B$47,MATCH(90,'計算B'!$C$3:$C$47,0))),"")))</f>
        <v/>
      </c>
      <c r="K11" s="32">
        <f>IF('計算A'!DA$4=0,"",IF('割り当て'!K11&lt;&gt;"",'割り当て'!K11,IFERROR(INDEX('名簿'!$G$5:$G$49,INDEX('計算B'!$B$3:$B$47,MATCH(102,'計算B'!$C$3:$C$47,0))),"")))</f>
        <v/>
      </c>
      <c r="L11" s="32">
        <f>IF('計算A'!DM$4=0,"",IF('割り当て'!L11&lt;&gt;"",'割り当て'!L11,IFERROR(INDEX('名簿'!$G$5:$G$49,INDEX('計算B'!$B$3:$B$47,MATCH(114,'計算B'!$C$3:$C$47,0))),"")))</f>
        <v/>
      </c>
    </row>
    <row r="12" ht="30" customHeight="1">
      <c r="B12" s="50">
        <f>'設定'!$I$17</f>
        <v/>
      </c>
      <c r="C12" s="32">
        <f>IF('計算A'!J$4=0,"",IF('割り当て'!C12&lt;&gt;"",'割り当て'!C12,IFERROR(INDEX('名簿'!$G$5:$G$49,INDEX('計算B'!$B$3:$B$47,MATCH(7,'計算B'!$C$3:$C$47,0))),"")))</f>
        <v/>
      </c>
      <c r="D12" s="32">
        <f>IF('計算A'!V$4=0,"",IF('割り当て'!D12&lt;&gt;"",'割り当て'!D12,IFERROR(INDEX('名簿'!$G$5:$G$49,INDEX('計算B'!$B$3:$B$47,MATCH(19,'計算B'!$C$3:$C$47,0))),"")))</f>
        <v/>
      </c>
      <c r="E12" s="32">
        <f>IF('計算A'!AH$4=0,"",IF('割り当て'!E12&lt;&gt;"",'割り当て'!E12,IFERROR(INDEX('名簿'!$G$5:$G$49,INDEX('計算B'!$B$3:$B$47,MATCH(31,'計算B'!$C$3:$C$47,0))),"")))</f>
        <v/>
      </c>
      <c r="F12" s="32">
        <f>IF('計算A'!AT$4=0,"",IF('割り当て'!F12&lt;&gt;"",'割り当て'!F12,IFERROR(INDEX('名簿'!$G$5:$G$49,INDEX('計算B'!$B$3:$B$47,MATCH(43,'計算B'!$C$3:$C$47,0))),"")))</f>
        <v/>
      </c>
      <c r="G12" s="32">
        <f>IF('計算A'!BF$4=0,"",IF('割り当て'!G12&lt;&gt;"",'割り当て'!G12,IFERROR(INDEX('名簿'!$G$5:$G$49,INDEX('計算B'!$B$3:$B$47,MATCH(55,'計算B'!$C$3:$C$47,0))),"")))</f>
        <v/>
      </c>
      <c r="H12" s="32">
        <f>IF('計算A'!BR$4=0,"",IF('割り当て'!H12&lt;&gt;"",'割り当て'!H12,IFERROR(INDEX('名簿'!$G$5:$G$49,INDEX('計算B'!$B$3:$B$47,MATCH(67,'計算B'!$C$3:$C$47,0))),"")))</f>
        <v/>
      </c>
      <c r="I12" s="32">
        <f>IF('計算A'!CD$4=0,"",IF('割り当て'!I12&lt;&gt;"",'割り当て'!I12,IFERROR(INDEX('名簿'!$G$5:$G$49,INDEX('計算B'!$B$3:$B$47,MATCH(79,'計算B'!$C$3:$C$47,0))),"")))</f>
        <v/>
      </c>
      <c r="J12" s="32">
        <f>IF('計算A'!CP$4=0,"",IF('割り当て'!J12&lt;&gt;"",'割り当て'!J12,IFERROR(INDEX('名簿'!$G$5:$G$49,INDEX('計算B'!$B$3:$B$47,MATCH(91,'計算B'!$C$3:$C$47,0))),"")))</f>
        <v/>
      </c>
      <c r="K12" s="32">
        <f>IF('計算A'!DB$4=0,"",IF('割り当て'!K12&lt;&gt;"",'割り当て'!K12,IFERROR(INDEX('名簿'!$G$5:$G$49,INDEX('計算B'!$B$3:$B$47,MATCH(103,'計算B'!$C$3:$C$47,0))),"")))</f>
        <v/>
      </c>
      <c r="L12" s="32">
        <f>IF('計算A'!DN$4=0,"",IF('割り当て'!L12&lt;&gt;"",'割り当て'!L12,IFERROR(INDEX('名簿'!$G$5:$G$49,INDEX('計算B'!$B$3:$B$47,MATCH(115,'計算B'!$C$3:$C$47,0))),"")))</f>
        <v/>
      </c>
      <c r="N12" s="55" t="inlineStr">
        <is>
          <t>空けたい枠を使った</t>
        </is>
      </c>
      <c r="O12" s="56">
        <f>SUM('計算B'!$D$3:$D$47)&amp;" 枠"</f>
        <v/>
      </c>
    </row>
    <row r="13" ht="30" customHeight="1">
      <c r="B13" s="50">
        <f>'設定'!$I$18</f>
        <v/>
      </c>
      <c r="C13" s="32">
        <f>IF('計算A'!K$4=0,"",IF('割り当て'!C13&lt;&gt;"",'割り当て'!C13,IFERROR(INDEX('名簿'!$G$5:$G$49,INDEX('計算B'!$B$3:$B$47,MATCH(8,'計算B'!$C$3:$C$47,0))),"")))</f>
        <v/>
      </c>
      <c r="D13" s="32">
        <f>IF('計算A'!W$4=0,"",IF('割り当て'!D13&lt;&gt;"",'割り当て'!D13,IFERROR(INDEX('名簿'!$G$5:$G$49,INDEX('計算B'!$B$3:$B$47,MATCH(20,'計算B'!$C$3:$C$47,0))),"")))</f>
        <v/>
      </c>
      <c r="E13" s="32">
        <f>IF('計算A'!AI$4=0,"",IF('割り当て'!E13&lt;&gt;"",'割り当て'!E13,IFERROR(INDEX('名簿'!$G$5:$G$49,INDEX('計算B'!$B$3:$B$47,MATCH(32,'計算B'!$C$3:$C$47,0))),"")))</f>
        <v/>
      </c>
      <c r="F13" s="32">
        <f>IF('計算A'!AU$4=0,"",IF('割り当て'!F13&lt;&gt;"",'割り当て'!F13,IFERROR(INDEX('名簿'!$G$5:$G$49,INDEX('計算B'!$B$3:$B$47,MATCH(44,'計算B'!$C$3:$C$47,0))),"")))</f>
        <v/>
      </c>
      <c r="G13" s="32">
        <f>IF('計算A'!BG$4=0,"",IF('割り当て'!G13&lt;&gt;"",'割り当て'!G13,IFERROR(INDEX('名簿'!$G$5:$G$49,INDEX('計算B'!$B$3:$B$47,MATCH(56,'計算B'!$C$3:$C$47,0))),"")))</f>
        <v/>
      </c>
      <c r="H13" s="32">
        <f>IF('計算A'!BS$4=0,"",IF('割り当て'!H13&lt;&gt;"",'割り当て'!H13,IFERROR(INDEX('名簿'!$G$5:$G$49,INDEX('計算B'!$B$3:$B$47,MATCH(68,'計算B'!$C$3:$C$47,0))),"")))</f>
        <v/>
      </c>
      <c r="I13" s="32">
        <f>IF('計算A'!CE$4=0,"",IF('割り当て'!I13&lt;&gt;"",'割り当て'!I13,IFERROR(INDEX('名簿'!$G$5:$G$49,INDEX('計算B'!$B$3:$B$47,MATCH(80,'計算B'!$C$3:$C$47,0))),"")))</f>
        <v/>
      </c>
      <c r="J13" s="32">
        <f>IF('計算A'!CQ$4=0,"",IF('割り当て'!J13&lt;&gt;"",'割り当て'!J13,IFERROR(INDEX('名簿'!$G$5:$G$49,INDEX('計算B'!$B$3:$B$47,MATCH(92,'計算B'!$C$3:$C$47,0))),"")))</f>
        <v/>
      </c>
      <c r="K13" s="32">
        <f>IF('計算A'!DC$4=0,"",IF('割り当て'!K13&lt;&gt;"",'割り当て'!K13,IFERROR(INDEX('名簿'!$G$5:$G$49,INDEX('計算B'!$B$3:$B$47,MATCH(104,'計算B'!$C$3:$C$47,0))),"")))</f>
        <v/>
      </c>
      <c r="L13" s="32">
        <f>IF('計算A'!DO$4=0,"",IF('割り当て'!L13&lt;&gt;"",'割り当て'!L13,IFERROR(INDEX('名簿'!$G$5:$G$49,INDEX('計算B'!$B$3:$B$47,MATCH(116,'計算B'!$C$3:$C$47,0))),"")))</f>
        <v/>
      </c>
    </row>
    <row r="14" ht="30" customHeight="1">
      <c r="B14" s="50">
        <f>'設定'!$I$19</f>
        <v/>
      </c>
      <c r="C14" s="32">
        <f>IF('計算A'!L$4=0,"",IF('割り当て'!C14&lt;&gt;"",'割り当て'!C14,IFERROR(INDEX('名簿'!$G$5:$G$49,INDEX('計算B'!$B$3:$B$47,MATCH(9,'計算B'!$C$3:$C$47,0))),"")))</f>
        <v/>
      </c>
      <c r="D14" s="32">
        <f>IF('計算A'!X$4=0,"",IF('割り当て'!D14&lt;&gt;"",'割り当て'!D14,IFERROR(INDEX('名簿'!$G$5:$G$49,INDEX('計算B'!$B$3:$B$47,MATCH(21,'計算B'!$C$3:$C$47,0))),"")))</f>
        <v/>
      </c>
      <c r="E14" s="32">
        <f>IF('計算A'!AJ$4=0,"",IF('割り当て'!E14&lt;&gt;"",'割り当て'!E14,IFERROR(INDEX('名簿'!$G$5:$G$49,INDEX('計算B'!$B$3:$B$47,MATCH(33,'計算B'!$C$3:$C$47,0))),"")))</f>
        <v/>
      </c>
      <c r="F14" s="32">
        <f>IF('計算A'!AV$4=0,"",IF('割り当て'!F14&lt;&gt;"",'割り当て'!F14,IFERROR(INDEX('名簿'!$G$5:$G$49,INDEX('計算B'!$B$3:$B$47,MATCH(45,'計算B'!$C$3:$C$47,0))),"")))</f>
        <v/>
      </c>
      <c r="G14" s="32">
        <f>IF('計算A'!BH$4=0,"",IF('割り当て'!G14&lt;&gt;"",'割り当て'!G14,IFERROR(INDEX('名簿'!$G$5:$G$49,INDEX('計算B'!$B$3:$B$47,MATCH(57,'計算B'!$C$3:$C$47,0))),"")))</f>
        <v/>
      </c>
      <c r="H14" s="32">
        <f>IF('計算A'!BT$4=0,"",IF('割り当て'!H14&lt;&gt;"",'割り当て'!H14,IFERROR(INDEX('名簿'!$G$5:$G$49,INDEX('計算B'!$B$3:$B$47,MATCH(69,'計算B'!$C$3:$C$47,0))),"")))</f>
        <v/>
      </c>
      <c r="I14" s="32">
        <f>IF('計算A'!CF$4=0,"",IF('割り当て'!I14&lt;&gt;"",'割り当て'!I14,IFERROR(INDEX('名簿'!$G$5:$G$49,INDEX('計算B'!$B$3:$B$47,MATCH(81,'計算B'!$C$3:$C$47,0))),"")))</f>
        <v/>
      </c>
      <c r="J14" s="32">
        <f>IF('計算A'!CR$4=0,"",IF('割り当て'!J14&lt;&gt;"",'割り当て'!J14,IFERROR(INDEX('名簿'!$G$5:$G$49,INDEX('計算B'!$B$3:$B$47,MATCH(93,'計算B'!$C$3:$C$47,0))),"")))</f>
        <v/>
      </c>
      <c r="K14" s="32">
        <f>IF('計算A'!DD$4=0,"",IF('割り当て'!K14&lt;&gt;"",'割り当て'!K14,IFERROR(INDEX('名簿'!$G$5:$G$49,INDEX('計算B'!$B$3:$B$47,MATCH(105,'計算B'!$C$3:$C$47,0))),"")))</f>
        <v/>
      </c>
      <c r="L14" s="32">
        <f>IF('計算A'!DP$4=0,"",IF('割り当て'!L14&lt;&gt;"",'割り当て'!L14,IFERROR(INDEX('名簿'!$G$5:$G$49,INDEX('計算B'!$B$3:$B$47,MATCH(117,'計算B'!$C$3:$C$47,0))),"")))</f>
        <v/>
      </c>
    </row>
    <row r="15" ht="30" customHeight="1">
      <c r="B15" s="50">
        <f>'設定'!$I$20</f>
        <v/>
      </c>
      <c r="C15" s="32">
        <f>IF('計算A'!M$4=0,"",IF('割り当て'!C15&lt;&gt;"",'割り当て'!C15,IFERROR(INDEX('名簿'!$G$5:$G$49,INDEX('計算B'!$B$3:$B$47,MATCH(10,'計算B'!$C$3:$C$47,0))),"")))</f>
        <v/>
      </c>
      <c r="D15" s="32">
        <f>IF('計算A'!Y$4=0,"",IF('割り当て'!D15&lt;&gt;"",'割り当て'!D15,IFERROR(INDEX('名簿'!$G$5:$G$49,INDEX('計算B'!$B$3:$B$47,MATCH(22,'計算B'!$C$3:$C$47,0))),"")))</f>
        <v/>
      </c>
      <c r="E15" s="32">
        <f>IF('計算A'!AK$4=0,"",IF('割り当て'!E15&lt;&gt;"",'割り当て'!E15,IFERROR(INDEX('名簿'!$G$5:$G$49,INDEX('計算B'!$B$3:$B$47,MATCH(34,'計算B'!$C$3:$C$47,0))),"")))</f>
        <v/>
      </c>
      <c r="F15" s="32">
        <f>IF('計算A'!AW$4=0,"",IF('割り当て'!F15&lt;&gt;"",'割り当て'!F15,IFERROR(INDEX('名簿'!$G$5:$G$49,INDEX('計算B'!$B$3:$B$47,MATCH(46,'計算B'!$C$3:$C$47,0))),"")))</f>
        <v/>
      </c>
      <c r="G15" s="32">
        <f>IF('計算A'!BI$4=0,"",IF('割り当て'!G15&lt;&gt;"",'割り当て'!G15,IFERROR(INDEX('名簿'!$G$5:$G$49,INDEX('計算B'!$B$3:$B$47,MATCH(58,'計算B'!$C$3:$C$47,0))),"")))</f>
        <v/>
      </c>
      <c r="H15" s="32">
        <f>IF('計算A'!BU$4=0,"",IF('割り当て'!H15&lt;&gt;"",'割り当て'!H15,IFERROR(INDEX('名簿'!$G$5:$G$49,INDEX('計算B'!$B$3:$B$47,MATCH(70,'計算B'!$C$3:$C$47,0))),"")))</f>
        <v/>
      </c>
      <c r="I15" s="32">
        <f>IF('計算A'!CG$4=0,"",IF('割り当て'!I15&lt;&gt;"",'割り当て'!I15,IFERROR(INDEX('名簿'!$G$5:$G$49,INDEX('計算B'!$B$3:$B$47,MATCH(82,'計算B'!$C$3:$C$47,0))),"")))</f>
        <v/>
      </c>
      <c r="J15" s="32">
        <f>IF('計算A'!CS$4=0,"",IF('割り当て'!J15&lt;&gt;"",'割り当て'!J15,IFERROR(INDEX('名簿'!$G$5:$G$49,INDEX('計算B'!$B$3:$B$47,MATCH(94,'計算B'!$C$3:$C$47,0))),"")))</f>
        <v/>
      </c>
      <c r="K15" s="32">
        <f>IF('計算A'!DE$4=0,"",IF('割り当て'!K15&lt;&gt;"",'割り当て'!K15,IFERROR(INDEX('名簿'!$G$5:$G$49,INDEX('計算B'!$B$3:$B$47,MATCH(106,'計算B'!$C$3:$C$47,0))),"")))</f>
        <v/>
      </c>
      <c r="L15" s="32">
        <f>IF('計算A'!DQ$4=0,"",IF('割り当て'!L15&lt;&gt;"",'割り当て'!L15,IFERROR(INDEX('名簿'!$G$5:$G$49,INDEX('計算B'!$B$3:$B$47,MATCH(118,'計算B'!$C$3:$C$47,0))),"")))</f>
        <v/>
      </c>
    </row>
    <row r="16" ht="30" customHeight="1">
      <c r="B16" s="50">
        <f>'設定'!$I$21</f>
        <v/>
      </c>
      <c r="C16" s="32">
        <f>IF('計算A'!N$4=0,"",IF('割り当て'!C16&lt;&gt;"",'割り当て'!C16,IFERROR(INDEX('名簿'!$G$5:$G$49,INDEX('計算B'!$B$3:$B$47,MATCH(11,'計算B'!$C$3:$C$47,0))),"")))</f>
        <v/>
      </c>
      <c r="D16" s="32">
        <f>IF('計算A'!Z$4=0,"",IF('割り当て'!D16&lt;&gt;"",'割り当て'!D16,IFERROR(INDEX('名簿'!$G$5:$G$49,INDEX('計算B'!$B$3:$B$47,MATCH(23,'計算B'!$C$3:$C$47,0))),"")))</f>
        <v/>
      </c>
      <c r="E16" s="32">
        <f>IF('計算A'!AL$4=0,"",IF('割り当て'!E16&lt;&gt;"",'割り当て'!E16,IFERROR(INDEX('名簿'!$G$5:$G$49,INDEX('計算B'!$B$3:$B$47,MATCH(35,'計算B'!$C$3:$C$47,0))),"")))</f>
        <v/>
      </c>
      <c r="F16" s="32">
        <f>IF('計算A'!AX$4=0,"",IF('割り当て'!F16&lt;&gt;"",'割り当て'!F16,IFERROR(INDEX('名簿'!$G$5:$G$49,INDEX('計算B'!$B$3:$B$47,MATCH(47,'計算B'!$C$3:$C$47,0))),"")))</f>
        <v/>
      </c>
      <c r="G16" s="32">
        <f>IF('計算A'!BJ$4=0,"",IF('割り当て'!G16&lt;&gt;"",'割り当て'!G16,IFERROR(INDEX('名簿'!$G$5:$G$49,INDEX('計算B'!$B$3:$B$47,MATCH(59,'計算B'!$C$3:$C$47,0))),"")))</f>
        <v/>
      </c>
      <c r="H16" s="32">
        <f>IF('計算A'!BV$4=0,"",IF('割り当て'!H16&lt;&gt;"",'割り当て'!H16,IFERROR(INDEX('名簿'!$G$5:$G$49,INDEX('計算B'!$B$3:$B$47,MATCH(71,'計算B'!$C$3:$C$47,0))),"")))</f>
        <v/>
      </c>
      <c r="I16" s="32">
        <f>IF('計算A'!CH$4=0,"",IF('割り当て'!I16&lt;&gt;"",'割り当て'!I16,IFERROR(INDEX('名簿'!$G$5:$G$49,INDEX('計算B'!$B$3:$B$47,MATCH(83,'計算B'!$C$3:$C$47,0))),"")))</f>
        <v/>
      </c>
      <c r="J16" s="32">
        <f>IF('計算A'!CT$4=0,"",IF('割り当て'!J16&lt;&gt;"",'割り当て'!J16,IFERROR(INDEX('名簿'!$G$5:$G$49,INDEX('計算B'!$B$3:$B$47,MATCH(95,'計算B'!$C$3:$C$47,0))),"")))</f>
        <v/>
      </c>
      <c r="K16" s="32">
        <f>IF('計算A'!DF$4=0,"",IF('割り当て'!K16&lt;&gt;"",'割り当て'!K16,IFERROR(INDEX('名簿'!$G$5:$G$49,INDEX('計算B'!$B$3:$B$47,MATCH(107,'計算B'!$C$3:$C$47,0))),"")))</f>
        <v/>
      </c>
      <c r="L16" s="32">
        <f>IF('計算A'!DR$4=0,"",IF('割り当て'!L16&lt;&gt;"",'割り当て'!L16,IFERROR(INDEX('名簿'!$G$5:$G$49,INDEX('計算B'!$B$3:$B$47,MATCH(119,'計算B'!$C$3:$C$47,0))),"")))</f>
        <v/>
      </c>
    </row>
    <row r="17" ht="30" customHeight="1">
      <c r="B17" s="50">
        <f>'設定'!$I$22</f>
        <v/>
      </c>
      <c r="C17" s="32">
        <f>IF('計算A'!O$4=0,"",IF('割り当て'!C17&lt;&gt;"",'割り当て'!C17,IFERROR(INDEX('名簿'!$G$5:$G$49,INDEX('計算B'!$B$3:$B$47,MATCH(12,'計算B'!$C$3:$C$47,0))),"")))</f>
        <v/>
      </c>
      <c r="D17" s="32">
        <f>IF('計算A'!AA$4=0,"",IF('割り当て'!D17&lt;&gt;"",'割り当て'!D17,IFERROR(INDEX('名簿'!$G$5:$G$49,INDEX('計算B'!$B$3:$B$47,MATCH(24,'計算B'!$C$3:$C$47,0))),"")))</f>
        <v/>
      </c>
      <c r="E17" s="32">
        <f>IF('計算A'!AM$4=0,"",IF('割り当て'!E17&lt;&gt;"",'割り当て'!E17,IFERROR(INDEX('名簿'!$G$5:$G$49,INDEX('計算B'!$B$3:$B$47,MATCH(36,'計算B'!$C$3:$C$47,0))),"")))</f>
        <v/>
      </c>
      <c r="F17" s="32">
        <f>IF('計算A'!AY$4=0,"",IF('割り当て'!F17&lt;&gt;"",'割り当て'!F17,IFERROR(INDEX('名簿'!$G$5:$G$49,INDEX('計算B'!$B$3:$B$47,MATCH(48,'計算B'!$C$3:$C$47,0))),"")))</f>
        <v/>
      </c>
      <c r="G17" s="32">
        <f>IF('計算A'!BK$4=0,"",IF('割り当て'!G17&lt;&gt;"",'割り当て'!G17,IFERROR(INDEX('名簿'!$G$5:$G$49,INDEX('計算B'!$B$3:$B$47,MATCH(60,'計算B'!$C$3:$C$47,0))),"")))</f>
        <v/>
      </c>
      <c r="H17" s="32">
        <f>IF('計算A'!BW$4=0,"",IF('割り当て'!H17&lt;&gt;"",'割り当て'!H17,IFERROR(INDEX('名簿'!$G$5:$G$49,INDEX('計算B'!$B$3:$B$47,MATCH(72,'計算B'!$C$3:$C$47,0))),"")))</f>
        <v/>
      </c>
      <c r="I17" s="32">
        <f>IF('計算A'!CI$4=0,"",IF('割り当て'!I17&lt;&gt;"",'割り当て'!I17,IFERROR(INDEX('名簿'!$G$5:$G$49,INDEX('計算B'!$B$3:$B$47,MATCH(84,'計算B'!$C$3:$C$47,0))),"")))</f>
        <v/>
      </c>
      <c r="J17" s="32">
        <f>IF('計算A'!CU$4=0,"",IF('割り当て'!J17&lt;&gt;"",'割り当て'!J17,IFERROR(INDEX('名簿'!$G$5:$G$49,INDEX('計算B'!$B$3:$B$47,MATCH(96,'計算B'!$C$3:$C$47,0))),"")))</f>
        <v/>
      </c>
      <c r="K17" s="32">
        <f>IF('計算A'!DG$4=0,"",IF('割り当て'!K17&lt;&gt;"",'割り当て'!K17,IFERROR(INDEX('名簿'!$G$5:$G$49,INDEX('計算B'!$B$3:$B$47,MATCH(108,'計算B'!$C$3:$C$47,0))),"")))</f>
        <v/>
      </c>
      <c r="L17" s="32">
        <f>IF('計算A'!DS$4=0,"",IF('割り当て'!L17&lt;&gt;"",'割り当て'!L17,IFERROR(INDEX('名簿'!$G$5:$G$49,INDEX('計算B'!$B$3:$B$47,MATCH(120,'計算B'!$C$3:$C$47,0))),"")))</f>
        <v/>
      </c>
    </row>
  </sheetData>
  <mergeCells count="2">
    <mergeCell ref="O8:O9"/>
    <mergeCell ref="O10:O11"/>
  </mergeCells>
  <conditionalFormatting sqref="C6:L17">
    <cfRule type="expression" priority="1" dxfId="6" stopIfTrue="1">
      <formula>INDEX('計算A'!$D$4:$DS$4,(COLUMN(C6)-3)*12+ROW(C6)-5)=0</formula>
    </cfRule>
    <cfRule type="expression" priority="2" dxfId="8">
      <formula>AND(C6&lt;&gt;"",'割り当て'!C6="")</formula>
    </cfRule>
    <cfRule type="expression" priority="3" dxfId="9" stopIfTrue="1">
      <formula>AND(C6="",INDEX('計算A'!$D$107:$DS$107,(COLUMN(C6)-3)*12+ROW(C6)-5)+INDEX('計算A'!$D$108:$DS$108,(COLUMN(C6)-3)*12+ROW(C6)-5)&gt;0)</formula>
    </cfRule>
    <cfRule type="expression" priority="4" dxfId="10">
      <formula>AND(C6="",INDEX('計算A'!$D$5:$DS$5,(COLUMN(C6)-3)*12+ROW(C6)-5)=1)</formula>
    </cfRule>
  </conditionalFormatting>
  <conditionalFormatting sqref="C5:L5">
    <cfRule type="expression" priority="5" dxfId="7">
      <formula>C5=""</formula>
    </cfRule>
  </conditionalFormatting>
  <pageMargins left="0.75" right="0.75" top="1" bottom="1" header="0.5" footer="0.5"/>
</worksheet>
</file>

<file path=xl/worksheets/sheet6.xml><?xml version="1.0" encoding="utf-8"?>
<worksheet xmlns="http://schemas.openxmlformats.org/spreadsheetml/2006/main">
  <sheetPr>
    <tabColor rgb="00C77D1A"/>
    <outlinePr summaryBelow="1" summaryRight="1"/>
    <pageSetUpPr/>
  </sheetPr>
  <dimension ref="A1:O33"/>
  <sheetViews>
    <sheetView showGridLines="0" showRowColHeaders="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16" customWidth="1" min="14" max="14"/>
    <col width="40" customWidth="1" min="15" max="15"/>
  </cols>
  <sheetData>
    <row r="1" ht="44" customHeight="1">
      <c r="A1" s="2" t="n"/>
      <c r="B1" s="43" t="inlineStr">
        <is>
          <t>割り当て</t>
        </is>
      </c>
      <c r="C1" s="2" t="n"/>
      <c r="D1" s="2" t="n"/>
      <c r="E1" s="2" t="n"/>
      <c r="F1" s="18">
        <f>HYPERLINK("#'ホーム'!A1","ホーム")</f>
        <v/>
      </c>
      <c r="G1" s="18">
        <f>HYPERLINK("#'設定'!A1","① 設定")</f>
        <v/>
      </c>
      <c r="H1" s="18">
        <f>HYPERLINK("#'名簿'!A1","② 名簿")</f>
        <v/>
      </c>
      <c r="I1" s="18">
        <f>HYPERLINK("#'×入力'!A1","③ ×入力")</f>
        <v/>
      </c>
      <c r="J1" s="18">
        <f>HYPERLINK("#'自動案'!A1","④ 自動案")</f>
        <v/>
      </c>
      <c r="K1" s="19">
        <f>HYPERLINK("#'割り当て'!A1","⑤ 割り当て")</f>
        <v/>
      </c>
      <c r="L1" s="2" t="n"/>
      <c r="M1" s="2" t="n"/>
      <c r="N1" s="2" t="n"/>
      <c r="O1" s="2" t="n"/>
    </row>
    <row r="2" ht="24" customHeight="1">
      <c r="A2" s="4" t="n"/>
      <c r="B2" s="44" t="inlineStr">
        <is>
          <t>各枠のプルダウンで児童を選びます。右の「児童を選ぶ」で選んだ児童の入れられる枠に色がつきます。</t>
        </is>
      </c>
      <c r="C2" s="4" t="n"/>
      <c r="D2" s="4" t="n"/>
      <c r="E2" s="4" t="n"/>
      <c r="F2" s="4" t="n"/>
      <c r="G2" s="4" t="n"/>
      <c r="H2" s="4" t="n"/>
      <c r="I2" s="4" t="n"/>
      <c r="J2" s="4" t="n"/>
      <c r="K2" s="4" t="n"/>
      <c r="L2" s="4" t="n"/>
      <c r="M2" s="4" t="n"/>
      <c r="N2" s="4" t="n"/>
      <c r="O2" s="4" t="n"/>
    </row>
    <row r="3" ht="28" customHeight="1">
      <c r="C3" s="61" t="inlineStr">
        <is>
          <t>選んだ児童</t>
        </is>
      </c>
      <c r="D3" s="62" t="inlineStr">
        <is>
          <t>入れられる</t>
        </is>
      </c>
      <c r="E3" s="63" t="inlineStr">
        <is>
          <t>入れられる（他の人あり）</t>
        </is>
      </c>
      <c r="F3" s="64" t="inlineStr">
        <is>
          <t>×の枠</t>
        </is>
      </c>
      <c r="G3" s="65" t="inlineStr">
        <is>
          <t>×の枠に入れた！</t>
        </is>
      </c>
      <c r="H3" s="66" t="inlineStr">
        <is>
          <t>2か所に入っている</t>
        </is>
      </c>
      <c r="I3" s="67" t="inlineStr">
        <is>
          <t>空けるはずの枠に人がいる</t>
        </is>
      </c>
      <c r="J3" s="53" t="inlineStr">
        <is>
          <t>後ろを空ける枠</t>
        </is>
      </c>
    </row>
    <row r="4">
      <c r="N4" s="56" t="inlineStr">
        <is>
          <t>児童を選ぶ ▼</t>
        </is>
      </c>
    </row>
    <row r="5">
      <c r="B5" s="49" t="inlineStr"/>
      <c r="C5" s="30">
        <f>'設定'!$E$11</f>
        <v/>
      </c>
      <c r="D5" s="30">
        <f>'設定'!$E$12</f>
        <v/>
      </c>
      <c r="E5" s="30">
        <f>'設定'!$E$13</f>
        <v/>
      </c>
      <c r="F5" s="30">
        <f>'設定'!$E$14</f>
        <v/>
      </c>
      <c r="G5" s="30">
        <f>'設定'!$E$15</f>
        <v/>
      </c>
      <c r="H5" s="30">
        <f>'設定'!$E$16</f>
        <v/>
      </c>
      <c r="I5" s="30">
        <f>'設定'!$E$17</f>
        <v/>
      </c>
      <c r="J5" s="30">
        <f>'設定'!$E$18</f>
        <v/>
      </c>
      <c r="K5" s="30">
        <f>'設定'!$E$19</f>
        <v/>
      </c>
      <c r="L5" s="30">
        <f>'設定'!$E$20</f>
        <v/>
      </c>
      <c r="N5" s="68" t="n"/>
      <c r="O5" s="29" t="n"/>
    </row>
    <row r="6" ht="30" customHeight="1">
      <c r="B6" s="50">
        <f>'設定'!$I$11</f>
        <v/>
      </c>
      <c r="C6" s="32" t="n"/>
      <c r="D6" s="32" t="n"/>
      <c r="E6" s="32" t="n"/>
      <c r="F6" s="32" t="n"/>
      <c r="G6" s="32" t="n"/>
      <c r="H6" s="32" t="n"/>
      <c r="I6" s="32" t="n"/>
      <c r="J6" s="32" t="n"/>
      <c r="K6" s="32" t="n"/>
      <c r="L6" s="32" t="n"/>
    </row>
    <row r="7" ht="30" customHeight="1">
      <c r="B7" s="50">
        <f>'設定'!$I$12</f>
        <v/>
      </c>
      <c r="C7" s="32" t="n"/>
      <c r="D7" s="32" t="n"/>
      <c r="E7" s="32" t="n"/>
      <c r="F7" s="32" t="n"/>
      <c r="G7" s="32" t="n"/>
      <c r="H7" s="32" t="n"/>
      <c r="I7" s="32" t="n"/>
      <c r="J7" s="32" t="n"/>
      <c r="K7" s="32" t="n"/>
      <c r="L7" s="32" t="n"/>
      <c r="N7" s="55" t="inlineStr">
        <is>
          <t>状況</t>
        </is>
      </c>
      <c r="O7" s="69">
        <f>IF('計算A'!$B$8=0,"",INDEX('名簿'!$H$5:$H$49,'計算A'!$B$8))</f>
        <v/>
      </c>
    </row>
    <row r="8" ht="30" customHeight="1">
      <c r="B8" s="50">
        <f>'設定'!$I$13</f>
        <v/>
      </c>
      <c r="C8" s="32" t="n"/>
      <c r="D8" s="32" t="n"/>
      <c r="E8" s="32" t="n"/>
      <c r="F8" s="32" t="n"/>
      <c r="G8" s="32" t="n"/>
      <c r="H8" s="32" t="n"/>
      <c r="I8" s="32" t="n"/>
      <c r="J8" s="32" t="n"/>
      <c r="K8" s="32" t="n"/>
      <c r="L8" s="32" t="n"/>
      <c r="N8" s="55" t="inlineStr">
        <is>
          <t>×の数</t>
        </is>
      </c>
      <c r="O8" s="69">
        <f>IF('計算A'!$B$8=0,"",INDEX('名簿'!$I$5:$I$49,'計算A'!$B$8))</f>
        <v/>
      </c>
    </row>
    <row r="9" ht="30" customHeight="1">
      <c r="B9" s="50">
        <f>'設定'!$I$14</f>
        <v/>
      </c>
      <c r="C9" s="32" t="n"/>
      <c r="D9" s="32" t="n"/>
      <c r="E9" s="32" t="n"/>
      <c r="F9" s="32" t="n"/>
      <c r="G9" s="32" t="n"/>
      <c r="H9" s="32" t="n"/>
      <c r="I9" s="32" t="n"/>
      <c r="J9" s="32" t="n"/>
      <c r="K9" s="32" t="n"/>
      <c r="L9" s="32" t="n"/>
      <c r="N9" s="55" t="inlineStr">
        <is>
          <t>今の枠</t>
        </is>
      </c>
      <c r="O9" s="69">
        <f>IF('計算A'!$B$8=0,"",INDEX('名簿'!$L$5:$L$49,'計算A'!$B$8)&amp;" "&amp;INDEX('名簿'!$M$5:$M$49,'計算A'!$B$8))</f>
        <v/>
      </c>
    </row>
    <row r="10" ht="30" customHeight="1">
      <c r="B10" s="50">
        <f>'設定'!$I$15</f>
        <v/>
      </c>
      <c r="C10" s="32" t="n"/>
      <c r="D10" s="32" t="n"/>
      <c r="E10" s="32" t="n"/>
      <c r="F10" s="32" t="n"/>
      <c r="G10" s="32" t="n"/>
      <c r="H10" s="32" t="n"/>
      <c r="I10" s="32" t="n"/>
      <c r="J10" s="32" t="n"/>
      <c r="K10" s="32" t="n"/>
      <c r="L10" s="32" t="n"/>
      <c r="N10" s="55" t="inlineStr">
        <is>
          <t>兄弟</t>
        </is>
      </c>
      <c r="O10" s="69">
        <f>IF('計算A'!$B$8=0,"",IF(INDEX('名簿'!$C$5:$C$49,'計算A'!$B$8)="","",INDEX('名簿'!$C$5:$C$49,'計算A'!$B$8)&amp;" "&amp;INDEX('名簿'!$D$5:$D$49,'計算A'!$B$8)))</f>
        <v/>
      </c>
    </row>
    <row r="11" ht="30" customHeight="1">
      <c r="B11" s="50">
        <f>'設定'!$I$16</f>
        <v/>
      </c>
      <c r="C11" s="32" t="n"/>
      <c r="D11" s="32" t="n"/>
      <c r="E11" s="32" t="n"/>
      <c r="F11" s="32" t="n"/>
      <c r="G11" s="32" t="n"/>
      <c r="H11" s="32" t="n"/>
      <c r="I11" s="32" t="n"/>
      <c r="J11" s="32" t="n"/>
      <c r="K11" s="32" t="n"/>
      <c r="L11" s="32" t="n"/>
      <c r="N11" s="55" t="inlineStr">
        <is>
          <t>入れられる空き枠</t>
        </is>
      </c>
      <c r="O11" s="60">
        <f t="array" ref="O11">IFERROR(IF('計算A'!$B$8=0,"",_xlfn.TEXTJOIN("、",TRUE,IF((INDEX('計算A'!$D$60:$DS$104,'計算A'!$B$8,0)=1)*('計算A'!$D$7:$DS$7=0),'計算A'!$D$8:$DS$8,""))),"")</f>
        <v/>
      </c>
    </row>
    <row r="12" ht="30" customHeight="1">
      <c r="B12" s="50">
        <f>'設定'!$I$17</f>
        <v/>
      </c>
      <c r="C12" s="32" t="n"/>
      <c r="D12" s="32" t="n"/>
      <c r="E12" s="32" t="n"/>
      <c r="F12" s="32" t="n"/>
      <c r="G12" s="32" t="n"/>
      <c r="H12" s="32" t="n"/>
      <c r="I12" s="32" t="n"/>
      <c r="J12" s="32" t="n"/>
      <c r="K12" s="32" t="n"/>
      <c r="L12" s="32" t="n"/>
    </row>
    <row r="13" ht="30" customHeight="1">
      <c r="B13" s="50">
        <f>'設定'!$I$18</f>
        <v/>
      </c>
      <c r="C13" s="32" t="n"/>
      <c r="D13" s="32" t="n"/>
      <c r="E13" s="32" t="n"/>
      <c r="F13" s="32" t="n"/>
      <c r="G13" s="32" t="n"/>
      <c r="H13" s="32" t="n"/>
      <c r="I13" s="32" t="n"/>
      <c r="J13" s="32" t="n"/>
      <c r="K13" s="32" t="n"/>
      <c r="L13" s="32" t="n"/>
    </row>
    <row r="14" ht="30" customHeight="1">
      <c r="B14" s="50">
        <f>'設定'!$I$19</f>
        <v/>
      </c>
      <c r="C14" s="32" t="n"/>
      <c r="D14" s="32" t="n"/>
      <c r="E14" s="32" t="n"/>
      <c r="F14" s="32" t="n"/>
      <c r="G14" s="32" t="n"/>
      <c r="H14" s="32" t="n"/>
      <c r="I14" s="32" t="n"/>
      <c r="J14" s="32" t="n"/>
      <c r="K14" s="32" t="n"/>
      <c r="L14" s="32" t="n"/>
    </row>
    <row r="15" ht="30" customHeight="1">
      <c r="B15" s="50">
        <f>'設定'!$I$20</f>
        <v/>
      </c>
      <c r="C15" s="32" t="n"/>
      <c r="D15" s="32" t="n"/>
      <c r="E15" s="32" t="n"/>
      <c r="F15" s="32" t="n"/>
      <c r="G15" s="32" t="n"/>
      <c r="H15" s="32" t="n"/>
      <c r="I15" s="32" t="n"/>
      <c r="J15" s="32" t="n"/>
      <c r="K15" s="32" t="n"/>
      <c r="L15" s="32" t="n"/>
    </row>
    <row r="16" ht="30" customHeight="1">
      <c r="B16" s="50">
        <f>'設定'!$I$21</f>
        <v/>
      </c>
      <c r="C16" s="32" t="n"/>
      <c r="D16" s="32" t="n"/>
      <c r="E16" s="32" t="n"/>
      <c r="F16" s="32" t="n"/>
      <c r="G16" s="32" t="n"/>
      <c r="H16" s="32" t="n"/>
      <c r="I16" s="32" t="n"/>
      <c r="J16" s="32" t="n"/>
      <c r="K16" s="32" t="n"/>
      <c r="L16" s="32" t="n"/>
    </row>
    <row r="17" ht="30" customHeight="1">
      <c r="B17" s="50">
        <f>'設定'!$I$22</f>
        <v/>
      </c>
      <c r="C17" s="32" t="n"/>
      <c r="D17" s="32" t="n"/>
      <c r="E17" s="32" t="n"/>
      <c r="F17" s="32" t="n"/>
      <c r="G17" s="32" t="n"/>
      <c r="H17" s="32" t="n"/>
      <c r="I17" s="32" t="n"/>
      <c r="J17" s="32" t="n"/>
      <c r="K17" s="32" t="n"/>
      <c r="L17" s="32" t="n"/>
    </row>
    <row r="18"/>
    <row r="19">
      <c r="B19" s="70" t="inlineStr">
        <is>
          <t>候補（その枠に入れられる、まだ決まっていない児童）</t>
        </is>
      </c>
    </row>
    <row r="20">
      <c r="B20" s="37" t="inlineStr">
        <is>
          <t>未入力・未提出の家庭は含みません。0人の枠は赤、1人の枠はオレンジです。</t>
        </is>
      </c>
    </row>
    <row r="21">
      <c r="B21" s="49" t="inlineStr"/>
      <c r="C21" s="30">
        <f>'設定'!$E$11</f>
        <v/>
      </c>
      <c r="D21" s="30">
        <f>'設定'!$E$12</f>
        <v/>
      </c>
      <c r="E21" s="30">
        <f>'設定'!$E$13</f>
        <v/>
      </c>
      <c r="F21" s="30">
        <f>'設定'!$E$14</f>
        <v/>
      </c>
      <c r="G21" s="30">
        <f>'設定'!$E$15</f>
        <v/>
      </c>
      <c r="H21" s="30">
        <f>'設定'!$E$16</f>
        <v/>
      </c>
      <c r="I21" s="30">
        <f>'設定'!$E$17</f>
        <v/>
      </c>
      <c r="J21" s="30">
        <f>'設定'!$E$18</f>
        <v/>
      </c>
      <c r="K21" s="30">
        <f>'設定'!$E$19</f>
        <v/>
      </c>
      <c r="L21" s="30">
        <f>'設定'!$E$20</f>
        <v/>
      </c>
    </row>
    <row r="22" ht="48" customHeight="1">
      <c r="B22" s="50">
        <f>'設定'!$I$11</f>
        <v/>
      </c>
      <c r="C22" s="71">
        <f t="array" ref="C22">IF('計算A'!D$4=0,"",IF(C6&lt;&gt;"","（決定）",IF('計算A'!D$108=1,"（空ける）",SUMPRODUCT(('計算A'!D$60:D$104=1)*('計算A'!$C$10:$C$54=1))&amp;"人："&amp;_xlfn.TEXTJOIN("、",TRUE,IF(('計算A'!D$60:D$104=1)*('計算A'!$C$10:$C$54=1),'計算A'!$B$10:$B$54,"")))))</f>
        <v/>
      </c>
      <c r="D22" s="71">
        <f t="array" ref="D22">IF('計算A'!P$4=0,"",IF(D6&lt;&gt;"","（決定）",IF('計算A'!P$108=1,"（空ける）",SUMPRODUCT(('計算A'!P$60:P$104=1)*('計算A'!$C$10:$C$54=1))&amp;"人："&amp;_xlfn.TEXTJOIN("、",TRUE,IF(('計算A'!P$60:P$104=1)*('計算A'!$C$10:$C$54=1),'計算A'!$B$10:$B$54,"")))))</f>
        <v/>
      </c>
      <c r="E22" s="71">
        <f t="array" ref="E22">IF('計算A'!AB$4=0,"",IF(E6&lt;&gt;"","（決定）",IF('計算A'!AB$108=1,"（空ける）",SUMPRODUCT(('計算A'!AB$60:AB$104=1)*('計算A'!$C$10:$C$54=1))&amp;"人："&amp;_xlfn.TEXTJOIN("、",TRUE,IF(('計算A'!AB$60:AB$104=1)*('計算A'!$C$10:$C$54=1),'計算A'!$B$10:$B$54,"")))))</f>
        <v/>
      </c>
      <c r="F22" s="71">
        <f t="array" ref="F22">IF('計算A'!AN$4=0,"",IF(F6&lt;&gt;"","（決定）",IF('計算A'!AN$108=1,"（空ける）",SUMPRODUCT(('計算A'!AN$60:AN$104=1)*('計算A'!$C$10:$C$54=1))&amp;"人："&amp;_xlfn.TEXTJOIN("、",TRUE,IF(('計算A'!AN$60:AN$104=1)*('計算A'!$C$10:$C$54=1),'計算A'!$B$10:$B$54,"")))))</f>
        <v/>
      </c>
      <c r="G22" s="71">
        <f t="array" ref="G22">IF('計算A'!AZ$4=0,"",IF(G6&lt;&gt;"","（決定）",IF('計算A'!AZ$108=1,"（空ける）",SUMPRODUCT(('計算A'!AZ$60:AZ$104=1)*('計算A'!$C$10:$C$54=1))&amp;"人："&amp;_xlfn.TEXTJOIN("、",TRUE,IF(('計算A'!AZ$60:AZ$104=1)*('計算A'!$C$10:$C$54=1),'計算A'!$B$10:$B$54,"")))))</f>
        <v/>
      </c>
      <c r="H22" s="71">
        <f t="array" ref="H22">IF('計算A'!BL$4=0,"",IF(H6&lt;&gt;"","（決定）",IF('計算A'!BL$108=1,"（空ける）",SUMPRODUCT(('計算A'!BL$60:BL$104=1)*('計算A'!$C$10:$C$54=1))&amp;"人："&amp;_xlfn.TEXTJOIN("、",TRUE,IF(('計算A'!BL$60:BL$104=1)*('計算A'!$C$10:$C$54=1),'計算A'!$B$10:$B$54,"")))))</f>
        <v/>
      </c>
      <c r="I22" s="71">
        <f t="array" ref="I22">IF('計算A'!BX$4=0,"",IF(I6&lt;&gt;"","（決定）",IF('計算A'!BX$108=1,"（空ける）",SUMPRODUCT(('計算A'!BX$60:BX$104=1)*('計算A'!$C$10:$C$54=1))&amp;"人："&amp;_xlfn.TEXTJOIN("、",TRUE,IF(('計算A'!BX$60:BX$104=1)*('計算A'!$C$10:$C$54=1),'計算A'!$B$10:$B$54,"")))))</f>
        <v/>
      </c>
      <c r="J22" s="71">
        <f t="array" ref="J22">IF('計算A'!CJ$4=0,"",IF(J6&lt;&gt;"","（決定）",IF('計算A'!CJ$108=1,"（空ける）",SUMPRODUCT(('計算A'!CJ$60:CJ$104=1)*('計算A'!$C$10:$C$54=1))&amp;"人："&amp;_xlfn.TEXTJOIN("、",TRUE,IF(('計算A'!CJ$60:CJ$104=1)*('計算A'!$C$10:$C$54=1),'計算A'!$B$10:$B$54,"")))))</f>
        <v/>
      </c>
      <c r="K22" s="71">
        <f t="array" ref="K22">IF('計算A'!CV$4=0,"",IF(K6&lt;&gt;"","（決定）",IF('計算A'!CV$108=1,"（空ける）",SUMPRODUCT(('計算A'!CV$60:CV$104=1)*('計算A'!$C$10:$C$54=1))&amp;"人："&amp;_xlfn.TEXTJOIN("、",TRUE,IF(('計算A'!CV$60:CV$104=1)*('計算A'!$C$10:$C$54=1),'計算A'!$B$10:$B$54,"")))))</f>
        <v/>
      </c>
      <c r="L22" s="71">
        <f t="array" ref="L22">IF('計算A'!DH$4=0,"",IF(L6&lt;&gt;"","（決定）",IF('計算A'!DH$108=1,"（空ける）",SUMPRODUCT(('計算A'!DH$60:DH$104=1)*('計算A'!$C$10:$C$54=1))&amp;"人："&amp;_xlfn.TEXTJOIN("、",TRUE,IF(('計算A'!DH$60:DH$104=1)*('計算A'!$C$10:$C$54=1),'計算A'!$B$10:$B$54,"")))))</f>
        <v/>
      </c>
    </row>
    <row r="23" ht="48" customHeight="1">
      <c r="B23" s="50">
        <f>'設定'!$I$12</f>
        <v/>
      </c>
      <c r="C23" s="71">
        <f t="array" ref="C23">IF('計算A'!E$4=0,"",IF(C7&lt;&gt;"","（決定）",IF('計算A'!E$108=1,"（空ける）",SUMPRODUCT(('計算A'!E$60:E$104=1)*('計算A'!$C$10:$C$54=1))&amp;"人："&amp;_xlfn.TEXTJOIN("、",TRUE,IF(('計算A'!E$60:E$104=1)*('計算A'!$C$10:$C$54=1),'計算A'!$B$10:$B$54,"")))))</f>
        <v/>
      </c>
      <c r="D23" s="71">
        <f t="array" ref="D23">IF('計算A'!Q$4=0,"",IF(D7&lt;&gt;"","（決定）",IF('計算A'!Q$108=1,"（空ける）",SUMPRODUCT(('計算A'!Q$60:Q$104=1)*('計算A'!$C$10:$C$54=1))&amp;"人："&amp;_xlfn.TEXTJOIN("、",TRUE,IF(('計算A'!Q$60:Q$104=1)*('計算A'!$C$10:$C$54=1),'計算A'!$B$10:$B$54,"")))))</f>
        <v/>
      </c>
      <c r="E23" s="71">
        <f t="array" ref="E23">IF('計算A'!AC$4=0,"",IF(E7&lt;&gt;"","（決定）",IF('計算A'!AC$108=1,"（空ける）",SUMPRODUCT(('計算A'!AC$60:AC$104=1)*('計算A'!$C$10:$C$54=1))&amp;"人："&amp;_xlfn.TEXTJOIN("、",TRUE,IF(('計算A'!AC$60:AC$104=1)*('計算A'!$C$10:$C$54=1),'計算A'!$B$10:$B$54,"")))))</f>
        <v/>
      </c>
      <c r="F23" s="71">
        <f t="array" ref="F23">IF('計算A'!AO$4=0,"",IF(F7&lt;&gt;"","（決定）",IF('計算A'!AO$108=1,"（空ける）",SUMPRODUCT(('計算A'!AO$60:AO$104=1)*('計算A'!$C$10:$C$54=1))&amp;"人："&amp;_xlfn.TEXTJOIN("、",TRUE,IF(('計算A'!AO$60:AO$104=1)*('計算A'!$C$10:$C$54=1),'計算A'!$B$10:$B$54,"")))))</f>
        <v/>
      </c>
      <c r="G23" s="71">
        <f t="array" ref="G23">IF('計算A'!BA$4=0,"",IF(G7&lt;&gt;"","（決定）",IF('計算A'!BA$108=1,"（空ける）",SUMPRODUCT(('計算A'!BA$60:BA$104=1)*('計算A'!$C$10:$C$54=1))&amp;"人："&amp;_xlfn.TEXTJOIN("、",TRUE,IF(('計算A'!BA$60:BA$104=1)*('計算A'!$C$10:$C$54=1),'計算A'!$B$10:$B$54,"")))))</f>
        <v/>
      </c>
      <c r="H23" s="71">
        <f t="array" ref="H23">IF('計算A'!BM$4=0,"",IF(H7&lt;&gt;"","（決定）",IF('計算A'!BM$108=1,"（空ける）",SUMPRODUCT(('計算A'!BM$60:BM$104=1)*('計算A'!$C$10:$C$54=1))&amp;"人："&amp;_xlfn.TEXTJOIN("、",TRUE,IF(('計算A'!BM$60:BM$104=1)*('計算A'!$C$10:$C$54=1),'計算A'!$B$10:$B$54,"")))))</f>
        <v/>
      </c>
      <c r="I23" s="71">
        <f t="array" ref="I23">IF('計算A'!BY$4=0,"",IF(I7&lt;&gt;"","（決定）",IF('計算A'!BY$108=1,"（空ける）",SUMPRODUCT(('計算A'!BY$60:BY$104=1)*('計算A'!$C$10:$C$54=1))&amp;"人："&amp;_xlfn.TEXTJOIN("、",TRUE,IF(('計算A'!BY$60:BY$104=1)*('計算A'!$C$10:$C$54=1),'計算A'!$B$10:$B$54,"")))))</f>
        <v/>
      </c>
      <c r="J23" s="71">
        <f t="array" ref="J23">IF('計算A'!CK$4=0,"",IF(J7&lt;&gt;"","（決定）",IF('計算A'!CK$108=1,"（空ける）",SUMPRODUCT(('計算A'!CK$60:CK$104=1)*('計算A'!$C$10:$C$54=1))&amp;"人："&amp;_xlfn.TEXTJOIN("、",TRUE,IF(('計算A'!CK$60:CK$104=1)*('計算A'!$C$10:$C$54=1),'計算A'!$B$10:$B$54,"")))))</f>
        <v/>
      </c>
      <c r="K23" s="71">
        <f t="array" ref="K23">IF('計算A'!CW$4=0,"",IF(K7&lt;&gt;"","（決定）",IF('計算A'!CW$108=1,"（空ける）",SUMPRODUCT(('計算A'!CW$60:CW$104=1)*('計算A'!$C$10:$C$54=1))&amp;"人："&amp;_xlfn.TEXTJOIN("、",TRUE,IF(('計算A'!CW$60:CW$104=1)*('計算A'!$C$10:$C$54=1),'計算A'!$B$10:$B$54,"")))))</f>
        <v/>
      </c>
      <c r="L23" s="71">
        <f t="array" ref="L23">IF('計算A'!DI$4=0,"",IF(L7&lt;&gt;"","（決定）",IF('計算A'!DI$108=1,"（空ける）",SUMPRODUCT(('計算A'!DI$60:DI$104=1)*('計算A'!$C$10:$C$54=1))&amp;"人："&amp;_xlfn.TEXTJOIN("、",TRUE,IF(('計算A'!DI$60:DI$104=1)*('計算A'!$C$10:$C$54=1),'計算A'!$B$10:$B$54,"")))))</f>
        <v/>
      </c>
    </row>
    <row r="24" ht="48" customHeight="1">
      <c r="B24" s="50">
        <f>'設定'!$I$13</f>
        <v/>
      </c>
      <c r="C24" s="71">
        <f t="array" ref="C24">IF('計算A'!F$4=0,"",IF(C8&lt;&gt;"","（決定）",IF('計算A'!F$108=1,"（空ける）",SUMPRODUCT(('計算A'!F$60:F$104=1)*('計算A'!$C$10:$C$54=1))&amp;"人："&amp;_xlfn.TEXTJOIN("、",TRUE,IF(('計算A'!F$60:F$104=1)*('計算A'!$C$10:$C$54=1),'計算A'!$B$10:$B$54,"")))))</f>
        <v/>
      </c>
      <c r="D24" s="71">
        <f t="array" ref="D24">IF('計算A'!R$4=0,"",IF(D8&lt;&gt;"","（決定）",IF('計算A'!R$108=1,"（空ける）",SUMPRODUCT(('計算A'!R$60:R$104=1)*('計算A'!$C$10:$C$54=1))&amp;"人："&amp;_xlfn.TEXTJOIN("、",TRUE,IF(('計算A'!R$60:R$104=1)*('計算A'!$C$10:$C$54=1),'計算A'!$B$10:$B$54,"")))))</f>
        <v/>
      </c>
      <c r="E24" s="71">
        <f t="array" ref="E24">IF('計算A'!AD$4=0,"",IF(E8&lt;&gt;"","（決定）",IF('計算A'!AD$108=1,"（空ける）",SUMPRODUCT(('計算A'!AD$60:AD$104=1)*('計算A'!$C$10:$C$54=1))&amp;"人："&amp;_xlfn.TEXTJOIN("、",TRUE,IF(('計算A'!AD$60:AD$104=1)*('計算A'!$C$10:$C$54=1),'計算A'!$B$10:$B$54,"")))))</f>
        <v/>
      </c>
      <c r="F24" s="71">
        <f t="array" ref="F24">IF('計算A'!AP$4=0,"",IF(F8&lt;&gt;"","（決定）",IF('計算A'!AP$108=1,"（空ける）",SUMPRODUCT(('計算A'!AP$60:AP$104=1)*('計算A'!$C$10:$C$54=1))&amp;"人："&amp;_xlfn.TEXTJOIN("、",TRUE,IF(('計算A'!AP$60:AP$104=1)*('計算A'!$C$10:$C$54=1),'計算A'!$B$10:$B$54,"")))))</f>
        <v/>
      </c>
      <c r="G24" s="71">
        <f t="array" ref="G24">IF('計算A'!BB$4=0,"",IF(G8&lt;&gt;"","（決定）",IF('計算A'!BB$108=1,"（空ける）",SUMPRODUCT(('計算A'!BB$60:BB$104=1)*('計算A'!$C$10:$C$54=1))&amp;"人："&amp;_xlfn.TEXTJOIN("、",TRUE,IF(('計算A'!BB$60:BB$104=1)*('計算A'!$C$10:$C$54=1),'計算A'!$B$10:$B$54,"")))))</f>
        <v/>
      </c>
      <c r="H24" s="71">
        <f t="array" ref="H24">IF('計算A'!BN$4=0,"",IF(H8&lt;&gt;"","（決定）",IF('計算A'!BN$108=1,"（空ける）",SUMPRODUCT(('計算A'!BN$60:BN$104=1)*('計算A'!$C$10:$C$54=1))&amp;"人："&amp;_xlfn.TEXTJOIN("、",TRUE,IF(('計算A'!BN$60:BN$104=1)*('計算A'!$C$10:$C$54=1),'計算A'!$B$10:$B$54,"")))))</f>
        <v/>
      </c>
      <c r="I24" s="71">
        <f t="array" ref="I24">IF('計算A'!BZ$4=0,"",IF(I8&lt;&gt;"","（決定）",IF('計算A'!BZ$108=1,"（空ける）",SUMPRODUCT(('計算A'!BZ$60:BZ$104=1)*('計算A'!$C$10:$C$54=1))&amp;"人："&amp;_xlfn.TEXTJOIN("、",TRUE,IF(('計算A'!BZ$60:BZ$104=1)*('計算A'!$C$10:$C$54=1),'計算A'!$B$10:$B$54,"")))))</f>
        <v/>
      </c>
      <c r="J24" s="71">
        <f t="array" ref="J24">IF('計算A'!CL$4=0,"",IF(J8&lt;&gt;"","（決定）",IF('計算A'!CL$108=1,"（空ける）",SUMPRODUCT(('計算A'!CL$60:CL$104=1)*('計算A'!$C$10:$C$54=1))&amp;"人："&amp;_xlfn.TEXTJOIN("、",TRUE,IF(('計算A'!CL$60:CL$104=1)*('計算A'!$C$10:$C$54=1),'計算A'!$B$10:$B$54,"")))))</f>
        <v/>
      </c>
      <c r="K24" s="71">
        <f t="array" ref="K24">IF('計算A'!CX$4=0,"",IF(K8&lt;&gt;"","（決定）",IF('計算A'!CX$108=1,"（空ける）",SUMPRODUCT(('計算A'!CX$60:CX$104=1)*('計算A'!$C$10:$C$54=1))&amp;"人："&amp;_xlfn.TEXTJOIN("、",TRUE,IF(('計算A'!CX$60:CX$104=1)*('計算A'!$C$10:$C$54=1),'計算A'!$B$10:$B$54,"")))))</f>
        <v/>
      </c>
      <c r="L24" s="71">
        <f t="array" ref="L24">IF('計算A'!DJ$4=0,"",IF(L8&lt;&gt;"","（決定）",IF('計算A'!DJ$108=1,"（空ける）",SUMPRODUCT(('計算A'!DJ$60:DJ$104=1)*('計算A'!$C$10:$C$54=1))&amp;"人："&amp;_xlfn.TEXTJOIN("、",TRUE,IF(('計算A'!DJ$60:DJ$104=1)*('計算A'!$C$10:$C$54=1),'計算A'!$B$10:$B$54,"")))))</f>
        <v/>
      </c>
    </row>
    <row r="25" ht="48" customHeight="1">
      <c r="B25" s="50">
        <f>'設定'!$I$14</f>
        <v/>
      </c>
      <c r="C25" s="71">
        <f t="array" ref="C25">IF('計算A'!G$4=0,"",IF(C9&lt;&gt;"","（決定）",IF('計算A'!G$108=1,"（空ける）",SUMPRODUCT(('計算A'!G$60:G$104=1)*('計算A'!$C$10:$C$54=1))&amp;"人："&amp;_xlfn.TEXTJOIN("、",TRUE,IF(('計算A'!G$60:G$104=1)*('計算A'!$C$10:$C$54=1),'計算A'!$B$10:$B$54,"")))))</f>
        <v/>
      </c>
      <c r="D25" s="71">
        <f t="array" ref="D25">IF('計算A'!S$4=0,"",IF(D9&lt;&gt;"","（決定）",IF('計算A'!S$108=1,"（空ける）",SUMPRODUCT(('計算A'!S$60:S$104=1)*('計算A'!$C$10:$C$54=1))&amp;"人："&amp;_xlfn.TEXTJOIN("、",TRUE,IF(('計算A'!S$60:S$104=1)*('計算A'!$C$10:$C$54=1),'計算A'!$B$10:$B$54,"")))))</f>
        <v/>
      </c>
      <c r="E25" s="71">
        <f t="array" ref="E25">IF('計算A'!AE$4=0,"",IF(E9&lt;&gt;"","（決定）",IF('計算A'!AE$108=1,"（空ける）",SUMPRODUCT(('計算A'!AE$60:AE$104=1)*('計算A'!$C$10:$C$54=1))&amp;"人："&amp;_xlfn.TEXTJOIN("、",TRUE,IF(('計算A'!AE$60:AE$104=1)*('計算A'!$C$10:$C$54=1),'計算A'!$B$10:$B$54,"")))))</f>
        <v/>
      </c>
      <c r="F25" s="71">
        <f t="array" ref="F25">IF('計算A'!AQ$4=0,"",IF(F9&lt;&gt;"","（決定）",IF('計算A'!AQ$108=1,"（空ける）",SUMPRODUCT(('計算A'!AQ$60:AQ$104=1)*('計算A'!$C$10:$C$54=1))&amp;"人："&amp;_xlfn.TEXTJOIN("、",TRUE,IF(('計算A'!AQ$60:AQ$104=1)*('計算A'!$C$10:$C$54=1),'計算A'!$B$10:$B$54,"")))))</f>
        <v/>
      </c>
      <c r="G25" s="71">
        <f t="array" ref="G25">IF('計算A'!BC$4=0,"",IF(G9&lt;&gt;"","（決定）",IF('計算A'!BC$108=1,"（空ける）",SUMPRODUCT(('計算A'!BC$60:BC$104=1)*('計算A'!$C$10:$C$54=1))&amp;"人："&amp;_xlfn.TEXTJOIN("、",TRUE,IF(('計算A'!BC$60:BC$104=1)*('計算A'!$C$10:$C$54=1),'計算A'!$B$10:$B$54,"")))))</f>
        <v/>
      </c>
      <c r="H25" s="71">
        <f t="array" ref="H25">IF('計算A'!BO$4=0,"",IF(H9&lt;&gt;"","（決定）",IF('計算A'!BO$108=1,"（空ける）",SUMPRODUCT(('計算A'!BO$60:BO$104=1)*('計算A'!$C$10:$C$54=1))&amp;"人："&amp;_xlfn.TEXTJOIN("、",TRUE,IF(('計算A'!BO$60:BO$104=1)*('計算A'!$C$10:$C$54=1),'計算A'!$B$10:$B$54,"")))))</f>
        <v/>
      </c>
      <c r="I25" s="71">
        <f t="array" ref="I25">IF('計算A'!CA$4=0,"",IF(I9&lt;&gt;"","（決定）",IF('計算A'!CA$108=1,"（空ける）",SUMPRODUCT(('計算A'!CA$60:CA$104=1)*('計算A'!$C$10:$C$54=1))&amp;"人："&amp;_xlfn.TEXTJOIN("、",TRUE,IF(('計算A'!CA$60:CA$104=1)*('計算A'!$C$10:$C$54=1),'計算A'!$B$10:$B$54,"")))))</f>
        <v/>
      </c>
      <c r="J25" s="71">
        <f t="array" ref="J25">IF('計算A'!CM$4=0,"",IF(J9&lt;&gt;"","（決定）",IF('計算A'!CM$108=1,"（空ける）",SUMPRODUCT(('計算A'!CM$60:CM$104=1)*('計算A'!$C$10:$C$54=1))&amp;"人："&amp;_xlfn.TEXTJOIN("、",TRUE,IF(('計算A'!CM$60:CM$104=1)*('計算A'!$C$10:$C$54=1),'計算A'!$B$10:$B$54,"")))))</f>
        <v/>
      </c>
      <c r="K25" s="71">
        <f t="array" ref="K25">IF('計算A'!CY$4=0,"",IF(K9&lt;&gt;"","（決定）",IF('計算A'!CY$108=1,"（空ける）",SUMPRODUCT(('計算A'!CY$60:CY$104=1)*('計算A'!$C$10:$C$54=1))&amp;"人："&amp;_xlfn.TEXTJOIN("、",TRUE,IF(('計算A'!CY$60:CY$104=1)*('計算A'!$C$10:$C$54=1),'計算A'!$B$10:$B$54,"")))))</f>
        <v/>
      </c>
      <c r="L25" s="71">
        <f t="array" ref="L25">IF('計算A'!DK$4=0,"",IF(L9&lt;&gt;"","（決定）",IF('計算A'!DK$108=1,"（空ける）",SUMPRODUCT(('計算A'!DK$60:DK$104=1)*('計算A'!$C$10:$C$54=1))&amp;"人："&amp;_xlfn.TEXTJOIN("、",TRUE,IF(('計算A'!DK$60:DK$104=1)*('計算A'!$C$10:$C$54=1),'計算A'!$B$10:$B$54,"")))))</f>
        <v/>
      </c>
    </row>
    <row r="26" ht="48" customHeight="1">
      <c r="B26" s="50">
        <f>'設定'!$I$15</f>
        <v/>
      </c>
      <c r="C26" s="71">
        <f t="array" ref="C26">IF('計算A'!H$4=0,"",IF(C10&lt;&gt;"","（決定）",IF('計算A'!H$108=1,"（空ける）",SUMPRODUCT(('計算A'!H$60:H$104=1)*('計算A'!$C$10:$C$54=1))&amp;"人："&amp;_xlfn.TEXTJOIN("、",TRUE,IF(('計算A'!H$60:H$104=1)*('計算A'!$C$10:$C$54=1),'計算A'!$B$10:$B$54,"")))))</f>
        <v/>
      </c>
      <c r="D26" s="71">
        <f t="array" ref="D26">IF('計算A'!T$4=0,"",IF(D10&lt;&gt;"","（決定）",IF('計算A'!T$108=1,"（空ける）",SUMPRODUCT(('計算A'!T$60:T$104=1)*('計算A'!$C$10:$C$54=1))&amp;"人："&amp;_xlfn.TEXTJOIN("、",TRUE,IF(('計算A'!T$60:T$104=1)*('計算A'!$C$10:$C$54=1),'計算A'!$B$10:$B$54,"")))))</f>
        <v/>
      </c>
      <c r="E26" s="71">
        <f t="array" ref="E26">IF('計算A'!AF$4=0,"",IF(E10&lt;&gt;"","（決定）",IF('計算A'!AF$108=1,"（空ける）",SUMPRODUCT(('計算A'!AF$60:AF$104=1)*('計算A'!$C$10:$C$54=1))&amp;"人："&amp;_xlfn.TEXTJOIN("、",TRUE,IF(('計算A'!AF$60:AF$104=1)*('計算A'!$C$10:$C$54=1),'計算A'!$B$10:$B$54,"")))))</f>
        <v/>
      </c>
      <c r="F26" s="71">
        <f t="array" ref="F26">IF('計算A'!AR$4=0,"",IF(F10&lt;&gt;"","（決定）",IF('計算A'!AR$108=1,"（空ける）",SUMPRODUCT(('計算A'!AR$60:AR$104=1)*('計算A'!$C$10:$C$54=1))&amp;"人："&amp;_xlfn.TEXTJOIN("、",TRUE,IF(('計算A'!AR$60:AR$104=1)*('計算A'!$C$10:$C$54=1),'計算A'!$B$10:$B$54,"")))))</f>
        <v/>
      </c>
      <c r="G26" s="71">
        <f t="array" ref="G26">IF('計算A'!BD$4=0,"",IF(G10&lt;&gt;"","（決定）",IF('計算A'!BD$108=1,"（空ける）",SUMPRODUCT(('計算A'!BD$60:BD$104=1)*('計算A'!$C$10:$C$54=1))&amp;"人："&amp;_xlfn.TEXTJOIN("、",TRUE,IF(('計算A'!BD$60:BD$104=1)*('計算A'!$C$10:$C$54=1),'計算A'!$B$10:$B$54,"")))))</f>
        <v/>
      </c>
      <c r="H26" s="71">
        <f t="array" ref="H26">IF('計算A'!BP$4=0,"",IF(H10&lt;&gt;"","（決定）",IF('計算A'!BP$108=1,"（空ける）",SUMPRODUCT(('計算A'!BP$60:BP$104=1)*('計算A'!$C$10:$C$54=1))&amp;"人："&amp;_xlfn.TEXTJOIN("、",TRUE,IF(('計算A'!BP$60:BP$104=1)*('計算A'!$C$10:$C$54=1),'計算A'!$B$10:$B$54,"")))))</f>
        <v/>
      </c>
      <c r="I26" s="71">
        <f t="array" ref="I26">IF('計算A'!CB$4=0,"",IF(I10&lt;&gt;"","（決定）",IF('計算A'!CB$108=1,"（空ける）",SUMPRODUCT(('計算A'!CB$60:CB$104=1)*('計算A'!$C$10:$C$54=1))&amp;"人："&amp;_xlfn.TEXTJOIN("、",TRUE,IF(('計算A'!CB$60:CB$104=1)*('計算A'!$C$10:$C$54=1),'計算A'!$B$10:$B$54,"")))))</f>
        <v/>
      </c>
      <c r="J26" s="71">
        <f t="array" ref="J26">IF('計算A'!CN$4=0,"",IF(J10&lt;&gt;"","（決定）",IF('計算A'!CN$108=1,"（空ける）",SUMPRODUCT(('計算A'!CN$60:CN$104=1)*('計算A'!$C$10:$C$54=1))&amp;"人："&amp;_xlfn.TEXTJOIN("、",TRUE,IF(('計算A'!CN$60:CN$104=1)*('計算A'!$C$10:$C$54=1),'計算A'!$B$10:$B$54,"")))))</f>
        <v/>
      </c>
      <c r="K26" s="71">
        <f t="array" ref="K26">IF('計算A'!CZ$4=0,"",IF(K10&lt;&gt;"","（決定）",IF('計算A'!CZ$108=1,"（空ける）",SUMPRODUCT(('計算A'!CZ$60:CZ$104=1)*('計算A'!$C$10:$C$54=1))&amp;"人："&amp;_xlfn.TEXTJOIN("、",TRUE,IF(('計算A'!CZ$60:CZ$104=1)*('計算A'!$C$10:$C$54=1),'計算A'!$B$10:$B$54,"")))))</f>
        <v/>
      </c>
      <c r="L26" s="71">
        <f t="array" ref="L26">IF('計算A'!DL$4=0,"",IF(L10&lt;&gt;"","（決定）",IF('計算A'!DL$108=1,"（空ける）",SUMPRODUCT(('計算A'!DL$60:DL$104=1)*('計算A'!$C$10:$C$54=1))&amp;"人："&amp;_xlfn.TEXTJOIN("、",TRUE,IF(('計算A'!DL$60:DL$104=1)*('計算A'!$C$10:$C$54=1),'計算A'!$B$10:$B$54,"")))))</f>
        <v/>
      </c>
    </row>
    <row r="27" ht="48" customHeight="1">
      <c r="B27" s="50">
        <f>'設定'!$I$16</f>
        <v/>
      </c>
      <c r="C27" s="71">
        <f t="array" ref="C27">IF('計算A'!I$4=0,"",IF(C11&lt;&gt;"","（決定）",IF('計算A'!I$108=1,"（空ける）",SUMPRODUCT(('計算A'!I$60:I$104=1)*('計算A'!$C$10:$C$54=1))&amp;"人："&amp;_xlfn.TEXTJOIN("、",TRUE,IF(('計算A'!I$60:I$104=1)*('計算A'!$C$10:$C$54=1),'計算A'!$B$10:$B$54,"")))))</f>
        <v/>
      </c>
      <c r="D27" s="71">
        <f t="array" ref="D27">IF('計算A'!U$4=0,"",IF(D11&lt;&gt;"","（決定）",IF('計算A'!U$108=1,"（空ける）",SUMPRODUCT(('計算A'!U$60:U$104=1)*('計算A'!$C$10:$C$54=1))&amp;"人："&amp;_xlfn.TEXTJOIN("、",TRUE,IF(('計算A'!U$60:U$104=1)*('計算A'!$C$10:$C$54=1),'計算A'!$B$10:$B$54,"")))))</f>
        <v/>
      </c>
      <c r="E27" s="71">
        <f t="array" ref="E27">IF('計算A'!AG$4=0,"",IF(E11&lt;&gt;"","（決定）",IF('計算A'!AG$108=1,"（空ける）",SUMPRODUCT(('計算A'!AG$60:AG$104=1)*('計算A'!$C$10:$C$54=1))&amp;"人："&amp;_xlfn.TEXTJOIN("、",TRUE,IF(('計算A'!AG$60:AG$104=1)*('計算A'!$C$10:$C$54=1),'計算A'!$B$10:$B$54,"")))))</f>
        <v/>
      </c>
      <c r="F27" s="71">
        <f t="array" ref="F27">IF('計算A'!AS$4=0,"",IF(F11&lt;&gt;"","（決定）",IF('計算A'!AS$108=1,"（空ける）",SUMPRODUCT(('計算A'!AS$60:AS$104=1)*('計算A'!$C$10:$C$54=1))&amp;"人："&amp;_xlfn.TEXTJOIN("、",TRUE,IF(('計算A'!AS$60:AS$104=1)*('計算A'!$C$10:$C$54=1),'計算A'!$B$10:$B$54,"")))))</f>
        <v/>
      </c>
      <c r="G27" s="71">
        <f t="array" ref="G27">IF('計算A'!BE$4=0,"",IF(G11&lt;&gt;"","（決定）",IF('計算A'!BE$108=1,"（空ける）",SUMPRODUCT(('計算A'!BE$60:BE$104=1)*('計算A'!$C$10:$C$54=1))&amp;"人："&amp;_xlfn.TEXTJOIN("、",TRUE,IF(('計算A'!BE$60:BE$104=1)*('計算A'!$C$10:$C$54=1),'計算A'!$B$10:$B$54,"")))))</f>
        <v/>
      </c>
      <c r="H27" s="71">
        <f t="array" ref="H27">IF('計算A'!BQ$4=0,"",IF(H11&lt;&gt;"","（決定）",IF('計算A'!BQ$108=1,"（空ける）",SUMPRODUCT(('計算A'!BQ$60:BQ$104=1)*('計算A'!$C$10:$C$54=1))&amp;"人："&amp;_xlfn.TEXTJOIN("、",TRUE,IF(('計算A'!BQ$60:BQ$104=1)*('計算A'!$C$10:$C$54=1),'計算A'!$B$10:$B$54,"")))))</f>
        <v/>
      </c>
      <c r="I27" s="71">
        <f t="array" ref="I27">IF('計算A'!CC$4=0,"",IF(I11&lt;&gt;"","（決定）",IF('計算A'!CC$108=1,"（空ける）",SUMPRODUCT(('計算A'!CC$60:CC$104=1)*('計算A'!$C$10:$C$54=1))&amp;"人："&amp;_xlfn.TEXTJOIN("、",TRUE,IF(('計算A'!CC$60:CC$104=1)*('計算A'!$C$10:$C$54=1),'計算A'!$B$10:$B$54,"")))))</f>
        <v/>
      </c>
      <c r="J27" s="71">
        <f t="array" ref="J27">IF('計算A'!CO$4=0,"",IF(J11&lt;&gt;"","（決定）",IF('計算A'!CO$108=1,"（空ける）",SUMPRODUCT(('計算A'!CO$60:CO$104=1)*('計算A'!$C$10:$C$54=1))&amp;"人："&amp;_xlfn.TEXTJOIN("、",TRUE,IF(('計算A'!CO$60:CO$104=1)*('計算A'!$C$10:$C$54=1),'計算A'!$B$10:$B$54,"")))))</f>
        <v/>
      </c>
      <c r="K27" s="71">
        <f t="array" ref="K27">IF('計算A'!DA$4=0,"",IF(K11&lt;&gt;"","（決定）",IF('計算A'!DA$108=1,"（空ける）",SUMPRODUCT(('計算A'!DA$60:DA$104=1)*('計算A'!$C$10:$C$54=1))&amp;"人："&amp;_xlfn.TEXTJOIN("、",TRUE,IF(('計算A'!DA$60:DA$104=1)*('計算A'!$C$10:$C$54=1),'計算A'!$B$10:$B$54,"")))))</f>
        <v/>
      </c>
      <c r="L27" s="71">
        <f t="array" ref="L27">IF('計算A'!DM$4=0,"",IF(L11&lt;&gt;"","（決定）",IF('計算A'!DM$108=1,"（空ける）",SUMPRODUCT(('計算A'!DM$60:DM$104=1)*('計算A'!$C$10:$C$54=1))&amp;"人："&amp;_xlfn.TEXTJOIN("、",TRUE,IF(('計算A'!DM$60:DM$104=1)*('計算A'!$C$10:$C$54=1),'計算A'!$B$10:$B$54,"")))))</f>
        <v/>
      </c>
    </row>
    <row r="28" ht="48" customHeight="1">
      <c r="B28" s="50">
        <f>'設定'!$I$17</f>
        <v/>
      </c>
      <c r="C28" s="71">
        <f t="array" ref="C28">IF('計算A'!J$4=0,"",IF(C12&lt;&gt;"","（決定）",IF('計算A'!J$108=1,"（空ける）",SUMPRODUCT(('計算A'!J$60:J$104=1)*('計算A'!$C$10:$C$54=1))&amp;"人："&amp;_xlfn.TEXTJOIN("、",TRUE,IF(('計算A'!J$60:J$104=1)*('計算A'!$C$10:$C$54=1),'計算A'!$B$10:$B$54,"")))))</f>
        <v/>
      </c>
      <c r="D28" s="71">
        <f t="array" ref="D28">IF('計算A'!V$4=0,"",IF(D12&lt;&gt;"","（決定）",IF('計算A'!V$108=1,"（空ける）",SUMPRODUCT(('計算A'!V$60:V$104=1)*('計算A'!$C$10:$C$54=1))&amp;"人："&amp;_xlfn.TEXTJOIN("、",TRUE,IF(('計算A'!V$60:V$104=1)*('計算A'!$C$10:$C$54=1),'計算A'!$B$10:$B$54,"")))))</f>
        <v/>
      </c>
      <c r="E28" s="71">
        <f t="array" ref="E28">IF('計算A'!AH$4=0,"",IF(E12&lt;&gt;"","（決定）",IF('計算A'!AH$108=1,"（空ける）",SUMPRODUCT(('計算A'!AH$60:AH$104=1)*('計算A'!$C$10:$C$54=1))&amp;"人："&amp;_xlfn.TEXTJOIN("、",TRUE,IF(('計算A'!AH$60:AH$104=1)*('計算A'!$C$10:$C$54=1),'計算A'!$B$10:$B$54,"")))))</f>
        <v/>
      </c>
      <c r="F28" s="71">
        <f t="array" ref="F28">IF('計算A'!AT$4=0,"",IF(F12&lt;&gt;"","（決定）",IF('計算A'!AT$108=1,"（空ける）",SUMPRODUCT(('計算A'!AT$60:AT$104=1)*('計算A'!$C$10:$C$54=1))&amp;"人："&amp;_xlfn.TEXTJOIN("、",TRUE,IF(('計算A'!AT$60:AT$104=1)*('計算A'!$C$10:$C$54=1),'計算A'!$B$10:$B$54,"")))))</f>
        <v/>
      </c>
      <c r="G28" s="71">
        <f t="array" ref="G28">IF('計算A'!BF$4=0,"",IF(G12&lt;&gt;"","（決定）",IF('計算A'!BF$108=1,"（空ける）",SUMPRODUCT(('計算A'!BF$60:BF$104=1)*('計算A'!$C$10:$C$54=1))&amp;"人："&amp;_xlfn.TEXTJOIN("、",TRUE,IF(('計算A'!BF$60:BF$104=1)*('計算A'!$C$10:$C$54=1),'計算A'!$B$10:$B$54,"")))))</f>
        <v/>
      </c>
      <c r="H28" s="71">
        <f t="array" ref="H28">IF('計算A'!BR$4=0,"",IF(H12&lt;&gt;"","（決定）",IF('計算A'!BR$108=1,"（空ける）",SUMPRODUCT(('計算A'!BR$60:BR$104=1)*('計算A'!$C$10:$C$54=1))&amp;"人："&amp;_xlfn.TEXTJOIN("、",TRUE,IF(('計算A'!BR$60:BR$104=1)*('計算A'!$C$10:$C$54=1),'計算A'!$B$10:$B$54,"")))))</f>
        <v/>
      </c>
      <c r="I28" s="71">
        <f t="array" ref="I28">IF('計算A'!CD$4=0,"",IF(I12&lt;&gt;"","（決定）",IF('計算A'!CD$108=1,"（空ける）",SUMPRODUCT(('計算A'!CD$60:CD$104=1)*('計算A'!$C$10:$C$54=1))&amp;"人："&amp;_xlfn.TEXTJOIN("、",TRUE,IF(('計算A'!CD$60:CD$104=1)*('計算A'!$C$10:$C$54=1),'計算A'!$B$10:$B$54,"")))))</f>
        <v/>
      </c>
      <c r="J28" s="71">
        <f t="array" ref="J28">IF('計算A'!CP$4=0,"",IF(J12&lt;&gt;"","（決定）",IF('計算A'!CP$108=1,"（空ける）",SUMPRODUCT(('計算A'!CP$60:CP$104=1)*('計算A'!$C$10:$C$54=1))&amp;"人："&amp;_xlfn.TEXTJOIN("、",TRUE,IF(('計算A'!CP$60:CP$104=1)*('計算A'!$C$10:$C$54=1),'計算A'!$B$10:$B$54,"")))))</f>
        <v/>
      </c>
      <c r="K28" s="71">
        <f t="array" ref="K28">IF('計算A'!DB$4=0,"",IF(K12&lt;&gt;"","（決定）",IF('計算A'!DB$108=1,"（空ける）",SUMPRODUCT(('計算A'!DB$60:DB$104=1)*('計算A'!$C$10:$C$54=1))&amp;"人："&amp;_xlfn.TEXTJOIN("、",TRUE,IF(('計算A'!DB$60:DB$104=1)*('計算A'!$C$10:$C$54=1),'計算A'!$B$10:$B$54,"")))))</f>
        <v/>
      </c>
      <c r="L28" s="71">
        <f t="array" ref="L28">IF('計算A'!DN$4=0,"",IF(L12&lt;&gt;"","（決定）",IF('計算A'!DN$108=1,"（空ける）",SUMPRODUCT(('計算A'!DN$60:DN$104=1)*('計算A'!$C$10:$C$54=1))&amp;"人："&amp;_xlfn.TEXTJOIN("、",TRUE,IF(('計算A'!DN$60:DN$104=1)*('計算A'!$C$10:$C$54=1),'計算A'!$B$10:$B$54,"")))))</f>
        <v/>
      </c>
    </row>
    <row r="29" ht="48" customHeight="1">
      <c r="B29" s="50">
        <f>'設定'!$I$18</f>
        <v/>
      </c>
      <c r="C29" s="71">
        <f t="array" ref="C29">IF('計算A'!K$4=0,"",IF(C13&lt;&gt;"","（決定）",IF('計算A'!K$108=1,"（空ける）",SUMPRODUCT(('計算A'!K$60:K$104=1)*('計算A'!$C$10:$C$54=1))&amp;"人："&amp;_xlfn.TEXTJOIN("、",TRUE,IF(('計算A'!K$60:K$104=1)*('計算A'!$C$10:$C$54=1),'計算A'!$B$10:$B$54,"")))))</f>
        <v/>
      </c>
      <c r="D29" s="71">
        <f t="array" ref="D29">IF('計算A'!W$4=0,"",IF(D13&lt;&gt;"","（決定）",IF('計算A'!W$108=1,"（空ける）",SUMPRODUCT(('計算A'!W$60:W$104=1)*('計算A'!$C$10:$C$54=1))&amp;"人："&amp;_xlfn.TEXTJOIN("、",TRUE,IF(('計算A'!W$60:W$104=1)*('計算A'!$C$10:$C$54=1),'計算A'!$B$10:$B$54,"")))))</f>
        <v/>
      </c>
      <c r="E29" s="71">
        <f t="array" ref="E29">IF('計算A'!AI$4=0,"",IF(E13&lt;&gt;"","（決定）",IF('計算A'!AI$108=1,"（空ける）",SUMPRODUCT(('計算A'!AI$60:AI$104=1)*('計算A'!$C$10:$C$54=1))&amp;"人："&amp;_xlfn.TEXTJOIN("、",TRUE,IF(('計算A'!AI$60:AI$104=1)*('計算A'!$C$10:$C$54=1),'計算A'!$B$10:$B$54,"")))))</f>
        <v/>
      </c>
      <c r="F29" s="71">
        <f t="array" ref="F29">IF('計算A'!AU$4=0,"",IF(F13&lt;&gt;"","（決定）",IF('計算A'!AU$108=1,"（空ける）",SUMPRODUCT(('計算A'!AU$60:AU$104=1)*('計算A'!$C$10:$C$54=1))&amp;"人："&amp;_xlfn.TEXTJOIN("、",TRUE,IF(('計算A'!AU$60:AU$104=1)*('計算A'!$C$10:$C$54=1),'計算A'!$B$10:$B$54,"")))))</f>
        <v/>
      </c>
      <c r="G29" s="71">
        <f t="array" ref="G29">IF('計算A'!BG$4=0,"",IF(G13&lt;&gt;"","（決定）",IF('計算A'!BG$108=1,"（空ける）",SUMPRODUCT(('計算A'!BG$60:BG$104=1)*('計算A'!$C$10:$C$54=1))&amp;"人："&amp;_xlfn.TEXTJOIN("、",TRUE,IF(('計算A'!BG$60:BG$104=1)*('計算A'!$C$10:$C$54=1),'計算A'!$B$10:$B$54,"")))))</f>
        <v/>
      </c>
      <c r="H29" s="71">
        <f t="array" ref="H29">IF('計算A'!BS$4=0,"",IF(H13&lt;&gt;"","（決定）",IF('計算A'!BS$108=1,"（空ける）",SUMPRODUCT(('計算A'!BS$60:BS$104=1)*('計算A'!$C$10:$C$54=1))&amp;"人："&amp;_xlfn.TEXTJOIN("、",TRUE,IF(('計算A'!BS$60:BS$104=1)*('計算A'!$C$10:$C$54=1),'計算A'!$B$10:$B$54,"")))))</f>
        <v/>
      </c>
      <c r="I29" s="71">
        <f t="array" ref="I29">IF('計算A'!CE$4=0,"",IF(I13&lt;&gt;"","（決定）",IF('計算A'!CE$108=1,"（空ける）",SUMPRODUCT(('計算A'!CE$60:CE$104=1)*('計算A'!$C$10:$C$54=1))&amp;"人："&amp;_xlfn.TEXTJOIN("、",TRUE,IF(('計算A'!CE$60:CE$104=1)*('計算A'!$C$10:$C$54=1),'計算A'!$B$10:$B$54,"")))))</f>
        <v/>
      </c>
      <c r="J29" s="71">
        <f t="array" ref="J29">IF('計算A'!CQ$4=0,"",IF(J13&lt;&gt;"","（決定）",IF('計算A'!CQ$108=1,"（空ける）",SUMPRODUCT(('計算A'!CQ$60:CQ$104=1)*('計算A'!$C$10:$C$54=1))&amp;"人："&amp;_xlfn.TEXTJOIN("、",TRUE,IF(('計算A'!CQ$60:CQ$104=1)*('計算A'!$C$10:$C$54=1),'計算A'!$B$10:$B$54,"")))))</f>
        <v/>
      </c>
      <c r="K29" s="71">
        <f t="array" ref="K29">IF('計算A'!DC$4=0,"",IF(K13&lt;&gt;"","（決定）",IF('計算A'!DC$108=1,"（空ける）",SUMPRODUCT(('計算A'!DC$60:DC$104=1)*('計算A'!$C$10:$C$54=1))&amp;"人："&amp;_xlfn.TEXTJOIN("、",TRUE,IF(('計算A'!DC$60:DC$104=1)*('計算A'!$C$10:$C$54=1),'計算A'!$B$10:$B$54,"")))))</f>
        <v/>
      </c>
      <c r="L29" s="71">
        <f t="array" ref="L29">IF('計算A'!DO$4=0,"",IF(L13&lt;&gt;"","（決定）",IF('計算A'!DO$108=1,"（空ける）",SUMPRODUCT(('計算A'!DO$60:DO$104=1)*('計算A'!$C$10:$C$54=1))&amp;"人："&amp;_xlfn.TEXTJOIN("、",TRUE,IF(('計算A'!DO$60:DO$104=1)*('計算A'!$C$10:$C$54=1),'計算A'!$B$10:$B$54,"")))))</f>
        <v/>
      </c>
    </row>
    <row r="30" ht="48" customHeight="1">
      <c r="B30" s="50">
        <f>'設定'!$I$19</f>
        <v/>
      </c>
      <c r="C30" s="71">
        <f t="array" ref="C30">IF('計算A'!L$4=0,"",IF(C14&lt;&gt;"","（決定）",IF('計算A'!L$108=1,"（空ける）",SUMPRODUCT(('計算A'!L$60:L$104=1)*('計算A'!$C$10:$C$54=1))&amp;"人："&amp;_xlfn.TEXTJOIN("、",TRUE,IF(('計算A'!L$60:L$104=1)*('計算A'!$C$10:$C$54=1),'計算A'!$B$10:$B$54,"")))))</f>
        <v/>
      </c>
      <c r="D30" s="71">
        <f t="array" ref="D30">IF('計算A'!X$4=0,"",IF(D14&lt;&gt;"","（決定）",IF('計算A'!X$108=1,"（空ける）",SUMPRODUCT(('計算A'!X$60:X$104=1)*('計算A'!$C$10:$C$54=1))&amp;"人："&amp;_xlfn.TEXTJOIN("、",TRUE,IF(('計算A'!X$60:X$104=1)*('計算A'!$C$10:$C$54=1),'計算A'!$B$10:$B$54,"")))))</f>
        <v/>
      </c>
      <c r="E30" s="71">
        <f t="array" ref="E30">IF('計算A'!AJ$4=0,"",IF(E14&lt;&gt;"","（決定）",IF('計算A'!AJ$108=1,"（空ける）",SUMPRODUCT(('計算A'!AJ$60:AJ$104=1)*('計算A'!$C$10:$C$54=1))&amp;"人："&amp;_xlfn.TEXTJOIN("、",TRUE,IF(('計算A'!AJ$60:AJ$104=1)*('計算A'!$C$10:$C$54=1),'計算A'!$B$10:$B$54,"")))))</f>
        <v/>
      </c>
      <c r="F30" s="71">
        <f t="array" ref="F30">IF('計算A'!AV$4=0,"",IF(F14&lt;&gt;"","（決定）",IF('計算A'!AV$108=1,"（空ける）",SUMPRODUCT(('計算A'!AV$60:AV$104=1)*('計算A'!$C$10:$C$54=1))&amp;"人："&amp;_xlfn.TEXTJOIN("、",TRUE,IF(('計算A'!AV$60:AV$104=1)*('計算A'!$C$10:$C$54=1),'計算A'!$B$10:$B$54,"")))))</f>
        <v/>
      </c>
      <c r="G30" s="71">
        <f t="array" ref="G30">IF('計算A'!BH$4=0,"",IF(G14&lt;&gt;"","（決定）",IF('計算A'!BH$108=1,"（空ける）",SUMPRODUCT(('計算A'!BH$60:BH$104=1)*('計算A'!$C$10:$C$54=1))&amp;"人："&amp;_xlfn.TEXTJOIN("、",TRUE,IF(('計算A'!BH$60:BH$104=1)*('計算A'!$C$10:$C$54=1),'計算A'!$B$10:$B$54,"")))))</f>
        <v/>
      </c>
      <c r="H30" s="71">
        <f t="array" ref="H30">IF('計算A'!BT$4=0,"",IF(H14&lt;&gt;"","（決定）",IF('計算A'!BT$108=1,"（空ける）",SUMPRODUCT(('計算A'!BT$60:BT$104=1)*('計算A'!$C$10:$C$54=1))&amp;"人："&amp;_xlfn.TEXTJOIN("、",TRUE,IF(('計算A'!BT$60:BT$104=1)*('計算A'!$C$10:$C$54=1),'計算A'!$B$10:$B$54,"")))))</f>
        <v/>
      </c>
      <c r="I30" s="71">
        <f t="array" ref="I30">IF('計算A'!CF$4=0,"",IF(I14&lt;&gt;"","（決定）",IF('計算A'!CF$108=1,"（空ける）",SUMPRODUCT(('計算A'!CF$60:CF$104=1)*('計算A'!$C$10:$C$54=1))&amp;"人："&amp;_xlfn.TEXTJOIN("、",TRUE,IF(('計算A'!CF$60:CF$104=1)*('計算A'!$C$10:$C$54=1),'計算A'!$B$10:$B$54,"")))))</f>
        <v/>
      </c>
      <c r="J30" s="71">
        <f t="array" ref="J30">IF('計算A'!CR$4=0,"",IF(J14&lt;&gt;"","（決定）",IF('計算A'!CR$108=1,"（空ける）",SUMPRODUCT(('計算A'!CR$60:CR$104=1)*('計算A'!$C$10:$C$54=1))&amp;"人："&amp;_xlfn.TEXTJOIN("、",TRUE,IF(('計算A'!CR$60:CR$104=1)*('計算A'!$C$10:$C$54=1),'計算A'!$B$10:$B$54,"")))))</f>
        <v/>
      </c>
      <c r="K30" s="71">
        <f t="array" ref="K30">IF('計算A'!DD$4=0,"",IF(K14&lt;&gt;"","（決定）",IF('計算A'!DD$108=1,"（空ける）",SUMPRODUCT(('計算A'!DD$60:DD$104=1)*('計算A'!$C$10:$C$54=1))&amp;"人："&amp;_xlfn.TEXTJOIN("、",TRUE,IF(('計算A'!DD$60:DD$104=1)*('計算A'!$C$10:$C$54=1),'計算A'!$B$10:$B$54,"")))))</f>
        <v/>
      </c>
      <c r="L30" s="71">
        <f t="array" ref="L30">IF('計算A'!DP$4=0,"",IF(L14&lt;&gt;"","（決定）",IF('計算A'!DP$108=1,"（空ける）",SUMPRODUCT(('計算A'!DP$60:DP$104=1)*('計算A'!$C$10:$C$54=1))&amp;"人："&amp;_xlfn.TEXTJOIN("、",TRUE,IF(('計算A'!DP$60:DP$104=1)*('計算A'!$C$10:$C$54=1),'計算A'!$B$10:$B$54,"")))))</f>
        <v/>
      </c>
    </row>
    <row r="31" ht="48" customHeight="1">
      <c r="B31" s="50">
        <f>'設定'!$I$20</f>
        <v/>
      </c>
      <c r="C31" s="71">
        <f t="array" ref="C31">IF('計算A'!M$4=0,"",IF(C15&lt;&gt;"","（決定）",IF('計算A'!M$108=1,"（空ける）",SUMPRODUCT(('計算A'!M$60:M$104=1)*('計算A'!$C$10:$C$54=1))&amp;"人："&amp;_xlfn.TEXTJOIN("、",TRUE,IF(('計算A'!M$60:M$104=1)*('計算A'!$C$10:$C$54=1),'計算A'!$B$10:$B$54,"")))))</f>
        <v/>
      </c>
      <c r="D31" s="71">
        <f t="array" ref="D31">IF('計算A'!Y$4=0,"",IF(D15&lt;&gt;"","（決定）",IF('計算A'!Y$108=1,"（空ける）",SUMPRODUCT(('計算A'!Y$60:Y$104=1)*('計算A'!$C$10:$C$54=1))&amp;"人："&amp;_xlfn.TEXTJOIN("、",TRUE,IF(('計算A'!Y$60:Y$104=1)*('計算A'!$C$10:$C$54=1),'計算A'!$B$10:$B$54,"")))))</f>
        <v/>
      </c>
      <c r="E31" s="71">
        <f t="array" ref="E31">IF('計算A'!AK$4=0,"",IF(E15&lt;&gt;"","（決定）",IF('計算A'!AK$108=1,"（空ける）",SUMPRODUCT(('計算A'!AK$60:AK$104=1)*('計算A'!$C$10:$C$54=1))&amp;"人："&amp;_xlfn.TEXTJOIN("、",TRUE,IF(('計算A'!AK$60:AK$104=1)*('計算A'!$C$10:$C$54=1),'計算A'!$B$10:$B$54,"")))))</f>
        <v/>
      </c>
      <c r="F31" s="71">
        <f t="array" ref="F31">IF('計算A'!AW$4=0,"",IF(F15&lt;&gt;"","（決定）",IF('計算A'!AW$108=1,"（空ける）",SUMPRODUCT(('計算A'!AW$60:AW$104=1)*('計算A'!$C$10:$C$54=1))&amp;"人："&amp;_xlfn.TEXTJOIN("、",TRUE,IF(('計算A'!AW$60:AW$104=1)*('計算A'!$C$10:$C$54=1),'計算A'!$B$10:$B$54,"")))))</f>
        <v/>
      </c>
      <c r="G31" s="71">
        <f t="array" ref="G31">IF('計算A'!BI$4=0,"",IF(G15&lt;&gt;"","（決定）",IF('計算A'!BI$108=1,"（空ける）",SUMPRODUCT(('計算A'!BI$60:BI$104=1)*('計算A'!$C$10:$C$54=1))&amp;"人："&amp;_xlfn.TEXTJOIN("、",TRUE,IF(('計算A'!BI$60:BI$104=1)*('計算A'!$C$10:$C$54=1),'計算A'!$B$10:$B$54,"")))))</f>
        <v/>
      </c>
      <c r="H31" s="71">
        <f t="array" ref="H31">IF('計算A'!BU$4=0,"",IF(H15&lt;&gt;"","（決定）",IF('計算A'!BU$108=1,"（空ける）",SUMPRODUCT(('計算A'!BU$60:BU$104=1)*('計算A'!$C$10:$C$54=1))&amp;"人："&amp;_xlfn.TEXTJOIN("、",TRUE,IF(('計算A'!BU$60:BU$104=1)*('計算A'!$C$10:$C$54=1),'計算A'!$B$10:$B$54,"")))))</f>
        <v/>
      </c>
      <c r="I31" s="71">
        <f t="array" ref="I31">IF('計算A'!CG$4=0,"",IF(I15&lt;&gt;"","（決定）",IF('計算A'!CG$108=1,"（空ける）",SUMPRODUCT(('計算A'!CG$60:CG$104=1)*('計算A'!$C$10:$C$54=1))&amp;"人："&amp;_xlfn.TEXTJOIN("、",TRUE,IF(('計算A'!CG$60:CG$104=1)*('計算A'!$C$10:$C$54=1),'計算A'!$B$10:$B$54,"")))))</f>
        <v/>
      </c>
      <c r="J31" s="71">
        <f t="array" ref="J31">IF('計算A'!CS$4=0,"",IF(J15&lt;&gt;"","（決定）",IF('計算A'!CS$108=1,"（空ける）",SUMPRODUCT(('計算A'!CS$60:CS$104=1)*('計算A'!$C$10:$C$54=1))&amp;"人："&amp;_xlfn.TEXTJOIN("、",TRUE,IF(('計算A'!CS$60:CS$104=1)*('計算A'!$C$10:$C$54=1),'計算A'!$B$10:$B$54,"")))))</f>
        <v/>
      </c>
      <c r="K31" s="71">
        <f t="array" ref="K31">IF('計算A'!DE$4=0,"",IF(K15&lt;&gt;"","（決定）",IF('計算A'!DE$108=1,"（空ける）",SUMPRODUCT(('計算A'!DE$60:DE$104=1)*('計算A'!$C$10:$C$54=1))&amp;"人："&amp;_xlfn.TEXTJOIN("、",TRUE,IF(('計算A'!DE$60:DE$104=1)*('計算A'!$C$10:$C$54=1),'計算A'!$B$10:$B$54,"")))))</f>
        <v/>
      </c>
      <c r="L31" s="71">
        <f t="array" ref="L31">IF('計算A'!DQ$4=0,"",IF(L15&lt;&gt;"","（決定）",IF('計算A'!DQ$108=1,"（空ける）",SUMPRODUCT(('計算A'!DQ$60:DQ$104=1)*('計算A'!$C$10:$C$54=1))&amp;"人："&amp;_xlfn.TEXTJOIN("、",TRUE,IF(('計算A'!DQ$60:DQ$104=1)*('計算A'!$C$10:$C$54=1),'計算A'!$B$10:$B$54,"")))))</f>
        <v/>
      </c>
    </row>
    <row r="32" ht="48" customHeight="1">
      <c r="B32" s="50">
        <f>'設定'!$I$21</f>
        <v/>
      </c>
      <c r="C32" s="71">
        <f t="array" ref="C32">IF('計算A'!N$4=0,"",IF(C16&lt;&gt;"","（決定）",IF('計算A'!N$108=1,"（空ける）",SUMPRODUCT(('計算A'!N$60:N$104=1)*('計算A'!$C$10:$C$54=1))&amp;"人："&amp;_xlfn.TEXTJOIN("、",TRUE,IF(('計算A'!N$60:N$104=1)*('計算A'!$C$10:$C$54=1),'計算A'!$B$10:$B$54,"")))))</f>
        <v/>
      </c>
      <c r="D32" s="71">
        <f t="array" ref="D32">IF('計算A'!Z$4=0,"",IF(D16&lt;&gt;"","（決定）",IF('計算A'!Z$108=1,"（空ける）",SUMPRODUCT(('計算A'!Z$60:Z$104=1)*('計算A'!$C$10:$C$54=1))&amp;"人："&amp;_xlfn.TEXTJOIN("、",TRUE,IF(('計算A'!Z$60:Z$104=1)*('計算A'!$C$10:$C$54=1),'計算A'!$B$10:$B$54,"")))))</f>
        <v/>
      </c>
      <c r="E32" s="71">
        <f t="array" ref="E32">IF('計算A'!AL$4=0,"",IF(E16&lt;&gt;"","（決定）",IF('計算A'!AL$108=1,"（空ける）",SUMPRODUCT(('計算A'!AL$60:AL$104=1)*('計算A'!$C$10:$C$54=1))&amp;"人："&amp;_xlfn.TEXTJOIN("、",TRUE,IF(('計算A'!AL$60:AL$104=1)*('計算A'!$C$10:$C$54=1),'計算A'!$B$10:$B$54,"")))))</f>
        <v/>
      </c>
      <c r="F32" s="71">
        <f t="array" ref="F32">IF('計算A'!AX$4=0,"",IF(F16&lt;&gt;"","（決定）",IF('計算A'!AX$108=1,"（空ける）",SUMPRODUCT(('計算A'!AX$60:AX$104=1)*('計算A'!$C$10:$C$54=1))&amp;"人："&amp;_xlfn.TEXTJOIN("、",TRUE,IF(('計算A'!AX$60:AX$104=1)*('計算A'!$C$10:$C$54=1),'計算A'!$B$10:$B$54,"")))))</f>
        <v/>
      </c>
      <c r="G32" s="71">
        <f t="array" ref="G32">IF('計算A'!BJ$4=0,"",IF(G16&lt;&gt;"","（決定）",IF('計算A'!BJ$108=1,"（空ける）",SUMPRODUCT(('計算A'!BJ$60:BJ$104=1)*('計算A'!$C$10:$C$54=1))&amp;"人："&amp;_xlfn.TEXTJOIN("、",TRUE,IF(('計算A'!BJ$60:BJ$104=1)*('計算A'!$C$10:$C$54=1),'計算A'!$B$10:$B$54,"")))))</f>
        <v/>
      </c>
      <c r="H32" s="71">
        <f t="array" ref="H32">IF('計算A'!BV$4=0,"",IF(H16&lt;&gt;"","（決定）",IF('計算A'!BV$108=1,"（空ける）",SUMPRODUCT(('計算A'!BV$60:BV$104=1)*('計算A'!$C$10:$C$54=1))&amp;"人："&amp;_xlfn.TEXTJOIN("、",TRUE,IF(('計算A'!BV$60:BV$104=1)*('計算A'!$C$10:$C$54=1),'計算A'!$B$10:$B$54,"")))))</f>
        <v/>
      </c>
      <c r="I32" s="71">
        <f t="array" ref="I32">IF('計算A'!CH$4=0,"",IF(I16&lt;&gt;"","（決定）",IF('計算A'!CH$108=1,"（空ける）",SUMPRODUCT(('計算A'!CH$60:CH$104=1)*('計算A'!$C$10:$C$54=1))&amp;"人："&amp;_xlfn.TEXTJOIN("、",TRUE,IF(('計算A'!CH$60:CH$104=1)*('計算A'!$C$10:$C$54=1),'計算A'!$B$10:$B$54,"")))))</f>
        <v/>
      </c>
      <c r="J32" s="71">
        <f t="array" ref="J32">IF('計算A'!CT$4=0,"",IF(J16&lt;&gt;"","（決定）",IF('計算A'!CT$108=1,"（空ける）",SUMPRODUCT(('計算A'!CT$60:CT$104=1)*('計算A'!$C$10:$C$54=1))&amp;"人："&amp;_xlfn.TEXTJOIN("、",TRUE,IF(('計算A'!CT$60:CT$104=1)*('計算A'!$C$10:$C$54=1),'計算A'!$B$10:$B$54,"")))))</f>
        <v/>
      </c>
      <c r="K32" s="71">
        <f t="array" ref="K32">IF('計算A'!DF$4=0,"",IF(K16&lt;&gt;"","（決定）",IF('計算A'!DF$108=1,"（空ける）",SUMPRODUCT(('計算A'!DF$60:DF$104=1)*('計算A'!$C$10:$C$54=1))&amp;"人："&amp;_xlfn.TEXTJOIN("、",TRUE,IF(('計算A'!DF$60:DF$104=1)*('計算A'!$C$10:$C$54=1),'計算A'!$B$10:$B$54,"")))))</f>
        <v/>
      </c>
      <c r="L32" s="71">
        <f t="array" ref="L32">IF('計算A'!DR$4=0,"",IF(L16&lt;&gt;"","（決定）",IF('計算A'!DR$108=1,"（空ける）",SUMPRODUCT(('計算A'!DR$60:DR$104=1)*('計算A'!$C$10:$C$54=1))&amp;"人："&amp;_xlfn.TEXTJOIN("、",TRUE,IF(('計算A'!DR$60:DR$104=1)*('計算A'!$C$10:$C$54=1),'計算A'!$B$10:$B$54,"")))))</f>
        <v/>
      </c>
    </row>
    <row r="33" ht="48" customHeight="1">
      <c r="B33" s="50">
        <f>'設定'!$I$22</f>
        <v/>
      </c>
      <c r="C33" s="71">
        <f t="array" ref="C33">IF('計算A'!O$4=0,"",IF(C17&lt;&gt;"","（決定）",IF('計算A'!O$108=1,"（空ける）",SUMPRODUCT(('計算A'!O$60:O$104=1)*('計算A'!$C$10:$C$54=1))&amp;"人："&amp;_xlfn.TEXTJOIN("、",TRUE,IF(('計算A'!O$60:O$104=1)*('計算A'!$C$10:$C$54=1),'計算A'!$B$10:$B$54,"")))))</f>
        <v/>
      </c>
      <c r="D33" s="71">
        <f t="array" ref="D33">IF('計算A'!AA$4=0,"",IF(D17&lt;&gt;"","（決定）",IF('計算A'!AA$108=1,"（空ける）",SUMPRODUCT(('計算A'!AA$60:AA$104=1)*('計算A'!$C$10:$C$54=1))&amp;"人："&amp;_xlfn.TEXTJOIN("、",TRUE,IF(('計算A'!AA$60:AA$104=1)*('計算A'!$C$10:$C$54=1),'計算A'!$B$10:$B$54,"")))))</f>
        <v/>
      </c>
      <c r="E33" s="71">
        <f t="array" ref="E33">IF('計算A'!AM$4=0,"",IF(E17&lt;&gt;"","（決定）",IF('計算A'!AM$108=1,"（空ける）",SUMPRODUCT(('計算A'!AM$60:AM$104=1)*('計算A'!$C$10:$C$54=1))&amp;"人："&amp;_xlfn.TEXTJOIN("、",TRUE,IF(('計算A'!AM$60:AM$104=1)*('計算A'!$C$10:$C$54=1),'計算A'!$B$10:$B$54,"")))))</f>
        <v/>
      </c>
      <c r="F33" s="71">
        <f t="array" ref="F33">IF('計算A'!AY$4=0,"",IF(F17&lt;&gt;"","（決定）",IF('計算A'!AY$108=1,"（空ける）",SUMPRODUCT(('計算A'!AY$60:AY$104=1)*('計算A'!$C$10:$C$54=1))&amp;"人："&amp;_xlfn.TEXTJOIN("、",TRUE,IF(('計算A'!AY$60:AY$104=1)*('計算A'!$C$10:$C$54=1),'計算A'!$B$10:$B$54,"")))))</f>
        <v/>
      </c>
      <c r="G33" s="71">
        <f t="array" ref="G33">IF('計算A'!BK$4=0,"",IF(G17&lt;&gt;"","（決定）",IF('計算A'!BK$108=1,"（空ける）",SUMPRODUCT(('計算A'!BK$60:BK$104=1)*('計算A'!$C$10:$C$54=1))&amp;"人："&amp;_xlfn.TEXTJOIN("、",TRUE,IF(('計算A'!BK$60:BK$104=1)*('計算A'!$C$10:$C$54=1),'計算A'!$B$10:$B$54,"")))))</f>
        <v/>
      </c>
      <c r="H33" s="71">
        <f t="array" ref="H33">IF('計算A'!BW$4=0,"",IF(H17&lt;&gt;"","（決定）",IF('計算A'!BW$108=1,"（空ける）",SUMPRODUCT(('計算A'!BW$60:BW$104=1)*('計算A'!$C$10:$C$54=1))&amp;"人："&amp;_xlfn.TEXTJOIN("、",TRUE,IF(('計算A'!BW$60:BW$104=1)*('計算A'!$C$10:$C$54=1),'計算A'!$B$10:$B$54,"")))))</f>
        <v/>
      </c>
      <c r="I33" s="71">
        <f t="array" ref="I33">IF('計算A'!CI$4=0,"",IF(I17&lt;&gt;"","（決定）",IF('計算A'!CI$108=1,"（空ける）",SUMPRODUCT(('計算A'!CI$60:CI$104=1)*('計算A'!$C$10:$C$54=1))&amp;"人："&amp;_xlfn.TEXTJOIN("、",TRUE,IF(('計算A'!CI$60:CI$104=1)*('計算A'!$C$10:$C$54=1),'計算A'!$B$10:$B$54,"")))))</f>
        <v/>
      </c>
      <c r="J33" s="71">
        <f t="array" ref="J33">IF('計算A'!CU$4=0,"",IF(J17&lt;&gt;"","（決定）",IF('計算A'!CU$108=1,"（空ける）",SUMPRODUCT(('計算A'!CU$60:CU$104=1)*('計算A'!$C$10:$C$54=1))&amp;"人："&amp;_xlfn.TEXTJOIN("、",TRUE,IF(('計算A'!CU$60:CU$104=1)*('計算A'!$C$10:$C$54=1),'計算A'!$B$10:$B$54,"")))))</f>
        <v/>
      </c>
      <c r="K33" s="71">
        <f t="array" ref="K33">IF('計算A'!DG$4=0,"",IF(K17&lt;&gt;"","（決定）",IF('計算A'!DG$108=1,"（空ける）",SUMPRODUCT(('計算A'!DG$60:DG$104=1)*('計算A'!$C$10:$C$54=1))&amp;"人："&amp;_xlfn.TEXTJOIN("、",TRUE,IF(('計算A'!DG$60:DG$104=1)*('計算A'!$C$10:$C$54=1),'計算A'!$B$10:$B$54,"")))))</f>
        <v/>
      </c>
      <c r="L33" s="71">
        <f t="array" ref="L33">IF('計算A'!DS$4=0,"",IF(L17&lt;&gt;"","（決定）",IF('計算A'!DS$108=1,"（空ける）",SUMPRODUCT(('計算A'!DS$60:DS$104=1)*('計算A'!$C$10:$C$54=1))&amp;"人："&amp;_xlfn.TEXTJOIN("、",TRUE,IF(('計算A'!DS$60:DS$104=1)*('計算A'!$C$10:$C$54=1),'計算A'!$B$10:$B$54,"")))))</f>
        <v/>
      </c>
    </row>
  </sheetData>
  <mergeCells count="2">
    <mergeCell ref="N5:O5"/>
    <mergeCell ref="O11:O17"/>
  </mergeCells>
  <conditionalFormatting sqref="C6:L17">
    <cfRule type="expression" priority="1" dxfId="6" stopIfTrue="1">
      <formula>INDEX('計算A'!$D$4:$DS$4,(COLUMN(C6)-3)*12+ROW(C6)-5)=0</formula>
    </cfRule>
    <cfRule type="expression" priority="2" dxfId="11" stopIfTrue="1">
      <formula>AND(C6&lt;&gt;"",IFERROR(INDEX('計算A'!$D$10:$DS$54,MATCH(C6,'計算A'!$B$10:$B$54,0),(COLUMN(C6)-3)*12+ROW(C6)-5)=1,FALSE))</formula>
    </cfRule>
    <cfRule type="expression" priority="3" dxfId="12" stopIfTrue="1">
      <formula>AND(C6&lt;&gt;"",COUNTIF($C$6:$L$17,C6)&gt;1)</formula>
    </cfRule>
    <cfRule type="expression" priority="4" dxfId="13" stopIfTrue="1">
      <formula>AND(C6&lt;&gt;"",INDEX('計算A'!$D$108:$DS$108,(COLUMN(C6)-3)*12+ROW(C6)-5)=1)</formula>
    </cfRule>
    <cfRule type="expression" priority="5" dxfId="9" stopIfTrue="1">
      <formula>AND(C6="",INDEX('計算A'!$D$108:$DS$108,(COLUMN(C6)-3)*12+ROW(C6)-5)=1)</formula>
    </cfRule>
    <cfRule type="expression" priority="6" dxfId="14" stopIfTrue="1">
      <formula>AND(C6&lt;&gt;"",C6=$N$5)</formula>
    </cfRule>
    <cfRule type="expression" priority="7" dxfId="5" stopIfTrue="1">
      <formula>IF('計算A'!$B$8&gt;0,INDEX('計算A'!$D$10:$DS$54,'計算A'!$B$8,(COLUMN(C6)-3)*12+ROW(C6)-5)=1,FALSE)</formula>
    </cfRule>
    <cfRule type="expression" priority="8" dxfId="15" stopIfTrue="1">
      <formula>IF('計算A'!$B$8&gt;0,AND(C6="",INDEX('計算A'!$D$60:$DS$104,'計算A'!$B$8,(COLUMN(C6)-3)*12+ROW(C6)-5)=1),FALSE)</formula>
    </cfRule>
    <cfRule type="expression" priority="9" dxfId="4" stopIfTrue="1">
      <formula>IF('計算A'!$B$8&gt;0,AND(C6&lt;&gt;"",INDEX('計算A'!$D$60:$DS$104,'計算A'!$B$8,(COLUMN(C6)-3)*12+ROW(C6)-5)=1),FALSE)</formula>
    </cfRule>
    <cfRule type="expression" priority="10" dxfId="10" stopIfTrue="1">
      <formula>AND(C6="",INDEX('計算A'!$D$5:$DS$5,(COLUMN(C6)-3)*12+ROW(C6)-5)=1)</formula>
    </cfRule>
  </conditionalFormatting>
  <conditionalFormatting sqref="C22:L33">
    <cfRule type="expression" priority="11" dxfId="6" stopIfTrue="1">
      <formula>INDEX('計算A'!$D$4:$DS$4,(COLUMN(C22)-3)*12+ROW(C22)-21)=0</formula>
    </cfRule>
    <cfRule type="expression" priority="12" dxfId="16" stopIfTrue="1">
      <formula>LEFT(C22,2)="0人"</formula>
    </cfRule>
    <cfRule type="expression" priority="13" dxfId="17">
      <formula>LEFT(C22,2)="1人"</formula>
    </cfRule>
  </conditionalFormatting>
  <conditionalFormatting sqref="C5:L5">
    <cfRule type="expression" priority="14" dxfId="7">
      <formula>C5=""</formula>
    </cfRule>
  </conditionalFormatting>
  <conditionalFormatting sqref="C21:L21">
    <cfRule type="expression" priority="15" dxfId="7">
      <formula>C21=""</formula>
    </cfRule>
  </conditionalFormatting>
  <dataValidations count="1">
    <dataValidation sqref="C6:L17 N5" showDropDown="0" showInputMessage="0" showErrorMessage="1" allowBlank="1" error="名簿にある児童を選んでください。" type="list">
      <formula1>='名簿'!$G$5:$G$49</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A114"/>
  <sheetViews>
    <sheetView showGridLines="0" workbookViewId="0">
      <selection activeCell="A1" sqref="A1"/>
    </sheetView>
  </sheetViews>
  <sheetFormatPr baseColWidth="8" defaultRowHeight="15"/>
  <sheetData>
    <row r="1">
      <c r="A1" s="57" t="inlineStr">
        <is>
          <t>計算用（さわらないでください）</t>
        </is>
      </c>
      <c r="C1" s="72" t="inlineStr">
        <is>
          <t>枠番号</t>
        </is>
      </c>
      <c r="D1" t="n">
        <v>1</v>
      </c>
      <c r="E1" t="n">
        <v>2</v>
      </c>
      <c r="F1" t="n">
        <v>3</v>
      </c>
      <c r="G1" t="n">
        <v>4</v>
      </c>
      <c r="H1" t="n">
        <v>5</v>
      </c>
      <c r="I1" t="n">
        <v>6</v>
      </c>
      <c r="J1" t="n">
        <v>7</v>
      </c>
      <c r="K1" t="n">
        <v>8</v>
      </c>
      <c r="L1" t="n">
        <v>9</v>
      </c>
      <c r="M1" t="n">
        <v>10</v>
      </c>
      <c r="N1" t="n">
        <v>11</v>
      </c>
      <c r="O1" t="n">
        <v>12</v>
      </c>
      <c r="P1" t="n">
        <v>13</v>
      </c>
      <c r="Q1" t="n">
        <v>14</v>
      </c>
      <c r="R1" t="n">
        <v>15</v>
      </c>
      <c r="S1" t="n">
        <v>16</v>
      </c>
      <c r="T1" t="n">
        <v>17</v>
      </c>
      <c r="U1" t="n">
        <v>18</v>
      </c>
      <c r="V1" t="n">
        <v>19</v>
      </c>
      <c r="W1" t="n">
        <v>20</v>
      </c>
      <c r="X1" t="n">
        <v>21</v>
      </c>
      <c r="Y1" t="n">
        <v>22</v>
      </c>
      <c r="Z1" t="n">
        <v>23</v>
      </c>
      <c r="AA1" t="n">
        <v>24</v>
      </c>
      <c r="AB1" t="n">
        <v>25</v>
      </c>
      <c r="AC1" t="n">
        <v>26</v>
      </c>
      <c r="AD1" t="n">
        <v>27</v>
      </c>
      <c r="AE1" t="n">
        <v>28</v>
      </c>
      <c r="AF1" t="n">
        <v>29</v>
      </c>
      <c r="AG1" t="n">
        <v>30</v>
      </c>
      <c r="AH1" t="n">
        <v>31</v>
      </c>
      <c r="AI1" t="n">
        <v>32</v>
      </c>
      <c r="AJ1" t="n">
        <v>33</v>
      </c>
      <c r="AK1" t="n">
        <v>34</v>
      </c>
      <c r="AL1" t="n">
        <v>35</v>
      </c>
      <c r="AM1" t="n">
        <v>36</v>
      </c>
      <c r="AN1" t="n">
        <v>37</v>
      </c>
      <c r="AO1" t="n">
        <v>38</v>
      </c>
      <c r="AP1" t="n">
        <v>39</v>
      </c>
      <c r="AQ1" t="n">
        <v>40</v>
      </c>
      <c r="AR1" t="n">
        <v>41</v>
      </c>
      <c r="AS1" t="n">
        <v>42</v>
      </c>
      <c r="AT1" t="n">
        <v>43</v>
      </c>
      <c r="AU1" t="n">
        <v>44</v>
      </c>
      <c r="AV1" t="n">
        <v>45</v>
      </c>
      <c r="AW1" t="n">
        <v>46</v>
      </c>
      <c r="AX1" t="n">
        <v>47</v>
      </c>
      <c r="AY1" t="n">
        <v>48</v>
      </c>
      <c r="AZ1" t="n">
        <v>49</v>
      </c>
      <c r="BA1" t="n">
        <v>50</v>
      </c>
      <c r="BB1" t="n">
        <v>51</v>
      </c>
      <c r="BC1" t="n">
        <v>52</v>
      </c>
      <c r="BD1" t="n">
        <v>53</v>
      </c>
      <c r="BE1" t="n">
        <v>54</v>
      </c>
      <c r="BF1" t="n">
        <v>55</v>
      </c>
      <c r="BG1" t="n">
        <v>56</v>
      </c>
      <c r="BH1" t="n">
        <v>57</v>
      </c>
      <c r="BI1" t="n">
        <v>58</v>
      </c>
      <c r="BJ1" t="n">
        <v>59</v>
      </c>
      <c r="BK1" t="n">
        <v>60</v>
      </c>
      <c r="BL1" t="n">
        <v>61</v>
      </c>
      <c r="BM1" t="n">
        <v>62</v>
      </c>
      <c r="BN1" t="n">
        <v>63</v>
      </c>
      <c r="BO1" t="n">
        <v>64</v>
      </c>
      <c r="BP1" t="n">
        <v>65</v>
      </c>
      <c r="BQ1" t="n">
        <v>66</v>
      </c>
      <c r="BR1" t="n">
        <v>67</v>
      </c>
      <c r="BS1" t="n">
        <v>68</v>
      </c>
      <c r="BT1" t="n">
        <v>69</v>
      </c>
      <c r="BU1" t="n">
        <v>70</v>
      </c>
      <c r="BV1" t="n">
        <v>71</v>
      </c>
      <c r="BW1" t="n">
        <v>72</v>
      </c>
      <c r="BX1" t="n">
        <v>73</v>
      </c>
      <c r="BY1" t="n">
        <v>74</v>
      </c>
      <c r="BZ1" t="n">
        <v>75</v>
      </c>
      <c r="CA1" t="n">
        <v>76</v>
      </c>
      <c r="CB1" t="n">
        <v>77</v>
      </c>
      <c r="CC1" t="n">
        <v>78</v>
      </c>
      <c r="CD1" t="n">
        <v>79</v>
      </c>
      <c r="CE1" t="n">
        <v>80</v>
      </c>
      <c r="CF1" t="n">
        <v>81</v>
      </c>
      <c r="CG1" t="n">
        <v>82</v>
      </c>
      <c r="CH1" t="n">
        <v>83</v>
      </c>
      <c r="CI1" t="n">
        <v>84</v>
      </c>
      <c r="CJ1" t="n">
        <v>85</v>
      </c>
      <c r="CK1" t="n">
        <v>86</v>
      </c>
      <c r="CL1" t="n">
        <v>87</v>
      </c>
      <c r="CM1" t="n">
        <v>88</v>
      </c>
      <c r="CN1" t="n">
        <v>89</v>
      </c>
      <c r="CO1" t="n">
        <v>90</v>
      </c>
      <c r="CP1" t="n">
        <v>91</v>
      </c>
      <c r="CQ1" t="n">
        <v>92</v>
      </c>
      <c r="CR1" t="n">
        <v>93</v>
      </c>
      <c r="CS1" t="n">
        <v>94</v>
      </c>
      <c r="CT1" t="n">
        <v>95</v>
      </c>
      <c r="CU1" t="n">
        <v>96</v>
      </c>
      <c r="CV1" t="n">
        <v>97</v>
      </c>
      <c r="CW1" t="n">
        <v>98</v>
      </c>
      <c r="CX1" t="n">
        <v>99</v>
      </c>
      <c r="CY1" t="n">
        <v>100</v>
      </c>
      <c r="CZ1" t="n">
        <v>101</v>
      </c>
      <c r="DA1" t="n">
        <v>102</v>
      </c>
      <c r="DB1" t="n">
        <v>103</v>
      </c>
      <c r="DC1" t="n">
        <v>104</v>
      </c>
      <c r="DD1" t="n">
        <v>105</v>
      </c>
      <c r="DE1" t="n">
        <v>106</v>
      </c>
      <c r="DF1" t="n">
        <v>107</v>
      </c>
      <c r="DG1" t="n">
        <v>108</v>
      </c>
      <c r="DH1" t="n">
        <v>109</v>
      </c>
      <c r="DI1" t="n">
        <v>110</v>
      </c>
      <c r="DJ1" t="n">
        <v>111</v>
      </c>
      <c r="DK1" t="n">
        <v>112</v>
      </c>
      <c r="DL1" t="n">
        <v>113</v>
      </c>
      <c r="DM1" t="n">
        <v>114</v>
      </c>
      <c r="DN1" t="n">
        <v>115</v>
      </c>
      <c r="DO1" t="n">
        <v>116</v>
      </c>
      <c r="DP1" t="n">
        <v>117</v>
      </c>
      <c r="DQ1" t="n">
        <v>118</v>
      </c>
      <c r="DR1" t="n">
        <v>119</v>
      </c>
      <c r="DS1" t="n">
        <v>120</v>
      </c>
    </row>
    <row r="2">
      <c r="C2" s="72" t="inlineStr">
        <is>
          <t>日</t>
        </is>
      </c>
      <c r="D2" t="n">
        <v>1</v>
      </c>
      <c r="E2" t="n">
        <v>1</v>
      </c>
      <c r="F2" t="n">
        <v>1</v>
      </c>
      <c r="G2" t="n">
        <v>1</v>
      </c>
      <c r="H2" t="n">
        <v>1</v>
      </c>
      <c r="I2" t="n">
        <v>1</v>
      </c>
      <c r="J2" t="n">
        <v>1</v>
      </c>
      <c r="K2" t="n">
        <v>1</v>
      </c>
      <c r="L2" t="n">
        <v>1</v>
      </c>
      <c r="M2" t="n">
        <v>1</v>
      </c>
      <c r="N2" t="n">
        <v>1</v>
      </c>
      <c r="O2" t="n">
        <v>1</v>
      </c>
      <c r="P2" t="n">
        <v>2</v>
      </c>
      <c r="Q2" t="n">
        <v>2</v>
      </c>
      <c r="R2" t="n">
        <v>2</v>
      </c>
      <c r="S2" t="n">
        <v>2</v>
      </c>
      <c r="T2" t="n">
        <v>2</v>
      </c>
      <c r="U2" t="n">
        <v>2</v>
      </c>
      <c r="V2" t="n">
        <v>2</v>
      </c>
      <c r="W2" t="n">
        <v>2</v>
      </c>
      <c r="X2" t="n">
        <v>2</v>
      </c>
      <c r="Y2" t="n">
        <v>2</v>
      </c>
      <c r="Z2" t="n">
        <v>2</v>
      </c>
      <c r="AA2" t="n">
        <v>2</v>
      </c>
      <c r="AB2" t="n">
        <v>3</v>
      </c>
      <c r="AC2" t="n">
        <v>3</v>
      </c>
      <c r="AD2" t="n">
        <v>3</v>
      </c>
      <c r="AE2" t="n">
        <v>3</v>
      </c>
      <c r="AF2" t="n">
        <v>3</v>
      </c>
      <c r="AG2" t="n">
        <v>3</v>
      </c>
      <c r="AH2" t="n">
        <v>3</v>
      </c>
      <c r="AI2" t="n">
        <v>3</v>
      </c>
      <c r="AJ2" t="n">
        <v>3</v>
      </c>
      <c r="AK2" t="n">
        <v>3</v>
      </c>
      <c r="AL2" t="n">
        <v>3</v>
      </c>
      <c r="AM2" t="n">
        <v>3</v>
      </c>
      <c r="AN2" t="n">
        <v>4</v>
      </c>
      <c r="AO2" t="n">
        <v>4</v>
      </c>
      <c r="AP2" t="n">
        <v>4</v>
      </c>
      <c r="AQ2" t="n">
        <v>4</v>
      </c>
      <c r="AR2" t="n">
        <v>4</v>
      </c>
      <c r="AS2" t="n">
        <v>4</v>
      </c>
      <c r="AT2" t="n">
        <v>4</v>
      </c>
      <c r="AU2" t="n">
        <v>4</v>
      </c>
      <c r="AV2" t="n">
        <v>4</v>
      </c>
      <c r="AW2" t="n">
        <v>4</v>
      </c>
      <c r="AX2" t="n">
        <v>4</v>
      </c>
      <c r="AY2" t="n">
        <v>4</v>
      </c>
      <c r="AZ2" t="n">
        <v>5</v>
      </c>
      <c r="BA2" t="n">
        <v>5</v>
      </c>
      <c r="BB2" t="n">
        <v>5</v>
      </c>
      <c r="BC2" t="n">
        <v>5</v>
      </c>
      <c r="BD2" t="n">
        <v>5</v>
      </c>
      <c r="BE2" t="n">
        <v>5</v>
      </c>
      <c r="BF2" t="n">
        <v>5</v>
      </c>
      <c r="BG2" t="n">
        <v>5</v>
      </c>
      <c r="BH2" t="n">
        <v>5</v>
      </c>
      <c r="BI2" t="n">
        <v>5</v>
      </c>
      <c r="BJ2" t="n">
        <v>5</v>
      </c>
      <c r="BK2" t="n">
        <v>5</v>
      </c>
      <c r="BL2" t="n">
        <v>6</v>
      </c>
      <c r="BM2" t="n">
        <v>6</v>
      </c>
      <c r="BN2" t="n">
        <v>6</v>
      </c>
      <c r="BO2" t="n">
        <v>6</v>
      </c>
      <c r="BP2" t="n">
        <v>6</v>
      </c>
      <c r="BQ2" t="n">
        <v>6</v>
      </c>
      <c r="BR2" t="n">
        <v>6</v>
      </c>
      <c r="BS2" t="n">
        <v>6</v>
      </c>
      <c r="BT2" t="n">
        <v>6</v>
      </c>
      <c r="BU2" t="n">
        <v>6</v>
      </c>
      <c r="BV2" t="n">
        <v>6</v>
      </c>
      <c r="BW2" t="n">
        <v>6</v>
      </c>
      <c r="BX2" t="n">
        <v>7</v>
      </c>
      <c r="BY2" t="n">
        <v>7</v>
      </c>
      <c r="BZ2" t="n">
        <v>7</v>
      </c>
      <c r="CA2" t="n">
        <v>7</v>
      </c>
      <c r="CB2" t="n">
        <v>7</v>
      </c>
      <c r="CC2" t="n">
        <v>7</v>
      </c>
      <c r="CD2" t="n">
        <v>7</v>
      </c>
      <c r="CE2" t="n">
        <v>7</v>
      </c>
      <c r="CF2" t="n">
        <v>7</v>
      </c>
      <c r="CG2" t="n">
        <v>7</v>
      </c>
      <c r="CH2" t="n">
        <v>7</v>
      </c>
      <c r="CI2" t="n">
        <v>7</v>
      </c>
      <c r="CJ2" t="n">
        <v>8</v>
      </c>
      <c r="CK2" t="n">
        <v>8</v>
      </c>
      <c r="CL2" t="n">
        <v>8</v>
      </c>
      <c r="CM2" t="n">
        <v>8</v>
      </c>
      <c r="CN2" t="n">
        <v>8</v>
      </c>
      <c r="CO2" t="n">
        <v>8</v>
      </c>
      <c r="CP2" t="n">
        <v>8</v>
      </c>
      <c r="CQ2" t="n">
        <v>8</v>
      </c>
      <c r="CR2" t="n">
        <v>8</v>
      </c>
      <c r="CS2" t="n">
        <v>8</v>
      </c>
      <c r="CT2" t="n">
        <v>8</v>
      </c>
      <c r="CU2" t="n">
        <v>8</v>
      </c>
      <c r="CV2" t="n">
        <v>9</v>
      </c>
      <c r="CW2" t="n">
        <v>9</v>
      </c>
      <c r="CX2" t="n">
        <v>9</v>
      </c>
      <c r="CY2" t="n">
        <v>9</v>
      </c>
      <c r="CZ2" t="n">
        <v>9</v>
      </c>
      <c r="DA2" t="n">
        <v>9</v>
      </c>
      <c r="DB2" t="n">
        <v>9</v>
      </c>
      <c r="DC2" t="n">
        <v>9</v>
      </c>
      <c r="DD2" t="n">
        <v>9</v>
      </c>
      <c r="DE2" t="n">
        <v>9</v>
      </c>
      <c r="DF2" t="n">
        <v>9</v>
      </c>
      <c r="DG2" t="n">
        <v>9</v>
      </c>
      <c r="DH2" t="n">
        <v>10</v>
      </c>
      <c r="DI2" t="n">
        <v>10</v>
      </c>
      <c r="DJ2" t="n">
        <v>10</v>
      </c>
      <c r="DK2" t="n">
        <v>10</v>
      </c>
      <c r="DL2" t="n">
        <v>10</v>
      </c>
      <c r="DM2" t="n">
        <v>10</v>
      </c>
      <c r="DN2" t="n">
        <v>10</v>
      </c>
      <c r="DO2" t="n">
        <v>10</v>
      </c>
      <c r="DP2" t="n">
        <v>10</v>
      </c>
      <c r="DQ2" t="n">
        <v>10</v>
      </c>
      <c r="DR2" t="n">
        <v>10</v>
      </c>
      <c r="DS2" t="n">
        <v>10</v>
      </c>
    </row>
    <row r="3">
      <c r="C3" s="72" t="inlineStr">
        <is>
          <t>時</t>
        </is>
      </c>
      <c r="D3" t="n">
        <v>1</v>
      </c>
      <c r="E3" t="n">
        <v>2</v>
      </c>
      <c r="F3" t="n">
        <v>3</v>
      </c>
      <c r="G3" t="n">
        <v>4</v>
      </c>
      <c r="H3" t="n">
        <v>5</v>
      </c>
      <c r="I3" t="n">
        <v>6</v>
      </c>
      <c r="J3" t="n">
        <v>7</v>
      </c>
      <c r="K3" t="n">
        <v>8</v>
      </c>
      <c r="L3" t="n">
        <v>9</v>
      </c>
      <c r="M3" t="n">
        <v>10</v>
      </c>
      <c r="N3" t="n">
        <v>11</v>
      </c>
      <c r="O3" t="n">
        <v>12</v>
      </c>
      <c r="P3" t="n">
        <v>1</v>
      </c>
      <c r="Q3" t="n">
        <v>2</v>
      </c>
      <c r="R3" t="n">
        <v>3</v>
      </c>
      <c r="S3" t="n">
        <v>4</v>
      </c>
      <c r="T3" t="n">
        <v>5</v>
      </c>
      <c r="U3" t="n">
        <v>6</v>
      </c>
      <c r="V3" t="n">
        <v>7</v>
      </c>
      <c r="W3" t="n">
        <v>8</v>
      </c>
      <c r="X3" t="n">
        <v>9</v>
      </c>
      <c r="Y3" t="n">
        <v>10</v>
      </c>
      <c r="Z3" t="n">
        <v>11</v>
      </c>
      <c r="AA3" t="n">
        <v>12</v>
      </c>
      <c r="AB3" t="n">
        <v>1</v>
      </c>
      <c r="AC3" t="n">
        <v>2</v>
      </c>
      <c r="AD3" t="n">
        <v>3</v>
      </c>
      <c r="AE3" t="n">
        <v>4</v>
      </c>
      <c r="AF3" t="n">
        <v>5</v>
      </c>
      <c r="AG3" t="n">
        <v>6</v>
      </c>
      <c r="AH3" t="n">
        <v>7</v>
      </c>
      <c r="AI3" t="n">
        <v>8</v>
      </c>
      <c r="AJ3" t="n">
        <v>9</v>
      </c>
      <c r="AK3" t="n">
        <v>10</v>
      </c>
      <c r="AL3" t="n">
        <v>11</v>
      </c>
      <c r="AM3" t="n">
        <v>12</v>
      </c>
      <c r="AN3" t="n">
        <v>1</v>
      </c>
      <c r="AO3" t="n">
        <v>2</v>
      </c>
      <c r="AP3" t="n">
        <v>3</v>
      </c>
      <c r="AQ3" t="n">
        <v>4</v>
      </c>
      <c r="AR3" t="n">
        <v>5</v>
      </c>
      <c r="AS3" t="n">
        <v>6</v>
      </c>
      <c r="AT3" t="n">
        <v>7</v>
      </c>
      <c r="AU3" t="n">
        <v>8</v>
      </c>
      <c r="AV3" t="n">
        <v>9</v>
      </c>
      <c r="AW3" t="n">
        <v>10</v>
      </c>
      <c r="AX3" t="n">
        <v>11</v>
      </c>
      <c r="AY3" t="n">
        <v>12</v>
      </c>
      <c r="AZ3" t="n">
        <v>1</v>
      </c>
      <c r="BA3" t="n">
        <v>2</v>
      </c>
      <c r="BB3" t="n">
        <v>3</v>
      </c>
      <c r="BC3" t="n">
        <v>4</v>
      </c>
      <c r="BD3" t="n">
        <v>5</v>
      </c>
      <c r="BE3" t="n">
        <v>6</v>
      </c>
      <c r="BF3" t="n">
        <v>7</v>
      </c>
      <c r="BG3" t="n">
        <v>8</v>
      </c>
      <c r="BH3" t="n">
        <v>9</v>
      </c>
      <c r="BI3" t="n">
        <v>10</v>
      </c>
      <c r="BJ3" t="n">
        <v>11</v>
      </c>
      <c r="BK3" t="n">
        <v>12</v>
      </c>
      <c r="BL3" t="n">
        <v>1</v>
      </c>
      <c r="BM3" t="n">
        <v>2</v>
      </c>
      <c r="BN3" t="n">
        <v>3</v>
      </c>
      <c r="BO3" t="n">
        <v>4</v>
      </c>
      <c r="BP3" t="n">
        <v>5</v>
      </c>
      <c r="BQ3" t="n">
        <v>6</v>
      </c>
      <c r="BR3" t="n">
        <v>7</v>
      </c>
      <c r="BS3" t="n">
        <v>8</v>
      </c>
      <c r="BT3" t="n">
        <v>9</v>
      </c>
      <c r="BU3" t="n">
        <v>10</v>
      </c>
      <c r="BV3" t="n">
        <v>11</v>
      </c>
      <c r="BW3" t="n">
        <v>12</v>
      </c>
      <c r="BX3" t="n">
        <v>1</v>
      </c>
      <c r="BY3" t="n">
        <v>2</v>
      </c>
      <c r="BZ3" t="n">
        <v>3</v>
      </c>
      <c r="CA3" t="n">
        <v>4</v>
      </c>
      <c r="CB3" t="n">
        <v>5</v>
      </c>
      <c r="CC3" t="n">
        <v>6</v>
      </c>
      <c r="CD3" t="n">
        <v>7</v>
      </c>
      <c r="CE3" t="n">
        <v>8</v>
      </c>
      <c r="CF3" t="n">
        <v>9</v>
      </c>
      <c r="CG3" t="n">
        <v>10</v>
      </c>
      <c r="CH3" t="n">
        <v>11</v>
      </c>
      <c r="CI3" t="n">
        <v>12</v>
      </c>
      <c r="CJ3" t="n">
        <v>1</v>
      </c>
      <c r="CK3" t="n">
        <v>2</v>
      </c>
      <c r="CL3" t="n">
        <v>3</v>
      </c>
      <c r="CM3" t="n">
        <v>4</v>
      </c>
      <c r="CN3" t="n">
        <v>5</v>
      </c>
      <c r="CO3" t="n">
        <v>6</v>
      </c>
      <c r="CP3" t="n">
        <v>7</v>
      </c>
      <c r="CQ3" t="n">
        <v>8</v>
      </c>
      <c r="CR3" t="n">
        <v>9</v>
      </c>
      <c r="CS3" t="n">
        <v>10</v>
      </c>
      <c r="CT3" t="n">
        <v>11</v>
      </c>
      <c r="CU3" t="n">
        <v>12</v>
      </c>
      <c r="CV3" t="n">
        <v>1</v>
      </c>
      <c r="CW3" t="n">
        <v>2</v>
      </c>
      <c r="CX3" t="n">
        <v>3</v>
      </c>
      <c r="CY3" t="n">
        <v>4</v>
      </c>
      <c r="CZ3" t="n">
        <v>5</v>
      </c>
      <c r="DA3" t="n">
        <v>6</v>
      </c>
      <c r="DB3" t="n">
        <v>7</v>
      </c>
      <c r="DC3" t="n">
        <v>8</v>
      </c>
      <c r="DD3" t="n">
        <v>9</v>
      </c>
      <c r="DE3" t="n">
        <v>10</v>
      </c>
      <c r="DF3" t="n">
        <v>11</v>
      </c>
      <c r="DG3" t="n">
        <v>12</v>
      </c>
      <c r="DH3" t="n">
        <v>1</v>
      </c>
      <c r="DI3" t="n">
        <v>2</v>
      </c>
      <c r="DJ3" t="n">
        <v>3</v>
      </c>
      <c r="DK3" t="n">
        <v>4</v>
      </c>
      <c r="DL3" t="n">
        <v>5</v>
      </c>
      <c r="DM3" t="n">
        <v>6</v>
      </c>
      <c r="DN3" t="n">
        <v>7</v>
      </c>
      <c r="DO3" t="n">
        <v>8</v>
      </c>
      <c r="DP3" t="n">
        <v>9</v>
      </c>
      <c r="DQ3" t="n">
        <v>10</v>
      </c>
      <c r="DR3" t="n">
        <v>11</v>
      </c>
      <c r="DS3" t="n">
        <v>12</v>
      </c>
    </row>
    <row r="4">
      <c r="C4" s="72" t="inlineStr">
        <is>
          <t>使える</t>
        </is>
      </c>
      <c r="D4">
        <f>IF(AND(INDEX('設定'!$B$11:$B$20,D2)&lt;&gt;"",D3&lt;='設定'!$B$6),1,0)</f>
        <v/>
      </c>
      <c r="E4">
        <f>IF(AND(INDEX('設定'!$B$11:$B$20,E2)&lt;&gt;"",E3&lt;='設定'!$B$6),1,0)</f>
        <v/>
      </c>
      <c r="F4">
        <f>IF(AND(INDEX('設定'!$B$11:$B$20,F2)&lt;&gt;"",F3&lt;='設定'!$B$6),1,0)</f>
        <v/>
      </c>
      <c r="G4">
        <f>IF(AND(INDEX('設定'!$B$11:$B$20,G2)&lt;&gt;"",G3&lt;='設定'!$B$6),1,0)</f>
        <v/>
      </c>
      <c r="H4">
        <f>IF(AND(INDEX('設定'!$B$11:$B$20,H2)&lt;&gt;"",H3&lt;='設定'!$B$6),1,0)</f>
        <v/>
      </c>
      <c r="I4">
        <f>IF(AND(INDEX('設定'!$B$11:$B$20,I2)&lt;&gt;"",I3&lt;='設定'!$B$6),1,0)</f>
        <v/>
      </c>
      <c r="J4">
        <f>IF(AND(INDEX('設定'!$B$11:$B$20,J2)&lt;&gt;"",J3&lt;='設定'!$B$6),1,0)</f>
        <v/>
      </c>
      <c r="K4">
        <f>IF(AND(INDEX('設定'!$B$11:$B$20,K2)&lt;&gt;"",K3&lt;='設定'!$B$6),1,0)</f>
        <v/>
      </c>
      <c r="L4">
        <f>IF(AND(INDEX('設定'!$B$11:$B$20,L2)&lt;&gt;"",L3&lt;='設定'!$B$6),1,0)</f>
        <v/>
      </c>
      <c r="M4">
        <f>IF(AND(INDEX('設定'!$B$11:$B$20,M2)&lt;&gt;"",M3&lt;='設定'!$B$6),1,0)</f>
        <v/>
      </c>
      <c r="N4">
        <f>IF(AND(INDEX('設定'!$B$11:$B$20,N2)&lt;&gt;"",N3&lt;='設定'!$B$6),1,0)</f>
        <v/>
      </c>
      <c r="O4">
        <f>IF(AND(INDEX('設定'!$B$11:$B$20,O2)&lt;&gt;"",O3&lt;='設定'!$B$6),1,0)</f>
        <v/>
      </c>
      <c r="P4">
        <f>IF(AND(INDEX('設定'!$B$11:$B$20,P2)&lt;&gt;"",P3&lt;='設定'!$B$6),1,0)</f>
        <v/>
      </c>
      <c r="Q4">
        <f>IF(AND(INDEX('設定'!$B$11:$B$20,Q2)&lt;&gt;"",Q3&lt;='設定'!$B$6),1,0)</f>
        <v/>
      </c>
      <c r="R4">
        <f>IF(AND(INDEX('設定'!$B$11:$B$20,R2)&lt;&gt;"",R3&lt;='設定'!$B$6),1,0)</f>
        <v/>
      </c>
      <c r="S4">
        <f>IF(AND(INDEX('設定'!$B$11:$B$20,S2)&lt;&gt;"",S3&lt;='設定'!$B$6),1,0)</f>
        <v/>
      </c>
      <c r="T4">
        <f>IF(AND(INDEX('設定'!$B$11:$B$20,T2)&lt;&gt;"",T3&lt;='設定'!$B$6),1,0)</f>
        <v/>
      </c>
      <c r="U4">
        <f>IF(AND(INDEX('設定'!$B$11:$B$20,U2)&lt;&gt;"",U3&lt;='設定'!$B$6),1,0)</f>
        <v/>
      </c>
      <c r="V4">
        <f>IF(AND(INDEX('設定'!$B$11:$B$20,V2)&lt;&gt;"",V3&lt;='設定'!$B$6),1,0)</f>
        <v/>
      </c>
      <c r="W4">
        <f>IF(AND(INDEX('設定'!$B$11:$B$20,W2)&lt;&gt;"",W3&lt;='設定'!$B$6),1,0)</f>
        <v/>
      </c>
      <c r="X4">
        <f>IF(AND(INDEX('設定'!$B$11:$B$20,X2)&lt;&gt;"",X3&lt;='設定'!$B$6),1,0)</f>
        <v/>
      </c>
      <c r="Y4">
        <f>IF(AND(INDEX('設定'!$B$11:$B$20,Y2)&lt;&gt;"",Y3&lt;='設定'!$B$6),1,0)</f>
        <v/>
      </c>
      <c r="Z4">
        <f>IF(AND(INDEX('設定'!$B$11:$B$20,Z2)&lt;&gt;"",Z3&lt;='設定'!$B$6),1,0)</f>
        <v/>
      </c>
      <c r="AA4">
        <f>IF(AND(INDEX('設定'!$B$11:$B$20,AA2)&lt;&gt;"",AA3&lt;='設定'!$B$6),1,0)</f>
        <v/>
      </c>
      <c r="AB4">
        <f>IF(AND(INDEX('設定'!$B$11:$B$20,AB2)&lt;&gt;"",AB3&lt;='設定'!$B$6),1,0)</f>
        <v/>
      </c>
      <c r="AC4">
        <f>IF(AND(INDEX('設定'!$B$11:$B$20,AC2)&lt;&gt;"",AC3&lt;='設定'!$B$6),1,0)</f>
        <v/>
      </c>
      <c r="AD4">
        <f>IF(AND(INDEX('設定'!$B$11:$B$20,AD2)&lt;&gt;"",AD3&lt;='設定'!$B$6),1,0)</f>
        <v/>
      </c>
      <c r="AE4">
        <f>IF(AND(INDEX('設定'!$B$11:$B$20,AE2)&lt;&gt;"",AE3&lt;='設定'!$B$6),1,0)</f>
        <v/>
      </c>
      <c r="AF4">
        <f>IF(AND(INDEX('設定'!$B$11:$B$20,AF2)&lt;&gt;"",AF3&lt;='設定'!$B$6),1,0)</f>
        <v/>
      </c>
      <c r="AG4">
        <f>IF(AND(INDEX('設定'!$B$11:$B$20,AG2)&lt;&gt;"",AG3&lt;='設定'!$B$6),1,0)</f>
        <v/>
      </c>
      <c r="AH4">
        <f>IF(AND(INDEX('設定'!$B$11:$B$20,AH2)&lt;&gt;"",AH3&lt;='設定'!$B$6),1,0)</f>
        <v/>
      </c>
      <c r="AI4">
        <f>IF(AND(INDEX('設定'!$B$11:$B$20,AI2)&lt;&gt;"",AI3&lt;='設定'!$B$6),1,0)</f>
        <v/>
      </c>
      <c r="AJ4">
        <f>IF(AND(INDEX('設定'!$B$11:$B$20,AJ2)&lt;&gt;"",AJ3&lt;='設定'!$B$6),1,0)</f>
        <v/>
      </c>
      <c r="AK4">
        <f>IF(AND(INDEX('設定'!$B$11:$B$20,AK2)&lt;&gt;"",AK3&lt;='設定'!$B$6),1,0)</f>
        <v/>
      </c>
      <c r="AL4">
        <f>IF(AND(INDEX('設定'!$B$11:$B$20,AL2)&lt;&gt;"",AL3&lt;='設定'!$B$6),1,0)</f>
        <v/>
      </c>
      <c r="AM4">
        <f>IF(AND(INDEX('設定'!$B$11:$B$20,AM2)&lt;&gt;"",AM3&lt;='設定'!$B$6),1,0)</f>
        <v/>
      </c>
      <c r="AN4">
        <f>IF(AND(INDEX('設定'!$B$11:$B$20,AN2)&lt;&gt;"",AN3&lt;='設定'!$B$6),1,0)</f>
        <v/>
      </c>
      <c r="AO4">
        <f>IF(AND(INDEX('設定'!$B$11:$B$20,AO2)&lt;&gt;"",AO3&lt;='設定'!$B$6),1,0)</f>
        <v/>
      </c>
      <c r="AP4">
        <f>IF(AND(INDEX('設定'!$B$11:$B$20,AP2)&lt;&gt;"",AP3&lt;='設定'!$B$6),1,0)</f>
        <v/>
      </c>
      <c r="AQ4">
        <f>IF(AND(INDEX('設定'!$B$11:$B$20,AQ2)&lt;&gt;"",AQ3&lt;='設定'!$B$6),1,0)</f>
        <v/>
      </c>
      <c r="AR4">
        <f>IF(AND(INDEX('設定'!$B$11:$B$20,AR2)&lt;&gt;"",AR3&lt;='設定'!$B$6),1,0)</f>
        <v/>
      </c>
      <c r="AS4">
        <f>IF(AND(INDEX('設定'!$B$11:$B$20,AS2)&lt;&gt;"",AS3&lt;='設定'!$B$6),1,0)</f>
        <v/>
      </c>
      <c r="AT4">
        <f>IF(AND(INDEX('設定'!$B$11:$B$20,AT2)&lt;&gt;"",AT3&lt;='設定'!$B$6),1,0)</f>
        <v/>
      </c>
      <c r="AU4">
        <f>IF(AND(INDEX('設定'!$B$11:$B$20,AU2)&lt;&gt;"",AU3&lt;='設定'!$B$6),1,0)</f>
        <v/>
      </c>
      <c r="AV4">
        <f>IF(AND(INDEX('設定'!$B$11:$B$20,AV2)&lt;&gt;"",AV3&lt;='設定'!$B$6),1,0)</f>
        <v/>
      </c>
      <c r="AW4">
        <f>IF(AND(INDEX('設定'!$B$11:$B$20,AW2)&lt;&gt;"",AW3&lt;='設定'!$B$6),1,0)</f>
        <v/>
      </c>
      <c r="AX4">
        <f>IF(AND(INDEX('設定'!$B$11:$B$20,AX2)&lt;&gt;"",AX3&lt;='設定'!$B$6),1,0)</f>
        <v/>
      </c>
      <c r="AY4">
        <f>IF(AND(INDEX('設定'!$B$11:$B$20,AY2)&lt;&gt;"",AY3&lt;='設定'!$B$6),1,0)</f>
        <v/>
      </c>
      <c r="AZ4">
        <f>IF(AND(INDEX('設定'!$B$11:$B$20,AZ2)&lt;&gt;"",AZ3&lt;='設定'!$B$6),1,0)</f>
        <v/>
      </c>
      <c r="BA4">
        <f>IF(AND(INDEX('設定'!$B$11:$B$20,BA2)&lt;&gt;"",BA3&lt;='設定'!$B$6),1,0)</f>
        <v/>
      </c>
      <c r="BB4">
        <f>IF(AND(INDEX('設定'!$B$11:$B$20,BB2)&lt;&gt;"",BB3&lt;='設定'!$B$6),1,0)</f>
        <v/>
      </c>
      <c r="BC4">
        <f>IF(AND(INDEX('設定'!$B$11:$B$20,BC2)&lt;&gt;"",BC3&lt;='設定'!$B$6),1,0)</f>
        <v/>
      </c>
      <c r="BD4">
        <f>IF(AND(INDEX('設定'!$B$11:$B$20,BD2)&lt;&gt;"",BD3&lt;='設定'!$B$6),1,0)</f>
        <v/>
      </c>
      <c r="BE4">
        <f>IF(AND(INDEX('設定'!$B$11:$B$20,BE2)&lt;&gt;"",BE3&lt;='設定'!$B$6),1,0)</f>
        <v/>
      </c>
      <c r="BF4">
        <f>IF(AND(INDEX('設定'!$B$11:$B$20,BF2)&lt;&gt;"",BF3&lt;='設定'!$B$6),1,0)</f>
        <v/>
      </c>
      <c r="BG4">
        <f>IF(AND(INDEX('設定'!$B$11:$B$20,BG2)&lt;&gt;"",BG3&lt;='設定'!$B$6),1,0)</f>
        <v/>
      </c>
      <c r="BH4">
        <f>IF(AND(INDEX('設定'!$B$11:$B$20,BH2)&lt;&gt;"",BH3&lt;='設定'!$B$6),1,0)</f>
        <v/>
      </c>
      <c r="BI4">
        <f>IF(AND(INDEX('設定'!$B$11:$B$20,BI2)&lt;&gt;"",BI3&lt;='設定'!$B$6),1,0)</f>
        <v/>
      </c>
      <c r="BJ4">
        <f>IF(AND(INDEX('設定'!$B$11:$B$20,BJ2)&lt;&gt;"",BJ3&lt;='設定'!$B$6),1,0)</f>
        <v/>
      </c>
      <c r="BK4">
        <f>IF(AND(INDEX('設定'!$B$11:$B$20,BK2)&lt;&gt;"",BK3&lt;='設定'!$B$6),1,0)</f>
        <v/>
      </c>
      <c r="BL4">
        <f>IF(AND(INDEX('設定'!$B$11:$B$20,BL2)&lt;&gt;"",BL3&lt;='設定'!$B$6),1,0)</f>
        <v/>
      </c>
      <c r="BM4">
        <f>IF(AND(INDEX('設定'!$B$11:$B$20,BM2)&lt;&gt;"",BM3&lt;='設定'!$B$6),1,0)</f>
        <v/>
      </c>
      <c r="BN4">
        <f>IF(AND(INDEX('設定'!$B$11:$B$20,BN2)&lt;&gt;"",BN3&lt;='設定'!$B$6),1,0)</f>
        <v/>
      </c>
      <c r="BO4">
        <f>IF(AND(INDEX('設定'!$B$11:$B$20,BO2)&lt;&gt;"",BO3&lt;='設定'!$B$6),1,0)</f>
        <v/>
      </c>
      <c r="BP4">
        <f>IF(AND(INDEX('設定'!$B$11:$B$20,BP2)&lt;&gt;"",BP3&lt;='設定'!$B$6),1,0)</f>
        <v/>
      </c>
      <c r="BQ4">
        <f>IF(AND(INDEX('設定'!$B$11:$B$20,BQ2)&lt;&gt;"",BQ3&lt;='設定'!$B$6),1,0)</f>
        <v/>
      </c>
      <c r="BR4">
        <f>IF(AND(INDEX('設定'!$B$11:$B$20,BR2)&lt;&gt;"",BR3&lt;='設定'!$B$6),1,0)</f>
        <v/>
      </c>
      <c r="BS4">
        <f>IF(AND(INDEX('設定'!$B$11:$B$20,BS2)&lt;&gt;"",BS3&lt;='設定'!$B$6),1,0)</f>
        <v/>
      </c>
      <c r="BT4">
        <f>IF(AND(INDEX('設定'!$B$11:$B$20,BT2)&lt;&gt;"",BT3&lt;='設定'!$B$6),1,0)</f>
        <v/>
      </c>
      <c r="BU4">
        <f>IF(AND(INDEX('設定'!$B$11:$B$20,BU2)&lt;&gt;"",BU3&lt;='設定'!$B$6),1,0)</f>
        <v/>
      </c>
      <c r="BV4">
        <f>IF(AND(INDEX('設定'!$B$11:$B$20,BV2)&lt;&gt;"",BV3&lt;='設定'!$B$6),1,0)</f>
        <v/>
      </c>
      <c r="BW4">
        <f>IF(AND(INDEX('設定'!$B$11:$B$20,BW2)&lt;&gt;"",BW3&lt;='設定'!$B$6),1,0)</f>
        <v/>
      </c>
      <c r="BX4">
        <f>IF(AND(INDEX('設定'!$B$11:$B$20,BX2)&lt;&gt;"",BX3&lt;='設定'!$B$6),1,0)</f>
        <v/>
      </c>
      <c r="BY4">
        <f>IF(AND(INDEX('設定'!$B$11:$B$20,BY2)&lt;&gt;"",BY3&lt;='設定'!$B$6),1,0)</f>
        <v/>
      </c>
      <c r="BZ4">
        <f>IF(AND(INDEX('設定'!$B$11:$B$20,BZ2)&lt;&gt;"",BZ3&lt;='設定'!$B$6),1,0)</f>
        <v/>
      </c>
      <c r="CA4">
        <f>IF(AND(INDEX('設定'!$B$11:$B$20,CA2)&lt;&gt;"",CA3&lt;='設定'!$B$6),1,0)</f>
        <v/>
      </c>
      <c r="CB4">
        <f>IF(AND(INDEX('設定'!$B$11:$B$20,CB2)&lt;&gt;"",CB3&lt;='設定'!$B$6),1,0)</f>
        <v/>
      </c>
      <c r="CC4">
        <f>IF(AND(INDEX('設定'!$B$11:$B$20,CC2)&lt;&gt;"",CC3&lt;='設定'!$B$6),1,0)</f>
        <v/>
      </c>
      <c r="CD4">
        <f>IF(AND(INDEX('設定'!$B$11:$B$20,CD2)&lt;&gt;"",CD3&lt;='設定'!$B$6),1,0)</f>
        <v/>
      </c>
      <c r="CE4">
        <f>IF(AND(INDEX('設定'!$B$11:$B$20,CE2)&lt;&gt;"",CE3&lt;='設定'!$B$6),1,0)</f>
        <v/>
      </c>
      <c r="CF4">
        <f>IF(AND(INDEX('設定'!$B$11:$B$20,CF2)&lt;&gt;"",CF3&lt;='設定'!$B$6),1,0)</f>
        <v/>
      </c>
      <c r="CG4">
        <f>IF(AND(INDEX('設定'!$B$11:$B$20,CG2)&lt;&gt;"",CG3&lt;='設定'!$B$6),1,0)</f>
        <v/>
      </c>
      <c r="CH4">
        <f>IF(AND(INDEX('設定'!$B$11:$B$20,CH2)&lt;&gt;"",CH3&lt;='設定'!$B$6),1,0)</f>
        <v/>
      </c>
      <c r="CI4">
        <f>IF(AND(INDEX('設定'!$B$11:$B$20,CI2)&lt;&gt;"",CI3&lt;='設定'!$B$6),1,0)</f>
        <v/>
      </c>
      <c r="CJ4">
        <f>IF(AND(INDEX('設定'!$B$11:$B$20,CJ2)&lt;&gt;"",CJ3&lt;='設定'!$B$6),1,0)</f>
        <v/>
      </c>
      <c r="CK4">
        <f>IF(AND(INDEX('設定'!$B$11:$B$20,CK2)&lt;&gt;"",CK3&lt;='設定'!$B$6),1,0)</f>
        <v/>
      </c>
      <c r="CL4">
        <f>IF(AND(INDEX('設定'!$B$11:$B$20,CL2)&lt;&gt;"",CL3&lt;='設定'!$B$6),1,0)</f>
        <v/>
      </c>
      <c r="CM4">
        <f>IF(AND(INDEX('設定'!$B$11:$B$20,CM2)&lt;&gt;"",CM3&lt;='設定'!$B$6),1,0)</f>
        <v/>
      </c>
      <c r="CN4">
        <f>IF(AND(INDEX('設定'!$B$11:$B$20,CN2)&lt;&gt;"",CN3&lt;='設定'!$B$6),1,0)</f>
        <v/>
      </c>
      <c r="CO4">
        <f>IF(AND(INDEX('設定'!$B$11:$B$20,CO2)&lt;&gt;"",CO3&lt;='設定'!$B$6),1,0)</f>
        <v/>
      </c>
      <c r="CP4">
        <f>IF(AND(INDEX('設定'!$B$11:$B$20,CP2)&lt;&gt;"",CP3&lt;='設定'!$B$6),1,0)</f>
        <v/>
      </c>
      <c r="CQ4">
        <f>IF(AND(INDEX('設定'!$B$11:$B$20,CQ2)&lt;&gt;"",CQ3&lt;='設定'!$B$6),1,0)</f>
        <v/>
      </c>
      <c r="CR4">
        <f>IF(AND(INDEX('設定'!$B$11:$B$20,CR2)&lt;&gt;"",CR3&lt;='設定'!$B$6),1,0)</f>
        <v/>
      </c>
      <c r="CS4">
        <f>IF(AND(INDEX('設定'!$B$11:$B$20,CS2)&lt;&gt;"",CS3&lt;='設定'!$B$6),1,0)</f>
        <v/>
      </c>
      <c r="CT4">
        <f>IF(AND(INDEX('設定'!$B$11:$B$20,CT2)&lt;&gt;"",CT3&lt;='設定'!$B$6),1,0)</f>
        <v/>
      </c>
      <c r="CU4">
        <f>IF(AND(INDEX('設定'!$B$11:$B$20,CU2)&lt;&gt;"",CU3&lt;='設定'!$B$6),1,0)</f>
        <v/>
      </c>
      <c r="CV4">
        <f>IF(AND(INDEX('設定'!$B$11:$B$20,CV2)&lt;&gt;"",CV3&lt;='設定'!$B$6),1,0)</f>
        <v/>
      </c>
      <c r="CW4">
        <f>IF(AND(INDEX('設定'!$B$11:$B$20,CW2)&lt;&gt;"",CW3&lt;='設定'!$B$6),1,0)</f>
        <v/>
      </c>
      <c r="CX4">
        <f>IF(AND(INDEX('設定'!$B$11:$B$20,CX2)&lt;&gt;"",CX3&lt;='設定'!$B$6),1,0)</f>
        <v/>
      </c>
      <c r="CY4">
        <f>IF(AND(INDEX('設定'!$B$11:$B$20,CY2)&lt;&gt;"",CY3&lt;='設定'!$B$6),1,0)</f>
        <v/>
      </c>
      <c r="CZ4">
        <f>IF(AND(INDEX('設定'!$B$11:$B$20,CZ2)&lt;&gt;"",CZ3&lt;='設定'!$B$6),1,0)</f>
        <v/>
      </c>
      <c r="DA4">
        <f>IF(AND(INDEX('設定'!$B$11:$B$20,DA2)&lt;&gt;"",DA3&lt;='設定'!$B$6),1,0)</f>
        <v/>
      </c>
      <c r="DB4">
        <f>IF(AND(INDEX('設定'!$B$11:$B$20,DB2)&lt;&gt;"",DB3&lt;='設定'!$B$6),1,0)</f>
        <v/>
      </c>
      <c r="DC4">
        <f>IF(AND(INDEX('設定'!$B$11:$B$20,DC2)&lt;&gt;"",DC3&lt;='設定'!$B$6),1,0)</f>
        <v/>
      </c>
      <c r="DD4">
        <f>IF(AND(INDEX('設定'!$B$11:$B$20,DD2)&lt;&gt;"",DD3&lt;='設定'!$B$6),1,0)</f>
        <v/>
      </c>
      <c r="DE4">
        <f>IF(AND(INDEX('設定'!$B$11:$B$20,DE2)&lt;&gt;"",DE3&lt;='設定'!$B$6),1,0)</f>
        <v/>
      </c>
      <c r="DF4">
        <f>IF(AND(INDEX('設定'!$B$11:$B$20,DF2)&lt;&gt;"",DF3&lt;='設定'!$B$6),1,0)</f>
        <v/>
      </c>
      <c r="DG4">
        <f>IF(AND(INDEX('設定'!$B$11:$B$20,DG2)&lt;&gt;"",DG3&lt;='設定'!$B$6),1,0)</f>
        <v/>
      </c>
      <c r="DH4">
        <f>IF(AND(INDEX('設定'!$B$11:$B$20,DH2)&lt;&gt;"",DH3&lt;='設定'!$B$6),1,0)</f>
        <v/>
      </c>
      <c r="DI4">
        <f>IF(AND(INDEX('設定'!$B$11:$B$20,DI2)&lt;&gt;"",DI3&lt;='設定'!$B$6),1,0)</f>
        <v/>
      </c>
      <c r="DJ4">
        <f>IF(AND(INDEX('設定'!$B$11:$B$20,DJ2)&lt;&gt;"",DJ3&lt;='設定'!$B$6),1,0)</f>
        <v/>
      </c>
      <c r="DK4">
        <f>IF(AND(INDEX('設定'!$B$11:$B$20,DK2)&lt;&gt;"",DK3&lt;='設定'!$B$6),1,0)</f>
        <v/>
      </c>
      <c r="DL4">
        <f>IF(AND(INDEX('設定'!$B$11:$B$20,DL2)&lt;&gt;"",DL3&lt;='設定'!$B$6),1,0)</f>
        <v/>
      </c>
      <c r="DM4">
        <f>IF(AND(INDEX('設定'!$B$11:$B$20,DM2)&lt;&gt;"",DM3&lt;='設定'!$B$6),1,0)</f>
        <v/>
      </c>
      <c r="DN4">
        <f>IF(AND(INDEX('設定'!$B$11:$B$20,DN2)&lt;&gt;"",DN3&lt;='設定'!$B$6),1,0)</f>
        <v/>
      </c>
      <c r="DO4">
        <f>IF(AND(INDEX('設定'!$B$11:$B$20,DO2)&lt;&gt;"",DO3&lt;='設定'!$B$6),1,0)</f>
        <v/>
      </c>
      <c r="DP4">
        <f>IF(AND(INDEX('設定'!$B$11:$B$20,DP2)&lt;&gt;"",DP3&lt;='設定'!$B$6),1,0)</f>
        <v/>
      </c>
      <c r="DQ4">
        <f>IF(AND(INDEX('設定'!$B$11:$B$20,DQ2)&lt;&gt;"",DQ3&lt;='設定'!$B$6),1,0)</f>
        <v/>
      </c>
      <c r="DR4">
        <f>IF(AND(INDEX('設定'!$B$11:$B$20,DR2)&lt;&gt;"",DR3&lt;='設定'!$B$6),1,0)</f>
        <v/>
      </c>
      <c r="DS4">
        <f>IF(AND(INDEX('設定'!$B$11:$B$20,DS2)&lt;&gt;"",DS3&lt;='設定'!$B$6),1,0)</f>
        <v/>
      </c>
    </row>
    <row r="5">
      <c r="C5" s="72" t="inlineStr">
        <is>
          <t>空けたい</t>
        </is>
      </c>
      <c r="D5">
        <f>IF(OR(INDEX('設定'!$D$11:$D$20,D2)&lt;&gt;"",INDEX('設定'!$H$11:$H$22,D3)&lt;&gt;""),1,0)</f>
        <v/>
      </c>
      <c r="E5">
        <f>IF(OR(INDEX('設定'!$D$11:$D$20,E2)&lt;&gt;"",INDEX('設定'!$H$11:$H$22,E3)&lt;&gt;""),1,0)</f>
        <v/>
      </c>
      <c r="F5">
        <f>IF(OR(INDEX('設定'!$D$11:$D$20,F2)&lt;&gt;"",INDEX('設定'!$H$11:$H$22,F3)&lt;&gt;""),1,0)</f>
        <v/>
      </c>
      <c r="G5">
        <f>IF(OR(INDEX('設定'!$D$11:$D$20,G2)&lt;&gt;"",INDEX('設定'!$H$11:$H$22,G3)&lt;&gt;""),1,0)</f>
        <v/>
      </c>
      <c r="H5">
        <f>IF(OR(INDEX('設定'!$D$11:$D$20,H2)&lt;&gt;"",INDEX('設定'!$H$11:$H$22,H3)&lt;&gt;""),1,0)</f>
        <v/>
      </c>
      <c r="I5">
        <f>IF(OR(INDEX('設定'!$D$11:$D$20,I2)&lt;&gt;"",INDEX('設定'!$H$11:$H$22,I3)&lt;&gt;""),1,0)</f>
        <v/>
      </c>
      <c r="J5">
        <f>IF(OR(INDEX('設定'!$D$11:$D$20,J2)&lt;&gt;"",INDEX('設定'!$H$11:$H$22,J3)&lt;&gt;""),1,0)</f>
        <v/>
      </c>
      <c r="K5">
        <f>IF(OR(INDEX('設定'!$D$11:$D$20,K2)&lt;&gt;"",INDEX('設定'!$H$11:$H$22,K3)&lt;&gt;""),1,0)</f>
        <v/>
      </c>
      <c r="L5">
        <f>IF(OR(INDEX('設定'!$D$11:$D$20,L2)&lt;&gt;"",INDEX('設定'!$H$11:$H$22,L3)&lt;&gt;""),1,0)</f>
        <v/>
      </c>
      <c r="M5">
        <f>IF(OR(INDEX('設定'!$D$11:$D$20,M2)&lt;&gt;"",INDEX('設定'!$H$11:$H$22,M3)&lt;&gt;""),1,0)</f>
        <v/>
      </c>
      <c r="N5">
        <f>IF(OR(INDEX('設定'!$D$11:$D$20,N2)&lt;&gt;"",INDEX('設定'!$H$11:$H$22,N3)&lt;&gt;""),1,0)</f>
        <v/>
      </c>
      <c r="O5">
        <f>IF(OR(INDEX('設定'!$D$11:$D$20,O2)&lt;&gt;"",INDEX('設定'!$H$11:$H$22,O3)&lt;&gt;""),1,0)</f>
        <v/>
      </c>
      <c r="P5">
        <f>IF(OR(INDEX('設定'!$D$11:$D$20,P2)&lt;&gt;"",INDEX('設定'!$H$11:$H$22,P3)&lt;&gt;""),1,0)</f>
        <v/>
      </c>
      <c r="Q5">
        <f>IF(OR(INDEX('設定'!$D$11:$D$20,Q2)&lt;&gt;"",INDEX('設定'!$H$11:$H$22,Q3)&lt;&gt;""),1,0)</f>
        <v/>
      </c>
      <c r="R5">
        <f>IF(OR(INDEX('設定'!$D$11:$D$20,R2)&lt;&gt;"",INDEX('設定'!$H$11:$H$22,R3)&lt;&gt;""),1,0)</f>
        <v/>
      </c>
      <c r="S5">
        <f>IF(OR(INDEX('設定'!$D$11:$D$20,S2)&lt;&gt;"",INDEX('設定'!$H$11:$H$22,S3)&lt;&gt;""),1,0)</f>
        <v/>
      </c>
      <c r="T5">
        <f>IF(OR(INDEX('設定'!$D$11:$D$20,T2)&lt;&gt;"",INDEX('設定'!$H$11:$H$22,T3)&lt;&gt;""),1,0)</f>
        <v/>
      </c>
      <c r="U5">
        <f>IF(OR(INDEX('設定'!$D$11:$D$20,U2)&lt;&gt;"",INDEX('設定'!$H$11:$H$22,U3)&lt;&gt;""),1,0)</f>
        <v/>
      </c>
      <c r="V5">
        <f>IF(OR(INDEX('設定'!$D$11:$D$20,V2)&lt;&gt;"",INDEX('設定'!$H$11:$H$22,V3)&lt;&gt;""),1,0)</f>
        <v/>
      </c>
      <c r="W5">
        <f>IF(OR(INDEX('設定'!$D$11:$D$20,W2)&lt;&gt;"",INDEX('設定'!$H$11:$H$22,W3)&lt;&gt;""),1,0)</f>
        <v/>
      </c>
      <c r="X5">
        <f>IF(OR(INDEX('設定'!$D$11:$D$20,X2)&lt;&gt;"",INDEX('設定'!$H$11:$H$22,X3)&lt;&gt;""),1,0)</f>
        <v/>
      </c>
      <c r="Y5">
        <f>IF(OR(INDEX('設定'!$D$11:$D$20,Y2)&lt;&gt;"",INDEX('設定'!$H$11:$H$22,Y3)&lt;&gt;""),1,0)</f>
        <v/>
      </c>
      <c r="Z5">
        <f>IF(OR(INDEX('設定'!$D$11:$D$20,Z2)&lt;&gt;"",INDEX('設定'!$H$11:$H$22,Z3)&lt;&gt;""),1,0)</f>
        <v/>
      </c>
      <c r="AA5">
        <f>IF(OR(INDEX('設定'!$D$11:$D$20,AA2)&lt;&gt;"",INDEX('設定'!$H$11:$H$22,AA3)&lt;&gt;""),1,0)</f>
        <v/>
      </c>
      <c r="AB5">
        <f>IF(OR(INDEX('設定'!$D$11:$D$20,AB2)&lt;&gt;"",INDEX('設定'!$H$11:$H$22,AB3)&lt;&gt;""),1,0)</f>
        <v/>
      </c>
      <c r="AC5">
        <f>IF(OR(INDEX('設定'!$D$11:$D$20,AC2)&lt;&gt;"",INDEX('設定'!$H$11:$H$22,AC3)&lt;&gt;""),1,0)</f>
        <v/>
      </c>
      <c r="AD5">
        <f>IF(OR(INDEX('設定'!$D$11:$D$20,AD2)&lt;&gt;"",INDEX('設定'!$H$11:$H$22,AD3)&lt;&gt;""),1,0)</f>
        <v/>
      </c>
      <c r="AE5">
        <f>IF(OR(INDEX('設定'!$D$11:$D$20,AE2)&lt;&gt;"",INDEX('設定'!$H$11:$H$22,AE3)&lt;&gt;""),1,0)</f>
        <v/>
      </c>
      <c r="AF5">
        <f>IF(OR(INDEX('設定'!$D$11:$D$20,AF2)&lt;&gt;"",INDEX('設定'!$H$11:$H$22,AF3)&lt;&gt;""),1,0)</f>
        <v/>
      </c>
      <c r="AG5">
        <f>IF(OR(INDEX('設定'!$D$11:$D$20,AG2)&lt;&gt;"",INDEX('設定'!$H$11:$H$22,AG3)&lt;&gt;""),1,0)</f>
        <v/>
      </c>
      <c r="AH5">
        <f>IF(OR(INDEX('設定'!$D$11:$D$20,AH2)&lt;&gt;"",INDEX('設定'!$H$11:$H$22,AH3)&lt;&gt;""),1,0)</f>
        <v/>
      </c>
      <c r="AI5">
        <f>IF(OR(INDEX('設定'!$D$11:$D$20,AI2)&lt;&gt;"",INDEX('設定'!$H$11:$H$22,AI3)&lt;&gt;""),1,0)</f>
        <v/>
      </c>
      <c r="AJ5">
        <f>IF(OR(INDEX('設定'!$D$11:$D$20,AJ2)&lt;&gt;"",INDEX('設定'!$H$11:$H$22,AJ3)&lt;&gt;""),1,0)</f>
        <v/>
      </c>
      <c r="AK5">
        <f>IF(OR(INDEX('設定'!$D$11:$D$20,AK2)&lt;&gt;"",INDEX('設定'!$H$11:$H$22,AK3)&lt;&gt;""),1,0)</f>
        <v/>
      </c>
      <c r="AL5">
        <f>IF(OR(INDEX('設定'!$D$11:$D$20,AL2)&lt;&gt;"",INDEX('設定'!$H$11:$H$22,AL3)&lt;&gt;""),1,0)</f>
        <v/>
      </c>
      <c r="AM5">
        <f>IF(OR(INDEX('設定'!$D$11:$D$20,AM2)&lt;&gt;"",INDEX('設定'!$H$11:$H$22,AM3)&lt;&gt;""),1,0)</f>
        <v/>
      </c>
      <c r="AN5">
        <f>IF(OR(INDEX('設定'!$D$11:$D$20,AN2)&lt;&gt;"",INDEX('設定'!$H$11:$H$22,AN3)&lt;&gt;""),1,0)</f>
        <v/>
      </c>
      <c r="AO5">
        <f>IF(OR(INDEX('設定'!$D$11:$D$20,AO2)&lt;&gt;"",INDEX('設定'!$H$11:$H$22,AO3)&lt;&gt;""),1,0)</f>
        <v/>
      </c>
      <c r="AP5">
        <f>IF(OR(INDEX('設定'!$D$11:$D$20,AP2)&lt;&gt;"",INDEX('設定'!$H$11:$H$22,AP3)&lt;&gt;""),1,0)</f>
        <v/>
      </c>
      <c r="AQ5">
        <f>IF(OR(INDEX('設定'!$D$11:$D$20,AQ2)&lt;&gt;"",INDEX('設定'!$H$11:$H$22,AQ3)&lt;&gt;""),1,0)</f>
        <v/>
      </c>
      <c r="AR5">
        <f>IF(OR(INDEX('設定'!$D$11:$D$20,AR2)&lt;&gt;"",INDEX('設定'!$H$11:$H$22,AR3)&lt;&gt;""),1,0)</f>
        <v/>
      </c>
      <c r="AS5">
        <f>IF(OR(INDEX('設定'!$D$11:$D$20,AS2)&lt;&gt;"",INDEX('設定'!$H$11:$H$22,AS3)&lt;&gt;""),1,0)</f>
        <v/>
      </c>
      <c r="AT5">
        <f>IF(OR(INDEX('設定'!$D$11:$D$20,AT2)&lt;&gt;"",INDEX('設定'!$H$11:$H$22,AT3)&lt;&gt;""),1,0)</f>
        <v/>
      </c>
      <c r="AU5">
        <f>IF(OR(INDEX('設定'!$D$11:$D$20,AU2)&lt;&gt;"",INDEX('設定'!$H$11:$H$22,AU3)&lt;&gt;""),1,0)</f>
        <v/>
      </c>
      <c r="AV5">
        <f>IF(OR(INDEX('設定'!$D$11:$D$20,AV2)&lt;&gt;"",INDEX('設定'!$H$11:$H$22,AV3)&lt;&gt;""),1,0)</f>
        <v/>
      </c>
      <c r="AW5">
        <f>IF(OR(INDEX('設定'!$D$11:$D$20,AW2)&lt;&gt;"",INDEX('設定'!$H$11:$H$22,AW3)&lt;&gt;""),1,0)</f>
        <v/>
      </c>
      <c r="AX5">
        <f>IF(OR(INDEX('設定'!$D$11:$D$20,AX2)&lt;&gt;"",INDEX('設定'!$H$11:$H$22,AX3)&lt;&gt;""),1,0)</f>
        <v/>
      </c>
      <c r="AY5">
        <f>IF(OR(INDEX('設定'!$D$11:$D$20,AY2)&lt;&gt;"",INDEX('設定'!$H$11:$H$22,AY3)&lt;&gt;""),1,0)</f>
        <v/>
      </c>
      <c r="AZ5">
        <f>IF(OR(INDEX('設定'!$D$11:$D$20,AZ2)&lt;&gt;"",INDEX('設定'!$H$11:$H$22,AZ3)&lt;&gt;""),1,0)</f>
        <v/>
      </c>
      <c r="BA5">
        <f>IF(OR(INDEX('設定'!$D$11:$D$20,BA2)&lt;&gt;"",INDEX('設定'!$H$11:$H$22,BA3)&lt;&gt;""),1,0)</f>
        <v/>
      </c>
      <c r="BB5">
        <f>IF(OR(INDEX('設定'!$D$11:$D$20,BB2)&lt;&gt;"",INDEX('設定'!$H$11:$H$22,BB3)&lt;&gt;""),1,0)</f>
        <v/>
      </c>
      <c r="BC5">
        <f>IF(OR(INDEX('設定'!$D$11:$D$20,BC2)&lt;&gt;"",INDEX('設定'!$H$11:$H$22,BC3)&lt;&gt;""),1,0)</f>
        <v/>
      </c>
      <c r="BD5">
        <f>IF(OR(INDEX('設定'!$D$11:$D$20,BD2)&lt;&gt;"",INDEX('設定'!$H$11:$H$22,BD3)&lt;&gt;""),1,0)</f>
        <v/>
      </c>
      <c r="BE5">
        <f>IF(OR(INDEX('設定'!$D$11:$D$20,BE2)&lt;&gt;"",INDEX('設定'!$H$11:$H$22,BE3)&lt;&gt;""),1,0)</f>
        <v/>
      </c>
      <c r="BF5">
        <f>IF(OR(INDEX('設定'!$D$11:$D$20,BF2)&lt;&gt;"",INDEX('設定'!$H$11:$H$22,BF3)&lt;&gt;""),1,0)</f>
        <v/>
      </c>
      <c r="BG5">
        <f>IF(OR(INDEX('設定'!$D$11:$D$20,BG2)&lt;&gt;"",INDEX('設定'!$H$11:$H$22,BG3)&lt;&gt;""),1,0)</f>
        <v/>
      </c>
      <c r="BH5">
        <f>IF(OR(INDEX('設定'!$D$11:$D$20,BH2)&lt;&gt;"",INDEX('設定'!$H$11:$H$22,BH3)&lt;&gt;""),1,0)</f>
        <v/>
      </c>
      <c r="BI5">
        <f>IF(OR(INDEX('設定'!$D$11:$D$20,BI2)&lt;&gt;"",INDEX('設定'!$H$11:$H$22,BI3)&lt;&gt;""),1,0)</f>
        <v/>
      </c>
      <c r="BJ5">
        <f>IF(OR(INDEX('設定'!$D$11:$D$20,BJ2)&lt;&gt;"",INDEX('設定'!$H$11:$H$22,BJ3)&lt;&gt;""),1,0)</f>
        <v/>
      </c>
      <c r="BK5">
        <f>IF(OR(INDEX('設定'!$D$11:$D$20,BK2)&lt;&gt;"",INDEX('設定'!$H$11:$H$22,BK3)&lt;&gt;""),1,0)</f>
        <v/>
      </c>
      <c r="BL5">
        <f>IF(OR(INDEX('設定'!$D$11:$D$20,BL2)&lt;&gt;"",INDEX('設定'!$H$11:$H$22,BL3)&lt;&gt;""),1,0)</f>
        <v/>
      </c>
      <c r="BM5">
        <f>IF(OR(INDEX('設定'!$D$11:$D$20,BM2)&lt;&gt;"",INDEX('設定'!$H$11:$H$22,BM3)&lt;&gt;""),1,0)</f>
        <v/>
      </c>
      <c r="BN5">
        <f>IF(OR(INDEX('設定'!$D$11:$D$20,BN2)&lt;&gt;"",INDEX('設定'!$H$11:$H$22,BN3)&lt;&gt;""),1,0)</f>
        <v/>
      </c>
      <c r="BO5">
        <f>IF(OR(INDEX('設定'!$D$11:$D$20,BO2)&lt;&gt;"",INDEX('設定'!$H$11:$H$22,BO3)&lt;&gt;""),1,0)</f>
        <v/>
      </c>
      <c r="BP5">
        <f>IF(OR(INDEX('設定'!$D$11:$D$20,BP2)&lt;&gt;"",INDEX('設定'!$H$11:$H$22,BP3)&lt;&gt;""),1,0)</f>
        <v/>
      </c>
      <c r="BQ5">
        <f>IF(OR(INDEX('設定'!$D$11:$D$20,BQ2)&lt;&gt;"",INDEX('設定'!$H$11:$H$22,BQ3)&lt;&gt;""),1,0)</f>
        <v/>
      </c>
      <c r="BR5">
        <f>IF(OR(INDEX('設定'!$D$11:$D$20,BR2)&lt;&gt;"",INDEX('設定'!$H$11:$H$22,BR3)&lt;&gt;""),1,0)</f>
        <v/>
      </c>
      <c r="BS5">
        <f>IF(OR(INDEX('設定'!$D$11:$D$20,BS2)&lt;&gt;"",INDEX('設定'!$H$11:$H$22,BS3)&lt;&gt;""),1,0)</f>
        <v/>
      </c>
      <c r="BT5">
        <f>IF(OR(INDEX('設定'!$D$11:$D$20,BT2)&lt;&gt;"",INDEX('設定'!$H$11:$H$22,BT3)&lt;&gt;""),1,0)</f>
        <v/>
      </c>
      <c r="BU5">
        <f>IF(OR(INDEX('設定'!$D$11:$D$20,BU2)&lt;&gt;"",INDEX('設定'!$H$11:$H$22,BU3)&lt;&gt;""),1,0)</f>
        <v/>
      </c>
      <c r="BV5">
        <f>IF(OR(INDEX('設定'!$D$11:$D$20,BV2)&lt;&gt;"",INDEX('設定'!$H$11:$H$22,BV3)&lt;&gt;""),1,0)</f>
        <v/>
      </c>
      <c r="BW5">
        <f>IF(OR(INDEX('設定'!$D$11:$D$20,BW2)&lt;&gt;"",INDEX('設定'!$H$11:$H$22,BW3)&lt;&gt;""),1,0)</f>
        <v/>
      </c>
      <c r="BX5">
        <f>IF(OR(INDEX('設定'!$D$11:$D$20,BX2)&lt;&gt;"",INDEX('設定'!$H$11:$H$22,BX3)&lt;&gt;""),1,0)</f>
        <v/>
      </c>
      <c r="BY5">
        <f>IF(OR(INDEX('設定'!$D$11:$D$20,BY2)&lt;&gt;"",INDEX('設定'!$H$11:$H$22,BY3)&lt;&gt;""),1,0)</f>
        <v/>
      </c>
      <c r="BZ5">
        <f>IF(OR(INDEX('設定'!$D$11:$D$20,BZ2)&lt;&gt;"",INDEX('設定'!$H$11:$H$22,BZ3)&lt;&gt;""),1,0)</f>
        <v/>
      </c>
      <c r="CA5">
        <f>IF(OR(INDEX('設定'!$D$11:$D$20,CA2)&lt;&gt;"",INDEX('設定'!$H$11:$H$22,CA3)&lt;&gt;""),1,0)</f>
        <v/>
      </c>
      <c r="CB5">
        <f>IF(OR(INDEX('設定'!$D$11:$D$20,CB2)&lt;&gt;"",INDEX('設定'!$H$11:$H$22,CB3)&lt;&gt;""),1,0)</f>
        <v/>
      </c>
      <c r="CC5">
        <f>IF(OR(INDEX('設定'!$D$11:$D$20,CC2)&lt;&gt;"",INDEX('設定'!$H$11:$H$22,CC3)&lt;&gt;""),1,0)</f>
        <v/>
      </c>
      <c r="CD5">
        <f>IF(OR(INDEX('設定'!$D$11:$D$20,CD2)&lt;&gt;"",INDEX('設定'!$H$11:$H$22,CD3)&lt;&gt;""),1,0)</f>
        <v/>
      </c>
      <c r="CE5">
        <f>IF(OR(INDEX('設定'!$D$11:$D$20,CE2)&lt;&gt;"",INDEX('設定'!$H$11:$H$22,CE3)&lt;&gt;""),1,0)</f>
        <v/>
      </c>
      <c r="CF5">
        <f>IF(OR(INDEX('設定'!$D$11:$D$20,CF2)&lt;&gt;"",INDEX('設定'!$H$11:$H$22,CF3)&lt;&gt;""),1,0)</f>
        <v/>
      </c>
      <c r="CG5">
        <f>IF(OR(INDEX('設定'!$D$11:$D$20,CG2)&lt;&gt;"",INDEX('設定'!$H$11:$H$22,CG3)&lt;&gt;""),1,0)</f>
        <v/>
      </c>
      <c r="CH5">
        <f>IF(OR(INDEX('設定'!$D$11:$D$20,CH2)&lt;&gt;"",INDEX('設定'!$H$11:$H$22,CH3)&lt;&gt;""),1,0)</f>
        <v/>
      </c>
      <c r="CI5">
        <f>IF(OR(INDEX('設定'!$D$11:$D$20,CI2)&lt;&gt;"",INDEX('設定'!$H$11:$H$22,CI3)&lt;&gt;""),1,0)</f>
        <v/>
      </c>
      <c r="CJ5">
        <f>IF(OR(INDEX('設定'!$D$11:$D$20,CJ2)&lt;&gt;"",INDEX('設定'!$H$11:$H$22,CJ3)&lt;&gt;""),1,0)</f>
        <v/>
      </c>
      <c r="CK5">
        <f>IF(OR(INDEX('設定'!$D$11:$D$20,CK2)&lt;&gt;"",INDEX('設定'!$H$11:$H$22,CK3)&lt;&gt;""),1,0)</f>
        <v/>
      </c>
      <c r="CL5">
        <f>IF(OR(INDEX('設定'!$D$11:$D$20,CL2)&lt;&gt;"",INDEX('設定'!$H$11:$H$22,CL3)&lt;&gt;""),1,0)</f>
        <v/>
      </c>
      <c r="CM5">
        <f>IF(OR(INDEX('設定'!$D$11:$D$20,CM2)&lt;&gt;"",INDEX('設定'!$H$11:$H$22,CM3)&lt;&gt;""),1,0)</f>
        <v/>
      </c>
      <c r="CN5">
        <f>IF(OR(INDEX('設定'!$D$11:$D$20,CN2)&lt;&gt;"",INDEX('設定'!$H$11:$H$22,CN3)&lt;&gt;""),1,0)</f>
        <v/>
      </c>
      <c r="CO5">
        <f>IF(OR(INDEX('設定'!$D$11:$D$20,CO2)&lt;&gt;"",INDEX('設定'!$H$11:$H$22,CO3)&lt;&gt;""),1,0)</f>
        <v/>
      </c>
      <c r="CP5">
        <f>IF(OR(INDEX('設定'!$D$11:$D$20,CP2)&lt;&gt;"",INDEX('設定'!$H$11:$H$22,CP3)&lt;&gt;""),1,0)</f>
        <v/>
      </c>
      <c r="CQ5">
        <f>IF(OR(INDEX('設定'!$D$11:$D$20,CQ2)&lt;&gt;"",INDEX('設定'!$H$11:$H$22,CQ3)&lt;&gt;""),1,0)</f>
        <v/>
      </c>
      <c r="CR5">
        <f>IF(OR(INDEX('設定'!$D$11:$D$20,CR2)&lt;&gt;"",INDEX('設定'!$H$11:$H$22,CR3)&lt;&gt;""),1,0)</f>
        <v/>
      </c>
      <c r="CS5">
        <f>IF(OR(INDEX('設定'!$D$11:$D$20,CS2)&lt;&gt;"",INDEX('設定'!$H$11:$H$22,CS3)&lt;&gt;""),1,0)</f>
        <v/>
      </c>
      <c r="CT5">
        <f>IF(OR(INDEX('設定'!$D$11:$D$20,CT2)&lt;&gt;"",INDEX('設定'!$H$11:$H$22,CT3)&lt;&gt;""),1,0)</f>
        <v/>
      </c>
      <c r="CU5">
        <f>IF(OR(INDEX('設定'!$D$11:$D$20,CU2)&lt;&gt;"",INDEX('設定'!$H$11:$H$22,CU3)&lt;&gt;""),1,0)</f>
        <v/>
      </c>
      <c r="CV5">
        <f>IF(OR(INDEX('設定'!$D$11:$D$20,CV2)&lt;&gt;"",INDEX('設定'!$H$11:$H$22,CV3)&lt;&gt;""),1,0)</f>
        <v/>
      </c>
      <c r="CW5">
        <f>IF(OR(INDEX('設定'!$D$11:$D$20,CW2)&lt;&gt;"",INDEX('設定'!$H$11:$H$22,CW3)&lt;&gt;""),1,0)</f>
        <v/>
      </c>
      <c r="CX5">
        <f>IF(OR(INDEX('設定'!$D$11:$D$20,CX2)&lt;&gt;"",INDEX('設定'!$H$11:$H$22,CX3)&lt;&gt;""),1,0)</f>
        <v/>
      </c>
      <c r="CY5">
        <f>IF(OR(INDEX('設定'!$D$11:$D$20,CY2)&lt;&gt;"",INDEX('設定'!$H$11:$H$22,CY3)&lt;&gt;""),1,0)</f>
        <v/>
      </c>
      <c r="CZ5">
        <f>IF(OR(INDEX('設定'!$D$11:$D$20,CZ2)&lt;&gt;"",INDEX('設定'!$H$11:$H$22,CZ3)&lt;&gt;""),1,0)</f>
        <v/>
      </c>
      <c r="DA5">
        <f>IF(OR(INDEX('設定'!$D$11:$D$20,DA2)&lt;&gt;"",INDEX('設定'!$H$11:$H$22,DA3)&lt;&gt;""),1,0)</f>
        <v/>
      </c>
      <c r="DB5">
        <f>IF(OR(INDEX('設定'!$D$11:$D$20,DB2)&lt;&gt;"",INDEX('設定'!$H$11:$H$22,DB3)&lt;&gt;""),1,0)</f>
        <v/>
      </c>
      <c r="DC5">
        <f>IF(OR(INDEX('設定'!$D$11:$D$20,DC2)&lt;&gt;"",INDEX('設定'!$H$11:$H$22,DC3)&lt;&gt;""),1,0)</f>
        <v/>
      </c>
      <c r="DD5">
        <f>IF(OR(INDEX('設定'!$D$11:$D$20,DD2)&lt;&gt;"",INDEX('設定'!$H$11:$H$22,DD3)&lt;&gt;""),1,0)</f>
        <v/>
      </c>
      <c r="DE5">
        <f>IF(OR(INDEX('設定'!$D$11:$D$20,DE2)&lt;&gt;"",INDEX('設定'!$H$11:$H$22,DE3)&lt;&gt;""),1,0)</f>
        <v/>
      </c>
      <c r="DF5">
        <f>IF(OR(INDEX('設定'!$D$11:$D$20,DF2)&lt;&gt;"",INDEX('設定'!$H$11:$H$22,DF3)&lt;&gt;""),1,0)</f>
        <v/>
      </c>
      <c r="DG5">
        <f>IF(OR(INDEX('設定'!$D$11:$D$20,DG2)&lt;&gt;"",INDEX('設定'!$H$11:$H$22,DG3)&lt;&gt;""),1,0)</f>
        <v/>
      </c>
      <c r="DH5">
        <f>IF(OR(INDEX('設定'!$D$11:$D$20,DH2)&lt;&gt;"",INDEX('設定'!$H$11:$H$22,DH3)&lt;&gt;""),1,0)</f>
        <v/>
      </c>
      <c r="DI5">
        <f>IF(OR(INDEX('設定'!$D$11:$D$20,DI2)&lt;&gt;"",INDEX('設定'!$H$11:$H$22,DI3)&lt;&gt;""),1,0)</f>
        <v/>
      </c>
      <c r="DJ5">
        <f>IF(OR(INDEX('設定'!$D$11:$D$20,DJ2)&lt;&gt;"",INDEX('設定'!$H$11:$H$22,DJ3)&lt;&gt;""),1,0)</f>
        <v/>
      </c>
      <c r="DK5">
        <f>IF(OR(INDEX('設定'!$D$11:$D$20,DK2)&lt;&gt;"",INDEX('設定'!$H$11:$H$22,DK3)&lt;&gt;""),1,0)</f>
        <v/>
      </c>
      <c r="DL5">
        <f>IF(OR(INDEX('設定'!$D$11:$D$20,DL2)&lt;&gt;"",INDEX('設定'!$H$11:$H$22,DL3)&lt;&gt;""),1,0)</f>
        <v/>
      </c>
      <c r="DM5">
        <f>IF(OR(INDEX('設定'!$D$11:$D$20,DM2)&lt;&gt;"",INDEX('設定'!$H$11:$H$22,DM3)&lt;&gt;""),1,0)</f>
        <v/>
      </c>
      <c r="DN5">
        <f>IF(OR(INDEX('設定'!$D$11:$D$20,DN2)&lt;&gt;"",INDEX('設定'!$H$11:$H$22,DN3)&lt;&gt;""),1,0)</f>
        <v/>
      </c>
      <c r="DO5">
        <f>IF(OR(INDEX('設定'!$D$11:$D$20,DO2)&lt;&gt;"",INDEX('設定'!$H$11:$H$22,DO3)&lt;&gt;""),1,0)</f>
        <v/>
      </c>
      <c r="DP5">
        <f>IF(OR(INDEX('設定'!$D$11:$D$20,DP2)&lt;&gt;"",INDEX('設定'!$H$11:$H$22,DP3)&lt;&gt;""),1,0)</f>
        <v/>
      </c>
      <c r="DQ5">
        <f>IF(OR(INDEX('設定'!$D$11:$D$20,DQ2)&lt;&gt;"",INDEX('設定'!$H$11:$H$22,DQ3)&lt;&gt;""),1,0)</f>
        <v/>
      </c>
      <c r="DR5">
        <f>IF(OR(INDEX('設定'!$D$11:$D$20,DR2)&lt;&gt;"",INDEX('設定'!$H$11:$H$22,DR3)&lt;&gt;""),1,0)</f>
        <v/>
      </c>
      <c r="DS5">
        <f>IF(OR(INDEX('設定'!$D$11:$D$20,DS2)&lt;&gt;"",INDEX('設定'!$H$11:$H$22,DS3)&lt;&gt;""),1,0)</f>
        <v/>
      </c>
    </row>
    <row r="6">
      <c r="C6" s="72" t="inlineStr">
        <is>
          <t>優先順</t>
        </is>
      </c>
      <c r="D6">
        <f>IF(LEFT('設定'!$B$8,3)="日付順",(D2-1)*12+D3,(D3-1)*10+D2)+D5*10000</f>
        <v/>
      </c>
      <c r="E6">
        <f>IF(LEFT('設定'!$B$8,3)="日付順",(E2-1)*12+E3,(E3-1)*10+E2)+E5*10000</f>
        <v/>
      </c>
      <c r="F6">
        <f>IF(LEFT('設定'!$B$8,3)="日付順",(F2-1)*12+F3,(F3-1)*10+F2)+F5*10000</f>
        <v/>
      </c>
      <c r="G6">
        <f>IF(LEFT('設定'!$B$8,3)="日付順",(G2-1)*12+G3,(G3-1)*10+G2)+G5*10000</f>
        <v/>
      </c>
      <c r="H6">
        <f>IF(LEFT('設定'!$B$8,3)="日付順",(H2-1)*12+H3,(H3-1)*10+H2)+H5*10000</f>
        <v/>
      </c>
      <c r="I6">
        <f>IF(LEFT('設定'!$B$8,3)="日付順",(I2-1)*12+I3,(I3-1)*10+I2)+I5*10000</f>
        <v/>
      </c>
      <c r="J6">
        <f>IF(LEFT('設定'!$B$8,3)="日付順",(J2-1)*12+J3,(J3-1)*10+J2)+J5*10000</f>
        <v/>
      </c>
      <c r="K6">
        <f>IF(LEFT('設定'!$B$8,3)="日付順",(K2-1)*12+K3,(K3-1)*10+K2)+K5*10000</f>
        <v/>
      </c>
      <c r="L6">
        <f>IF(LEFT('設定'!$B$8,3)="日付順",(L2-1)*12+L3,(L3-1)*10+L2)+L5*10000</f>
        <v/>
      </c>
      <c r="M6">
        <f>IF(LEFT('設定'!$B$8,3)="日付順",(M2-1)*12+M3,(M3-1)*10+M2)+M5*10000</f>
        <v/>
      </c>
      <c r="N6">
        <f>IF(LEFT('設定'!$B$8,3)="日付順",(N2-1)*12+N3,(N3-1)*10+N2)+N5*10000</f>
        <v/>
      </c>
      <c r="O6">
        <f>IF(LEFT('設定'!$B$8,3)="日付順",(O2-1)*12+O3,(O3-1)*10+O2)+O5*10000</f>
        <v/>
      </c>
      <c r="P6">
        <f>IF(LEFT('設定'!$B$8,3)="日付順",(P2-1)*12+P3,(P3-1)*10+P2)+P5*10000</f>
        <v/>
      </c>
      <c r="Q6">
        <f>IF(LEFT('設定'!$B$8,3)="日付順",(Q2-1)*12+Q3,(Q3-1)*10+Q2)+Q5*10000</f>
        <v/>
      </c>
      <c r="R6">
        <f>IF(LEFT('設定'!$B$8,3)="日付順",(R2-1)*12+R3,(R3-1)*10+R2)+R5*10000</f>
        <v/>
      </c>
      <c r="S6">
        <f>IF(LEFT('設定'!$B$8,3)="日付順",(S2-1)*12+S3,(S3-1)*10+S2)+S5*10000</f>
        <v/>
      </c>
      <c r="T6">
        <f>IF(LEFT('設定'!$B$8,3)="日付順",(T2-1)*12+T3,(T3-1)*10+T2)+T5*10000</f>
        <v/>
      </c>
      <c r="U6">
        <f>IF(LEFT('設定'!$B$8,3)="日付順",(U2-1)*12+U3,(U3-1)*10+U2)+U5*10000</f>
        <v/>
      </c>
      <c r="V6">
        <f>IF(LEFT('設定'!$B$8,3)="日付順",(V2-1)*12+V3,(V3-1)*10+V2)+V5*10000</f>
        <v/>
      </c>
      <c r="W6">
        <f>IF(LEFT('設定'!$B$8,3)="日付順",(W2-1)*12+W3,(W3-1)*10+W2)+W5*10000</f>
        <v/>
      </c>
      <c r="X6">
        <f>IF(LEFT('設定'!$B$8,3)="日付順",(X2-1)*12+X3,(X3-1)*10+X2)+X5*10000</f>
        <v/>
      </c>
      <c r="Y6">
        <f>IF(LEFT('設定'!$B$8,3)="日付順",(Y2-1)*12+Y3,(Y3-1)*10+Y2)+Y5*10000</f>
        <v/>
      </c>
      <c r="Z6">
        <f>IF(LEFT('設定'!$B$8,3)="日付順",(Z2-1)*12+Z3,(Z3-1)*10+Z2)+Z5*10000</f>
        <v/>
      </c>
      <c r="AA6">
        <f>IF(LEFT('設定'!$B$8,3)="日付順",(AA2-1)*12+AA3,(AA3-1)*10+AA2)+AA5*10000</f>
        <v/>
      </c>
      <c r="AB6">
        <f>IF(LEFT('設定'!$B$8,3)="日付順",(AB2-1)*12+AB3,(AB3-1)*10+AB2)+AB5*10000</f>
        <v/>
      </c>
      <c r="AC6">
        <f>IF(LEFT('設定'!$B$8,3)="日付順",(AC2-1)*12+AC3,(AC3-1)*10+AC2)+AC5*10000</f>
        <v/>
      </c>
      <c r="AD6">
        <f>IF(LEFT('設定'!$B$8,3)="日付順",(AD2-1)*12+AD3,(AD3-1)*10+AD2)+AD5*10000</f>
        <v/>
      </c>
      <c r="AE6">
        <f>IF(LEFT('設定'!$B$8,3)="日付順",(AE2-1)*12+AE3,(AE3-1)*10+AE2)+AE5*10000</f>
        <v/>
      </c>
      <c r="AF6">
        <f>IF(LEFT('設定'!$B$8,3)="日付順",(AF2-1)*12+AF3,(AF3-1)*10+AF2)+AF5*10000</f>
        <v/>
      </c>
      <c r="AG6">
        <f>IF(LEFT('設定'!$B$8,3)="日付順",(AG2-1)*12+AG3,(AG3-1)*10+AG2)+AG5*10000</f>
        <v/>
      </c>
      <c r="AH6">
        <f>IF(LEFT('設定'!$B$8,3)="日付順",(AH2-1)*12+AH3,(AH3-1)*10+AH2)+AH5*10000</f>
        <v/>
      </c>
      <c r="AI6">
        <f>IF(LEFT('設定'!$B$8,3)="日付順",(AI2-1)*12+AI3,(AI3-1)*10+AI2)+AI5*10000</f>
        <v/>
      </c>
      <c r="AJ6">
        <f>IF(LEFT('設定'!$B$8,3)="日付順",(AJ2-1)*12+AJ3,(AJ3-1)*10+AJ2)+AJ5*10000</f>
        <v/>
      </c>
      <c r="AK6">
        <f>IF(LEFT('設定'!$B$8,3)="日付順",(AK2-1)*12+AK3,(AK3-1)*10+AK2)+AK5*10000</f>
        <v/>
      </c>
      <c r="AL6">
        <f>IF(LEFT('設定'!$B$8,3)="日付順",(AL2-1)*12+AL3,(AL3-1)*10+AL2)+AL5*10000</f>
        <v/>
      </c>
      <c r="AM6">
        <f>IF(LEFT('設定'!$B$8,3)="日付順",(AM2-1)*12+AM3,(AM3-1)*10+AM2)+AM5*10000</f>
        <v/>
      </c>
      <c r="AN6">
        <f>IF(LEFT('設定'!$B$8,3)="日付順",(AN2-1)*12+AN3,(AN3-1)*10+AN2)+AN5*10000</f>
        <v/>
      </c>
      <c r="AO6">
        <f>IF(LEFT('設定'!$B$8,3)="日付順",(AO2-1)*12+AO3,(AO3-1)*10+AO2)+AO5*10000</f>
        <v/>
      </c>
      <c r="AP6">
        <f>IF(LEFT('設定'!$B$8,3)="日付順",(AP2-1)*12+AP3,(AP3-1)*10+AP2)+AP5*10000</f>
        <v/>
      </c>
      <c r="AQ6">
        <f>IF(LEFT('設定'!$B$8,3)="日付順",(AQ2-1)*12+AQ3,(AQ3-1)*10+AQ2)+AQ5*10000</f>
        <v/>
      </c>
      <c r="AR6">
        <f>IF(LEFT('設定'!$B$8,3)="日付順",(AR2-1)*12+AR3,(AR3-1)*10+AR2)+AR5*10000</f>
        <v/>
      </c>
      <c r="AS6">
        <f>IF(LEFT('設定'!$B$8,3)="日付順",(AS2-1)*12+AS3,(AS3-1)*10+AS2)+AS5*10000</f>
        <v/>
      </c>
      <c r="AT6">
        <f>IF(LEFT('設定'!$B$8,3)="日付順",(AT2-1)*12+AT3,(AT3-1)*10+AT2)+AT5*10000</f>
        <v/>
      </c>
      <c r="AU6">
        <f>IF(LEFT('設定'!$B$8,3)="日付順",(AU2-1)*12+AU3,(AU3-1)*10+AU2)+AU5*10000</f>
        <v/>
      </c>
      <c r="AV6">
        <f>IF(LEFT('設定'!$B$8,3)="日付順",(AV2-1)*12+AV3,(AV3-1)*10+AV2)+AV5*10000</f>
        <v/>
      </c>
      <c r="AW6">
        <f>IF(LEFT('設定'!$B$8,3)="日付順",(AW2-1)*12+AW3,(AW3-1)*10+AW2)+AW5*10000</f>
        <v/>
      </c>
      <c r="AX6">
        <f>IF(LEFT('設定'!$B$8,3)="日付順",(AX2-1)*12+AX3,(AX3-1)*10+AX2)+AX5*10000</f>
        <v/>
      </c>
      <c r="AY6">
        <f>IF(LEFT('設定'!$B$8,3)="日付順",(AY2-1)*12+AY3,(AY3-1)*10+AY2)+AY5*10000</f>
        <v/>
      </c>
      <c r="AZ6">
        <f>IF(LEFT('設定'!$B$8,3)="日付順",(AZ2-1)*12+AZ3,(AZ3-1)*10+AZ2)+AZ5*10000</f>
        <v/>
      </c>
      <c r="BA6">
        <f>IF(LEFT('設定'!$B$8,3)="日付順",(BA2-1)*12+BA3,(BA3-1)*10+BA2)+BA5*10000</f>
        <v/>
      </c>
      <c r="BB6">
        <f>IF(LEFT('設定'!$B$8,3)="日付順",(BB2-1)*12+BB3,(BB3-1)*10+BB2)+BB5*10000</f>
        <v/>
      </c>
      <c r="BC6">
        <f>IF(LEFT('設定'!$B$8,3)="日付順",(BC2-1)*12+BC3,(BC3-1)*10+BC2)+BC5*10000</f>
        <v/>
      </c>
      <c r="BD6">
        <f>IF(LEFT('設定'!$B$8,3)="日付順",(BD2-1)*12+BD3,(BD3-1)*10+BD2)+BD5*10000</f>
        <v/>
      </c>
      <c r="BE6">
        <f>IF(LEFT('設定'!$B$8,3)="日付順",(BE2-1)*12+BE3,(BE3-1)*10+BE2)+BE5*10000</f>
        <v/>
      </c>
      <c r="BF6">
        <f>IF(LEFT('設定'!$B$8,3)="日付順",(BF2-1)*12+BF3,(BF3-1)*10+BF2)+BF5*10000</f>
        <v/>
      </c>
      <c r="BG6">
        <f>IF(LEFT('設定'!$B$8,3)="日付順",(BG2-1)*12+BG3,(BG3-1)*10+BG2)+BG5*10000</f>
        <v/>
      </c>
      <c r="BH6">
        <f>IF(LEFT('設定'!$B$8,3)="日付順",(BH2-1)*12+BH3,(BH3-1)*10+BH2)+BH5*10000</f>
        <v/>
      </c>
      <c r="BI6">
        <f>IF(LEFT('設定'!$B$8,3)="日付順",(BI2-1)*12+BI3,(BI3-1)*10+BI2)+BI5*10000</f>
        <v/>
      </c>
      <c r="BJ6">
        <f>IF(LEFT('設定'!$B$8,3)="日付順",(BJ2-1)*12+BJ3,(BJ3-1)*10+BJ2)+BJ5*10000</f>
        <v/>
      </c>
      <c r="BK6">
        <f>IF(LEFT('設定'!$B$8,3)="日付順",(BK2-1)*12+BK3,(BK3-1)*10+BK2)+BK5*10000</f>
        <v/>
      </c>
      <c r="BL6">
        <f>IF(LEFT('設定'!$B$8,3)="日付順",(BL2-1)*12+BL3,(BL3-1)*10+BL2)+BL5*10000</f>
        <v/>
      </c>
      <c r="BM6">
        <f>IF(LEFT('設定'!$B$8,3)="日付順",(BM2-1)*12+BM3,(BM3-1)*10+BM2)+BM5*10000</f>
        <v/>
      </c>
      <c r="BN6">
        <f>IF(LEFT('設定'!$B$8,3)="日付順",(BN2-1)*12+BN3,(BN3-1)*10+BN2)+BN5*10000</f>
        <v/>
      </c>
      <c r="BO6">
        <f>IF(LEFT('設定'!$B$8,3)="日付順",(BO2-1)*12+BO3,(BO3-1)*10+BO2)+BO5*10000</f>
        <v/>
      </c>
      <c r="BP6">
        <f>IF(LEFT('設定'!$B$8,3)="日付順",(BP2-1)*12+BP3,(BP3-1)*10+BP2)+BP5*10000</f>
        <v/>
      </c>
      <c r="BQ6">
        <f>IF(LEFT('設定'!$B$8,3)="日付順",(BQ2-1)*12+BQ3,(BQ3-1)*10+BQ2)+BQ5*10000</f>
        <v/>
      </c>
      <c r="BR6">
        <f>IF(LEFT('設定'!$B$8,3)="日付順",(BR2-1)*12+BR3,(BR3-1)*10+BR2)+BR5*10000</f>
        <v/>
      </c>
      <c r="BS6">
        <f>IF(LEFT('設定'!$B$8,3)="日付順",(BS2-1)*12+BS3,(BS3-1)*10+BS2)+BS5*10000</f>
        <v/>
      </c>
      <c r="BT6">
        <f>IF(LEFT('設定'!$B$8,3)="日付順",(BT2-1)*12+BT3,(BT3-1)*10+BT2)+BT5*10000</f>
        <v/>
      </c>
      <c r="BU6">
        <f>IF(LEFT('設定'!$B$8,3)="日付順",(BU2-1)*12+BU3,(BU3-1)*10+BU2)+BU5*10000</f>
        <v/>
      </c>
      <c r="BV6">
        <f>IF(LEFT('設定'!$B$8,3)="日付順",(BV2-1)*12+BV3,(BV3-1)*10+BV2)+BV5*10000</f>
        <v/>
      </c>
      <c r="BW6">
        <f>IF(LEFT('設定'!$B$8,3)="日付順",(BW2-1)*12+BW3,(BW3-1)*10+BW2)+BW5*10000</f>
        <v/>
      </c>
      <c r="BX6">
        <f>IF(LEFT('設定'!$B$8,3)="日付順",(BX2-1)*12+BX3,(BX3-1)*10+BX2)+BX5*10000</f>
        <v/>
      </c>
      <c r="BY6">
        <f>IF(LEFT('設定'!$B$8,3)="日付順",(BY2-1)*12+BY3,(BY3-1)*10+BY2)+BY5*10000</f>
        <v/>
      </c>
      <c r="BZ6">
        <f>IF(LEFT('設定'!$B$8,3)="日付順",(BZ2-1)*12+BZ3,(BZ3-1)*10+BZ2)+BZ5*10000</f>
        <v/>
      </c>
      <c r="CA6">
        <f>IF(LEFT('設定'!$B$8,3)="日付順",(CA2-1)*12+CA3,(CA3-1)*10+CA2)+CA5*10000</f>
        <v/>
      </c>
      <c r="CB6">
        <f>IF(LEFT('設定'!$B$8,3)="日付順",(CB2-1)*12+CB3,(CB3-1)*10+CB2)+CB5*10000</f>
        <v/>
      </c>
      <c r="CC6">
        <f>IF(LEFT('設定'!$B$8,3)="日付順",(CC2-1)*12+CC3,(CC3-1)*10+CC2)+CC5*10000</f>
        <v/>
      </c>
      <c r="CD6">
        <f>IF(LEFT('設定'!$B$8,3)="日付順",(CD2-1)*12+CD3,(CD3-1)*10+CD2)+CD5*10000</f>
        <v/>
      </c>
      <c r="CE6">
        <f>IF(LEFT('設定'!$B$8,3)="日付順",(CE2-1)*12+CE3,(CE3-1)*10+CE2)+CE5*10000</f>
        <v/>
      </c>
      <c r="CF6">
        <f>IF(LEFT('設定'!$B$8,3)="日付順",(CF2-1)*12+CF3,(CF3-1)*10+CF2)+CF5*10000</f>
        <v/>
      </c>
      <c r="CG6">
        <f>IF(LEFT('設定'!$B$8,3)="日付順",(CG2-1)*12+CG3,(CG3-1)*10+CG2)+CG5*10000</f>
        <v/>
      </c>
      <c r="CH6">
        <f>IF(LEFT('設定'!$B$8,3)="日付順",(CH2-1)*12+CH3,(CH3-1)*10+CH2)+CH5*10000</f>
        <v/>
      </c>
      <c r="CI6">
        <f>IF(LEFT('設定'!$B$8,3)="日付順",(CI2-1)*12+CI3,(CI3-1)*10+CI2)+CI5*10000</f>
        <v/>
      </c>
      <c r="CJ6">
        <f>IF(LEFT('設定'!$B$8,3)="日付順",(CJ2-1)*12+CJ3,(CJ3-1)*10+CJ2)+CJ5*10000</f>
        <v/>
      </c>
      <c r="CK6">
        <f>IF(LEFT('設定'!$B$8,3)="日付順",(CK2-1)*12+CK3,(CK3-1)*10+CK2)+CK5*10000</f>
        <v/>
      </c>
      <c r="CL6">
        <f>IF(LEFT('設定'!$B$8,3)="日付順",(CL2-1)*12+CL3,(CL3-1)*10+CL2)+CL5*10000</f>
        <v/>
      </c>
      <c r="CM6">
        <f>IF(LEFT('設定'!$B$8,3)="日付順",(CM2-1)*12+CM3,(CM3-1)*10+CM2)+CM5*10000</f>
        <v/>
      </c>
      <c r="CN6">
        <f>IF(LEFT('設定'!$B$8,3)="日付順",(CN2-1)*12+CN3,(CN3-1)*10+CN2)+CN5*10000</f>
        <v/>
      </c>
      <c r="CO6">
        <f>IF(LEFT('設定'!$B$8,3)="日付順",(CO2-1)*12+CO3,(CO3-1)*10+CO2)+CO5*10000</f>
        <v/>
      </c>
      <c r="CP6">
        <f>IF(LEFT('設定'!$B$8,3)="日付順",(CP2-1)*12+CP3,(CP3-1)*10+CP2)+CP5*10000</f>
        <v/>
      </c>
      <c r="CQ6">
        <f>IF(LEFT('設定'!$B$8,3)="日付順",(CQ2-1)*12+CQ3,(CQ3-1)*10+CQ2)+CQ5*10000</f>
        <v/>
      </c>
      <c r="CR6">
        <f>IF(LEFT('設定'!$B$8,3)="日付順",(CR2-1)*12+CR3,(CR3-1)*10+CR2)+CR5*10000</f>
        <v/>
      </c>
      <c r="CS6">
        <f>IF(LEFT('設定'!$B$8,3)="日付順",(CS2-1)*12+CS3,(CS3-1)*10+CS2)+CS5*10000</f>
        <v/>
      </c>
      <c r="CT6">
        <f>IF(LEFT('設定'!$B$8,3)="日付順",(CT2-1)*12+CT3,(CT3-1)*10+CT2)+CT5*10000</f>
        <v/>
      </c>
      <c r="CU6">
        <f>IF(LEFT('設定'!$B$8,3)="日付順",(CU2-1)*12+CU3,(CU3-1)*10+CU2)+CU5*10000</f>
        <v/>
      </c>
      <c r="CV6">
        <f>IF(LEFT('設定'!$B$8,3)="日付順",(CV2-1)*12+CV3,(CV3-1)*10+CV2)+CV5*10000</f>
        <v/>
      </c>
      <c r="CW6">
        <f>IF(LEFT('設定'!$B$8,3)="日付順",(CW2-1)*12+CW3,(CW3-1)*10+CW2)+CW5*10000</f>
        <v/>
      </c>
      <c r="CX6">
        <f>IF(LEFT('設定'!$B$8,3)="日付順",(CX2-1)*12+CX3,(CX3-1)*10+CX2)+CX5*10000</f>
        <v/>
      </c>
      <c r="CY6">
        <f>IF(LEFT('設定'!$B$8,3)="日付順",(CY2-1)*12+CY3,(CY3-1)*10+CY2)+CY5*10000</f>
        <v/>
      </c>
      <c r="CZ6">
        <f>IF(LEFT('設定'!$B$8,3)="日付順",(CZ2-1)*12+CZ3,(CZ3-1)*10+CZ2)+CZ5*10000</f>
        <v/>
      </c>
      <c r="DA6">
        <f>IF(LEFT('設定'!$B$8,3)="日付順",(DA2-1)*12+DA3,(DA3-1)*10+DA2)+DA5*10000</f>
        <v/>
      </c>
      <c r="DB6">
        <f>IF(LEFT('設定'!$B$8,3)="日付順",(DB2-1)*12+DB3,(DB3-1)*10+DB2)+DB5*10000</f>
        <v/>
      </c>
      <c r="DC6">
        <f>IF(LEFT('設定'!$B$8,3)="日付順",(DC2-1)*12+DC3,(DC3-1)*10+DC2)+DC5*10000</f>
        <v/>
      </c>
      <c r="DD6">
        <f>IF(LEFT('設定'!$B$8,3)="日付順",(DD2-1)*12+DD3,(DD3-1)*10+DD2)+DD5*10000</f>
        <v/>
      </c>
      <c r="DE6">
        <f>IF(LEFT('設定'!$B$8,3)="日付順",(DE2-1)*12+DE3,(DE3-1)*10+DE2)+DE5*10000</f>
        <v/>
      </c>
      <c r="DF6">
        <f>IF(LEFT('設定'!$B$8,3)="日付順",(DF2-1)*12+DF3,(DF3-1)*10+DF2)+DF5*10000</f>
        <v/>
      </c>
      <c r="DG6">
        <f>IF(LEFT('設定'!$B$8,3)="日付順",(DG2-1)*12+DG3,(DG3-1)*10+DG2)+DG5*10000</f>
        <v/>
      </c>
      <c r="DH6">
        <f>IF(LEFT('設定'!$B$8,3)="日付順",(DH2-1)*12+DH3,(DH3-1)*10+DH2)+DH5*10000</f>
        <v/>
      </c>
      <c r="DI6">
        <f>IF(LEFT('設定'!$B$8,3)="日付順",(DI2-1)*12+DI3,(DI3-1)*10+DI2)+DI5*10000</f>
        <v/>
      </c>
      <c r="DJ6">
        <f>IF(LEFT('設定'!$B$8,3)="日付順",(DJ2-1)*12+DJ3,(DJ3-1)*10+DJ2)+DJ5*10000</f>
        <v/>
      </c>
      <c r="DK6">
        <f>IF(LEFT('設定'!$B$8,3)="日付順",(DK2-1)*12+DK3,(DK3-1)*10+DK2)+DK5*10000</f>
        <v/>
      </c>
      <c r="DL6">
        <f>IF(LEFT('設定'!$B$8,3)="日付順",(DL2-1)*12+DL3,(DL3-1)*10+DL2)+DL5*10000</f>
        <v/>
      </c>
      <c r="DM6">
        <f>IF(LEFT('設定'!$B$8,3)="日付順",(DM2-1)*12+DM3,(DM3-1)*10+DM2)+DM5*10000</f>
        <v/>
      </c>
      <c r="DN6">
        <f>IF(LEFT('設定'!$B$8,3)="日付順",(DN2-1)*12+DN3,(DN3-1)*10+DN2)+DN5*10000</f>
        <v/>
      </c>
      <c r="DO6">
        <f>IF(LEFT('設定'!$B$8,3)="日付順",(DO2-1)*12+DO3,(DO3-1)*10+DO2)+DO5*10000</f>
        <v/>
      </c>
      <c r="DP6">
        <f>IF(LEFT('設定'!$B$8,3)="日付順",(DP2-1)*12+DP3,(DP3-1)*10+DP2)+DP5*10000</f>
        <v/>
      </c>
      <c r="DQ6">
        <f>IF(LEFT('設定'!$B$8,3)="日付順",(DQ2-1)*12+DQ3,(DQ3-1)*10+DQ2)+DQ5*10000</f>
        <v/>
      </c>
      <c r="DR6">
        <f>IF(LEFT('設定'!$B$8,3)="日付順",(DR2-1)*12+DR3,(DR3-1)*10+DR2)+DR5*10000</f>
        <v/>
      </c>
      <c r="DS6">
        <f>IF(LEFT('設定'!$B$8,3)="日付順",(DS2-1)*12+DS3,(DS3-1)*10+DS2)+DS5*10000</f>
        <v/>
      </c>
    </row>
    <row r="7">
      <c r="C7" s="72" t="inlineStr">
        <is>
          <t>決定済み</t>
        </is>
      </c>
      <c r="D7">
        <f>MAX(D109,D108)</f>
        <v/>
      </c>
      <c r="E7">
        <f>MAX(E109,E108)</f>
        <v/>
      </c>
      <c r="F7">
        <f>MAX(F109,F108)</f>
        <v/>
      </c>
      <c r="G7">
        <f>MAX(G109,G108)</f>
        <v/>
      </c>
      <c r="H7">
        <f>MAX(H109,H108)</f>
        <v/>
      </c>
      <c r="I7">
        <f>MAX(I109,I108)</f>
        <v/>
      </c>
      <c r="J7">
        <f>MAX(J109,J108)</f>
        <v/>
      </c>
      <c r="K7">
        <f>MAX(K109,K108)</f>
        <v/>
      </c>
      <c r="L7">
        <f>MAX(L109,L108)</f>
        <v/>
      </c>
      <c r="M7">
        <f>MAX(M109,M108)</f>
        <v/>
      </c>
      <c r="N7">
        <f>MAX(N109,N108)</f>
        <v/>
      </c>
      <c r="O7">
        <f>MAX(O109,O108)</f>
        <v/>
      </c>
      <c r="P7">
        <f>MAX(P109,P108)</f>
        <v/>
      </c>
      <c r="Q7">
        <f>MAX(Q109,Q108)</f>
        <v/>
      </c>
      <c r="R7">
        <f>MAX(R109,R108)</f>
        <v/>
      </c>
      <c r="S7">
        <f>MAX(S109,S108)</f>
        <v/>
      </c>
      <c r="T7">
        <f>MAX(T109,T108)</f>
        <v/>
      </c>
      <c r="U7">
        <f>MAX(U109,U108)</f>
        <v/>
      </c>
      <c r="V7">
        <f>MAX(V109,V108)</f>
        <v/>
      </c>
      <c r="W7">
        <f>MAX(W109,W108)</f>
        <v/>
      </c>
      <c r="X7">
        <f>MAX(X109,X108)</f>
        <v/>
      </c>
      <c r="Y7">
        <f>MAX(Y109,Y108)</f>
        <v/>
      </c>
      <c r="Z7">
        <f>MAX(Z109,Z108)</f>
        <v/>
      </c>
      <c r="AA7">
        <f>MAX(AA109,AA108)</f>
        <v/>
      </c>
      <c r="AB7">
        <f>MAX(AB109,AB108)</f>
        <v/>
      </c>
      <c r="AC7">
        <f>MAX(AC109,AC108)</f>
        <v/>
      </c>
      <c r="AD7">
        <f>MAX(AD109,AD108)</f>
        <v/>
      </c>
      <c r="AE7">
        <f>MAX(AE109,AE108)</f>
        <v/>
      </c>
      <c r="AF7">
        <f>MAX(AF109,AF108)</f>
        <v/>
      </c>
      <c r="AG7">
        <f>MAX(AG109,AG108)</f>
        <v/>
      </c>
      <c r="AH7">
        <f>MAX(AH109,AH108)</f>
        <v/>
      </c>
      <c r="AI7">
        <f>MAX(AI109,AI108)</f>
        <v/>
      </c>
      <c r="AJ7">
        <f>MAX(AJ109,AJ108)</f>
        <v/>
      </c>
      <c r="AK7">
        <f>MAX(AK109,AK108)</f>
        <v/>
      </c>
      <c r="AL7">
        <f>MAX(AL109,AL108)</f>
        <v/>
      </c>
      <c r="AM7">
        <f>MAX(AM109,AM108)</f>
        <v/>
      </c>
      <c r="AN7">
        <f>MAX(AN109,AN108)</f>
        <v/>
      </c>
      <c r="AO7">
        <f>MAX(AO109,AO108)</f>
        <v/>
      </c>
      <c r="AP7">
        <f>MAX(AP109,AP108)</f>
        <v/>
      </c>
      <c r="AQ7">
        <f>MAX(AQ109,AQ108)</f>
        <v/>
      </c>
      <c r="AR7">
        <f>MAX(AR109,AR108)</f>
        <v/>
      </c>
      <c r="AS7">
        <f>MAX(AS109,AS108)</f>
        <v/>
      </c>
      <c r="AT7">
        <f>MAX(AT109,AT108)</f>
        <v/>
      </c>
      <c r="AU7">
        <f>MAX(AU109,AU108)</f>
        <v/>
      </c>
      <c r="AV7">
        <f>MAX(AV109,AV108)</f>
        <v/>
      </c>
      <c r="AW7">
        <f>MAX(AW109,AW108)</f>
        <v/>
      </c>
      <c r="AX7">
        <f>MAX(AX109,AX108)</f>
        <v/>
      </c>
      <c r="AY7">
        <f>MAX(AY109,AY108)</f>
        <v/>
      </c>
      <c r="AZ7">
        <f>MAX(AZ109,AZ108)</f>
        <v/>
      </c>
      <c r="BA7">
        <f>MAX(BA109,BA108)</f>
        <v/>
      </c>
      <c r="BB7">
        <f>MAX(BB109,BB108)</f>
        <v/>
      </c>
      <c r="BC7">
        <f>MAX(BC109,BC108)</f>
        <v/>
      </c>
      <c r="BD7">
        <f>MAX(BD109,BD108)</f>
        <v/>
      </c>
      <c r="BE7">
        <f>MAX(BE109,BE108)</f>
        <v/>
      </c>
      <c r="BF7">
        <f>MAX(BF109,BF108)</f>
        <v/>
      </c>
      <c r="BG7">
        <f>MAX(BG109,BG108)</f>
        <v/>
      </c>
      <c r="BH7">
        <f>MAX(BH109,BH108)</f>
        <v/>
      </c>
      <c r="BI7">
        <f>MAX(BI109,BI108)</f>
        <v/>
      </c>
      <c r="BJ7">
        <f>MAX(BJ109,BJ108)</f>
        <v/>
      </c>
      <c r="BK7">
        <f>MAX(BK109,BK108)</f>
        <v/>
      </c>
      <c r="BL7">
        <f>MAX(BL109,BL108)</f>
        <v/>
      </c>
      <c r="BM7">
        <f>MAX(BM109,BM108)</f>
        <v/>
      </c>
      <c r="BN7">
        <f>MAX(BN109,BN108)</f>
        <v/>
      </c>
      <c r="BO7">
        <f>MAX(BO109,BO108)</f>
        <v/>
      </c>
      <c r="BP7">
        <f>MAX(BP109,BP108)</f>
        <v/>
      </c>
      <c r="BQ7">
        <f>MAX(BQ109,BQ108)</f>
        <v/>
      </c>
      <c r="BR7">
        <f>MAX(BR109,BR108)</f>
        <v/>
      </c>
      <c r="BS7">
        <f>MAX(BS109,BS108)</f>
        <v/>
      </c>
      <c r="BT7">
        <f>MAX(BT109,BT108)</f>
        <v/>
      </c>
      <c r="BU7">
        <f>MAX(BU109,BU108)</f>
        <v/>
      </c>
      <c r="BV7">
        <f>MAX(BV109,BV108)</f>
        <v/>
      </c>
      <c r="BW7">
        <f>MAX(BW109,BW108)</f>
        <v/>
      </c>
      <c r="BX7">
        <f>MAX(BX109,BX108)</f>
        <v/>
      </c>
      <c r="BY7">
        <f>MAX(BY109,BY108)</f>
        <v/>
      </c>
      <c r="BZ7">
        <f>MAX(BZ109,BZ108)</f>
        <v/>
      </c>
      <c r="CA7">
        <f>MAX(CA109,CA108)</f>
        <v/>
      </c>
      <c r="CB7">
        <f>MAX(CB109,CB108)</f>
        <v/>
      </c>
      <c r="CC7">
        <f>MAX(CC109,CC108)</f>
        <v/>
      </c>
      <c r="CD7">
        <f>MAX(CD109,CD108)</f>
        <v/>
      </c>
      <c r="CE7">
        <f>MAX(CE109,CE108)</f>
        <v/>
      </c>
      <c r="CF7">
        <f>MAX(CF109,CF108)</f>
        <v/>
      </c>
      <c r="CG7">
        <f>MAX(CG109,CG108)</f>
        <v/>
      </c>
      <c r="CH7">
        <f>MAX(CH109,CH108)</f>
        <v/>
      </c>
      <c r="CI7">
        <f>MAX(CI109,CI108)</f>
        <v/>
      </c>
      <c r="CJ7">
        <f>MAX(CJ109,CJ108)</f>
        <v/>
      </c>
      <c r="CK7">
        <f>MAX(CK109,CK108)</f>
        <v/>
      </c>
      <c r="CL7">
        <f>MAX(CL109,CL108)</f>
        <v/>
      </c>
      <c r="CM7">
        <f>MAX(CM109,CM108)</f>
        <v/>
      </c>
      <c r="CN7">
        <f>MAX(CN109,CN108)</f>
        <v/>
      </c>
      <c r="CO7">
        <f>MAX(CO109,CO108)</f>
        <v/>
      </c>
      <c r="CP7">
        <f>MAX(CP109,CP108)</f>
        <v/>
      </c>
      <c r="CQ7">
        <f>MAX(CQ109,CQ108)</f>
        <v/>
      </c>
      <c r="CR7">
        <f>MAX(CR109,CR108)</f>
        <v/>
      </c>
      <c r="CS7">
        <f>MAX(CS109,CS108)</f>
        <v/>
      </c>
      <c r="CT7">
        <f>MAX(CT109,CT108)</f>
        <v/>
      </c>
      <c r="CU7">
        <f>MAX(CU109,CU108)</f>
        <v/>
      </c>
      <c r="CV7">
        <f>MAX(CV109,CV108)</f>
        <v/>
      </c>
      <c r="CW7">
        <f>MAX(CW109,CW108)</f>
        <v/>
      </c>
      <c r="CX7">
        <f>MAX(CX109,CX108)</f>
        <v/>
      </c>
      <c r="CY7">
        <f>MAX(CY109,CY108)</f>
        <v/>
      </c>
      <c r="CZ7">
        <f>MAX(CZ109,CZ108)</f>
        <v/>
      </c>
      <c r="DA7">
        <f>MAX(DA109,DA108)</f>
        <v/>
      </c>
      <c r="DB7">
        <f>MAX(DB109,DB108)</f>
        <v/>
      </c>
      <c r="DC7">
        <f>MAX(DC109,DC108)</f>
        <v/>
      </c>
      <c r="DD7">
        <f>MAX(DD109,DD108)</f>
        <v/>
      </c>
      <c r="DE7">
        <f>MAX(DE109,DE108)</f>
        <v/>
      </c>
      <c r="DF7">
        <f>MAX(DF109,DF108)</f>
        <v/>
      </c>
      <c r="DG7">
        <f>MAX(DG109,DG108)</f>
        <v/>
      </c>
      <c r="DH7">
        <f>MAX(DH109,DH108)</f>
        <v/>
      </c>
      <c r="DI7">
        <f>MAX(DI109,DI108)</f>
        <v/>
      </c>
      <c r="DJ7">
        <f>MAX(DJ109,DJ108)</f>
        <v/>
      </c>
      <c r="DK7">
        <f>MAX(DK109,DK108)</f>
        <v/>
      </c>
      <c r="DL7">
        <f>MAX(DL109,DL108)</f>
        <v/>
      </c>
      <c r="DM7">
        <f>MAX(DM109,DM108)</f>
        <v/>
      </c>
      <c r="DN7">
        <f>MAX(DN109,DN108)</f>
        <v/>
      </c>
      <c r="DO7">
        <f>MAX(DO109,DO108)</f>
        <v/>
      </c>
      <c r="DP7">
        <f>MAX(DP109,DP108)</f>
        <v/>
      </c>
      <c r="DQ7">
        <f>MAX(DQ109,DQ108)</f>
        <v/>
      </c>
      <c r="DR7">
        <f>MAX(DR109,DR108)</f>
        <v/>
      </c>
      <c r="DS7">
        <f>MAX(DS109,DS108)</f>
        <v/>
      </c>
    </row>
    <row r="8">
      <c r="A8" s="72" t="inlineStr">
        <is>
          <t>選択中→</t>
        </is>
      </c>
      <c r="B8" s="72">
        <f>IF('割り当て'!$N$5="",0,IFERROR(MATCH('割り当て'!$N$5,$B$10:$B$54,0),0))</f>
        <v/>
      </c>
      <c r="C8" s="72" t="inlineStr">
        <is>
          <t>表示</t>
        </is>
      </c>
      <c r="D8">
        <f>IF(D4=1,INDEX('設定'!$E$11:$E$20,D2)&amp;" "&amp;INDEX('設定'!$I$11:$I$22,D3),"")</f>
        <v/>
      </c>
      <c r="E8">
        <f>IF(E4=1,INDEX('設定'!$E$11:$E$20,E2)&amp;" "&amp;INDEX('設定'!$I$11:$I$22,E3),"")</f>
        <v/>
      </c>
      <c r="F8">
        <f>IF(F4=1,INDEX('設定'!$E$11:$E$20,F2)&amp;" "&amp;INDEX('設定'!$I$11:$I$22,F3),"")</f>
        <v/>
      </c>
      <c r="G8">
        <f>IF(G4=1,INDEX('設定'!$E$11:$E$20,G2)&amp;" "&amp;INDEX('設定'!$I$11:$I$22,G3),"")</f>
        <v/>
      </c>
      <c r="H8">
        <f>IF(H4=1,INDEX('設定'!$E$11:$E$20,H2)&amp;" "&amp;INDEX('設定'!$I$11:$I$22,H3),"")</f>
        <v/>
      </c>
      <c r="I8">
        <f>IF(I4=1,INDEX('設定'!$E$11:$E$20,I2)&amp;" "&amp;INDEX('設定'!$I$11:$I$22,I3),"")</f>
        <v/>
      </c>
      <c r="J8">
        <f>IF(J4=1,INDEX('設定'!$E$11:$E$20,J2)&amp;" "&amp;INDEX('設定'!$I$11:$I$22,J3),"")</f>
        <v/>
      </c>
      <c r="K8">
        <f>IF(K4=1,INDEX('設定'!$E$11:$E$20,K2)&amp;" "&amp;INDEX('設定'!$I$11:$I$22,K3),"")</f>
        <v/>
      </c>
      <c r="L8">
        <f>IF(L4=1,INDEX('設定'!$E$11:$E$20,L2)&amp;" "&amp;INDEX('設定'!$I$11:$I$22,L3),"")</f>
        <v/>
      </c>
      <c r="M8">
        <f>IF(M4=1,INDEX('設定'!$E$11:$E$20,M2)&amp;" "&amp;INDEX('設定'!$I$11:$I$22,M3),"")</f>
        <v/>
      </c>
      <c r="N8">
        <f>IF(N4=1,INDEX('設定'!$E$11:$E$20,N2)&amp;" "&amp;INDEX('設定'!$I$11:$I$22,N3),"")</f>
        <v/>
      </c>
      <c r="O8">
        <f>IF(O4=1,INDEX('設定'!$E$11:$E$20,O2)&amp;" "&amp;INDEX('設定'!$I$11:$I$22,O3),"")</f>
        <v/>
      </c>
      <c r="P8">
        <f>IF(P4=1,INDEX('設定'!$E$11:$E$20,P2)&amp;" "&amp;INDEX('設定'!$I$11:$I$22,P3),"")</f>
        <v/>
      </c>
      <c r="Q8">
        <f>IF(Q4=1,INDEX('設定'!$E$11:$E$20,Q2)&amp;" "&amp;INDEX('設定'!$I$11:$I$22,Q3),"")</f>
        <v/>
      </c>
      <c r="R8">
        <f>IF(R4=1,INDEX('設定'!$E$11:$E$20,R2)&amp;" "&amp;INDEX('設定'!$I$11:$I$22,R3),"")</f>
        <v/>
      </c>
      <c r="S8">
        <f>IF(S4=1,INDEX('設定'!$E$11:$E$20,S2)&amp;" "&amp;INDEX('設定'!$I$11:$I$22,S3),"")</f>
        <v/>
      </c>
      <c r="T8">
        <f>IF(T4=1,INDEX('設定'!$E$11:$E$20,T2)&amp;" "&amp;INDEX('設定'!$I$11:$I$22,T3),"")</f>
        <v/>
      </c>
      <c r="U8">
        <f>IF(U4=1,INDEX('設定'!$E$11:$E$20,U2)&amp;" "&amp;INDEX('設定'!$I$11:$I$22,U3),"")</f>
        <v/>
      </c>
      <c r="V8">
        <f>IF(V4=1,INDEX('設定'!$E$11:$E$20,V2)&amp;" "&amp;INDEX('設定'!$I$11:$I$22,V3),"")</f>
        <v/>
      </c>
      <c r="W8">
        <f>IF(W4=1,INDEX('設定'!$E$11:$E$20,W2)&amp;" "&amp;INDEX('設定'!$I$11:$I$22,W3),"")</f>
        <v/>
      </c>
      <c r="X8">
        <f>IF(X4=1,INDEX('設定'!$E$11:$E$20,X2)&amp;" "&amp;INDEX('設定'!$I$11:$I$22,X3),"")</f>
        <v/>
      </c>
      <c r="Y8">
        <f>IF(Y4=1,INDEX('設定'!$E$11:$E$20,Y2)&amp;" "&amp;INDEX('設定'!$I$11:$I$22,Y3),"")</f>
        <v/>
      </c>
      <c r="Z8">
        <f>IF(Z4=1,INDEX('設定'!$E$11:$E$20,Z2)&amp;" "&amp;INDEX('設定'!$I$11:$I$22,Z3),"")</f>
        <v/>
      </c>
      <c r="AA8">
        <f>IF(AA4=1,INDEX('設定'!$E$11:$E$20,AA2)&amp;" "&amp;INDEX('設定'!$I$11:$I$22,AA3),"")</f>
        <v/>
      </c>
      <c r="AB8">
        <f>IF(AB4=1,INDEX('設定'!$E$11:$E$20,AB2)&amp;" "&amp;INDEX('設定'!$I$11:$I$22,AB3),"")</f>
        <v/>
      </c>
      <c r="AC8">
        <f>IF(AC4=1,INDEX('設定'!$E$11:$E$20,AC2)&amp;" "&amp;INDEX('設定'!$I$11:$I$22,AC3),"")</f>
        <v/>
      </c>
      <c r="AD8">
        <f>IF(AD4=1,INDEX('設定'!$E$11:$E$20,AD2)&amp;" "&amp;INDEX('設定'!$I$11:$I$22,AD3),"")</f>
        <v/>
      </c>
      <c r="AE8">
        <f>IF(AE4=1,INDEX('設定'!$E$11:$E$20,AE2)&amp;" "&amp;INDEX('設定'!$I$11:$I$22,AE3),"")</f>
        <v/>
      </c>
      <c r="AF8">
        <f>IF(AF4=1,INDEX('設定'!$E$11:$E$20,AF2)&amp;" "&amp;INDEX('設定'!$I$11:$I$22,AF3),"")</f>
        <v/>
      </c>
      <c r="AG8">
        <f>IF(AG4=1,INDEX('設定'!$E$11:$E$20,AG2)&amp;" "&amp;INDEX('設定'!$I$11:$I$22,AG3),"")</f>
        <v/>
      </c>
      <c r="AH8">
        <f>IF(AH4=1,INDEX('設定'!$E$11:$E$20,AH2)&amp;" "&amp;INDEX('設定'!$I$11:$I$22,AH3),"")</f>
        <v/>
      </c>
      <c r="AI8">
        <f>IF(AI4=1,INDEX('設定'!$E$11:$E$20,AI2)&amp;" "&amp;INDEX('設定'!$I$11:$I$22,AI3),"")</f>
        <v/>
      </c>
      <c r="AJ8">
        <f>IF(AJ4=1,INDEX('設定'!$E$11:$E$20,AJ2)&amp;" "&amp;INDEX('設定'!$I$11:$I$22,AJ3),"")</f>
        <v/>
      </c>
      <c r="AK8">
        <f>IF(AK4=1,INDEX('設定'!$E$11:$E$20,AK2)&amp;" "&amp;INDEX('設定'!$I$11:$I$22,AK3),"")</f>
        <v/>
      </c>
      <c r="AL8">
        <f>IF(AL4=1,INDEX('設定'!$E$11:$E$20,AL2)&amp;" "&amp;INDEX('設定'!$I$11:$I$22,AL3),"")</f>
        <v/>
      </c>
      <c r="AM8">
        <f>IF(AM4=1,INDEX('設定'!$E$11:$E$20,AM2)&amp;" "&amp;INDEX('設定'!$I$11:$I$22,AM3),"")</f>
        <v/>
      </c>
      <c r="AN8">
        <f>IF(AN4=1,INDEX('設定'!$E$11:$E$20,AN2)&amp;" "&amp;INDEX('設定'!$I$11:$I$22,AN3),"")</f>
        <v/>
      </c>
      <c r="AO8">
        <f>IF(AO4=1,INDEX('設定'!$E$11:$E$20,AO2)&amp;" "&amp;INDEX('設定'!$I$11:$I$22,AO3),"")</f>
        <v/>
      </c>
      <c r="AP8">
        <f>IF(AP4=1,INDEX('設定'!$E$11:$E$20,AP2)&amp;" "&amp;INDEX('設定'!$I$11:$I$22,AP3),"")</f>
        <v/>
      </c>
      <c r="AQ8">
        <f>IF(AQ4=1,INDEX('設定'!$E$11:$E$20,AQ2)&amp;" "&amp;INDEX('設定'!$I$11:$I$22,AQ3),"")</f>
        <v/>
      </c>
      <c r="AR8">
        <f>IF(AR4=1,INDEX('設定'!$E$11:$E$20,AR2)&amp;" "&amp;INDEX('設定'!$I$11:$I$22,AR3),"")</f>
        <v/>
      </c>
      <c r="AS8">
        <f>IF(AS4=1,INDEX('設定'!$E$11:$E$20,AS2)&amp;" "&amp;INDEX('設定'!$I$11:$I$22,AS3),"")</f>
        <v/>
      </c>
      <c r="AT8">
        <f>IF(AT4=1,INDEX('設定'!$E$11:$E$20,AT2)&amp;" "&amp;INDEX('設定'!$I$11:$I$22,AT3),"")</f>
        <v/>
      </c>
      <c r="AU8">
        <f>IF(AU4=1,INDEX('設定'!$E$11:$E$20,AU2)&amp;" "&amp;INDEX('設定'!$I$11:$I$22,AU3),"")</f>
        <v/>
      </c>
      <c r="AV8">
        <f>IF(AV4=1,INDEX('設定'!$E$11:$E$20,AV2)&amp;" "&amp;INDEX('設定'!$I$11:$I$22,AV3),"")</f>
        <v/>
      </c>
      <c r="AW8">
        <f>IF(AW4=1,INDEX('設定'!$E$11:$E$20,AW2)&amp;" "&amp;INDEX('設定'!$I$11:$I$22,AW3),"")</f>
        <v/>
      </c>
      <c r="AX8">
        <f>IF(AX4=1,INDEX('設定'!$E$11:$E$20,AX2)&amp;" "&amp;INDEX('設定'!$I$11:$I$22,AX3),"")</f>
        <v/>
      </c>
      <c r="AY8">
        <f>IF(AY4=1,INDEX('設定'!$E$11:$E$20,AY2)&amp;" "&amp;INDEX('設定'!$I$11:$I$22,AY3),"")</f>
        <v/>
      </c>
      <c r="AZ8">
        <f>IF(AZ4=1,INDEX('設定'!$E$11:$E$20,AZ2)&amp;" "&amp;INDEX('設定'!$I$11:$I$22,AZ3),"")</f>
        <v/>
      </c>
      <c r="BA8">
        <f>IF(BA4=1,INDEX('設定'!$E$11:$E$20,BA2)&amp;" "&amp;INDEX('設定'!$I$11:$I$22,BA3),"")</f>
        <v/>
      </c>
      <c r="BB8">
        <f>IF(BB4=1,INDEX('設定'!$E$11:$E$20,BB2)&amp;" "&amp;INDEX('設定'!$I$11:$I$22,BB3),"")</f>
        <v/>
      </c>
      <c r="BC8">
        <f>IF(BC4=1,INDEX('設定'!$E$11:$E$20,BC2)&amp;" "&amp;INDEX('設定'!$I$11:$I$22,BC3),"")</f>
        <v/>
      </c>
      <c r="BD8">
        <f>IF(BD4=1,INDEX('設定'!$E$11:$E$20,BD2)&amp;" "&amp;INDEX('設定'!$I$11:$I$22,BD3),"")</f>
        <v/>
      </c>
      <c r="BE8">
        <f>IF(BE4=1,INDEX('設定'!$E$11:$E$20,BE2)&amp;" "&amp;INDEX('設定'!$I$11:$I$22,BE3),"")</f>
        <v/>
      </c>
      <c r="BF8">
        <f>IF(BF4=1,INDEX('設定'!$E$11:$E$20,BF2)&amp;" "&amp;INDEX('設定'!$I$11:$I$22,BF3),"")</f>
        <v/>
      </c>
      <c r="BG8">
        <f>IF(BG4=1,INDEX('設定'!$E$11:$E$20,BG2)&amp;" "&amp;INDEX('設定'!$I$11:$I$22,BG3),"")</f>
        <v/>
      </c>
      <c r="BH8">
        <f>IF(BH4=1,INDEX('設定'!$E$11:$E$20,BH2)&amp;" "&amp;INDEX('設定'!$I$11:$I$22,BH3),"")</f>
        <v/>
      </c>
      <c r="BI8">
        <f>IF(BI4=1,INDEX('設定'!$E$11:$E$20,BI2)&amp;" "&amp;INDEX('設定'!$I$11:$I$22,BI3),"")</f>
        <v/>
      </c>
      <c r="BJ8">
        <f>IF(BJ4=1,INDEX('設定'!$E$11:$E$20,BJ2)&amp;" "&amp;INDEX('設定'!$I$11:$I$22,BJ3),"")</f>
        <v/>
      </c>
      <c r="BK8">
        <f>IF(BK4=1,INDEX('設定'!$E$11:$E$20,BK2)&amp;" "&amp;INDEX('設定'!$I$11:$I$22,BK3),"")</f>
        <v/>
      </c>
      <c r="BL8">
        <f>IF(BL4=1,INDEX('設定'!$E$11:$E$20,BL2)&amp;" "&amp;INDEX('設定'!$I$11:$I$22,BL3),"")</f>
        <v/>
      </c>
      <c r="BM8">
        <f>IF(BM4=1,INDEX('設定'!$E$11:$E$20,BM2)&amp;" "&amp;INDEX('設定'!$I$11:$I$22,BM3),"")</f>
        <v/>
      </c>
      <c r="BN8">
        <f>IF(BN4=1,INDEX('設定'!$E$11:$E$20,BN2)&amp;" "&amp;INDEX('設定'!$I$11:$I$22,BN3),"")</f>
        <v/>
      </c>
      <c r="BO8">
        <f>IF(BO4=1,INDEX('設定'!$E$11:$E$20,BO2)&amp;" "&amp;INDEX('設定'!$I$11:$I$22,BO3),"")</f>
        <v/>
      </c>
      <c r="BP8">
        <f>IF(BP4=1,INDEX('設定'!$E$11:$E$20,BP2)&amp;" "&amp;INDEX('設定'!$I$11:$I$22,BP3),"")</f>
        <v/>
      </c>
      <c r="BQ8">
        <f>IF(BQ4=1,INDEX('設定'!$E$11:$E$20,BQ2)&amp;" "&amp;INDEX('設定'!$I$11:$I$22,BQ3),"")</f>
        <v/>
      </c>
      <c r="BR8">
        <f>IF(BR4=1,INDEX('設定'!$E$11:$E$20,BR2)&amp;" "&amp;INDEX('設定'!$I$11:$I$22,BR3),"")</f>
        <v/>
      </c>
      <c r="BS8">
        <f>IF(BS4=1,INDEX('設定'!$E$11:$E$20,BS2)&amp;" "&amp;INDEX('設定'!$I$11:$I$22,BS3),"")</f>
        <v/>
      </c>
      <c r="BT8">
        <f>IF(BT4=1,INDEX('設定'!$E$11:$E$20,BT2)&amp;" "&amp;INDEX('設定'!$I$11:$I$22,BT3),"")</f>
        <v/>
      </c>
      <c r="BU8">
        <f>IF(BU4=1,INDEX('設定'!$E$11:$E$20,BU2)&amp;" "&amp;INDEX('設定'!$I$11:$I$22,BU3),"")</f>
        <v/>
      </c>
      <c r="BV8">
        <f>IF(BV4=1,INDEX('設定'!$E$11:$E$20,BV2)&amp;" "&amp;INDEX('設定'!$I$11:$I$22,BV3),"")</f>
        <v/>
      </c>
      <c r="BW8">
        <f>IF(BW4=1,INDEX('設定'!$E$11:$E$20,BW2)&amp;" "&amp;INDEX('設定'!$I$11:$I$22,BW3),"")</f>
        <v/>
      </c>
      <c r="BX8">
        <f>IF(BX4=1,INDEX('設定'!$E$11:$E$20,BX2)&amp;" "&amp;INDEX('設定'!$I$11:$I$22,BX3),"")</f>
        <v/>
      </c>
      <c r="BY8">
        <f>IF(BY4=1,INDEX('設定'!$E$11:$E$20,BY2)&amp;" "&amp;INDEX('設定'!$I$11:$I$22,BY3),"")</f>
        <v/>
      </c>
      <c r="BZ8">
        <f>IF(BZ4=1,INDEX('設定'!$E$11:$E$20,BZ2)&amp;" "&amp;INDEX('設定'!$I$11:$I$22,BZ3),"")</f>
        <v/>
      </c>
      <c r="CA8">
        <f>IF(CA4=1,INDEX('設定'!$E$11:$E$20,CA2)&amp;" "&amp;INDEX('設定'!$I$11:$I$22,CA3),"")</f>
        <v/>
      </c>
      <c r="CB8">
        <f>IF(CB4=1,INDEX('設定'!$E$11:$E$20,CB2)&amp;" "&amp;INDEX('設定'!$I$11:$I$22,CB3),"")</f>
        <v/>
      </c>
      <c r="CC8">
        <f>IF(CC4=1,INDEX('設定'!$E$11:$E$20,CC2)&amp;" "&amp;INDEX('設定'!$I$11:$I$22,CC3),"")</f>
        <v/>
      </c>
      <c r="CD8">
        <f>IF(CD4=1,INDEX('設定'!$E$11:$E$20,CD2)&amp;" "&amp;INDEX('設定'!$I$11:$I$22,CD3),"")</f>
        <v/>
      </c>
      <c r="CE8">
        <f>IF(CE4=1,INDEX('設定'!$E$11:$E$20,CE2)&amp;" "&amp;INDEX('設定'!$I$11:$I$22,CE3),"")</f>
        <v/>
      </c>
      <c r="CF8">
        <f>IF(CF4=1,INDEX('設定'!$E$11:$E$20,CF2)&amp;" "&amp;INDEX('設定'!$I$11:$I$22,CF3),"")</f>
        <v/>
      </c>
      <c r="CG8">
        <f>IF(CG4=1,INDEX('設定'!$E$11:$E$20,CG2)&amp;" "&amp;INDEX('設定'!$I$11:$I$22,CG3),"")</f>
        <v/>
      </c>
      <c r="CH8">
        <f>IF(CH4=1,INDEX('設定'!$E$11:$E$20,CH2)&amp;" "&amp;INDEX('設定'!$I$11:$I$22,CH3),"")</f>
        <v/>
      </c>
      <c r="CI8">
        <f>IF(CI4=1,INDEX('設定'!$E$11:$E$20,CI2)&amp;" "&amp;INDEX('設定'!$I$11:$I$22,CI3),"")</f>
        <v/>
      </c>
      <c r="CJ8">
        <f>IF(CJ4=1,INDEX('設定'!$E$11:$E$20,CJ2)&amp;" "&amp;INDEX('設定'!$I$11:$I$22,CJ3),"")</f>
        <v/>
      </c>
      <c r="CK8">
        <f>IF(CK4=1,INDEX('設定'!$E$11:$E$20,CK2)&amp;" "&amp;INDEX('設定'!$I$11:$I$22,CK3),"")</f>
        <v/>
      </c>
      <c r="CL8">
        <f>IF(CL4=1,INDEX('設定'!$E$11:$E$20,CL2)&amp;" "&amp;INDEX('設定'!$I$11:$I$22,CL3),"")</f>
        <v/>
      </c>
      <c r="CM8">
        <f>IF(CM4=1,INDEX('設定'!$E$11:$E$20,CM2)&amp;" "&amp;INDEX('設定'!$I$11:$I$22,CM3),"")</f>
        <v/>
      </c>
      <c r="CN8">
        <f>IF(CN4=1,INDEX('設定'!$E$11:$E$20,CN2)&amp;" "&amp;INDEX('設定'!$I$11:$I$22,CN3),"")</f>
        <v/>
      </c>
      <c r="CO8">
        <f>IF(CO4=1,INDEX('設定'!$E$11:$E$20,CO2)&amp;" "&amp;INDEX('設定'!$I$11:$I$22,CO3),"")</f>
        <v/>
      </c>
      <c r="CP8">
        <f>IF(CP4=1,INDEX('設定'!$E$11:$E$20,CP2)&amp;" "&amp;INDEX('設定'!$I$11:$I$22,CP3),"")</f>
        <v/>
      </c>
      <c r="CQ8">
        <f>IF(CQ4=1,INDEX('設定'!$E$11:$E$20,CQ2)&amp;" "&amp;INDEX('設定'!$I$11:$I$22,CQ3),"")</f>
        <v/>
      </c>
      <c r="CR8">
        <f>IF(CR4=1,INDEX('設定'!$E$11:$E$20,CR2)&amp;" "&amp;INDEX('設定'!$I$11:$I$22,CR3),"")</f>
        <v/>
      </c>
      <c r="CS8">
        <f>IF(CS4=1,INDEX('設定'!$E$11:$E$20,CS2)&amp;" "&amp;INDEX('設定'!$I$11:$I$22,CS3),"")</f>
        <v/>
      </c>
      <c r="CT8">
        <f>IF(CT4=1,INDEX('設定'!$E$11:$E$20,CT2)&amp;" "&amp;INDEX('設定'!$I$11:$I$22,CT3),"")</f>
        <v/>
      </c>
      <c r="CU8">
        <f>IF(CU4=1,INDEX('設定'!$E$11:$E$20,CU2)&amp;" "&amp;INDEX('設定'!$I$11:$I$22,CU3),"")</f>
        <v/>
      </c>
      <c r="CV8">
        <f>IF(CV4=1,INDEX('設定'!$E$11:$E$20,CV2)&amp;" "&amp;INDEX('設定'!$I$11:$I$22,CV3),"")</f>
        <v/>
      </c>
      <c r="CW8">
        <f>IF(CW4=1,INDEX('設定'!$E$11:$E$20,CW2)&amp;" "&amp;INDEX('設定'!$I$11:$I$22,CW3),"")</f>
        <v/>
      </c>
      <c r="CX8">
        <f>IF(CX4=1,INDEX('設定'!$E$11:$E$20,CX2)&amp;" "&amp;INDEX('設定'!$I$11:$I$22,CX3),"")</f>
        <v/>
      </c>
      <c r="CY8">
        <f>IF(CY4=1,INDEX('設定'!$E$11:$E$20,CY2)&amp;" "&amp;INDEX('設定'!$I$11:$I$22,CY3),"")</f>
        <v/>
      </c>
      <c r="CZ8">
        <f>IF(CZ4=1,INDEX('設定'!$E$11:$E$20,CZ2)&amp;" "&amp;INDEX('設定'!$I$11:$I$22,CZ3),"")</f>
        <v/>
      </c>
      <c r="DA8">
        <f>IF(DA4=1,INDEX('設定'!$E$11:$E$20,DA2)&amp;" "&amp;INDEX('設定'!$I$11:$I$22,DA3),"")</f>
        <v/>
      </c>
      <c r="DB8">
        <f>IF(DB4=1,INDEX('設定'!$E$11:$E$20,DB2)&amp;" "&amp;INDEX('設定'!$I$11:$I$22,DB3),"")</f>
        <v/>
      </c>
      <c r="DC8">
        <f>IF(DC4=1,INDEX('設定'!$E$11:$E$20,DC2)&amp;" "&amp;INDEX('設定'!$I$11:$I$22,DC3),"")</f>
        <v/>
      </c>
      <c r="DD8">
        <f>IF(DD4=1,INDEX('設定'!$E$11:$E$20,DD2)&amp;" "&amp;INDEX('設定'!$I$11:$I$22,DD3),"")</f>
        <v/>
      </c>
      <c r="DE8">
        <f>IF(DE4=1,INDEX('設定'!$E$11:$E$20,DE2)&amp;" "&amp;INDEX('設定'!$I$11:$I$22,DE3),"")</f>
        <v/>
      </c>
      <c r="DF8">
        <f>IF(DF4=1,INDEX('設定'!$E$11:$E$20,DF2)&amp;" "&amp;INDEX('設定'!$I$11:$I$22,DF3),"")</f>
        <v/>
      </c>
      <c r="DG8">
        <f>IF(DG4=1,INDEX('設定'!$E$11:$E$20,DG2)&amp;" "&amp;INDEX('設定'!$I$11:$I$22,DG3),"")</f>
        <v/>
      </c>
      <c r="DH8">
        <f>IF(DH4=1,INDEX('設定'!$E$11:$E$20,DH2)&amp;" "&amp;INDEX('設定'!$I$11:$I$22,DH3),"")</f>
        <v/>
      </c>
      <c r="DI8">
        <f>IF(DI4=1,INDEX('設定'!$E$11:$E$20,DI2)&amp;" "&amp;INDEX('設定'!$I$11:$I$22,DI3),"")</f>
        <v/>
      </c>
      <c r="DJ8">
        <f>IF(DJ4=1,INDEX('設定'!$E$11:$E$20,DJ2)&amp;" "&amp;INDEX('設定'!$I$11:$I$22,DJ3),"")</f>
        <v/>
      </c>
      <c r="DK8">
        <f>IF(DK4=1,INDEX('設定'!$E$11:$E$20,DK2)&amp;" "&amp;INDEX('設定'!$I$11:$I$22,DK3),"")</f>
        <v/>
      </c>
      <c r="DL8">
        <f>IF(DL4=1,INDEX('設定'!$E$11:$E$20,DL2)&amp;" "&amp;INDEX('設定'!$I$11:$I$22,DL3),"")</f>
        <v/>
      </c>
      <c r="DM8">
        <f>IF(DM4=1,INDEX('設定'!$E$11:$E$20,DM2)&amp;" "&amp;INDEX('設定'!$I$11:$I$22,DM3),"")</f>
        <v/>
      </c>
      <c r="DN8">
        <f>IF(DN4=1,INDEX('設定'!$E$11:$E$20,DN2)&amp;" "&amp;INDEX('設定'!$I$11:$I$22,DN3),"")</f>
        <v/>
      </c>
      <c r="DO8">
        <f>IF(DO4=1,INDEX('設定'!$E$11:$E$20,DO2)&amp;" "&amp;INDEX('設定'!$I$11:$I$22,DO3),"")</f>
        <v/>
      </c>
      <c r="DP8">
        <f>IF(DP4=1,INDEX('設定'!$E$11:$E$20,DP2)&amp;" "&amp;INDEX('設定'!$I$11:$I$22,DP3),"")</f>
        <v/>
      </c>
      <c r="DQ8">
        <f>IF(DQ4=1,INDEX('設定'!$E$11:$E$20,DQ2)&amp;" "&amp;INDEX('設定'!$I$11:$I$22,DQ3),"")</f>
        <v/>
      </c>
      <c r="DR8">
        <f>IF(DR4=1,INDEX('設定'!$E$11:$E$20,DR2)&amp;" "&amp;INDEX('設定'!$I$11:$I$22,DR3),"")</f>
        <v/>
      </c>
      <c r="DS8">
        <f>IF(DS4=1,INDEX('設定'!$E$11:$E$20,DS2)&amp;" "&amp;INDEX('設定'!$I$11:$I$22,DS3),"")</f>
        <v/>
      </c>
    </row>
    <row r="9">
      <c r="A9" t="inlineStr">
        <is>
          <t>i</t>
        </is>
      </c>
      <c r="B9" t="inlineStr">
        <is>
          <t>表示名</t>
        </is>
      </c>
      <c r="C9" t="inlineStr">
        <is>
          <t>自動の対象</t>
        </is>
      </c>
      <c r="DU9" t="inlineStr">
        <is>
          <t>自動案の枠</t>
        </is>
      </c>
      <c r="DV9" t="inlineStr">
        <is>
          <t>入らない</t>
        </is>
      </c>
      <c r="DW9" t="inlineStr">
        <is>
          <t>空き枠数</t>
        </is>
      </c>
      <c r="DX9" t="inlineStr">
        <is>
          <t>×の数</t>
        </is>
      </c>
      <c r="DY9" t="inlineStr">
        <is>
          <t>決定した枠</t>
        </is>
      </c>
      <c r="DZ9" t="inlineStr">
        <is>
          <t>希望</t>
        </is>
      </c>
      <c r="EA9" t="inlineStr">
        <is>
          <t>後ろ空け</t>
        </is>
      </c>
    </row>
    <row r="10">
      <c r="A10" t="n">
        <v>1</v>
      </c>
      <c r="B10">
        <f>'名簿'!G5</f>
        <v/>
      </c>
      <c r="C10">
        <f>IF(AND(B10&lt;&gt;"",OR('名簿'!H5="入力済み",'名簿'!H5="×なし"),DY10=0,COUNTIF('割り当て'!$C$6:$L$17,B10)=0),1,0)</f>
        <v/>
      </c>
      <c r="D10">
        <f>IF(D$4=1,IF(INDEX('×入力'!$C$1:$L$700,6+D$3,D$2)&lt;&gt;"",1,0),0)</f>
        <v/>
      </c>
      <c r="E10">
        <f>IF(E$4=1,IF(INDEX('×入力'!$C$1:$L$700,6+E$3,E$2)&lt;&gt;"",1,0),0)</f>
        <v/>
      </c>
      <c r="F10">
        <f>IF(F$4=1,IF(INDEX('×入力'!$C$1:$L$700,6+F$3,F$2)&lt;&gt;"",1,0),0)</f>
        <v/>
      </c>
      <c r="G10">
        <f>IF(G$4=1,IF(INDEX('×入力'!$C$1:$L$700,6+G$3,G$2)&lt;&gt;"",1,0),0)</f>
        <v/>
      </c>
      <c r="H10">
        <f>IF(H$4=1,IF(INDEX('×入力'!$C$1:$L$700,6+H$3,H$2)&lt;&gt;"",1,0),0)</f>
        <v/>
      </c>
      <c r="I10">
        <f>IF(I$4=1,IF(INDEX('×入力'!$C$1:$L$700,6+I$3,I$2)&lt;&gt;"",1,0),0)</f>
        <v/>
      </c>
      <c r="J10">
        <f>IF(J$4=1,IF(INDEX('×入力'!$C$1:$L$700,6+J$3,J$2)&lt;&gt;"",1,0),0)</f>
        <v/>
      </c>
      <c r="K10">
        <f>IF(K$4=1,IF(INDEX('×入力'!$C$1:$L$700,6+K$3,K$2)&lt;&gt;"",1,0),0)</f>
        <v/>
      </c>
      <c r="L10">
        <f>IF(L$4=1,IF(INDEX('×入力'!$C$1:$L$700,6+L$3,L$2)&lt;&gt;"",1,0),0)</f>
        <v/>
      </c>
      <c r="M10">
        <f>IF(M$4=1,IF(INDEX('×入力'!$C$1:$L$700,6+M$3,M$2)&lt;&gt;"",1,0),0)</f>
        <v/>
      </c>
      <c r="N10">
        <f>IF(N$4=1,IF(INDEX('×入力'!$C$1:$L$700,6+N$3,N$2)&lt;&gt;"",1,0),0)</f>
        <v/>
      </c>
      <c r="O10">
        <f>IF(O$4=1,IF(INDEX('×入力'!$C$1:$L$700,6+O$3,O$2)&lt;&gt;"",1,0),0)</f>
        <v/>
      </c>
      <c r="P10">
        <f>IF(P$4=1,IF(INDEX('×入力'!$C$1:$L$700,6+P$3,P$2)&lt;&gt;"",1,0),0)</f>
        <v/>
      </c>
      <c r="Q10">
        <f>IF(Q$4=1,IF(INDEX('×入力'!$C$1:$L$700,6+Q$3,Q$2)&lt;&gt;"",1,0),0)</f>
        <v/>
      </c>
      <c r="R10">
        <f>IF(R$4=1,IF(INDEX('×入力'!$C$1:$L$700,6+R$3,R$2)&lt;&gt;"",1,0),0)</f>
        <v/>
      </c>
      <c r="S10">
        <f>IF(S$4=1,IF(INDEX('×入力'!$C$1:$L$700,6+S$3,S$2)&lt;&gt;"",1,0),0)</f>
        <v/>
      </c>
      <c r="T10">
        <f>IF(T$4=1,IF(INDEX('×入力'!$C$1:$L$700,6+T$3,T$2)&lt;&gt;"",1,0),0)</f>
        <v/>
      </c>
      <c r="U10">
        <f>IF(U$4=1,IF(INDEX('×入力'!$C$1:$L$700,6+U$3,U$2)&lt;&gt;"",1,0),0)</f>
        <v/>
      </c>
      <c r="V10">
        <f>IF(V$4=1,IF(INDEX('×入力'!$C$1:$L$700,6+V$3,V$2)&lt;&gt;"",1,0),0)</f>
        <v/>
      </c>
      <c r="W10">
        <f>IF(W$4=1,IF(INDEX('×入力'!$C$1:$L$700,6+W$3,W$2)&lt;&gt;"",1,0),0)</f>
        <v/>
      </c>
      <c r="X10">
        <f>IF(X$4=1,IF(INDEX('×入力'!$C$1:$L$700,6+X$3,X$2)&lt;&gt;"",1,0),0)</f>
        <v/>
      </c>
      <c r="Y10">
        <f>IF(Y$4=1,IF(INDEX('×入力'!$C$1:$L$700,6+Y$3,Y$2)&lt;&gt;"",1,0),0)</f>
        <v/>
      </c>
      <c r="Z10">
        <f>IF(Z$4=1,IF(INDEX('×入力'!$C$1:$L$700,6+Z$3,Z$2)&lt;&gt;"",1,0),0)</f>
        <v/>
      </c>
      <c r="AA10">
        <f>IF(AA$4=1,IF(INDEX('×入力'!$C$1:$L$700,6+AA$3,AA$2)&lt;&gt;"",1,0),0)</f>
        <v/>
      </c>
      <c r="AB10">
        <f>IF(AB$4=1,IF(INDEX('×入力'!$C$1:$L$700,6+AB$3,AB$2)&lt;&gt;"",1,0),0)</f>
        <v/>
      </c>
      <c r="AC10">
        <f>IF(AC$4=1,IF(INDEX('×入力'!$C$1:$L$700,6+AC$3,AC$2)&lt;&gt;"",1,0),0)</f>
        <v/>
      </c>
      <c r="AD10">
        <f>IF(AD$4=1,IF(INDEX('×入力'!$C$1:$L$700,6+AD$3,AD$2)&lt;&gt;"",1,0),0)</f>
        <v/>
      </c>
      <c r="AE10">
        <f>IF(AE$4=1,IF(INDEX('×入力'!$C$1:$L$700,6+AE$3,AE$2)&lt;&gt;"",1,0),0)</f>
        <v/>
      </c>
      <c r="AF10">
        <f>IF(AF$4=1,IF(INDEX('×入力'!$C$1:$L$700,6+AF$3,AF$2)&lt;&gt;"",1,0),0)</f>
        <v/>
      </c>
      <c r="AG10">
        <f>IF(AG$4=1,IF(INDEX('×入力'!$C$1:$L$700,6+AG$3,AG$2)&lt;&gt;"",1,0),0)</f>
        <v/>
      </c>
      <c r="AH10">
        <f>IF(AH$4=1,IF(INDEX('×入力'!$C$1:$L$700,6+AH$3,AH$2)&lt;&gt;"",1,0),0)</f>
        <v/>
      </c>
      <c r="AI10">
        <f>IF(AI$4=1,IF(INDEX('×入力'!$C$1:$L$700,6+AI$3,AI$2)&lt;&gt;"",1,0),0)</f>
        <v/>
      </c>
      <c r="AJ10">
        <f>IF(AJ$4=1,IF(INDEX('×入力'!$C$1:$L$700,6+AJ$3,AJ$2)&lt;&gt;"",1,0),0)</f>
        <v/>
      </c>
      <c r="AK10">
        <f>IF(AK$4=1,IF(INDEX('×入力'!$C$1:$L$700,6+AK$3,AK$2)&lt;&gt;"",1,0),0)</f>
        <v/>
      </c>
      <c r="AL10">
        <f>IF(AL$4=1,IF(INDEX('×入力'!$C$1:$L$700,6+AL$3,AL$2)&lt;&gt;"",1,0),0)</f>
        <v/>
      </c>
      <c r="AM10">
        <f>IF(AM$4=1,IF(INDEX('×入力'!$C$1:$L$700,6+AM$3,AM$2)&lt;&gt;"",1,0),0)</f>
        <v/>
      </c>
      <c r="AN10">
        <f>IF(AN$4=1,IF(INDEX('×入力'!$C$1:$L$700,6+AN$3,AN$2)&lt;&gt;"",1,0),0)</f>
        <v/>
      </c>
      <c r="AO10">
        <f>IF(AO$4=1,IF(INDEX('×入力'!$C$1:$L$700,6+AO$3,AO$2)&lt;&gt;"",1,0),0)</f>
        <v/>
      </c>
      <c r="AP10">
        <f>IF(AP$4=1,IF(INDEX('×入力'!$C$1:$L$700,6+AP$3,AP$2)&lt;&gt;"",1,0),0)</f>
        <v/>
      </c>
      <c r="AQ10">
        <f>IF(AQ$4=1,IF(INDEX('×入力'!$C$1:$L$700,6+AQ$3,AQ$2)&lt;&gt;"",1,0),0)</f>
        <v/>
      </c>
      <c r="AR10">
        <f>IF(AR$4=1,IF(INDEX('×入力'!$C$1:$L$700,6+AR$3,AR$2)&lt;&gt;"",1,0),0)</f>
        <v/>
      </c>
      <c r="AS10">
        <f>IF(AS$4=1,IF(INDEX('×入力'!$C$1:$L$700,6+AS$3,AS$2)&lt;&gt;"",1,0),0)</f>
        <v/>
      </c>
      <c r="AT10">
        <f>IF(AT$4=1,IF(INDEX('×入力'!$C$1:$L$700,6+AT$3,AT$2)&lt;&gt;"",1,0),0)</f>
        <v/>
      </c>
      <c r="AU10">
        <f>IF(AU$4=1,IF(INDEX('×入力'!$C$1:$L$700,6+AU$3,AU$2)&lt;&gt;"",1,0),0)</f>
        <v/>
      </c>
      <c r="AV10">
        <f>IF(AV$4=1,IF(INDEX('×入力'!$C$1:$L$700,6+AV$3,AV$2)&lt;&gt;"",1,0),0)</f>
        <v/>
      </c>
      <c r="AW10">
        <f>IF(AW$4=1,IF(INDEX('×入力'!$C$1:$L$700,6+AW$3,AW$2)&lt;&gt;"",1,0),0)</f>
        <v/>
      </c>
      <c r="AX10">
        <f>IF(AX$4=1,IF(INDEX('×入力'!$C$1:$L$700,6+AX$3,AX$2)&lt;&gt;"",1,0),0)</f>
        <v/>
      </c>
      <c r="AY10">
        <f>IF(AY$4=1,IF(INDEX('×入力'!$C$1:$L$700,6+AY$3,AY$2)&lt;&gt;"",1,0),0)</f>
        <v/>
      </c>
      <c r="AZ10">
        <f>IF(AZ$4=1,IF(INDEX('×入力'!$C$1:$L$700,6+AZ$3,AZ$2)&lt;&gt;"",1,0),0)</f>
        <v/>
      </c>
      <c r="BA10">
        <f>IF(BA$4=1,IF(INDEX('×入力'!$C$1:$L$700,6+BA$3,BA$2)&lt;&gt;"",1,0),0)</f>
        <v/>
      </c>
      <c r="BB10">
        <f>IF(BB$4=1,IF(INDEX('×入力'!$C$1:$L$700,6+BB$3,BB$2)&lt;&gt;"",1,0),0)</f>
        <v/>
      </c>
      <c r="BC10">
        <f>IF(BC$4=1,IF(INDEX('×入力'!$C$1:$L$700,6+BC$3,BC$2)&lt;&gt;"",1,0),0)</f>
        <v/>
      </c>
      <c r="BD10">
        <f>IF(BD$4=1,IF(INDEX('×入力'!$C$1:$L$700,6+BD$3,BD$2)&lt;&gt;"",1,0),0)</f>
        <v/>
      </c>
      <c r="BE10">
        <f>IF(BE$4=1,IF(INDEX('×入力'!$C$1:$L$700,6+BE$3,BE$2)&lt;&gt;"",1,0),0)</f>
        <v/>
      </c>
      <c r="BF10">
        <f>IF(BF$4=1,IF(INDEX('×入力'!$C$1:$L$700,6+BF$3,BF$2)&lt;&gt;"",1,0),0)</f>
        <v/>
      </c>
      <c r="BG10">
        <f>IF(BG$4=1,IF(INDEX('×入力'!$C$1:$L$700,6+BG$3,BG$2)&lt;&gt;"",1,0),0)</f>
        <v/>
      </c>
      <c r="BH10">
        <f>IF(BH$4=1,IF(INDEX('×入力'!$C$1:$L$700,6+BH$3,BH$2)&lt;&gt;"",1,0),0)</f>
        <v/>
      </c>
      <c r="BI10">
        <f>IF(BI$4=1,IF(INDEX('×入力'!$C$1:$L$700,6+BI$3,BI$2)&lt;&gt;"",1,0),0)</f>
        <v/>
      </c>
      <c r="BJ10">
        <f>IF(BJ$4=1,IF(INDEX('×入力'!$C$1:$L$700,6+BJ$3,BJ$2)&lt;&gt;"",1,0),0)</f>
        <v/>
      </c>
      <c r="BK10">
        <f>IF(BK$4=1,IF(INDEX('×入力'!$C$1:$L$700,6+BK$3,BK$2)&lt;&gt;"",1,0),0)</f>
        <v/>
      </c>
      <c r="BL10">
        <f>IF(BL$4=1,IF(INDEX('×入力'!$C$1:$L$700,6+BL$3,BL$2)&lt;&gt;"",1,0),0)</f>
        <v/>
      </c>
      <c r="BM10">
        <f>IF(BM$4=1,IF(INDEX('×入力'!$C$1:$L$700,6+BM$3,BM$2)&lt;&gt;"",1,0),0)</f>
        <v/>
      </c>
      <c r="BN10">
        <f>IF(BN$4=1,IF(INDEX('×入力'!$C$1:$L$700,6+BN$3,BN$2)&lt;&gt;"",1,0),0)</f>
        <v/>
      </c>
      <c r="BO10">
        <f>IF(BO$4=1,IF(INDEX('×入力'!$C$1:$L$700,6+BO$3,BO$2)&lt;&gt;"",1,0),0)</f>
        <v/>
      </c>
      <c r="BP10">
        <f>IF(BP$4=1,IF(INDEX('×入力'!$C$1:$L$700,6+BP$3,BP$2)&lt;&gt;"",1,0),0)</f>
        <v/>
      </c>
      <c r="BQ10">
        <f>IF(BQ$4=1,IF(INDEX('×入力'!$C$1:$L$700,6+BQ$3,BQ$2)&lt;&gt;"",1,0),0)</f>
        <v/>
      </c>
      <c r="BR10">
        <f>IF(BR$4=1,IF(INDEX('×入力'!$C$1:$L$700,6+BR$3,BR$2)&lt;&gt;"",1,0),0)</f>
        <v/>
      </c>
      <c r="BS10">
        <f>IF(BS$4=1,IF(INDEX('×入力'!$C$1:$L$700,6+BS$3,BS$2)&lt;&gt;"",1,0),0)</f>
        <v/>
      </c>
      <c r="BT10">
        <f>IF(BT$4=1,IF(INDEX('×入力'!$C$1:$L$700,6+BT$3,BT$2)&lt;&gt;"",1,0),0)</f>
        <v/>
      </c>
      <c r="BU10">
        <f>IF(BU$4=1,IF(INDEX('×入力'!$C$1:$L$700,6+BU$3,BU$2)&lt;&gt;"",1,0),0)</f>
        <v/>
      </c>
      <c r="BV10">
        <f>IF(BV$4=1,IF(INDEX('×入力'!$C$1:$L$700,6+BV$3,BV$2)&lt;&gt;"",1,0),0)</f>
        <v/>
      </c>
      <c r="BW10">
        <f>IF(BW$4=1,IF(INDEX('×入力'!$C$1:$L$700,6+BW$3,BW$2)&lt;&gt;"",1,0),0)</f>
        <v/>
      </c>
      <c r="BX10">
        <f>IF(BX$4=1,IF(INDEX('×入力'!$C$1:$L$700,6+BX$3,BX$2)&lt;&gt;"",1,0),0)</f>
        <v/>
      </c>
      <c r="BY10">
        <f>IF(BY$4=1,IF(INDEX('×入力'!$C$1:$L$700,6+BY$3,BY$2)&lt;&gt;"",1,0),0)</f>
        <v/>
      </c>
      <c r="BZ10">
        <f>IF(BZ$4=1,IF(INDEX('×入力'!$C$1:$L$700,6+BZ$3,BZ$2)&lt;&gt;"",1,0),0)</f>
        <v/>
      </c>
      <c r="CA10">
        <f>IF(CA$4=1,IF(INDEX('×入力'!$C$1:$L$700,6+CA$3,CA$2)&lt;&gt;"",1,0),0)</f>
        <v/>
      </c>
      <c r="CB10">
        <f>IF(CB$4=1,IF(INDEX('×入力'!$C$1:$L$700,6+CB$3,CB$2)&lt;&gt;"",1,0),0)</f>
        <v/>
      </c>
      <c r="CC10">
        <f>IF(CC$4=1,IF(INDEX('×入力'!$C$1:$L$700,6+CC$3,CC$2)&lt;&gt;"",1,0),0)</f>
        <v/>
      </c>
      <c r="CD10">
        <f>IF(CD$4=1,IF(INDEX('×入力'!$C$1:$L$700,6+CD$3,CD$2)&lt;&gt;"",1,0),0)</f>
        <v/>
      </c>
      <c r="CE10">
        <f>IF(CE$4=1,IF(INDEX('×入力'!$C$1:$L$700,6+CE$3,CE$2)&lt;&gt;"",1,0),0)</f>
        <v/>
      </c>
      <c r="CF10">
        <f>IF(CF$4=1,IF(INDEX('×入力'!$C$1:$L$700,6+CF$3,CF$2)&lt;&gt;"",1,0),0)</f>
        <v/>
      </c>
      <c r="CG10">
        <f>IF(CG$4=1,IF(INDEX('×入力'!$C$1:$L$700,6+CG$3,CG$2)&lt;&gt;"",1,0),0)</f>
        <v/>
      </c>
      <c r="CH10">
        <f>IF(CH$4=1,IF(INDEX('×入力'!$C$1:$L$700,6+CH$3,CH$2)&lt;&gt;"",1,0),0)</f>
        <v/>
      </c>
      <c r="CI10">
        <f>IF(CI$4=1,IF(INDEX('×入力'!$C$1:$L$700,6+CI$3,CI$2)&lt;&gt;"",1,0),0)</f>
        <v/>
      </c>
      <c r="CJ10">
        <f>IF(CJ$4=1,IF(INDEX('×入力'!$C$1:$L$700,6+CJ$3,CJ$2)&lt;&gt;"",1,0),0)</f>
        <v/>
      </c>
      <c r="CK10">
        <f>IF(CK$4=1,IF(INDEX('×入力'!$C$1:$L$700,6+CK$3,CK$2)&lt;&gt;"",1,0),0)</f>
        <v/>
      </c>
      <c r="CL10">
        <f>IF(CL$4=1,IF(INDEX('×入力'!$C$1:$L$700,6+CL$3,CL$2)&lt;&gt;"",1,0),0)</f>
        <v/>
      </c>
      <c r="CM10">
        <f>IF(CM$4=1,IF(INDEX('×入力'!$C$1:$L$700,6+CM$3,CM$2)&lt;&gt;"",1,0),0)</f>
        <v/>
      </c>
      <c r="CN10">
        <f>IF(CN$4=1,IF(INDEX('×入力'!$C$1:$L$700,6+CN$3,CN$2)&lt;&gt;"",1,0),0)</f>
        <v/>
      </c>
      <c r="CO10">
        <f>IF(CO$4=1,IF(INDEX('×入力'!$C$1:$L$700,6+CO$3,CO$2)&lt;&gt;"",1,0),0)</f>
        <v/>
      </c>
      <c r="CP10">
        <f>IF(CP$4=1,IF(INDEX('×入力'!$C$1:$L$700,6+CP$3,CP$2)&lt;&gt;"",1,0),0)</f>
        <v/>
      </c>
      <c r="CQ10">
        <f>IF(CQ$4=1,IF(INDEX('×入力'!$C$1:$L$700,6+CQ$3,CQ$2)&lt;&gt;"",1,0),0)</f>
        <v/>
      </c>
      <c r="CR10">
        <f>IF(CR$4=1,IF(INDEX('×入力'!$C$1:$L$700,6+CR$3,CR$2)&lt;&gt;"",1,0),0)</f>
        <v/>
      </c>
      <c r="CS10">
        <f>IF(CS$4=1,IF(INDEX('×入力'!$C$1:$L$700,6+CS$3,CS$2)&lt;&gt;"",1,0),0)</f>
        <v/>
      </c>
      <c r="CT10">
        <f>IF(CT$4=1,IF(INDEX('×入力'!$C$1:$L$700,6+CT$3,CT$2)&lt;&gt;"",1,0),0)</f>
        <v/>
      </c>
      <c r="CU10">
        <f>IF(CU$4=1,IF(INDEX('×入力'!$C$1:$L$700,6+CU$3,CU$2)&lt;&gt;"",1,0),0)</f>
        <v/>
      </c>
      <c r="CV10">
        <f>IF(CV$4=1,IF(INDEX('×入力'!$C$1:$L$700,6+CV$3,CV$2)&lt;&gt;"",1,0),0)</f>
        <v/>
      </c>
      <c r="CW10">
        <f>IF(CW$4=1,IF(INDEX('×入力'!$C$1:$L$700,6+CW$3,CW$2)&lt;&gt;"",1,0),0)</f>
        <v/>
      </c>
      <c r="CX10">
        <f>IF(CX$4=1,IF(INDEX('×入力'!$C$1:$L$700,6+CX$3,CX$2)&lt;&gt;"",1,0),0)</f>
        <v/>
      </c>
      <c r="CY10">
        <f>IF(CY$4=1,IF(INDEX('×入力'!$C$1:$L$700,6+CY$3,CY$2)&lt;&gt;"",1,0),0)</f>
        <v/>
      </c>
      <c r="CZ10">
        <f>IF(CZ$4=1,IF(INDEX('×入力'!$C$1:$L$700,6+CZ$3,CZ$2)&lt;&gt;"",1,0),0)</f>
        <v/>
      </c>
      <c r="DA10">
        <f>IF(DA$4=1,IF(INDEX('×入力'!$C$1:$L$700,6+DA$3,DA$2)&lt;&gt;"",1,0),0)</f>
        <v/>
      </c>
      <c r="DB10">
        <f>IF(DB$4=1,IF(INDEX('×入力'!$C$1:$L$700,6+DB$3,DB$2)&lt;&gt;"",1,0),0)</f>
        <v/>
      </c>
      <c r="DC10">
        <f>IF(DC$4=1,IF(INDEX('×入力'!$C$1:$L$700,6+DC$3,DC$2)&lt;&gt;"",1,0),0)</f>
        <v/>
      </c>
      <c r="DD10">
        <f>IF(DD$4=1,IF(INDEX('×入力'!$C$1:$L$700,6+DD$3,DD$2)&lt;&gt;"",1,0),0)</f>
        <v/>
      </c>
      <c r="DE10">
        <f>IF(DE$4=1,IF(INDEX('×入力'!$C$1:$L$700,6+DE$3,DE$2)&lt;&gt;"",1,0),0)</f>
        <v/>
      </c>
      <c r="DF10">
        <f>IF(DF$4=1,IF(INDEX('×入力'!$C$1:$L$700,6+DF$3,DF$2)&lt;&gt;"",1,0),0)</f>
        <v/>
      </c>
      <c r="DG10">
        <f>IF(DG$4=1,IF(INDEX('×入力'!$C$1:$L$700,6+DG$3,DG$2)&lt;&gt;"",1,0),0)</f>
        <v/>
      </c>
      <c r="DH10">
        <f>IF(DH$4=1,IF(INDEX('×入力'!$C$1:$L$700,6+DH$3,DH$2)&lt;&gt;"",1,0),0)</f>
        <v/>
      </c>
      <c r="DI10">
        <f>IF(DI$4=1,IF(INDEX('×入力'!$C$1:$L$700,6+DI$3,DI$2)&lt;&gt;"",1,0),0)</f>
        <v/>
      </c>
      <c r="DJ10">
        <f>IF(DJ$4=1,IF(INDEX('×入力'!$C$1:$L$700,6+DJ$3,DJ$2)&lt;&gt;"",1,0),0)</f>
        <v/>
      </c>
      <c r="DK10">
        <f>IF(DK$4=1,IF(INDEX('×入力'!$C$1:$L$700,6+DK$3,DK$2)&lt;&gt;"",1,0),0)</f>
        <v/>
      </c>
      <c r="DL10">
        <f>IF(DL$4=1,IF(INDEX('×入力'!$C$1:$L$700,6+DL$3,DL$2)&lt;&gt;"",1,0),0)</f>
        <v/>
      </c>
      <c r="DM10">
        <f>IF(DM$4=1,IF(INDEX('×入力'!$C$1:$L$700,6+DM$3,DM$2)&lt;&gt;"",1,0),0)</f>
        <v/>
      </c>
      <c r="DN10">
        <f>IF(DN$4=1,IF(INDEX('×入力'!$C$1:$L$700,6+DN$3,DN$2)&lt;&gt;"",1,0),0)</f>
        <v/>
      </c>
      <c r="DO10">
        <f>IF(DO$4=1,IF(INDEX('×入力'!$C$1:$L$700,6+DO$3,DO$2)&lt;&gt;"",1,0),0)</f>
        <v/>
      </c>
      <c r="DP10">
        <f>IF(DP$4=1,IF(INDEX('×入力'!$C$1:$L$700,6+DP$3,DP$2)&lt;&gt;"",1,0),0)</f>
        <v/>
      </c>
      <c r="DQ10">
        <f>IF(DQ$4=1,IF(INDEX('×入力'!$C$1:$L$700,6+DQ$3,DQ$2)&lt;&gt;"",1,0),0)</f>
        <v/>
      </c>
      <c r="DR10">
        <f>IF(DR$4=1,IF(INDEX('×入力'!$C$1:$L$700,6+DR$3,DR$2)&lt;&gt;"",1,0),0)</f>
        <v/>
      </c>
      <c r="DS10">
        <f>IF(DS$4=1,IF(INDEX('×入力'!$C$1:$L$700,6+DS$3,DS$2)&lt;&gt;"",1,0),0)</f>
        <v/>
      </c>
      <c r="DU10">
        <f>IFERROR(INDEX('計算B'!$C$3:$C$47,MATCH(A10,'計算B'!$B$3:$B$47,0)),0)</f>
        <v/>
      </c>
      <c r="DV10">
        <f>IF(AND(C10=1,DU10=0),1,0)</f>
        <v/>
      </c>
      <c r="DW10">
        <f>SUMPRODUCT(D60:DS60*(1-$D$7:$DS$7))</f>
        <v/>
      </c>
      <c r="DX10">
        <f>SUM(D10:DS10)</f>
        <v/>
      </c>
      <c r="DY10">
        <f>IF(B10="",0,IF(COUNTIF('割り当て'!$C$6:$L$17,B10)=1,SUMPRODUCT(('割り当て'!$C$6:$L$17=B10)*((COLUMN('割り当て'!$C$6:$L$17)-3)*12+ROW('割り当て'!$C$6:$L$17)-5)),0))</f>
        <v/>
      </c>
      <c r="DZ10">
        <f>IFERROR(MATCH('名簿'!E5,{"早い時刻","遅い時刻","早い日","遅い日"},0),0)</f>
        <v/>
      </c>
      <c r="EA10">
        <f>IF('名簿'!F5="必ず空けたい",2,IF('名簿'!F5="出来れば空けたい",1,0))</f>
        <v/>
      </c>
    </row>
    <row r="11">
      <c r="A11" t="n">
        <v>2</v>
      </c>
      <c r="B11">
        <f>'名簿'!G6</f>
        <v/>
      </c>
      <c r="C11">
        <f>IF(AND(B11&lt;&gt;"",OR('名簿'!H6="入力済み",'名簿'!H6="×なし"),DY11=0,COUNTIF('割り当て'!$C$6:$L$17,B11)=0),1,0)</f>
        <v/>
      </c>
      <c r="D11">
        <f>IF(D$4=1,IF(INDEX('×入力'!$C$1:$L$700,21+D$3,D$2)&lt;&gt;"",1,0),0)</f>
        <v/>
      </c>
      <c r="E11">
        <f>IF(E$4=1,IF(INDEX('×入力'!$C$1:$L$700,21+E$3,E$2)&lt;&gt;"",1,0),0)</f>
        <v/>
      </c>
      <c r="F11">
        <f>IF(F$4=1,IF(INDEX('×入力'!$C$1:$L$700,21+F$3,F$2)&lt;&gt;"",1,0),0)</f>
        <v/>
      </c>
      <c r="G11">
        <f>IF(G$4=1,IF(INDEX('×入力'!$C$1:$L$700,21+G$3,G$2)&lt;&gt;"",1,0),0)</f>
        <v/>
      </c>
      <c r="H11">
        <f>IF(H$4=1,IF(INDEX('×入力'!$C$1:$L$700,21+H$3,H$2)&lt;&gt;"",1,0),0)</f>
        <v/>
      </c>
      <c r="I11">
        <f>IF(I$4=1,IF(INDEX('×入力'!$C$1:$L$700,21+I$3,I$2)&lt;&gt;"",1,0),0)</f>
        <v/>
      </c>
      <c r="J11">
        <f>IF(J$4=1,IF(INDEX('×入力'!$C$1:$L$700,21+J$3,J$2)&lt;&gt;"",1,0),0)</f>
        <v/>
      </c>
      <c r="K11">
        <f>IF(K$4=1,IF(INDEX('×入力'!$C$1:$L$700,21+K$3,K$2)&lt;&gt;"",1,0),0)</f>
        <v/>
      </c>
      <c r="L11">
        <f>IF(L$4=1,IF(INDEX('×入力'!$C$1:$L$700,21+L$3,L$2)&lt;&gt;"",1,0),0)</f>
        <v/>
      </c>
      <c r="M11">
        <f>IF(M$4=1,IF(INDEX('×入力'!$C$1:$L$700,21+M$3,M$2)&lt;&gt;"",1,0),0)</f>
        <v/>
      </c>
      <c r="N11">
        <f>IF(N$4=1,IF(INDEX('×入力'!$C$1:$L$700,21+N$3,N$2)&lt;&gt;"",1,0),0)</f>
        <v/>
      </c>
      <c r="O11">
        <f>IF(O$4=1,IF(INDEX('×入力'!$C$1:$L$700,21+O$3,O$2)&lt;&gt;"",1,0),0)</f>
        <v/>
      </c>
      <c r="P11">
        <f>IF(P$4=1,IF(INDEX('×入力'!$C$1:$L$700,21+P$3,P$2)&lt;&gt;"",1,0),0)</f>
        <v/>
      </c>
      <c r="Q11">
        <f>IF(Q$4=1,IF(INDEX('×入力'!$C$1:$L$700,21+Q$3,Q$2)&lt;&gt;"",1,0),0)</f>
        <v/>
      </c>
      <c r="R11">
        <f>IF(R$4=1,IF(INDEX('×入力'!$C$1:$L$700,21+R$3,R$2)&lt;&gt;"",1,0),0)</f>
        <v/>
      </c>
      <c r="S11">
        <f>IF(S$4=1,IF(INDEX('×入力'!$C$1:$L$700,21+S$3,S$2)&lt;&gt;"",1,0),0)</f>
        <v/>
      </c>
      <c r="T11">
        <f>IF(T$4=1,IF(INDEX('×入力'!$C$1:$L$700,21+T$3,T$2)&lt;&gt;"",1,0),0)</f>
        <v/>
      </c>
      <c r="U11">
        <f>IF(U$4=1,IF(INDEX('×入力'!$C$1:$L$700,21+U$3,U$2)&lt;&gt;"",1,0),0)</f>
        <v/>
      </c>
      <c r="V11">
        <f>IF(V$4=1,IF(INDEX('×入力'!$C$1:$L$700,21+V$3,V$2)&lt;&gt;"",1,0),0)</f>
        <v/>
      </c>
      <c r="W11">
        <f>IF(W$4=1,IF(INDEX('×入力'!$C$1:$L$700,21+W$3,W$2)&lt;&gt;"",1,0),0)</f>
        <v/>
      </c>
      <c r="X11">
        <f>IF(X$4=1,IF(INDEX('×入力'!$C$1:$L$700,21+X$3,X$2)&lt;&gt;"",1,0),0)</f>
        <v/>
      </c>
      <c r="Y11">
        <f>IF(Y$4=1,IF(INDEX('×入力'!$C$1:$L$700,21+Y$3,Y$2)&lt;&gt;"",1,0),0)</f>
        <v/>
      </c>
      <c r="Z11">
        <f>IF(Z$4=1,IF(INDEX('×入力'!$C$1:$L$700,21+Z$3,Z$2)&lt;&gt;"",1,0),0)</f>
        <v/>
      </c>
      <c r="AA11">
        <f>IF(AA$4=1,IF(INDEX('×入力'!$C$1:$L$700,21+AA$3,AA$2)&lt;&gt;"",1,0),0)</f>
        <v/>
      </c>
      <c r="AB11">
        <f>IF(AB$4=1,IF(INDEX('×入力'!$C$1:$L$700,21+AB$3,AB$2)&lt;&gt;"",1,0),0)</f>
        <v/>
      </c>
      <c r="AC11">
        <f>IF(AC$4=1,IF(INDEX('×入力'!$C$1:$L$700,21+AC$3,AC$2)&lt;&gt;"",1,0),0)</f>
        <v/>
      </c>
      <c r="AD11">
        <f>IF(AD$4=1,IF(INDEX('×入力'!$C$1:$L$700,21+AD$3,AD$2)&lt;&gt;"",1,0),0)</f>
        <v/>
      </c>
      <c r="AE11">
        <f>IF(AE$4=1,IF(INDEX('×入力'!$C$1:$L$700,21+AE$3,AE$2)&lt;&gt;"",1,0),0)</f>
        <v/>
      </c>
      <c r="AF11">
        <f>IF(AF$4=1,IF(INDEX('×入力'!$C$1:$L$700,21+AF$3,AF$2)&lt;&gt;"",1,0),0)</f>
        <v/>
      </c>
      <c r="AG11">
        <f>IF(AG$4=1,IF(INDEX('×入力'!$C$1:$L$700,21+AG$3,AG$2)&lt;&gt;"",1,0),0)</f>
        <v/>
      </c>
      <c r="AH11">
        <f>IF(AH$4=1,IF(INDEX('×入力'!$C$1:$L$700,21+AH$3,AH$2)&lt;&gt;"",1,0),0)</f>
        <v/>
      </c>
      <c r="AI11">
        <f>IF(AI$4=1,IF(INDEX('×入力'!$C$1:$L$700,21+AI$3,AI$2)&lt;&gt;"",1,0),0)</f>
        <v/>
      </c>
      <c r="AJ11">
        <f>IF(AJ$4=1,IF(INDEX('×入力'!$C$1:$L$700,21+AJ$3,AJ$2)&lt;&gt;"",1,0),0)</f>
        <v/>
      </c>
      <c r="AK11">
        <f>IF(AK$4=1,IF(INDEX('×入力'!$C$1:$L$700,21+AK$3,AK$2)&lt;&gt;"",1,0),0)</f>
        <v/>
      </c>
      <c r="AL11">
        <f>IF(AL$4=1,IF(INDEX('×入力'!$C$1:$L$700,21+AL$3,AL$2)&lt;&gt;"",1,0),0)</f>
        <v/>
      </c>
      <c r="AM11">
        <f>IF(AM$4=1,IF(INDEX('×入力'!$C$1:$L$700,21+AM$3,AM$2)&lt;&gt;"",1,0),0)</f>
        <v/>
      </c>
      <c r="AN11">
        <f>IF(AN$4=1,IF(INDEX('×入力'!$C$1:$L$700,21+AN$3,AN$2)&lt;&gt;"",1,0),0)</f>
        <v/>
      </c>
      <c r="AO11">
        <f>IF(AO$4=1,IF(INDEX('×入力'!$C$1:$L$700,21+AO$3,AO$2)&lt;&gt;"",1,0),0)</f>
        <v/>
      </c>
      <c r="AP11">
        <f>IF(AP$4=1,IF(INDEX('×入力'!$C$1:$L$700,21+AP$3,AP$2)&lt;&gt;"",1,0),0)</f>
        <v/>
      </c>
      <c r="AQ11">
        <f>IF(AQ$4=1,IF(INDEX('×入力'!$C$1:$L$700,21+AQ$3,AQ$2)&lt;&gt;"",1,0),0)</f>
        <v/>
      </c>
      <c r="AR11">
        <f>IF(AR$4=1,IF(INDEX('×入力'!$C$1:$L$700,21+AR$3,AR$2)&lt;&gt;"",1,0),0)</f>
        <v/>
      </c>
      <c r="AS11">
        <f>IF(AS$4=1,IF(INDEX('×入力'!$C$1:$L$700,21+AS$3,AS$2)&lt;&gt;"",1,0),0)</f>
        <v/>
      </c>
      <c r="AT11">
        <f>IF(AT$4=1,IF(INDEX('×入力'!$C$1:$L$700,21+AT$3,AT$2)&lt;&gt;"",1,0),0)</f>
        <v/>
      </c>
      <c r="AU11">
        <f>IF(AU$4=1,IF(INDEX('×入力'!$C$1:$L$700,21+AU$3,AU$2)&lt;&gt;"",1,0),0)</f>
        <v/>
      </c>
      <c r="AV11">
        <f>IF(AV$4=1,IF(INDEX('×入力'!$C$1:$L$700,21+AV$3,AV$2)&lt;&gt;"",1,0),0)</f>
        <v/>
      </c>
      <c r="AW11">
        <f>IF(AW$4=1,IF(INDEX('×入力'!$C$1:$L$700,21+AW$3,AW$2)&lt;&gt;"",1,0),0)</f>
        <v/>
      </c>
      <c r="AX11">
        <f>IF(AX$4=1,IF(INDEX('×入力'!$C$1:$L$700,21+AX$3,AX$2)&lt;&gt;"",1,0),0)</f>
        <v/>
      </c>
      <c r="AY11">
        <f>IF(AY$4=1,IF(INDEX('×入力'!$C$1:$L$700,21+AY$3,AY$2)&lt;&gt;"",1,0),0)</f>
        <v/>
      </c>
      <c r="AZ11">
        <f>IF(AZ$4=1,IF(INDEX('×入力'!$C$1:$L$700,21+AZ$3,AZ$2)&lt;&gt;"",1,0),0)</f>
        <v/>
      </c>
      <c r="BA11">
        <f>IF(BA$4=1,IF(INDEX('×入力'!$C$1:$L$700,21+BA$3,BA$2)&lt;&gt;"",1,0),0)</f>
        <v/>
      </c>
      <c r="BB11">
        <f>IF(BB$4=1,IF(INDEX('×入力'!$C$1:$L$700,21+BB$3,BB$2)&lt;&gt;"",1,0),0)</f>
        <v/>
      </c>
      <c r="BC11">
        <f>IF(BC$4=1,IF(INDEX('×入力'!$C$1:$L$700,21+BC$3,BC$2)&lt;&gt;"",1,0),0)</f>
        <v/>
      </c>
      <c r="BD11">
        <f>IF(BD$4=1,IF(INDEX('×入力'!$C$1:$L$700,21+BD$3,BD$2)&lt;&gt;"",1,0),0)</f>
        <v/>
      </c>
      <c r="BE11">
        <f>IF(BE$4=1,IF(INDEX('×入力'!$C$1:$L$700,21+BE$3,BE$2)&lt;&gt;"",1,0),0)</f>
        <v/>
      </c>
      <c r="BF11">
        <f>IF(BF$4=1,IF(INDEX('×入力'!$C$1:$L$700,21+BF$3,BF$2)&lt;&gt;"",1,0),0)</f>
        <v/>
      </c>
      <c r="BG11">
        <f>IF(BG$4=1,IF(INDEX('×入力'!$C$1:$L$700,21+BG$3,BG$2)&lt;&gt;"",1,0),0)</f>
        <v/>
      </c>
      <c r="BH11">
        <f>IF(BH$4=1,IF(INDEX('×入力'!$C$1:$L$700,21+BH$3,BH$2)&lt;&gt;"",1,0),0)</f>
        <v/>
      </c>
      <c r="BI11">
        <f>IF(BI$4=1,IF(INDEX('×入力'!$C$1:$L$700,21+BI$3,BI$2)&lt;&gt;"",1,0),0)</f>
        <v/>
      </c>
      <c r="BJ11">
        <f>IF(BJ$4=1,IF(INDEX('×入力'!$C$1:$L$700,21+BJ$3,BJ$2)&lt;&gt;"",1,0),0)</f>
        <v/>
      </c>
      <c r="BK11">
        <f>IF(BK$4=1,IF(INDEX('×入力'!$C$1:$L$700,21+BK$3,BK$2)&lt;&gt;"",1,0),0)</f>
        <v/>
      </c>
      <c r="BL11">
        <f>IF(BL$4=1,IF(INDEX('×入力'!$C$1:$L$700,21+BL$3,BL$2)&lt;&gt;"",1,0),0)</f>
        <v/>
      </c>
      <c r="BM11">
        <f>IF(BM$4=1,IF(INDEX('×入力'!$C$1:$L$700,21+BM$3,BM$2)&lt;&gt;"",1,0),0)</f>
        <v/>
      </c>
      <c r="BN11">
        <f>IF(BN$4=1,IF(INDEX('×入力'!$C$1:$L$700,21+BN$3,BN$2)&lt;&gt;"",1,0),0)</f>
        <v/>
      </c>
      <c r="BO11">
        <f>IF(BO$4=1,IF(INDEX('×入力'!$C$1:$L$700,21+BO$3,BO$2)&lt;&gt;"",1,0),0)</f>
        <v/>
      </c>
      <c r="BP11">
        <f>IF(BP$4=1,IF(INDEX('×入力'!$C$1:$L$700,21+BP$3,BP$2)&lt;&gt;"",1,0),0)</f>
        <v/>
      </c>
      <c r="BQ11">
        <f>IF(BQ$4=1,IF(INDEX('×入力'!$C$1:$L$700,21+BQ$3,BQ$2)&lt;&gt;"",1,0),0)</f>
        <v/>
      </c>
      <c r="BR11">
        <f>IF(BR$4=1,IF(INDEX('×入力'!$C$1:$L$700,21+BR$3,BR$2)&lt;&gt;"",1,0),0)</f>
        <v/>
      </c>
      <c r="BS11">
        <f>IF(BS$4=1,IF(INDEX('×入力'!$C$1:$L$700,21+BS$3,BS$2)&lt;&gt;"",1,0),0)</f>
        <v/>
      </c>
      <c r="BT11">
        <f>IF(BT$4=1,IF(INDEX('×入力'!$C$1:$L$700,21+BT$3,BT$2)&lt;&gt;"",1,0),0)</f>
        <v/>
      </c>
      <c r="BU11">
        <f>IF(BU$4=1,IF(INDEX('×入力'!$C$1:$L$700,21+BU$3,BU$2)&lt;&gt;"",1,0),0)</f>
        <v/>
      </c>
      <c r="BV11">
        <f>IF(BV$4=1,IF(INDEX('×入力'!$C$1:$L$700,21+BV$3,BV$2)&lt;&gt;"",1,0),0)</f>
        <v/>
      </c>
      <c r="BW11">
        <f>IF(BW$4=1,IF(INDEX('×入力'!$C$1:$L$700,21+BW$3,BW$2)&lt;&gt;"",1,0),0)</f>
        <v/>
      </c>
      <c r="BX11">
        <f>IF(BX$4=1,IF(INDEX('×入力'!$C$1:$L$700,21+BX$3,BX$2)&lt;&gt;"",1,0),0)</f>
        <v/>
      </c>
      <c r="BY11">
        <f>IF(BY$4=1,IF(INDEX('×入力'!$C$1:$L$700,21+BY$3,BY$2)&lt;&gt;"",1,0),0)</f>
        <v/>
      </c>
      <c r="BZ11">
        <f>IF(BZ$4=1,IF(INDEX('×入力'!$C$1:$L$700,21+BZ$3,BZ$2)&lt;&gt;"",1,0),0)</f>
        <v/>
      </c>
      <c r="CA11">
        <f>IF(CA$4=1,IF(INDEX('×入力'!$C$1:$L$700,21+CA$3,CA$2)&lt;&gt;"",1,0),0)</f>
        <v/>
      </c>
      <c r="CB11">
        <f>IF(CB$4=1,IF(INDEX('×入力'!$C$1:$L$700,21+CB$3,CB$2)&lt;&gt;"",1,0),0)</f>
        <v/>
      </c>
      <c r="CC11">
        <f>IF(CC$4=1,IF(INDEX('×入力'!$C$1:$L$700,21+CC$3,CC$2)&lt;&gt;"",1,0),0)</f>
        <v/>
      </c>
      <c r="CD11">
        <f>IF(CD$4=1,IF(INDEX('×入力'!$C$1:$L$700,21+CD$3,CD$2)&lt;&gt;"",1,0),0)</f>
        <v/>
      </c>
      <c r="CE11">
        <f>IF(CE$4=1,IF(INDEX('×入力'!$C$1:$L$700,21+CE$3,CE$2)&lt;&gt;"",1,0),0)</f>
        <v/>
      </c>
      <c r="CF11">
        <f>IF(CF$4=1,IF(INDEX('×入力'!$C$1:$L$700,21+CF$3,CF$2)&lt;&gt;"",1,0),0)</f>
        <v/>
      </c>
      <c r="CG11">
        <f>IF(CG$4=1,IF(INDEX('×入力'!$C$1:$L$700,21+CG$3,CG$2)&lt;&gt;"",1,0),0)</f>
        <v/>
      </c>
      <c r="CH11">
        <f>IF(CH$4=1,IF(INDEX('×入力'!$C$1:$L$700,21+CH$3,CH$2)&lt;&gt;"",1,0),0)</f>
        <v/>
      </c>
      <c r="CI11">
        <f>IF(CI$4=1,IF(INDEX('×入力'!$C$1:$L$700,21+CI$3,CI$2)&lt;&gt;"",1,0),0)</f>
        <v/>
      </c>
      <c r="CJ11">
        <f>IF(CJ$4=1,IF(INDEX('×入力'!$C$1:$L$700,21+CJ$3,CJ$2)&lt;&gt;"",1,0),0)</f>
        <v/>
      </c>
      <c r="CK11">
        <f>IF(CK$4=1,IF(INDEX('×入力'!$C$1:$L$700,21+CK$3,CK$2)&lt;&gt;"",1,0),0)</f>
        <v/>
      </c>
      <c r="CL11">
        <f>IF(CL$4=1,IF(INDEX('×入力'!$C$1:$L$700,21+CL$3,CL$2)&lt;&gt;"",1,0),0)</f>
        <v/>
      </c>
      <c r="CM11">
        <f>IF(CM$4=1,IF(INDEX('×入力'!$C$1:$L$700,21+CM$3,CM$2)&lt;&gt;"",1,0),0)</f>
        <v/>
      </c>
      <c r="CN11">
        <f>IF(CN$4=1,IF(INDEX('×入力'!$C$1:$L$700,21+CN$3,CN$2)&lt;&gt;"",1,0),0)</f>
        <v/>
      </c>
      <c r="CO11">
        <f>IF(CO$4=1,IF(INDEX('×入力'!$C$1:$L$700,21+CO$3,CO$2)&lt;&gt;"",1,0),0)</f>
        <v/>
      </c>
      <c r="CP11">
        <f>IF(CP$4=1,IF(INDEX('×入力'!$C$1:$L$700,21+CP$3,CP$2)&lt;&gt;"",1,0),0)</f>
        <v/>
      </c>
      <c r="CQ11">
        <f>IF(CQ$4=1,IF(INDEX('×入力'!$C$1:$L$700,21+CQ$3,CQ$2)&lt;&gt;"",1,0),0)</f>
        <v/>
      </c>
      <c r="CR11">
        <f>IF(CR$4=1,IF(INDEX('×入力'!$C$1:$L$700,21+CR$3,CR$2)&lt;&gt;"",1,0),0)</f>
        <v/>
      </c>
      <c r="CS11">
        <f>IF(CS$4=1,IF(INDEX('×入力'!$C$1:$L$700,21+CS$3,CS$2)&lt;&gt;"",1,0),0)</f>
        <v/>
      </c>
      <c r="CT11">
        <f>IF(CT$4=1,IF(INDEX('×入力'!$C$1:$L$700,21+CT$3,CT$2)&lt;&gt;"",1,0),0)</f>
        <v/>
      </c>
      <c r="CU11">
        <f>IF(CU$4=1,IF(INDEX('×入力'!$C$1:$L$700,21+CU$3,CU$2)&lt;&gt;"",1,0),0)</f>
        <v/>
      </c>
      <c r="CV11">
        <f>IF(CV$4=1,IF(INDEX('×入力'!$C$1:$L$700,21+CV$3,CV$2)&lt;&gt;"",1,0),0)</f>
        <v/>
      </c>
      <c r="CW11">
        <f>IF(CW$4=1,IF(INDEX('×入力'!$C$1:$L$700,21+CW$3,CW$2)&lt;&gt;"",1,0),0)</f>
        <v/>
      </c>
      <c r="CX11">
        <f>IF(CX$4=1,IF(INDEX('×入力'!$C$1:$L$700,21+CX$3,CX$2)&lt;&gt;"",1,0),0)</f>
        <v/>
      </c>
      <c r="CY11">
        <f>IF(CY$4=1,IF(INDEX('×入力'!$C$1:$L$700,21+CY$3,CY$2)&lt;&gt;"",1,0),0)</f>
        <v/>
      </c>
      <c r="CZ11">
        <f>IF(CZ$4=1,IF(INDEX('×入力'!$C$1:$L$700,21+CZ$3,CZ$2)&lt;&gt;"",1,0),0)</f>
        <v/>
      </c>
      <c r="DA11">
        <f>IF(DA$4=1,IF(INDEX('×入力'!$C$1:$L$700,21+DA$3,DA$2)&lt;&gt;"",1,0),0)</f>
        <v/>
      </c>
      <c r="DB11">
        <f>IF(DB$4=1,IF(INDEX('×入力'!$C$1:$L$700,21+DB$3,DB$2)&lt;&gt;"",1,0),0)</f>
        <v/>
      </c>
      <c r="DC11">
        <f>IF(DC$4=1,IF(INDEX('×入力'!$C$1:$L$700,21+DC$3,DC$2)&lt;&gt;"",1,0),0)</f>
        <v/>
      </c>
      <c r="DD11">
        <f>IF(DD$4=1,IF(INDEX('×入力'!$C$1:$L$700,21+DD$3,DD$2)&lt;&gt;"",1,0),0)</f>
        <v/>
      </c>
      <c r="DE11">
        <f>IF(DE$4=1,IF(INDEX('×入力'!$C$1:$L$700,21+DE$3,DE$2)&lt;&gt;"",1,0),0)</f>
        <v/>
      </c>
      <c r="DF11">
        <f>IF(DF$4=1,IF(INDEX('×入力'!$C$1:$L$700,21+DF$3,DF$2)&lt;&gt;"",1,0),0)</f>
        <v/>
      </c>
      <c r="DG11">
        <f>IF(DG$4=1,IF(INDEX('×入力'!$C$1:$L$700,21+DG$3,DG$2)&lt;&gt;"",1,0),0)</f>
        <v/>
      </c>
      <c r="DH11">
        <f>IF(DH$4=1,IF(INDEX('×入力'!$C$1:$L$700,21+DH$3,DH$2)&lt;&gt;"",1,0),0)</f>
        <v/>
      </c>
      <c r="DI11">
        <f>IF(DI$4=1,IF(INDEX('×入力'!$C$1:$L$700,21+DI$3,DI$2)&lt;&gt;"",1,0),0)</f>
        <v/>
      </c>
      <c r="DJ11">
        <f>IF(DJ$4=1,IF(INDEX('×入力'!$C$1:$L$700,21+DJ$3,DJ$2)&lt;&gt;"",1,0),0)</f>
        <v/>
      </c>
      <c r="DK11">
        <f>IF(DK$4=1,IF(INDEX('×入力'!$C$1:$L$700,21+DK$3,DK$2)&lt;&gt;"",1,0),0)</f>
        <v/>
      </c>
      <c r="DL11">
        <f>IF(DL$4=1,IF(INDEX('×入力'!$C$1:$L$700,21+DL$3,DL$2)&lt;&gt;"",1,0),0)</f>
        <v/>
      </c>
      <c r="DM11">
        <f>IF(DM$4=1,IF(INDEX('×入力'!$C$1:$L$700,21+DM$3,DM$2)&lt;&gt;"",1,0),0)</f>
        <v/>
      </c>
      <c r="DN11">
        <f>IF(DN$4=1,IF(INDEX('×入力'!$C$1:$L$700,21+DN$3,DN$2)&lt;&gt;"",1,0),0)</f>
        <v/>
      </c>
      <c r="DO11">
        <f>IF(DO$4=1,IF(INDEX('×入力'!$C$1:$L$700,21+DO$3,DO$2)&lt;&gt;"",1,0),0)</f>
        <v/>
      </c>
      <c r="DP11">
        <f>IF(DP$4=1,IF(INDEX('×入力'!$C$1:$L$700,21+DP$3,DP$2)&lt;&gt;"",1,0),0)</f>
        <v/>
      </c>
      <c r="DQ11">
        <f>IF(DQ$4=1,IF(INDEX('×入力'!$C$1:$L$700,21+DQ$3,DQ$2)&lt;&gt;"",1,0),0)</f>
        <v/>
      </c>
      <c r="DR11">
        <f>IF(DR$4=1,IF(INDEX('×入力'!$C$1:$L$700,21+DR$3,DR$2)&lt;&gt;"",1,0),0)</f>
        <v/>
      </c>
      <c r="DS11">
        <f>IF(DS$4=1,IF(INDEX('×入力'!$C$1:$L$700,21+DS$3,DS$2)&lt;&gt;"",1,0),0)</f>
        <v/>
      </c>
      <c r="DU11">
        <f>IFERROR(INDEX('計算B'!$C$3:$C$47,MATCH(A11,'計算B'!$B$3:$B$47,0)),0)</f>
        <v/>
      </c>
      <c r="DV11">
        <f>IF(AND(C11=1,DU11=0),1,0)</f>
        <v/>
      </c>
      <c r="DW11">
        <f>SUMPRODUCT(D61:DS61*(1-$D$7:$DS$7))</f>
        <v/>
      </c>
      <c r="DX11">
        <f>SUM(D11:DS11)</f>
        <v/>
      </c>
      <c r="DY11">
        <f>IF(B11="",0,IF(COUNTIF('割り当て'!$C$6:$L$17,B11)=1,SUMPRODUCT(('割り当て'!$C$6:$L$17=B11)*((COLUMN('割り当て'!$C$6:$L$17)-3)*12+ROW('割り当て'!$C$6:$L$17)-5)),0))</f>
        <v/>
      </c>
      <c r="DZ11">
        <f>IFERROR(MATCH('名簿'!E6,{"早い時刻","遅い時刻","早い日","遅い日"},0),0)</f>
        <v/>
      </c>
      <c r="EA11">
        <f>IF('名簿'!F6="必ず空けたい",2,IF('名簿'!F6="出来れば空けたい",1,0))</f>
        <v/>
      </c>
    </row>
    <row r="12">
      <c r="A12" t="n">
        <v>3</v>
      </c>
      <c r="B12">
        <f>'名簿'!G7</f>
        <v/>
      </c>
      <c r="C12">
        <f>IF(AND(B12&lt;&gt;"",OR('名簿'!H7="入力済み",'名簿'!H7="×なし"),DY12=0,COUNTIF('割り当て'!$C$6:$L$17,B12)=0),1,0)</f>
        <v/>
      </c>
      <c r="D12">
        <f>IF(D$4=1,IF(INDEX('×入力'!$C$1:$L$700,36+D$3,D$2)&lt;&gt;"",1,0),0)</f>
        <v/>
      </c>
      <c r="E12">
        <f>IF(E$4=1,IF(INDEX('×入力'!$C$1:$L$700,36+E$3,E$2)&lt;&gt;"",1,0),0)</f>
        <v/>
      </c>
      <c r="F12">
        <f>IF(F$4=1,IF(INDEX('×入力'!$C$1:$L$700,36+F$3,F$2)&lt;&gt;"",1,0),0)</f>
        <v/>
      </c>
      <c r="G12">
        <f>IF(G$4=1,IF(INDEX('×入力'!$C$1:$L$700,36+G$3,G$2)&lt;&gt;"",1,0),0)</f>
        <v/>
      </c>
      <c r="H12">
        <f>IF(H$4=1,IF(INDEX('×入力'!$C$1:$L$700,36+H$3,H$2)&lt;&gt;"",1,0),0)</f>
        <v/>
      </c>
      <c r="I12">
        <f>IF(I$4=1,IF(INDEX('×入力'!$C$1:$L$700,36+I$3,I$2)&lt;&gt;"",1,0),0)</f>
        <v/>
      </c>
      <c r="J12">
        <f>IF(J$4=1,IF(INDEX('×入力'!$C$1:$L$700,36+J$3,J$2)&lt;&gt;"",1,0),0)</f>
        <v/>
      </c>
      <c r="K12">
        <f>IF(K$4=1,IF(INDEX('×入力'!$C$1:$L$700,36+K$3,K$2)&lt;&gt;"",1,0),0)</f>
        <v/>
      </c>
      <c r="L12">
        <f>IF(L$4=1,IF(INDEX('×入力'!$C$1:$L$700,36+L$3,L$2)&lt;&gt;"",1,0),0)</f>
        <v/>
      </c>
      <c r="M12">
        <f>IF(M$4=1,IF(INDEX('×入力'!$C$1:$L$700,36+M$3,M$2)&lt;&gt;"",1,0),0)</f>
        <v/>
      </c>
      <c r="N12">
        <f>IF(N$4=1,IF(INDEX('×入力'!$C$1:$L$700,36+N$3,N$2)&lt;&gt;"",1,0),0)</f>
        <v/>
      </c>
      <c r="O12">
        <f>IF(O$4=1,IF(INDEX('×入力'!$C$1:$L$700,36+O$3,O$2)&lt;&gt;"",1,0),0)</f>
        <v/>
      </c>
      <c r="P12">
        <f>IF(P$4=1,IF(INDEX('×入力'!$C$1:$L$700,36+P$3,P$2)&lt;&gt;"",1,0),0)</f>
        <v/>
      </c>
      <c r="Q12">
        <f>IF(Q$4=1,IF(INDEX('×入力'!$C$1:$L$700,36+Q$3,Q$2)&lt;&gt;"",1,0),0)</f>
        <v/>
      </c>
      <c r="R12">
        <f>IF(R$4=1,IF(INDEX('×入力'!$C$1:$L$700,36+R$3,R$2)&lt;&gt;"",1,0),0)</f>
        <v/>
      </c>
      <c r="S12">
        <f>IF(S$4=1,IF(INDEX('×入力'!$C$1:$L$700,36+S$3,S$2)&lt;&gt;"",1,0),0)</f>
        <v/>
      </c>
      <c r="T12">
        <f>IF(T$4=1,IF(INDEX('×入力'!$C$1:$L$700,36+T$3,T$2)&lt;&gt;"",1,0),0)</f>
        <v/>
      </c>
      <c r="U12">
        <f>IF(U$4=1,IF(INDEX('×入力'!$C$1:$L$700,36+U$3,U$2)&lt;&gt;"",1,0),0)</f>
        <v/>
      </c>
      <c r="V12">
        <f>IF(V$4=1,IF(INDEX('×入力'!$C$1:$L$700,36+V$3,V$2)&lt;&gt;"",1,0),0)</f>
        <v/>
      </c>
      <c r="W12">
        <f>IF(W$4=1,IF(INDEX('×入力'!$C$1:$L$700,36+W$3,W$2)&lt;&gt;"",1,0),0)</f>
        <v/>
      </c>
      <c r="X12">
        <f>IF(X$4=1,IF(INDEX('×入力'!$C$1:$L$700,36+X$3,X$2)&lt;&gt;"",1,0),0)</f>
        <v/>
      </c>
      <c r="Y12">
        <f>IF(Y$4=1,IF(INDEX('×入力'!$C$1:$L$700,36+Y$3,Y$2)&lt;&gt;"",1,0),0)</f>
        <v/>
      </c>
      <c r="Z12">
        <f>IF(Z$4=1,IF(INDEX('×入力'!$C$1:$L$700,36+Z$3,Z$2)&lt;&gt;"",1,0),0)</f>
        <v/>
      </c>
      <c r="AA12">
        <f>IF(AA$4=1,IF(INDEX('×入力'!$C$1:$L$700,36+AA$3,AA$2)&lt;&gt;"",1,0),0)</f>
        <v/>
      </c>
      <c r="AB12">
        <f>IF(AB$4=1,IF(INDEX('×入力'!$C$1:$L$700,36+AB$3,AB$2)&lt;&gt;"",1,0),0)</f>
        <v/>
      </c>
      <c r="AC12">
        <f>IF(AC$4=1,IF(INDEX('×入力'!$C$1:$L$700,36+AC$3,AC$2)&lt;&gt;"",1,0),0)</f>
        <v/>
      </c>
      <c r="AD12">
        <f>IF(AD$4=1,IF(INDEX('×入力'!$C$1:$L$700,36+AD$3,AD$2)&lt;&gt;"",1,0),0)</f>
        <v/>
      </c>
      <c r="AE12">
        <f>IF(AE$4=1,IF(INDEX('×入力'!$C$1:$L$700,36+AE$3,AE$2)&lt;&gt;"",1,0),0)</f>
        <v/>
      </c>
      <c r="AF12">
        <f>IF(AF$4=1,IF(INDEX('×入力'!$C$1:$L$700,36+AF$3,AF$2)&lt;&gt;"",1,0),0)</f>
        <v/>
      </c>
      <c r="AG12">
        <f>IF(AG$4=1,IF(INDEX('×入力'!$C$1:$L$700,36+AG$3,AG$2)&lt;&gt;"",1,0),0)</f>
        <v/>
      </c>
      <c r="AH12">
        <f>IF(AH$4=1,IF(INDEX('×入力'!$C$1:$L$700,36+AH$3,AH$2)&lt;&gt;"",1,0),0)</f>
        <v/>
      </c>
      <c r="AI12">
        <f>IF(AI$4=1,IF(INDEX('×入力'!$C$1:$L$700,36+AI$3,AI$2)&lt;&gt;"",1,0),0)</f>
        <v/>
      </c>
      <c r="AJ12">
        <f>IF(AJ$4=1,IF(INDEX('×入力'!$C$1:$L$700,36+AJ$3,AJ$2)&lt;&gt;"",1,0),0)</f>
        <v/>
      </c>
      <c r="AK12">
        <f>IF(AK$4=1,IF(INDEX('×入力'!$C$1:$L$700,36+AK$3,AK$2)&lt;&gt;"",1,0),0)</f>
        <v/>
      </c>
      <c r="AL12">
        <f>IF(AL$4=1,IF(INDEX('×入力'!$C$1:$L$700,36+AL$3,AL$2)&lt;&gt;"",1,0),0)</f>
        <v/>
      </c>
      <c r="AM12">
        <f>IF(AM$4=1,IF(INDEX('×入力'!$C$1:$L$700,36+AM$3,AM$2)&lt;&gt;"",1,0),0)</f>
        <v/>
      </c>
      <c r="AN12">
        <f>IF(AN$4=1,IF(INDEX('×入力'!$C$1:$L$700,36+AN$3,AN$2)&lt;&gt;"",1,0),0)</f>
        <v/>
      </c>
      <c r="AO12">
        <f>IF(AO$4=1,IF(INDEX('×入力'!$C$1:$L$700,36+AO$3,AO$2)&lt;&gt;"",1,0),0)</f>
        <v/>
      </c>
      <c r="AP12">
        <f>IF(AP$4=1,IF(INDEX('×入力'!$C$1:$L$700,36+AP$3,AP$2)&lt;&gt;"",1,0),0)</f>
        <v/>
      </c>
      <c r="AQ12">
        <f>IF(AQ$4=1,IF(INDEX('×入力'!$C$1:$L$700,36+AQ$3,AQ$2)&lt;&gt;"",1,0),0)</f>
        <v/>
      </c>
      <c r="AR12">
        <f>IF(AR$4=1,IF(INDEX('×入力'!$C$1:$L$700,36+AR$3,AR$2)&lt;&gt;"",1,0),0)</f>
        <v/>
      </c>
      <c r="AS12">
        <f>IF(AS$4=1,IF(INDEX('×入力'!$C$1:$L$700,36+AS$3,AS$2)&lt;&gt;"",1,0),0)</f>
        <v/>
      </c>
      <c r="AT12">
        <f>IF(AT$4=1,IF(INDEX('×入力'!$C$1:$L$700,36+AT$3,AT$2)&lt;&gt;"",1,0),0)</f>
        <v/>
      </c>
      <c r="AU12">
        <f>IF(AU$4=1,IF(INDEX('×入力'!$C$1:$L$700,36+AU$3,AU$2)&lt;&gt;"",1,0),0)</f>
        <v/>
      </c>
      <c r="AV12">
        <f>IF(AV$4=1,IF(INDEX('×入力'!$C$1:$L$700,36+AV$3,AV$2)&lt;&gt;"",1,0),0)</f>
        <v/>
      </c>
      <c r="AW12">
        <f>IF(AW$4=1,IF(INDEX('×入力'!$C$1:$L$700,36+AW$3,AW$2)&lt;&gt;"",1,0),0)</f>
        <v/>
      </c>
      <c r="AX12">
        <f>IF(AX$4=1,IF(INDEX('×入力'!$C$1:$L$700,36+AX$3,AX$2)&lt;&gt;"",1,0),0)</f>
        <v/>
      </c>
      <c r="AY12">
        <f>IF(AY$4=1,IF(INDEX('×入力'!$C$1:$L$700,36+AY$3,AY$2)&lt;&gt;"",1,0),0)</f>
        <v/>
      </c>
      <c r="AZ12">
        <f>IF(AZ$4=1,IF(INDEX('×入力'!$C$1:$L$700,36+AZ$3,AZ$2)&lt;&gt;"",1,0),0)</f>
        <v/>
      </c>
      <c r="BA12">
        <f>IF(BA$4=1,IF(INDEX('×入力'!$C$1:$L$700,36+BA$3,BA$2)&lt;&gt;"",1,0),0)</f>
        <v/>
      </c>
      <c r="BB12">
        <f>IF(BB$4=1,IF(INDEX('×入力'!$C$1:$L$700,36+BB$3,BB$2)&lt;&gt;"",1,0),0)</f>
        <v/>
      </c>
      <c r="BC12">
        <f>IF(BC$4=1,IF(INDEX('×入力'!$C$1:$L$700,36+BC$3,BC$2)&lt;&gt;"",1,0),0)</f>
        <v/>
      </c>
      <c r="BD12">
        <f>IF(BD$4=1,IF(INDEX('×入力'!$C$1:$L$700,36+BD$3,BD$2)&lt;&gt;"",1,0),0)</f>
        <v/>
      </c>
      <c r="BE12">
        <f>IF(BE$4=1,IF(INDEX('×入力'!$C$1:$L$700,36+BE$3,BE$2)&lt;&gt;"",1,0),0)</f>
        <v/>
      </c>
      <c r="BF12">
        <f>IF(BF$4=1,IF(INDEX('×入力'!$C$1:$L$700,36+BF$3,BF$2)&lt;&gt;"",1,0),0)</f>
        <v/>
      </c>
      <c r="BG12">
        <f>IF(BG$4=1,IF(INDEX('×入力'!$C$1:$L$700,36+BG$3,BG$2)&lt;&gt;"",1,0),0)</f>
        <v/>
      </c>
      <c r="BH12">
        <f>IF(BH$4=1,IF(INDEX('×入力'!$C$1:$L$700,36+BH$3,BH$2)&lt;&gt;"",1,0),0)</f>
        <v/>
      </c>
      <c r="BI12">
        <f>IF(BI$4=1,IF(INDEX('×入力'!$C$1:$L$700,36+BI$3,BI$2)&lt;&gt;"",1,0),0)</f>
        <v/>
      </c>
      <c r="BJ12">
        <f>IF(BJ$4=1,IF(INDEX('×入力'!$C$1:$L$700,36+BJ$3,BJ$2)&lt;&gt;"",1,0),0)</f>
        <v/>
      </c>
      <c r="BK12">
        <f>IF(BK$4=1,IF(INDEX('×入力'!$C$1:$L$700,36+BK$3,BK$2)&lt;&gt;"",1,0),0)</f>
        <v/>
      </c>
      <c r="BL12">
        <f>IF(BL$4=1,IF(INDEX('×入力'!$C$1:$L$700,36+BL$3,BL$2)&lt;&gt;"",1,0),0)</f>
        <v/>
      </c>
      <c r="BM12">
        <f>IF(BM$4=1,IF(INDEX('×入力'!$C$1:$L$700,36+BM$3,BM$2)&lt;&gt;"",1,0),0)</f>
        <v/>
      </c>
      <c r="BN12">
        <f>IF(BN$4=1,IF(INDEX('×入力'!$C$1:$L$700,36+BN$3,BN$2)&lt;&gt;"",1,0),0)</f>
        <v/>
      </c>
      <c r="BO12">
        <f>IF(BO$4=1,IF(INDEX('×入力'!$C$1:$L$700,36+BO$3,BO$2)&lt;&gt;"",1,0),0)</f>
        <v/>
      </c>
      <c r="BP12">
        <f>IF(BP$4=1,IF(INDEX('×入力'!$C$1:$L$700,36+BP$3,BP$2)&lt;&gt;"",1,0),0)</f>
        <v/>
      </c>
      <c r="BQ12">
        <f>IF(BQ$4=1,IF(INDEX('×入力'!$C$1:$L$700,36+BQ$3,BQ$2)&lt;&gt;"",1,0),0)</f>
        <v/>
      </c>
      <c r="BR12">
        <f>IF(BR$4=1,IF(INDEX('×入力'!$C$1:$L$700,36+BR$3,BR$2)&lt;&gt;"",1,0),0)</f>
        <v/>
      </c>
      <c r="BS12">
        <f>IF(BS$4=1,IF(INDEX('×入力'!$C$1:$L$700,36+BS$3,BS$2)&lt;&gt;"",1,0),0)</f>
        <v/>
      </c>
      <c r="BT12">
        <f>IF(BT$4=1,IF(INDEX('×入力'!$C$1:$L$700,36+BT$3,BT$2)&lt;&gt;"",1,0),0)</f>
        <v/>
      </c>
      <c r="BU12">
        <f>IF(BU$4=1,IF(INDEX('×入力'!$C$1:$L$700,36+BU$3,BU$2)&lt;&gt;"",1,0),0)</f>
        <v/>
      </c>
      <c r="BV12">
        <f>IF(BV$4=1,IF(INDEX('×入力'!$C$1:$L$700,36+BV$3,BV$2)&lt;&gt;"",1,0),0)</f>
        <v/>
      </c>
      <c r="BW12">
        <f>IF(BW$4=1,IF(INDEX('×入力'!$C$1:$L$700,36+BW$3,BW$2)&lt;&gt;"",1,0),0)</f>
        <v/>
      </c>
      <c r="BX12">
        <f>IF(BX$4=1,IF(INDEX('×入力'!$C$1:$L$700,36+BX$3,BX$2)&lt;&gt;"",1,0),0)</f>
        <v/>
      </c>
      <c r="BY12">
        <f>IF(BY$4=1,IF(INDEX('×入力'!$C$1:$L$700,36+BY$3,BY$2)&lt;&gt;"",1,0),0)</f>
        <v/>
      </c>
      <c r="BZ12">
        <f>IF(BZ$4=1,IF(INDEX('×入力'!$C$1:$L$700,36+BZ$3,BZ$2)&lt;&gt;"",1,0),0)</f>
        <v/>
      </c>
      <c r="CA12">
        <f>IF(CA$4=1,IF(INDEX('×入力'!$C$1:$L$700,36+CA$3,CA$2)&lt;&gt;"",1,0),0)</f>
        <v/>
      </c>
      <c r="CB12">
        <f>IF(CB$4=1,IF(INDEX('×入力'!$C$1:$L$700,36+CB$3,CB$2)&lt;&gt;"",1,0),0)</f>
        <v/>
      </c>
      <c r="CC12">
        <f>IF(CC$4=1,IF(INDEX('×入力'!$C$1:$L$700,36+CC$3,CC$2)&lt;&gt;"",1,0),0)</f>
        <v/>
      </c>
      <c r="CD12">
        <f>IF(CD$4=1,IF(INDEX('×入力'!$C$1:$L$700,36+CD$3,CD$2)&lt;&gt;"",1,0),0)</f>
        <v/>
      </c>
      <c r="CE12">
        <f>IF(CE$4=1,IF(INDEX('×入力'!$C$1:$L$700,36+CE$3,CE$2)&lt;&gt;"",1,0),0)</f>
        <v/>
      </c>
      <c r="CF12">
        <f>IF(CF$4=1,IF(INDEX('×入力'!$C$1:$L$700,36+CF$3,CF$2)&lt;&gt;"",1,0),0)</f>
        <v/>
      </c>
      <c r="CG12">
        <f>IF(CG$4=1,IF(INDEX('×入力'!$C$1:$L$700,36+CG$3,CG$2)&lt;&gt;"",1,0),0)</f>
        <v/>
      </c>
      <c r="CH12">
        <f>IF(CH$4=1,IF(INDEX('×入力'!$C$1:$L$700,36+CH$3,CH$2)&lt;&gt;"",1,0),0)</f>
        <v/>
      </c>
      <c r="CI12">
        <f>IF(CI$4=1,IF(INDEX('×入力'!$C$1:$L$700,36+CI$3,CI$2)&lt;&gt;"",1,0),0)</f>
        <v/>
      </c>
      <c r="CJ12">
        <f>IF(CJ$4=1,IF(INDEX('×入力'!$C$1:$L$700,36+CJ$3,CJ$2)&lt;&gt;"",1,0),0)</f>
        <v/>
      </c>
      <c r="CK12">
        <f>IF(CK$4=1,IF(INDEX('×入力'!$C$1:$L$700,36+CK$3,CK$2)&lt;&gt;"",1,0),0)</f>
        <v/>
      </c>
      <c r="CL12">
        <f>IF(CL$4=1,IF(INDEX('×入力'!$C$1:$L$700,36+CL$3,CL$2)&lt;&gt;"",1,0),0)</f>
        <v/>
      </c>
      <c r="CM12">
        <f>IF(CM$4=1,IF(INDEX('×入力'!$C$1:$L$700,36+CM$3,CM$2)&lt;&gt;"",1,0),0)</f>
        <v/>
      </c>
      <c r="CN12">
        <f>IF(CN$4=1,IF(INDEX('×入力'!$C$1:$L$700,36+CN$3,CN$2)&lt;&gt;"",1,0),0)</f>
        <v/>
      </c>
      <c r="CO12">
        <f>IF(CO$4=1,IF(INDEX('×入力'!$C$1:$L$700,36+CO$3,CO$2)&lt;&gt;"",1,0),0)</f>
        <v/>
      </c>
      <c r="CP12">
        <f>IF(CP$4=1,IF(INDEX('×入力'!$C$1:$L$700,36+CP$3,CP$2)&lt;&gt;"",1,0),0)</f>
        <v/>
      </c>
      <c r="CQ12">
        <f>IF(CQ$4=1,IF(INDEX('×入力'!$C$1:$L$700,36+CQ$3,CQ$2)&lt;&gt;"",1,0),0)</f>
        <v/>
      </c>
      <c r="CR12">
        <f>IF(CR$4=1,IF(INDEX('×入力'!$C$1:$L$700,36+CR$3,CR$2)&lt;&gt;"",1,0),0)</f>
        <v/>
      </c>
      <c r="CS12">
        <f>IF(CS$4=1,IF(INDEX('×入力'!$C$1:$L$700,36+CS$3,CS$2)&lt;&gt;"",1,0),0)</f>
        <v/>
      </c>
      <c r="CT12">
        <f>IF(CT$4=1,IF(INDEX('×入力'!$C$1:$L$700,36+CT$3,CT$2)&lt;&gt;"",1,0),0)</f>
        <v/>
      </c>
      <c r="CU12">
        <f>IF(CU$4=1,IF(INDEX('×入力'!$C$1:$L$700,36+CU$3,CU$2)&lt;&gt;"",1,0),0)</f>
        <v/>
      </c>
      <c r="CV12">
        <f>IF(CV$4=1,IF(INDEX('×入力'!$C$1:$L$700,36+CV$3,CV$2)&lt;&gt;"",1,0),0)</f>
        <v/>
      </c>
      <c r="CW12">
        <f>IF(CW$4=1,IF(INDEX('×入力'!$C$1:$L$700,36+CW$3,CW$2)&lt;&gt;"",1,0),0)</f>
        <v/>
      </c>
      <c r="CX12">
        <f>IF(CX$4=1,IF(INDEX('×入力'!$C$1:$L$700,36+CX$3,CX$2)&lt;&gt;"",1,0),0)</f>
        <v/>
      </c>
      <c r="CY12">
        <f>IF(CY$4=1,IF(INDEX('×入力'!$C$1:$L$700,36+CY$3,CY$2)&lt;&gt;"",1,0),0)</f>
        <v/>
      </c>
      <c r="CZ12">
        <f>IF(CZ$4=1,IF(INDEX('×入力'!$C$1:$L$700,36+CZ$3,CZ$2)&lt;&gt;"",1,0),0)</f>
        <v/>
      </c>
      <c r="DA12">
        <f>IF(DA$4=1,IF(INDEX('×入力'!$C$1:$L$700,36+DA$3,DA$2)&lt;&gt;"",1,0),0)</f>
        <v/>
      </c>
      <c r="DB12">
        <f>IF(DB$4=1,IF(INDEX('×入力'!$C$1:$L$700,36+DB$3,DB$2)&lt;&gt;"",1,0),0)</f>
        <v/>
      </c>
      <c r="DC12">
        <f>IF(DC$4=1,IF(INDEX('×入力'!$C$1:$L$700,36+DC$3,DC$2)&lt;&gt;"",1,0),0)</f>
        <v/>
      </c>
      <c r="DD12">
        <f>IF(DD$4=1,IF(INDEX('×入力'!$C$1:$L$700,36+DD$3,DD$2)&lt;&gt;"",1,0),0)</f>
        <v/>
      </c>
      <c r="DE12">
        <f>IF(DE$4=1,IF(INDEX('×入力'!$C$1:$L$700,36+DE$3,DE$2)&lt;&gt;"",1,0),0)</f>
        <v/>
      </c>
      <c r="DF12">
        <f>IF(DF$4=1,IF(INDEX('×入力'!$C$1:$L$700,36+DF$3,DF$2)&lt;&gt;"",1,0),0)</f>
        <v/>
      </c>
      <c r="DG12">
        <f>IF(DG$4=1,IF(INDEX('×入力'!$C$1:$L$700,36+DG$3,DG$2)&lt;&gt;"",1,0),0)</f>
        <v/>
      </c>
      <c r="DH12">
        <f>IF(DH$4=1,IF(INDEX('×入力'!$C$1:$L$700,36+DH$3,DH$2)&lt;&gt;"",1,0),0)</f>
        <v/>
      </c>
      <c r="DI12">
        <f>IF(DI$4=1,IF(INDEX('×入力'!$C$1:$L$700,36+DI$3,DI$2)&lt;&gt;"",1,0),0)</f>
        <v/>
      </c>
      <c r="DJ12">
        <f>IF(DJ$4=1,IF(INDEX('×入力'!$C$1:$L$700,36+DJ$3,DJ$2)&lt;&gt;"",1,0),0)</f>
        <v/>
      </c>
      <c r="DK12">
        <f>IF(DK$4=1,IF(INDEX('×入力'!$C$1:$L$700,36+DK$3,DK$2)&lt;&gt;"",1,0),0)</f>
        <v/>
      </c>
      <c r="DL12">
        <f>IF(DL$4=1,IF(INDEX('×入力'!$C$1:$L$700,36+DL$3,DL$2)&lt;&gt;"",1,0),0)</f>
        <v/>
      </c>
      <c r="DM12">
        <f>IF(DM$4=1,IF(INDEX('×入力'!$C$1:$L$700,36+DM$3,DM$2)&lt;&gt;"",1,0),0)</f>
        <v/>
      </c>
      <c r="DN12">
        <f>IF(DN$4=1,IF(INDEX('×入力'!$C$1:$L$700,36+DN$3,DN$2)&lt;&gt;"",1,0),0)</f>
        <v/>
      </c>
      <c r="DO12">
        <f>IF(DO$4=1,IF(INDEX('×入力'!$C$1:$L$700,36+DO$3,DO$2)&lt;&gt;"",1,0),0)</f>
        <v/>
      </c>
      <c r="DP12">
        <f>IF(DP$4=1,IF(INDEX('×入力'!$C$1:$L$700,36+DP$3,DP$2)&lt;&gt;"",1,0),0)</f>
        <v/>
      </c>
      <c r="DQ12">
        <f>IF(DQ$4=1,IF(INDEX('×入力'!$C$1:$L$700,36+DQ$3,DQ$2)&lt;&gt;"",1,0),0)</f>
        <v/>
      </c>
      <c r="DR12">
        <f>IF(DR$4=1,IF(INDEX('×入力'!$C$1:$L$700,36+DR$3,DR$2)&lt;&gt;"",1,0),0)</f>
        <v/>
      </c>
      <c r="DS12">
        <f>IF(DS$4=1,IF(INDEX('×入力'!$C$1:$L$700,36+DS$3,DS$2)&lt;&gt;"",1,0),0)</f>
        <v/>
      </c>
      <c r="DU12">
        <f>IFERROR(INDEX('計算B'!$C$3:$C$47,MATCH(A12,'計算B'!$B$3:$B$47,0)),0)</f>
        <v/>
      </c>
      <c r="DV12">
        <f>IF(AND(C12=1,DU12=0),1,0)</f>
        <v/>
      </c>
      <c r="DW12">
        <f>SUMPRODUCT(D62:DS62*(1-$D$7:$DS$7))</f>
        <v/>
      </c>
      <c r="DX12">
        <f>SUM(D12:DS12)</f>
        <v/>
      </c>
      <c r="DY12">
        <f>IF(B12="",0,IF(COUNTIF('割り当て'!$C$6:$L$17,B12)=1,SUMPRODUCT(('割り当て'!$C$6:$L$17=B12)*((COLUMN('割り当て'!$C$6:$L$17)-3)*12+ROW('割り当て'!$C$6:$L$17)-5)),0))</f>
        <v/>
      </c>
      <c r="DZ12">
        <f>IFERROR(MATCH('名簿'!E7,{"早い時刻","遅い時刻","早い日","遅い日"},0),0)</f>
        <v/>
      </c>
      <c r="EA12">
        <f>IF('名簿'!F7="必ず空けたい",2,IF('名簿'!F7="出来れば空けたい",1,0))</f>
        <v/>
      </c>
    </row>
    <row r="13">
      <c r="A13" t="n">
        <v>4</v>
      </c>
      <c r="B13">
        <f>'名簿'!G8</f>
        <v/>
      </c>
      <c r="C13">
        <f>IF(AND(B13&lt;&gt;"",OR('名簿'!H8="入力済み",'名簿'!H8="×なし"),DY13=0,COUNTIF('割り当て'!$C$6:$L$17,B13)=0),1,0)</f>
        <v/>
      </c>
      <c r="D13">
        <f>IF(D$4=1,IF(INDEX('×入力'!$C$1:$L$700,51+D$3,D$2)&lt;&gt;"",1,0),0)</f>
        <v/>
      </c>
      <c r="E13">
        <f>IF(E$4=1,IF(INDEX('×入力'!$C$1:$L$700,51+E$3,E$2)&lt;&gt;"",1,0),0)</f>
        <v/>
      </c>
      <c r="F13">
        <f>IF(F$4=1,IF(INDEX('×入力'!$C$1:$L$700,51+F$3,F$2)&lt;&gt;"",1,0),0)</f>
        <v/>
      </c>
      <c r="G13">
        <f>IF(G$4=1,IF(INDEX('×入力'!$C$1:$L$700,51+G$3,G$2)&lt;&gt;"",1,0),0)</f>
        <v/>
      </c>
      <c r="H13">
        <f>IF(H$4=1,IF(INDEX('×入力'!$C$1:$L$700,51+H$3,H$2)&lt;&gt;"",1,0),0)</f>
        <v/>
      </c>
      <c r="I13">
        <f>IF(I$4=1,IF(INDEX('×入力'!$C$1:$L$700,51+I$3,I$2)&lt;&gt;"",1,0),0)</f>
        <v/>
      </c>
      <c r="J13">
        <f>IF(J$4=1,IF(INDEX('×入力'!$C$1:$L$700,51+J$3,J$2)&lt;&gt;"",1,0),0)</f>
        <v/>
      </c>
      <c r="K13">
        <f>IF(K$4=1,IF(INDEX('×入力'!$C$1:$L$700,51+K$3,K$2)&lt;&gt;"",1,0),0)</f>
        <v/>
      </c>
      <c r="L13">
        <f>IF(L$4=1,IF(INDEX('×入力'!$C$1:$L$700,51+L$3,L$2)&lt;&gt;"",1,0),0)</f>
        <v/>
      </c>
      <c r="M13">
        <f>IF(M$4=1,IF(INDEX('×入力'!$C$1:$L$700,51+M$3,M$2)&lt;&gt;"",1,0),0)</f>
        <v/>
      </c>
      <c r="N13">
        <f>IF(N$4=1,IF(INDEX('×入力'!$C$1:$L$700,51+N$3,N$2)&lt;&gt;"",1,0),0)</f>
        <v/>
      </c>
      <c r="O13">
        <f>IF(O$4=1,IF(INDEX('×入力'!$C$1:$L$700,51+O$3,O$2)&lt;&gt;"",1,0),0)</f>
        <v/>
      </c>
      <c r="P13">
        <f>IF(P$4=1,IF(INDEX('×入力'!$C$1:$L$700,51+P$3,P$2)&lt;&gt;"",1,0),0)</f>
        <v/>
      </c>
      <c r="Q13">
        <f>IF(Q$4=1,IF(INDEX('×入力'!$C$1:$L$700,51+Q$3,Q$2)&lt;&gt;"",1,0),0)</f>
        <v/>
      </c>
      <c r="R13">
        <f>IF(R$4=1,IF(INDEX('×入力'!$C$1:$L$700,51+R$3,R$2)&lt;&gt;"",1,0),0)</f>
        <v/>
      </c>
      <c r="S13">
        <f>IF(S$4=1,IF(INDEX('×入力'!$C$1:$L$700,51+S$3,S$2)&lt;&gt;"",1,0),0)</f>
        <v/>
      </c>
      <c r="T13">
        <f>IF(T$4=1,IF(INDEX('×入力'!$C$1:$L$700,51+T$3,T$2)&lt;&gt;"",1,0),0)</f>
        <v/>
      </c>
      <c r="U13">
        <f>IF(U$4=1,IF(INDEX('×入力'!$C$1:$L$700,51+U$3,U$2)&lt;&gt;"",1,0),0)</f>
        <v/>
      </c>
      <c r="V13">
        <f>IF(V$4=1,IF(INDEX('×入力'!$C$1:$L$700,51+V$3,V$2)&lt;&gt;"",1,0),0)</f>
        <v/>
      </c>
      <c r="W13">
        <f>IF(W$4=1,IF(INDEX('×入力'!$C$1:$L$700,51+W$3,W$2)&lt;&gt;"",1,0),0)</f>
        <v/>
      </c>
      <c r="X13">
        <f>IF(X$4=1,IF(INDEX('×入力'!$C$1:$L$700,51+X$3,X$2)&lt;&gt;"",1,0),0)</f>
        <v/>
      </c>
      <c r="Y13">
        <f>IF(Y$4=1,IF(INDEX('×入力'!$C$1:$L$700,51+Y$3,Y$2)&lt;&gt;"",1,0),0)</f>
        <v/>
      </c>
      <c r="Z13">
        <f>IF(Z$4=1,IF(INDEX('×入力'!$C$1:$L$700,51+Z$3,Z$2)&lt;&gt;"",1,0),0)</f>
        <v/>
      </c>
      <c r="AA13">
        <f>IF(AA$4=1,IF(INDEX('×入力'!$C$1:$L$700,51+AA$3,AA$2)&lt;&gt;"",1,0),0)</f>
        <v/>
      </c>
      <c r="AB13">
        <f>IF(AB$4=1,IF(INDEX('×入力'!$C$1:$L$700,51+AB$3,AB$2)&lt;&gt;"",1,0),0)</f>
        <v/>
      </c>
      <c r="AC13">
        <f>IF(AC$4=1,IF(INDEX('×入力'!$C$1:$L$700,51+AC$3,AC$2)&lt;&gt;"",1,0),0)</f>
        <v/>
      </c>
      <c r="AD13">
        <f>IF(AD$4=1,IF(INDEX('×入力'!$C$1:$L$700,51+AD$3,AD$2)&lt;&gt;"",1,0),0)</f>
        <v/>
      </c>
      <c r="AE13">
        <f>IF(AE$4=1,IF(INDEX('×入力'!$C$1:$L$700,51+AE$3,AE$2)&lt;&gt;"",1,0),0)</f>
        <v/>
      </c>
      <c r="AF13">
        <f>IF(AF$4=1,IF(INDEX('×入力'!$C$1:$L$700,51+AF$3,AF$2)&lt;&gt;"",1,0),0)</f>
        <v/>
      </c>
      <c r="AG13">
        <f>IF(AG$4=1,IF(INDEX('×入力'!$C$1:$L$700,51+AG$3,AG$2)&lt;&gt;"",1,0),0)</f>
        <v/>
      </c>
      <c r="AH13">
        <f>IF(AH$4=1,IF(INDEX('×入力'!$C$1:$L$700,51+AH$3,AH$2)&lt;&gt;"",1,0),0)</f>
        <v/>
      </c>
      <c r="AI13">
        <f>IF(AI$4=1,IF(INDEX('×入力'!$C$1:$L$700,51+AI$3,AI$2)&lt;&gt;"",1,0),0)</f>
        <v/>
      </c>
      <c r="AJ13">
        <f>IF(AJ$4=1,IF(INDEX('×入力'!$C$1:$L$700,51+AJ$3,AJ$2)&lt;&gt;"",1,0),0)</f>
        <v/>
      </c>
      <c r="AK13">
        <f>IF(AK$4=1,IF(INDEX('×入力'!$C$1:$L$700,51+AK$3,AK$2)&lt;&gt;"",1,0),0)</f>
        <v/>
      </c>
      <c r="AL13">
        <f>IF(AL$4=1,IF(INDEX('×入力'!$C$1:$L$700,51+AL$3,AL$2)&lt;&gt;"",1,0),0)</f>
        <v/>
      </c>
      <c r="AM13">
        <f>IF(AM$4=1,IF(INDEX('×入力'!$C$1:$L$700,51+AM$3,AM$2)&lt;&gt;"",1,0),0)</f>
        <v/>
      </c>
      <c r="AN13">
        <f>IF(AN$4=1,IF(INDEX('×入力'!$C$1:$L$700,51+AN$3,AN$2)&lt;&gt;"",1,0),0)</f>
        <v/>
      </c>
      <c r="AO13">
        <f>IF(AO$4=1,IF(INDEX('×入力'!$C$1:$L$700,51+AO$3,AO$2)&lt;&gt;"",1,0),0)</f>
        <v/>
      </c>
      <c r="AP13">
        <f>IF(AP$4=1,IF(INDEX('×入力'!$C$1:$L$700,51+AP$3,AP$2)&lt;&gt;"",1,0),0)</f>
        <v/>
      </c>
      <c r="AQ13">
        <f>IF(AQ$4=1,IF(INDEX('×入力'!$C$1:$L$700,51+AQ$3,AQ$2)&lt;&gt;"",1,0),0)</f>
        <v/>
      </c>
      <c r="AR13">
        <f>IF(AR$4=1,IF(INDEX('×入力'!$C$1:$L$700,51+AR$3,AR$2)&lt;&gt;"",1,0),0)</f>
        <v/>
      </c>
      <c r="AS13">
        <f>IF(AS$4=1,IF(INDEX('×入力'!$C$1:$L$700,51+AS$3,AS$2)&lt;&gt;"",1,0),0)</f>
        <v/>
      </c>
      <c r="AT13">
        <f>IF(AT$4=1,IF(INDEX('×入力'!$C$1:$L$700,51+AT$3,AT$2)&lt;&gt;"",1,0),0)</f>
        <v/>
      </c>
      <c r="AU13">
        <f>IF(AU$4=1,IF(INDEX('×入力'!$C$1:$L$700,51+AU$3,AU$2)&lt;&gt;"",1,0),0)</f>
        <v/>
      </c>
      <c r="AV13">
        <f>IF(AV$4=1,IF(INDEX('×入力'!$C$1:$L$700,51+AV$3,AV$2)&lt;&gt;"",1,0),0)</f>
        <v/>
      </c>
      <c r="AW13">
        <f>IF(AW$4=1,IF(INDEX('×入力'!$C$1:$L$700,51+AW$3,AW$2)&lt;&gt;"",1,0),0)</f>
        <v/>
      </c>
      <c r="AX13">
        <f>IF(AX$4=1,IF(INDEX('×入力'!$C$1:$L$700,51+AX$3,AX$2)&lt;&gt;"",1,0),0)</f>
        <v/>
      </c>
      <c r="AY13">
        <f>IF(AY$4=1,IF(INDEX('×入力'!$C$1:$L$700,51+AY$3,AY$2)&lt;&gt;"",1,0),0)</f>
        <v/>
      </c>
      <c r="AZ13">
        <f>IF(AZ$4=1,IF(INDEX('×入力'!$C$1:$L$700,51+AZ$3,AZ$2)&lt;&gt;"",1,0),0)</f>
        <v/>
      </c>
      <c r="BA13">
        <f>IF(BA$4=1,IF(INDEX('×入力'!$C$1:$L$700,51+BA$3,BA$2)&lt;&gt;"",1,0),0)</f>
        <v/>
      </c>
      <c r="BB13">
        <f>IF(BB$4=1,IF(INDEX('×入力'!$C$1:$L$700,51+BB$3,BB$2)&lt;&gt;"",1,0),0)</f>
        <v/>
      </c>
      <c r="BC13">
        <f>IF(BC$4=1,IF(INDEX('×入力'!$C$1:$L$700,51+BC$3,BC$2)&lt;&gt;"",1,0),0)</f>
        <v/>
      </c>
      <c r="BD13">
        <f>IF(BD$4=1,IF(INDEX('×入力'!$C$1:$L$700,51+BD$3,BD$2)&lt;&gt;"",1,0),0)</f>
        <v/>
      </c>
      <c r="BE13">
        <f>IF(BE$4=1,IF(INDEX('×入力'!$C$1:$L$700,51+BE$3,BE$2)&lt;&gt;"",1,0),0)</f>
        <v/>
      </c>
      <c r="BF13">
        <f>IF(BF$4=1,IF(INDEX('×入力'!$C$1:$L$700,51+BF$3,BF$2)&lt;&gt;"",1,0),0)</f>
        <v/>
      </c>
      <c r="BG13">
        <f>IF(BG$4=1,IF(INDEX('×入力'!$C$1:$L$700,51+BG$3,BG$2)&lt;&gt;"",1,0),0)</f>
        <v/>
      </c>
      <c r="BH13">
        <f>IF(BH$4=1,IF(INDEX('×入力'!$C$1:$L$700,51+BH$3,BH$2)&lt;&gt;"",1,0),0)</f>
        <v/>
      </c>
      <c r="BI13">
        <f>IF(BI$4=1,IF(INDEX('×入力'!$C$1:$L$700,51+BI$3,BI$2)&lt;&gt;"",1,0),0)</f>
        <v/>
      </c>
      <c r="BJ13">
        <f>IF(BJ$4=1,IF(INDEX('×入力'!$C$1:$L$700,51+BJ$3,BJ$2)&lt;&gt;"",1,0),0)</f>
        <v/>
      </c>
      <c r="BK13">
        <f>IF(BK$4=1,IF(INDEX('×入力'!$C$1:$L$700,51+BK$3,BK$2)&lt;&gt;"",1,0),0)</f>
        <v/>
      </c>
      <c r="BL13">
        <f>IF(BL$4=1,IF(INDEX('×入力'!$C$1:$L$700,51+BL$3,BL$2)&lt;&gt;"",1,0),0)</f>
        <v/>
      </c>
      <c r="BM13">
        <f>IF(BM$4=1,IF(INDEX('×入力'!$C$1:$L$700,51+BM$3,BM$2)&lt;&gt;"",1,0),0)</f>
        <v/>
      </c>
      <c r="BN13">
        <f>IF(BN$4=1,IF(INDEX('×入力'!$C$1:$L$700,51+BN$3,BN$2)&lt;&gt;"",1,0),0)</f>
        <v/>
      </c>
      <c r="BO13">
        <f>IF(BO$4=1,IF(INDEX('×入力'!$C$1:$L$700,51+BO$3,BO$2)&lt;&gt;"",1,0),0)</f>
        <v/>
      </c>
      <c r="BP13">
        <f>IF(BP$4=1,IF(INDEX('×入力'!$C$1:$L$700,51+BP$3,BP$2)&lt;&gt;"",1,0),0)</f>
        <v/>
      </c>
      <c r="BQ13">
        <f>IF(BQ$4=1,IF(INDEX('×入力'!$C$1:$L$700,51+BQ$3,BQ$2)&lt;&gt;"",1,0),0)</f>
        <v/>
      </c>
      <c r="BR13">
        <f>IF(BR$4=1,IF(INDEX('×入力'!$C$1:$L$700,51+BR$3,BR$2)&lt;&gt;"",1,0),0)</f>
        <v/>
      </c>
      <c r="BS13">
        <f>IF(BS$4=1,IF(INDEX('×入力'!$C$1:$L$700,51+BS$3,BS$2)&lt;&gt;"",1,0),0)</f>
        <v/>
      </c>
      <c r="BT13">
        <f>IF(BT$4=1,IF(INDEX('×入力'!$C$1:$L$700,51+BT$3,BT$2)&lt;&gt;"",1,0),0)</f>
        <v/>
      </c>
      <c r="BU13">
        <f>IF(BU$4=1,IF(INDEX('×入力'!$C$1:$L$700,51+BU$3,BU$2)&lt;&gt;"",1,0),0)</f>
        <v/>
      </c>
      <c r="BV13">
        <f>IF(BV$4=1,IF(INDEX('×入力'!$C$1:$L$700,51+BV$3,BV$2)&lt;&gt;"",1,0),0)</f>
        <v/>
      </c>
      <c r="BW13">
        <f>IF(BW$4=1,IF(INDEX('×入力'!$C$1:$L$700,51+BW$3,BW$2)&lt;&gt;"",1,0),0)</f>
        <v/>
      </c>
      <c r="BX13">
        <f>IF(BX$4=1,IF(INDEX('×入力'!$C$1:$L$700,51+BX$3,BX$2)&lt;&gt;"",1,0),0)</f>
        <v/>
      </c>
      <c r="BY13">
        <f>IF(BY$4=1,IF(INDEX('×入力'!$C$1:$L$700,51+BY$3,BY$2)&lt;&gt;"",1,0),0)</f>
        <v/>
      </c>
      <c r="BZ13">
        <f>IF(BZ$4=1,IF(INDEX('×入力'!$C$1:$L$700,51+BZ$3,BZ$2)&lt;&gt;"",1,0),0)</f>
        <v/>
      </c>
      <c r="CA13">
        <f>IF(CA$4=1,IF(INDEX('×入力'!$C$1:$L$700,51+CA$3,CA$2)&lt;&gt;"",1,0),0)</f>
        <v/>
      </c>
      <c r="CB13">
        <f>IF(CB$4=1,IF(INDEX('×入力'!$C$1:$L$700,51+CB$3,CB$2)&lt;&gt;"",1,0),0)</f>
        <v/>
      </c>
      <c r="CC13">
        <f>IF(CC$4=1,IF(INDEX('×入力'!$C$1:$L$700,51+CC$3,CC$2)&lt;&gt;"",1,0),0)</f>
        <v/>
      </c>
      <c r="CD13">
        <f>IF(CD$4=1,IF(INDEX('×入力'!$C$1:$L$700,51+CD$3,CD$2)&lt;&gt;"",1,0),0)</f>
        <v/>
      </c>
      <c r="CE13">
        <f>IF(CE$4=1,IF(INDEX('×入力'!$C$1:$L$700,51+CE$3,CE$2)&lt;&gt;"",1,0),0)</f>
        <v/>
      </c>
      <c r="CF13">
        <f>IF(CF$4=1,IF(INDEX('×入力'!$C$1:$L$700,51+CF$3,CF$2)&lt;&gt;"",1,0),0)</f>
        <v/>
      </c>
      <c r="CG13">
        <f>IF(CG$4=1,IF(INDEX('×入力'!$C$1:$L$700,51+CG$3,CG$2)&lt;&gt;"",1,0),0)</f>
        <v/>
      </c>
      <c r="CH13">
        <f>IF(CH$4=1,IF(INDEX('×入力'!$C$1:$L$700,51+CH$3,CH$2)&lt;&gt;"",1,0),0)</f>
        <v/>
      </c>
      <c r="CI13">
        <f>IF(CI$4=1,IF(INDEX('×入力'!$C$1:$L$700,51+CI$3,CI$2)&lt;&gt;"",1,0),0)</f>
        <v/>
      </c>
      <c r="CJ13">
        <f>IF(CJ$4=1,IF(INDEX('×入力'!$C$1:$L$700,51+CJ$3,CJ$2)&lt;&gt;"",1,0),0)</f>
        <v/>
      </c>
      <c r="CK13">
        <f>IF(CK$4=1,IF(INDEX('×入力'!$C$1:$L$700,51+CK$3,CK$2)&lt;&gt;"",1,0),0)</f>
        <v/>
      </c>
      <c r="CL13">
        <f>IF(CL$4=1,IF(INDEX('×入力'!$C$1:$L$700,51+CL$3,CL$2)&lt;&gt;"",1,0),0)</f>
        <v/>
      </c>
      <c r="CM13">
        <f>IF(CM$4=1,IF(INDEX('×入力'!$C$1:$L$700,51+CM$3,CM$2)&lt;&gt;"",1,0),0)</f>
        <v/>
      </c>
      <c r="CN13">
        <f>IF(CN$4=1,IF(INDEX('×入力'!$C$1:$L$700,51+CN$3,CN$2)&lt;&gt;"",1,0),0)</f>
        <v/>
      </c>
      <c r="CO13">
        <f>IF(CO$4=1,IF(INDEX('×入力'!$C$1:$L$700,51+CO$3,CO$2)&lt;&gt;"",1,0),0)</f>
        <v/>
      </c>
      <c r="CP13">
        <f>IF(CP$4=1,IF(INDEX('×入力'!$C$1:$L$700,51+CP$3,CP$2)&lt;&gt;"",1,0),0)</f>
        <v/>
      </c>
      <c r="CQ13">
        <f>IF(CQ$4=1,IF(INDEX('×入力'!$C$1:$L$700,51+CQ$3,CQ$2)&lt;&gt;"",1,0),0)</f>
        <v/>
      </c>
      <c r="CR13">
        <f>IF(CR$4=1,IF(INDEX('×入力'!$C$1:$L$700,51+CR$3,CR$2)&lt;&gt;"",1,0),0)</f>
        <v/>
      </c>
      <c r="CS13">
        <f>IF(CS$4=1,IF(INDEX('×入力'!$C$1:$L$700,51+CS$3,CS$2)&lt;&gt;"",1,0),0)</f>
        <v/>
      </c>
      <c r="CT13">
        <f>IF(CT$4=1,IF(INDEX('×入力'!$C$1:$L$700,51+CT$3,CT$2)&lt;&gt;"",1,0),0)</f>
        <v/>
      </c>
      <c r="CU13">
        <f>IF(CU$4=1,IF(INDEX('×入力'!$C$1:$L$700,51+CU$3,CU$2)&lt;&gt;"",1,0),0)</f>
        <v/>
      </c>
      <c r="CV13">
        <f>IF(CV$4=1,IF(INDEX('×入力'!$C$1:$L$700,51+CV$3,CV$2)&lt;&gt;"",1,0),0)</f>
        <v/>
      </c>
      <c r="CW13">
        <f>IF(CW$4=1,IF(INDEX('×入力'!$C$1:$L$700,51+CW$3,CW$2)&lt;&gt;"",1,0),0)</f>
        <v/>
      </c>
      <c r="CX13">
        <f>IF(CX$4=1,IF(INDEX('×入力'!$C$1:$L$700,51+CX$3,CX$2)&lt;&gt;"",1,0),0)</f>
        <v/>
      </c>
      <c r="CY13">
        <f>IF(CY$4=1,IF(INDEX('×入力'!$C$1:$L$700,51+CY$3,CY$2)&lt;&gt;"",1,0),0)</f>
        <v/>
      </c>
      <c r="CZ13">
        <f>IF(CZ$4=1,IF(INDEX('×入力'!$C$1:$L$700,51+CZ$3,CZ$2)&lt;&gt;"",1,0),0)</f>
        <v/>
      </c>
      <c r="DA13">
        <f>IF(DA$4=1,IF(INDEX('×入力'!$C$1:$L$700,51+DA$3,DA$2)&lt;&gt;"",1,0),0)</f>
        <v/>
      </c>
      <c r="DB13">
        <f>IF(DB$4=1,IF(INDEX('×入力'!$C$1:$L$700,51+DB$3,DB$2)&lt;&gt;"",1,0),0)</f>
        <v/>
      </c>
      <c r="DC13">
        <f>IF(DC$4=1,IF(INDEX('×入力'!$C$1:$L$700,51+DC$3,DC$2)&lt;&gt;"",1,0),0)</f>
        <v/>
      </c>
      <c r="DD13">
        <f>IF(DD$4=1,IF(INDEX('×入力'!$C$1:$L$700,51+DD$3,DD$2)&lt;&gt;"",1,0),0)</f>
        <v/>
      </c>
      <c r="DE13">
        <f>IF(DE$4=1,IF(INDEX('×入力'!$C$1:$L$700,51+DE$3,DE$2)&lt;&gt;"",1,0),0)</f>
        <v/>
      </c>
      <c r="DF13">
        <f>IF(DF$4=1,IF(INDEX('×入力'!$C$1:$L$700,51+DF$3,DF$2)&lt;&gt;"",1,0),0)</f>
        <v/>
      </c>
      <c r="DG13">
        <f>IF(DG$4=1,IF(INDEX('×入力'!$C$1:$L$700,51+DG$3,DG$2)&lt;&gt;"",1,0),0)</f>
        <v/>
      </c>
      <c r="DH13">
        <f>IF(DH$4=1,IF(INDEX('×入力'!$C$1:$L$700,51+DH$3,DH$2)&lt;&gt;"",1,0),0)</f>
        <v/>
      </c>
      <c r="DI13">
        <f>IF(DI$4=1,IF(INDEX('×入力'!$C$1:$L$700,51+DI$3,DI$2)&lt;&gt;"",1,0),0)</f>
        <v/>
      </c>
      <c r="DJ13">
        <f>IF(DJ$4=1,IF(INDEX('×入力'!$C$1:$L$700,51+DJ$3,DJ$2)&lt;&gt;"",1,0),0)</f>
        <v/>
      </c>
      <c r="DK13">
        <f>IF(DK$4=1,IF(INDEX('×入力'!$C$1:$L$700,51+DK$3,DK$2)&lt;&gt;"",1,0),0)</f>
        <v/>
      </c>
      <c r="DL13">
        <f>IF(DL$4=1,IF(INDEX('×入力'!$C$1:$L$700,51+DL$3,DL$2)&lt;&gt;"",1,0),0)</f>
        <v/>
      </c>
      <c r="DM13">
        <f>IF(DM$4=1,IF(INDEX('×入力'!$C$1:$L$700,51+DM$3,DM$2)&lt;&gt;"",1,0),0)</f>
        <v/>
      </c>
      <c r="DN13">
        <f>IF(DN$4=1,IF(INDEX('×入力'!$C$1:$L$700,51+DN$3,DN$2)&lt;&gt;"",1,0),0)</f>
        <v/>
      </c>
      <c r="DO13">
        <f>IF(DO$4=1,IF(INDEX('×入力'!$C$1:$L$700,51+DO$3,DO$2)&lt;&gt;"",1,0),0)</f>
        <v/>
      </c>
      <c r="DP13">
        <f>IF(DP$4=1,IF(INDEX('×入力'!$C$1:$L$700,51+DP$3,DP$2)&lt;&gt;"",1,0),0)</f>
        <v/>
      </c>
      <c r="DQ13">
        <f>IF(DQ$4=1,IF(INDEX('×入力'!$C$1:$L$700,51+DQ$3,DQ$2)&lt;&gt;"",1,0),0)</f>
        <v/>
      </c>
      <c r="DR13">
        <f>IF(DR$4=1,IF(INDEX('×入力'!$C$1:$L$700,51+DR$3,DR$2)&lt;&gt;"",1,0),0)</f>
        <v/>
      </c>
      <c r="DS13">
        <f>IF(DS$4=1,IF(INDEX('×入力'!$C$1:$L$700,51+DS$3,DS$2)&lt;&gt;"",1,0),0)</f>
        <v/>
      </c>
      <c r="DU13">
        <f>IFERROR(INDEX('計算B'!$C$3:$C$47,MATCH(A13,'計算B'!$B$3:$B$47,0)),0)</f>
        <v/>
      </c>
      <c r="DV13">
        <f>IF(AND(C13=1,DU13=0),1,0)</f>
        <v/>
      </c>
      <c r="DW13">
        <f>SUMPRODUCT(D63:DS63*(1-$D$7:$DS$7))</f>
        <v/>
      </c>
      <c r="DX13">
        <f>SUM(D13:DS13)</f>
        <v/>
      </c>
      <c r="DY13">
        <f>IF(B13="",0,IF(COUNTIF('割り当て'!$C$6:$L$17,B13)=1,SUMPRODUCT(('割り当て'!$C$6:$L$17=B13)*((COLUMN('割り当て'!$C$6:$L$17)-3)*12+ROW('割り当て'!$C$6:$L$17)-5)),0))</f>
        <v/>
      </c>
      <c r="DZ13">
        <f>IFERROR(MATCH('名簿'!E8,{"早い時刻","遅い時刻","早い日","遅い日"},0),0)</f>
        <v/>
      </c>
      <c r="EA13">
        <f>IF('名簿'!F8="必ず空けたい",2,IF('名簿'!F8="出来れば空けたい",1,0))</f>
        <v/>
      </c>
    </row>
    <row r="14">
      <c r="A14" t="n">
        <v>5</v>
      </c>
      <c r="B14">
        <f>'名簿'!G9</f>
        <v/>
      </c>
      <c r="C14">
        <f>IF(AND(B14&lt;&gt;"",OR('名簿'!H9="入力済み",'名簿'!H9="×なし"),DY14=0,COUNTIF('割り当て'!$C$6:$L$17,B14)=0),1,0)</f>
        <v/>
      </c>
      <c r="D14">
        <f>IF(D$4=1,IF(INDEX('×入力'!$C$1:$L$700,66+D$3,D$2)&lt;&gt;"",1,0),0)</f>
        <v/>
      </c>
      <c r="E14">
        <f>IF(E$4=1,IF(INDEX('×入力'!$C$1:$L$700,66+E$3,E$2)&lt;&gt;"",1,0),0)</f>
        <v/>
      </c>
      <c r="F14">
        <f>IF(F$4=1,IF(INDEX('×入力'!$C$1:$L$700,66+F$3,F$2)&lt;&gt;"",1,0),0)</f>
        <v/>
      </c>
      <c r="G14">
        <f>IF(G$4=1,IF(INDEX('×入力'!$C$1:$L$700,66+G$3,G$2)&lt;&gt;"",1,0),0)</f>
        <v/>
      </c>
      <c r="H14">
        <f>IF(H$4=1,IF(INDEX('×入力'!$C$1:$L$700,66+H$3,H$2)&lt;&gt;"",1,0),0)</f>
        <v/>
      </c>
      <c r="I14">
        <f>IF(I$4=1,IF(INDEX('×入力'!$C$1:$L$700,66+I$3,I$2)&lt;&gt;"",1,0),0)</f>
        <v/>
      </c>
      <c r="J14">
        <f>IF(J$4=1,IF(INDEX('×入力'!$C$1:$L$700,66+J$3,J$2)&lt;&gt;"",1,0),0)</f>
        <v/>
      </c>
      <c r="K14">
        <f>IF(K$4=1,IF(INDEX('×入力'!$C$1:$L$700,66+K$3,K$2)&lt;&gt;"",1,0),0)</f>
        <v/>
      </c>
      <c r="L14">
        <f>IF(L$4=1,IF(INDEX('×入力'!$C$1:$L$700,66+L$3,L$2)&lt;&gt;"",1,0),0)</f>
        <v/>
      </c>
      <c r="M14">
        <f>IF(M$4=1,IF(INDEX('×入力'!$C$1:$L$700,66+M$3,M$2)&lt;&gt;"",1,0),0)</f>
        <v/>
      </c>
      <c r="N14">
        <f>IF(N$4=1,IF(INDEX('×入力'!$C$1:$L$700,66+N$3,N$2)&lt;&gt;"",1,0),0)</f>
        <v/>
      </c>
      <c r="O14">
        <f>IF(O$4=1,IF(INDEX('×入力'!$C$1:$L$700,66+O$3,O$2)&lt;&gt;"",1,0),0)</f>
        <v/>
      </c>
      <c r="P14">
        <f>IF(P$4=1,IF(INDEX('×入力'!$C$1:$L$700,66+P$3,P$2)&lt;&gt;"",1,0),0)</f>
        <v/>
      </c>
      <c r="Q14">
        <f>IF(Q$4=1,IF(INDEX('×入力'!$C$1:$L$700,66+Q$3,Q$2)&lt;&gt;"",1,0),0)</f>
        <v/>
      </c>
      <c r="R14">
        <f>IF(R$4=1,IF(INDEX('×入力'!$C$1:$L$700,66+R$3,R$2)&lt;&gt;"",1,0),0)</f>
        <v/>
      </c>
      <c r="S14">
        <f>IF(S$4=1,IF(INDEX('×入力'!$C$1:$L$700,66+S$3,S$2)&lt;&gt;"",1,0),0)</f>
        <v/>
      </c>
      <c r="T14">
        <f>IF(T$4=1,IF(INDEX('×入力'!$C$1:$L$700,66+T$3,T$2)&lt;&gt;"",1,0),0)</f>
        <v/>
      </c>
      <c r="U14">
        <f>IF(U$4=1,IF(INDEX('×入力'!$C$1:$L$700,66+U$3,U$2)&lt;&gt;"",1,0),0)</f>
        <v/>
      </c>
      <c r="V14">
        <f>IF(V$4=1,IF(INDEX('×入力'!$C$1:$L$700,66+V$3,V$2)&lt;&gt;"",1,0),0)</f>
        <v/>
      </c>
      <c r="W14">
        <f>IF(W$4=1,IF(INDEX('×入力'!$C$1:$L$700,66+W$3,W$2)&lt;&gt;"",1,0),0)</f>
        <v/>
      </c>
      <c r="X14">
        <f>IF(X$4=1,IF(INDEX('×入力'!$C$1:$L$700,66+X$3,X$2)&lt;&gt;"",1,0),0)</f>
        <v/>
      </c>
      <c r="Y14">
        <f>IF(Y$4=1,IF(INDEX('×入力'!$C$1:$L$700,66+Y$3,Y$2)&lt;&gt;"",1,0),0)</f>
        <v/>
      </c>
      <c r="Z14">
        <f>IF(Z$4=1,IF(INDEX('×入力'!$C$1:$L$700,66+Z$3,Z$2)&lt;&gt;"",1,0),0)</f>
        <v/>
      </c>
      <c r="AA14">
        <f>IF(AA$4=1,IF(INDEX('×入力'!$C$1:$L$700,66+AA$3,AA$2)&lt;&gt;"",1,0),0)</f>
        <v/>
      </c>
      <c r="AB14">
        <f>IF(AB$4=1,IF(INDEX('×入力'!$C$1:$L$700,66+AB$3,AB$2)&lt;&gt;"",1,0),0)</f>
        <v/>
      </c>
      <c r="AC14">
        <f>IF(AC$4=1,IF(INDEX('×入力'!$C$1:$L$700,66+AC$3,AC$2)&lt;&gt;"",1,0),0)</f>
        <v/>
      </c>
      <c r="AD14">
        <f>IF(AD$4=1,IF(INDEX('×入力'!$C$1:$L$700,66+AD$3,AD$2)&lt;&gt;"",1,0),0)</f>
        <v/>
      </c>
      <c r="AE14">
        <f>IF(AE$4=1,IF(INDEX('×入力'!$C$1:$L$700,66+AE$3,AE$2)&lt;&gt;"",1,0),0)</f>
        <v/>
      </c>
      <c r="AF14">
        <f>IF(AF$4=1,IF(INDEX('×入力'!$C$1:$L$700,66+AF$3,AF$2)&lt;&gt;"",1,0),0)</f>
        <v/>
      </c>
      <c r="AG14">
        <f>IF(AG$4=1,IF(INDEX('×入力'!$C$1:$L$700,66+AG$3,AG$2)&lt;&gt;"",1,0),0)</f>
        <v/>
      </c>
      <c r="AH14">
        <f>IF(AH$4=1,IF(INDEX('×入力'!$C$1:$L$700,66+AH$3,AH$2)&lt;&gt;"",1,0),0)</f>
        <v/>
      </c>
      <c r="AI14">
        <f>IF(AI$4=1,IF(INDEX('×入力'!$C$1:$L$700,66+AI$3,AI$2)&lt;&gt;"",1,0),0)</f>
        <v/>
      </c>
      <c r="AJ14">
        <f>IF(AJ$4=1,IF(INDEX('×入力'!$C$1:$L$700,66+AJ$3,AJ$2)&lt;&gt;"",1,0),0)</f>
        <v/>
      </c>
      <c r="AK14">
        <f>IF(AK$4=1,IF(INDEX('×入力'!$C$1:$L$700,66+AK$3,AK$2)&lt;&gt;"",1,0),0)</f>
        <v/>
      </c>
      <c r="AL14">
        <f>IF(AL$4=1,IF(INDEX('×入力'!$C$1:$L$700,66+AL$3,AL$2)&lt;&gt;"",1,0),0)</f>
        <v/>
      </c>
      <c r="AM14">
        <f>IF(AM$4=1,IF(INDEX('×入力'!$C$1:$L$700,66+AM$3,AM$2)&lt;&gt;"",1,0),0)</f>
        <v/>
      </c>
      <c r="AN14">
        <f>IF(AN$4=1,IF(INDEX('×入力'!$C$1:$L$700,66+AN$3,AN$2)&lt;&gt;"",1,0),0)</f>
        <v/>
      </c>
      <c r="AO14">
        <f>IF(AO$4=1,IF(INDEX('×入力'!$C$1:$L$700,66+AO$3,AO$2)&lt;&gt;"",1,0),0)</f>
        <v/>
      </c>
      <c r="AP14">
        <f>IF(AP$4=1,IF(INDEX('×入力'!$C$1:$L$700,66+AP$3,AP$2)&lt;&gt;"",1,0),0)</f>
        <v/>
      </c>
      <c r="AQ14">
        <f>IF(AQ$4=1,IF(INDEX('×入力'!$C$1:$L$700,66+AQ$3,AQ$2)&lt;&gt;"",1,0),0)</f>
        <v/>
      </c>
      <c r="AR14">
        <f>IF(AR$4=1,IF(INDEX('×入力'!$C$1:$L$700,66+AR$3,AR$2)&lt;&gt;"",1,0),0)</f>
        <v/>
      </c>
      <c r="AS14">
        <f>IF(AS$4=1,IF(INDEX('×入力'!$C$1:$L$700,66+AS$3,AS$2)&lt;&gt;"",1,0),0)</f>
        <v/>
      </c>
      <c r="AT14">
        <f>IF(AT$4=1,IF(INDEX('×入力'!$C$1:$L$700,66+AT$3,AT$2)&lt;&gt;"",1,0),0)</f>
        <v/>
      </c>
      <c r="AU14">
        <f>IF(AU$4=1,IF(INDEX('×入力'!$C$1:$L$700,66+AU$3,AU$2)&lt;&gt;"",1,0),0)</f>
        <v/>
      </c>
      <c r="AV14">
        <f>IF(AV$4=1,IF(INDEX('×入力'!$C$1:$L$700,66+AV$3,AV$2)&lt;&gt;"",1,0),0)</f>
        <v/>
      </c>
      <c r="AW14">
        <f>IF(AW$4=1,IF(INDEX('×入力'!$C$1:$L$700,66+AW$3,AW$2)&lt;&gt;"",1,0),0)</f>
        <v/>
      </c>
      <c r="AX14">
        <f>IF(AX$4=1,IF(INDEX('×入力'!$C$1:$L$700,66+AX$3,AX$2)&lt;&gt;"",1,0),0)</f>
        <v/>
      </c>
      <c r="AY14">
        <f>IF(AY$4=1,IF(INDEX('×入力'!$C$1:$L$700,66+AY$3,AY$2)&lt;&gt;"",1,0),0)</f>
        <v/>
      </c>
      <c r="AZ14">
        <f>IF(AZ$4=1,IF(INDEX('×入力'!$C$1:$L$700,66+AZ$3,AZ$2)&lt;&gt;"",1,0),0)</f>
        <v/>
      </c>
      <c r="BA14">
        <f>IF(BA$4=1,IF(INDEX('×入力'!$C$1:$L$700,66+BA$3,BA$2)&lt;&gt;"",1,0),0)</f>
        <v/>
      </c>
      <c r="BB14">
        <f>IF(BB$4=1,IF(INDEX('×入力'!$C$1:$L$700,66+BB$3,BB$2)&lt;&gt;"",1,0),0)</f>
        <v/>
      </c>
      <c r="BC14">
        <f>IF(BC$4=1,IF(INDEX('×入力'!$C$1:$L$700,66+BC$3,BC$2)&lt;&gt;"",1,0),0)</f>
        <v/>
      </c>
      <c r="BD14">
        <f>IF(BD$4=1,IF(INDEX('×入力'!$C$1:$L$700,66+BD$3,BD$2)&lt;&gt;"",1,0),0)</f>
        <v/>
      </c>
      <c r="BE14">
        <f>IF(BE$4=1,IF(INDEX('×入力'!$C$1:$L$700,66+BE$3,BE$2)&lt;&gt;"",1,0),0)</f>
        <v/>
      </c>
      <c r="BF14">
        <f>IF(BF$4=1,IF(INDEX('×入力'!$C$1:$L$700,66+BF$3,BF$2)&lt;&gt;"",1,0),0)</f>
        <v/>
      </c>
      <c r="BG14">
        <f>IF(BG$4=1,IF(INDEX('×入力'!$C$1:$L$700,66+BG$3,BG$2)&lt;&gt;"",1,0),0)</f>
        <v/>
      </c>
      <c r="BH14">
        <f>IF(BH$4=1,IF(INDEX('×入力'!$C$1:$L$700,66+BH$3,BH$2)&lt;&gt;"",1,0),0)</f>
        <v/>
      </c>
      <c r="BI14">
        <f>IF(BI$4=1,IF(INDEX('×入力'!$C$1:$L$700,66+BI$3,BI$2)&lt;&gt;"",1,0),0)</f>
        <v/>
      </c>
      <c r="BJ14">
        <f>IF(BJ$4=1,IF(INDEX('×入力'!$C$1:$L$700,66+BJ$3,BJ$2)&lt;&gt;"",1,0),0)</f>
        <v/>
      </c>
      <c r="BK14">
        <f>IF(BK$4=1,IF(INDEX('×入力'!$C$1:$L$700,66+BK$3,BK$2)&lt;&gt;"",1,0),0)</f>
        <v/>
      </c>
      <c r="BL14">
        <f>IF(BL$4=1,IF(INDEX('×入力'!$C$1:$L$700,66+BL$3,BL$2)&lt;&gt;"",1,0),0)</f>
        <v/>
      </c>
      <c r="BM14">
        <f>IF(BM$4=1,IF(INDEX('×入力'!$C$1:$L$700,66+BM$3,BM$2)&lt;&gt;"",1,0),0)</f>
        <v/>
      </c>
      <c r="BN14">
        <f>IF(BN$4=1,IF(INDEX('×入力'!$C$1:$L$700,66+BN$3,BN$2)&lt;&gt;"",1,0),0)</f>
        <v/>
      </c>
      <c r="BO14">
        <f>IF(BO$4=1,IF(INDEX('×入力'!$C$1:$L$700,66+BO$3,BO$2)&lt;&gt;"",1,0),0)</f>
        <v/>
      </c>
      <c r="BP14">
        <f>IF(BP$4=1,IF(INDEX('×入力'!$C$1:$L$700,66+BP$3,BP$2)&lt;&gt;"",1,0),0)</f>
        <v/>
      </c>
      <c r="BQ14">
        <f>IF(BQ$4=1,IF(INDEX('×入力'!$C$1:$L$700,66+BQ$3,BQ$2)&lt;&gt;"",1,0),0)</f>
        <v/>
      </c>
      <c r="BR14">
        <f>IF(BR$4=1,IF(INDEX('×入力'!$C$1:$L$700,66+BR$3,BR$2)&lt;&gt;"",1,0),0)</f>
        <v/>
      </c>
      <c r="BS14">
        <f>IF(BS$4=1,IF(INDEX('×入力'!$C$1:$L$700,66+BS$3,BS$2)&lt;&gt;"",1,0),0)</f>
        <v/>
      </c>
      <c r="BT14">
        <f>IF(BT$4=1,IF(INDEX('×入力'!$C$1:$L$700,66+BT$3,BT$2)&lt;&gt;"",1,0),0)</f>
        <v/>
      </c>
      <c r="BU14">
        <f>IF(BU$4=1,IF(INDEX('×入力'!$C$1:$L$700,66+BU$3,BU$2)&lt;&gt;"",1,0),0)</f>
        <v/>
      </c>
      <c r="BV14">
        <f>IF(BV$4=1,IF(INDEX('×入力'!$C$1:$L$700,66+BV$3,BV$2)&lt;&gt;"",1,0),0)</f>
        <v/>
      </c>
      <c r="BW14">
        <f>IF(BW$4=1,IF(INDEX('×入力'!$C$1:$L$700,66+BW$3,BW$2)&lt;&gt;"",1,0),0)</f>
        <v/>
      </c>
      <c r="BX14">
        <f>IF(BX$4=1,IF(INDEX('×入力'!$C$1:$L$700,66+BX$3,BX$2)&lt;&gt;"",1,0),0)</f>
        <v/>
      </c>
      <c r="BY14">
        <f>IF(BY$4=1,IF(INDEX('×入力'!$C$1:$L$700,66+BY$3,BY$2)&lt;&gt;"",1,0),0)</f>
        <v/>
      </c>
      <c r="BZ14">
        <f>IF(BZ$4=1,IF(INDEX('×入力'!$C$1:$L$700,66+BZ$3,BZ$2)&lt;&gt;"",1,0),0)</f>
        <v/>
      </c>
      <c r="CA14">
        <f>IF(CA$4=1,IF(INDEX('×入力'!$C$1:$L$700,66+CA$3,CA$2)&lt;&gt;"",1,0),0)</f>
        <v/>
      </c>
      <c r="CB14">
        <f>IF(CB$4=1,IF(INDEX('×入力'!$C$1:$L$700,66+CB$3,CB$2)&lt;&gt;"",1,0),0)</f>
        <v/>
      </c>
      <c r="CC14">
        <f>IF(CC$4=1,IF(INDEX('×入力'!$C$1:$L$700,66+CC$3,CC$2)&lt;&gt;"",1,0),0)</f>
        <v/>
      </c>
      <c r="CD14">
        <f>IF(CD$4=1,IF(INDEX('×入力'!$C$1:$L$700,66+CD$3,CD$2)&lt;&gt;"",1,0),0)</f>
        <v/>
      </c>
      <c r="CE14">
        <f>IF(CE$4=1,IF(INDEX('×入力'!$C$1:$L$700,66+CE$3,CE$2)&lt;&gt;"",1,0),0)</f>
        <v/>
      </c>
      <c r="CF14">
        <f>IF(CF$4=1,IF(INDEX('×入力'!$C$1:$L$700,66+CF$3,CF$2)&lt;&gt;"",1,0),0)</f>
        <v/>
      </c>
      <c r="CG14">
        <f>IF(CG$4=1,IF(INDEX('×入力'!$C$1:$L$700,66+CG$3,CG$2)&lt;&gt;"",1,0),0)</f>
        <v/>
      </c>
      <c r="CH14">
        <f>IF(CH$4=1,IF(INDEX('×入力'!$C$1:$L$700,66+CH$3,CH$2)&lt;&gt;"",1,0),0)</f>
        <v/>
      </c>
      <c r="CI14">
        <f>IF(CI$4=1,IF(INDEX('×入力'!$C$1:$L$700,66+CI$3,CI$2)&lt;&gt;"",1,0),0)</f>
        <v/>
      </c>
      <c r="CJ14">
        <f>IF(CJ$4=1,IF(INDEX('×入力'!$C$1:$L$700,66+CJ$3,CJ$2)&lt;&gt;"",1,0),0)</f>
        <v/>
      </c>
      <c r="CK14">
        <f>IF(CK$4=1,IF(INDEX('×入力'!$C$1:$L$700,66+CK$3,CK$2)&lt;&gt;"",1,0),0)</f>
        <v/>
      </c>
      <c r="CL14">
        <f>IF(CL$4=1,IF(INDEX('×入力'!$C$1:$L$700,66+CL$3,CL$2)&lt;&gt;"",1,0),0)</f>
        <v/>
      </c>
      <c r="CM14">
        <f>IF(CM$4=1,IF(INDEX('×入力'!$C$1:$L$700,66+CM$3,CM$2)&lt;&gt;"",1,0),0)</f>
        <v/>
      </c>
      <c r="CN14">
        <f>IF(CN$4=1,IF(INDEX('×入力'!$C$1:$L$700,66+CN$3,CN$2)&lt;&gt;"",1,0),0)</f>
        <v/>
      </c>
      <c r="CO14">
        <f>IF(CO$4=1,IF(INDEX('×入力'!$C$1:$L$700,66+CO$3,CO$2)&lt;&gt;"",1,0),0)</f>
        <v/>
      </c>
      <c r="CP14">
        <f>IF(CP$4=1,IF(INDEX('×入力'!$C$1:$L$700,66+CP$3,CP$2)&lt;&gt;"",1,0),0)</f>
        <v/>
      </c>
      <c r="CQ14">
        <f>IF(CQ$4=1,IF(INDEX('×入力'!$C$1:$L$700,66+CQ$3,CQ$2)&lt;&gt;"",1,0),0)</f>
        <v/>
      </c>
      <c r="CR14">
        <f>IF(CR$4=1,IF(INDEX('×入力'!$C$1:$L$700,66+CR$3,CR$2)&lt;&gt;"",1,0),0)</f>
        <v/>
      </c>
      <c r="CS14">
        <f>IF(CS$4=1,IF(INDEX('×入力'!$C$1:$L$700,66+CS$3,CS$2)&lt;&gt;"",1,0),0)</f>
        <v/>
      </c>
      <c r="CT14">
        <f>IF(CT$4=1,IF(INDEX('×入力'!$C$1:$L$700,66+CT$3,CT$2)&lt;&gt;"",1,0),0)</f>
        <v/>
      </c>
      <c r="CU14">
        <f>IF(CU$4=1,IF(INDEX('×入力'!$C$1:$L$700,66+CU$3,CU$2)&lt;&gt;"",1,0),0)</f>
        <v/>
      </c>
      <c r="CV14">
        <f>IF(CV$4=1,IF(INDEX('×入力'!$C$1:$L$700,66+CV$3,CV$2)&lt;&gt;"",1,0),0)</f>
        <v/>
      </c>
      <c r="CW14">
        <f>IF(CW$4=1,IF(INDEX('×入力'!$C$1:$L$700,66+CW$3,CW$2)&lt;&gt;"",1,0),0)</f>
        <v/>
      </c>
      <c r="CX14">
        <f>IF(CX$4=1,IF(INDEX('×入力'!$C$1:$L$700,66+CX$3,CX$2)&lt;&gt;"",1,0),0)</f>
        <v/>
      </c>
      <c r="CY14">
        <f>IF(CY$4=1,IF(INDEX('×入力'!$C$1:$L$700,66+CY$3,CY$2)&lt;&gt;"",1,0),0)</f>
        <v/>
      </c>
      <c r="CZ14">
        <f>IF(CZ$4=1,IF(INDEX('×入力'!$C$1:$L$700,66+CZ$3,CZ$2)&lt;&gt;"",1,0),0)</f>
        <v/>
      </c>
      <c r="DA14">
        <f>IF(DA$4=1,IF(INDEX('×入力'!$C$1:$L$700,66+DA$3,DA$2)&lt;&gt;"",1,0),0)</f>
        <v/>
      </c>
      <c r="DB14">
        <f>IF(DB$4=1,IF(INDEX('×入力'!$C$1:$L$700,66+DB$3,DB$2)&lt;&gt;"",1,0),0)</f>
        <v/>
      </c>
      <c r="DC14">
        <f>IF(DC$4=1,IF(INDEX('×入力'!$C$1:$L$700,66+DC$3,DC$2)&lt;&gt;"",1,0),0)</f>
        <v/>
      </c>
      <c r="DD14">
        <f>IF(DD$4=1,IF(INDEX('×入力'!$C$1:$L$700,66+DD$3,DD$2)&lt;&gt;"",1,0),0)</f>
        <v/>
      </c>
      <c r="DE14">
        <f>IF(DE$4=1,IF(INDEX('×入力'!$C$1:$L$700,66+DE$3,DE$2)&lt;&gt;"",1,0),0)</f>
        <v/>
      </c>
      <c r="DF14">
        <f>IF(DF$4=1,IF(INDEX('×入力'!$C$1:$L$700,66+DF$3,DF$2)&lt;&gt;"",1,0),0)</f>
        <v/>
      </c>
      <c r="DG14">
        <f>IF(DG$4=1,IF(INDEX('×入力'!$C$1:$L$700,66+DG$3,DG$2)&lt;&gt;"",1,0),0)</f>
        <v/>
      </c>
      <c r="DH14">
        <f>IF(DH$4=1,IF(INDEX('×入力'!$C$1:$L$700,66+DH$3,DH$2)&lt;&gt;"",1,0),0)</f>
        <v/>
      </c>
      <c r="DI14">
        <f>IF(DI$4=1,IF(INDEX('×入力'!$C$1:$L$700,66+DI$3,DI$2)&lt;&gt;"",1,0),0)</f>
        <v/>
      </c>
      <c r="DJ14">
        <f>IF(DJ$4=1,IF(INDEX('×入力'!$C$1:$L$700,66+DJ$3,DJ$2)&lt;&gt;"",1,0),0)</f>
        <v/>
      </c>
      <c r="DK14">
        <f>IF(DK$4=1,IF(INDEX('×入力'!$C$1:$L$700,66+DK$3,DK$2)&lt;&gt;"",1,0),0)</f>
        <v/>
      </c>
      <c r="DL14">
        <f>IF(DL$4=1,IF(INDEX('×入力'!$C$1:$L$700,66+DL$3,DL$2)&lt;&gt;"",1,0),0)</f>
        <v/>
      </c>
      <c r="DM14">
        <f>IF(DM$4=1,IF(INDEX('×入力'!$C$1:$L$700,66+DM$3,DM$2)&lt;&gt;"",1,0),0)</f>
        <v/>
      </c>
      <c r="DN14">
        <f>IF(DN$4=1,IF(INDEX('×入力'!$C$1:$L$700,66+DN$3,DN$2)&lt;&gt;"",1,0),0)</f>
        <v/>
      </c>
      <c r="DO14">
        <f>IF(DO$4=1,IF(INDEX('×入力'!$C$1:$L$700,66+DO$3,DO$2)&lt;&gt;"",1,0),0)</f>
        <v/>
      </c>
      <c r="DP14">
        <f>IF(DP$4=1,IF(INDEX('×入力'!$C$1:$L$700,66+DP$3,DP$2)&lt;&gt;"",1,0),0)</f>
        <v/>
      </c>
      <c r="DQ14">
        <f>IF(DQ$4=1,IF(INDEX('×入力'!$C$1:$L$700,66+DQ$3,DQ$2)&lt;&gt;"",1,0),0)</f>
        <v/>
      </c>
      <c r="DR14">
        <f>IF(DR$4=1,IF(INDEX('×入力'!$C$1:$L$700,66+DR$3,DR$2)&lt;&gt;"",1,0),0)</f>
        <v/>
      </c>
      <c r="DS14">
        <f>IF(DS$4=1,IF(INDEX('×入力'!$C$1:$L$700,66+DS$3,DS$2)&lt;&gt;"",1,0),0)</f>
        <v/>
      </c>
      <c r="DU14">
        <f>IFERROR(INDEX('計算B'!$C$3:$C$47,MATCH(A14,'計算B'!$B$3:$B$47,0)),0)</f>
        <v/>
      </c>
      <c r="DV14">
        <f>IF(AND(C14=1,DU14=0),1,0)</f>
        <v/>
      </c>
      <c r="DW14">
        <f>SUMPRODUCT(D64:DS64*(1-$D$7:$DS$7))</f>
        <v/>
      </c>
      <c r="DX14">
        <f>SUM(D14:DS14)</f>
        <v/>
      </c>
      <c r="DY14">
        <f>IF(B14="",0,IF(COUNTIF('割り当て'!$C$6:$L$17,B14)=1,SUMPRODUCT(('割り当て'!$C$6:$L$17=B14)*((COLUMN('割り当て'!$C$6:$L$17)-3)*12+ROW('割り当て'!$C$6:$L$17)-5)),0))</f>
        <v/>
      </c>
      <c r="DZ14">
        <f>IFERROR(MATCH('名簿'!E9,{"早い時刻","遅い時刻","早い日","遅い日"},0),0)</f>
        <v/>
      </c>
      <c r="EA14">
        <f>IF('名簿'!F9="必ず空けたい",2,IF('名簿'!F9="出来れば空けたい",1,0))</f>
        <v/>
      </c>
    </row>
    <row r="15">
      <c r="A15" t="n">
        <v>6</v>
      </c>
      <c r="B15">
        <f>'名簿'!G10</f>
        <v/>
      </c>
      <c r="C15">
        <f>IF(AND(B15&lt;&gt;"",OR('名簿'!H10="入力済み",'名簿'!H10="×なし"),DY15=0,COUNTIF('割り当て'!$C$6:$L$17,B15)=0),1,0)</f>
        <v/>
      </c>
      <c r="D15">
        <f>IF(D$4=1,IF(INDEX('×入力'!$C$1:$L$700,81+D$3,D$2)&lt;&gt;"",1,0),0)</f>
        <v/>
      </c>
      <c r="E15">
        <f>IF(E$4=1,IF(INDEX('×入力'!$C$1:$L$700,81+E$3,E$2)&lt;&gt;"",1,0),0)</f>
        <v/>
      </c>
      <c r="F15">
        <f>IF(F$4=1,IF(INDEX('×入力'!$C$1:$L$700,81+F$3,F$2)&lt;&gt;"",1,0),0)</f>
        <v/>
      </c>
      <c r="G15">
        <f>IF(G$4=1,IF(INDEX('×入力'!$C$1:$L$700,81+G$3,G$2)&lt;&gt;"",1,0),0)</f>
        <v/>
      </c>
      <c r="H15">
        <f>IF(H$4=1,IF(INDEX('×入力'!$C$1:$L$700,81+H$3,H$2)&lt;&gt;"",1,0),0)</f>
        <v/>
      </c>
      <c r="I15">
        <f>IF(I$4=1,IF(INDEX('×入力'!$C$1:$L$700,81+I$3,I$2)&lt;&gt;"",1,0),0)</f>
        <v/>
      </c>
      <c r="J15">
        <f>IF(J$4=1,IF(INDEX('×入力'!$C$1:$L$700,81+J$3,J$2)&lt;&gt;"",1,0),0)</f>
        <v/>
      </c>
      <c r="K15">
        <f>IF(K$4=1,IF(INDEX('×入力'!$C$1:$L$700,81+K$3,K$2)&lt;&gt;"",1,0),0)</f>
        <v/>
      </c>
      <c r="L15">
        <f>IF(L$4=1,IF(INDEX('×入力'!$C$1:$L$700,81+L$3,L$2)&lt;&gt;"",1,0),0)</f>
        <v/>
      </c>
      <c r="M15">
        <f>IF(M$4=1,IF(INDEX('×入力'!$C$1:$L$700,81+M$3,M$2)&lt;&gt;"",1,0),0)</f>
        <v/>
      </c>
      <c r="N15">
        <f>IF(N$4=1,IF(INDEX('×入力'!$C$1:$L$700,81+N$3,N$2)&lt;&gt;"",1,0),0)</f>
        <v/>
      </c>
      <c r="O15">
        <f>IF(O$4=1,IF(INDEX('×入力'!$C$1:$L$700,81+O$3,O$2)&lt;&gt;"",1,0),0)</f>
        <v/>
      </c>
      <c r="P15">
        <f>IF(P$4=1,IF(INDEX('×入力'!$C$1:$L$700,81+P$3,P$2)&lt;&gt;"",1,0),0)</f>
        <v/>
      </c>
      <c r="Q15">
        <f>IF(Q$4=1,IF(INDEX('×入力'!$C$1:$L$700,81+Q$3,Q$2)&lt;&gt;"",1,0),0)</f>
        <v/>
      </c>
      <c r="R15">
        <f>IF(R$4=1,IF(INDEX('×入力'!$C$1:$L$700,81+R$3,R$2)&lt;&gt;"",1,0),0)</f>
        <v/>
      </c>
      <c r="S15">
        <f>IF(S$4=1,IF(INDEX('×入力'!$C$1:$L$700,81+S$3,S$2)&lt;&gt;"",1,0),0)</f>
        <v/>
      </c>
      <c r="T15">
        <f>IF(T$4=1,IF(INDEX('×入力'!$C$1:$L$700,81+T$3,T$2)&lt;&gt;"",1,0),0)</f>
        <v/>
      </c>
      <c r="U15">
        <f>IF(U$4=1,IF(INDEX('×入力'!$C$1:$L$700,81+U$3,U$2)&lt;&gt;"",1,0),0)</f>
        <v/>
      </c>
      <c r="V15">
        <f>IF(V$4=1,IF(INDEX('×入力'!$C$1:$L$700,81+V$3,V$2)&lt;&gt;"",1,0),0)</f>
        <v/>
      </c>
      <c r="W15">
        <f>IF(W$4=1,IF(INDEX('×入力'!$C$1:$L$700,81+W$3,W$2)&lt;&gt;"",1,0),0)</f>
        <v/>
      </c>
      <c r="X15">
        <f>IF(X$4=1,IF(INDEX('×入力'!$C$1:$L$700,81+X$3,X$2)&lt;&gt;"",1,0),0)</f>
        <v/>
      </c>
      <c r="Y15">
        <f>IF(Y$4=1,IF(INDEX('×入力'!$C$1:$L$700,81+Y$3,Y$2)&lt;&gt;"",1,0),0)</f>
        <v/>
      </c>
      <c r="Z15">
        <f>IF(Z$4=1,IF(INDEX('×入力'!$C$1:$L$700,81+Z$3,Z$2)&lt;&gt;"",1,0),0)</f>
        <v/>
      </c>
      <c r="AA15">
        <f>IF(AA$4=1,IF(INDEX('×入力'!$C$1:$L$700,81+AA$3,AA$2)&lt;&gt;"",1,0),0)</f>
        <v/>
      </c>
      <c r="AB15">
        <f>IF(AB$4=1,IF(INDEX('×入力'!$C$1:$L$700,81+AB$3,AB$2)&lt;&gt;"",1,0),0)</f>
        <v/>
      </c>
      <c r="AC15">
        <f>IF(AC$4=1,IF(INDEX('×入力'!$C$1:$L$700,81+AC$3,AC$2)&lt;&gt;"",1,0),0)</f>
        <v/>
      </c>
      <c r="AD15">
        <f>IF(AD$4=1,IF(INDEX('×入力'!$C$1:$L$700,81+AD$3,AD$2)&lt;&gt;"",1,0),0)</f>
        <v/>
      </c>
      <c r="AE15">
        <f>IF(AE$4=1,IF(INDEX('×入力'!$C$1:$L$700,81+AE$3,AE$2)&lt;&gt;"",1,0),0)</f>
        <v/>
      </c>
      <c r="AF15">
        <f>IF(AF$4=1,IF(INDEX('×入力'!$C$1:$L$700,81+AF$3,AF$2)&lt;&gt;"",1,0),0)</f>
        <v/>
      </c>
      <c r="AG15">
        <f>IF(AG$4=1,IF(INDEX('×入力'!$C$1:$L$700,81+AG$3,AG$2)&lt;&gt;"",1,0),0)</f>
        <v/>
      </c>
      <c r="AH15">
        <f>IF(AH$4=1,IF(INDEX('×入力'!$C$1:$L$700,81+AH$3,AH$2)&lt;&gt;"",1,0),0)</f>
        <v/>
      </c>
      <c r="AI15">
        <f>IF(AI$4=1,IF(INDEX('×入力'!$C$1:$L$700,81+AI$3,AI$2)&lt;&gt;"",1,0),0)</f>
        <v/>
      </c>
      <c r="AJ15">
        <f>IF(AJ$4=1,IF(INDEX('×入力'!$C$1:$L$700,81+AJ$3,AJ$2)&lt;&gt;"",1,0),0)</f>
        <v/>
      </c>
      <c r="AK15">
        <f>IF(AK$4=1,IF(INDEX('×入力'!$C$1:$L$700,81+AK$3,AK$2)&lt;&gt;"",1,0),0)</f>
        <v/>
      </c>
      <c r="AL15">
        <f>IF(AL$4=1,IF(INDEX('×入力'!$C$1:$L$700,81+AL$3,AL$2)&lt;&gt;"",1,0),0)</f>
        <v/>
      </c>
      <c r="AM15">
        <f>IF(AM$4=1,IF(INDEX('×入力'!$C$1:$L$700,81+AM$3,AM$2)&lt;&gt;"",1,0),0)</f>
        <v/>
      </c>
      <c r="AN15">
        <f>IF(AN$4=1,IF(INDEX('×入力'!$C$1:$L$700,81+AN$3,AN$2)&lt;&gt;"",1,0),0)</f>
        <v/>
      </c>
      <c r="AO15">
        <f>IF(AO$4=1,IF(INDEX('×入力'!$C$1:$L$700,81+AO$3,AO$2)&lt;&gt;"",1,0),0)</f>
        <v/>
      </c>
      <c r="AP15">
        <f>IF(AP$4=1,IF(INDEX('×入力'!$C$1:$L$700,81+AP$3,AP$2)&lt;&gt;"",1,0),0)</f>
        <v/>
      </c>
      <c r="AQ15">
        <f>IF(AQ$4=1,IF(INDEX('×入力'!$C$1:$L$700,81+AQ$3,AQ$2)&lt;&gt;"",1,0),0)</f>
        <v/>
      </c>
      <c r="AR15">
        <f>IF(AR$4=1,IF(INDEX('×入力'!$C$1:$L$700,81+AR$3,AR$2)&lt;&gt;"",1,0),0)</f>
        <v/>
      </c>
      <c r="AS15">
        <f>IF(AS$4=1,IF(INDEX('×入力'!$C$1:$L$700,81+AS$3,AS$2)&lt;&gt;"",1,0),0)</f>
        <v/>
      </c>
      <c r="AT15">
        <f>IF(AT$4=1,IF(INDEX('×入力'!$C$1:$L$700,81+AT$3,AT$2)&lt;&gt;"",1,0),0)</f>
        <v/>
      </c>
      <c r="AU15">
        <f>IF(AU$4=1,IF(INDEX('×入力'!$C$1:$L$700,81+AU$3,AU$2)&lt;&gt;"",1,0),0)</f>
        <v/>
      </c>
      <c r="AV15">
        <f>IF(AV$4=1,IF(INDEX('×入力'!$C$1:$L$700,81+AV$3,AV$2)&lt;&gt;"",1,0),0)</f>
        <v/>
      </c>
      <c r="AW15">
        <f>IF(AW$4=1,IF(INDEX('×入力'!$C$1:$L$700,81+AW$3,AW$2)&lt;&gt;"",1,0),0)</f>
        <v/>
      </c>
      <c r="AX15">
        <f>IF(AX$4=1,IF(INDEX('×入力'!$C$1:$L$700,81+AX$3,AX$2)&lt;&gt;"",1,0),0)</f>
        <v/>
      </c>
      <c r="AY15">
        <f>IF(AY$4=1,IF(INDEX('×入力'!$C$1:$L$700,81+AY$3,AY$2)&lt;&gt;"",1,0),0)</f>
        <v/>
      </c>
      <c r="AZ15">
        <f>IF(AZ$4=1,IF(INDEX('×入力'!$C$1:$L$700,81+AZ$3,AZ$2)&lt;&gt;"",1,0),0)</f>
        <v/>
      </c>
      <c r="BA15">
        <f>IF(BA$4=1,IF(INDEX('×入力'!$C$1:$L$700,81+BA$3,BA$2)&lt;&gt;"",1,0),0)</f>
        <v/>
      </c>
      <c r="BB15">
        <f>IF(BB$4=1,IF(INDEX('×入力'!$C$1:$L$700,81+BB$3,BB$2)&lt;&gt;"",1,0),0)</f>
        <v/>
      </c>
      <c r="BC15">
        <f>IF(BC$4=1,IF(INDEX('×入力'!$C$1:$L$700,81+BC$3,BC$2)&lt;&gt;"",1,0),0)</f>
        <v/>
      </c>
      <c r="BD15">
        <f>IF(BD$4=1,IF(INDEX('×入力'!$C$1:$L$700,81+BD$3,BD$2)&lt;&gt;"",1,0),0)</f>
        <v/>
      </c>
      <c r="BE15">
        <f>IF(BE$4=1,IF(INDEX('×入力'!$C$1:$L$700,81+BE$3,BE$2)&lt;&gt;"",1,0),0)</f>
        <v/>
      </c>
      <c r="BF15">
        <f>IF(BF$4=1,IF(INDEX('×入力'!$C$1:$L$700,81+BF$3,BF$2)&lt;&gt;"",1,0),0)</f>
        <v/>
      </c>
      <c r="BG15">
        <f>IF(BG$4=1,IF(INDEX('×入力'!$C$1:$L$700,81+BG$3,BG$2)&lt;&gt;"",1,0),0)</f>
        <v/>
      </c>
      <c r="BH15">
        <f>IF(BH$4=1,IF(INDEX('×入力'!$C$1:$L$700,81+BH$3,BH$2)&lt;&gt;"",1,0),0)</f>
        <v/>
      </c>
      <c r="BI15">
        <f>IF(BI$4=1,IF(INDEX('×入力'!$C$1:$L$700,81+BI$3,BI$2)&lt;&gt;"",1,0),0)</f>
        <v/>
      </c>
      <c r="BJ15">
        <f>IF(BJ$4=1,IF(INDEX('×入力'!$C$1:$L$700,81+BJ$3,BJ$2)&lt;&gt;"",1,0),0)</f>
        <v/>
      </c>
      <c r="BK15">
        <f>IF(BK$4=1,IF(INDEX('×入力'!$C$1:$L$700,81+BK$3,BK$2)&lt;&gt;"",1,0),0)</f>
        <v/>
      </c>
      <c r="BL15">
        <f>IF(BL$4=1,IF(INDEX('×入力'!$C$1:$L$700,81+BL$3,BL$2)&lt;&gt;"",1,0),0)</f>
        <v/>
      </c>
      <c r="BM15">
        <f>IF(BM$4=1,IF(INDEX('×入力'!$C$1:$L$700,81+BM$3,BM$2)&lt;&gt;"",1,0),0)</f>
        <v/>
      </c>
      <c r="BN15">
        <f>IF(BN$4=1,IF(INDEX('×入力'!$C$1:$L$700,81+BN$3,BN$2)&lt;&gt;"",1,0),0)</f>
        <v/>
      </c>
      <c r="BO15">
        <f>IF(BO$4=1,IF(INDEX('×入力'!$C$1:$L$700,81+BO$3,BO$2)&lt;&gt;"",1,0),0)</f>
        <v/>
      </c>
      <c r="BP15">
        <f>IF(BP$4=1,IF(INDEX('×入力'!$C$1:$L$700,81+BP$3,BP$2)&lt;&gt;"",1,0),0)</f>
        <v/>
      </c>
      <c r="BQ15">
        <f>IF(BQ$4=1,IF(INDEX('×入力'!$C$1:$L$700,81+BQ$3,BQ$2)&lt;&gt;"",1,0),0)</f>
        <v/>
      </c>
      <c r="BR15">
        <f>IF(BR$4=1,IF(INDEX('×入力'!$C$1:$L$700,81+BR$3,BR$2)&lt;&gt;"",1,0),0)</f>
        <v/>
      </c>
      <c r="BS15">
        <f>IF(BS$4=1,IF(INDEX('×入力'!$C$1:$L$700,81+BS$3,BS$2)&lt;&gt;"",1,0),0)</f>
        <v/>
      </c>
      <c r="BT15">
        <f>IF(BT$4=1,IF(INDEX('×入力'!$C$1:$L$700,81+BT$3,BT$2)&lt;&gt;"",1,0),0)</f>
        <v/>
      </c>
      <c r="BU15">
        <f>IF(BU$4=1,IF(INDEX('×入力'!$C$1:$L$700,81+BU$3,BU$2)&lt;&gt;"",1,0),0)</f>
        <v/>
      </c>
      <c r="BV15">
        <f>IF(BV$4=1,IF(INDEX('×入力'!$C$1:$L$700,81+BV$3,BV$2)&lt;&gt;"",1,0),0)</f>
        <v/>
      </c>
      <c r="BW15">
        <f>IF(BW$4=1,IF(INDEX('×入力'!$C$1:$L$700,81+BW$3,BW$2)&lt;&gt;"",1,0),0)</f>
        <v/>
      </c>
      <c r="BX15">
        <f>IF(BX$4=1,IF(INDEX('×入力'!$C$1:$L$700,81+BX$3,BX$2)&lt;&gt;"",1,0),0)</f>
        <v/>
      </c>
      <c r="BY15">
        <f>IF(BY$4=1,IF(INDEX('×入力'!$C$1:$L$700,81+BY$3,BY$2)&lt;&gt;"",1,0),0)</f>
        <v/>
      </c>
      <c r="BZ15">
        <f>IF(BZ$4=1,IF(INDEX('×入力'!$C$1:$L$700,81+BZ$3,BZ$2)&lt;&gt;"",1,0),0)</f>
        <v/>
      </c>
      <c r="CA15">
        <f>IF(CA$4=1,IF(INDEX('×入力'!$C$1:$L$700,81+CA$3,CA$2)&lt;&gt;"",1,0),0)</f>
        <v/>
      </c>
      <c r="CB15">
        <f>IF(CB$4=1,IF(INDEX('×入力'!$C$1:$L$700,81+CB$3,CB$2)&lt;&gt;"",1,0),0)</f>
        <v/>
      </c>
      <c r="CC15">
        <f>IF(CC$4=1,IF(INDEX('×入力'!$C$1:$L$700,81+CC$3,CC$2)&lt;&gt;"",1,0),0)</f>
        <v/>
      </c>
      <c r="CD15">
        <f>IF(CD$4=1,IF(INDEX('×入力'!$C$1:$L$700,81+CD$3,CD$2)&lt;&gt;"",1,0),0)</f>
        <v/>
      </c>
      <c r="CE15">
        <f>IF(CE$4=1,IF(INDEX('×入力'!$C$1:$L$700,81+CE$3,CE$2)&lt;&gt;"",1,0),0)</f>
        <v/>
      </c>
      <c r="CF15">
        <f>IF(CF$4=1,IF(INDEX('×入力'!$C$1:$L$700,81+CF$3,CF$2)&lt;&gt;"",1,0),0)</f>
        <v/>
      </c>
      <c r="CG15">
        <f>IF(CG$4=1,IF(INDEX('×入力'!$C$1:$L$700,81+CG$3,CG$2)&lt;&gt;"",1,0),0)</f>
        <v/>
      </c>
      <c r="CH15">
        <f>IF(CH$4=1,IF(INDEX('×入力'!$C$1:$L$700,81+CH$3,CH$2)&lt;&gt;"",1,0),0)</f>
        <v/>
      </c>
      <c r="CI15">
        <f>IF(CI$4=1,IF(INDEX('×入力'!$C$1:$L$700,81+CI$3,CI$2)&lt;&gt;"",1,0),0)</f>
        <v/>
      </c>
      <c r="CJ15">
        <f>IF(CJ$4=1,IF(INDEX('×入力'!$C$1:$L$700,81+CJ$3,CJ$2)&lt;&gt;"",1,0),0)</f>
        <v/>
      </c>
      <c r="CK15">
        <f>IF(CK$4=1,IF(INDEX('×入力'!$C$1:$L$700,81+CK$3,CK$2)&lt;&gt;"",1,0),0)</f>
        <v/>
      </c>
      <c r="CL15">
        <f>IF(CL$4=1,IF(INDEX('×入力'!$C$1:$L$700,81+CL$3,CL$2)&lt;&gt;"",1,0),0)</f>
        <v/>
      </c>
      <c r="CM15">
        <f>IF(CM$4=1,IF(INDEX('×入力'!$C$1:$L$700,81+CM$3,CM$2)&lt;&gt;"",1,0),0)</f>
        <v/>
      </c>
      <c r="CN15">
        <f>IF(CN$4=1,IF(INDEX('×入力'!$C$1:$L$700,81+CN$3,CN$2)&lt;&gt;"",1,0),0)</f>
        <v/>
      </c>
      <c r="CO15">
        <f>IF(CO$4=1,IF(INDEX('×入力'!$C$1:$L$700,81+CO$3,CO$2)&lt;&gt;"",1,0),0)</f>
        <v/>
      </c>
      <c r="CP15">
        <f>IF(CP$4=1,IF(INDEX('×入力'!$C$1:$L$700,81+CP$3,CP$2)&lt;&gt;"",1,0),0)</f>
        <v/>
      </c>
      <c r="CQ15">
        <f>IF(CQ$4=1,IF(INDEX('×入力'!$C$1:$L$700,81+CQ$3,CQ$2)&lt;&gt;"",1,0),0)</f>
        <v/>
      </c>
      <c r="CR15">
        <f>IF(CR$4=1,IF(INDEX('×入力'!$C$1:$L$700,81+CR$3,CR$2)&lt;&gt;"",1,0),0)</f>
        <v/>
      </c>
      <c r="CS15">
        <f>IF(CS$4=1,IF(INDEX('×入力'!$C$1:$L$700,81+CS$3,CS$2)&lt;&gt;"",1,0),0)</f>
        <v/>
      </c>
      <c r="CT15">
        <f>IF(CT$4=1,IF(INDEX('×入力'!$C$1:$L$700,81+CT$3,CT$2)&lt;&gt;"",1,0),0)</f>
        <v/>
      </c>
      <c r="CU15">
        <f>IF(CU$4=1,IF(INDEX('×入力'!$C$1:$L$700,81+CU$3,CU$2)&lt;&gt;"",1,0),0)</f>
        <v/>
      </c>
      <c r="CV15">
        <f>IF(CV$4=1,IF(INDEX('×入力'!$C$1:$L$700,81+CV$3,CV$2)&lt;&gt;"",1,0),0)</f>
        <v/>
      </c>
      <c r="CW15">
        <f>IF(CW$4=1,IF(INDEX('×入力'!$C$1:$L$700,81+CW$3,CW$2)&lt;&gt;"",1,0),0)</f>
        <v/>
      </c>
      <c r="CX15">
        <f>IF(CX$4=1,IF(INDEX('×入力'!$C$1:$L$700,81+CX$3,CX$2)&lt;&gt;"",1,0),0)</f>
        <v/>
      </c>
      <c r="CY15">
        <f>IF(CY$4=1,IF(INDEX('×入力'!$C$1:$L$700,81+CY$3,CY$2)&lt;&gt;"",1,0),0)</f>
        <v/>
      </c>
      <c r="CZ15">
        <f>IF(CZ$4=1,IF(INDEX('×入力'!$C$1:$L$700,81+CZ$3,CZ$2)&lt;&gt;"",1,0),0)</f>
        <v/>
      </c>
      <c r="DA15">
        <f>IF(DA$4=1,IF(INDEX('×入力'!$C$1:$L$700,81+DA$3,DA$2)&lt;&gt;"",1,0),0)</f>
        <v/>
      </c>
      <c r="DB15">
        <f>IF(DB$4=1,IF(INDEX('×入力'!$C$1:$L$700,81+DB$3,DB$2)&lt;&gt;"",1,0),0)</f>
        <v/>
      </c>
      <c r="DC15">
        <f>IF(DC$4=1,IF(INDEX('×入力'!$C$1:$L$700,81+DC$3,DC$2)&lt;&gt;"",1,0),0)</f>
        <v/>
      </c>
      <c r="DD15">
        <f>IF(DD$4=1,IF(INDEX('×入力'!$C$1:$L$700,81+DD$3,DD$2)&lt;&gt;"",1,0),0)</f>
        <v/>
      </c>
      <c r="DE15">
        <f>IF(DE$4=1,IF(INDEX('×入力'!$C$1:$L$700,81+DE$3,DE$2)&lt;&gt;"",1,0),0)</f>
        <v/>
      </c>
      <c r="DF15">
        <f>IF(DF$4=1,IF(INDEX('×入力'!$C$1:$L$700,81+DF$3,DF$2)&lt;&gt;"",1,0),0)</f>
        <v/>
      </c>
      <c r="DG15">
        <f>IF(DG$4=1,IF(INDEX('×入力'!$C$1:$L$700,81+DG$3,DG$2)&lt;&gt;"",1,0),0)</f>
        <v/>
      </c>
      <c r="DH15">
        <f>IF(DH$4=1,IF(INDEX('×入力'!$C$1:$L$700,81+DH$3,DH$2)&lt;&gt;"",1,0),0)</f>
        <v/>
      </c>
      <c r="DI15">
        <f>IF(DI$4=1,IF(INDEX('×入力'!$C$1:$L$700,81+DI$3,DI$2)&lt;&gt;"",1,0),0)</f>
        <v/>
      </c>
      <c r="DJ15">
        <f>IF(DJ$4=1,IF(INDEX('×入力'!$C$1:$L$700,81+DJ$3,DJ$2)&lt;&gt;"",1,0),0)</f>
        <v/>
      </c>
      <c r="DK15">
        <f>IF(DK$4=1,IF(INDEX('×入力'!$C$1:$L$700,81+DK$3,DK$2)&lt;&gt;"",1,0),0)</f>
        <v/>
      </c>
      <c r="DL15">
        <f>IF(DL$4=1,IF(INDEX('×入力'!$C$1:$L$700,81+DL$3,DL$2)&lt;&gt;"",1,0),0)</f>
        <v/>
      </c>
      <c r="DM15">
        <f>IF(DM$4=1,IF(INDEX('×入力'!$C$1:$L$700,81+DM$3,DM$2)&lt;&gt;"",1,0),0)</f>
        <v/>
      </c>
      <c r="DN15">
        <f>IF(DN$4=1,IF(INDEX('×入力'!$C$1:$L$700,81+DN$3,DN$2)&lt;&gt;"",1,0),0)</f>
        <v/>
      </c>
      <c r="DO15">
        <f>IF(DO$4=1,IF(INDEX('×入力'!$C$1:$L$700,81+DO$3,DO$2)&lt;&gt;"",1,0),0)</f>
        <v/>
      </c>
      <c r="DP15">
        <f>IF(DP$4=1,IF(INDEX('×入力'!$C$1:$L$700,81+DP$3,DP$2)&lt;&gt;"",1,0),0)</f>
        <v/>
      </c>
      <c r="DQ15">
        <f>IF(DQ$4=1,IF(INDEX('×入力'!$C$1:$L$700,81+DQ$3,DQ$2)&lt;&gt;"",1,0),0)</f>
        <v/>
      </c>
      <c r="DR15">
        <f>IF(DR$4=1,IF(INDEX('×入力'!$C$1:$L$700,81+DR$3,DR$2)&lt;&gt;"",1,0),0)</f>
        <v/>
      </c>
      <c r="DS15">
        <f>IF(DS$4=1,IF(INDEX('×入力'!$C$1:$L$700,81+DS$3,DS$2)&lt;&gt;"",1,0),0)</f>
        <v/>
      </c>
      <c r="DU15">
        <f>IFERROR(INDEX('計算B'!$C$3:$C$47,MATCH(A15,'計算B'!$B$3:$B$47,0)),0)</f>
        <v/>
      </c>
      <c r="DV15">
        <f>IF(AND(C15=1,DU15=0),1,0)</f>
        <v/>
      </c>
      <c r="DW15">
        <f>SUMPRODUCT(D65:DS65*(1-$D$7:$DS$7))</f>
        <v/>
      </c>
      <c r="DX15">
        <f>SUM(D15:DS15)</f>
        <v/>
      </c>
      <c r="DY15">
        <f>IF(B15="",0,IF(COUNTIF('割り当て'!$C$6:$L$17,B15)=1,SUMPRODUCT(('割り当て'!$C$6:$L$17=B15)*((COLUMN('割り当て'!$C$6:$L$17)-3)*12+ROW('割り当て'!$C$6:$L$17)-5)),0))</f>
        <v/>
      </c>
      <c r="DZ15">
        <f>IFERROR(MATCH('名簿'!E10,{"早い時刻","遅い時刻","早い日","遅い日"},0),0)</f>
        <v/>
      </c>
      <c r="EA15">
        <f>IF('名簿'!F10="必ず空けたい",2,IF('名簿'!F10="出来れば空けたい",1,0))</f>
        <v/>
      </c>
    </row>
    <row r="16">
      <c r="A16" t="n">
        <v>7</v>
      </c>
      <c r="B16">
        <f>'名簿'!G11</f>
        <v/>
      </c>
      <c r="C16">
        <f>IF(AND(B16&lt;&gt;"",OR('名簿'!H11="入力済み",'名簿'!H11="×なし"),DY16=0,COUNTIF('割り当て'!$C$6:$L$17,B16)=0),1,0)</f>
        <v/>
      </c>
      <c r="D16">
        <f>IF(D$4=1,IF(INDEX('×入力'!$C$1:$L$700,96+D$3,D$2)&lt;&gt;"",1,0),0)</f>
        <v/>
      </c>
      <c r="E16">
        <f>IF(E$4=1,IF(INDEX('×入力'!$C$1:$L$700,96+E$3,E$2)&lt;&gt;"",1,0),0)</f>
        <v/>
      </c>
      <c r="F16">
        <f>IF(F$4=1,IF(INDEX('×入力'!$C$1:$L$700,96+F$3,F$2)&lt;&gt;"",1,0),0)</f>
        <v/>
      </c>
      <c r="G16">
        <f>IF(G$4=1,IF(INDEX('×入力'!$C$1:$L$700,96+G$3,G$2)&lt;&gt;"",1,0),0)</f>
        <v/>
      </c>
      <c r="H16">
        <f>IF(H$4=1,IF(INDEX('×入力'!$C$1:$L$700,96+H$3,H$2)&lt;&gt;"",1,0),0)</f>
        <v/>
      </c>
      <c r="I16">
        <f>IF(I$4=1,IF(INDEX('×入力'!$C$1:$L$700,96+I$3,I$2)&lt;&gt;"",1,0),0)</f>
        <v/>
      </c>
      <c r="J16">
        <f>IF(J$4=1,IF(INDEX('×入力'!$C$1:$L$700,96+J$3,J$2)&lt;&gt;"",1,0),0)</f>
        <v/>
      </c>
      <c r="K16">
        <f>IF(K$4=1,IF(INDEX('×入力'!$C$1:$L$700,96+K$3,K$2)&lt;&gt;"",1,0),0)</f>
        <v/>
      </c>
      <c r="L16">
        <f>IF(L$4=1,IF(INDEX('×入力'!$C$1:$L$700,96+L$3,L$2)&lt;&gt;"",1,0),0)</f>
        <v/>
      </c>
      <c r="M16">
        <f>IF(M$4=1,IF(INDEX('×入力'!$C$1:$L$700,96+M$3,M$2)&lt;&gt;"",1,0),0)</f>
        <v/>
      </c>
      <c r="N16">
        <f>IF(N$4=1,IF(INDEX('×入力'!$C$1:$L$700,96+N$3,N$2)&lt;&gt;"",1,0),0)</f>
        <v/>
      </c>
      <c r="O16">
        <f>IF(O$4=1,IF(INDEX('×入力'!$C$1:$L$700,96+O$3,O$2)&lt;&gt;"",1,0),0)</f>
        <v/>
      </c>
      <c r="P16">
        <f>IF(P$4=1,IF(INDEX('×入力'!$C$1:$L$700,96+P$3,P$2)&lt;&gt;"",1,0),0)</f>
        <v/>
      </c>
      <c r="Q16">
        <f>IF(Q$4=1,IF(INDEX('×入力'!$C$1:$L$700,96+Q$3,Q$2)&lt;&gt;"",1,0),0)</f>
        <v/>
      </c>
      <c r="R16">
        <f>IF(R$4=1,IF(INDEX('×入力'!$C$1:$L$700,96+R$3,R$2)&lt;&gt;"",1,0),0)</f>
        <v/>
      </c>
      <c r="S16">
        <f>IF(S$4=1,IF(INDEX('×入力'!$C$1:$L$700,96+S$3,S$2)&lt;&gt;"",1,0),0)</f>
        <v/>
      </c>
      <c r="T16">
        <f>IF(T$4=1,IF(INDEX('×入力'!$C$1:$L$700,96+T$3,T$2)&lt;&gt;"",1,0),0)</f>
        <v/>
      </c>
      <c r="U16">
        <f>IF(U$4=1,IF(INDEX('×入力'!$C$1:$L$700,96+U$3,U$2)&lt;&gt;"",1,0),0)</f>
        <v/>
      </c>
      <c r="V16">
        <f>IF(V$4=1,IF(INDEX('×入力'!$C$1:$L$700,96+V$3,V$2)&lt;&gt;"",1,0),0)</f>
        <v/>
      </c>
      <c r="W16">
        <f>IF(W$4=1,IF(INDEX('×入力'!$C$1:$L$700,96+W$3,W$2)&lt;&gt;"",1,0),0)</f>
        <v/>
      </c>
      <c r="X16">
        <f>IF(X$4=1,IF(INDEX('×入力'!$C$1:$L$700,96+X$3,X$2)&lt;&gt;"",1,0),0)</f>
        <v/>
      </c>
      <c r="Y16">
        <f>IF(Y$4=1,IF(INDEX('×入力'!$C$1:$L$700,96+Y$3,Y$2)&lt;&gt;"",1,0),0)</f>
        <v/>
      </c>
      <c r="Z16">
        <f>IF(Z$4=1,IF(INDEX('×入力'!$C$1:$L$700,96+Z$3,Z$2)&lt;&gt;"",1,0),0)</f>
        <v/>
      </c>
      <c r="AA16">
        <f>IF(AA$4=1,IF(INDEX('×入力'!$C$1:$L$700,96+AA$3,AA$2)&lt;&gt;"",1,0),0)</f>
        <v/>
      </c>
      <c r="AB16">
        <f>IF(AB$4=1,IF(INDEX('×入力'!$C$1:$L$700,96+AB$3,AB$2)&lt;&gt;"",1,0),0)</f>
        <v/>
      </c>
      <c r="AC16">
        <f>IF(AC$4=1,IF(INDEX('×入力'!$C$1:$L$700,96+AC$3,AC$2)&lt;&gt;"",1,0),0)</f>
        <v/>
      </c>
      <c r="AD16">
        <f>IF(AD$4=1,IF(INDEX('×入力'!$C$1:$L$700,96+AD$3,AD$2)&lt;&gt;"",1,0),0)</f>
        <v/>
      </c>
      <c r="AE16">
        <f>IF(AE$4=1,IF(INDEX('×入力'!$C$1:$L$700,96+AE$3,AE$2)&lt;&gt;"",1,0),0)</f>
        <v/>
      </c>
      <c r="AF16">
        <f>IF(AF$4=1,IF(INDEX('×入力'!$C$1:$L$700,96+AF$3,AF$2)&lt;&gt;"",1,0),0)</f>
        <v/>
      </c>
      <c r="AG16">
        <f>IF(AG$4=1,IF(INDEX('×入力'!$C$1:$L$700,96+AG$3,AG$2)&lt;&gt;"",1,0),0)</f>
        <v/>
      </c>
      <c r="AH16">
        <f>IF(AH$4=1,IF(INDEX('×入力'!$C$1:$L$700,96+AH$3,AH$2)&lt;&gt;"",1,0),0)</f>
        <v/>
      </c>
      <c r="AI16">
        <f>IF(AI$4=1,IF(INDEX('×入力'!$C$1:$L$700,96+AI$3,AI$2)&lt;&gt;"",1,0),0)</f>
        <v/>
      </c>
      <c r="AJ16">
        <f>IF(AJ$4=1,IF(INDEX('×入力'!$C$1:$L$700,96+AJ$3,AJ$2)&lt;&gt;"",1,0),0)</f>
        <v/>
      </c>
      <c r="AK16">
        <f>IF(AK$4=1,IF(INDEX('×入力'!$C$1:$L$700,96+AK$3,AK$2)&lt;&gt;"",1,0),0)</f>
        <v/>
      </c>
      <c r="AL16">
        <f>IF(AL$4=1,IF(INDEX('×入力'!$C$1:$L$700,96+AL$3,AL$2)&lt;&gt;"",1,0),0)</f>
        <v/>
      </c>
      <c r="AM16">
        <f>IF(AM$4=1,IF(INDEX('×入力'!$C$1:$L$700,96+AM$3,AM$2)&lt;&gt;"",1,0),0)</f>
        <v/>
      </c>
      <c r="AN16">
        <f>IF(AN$4=1,IF(INDEX('×入力'!$C$1:$L$700,96+AN$3,AN$2)&lt;&gt;"",1,0),0)</f>
        <v/>
      </c>
      <c r="AO16">
        <f>IF(AO$4=1,IF(INDEX('×入力'!$C$1:$L$700,96+AO$3,AO$2)&lt;&gt;"",1,0),0)</f>
        <v/>
      </c>
      <c r="AP16">
        <f>IF(AP$4=1,IF(INDEX('×入力'!$C$1:$L$700,96+AP$3,AP$2)&lt;&gt;"",1,0),0)</f>
        <v/>
      </c>
      <c r="AQ16">
        <f>IF(AQ$4=1,IF(INDEX('×入力'!$C$1:$L$700,96+AQ$3,AQ$2)&lt;&gt;"",1,0),0)</f>
        <v/>
      </c>
      <c r="AR16">
        <f>IF(AR$4=1,IF(INDEX('×入力'!$C$1:$L$700,96+AR$3,AR$2)&lt;&gt;"",1,0),0)</f>
        <v/>
      </c>
      <c r="AS16">
        <f>IF(AS$4=1,IF(INDEX('×入力'!$C$1:$L$700,96+AS$3,AS$2)&lt;&gt;"",1,0),0)</f>
        <v/>
      </c>
      <c r="AT16">
        <f>IF(AT$4=1,IF(INDEX('×入力'!$C$1:$L$700,96+AT$3,AT$2)&lt;&gt;"",1,0),0)</f>
        <v/>
      </c>
      <c r="AU16">
        <f>IF(AU$4=1,IF(INDEX('×入力'!$C$1:$L$700,96+AU$3,AU$2)&lt;&gt;"",1,0),0)</f>
        <v/>
      </c>
      <c r="AV16">
        <f>IF(AV$4=1,IF(INDEX('×入力'!$C$1:$L$700,96+AV$3,AV$2)&lt;&gt;"",1,0),0)</f>
        <v/>
      </c>
      <c r="AW16">
        <f>IF(AW$4=1,IF(INDEX('×入力'!$C$1:$L$700,96+AW$3,AW$2)&lt;&gt;"",1,0),0)</f>
        <v/>
      </c>
      <c r="AX16">
        <f>IF(AX$4=1,IF(INDEX('×入力'!$C$1:$L$700,96+AX$3,AX$2)&lt;&gt;"",1,0),0)</f>
        <v/>
      </c>
      <c r="AY16">
        <f>IF(AY$4=1,IF(INDEX('×入力'!$C$1:$L$700,96+AY$3,AY$2)&lt;&gt;"",1,0),0)</f>
        <v/>
      </c>
      <c r="AZ16">
        <f>IF(AZ$4=1,IF(INDEX('×入力'!$C$1:$L$700,96+AZ$3,AZ$2)&lt;&gt;"",1,0),0)</f>
        <v/>
      </c>
      <c r="BA16">
        <f>IF(BA$4=1,IF(INDEX('×入力'!$C$1:$L$700,96+BA$3,BA$2)&lt;&gt;"",1,0),0)</f>
        <v/>
      </c>
      <c r="BB16">
        <f>IF(BB$4=1,IF(INDEX('×入力'!$C$1:$L$700,96+BB$3,BB$2)&lt;&gt;"",1,0),0)</f>
        <v/>
      </c>
      <c r="BC16">
        <f>IF(BC$4=1,IF(INDEX('×入力'!$C$1:$L$700,96+BC$3,BC$2)&lt;&gt;"",1,0),0)</f>
        <v/>
      </c>
      <c r="BD16">
        <f>IF(BD$4=1,IF(INDEX('×入力'!$C$1:$L$700,96+BD$3,BD$2)&lt;&gt;"",1,0),0)</f>
        <v/>
      </c>
      <c r="BE16">
        <f>IF(BE$4=1,IF(INDEX('×入力'!$C$1:$L$700,96+BE$3,BE$2)&lt;&gt;"",1,0),0)</f>
        <v/>
      </c>
      <c r="BF16">
        <f>IF(BF$4=1,IF(INDEX('×入力'!$C$1:$L$700,96+BF$3,BF$2)&lt;&gt;"",1,0),0)</f>
        <v/>
      </c>
      <c r="BG16">
        <f>IF(BG$4=1,IF(INDEX('×入力'!$C$1:$L$700,96+BG$3,BG$2)&lt;&gt;"",1,0),0)</f>
        <v/>
      </c>
      <c r="BH16">
        <f>IF(BH$4=1,IF(INDEX('×入力'!$C$1:$L$700,96+BH$3,BH$2)&lt;&gt;"",1,0),0)</f>
        <v/>
      </c>
      <c r="BI16">
        <f>IF(BI$4=1,IF(INDEX('×入力'!$C$1:$L$700,96+BI$3,BI$2)&lt;&gt;"",1,0),0)</f>
        <v/>
      </c>
      <c r="BJ16">
        <f>IF(BJ$4=1,IF(INDEX('×入力'!$C$1:$L$700,96+BJ$3,BJ$2)&lt;&gt;"",1,0),0)</f>
        <v/>
      </c>
      <c r="BK16">
        <f>IF(BK$4=1,IF(INDEX('×入力'!$C$1:$L$700,96+BK$3,BK$2)&lt;&gt;"",1,0),0)</f>
        <v/>
      </c>
      <c r="BL16">
        <f>IF(BL$4=1,IF(INDEX('×入力'!$C$1:$L$700,96+BL$3,BL$2)&lt;&gt;"",1,0),0)</f>
        <v/>
      </c>
      <c r="BM16">
        <f>IF(BM$4=1,IF(INDEX('×入力'!$C$1:$L$700,96+BM$3,BM$2)&lt;&gt;"",1,0),0)</f>
        <v/>
      </c>
      <c r="BN16">
        <f>IF(BN$4=1,IF(INDEX('×入力'!$C$1:$L$700,96+BN$3,BN$2)&lt;&gt;"",1,0),0)</f>
        <v/>
      </c>
      <c r="BO16">
        <f>IF(BO$4=1,IF(INDEX('×入力'!$C$1:$L$700,96+BO$3,BO$2)&lt;&gt;"",1,0),0)</f>
        <v/>
      </c>
      <c r="BP16">
        <f>IF(BP$4=1,IF(INDEX('×入力'!$C$1:$L$700,96+BP$3,BP$2)&lt;&gt;"",1,0),0)</f>
        <v/>
      </c>
      <c r="BQ16">
        <f>IF(BQ$4=1,IF(INDEX('×入力'!$C$1:$L$700,96+BQ$3,BQ$2)&lt;&gt;"",1,0),0)</f>
        <v/>
      </c>
      <c r="BR16">
        <f>IF(BR$4=1,IF(INDEX('×入力'!$C$1:$L$700,96+BR$3,BR$2)&lt;&gt;"",1,0),0)</f>
        <v/>
      </c>
      <c r="BS16">
        <f>IF(BS$4=1,IF(INDEX('×入力'!$C$1:$L$700,96+BS$3,BS$2)&lt;&gt;"",1,0),0)</f>
        <v/>
      </c>
      <c r="BT16">
        <f>IF(BT$4=1,IF(INDEX('×入力'!$C$1:$L$700,96+BT$3,BT$2)&lt;&gt;"",1,0),0)</f>
        <v/>
      </c>
      <c r="BU16">
        <f>IF(BU$4=1,IF(INDEX('×入力'!$C$1:$L$700,96+BU$3,BU$2)&lt;&gt;"",1,0),0)</f>
        <v/>
      </c>
      <c r="BV16">
        <f>IF(BV$4=1,IF(INDEX('×入力'!$C$1:$L$700,96+BV$3,BV$2)&lt;&gt;"",1,0),0)</f>
        <v/>
      </c>
      <c r="BW16">
        <f>IF(BW$4=1,IF(INDEX('×入力'!$C$1:$L$700,96+BW$3,BW$2)&lt;&gt;"",1,0),0)</f>
        <v/>
      </c>
      <c r="BX16">
        <f>IF(BX$4=1,IF(INDEX('×入力'!$C$1:$L$700,96+BX$3,BX$2)&lt;&gt;"",1,0),0)</f>
        <v/>
      </c>
      <c r="BY16">
        <f>IF(BY$4=1,IF(INDEX('×入力'!$C$1:$L$700,96+BY$3,BY$2)&lt;&gt;"",1,0),0)</f>
        <v/>
      </c>
      <c r="BZ16">
        <f>IF(BZ$4=1,IF(INDEX('×入力'!$C$1:$L$700,96+BZ$3,BZ$2)&lt;&gt;"",1,0),0)</f>
        <v/>
      </c>
      <c r="CA16">
        <f>IF(CA$4=1,IF(INDEX('×入力'!$C$1:$L$700,96+CA$3,CA$2)&lt;&gt;"",1,0),0)</f>
        <v/>
      </c>
      <c r="CB16">
        <f>IF(CB$4=1,IF(INDEX('×入力'!$C$1:$L$700,96+CB$3,CB$2)&lt;&gt;"",1,0),0)</f>
        <v/>
      </c>
      <c r="CC16">
        <f>IF(CC$4=1,IF(INDEX('×入力'!$C$1:$L$700,96+CC$3,CC$2)&lt;&gt;"",1,0),0)</f>
        <v/>
      </c>
      <c r="CD16">
        <f>IF(CD$4=1,IF(INDEX('×入力'!$C$1:$L$700,96+CD$3,CD$2)&lt;&gt;"",1,0),0)</f>
        <v/>
      </c>
      <c r="CE16">
        <f>IF(CE$4=1,IF(INDEX('×入力'!$C$1:$L$700,96+CE$3,CE$2)&lt;&gt;"",1,0),0)</f>
        <v/>
      </c>
      <c r="CF16">
        <f>IF(CF$4=1,IF(INDEX('×入力'!$C$1:$L$700,96+CF$3,CF$2)&lt;&gt;"",1,0),0)</f>
        <v/>
      </c>
      <c r="CG16">
        <f>IF(CG$4=1,IF(INDEX('×入力'!$C$1:$L$700,96+CG$3,CG$2)&lt;&gt;"",1,0),0)</f>
        <v/>
      </c>
      <c r="CH16">
        <f>IF(CH$4=1,IF(INDEX('×入力'!$C$1:$L$700,96+CH$3,CH$2)&lt;&gt;"",1,0),0)</f>
        <v/>
      </c>
      <c r="CI16">
        <f>IF(CI$4=1,IF(INDEX('×入力'!$C$1:$L$700,96+CI$3,CI$2)&lt;&gt;"",1,0),0)</f>
        <v/>
      </c>
      <c r="CJ16">
        <f>IF(CJ$4=1,IF(INDEX('×入力'!$C$1:$L$700,96+CJ$3,CJ$2)&lt;&gt;"",1,0),0)</f>
        <v/>
      </c>
      <c r="CK16">
        <f>IF(CK$4=1,IF(INDEX('×入力'!$C$1:$L$700,96+CK$3,CK$2)&lt;&gt;"",1,0),0)</f>
        <v/>
      </c>
      <c r="CL16">
        <f>IF(CL$4=1,IF(INDEX('×入力'!$C$1:$L$700,96+CL$3,CL$2)&lt;&gt;"",1,0),0)</f>
        <v/>
      </c>
      <c r="CM16">
        <f>IF(CM$4=1,IF(INDEX('×入力'!$C$1:$L$700,96+CM$3,CM$2)&lt;&gt;"",1,0),0)</f>
        <v/>
      </c>
      <c r="CN16">
        <f>IF(CN$4=1,IF(INDEX('×入力'!$C$1:$L$700,96+CN$3,CN$2)&lt;&gt;"",1,0),0)</f>
        <v/>
      </c>
      <c r="CO16">
        <f>IF(CO$4=1,IF(INDEX('×入力'!$C$1:$L$700,96+CO$3,CO$2)&lt;&gt;"",1,0),0)</f>
        <v/>
      </c>
      <c r="CP16">
        <f>IF(CP$4=1,IF(INDEX('×入力'!$C$1:$L$700,96+CP$3,CP$2)&lt;&gt;"",1,0),0)</f>
        <v/>
      </c>
      <c r="CQ16">
        <f>IF(CQ$4=1,IF(INDEX('×入力'!$C$1:$L$700,96+CQ$3,CQ$2)&lt;&gt;"",1,0),0)</f>
        <v/>
      </c>
      <c r="CR16">
        <f>IF(CR$4=1,IF(INDEX('×入力'!$C$1:$L$700,96+CR$3,CR$2)&lt;&gt;"",1,0),0)</f>
        <v/>
      </c>
      <c r="CS16">
        <f>IF(CS$4=1,IF(INDEX('×入力'!$C$1:$L$700,96+CS$3,CS$2)&lt;&gt;"",1,0),0)</f>
        <v/>
      </c>
      <c r="CT16">
        <f>IF(CT$4=1,IF(INDEX('×入力'!$C$1:$L$700,96+CT$3,CT$2)&lt;&gt;"",1,0),0)</f>
        <v/>
      </c>
      <c r="CU16">
        <f>IF(CU$4=1,IF(INDEX('×入力'!$C$1:$L$700,96+CU$3,CU$2)&lt;&gt;"",1,0),0)</f>
        <v/>
      </c>
      <c r="CV16">
        <f>IF(CV$4=1,IF(INDEX('×入力'!$C$1:$L$700,96+CV$3,CV$2)&lt;&gt;"",1,0),0)</f>
        <v/>
      </c>
      <c r="CW16">
        <f>IF(CW$4=1,IF(INDEX('×入力'!$C$1:$L$700,96+CW$3,CW$2)&lt;&gt;"",1,0),0)</f>
        <v/>
      </c>
      <c r="CX16">
        <f>IF(CX$4=1,IF(INDEX('×入力'!$C$1:$L$700,96+CX$3,CX$2)&lt;&gt;"",1,0),0)</f>
        <v/>
      </c>
      <c r="CY16">
        <f>IF(CY$4=1,IF(INDEX('×入力'!$C$1:$L$700,96+CY$3,CY$2)&lt;&gt;"",1,0),0)</f>
        <v/>
      </c>
      <c r="CZ16">
        <f>IF(CZ$4=1,IF(INDEX('×入力'!$C$1:$L$700,96+CZ$3,CZ$2)&lt;&gt;"",1,0),0)</f>
        <v/>
      </c>
      <c r="DA16">
        <f>IF(DA$4=1,IF(INDEX('×入力'!$C$1:$L$700,96+DA$3,DA$2)&lt;&gt;"",1,0),0)</f>
        <v/>
      </c>
      <c r="DB16">
        <f>IF(DB$4=1,IF(INDEX('×入力'!$C$1:$L$700,96+DB$3,DB$2)&lt;&gt;"",1,0),0)</f>
        <v/>
      </c>
      <c r="DC16">
        <f>IF(DC$4=1,IF(INDEX('×入力'!$C$1:$L$700,96+DC$3,DC$2)&lt;&gt;"",1,0),0)</f>
        <v/>
      </c>
      <c r="DD16">
        <f>IF(DD$4=1,IF(INDEX('×入力'!$C$1:$L$700,96+DD$3,DD$2)&lt;&gt;"",1,0),0)</f>
        <v/>
      </c>
      <c r="DE16">
        <f>IF(DE$4=1,IF(INDEX('×入力'!$C$1:$L$700,96+DE$3,DE$2)&lt;&gt;"",1,0),0)</f>
        <v/>
      </c>
      <c r="DF16">
        <f>IF(DF$4=1,IF(INDEX('×入力'!$C$1:$L$700,96+DF$3,DF$2)&lt;&gt;"",1,0),0)</f>
        <v/>
      </c>
      <c r="DG16">
        <f>IF(DG$4=1,IF(INDEX('×入力'!$C$1:$L$700,96+DG$3,DG$2)&lt;&gt;"",1,0),0)</f>
        <v/>
      </c>
      <c r="DH16">
        <f>IF(DH$4=1,IF(INDEX('×入力'!$C$1:$L$700,96+DH$3,DH$2)&lt;&gt;"",1,0),0)</f>
        <v/>
      </c>
      <c r="DI16">
        <f>IF(DI$4=1,IF(INDEX('×入力'!$C$1:$L$700,96+DI$3,DI$2)&lt;&gt;"",1,0),0)</f>
        <v/>
      </c>
      <c r="DJ16">
        <f>IF(DJ$4=1,IF(INDEX('×入力'!$C$1:$L$700,96+DJ$3,DJ$2)&lt;&gt;"",1,0),0)</f>
        <v/>
      </c>
      <c r="DK16">
        <f>IF(DK$4=1,IF(INDEX('×入力'!$C$1:$L$700,96+DK$3,DK$2)&lt;&gt;"",1,0),0)</f>
        <v/>
      </c>
      <c r="DL16">
        <f>IF(DL$4=1,IF(INDEX('×入力'!$C$1:$L$700,96+DL$3,DL$2)&lt;&gt;"",1,0),0)</f>
        <v/>
      </c>
      <c r="DM16">
        <f>IF(DM$4=1,IF(INDEX('×入力'!$C$1:$L$700,96+DM$3,DM$2)&lt;&gt;"",1,0),0)</f>
        <v/>
      </c>
      <c r="DN16">
        <f>IF(DN$4=1,IF(INDEX('×入力'!$C$1:$L$700,96+DN$3,DN$2)&lt;&gt;"",1,0),0)</f>
        <v/>
      </c>
      <c r="DO16">
        <f>IF(DO$4=1,IF(INDEX('×入力'!$C$1:$L$700,96+DO$3,DO$2)&lt;&gt;"",1,0),0)</f>
        <v/>
      </c>
      <c r="DP16">
        <f>IF(DP$4=1,IF(INDEX('×入力'!$C$1:$L$700,96+DP$3,DP$2)&lt;&gt;"",1,0),0)</f>
        <v/>
      </c>
      <c r="DQ16">
        <f>IF(DQ$4=1,IF(INDEX('×入力'!$C$1:$L$700,96+DQ$3,DQ$2)&lt;&gt;"",1,0),0)</f>
        <v/>
      </c>
      <c r="DR16">
        <f>IF(DR$4=1,IF(INDEX('×入力'!$C$1:$L$700,96+DR$3,DR$2)&lt;&gt;"",1,0),0)</f>
        <v/>
      </c>
      <c r="DS16">
        <f>IF(DS$4=1,IF(INDEX('×入力'!$C$1:$L$700,96+DS$3,DS$2)&lt;&gt;"",1,0),0)</f>
        <v/>
      </c>
      <c r="DU16">
        <f>IFERROR(INDEX('計算B'!$C$3:$C$47,MATCH(A16,'計算B'!$B$3:$B$47,0)),0)</f>
        <v/>
      </c>
      <c r="DV16">
        <f>IF(AND(C16=1,DU16=0),1,0)</f>
        <v/>
      </c>
      <c r="DW16">
        <f>SUMPRODUCT(D66:DS66*(1-$D$7:$DS$7))</f>
        <v/>
      </c>
      <c r="DX16">
        <f>SUM(D16:DS16)</f>
        <v/>
      </c>
      <c r="DY16">
        <f>IF(B16="",0,IF(COUNTIF('割り当て'!$C$6:$L$17,B16)=1,SUMPRODUCT(('割り当て'!$C$6:$L$17=B16)*((COLUMN('割り当て'!$C$6:$L$17)-3)*12+ROW('割り当て'!$C$6:$L$17)-5)),0))</f>
        <v/>
      </c>
      <c r="DZ16">
        <f>IFERROR(MATCH('名簿'!E11,{"早い時刻","遅い時刻","早い日","遅い日"},0),0)</f>
        <v/>
      </c>
      <c r="EA16">
        <f>IF('名簿'!F11="必ず空けたい",2,IF('名簿'!F11="出来れば空けたい",1,0))</f>
        <v/>
      </c>
    </row>
    <row r="17">
      <c r="A17" t="n">
        <v>8</v>
      </c>
      <c r="B17">
        <f>'名簿'!G12</f>
        <v/>
      </c>
      <c r="C17">
        <f>IF(AND(B17&lt;&gt;"",OR('名簿'!H12="入力済み",'名簿'!H12="×なし"),DY17=0,COUNTIF('割り当て'!$C$6:$L$17,B17)=0),1,0)</f>
        <v/>
      </c>
      <c r="D17">
        <f>IF(D$4=1,IF(INDEX('×入力'!$C$1:$L$700,111+D$3,D$2)&lt;&gt;"",1,0),0)</f>
        <v/>
      </c>
      <c r="E17">
        <f>IF(E$4=1,IF(INDEX('×入力'!$C$1:$L$700,111+E$3,E$2)&lt;&gt;"",1,0),0)</f>
        <v/>
      </c>
      <c r="F17">
        <f>IF(F$4=1,IF(INDEX('×入力'!$C$1:$L$700,111+F$3,F$2)&lt;&gt;"",1,0),0)</f>
        <v/>
      </c>
      <c r="G17">
        <f>IF(G$4=1,IF(INDEX('×入力'!$C$1:$L$700,111+G$3,G$2)&lt;&gt;"",1,0),0)</f>
        <v/>
      </c>
      <c r="H17">
        <f>IF(H$4=1,IF(INDEX('×入力'!$C$1:$L$700,111+H$3,H$2)&lt;&gt;"",1,0),0)</f>
        <v/>
      </c>
      <c r="I17">
        <f>IF(I$4=1,IF(INDEX('×入力'!$C$1:$L$700,111+I$3,I$2)&lt;&gt;"",1,0),0)</f>
        <v/>
      </c>
      <c r="J17">
        <f>IF(J$4=1,IF(INDEX('×入力'!$C$1:$L$700,111+J$3,J$2)&lt;&gt;"",1,0),0)</f>
        <v/>
      </c>
      <c r="K17">
        <f>IF(K$4=1,IF(INDEX('×入力'!$C$1:$L$700,111+K$3,K$2)&lt;&gt;"",1,0),0)</f>
        <v/>
      </c>
      <c r="L17">
        <f>IF(L$4=1,IF(INDEX('×入力'!$C$1:$L$700,111+L$3,L$2)&lt;&gt;"",1,0),0)</f>
        <v/>
      </c>
      <c r="M17">
        <f>IF(M$4=1,IF(INDEX('×入力'!$C$1:$L$700,111+M$3,M$2)&lt;&gt;"",1,0),0)</f>
        <v/>
      </c>
      <c r="N17">
        <f>IF(N$4=1,IF(INDEX('×入力'!$C$1:$L$700,111+N$3,N$2)&lt;&gt;"",1,0),0)</f>
        <v/>
      </c>
      <c r="O17">
        <f>IF(O$4=1,IF(INDEX('×入力'!$C$1:$L$700,111+O$3,O$2)&lt;&gt;"",1,0),0)</f>
        <v/>
      </c>
      <c r="P17">
        <f>IF(P$4=1,IF(INDEX('×入力'!$C$1:$L$700,111+P$3,P$2)&lt;&gt;"",1,0),0)</f>
        <v/>
      </c>
      <c r="Q17">
        <f>IF(Q$4=1,IF(INDEX('×入力'!$C$1:$L$700,111+Q$3,Q$2)&lt;&gt;"",1,0),0)</f>
        <v/>
      </c>
      <c r="R17">
        <f>IF(R$4=1,IF(INDEX('×入力'!$C$1:$L$700,111+R$3,R$2)&lt;&gt;"",1,0),0)</f>
        <v/>
      </c>
      <c r="S17">
        <f>IF(S$4=1,IF(INDEX('×入力'!$C$1:$L$700,111+S$3,S$2)&lt;&gt;"",1,0),0)</f>
        <v/>
      </c>
      <c r="T17">
        <f>IF(T$4=1,IF(INDEX('×入力'!$C$1:$L$700,111+T$3,T$2)&lt;&gt;"",1,0),0)</f>
        <v/>
      </c>
      <c r="U17">
        <f>IF(U$4=1,IF(INDEX('×入力'!$C$1:$L$700,111+U$3,U$2)&lt;&gt;"",1,0),0)</f>
        <v/>
      </c>
      <c r="V17">
        <f>IF(V$4=1,IF(INDEX('×入力'!$C$1:$L$700,111+V$3,V$2)&lt;&gt;"",1,0),0)</f>
        <v/>
      </c>
      <c r="W17">
        <f>IF(W$4=1,IF(INDEX('×入力'!$C$1:$L$700,111+W$3,W$2)&lt;&gt;"",1,0),0)</f>
        <v/>
      </c>
      <c r="X17">
        <f>IF(X$4=1,IF(INDEX('×入力'!$C$1:$L$700,111+X$3,X$2)&lt;&gt;"",1,0),0)</f>
        <v/>
      </c>
      <c r="Y17">
        <f>IF(Y$4=1,IF(INDEX('×入力'!$C$1:$L$700,111+Y$3,Y$2)&lt;&gt;"",1,0),0)</f>
        <v/>
      </c>
      <c r="Z17">
        <f>IF(Z$4=1,IF(INDEX('×入力'!$C$1:$L$700,111+Z$3,Z$2)&lt;&gt;"",1,0),0)</f>
        <v/>
      </c>
      <c r="AA17">
        <f>IF(AA$4=1,IF(INDEX('×入力'!$C$1:$L$700,111+AA$3,AA$2)&lt;&gt;"",1,0),0)</f>
        <v/>
      </c>
      <c r="AB17">
        <f>IF(AB$4=1,IF(INDEX('×入力'!$C$1:$L$700,111+AB$3,AB$2)&lt;&gt;"",1,0),0)</f>
        <v/>
      </c>
      <c r="AC17">
        <f>IF(AC$4=1,IF(INDEX('×入力'!$C$1:$L$700,111+AC$3,AC$2)&lt;&gt;"",1,0),0)</f>
        <v/>
      </c>
      <c r="AD17">
        <f>IF(AD$4=1,IF(INDEX('×入力'!$C$1:$L$700,111+AD$3,AD$2)&lt;&gt;"",1,0),0)</f>
        <v/>
      </c>
      <c r="AE17">
        <f>IF(AE$4=1,IF(INDEX('×入力'!$C$1:$L$700,111+AE$3,AE$2)&lt;&gt;"",1,0),0)</f>
        <v/>
      </c>
      <c r="AF17">
        <f>IF(AF$4=1,IF(INDEX('×入力'!$C$1:$L$700,111+AF$3,AF$2)&lt;&gt;"",1,0),0)</f>
        <v/>
      </c>
      <c r="AG17">
        <f>IF(AG$4=1,IF(INDEX('×入力'!$C$1:$L$700,111+AG$3,AG$2)&lt;&gt;"",1,0),0)</f>
        <v/>
      </c>
      <c r="AH17">
        <f>IF(AH$4=1,IF(INDEX('×入力'!$C$1:$L$700,111+AH$3,AH$2)&lt;&gt;"",1,0),0)</f>
        <v/>
      </c>
      <c r="AI17">
        <f>IF(AI$4=1,IF(INDEX('×入力'!$C$1:$L$700,111+AI$3,AI$2)&lt;&gt;"",1,0),0)</f>
        <v/>
      </c>
      <c r="AJ17">
        <f>IF(AJ$4=1,IF(INDEX('×入力'!$C$1:$L$700,111+AJ$3,AJ$2)&lt;&gt;"",1,0),0)</f>
        <v/>
      </c>
      <c r="AK17">
        <f>IF(AK$4=1,IF(INDEX('×入力'!$C$1:$L$700,111+AK$3,AK$2)&lt;&gt;"",1,0),0)</f>
        <v/>
      </c>
      <c r="AL17">
        <f>IF(AL$4=1,IF(INDEX('×入力'!$C$1:$L$700,111+AL$3,AL$2)&lt;&gt;"",1,0),0)</f>
        <v/>
      </c>
      <c r="AM17">
        <f>IF(AM$4=1,IF(INDEX('×入力'!$C$1:$L$700,111+AM$3,AM$2)&lt;&gt;"",1,0),0)</f>
        <v/>
      </c>
      <c r="AN17">
        <f>IF(AN$4=1,IF(INDEX('×入力'!$C$1:$L$700,111+AN$3,AN$2)&lt;&gt;"",1,0),0)</f>
        <v/>
      </c>
      <c r="AO17">
        <f>IF(AO$4=1,IF(INDEX('×入力'!$C$1:$L$700,111+AO$3,AO$2)&lt;&gt;"",1,0),0)</f>
        <v/>
      </c>
      <c r="AP17">
        <f>IF(AP$4=1,IF(INDEX('×入力'!$C$1:$L$700,111+AP$3,AP$2)&lt;&gt;"",1,0),0)</f>
        <v/>
      </c>
      <c r="AQ17">
        <f>IF(AQ$4=1,IF(INDEX('×入力'!$C$1:$L$700,111+AQ$3,AQ$2)&lt;&gt;"",1,0),0)</f>
        <v/>
      </c>
      <c r="AR17">
        <f>IF(AR$4=1,IF(INDEX('×入力'!$C$1:$L$700,111+AR$3,AR$2)&lt;&gt;"",1,0),0)</f>
        <v/>
      </c>
      <c r="AS17">
        <f>IF(AS$4=1,IF(INDEX('×入力'!$C$1:$L$700,111+AS$3,AS$2)&lt;&gt;"",1,0),0)</f>
        <v/>
      </c>
      <c r="AT17">
        <f>IF(AT$4=1,IF(INDEX('×入力'!$C$1:$L$700,111+AT$3,AT$2)&lt;&gt;"",1,0),0)</f>
        <v/>
      </c>
      <c r="AU17">
        <f>IF(AU$4=1,IF(INDEX('×入力'!$C$1:$L$700,111+AU$3,AU$2)&lt;&gt;"",1,0),0)</f>
        <v/>
      </c>
      <c r="AV17">
        <f>IF(AV$4=1,IF(INDEX('×入力'!$C$1:$L$700,111+AV$3,AV$2)&lt;&gt;"",1,0),0)</f>
        <v/>
      </c>
      <c r="AW17">
        <f>IF(AW$4=1,IF(INDEX('×入力'!$C$1:$L$700,111+AW$3,AW$2)&lt;&gt;"",1,0),0)</f>
        <v/>
      </c>
      <c r="AX17">
        <f>IF(AX$4=1,IF(INDEX('×入力'!$C$1:$L$700,111+AX$3,AX$2)&lt;&gt;"",1,0),0)</f>
        <v/>
      </c>
      <c r="AY17">
        <f>IF(AY$4=1,IF(INDEX('×入力'!$C$1:$L$700,111+AY$3,AY$2)&lt;&gt;"",1,0),0)</f>
        <v/>
      </c>
      <c r="AZ17">
        <f>IF(AZ$4=1,IF(INDEX('×入力'!$C$1:$L$700,111+AZ$3,AZ$2)&lt;&gt;"",1,0),0)</f>
        <v/>
      </c>
      <c r="BA17">
        <f>IF(BA$4=1,IF(INDEX('×入力'!$C$1:$L$700,111+BA$3,BA$2)&lt;&gt;"",1,0),0)</f>
        <v/>
      </c>
      <c r="BB17">
        <f>IF(BB$4=1,IF(INDEX('×入力'!$C$1:$L$700,111+BB$3,BB$2)&lt;&gt;"",1,0),0)</f>
        <v/>
      </c>
      <c r="BC17">
        <f>IF(BC$4=1,IF(INDEX('×入力'!$C$1:$L$700,111+BC$3,BC$2)&lt;&gt;"",1,0),0)</f>
        <v/>
      </c>
      <c r="BD17">
        <f>IF(BD$4=1,IF(INDEX('×入力'!$C$1:$L$700,111+BD$3,BD$2)&lt;&gt;"",1,0),0)</f>
        <v/>
      </c>
      <c r="BE17">
        <f>IF(BE$4=1,IF(INDEX('×入力'!$C$1:$L$700,111+BE$3,BE$2)&lt;&gt;"",1,0),0)</f>
        <v/>
      </c>
      <c r="BF17">
        <f>IF(BF$4=1,IF(INDEX('×入力'!$C$1:$L$700,111+BF$3,BF$2)&lt;&gt;"",1,0),0)</f>
        <v/>
      </c>
      <c r="BG17">
        <f>IF(BG$4=1,IF(INDEX('×入力'!$C$1:$L$700,111+BG$3,BG$2)&lt;&gt;"",1,0),0)</f>
        <v/>
      </c>
      <c r="BH17">
        <f>IF(BH$4=1,IF(INDEX('×入力'!$C$1:$L$700,111+BH$3,BH$2)&lt;&gt;"",1,0),0)</f>
        <v/>
      </c>
      <c r="BI17">
        <f>IF(BI$4=1,IF(INDEX('×入力'!$C$1:$L$700,111+BI$3,BI$2)&lt;&gt;"",1,0),0)</f>
        <v/>
      </c>
      <c r="BJ17">
        <f>IF(BJ$4=1,IF(INDEX('×入力'!$C$1:$L$700,111+BJ$3,BJ$2)&lt;&gt;"",1,0),0)</f>
        <v/>
      </c>
      <c r="BK17">
        <f>IF(BK$4=1,IF(INDEX('×入力'!$C$1:$L$700,111+BK$3,BK$2)&lt;&gt;"",1,0),0)</f>
        <v/>
      </c>
      <c r="BL17">
        <f>IF(BL$4=1,IF(INDEX('×入力'!$C$1:$L$700,111+BL$3,BL$2)&lt;&gt;"",1,0),0)</f>
        <v/>
      </c>
      <c r="BM17">
        <f>IF(BM$4=1,IF(INDEX('×入力'!$C$1:$L$700,111+BM$3,BM$2)&lt;&gt;"",1,0),0)</f>
        <v/>
      </c>
      <c r="BN17">
        <f>IF(BN$4=1,IF(INDEX('×入力'!$C$1:$L$700,111+BN$3,BN$2)&lt;&gt;"",1,0),0)</f>
        <v/>
      </c>
      <c r="BO17">
        <f>IF(BO$4=1,IF(INDEX('×入力'!$C$1:$L$700,111+BO$3,BO$2)&lt;&gt;"",1,0),0)</f>
        <v/>
      </c>
      <c r="BP17">
        <f>IF(BP$4=1,IF(INDEX('×入力'!$C$1:$L$700,111+BP$3,BP$2)&lt;&gt;"",1,0),0)</f>
        <v/>
      </c>
      <c r="BQ17">
        <f>IF(BQ$4=1,IF(INDEX('×入力'!$C$1:$L$700,111+BQ$3,BQ$2)&lt;&gt;"",1,0),0)</f>
        <v/>
      </c>
      <c r="BR17">
        <f>IF(BR$4=1,IF(INDEX('×入力'!$C$1:$L$700,111+BR$3,BR$2)&lt;&gt;"",1,0),0)</f>
        <v/>
      </c>
      <c r="BS17">
        <f>IF(BS$4=1,IF(INDEX('×入力'!$C$1:$L$700,111+BS$3,BS$2)&lt;&gt;"",1,0),0)</f>
        <v/>
      </c>
      <c r="BT17">
        <f>IF(BT$4=1,IF(INDEX('×入力'!$C$1:$L$700,111+BT$3,BT$2)&lt;&gt;"",1,0),0)</f>
        <v/>
      </c>
      <c r="BU17">
        <f>IF(BU$4=1,IF(INDEX('×入力'!$C$1:$L$700,111+BU$3,BU$2)&lt;&gt;"",1,0),0)</f>
        <v/>
      </c>
      <c r="BV17">
        <f>IF(BV$4=1,IF(INDEX('×入力'!$C$1:$L$700,111+BV$3,BV$2)&lt;&gt;"",1,0),0)</f>
        <v/>
      </c>
      <c r="BW17">
        <f>IF(BW$4=1,IF(INDEX('×入力'!$C$1:$L$700,111+BW$3,BW$2)&lt;&gt;"",1,0),0)</f>
        <v/>
      </c>
      <c r="BX17">
        <f>IF(BX$4=1,IF(INDEX('×入力'!$C$1:$L$700,111+BX$3,BX$2)&lt;&gt;"",1,0),0)</f>
        <v/>
      </c>
      <c r="BY17">
        <f>IF(BY$4=1,IF(INDEX('×入力'!$C$1:$L$700,111+BY$3,BY$2)&lt;&gt;"",1,0),0)</f>
        <v/>
      </c>
      <c r="BZ17">
        <f>IF(BZ$4=1,IF(INDEX('×入力'!$C$1:$L$700,111+BZ$3,BZ$2)&lt;&gt;"",1,0),0)</f>
        <v/>
      </c>
      <c r="CA17">
        <f>IF(CA$4=1,IF(INDEX('×入力'!$C$1:$L$700,111+CA$3,CA$2)&lt;&gt;"",1,0),0)</f>
        <v/>
      </c>
      <c r="CB17">
        <f>IF(CB$4=1,IF(INDEX('×入力'!$C$1:$L$700,111+CB$3,CB$2)&lt;&gt;"",1,0),0)</f>
        <v/>
      </c>
      <c r="CC17">
        <f>IF(CC$4=1,IF(INDEX('×入力'!$C$1:$L$700,111+CC$3,CC$2)&lt;&gt;"",1,0),0)</f>
        <v/>
      </c>
      <c r="CD17">
        <f>IF(CD$4=1,IF(INDEX('×入力'!$C$1:$L$700,111+CD$3,CD$2)&lt;&gt;"",1,0),0)</f>
        <v/>
      </c>
      <c r="CE17">
        <f>IF(CE$4=1,IF(INDEX('×入力'!$C$1:$L$700,111+CE$3,CE$2)&lt;&gt;"",1,0),0)</f>
        <v/>
      </c>
      <c r="CF17">
        <f>IF(CF$4=1,IF(INDEX('×入力'!$C$1:$L$700,111+CF$3,CF$2)&lt;&gt;"",1,0),0)</f>
        <v/>
      </c>
      <c r="CG17">
        <f>IF(CG$4=1,IF(INDEX('×入力'!$C$1:$L$700,111+CG$3,CG$2)&lt;&gt;"",1,0),0)</f>
        <v/>
      </c>
      <c r="CH17">
        <f>IF(CH$4=1,IF(INDEX('×入力'!$C$1:$L$700,111+CH$3,CH$2)&lt;&gt;"",1,0),0)</f>
        <v/>
      </c>
      <c r="CI17">
        <f>IF(CI$4=1,IF(INDEX('×入力'!$C$1:$L$700,111+CI$3,CI$2)&lt;&gt;"",1,0),0)</f>
        <v/>
      </c>
      <c r="CJ17">
        <f>IF(CJ$4=1,IF(INDEX('×入力'!$C$1:$L$700,111+CJ$3,CJ$2)&lt;&gt;"",1,0),0)</f>
        <v/>
      </c>
      <c r="CK17">
        <f>IF(CK$4=1,IF(INDEX('×入力'!$C$1:$L$700,111+CK$3,CK$2)&lt;&gt;"",1,0),0)</f>
        <v/>
      </c>
      <c r="CL17">
        <f>IF(CL$4=1,IF(INDEX('×入力'!$C$1:$L$700,111+CL$3,CL$2)&lt;&gt;"",1,0),0)</f>
        <v/>
      </c>
      <c r="CM17">
        <f>IF(CM$4=1,IF(INDEX('×入力'!$C$1:$L$700,111+CM$3,CM$2)&lt;&gt;"",1,0),0)</f>
        <v/>
      </c>
      <c r="CN17">
        <f>IF(CN$4=1,IF(INDEX('×入力'!$C$1:$L$700,111+CN$3,CN$2)&lt;&gt;"",1,0),0)</f>
        <v/>
      </c>
      <c r="CO17">
        <f>IF(CO$4=1,IF(INDEX('×入力'!$C$1:$L$700,111+CO$3,CO$2)&lt;&gt;"",1,0),0)</f>
        <v/>
      </c>
      <c r="CP17">
        <f>IF(CP$4=1,IF(INDEX('×入力'!$C$1:$L$700,111+CP$3,CP$2)&lt;&gt;"",1,0),0)</f>
        <v/>
      </c>
      <c r="CQ17">
        <f>IF(CQ$4=1,IF(INDEX('×入力'!$C$1:$L$700,111+CQ$3,CQ$2)&lt;&gt;"",1,0),0)</f>
        <v/>
      </c>
      <c r="CR17">
        <f>IF(CR$4=1,IF(INDEX('×入力'!$C$1:$L$700,111+CR$3,CR$2)&lt;&gt;"",1,0),0)</f>
        <v/>
      </c>
      <c r="CS17">
        <f>IF(CS$4=1,IF(INDEX('×入力'!$C$1:$L$700,111+CS$3,CS$2)&lt;&gt;"",1,0),0)</f>
        <v/>
      </c>
      <c r="CT17">
        <f>IF(CT$4=1,IF(INDEX('×入力'!$C$1:$L$700,111+CT$3,CT$2)&lt;&gt;"",1,0),0)</f>
        <v/>
      </c>
      <c r="CU17">
        <f>IF(CU$4=1,IF(INDEX('×入力'!$C$1:$L$700,111+CU$3,CU$2)&lt;&gt;"",1,0),0)</f>
        <v/>
      </c>
      <c r="CV17">
        <f>IF(CV$4=1,IF(INDEX('×入力'!$C$1:$L$700,111+CV$3,CV$2)&lt;&gt;"",1,0),0)</f>
        <v/>
      </c>
      <c r="CW17">
        <f>IF(CW$4=1,IF(INDEX('×入力'!$C$1:$L$700,111+CW$3,CW$2)&lt;&gt;"",1,0),0)</f>
        <v/>
      </c>
      <c r="CX17">
        <f>IF(CX$4=1,IF(INDEX('×入力'!$C$1:$L$700,111+CX$3,CX$2)&lt;&gt;"",1,0),0)</f>
        <v/>
      </c>
      <c r="CY17">
        <f>IF(CY$4=1,IF(INDEX('×入力'!$C$1:$L$700,111+CY$3,CY$2)&lt;&gt;"",1,0),0)</f>
        <v/>
      </c>
      <c r="CZ17">
        <f>IF(CZ$4=1,IF(INDEX('×入力'!$C$1:$L$700,111+CZ$3,CZ$2)&lt;&gt;"",1,0),0)</f>
        <v/>
      </c>
      <c r="DA17">
        <f>IF(DA$4=1,IF(INDEX('×入力'!$C$1:$L$700,111+DA$3,DA$2)&lt;&gt;"",1,0),0)</f>
        <v/>
      </c>
      <c r="DB17">
        <f>IF(DB$4=1,IF(INDEX('×入力'!$C$1:$L$700,111+DB$3,DB$2)&lt;&gt;"",1,0),0)</f>
        <v/>
      </c>
      <c r="DC17">
        <f>IF(DC$4=1,IF(INDEX('×入力'!$C$1:$L$700,111+DC$3,DC$2)&lt;&gt;"",1,0),0)</f>
        <v/>
      </c>
      <c r="DD17">
        <f>IF(DD$4=1,IF(INDEX('×入力'!$C$1:$L$700,111+DD$3,DD$2)&lt;&gt;"",1,0),0)</f>
        <v/>
      </c>
      <c r="DE17">
        <f>IF(DE$4=1,IF(INDEX('×入力'!$C$1:$L$700,111+DE$3,DE$2)&lt;&gt;"",1,0),0)</f>
        <v/>
      </c>
      <c r="DF17">
        <f>IF(DF$4=1,IF(INDEX('×入力'!$C$1:$L$700,111+DF$3,DF$2)&lt;&gt;"",1,0),0)</f>
        <v/>
      </c>
      <c r="DG17">
        <f>IF(DG$4=1,IF(INDEX('×入力'!$C$1:$L$700,111+DG$3,DG$2)&lt;&gt;"",1,0),0)</f>
        <v/>
      </c>
      <c r="DH17">
        <f>IF(DH$4=1,IF(INDEX('×入力'!$C$1:$L$700,111+DH$3,DH$2)&lt;&gt;"",1,0),0)</f>
        <v/>
      </c>
      <c r="DI17">
        <f>IF(DI$4=1,IF(INDEX('×入力'!$C$1:$L$700,111+DI$3,DI$2)&lt;&gt;"",1,0),0)</f>
        <v/>
      </c>
      <c r="DJ17">
        <f>IF(DJ$4=1,IF(INDEX('×入力'!$C$1:$L$700,111+DJ$3,DJ$2)&lt;&gt;"",1,0),0)</f>
        <v/>
      </c>
      <c r="DK17">
        <f>IF(DK$4=1,IF(INDEX('×入力'!$C$1:$L$700,111+DK$3,DK$2)&lt;&gt;"",1,0),0)</f>
        <v/>
      </c>
      <c r="DL17">
        <f>IF(DL$4=1,IF(INDEX('×入力'!$C$1:$L$700,111+DL$3,DL$2)&lt;&gt;"",1,0),0)</f>
        <v/>
      </c>
      <c r="DM17">
        <f>IF(DM$4=1,IF(INDEX('×入力'!$C$1:$L$700,111+DM$3,DM$2)&lt;&gt;"",1,0),0)</f>
        <v/>
      </c>
      <c r="DN17">
        <f>IF(DN$4=1,IF(INDEX('×入力'!$C$1:$L$700,111+DN$3,DN$2)&lt;&gt;"",1,0),0)</f>
        <v/>
      </c>
      <c r="DO17">
        <f>IF(DO$4=1,IF(INDEX('×入力'!$C$1:$L$700,111+DO$3,DO$2)&lt;&gt;"",1,0),0)</f>
        <v/>
      </c>
      <c r="DP17">
        <f>IF(DP$4=1,IF(INDEX('×入力'!$C$1:$L$700,111+DP$3,DP$2)&lt;&gt;"",1,0),0)</f>
        <v/>
      </c>
      <c r="DQ17">
        <f>IF(DQ$4=1,IF(INDEX('×入力'!$C$1:$L$700,111+DQ$3,DQ$2)&lt;&gt;"",1,0),0)</f>
        <v/>
      </c>
      <c r="DR17">
        <f>IF(DR$4=1,IF(INDEX('×入力'!$C$1:$L$700,111+DR$3,DR$2)&lt;&gt;"",1,0),0)</f>
        <v/>
      </c>
      <c r="DS17">
        <f>IF(DS$4=1,IF(INDEX('×入力'!$C$1:$L$700,111+DS$3,DS$2)&lt;&gt;"",1,0),0)</f>
        <v/>
      </c>
      <c r="DU17">
        <f>IFERROR(INDEX('計算B'!$C$3:$C$47,MATCH(A17,'計算B'!$B$3:$B$47,0)),0)</f>
        <v/>
      </c>
      <c r="DV17">
        <f>IF(AND(C17=1,DU17=0),1,0)</f>
        <v/>
      </c>
      <c r="DW17">
        <f>SUMPRODUCT(D67:DS67*(1-$D$7:$DS$7))</f>
        <v/>
      </c>
      <c r="DX17">
        <f>SUM(D17:DS17)</f>
        <v/>
      </c>
      <c r="DY17">
        <f>IF(B17="",0,IF(COUNTIF('割り当て'!$C$6:$L$17,B17)=1,SUMPRODUCT(('割り当て'!$C$6:$L$17=B17)*((COLUMN('割り当て'!$C$6:$L$17)-3)*12+ROW('割り当て'!$C$6:$L$17)-5)),0))</f>
        <v/>
      </c>
      <c r="DZ17">
        <f>IFERROR(MATCH('名簿'!E12,{"早い時刻","遅い時刻","早い日","遅い日"},0),0)</f>
        <v/>
      </c>
      <c r="EA17">
        <f>IF('名簿'!F12="必ず空けたい",2,IF('名簿'!F12="出来れば空けたい",1,0))</f>
        <v/>
      </c>
    </row>
    <row r="18">
      <c r="A18" t="n">
        <v>9</v>
      </c>
      <c r="B18">
        <f>'名簿'!G13</f>
        <v/>
      </c>
      <c r="C18">
        <f>IF(AND(B18&lt;&gt;"",OR('名簿'!H13="入力済み",'名簿'!H13="×なし"),DY18=0,COUNTIF('割り当て'!$C$6:$L$17,B18)=0),1,0)</f>
        <v/>
      </c>
      <c r="D18">
        <f>IF(D$4=1,IF(INDEX('×入力'!$C$1:$L$700,126+D$3,D$2)&lt;&gt;"",1,0),0)</f>
        <v/>
      </c>
      <c r="E18">
        <f>IF(E$4=1,IF(INDEX('×入力'!$C$1:$L$700,126+E$3,E$2)&lt;&gt;"",1,0),0)</f>
        <v/>
      </c>
      <c r="F18">
        <f>IF(F$4=1,IF(INDEX('×入力'!$C$1:$L$700,126+F$3,F$2)&lt;&gt;"",1,0),0)</f>
        <v/>
      </c>
      <c r="G18">
        <f>IF(G$4=1,IF(INDEX('×入力'!$C$1:$L$700,126+G$3,G$2)&lt;&gt;"",1,0),0)</f>
        <v/>
      </c>
      <c r="H18">
        <f>IF(H$4=1,IF(INDEX('×入力'!$C$1:$L$700,126+H$3,H$2)&lt;&gt;"",1,0),0)</f>
        <v/>
      </c>
      <c r="I18">
        <f>IF(I$4=1,IF(INDEX('×入力'!$C$1:$L$700,126+I$3,I$2)&lt;&gt;"",1,0),0)</f>
        <v/>
      </c>
      <c r="J18">
        <f>IF(J$4=1,IF(INDEX('×入力'!$C$1:$L$700,126+J$3,J$2)&lt;&gt;"",1,0),0)</f>
        <v/>
      </c>
      <c r="K18">
        <f>IF(K$4=1,IF(INDEX('×入力'!$C$1:$L$700,126+K$3,K$2)&lt;&gt;"",1,0),0)</f>
        <v/>
      </c>
      <c r="L18">
        <f>IF(L$4=1,IF(INDEX('×入力'!$C$1:$L$700,126+L$3,L$2)&lt;&gt;"",1,0),0)</f>
        <v/>
      </c>
      <c r="M18">
        <f>IF(M$4=1,IF(INDEX('×入力'!$C$1:$L$700,126+M$3,M$2)&lt;&gt;"",1,0),0)</f>
        <v/>
      </c>
      <c r="N18">
        <f>IF(N$4=1,IF(INDEX('×入力'!$C$1:$L$700,126+N$3,N$2)&lt;&gt;"",1,0),0)</f>
        <v/>
      </c>
      <c r="O18">
        <f>IF(O$4=1,IF(INDEX('×入力'!$C$1:$L$700,126+O$3,O$2)&lt;&gt;"",1,0),0)</f>
        <v/>
      </c>
      <c r="P18">
        <f>IF(P$4=1,IF(INDEX('×入力'!$C$1:$L$700,126+P$3,P$2)&lt;&gt;"",1,0),0)</f>
        <v/>
      </c>
      <c r="Q18">
        <f>IF(Q$4=1,IF(INDEX('×入力'!$C$1:$L$700,126+Q$3,Q$2)&lt;&gt;"",1,0),0)</f>
        <v/>
      </c>
      <c r="R18">
        <f>IF(R$4=1,IF(INDEX('×入力'!$C$1:$L$700,126+R$3,R$2)&lt;&gt;"",1,0),0)</f>
        <v/>
      </c>
      <c r="S18">
        <f>IF(S$4=1,IF(INDEX('×入力'!$C$1:$L$700,126+S$3,S$2)&lt;&gt;"",1,0),0)</f>
        <v/>
      </c>
      <c r="T18">
        <f>IF(T$4=1,IF(INDEX('×入力'!$C$1:$L$700,126+T$3,T$2)&lt;&gt;"",1,0),0)</f>
        <v/>
      </c>
      <c r="U18">
        <f>IF(U$4=1,IF(INDEX('×入力'!$C$1:$L$700,126+U$3,U$2)&lt;&gt;"",1,0),0)</f>
        <v/>
      </c>
      <c r="V18">
        <f>IF(V$4=1,IF(INDEX('×入力'!$C$1:$L$700,126+V$3,V$2)&lt;&gt;"",1,0),0)</f>
        <v/>
      </c>
      <c r="W18">
        <f>IF(W$4=1,IF(INDEX('×入力'!$C$1:$L$700,126+W$3,W$2)&lt;&gt;"",1,0),0)</f>
        <v/>
      </c>
      <c r="X18">
        <f>IF(X$4=1,IF(INDEX('×入力'!$C$1:$L$700,126+X$3,X$2)&lt;&gt;"",1,0),0)</f>
        <v/>
      </c>
      <c r="Y18">
        <f>IF(Y$4=1,IF(INDEX('×入力'!$C$1:$L$700,126+Y$3,Y$2)&lt;&gt;"",1,0),0)</f>
        <v/>
      </c>
      <c r="Z18">
        <f>IF(Z$4=1,IF(INDEX('×入力'!$C$1:$L$700,126+Z$3,Z$2)&lt;&gt;"",1,0),0)</f>
        <v/>
      </c>
      <c r="AA18">
        <f>IF(AA$4=1,IF(INDEX('×入力'!$C$1:$L$700,126+AA$3,AA$2)&lt;&gt;"",1,0),0)</f>
        <v/>
      </c>
      <c r="AB18">
        <f>IF(AB$4=1,IF(INDEX('×入力'!$C$1:$L$700,126+AB$3,AB$2)&lt;&gt;"",1,0),0)</f>
        <v/>
      </c>
      <c r="AC18">
        <f>IF(AC$4=1,IF(INDEX('×入力'!$C$1:$L$700,126+AC$3,AC$2)&lt;&gt;"",1,0),0)</f>
        <v/>
      </c>
      <c r="AD18">
        <f>IF(AD$4=1,IF(INDEX('×入力'!$C$1:$L$700,126+AD$3,AD$2)&lt;&gt;"",1,0),0)</f>
        <v/>
      </c>
      <c r="AE18">
        <f>IF(AE$4=1,IF(INDEX('×入力'!$C$1:$L$700,126+AE$3,AE$2)&lt;&gt;"",1,0),0)</f>
        <v/>
      </c>
      <c r="AF18">
        <f>IF(AF$4=1,IF(INDEX('×入力'!$C$1:$L$700,126+AF$3,AF$2)&lt;&gt;"",1,0),0)</f>
        <v/>
      </c>
      <c r="AG18">
        <f>IF(AG$4=1,IF(INDEX('×入力'!$C$1:$L$700,126+AG$3,AG$2)&lt;&gt;"",1,0),0)</f>
        <v/>
      </c>
      <c r="AH18">
        <f>IF(AH$4=1,IF(INDEX('×入力'!$C$1:$L$700,126+AH$3,AH$2)&lt;&gt;"",1,0),0)</f>
        <v/>
      </c>
      <c r="AI18">
        <f>IF(AI$4=1,IF(INDEX('×入力'!$C$1:$L$700,126+AI$3,AI$2)&lt;&gt;"",1,0),0)</f>
        <v/>
      </c>
      <c r="AJ18">
        <f>IF(AJ$4=1,IF(INDEX('×入力'!$C$1:$L$700,126+AJ$3,AJ$2)&lt;&gt;"",1,0),0)</f>
        <v/>
      </c>
      <c r="AK18">
        <f>IF(AK$4=1,IF(INDEX('×入力'!$C$1:$L$700,126+AK$3,AK$2)&lt;&gt;"",1,0),0)</f>
        <v/>
      </c>
      <c r="AL18">
        <f>IF(AL$4=1,IF(INDEX('×入力'!$C$1:$L$700,126+AL$3,AL$2)&lt;&gt;"",1,0),0)</f>
        <v/>
      </c>
      <c r="AM18">
        <f>IF(AM$4=1,IF(INDEX('×入力'!$C$1:$L$700,126+AM$3,AM$2)&lt;&gt;"",1,0),0)</f>
        <v/>
      </c>
      <c r="AN18">
        <f>IF(AN$4=1,IF(INDEX('×入力'!$C$1:$L$700,126+AN$3,AN$2)&lt;&gt;"",1,0),0)</f>
        <v/>
      </c>
      <c r="AO18">
        <f>IF(AO$4=1,IF(INDEX('×入力'!$C$1:$L$700,126+AO$3,AO$2)&lt;&gt;"",1,0),0)</f>
        <v/>
      </c>
      <c r="AP18">
        <f>IF(AP$4=1,IF(INDEX('×入力'!$C$1:$L$700,126+AP$3,AP$2)&lt;&gt;"",1,0),0)</f>
        <v/>
      </c>
      <c r="AQ18">
        <f>IF(AQ$4=1,IF(INDEX('×入力'!$C$1:$L$700,126+AQ$3,AQ$2)&lt;&gt;"",1,0),0)</f>
        <v/>
      </c>
      <c r="AR18">
        <f>IF(AR$4=1,IF(INDEX('×入力'!$C$1:$L$700,126+AR$3,AR$2)&lt;&gt;"",1,0),0)</f>
        <v/>
      </c>
      <c r="AS18">
        <f>IF(AS$4=1,IF(INDEX('×入力'!$C$1:$L$700,126+AS$3,AS$2)&lt;&gt;"",1,0),0)</f>
        <v/>
      </c>
      <c r="AT18">
        <f>IF(AT$4=1,IF(INDEX('×入力'!$C$1:$L$700,126+AT$3,AT$2)&lt;&gt;"",1,0),0)</f>
        <v/>
      </c>
      <c r="AU18">
        <f>IF(AU$4=1,IF(INDEX('×入力'!$C$1:$L$700,126+AU$3,AU$2)&lt;&gt;"",1,0),0)</f>
        <v/>
      </c>
      <c r="AV18">
        <f>IF(AV$4=1,IF(INDEX('×入力'!$C$1:$L$700,126+AV$3,AV$2)&lt;&gt;"",1,0),0)</f>
        <v/>
      </c>
      <c r="AW18">
        <f>IF(AW$4=1,IF(INDEX('×入力'!$C$1:$L$700,126+AW$3,AW$2)&lt;&gt;"",1,0),0)</f>
        <v/>
      </c>
      <c r="AX18">
        <f>IF(AX$4=1,IF(INDEX('×入力'!$C$1:$L$700,126+AX$3,AX$2)&lt;&gt;"",1,0),0)</f>
        <v/>
      </c>
      <c r="AY18">
        <f>IF(AY$4=1,IF(INDEX('×入力'!$C$1:$L$700,126+AY$3,AY$2)&lt;&gt;"",1,0),0)</f>
        <v/>
      </c>
      <c r="AZ18">
        <f>IF(AZ$4=1,IF(INDEX('×入力'!$C$1:$L$700,126+AZ$3,AZ$2)&lt;&gt;"",1,0),0)</f>
        <v/>
      </c>
      <c r="BA18">
        <f>IF(BA$4=1,IF(INDEX('×入力'!$C$1:$L$700,126+BA$3,BA$2)&lt;&gt;"",1,0),0)</f>
        <v/>
      </c>
      <c r="BB18">
        <f>IF(BB$4=1,IF(INDEX('×入力'!$C$1:$L$700,126+BB$3,BB$2)&lt;&gt;"",1,0),0)</f>
        <v/>
      </c>
      <c r="BC18">
        <f>IF(BC$4=1,IF(INDEX('×入力'!$C$1:$L$700,126+BC$3,BC$2)&lt;&gt;"",1,0),0)</f>
        <v/>
      </c>
      <c r="BD18">
        <f>IF(BD$4=1,IF(INDEX('×入力'!$C$1:$L$700,126+BD$3,BD$2)&lt;&gt;"",1,0),0)</f>
        <v/>
      </c>
      <c r="BE18">
        <f>IF(BE$4=1,IF(INDEX('×入力'!$C$1:$L$700,126+BE$3,BE$2)&lt;&gt;"",1,0),0)</f>
        <v/>
      </c>
      <c r="BF18">
        <f>IF(BF$4=1,IF(INDEX('×入力'!$C$1:$L$700,126+BF$3,BF$2)&lt;&gt;"",1,0),0)</f>
        <v/>
      </c>
      <c r="BG18">
        <f>IF(BG$4=1,IF(INDEX('×入力'!$C$1:$L$700,126+BG$3,BG$2)&lt;&gt;"",1,0),0)</f>
        <v/>
      </c>
      <c r="BH18">
        <f>IF(BH$4=1,IF(INDEX('×入力'!$C$1:$L$700,126+BH$3,BH$2)&lt;&gt;"",1,0),0)</f>
        <v/>
      </c>
      <c r="BI18">
        <f>IF(BI$4=1,IF(INDEX('×入力'!$C$1:$L$700,126+BI$3,BI$2)&lt;&gt;"",1,0),0)</f>
        <v/>
      </c>
      <c r="BJ18">
        <f>IF(BJ$4=1,IF(INDEX('×入力'!$C$1:$L$700,126+BJ$3,BJ$2)&lt;&gt;"",1,0),0)</f>
        <v/>
      </c>
      <c r="BK18">
        <f>IF(BK$4=1,IF(INDEX('×入力'!$C$1:$L$700,126+BK$3,BK$2)&lt;&gt;"",1,0),0)</f>
        <v/>
      </c>
      <c r="BL18">
        <f>IF(BL$4=1,IF(INDEX('×入力'!$C$1:$L$700,126+BL$3,BL$2)&lt;&gt;"",1,0),0)</f>
        <v/>
      </c>
      <c r="BM18">
        <f>IF(BM$4=1,IF(INDEX('×入力'!$C$1:$L$700,126+BM$3,BM$2)&lt;&gt;"",1,0),0)</f>
        <v/>
      </c>
      <c r="BN18">
        <f>IF(BN$4=1,IF(INDEX('×入力'!$C$1:$L$700,126+BN$3,BN$2)&lt;&gt;"",1,0),0)</f>
        <v/>
      </c>
      <c r="BO18">
        <f>IF(BO$4=1,IF(INDEX('×入力'!$C$1:$L$700,126+BO$3,BO$2)&lt;&gt;"",1,0),0)</f>
        <v/>
      </c>
      <c r="BP18">
        <f>IF(BP$4=1,IF(INDEX('×入力'!$C$1:$L$700,126+BP$3,BP$2)&lt;&gt;"",1,0),0)</f>
        <v/>
      </c>
      <c r="BQ18">
        <f>IF(BQ$4=1,IF(INDEX('×入力'!$C$1:$L$700,126+BQ$3,BQ$2)&lt;&gt;"",1,0),0)</f>
        <v/>
      </c>
      <c r="BR18">
        <f>IF(BR$4=1,IF(INDEX('×入力'!$C$1:$L$700,126+BR$3,BR$2)&lt;&gt;"",1,0),0)</f>
        <v/>
      </c>
      <c r="BS18">
        <f>IF(BS$4=1,IF(INDEX('×入力'!$C$1:$L$700,126+BS$3,BS$2)&lt;&gt;"",1,0),0)</f>
        <v/>
      </c>
      <c r="BT18">
        <f>IF(BT$4=1,IF(INDEX('×入力'!$C$1:$L$700,126+BT$3,BT$2)&lt;&gt;"",1,0),0)</f>
        <v/>
      </c>
      <c r="BU18">
        <f>IF(BU$4=1,IF(INDEX('×入力'!$C$1:$L$700,126+BU$3,BU$2)&lt;&gt;"",1,0),0)</f>
        <v/>
      </c>
      <c r="BV18">
        <f>IF(BV$4=1,IF(INDEX('×入力'!$C$1:$L$700,126+BV$3,BV$2)&lt;&gt;"",1,0),0)</f>
        <v/>
      </c>
      <c r="BW18">
        <f>IF(BW$4=1,IF(INDEX('×入力'!$C$1:$L$700,126+BW$3,BW$2)&lt;&gt;"",1,0),0)</f>
        <v/>
      </c>
      <c r="BX18">
        <f>IF(BX$4=1,IF(INDEX('×入力'!$C$1:$L$700,126+BX$3,BX$2)&lt;&gt;"",1,0),0)</f>
        <v/>
      </c>
      <c r="BY18">
        <f>IF(BY$4=1,IF(INDEX('×入力'!$C$1:$L$700,126+BY$3,BY$2)&lt;&gt;"",1,0),0)</f>
        <v/>
      </c>
      <c r="BZ18">
        <f>IF(BZ$4=1,IF(INDEX('×入力'!$C$1:$L$700,126+BZ$3,BZ$2)&lt;&gt;"",1,0),0)</f>
        <v/>
      </c>
      <c r="CA18">
        <f>IF(CA$4=1,IF(INDEX('×入力'!$C$1:$L$700,126+CA$3,CA$2)&lt;&gt;"",1,0),0)</f>
        <v/>
      </c>
      <c r="CB18">
        <f>IF(CB$4=1,IF(INDEX('×入力'!$C$1:$L$700,126+CB$3,CB$2)&lt;&gt;"",1,0),0)</f>
        <v/>
      </c>
      <c r="CC18">
        <f>IF(CC$4=1,IF(INDEX('×入力'!$C$1:$L$700,126+CC$3,CC$2)&lt;&gt;"",1,0),0)</f>
        <v/>
      </c>
      <c r="CD18">
        <f>IF(CD$4=1,IF(INDEX('×入力'!$C$1:$L$700,126+CD$3,CD$2)&lt;&gt;"",1,0),0)</f>
        <v/>
      </c>
      <c r="CE18">
        <f>IF(CE$4=1,IF(INDEX('×入力'!$C$1:$L$700,126+CE$3,CE$2)&lt;&gt;"",1,0),0)</f>
        <v/>
      </c>
      <c r="CF18">
        <f>IF(CF$4=1,IF(INDEX('×入力'!$C$1:$L$700,126+CF$3,CF$2)&lt;&gt;"",1,0),0)</f>
        <v/>
      </c>
      <c r="CG18">
        <f>IF(CG$4=1,IF(INDEX('×入力'!$C$1:$L$700,126+CG$3,CG$2)&lt;&gt;"",1,0),0)</f>
        <v/>
      </c>
      <c r="CH18">
        <f>IF(CH$4=1,IF(INDEX('×入力'!$C$1:$L$700,126+CH$3,CH$2)&lt;&gt;"",1,0),0)</f>
        <v/>
      </c>
      <c r="CI18">
        <f>IF(CI$4=1,IF(INDEX('×入力'!$C$1:$L$700,126+CI$3,CI$2)&lt;&gt;"",1,0),0)</f>
        <v/>
      </c>
      <c r="CJ18">
        <f>IF(CJ$4=1,IF(INDEX('×入力'!$C$1:$L$700,126+CJ$3,CJ$2)&lt;&gt;"",1,0),0)</f>
        <v/>
      </c>
      <c r="CK18">
        <f>IF(CK$4=1,IF(INDEX('×入力'!$C$1:$L$700,126+CK$3,CK$2)&lt;&gt;"",1,0),0)</f>
        <v/>
      </c>
      <c r="CL18">
        <f>IF(CL$4=1,IF(INDEX('×入力'!$C$1:$L$700,126+CL$3,CL$2)&lt;&gt;"",1,0),0)</f>
        <v/>
      </c>
      <c r="CM18">
        <f>IF(CM$4=1,IF(INDEX('×入力'!$C$1:$L$700,126+CM$3,CM$2)&lt;&gt;"",1,0),0)</f>
        <v/>
      </c>
      <c r="CN18">
        <f>IF(CN$4=1,IF(INDEX('×入力'!$C$1:$L$700,126+CN$3,CN$2)&lt;&gt;"",1,0),0)</f>
        <v/>
      </c>
      <c r="CO18">
        <f>IF(CO$4=1,IF(INDEX('×入力'!$C$1:$L$700,126+CO$3,CO$2)&lt;&gt;"",1,0),0)</f>
        <v/>
      </c>
      <c r="CP18">
        <f>IF(CP$4=1,IF(INDEX('×入力'!$C$1:$L$700,126+CP$3,CP$2)&lt;&gt;"",1,0),0)</f>
        <v/>
      </c>
      <c r="CQ18">
        <f>IF(CQ$4=1,IF(INDEX('×入力'!$C$1:$L$700,126+CQ$3,CQ$2)&lt;&gt;"",1,0),0)</f>
        <v/>
      </c>
      <c r="CR18">
        <f>IF(CR$4=1,IF(INDEX('×入力'!$C$1:$L$700,126+CR$3,CR$2)&lt;&gt;"",1,0),0)</f>
        <v/>
      </c>
      <c r="CS18">
        <f>IF(CS$4=1,IF(INDEX('×入力'!$C$1:$L$700,126+CS$3,CS$2)&lt;&gt;"",1,0),0)</f>
        <v/>
      </c>
      <c r="CT18">
        <f>IF(CT$4=1,IF(INDEX('×入力'!$C$1:$L$700,126+CT$3,CT$2)&lt;&gt;"",1,0),0)</f>
        <v/>
      </c>
      <c r="CU18">
        <f>IF(CU$4=1,IF(INDEX('×入力'!$C$1:$L$700,126+CU$3,CU$2)&lt;&gt;"",1,0),0)</f>
        <v/>
      </c>
      <c r="CV18">
        <f>IF(CV$4=1,IF(INDEX('×入力'!$C$1:$L$700,126+CV$3,CV$2)&lt;&gt;"",1,0),0)</f>
        <v/>
      </c>
      <c r="CW18">
        <f>IF(CW$4=1,IF(INDEX('×入力'!$C$1:$L$700,126+CW$3,CW$2)&lt;&gt;"",1,0),0)</f>
        <v/>
      </c>
      <c r="CX18">
        <f>IF(CX$4=1,IF(INDEX('×入力'!$C$1:$L$700,126+CX$3,CX$2)&lt;&gt;"",1,0),0)</f>
        <v/>
      </c>
      <c r="CY18">
        <f>IF(CY$4=1,IF(INDEX('×入力'!$C$1:$L$700,126+CY$3,CY$2)&lt;&gt;"",1,0),0)</f>
        <v/>
      </c>
      <c r="CZ18">
        <f>IF(CZ$4=1,IF(INDEX('×入力'!$C$1:$L$700,126+CZ$3,CZ$2)&lt;&gt;"",1,0),0)</f>
        <v/>
      </c>
      <c r="DA18">
        <f>IF(DA$4=1,IF(INDEX('×入力'!$C$1:$L$700,126+DA$3,DA$2)&lt;&gt;"",1,0),0)</f>
        <v/>
      </c>
      <c r="DB18">
        <f>IF(DB$4=1,IF(INDEX('×入力'!$C$1:$L$700,126+DB$3,DB$2)&lt;&gt;"",1,0),0)</f>
        <v/>
      </c>
      <c r="DC18">
        <f>IF(DC$4=1,IF(INDEX('×入力'!$C$1:$L$700,126+DC$3,DC$2)&lt;&gt;"",1,0),0)</f>
        <v/>
      </c>
      <c r="DD18">
        <f>IF(DD$4=1,IF(INDEX('×入力'!$C$1:$L$700,126+DD$3,DD$2)&lt;&gt;"",1,0),0)</f>
        <v/>
      </c>
      <c r="DE18">
        <f>IF(DE$4=1,IF(INDEX('×入力'!$C$1:$L$700,126+DE$3,DE$2)&lt;&gt;"",1,0),0)</f>
        <v/>
      </c>
      <c r="DF18">
        <f>IF(DF$4=1,IF(INDEX('×入力'!$C$1:$L$700,126+DF$3,DF$2)&lt;&gt;"",1,0),0)</f>
        <v/>
      </c>
      <c r="DG18">
        <f>IF(DG$4=1,IF(INDEX('×入力'!$C$1:$L$700,126+DG$3,DG$2)&lt;&gt;"",1,0),0)</f>
        <v/>
      </c>
      <c r="DH18">
        <f>IF(DH$4=1,IF(INDEX('×入力'!$C$1:$L$700,126+DH$3,DH$2)&lt;&gt;"",1,0),0)</f>
        <v/>
      </c>
      <c r="DI18">
        <f>IF(DI$4=1,IF(INDEX('×入力'!$C$1:$L$700,126+DI$3,DI$2)&lt;&gt;"",1,0),0)</f>
        <v/>
      </c>
      <c r="DJ18">
        <f>IF(DJ$4=1,IF(INDEX('×入力'!$C$1:$L$700,126+DJ$3,DJ$2)&lt;&gt;"",1,0),0)</f>
        <v/>
      </c>
      <c r="DK18">
        <f>IF(DK$4=1,IF(INDEX('×入力'!$C$1:$L$700,126+DK$3,DK$2)&lt;&gt;"",1,0),0)</f>
        <v/>
      </c>
      <c r="DL18">
        <f>IF(DL$4=1,IF(INDEX('×入力'!$C$1:$L$700,126+DL$3,DL$2)&lt;&gt;"",1,0),0)</f>
        <v/>
      </c>
      <c r="DM18">
        <f>IF(DM$4=1,IF(INDEX('×入力'!$C$1:$L$700,126+DM$3,DM$2)&lt;&gt;"",1,0),0)</f>
        <v/>
      </c>
      <c r="DN18">
        <f>IF(DN$4=1,IF(INDEX('×入力'!$C$1:$L$700,126+DN$3,DN$2)&lt;&gt;"",1,0),0)</f>
        <v/>
      </c>
      <c r="DO18">
        <f>IF(DO$4=1,IF(INDEX('×入力'!$C$1:$L$700,126+DO$3,DO$2)&lt;&gt;"",1,0),0)</f>
        <v/>
      </c>
      <c r="DP18">
        <f>IF(DP$4=1,IF(INDEX('×入力'!$C$1:$L$700,126+DP$3,DP$2)&lt;&gt;"",1,0),0)</f>
        <v/>
      </c>
      <c r="DQ18">
        <f>IF(DQ$4=1,IF(INDEX('×入力'!$C$1:$L$700,126+DQ$3,DQ$2)&lt;&gt;"",1,0),0)</f>
        <v/>
      </c>
      <c r="DR18">
        <f>IF(DR$4=1,IF(INDEX('×入力'!$C$1:$L$700,126+DR$3,DR$2)&lt;&gt;"",1,0),0)</f>
        <v/>
      </c>
      <c r="DS18">
        <f>IF(DS$4=1,IF(INDEX('×入力'!$C$1:$L$700,126+DS$3,DS$2)&lt;&gt;"",1,0),0)</f>
        <v/>
      </c>
      <c r="DU18">
        <f>IFERROR(INDEX('計算B'!$C$3:$C$47,MATCH(A18,'計算B'!$B$3:$B$47,0)),0)</f>
        <v/>
      </c>
      <c r="DV18">
        <f>IF(AND(C18=1,DU18=0),1,0)</f>
        <v/>
      </c>
      <c r="DW18">
        <f>SUMPRODUCT(D68:DS68*(1-$D$7:$DS$7))</f>
        <v/>
      </c>
      <c r="DX18">
        <f>SUM(D18:DS18)</f>
        <v/>
      </c>
      <c r="DY18">
        <f>IF(B18="",0,IF(COUNTIF('割り当て'!$C$6:$L$17,B18)=1,SUMPRODUCT(('割り当て'!$C$6:$L$17=B18)*((COLUMN('割り当て'!$C$6:$L$17)-3)*12+ROW('割り当て'!$C$6:$L$17)-5)),0))</f>
        <v/>
      </c>
      <c r="DZ18">
        <f>IFERROR(MATCH('名簿'!E13,{"早い時刻","遅い時刻","早い日","遅い日"},0),0)</f>
        <v/>
      </c>
      <c r="EA18">
        <f>IF('名簿'!F13="必ず空けたい",2,IF('名簿'!F13="出来れば空けたい",1,0))</f>
        <v/>
      </c>
    </row>
    <row r="19">
      <c r="A19" t="n">
        <v>10</v>
      </c>
      <c r="B19">
        <f>'名簿'!G14</f>
        <v/>
      </c>
      <c r="C19">
        <f>IF(AND(B19&lt;&gt;"",OR('名簿'!H14="入力済み",'名簿'!H14="×なし"),DY19=0,COUNTIF('割り当て'!$C$6:$L$17,B19)=0),1,0)</f>
        <v/>
      </c>
      <c r="D19">
        <f>IF(D$4=1,IF(INDEX('×入力'!$C$1:$L$700,141+D$3,D$2)&lt;&gt;"",1,0),0)</f>
        <v/>
      </c>
      <c r="E19">
        <f>IF(E$4=1,IF(INDEX('×入力'!$C$1:$L$700,141+E$3,E$2)&lt;&gt;"",1,0),0)</f>
        <v/>
      </c>
      <c r="F19">
        <f>IF(F$4=1,IF(INDEX('×入力'!$C$1:$L$700,141+F$3,F$2)&lt;&gt;"",1,0),0)</f>
        <v/>
      </c>
      <c r="G19">
        <f>IF(G$4=1,IF(INDEX('×入力'!$C$1:$L$700,141+G$3,G$2)&lt;&gt;"",1,0),0)</f>
        <v/>
      </c>
      <c r="H19">
        <f>IF(H$4=1,IF(INDEX('×入力'!$C$1:$L$700,141+H$3,H$2)&lt;&gt;"",1,0),0)</f>
        <v/>
      </c>
      <c r="I19">
        <f>IF(I$4=1,IF(INDEX('×入力'!$C$1:$L$700,141+I$3,I$2)&lt;&gt;"",1,0),0)</f>
        <v/>
      </c>
      <c r="J19">
        <f>IF(J$4=1,IF(INDEX('×入力'!$C$1:$L$700,141+J$3,J$2)&lt;&gt;"",1,0),0)</f>
        <v/>
      </c>
      <c r="K19">
        <f>IF(K$4=1,IF(INDEX('×入力'!$C$1:$L$700,141+K$3,K$2)&lt;&gt;"",1,0),0)</f>
        <v/>
      </c>
      <c r="L19">
        <f>IF(L$4=1,IF(INDEX('×入力'!$C$1:$L$700,141+L$3,L$2)&lt;&gt;"",1,0),0)</f>
        <v/>
      </c>
      <c r="M19">
        <f>IF(M$4=1,IF(INDEX('×入力'!$C$1:$L$700,141+M$3,M$2)&lt;&gt;"",1,0),0)</f>
        <v/>
      </c>
      <c r="N19">
        <f>IF(N$4=1,IF(INDEX('×入力'!$C$1:$L$700,141+N$3,N$2)&lt;&gt;"",1,0),0)</f>
        <v/>
      </c>
      <c r="O19">
        <f>IF(O$4=1,IF(INDEX('×入力'!$C$1:$L$700,141+O$3,O$2)&lt;&gt;"",1,0),0)</f>
        <v/>
      </c>
      <c r="P19">
        <f>IF(P$4=1,IF(INDEX('×入力'!$C$1:$L$700,141+P$3,P$2)&lt;&gt;"",1,0),0)</f>
        <v/>
      </c>
      <c r="Q19">
        <f>IF(Q$4=1,IF(INDEX('×入力'!$C$1:$L$700,141+Q$3,Q$2)&lt;&gt;"",1,0),0)</f>
        <v/>
      </c>
      <c r="R19">
        <f>IF(R$4=1,IF(INDEX('×入力'!$C$1:$L$700,141+R$3,R$2)&lt;&gt;"",1,0),0)</f>
        <v/>
      </c>
      <c r="S19">
        <f>IF(S$4=1,IF(INDEX('×入力'!$C$1:$L$700,141+S$3,S$2)&lt;&gt;"",1,0),0)</f>
        <v/>
      </c>
      <c r="T19">
        <f>IF(T$4=1,IF(INDEX('×入力'!$C$1:$L$700,141+T$3,T$2)&lt;&gt;"",1,0),0)</f>
        <v/>
      </c>
      <c r="U19">
        <f>IF(U$4=1,IF(INDEX('×入力'!$C$1:$L$700,141+U$3,U$2)&lt;&gt;"",1,0),0)</f>
        <v/>
      </c>
      <c r="V19">
        <f>IF(V$4=1,IF(INDEX('×入力'!$C$1:$L$700,141+V$3,V$2)&lt;&gt;"",1,0),0)</f>
        <v/>
      </c>
      <c r="W19">
        <f>IF(W$4=1,IF(INDEX('×入力'!$C$1:$L$700,141+W$3,W$2)&lt;&gt;"",1,0),0)</f>
        <v/>
      </c>
      <c r="X19">
        <f>IF(X$4=1,IF(INDEX('×入力'!$C$1:$L$700,141+X$3,X$2)&lt;&gt;"",1,0),0)</f>
        <v/>
      </c>
      <c r="Y19">
        <f>IF(Y$4=1,IF(INDEX('×入力'!$C$1:$L$700,141+Y$3,Y$2)&lt;&gt;"",1,0),0)</f>
        <v/>
      </c>
      <c r="Z19">
        <f>IF(Z$4=1,IF(INDEX('×入力'!$C$1:$L$700,141+Z$3,Z$2)&lt;&gt;"",1,0),0)</f>
        <v/>
      </c>
      <c r="AA19">
        <f>IF(AA$4=1,IF(INDEX('×入力'!$C$1:$L$700,141+AA$3,AA$2)&lt;&gt;"",1,0),0)</f>
        <v/>
      </c>
      <c r="AB19">
        <f>IF(AB$4=1,IF(INDEX('×入力'!$C$1:$L$700,141+AB$3,AB$2)&lt;&gt;"",1,0),0)</f>
        <v/>
      </c>
      <c r="AC19">
        <f>IF(AC$4=1,IF(INDEX('×入力'!$C$1:$L$700,141+AC$3,AC$2)&lt;&gt;"",1,0),0)</f>
        <v/>
      </c>
      <c r="AD19">
        <f>IF(AD$4=1,IF(INDEX('×入力'!$C$1:$L$700,141+AD$3,AD$2)&lt;&gt;"",1,0),0)</f>
        <v/>
      </c>
      <c r="AE19">
        <f>IF(AE$4=1,IF(INDEX('×入力'!$C$1:$L$700,141+AE$3,AE$2)&lt;&gt;"",1,0),0)</f>
        <v/>
      </c>
      <c r="AF19">
        <f>IF(AF$4=1,IF(INDEX('×入力'!$C$1:$L$700,141+AF$3,AF$2)&lt;&gt;"",1,0),0)</f>
        <v/>
      </c>
      <c r="AG19">
        <f>IF(AG$4=1,IF(INDEX('×入力'!$C$1:$L$700,141+AG$3,AG$2)&lt;&gt;"",1,0),0)</f>
        <v/>
      </c>
      <c r="AH19">
        <f>IF(AH$4=1,IF(INDEX('×入力'!$C$1:$L$700,141+AH$3,AH$2)&lt;&gt;"",1,0),0)</f>
        <v/>
      </c>
      <c r="AI19">
        <f>IF(AI$4=1,IF(INDEX('×入力'!$C$1:$L$700,141+AI$3,AI$2)&lt;&gt;"",1,0),0)</f>
        <v/>
      </c>
      <c r="AJ19">
        <f>IF(AJ$4=1,IF(INDEX('×入力'!$C$1:$L$700,141+AJ$3,AJ$2)&lt;&gt;"",1,0),0)</f>
        <v/>
      </c>
      <c r="AK19">
        <f>IF(AK$4=1,IF(INDEX('×入力'!$C$1:$L$700,141+AK$3,AK$2)&lt;&gt;"",1,0),0)</f>
        <v/>
      </c>
      <c r="AL19">
        <f>IF(AL$4=1,IF(INDEX('×入力'!$C$1:$L$700,141+AL$3,AL$2)&lt;&gt;"",1,0),0)</f>
        <v/>
      </c>
      <c r="AM19">
        <f>IF(AM$4=1,IF(INDEX('×入力'!$C$1:$L$700,141+AM$3,AM$2)&lt;&gt;"",1,0),0)</f>
        <v/>
      </c>
      <c r="AN19">
        <f>IF(AN$4=1,IF(INDEX('×入力'!$C$1:$L$700,141+AN$3,AN$2)&lt;&gt;"",1,0),0)</f>
        <v/>
      </c>
      <c r="AO19">
        <f>IF(AO$4=1,IF(INDEX('×入力'!$C$1:$L$700,141+AO$3,AO$2)&lt;&gt;"",1,0),0)</f>
        <v/>
      </c>
      <c r="AP19">
        <f>IF(AP$4=1,IF(INDEX('×入力'!$C$1:$L$700,141+AP$3,AP$2)&lt;&gt;"",1,0),0)</f>
        <v/>
      </c>
      <c r="AQ19">
        <f>IF(AQ$4=1,IF(INDEX('×入力'!$C$1:$L$700,141+AQ$3,AQ$2)&lt;&gt;"",1,0),0)</f>
        <v/>
      </c>
      <c r="AR19">
        <f>IF(AR$4=1,IF(INDEX('×入力'!$C$1:$L$700,141+AR$3,AR$2)&lt;&gt;"",1,0),0)</f>
        <v/>
      </c>
      <c r="AS19">
        <f>IF(AS$4=1,IF(INDEX('×入力'!$C$1:$L$700,141+AS$3,AS$2)&lt;&gt;"",1,0),0)</f>
        <v/>
      </c>
      <c r="AT19">
        <f>IF(AT$4=1,IF(INDEX('×入力'!$C$1:$L$700,141+AT$3,AT$2)&lt;&gt;"",1,0),0)</f>
        <v/>
      </c>
      <c r="AU19">
        <f>IF(AU$4=1,IF(INDEX('×入力'!$C$1:$L$700,141+AU$3,AU$2)&lt;&gt;"",1,0),0)</f>
        <v/>
      </c>
      <c r="AV19">
        <f>IF(AV$4=1,IF(INDEX('×入力'!$C$1:$L$700,141+AV$3,AV$2)&lt;&gt;"",1,0),0)</f>
        <v/>
      </c>
      <c r="AW19">
        <f>IF(AW$4=1,IF(INDEX('×入力'!$C$1:$L$700,141+AW$3,AW$2)&lt;&gt;"",1,0),0)</f>
        <v/>
      </c>
      <c r="AX19">
        <f>IF(AX$4=1,IF(INDEX('×入力'!$C$1:$L$700,141+AX$3,AX$2)&lt;&gt;"",1,0),0)</f>
        <v/>
      </c>
      <c r="AY19">
        <f>IF(AY$4=1,IF(INDEX('×入力'!$C$1:$L$700,141+AY$3,AY$2)&lt;&gt;"",1,0),0)</f>
        <v/>
      </c>
      <c r="AZ19">
        <f>IF(AZ$4=1,IF(INDEX('×入力'!$C$1:$L$700,141+AZ$3,AZ$2)&lt;&gt;"",1,0),0)</f>
        <v/>
      </c>
      <c r="BA19">
        <f>IF(BA$4=1,IF(INDEX('×入力'!$C$1:$L$700,141+BA$3,BA$2)&lt;&gt;"",1,0),0)</f>
        <v/>
      </c>
      <c r="BB19">
        <f>IF(BB$4=1,IF(INDEX('×入力'!$C$1:$L$700,141+BB$3,BB$2)&lt;&gt;"",1,0),0)</f>
        <v/>
      </c>
      <c r="BC19">
        <f>IF(BC$4=1,IF(INDEX('×入力'!$C$1:$L$700,141+BC$3,BC$2)&lt;&gt;"",1,0),0)</f>
        <v/>
      </c>
      <c r="BD19">
        <f>IF(BD$4=1,IF(INDEX('×入力'!$C$1:$L$700,141+BD$3,BD$2)&lt;&gt;"",1,0),0)</f>
        <v/>
      </c>
      <c r="BE19">
        <f>IF(BE$4=1,IF(INDEX('×入力'!$C$1:$L$700,141+BE$3,BE$2)&lt;&gt;"",1,0),0)</f>
        <v/>
      </c>
      <c r="BF19">
        <f>IF(BF$4=1,IF(INDEX('×入力'!$C$1:$L$700,141+BF$3,BF$2)&lt;&gt;"",1,0),0)</f>
        <v/>
      </c>
      <c r="BG19">
        <f>IF(BG$4=1,IF(INDEX('×入力'!$C$1:$L$700,141+BG$3,BG$2)&lt;&gt;"",1,0),0)</f>
        <v/>
      </c>
      <c r="BH19">
        <f>IF(BH$4=1,IF(INDEX('×入力'!$C$1:$L$700,141+BH$3,BH$2)&lt;&gt;"",1,0),0)</f>
        <v/>
      </c>
      <c r="BI19">
        <f>IF(BI$4=1,IF(INDEX('×入力'!$C$1:$L$700,141+BI$3,BI$2)&lt;&gt;"",1,0),0)</f>
        <v/>
      </c>
      <c r="BJ19">
        <f>IF(BJ$4=1,IF(INDEX('×入力'!$C$1:$L$700,141+BJ$3,BJ$2)&lt;&gt;"",1,0),0)</f>
        <v/>
      </c>
      <c r="BK19">
        <f>IF(BK$4=1,IF(INDEX('×入力'!$C$1:$L$700,141+BK$3,BK$2)&lt;&gt;"",1,0),0)</f>
        <v/>
      </c>
      <c r="BL19">
        <f>IF(BL$4=1,IF(INDEX('×入力'!$C$1:$L$700,141+BL$3,BL$2)&lt;&gt;"",1,0),0)</f>
        <v/>
      </c>
      <c r="BM19">
        <f>IF(BM$4=1,IF(INDEX('×入力'!$C$1:$L$700,141+BM$3,BM$2)&lt;&gt;"",1,0),0)</f>
        <v/>
      </c>
      <c r="BN19">
        <f>IF(BN$4=1,IF(INDEX('×入力'!$C$1:$L$700,141+BN$3,BN$2)&lt;&gt;"",1,0),0)</f>
        <v/>
      </c>
      <c r="BO19">
        <f>IF(BO$4=1,IF(INDEX('×入力'!$C$1:$L$700,141+BO$3,BO$2)&lt;&gt;"",1,0),0)</f>
        <v/>
      </c>
      <c r="BP19">
        <f>IF(BP$4=1,IF(INDEX('×入力'!$C$1:$L$700,141+BP$3,BP$2)&lt;&gt;"",1,0),0)</f>
        <v/>
      </c>
      <c r="BQ19">
        <f>IF(BQ$4=1,IF(INDEX('×入力'!$C$1:$L$700,141+BQ$3,BQ$2)&lt;&gt;"",1,0),0)</f>
        <v/>
      </c>
      <c r="BR19">
        <f>IF(BR$4=1,IF(INDEX('×入力'!$C$1:$L$700,141+BR$3,BR$2)&lt;&gt;"",1,0),0)</f>
        <v/>
      </c>
      <c r="BS19">
        <f>IF(BS$4=1,IF(INDEX('×入力'!$C$1:$L$700,141+BS$3,BS$2)&lt;&gt;"",1,0),0)</f>
        <v/>
      </c>
      <c r="BT19">
        <f>IF(BT$4=1,IF(INDEX('×入力'!$C$1:$L$700,141+BT$3,BT$2)&lt;&gt;"",1,0),0)</f>
        <v/>
      </c>
      <c r="BU19">
        <f>IF(BU$4=1,IF(INDEX('×入力'!$C$1:$L$700,141+BU$3,BU$2)&lt;&gt;"",1,0),0)</f>
        <v/>
      </c>
      <c r="BV19">
        <f>IF(BV$4=1,IF(INDEX('×入力'!$C$1:$L$700,141+BV$3,BV$2)&lt;&gt;"",1,0),0)</f>
        <v/>
      </c>
      <c r="BW19">
        <f>IF(BW$4=1,IF(INDEX('×入力'!$C$1:$L$700,141+BW$3,BW$2)&lt;&gt;"",1,0),0)</f>
        <v/>
      </c>
      <c r="BX19">
        <f>IF(BX$4=1,IF(INDEX('×入力'!$C$1:$L$700,141+BX$3,BX$2)&lt;&gt;"",1,0),0)</f>
        <v/>
      </c>
      <c r="BY19">
        <f>IF(BY$4=1,IF(INDEX('×入力'!$C$1:$L$700,141+BY$3,BY$2)&lt;&gt;"",1,0),0)</f>
        <v/>
      </c>
      <c r="BZ19">
        <f>IF(BZ$4=1,IF(INDEX('×入力'!$C$1:$L$700,141+BZ$3,BZ$2)&lt;&gt;"",1,0),0)</f>
        <v/>
      </c>
      <c r="CA19">
        <f>IF(CA$4=1,IF(INDEX('×入力'!$C$1:$L$700,141+CA$3,CA$2)&lt;&gt;"",1,0),0)</f>
        <v/>
      </c>
      <c r="CB19">
        <f>IF(CB$4=1,IF(INDEX('×入力'!$C$1:$L$700,141+CB$3,CB$2)&lt;&gt;"",1,0),0)</f>
        <v/>
      </c>
      <c r="CC19">
        <f>IF(CC$4=1,IF(INDEX('×入力'!$C$1:$L$700,141+CC$3,CC$2)&lt;&gt;"",1,0),0)</f>
        <v/>
      </c>
      <c r="CD19">
        <f>IF(CD$4=1,IF(INDEX('×入力'!$C$1:$L$700,141+CD$3,CD$2)&lt;&gt;"",1,0),0)</f>
        <v/>
      </c>
      <c r="CE19">
        <f>IF(CE$4=1,IF(INDEX('×入力'!$C$1:$L$700,141+CE$3,CE$2)&lt;&gt;"",1,0),0)</f>
        <v/>
      </c>
      <c r="CF19">
        <f>IF(CF$4=1,IF(INDEX('×入力'!$C$1:$L$700,141+CF$3,CF$2)&lt;&gt;"",1,0),0)</f>
        <v/>
      </c>
      <c r="CG19">
        <f>IF(CG$4=1,IF(INDEX('×入力'!$C$1:$L$700,141+CG$3,CG$2)&lt;&gt;"",1,0),0)</f>
        <v/>
      </c>
      <c r="CH19">
        <f>IF(CH$4=1,IF(INDEX('×入力'!$C$1:$L$700,141+CH$3,CH$2)&lt;&gt;"",1,0),0)</f>
        <v/>
      </c>
      <c r="CI19">
        <f>IF(CI$4=1,IF(INDEX('×入力'!$C$1:$L$700,141+CI$3,CI$2)&lt;&gt;"",1,0),0)</f>
        <v/>
      </c>
      <c r="CJ19">
        <f>IF(CJ$4=1,IF(INDEX('×入力'!$C$1:$L$700,141+CJ$3,CJ$2)&lt;&gt;"",1,0),0)</f>
        <v/>
      </c>
      <c r="CK19">
        <f>IF(CK$4=1,IF(INDEX('×入力'!$C$1:$L$700,141+CK$3,CK$2)&lt;&gt;"",1,0),0)</f>
        <v/>
      </c>
      <c r="CL19">
        <f>IF(CL$4=1,IF(INDEX('×入力'!$C$1:$L$700,141+CL$3,CL$2)&lt;&gt;"",1,0),0)</f>
        <v/>
      </c>
      <c r="CM19">
        <f>IF(CM$4=1,IF(INDEX('×入力'!$C$1:$L$700,141+CM$3,CM$2)&lt;&gt;"",1,0),0)</f>
        <v/>
      </c>
      <c r="CN19">
        <f>IF(CN$4=1,IF(INDEX('×入力'!$C$1:$L$700,141+CN$3,CN$2)&lt;&gt;"",1,0),0)</f>
        <v/>
      </c>
      <c r="CO19">
        <f>IF(CO$4=1,IF(INDEX('×入力'!$C$1:$L$700,141+CO$3,CO$2)&lt;&gt;"",1,0),0)</f>
        <v/>
      </c>
      <c r="CP19">
        <f>IF(CP$4=1,IF(INDEX('×入力'!$C$1:$L$700,141+CP$3,CP$2)&lt;&gt;"",1,0),0)</f>
        <v/>
      </c>
      <c r="CQ19">
        <f>IF(CQ$4=1,IF(INDEX('×入力'!$C$1:$L$700,141+CQ$3,CQ$2)&lt;&gt;"",1,0),0)</f>
        <v/>
      </c>
      <c r="CR19">
        <f>IF(CR$4=1,IF(INDEX('×入力'!$C$1:$L$700,141+CR$3,CR$2)&lt;&gt;"",1,0),0)</f>
        <v/>
      </c>
      <c r="CS19">
        <f>IF(CS$4=1,IF(INDEX('×入力'!$C$1:$L$700,141+CS$3,CS$2)&lt;&gt;"",1,0),0)</f>
        <v/>
      </c>
      <c r="CT19">
        <f>IF(CT$4=1,IF(INDEX('×入力'!$C$1:$L$700,141+CT$3,CT$2)&lt;&gt;"",1,0),0)</f>
        <v/>
      </c>
      <c r="CU19">
        <f>IF(CU$4=1,IF(INDEX('×入力'!$C$1:$L$700,141+CU$3,CU$2)&lt;&gt;"",1,0),0)</f>
        <v/>
      </c>
      <c r="CV19">
        <f>IF(CV$4=1,IF(INDEX('×入力'!$C$1:$L$700,141+CV$3,CV$2)&lt;&gt;"",1,0),0)</f>
        <v/>
      </c>
      <c r="CW19">
        <f>IF(CW$4=1,IF(INDEX('×入力'!$C$1:$L$700,141+CW$3,CW$2)&lt;&gt;"",1,0),0)</f>
        <v/>
      </c>
      <c r="CX19">
        <f>IF(CX$4=1,IF(INDEX('×入力'!$C$1:$L$700,141+CX$3,CX$2)&lt;&gt;"",1,0),0)</f>
        <v/>
      </c>
      <c r="CY19">
        <f>IF(CY$4=1,IF(INDEX('×入力'!$C$1:$L$700,141+CY$3,CY$2)&lt;&gt;"",1,0),0)</f>
        <v/>
      </c>
      <c r="CZ19">
        <f>IF(CZ$4=1,IF(INDEX('×入力'!$C$1:$L$700,141+CZ$3,CZ$2)&lt;&gt;"",1,0),0)</f>
        <v/>
      </c>
      <c r="DA19">
        <f>IF(DA$4=1,IF(INDEX('×入力'!$C$1:$L$700,141+DA$3,DA$2)&lt;&gt;"",1,0),0)</f>
        <v/>
      </c>
      <c r="DB19">
        <f>IF(DB$4=1,IF(INDEX('×入力'!$C$1:$L$700,141+DB$3,DB$2)&lt;&gt;"",1,0),0)</f>
        <v/>
      </c>
      <c r="DC19">
        <f>IF(DC$4=1,IF(INDEX('×入力'!$C$1:$L$700,141+DC$3,DC$2)&lt;&gt;"",1,0),0)</f>
        <v/>
      </c>
      <c r="DD19">
        <f>IF(DD$4=1,IF(INDEX('×入力'!$C$1:$L$700,141+DD$3,DD$2)&lt;&gt;"",1,0),0)</f>
        <v/>
      </c>
      <c r="DE19">
        <f>IF(DE$4=1,IF(INDEX('×入力'!$C$1:$L$700,141+DE$3,DE$2)&lt;&gt;"",1,0),0)</f>
        <v/>
      </c>
      <c r="DF19">
        <f>IF(DF$4=1,IF(INDEX('×入力'!$C$1:$L$700,141+DF$3,DF$2)&lt;&gt;"",1,0),0)</f>
        <v/>
      </c>
      <c r="DG19">
        <f>IF(DG$4=1,IF(INDEX('×入力'!$C$1:$L$700,141+DG$3,DG$2)&lt;&gt;"",1,0),0)</f>
        <v/>
      </c>
      <c r="DH19">
        <f>IF(DH$4=1,IF(INDEX('×入力'!$C$1:$L$700,141+DH$3,DH$2)&lt;&gt;"",1,0),0)</f>
        <v/>
      </c>
      <c r="DI19">
        <f>IF(DI$4=1,IF(INDEX('×入力'!$C$1:$L$700,141+DI$3,DI$2)&lt;&gt;"",1,0),0)</f>
        <v/>
      </c>
      <c r="DJ19">
        <f>IF(DJ$4=1,IF(INDEX('×入力'!$C$1:$L$700,141+DJ$3,DJ$2)&lt;&gt;"",1,0),0)</f>
        <v/>
      </c>
      <c r="DK19">
        <f>IF(DK$4=1,IF(INDEX('×入力'!$C$1:$L$700,141+DK$3,DK$2)&lt;&gt;"",1,0),0)</f>
        <v/>
      </c>
      <c r="DL19">
        <f>IF(DL$4=1,IF(INDEX('×入力'!$C$1:$L$700,141+DL$3,DL$2)&lt;&gt;"",1,0),0)</f>
        <v/>
      </c>
      <c r="DM19">
        <f>IF(DM$4=1,IF(INDEX('×入力'!$C$1:$L$700,141+DM$3,DM$2)&lt;&gt;"",1,0),0)</f>
        <v/>
      </c>
      <c r="DN19">
        <f>IF(DN$4=1,IF(INDEX('×入力'!$C$1:$L$700,141+DN$3,DN$2)&lt;&gt;"",1,0),0)</f>
        <v/>
      </c>
      <c r="DO19">
        <f>IF(DO$4=1,IF(INDEX('×入力'!$C$1:$L$700,141+DO$3,DO$2)&lt;&gt;"",1,0),0)</f>
        <v/>
      </c>
      <c r="DP19">
        <f>IF(DP$4=1,IF(INDEX('×入力'!$C$1:$L$700,141+DP$3,DP$2)&lt;&gt;"",1,0),0)</f>
        <v/>
      </c>
      <c r="DQ19">
        <f>IF(DQ$4=1,IF(INDEX('×入力'!$C$1:$L$700,141+DQ$3,DQ$2)&lt;&gt;"",1,0),0)</f>
        <v/>
      </c>
      <c r="DR19">
        <f>IF(DR$4=1,IF(INDEX('×入力'!$C$1:$L$700,141+DR$3,DR$2)&lt;&gt;"",1,0),0)</f>
        <v/>
      </c>
      <c r="DS19">
        <f>IF(DS$4=1,IF(INDEX('×入力'!$C$1:$L$700,141+DS$3,DS$2)&lt;&gt;"",1,0),0)</f>
        <v/>
      </c>
      <c r="DU19">
        <f>IFERROR(INDEX('計算B'!$C$3:$C$47,MATCH(A19,'計算B'!$B$3:$B$47,0)),0)</f>
        <v/>
      </c>
      <c r="DV19">
        <f>IF(AND(C19=1,DU19=0),1,0)</f>
        <v/>
      </c>
      <c r="DW19">
        <f>SUMPRODUCT(D69:DS69*(1-$D$7:$DS$7))</f>
        <v/>
      </c>
      <c r="DX19">
        <f>SUM(D19:DS19)</f>
        <v/>
      </c>
      <c r="DY19">
        <f>IF(B19="",0,IF(COUNTIF('割り当て'!$C$6:$L$17,B19)=1,SUMPRODUCT(('割り当て'!$C$6:$L$17=B19)*((COLUMN('割り当て'!$C$6:$L$17)-3)*12+ROW('割り当て'!$C$6:$L$17)-5)),0))</f>
        <v/>
      </c>
      <c r="DZ19">
        <f>IFERROR(MATCH('名簿'!E14,{"早い時刻","遅い時刻","早い日","遅い日"},0),0)</f>
        <v/>
      </c>
      <c r="EA19">
        <f>IF('名簿'!F14="必ず空けたい",2,IF('名簿'!F14="出来れば空けたい",1,0))</f>
        <v/>
      </c>
    </row>
    <row r="20">
      <c r="A20" t="n">
        <v>11</v>
      </c>
      <c r="B20">
        <f>'名簿'!G15</f>
        <v/>
      </c>
      <c r="C20">
        <f>IF(AND(B20&lt;&gt;"",OR('名簿'!H15="入力済み",'名簿'!H15="×なし"),DY20=0,COUNTIF('割り当て'!$C$6:$L$17,B20)=0),1,0)</f>
        <v/>
      </c>
      <c r="D20">
        <f>IF(D$4=1,IF(INDEX('×入力'!$C$1:$L$700,156+D$3,D$2)&lt;&gt;"",1,0),0)</f>
        <v/>
      </c>
      <c r="E20">
        <f>IF(E$4=1,IF(INDEX('×入力'!$C$1:$L$700,156+E$3,E$2)&lt;&gt;"",1,0),0)</f>
        <v/>
      </c>
      <c r="F20">
        <f>IF(F$4=1,IF(INDEX('×入力'!$C$1:$L$700,156+F$3,F$2)&lt;&gt;"",1,0),0)</f>
        <v/>
      </c>
      <c r="G20">
        <f>IF(G$4=1,IF(INDEX('×入力'!$C$1:$L$700,156+G$3,G$2)&lt;&gt;"",1,0),0)</f>
        <v/>
      </c>
      <c r="H20">
        <f>IF(H$4=1,IF(INDEX('×入力'!$C$1:$L$700,156+H$3,H$2)&lt;&gt;"",1,0),0)</f>
        <v/>
      </c>
      <c r="I20">
        <f>IF(I$4=1,IF(INDEX('×入力'!$C$1:$L$700,156+I$3,I$2)&lt;&gt;"",1,0),0)</f>
        <v/>
      </c>
      <c r="J20">
        <f>IF(J$4=1,IF(INDEX('×入力'!$C$1:$L$700,156+J$3,J$2)&lt;&gt;"",1,0),0)</f>
        <v/>
      </c>
      <c r="K20">
        <f>IF(K$4=1,IF(INDEX('×入力'!$C$1:$L$700,156+K$3,K$2)&lt;&gt;"",1,0),0)</f>
        <v/>
      </c>
      <c r="L20">
        <f>IF(L$4=1,IF(INDEX('×入力'!$C$1:$L$700,156+L$3,L$2)&lt;&gt;"",1,0),0)</f>
        <v/>
      </c>
      <c r="M20">
        <f>IF(M$4=1,IF(INDEX('×入力'!$C$1:$L$700,156+M$3,M$2)&lt;&gt;"",1,0),0)</f>
        <v/>
      </c>
      <c r="N20">
        <f>IF(N$4=1,IF(INDEX('×入力'!$C$1:$L$700,156+N$3,N$2)&lt;&gt;"",1,0),0)</f>
        <v/>
      </c>
      <c r="O20">
        <f>IF(O$4=1,IF(INDEX('×入力'!$C$1:$L$700,156+O$3,O$2)&lt;&gt;"",1,0),0)</f>
        <v/>
      </c>
      <c r="P20">
        <f>IF(P$4=1,IF(INDEX('×入力'!$C$1:$L$700,156+P$3,P$2)&lt;&gt;"",1,0),0)</f>
        <v/>
      </c>
      <c r="Q20">
        <f>IF(Q$4=1,IF(INDEX('×入力'!$C$1:$L$700,156+Q$3,Q$2)&lt;&gt;"",1,0),0)</f>
        <v/>
      </c>
      <c r="R20">
        <f>IF(R$4=1,IF(INDEX('×入力'!$C$1:$L$700,156+R$3,R$2)&lt;&gt;"",1,0),0)</f>
        <v/>
      </c>
      <c r="S20">
        <f>IF(S$4=1,IF(INDEX('×入力'!$C$1:$L$700,156+S$3,S$2)&lt;&gt;"",1,0),0)</f>
        <v/>
      </c>
      <c r="T20">
        <f>IF(T$4=1,IF(INDEX('×入力'!$C$1:$L$700,156+T$3,T$2)&lt;&gt;"",1,0),0)</f>
        <v/>
      </c>
      <c r="U20">
        <f>IF(U$4=1,IF(INDEX('×入力'!$C$1:$L$700,156+U$3,U$2)&lt;&gt;"",1,0),0)</f>
        <v/>
      </c>
      <c r="V20">
        <f>IF(V$4=1,IF(INDEX('×入力'!$C$1:$L$700,156+V$3,V$2)&lt;&gt;"",1,0),0)</f>
        <v/>
      </c>
      <c r="W20">
        <f>IF(W$4=1,IF(INDEX('×入力'!$C$1:$L$700,156+W$3,W$2)&lt;&gt;"",1,0),0)</f>
        <v/>
      </c>
      <c r="X20">
        <f>IF(X$4=1,IF(INDEX('×入力'!$C$1:$L$700,156+X$3,X$2)&lt;&gt;"",1,0),0)</f>
        <v/>
      </c>
      <c r="Y20">
        <f>IF(Y$4=1,IF(INDEX('×入力'!$C$1:$L$700,156+Y$3,Y$2)&lt;&gt;"",1,0),0)</f>
        <v/>
      </c>
      <c r="Z20">
        <f>IF(Z$4=1,IF(INDEX('×入力'!$C$1:$L$700,156+Z$3,Z$2)&lt;&gt;"",1,0),0)</f>
        <v/>
      </c>
      <c r="AA20">
        <f>IF(AA$4=1,IF(INDEX('×入力'!$C$1:$L$700,156+AA$3,AA$2)&lt;&gt;"",1,0),0)</f>
        <v/>
      </c>
      <c r="AB20">
        <f>IF(AB$4=1,IF(INDEX('×入力'!$C$1:$L$700,156+AB$3,AB$2)&lt;&gt;"",1,0),0)</f>
        <v/>
      </c>
      <c r="AC20">
        <f>IF(AC$4=1,IF(INDEX('×入力'!$C$1:$L$700,156+AC$3,AC$2)&lt;&gt;"",1,0),0)</f>
        <v/>
      </c>
      <c r="AD20">
        <f>IF(AD$4=1,IF(INDEX('×入力'!$C$1:$L$700,156+AD$3,AD$2)&lt;&gt;"",1,0),0)</f>
        <v/>
      </c>
      <c r="AE20">
        <f>IF(AE$4=1,IF(INDEX('×入力'!$C$1:$L$700,156+AE$3,AE$2)&lt;&gt;"",1,0),0)</f>
        <v/>
      </c>
      <c r="AF20">
        <f>IF(AF$4=1,IF(INDEX('×入力'!$C$1:$L$700,156+AF$3,AF$2)&lt;&gt;"",1,0),0)</f>
        <v/>
      </c>
      <c r="AG20">
        <f>IF(AG$4=1,IF(INDEX('×入力'!$C$1:$L$700,156+AG$3,AG$2)&lt;&gt;"",1,0),0)</f>
        <v/>
      </c>
      <c r="AH20">
        <f>IF(AH$4=1,IF(INDEX('×入力'!$C$1:$L$700,156+AH$3,AH$2)&lt;&gt;"",1,0),0)</f>
        <v/>
      </c>
      <c r="AI20">
        <f>IF(AI$4=1,IF(INDEX('×入力'!$C$1:$L$700,156+AI$3,AI$2)&lt;&gt;"",1,0),0)</f>
        <v/>
      </c>
      <c r="AJ20">
        <f>IF(AJ$4=1,IF(INDEX('×入力'!$C$1:$L$700,156+AJ$3,AJ$2)&lt;&gt;"",1,0),0)</f>
        <v/>
      </c>
      <c r="AK20">
        <f>IF(AK$4=1,IF(INDEX('×入力'!$C$1:$L$700,156+AK$3,AK$2)&lt;&gt;"",1,0),0)</f>
        <v/>
      </c>
      <c r="AL20">
        <f>IF(AL$4=1,IF(INDEX('×入力'!$C$1:$L$700,156+AL$3,AL$2)&lt;&gt;"",1,0),0)</f>
        <v/>
      </c>
      <c r="AM20">
        <f>IF(AM$4=1,IF(INDEX('×入力'!$C$1:$L$700,156+AM$3,AM$2)&lt;&gt;"",1,0),0)</f>
        <v/>
      </c>
      <c r="AN20">
        <f>IF(AN$4=1,IF(INDEX('×入力'!$C$1:$L$700,156+AN$3,AN$2)&lt;&gt;"",1,0),0)</f>
        <v/>
      </c>
      <c r="AO20">
        <f>IF(AO$4=1,IF(INDEX('×入力'!$C$1:$L$700,156+AO$3,AO$2)&lt;&gt;"",1,0),0)</f>
        <v/>
      </c>
      <c r="AP20">
        <f>IF(AP$4=1,IF(INDEX('×入力'!$C$1:$L$700,156+AP$3,AP$2)&lt;&gt;"",1,0),0)</f>
        <v/>
      </c>
      <c r="AQ20">
        <f>IF(AQ$4=1,IF(INDEX('×入力'!$C$1:$L$700,156+AQ$3,AQ$2)&lt;&gt;"",1,0),0)</f>
        <v/>
      </c>
      <c r="AR20">
        <f>IF(AR$4=1,IF(INDEX('×入力'!$C$1:$L$700,156+AR$3,AR$2)&lt;&gt;"",1,0),0)</f>
        <v/>
      </c>
      <c r="AS20">
        <f>IF(AS$4=1,IF(INDEX('×入力'!$C$1:$L$700,156+AS$3,AS$2)&lt;&gt;"",1,0),0)</f>
        <v/>
      </c>
      <c r="AT20">
        <f>IF(AT$4=1,IF(INDEX('×入力'!$C$1:$L$700,156+AT$3,AT$2)&lt;&gt;"",1,0),0)</f>
        <v/>
      </c>
      <c r="AU20">
        <f>IF(AU$4=1,IF(INDEX('×入力'!$C$1:$L$700,156+AU$3,AU$2)&lt;&gt;"",1,0),0)</f>
        <v/>
      </c>
      <c r="AV20">
        <f>IF(AV$4=1,IF(INDEX('×入力'!$C$1:$L$700,156+AV$3,AV$2)&lt;&gt;"",1,0),0)</f>
        <v/>
      </c>
      <c r="AW20">
        <f>IF(AW$4=1,IF(INDEX('×入力'!$C$1:$L$700,156+AW$3,AW$2)&lt;&gt;"",1,0),0)</f>
        <v/>
      </c>
      <c r="AX20">
        <f>IF(AX$4=1,IF(INDEX('×入力'!$C$1:$L$700,156+AX$3,AX$2)&lt;&gt;"",1,0),0)</f>
        <v/>
      </c>
      <c r="AY20">
        <f>IF(AY$4=1,IF(INDEX('×入力'!$C$1:$L$700,156+AY$3,AY$2)&lt;&gt;"",1,0),0)</f>
        <v/>
      </c>
      <c r="AZ20">
        <f>IF(AZ$4=1,IF(INDEX('×入力'!$C$1:$L$700,156+AZ$3,AZ$2)&lt;&gt;"",1,0),0)</f>
        <v/>
      </c>
      <c r="BA20">
        <f>IF(BA$4=1,IF(INDEX('×入力'!$C$1:$L$700,156+BA$3,BA$2)&lt;&gt;"",1,0),0)</f>
        <v/>
      </c>
      <c r="BB20">
        <f>IF(BB$4=1,IF(INDEX('×入力'!$C$1:$L$700,156+BB$3,BB$2)&lt;&gt;"",1,0),0)</f>
        <v/>
      </c>
      <c r="BC20">
        <f>IF(BC$4=1,IF(INDEX('×入力'!$C$1:$L$700,156+BC$3,BC$2)&lt;&gt;"",1,0),0)</f>
        <v/>
      </c>
      <c r="BD20">
        <f>IF(BD$4=1,IF(INDEX('×入力'!$C$1:$L$700,156+BD$3,BD$2)&lt;&gt;"",1,0),0)</f>
        <v/>
      </c>
      <c r="BE20">
        <f>IF(BE$4=1,IF(INDEX('×入力'!$C$1:$L$700,156+BE$3,BE$2)&lt;&gt;"",1,0),0)</f>
        <v/>
      </c>
      <c r="BF20">
        <f>IF(BF$4=1,IF(INDEX('×入力'!$C$1:$L$700,156+BF$3,BF$2)&lt;&gt;"",1,0),0)</f>
        <v/>
      </c>
      <c r="BG20">
        <f>IF(BG$4=1,IF(INDEX('×入力'!$C$1:$L$700,156+BG$3,BG$2)&lt;&gt;"",1,0),0)</f>
        <v/>
      </c>
      <c r="BH20">
        <f>IF(BH$4=1,IF(INDEX('×入力'!$C$1:$L$700,156+BH$3,BH$2)&lt;&gt;"",1,0),0)</f>
        <v/>
      </c>
      <c r="BI20">
        <f>IF(BI$4=1,IF(INDEX('×入力'!$C$1:$L$700,156+BI$3,BI$2)&lt;&gt;"",1,0),0)</f>
        <v/>
      </c>
      <c r="BJ20">
        <f>IF(BJ$4=1,IF(INDEX('×入力'!$C$1:$L$700,156+BJ$3,BJ$2)&lt;&gt;"",1,0),0)</f>
        <v/>
      </c>
      <c r="BK20">
        <f>IF(BK$4=1,IF(INDEX('×入力'!$C$1:$L$700,156+BK$3,BK$2)&lt;&gt;"",1,0),0)</f>
        <v/>
      </c>
      <c r="BL20">
        <f>IF(BL$4=1,IF(INDEX('×入力'!$C$1:$L$700,156+BL$3,BL$2)&lt;&gt;"",1,0),0)</f>
        <v/>
      </c>
      <c r="BM20">
        <f>IF(BM$4=1,IF(INDEX('×入力'!$C$1:$L$700,156+BM$3,BM$2)&lt;&gt;"",1,0),0)</f>
        <v/>
      </c>
      <c r="BN20">
        <f>IF(BN$4=1,IF(INDEX('×入力'!$C$1:$L$700,156+BN$3,BN$2)&lt;&gt;"",1,0),0)</f>
        <v/>
      </c>
      <c r="BO20">
        <f>IF(BO$4=1,IF(INDEX('×入力'!$C$1:$L$700,156+BO$3,BO$2)&lt;&gt;"",1,0),0)</f>
        <v/>
      </c>
      <c r="BP20">
        <f>IF(BP$4=1,IF(INDEX('×入力'!$C$1:$L$700,156+BP$3,BP$2)&lt;&gt;"",1,0),0)</f>
        <v/>
      </c>
      <c r="BQ20">
        <f>IF(BQ$4=1,IF(INDEX('×入力'!$C$1:$L$700,156+BQ$3,BQ$2)&lt;&gt;"",1,0),0)</f>
        <v/>
      </c>
      <c r="BR20">
        <f>IF(BR$4=1,IF(INDEX('×入力'!$C$1:$L$700,156+BR$3,BR$2)&lt;&gt;"",1,0),0)</f>
        <v/>
      </c>
      <c r="BS20">
        <f>IF(BS$4=1,IF(INDEX('×入力'!$C$1:$L$700,156+BS$3,BS$2)&lt;&gt;"",1,0),0)</f>
        <v/>
      </c>
      <c r="BT20">
        <f>IF(BT$4=1,IF(INDEX('×入力'!$C$1:$L$700,156+BT$3,BT$2)&lt;&gt;"",1,0),0)</f>
        <v/>
      </c>
      <c r="BU20">
        <f>IF(BU$4=1,IF(INDEX('×入力'!$C$1:$L$700,156+BU$3,BU$2)&lt;&gt;"",1,0),0)</f>
        <v/>
      </c>
      <c r="BV20">
        <f>IF(BV$4=1,IF(INDEX('×入力'!$C$1:$L$700,156+BV$3,BV$2)&lt;&gt;"",1,0),0)</f>
        <v/>
      </c>
      <c r="BW20">
        <f>IF(BW$4=1,IF(INDEX('×入力'!$C$1:$L$700,156+BW$3,BW$2)&lt;&gt;"",1,0),0)</f>
        <v/>
      </c>
      <c r="BX20">
        <f>IF(BX$4=1,IF(INDEX('×入力'!$C$1:$L$700,156+BX$3,BX$2)&lt;&gt;"",1,0),0)</f>
        <v/>
      </c>
      <c r="BY20">
        <f>IF(BY$4=1,IF(INDEX('×入力'!$C$1:$L$700,156+BY$3,BY$2)&lt;&gt;"",1,0),0)</f>
        <v/>
      </c>
      <c r="BZ20">
        <f>IF(BZ$4=1,IF(INDEX('×入力'!$C$1:$L$700,156+BZ$3,BZ$2)&lt;&gt;"",1,0),0)</f>
        <v/>
      </c>
      <c r="CA20">
        <f>IF(CA$4=1,IF(INDEX('×入力'!$C$1:$L$700,156+CA$3,CA$2)&lt;&gt;"",1,0),0)</f>
        <v/>
      </c>
      <c r="CB20">
        <f>IF(CB$4=1,IF(INDEX('×入力'!$C$1:$L$700,156+CB$3,CB$2)&lt;&gt;"",1,0),0)</f>
        <v/>
      </c>
      <c r="CC20">
        <f>IF(CC$4=1,IF(INDEX('×入力'!$C$1:$L$700,156+CC$3,CC$2)&lt;&gt;"",1,0),0)</f>
        <v/>
      </c>
      <c r="CD20">
        <f>IF(CD$4=1,IF(INDEX('×入力'!$C$1:$L$700,156+CD$3,CD$2)&lt;&gt;"",1,0),0)</f>
        <v/>
      </c>
      <c r="CE20">
        <f>IF(CE$4=1,IF(INDEX('×入力'!$C$1:$L$700,156+CE$3,CE$2)&lt;&gt;"",1,0),0)</f>
        <v/>
      </c>
      <c r="CF20">
        <f>IF(CF$4=1,IF(INDEX('×入力'!$C$1:$L$700,156+CF$3,CF$2)&lt;&gt;"",1,0),0)</f>
        <v/>
      </c>
      <c r="CG20">
        <f>IF(CG$4=1,IF(INDEX('×入力'!$C$1:$L$700,156+CG$3,CG$2)&lt;&gt;"",1,0),0)</f>
        <v/>
      </c>
      <c r="CH20">
        <f>IF(CH$4=1,IF(INDEX('×入力'!$C$1:$L$700,156+CH$3,CH$2)&lt;&gt;"",1,0),0)</f>
        <v/>
      </c>
      <c r="CI20">
        <f>IF(CI$4=1,IF(INDEX('×入力'!$C$1:$L$700,156+CI$3,CI$2)&lt;&gt;"",1,0),0)</f>
        <v/>
      </c>
      <c r="CJ20">
        <f>IF(CJ$4=1,IF(INDEX('×入力'!$C$1:$L$700,156+CJ$3,CJ$2)&lt;&gt;"",1,0),0)</f>
        <v/>
      </c>
      <c r="CK20">
        <f>IF(CK$4=1,IF(INDEX('×入力'!$C$1:$L$700,156+CK$3,CK$2)&lt;&gt;"",1,0),0)</f>
        <v/>
      </c>
      <c r="CL20">
        <f>IF(CL$4=1,IF(INDEX('×入力'!$C$1:$L$700,156+CL$3,CL$2)&lt;&gt;"",1,0),0)</f>
        <v/>
      </c>
      <c r="CM20">
        <f>IF(CM$4=1,IF(INDEX('×入力'!$C$1:$L$700,156+CM$3,CM$2)&lt;&gt;"",1,0),0)</f>
        <v/>
      </c>
      <c r="CN20">
        <f>IF(CN$4=1,IF(INDEX('×入力'!$C$1:$L$700,156+CN$3,CN$2)&lt;&gt;"",1,0),0)</f>
        <v/>
      </c>
      <c r="CO20">
        <f>IF(CO$4=1,IF(INDEX('×入力'!$C$1:$L$700,156+CO$3,CO$2)&lt;&gt;"",1,0),0)</f>
        <v/>
      </c>
      <c r="CP20">
        <f>IF(CP$4=1,IF(INDEX('×入力'!$C$1:$L$700,156+CP$3,CP$2)&lt;&gt;"",1,0),0)</f>
        <v/>
      </c>
      <c r="CQ20">
        <f>IF(CQ$4=1,IF(INDEX('×入力'!$C$1:$L$700,156+CQ$3,CQ$2)&lt;&gt;"",1,0),0)</f>
        <v/>
      </c>
      <c r="CR20">
        <f>IF(CR$4=1,IF(INDEX('×入力'!$C$1:$L$700,156+CR$3,CR$2)&lt;&gt;"",1,0),0)</f>
        <v/>
      </c>
      <c r="CS20">
        <f>IF(CS$4=1,IF(INDEX('×入力'!$C$1:$L$700,156+CS$3,CS$2)&lt;&gt;"",1,0),0)</f>
        <v/>
      </c>
      <c r="CT20">
        <f>IF(CT$4=1,IF(INDEX('×入力'!$C$1:$L$700,156+CT$3,CT$2)&lt;&gt;"",1,0),0)</f>
        <v/>
      </c>
      <c r="CU20">
        <f>IF(CU$4=1,IF(INDEX('×入力'!$C$1:$L$700,156+CU$3,CU$2)&lt;&gt;"",1,0),0)</f>
        <v/>
      </c>
      <c r="CV20">
        <f>IF(CV$4=1,IF(INDEX('×入力'!$C$1:$L$700,156+CV$3,CV$2)&lt;&gt;"",1,0),0)</f>
        <v/>
      </c>
      <c r="CW20">
        <f>IF(CW$4=1,IF(INDEX('×入力'!$C$1:$L$700,156+CW$3,CW$2)&lt;&gt;"",1,0),0)</f>
        <v/>
      </c>
      <c r="CX20">
        <f>IF(CX$4=1,IF(INDEX('×入力'!$C$1:$L$700,156+CX$3,CX$2)&lt;&gt;"",1,0),0)</f>
        <v/>
      </c>
      <c r="CY20">
        <f>IF(CY$4=1,IF(INDEX('×入力'!$C$1:$L$700,156+CY$3,CY$2)&lt;&gt;"",1,0),0)</f>
        <v/>
      </c>
      <c r="CZ20">
        <f>IF(CZ$4=1,IF(INDEX('×入力'!$C$1:$L$700,156+CZ$3,CZ$2)&lt;&gt;"",1,0),0)</f>
        <v/>
      </c>
      <c r="DA20">
        <f>IF(DA$4=1,IF(INDEX('×入力'!$C$1:$L$700,156+DA$3,DA$2)&lt;&gt;"",1,0),0)</f>
        <v/>
      </c>
      <c r="DB20">
        <f>IF(DB$4=1,IF(INDEX('×入力'!$C$1:$L$700,156+DB$3,DB$2)&lt;&gt;"",1,0),0)</f>
        <v/>
      </c>
      <c r="DC20">
        <f>IF(DC$4=1,IF(INDEX('×入力'!$C$1:$L$700,156+DC$3,DC$2)&lt;&gt;"",1,0),0)</f>
        <v/>
      </c>
      <c r="DD20">
        <f>IF(DD$4=1,IF(INDEX('×入力'!$C$1:$L$700,156+DD$3,DD$2)&lt;&gt;"",1,0),0)</f>
        <v/>
      </c>
      <c r="DE20">
        <f>IF(DE$4=1,IF(INDEX('×入力'!$C$1:$L$700,156+DE$3,DE$2)&lt;&gt;"",1,0),0)</f>
        <v/>
      </c>
      <c r="DF20">
        <f>IF(DF$4=1,IF(INDEX('×入力'!$C$1:$L$700,156+DF$3,DF$2)&lt;&gt;"",1,0),0)</f>
        <v/>
      </c>
      <c r="DG20">
        <f>IF(DG$4=1,IF(INDEX('×入力'!$C$1:$L$700,156+DG$3,DG$2)&lt;&gt;"",1,0),0)</f>
        <v/>
      </c>
      <c r="DH20">
        <f>IF(DH$4=1,IF(INDEX('×入力'!$C$1:$L$700,156+DH$3,DH$2)&lt;&gt;"",1,0),0)</f>
        <v/>
      </c>
      <c r="DI20">
        <f>IF(DI$4=1,IF(INDEX('×入力'!$C$1:$L$700,156+DI$3,DI$2)&lt;&gt;"",1,0),0)</f>
        <v/>
      </c>
      <c r="DJ20">
        <f>IF(DJ$4=1,IF(INDEX('×入力'!$C$1:$L$700,156+DJ$3,DJ$2)&lt;&gt;"",1,0),0)</f>
        <v/>
      </c>
      <c r="DK20">
        <f>IF(DK$4=1,IF(INDEX('×入力'!$C$1:$L$700,156+DK$3,DK$2)&lt;&gt;"",1,0),0)</f>
        <v/>
      </c>
      <c r="DL20">
        <f>IF(DL$4=1,IF(INDEX('×入力'!$C$1:$L$700,156+DL$3,DL$2)&lt;&gt;"",1,0),0)</f>
        <v/>
      </c>
      <c r="DM20">
        <f>IF(DM$4=1,IF(INDEX('×入力'!$C$1:$L$700,156+DM$3,DM$2)&lt;&gt;"",1,0),0)</f>
        <v/>
      </c>
      <c r="DN20">
        <f>IF(DN$4=1,IF(INDEX('×入力'!$C$1:$L$700,156+DN$3,DN$2)&lt;&gt;"",1,0),0)</f>
        <v/>
      </c>
      <c r="DO20">
        <f>IF(DO$4=1,IF(INDEX('×入力'!$C$1:$L$700,156+DO$3,DO$2)&lt;&gt;"",1,0),0)</f>
        <v/>
      </c>
      <c r="DP20">
        <f>IF(DP$4=1,IF(INDEX('×入力'!$C$1:$L$700,156+DP$3,DP$2)&lt;&gt;"",1,0),0)</f>
        <v/>
      </c>
      <c r="DQ20">
        <f>IF(DQ$4=1,IF(INDEX('×入力'!$C$1:$L$700,156+DQ$3,DQ$2)&lt;&gt;"",1,0),0)</f>
        <v/>
      </c>
      <c r="DR20">
        <f>IF(DR$4=1,IF(INDEX('×入力'!$C$1:$L$700,156+DR$3,DR$2)&lt;&gt;"",1,0),0)</f>
        <v/>
      </c>
      <c r="DS20">
        <f>IF(DS$4=1,IF(INDEX('×入力'!$C$1:$L$700,156+DS$3,DS$2)&lt;&gt;"",1,0),0)</f>
        <v/>
      </c>
      <c r="DU20">
        <f>IFERROR(INDEX('計算B'!$C$3:$C$47,MATCH(A20,'計算B'!$B$3:$B$47,0)),0)</f>
        <v/>
      </c>
      <c r="DV20">
        <f>IF(AND(C20=1,DU20=0),1,0)</f>
        <v/>
      </c>
      <c r="DW20">
        <f>SUMPRODUCT(D70:DS70*(1-$D$7:$DS$7))</f>
        <v/>
      </c>
      <c r="DX20">
        <f>SUM(D20:DS20)</f>
        <v/>
      </c>
      <c r="DY20">
        <f>IF(B20="",0,IF(COUNTIF('割り当て'!$C$6:$L$17,B20)=1,SUMPRODUCT(('割り当て'!$C$6:$L$17=B20)*((COLUMN('割り当て'!$C$6:$L$17)-3)*12+ROW('割り当て'!$C$6:$L$17)-5)),0))</f>
        <v/>
      </c>
      <c r="DZ20">
        <f>IFERROR(MATCH('名簿'!E15,{"早い時刻","遅い時刻","早い日","遅い日"},0),0)</f>
        <v/>
      </c>
      <c r="EA20">
        <f>IF('名簿'!F15="必ず空けたい",2,IF('名簿'!F15="出来れば空けたい",1,0))</f>
        <v/>
      </c>
    </row>
    <row r="21">
      <c r="A21" t="n">
        <v>12</v>
      </c>
      <c r="B21">
        <f>'名簿'!G16</f>
        <v/>
      </c>
      <c r="C21">
        <f>IF(AND(B21&lt;&gt;"",OR('名簿'!H16="入力済み",'名簿'!H16="×なし"),DY21=0,COUNTIF('割り当て'!$C$6:$L$17,B21)=0),1,0)</f>
        <v/>
      </c>
      <c r="D21">
        <f>IF(D$4=1,IF(INDEX('×入力'!$C$1:$L$700,171+D$3,D$2)&lt;&gt;"",1,0),0)</f>
        <v/>
      </c>
      <c r="E21">
        <f>IF(E$4=1,IF(INDEX('×入力'!$C$1:$L$700,171+E$3,E$2)&lt;&gt;"",1,0),0)</f>
        <v/>
      </c>
      <c r="F21">
        <f>IF(F$4=1,IF(INDEX('×入力'!$C$1:$L$700,171+F$3,F$2)&lt;&gt;"",1,0),0)</f>
        <v/>
      </c>
      <c r="G21">
        <f>IF(G$4=1,IF(INDEX('×入力'!$C$1:$L$700,171+G$3,G$2)&lt;&gt;"",1,0),0)</f>
        <v/>
      </c>
      <c r="H21">
        <f>IF(H$4=1,IF(INDEX('×入力'!$C$1:$L$700,171+H$3,H$2)&lt;&gt;"",1,0),0)</f>
        <v/>
      </c>
      <c r="I21">
        <f>IF(I$4=1,IF(INDEX('×入力'!$C$1:$L$700,171+I$3,I$2)&lt;&gt;"",1,0),0)</f>
        <v/>
      </c>
      <c r="J21">
        <f>IF(J$4=1,IF(INDEX('×入力'!$C$1:$L$700,171+J$3,J$2)&lt;&gt;"",1,0),0)</f>
        <v/>
      </c>
      <c r="K21">
        <f>IF(K$4=1,IF(INDEX('×入力'!$C$1:$L$700,171+K$3,K$2)&lt;&gt;"",1,0),0)</f>
        <v/>
      </c>
      <c r="L21">
        <f>IF(L$4=1,IF(INDEX('×入力'!$C$1:$L$700,171+L$3,L$2)&lt;&gt;"",1,0),0)</f>
        <v/>
      </c>
      <c r="M21">
        <f>IF(M$4=1,IF(INDEX('×入力'!$C$1:$L$700,171+M$3,M$2)&lt;&gt;"",1,0),0)</f>
        <v/>
      </c>
      <c r="N21">
        <f>IF(N$4=1,IF(INDEX('×入力'!$C$1:$L$700,171+N$3,N$2)&lt;&gt;"",1,0),0)</f>
        <v/>
      </c>
      <c r="O21">
        <f>IF(O$4=1,IF(INDEX('×入力'!$C$1:$L$700,171+O$3,O$2)&lt;&gt;"",1,0),0)</f>
        <v/>
      </c>
      <c r="P21">
        <f>IF(P$4=1,IF(INDEX('×入力'!$C$1:$L$700,171+P$3,P$2)&lt;&gt;"",1,0),0)</f>
        <v/>
      </c>
      <c r="Q21">
        <f>IF(Q$4=1,IF(INDEX('×入力'!$C$1:$L$700,171+Q$3,Q$2)&lt;&gt;"",1,0),0)</f>
        <v/>
      </c>
      <c r="R21">
        <f>IF(R$4=1,IF(INDEX('×入力'!$C$1:$L$700,171+R$3,R$2)&lt;&gt;"",1,0),0)</f>
        <v/>
      </c>
      <c r="S21">
        <f>IF(S$4=1,IF(INDEX('×入力'!$C$1:$L$700,171+S$3,S$2)&lt;&gt;"",1,0),0)</f>
        <v/>
      </c>
      <c r="T21">
        <f>IF(T$4=1,IF(INDEX('×入力'!$C$1:$L$700,171+T$3,T$2)&lt;&gt;"",1,0),0)</f>
        <v/>
      </c>
      <c r="U21">
        <f>IF(U$4=1,IF(INDEX('×入力'!$C$1:$L$700,171+U$3,U$2)&lt;&gt;"",1,0),0)</f>
        <v/>
      </c>
      <c r="V21">
        <f>IF(V$4=1,IF(INDEX('×入力'!$C$1:$L$700,171+V$3,V$2)&lt;&gt;"",1,0),0)</f>
        <v/>
      </c>
      <c r="W21">
        <f>IF(W$4=1,IF(INDEX('×入力'!$C$1:$L$700,171+W$3,W$2)&lt;&gt;"",1,0),0)</f>
        <v/>
      </c>
      <c r="X21">
        <f>IF(X$4=1,IF(INDEX('×入力'!$C$1:$L$700,171+X$3,X$2)&lt;&gt;"",1,0),0)</f>
        <v/>
      </c>
      <c r="Y21">
        <f>IF(Y$4=1,IF(INDEX('×入力'!$C$1:$L$700,171+Y$3,Y$2)&lt;&gt;"",1,0),0)</f>
        <v/>
      </c>
      <c r="Z21">
        <f>IF(Z$4=1,IF(INDEX('×入力'!$C$1:$L$700,171+Z$3,Z$2)&lt;&gt;"",1,0),0)</f>
        <v/>
      </c>
      <c r="AA21">
        <f>IF(AA$4=1,IF(INDEX('×入力'!$C$1:$L$700,171+AA$3,AA$2)&lt;&gt;"",1,0),0)</f>
        <v/>
      </c>
      <c r="AB21">
        <f>IF(AB$4=1,IF(INDEX('×入力'!$C$1:$L$700,171+AB$3,AB$2)&lt;&gt;"",1,0),0)</f>
        <v/>
      </c>
      <c r="AC21">
        <f>IF(AC$4=1,IF(INDEX('×入力'!$C$1:$L$700,171+AC$3,AC$2)&lt;&gt;"",1,0),0)</f>
        <v/>
      </c>
      <c r="AD21">
        <f>IF(AD$4=1,IF(INDEX('×入力'!$C$1:$L$700,171+AD$3,AD$2)&lt;&gt;"",1,0),0)</f>
        <v/>
      </c>
      <c r="AE21">
        <f>IF(AE$4=1,IF(INDEX('×入力'!$C$1:$L$700,171+AE$3,AE$2)&lt;&gt;"",1,0),0)</f>
        <v/>
      </c>
      <c r="AF21">
        <f>IF(AF$4=1,IF(INDEX('×入力'!$C$1:$L$700,171+AF$3,AF$2)&lt;&gt;"",1,0),0)</f>
        <v/>
      </c>
      <c r="AG21">
        <f>IF(AG$4=1,IF(INDEX('×入力'!$C$1:$L$700,171+AG$3,AG$2)&lt;&gt;"",1,0),0)</f>
        <v/>
      </c>
      <c r="AH21">
        <f>IF(AH$4=1,IF(INDEX('×入力'!$C$1:$L$700,171+AH$3,AH$2)&lt;&gt;"",1,0),0)</f>
        <v/>
      </c>
      <c r="AI21">
        <f>IF(AI$4=1,IF(INDEX('×入力'!$C$1:$L$700,171+AI$3,AI$2)&lt;&gt;"",1,0),0)</f>
        <v/>
      </c>
      <c r="AJ21">
        <f>IF(AJ$4=1,IF(INDEX('×入力'!$C$1:$L$700,171+AJ$3,AJ$2)&lt;&gt;"",1,0),0)</f>
        <v/>
      </c>
      <c r="AK21">
        <f>IF(AK$4=1,IF(INDEX('×入力'!$C$1:$L$700,171+AK$3,AK$2)&lt;&gt;"",1,0),0)</f>
        <v/>
      </c>
      <c r="AL21">
        <f>IF(AL$4=1,IF(INDEX('×入力'!$C$1:$L$700,171+AL$3,AL$2)&lt;&gt;"",1,0),0)</f>
        <v/>
      </c>
      <c r="AM21">
        <f>IF(AM$4=1,IF(INDEX('×入力'!$C$1:$L$700,171+AM$3,AM$2)&lt;&gt;"",1,0),0)</f>
        <v/>
      </c>
      <c r="AN21">
        <f>IF(AN$4=1,IF(INDEX('×入力'!$C$1:$L$700,171+AN$3,AN$2)&lt;&gt;"",1,0),0)</f>
        <v/>
      </c>
      <c r="AO21">
        <f>IF(AO$4=1,IF(INDEX('×入力'!$C$1:$L$700,171+AO$3,AO$2)&lt;&gt;"",1,0),0)</f>
        <v/>
      </c>
      <c r="AP21">
        <f>IF(AP$4=1,IF(INDEX('×入力'!$C$1:$L$700,171+AP$3,AP$2)&lt;&gt;"",1,0),0)</f>
        <v/>
      </c>
      <c r="AQ21">
        <f>IF(AQ$4=1,IF(INDEX('×入力'!$C$1:$L$700,171+AQ$3,AQ$2)&lt;&gt;"",1,0),0)</f>
        <v/>
      </c>
      <c r="AR21">
        <f>IF(AR$4=1,IF(INDEX('×入力'!$C$1:$L$700,171+AR$3,AR$2)&lt;&gt;"",1,0),0)</f>
        <v/>
      </c>
      <c r="AS21">
        <f>IF(AS$4=1,IF(INDEX('×入力'!$C$1:$L$700,171+AS$3,AS$2)&lt;&gt;"",1,0),0)</f>
        <v/>
      </c>
      <c r="AT21">
        <f>IF(AT$4=1,IF(INDEX('×入力'!$C$1:$L$700,171+AT$3,AT$2)&lt;&gt;"",1,0),0)</f>
        <v/>
      </c>
      <c r="AU21">
        <f>IF(AU$4=1,IF(INDEX('×入力'!$C$1:$L$700,171+AU$3,AU$2)&lt;&gt;"",1,0),0)</f>
        <v/>
      </c>
      <c r="AV21">
        <f>IF(AV$4=1,IF(INDEX('×入力'!$C$1:$L$700,171+AV$3,AV$2)&lt;&gt;"",1,0),0)</f>
        <v/>
      </c>
      <c r="AW21">
        <f>IF(AW$4=1,IF(INDEX('×入力'!$C$1:$L$700,171+AW$3,AW$2)&lt;&gt;"",1,0),0)</f>
        <v/>
      </c>
      <c r="AX21">
        <f>IF(AX$4=1,IF(INDEX('×入力'!$C$1:$L$700,171+AX$3,AX$2)&lt;&gt;"",1,0),0)</f>
        <v/>
      </c>
      <c r="AY21">
        <f>IF(AY$4=1,IF(INDEX('×入力'!$C$1:$L$700,171+AY$3,AY$2)&lt;&gt;"",1,0),0)</f>
        <v/>
      </c>
      <c r="AZ21">
        <f>IF(AZ$4=1,IF(INDEX('×入力'!$C$1:$L$700,171+AZ$3,AZ$2)&lt;&gt;"",1,0),0)</f>
        <v/>
      </c>
      <c r="BA21">
        <f>IF(BA$4=1,IF(INDEX('×入力'!$C$1:$L$700,171+BA$3,BA$2)&lt;&gt;"",1,0),0)</f>
        <v/>
      </c>
      <c r="BB21">
        <f>IF(BB$4=1,IF(INDEX('×入力'!$C$1:$L$700,171+BB$3,BB$2)&lt;&gt;"",1,0),0)</f>
        <v/>
      </c>
      <c r="BC21">
        <f>IF(BC$4=1,IF(INDEX('×入力'!$C$1:$L$700,171+BC$3,BC$2)&lt;&gt;"",1,0),0)</f>
        <v/>
      </c>
      <c r="BD21">
        <f>IF(BD$4=1,IF(INDEX('×入力'!$C$1:$L$700,171+BD$3,BD$2)&lt;&gt;"",1,0),0)</f>
        <v/>
      </c>
      <c r="BE21">
        <f>IF(BE$4=1,IF(INDEX('×入力'!$C$1:$L$700,171+BE$3,BE$2)&lt;&gt;"",1,0),0)</f>
        <v/>
      </c>
      <c r="BF21">
        <f>IF(BF$4=1,IF(INDEX('×入力'!$C$1:$L$700,171+BF$3,BF$2)&lt;&gt;"",1,0),0)</f>
        <v/>
      </c>
      <c r="BG21">
        <f>IF(BG$4=1,IF(INDEX('×入力'!$C$1:$L$700,171+BG$3,BG$2)&lt;&gt;"",1,0),0)</f>
        <v/>
      </c>
      <c r="BH21">
        <f>IF(BH$4=1,IF(INDEX('×入力'!$C$1:$L$700,171+BH$3,BH$2)&lt;&gt;"",1,0),0)</f>
        <v/>
      </c>
      <c r="BI21">
        <f>IF(BI$4=1,IF(INDEX('×入力'!$C$1:$L$700,171+BI$3,BI$2)&lt;&gt;"",1,0),0)</f>
        <v/>
      </c>
      <c r="BJ21">
        <f>IF(BJ$4=1,IF(INDEX('×入力'!$C$1:$L$700,171+BJ$3,BJ$2)&lt;&gt;"",1,0),0)</f>
        <v/>
      </c>
      <c r="BK21">
        <f>IF(BK$4=1,IF(INDEX('×入力'!$C$1:$L$700,171+BK$3,BK$2)&lt;&gt;"",1,0),0)</f>
        <v/>
      </c>
      <c r="BL21">
        <f>IF(BL$4=1,IF(INDEX('×入力'!$C$1:$L$700,171+BL$3,BL$2)&lt;&gt;"",1,0),0)</f>
        <v/>
      </c>
      <c r="BM21">
        <f>IF(BM$4=1,IF(INDEX('×入力'!$C$1:$L$700,171+BM$3,BM$2)&lt;&gt;"",1,0),0)</f>
        <v/>
      </c>
      <c r="BN21">
        <f>IF(BN$4=1,IF(INDEX('×入力'!$C$1:$L$700,171+BN$3,BN$2)&lt;&gt;"",1,0),0)</f>
        <v/>
      </c>
      <c r="BO21">
        <f>IF(BO$4=1,IF(INDEX('×入力'!$C$1:$L$700,171+BO$3,BO$2)&lt;&gt;"",1,0),0)</f>
        <v/>
      </c>
      <c r="BP21">
        <f>IF(BP$4=1,IF(INDEX('×入力'!$C$1:$L$700,171+BP$3,BP$2)&lt;&gt;"",1,0),0)</f>
        <v/>
      </c>
      <c r="BQ21">
        <f>IF(BQ$4=1,IF(INDEX('×入力'!$C$1:$L$700,171+BQ$3,BQ$2)&lt;&gt;"",1,0),0)</f>
        <v/>
      </c>
      <c r="BR21">
        <f>IF(BR$4=1,IF(INDEX('×入力'!$C$1:$L$700,171+BR$3,BR$2)&lt;&gt;"",1,0),0)</f>
        <v/>
      </c>
      <c r="BS21">
        <f>IF(BS$4=1,IF(INDEX('×入力'!$C$1:$L$700,171+BS$3,BS$2)&lt;&gt;"",1,0),0)</f>
        <v/>
      </c>
      <c r="BT21">
        <f>IF(BT$4=1,IF(INDEX('×入力'!$C$1:$L$700,171+BT$3,BT$2)&lt;&gt;"",1,0),0)</f>
        <v/>
      </c>
      <c r="BU21">
        <f>IF(BU$4=1,IF(INDEX('×入力'!$C$1:$L$700,171+BU$3,BU$2)&lt;&gt;"",1,0),0)</f>
        <v/>
      </c>
      <c r="BV21">
        <f>IF(BV$4=1,IF(INDEX('×入力'!$C$1:$L$700,171+BV$3,BV$2)&lt;&gt;"",1,0),0)</f>
        <v/>
      </c>
      <c r="BW21">
        <f>IF(BW$4=1,IF(INDEX('×入力'!$C$1:$L$700,171+BW$3,BW$2)&lt;&gt;"",1,0),0)</f>
        <v/>
      </c>
      <c r="BX21">
        <f>IF(BX$4=1,IF(INDEX('×入力'!$C$1:$L$700,171+BX$3,BX$2)&lt;&gt;"",1,0),0)</f>
        <v/>
      </c>
      <c r="BY21">
        <f>IF(BY$4=1,IF(INDEX('×入力'!$C$1:$L$700,171+BY$3,BY$2)&lt;&gt;"",1,0),0)</f>
        <v/>
      </c>
      <c r="BZ21">
        <f>IF(BZ$4=1,IF(INDEX('×入力'!$C$1:$L$700,171+BZ$3,BZ$2)&lt;&gt;"",1,0),0)</f>
        <v/>
      </c>
      <c r="CA21">
        <f>IF(CA$4=1,IF(INDEX('×入力'!$C$1:$L$700,171+CA$3,CA$2)&lt;&gt;"",1,0),0)</f>
        <v/>
      </c>
      <c r="CB21">
        <f>IF(CB$4=1,IF(INDEX('×入力'!$C$1:$L$700,171+CB$3,CB$2)&lt;&gt;"",1,0),0)</f>
        <v/>
      </c>
      <c r="CC21">
        <f>IF(CC$4=1,IF(INDEX('×入力'!$C$1:$L$700,171+CC$3,CC$2)&lt;&gt;"",1,0),0)</f>
        <v/>
      </c>
      <c r="CD21">
        <f>IF(CD$4=1,IF(INDEX('×入力'!$C$1:$L$700,171+CD$3,CD$2)&lt;&gt;"",1,0),0)</f>
        <v/>
      </c>
      <c r="CE21">
        <f>IF(CE$4=1,IF(INDEX('×入力'!$C$1:$L$700,171+CE$3,CE$2)&lt;&gt;"",1,0),0)</f>
        <v/>
      </c>
      <c r="CF21">
        <f>IF(CF$4=1,IF(INDEX('×入力'!$C$1:$L$700,171+CF$3,CF$2)&lt;&gt;"",1,0),0)</f>
        <v/>
      </c>
      <c r="CG21">
        <f>IF(CG$4=1,IF(INDEX('×入力'!$C$1:$L$700,171+CG$3,CG$2)&lt;&gt;"",1,0),0)</f>
        <v/>
      </c>
      <c r="CH21">
        <f>IF(CH$4=1,IF(INDEX('×入力'!$C$1:$L$700,171+CH$3,CH$2)&lt;&gt;"",1,0),0)</f>
        <v/>
      </c>
      <c r="CI21">
        <f>IF(CI$4=1,IF(INDEX('×入力'!$C$1:$L$700,171+CI$3,CI$2)&lt;&gt;"",1,0),0)</f>
        <v/>
      </c>
      <c r="CJ21">
        <f>IF(CJ$4=1,IF(INDEX('×入力'!$C$1:$L$700,171+CJ$3,CJ$2)&lt;&gt;"",1,0),0)</f>
        <v/>
      </c>
      <c r="CK21">
        <f>IF(CK$4=1,IF(INDEX('×入力'!$C$1:$L$700,171+CK$3,CK$2)&lt;&gt;"",1,0),0)</f>
        <v/>
      </c>
      <c r="CL21">
        <f>IF(CL$4=1,IF(INDEX('×入力'!$C$1:$L$700,171+CL$3,CL$2)&lt;&gt;"",1,0),0)</f>
        <v/>
      </c>
      <c r="CM21">
        <f>IF(CM$4=1,IF(INDEX('×入力'!$C$1:$L$700,171+CM$3,CM$2)&lt;&gt;"",1,0),0)</f>
        <v/>
      </c>
      <c r="CN21">
        <f>IF(CN$4=1,IF(INDEX('×入力'!$C$1:$L$700,171+CN$3,CN$2)&lt;&gt;"",1,0),0)</f>
        <v/>
      </c>
      <c r="CO21">
        <f>IF(CO$4=1,IF(INDEX('×入力'!$C$1:$L$700,171+CO$3,CO$2)&lt;&gt;"",1,0),0)</f>
        <v/>
      </c>
      <c r="CP21">
        <f>IF(CP$4=1,IF(INDEX('×入力'!$C$1:$L$700,171+CP$3,CP$2)&lt;&gt;"",1,0),0)</f>
        <v/>
      </c>
      <c r="CQ21">
        <f>IF(CQ$4=1,IF(INDEX('×入力'!$C$1:$L$700,171+CQ$3,CQ$2)&lt;&gt;"",1,0),0)</f>
        <v/>
      </c>
      <c r="CR21">
        <f>IF(CR$4=1,IF(INDEX('×入力'!$C$1:$L$700,171+CR$3,CR$2)&lt;&gt;"",1,0),0)</f>
        <v/>
      </c>
      <c r="CS21">
        <f>IF(CS$4=1,IF(INDEX('×入力'!$C$1:$L$700,171+CS$3,CS$2)&lt;&gt;"",1,0),0)</f>
        <v/>
      </c>
      <c r="CT21">
        <f>IF(CT$4=1,IF(INDEX('×入力'!$C$1:$L$700,171+CT$3,CT$2)&lt;&gt;"",1,0),0)</f>
        <v/>
      </c>
      <c r="CU21">
        <f>IF(CU$4=1,IF(INDEX('×入力'!$C$1:$L$700,171+CU$3,CU$2)&lt;&gt;"",1,0),0)</f>
        <v/>
      </c>
      <c r="CV21">
        <f>IF(CV$4=1,IF(INDEX('×入力'!$C$1:$L$700,171+CV$3,CV$2)&lt;&gt;"",1,0),0)</f>
        <v/>
      </c>
      <c r="CW21">
        <f>IF(CW$4=1,IF(INDEX('×入力'!$C$1:$L$700,171+CW$3,CW$2)&lt;&gt;"",1,0),0)</f>
        <v/>
      </c>
      <c r="CX21">
        <f>IF(CX$4=1,IF(INDEX('×入力'!$C$1:$L$700,171+CX$3,CX$2)&lt;&gt;"",1,0),0)</f>
        <v/>
      </c>
      <c r="CY21">
        <f>IF(CY$4=1,IF(INDEX('×入力'!$C$1:$L$700,171+CY$3,CY$2)&lt;&gt;"",1,0),0)</f>
        <v/>
      </c>
      <c r="CZ21">
        <f>IF(CZ$4=1,IF(INDEX('×入力'!$C$1:$L$700,171+CZ$3,CZ$2)&lt;&gt;"",1,0),0)</f>
        <v/>
      </c>
      <c r="DA21">
        <f>IF(DA$4=1,IF(INDEX('×入力'!$C$1:$L$700,171+DA$3,DA$2)&lt;&gt;"",1,0),0)</f>
        <v/>
      </c>
      <c r="DB21">
        <f>IF(DB$4=1,IF(INDEX('×入力'!$C$1:$L$700,171+DB$3,DB$2)&lt;&gt;"",1,0),0)</f>
        <v/>
      </c>
      <c r="DC21">
        <f>IF(DC$4=1,IF(INDEX('×入力'!$C$1:$L$700,171+DC$3,DC$2)&lt;&gt;"",1,0),0)</f>
        <v/>
      </c>
      <c r="DD21">
        <f>IF(DD$4=1,IF(INDEX('×入力'!$C$1:$L$700,171+DD$3,DD$2)&lt;&gt;"",1,0),0)</f>
        <v/>
      </c>
      <c r="DE21">
        <f>IF(DE$4=1,IF(INDEX('×入力'!$C$1:$L$700,171+DE$3,DE$2)&lt;&gt;"",1,0),0)</f>
        <v/>
      </c>
      <c r="DF21">
        <f>IF(DF$4=1,IF(INDEX('×入力'!$C$1:$L$700,171+DF$3,DF$2)&lt;&gt;"",1,0),0)</f>
        <v/>
      </c>
      <c r="DG21">
        <f>IF(DG$4=1,IF(INDEX('×入力'!$C$1:$L$700,171+DG$3,DG$2)&lt;&gt;"",1,0),0)</f>
        <v/>
      </c>
      <c r="DH21">
        <f>IF(DH$4=1,IF(INDEX('×入力'!$C$1:$L$700,171+DH$3,DH$2)&lt;&gt;"",1,0),0)</f>
        <v/>
      </c>
      <c r="DI21">
        <f>IF(DI$4=1,IF(INDEX('×入力'!$C$1:$L$700,171+DI$3,DI$2)&lt;&gt;"",1,0),0)</f>
        <v/>
      </c>
      <c r="DJ21">
        <f>IF(DJ$4=1,IF(INDEX('×入力'!$C$1:$L$700,171+DJ$3,DJ$2)&lt;&gt;"",1,0),0)</f>
        <v/>
      </c>
      <c r="DK21">
        <f>IF(DK$4=1,IF(INDEX('×入力'!$C$1:$L$700,171+DK$3,DK$2)&lt;&gt;"",1,0),0)</f>
        <v/>
      </c>
      <c r="DL21">
        <f>IF(DL$4=1,IF(INDEX('×入力'!$C$1:$L$700,171+DL$3,DL$2)&lt;&gt;"",1,0),0)</f>
        <v/>
      </c>
      <c r="DM21">
        <f>IF(DM$4=1,IF(INDEX('×入力'!$C$1:$L$700,171+DM$3,DM$2)&lt;&gt;"",1,0),0)</f>
        <v/>
      </c>
      <c r="DN21">
        <f>IF(DN$4=1,IF(INDEX('×入力'!$C$1:$L$700,171+DN$3,DN$2)&lt;&gt;"",1,0),0)</f>
        <v/>
      </c>
      <c r="DO21">
        <f>IF(DO$4=1,IF(INDEX('×入力'!$C$1:$L$700,171+DO$3,DO$2)&lt;&gt;"",1,0),0)</f>
        <v/>
      </c>
      <c r="DP21">
        <f>IF(DP$4=1,IF(INDEX('×入力'!$C$1:$L$700,171+DP$3,DP$2)&lt;&gt;"",1,0),0)</f>
        <v/>
      </c>
      <c r="DQ21">
        <f>IF(DQ$4=1,IF(INDEX('×入力'!$C$1:$L$700,171+DQ$3,DQ$2)&lt;&gt;"",1,0),0)</f>
        <v/>
      </c>
      <c r="DR21">
        <f>IF(DR$4=1,IF(INDEX('×入力'!$C$1:$L$700,171+DR$3,DR$2)&lt;&gt;"",1,0),0)</f>
        <v/>
      </c>
      <c r="DS21">
        <f>IF(DS$4=1,IF(INDEX('×入力'!$C$1:$L$700,171+DS$3,DS$2)&lt;&gt;"",1,0),0)</f>
        <v/>
      </c>
      <c r="DU21">
        <f>IFERROR(INDEX('計算B'!$C$3:$C$47,MATCH(A21,'計算B'!$B$3:$B$47,0)),0)</f>
        <v/>
      </c>
      <c r="DV21">
        <f>IF(AND(C21=1,DU21=0),1,0)</f>
        <v/>
      </c>
      <c r="DW21">
        <f>SUMPRODUCT(D71:DS71*(1-$D$7:$DS$7))</f>
        <v/>
      </c>
      <c r="DX21">
        <f>SUM(D21:DS21)</f>
        <v/>
      </c>
      <c r="DY21">
        <f>IF(B21="",0,IF(COUNTIF('割り当て'!$C$6:$L$17,B21)=1,SUMPRODUCT(('割り当て'!$C$6:$L$17=B21)*((COLUMN('割り当て'!$C$6:$L$17)-3)*12+ROW('割り当て'!$C$6:$L$17)-5)),0))</f>
        <v/>
      </c>
      <c r="DZ21">
        <f>IFERROR(MATCH('名簿'!E16,{"早い時刻","遅い時刻","早い日","遅い日"},0),0)</f>
        <v/>
      </c>
      <c r="EA21">
        <f>IF('名簿'!F16="必ず空けたい",2,IF('名簿'!F16="出来れば空けたい",1,0))</f>
        <v/>
      </c>
    </row>
    <row r="22">
      <c r="A22" t="n">
        <v>13</v>
      </c>
      <c r="B22">
        <f>'名簿'!G17</f>
        <v/>
      </c>
      <c r="C22">
        <f>IF(AND(B22&lt;&gt;"",OR('名簿'!H17="入力済み",'名簿'!H17="×なし"),DY22=0,COUNTIF('割り当て'!$C$6:$L$17,B22)=0),1,0)</f>
        <v/>
      </c>
      <c r="D22">
        <f>IF(D$4=1,IF(INDEX('×入力'!$C$1:$L$700,186+D$3,D$2)&lt;&gt;"",1,0),0)</f>
        <v/>
      </c>
      <c r="E22">
        <f>IF(E$4=1,IF(INDEX('×入力'!$C$1:$L$700,186+E$3,E$2)&lt;&gt;"",1,0),0)</f>
        <v/>
      </c>
      <c r="F22">
        <f>IF(F$4=1,IF(INDEX('×入力'!$C$1:$L$700,186+F$3,F$2)&lt;&gt;"",1,0),0)</f>
        <v/>
      </c>
      <c r="G22">
        <f>IF(G$4=1,IF(INDEX('×入力'!$C$1:$L$700,186+G$3,G$2)&lt;&gt;"",1,0),0)</f>
        <v/>
      </c>
      <c r="H22">
        <f>IF(H$4=1,IF(INDEX('×入力'!$C$1:$L$700,186+H$3,H$2)&lt;&gt;"",1,0),0)</f>
        <v/>
      </c>
      <c r="I22">
        <f>IF(I$4=1,IF(INDEX('×入力'!$C$1:$L$700,186+I$3,I$2)&lt;&gt;"",1,0),0)</f>
        <v/>
      </c>
      <c r="J22">
        <f>IF(J$4=1,IF(INDEX('×入力'!$C$1:$L$700,186+J$3,J$2)&lt;&gt;"",1,0),0)</f>
        <v/>
      </c>
      <c r="K22">
        <f>IF(K$4=1,IF(INDEX('×入力'!$C$1:$L$700,186+K$3,K$2)&lt;&gt;"",1,0),0)</f>
        <v/>
      </c>
      <c r="L22">
        <f>IF(L$4=1,IF(INDEX('×入力'!$C$1:$L$700,186+L$3,L$2)&lt;&gt;"",1,0),0)</f>
        <v/>
      </c>
      <c r="M22">
        <f>IF(M$4=1,IF(INDEX('×入力'!$C$1:$L$700,186+M$3,M$2)&lt;&gt;"",1,0),0)</f>
        <v/>
      </c>
      <c r="N22">
        <f>IF(N$4=1,IF(INDEX('×入力'!$C$1:$L$700,186+N$3,N$2)&lt;&gt;"",1,0),0)</f>
        <v/>
      </c>
      <c r="O22">
        <f>IF(O$4=1,IF(INDEX('×入力'!$C$1:$L$700,186+O$3,O$2)&lt;&gt;"",1,0),0)</f>
        <v/>
      </c>
      <c r="P22">
        <f>IF(P$4=1,IF(INDEX('×入力'!$C$1:$L$700,186+P$3,P$2)&lt;&gt;"",1,0),0)</f>
        <v/>
      </c>
      <c r="Q22">
        <f>IF(Q$4=1,IF(INDEX('×入力'!$C$1:$L$700,186+Q$3,Q$2)&lt;&gt;"",1,0),0)</f>
        <v/>
      </c>
      <c r="R22">
        <f>IF(R$4=1,IF(INDEX('×入力'!$C$1:$L$700,186+R$3,R$2)&lt;&gt;"",1,0),0)</f>
        <v/>
      </c>
      <c r="S22">
        <f>IF(S$4=1,IF(INDEX('×入力'!$C$1:$L$700,186+S$3,S$2)&lt;&gt;"",1,0),0)</f>
        <v/>
      </c>
      <c r="T22">
        <f>IF(T$4=1,IF(INDEX('×入力'!$C$1:$L$700,186+T$3,T$2)&lt;&gt;"",1,0),0)</f>
        <v/>
      </c>
      <c r="U22">
        <f>IF(U$4=1,IF(INDEX('×入力'!$C$1:$L$700,186+U$3,U$2)&lt;&gt;"",1,0),0)</f>
        <v/>
      </c>
      <c r="V22">
        <f>IF(V$4=1,IF(INDEX('×入力'!$C$1:$L$700,186+V$3,V$2)&lt;&gt;"",1,0),0)</f>
        <v/>
      </c>
      <c r="W22">
        <f>IF(W$4=1,IF(INDEX('×入力'!$C$1:$L$700,186+W$3,W$2)&lt;&gt;"",1,0),0)</f>
        <v/>
      </c>
      <c r="X22">
        <f>IF(X$4=1,IF(INDEX('×入力'!$C$1:$L$700,186+X$3,X$2)&lt;&gt;"",1,0),0)</f>
        <v/>
      </c>
      <c r="Y22">
        <f>IF(Y$4=1,IF(INDEX('×入力'!$C$1:$L$700,186+Y$3,Y$2)&lt;&gt;"",1,0),0)</f>
        <v/>
      </c>
      <c r="Z22">
        <f>IF(Z$4=1,IF(INDEX('×入力'!$C$1:$L$700,186+Z$3,Z$2)&lt;&gt;"",1,0),0)</f>
        <v/>
      </c>
      <c r="AA22">
        <f>IF(AA$4=1,IF(INDEX('×入力'!$C$1:$L$700,186+AA$3,AA$2)&lt;&gt;"",1,0),0)</f>
        <v/>
      </c>
      <c r="AB22">
        <f>IF(AB$4=1,IF(INDEX('×入力'!$C$1:$L$700,186+AB$3,AB$2)&lt;&gt;"",1,0),0)</f>
        <v/>
      </c>
      <c r="AC22">
        <f>IF(AC$4=1,IF(INDEX('×入力'!$C$1:$L$700,186+AC$3,AC$2)&lt;&gt;"",1,0),0)</f>
        <v/>
      </c>
      <c r="AD22">
        <f>IF(AD$4=1,IF(INDEX('×入力'!$C$1:$L$700,186+AD$3,AD$2)&lt;&gt;"",1,0),0)</f>
        <v/>
      </c>
      <c r="AE22">
        <f>IF(AE$4=1,IF(INDEX('×入力'!$C$1:$L$700,186+AE$3,AE$2)&lt;&gt;"",1,0),0)</f>
        <v/>
      </c>
      <c r="AF22">
        <f>IF(AF$4=1,IF(INDEX('×入力'!$C$1:$L$700,186+AF$3,AF$2)&lt;&gt;"",1,0),0)</f>
        <v/>
      </c>
      <c r="AG22">
        <f>IF(AG$4=1,IF(INDEX('×入力'!$C$1:$L$700,186+AG$3,AG$2)&lt;&gt;"",1,0),0)</f>
        <v/>
      </c>
      <c r="AH22">
        <f>IF(AH$4=1,IF(INDEX('×入力'!$C$1:$L$700,186+AH$3,AH$2)&lt;&gt;"",1,0),0)</f>
        <v/>
      </c>
      <c r="AI22">
        <f>IF(AI$4=1,IF(INDEX('×入力'!$C$1:$L$700,186+AI$3,AI$2)&lt;&gt;"",1,0),0)</f>
        <v/>
      </c>
      <c r="AJ22">
        <f>IF(AJ$4=1,IF(INDEX('×入力'!$C$1:$L$700,186+AJ$3,AJ$2)&lt;&gt;"",1,0),0)</f>
        <v/>
      </c>
      <c r="AK22">
        <f>IF(AK$4=1,IF(INDEX('×入力'!$C$1:$L$700,186+AK$3,AK$2)&lt;&gt;"",1,0),0)</f>
        <v/>
      </c>
      <c r="AL22">
        <f>IF(AL$4=1,IF(INDEX('×入力'!$C$1:$L$700,186+AL$3,AL$2)&lt;&gt;"",1,0),0)</f>
        <v/>
      </c>
      <c r="AM22">
        <f>IF(AM$4=1,IF(INDEX('×入力'!$C$1:$L$700,186+AM$3,AM$2)&lt;&gt;"",1,0),0)</f>
        <v/>
      </c>
      <c r="AN22">
        <f>IF(AN$4=1,IF(INDEX('×入力'!$C$1:$L$700,186+AN$3,AN$2)&lt;&gt;"",1,0),0)</f>
        <v/>
      </c>
      <c r="AO22">
        <f>IF(AO$4=1,IF(INDEX('×入力'!$C$1:$L$700,186+AO$3,AO$2)&lt;&gt;"",1,0),0)</f>
        <v/>
      </c>
      <c r="AP22">
        <f>IF(AP$4=1,IF(INDEX('×入力'!$C$1:$L$700,186+AP$3,AP$2)&lt;&gt;"",1,0),0)</f>
        <v/>
      </c>
      <c r="AQ22">
        <f>IF(AQ$4=1,IF(INDEX('×入力'!$C$1:$L$700,186+AQ$3,AQ$2)&lt;&gt;"",1,0),0)</f>
        <v/>
      </c>
      <c r="AR22">
        <f>IF(AR$4=1,IF(INDEX('×入力'!$C$1:$L$700,186+AR$3,AR$2)&lt;&gt;"",1,0),0)</f>
        <v/>
      </c>
      <c r="AS22">
        <f>IF(AS$4=1,IF(INDEX('×入力'!$C$1:$L$700,186+AS$3,AS$2)&lt;&gt;"",1,0),0)</f>
        <v/>
      </c>
      <c r="AT22">
        <f>IF(AT$4=1,IF(INDEX('×入力'!$C$1:$L$700,186+AT$3,AT$2)&lt;&gt;"",1,0),0)</f>
        <v/>
      </c>
      <c r="AU22">
        <f>IF(AU$4=1,IF(INDEX('×入力'!$C$1:$L$700,186+AU$3,AU$2)&lt;&gt;"",1,0),0)</f>
        <v/>
      </c>
      <c r="AV22">
        <f>IF(AV$4=1,IF(INDEX('×入力'!$C$1:$L$700,186+AV$3,AV$2)&lt;&gt;"",1,0),0)</f>
        <v/>
      </c>
      <c r="AW22">
        <f>IF(AW$4=1,IF(INDEX('×入力'!$C$1:$L$700,186+AW$3,AW$2)&lt;&gt;"",1,0),0)</f>
        <v/>
      </c>
      <c r="AX22">
        <f>IF(AX$4=1,IF(INDEX('×入力'!$C$1:$L$700,186+AX$3,AX$2)&lt;&gt;"",1,0),0)</f>
        <v/>
      </c>
      <c r="AY22">
        <f>IF(AY$4=1,IF(INDEX('×入力'!$C$1:$L$700,186+AY$3,AY$2)&lt;&gt;"",1,0),0)</f>
        <v/>
      </c>
      <c r="AZ22">
        <f>IF(AZ$4=1,IF(INDEX('×入力'!$C$1:$L$700,186+AZ$3,AZ$2)&lt;&gt;"",1,0),0)</f>
        <v/>
      </c>
      <c r="BA22">
        <f>IF(BA$4=1,IF(INDEX('×入力'!$C$1:$L$700,186+BA$3,BA$2)&lt;&gt;"",1,0),0)</f>
        <v/>
      </c>
      <c r="BB22">
        <f>IF(BB$4=1,IF(INDEX('×入力'!$C$1:$L$700,186+BB$3,BB$2)&lt;&gt;"",1,0),0)</f>
        <v/>
      </c>
      <c r="BC22">
        <f>IF(BC$4=1,IF(INDEX('×入力'!$C$1:$L$700,186+BC$3,BC$2)&lt;&gt;"",1,0),0)</f>
        <v/>
      </c>
      <c r="BD22">
        <f>IF(BD$4=1,IF(INDEX('×入力'!$C$1:$L$700,186+BD$3,BD$2)&lt;&gt;"",1,0),0)</f>
        <v/>
      </c>
      <c r="BE22">
        <f>IF(BE$4=1,IF(INDEX('×入力'!$C$1:$L$700,186+BE$3,BE$2)&lt;&gt;"",1,0),0)</f>
        <v/>
      </c>
      <c r="BF22">
        <f>IF(BF$4=1,IF(INDEX('×入力'!$C$1:$L$700,186+BF$3,BF$2)&lt;&gt;"",1,0),0)</f>
        <v/>
      </c>
      <c r="BG22">
        <f>IF(BG$4=1,IF(INDEX('×入力'!$C$1:$L$700,186+BG$3,BG$2)&lt;&gt;"",1,0),0)</f>
        <v/>
      </c>
      <c r="BH22">
        <f>IF(BH$4=1,IF(INDEX('×入力'!$C$1:$L$700,186+BH$3,BH$2)&lt;&gt;"",1,0),0)</f>
        <v/>
      </c>
      <c r="BI22">
        <f>IF(BI$4=1,IF(INDEX('×入力'!$C$1:$L$700,186+BI$3,BI$2)&lt;&gt;"",1,0),0)</f>
        <v/>
      </c>
      <c r="BJ22">
        <f>IF(BJ$4=1,IF(INDEX('×入力'!$C$1:$L$700,186+BJ$3,BJ$2)&lt;&gt;"",1,0),0)</f>
        <v/>
      </c>
      <c r="BK22">
        <f>IF(BK$4=1,IF(INDEX('×入力'!$C$1:$L$700,186+BK$3,BK$2)&lt;&gt;"",1,0),0)</f>
        <v/>
      </c>
      <c r="BL22">
        <f>IF(BL$4=1,IF(INDEX('×入力'!$C$1:$L$700,186+BL$3,BL$2)&lt;&gt;"",1,0),0)</f>
        <v/>
      </c>
      <c r="BM22">
        <f>IF(BM$4=1,IF(INDEX('×入力'!$C$1:$L$700,186+BM$3,BM$2)&lt;&gt;"",1,0),0)</f>
        <v/>
      </c>
      <c r="BN22">
        <f>IF(BN$4=1,IF(INDEX('×入力'!$C$1:$L$700,186+BN$3,BN$2)&lt;&gt;"",1,0),0)</f>
        <v/>
      </c>
      <c r="BO22">
        <f>IF(BO$4=1,IF(INDEX('×入力'!$C$1:$L$700,186+BO$3,BO$2)&lt;&gt;"",1,0),0)</f>
        <v/>
      </c>
      <c r="BP22">
        <f>IF(BP$4=1,IF(INDEX('×入力'!$C$1:$L$700,186+BP$3,BP$2)&lt;&gt;"",1,0),0)</f>
        <v/>
      </c>
      <c r="BQ22">
        <f>IF(BQ$4=1,IF(INDEX('×入力'!$C$1:$L$700,186+BQ$3,BQ$2)&lt;&gt;"",1,0),0)</f>
        <v/>
      </c>
      <c r="BR22">
        <f>IF(BR$4=1,IF(INDEX('×入力'!$C$1:$L$700,186+BR$3,BR$2)&lt;&gt;"",1,0),0)</f>
        <v/>
      </c>
      <c r="BS22">
        <f>IF(BS$4=1,IF(INDEX('×入力'!$C$1:$L$700,186+BS$3,BS$2)&lt;&gt;"",1,0),0)</f>
        <v/>
      </c>
      <c r="BT22">
        <f>IF(BT$4=1,IF(INDEX('×入力'!$C$1:$L$700,186+BT$3,BT$2)&lt;&gt;"",1,0),0)</f>
        <v/>
      </c>
      <c r="BU22">
        <f>IF(BU$4=1,IF(INDEX('×入力'!$C$1:$L$700,186+BU$3,BU$2)&lt;&gt;"",1,0),0)</f>
        <v/>
      </c>
      <c r="BV22">
        <f>IF(BV$4=1,IF(INDEX('×入力'!$C$1:$L$700,186+BV$3,BV$2)&lt;&gt;"",1,0),0)</f>
        <v/>
      </c>
      <c r="BW22">
        <f>IF(BW$4=1,IF(INDEX('×入力'!$C$1:$L$700,186+BW$3,BW$2)&lt;&gt;"",1,0),0)</f>
        <v/>
      </c>
      <c r="BX22">
        <f>IF(BX$4=1,IF(INDEX('×入力'!$C$1:$L$700,186+BX$3,BX$2)&lt;&gt;"",1,0),0)</f>
        <v/>
      </c>
      <c r="BY22">
        <f>IF(BY$4=1,IF(INDEX('×入力'!$C$1:$L$700,186+BY$3,BY$2)&lt;&gt;"",1,0),0)</f>
        <v/>
      </c>
      <c r="BZ22">
        <f>IF(BZ$4=1,IF(INDEX('×入力'!$C$1:$L$700,186+BZ$3,BZ$2)&lt;&gt;"",1,0),0)</f>
        <v/>
      </c>
      <c r="CA22">
        <f>IF(CA$4=1,IF(INDEX('×入力'!$C$1:$L$700,186+CA$3,CA$2)&lt;&gt;"",1,0),0)</f>
        <v/>
      </c>
      <c r="CB22">
        <f>IF(CB$4=1,IF(INDEX('×入力'!$C$1:$L$700,186+CB$3,CB$2)&lt;&gt;"",1,0),0)</f>
        <v/>
      </c>
      <c r="CC22">
        <f>IF(CC$4=1,IF(INDEX('×入力'!$C$1:$L$700,186+CC$3,CC$2)&lt;&gt;"",1,0),0)</f>
        <v/>
      </c>
      <c r="CD22">
        <f>IF(CD$4=1,IF(INDEX('×入力'!$C$1:$L$700,186+CD$3,CD$2)&lt;&gt;"",1,0),0)</f>
        <v/>
      </c>
      <c r="CE22">
        <f>IF(CE$4=1,IF(INDEX('×入力'!$C$1:$L$700,186+CE$3,CE$2)&lt;&gt;"",1,0),0)</f>
        <v/>
      </c>
      <c r="CF22">
        <f>IF(CF$4=1,IF(INDEX('×入力'!$C$1:$L$700,186+CF$3,CF$2)&lt;&gt;"",1,0),0)</f>
        <v/>
      </c>
      <c r="CG22">
        <f>IF(CG$4=1,IF(INDEX('×入力'!$C$1:$L$700,186+CG$3,CG$2)&lt;&gt;"",1,0),0)</f>
        <v/>
      </c>
      <c r="CH22">
        <f>IF(CH$4=1,IF(INDEX('×入力'!$C$1:$L$700,186+CH$3,CH$2)&lt;&gt;"",1,0),0)</f>
        <v/>
      </c>
      <c r="CI22">
        <f>IF(CI$4=1,IF(INDEX('×入力'!$C$1:$L$700,186+CI$3,CI$2)&lt;&gt;"",1,0),0)</f>
        <v/>
      </c>
      <c r="CJ22">
        <f>IF(CJ$4=1,IF(INDEX('×入力'!$C$1:$L$700,186+CJ$3,CJ$2)&lt;&gt;"",1,0),0)</f>
        <v/>
      </c>
      <c r="CK22">
        <f>IF(CK$4=1,IF(INDEX('×入力'!$C$1:$L$700,186+CK$3,CK$2)&lt;&gt;"",1,0),0)</f>
        <v/>
      </c>
      <c r="CL22">
        <f>IF(CL$4=1,IF(INDEX('×入力'!$C$1:$L$700,186+CL$3,CL$2)&lt;&gt;"",1,0),0)</f>
        <v/>
      </c>
      <c r="CM22">
        <f>IF(CM$4=1,IF(INDEX('×入力'!$C$1:$L$700,186+CM$3,CM$2)&lt;&gt;"",1,0),0)</f>
        <v/>
      </c>
      <c r="CN22">
        <f>IF(CN$4=1,IF(INDEX('×入力'!$C$1:$L$700,186+CN$3,CN$2)&lt;&gt;"",1,0),0)</f>
        <v/>
      </c>
      <c r="CO22">
        <f>IF(CO$4=1,IF(INDEX('×入力'!$C$1:$L$700,186+CO$3,CO$2)&lt;&gt;"",1,0),0)</f>
        <v/>
      </c>
      <c r="CP22">
        <f>IF(CP$4=1,IF(INDEX('×入力'!$C$1:$L$700,186+CP$3,CP$2)&lt;&gt;"",1,0),0)</f>
        <v/>
      </c>
      <c r="CQ22">
        <f>IF(CQ$4=1,IF(INDEX('×入力'!$C$1:$L$700,186+CQ$3,CQ$2)&lt;&gt;"",1,0),0)</f>
        <v/>
      </c>
      <c r="CR22">
        <f>IF(CR$4=1,IF(INDEX('×入力'!$C$1:$L$700,186+CR$3,CR$2)&lt;&gt;"",1,0),0)</f>
        <v/>
      </c>
      <c r="CS22">
        <f>IF(CS$4=1,IF(INDEX('×入力'!$C$1:$L$700,186+CS$3,CS$2)&lt;&gt;"",1,0),0)</f>
        <v/>
      </c>
      <c r="CT22">
        <f>IF(CT$4=1,IF(INDEX('×入力'!$C$1:$L$700,186+CT$3,CT$2)&lt;&gt;"",1,0),0)</f>
        <v/>
      </c>
      <c r="CU22">
        <f>IF(CU$4=1,IF(INDEX('×入力'!$C$1:$L$700,186+CU$3,CU$2)&lt;&gt;"",1,0),0)</f>
        <v/>
      </c>
      <c r="CV22">
        <f>IF(CV$4=1,IF(INDEX('×入力'!$C$1:$L$700,186+CV$3,CV$2)&lt;&gt;"",1,0),0)</f>
        <v/>
      </c>
      <c r="CW22">
        <f>IF(CW$4=1,IF(INDEX('×入力'!$C$1:$L$700,186+CW$3,CW$2)&lt;&gt;"",1,0),0)</f>
        <v/>
      </c>
      <c r="CX22">
        <f>IF(CX$4=1,IF(INDEX('×入力'!$C$1:$L$700,186+CX$3,CX$2)&lt;&gt;"",1,0),0)</f>
        <v/>
      </c>
      <c r="CY22">
        <f>IF(CY$4=1,IF(INDEX('×入力'!$C$1:$L$700,186+CY$3,CY$2)&lt;&gt;"",1,0),0)</f>
        <v/>
      </c>
      <c r="CZ22">
        <f>IF(CZ$4=1,IF(INDEX('×入力'!$C$1:$L$700,186+CZ$3,CZ$2)&lt;&gt;"",1,0),0)</f>
        <v/>
      </c>
      <c r="DA22">
        <f>IF(DA$4=1,IF(INDEX('×入力'!$C$1:$L$700,186+DA$3,DA$2)&lt;&gt;"",1,0),0)</f>
        <v/>
      </c>
      <c r="DB22">
        <f>IF(DB$4=1,IF(INDEX('×入力'!$C$1:$L$700,186+DB$3,DB$2)&lt;&gt;"",1,0),0)</f>
        <v/>
      </c>
      <c r="DC22">
        <f>IF(DC$4=1,IF(INDEX('×入力'!$C$1:$L$700,186+DC$3,DC$2)&lt;&gt;"",1,0),0)</f>
        <v/>
      </c>
      <c r="DD22">
        <f>IF(DD$4=1,IF(INDEX('×入力'!$C$1:$L$700,186+DD$3,DD$2)&lt;&gt;"",1,0),0)</f>
        <v/>
      </c>
      <c r="DE22">
        <f>IF(DE$4=1,IF(INDEX('×入力'!$C$1:$L$700,186+DE$3,DE$2)&lt;&gt;"",1,0),0)</f>
        <v/>
      </c>
      <c r="DF22">
        <f>IF(DF$4=1,IF(INDEX('×入力'!$C$1:$L$700,186+DF$3,DF$2)&lt;&gt;"",1,0),0)</f>
        <v/>
      </c>
      <c r="DG22">
        <f>IF(DG$4=1,IF(INDEX('×入力'!$C$1:$L$700,186+DG$3,DG$2)&lt;&gt;"",1,0),0)</f>
        <v/>
      </c>
      <c r="DH22">
        <f>IF(DH$4=1,IF(INDEX('×入力'!$C$1:$L$700,186+DH$3,DH$2)&lt;&gt;"",1,0),0)</f>
        <v/>
      </c>
      <c r="DI22">
        <f>IF(DI$4=1,IF(INDEX('×入力'!$C$1:$L$700,186+DI$3,DI$2)&lt;&gt;"",1,0),0)</f>
        <v/>
      </c>
      <c r="DJ22">
        <f>IF(DJ$4=1,IF(INDEX('×入力'!$C$1:$L$700,186+DJ$3,DJ$2)&lt;&gt;"",1,0),0)</f>
        <v/>
      </c>
      <c r="DK22">
        <f>IF(DK$4=1,IF(INDEX('×入力'!$C$1:$L$700,186+DK$3,DK$2)&lt;&gt;"",1,0),0)</f>
        <v/>
      </c>
      <c r="DL22">
        <f>IF(DL$4=1,IF(INDEX('×入力'!$C$1:$L$700,186+DL$3,DL$2)&lt;&gt;"",1,0),0)</f>
        <v/>
      </c>
      <c r="DM22">
        <f>IF(DM$4=1,IF(INDEX('×入力'!$C$1:$L$700,186+DM$3,DM$2)&lt;&gt;"",1,0),0)</f>
        <v/>
      </c>
      <c r="DN22">
        <f>IF(DN$4=1,IF(INDEX('×入力'!$C$1:$L$700,186+DN$3,DN$2)&lt;&gt;"",1,0),0)</f>
        <v/>
      </c>
      <c r="DO22">
        <f>IF(DO$4=1,IF(INDEX('×入力'!$C$1:$L$700,186+DO$3,DO$2)&lt;&gt;"",1,0),0)</f>
        <v/>
      </c>
      <c r="DP22">
        <f>IF(DP$4=1,IF(INDEX('×入力'!$C$1:$L$700,186+DP$3,DP$2)&lt;&gt;"",1,0),0)</f>
        <v/>
      </c>
      <c r="DQ22">
        <f>IF(DQ$4=1,IF(INDEX('×入力'!$C$1:$L$700,186+DQ$3,DQ$2)&lt;&gt;"",1,0),0)</f>
        <v/>
      </c>
      <c r="DR22">
        <f>IF(DR$4=1,IF(INDEX('×入力'!$C$1:$L$700,186+DR$3,DR$2)&lt;&gt;"",1,0),0)</f>
        <v/>
      </c>
      <c r="DS22">
        <f>IF(DS$4=1,IF(INDEX('×入力'!$C$1:$L$700,186+DS$3,DS$2)&lt;&gt;"",1,0),0)</f>
        <v/>
      </c>
      <c r="DU22">
        <f>IFERROR(INDEX('計算B'!$C$3:$C$47,MATCH(A22,'計算B'!$B$3:$B$47,0)),0)</f>
        <v/>
      </c>
      <c r="DV22">
        <f>IF(AND(C22=1,DU22=0),1,0)</f>
        <v/>
      </c>
      <c r="DW22">
        <f>SUMPRODUCT(D72:DS72*(1-$D$7:$DS$7))</f>
        <v/>
      </c>
      <c r="DX22">
        <f>SUM(D22:DS22)</f>
        <v/>
      </c>
      <c r="DY22">
        <f>IF(B22="",0,IF(COUNTIF('割り当て'!$C$6:$L$17,B22)=1,SUMPRODUCT(('割り当て'!$C$6:$L$17=B22)*((COLUMN('割り当て'!$C$6:$L$17)-3)*12+ROW('割り当て'!$C$6:$L$17)-5)),0))</f>
        <v/>
      </c>
      <c r="DZ22">
        <f>IFERROR(MATCH('名簿'!E17,{"早い時刻","遅い時刻","早い日","遅い日"},0),0)</f>
        <v/>
      </c>
      <c r="EA22">
        <f>IF('名簿'!F17="必ず空けたい",2,IF('名簿'!F17="出来れば空けたい",1,0))</f>
        <v/>
      </c>
    </row>
    <row r="23">
      <c r="A23" t="n">
        <v>14</v>
      </c>
      <c r="B23">
        <f>'名簿'!G18</f>
        <v/>
      </c>
      <c r="C23">
        <f>IF(AND(B23&lt;&gt;"",OR('名簿'!H18="入力済み",'名簿'!H18="×なし"),DY23=0,COUNTIF('割り当て'!$C$6:$L$17,B23)=0),1,0)</f>
        <v/>
      </c>
      <c r="D23">
        <f>IF(D$4=1,IF(INDEX('×入力'!$C$1:$L$700,201+D$3,D$2)&lt;&gt;"",1,0),0)</f>
        <v/>
      </c>
      <c r="E23">
        <f>IF(E$4=1,IF(INDEX('×入力'!$C$1:$L$700,201+E$3,E$2)&lt;&gt;"",1,0),0)</f>
        <v/>
      </c>
      <c r="F23">
        <f>IF(F$4=1,IF(INDEX('×入力'!$C$1:$L$700,201+F$3,F$2)&lt;&gt;"",1,0),0)</f>
        <v/>
      </c>
      <c r="G23">
        <f>IF(G$4=1,IF(INDEX('×入力'!$C$1:$L$700,201+G$3,G$2)&lt;&gt;"",1,0),0)</f>
        <v/>
      </c>
      <c r="H23">
        <f>IF(H$4=1,IF(INDEX('×入力'!$C$1:$L$700,201+H$3,H$2)&lt;&gt;"",1,0),0)</f>
        <v/>
      </c>
      <c r="I23">
        <f>IF(I$4=1,IF(INDEX('×入力'!$C$1:$L$700,201+I$3,I$2)&lt;&gt;"",1,0),0)</f>
        <v/>
      </c>
      <c r="J23">
        <f>IF(J$4=1,IF(INDEX('×入力'!$C$1:$L$700,201+J$3,J$2)&lt;&gt;"",1,0),0)</f>
        <v/>
      </c>
      <c r="K23">
        <f>IF(K$4=1,IF(INDEX('×入力'!$C$1:$L$700,201+K$3,K$2)&lt;&gt;"",1,0),0)</f>
        <v/>
      </c>
      <c r="L23">
        <f>IF(L$4=1,IF(INDEX('×入力'!$C$1:$L$700,201+L$3,L$2)&lt;&gt;"",1,0),0)</f>
        <v/>
      </c>
      <c r="M23">
        <f>IF(M$4=1,IF(INDEX('×入力'!$C$1:$L$700,201+M$3,M$2)&lt;&gt;"",1,0),0)</f>
        <v/>
      </c>
      <c r="N23">
        <f>IF(N$4=1,IF(INDEX('×入力'!$C$1:$L$700,201+N$3,N$2)&lt;&gt;"",1,0),0)</f>
        <v/>
      </c>
      <c r="O23">
        <f>IF(O$4=1,IF(INDEX('×入力'!$C$1:$L$700,201+O$3,O$2)&lt;&gt;"",1,0),0)</f>
        <v/>
      </c>
      <c r="P23">
        <f>IF(P$4=1,IF(INDEX('×入力'!$C$1:$L$700,201+P$3,P$2)&lt;&gt;"",1,0),0)</f>
        <v/>
      </c>
      <c r="Q23">
        <f>IF(Q$4=1,IF(INDEX('×入力'!$C$1:$L$700,201+Q$3,Q$2)&lt;&gt;"",1,0),0)</f>
        <v/>
      </c>
      <c r="R23">
        <f>IF(R$4=1,IF(INDEX('×入力'!$C$1:$L$700,201+R$3,R$2)&lt;&gt;"",1,0),0)</f>
        <v/>
      </c>
      <c r="S23">
        <f>IF(S$4=1,IF(INDEX('×入力'!$C$1:$L$700,201+S$3,S$2)&lt;&gt;"",1,0),0)</f>
        <v/>
      </c>
      <c r="T23">
        <f>IF(T$4=1,IF(INDEX('×入力'!$C$1:$L$700,201+T$3,T$2)&lt;&gt;"",1,0),0)</f>
        <v/>
      </c>
      <c r="U23">
        <f>IF(U$4=1,IF(INDEX('×入力'!$C$1:$L$700,201+U$3,U$2)&lt;&gt;"",1,0),0)</f>
        <v/>
      </c>
      <c r="V23">
        <f>IF(V$4=1,IF(INDEX('×入力'!$C$1:$L$700,201+V$3,V$2)&lt;&gt;"",1,0),0)</f>
        <v/>
      </c>
      <c r="W23">
        <f>IF(W$4=1,IF(INDEX('×入力'!$C$1:$L$700,201+W$3,W$2)&lt;&gt;"",1,0),0)</f>
        <v/>
      </c>
      <c r="X23">
        <f>IF(X$4=1,IF(INDEX('×入力'!$C$1:$L$700,201+X$3,X$2)&lt;&gt;"",1,0),0)</f>
        <v/>
      </c>
      <c r="Y23">
        <f>IF(Y$4=1,IF(INDEX('×入力'!$C$1:$L$700,201+Y$3,Y$2)&lt;&gt;"",1,0),0)</f>
        <v/>
      </c>
      <c r="Z23">
        <f>IF(Z$4=1,IF(INDEX('×入力'!$C$1:$L$700,201+Z$3,Z$2)&lt;&gt;"",1,0),0)</f>
        <v/>
      </c>
      <c r="AA23">
        <f>IF(AA$4=1,IF(INDEX('×入力'!$C$1:$L$700,201+AA$3,AA$2)&lt;&gt;"",1,0),0)</f>
        <v/>
      </c>
      <c r="AB23">
        <f>IF(AB$4=1,IF(INDEX('×入力'!$C$1:$L$700,201+AB$3,AB$2)&lt;&gt;"",1,0),0)</f>
        <v/>
      </c>
      <c r="AC23">
        <f>IF(AC$4=1,IF(INDEX('×入力'!$C$1:$L$700,201+AC$3,AC$2)&lt;&gt;"",1,0),0)</f>
        <v/>
      </c>
      <c r="AD23">
        <f>IF(AD$4=1,IF(INDEX('×入力'!$C$1:$L$700,201+AD$3,AD$2)&lt;&gt;"",1,0),0)</f>
        <v/>
      </c>
      <c r="AE23">
        <f>IF(AE$4=1,IF(INDEX('×入力'!$C$1:$L$700,201+AE$3,AE$2)&lt;&gt;"",1,0),0)</f>
        <v/>
      </c>
      <c r="AF23">
        <f>IF(AF$4=1,IF(INDEX('×入力'!$C$1:$L$700,201+AF$3,AF$2)&lt;&gt;"",1,0),0)</f>
        <v/>
      </c>
      <c r="AG23">
        <f>IF(AG$4=1,IF(INDEX('×入力'!$C$1:$L$700,201+AG$3,AG$2)&lt;&gt;"",1,0),0)</f>
        <v/>
      </c>
      <c r="AH23">
        <f>IF(AH$4=1,IF(INDEX('×入力'!$C$1:$L$700,201+AH$3,AH$2)&lt;&gt;"",1,0),0)</f>
        <v/>
      </c>
      <c r="AI23">
        <f>IF(AI$4=1,IF(INDEX('×入力'!$C$1:$L$700,201+AI$3,AI$2)&lt;&gt;"",1,0),0)</f>
        <v/>
      </c>
      <c r="AJ23">
        <f>IF(AJ$4=1,IF(INDEX('×入力'!$C$1:$L$700,201+AJ$3,AJ$2)&lt;&gt;"",1,0),0)</f>
        <v/>
      </c>
      <c r="AK23">
        <f>IF(AK$4=1,IF(INDEX('×入力'!$C$1:$L$700,201+AK$3,AK$2)&lt;&gt;"",1,0),0)</f>
        <v/>
      </c>
      <c r="AL23">
        <f>IF(AL$4=1,IF(INDEX('×入力'!$C$1:$L$700,201+AL$3,AL$2)&lt;&gt;"",1,0),0)</f>
        <v/>
      </c>
      <c r="AM23">
        <f>IF(AM$4=1,IF(INDEX('×入力'!$C$1:$L$700,201+AM$3,AM$2)&lt;&gt;"",1,0),0)</f>
        <v/>
      </c>
      <c r="AN23">
        <f>IF(AN$4=1,IF(INDEX('×入力'!$C$1:$L$700,201+AN$3,AN$2)&lt;&gt;"",1,0),0)</f>
        <v/>
      </c>
      <c r="AO23">
        <f>IF(AO$4=1,IF(INDEX('×入力'!$C$1:$L$700,201+AO$3,AO$2)&lt;&gt;"",1,0),0)</f>
        <v/>
      </c>
      <c r="AP23">
        <f>IF(AP$4=1,IF(INDEX('×入力'!$C$1:$L$700,201+AP$3,AP$2)&lt;&gt;"",1,0),0)</f>
        <v/>
      </c>
      <c r="AQ23">
        <f>IF(AQ$4=1,IF(INDEX('×入力'!$C$1:$L$700,201+AQ$3,AQ$2)&lt;&gt;"",1,0),0)</f>
        <v/>
      </c>
      <c r="AR23">
        <f>IF(AR$4=1,IF(INDEX('×入力'!$C$1:$L$700,201+AR$3,AR$2)&lt;&gt;"",1,0),0)</f>
        <v/>
      </c>
      <c r="AS23">
        <f>IF(AS$4=1,IF(INDEX('×入力'!$C$1:$L$700,201+AS$3,AS$2)&lt;&gt;"",1,0),0)</f>
        <v/>
      </c>
      <c r="AT23">
        <f>IF(AT$4=1,IF(INDEX('×入力'!$C$1:$L$700,201+AT$3,AT$2)&lt;&gt;"",1,0),0)</f>
        <v/>
      </c>
      <c r="AU23">
        <f>IF(AU$4=1,IF(INDEX('×入力'!$C$1:$L$700,201+AU$3,AU$2)&lt;&gt;"",1,0),0)</f>
        <v/>
      </c>
      <c r="AV23">
        <f>IF(AV$4=1,IF(INDEX('×入力'!$C$1:$L$700,201+AV$3,AV$2)&lt;&gt;"",1,0),0)</f>
        <v/>
      </c>
      <c r="AW23">
        <f>IF(AW$4=1,IF(INDEX('×入力'!$C$1:$L$700,201+AW$3,AW$2)&lt;&gt;"",1,0),0)</f>
        <v/>
      </c>
      <c r="AX23">
        <f>IF(AX$4=1,IF(INDEX('×入力'!$C$1:$L$700,201+AX$3,AX$2)&lt;&gt;"",1,0),0)</f>
        <v/>
      </c>
      <c r="AY23">
        <f>IF(AY$4=1,IF(INDEX('×入力'!$C$1:$L$700,201+AY$3,AY$2)&lt;&gt;"",1,0),0)</f>
        <v/>
      </c>
      <c r="AZ23">
        <f>IF(AZ$4=1,IF(INDEX('×入力'!$C$1:$L$700,201+AZ$3,AZ$2)&lt;&gt;"",1,0),0)</f>
        <v/>
      </c>
      <c r="BA23">
        <f>IF(BA$4=1,IF(INDEX('×入力'!$C$1:$L$700,201+BA$3,BA$2)&lt;&gt;"",1,0),0)</f>
        <v/>
      </c>
      <c r="BB23">
        <f>IF(BB$4=1,IF(INDEX('×入力'!$C$1:$L$700,201+BB$3,BB$2)&lt;&gt;"",1,0),0)</f>
        <v/>
      </c>
      <c r="BC23">
        <f>IF(BC$4=1,IF(INDEX('×入力'!$C$1:$L$700,201+BC$3,BC$2)&lt;&gt;"",1,0),0)</f>
        <v/>
      </c>
      <c r="BD23">
        <f>IF(BD$4=1,IF(INDEX('×入力'!$C$1:$L$700,201+BD$3,BD$2)&lt;&gt;"",1,0),0)</f>
        <v/>
      </c>
      <c r="BE23">
        <f>IF(BE$4=1,IF(INDEX('×入力'!$C$1:$L$700,201+BE$3,BE$2)&lt;&gt;"",1,0),0)</f>
        <v/>
      </c>
      <c r="BF23">
        <f>IF(BF$4=1,IF(INDEX('×入力'!$C$1:$L$700,201+BF$3,BF$2)&lt;&gt;"",1,0),0)</f>
        <v/>
      </c>
      <c r="BG23">
        <f>IF(BG$4=1,IF(INDEX('×入力'!$C$1:$L$700,201+BG$3,BG$2)&lt;&gt;"",1,0),0)</f>
        <v/>
      </c>
      <c r="BH23">
        <f>IF(BH$4=1,IF(INDEX('×入力'!$C$1:$L$700,201+BH$3,BH$2)&lt;&gt;"",1,0),0)</f>
        <v/>
      </c>
      <c r="BI23">
        <f>IF(BI$4=1,IF(INDEX('×入力'!$C$1:$L$700,201+BI$3,BI$2)&lt;&gt;"",1,0),0)</f>
        <v/>
      </c>
      <c r="BJ23">
        <f>IF(BJ$4=1,IF(INDEX('×入力'!$C$1:$L$700,201+BJ$3,BJ$2)&lt;&gt;"",1,0),0)</f>
        <v/>
      </c>
      <c r="BK23">
        <f>IF(BK$4=1,IF(INDEX('×入力'!$C$1:$L$700,201+BK$3,BK$2)&lt;&gt;"",1,0),0)</f>
        <v/>
      </c>
      <c r="BL23">
        <f>IF(BL$4=1,IF(INDEX('×入力'!$C$1:$L$700,201+BL$3,BL$2)&lt;&gt;"",1,0),0)</f>
        <v/>
      </c>
      <c r="BM23">
        <f>IF(BM$4=1,IF(INDEX('×入力'!$C$1:$L$700,201+BM$3,BM$2)&lt;&gt;"",1,0),0)</f>
        <v/>
      </c>
      <c r="BN23">
        <f>IF(BN$4=1,IF(INDEX('×入力'!$C$1:$L$700,201+BN$3,BN$2)&lt;&gt;"",1,0),0)</f>
        <v/>
      </c>
      <c r="BO23">
        <f>IF(BO$4=1,IF(INDEX('×入力'!$C$1:$L$700,201+BO$3,BO$2)&lt;&gt;"",1,0),0)</f>
        <v/>
      </c>
      <c r="BP23">
        <f>IF(BP$4=1,IF(INDEX('×入力'!$C$1:$L$700,201+BP$3,BP$2)&lt;&gt;"",1,0),0)</f>
        <v/>
      </c>
      <c r="BQ23">
        <f>IF(BQ$4=1,IF(INDEX('×入力'!$C$1:$L$700,201+BQ$3,BQ$2)&lt;&gt;"",1,0),0)</f>
        <v/>
      </c>
      <c r="BR23">
        <f>IF(BR$4=1,IF(INDEX('×入力'!$C$1:$L$700,201+BR$3,BR$2)&lt;&gt;"",1,0),0)</f>
        <v/>
      </c>
      <c r="BS23">
        <f>IF(BS$4=1,IF(INDEX('×入力'!$C$1:$L$700,201+BS$3,BS$2)&lt;&gt;"",1,0),0)</f>
        <v/>
      </c>
      <c r="BT23">
        <f>IF(BT$4=1,IF(INDEX('×入力'!$C$1:$L$700,201+BT$3,BT$2)&lt;&gt;"",1,0),0)</f>
        <v/>
      </c>
      <c r="BU23">
        <f>IF(BU$4=1,IF(INDEX('×入力'!$C$1:$L$700,201+BU$3,BU$2)&lt;&gt;"",1,0),0)</f>
        <v/>
      </c>
      <c r="BV23">
        <f>IF(BV$4=1,IF(INDEX('×入力'!$C$1:$L$700,201+BV$3,BV$2)&lt;&gt;"",1,0),0)</f>
        <v/>
      </c>
      <c r="BW23">
        <f>IF(BW$4=1,IF(INDEX('×入力'!$C$1:$L$700,201+BW$3,BW$2)&lt;&gt;"",1,0),0)</f>
        <v/>
      </c>
      <c r="BX23">
        <f>IF(BX$4=1,IF(INDEX('×入力'!$C$1:$L$700,201+BX$3,BX$2)&lt;&gt;"",1,0),0)</f>
        <v/>
      </c>
      <c r="BY23">
        <f>IF(BY$4=1,IF(INDEX('×入力'!$C$1:$L$700,201+BY$3,BY$2)&lt;&gt;"",1,0),0)</f>
        <v/>
      </c>
      <c r="BZ23">
        <f>IF(BZ$4=1,IF(INDEX('×入力'!$C$1:$L$700,201+BZ$3,BZ$2)&lt;&gt;"",1,0),0)</f>
        <v/>
      </c>
      <c r="CA23">
        <f>IF(CA$4=1,IF(INDEX('×入力'!$C$1:$L$700,201+CA$3,CA$2)&lt;&gt;"",1,0),0)</f>
        <v/>
      </c>
      <c r="CB23">
        <f>IF(CB$4=1,IF(INDEX('×入力'!$C$1:$L$700,201+CB$3,CB$2)&lt;&gt;"",1,0),0)</f>
        <v/>
      </c>
      <c r="CC23">
        <f>IF(CC$4=1,IF(INDEX('×入力'!$C$1:$L$700,201+CC$3,CC$2)&lt;&gt;"",1,0),0)</f>
        <v/>
      </c>
      <c r="CD23">
        <f>IF(CD$4=1,IF(INDEX('×入力'!$C$1:$L$700,201+CD$3,CD$2)&lt;&gt;"",1,0),0)</f>
        <v/>
      </c>
      <c r="CE23">
        <f>IF(CE$4=1,IF(INDEX('×入力'!$C$1:$L$700,201+CE$3,CE$2)&lt;&gt;"",1,0),0)</f>
        <v/>
      </c>
      <c r="CF23">
        <f>IF(CF$4=1,IF(INDEX('×入力'!$C$1:$L$700,201+CF$3,CF$2)&lt;&gt;"",1,0),0)</f>
        <v/>
      </c>
      <c r="CG23">
        <f>IF(CG$4=1,IF(INDEX('×入力'!$C$1:$L$700,201+CG$3,CG$2)&lt;&gt;"",1,0),0)</f>
        <v/>
      </c>
      <c r="CH23">
        <f>IF(CH$4=1,IF(INDEX('×入力'!$C$1:$L$700,201+CH$3,CH$2)&lt;&gt;"",1,0),0)</f>
        <v/>
      </c>
      <c r="CI23">
        <f>IF(CI$4=1,IF(INDEX('×入力'!$C$1:$L$700,201+CI$3,CI$2)&lt;&gt;"",1,0),0)</f>
        <v/>
      </c>
      <c r="CJ23">
        <f>IF(CJ$4=1,IF(INDEX('×入力'!$C$1:$L$700,201+CJ$3,CJ$2)&lt;&gt;"",1,0),0)</f>
        <v/>
      </c>
      <c r="CK23">
        <f>IF(CK$4=1,IF(INDEX('×入力'!$C$1:$L$700,201+CK$3,CK$2)&lt;&gt;"",1,0),0)</f>
        <v/>
      </c>
      <c r="CL23">
        <f>IF(CL$4=1,IF(INDEX('×入力'!$C$1:$L$700,201+CL$3,CL$2)&lt;&gt;"",1,0),0)</f>
        <v/>
      </c>
      <c r="CM23">
        <f>IF(CM$4=1,IF(INDEX('×入力'!$C$1:$L$700,201+CM$3,CM$2)&lt;&gt;"",1,0),0)</f>
        <v/>
      </c>
      <c r="CN23">
        <f>IF(CN$4=1,IF(INDEX('×入力'!$C$1:$L$700,201+CN$3,CN$2)&lt;&gt;"",1,0),0)</f>
        <v/>
      </c>
      <c r="CO23">
        <f>IF(CO$4=1,IF(INDEX('×入力'!$C$1:$L$700,201+CO$3,CO$2)&lt;&gt;"",1,0),0)</f>
        <v/>
      </c>
      <c r="CP23">
        <f>IF(CP$4=1,IF(INDEX('×入力'!$C$1:$L$700,201+CP$3,CP$2)&lt;&gt;"",1,0),0)</f>
        <v/>
      </c>
      <c r="CQ23">
        <f>IF(CQ$4=1,IF(INDEX('×入力'!$C$1:$L$700,201+CQ$3,CQ$2)&lt;&gt;"",1,0),0)</f>
        <v/>
      </c>
      <c r="CR23">
        <f>IF(CR$4=1,IF(INDEX('×入力'!$C$1:$L$700,201+CR$3,CR$2)&lt;&gt;"",1,0),0)</f>
        <v/>
      </c>
      <c r="CS23">
        <f>IF(CS$4=1,IF(INDEX('×入力'!$C$1:$L$700,201+CS$3,CS$2)&lt;&gt;"",1,0),0)</f>
        <v/>
      </c>
      <c r="CT23">
        <f>IF(CT$4=1,IF(INDEX('×入力'!$C$1:$L$700,201+CT$3,CT$2)&lt;&gt;"",1,0),0)</f>
        <v/>
      </c>
      <c r="CU23">
        <f>IF(CU$4=1,IF(INDEX('×入力'!$C$1:$L$700,201+CU$3,CU$2)&lt;&gt;"",1,0),0)</f>
        <v/>
      </c>
      <c r="CV23">
        <f>IF(CV$4=1,IF(INDEX('×入力'!$C$1:$L$700,201+CV$3,CV$2)&lt;&gt;"",1,0),0)</f>
        <v/>
      </c>
      <c r="CW23">
        <f>IF(CW$4=1,IF(INDEX('×入力'!$C$1:$L$700,201+CW$3,CW$2)&lt;&gt;"",1,0),0)</f>
        <v/>
      </c>
      <c r="CX23">
        <f>IF(CX$4=1,IF(INDEX('×入力'!$C$1:$L$700,201+CX$3,CX$2)&lt;&gt;"",1,0),0)</f>
        <v/>
      </c>
      <c r="CY23">
        <f>IF(CY$4=1,IF(INDEX('×入力'!$C$1:$L$700,201+CY$3,CY$2)&lt;&gt;"",1,0),0)</f>
        <v/>
      </c>
      <c r="CZ23">
        <f>IF(CZ$4=1,IF(INDEX('×入力'!$C$1:$L$700,201+CZ$3,CZ$2)&lt;&gt;"",1,0),0)</f>
        <v/>
      </c>
      <c r="DA23">
        <f>IF(DA$4=1,IF(INDEX('×入力'!$C$1:$L$700,201+DA$3,DA$2)&lt;&gt;"",1,0),0)</f>
        <v/>
      </c>
      <c r="DB23">
        <f>IF(DB$4=1,IF(INDEX('×入力'!$C$1:$L$700,201+DB$3,DB$2)&lt;&gt;"",1,0),0)</f>
        <v/>
      </c>
      <c r="DC23">
        <f>IF(DC$4=1,IF(INDEX('×入力'!$C$1:$L$700,201+DC$3,DC$2)&lt;&gt;"",1,0),0)</f>
        <v/>
      </c>
      <c r="DD23">
        <f>IF(DD$4=1,IF(INDEX('×入力'!$C$1:$L$700,201+DD$3,DD$2)&lt;&gt;"",1,0),0)</f>
        <v/>
      </c>
      <c r="DE23">
        <f>IF(DE$4=1,IF(INDEX('×入力'!$C$1:$L$700,201+DE$3,DE$2)&lt;&gt;"",1,0),0)</f>
        <v/>
      </c>
      <c r="DF23">
        <f>IF(DF$4=1,IF(INDEX('×入力'!$C$1:$L$700,201+DF$3,DF$2)&lt;&gt;"",1,0),0)</f>
        <v/>
      </c>
      <c r="DG23">
        <f>IF(DG$4=1,IF(INDEX('×入力'!$C$1:$L$700,201+DG$3,DG$2)&lt;&gt;"",1,0),0)</f>
        <v/>
      </c>
      <c r="DH23">
        <f>IF(DH$4=1,IF(INDEX('×入力'!$C$1:$L$700,201+DH$3,DH$2)&lt;&gt;"",1,0),0)</f>
        <v/>
      </c>
      <c r="DI23">
        <f>IF(DI$4=1,IF(INDEX('×入力'!$C$1:$L$700,201+DI$3,DI$2)&lt;&gt;"",1,0),0)</f>
        <v/>
      </c>
      <c r="DJ23">
        <f>IF(DJ$4=1,IF(INDEX('×入力'!$C$1:$L$700,201+DJ$3,DJ$2)&lt;&gt;"",1,0),0)</f>
        <v/>
      </c>
      <c r="DK23">
        <f>IF(DK$4=1,IF(INDEX('×入力'!$C$1:$L$700,201+DK$3,DK$2)&lt;&gt;"",1,0),0)</f>
        <v/>
      </c>
      <c r="DL23">
        <f>IF(DL$4=1,IF(INDEX('×入力'!$C$1:$L$700,201+DL$3,DL$2)&lt;&gt;"",1,0),0)</f>
        <v/>
      </c>
      <c r="DM23">
        <f>IF(DM$4=1,IF(INDEX('×入力'!$C$1:$L$700,201+DM$3,DM$2)&lt;&gt;"",1,0),0)</f>
        <v/>
      </c>
      <c r="DN23">
        <f>IF(DN$4=1,IF(INDEX('×入力'!$C$1:$L$700,201+DN$3,DN$2)&lt;&gt;"",1,0),0)</f>
        <v/>
      </c>
      <c r="DO23">
        <f>IF(DO$4=1,IF(INDEX('×入力'!$C$1:$L$700,201+DO$3,DO$2)&lt;&gt;"",1,0),0)</f>
        <v/>
      </c>
      <c r="DP23">
        <f>IF(DP$4=1,IF(INDEX('×入力'!$C$1:$L$700,201+DP$3,DP$2)&lt;&gt;"",1,0),0)</f>
        <v/>
      </c>
      <c r="DQ23">
        <f>IF(DQ$4=1,IF(INDEX('×入力'!$C$1:$L$700,201+DQ$3,DQ$2)&lt;&gt;"",1,0),0)</f>
        <v/>
      </c>
      <c r="DR23">
        <f>IF(DR$4=1,IF(INDEX('×入力'!$C$1:$L$700,201+DR$3,DR$2)&lt;&gt;"",1,0),0)</f>
        <v/>
      </c>
      <c r="DS23">
        <f>IF(DS$4=1,IF(INDEX('×入力'!$C$1:$L$700,201+DS$3,DS$2)&lt;&gt;"",1,0),0)</f>
        <v/>
      </c>
      <c r="DU23">
        <f>IFERROR(INDEX('計算B'!$C$3:$C$47,MATCH(A23,'計算B'!$B$3:$B$47,0)),0)</f>
        <v/>
      </c>
      <c r="DV23">
        <f>IF(AND(C23=1,DU23=0),1,0)</f>
        <v/>
      </c>
      <c r="DW23">
        <f>SUMPRODUCT(D73:DS73*(1-$D$7:$DS$7))</f>
        <v/>
      </c>
      <c r="DX23">
        <f>SUM(D23:DS23)</f>
        <v/>
      </c>
      <c r="DY23">
        <f>IF(B23="",0,IF(COUNTIF('割り当て'!$C$6:$L$17,B23)=1,SUMPRODUCT(('割り当て'!$C$6:$L$17=B23)*((COLUMN('割り当て'!$C$6:$L$17)-3)*12+ROW('割り当て'!$C$6:$L$17)-5)),0))</f>
        <v/>
      </c>
      <c r="DZ23">
        <f>IFERROR(MATCH('名簿'!E18,{"早い時刻","遅い時刻","早い日","遅い日"},0),0)</f>
        <v/>
      </c>
      <c r="EA23">
        <f>IF('名簿'!F18="必ず空けたい",2,IF('名簿'!F18="出来れば空けたい",1,0))</f>
        <v/>
      </c>
    </row>
    <row r="24">
      <c r="A24" t="n">
        <v>15</v>
      </c>
      <c r="B24">
        <f>'名簿'!G19</f>
        <v/>
      </c>
      <c r="C24">
        <f>IF(AND(B24&lt;&gt;"",OR('名簿'!H19="入力済み",'名簿'!H19="×なし"),DY24=0,COUNTIF('割り当て'!$C$6:$L$17,B24)=0),1,0)</f>
        <v/>
      </c>
      <c r="D24">
        <f>IF(D$4=1,IF(INDEX('×入力'!$C$1:$L$700,216+D$3,D$2)&lt;&gt;"",1,0),0)</f>
        <v/>
      </c>
      <c r="E24">
        <f>IF(E$4=1,IF(INDEX('×入力'!$C$1:$L$700,216+E$3,E$2)&lt;&gt;"",1,0),0)</f>
        <v/>
      </c>
      <c r="F24">
        <f>IF(F$4=1,IF(INDEX('×入力'!$C$1:$L$700,216+F$3,F$2)&lt;&gt;"",1,0),0)</f>
        <v/>
      </c>
      <c r="G24">
        <f>IF(G$4=1,IF(INDEX('×入力'!$C$1:$L$700,216+G$3,G$2)&lt;&gt;"",1,0),0)</f>
        <v/>
      </c>
      <c r="H24">
        <f>IF(H$4=1,IF(INDEX('×入力'!$C$1:$L$700,216+H$3,H$2)&lt;&gt;"",1,0),0)</f>
        <v/>
      </c>
      <c r="I24">
        <f>IF(I$4=1,IF(INDEX('×入力'!$C$1:$L$700,216+I$3,I$2)&lt;&gt;"",1,0),0)</f>
        <v/>
      </c>
      <c r="J24">
        <f>IF(J$4=1,IF(INDEX('×入力'!$C$1:$L$700,216+J$3,J$2)&lt;&gt;"",1,0),0)</f>
        <v/>
      </c>
      <c r="K24">
        <f>IF(K$4=1,IF(INDEX('×入力'!$C$1:$L$700,216+K$3,K$2)&lt;&gt;"",1,0),0)</f>
        <v/>
      </c>
      <c r="L24">
        <f>IF(L$4=1,IF(INDEX('×入力'!$C$1:$L$700,216+L$3,L$2)&lt;&gt;"",1,0),0)</f>
        <v/>
      </c>
      <c r="M24">
        <f>IF(M$4=1,IF(INDEX('×入力'!$C$1:$L$700,216+M$3,M$2)&lt;&gt;"",1,0),0)</f>
        <v/>
      </c>
      <c r="N24">
        <f>IF(N$4=1,IF(INDEX('×入力'!$C$1:$L$700,216+N$3,N$2)&lt;&gt;"",1,0),0)</f>
        <v/>
      </c>
      <c r="O24">
        <f>IF(O$4=1,IF(INDEX('×入力'!$C$1:$L$700,216+O$3,O$2)&lt;&gt;"",1,0),0)</f>
        <v/>
      </c>
      <c r="P24">
        <f>IF(P$4=1,IF(INDEX('×入力'!$C$1:$L$700,216+P$3,P$2)&lt;&gt;"",1,0),0)</f>
        <v/>
      </c>
      <c r="Q24">
        <f>IF(Q$4=1,IF(INDEX('×入力'!$C$1:$L$700,216+Q$3,Q$2)&lt;&gt;"",1,0),0)</f>
        <v/>
      </c>
      <c r="R24">
        <f>IF(R$4=1,IF(INDEX('×入力'!$C$1:$L$700,216+R$3,R$2)&lt;&gt;"",1,0),0)</f>
        <v/>
      </c>
      <c r="S24">
        <f>IF(S$4=1,IF(INDEX('×入力'!$C$1:$L$700,216+S$3,S$2)&lt;&gt;"",1,0),0)</f>
        <v/>
      </c>
      <c r="T24">
        <f>IF(T$4=1,IF(INDEX('×入力'!$C$1:$L$700,216+T$3,T$2)&lt;&gt;"",1,0),0)</f>
        <v/>
      </c>
      <c r="U24">
        <f>IF(U$4=1,IF(INDEX('×入力'!$C$1:$L$700,216+U$3,U$2)&lt;&gt;"",1,0),0)</f>
        <v/>
      </c>
      <c r="V24">
        <f>IF(V$4=1,IF(INDEX('×入力'!$C$1:$L$700,216+V$3,V$2)&lt;&gt;"",1,0),0)</f>
        <v/>
      </c>
      <c r="W24">
        <f>IF(W$4=1,IF(INDEX('×入力'!$C$1:$L$700,216+W$3,W$2)&lt;&gt;"",1,0),0)</f>
        <v/>
      </c>
      <c r="X24">
        <f>IF(X$4=1,IF(INDEX('×入力'!$C$1:$L$700,216+X$3,X$2)&lt;&gt;"",1,0),0)</f>
        <v/>
      </c>
      <c r="Y24">
        <f>IF(Y$4=1,IF(INDEX('×入力'!$C$1:$L$700,216+Y$3,Y$2)&lt;&gt;"",1,0),0)</f>
        <v/>
      </c>
      <c r="Z24">
        <f>IF(Z$4=1,IF(INDEX('×入力'!$C$1:$L$700,216+Z$3,Z$2)&lt;&gt;"",1,0),0)</f>
        <v/>
      </c>
      <c r="AA24">
        <f>IF(AA$4=1,IF(INDEX('×入力'!$C$1:$L$700,216+AA$3,AA$2)&lt;&gt;"",1,0),0)</f>
        <v/>
      </c>
      <c r="AB24">
        <f>IF(AB$4=1,IF(INDEX('×入力'!$C$1:$L$700,216+AB$3,AB$2)&lt;&gt;"",1,0),0)</f>
        <v/>
      </c>
      <c r="AC24">
        <f>IF(AC$4=1,IF(INDEX('×入力'!$C$1:$L$700,216+AC$3,AC$2)&lt;&gt;"",1,0),0)</f>
        <v/>
      </c>
      <c r="AD24">
        <f>IF(AD$4=1,IF(INDEX('×入力'!$C$1:$L$700,216+AD$3,AD$2)&lt;&gt;"",1,0),0)</f>
        <v/>
      </c>
      <c r="AE24">
        <f>IF(AE$4=1,IF(INDEX('×入力'!$C$1:$L$700,216+AE$3,AE$2)&lt;&gt;"",1,0),0)</f>
        <v/>
      </c>
      <c r="AF24">
        <f>IF(AF$4=1,IF(INDEX('×入力'!$C$1:$L$700,216+AF$3,AF$2)&lt;&gt;"",1,0),0)</f>
        <v/>
      </c>
      <c r="AG24">
        <f>IF(AG$4=1,IF(INDEX('×入力'!$C$1:$L$700,216+AG$3,AG$2)&lt;&gt;"",1,0),0)</f>
        <v/>
      </c>
      <c r="AH24">
        <f>IF(AH$4=1,IF(INDEX('×入力'!$C$1:$L$700,216+AH$3,AH$2)&lt;&gt;"",1,0),0)</f>
        <v/>
      </c>
      <c r="AI24">
        <f>IF(AI$4=1,IF(INDEX('×入力'!$C$1:$L$700,216+AI$3,AI$2)&lt;&gt;"",1,0),0)</f>
        <v/>
      </c>
      <c r="AJ24">
        <f>IF(AJ$4=1,IF(INDEX('×入力'!$C$1:$L$700,216+AJ$3,AJ$2)&lt;&gt;"",1,0),0)</f>
        <v/>
      </c>
      <c r="AK24">
        <f>IF(AK$4=1,IF(INDEX('×入力'!$C$1:$L$700,216+AK$3,AK$2)&lt;&gt;"",1,0),0)</f>
        <v/>
      </c>
      <c r="AL24">
        <f>IF(AL$4=1,IF(INDEX('×入力'!$C$1:$L$700,216+AL$3,AL$2)&lt;&gt;"",1,0),0)</f>
        <v/>
      </c>
      <c r="AM24">
        <f>IF(AM$4=1,IF(INDEX('×入力'!$C$1:$L$700,216+AM$3,AM$2)&lt;&gt;"",1,0),0)</f>
        <v/>
      </c>
      <c r="AN24">
        <f>IF(AN$4=1,IF(INDEX('×入力'!$C$1:$L$700,216+AN$3,AN$2)&lt;&gt;"",1,0),0)</f>
        <v/>
      </c>
      <c r="AO24">
        <f>IF(AO$4=1,IF(INDEX('×入力'!$C$1:$L$700,216+AO$3,AO$2)&lt;&gt;"",1,0),0)</f>
        <v/>
      </c>
      <c r="AP24">
        <f>IF(AP$4=1,IF(INDEX('×入力'!$C$1:$L$700,216+AP$3,AP$2)&lt;&gt;"",1,0),0)</f>
        <v/>
      </c>
      <c r="AQ24">
        <f>IF(AQ$4=1,IF(INDEX('×入力'!$C$1:$L$700,216+AQ$3,AQ$2)&lt;&gt;"",1,0),0)</f>
        <v/>
      </c>
      <c r="AR24">
        <f>IF(AR$4=1,IF(INDEX('×入力'!$C$1:$L$700,216+AR$3,AR$2)&lt;&gt;"",1,0),0)</f>
        <v/>
      </c>
      <c r="AS24">
        <f>IF(AS$4=1,IF(INDEX('×入力'!$C$1:$L$700,216+AS$3,AS$2)&lt;&gt;"",1,0),0)</f>
        <v/>
      </c>
      <c r="AT24">
        <f>IF(AT$4=1,IF(INDEX('×入力'!$C$1:$L$700,216+AT$3,AT$2)&lt;&gt;"",1,0),0)</f>
        <v/>
      </c>
      <c r="AU24">
        <f>IF(AU$4=1,IF(INDEX('×入力'!$C$1:$L$700,216+AU$3,AU$2)&lt;&gt;"",1,0),0)</f>
        <v/>
      </c>
      <c r="AV24">
        <f>IF(AV$4=1,IF(INDEX('×入力'!$C$1:$L$700,216+AV$3,AV$2)&lt;&gt;"",1,0),0)</f>
        <v/>
      </c>
      <c r="AW24">
        <f>IF(AW$4=1,IF(INDEX('×入力'!$C$1:$L$700,216+AW$3,AW$2)&lt;&gt;"",1,0),0)</f>
        <v/>
      </c>
      <c r="AX24">
        <f>IF(AX$4=1,IF(INDEX('×入力'!$C$1:$L$700,216+AX$3,AX$2)&lt;&gt;"",1,0),0)</f>
        <v/>
      </c>
      <c r="AY24">
        <f>IF(AY$4=1,IF(INDEX('×入力'!$C$1:$L$700,216+AY$3,AY$2)&lt;&gt;"",1,0),0)</f>
        <v/>
      </c>
      <c r="AZ24">
        <f>IF(AZ$4=1,IF(INDEX('×入力'!$C$1:$L$700,216+AZ$3,AZ$2)&lt;&gt;"",1,0),0)</f>
        <v/>
      </c>
      <c r="BA24">
        <f>IF(BA$4=1,IF(INDEX('×入力'!$C$1:$L$700,216+BA$3,BA$2)&lt;&gt;"",1,0),0)</f>
        <v/>
      </c>
      <c r="BB24">
        <f>IF(BB$4=1,IF(INDEX('×入力'!$C$1:$L$700,216+BB$3,BB$2)&lt;&gt;"",1,0),0)</f>
        <v/>
      </c>
      <c r="BC24">
        <f>IF(BC$4=1,IF(INDEX('×入力'!$C$1:$L$700,216+BC$3,BC$2)&lt;&gt;"",1,0),0)</f>
        <v/>
      </c>
      <c r="BD24">
        <f>IF(BD$4=1,IF(INDEX('×入力'!$C$1:$L$700,216+BD$3,BD$2)&lt;&gt;"",1,0),0)</f>
        <v/>
      </c>
      <c r="BE24">
        <f>IF(BE$4=1,IF(INDEX('×入力'!$C$1:$L$700,216+BE$3,BE$2)&lt;&gt;"",1,0),0)</f>
        <v/>
      </c>
      <c r="BF24">
        <f>IF(BF$4=1,IF(INDEX('×入力'!$C$1:$L$700,216+BF$3,BF$2)&lt;&gt;"",1,0),0)</f>
        <v/>
      </c>
      <c r="BG24">
        <f>IF(BG$4=1,IF(INDEX('×入力'!$C$1:$L$700,216+BG$3,BG$2)&lt;&gt;"",1,0),0)</f>
        <v/>
      </c>
      <c r="BH24">
        <f>IF(BH$4=1,IF(INDEX('×入力'!$C$1:$L$700,216+BH$3,BH$2)&lt;&gt;"",1,0),0)</f>
        <v/>
      </c>
      <c r="BI24">
        <f>IF(BI$4=1,IF(INDEX('×入力'!$C$1:$L$700,216+BI$3,BI$2)&lt;&gt;"",1,0),0)</f>
        <v/>
      </c>
      <c r="BJ24">
        <f>IF(BJ$4=1,IF(INDEX('×入力'!$C$1:$L$700,216+BJ$3,BJ$2)&lt;&gt;"",1,0),0)</f>
        <v/>
      </c>
      <c r="BK24">
        <f>IF(BK$4=1,IF(INDEX('×入力'!$C$1:$L$700,216+BK$3,BK$2)&lt;&gt;"",1,0),0)</f>
        <v/>
      </c>
      <c r="BL24">
        <f>IF(BL$4=1,IF(INDEX('×入力'!$C$1:$L$700,216+BL$3,BL$2)&lt;&gt;"",1,0),0)</f>
        <v/>
      </c>
      <c r="BM24">
        <f>IF(BM$4=1,IF(INDEX('×入力'!$C$1:$L$700,216+BM$3,BM$2)&lt;&gt;"",1,0),0)</f>
        <v/>
      </c>
      <c r="BN24">
        <f>IF(BN$4=1,IF(INDEX('×入力'!$C$1:$L$700,216+BN$3,BN$2)&lt;&gt;"",1,0),0)</f>
        <v/>
      </c>
      <c r="BO24">
        <f>IF(BO$4=1,IF(INDEX('×入力'!$C$1:$L$700,216+BO$3,BO$2)&lt;&gt;"",1,0),0)</f>
        <v/>
      </c>
      <c r="BP24">
        <f>IF(BP$4=1,IF(INDEX('×入力'!$C$1:$L$700,216+BP$3,BP$2)&lt;&gt;"",1,0),0)</f>
        <v/>
      </c>
      <c r="BQ24">
        <f>IF(BQ$4=1,IF(INDEX('×入力'!$C$1:$L$700,216+BQ$3,BQ$2)&lt;&gt;"",1,0),0)</f>
        <v/>
      </c>
      <c r="BR24">
        <f>IF(BR$4=1,IF(INDEX('×入力'!$C$1:$L$700,216+BR$3,BR$2)&lt;&gt;"",1,0),0)</f>
        <v/>
      </c>
      <c r="BS24">
        <f>IF(BS$4=1,IF(INDEX('×入力'!$C$1:$L$700,216+BS$3,BS$2)&lt;&gt;"",1,0),0)</f>
        <v/>
      </c>
      <c r="BT24">
        <f>IF(BT$4=1,IF(INDEX('×入力'!$C$1:$L$700,216+BT$3,BT$2)&lt;&gt;"",1,0),0)</f>
        <v/>
      </c>
      <c r="BU24">
        <f>IF(BU$4=1,IF(INDEX('×入力'!$C$1:$L$700,216+BU$3,BU$2)&lt;&gt;"",1,0),0)</f>
        <v/>
      </c>
      <c r="BV24">
        <f>IF(BV$4=1,IF(INDEX('×入力'!$C$1:$L$700,216+BV$3,BV$2)&lt;&gt;"",1,0),0)</f>
        <v/>
      </c>
      <c r="BW24">
        <f>IF(BW$4=1,IF(INDEX('×入力'!$C$1:$L$700,216+BW$3,BW$2)&lt;&gt;"",1,0),0)</f>
        <v/>
      </c>
      <c r="BX24">
        <f>IF(BX$4=1,IF(INDEX('×入力'!$C$1:$L$700,216+BX$3,BX$2)&lt;&gt;"",1,0),0)</f>
        <v/>
      </c>
      <c r="BY24">
        <f>IF(BY$4=1,IF(INDEX('×入力'!$C$1:$L$700,216+BY$3,BY$2)&lt;&gt;"",1,0),0)</f>
        <v/>
      </c>
      <c r="BZ24">
        <f>IF(BZ$4=1,IF(INDEX('×入力'!$C$1:$L$700,216+BZ$3,BZ$2)&lt;&gt;"",1,0),0)</f>
        <v/>
      </c>
      <c r="CA24">
        <f>IF(CA$4=1,IF(INDEX('×入力'!$C$1:$L$700,216+CA$3,CA$2)&lt;&gt;"",1,0),0)</f>
        <v/>
      </c>
      <c r="CB24">
        <f>IF(CB$4=1,IF(INDEX('×入力'!$C$1:$L$700,216+CB$3,CB$2)&lt;&gt;"",1,0),0)</f>
        <v/>
      </c>
      <c r="CC24">
        <f>IF(CC$4=1,IF(INDEX('×入力'!$C$1:$L$700,216+CC$3,CC$2)&lt;&gt;"",1,0),0)</f>
        <v/>
      </c>
      <c r="CD24">
        <f>IF(CD$4=1,IF(INDEX('×入力'!$C$1:$L$700,216+CD$3,CD$2)&lt;&gt;"",1,0),0)</f>
        <v/>
      </c>
      <c r="CE24">
        <f>IF(CE$4=1,IF(INDEX('×入力'!$C$1:$L$700,216+CE$3,CE$2)&lt;&gt;"",1,0),0)</f>
        <v/>
      </c>
      <c r="CF24">
        <f>IF(CF$4=1,IF(INDEX('×入力'!$C$1:$L$700,216+CF$3,CF$2)&lt;&gt;"",1,0),0)</f>
        <v/>
      </c>
      <c r="CG24">
        <f>IF(CG$4=1,IF(INDEX('×入力'!$C$1:$L$700,216+CG$3,CG$2)&lt;&gt;"",1,0),0)</f>
        <v/>
      </c>
      <c r="CH24">
        <f>IF(CH$4=1,IF(INDEX('×入力'!$C$1:$L$700,216+CH$3,CH$2)&lt;&gt;"",1,0),0)</f>
        <v/>
      </c>
      <c r="CI24">
        <f>IF(CI$4=1,IF(INDEX('×入力'!$C$1:$L$700,216+CI$3,CI$2)&lt;&gt;"",1,0),0)</f>
        <v/>
      </c>
      <c r="CJ24">
        <f>IF(CJ$4=1,IF(INDEX('×入力'!$C$1:$L$700,216+CJ$3,CJ$2)&lt;&gt;"",1,0),0)</f>
        <v/>
      </c>
      <c r="CK24">
        <f>IF(CK$4=1,IF(INDEX('×入力'!$C$1:$L$700,216+CK$3,CK$2)&lt;&gt;"",1,0),0)</f>
        <v/>
      </c>
      <c r="CL24">
        <f>IF(CL$4=1,IF(INDEX('×入力'!$C$1:$L$700,216+CL$3,CL$2)&lt;&gt;"",1,0),0)</f>
        <v/>
      </c>
      <c r="CM24">
        <f>IF(CM$4=1,IF(INDEX('×入力'!$C$1:$L$700,216+CM$3,CM$2)&lt;&gt;"",1,0),0)</f>
        <v/>
      </c>
      <c r="CN24">
        <f>IF(CN$4=1,IF(INDEX('×入力'!$C$1:$L$700,216+CN$3,CN$2)&lt;&gt;"",1,0),0)</f>
        <v/>
      </c>
      <c r="CO24">
        <f>IF(CO$4=1,IF(INDEX('×入力'!$C$1:$L$700,216+CO$3,CO$2)&lt;&gt;"",1,0),0)</f>
        <v/>
      </c>
      <c r="CP24">
        <f>IF(CP$4=1,IF(INDEX('×入力'!$C$1:$L$700,216+CP$3,CP$2)&lt;&gt;"",1,0),0)</f>
        <v/>
      </c>
      <c r="CQ24">
        <f>IF(CQ$4=1,IF(INDEX('×入力'!$C$1:$L$700,216+CQ$3,CQ$2)&lt;&gt;"",1,0),0)</f>
        <v/>
      </c>
      <c r="CR24">
        <f>IF(CR$4=1,IF(INDEX('×入力'!$C$1:$L$700,216+CR$3,CR$2)&lt;&gt;"",1,0),0)</f>
        <v/>
      </c>
      <c r="CS24">
        <f>IF(CS$4=1,IF(INDEX('×入力'!$C$1:$L$700,216+CS$3,CS$2)&lt;&gt;"",1,0),0)</f>
        <v/>
      </c>
      <c r="CT24">
        <f>IF(CT$4=1,IF(INDEX('×入力'!$C$1:$L$700,216+CT$3,CT$2)&lt;&gt;"",1,0),0)</f>
        <v/>
      </c>
      <c r="CU24">
        <f>IF(CU$4=1,IF(INDEX('×入力'!$C$1:$L$700,216+CU$3,CU$2)&lt;&gt;"",1,0),0)</f>
        <v/>
      </c>
      <c r="CV24">
        <f>IF(CV$4=1,IF(INDEX('×入力'!$C$1:$L$700,216+CV$3,CV$2)&lt;&gt;"",1,0),0)</f>
        <v/>
      </c>
      <c r="CW24">
        <f>IF(CW$4=1,IF(INDEX('×入力'!$C$1:$L$700,216+CW$3,CW$2)&lt;&gt;"",1,0),0)</f>
        <v/>
      </c>
      <c r="CX24">
        <f>IF(CX$4=1,IF(INDEX('×入力'!$C$1:$L$700,216+CX$3,CX$2)&lt;&gt;"",1,0),0)</f>
        <v/>
      </c>
      <c r="CY24">
        <f>IF(CY$4=1,IF(INDEX('×入力'!$C$1:$L$700,216+CY$3,CY$2)&lt;&gt;"",1,0),0)</f>
        <v/>
      </c>
      <c r="CZ24">
        <f>IF(CZ$4=1,IF(INDEX('×入力'!$C$1:$L$700,216+CZ$3,CZ$2)&lt;&gt;"",1,0),0)</f>
        <v/>
      </c>
      <c r="DA24">
        <f>IF(DA$4=1,IF(INDEX('×入力'!$C$1:$L$700,216+DA$3,DA$2)&lt;&gt;"",1,0),0)</f>
        <v/>
      </c>
      <c r="DB24">
        <f>IF(DB$4=1,IF(INDEX('×入力'!$C$1:$L$700,216+DB$3,DB$2)&lt;&gt;"",1,0),0)</f>
        <v/>
      </c>
      <c r="DC24">
        <f>IF(DC$4=1,IF(INDEX('×入力'!$C$1:$L$700,216+DC$3,DC$2)&lt;&gt;"",1,0),0)</f>
        <v/>
      </c>
      <c r="DD24">
        <f>IF(DD$4=1,IF(INDEX('×入力'!$C$1:$L$700,216+DD$3,DD$2)&lt;&gt;"",1,0),0)</f>
        <v/>
      </c>
      <c r="DE24">
        <f>IF(DE$4=1,IF(INDEX('×入力'!$C$1:$L$700,216+DE$3,DE$2)&lt;&gt;"",1,0),0)</f>
        <v/>
      </c>
      <c r="DF24">
        <f>IF(DF$4=1,IF(INDEX('×入力'!$C$1:$L$700,216+DF$3,DF$2)&lt;&gt;"",1,0),0)</f>
        <v/>
      </c>
      <c r="DG24">
        <f>IF(DG$4=1,IF(INDEX('×入力'!$C$1:$L$700,216+DG$3,DG$2)&lt;&gt;"",1,0),0)</f>
        <v/>
      </c>
      <c r="DH24">
        <f>IF(DH$4=1,IF(INDEX('×入力'!$C$1:$L$700,216+DH$3,DH$2)&lt;&gt;"",1,0),0)</f>
        <v/>
      </c>
      <c r="DI24">
        <f>IF(DI$4=1,IF(INDEX('×入力'!$C$1:$L$700,216+DI$3,DI$2)&lt;&gt;"",1,0),0)</f>
        <v/>
      </c>
      <c r="DJ24">
        <f>IF(DJ$4=1,IF(INDEX('×入力'!$C$1:$L$700,216+DJ$3,DJ$2)&lt;&gt;"",1,0),0)</f>
        <v/>
      </c>
      <c r="DK24">
        <f>IF(DK$4=1,IF(INDEX('×入力'!$C$1:$L$700,216+DK$3,DK$2)&lt;&gt;"",1,0),0)</f>
        <v/>
      </c>
      <c r="DL24">
        <f>IF(DL$4=1,IF(INDEX('×入力'!$C$1:$L$700,216+DL$3,DL$2)&lt;&gt;"",1,0),0)</f>
        <v/>
      </c>
      <c r="DM24">
        <f>IF(DM$4=1,IF(INDEX('×入力'!$C$1:$L$700,216+DM$3,DM$2)&lt;&gt;"",1,0),0)</f>
        <v/>
      </c>
      <c r="DN24">
        <f>IF(DN$4=1,IF(INDEX('×入力'!$C$1:$L$700,216+DN$3,DN$2)&lt;&gt;"",1,0),0)</f>
        <v/>
      </c>
      <c r="DO24">
        <f>IF(DO$4=1,IF(INDEX('×入力'!$C$1:$L$700,216+DO$3,DO$2)&lt;&gt;"",1,0),0)</f>
        <v/>
      </c>
      <c r="DP24">
        <f>IF(DP$4=1,IF(INDEX('×入力'!$C$1:$L$700,216+DP$3,DP$2)&lt;&gt;"",1,0),0)</f>
        <v/>
      </c>
      <c r="DQ24">
        <f>IF(DQ$4=1,IF(INDEX('×入力'!$C$1:$L$700,216+DQ$3,DQ$2)&lt;&gt;"",1,0),0)</f>
        <v/>
      </c>
      <c r="DR24">
        <f>IF(DR$4=1,IF(INDEX('×入力'!$C$1:$L$700,216+DR$3,DR$2)&lt;&gt;"",1,0),0)</f>
        <v/>
      </c>
      <c r="DS24">
        <f>IF(DS$4=1,IF(INDEX('×入力'!$C$1:$L$700,216+DS$3,DS$2)&lt;&gt;"",1,0),0)</f>
        <v/>
      </c>
      <c r="DU24">
        <f>IFERROR(INDEX('計算B'!$C$3:$C$47,MATCH(A24,'計算B'!$B$3:$B$47,0)),0)</f>
        <v/>
      </c>
      <c r="DV24">
        <f>IF(AND(C24=1,DU24=0),1,0)</f>
        <v/>
      </c>
      <c r="DW24">
        <f>SUMPRODUCT(D74:DS74*(1-$D$7:$DS$7))</f>
        <v/>
      </c>
      <c r="DX24">
        <f>SUM(D24:DS24)</f>
        <v/>
      </c>
      <c r="DY24">
        <f>IF(B24="",0,IF(COUNTIF('割り当て'!$C$6:$L$17,B24)=1,SUMPRODUCT(('割り当て'!$C$6:$L$17=B24)*((COLUMN('割り当て'!$C$6:$L$17)-3)*12+ROW('割り当て'!$C$6:$L$17)-5)),0))</f>
        <v/>
      </c>
      <c r="DZ24">
        <f>IFERROR(MATCH('名簿'!E19,{"早い時刻","遅い時刻","早い日","遅い日"},0),0)</f>
        <v/>
      </c>
      <c r="EA24">
        <f>IF('名簿'!F19="必ず空けたい",2,IF('名簿'!F19="出来れば空けたい",1,0))</f>
        <v/>
      </c>
    </row>
    <row r="25">
      <c r="A25" t="n">
        <v>16</v>
      </c>
      <c r="B25">
        <f>'名簿'!G20</f>
        <v/>
      </c>
      <c r="C25">
        <f>IF(AND(B25&lt;&gt;"",OR('名簿'!H20="入力済み",'名簿'!H20="×なし"),DY25=0,COUNTIF('割り当て'!$C$6:$L$17,B25)=0),1,0)</f>
        <v/>
      </c>
      <c r="D25">
        <f>IF(D$4=1,IF(INDEX('×入力'!$C$1:$L$700,231+D$3,D$2)&lt;&gt;"",1,0),0)</f>
        <v/>
      </c>
      <c r="E25">
        <f>IF(E$4=1,IF(INDEX('×入力'!$C$1:$L$700,231+E$3,E$2)&lt;&gt;"",1,0),0)</f>
        <v/>
      </c>
      <c r="F25">
        <f>IF(F$4=1,IF(INDEX('×入力'!$C$1:$L$700,231+F$3,F$2)&lt;&gt;"",1,0),0)</f>
        <v/>
      </c>
      <c r="G25">
        <f>IF(G$4=1,IF(INDEX('×入力'!$C$1:$L$700,231+G$3,G$2)&lt;&gt;"",1,0),0)</f>
        <v/>
      </c>
      <c r="H25">
        <f>IF(H$4=1,IF(INDEX('×入力'!$C$1:$L$700,231+H$3,H$2)&lt;&gt;"",1,0),0)</f>
        <v/>
      </c>
      <c r="I25">
        <f>IF(I$4=1,IF(INDEX('×入力'!$C$1:$L$700,231+I$3,I$2)&lt;&gt;"",1,0),0)</f>
        <v/>
      </c>
      <c r="J25">
        <f>IF(J$4=1,IF(INDEX('×入力'!$C$1:$L$700,231+J$3,J$2)&lt;&gt;"",1,0),0)</f>
        <v/>
      </c>
      <c r="K25">
        <f>IF(K$4=1,IF(INDEX('×入力'!$C$1:$L$700,231+K$3,K$2)&lt;&gt;"",1,0),0)</f>
        <v/>
      </c>
      <c r="L25">
        <f>IF(L$4=1,IF(INDEX('×入力'!$C$1:$L$700,231+L$3,L$2)&lt;&gt;"",1,0),0)</f>
        <v/>
      </c>
      <c r="M25">
        <f>IF(M$4=1,IF(INDEX('×入力'!$C$1:$L$700,231+M$3,M$2)&lt;&gt;"",1,0),0)</f>
        <v/>
      </c>
      <c r="N25">
        <f>IF(N$4=1,IF(INDEX('×入力'!$C$1:$L$700,231+N$3,N$2)&lt;&gt;"",1,0),0)</f>
        <v/>
      </c>
      <c r="O25">
        <f>IF(O$4=1,IF(INDEX('×入力'!$C$1:$L$700,231+O$3,O$2)&lt;&gt;"",1,0),0)</f>
        <v/>
      </c>
      <c r="P25">
        <f>IF(P$4=1,IF(INDEX('×入力'!$C$1:$L$700,231+P$3,P$2)&lt;&gt;"",1,0),0)</f>
        <v/>
      </c>
      <c r="Q25">
        <f>IF(Q$4=1,IF(INDEX('×入力'!$C$1:$L$700,231+Q$3,Q$2)&lt;&gt;"",1,0),0)</f>
        <v/>
      </c>
      <c r="R25">
        <f>IF(R$4=1,IF(INDEX('×入力'!$C$1:$L$700,231+R$3,R$2)&lt;&gt;"",1,0),0)</f>
        <v/>
      </c>
      <c r="S25">
        <f>IF(S$4=1,IF(INDEX('×入力'!$C$1:$L$700,231+S$3,S$2)&lt;&gt;"",1,0),0)</f>
        <v/>
      </c>
      <c r="T25">
        <f>IF(T$4=1,IF(INDEX('×入力'!$C$1:$L$700,231+T$3,T$2)&lt;&gt;"",1,0),0)</f>
        <v/>
      </c>
      <c r="U25">
        <f>IF(U$4=1,IF(INDEX('×入力'!$C$1:$L$700,231+U$3,U$2)&lt;&gt;"",1,0),0)</f>
        <v/>
      </c>
      <c r="V25">
        <f>IF(V$4=1,IF(INDEX('×入力'!$C$1:$L$700,231+V$3,V$2)&lt;&gt;"",1,0),0)</f>
        <v/>
      </c>
      <c r="W25">
        <f>IF(W$4=1,IF(INDEX('×入力'!$C$1:$L$700,231+W$3,W$2)&lt;&gt;"",1,0),0)</f>
        <v/>
      </c>
      <c r="X25">
        <f>IF(X$4=1,IF(INDEX('×入力'!$C$1:$L$700,231+X$3,X$2)&lt;&gt;"",1,0),0)</f>
        <v/>
      </c>
      <c r="Y25">
        <f>IF(Y$4=1,IF(INDEX('×入力'!$C$1:$L$700,231+Y$3,Y$2)&lt;&gt;"",1,0),0)</f>
        <v/>
      </c>
      <c r="Z25">
        <f>IF(Z$4=1,IF(INDEX('×入力'!$C$1:$L$700,231+Z$3,Z$2)&lt;&gt;"",1,0),0)</f>
        <v/>
      </c>
      <c r="AA25">
        <f>IF(AA$4=1,IF(INDEX('×入力'!$C$1:$L$700,231+AA$3,AA$2)&lt;&gt;"",1,0),0)</f>
        <v/>
      </c>
      <c r="AB25">
        <f>IF(AB$4=1,IF(INDEX('×入力'!$C$1:$L$700,231+AB$3,AB$2)&lt;&gt;"",1,0),0)</f>
        <v/>
      </c>
      <c r="AC25">
        <f>IF(AC$4=1,IF(INDEX('×入力'!$C$1:$L$700,231+AC$3,AC$2)&lt;&gt;"",1,0),0)</f>
        <v/>
      </c>
      <c r="AD25">
        <f>IF(AD$4=1,IF(INDEX('×入力'!$C$1:$L$700,231+AD$3,AD$2)&lt;&gt;"",1,0),0)</f>
        <v/>
      </c>
      <c r="AE25">
        <f>IF(AE$4=1,IF(INDEX('×入力'!$C$1:$L$700,231+AE$3,AE$2)&lt;&gt;"",1,0),0)</f>
        <v/>
      </c>
      <c r="AF25">
        <f>IF(AF$4=1,IF(INDEX('×入力'!$C$1:$L$700,231+AF$3,AF$2)&lt;&gt;"",1,0),0)</f>
        <v/>
      </c>
      <c r="AG25">
        <f>IF(AG$4=1,IF(INDEX('×入力'!$C$1:$L$700,231+AG$3,AG$2)&lt;&gt;"",1,0),0)</f>
        <v/>
      </c>
      <c r="AH25">
        <f>IF(AH$4=1,IF(INDEX('×入力'!$C$1:$L$700,231+AH$3,AH$2)&lt;&gt;"",1,0),0)</f>
        <v/>
      </c>
      <c r="AI25">
        <f>IF(AI$4=1,IF(INDEX('×入力'!$C$1:$L$700,231+AI$3,AI$2)&lt;&gt;"",1,0),0)</f>
        <v/>
      </c>
      <c r="AJ25">
        <f>IF(AJ$4=1,IF(INDEX('×入力'!$C$1:$L$700,231+AJ$3,AJ$2)&lt;&gt;"",1,0),0)</f>
        <v/>
      </c>
      <c r="AK25">
        <f>IF(AK$4=1,IF(INDEX('×入力'!$C$1:$L$700,231+AK$3,AK$2)&lt;&gt;"",1,0),0)</f>
        <v/>
      </c>
      <c r="AL25">
        <f>IF(AL$4=1,IF(INDEX('×入力'!$C$1:$L$700,231+AL$3,AL$2)&lt;&gt;"",1,0),0)</f>
        <v/>
      </c>
      <c r="AM25">
        <f>IF(AM$4=1,IF(INDEX('×入力'!$C$1:$L$700,231+AM$3,AM$2)&lt;&gt;"",1,0),0)</f>
        <v/>
      </c>
      <c r="AN25">
        <f>IF(AN$4=1,IF(INDEX('×入力'!$C$1:$L$700,231+AN$3,AN$2)&lt;&gt;"",1,0),0)</f>
        <v/>
      </c>
      <c r="AO25">
        <f>IF(AO$4=1,IF(INDEX('×入力'!$C$1:$L$700,231+AO$3,AO$2)&lt;&gt;"",1,0),0)</f>
        <v/>
      </c>
      <c r="AP25">
        <f>IF(AP$4=1,IF(INDEX('×入力'!$C$1:$L$700,231+AP$3,AP$2)&lt;&gt;"",1,0),0)</f>
        <v/>
      </c>
      <c r="AQ25">
        <f>IF(AQ$4=1,IF(INDEX('×入力'!$C$1:$L$700,231+AQ$3,AQ$2)&lt;&gt;"",1,0),0)</f>
        <v/>
      </c>
      <c r="AR25">
        <f>IF(AR$4=1,IF(INDEX('×入力'!$C$1:$L$700,231+AR$3,AR$2)&lt;&gt;"",1,0),0)</f>
        <v/>
      </c>
      <c r="AS25">
        <f>IF(AS$4=1,IF(INDEX('×入力'!$C$1:$L$700,231+AS$3,AS$2)&lt;&gt;"",1,0),0)</f>
        <v/>
      </c>
      <c r="AT25">
        <f>IF(AT$4=1,IF(INDEX('×入力'!$C$1:$L$700,231+AT$3,AT$2)&lt;&gt;"",1,0),0)</f>
        <v/>
      </c>
      <c r="AU25">
        <f>IF(AU$4=1,IF(INDEX('×入力'!$C$1:$L$700,231+AU$3,AU$2)&lt;&gt;"",1,0),0)</f>
        <v/>
      </c>
      <c r="AV25">
        <f>IF(AV$4=1,IF(INDEX('×入力'!$C$1:$L$700,231+AV$3,AV$2)&lt;&gt;"",1,0),0)</f>
        <v/>
      </c>
      <c r="AW25">
        <f>IF(AW$4=1,IF(INDEX('×入力'!$C$1:$L$700,231+AW$3,AW$2)&lt;&gt;"",1,0),0)</f>
        <v/>
      </c>
      <c r="AX25">
        <f>IF(AX$4=1,IF(INDEX('×入力'!$C$1:$L$700,231+AX$3,AX$2)&lt;&gt;"",1,0),0)</f>
        <v/>
      </c>
      <c r="AY25">
        <f>IF(AY$4=1,IF(INDEX('×入力'!$C$1:$L$700,231+AY$3,AY$2)&lt;&gt;"",1,0),0)</f>
        <v/>
      </c>
      <c r="AZ25">
        <f>IF(AZ$4=1,IF(INDEX('×入力'!$C$1:$L$700,231+AZ$3,AZ$2)&lt;&gt;"",1,0),0)</f>
        <v/>
      </c>
      <c r="BA25">
        <f>IF(BA$4=1,IF(INDEX('×入力'!$C$1:$L$700,231+BA$3,BA$2)&lt;&gt;"",1,0),0)</f>
        <v/>
      </c>
      <c r="BB25">
        <f>IF(BB$4=1,IF(INDEX('×入力'!$C$1:$L$700,231+BB$3,BB$2)&lt;&gt;"",1,0),0)</f>
        <v/>
      </c>
      <c r="BC25">
        <f>IF(BC$4=1,IF(INDEX('×入力'!$C$1:$L$700,231+BC$3,BC$2)&lt;&gt;"",1,0),0)</f>
        <v/>
      </c>
      <c r="BD25">
        <f>IF(BD$4=1,IF(INDEX('×入力'!$C$1:$L$700,231+BD$3,BD$2)&lt;&gt;"",1,0),0)</f>
        <v/>
      </c>
      <c r="BE25">
        <f>IF(BE$4=1,IF(INDEX('×入力'!$C$1:$L$700,231+BE$3,BE$2)&lt;&gt;"",1,0),0)</f>
        <v/>
      </c>
      <c r="BF25">
        <f>IF(BF$4=1,IF(INDEX('×入力'!$C$1:$L$700,231+BF$3,BF$2)&lt;&gt;"",1,0),0)</f>
        <v/>
      </c>
      <c r="BG25">
        <f>IF(BG$4=1,IF(INDEX('×入力'!$C$1:$L$700,231+BG$3,BG$2)&lt;&gt;"",1,0),0)</f>
        <v/>
      </c>
      <c r="BH25">
        <f>IF(BH$4=1,IF(INDEX('×入力'!$C$1:$L$700,231+BH$3,BH$2)&lt;&gt;"",1,0),0)</f>
        <v/>
      </c>
      <c r="BI25">
        <f>IF(BI$4=1,IF(INDEX('×入力'!$C$1:$L$700,231+BI$3,BI$2)&lt;&gt;"",1,0),0)</f>
        <v/>
      </c>
      <c r="BJ25">
        <f>IF(BJ$4=1,IF(INDEX('×入力'!$C$1:$L$700,231+BJ$3,BJ$2)&lt;&gt;"",1,0),0)</f>
        <v/>
      </c>
      <c r="BK25">
        <f>IF(BK$4=1,IF(INDEX('×入力'!$C$1:$L$700,231+BK$3,BK$2)&lt;&gt;"",1,0),0)</f>
        <v/>
      </c>
      <c r="BL25">
        <f>IF(BL$4=1,IF(INDEX('×入力'!$C$1:$L$700,231+BL$3,BL$2)&lt;&gt;"",1,0),0)</f>
        <v/>
      </c>
      <c r="BM25">
        <f>IF(BM$4=1,IF(INDEX('×入力'!$C$1:$L$700,231+BM$3,BM$2)&lt;&gt;"",1,0),0)</f>
        <v/>
      </c>
      <c r="BN25">
        <f>IF(BN$4=1,IF(INDEX('×入力'!$C$1:$L$700,231+BN$3,BN$2)&lt;&gt;"",1,0),0)</f>
        <v/>
      </c>
      <c r="BO25">
        <f>IF(BO$4=1,IF(INDEX('×入力'!$C$1:$L$700,231+BO$3,BO$2)&lt;&gt;"",1,0),0)</f>
        <v/>
      </c>
      <c r="BP25">
        <f>IF(BP$4=1,IF(INDEX('×入力'!$C$1:$L$700,231+BP$3,BP$2)&lt;&gt;"",1,0),0)</f>
        <v/>
      </c>
      <c r="BQ25">
        <f>IF(BQ$4=1,IF(INDEX('×入力'!$C$1:$L$700,231+BQ$3,BQ$2)&lt;&gt;"",1,0),0)</f>
        <v/>
      </c>
      <c r="BR25">
        <f>IF(BR$4=1,IF(INDEX('×入力'!$C$1:$L$700,231+BR$3,BR$2)&lt;&gt;"",1,0),0)</f>
        <v/>
      </c>
      <c r="BS25">
        <f>IF(BS$4=1,IF(INDEX('×入力'!$C$1:$L$700,231+BS$3,BS$2)&lt;&gt;"",1,0),0)</f>
        <v/>
      </c>
      <c r="BT25">
        <f>IF(BT$4=1,IF(INDEX('×入力'!$C$1:$L$700,231+BT$3,BT$2)&lt;&gt;"",1,0),0)</f>
        <v/>
      </c>
      <c r="BU25">
        <f>IF(BU$4=1,IF(INDEX('×入力'!$C$1:$L$700,231+BU$3,BU$2)&lt;&gt;"",1,0),0)</f>
        <v/>
      </c>
      <c r="BV25">
        <f>IF(BV$4=1,IF(INDEX('×入力'!$C$1:$L$700,231+BV$3,BV$2)&lt;&gt;"",1,0),0)</f>
        <v/>
      </c>
      <c r="BW25">
        <f>IF(BW$4=1,IF(INDEX('×入力'!$C$1:$L$700,231+BW$3,BW$2)&lt;&gt;"",1,0),0)</f>
        <v/>
      </c>
      <c r="BX25">
        <f>IF(BX$4=1,IF(INDEX('×入力'!$C$1:$L$700,231+BX$3,BX$2)&lt;&gt;"",1,0),0)</f>
        <v/>
      </c>
      <c r="BY25">
        <f>IF(BY$4=1,IF(INDEX('×入力'!$C$1:$L$700,231+BY$3,BY$2)&lt;&gt;"",1,0),0)</f>
        <v/>
      </c>
      <c r="BZ25">
        <f>IF(BZ$4=1,IF(INDEX('×入力'!$C$1:$L$700,231+BZ$3,BZ$2)&lt;&gt;"",1,0),0)</f>
        <v/>
      </c>
      <c r="CA25">
        <f>IF(CA$4=1,IF(INDEX('×入力'!$C$1:$L$700,231+CA$3,CA$2)&lt;&gt;"",1,0),0)</f>
        <v/>
      </c>
      <c r="CB25">
        <f>IF(CB$4=1,IF(INDEX('×入力'!$C$1:$L$700,231+CB$3,CB$2)&lt;&gt;"",1,0),0)</f>
        <v/>
      </c>
      <c r="CC25">
        <f>IF(CC$4=1,IF(INDEX('×入力'!$C$1:$L$700,231+CC$3,CC$2)&lt;&gt;"",1,0),0)</f>
        <v/>
      </c>
      <c r="CD25">
        <f>IF(CD$4=1,IF(INDEX('×入力'!$C$1:$L$700,231+CD$3,CD$2)&lt;&gt;"",1,0),0)</f>
        <v/>
      </c>
      <c r="CE25">
        <f>IF(CE$4=1,IF(INDEX('×入力'!$C$1:$L$700,231+CE$3,CE$2)&lt;&gt;"",1,0),0)</f>
        <v/>
      </c>
      <c r="CF25">
        <f>IF(CF$4=1,IF(INDEX('×入力'!$C$1:$L$700,231+CF$3,CF$2)&lt;&gt;"",1,0),0)</f>
        <v/>
      </c>
      <c r="CG25">
        <f>IF(CG$4=1,IF(INDEX('×入力'!$C$1:$L$700,231+CG$3,CG$2)&lt;&gt;"",1,0),0)</f>
        <v/>
      </c>
      <c r="CH25">
        <f>IF(CH$4=1,IF(INDEX('×入力'!$C$1:$L$700,231+CH$3,CH$2)&lt;&gt;"",1,0),0)</f>
        <v/>
      </c>
      <c r="CI25">
        <f>IF(CI$4=1,IF(INDEX('×入力'!$C$1:$L$700,231+CI$3,CI$2)&lt;&gt;"",1,0),0)</f>
        <v/>
      </c>
      <c r="CJ25">
        <f>IF(CJ$4=1,IF(INDEX('×入力'!$C$1:$L$700,231+CJ$3,CJ$2)&lt;&gt;"",1,0),0)</f>
        <v/>
      </c>
      <c r="CK25">
        <f>IF(CK$4=1,IF(INDEX('×入力'!$C$1:$L$700,231+CK$3,CK$2)&lt;&gt;"",1,0),0)</f>
        <v/>
      </c>
      <c r="CL25">
        <f>IF(CL$4=1,IF(INDEX('×入力'!$C$1:$L$700,231+CL$3,CL$2)&lt;&gt;"",1,0),0)</f>
        <v/>
      </c>
      <c r="CM25">
        <f>IF(CM$4=1,IF(INDEX('×入力'!$C$1:$L$700,231+CM$3,CM$2)&lt;&gt;"",1,0),0)</f>
        <v/>
      </c>
      <c r="CN25">
        <f>IF(CN$4=1,IF(INDEX('×入力'!$C$1:$L$700,231+CN$3,CN$2)&lt;&gt;"",1,0),0)</f>
        <v/>
      </c>
      <c r="CO25">
        <f>IF(CO$4=1,IF(INDEX('×入力'!$C$1:$L$700,231+CO$3,CO$2)&lt;&gt;"",1,0),0)</f>
        <v/>
      </c>
      <c r="CP25">
        <f>IF(CP$4=1,IF(INDEX('×入力'!$C$1:$L$700,231+CP$3,CP$2)&lt;&gt;"",1,0),0)</f>
        <v/>
      </c>
      <c r="CQ25">
        <f>IF(CQ$4=1,IF(INDEX('×入力'!$C$1:$L$700,231+CQ$3,CQ$2)&lt;&gt;"",1,0),0)</f>
        <v/>
      </c>
      <c r="CR25">
        <f>IF(CR$4=1,IF(INDEX('×入力'!$C$1:$L$700,231+CR$3,CR$2)&lt;&gt;"",1,0),0)</f>
        <v/>
      </c>
      <c r="CS25">
        <f>IF(CS$4=1,IF(INDEX('×入力'!$C$1:$L$700,231+CS$3,CS$2)&lt;&gt;"",1,0),0)</f>
        <v/>
      </c>
      <c r="CT25">
        <f>IF(CT$4=1,IF(INDEX('×入力'!$C$1:$L$700,231+CT$3,CT$2)&lt;&gt;"",1,0),0)</f>
        <v/>
      </c>
      <c r="CU25">
        <f>IF(CU$4=1,IF(INDEX('×入力'!$C$1:$L$700,231+CU$3,CU$2)&lt;&gt;"",1,0),0)</f>
        <v/>
      </c>
      <c r="CV25">
        <f>IF(CV$4=1,IF(INDEX('×入力'!$C$1:$L$700,231+CV$3,CV$2)&lt;&gt;"",1,0),0)</f>
        <v/>
      </c>
      <c r="CW25">
        <f>IF(CW$4=1,IF(INDEX('×入力'!$C$1:$L$700,231+CW$3,CW$2)&lt;&gt;"",1,0),0)</f>
        <v/>
      </c>
      <c r="CX25">
        <f>IF(CX$4=1,IF(INDEX('×入力'!$C$1:$L$700,231+CX$3,CX$2)&lt;&gt;"",1,0),0)</f>
        <v/>
      </c>
      <c r="CY25">
        <f>IF(CY$4=1,IF(INDEX('×入力'!$C$1:$L$700,231+CY$3,CY$2)&lt;&gt;"",1,0),0)</f>
        <v/>
      </c>
      <c r="CZ25">
        <f>IF(CZ$4=1,IF(INDEX('×入力'!$C$1:$L$700,231+CZ$3,CZ$2)&lt;&gt;"",1,0),0)</f>
        <v/>
      </c>
      <c r="DA25">
        <f>IF(DA$4=1,IF(INDEX('×入力'!$C$1:$L$700,231+DA$3,DA$2)&lt;&gt;"",1,0),0)</f>
        <v/>
      </c>
      <c r="DB25">
        <f>IF(DB$4=1,IF(INDEX('×入力'!$C$1:$L$700,231+DB$3,DB$2)&lt;&gt;"",1,0),0)</f>
        <v/>
      </c>
      <c r="DC25">
        <f>IF(DC$4=1,IF(INDEX('×入力'!$C$1:$L$700,231+DC$3,DC$2)&lt;&gt;"",1,0),0)</f>
        <v/>
      </c>
      <c r="DD25">
        <f>IF(DD$4=1,IF(INDEX('×入力'!$C$1:$L$700,231+DD$3,DD$2)&lt;&gt;"",1,0),0)</f>
        <v/>
      </c>
      <c r="DE25">
        <f>IF(DE$4=1,IF(INDEX('×入力'!$C$1:$L$700,231+DE$3,DE$2)&lt;&gt;"",1,0),0)</f>
        <v/>
      </c>
      <c r="DF25">
        <f>IF(DF$4=1,IF(INDEX('×入力'!$C$1:$L$700,231+DF$3,DF$2)&lt;&gt;"",1,0),0)</f>
        <v/>
      </c>
      <c r="DG25">
        <f>IF(DG$4=1,IF(INDEX('×入力'!$C$1:$L$700,231+DG$3,DG$2)&lt;&gt;"",1,0),0)</f>
        <v/>
      </c>
      <c r="DH25">
        <f>IF(DH$4=1,IF(INDEX('×入力'!$C$1:$L$700,231+DH$3,DH$2)&lt;&gt;"",1,0),0)</f>
        <v/>
      </c>
      <c r="DI25">
        <f>IF(DI$4=1,IF(INDEX('×入力'!$C$1:$L$700,231+DI$3,DI$2)&lt;&gt;"",1,0),0)</f>
        <v/>
      </c>
      <c r="DJ25">
        <f>IF(DJ$4=1,IF(INDEX('×入力'!$C$1:$L$700,231+DJ$3,DJ$2)&lt;&gt;"",1,0),0)</f>
        <v/>
      </c>
      <c r="DK25">
        <f>IF(DK$4=1,IF(INDEX('×入力'!$C$1:$L$700,231+DK$3,DK$2)&lt;&gt;"",1,0),0)</f>
        <v/>
      </c>
      <c r="DL25">
        <f>IF(DL$4=1,IF(INDEX('×入力'!$C$1:$L$700,231+DL$3,DL$2)&lt;&gt;"",1,0),0)</f>
        <v/>
      </c>
      <c r="DM25">
        <f>IF(DM$4=1,IF(INDEX('×入力'!$C$1:$L$700,231+DM$3,DM$2)&lt;&gt;"",1,0),0)</f>
        <v/>
      </c>
      <c r="DN25">
        <f>IF(DN$4=1,IF(INDEX('×入力'!$C$1:$L$700,231+DN$3,DN$2)&lt;&gt;"",1,0),0)</f>
        <v/>
      </c>
      <c r="DO25">
        <f>IF(DO$4=1,IF(INDEX('×入力'!$C$1:$L$700,231+DO$3,DO$2)&lt;&gt;"",1,0),0)</f>
        <v/>
      </c>
      <c r="DP25">
        <f>IF(DP$4=1,IF(INDEX('×入力'!$C$1:$L$700,231+DP$3,DP$2)&lt;&gt;"",1,0),0)</f>
        <v/>
      </c>
      <c r="DQ25">
        <f>IF(DQ$4=1,IF(INDEX('×入力'!$C$1:$L$700,231+DQ$3,DQ$2)&lt;&gt;"",1,0),0)</f>
        <v/>
      </c>
      <c r="DR25">
        <f>IF(DR$4=1,IF(INDEX('×入力'!$C$1:$L$700,231+DR$3,DR$2)&lt;&gt;"",1,0),0)</f>
        <v/>
      </c>
      <c r="DS25">
        <f>IF(DS$4=1,IF(INDEX('×入力'!$C$1:$L$700,231+DS$3,DS$2)&lt;&gt;"",1,0),0)</f>
        <v/>
      </c>
      <c r="DU25">
        <f>IFERROR(INDEX('計算B'!$C$3:$C$47,MATCH(A25,'計算B'!$B$3:$B$47,0)),0)</f>
        <v/>
      </c>
      <c r="DV25">
        <f>IF(AND(C25=1,DU25=0),1,0)</f>
        <v/>
      </c>
      <c r="DW25">
        <f>SUMPRODUCT(D75:DS75*(1-$D$7:$DS$7))</f>
        <v/>
      </c>
      <c r="DX25">
        <f>SUM(D25:DS25)</f>
        <v/>
      </c>
      <c r="DY25">
        <f>IF(B25="",0,IF(COUNTIF('割り当て'!$C$6:$L$17,B25)=1,SUMPRODUCT(('割り当て'!$C$6:$L$17=B25)*((COLUMN('割り当て'!$C$6:$L$17)-3)*12+ROW('割り当て'!$C$6:$L$17)-5)),0))</f>
        <v/>
      </c>
      <c r="DZ25">
        <f>IFERROR(MATCH('名簿'!E20,{"早い時刻","遅い時刻","早い日","遅い日"},0),0)</f>
        <v/>
      </c>
      <c r="EA25">
        <f>IF('名簿'!F20="必ず空けたい",2,IF('名簿'!F20="出来れば空けたい",1,0))</f>
        <v/>
      </c>
    </row>
    <row r="26">
      <c r="A26" t="n">
        <v>17</v>
      </c>
      <c r="B26">
        <f>'名簿'!G21</f>
        <v/>
      </c>
      <c r="C26">
        <f>IF(AND(B26&lt;&gt;"",OR('名簿'!H21="入力済み",'名簿'!H21="×なし"),DY26=0,COUNTIF('割り当て'!$C$6:$L$17,B26)=0),1,0)</f>
        <v/>
      </c>
      <c r="D26">
        <f>IF(D$4=1,IF(INDEX('×入力'!$C$1:$L$700,246+D$3,D$2)&lt;&gt;"",1,0),0)</f>
        <v/>
      </c>
      <c r="E26">
        <f>IF(E$4=1,IF(INDEX('×入力'!$C$1:$L$700,246+E$3,E$2)&lt;&gt;"",1,0),0)</f>
        <v/>
      </c>
      <c r="F26">
        <f>IF(F$4=1,IF(INDEX('×入力'!$C$1:$L$700,246+F$3,F$2)&lt;&gt;"",1,0),0)</f>
        <v/>
      </c>
      <c r="G26">
        <f>IF(G$4=1,IF(INDEX('×入力'!$C$1:$L$700,246+G$3,G$2)&lt;&gt;"",1,0),0)</f>
        <v/>
      </c>
      <c r="H26">
        <f>IF(H$4=1,IF(INDEX('×入力'!$C$1:$L$700,246+H$3,H$2)&lt;&gt;"",1,0),0)</f>
        <v/>
      </c>
      <c r="I26">
        <f>IF(I$4=1,IF(INDEX('×入力'!$C$1:$L$700,246+I$3,I$2)&lt;&gt;"",1,0),0)</f>
        <v/>
      </c>
      <c r="J26">
        <f>IF(J$4=1,IF(INDEX('×入力'!$C$1:$L$700,246+J$3,J$2)&lt;&gt;"",1,0),0)</f>
        <v/>
      </c>
      <c r="K26">
        <f>IF(K$4=1,IF(INDEX('×入力'!$C$1:$L$700,246+K$3,K$2)&lt;&gt;"",1,0),0)</f>
        <v/>
      </c>
      <c r="L26">
        <f>IF(L$4=1,IF(INDEX('×入力'!$C$1:$L$700,246+L$3,L$2)&lt;&gt;"",1,0),0)</f>
        <v/>
      </c>
      <c r="M26">
        <f>IF(M$4=1,IF(INDEX('×入力'!$C$1:$L$700,246+M$3,M$2)&lt;&gt;"",1,0),0)</f>
        <v/>
      </c>
      <c r="N26">
        <f>IF(N$4=1,IF(INDEX('×入力'!$C$1:$L$700,246+N$3,N$2)&lt;&gt;"",1,0),0)</f>
        <v/>
      </c>
      <c r="O26">
        <f>IF(O$4=1,IF(INDEX('×入力'!$C$1:$L$700,246+O$3,O$2)&lt;&gt;"",1,0),0)</f>
        <v/>
      </c>
      <c r="P26">
        <f>IF(P$4=1,IF(INDEX('×入力'!$C$1:$L$700,246+P$3,P$2)&lt;&gt;"",1,0),0)</f>
        <v/>
      </c>
      <c r="Q26">
        <f>IF(Q$4=1,IF(INDEX('×入力'!$C$1:$L$700,246+Q$3,Q$2)&lt;&gt;"",1,0),0)</f>
        <v/>
      </c>
      <c r="R26">
        <f>IF(R$4=1,IF(INDEX('×入力'!$C$1:$L$700,246+R$3,R$2)&lt;&gt;"",1,0),0)</f>
        <v/>
      </c>
      <c r="S26">
        <f>IF(S$4=1,IF(INDEX('×入力'!$C$1:$L$700,246+S$3,S$2)&lt;&gt;"",1,0),0)</f>
        <v/>
      </c>
      <c r="T26">
        <f>IF(T$4=1,IF(INDEX('×入力'!$C$1:$L$700,246+T$3,T$2)&lt;&gt;"",1,0),0)</f>
        <v/>
      </c>
      <c r="U26">
        <f>IF(U$4=1,IF(INDEX('×入力'!$C$1:$L$700,246+U$3,U$2)&lt;&gt;"",1,0),0)</f>
        <v/>
      </c>
      <c r="V26">
        <f>IF(V$4=1,IF(INDEX('×入力'!$C$1:$L$700,246+V$3,V$2)&lt;&gt;"",1,0),0)</f>
        <v/>
      </c>
      <c r="W26">
        <f>IF(W$4=1,IF(INDEX('×入力'!$C$1:$L$700,246+W$3,W$2)&lt;&gt;"",1,0),0)</f>
        <v/>
      </c>
      <c r="X26">
        <f>IF(X$4=1,IF(INDEX('×入力'!$C$1:$L$700,246+X$3,X$2)&lt;&gt;"",1,0),0)</f>
        <v/>
      </c>
      <c r="Y26">
        <f>IF(Y$4=1,IF(INDEX('×入力'!$C$1:$L$700,246+Y$3,Y$2)&lt;&gt;"",1,0),0)</f>
        <v/>
      </c>
      <c r="Z26">
        <f>IF(Z$4=1,IF(INDEX('×入力'!$C$1:$L$700,246+Z$3,Z$2)&lt;&gt;"",1,0),0)</f>
        <v/>
      </c>
      <c r="AA26">
        <f>IF(AA$4=1,IF(INDEX('×入力'!$C$1:$L$700,246+AA$3,AA$2)&lt;&gt;"",1,0),0)</f>
        <v/>
      </c>
      <c r="AB26">
        <f>IF(AB$4=1,IF(INDEX('×入力'!$C$1:$L$700,246+AB$3,AB$2)&lt;&gt;"",1,0),0)</f>
        <v/>
      </c>
      <c r="AC26">
        <f>IF(AC$4=1,IF(INDEX('×入力'!$C$1:$L$700,246+AC$3,AC$2)&lt;&gt;"",1,0),0)</f>
        <v/>
      </c>
      <c r="AD26">
        <f>IF(AD$4=1,IF(INDEX('×入力'!$C$1:$L$700,246+AD$3,AD$2)&lt;&gt;"",1,0),0)</f>
        <v/>
      </c>
      <c r="AE26">
        <f>IF(AE$4=1,IF(INDEX('×入力'!$C$1:$L$700,246+AE$3,AE$2)&lt;&gt;"",1,0),0)</f>
        <v/>
      </c>
      <c r="AF26">
        <f>IF(AF$4=1,IF(INDEX('×入力'!$C$1:$L$700,246+AF$3,AF$2)&lt;&gt;"",1,0),0)</f>
        <v/>
      </c>
      <c r="AG26">
        <f>IF(AG$4=1,IF(INDEX('×入力'!$C$1:$L$700,246+AG$3,AG$2)&lt;&gt;"",1,0),0)</f>
        <v/>
      </c>
      <c r="AH26">
        <f>IF(AH$4=1,IF(INDEX('×入力'!$C$1:$L$700,246+AH$3,AH$2)&lt;&gt;"",1,0),0)</f>
        <v/>
      </c>
      <c r="AI26">
        <f>IF(AI$4=1,IF(INDEX('×入力'!$C$1:$L$700,246+AI$3,AI$2)&lt;&gt;"",1,0),0)</f>
        <v/>
      </c>
      <c r="AJ26">
        <f>IF(AJ$4=1,IF(INDEX('×入力'!$C$1:$L$700,246+AJ$3,AJ$2)&lt;&gt;"",1,0),0)</f>
        <v/>
      </c>
      <c r="AK26">
        <f>IF(AK$4=1,IF(INDEX('×入力'!$C$1:$L$700,246+AK$3,AK$2)&lt;&gt;"",1,0),0)</f>
        <v/>
      </c>
      <c r="AL26">
        <f>IF(AL$4=1,IF(INDEX('×入力'!$C$1:$L$700,246+AL$3,AL$2)&lt;&gt;"",1,0),0)</f>
        <v/>
      </c>
      <c r="AM26">
        <f>IF(AM$4=1,IF(INDEX('×入力'!$C$1:$L$700,246+AM$3,AM$2)&lt;&gt;"",1,0),0)</f>
        <v/>
      </c>
      <c r="AN26">
        <f>IF(AN$4=1,IF(INDEX('×入力'!$C$1:$L$700,246+AN$3,AN$2)&lt;&gt;"",1,0),0)</f>
        <v/>
      </c>
      <c r="AO26">
        <f>IF(AO$4=1,IF(INDEX('×入力'!$C$1:$L$700,246+AO$3,AO$2)&lt;&gt;"",1,0),0)</f>
        <v/>
      </c>
      <c r="AP26">
        <f>IF(AP$4=1,IF(INDEX('×入力'!$C$1:$L$700,246+AP$3,AP$2)&lt;&gt;"",1,0),0)</f>
        <v/>
      </c>
      <c r="AQ26">
        <f>IF(AQ$4=1,IF(INDEX('×入力'!$C$1:$L$700,246+AQ$3,AQ$2)&lt;&gt;"",1,0),0)</f>
        <v/>
      </c>
      <c r="AR26">
        <f>IF(AR$4=1,IF(INDEX('×入力'!$C$1:$L$700,246+AR$3,AR$2)&lt;&gt;"",1,0),0)</f>
        <v/>
      </c>
      <c r="AS26">
        <f>IF(AS$4=1,IF(INDEX('×入力'!$C$1:$L$700,246+AS$3,AS$2)&lt;&gt;"",1,0),0)</f>
        <v/>
      </c>
      <c r="AT26">
        <f>IF(AT$4=1,IF(INDEX('×入力'!$C$1:$L$700,246+AT$3,AT$2)&lt;&gt;"",1,0),0)</f>
        <v/>
      </c>
      <c r="AU26">
        <f>IF(AU$4=1,IF(INDEX('×入力'!$C$1:$L$700,246+AU$3,AU$2)&lt;&gt;"",1,0),0)</f>
        <v/>
      </c>
      <c r="AV26">
        <f>IF(AV$4=1,IF(INDEX('×入力'!$C$1:$L$700,246+AV$3,AV$2)&lt;&gt;"",1,0),0)</f>
        <v/>
      </c>
      <c r="AW26">
        <f>IF(AW$4=1,IF(INDEX('×入力'!$C$1:$L$700,246+AW$3,AW$2)&lt;&gt;"",1,0),0)</f>
        <v/>
      </c>
      <c r="AX26">
        <f>IF(AX$4=1,IF(INDEX('×入力'!$C$1:$L$700,246+AX$3,AX$2)&lt;&gt;"",1,0),0)</f>
        <v/>
      </c>
      <c r="AY26">
        <f>IF(AY$4=1,IF(INDEX('×入力'!$C$1:$L$700,246+AY$3,AY$2)&lt;&gt;"",1,0),0)</f>
        <v/>
      </c>
      <c r="AZ26">
        <f>IF(AZ$4=1,IF(INDEX('×入力'!$C$1:$L$700,246+AZ$3,AZ$2)&lt;&gt;"",1,0),0)</f>
        <v/>
      </c>
      <c r="BA26">
        <f>IF(BA$4=1,IF(INDEX('×入力'!$C$1:$L$700,246+BA$3,BA$2)&lt;&gt;"",1,0),0)</f>
        <v/>
      </c>
      <c r="BB26">
        <f>IF(BB$4=1,IF(INDEX('×入力'!$C$1:$L$700,246+BB$3,BB$2)&lt;&gt;"",1,0),0)</f>
        <v/>
      </c>
      <c r="BC26">
        <f>IF(BC$4=1,IF(INDEX('×入力'!$C$1:$L$700,246+BC$3,BC$2)&lt;&gt;"",1,0),0)</f>
        <v/>
      </c>
      <c r="BD26">
        <f>IF(BD$4=1,IF(INDEX('×入力'!$C$1:$L$700,246+BD$3,BD$2)&lt;&gt;"",1,0),0)</f>
        <v/>
      </c>
      <c r="BE26">
        <f>IF(BE$4=1,IF(INDEX('×入力'!$C$1:$L$700,246+BE$3,BE$2)&lt;&gt;"",1,0),0)</f>
        <v/>
      </c>
      <c r="BF26">
        <f>IF(BF$4=1,IF(INDEX('×入力'!$C$1:$L$700,246+BF$3,BF$2)&lt;&gt;"",1,0),0)</f>
        <v/>
      </c>
      <c r="BG26">
        <f>IF(BG$4=1,IF(INDEX('×入力'!$C$1:$L$700,246+BG$3,BG$2)&lt;&gt;"",1,0),0)</f>
        <v/>
      </c>
      <c r="BH26">
        <f>IF(BH$4=1,IF(INDEX('×入力'!$C$1:$L$700,246+BH$3,BH$2)&lt;&gt;"",1,0),0)</f>
        <v/>
      </c>
      <c r="BI26">
        <f>IF(BI$4=1,IF(INDEX('×入力'!$C$1:$L$700,246+BI$3,BI$2)&lt;&gt;"",1,0),0)</f>
        <v/>
      </c>
      <c r="BJ26">
        <f>IF(BJ$4=1,IF(INDEX('×入力'!$C$1:$L$700,246+BJ$3,BJ$2)&lt;&gt;"",1,0),0)</f>
        <v/>
      </c>
      <c r="BK26">
        <f>IF(BK$4=1,IF(INDEX('×入力'!$C$1:$L$700,246+BK$3,BK$2)&lt;&gt;"",1,0),0)</f>
        <v/>
      </c>
      <c r="BL26">
        <f>IF(BL$4=1,IF(INDEX('×入力'!$C$1:$L$700,246+BL$3,BL$2)&lt;&gt;"",1,0),0)</f>
        <v/>
      </c>
      <c r="BM26">
        <f>IF(BM$4=1,IF(INDEX('×入力'!$C$1:$L$700,246+BM$3,BM$2)&lt;&gt;"",1,0),0)</f>
        <v/>
      </c>
      <c r="BN26">
        <f>IF(BN$4=1,IF(INDEX('×入力'!$C$1:$L$700,246+BN$3,BN$2)&lt;&gt;"",1,0),0)</f>
        <v/>
      </c>
      <c r="BO26">
        <f>IF(BO$4=1,IF(INDEX('×入力'!$C$1:$L$700,246+BO$3,BO$2)&lt;&gt;"",1,0),0)</f>
        <v/>
      </c>
      <c r="BP26">
        <f>IF(BP$4=1,IF(INDEX('×入力'!$C$1:$L$700,246+BP$3,BP$2)&lt;&gt;"",1,0),0)</f>
        <v/>
      </c>
      <c r="BQ26">
        <f>IF(BQ$4=1,IF(INDEX('×入力'!$C$1:$L$700,246+BQ$3,BQ$2)&lt;&gt;"",1,0),0)</f>
        <v/>
      </c>
      <c r="BR26">
        <f>IF(BR$4=1,IF(INDEX('×入力'!$C$1:$L$700,246+BR$3,BR$2)&lt;&gt;"",1,0),0)</f>
        <v/>
      </c>
      <c r="BS26">
        <f>IF(BS$4=1,IF(INDEX('×入力'!$C$1:$L$700,246+BS$3,BS$2)&lt;&gt;"",1,0),0)</f>
        <v/>
      </c>
      <c r="BT26">
        <f>IF(BT$4=1,IF(INDEX('×入力'!$C$1:$L$700,246+BT$3,BT$2)&lt;&gt;"",1,0),0)</f>
        <v/>
      </c>
      <c r="BU26">
        <f>IF(BU$4=1,IF(INDEX('×入力'!$C$1:$L$700,246+BU$3,BU$2)&lt;&gt;"",1,0),0)</f>
        <v/>
      </c>
      <c r="BV26">
        <f>IF(BV$4=1,IF(INDEX('×入力'!$C$1:$L$700,246+BV$3,BV$2)&lt;&gt;"",1,0),0)</f>
        <v/>
      </c>
      <c r="BW26">
        <f>IF(BW$4=1,IF(INDEX('×入力'!$C$1:$L$700,246+BW$3,BW$2)&lt;&gt;"",1,0),0)</f>
        <v/>
      </c>
      <c r="BX26">
        <f>IF(BX$4=1,IF(INDEX('×入力'!$C$1:$L$700,246+BX$3,BX$2)&lt;&gt;"",1,0),0)</f>
        <v/>
      </c>
      <c r="BY26">
        <f>IF(BY$4=1,IF(INDEX('×入力'!$C$1:$L$700,246+BY$3,BY$2)&lt;&gt;"",1,0),0)</f>
        <v/>
      </c>
      <c r="BZ26">
        <f>IF(BZ$4=1,IF(INDEX('×入力'!$C$1:$L$700,246+BZ$3,BZ$2)&lt;&gt;"",1,0),0)</f>
        <v/>
      </c>
      <c r="CA26">
        <f>IF(CA$4=1,IF(INDEX('×入力'!$C$1:$L$700,246+CA$3,CA$2)&lt;&gt;"",1,0),0)</f>
        <v/>
      </c>
      <c r="CB26">
        <f>IF(CB$4=1,IF(INDEX('×入力'!$C$1:$L$700,246+CB$3,CB$2)&lt;&gt;"",1,0),0)</f>
        <v/>
      </c>
      <c r="CC26">
        <f>IF(CC$4=1,IF(INDEX('×入力'!$C$1:$L$700,246+CC$3,CC$2)&lt;&gt;"",1,0),0)</f>
        <v/>
      </c>
      <c r="CD26">
        <f>IF(CD$4=1,IF(INDEX('×入力'!$C$1:$L$700,246+CD$3,CD$2)&lt;&gt;"",1,0),0)</f>
        <v/>
      </c>
      <c r="CE26">
        <f>IF(CE$4=1,IF(INDEX('×入力'!$C$1:$L$700,246+CE$3,CE$2)&lt;&gt;"",1,0),0)</f>
        <v/>
      </c>
      <c r="CF26">
        <f>IF(CF$4=1,IF(INDEX('×入力'!$C$1:$L$700,246+CF$3,CF$2)&lt;&gt;"",1,0),0)</f>
        <v/>
      </c>
      <c r="CG26">
        <f>IF(CG$4=1,IF(INDEX('×入力'!$C$1:$L$700,246+CG$3,CG$2)&lt;&gt;"",1,0),0)</f>
        <v/>
      </c>
      <c r="CH26">
        <f>IF(CH$4=1,IF(INDEX('×入力'!$C$1:$L$700,246+CH$3,CH$2)&lt;&gt;"",1,0),0)</f>
        <v/>
      </c>
      <c r="CI26">
        <f>IF(CI$4=1,IF(INDEX('×入力'!$C$1:$L$700,246+CI$3,CI$2)&lt;&gt;"",1,0),0)</f>
        <v/>
      </c>
      <c r="CJ26">
        <f>IF(CJ$4=1,IF(INDEX('×入力'!$C$1:$L$700,246+CJ$3,CJ$2)&lt;&gt;"",1,0),0)</f>
        <v/>
      </c>
      <c r="CK26">
        <f>IF(CK$4=1,IF(INDEX('×入力'!$C$1:$L$700,246+CK$3,CK$2)&lt;&gt;"",1,0),0)</f>
        <v/>
      </c>
      <c r="CL26">
        <f>IF(CL$4=1,IF(INDEX('×入力'!$C$1:$L$700,246+CL$3,CL$2)&lt;&gt;"",1,0),0)</f>
        <v/>
      </c>
      <c r="CM26">
        <f>IF(CM$4=1,IF(INDEX('×入力'!$C$1:$L$700,246+CM$3,CM$2)&lt;&gt;"",1,0),0)</f>
        <v/>
      </c>
      <c r="CN26">
        <f>IF(CN$4=1,IF(INDEX('×入力'!$C$1:$L$700,246+CN$3,CN$2)&lt;&gt;"",1,0),0)</f>
        <v/>
      </c>
      <c r="CO26">
        <f>IF(CO$4=1,IF(INDEX('×入力'!$C$1:$L$700,246+CO$3,CO$2)&lt;&gt;"",1,0),0)</f>
        <v/>
      </c>
      <c r="CP26">
        <f>IF(CP$4=1,IF(INDEX('×入力'!$C$1:$L$700,246+CP$3,CP$2)&lt;&gt;"",1,0),0)</f>
        <v/>
      </c>
      <c r="CQ26">
        <f>IF(CQ$4=1,IF(INDEX('×入力'!$C$1:$L$700,246+CQ$3,CQ$2)&lt;&gt;"",1,0),0)</f>
        <v/>
      </c>
      <c r="CR26">
        <f>IF(CR$4=1,IF(INDEX('×入力'!$C$1:$L$700,246+CR$3,CR$2)&lt;&gt;"",1,0),0)</f>
        <v/>
      </c>
      <c r="CS26">
        <f>IF(CS$4=1,IF(INDEX('×入力'!$C$1:$L$700,246+CS$3,CS$2)&lt;&gt;"",1,0),0)</f>
        <v/>
      </c>
      <c r="CT26">
        <f>IF(CT$4=1,IF(INDEX('×入力'!$C$1:$L$700,246+CT$3,CT$2)&lt;&gt;"",1,0),0)</f>
        <v/>
      </c>
      <c r="CU26">
        <f>IF(CU$4=1,IF(INDEX('×入力'!$C$1:$L$700,246+CU$3,CU$2)&lt;&gt;"",1,0),0)</f>
        <v/>
      </c>
      <c r="CV26">
        <f>IF(CV$4=1,IF(INDEX('×入力'!$C$1:$L$700,246+CV$3,CV$2)&lt;&gt;"",1,0),0)</f>
        <v/>
      </c>
      <c r="CW26">
        <f>IF(CW$4=1,IF(INDEX('×入力'!$C$1:$L$700,246+CW$3,CW$2)&lt;&gt;"",1,0),0)</f>
        <v/>
      </c>
      <c r="CX26">
        <f>IF(CX$4=1,IF(INDEX('×入力'!$C$1:$L$700,246+CX$3,CX$2)&lt;&gt;"",1,0),0)</f>
        <v/>
      </c>
      <c r="CY26">
        <f>IF(CY$4=1,IF(INDEX('×入力'!$C$1:$L$700,246+CY$3,CY$2)&lt;&gt;"",1,0),0)</f>
        <v/>
      </c>
      <c r="CZ26">
        <f>IF(CZ$4=1,IF(INDEX('×入力'!$C$1:$L$700,246+CZ$3,CZ$2)&lt;&gt;"",1,0),0)</f>
        <v/>
      </c>
      <c r="DA26">
        <f>IF(DA$4=1,IF(INDEX('×入力'!$C$1:$L$700,246+DA$3,DA$2)&lt;&gt;"",1,0),0)</f>
        <v/>
      </c>
      <c r="DB26">
        <f>IF(DB$4=1,IF(INDEX('×入力'!$C$1:$L$700,246+DB$3,DB$2)&lt;&gt;"",1,0),0)</f>
        <v/>
      </c>
      <c r="DC26">
        <f>IF(DC$4=1,IF(INDEX('×入力'!$C$1:$L$700,246+DC$3,DC$2)&lt;&gt;"",1,0),0)</f>
        <v/>
      </c>
      <c r="DD26">
        <f>IF(DD$4=1,IF(INDEX('×入力'!$C$1:$L$700,246+DD$3,DD$2)&lt;&gt;"",1,0),0)</f>
        <v/>
      </c>
      <c r="DE26">
        <f>IF(DE$4=1,IF(INDEX('×入力'!$C$1:$L$700,246+DE$3,DE$2)&lt;&gt;"",1,0),0)</f>
        <v/>
      </c>
      <c r="DF26">
        <f>IF(DF$4=1,IF(INDEX('×入力'!$C$1:$L$700,246+DF$3,DF$2)&lt;&gt;"",1,0),0)</f>
        <v/>
      </c>
      <c r="DG26">
        <f>IF(DG$4=1,IF(INDEX('×入力'!$C$1:$L$700,246+DG$3,DG$2)&lt;&gt;"",1,0),0)</f>
        <v/>
      </c>
      <c r="DH26">
        <f>IF(DH$4=1,IF(INDEX('×入力'!$C$1:$L$700,246+DH$3,DH$2)&lt;&gt;"",1,0),0)</f>
        <v/>
      </c>
      <c r="DI26">
        <f>IF(DI$4=1,IF(INDEX('×入力'!$C$1:$L$700,246+DI$3,DI$2)&lt;&gt;"",1,0),0)</f>
        <v/>
      </c>
      <c r="DJ26">
        <f>IF(DJ$4=1,IF(INDEX('×入力'!$C$1:$L$700,246+DJ$3,DJ$2)&lt;&gt;"",1,0),0)</f>
        <v/>
      </c>
      <c r="DK26">
        <f>IF(DK$4=1,IF(INDEX('×入力'!$C$1:$L$700,246+DK$3,DK$2)&lt;&gt;"",1,0),0)</f>
        <v/>
      </c>
      <c r="DL26">
        <f>IF(DL$4=1,IF(INDEX('×入力'!$C$1:$L$700,246+DL$3,DL$2)&lt;&gt;"",1,0),0)</f>
        <v/>
      </c>
      <c r="DM26">
        <f>IF(DM$4=1,IF(INDEX('×入力'!$C$1:$L$700,246+DM$3,DM$2)&lt;&gt;"",1,0),0)</f>
        <v/>
      </c>
      <c r="DN26">
        <f>IF(DN$4=1,IF(INDEX('×入力'!$C$1:$L$700,246+DN$3,DN$2)&lt;&gt;"",1,0),0)</f>
        <v/>
      </c>
      <c r="DO26">
        <f>IF(DO$4=1,IF(INDEX('×入力'!$C$1:$L$700,246+DO$3,DO$2)&lt;&gt;"",1,0),0)</f>
        <v/>
      </c>
      <c r="DP26">
        <f>IF(DP$4=1,IF(INDEX('×入力'!$C$1:$L$700,246+DP$3,DP$2)&lt;&gt;"",1,0),0)</f>
        <v/>
      </c>
      <c r="DQ26">
        <f>IF(DQ$4=1,IF(INDEX('×入力'!$C$1:$L$700,246+DQ$3,DQ$2)&lt;&gt;"",1,0),0)</f>
        <v/>
      </c>
      <c r="DR26">
        <f>IF(DR$4=1,IF(INDEX('×入力'!$C$1:$L$700,246+DR$3,DR$2)&lt;&gt;"",1,0),0)</f>
        <v/>
      </c>
      <c r="DS26">
        <f>IF(DS$4=1,IF(INDEX('×入力'!$C$1:$L$700,246+DS$3,DS$2)&lt;&gt;"",1,0),0)</f>
        <v/>
      </c>
      <c r="DU26">
        <f>IFERROR(INDEX('計算B'!$C$3:$C$47,MATCH(A26,'計算B'!$B$3:$B$47,0)),0)</f>
        <v/>
      </c>
      <c r="DV26">
        <f>IF(AND(C26=1,DU26=0),1,0)</f>
        <v/>
      </c>
      <c r="DW26">
        <f>SUMPRODUCT(D76:DS76*(1-$D$7:$DS$7))</f>
        <v/>
      </c>
      <c r="DX26">
        <f>SUM(D26:DS26)</f>
        <v/>
      </c>
      <c r="DY26">
        <f>IF(B26="",0,IF(COUNTIF('割り当て'!$C$6:$L$17,B26)=1,SUMPRODUCT(('割り当て'!$C$6:$L$17=B26)*((COLUMN('割り当て'!$C$6:$L$17)-3)*12+ROW('割り当て'!$C$6:$L$17)-5)),0))</f>
        <v/>
      </c>
      <c r="DZ26">
        <f>IFERROR(MATCH('名簿'!E21,{"早い時刻","遅い時刻","早い日","遅い日"},0),0)</f>
        <v/>
      </c>
      <c r="EA26">
        <f>IF('名簿'!F21="必ず空けたい",2,IF('名簿'!F21="出来れば空けたい",1,0))</f>
        <v/>
      </c>
    </row>
    <row r="27">
      <c r="A27" t="n">
        <v>18</v>
      </c>
      <c r="B27">
        <f>'名簿'!G22</f>
        <v/>
      </c>
      <c r="C27">
        <f>IF(AND(B27&lt;&gt;"",OR('名簿'!H22="入力済み",'名簿'!H22="×なし"),DY27=0,COUNTIF('割り当て'!$C$6:$L$17,B27)=0),1,0)</f>
        <v/>
      </c>
      <c r="D27">
        <f>IF(D$4=1,IF(INDEX('×入力'!$C$1:$L$700,261+D$3,D$2)&lt;&gt;"",1,0),0)</f>
        <v/>
      </c>
      <c r="E27">
        <f>IF(E$4=1,IF(INDEX('×入力'!$C$1:$L$700,261+E$3,E$2)&lt;&gt;"",1,0),0)</f>
        <v/>
      </c>
      <c r="F27">
        <f>IF(F$4=1,IF(INDEX('×入力'!$C$1:$L$700,261+F$3,F$2)&lt;&gt;"",1,0),0)</f>
        <v/>
      </c>
      <c r="G27">
        <f>IF(G$4=1,IF(INDEX('×入力'!$C$1:$L$700,261+G$3,G$2)&lt;&gt;"",1,0),0)</f>
        <v/>
      </c>
      <c r="H27">
        <f>IF(H$4=1,IF(INDEX('×入力'!$C$1:$L$700,261+H$3,H$2)&lt;&gt;"",1,0),0)</f>
        <v/>
      </c>
      <c r="I27">
        <f>IF(I$4=1,IF(INDEX('×入力'!$C$1:$L$700,261+I$3,I$2)&lt;&gt;"",1,0),0)</f>
        <v/>
      </c>
      <c r="J27">
        <f>IF(J$4=1,IF(INDEX('×入力'!$C$1:$L$700,261+J$3,J$2)&lt;&gt;"",1,0),0)</f>
        <v/>
      </c>
      <c r="K27">
        <f>IF(K$4=1,IF(INDEX('×入力'!$C$1:$L$700,261+K$3,K$2)&lt;&gt;"",1,0),0)</f>
        <v/>
      </c>
      <c r="L27">
        <f>IF(L$4=1,IF(INDEX('×入力'!$C$1:$L$700,261+L$3,L$2)&lt;&gt;"",1,0),0)</f>
        <v/>
      </c>
      <c r="M27">
        <f>IF(M$4=1,IF(INDEX('×入力'!$C$1:$L$700,261+M$3,M$2)&lt;&gt;"",1,0),0)</f>
        <v/>
      </c>
      <c r="N27">
        <f>IF(N$4=1,IF(INDEX('×入力'!$C$1:$L$700,261+N$3,N$2)&lt;&gt;"",1,0),0)</f>
        <v/>
      </c>
      <c r="O27">
        <f>IF(O$4=1,IF(INDEX('×入力'!$C$1:$L$700,261+O$3,O$2)&lt;&gt;"",1,0),0)</f>
        <v/>
      </c>
      <c r="P27">
        <f>IF(P$4=1,IF(INDEX('×入力'!$C$1:$L$700,261+P$3,P$2)&lt;&gt;"",1,0),0)</f>
        <v/>
      </c>
      <c r="Q27">
        <f>IF(Q$4=1,IF(INDEX('×入力'!$C$1:$L$700,261+Q$3,Q$2)&lt;&gt;"",1,0),0)</f>
        <v/>
      </c>
      <c r="R27">
        <f>IF(R$4=1,IF(INDEX('×入力'!$C$1:$L$700,261+R$3,R$2)&lt;&gt;"",1,0),0)</f>
        <v/>
      </c>
      <c r="S27">
        <f>IF(S$4=1,IF(INDEX('×入力'!$C$1:$L$700,261+S$3,S$2)&lt;&gt;"",1,0),0)</f>
        <v/>
      </c>
      <c r="T27">
        <f>IF(T$4=1,IF(INDEX('×入力'!$C$1:$L$700,261+T$3,T$2)&lt;&gt;"",1,0),0)</f>
        <v/>
      </c>
      <c r="U27">
        <f>IF(U$4=1,IF(INDEX('×入力'!$C$1:$L$700,261+U$3,U$2)&lt;&gt;"",1,0),0)</f>
        <v/>
      </c>
      <c r="V27">
        <f>IF(V$4=1,IF(INDEX('×入力'!$C$1:$L$700,261+V$3,V$2)&lt;&gt;"",1,0),0)</f>
        <v/>
      </c>
      <c r="W27">
        <f>IF(W$4=1,IF(INDEX('×入力'!$C$1:$L$700,261+W$3,W$2)&lt;&gt;"",1,0),0)</f>
        <v/>
      </c>
      <c r="X27">
        <f>IF(X$4=1,IF(INDEX('×入力'!$C$1:$L$700,261+X$3,X$2)&lt;&gt;"",1,0),0)</f>
        <v/>
      </c>
      <c r="Y27">
        <f>IF(Y$4=1,IF(INDEX('×入力'!$C$1:$L$700,261+Y$3,Y$2)&lt;&gt;"",1,0),0)</f>
        <v/>
      </c>
      <c r="Z27">
        <f>IF(Z$4=1,IF(INDEX('×入力'!$C$1:$L$700,261+Z$3,Z$2)&lt;&gt;"",1,0),0)</f>
        <v/>
      </c>
      <c r="AA27">
        <f>IF(AA$4=1,IF(INDEX('×入力'!$C$1:$L$700,261+AA$3,AA$2)&lt;&gt;"",1,0),0)</f>
        <v/>
      </c>
      <c r="AB27">
        <f>IF(AB$4=1,IF(INDEX('×入力'!$C$1:$L$700,261+AB$3,AB$2)&lt;&gt;"",1,0),0)</f>
        <v/>
      </c>
      <c r="AC27">
        <f>IF(AC$4=1,IF(INDEX('×入力'!$C$1:$L$700,261+AC$3,AC$2)&lt;&gt;"",1,0),0)</f>
        <v/>
      </c>
      <c r="AD27">
        <f>IF(AD$4=1,IF(INDEX('×入力'!$C$1:$L$700,261+AD$3,AD$2)&lt;&gt;"",1,0),0)</f>
        <v/>
      </c>
      <c r="AE27">
        <f>IF(AE$4=1,IF(INDEX('×入力'!$C$1:$L$700,261+AE$3,AE$2)&lt;&gt;"",1,0),0)</f>
        <v/>
      </c>
      <c r="AF27">
        <f>IF(AF$4=1,IF(INDEX('×入力'!$C$1:$L$700,261+AF$3,AF$2)&lt;&gt;"",1,0),0)</f>
        <v/>
      </c>
      <c r="AG27">
        <f>IF(AG$4=1,IF(INDEX('×入力'!$C$1:$L$700,261+AG$3,AG$2)&lt;&gt;"",1,0),0)</f>
        <v/>
      </c>
      <c r="AH27">
        <f>IF(AH$4=1,IF(INDEX('×入力'!$C$1:$L$700,261+AH$3,AH$2)&lt;&gt;"",1,0),0)</f>
        <v/>
      </c>
      <c r="AI27">
        <f>IF(AI$4=1,IF(INDEX('×入力'!$C$1:$L$700,261+AI$3,AI$2)&lt;&gt;"",1,0),0)</f>
        <v/>
      </c>
      <c r="AJ27">
        <f>IF(AJ$4=1,IF(INDEX('×入力'!$C$1:$L$700,261+AJ$3,AJ$2)&lt;&gt;"",1,0),0)</f>
        <v/>
      </c>
      <c r="AK27">
        <f>IF(AK$4=1,IF(INDEX('×入力'!$C$1:$L$700,261+AK$3,AK$2)&lt;&gt;"",1,0),0)</f>
        <v/>
      </c>
      <c r="AL27">
        <f>IF(AL$4=1,IF(INDEX('×入力'!$C$1:$L$700,261+AL$3,AL$2)&lt;&gt;"",1,0),0)</f>
        <v/>
      </c>
      <c r="AM27">
        <f>IF(AM$4=1,IF(INDEX('×入力'!$C$1:$L$700,261+AM$3,AM$2)&lt;&gt;"",1,0),0)</f>
        <v/>
      </c>
      <c r="AN27">
        <f>IF(AN$4=1,IF(INDEX('×入力'!$C$1:$L$700,261+AN$3,AN$2)&lt;&gt;"",1,0),0)</f>
        <v/>
      </c>
      <c r="AO27">
        <f>IF(AO$4=1,IF(INDEX('×入力'!$C$1:$L$700,261+AO$3,AO$2)&lt;&gt;"",1,0),0)</f>
        <v/>
      </c>
      <c r="AP27">
        <f>IF(AP$4=1,IF(INDEX('×入力'!$C$1:$L$700,261+AP$3,AP$2)&lt;&gt;"",1,0),0)</f>
        <v/>
      </c>
      <c r="AQ27">
        <f>IF(AQ$4=1,IF(INDEX('×入力'!$C$1:$L$700,261+AQ$3,AQ$2)&lt;&gt;"",1,0),0)</f>
        <v/>
      </c>
      <c r="AR27">
        <f>IF(AR$4=1,IF(INDEX('×入力'!$C$1:$L$700,261+AR$3,AR$2)&lt;&gt;"",1,0),0)</f>
        <v/>
      </c>
      <c r="AS27">
        <f>IF(AS$4=1,IF(INDEX('×入力'!$C$1:$L$700,261+AS$3,AS$2)&lt;&gt;"",1,0),0)</f>
        <v/>
      </c>
      <c r="AT27">
        <f>IF(AT$4=1,IF(INDEX('×入力'!$C$1:$L$700,261+AT$3,AT$2)&lt;&gt;"",1,0),0)</f>
        <v/>
      </c>
      <c r="AU27">
        <f>IF(AU$4=1,IF(INDEX('×入力'!$C$1:$L$700,261+AU$3,AU$2)&lt;&gt;"",1,0),0)</f>
        <v/>
      </c>
      <c r="AV27">
        <f>IF(AV$4=1,IF(INDEX('×入力'!$C$1:$L$700,261+AV$3,AV$2)&lt;&gt;"",1,0),0)</f>
        <v/>
      </c>
      <c r="AW27">
        <f>IF(AW$4=1,IF(INDEX('×入力'!$C$1:$L$700,261+AW$3,AW$2)&lt;&gt;"",1,0),0)</f>
        <v/>
      </c>
      <c r="AX27">
        <f>IF(AX$4=1,IF(INDEX('×入力'!$C$1:$L$700,261+AX$3,AX$2)&lt;&gt;"",1,0),0)</f>
        <v/>
      </c>
      <c r="AY27">
        <f>IF(AY$4=1,IF(INDEX('×入力'!$C$1:$L$700,261+AY$3,AY$2)&lt;&gt;"",1,0),0)</f>
        <v/>
      </c>
      <c r="AZ27">
        <f>IF(AZ$4=1,IF(INDEX('×入力'!$C$1:$L$700,261+AZ$3,AZ$2)&lt;&gt;"",1,0),0)</f>
        <v/>
      </c>
      <c r="BA27">
        <f>IF(BA$4=1,IF(INDEX('×入力'!$C$1:$L$700,261+BA$3,BA$2)&lt;&gt;"",1,0),0)</f>
        <v/>
      </c>
      <c r="BB27">
        <f>IF(BB$4=1,IF(INDEX('×入力'!$C$1:$L$700,261+BB$3,BB$2)&lt;&gt;"",1,0),0)</f>
        <v/>
      </c>
      <c r="BC27">
        <f>IF(BC$4=1,IF(INDEX('×入力'!$C$1:$L$700,261+BC$3,BC$2)&lt;&gt;"",1,0),0)</f>
        <v/>
      </c>
      <c r="BD27">
        <f>IF(BD$4=1,IF(INDEX('×入力'!$C$1:$L$700,261+BD$3,BD$2)&lt;&gt;"",1,0),0)</f>
        <v/>
      </c>
      <c r="BE27">
        <f>IF(BE$4=1,IF(INDEX('×入力'!$C$1:$L$700,261+BE$3,BE$2)&lt;&gt;"",1,0),0)</f>
        <v/>
      </c>
      <c r="BF27">
        <f>IF(BF$4=1,IF(INDEX('×入力'!$C$1:$L$700,261+BF$3,BF$2)&lt;&gt;"",1,0),0)</f>
        <v/>
      </c>
      <c r="BG27">
        <f>IF(BG$4=1,IF(INDEX('×入力'!$C$1:$L$700,261+BG$3,BG$2)&lt;&gt;"",1,0),0)</f>
        <v/>
      </c>
      <c r="BH27">
        <f>IF(BH$4=1,IF(INDEX('×入力'!$C$1:$L$700,261+BH$3,BH$2)&lt;&gt;"",1,0),0)</f>
        <v/>
      </c>
      <c r="BI27">
        <f>IF(BI$4=1,IF(INDEX('×入力'!$C$1:$L$700,261+BI$3,BI$2)&lt;&gt;"",1,0),0)</f>
        <v/>
      </c>
      <c r="BJ27">
        <f>IF(BJ$4=1,IF(INDEX('×入力'!$C$1:$L$700,261+BJ$3,BJ$2)&lt;&gt;"",1,0),0)</f>
        <v/>
      </c>
      <c r="BK27">
        <f>IF(BK$4=1,IF(INDEX('×入力'!$C$1:$L$700,261+BK$3,BK$2)&lt;&gt;"",1,0),0)</f>
        <v/>
      </c>
      <c r="BL27">
        <f>IF(BL$4=1,IF(INDEX('×入力'!$C$1:$L$700,261+BL$3,BL$2)&lt;&gt;"",1,0),0)</f>
        <v/>
      </c>
      <c r="BM27">
        <f>IF(BM$4=1,IF(INDEX('×入力'!$C$1:$L$700,261+BM$3,BM$2)&lt;&gt;"",1,0),0)</f>
        <v/>
      </c>
      <c r="BN27">
        <f>IF(BN$4=1,IF(INDEX('×入力'!$C$1:$L$700,261+BN$3,BN$2)&lt;&gt;"",1,0),0)</f>
        <v/>
      </c>
      <c r="BO27">
        <f>IF(BO$4=1,IF(INDEX('×入力'!$C$1:$L$700,261+BO$3,BO$2)&lt;&gt;"",1,0),0)</f>
        <v/>
      </c>
      <c r="BP27">
        <f>IF(BP$4=1,IF(INDEX('×入力'!$C$1:$L$700,261+BP$3,BP$2)&lt;&gt;"",1,0),0)</f>
        <v/>
      </c>
      <c r="BQ27">
        <f>IF(BQ$4=1,IF(INDEX('×入力'!$C$1:$L$700,261+BQ$3,BQ$2)&lt;&gt;"",1,0),0)</f>
        <v/>
      </c>
      <c r="BR27">
        <f>IF(BR$4=1,IF(INDEX('×入力'!$C$1:$L$700,261+BR$3,BR$2)&lt;&gt;"",1,0),0)</f>
        <v/>
      </c>
      <c r="BS27">
        <f>IF(BS$4=1,IF(INDEX('×入力'!$C$1:$L$700,261+BS$3,BS$2)&lt;&gt;"",1,0),0)</f>
        <v/>
      </c>
      <c r="BT27">
        <f>IF(BT$4=1,IF(INDEX('×入力'!$C$1:$L$700,261+BT$3,BT$2)&lt;&gt;"",1,0),0)</f>
        <v/>
      </c>
      <c r="BU27">
        <f>IF(BU$4=1,IF(INDEX('×入力'!$C$1:$L$700,261+BU$3,BU$2)&lt;&gt;"",1,0),0)</f>
        <v/>
      </c>
      <c r="BV27">
        <f>IF(BV$4=1,IF(INDEX('×入力'!$C$1:$L$700,261+BV$3,BV$2)&lt;&gt;"",1,0),0)</f>
        <v/>
      </c>
      <c r="BW27">
        <f>IF(BW$4=1,IF(INDEX('×入力'!$C$1:$L$700,261+BW$3,BW$2)&lt;&gt;"",1,0),0)</f>
        <v/>
      </c>
      <c r="BX27">
        <f>IF(BX$4=1,IF(INDEX('×入力'!$C$1:$L$700,261+BX$3,BX$2)&lt;&gt;"",1,0),0)</f>
        <v/>
      </c>
      <c r="BY27">
        <f>IF(BY$4=1,IF(INDEX('×入力'!$C$1:$L$700,261+BY$3,BY$2)&lt;&gt;"",1,0),0)</f>
        <v/>
      </c>
      <c r="BZ27">
        <f>IF(BZ$4=1,IF(INDEX('×入力'!$C$1:$L$700,261+BZ$3,BZ$2)&lt;&gt;"",1,0),0)</f>
        <v/>
      </c>
      <c r="CA27">
        <f>IF(CA$4=1,IF(INDEX('×入力'!$C$1:$L$700,261+CA$3,CA$2)&lt;&gt;"",1,0),0)</f>
        <v/>
      </c>
      <c r="CB27">
        <f>IF(CB$4=1,IF(INDEX('×入力'!$C$1:$L$700,261+CB$3,CB$2)&lt;&gt;"",1,0),0)</f>
        <v/>
      </c>
      <c r="CC27">
        <f>IF(CC$4=1,IF(INDEX('×入力'!$C$1:$L$700,261+CC$3,CC$2)&lt;&gt;"",1,0),0)</f>
        <v/>
      </c>
      <c r="CD27">
        <f>IF(CD$4=1,IF(INDEX('×入力'!$C$1:$L$700,261+CD$3,CD$2)&lt;&gt;"",1,0),0)</f>
        <v/>
      </c>
      <c r="CE27">
        <f>IF(CE$4=1,IF(INDEX('×入力'!$C$1:$L$700,261+CE$3,CE$2)&lt;&gt;"",1,0),0)</f>
        <v/>
      </c>
      <c r="CF27">
        <f>IF(CF$4=1,IF(INDEX('×入力'!$C$1:$L$700,261+CF$3,CF$2)&lt;&gt;"",1,0),0)</f>
        <v/>
      </c>
      <c r="CG27">
        <f>IF(CG$4=1,IF(INDEX('×入力'!$C$1:$L$700,261+CG$3,CG$2)&lt;&gt;"",1,0),0)</f>
        <v/>
      </c>
      <c r="CH27">
        <f>IF(CH$4=1,IF(INDEX('×入力'!$C$1:$L$700,261+CH$3,CH$2)&lt;&gt;"",1,0),0)</f>
        <v/>
      </c>
      <c r="CI27">
        <f>IF(CI$4=1,IF(INDEX('×入力'!$C$1:$L$700,261+CI$3,CI$2)&lt;&gt;"",1,0),0)</f>
        <v/>
      </c>
      <c r="CJ27">
        <f>IF(CJ$4=1,IF(INDEX('×入力'!$C$1:$L$700,261+CJ$3,CJ$2)&lt;&gt;"",1,0),0)</f>
        <v/>
      </c>
      <c r="CK27">
        <f>IF(CK$4=1,IF(INDEX('×入力'!$C$1:$L$700,261+CK$3,CK$2)&lt;&gt;"",1,0),0)</f>
        <v/>
      </c>
      <c r="CL27">
        <f>IF(CL$4=1,IF(INDEX('×入力'!$C$1:$L$700,261+CL$3,CL$2)&lt;&gt;"",1,0),0)</f>
        <v/>
      </c>
      <c r="CM27">
        <f>IF(CM$4=1,IF(INDEX('×入力'!$C$1:$L$700,261+CM$3,CM$2)&lt;&gt;"",1,0),0)</f>
        <v/>
      </c>
      <c r="CN27">
        <f>IF(CN$4=1,IF(INDEX('×入力'!$C$1:$L$700,261+CN$3,CN$2)&lt;&gt;"",1,0),0)</f>
        <v/>
      </c>
      <c r="CO27">
        <f>IF(CO$4=1,IF(INDEX('×入力'!$C$1:$L$700,261+CO$3,CO$2)&lt;&gt;"",1,0),0)</f>
        <v/>
      </c>
      <c r="CP27">
        <f>IF(CP$4=1,IF(INDEX('×入力'!$C$1:$L$700,261+CP$3,CP$2)&lt;&gt;"",1,0),0)</f>
        <v/>
      </c>
      <c r="CQ27">
        <f>IF(CQ$4=1,IF(INDEX('×入力'!$C$1:$L$700,261+CQ$3,CQ$2)&lt;&gt;"",1,0),0)</f>
        <v/>
      </c>
      <c r="CR27">
        <f>IF(CR$4=1,IF(INDEX('×入力'!$C$1:$L$700,261+CR$3,CR$2)&lt;&gt;"",1,0),0)</f>
        <v/>
      </c>
      <c r="CS27">
        <f>IF(CS$4=1,IF(INDEX('×入力'!$C$1:$L$700,261+CS$3,CS$2)&lt;&gt;"",1,0),0)</f>
        <v/>
      </c>
      <c r="CT27">
        <f>IF(CT$4=1,IF(INDEX('×入力'!$C$1:$L$700,261+CT$3,CT$2)&lt;&gt;"",1,0),0)</f>
        <v/>
      </c>
      <c r="CU27">
        <f>IF(CU$4=1,IF(INDEX('×入力'!$C$1:$L$700,261+CU$3,CU$2)&lt;&gt;"",1,0),0)</f>
        <v/>
      </c>
      <c r="CV27">
        <f>IF(CV$4=1,IF(INDEX('×入力'!$C$1:$L$700,261+CV$3,CV$2)&lt;&gt;"",1,0),0)</f>
        <v/>
      </c>
      <c r="CW27">
        <f>IF(CW$4=1,IF(INDEX('×入力'!$C$1:$L$700,261+CW$3,CW$2)&lt;&gt;"",1,0),0)</f>
        <v/>
      </c>
      <c r="CX27">
        <f>IF(CX$4=1,IF(INDEX('×入力'!$C$1:$L$700,261+CX$3,CX$2)&lt;&gt;"",1,0),0)</f>
        <v/>
      </c>
      <c r="CY27">
        <f>IF(CY$4=1,IF(INDEX('×入力'!$C$1:$L$700,261+CY$3,CY$2)&lt;&gt;"",1,0),0)</f>
        <v/>
      </c>
      <c r="CZ27">
        <f>IF(CZ$4=1,IF(INDEX('×入力'!$C$1:$L$700,261+CZ$3,CZ$2)&lt;&gt;"",1,0),0)</f>
        <v/>
      </c>
      <c r="DA27">
        <f>IF(DA$4=1,IF(INDEX('×入力'!$C$1:$L$700,261+DA$3,DA$2)&lt;&gt;"",1,0),0)</f>
        <v/>
      </c>
      <c r="DB27">
        <f>IF(DB$4=1,IF(INDEX('×入力'!$C$1:$L$700,261+DB$3,DB$2)&lt;&gt;"",1,0),0)</f>
        <v/>
      </c>
      <c r="DC27">
        <f>IF(DC$4=1,IF(INDEX('×入力'!$C$1:$L$700,261+DC$3,DC$2)&lt;&gt;"",1,0),0)</f>
        <v/>
      </c>
      <c r="DD27">
        <f>IF(DD$4=1,IF(INDEX('×入力'!$C$1:$L$700,261+DD$3,DD$2)&lt;&gt;"",1,0),0)</f>
        <v/>
      </c>
      <c r="DE27">
        <f>IF(DE$4=1,IF(INDEX('×入力'!$C$1:$L$700,261+DE$3,DE$2)&lt;&gt;"",1,0),0)</f>
        <v/>
      </c>
      <c r="DF27">
        <f>IF(DF$4=1,IF(INDEX('×入力'!$C$1:$L$700,261+DF$3,DF$2)&lt;&gt;"",1,0),0)</f>
        <v/>
      </c>
      <c r="DG27">
        <f>IF(DG$4=1,IF(INDEX('×入力'!$C$1:$L$700,261+DG$3,DG$2)&lt;&gt;"",1,0),0)</f>
        <v/>
      </c>
      <c r="DH27">
        <f>IF(DH$4=1,IF(INDEX('×入力'!$C$1:$L$700,261+DH$3,DH$2)&lt;&gt;"",1,0),0)</f>
        <v/>
      </c>
      <c r="DI27">
        <f>IF(DI$4=1,IF(INDEX('×入力'!$C$1:$L$700,261+DI$3,DI$2)&lt;&gt;"",1,0),0)</f>
        <v/>
      </c>
      <c r="DJ27">
        <f>IF(DJ$4=1,IF(INDEX('×入力'!$C$1:$L$700,261+DJ$3,DJ$2)&lt;&gt;"",1,0),0)</f>
        <v/>
      </c>
      <c r="DK27">
        <f>IF(DK$4=1,IF(INDEX('×入力'!$C$1:$L$700,261+DK$3,DK$2)&lt;&gt;"",1,0),0)</f>
        <v/>
      </c>
      <c r="DL27">
        <f>IF(DL$4=1,IF(INDEX('×入力'!$C$1:$L$700,261+DL$3,DL$2)&lt;&gt;"",1,0),0)</f>
        <v/>
      </c>
      <c r="DM27">
        <f>IF(DM$4=1,IF(INDEX('×入力'!$C$1:$L$700,261+DM$3,DM$2)&lt;&gt;"",1,0),0)</f>
        <v/>
      </c>
      <c r="DN27">
        <f>IF(DN$4=1,IF(INDEX('×入力'!$C$1:$L$700,261+DN$3,DN$2)&lt;&gt;"",1,0),0)</f>
        <v/>
      </c>
      <c r="DO27">
        <f>IF(DO$4=1,IF(INDEX('×入力'!$C$1:$L$700,261+DO$3,DO$2)&lt;&gt;"",1,0),0)</f>
        <v/>
      </c>
      <c r="DP27">
        <f>IF(DP$4=1,IF(INDEX('×入力'!$C$1:$L$700,261+DP$3,DP$2)&lt;&gt;"",1,0),0)</f>
        <v/>
      </c>
      <c r="DQ27">
        <f>IF(DQ$4=1,IF(INDEX('×入力'!$C$1:$L$700,261+DQ$3,DQ$2)&lt;&gt;"",1,0),0)</f>
        <v/>
      </c>
      <c r="DR27">
        <f>IF(DR$4=1,IF(INDEX('×入力'!$C$1:$L$700,261+DR$3,DR$2)&lt;&gt;"",1,0),0)</f>
        <v/>
      </c>
      <c r="DS27">
        <f>IF(DS$4=1,IF(INDEX('×入力'!$C$1:$L$700,261+DS$3,DS$2)&lt;&gt;"",1,0),0)</f>
        <v/>
      </c>
      <c r="DU27">
        <f>IFERROR(INDEX('計算B'!$C$3:$C$47,MATCH(A27,'計算B'!$B$3:$B$47,0)),0)</f>
        <v/>
      </c>
      <c r="DV27">
        <f>IF(AND(C27=1,DU27=0),1,0)</f>
        <v/>
      </c>
      <c r="DW27">
        <f>SUMPRODUCT(D77:DS77*(1-$D$7:$DS$7))</f>
        <v/>
      </c>
      <c r="DX27">
        <f>SUM(D27:DS27)</f>
        <v/>
      </c>
      <c r="DY27">
        <f>IF(B27="",0,IF(COUNTIF('割り当て'!$C$6:$L$17,B27)=1,SUMPRODUCT(('割り当て'!$C$6:$L$17=B27)*((COLUMN('割り当て'!$C$6:$L$17)-3)*12+ROW('割り当て'!$C$6:$L$17)-5)),0))</f>
        <v/>
      </c>
      <c r="DZ27">
        <f>IFERROR(MATCH('名簿'!E22,{"早い時刻","遅い時刻","早い日","遅い日"},0),0)</f>
        <v/>
      </c>
      <c r="EA27">
        <f>IF('名簿'!F22="必ず空けたい",2,IF('名簿'!F22="出来れば空けたい",1,0))</f>
        <v/>
      </c>
    </row>
    <row r="28">
      <c r="A28" t="n">
        <v>19</v>
      </c>
      <c r="B28">
        <f>'名簿'!G23</f>
        <v/>
      </c>
      <c r="C28">
        <f>IF(AND(B28&lt;&gt;"",OR('名簿'!H23="入力済み",'名簿'!H23="×なし"),DY28=0,COUNTIF('割り当て'!$C$6:$L$17,B28)=0),1,0)</f>
        <v/>
      </c>
      <c r="D28">
        <f>IF(D$4=1,IF(INDEX('×入力'!$C$1:$L$700,276+D$3,D$2)&lt;&gt;"",1,0),0)</f>
        <v/>
      </c>
      <c r="E28">
        <f>IF(E$4=1,IF(INDEX('×入力'!$C$1:$L$700,276+E$3,E$2)&lt;&gt;"",1,0),0)</f>
        <v/>
      </c>
      <c r="F28">
        <f>IF(F$4=1,IF(INDEX('×入力'!$C$1:$L$700,276+F$3,F$2)&lt;&gt;"",1,0),0)</f>
        <v/>
      </c>
      <c r="G28">
        <f>IF(G$4=1,IF(INDEX('×入力'!$C$1:$L$700,276+G$3,G$2)&lt;&gt;"",1,0),0)</f>
        <v/>
      </c>
      <c r="H28">
        <f>IF(H$4=1,IF(INDEX('×入力'!$C$1:$L$700,276+H$3,H$2)&lt;&gt;"",1,0),0)</f>
        <v/>
      </c>
      <c r="I28">
        <f>IF(I$4=1,IF(INDEX('×入力'!$C$1:$L$700,276+I$3,I$2)&lt;&gt;"",1,0),0)</f>
        <v/>
      </c>
      <c r="J28">
        <f>IF(J$4=1,IF(INDEX('×入力'!$C$1:$L$700,276+J$3,J$2)&lt;&gt;"",1,0),0)</f>
        <v/>
      </c>
      <c r="K28">
        <f>IF(K$4=1,IF(INDEX('×入力'!$C$1:$L$700,276+K$3,K$2)&lt;&gt;"",1,0),0)</f>
        <v/>
      </c>
      <c r="L28">
        <f>IF(L$4=1,IF(INDEX('×入力'!$C$1:$L$700,276+L$3,L$2)&lt;&gt;"",1,0),0)</f>
        <v/>
      </c>
      <c r="M28">
        <f>IF(M$4=1,IF(INDEX('×入力'!$C$1:$L$700,276+M$3,M$2)&lt;&gt;"",1,0),0)</f>
        <v/>
      </c>
      <c r="N28">
        <f>IF(N$4=1,IF(INDEX('×入力'!$C$1:$L$700,276+N$3,N$2)&lt;&gt;"",1,0),0)</f>
        <v/>
      </c>
      <c r="O28">
        <f>IF(O$4=1,IF(INDEX('×入力'!$C$1:$L$700,276+O$3,O$2)&lt;&gt;"",1,0),0)</f>
        <v/>
      </c>
      <c r="P28">
        <f>IF(P$4=1,IF(INDEX('×入力'!$C$1:$L$700,276+P$3,P$2)&lt;&gt;"",1,0),0)</f>
        <v/>
      </c>
      <c r="Q28">
        <f>IF(Q$4=1,IF(INDEX('×入力'!$C$1:$L$700,276+Q$3,Q$2)&lt;&gt;"",1,0),0)</f>
        <v/>
      </c>
      <c r="R28">
        <f>IF(R$4=1,IF(INDEX('×入力'!$C$1:$L$700,276+R$3,R$2)&lt;&gt;"",1,0),0)</f>
        <v/>
      </c>
      <c r="S28">
        <f>IF(S$4=1,IF(INDEX('×入力'!$C$1:$L$700,276+S$3,S$2)&lt;&gt;"",1,0),0)</f>
        <v/>
      </c>
      <c r="T28">
        <f>IF(T$4=1,IF(INDEX('×入力'!$C$1:$L$700,276+T$3,T$2)&lt;&gt;"",1,0),0)</f>
        <v/>
      </c>
      <c r="U28">
        <f>IF(U$4=1,IF(INDEX('×入力'!$C$1:$L$700,276+U$3,U$2)&lt;&gt;"",1,0),0)</f>
        <v/>
      </c>
      <c r="V28">
        <f>IF(V$4=1,IF(INDEX('×入力'!$C$1:$L$700,276+V$3,V$2)&lt;&gt;"",1,0),0)</f>
        <v/>
      </c>
      <c r="W28">
        <f>IF(W$4=1,IF(INDEX('×入力'!$C$1:$L$700,276+W$3,W$2)&lt;&gt;"",1,0),0)</f>
        <v/>
      </c>
      <c r="X28">
        <f>IF(X$4=1,IF(INDEX('×入力'!$C$1:$L$700,276+X$3,X$2)&lt;&gt;"",1,0),0)</f>
        <v/>
      </c>
      <c r="Y28">
        <f>IF(Y$4=1,IF(INDEX('×入力'!$C$1:$L$700,276+Y$3,Y$2)&lt;&gt;"",1,0),0)</f>
        <v/>
      </c>
      <c r="Z28">
        <f>IF(Z$4=1,IF(INDEX('×入力'!$C$1:$L$700,276+Z$3,Z$2)&lt;&gt;"",1,0),0)</f>
        <v/>
      </c>
      <c r="AA28">
        <f>IF(AA$4=1,IF(INDEX('×入力'!$C$1:$L$700,276+AA$3,AA$2)&lt;&gt;"",1,0),0)</f>
        <v/>
      </c>
      <c r="AB28">
        <f>IF(AB$4=1,IF(INDEX('×入力'!$C$1:$L$700,276+AB$3,AB$2)&lt;&gt;"",1,0),0)</f>
        <v/>
      </c>
      <c r="AC28">
        <f>IF(AC$4=1,IF(INDEX('×入力'!$C$1:$L$700,276+AC$3,AC$2)&lt;&gt;"",1,0),0)</f>
        <v/>
      </c>
      <c r="AD28">
        <f>IF(AD$4=1,IF(INDEX('×入力'!$C$1:$L$700,276+AD$3,AD$2)&lt;&gt;"",1,0),0)</f>
        <v/>
      </c>
      <c r="AE28">
        <f>IF(AE$4=1,IF(INDEX('×入力'!$C$1:$L$700,276+AE$3,AE$2)&lt;&gt;"",1,0),0)</f>
        <v/>
      </c>
      <c r="AF28">
        <f>IF(AF$4=1,IF(INDEX('×入力'!$C$1:$L$700,276+AF$3,AF$2)&lt;&gt;"",1,0),0)</f>
        <v/>
      </c>
      <c r="AG28">
        <f>IF(AG$4=1,IF(INDEX('×入力'!$C$1:$L$700,276+AG$3,AG$2)&lt;&gt;"",1,0),0)</f>
        <v/>
      </c>
      <c r="AH28">
        <f>IF(AH$4=1,IF(INDEX('×入力'!$C$1:$L$700,276+AH$3,AH$2)&lt;&gt;"",1,0),0)</f>
        <v/>
      </c>
      <c r="AI28">
        <f>IF(AI$4=1,IF(INDEX('×入力'!$C$1:$L$700,276+AI$3,AI$2)&lt;&gt;"",1,0),0)</f>
        <v/>
      </c>
      <c r="AJ28">
        <f>IF(AJ$4=1,IF(INDEX('×入力'!$C$1:$L$700,276+AJ$3,AJ$2)&lt;&gt;"",1,0),0)</f>
        <v/>
      </c>
      <c r="AK28">
        <f>IF(AK$4=1,IF(INDEX('×入力'!$C$1:$L$700,276+AK$3,AK$2)&lt;&gt;"",1,0),0)</f>
        <v/>
      </c>
      <c r="AL28">
        <f>IF(AL$4=1,IF(INDEX('×入力'!$C$1:$L$700,276+AL$3,AL$2)&lt;&gt;"",1,0),0)</f>
        <v/>
      </c>
      <c r="AM28">
        <f>IF(AM$4=1,IF(INDEX('×入力'!$C$1:$L$700,276+AM$3,AM$2)&lt;&gt;"",1,0),0)</f>
        <v/>
      </c>
      <c r="AN28">
        <f>IF(AN$4=1,IF(INDEX('×入力'!$C$1:$L$700,276+AN$3,AN$2)&lt;&gt;"",1,0),0)</f>
        <v/>
      </c>
      <c r="AO28">
        <f>IF(AO$4=1,IF(INDEX('×入力'!$C$1:$L$700,276+AO$3,AO$2)&lt;&gt;"",1,0),0)</f>
        <v/>
      </c>
      <c r="AP28">
        <f>IF(AP$4=1,IF(INDEX('×入力'!$C$1:$L$700,276+AP$3,AP$2)&lt;&gt;"",1,0),0)</f>
        <v/>
      </c>
      <c r="AQ28">
        <f>IF(AQ$4=1,IF(INDEX('×入力'!$C$1:$L$700,276+AQ$3,AQ$2)&lt;&gt;"",1,0),0)</f>
        <v/>
      </c>
      <c r="AR28">
        <f>IF(AR$4=1,IF(INDEX('×入力'!$C$1:$L$700,276+AR$3,AR$2)&lt;&gt;"",1,0),0)</f>
        <v/>
      </c>
      <c r="AS28">
        <f>IF(AS$4=1,IF(INDEX('×入力'!$C$1:$L$700,276+AS$3,AS$2)&lt;&gt;"",1,0),0)</f>
        <v/>
      </c>
      <c r="AT28">
        <f>IF(AT$4=1,IF(INDEX('×入力'!$C$1:$L$700,276+AT$3,AT$2)&lt;&gt;"",1,0),0)</f>
        <v/>
      </c>
      <c r="AU28">
        <f>IF(AU$4=1,IF(INDEX('×入力'!$C$1:$L$700,276+AU$3,AU$2)&lt;&gt;"",1,0),0)</f>
        <v/>
      </c>
      <c r="AV28">
        <f>IF(AV$4=1,IF(INDEX('×入力'!$C$1:$L$700,276+AV$3,AV$2)&lt;&gt;"",1,0),0)</f>
        <v/>
      </c>
      <c r="AW28">
        <f>IF(AW$4=1,IF(INDEX('×入力'!$C$1:$L$700,276+AW$3,AW$2)&lt;&gt;"",1,0),0)</f>
        <v/>
      </c>
      <c r="AX28">
        <f>IF(AX$4=1,IF(INDEX('×入力'!$C$1:$L$700,276+AX$3,AX$2)&lt;&gt;"",1,0),0)</f>
        <v/>
      </c>
      <c r="AY28">
        <f>IF(AY$4=1,IF(INDEX('×入力'!$C$1:$L$700,276+AY$3,AY$2)&lt;&gt;"",1,0),0)</f>
        <v/>
      </c>
      <c r="AZ28">
        <f>IF(AZ$4=1,IF(INDEX('×入力'!$C$1:$L$700,276+AZ$3,AZ$2)&lt;&gt;"",1,0),0)</f>
        <v/>
      </c>
      <c r="BA28">
        <f>IF(BA$4=1,IF(INDEX('×入力'!$C$1:$L$700,276+BA$3,BA$2)&lt;&gt;"",1,0),0)</f>
        <v/>
      </c>
      <c r="BB28">
        <f>IF(BB$4=1,IF(INDEX('×入力'!$C$1:$L$700,276+BB$3,BB$2)&lt;&gt;"",1,0),0)</f>
        <v/>
      </c>
      <c r="BC28">
        <f>IF(BC$4=1,IF(INDEX('×入力'!$C$1:$L$700,276+BC$3,BC$2)&lt;&gt;"",1,0),0)</f>
        <v/>
      </c>
      <c r="BD28">
        <f>IF(BD$4=1,IF(INDEX('×入力'!$C$1:$L$700,276+BD$3,BD$2)&lt;&gt;"",1,0),0)</f>
        <v/>
      </c>
      <c r="BE28">
        <f>IF(BE$4=1,IF(INDEX('×入力'!$C$1:$L$700,276+BE$3,BE$2)&lt;&gt;"",1,0),0)</f>
        <v/>
      </c>
      <c r="BF28">
        <f>IF(BF$4=1,IF(INDEX('×入力'!$C$1:$L$700,276+BF$3,BF$2)&lt;&gt;"",1,0),0)</f>
        <v/>
      </c>
      <c r="BG28">
        <f>IF(BG$4=1,IF(INDEX('×入力'!$C$1:$L$700,276+BG$3,BG$2)&lt;&gt;"",1,0),0)</f>
        <v/>
      </c>
      <c r="BH28">
        <f>IF(BH$4=1,IF(INDEX('×入力'!$C$1:$L$700,276+BH$3,BH$2)&lt;&gt;"",1,0),0)</f>
        <v/>
      </c>
      <c r="BI28">
        <f>IF(BI$4=1,IF(INDEX('×入力'!$C$1:$L$700,276+BI$3,BI$2)&lt;&gt;"",1,0),0)</f>
        <v/>
      </c>
      <c r="BJ28">
        <f>IF(BJ$4=1,IF(INDEX('×入力'!$C$1:$L$700,276+BJ$3,BJ$2)&lt;&gt;"",1,0),0)</f>
        <v/>
      </c>
      <c r="BK28">
        <f>IF(BK$4=1,IF(INDEX('×入力'!$C$1:$L$700,276+BK$3,BK$2)&lt;&gt;"",1,0),0)</f>
        <v/>
      </c>
      <c r="BL28">
        <f>IF(BL$4=1,IF(INDEX('×入力'!$C$1:$L$700,276+BL$3,BL$2)&lt;&gt;"",1,0),0)</f>
        <v/>
      </c>
      <c r="BM28">
        <f>IF(BM$4=1,IF(INDEX('×入力'!$C$1:$L$700,276+BM$3,BM$2)&lt;&gt;"",1,0),0)</f>
        <v/>
      </c>
      <c r="BN28">
        <f>IF(BN$4=1,IF(INDEX('×入力'!$C$1:$L$700,276+BN$3,BN$2)&lt;&gt;"",1,0),0)</f>
        <v/>
      </c>
      <c r="BO28">
        <f>IF(BO$4=1,IF(INDEX('×入力'!$C$1:$L$700,276+BO$3,BO$2)&lt;&gt;"",1,0),0)</f>
        <v/>
      </c>
      <c r="BP28">
        <f>IF(BP$4=1,IF(INDEX('×入力'!$C$1:$L$700,276+BP$3,BP$2)&lt;&gt;"",1,0),0)</f>
        <v/>
      </c>
      <c r="BQ28">
        <f>IF(BQ$4=1,IF(INDEX('×入力'!$C$1:$L$700,276+BQ$3,BQ$2)&lt;&gt;"",1,0),0)</f>
        <v/>
      </c>
      <c r="BR28">
        <f>IF(BR$4=1,IF(INDEX('×入力'!$C$1:$L$700,276+BR$3,BR$2)&lt;&gt;"",1,0),0)</f>
        <v/>
      </c>
      <c r="BS28">
        <f>IF(BS$4=1,IF(INDEX('×入力'!$C$1:$L$700,276+BS$3,BS$2)&lt;&gt;"",1,0),0)</f>
        <v/>
      </c>
      <c r="BT28">
        <f>IF(BT$4=1,IF(INDEX('×入力'!$C$1:$L$700,276+BT$3,BT$2)&lt;&gt;"",1,0),0)</f>
        <v/>
      </c>
      <c r="BU28">
        <f>IF(BU$4=1,IF(INDEX('×入力'!$C$1:$L$700,276+BU$3,BU$2)&lt;&gt;"",1,0),0)</f>
        <v/>
      </c>
      <c r="BV28">
        <f>IF(BV$4=1,IF(INDEX('×入力'!$C$1:$L$700,276+BV$3,BV$2)&lt;&gt;"",1,0),0)</f>
        <v/>
      </c>
      <c r="BW28">
        <f>IF(BW$4=1,IF(INDEX('×入力'!$C$1:$L$700,276+BW$3,BW$2)&lt;&gt;"",1,0),0)</f>
        <v/>
      </c>
      <c r="BX28">
        <f>IF(BX$4=1,IF(INDEX('×入力'!$C$1:$L$700,276+BX$3,BX$2)&lt;&gt;"",1,0),0)</f>
        <v/>
      </c>
      <c r="BY28">
        <f>IF(BY$4=1,IF(INDEX('×入力'!$C$1:$L$700,276+BY$3,BY$2)&lt;&gt;"",1,0),0)</f>
        <v/>
      </c>
      <c r="BZ28">
        <f>IF(BZ$4=1,IF(INDEX('×入力'!$C$1:$L$700,276+BZ$3,BZ$2)&lt;&gt;"",1,0),0)</f>
        <v/>
      </c>
      <c r="CA28">
        <f>IF(CA$4=1,IF(INDEX('×入力'!$C$1:$L$700,276+CA$3,CA$2)&lt;&gt;"",1,0),0)</f>
        <v/>
      </c>
      <c r="CB28">
        <f>IF(CB$4=1,IF(INDEX('×入力'!$C$1:$L$700,276+CB$3,CB$2)&lt;&gt;"",1,0),0)</f>
        <v/>
      </c>
      <c r="CC28">
        <f>IF(CC$4=1,IF(INDEX('×入力'!$C$1:$L$700,276+CC$3,CC$2)&lt;&gt;"",1,0),0)</f>
        <v/>
      </c>
      <c r="CD28">
        <f>IF(CD$4=1,IF(INDEX('×入力'!$C$1:$L$700,276+CD$3,CD$2)&lt;&gt;"",1,0),0)</f>
        <v/>
      </c>
      <c r="CE28">
        <f>IF(CE$4=1,IF(INDEX('×入力'!$C$1:$L$700,276+CE$3,CE$2)&lt;&gt;"",1,0),0)</f>
        <v/>
      </c>
      <c r="CF28">
        <f>IF(CF$4=1,IF(INDEX('×入力'!$C$1:$L$700,276+CF$3,CF$2)&lt;&gt;"",1,0),0)</f>
        <v/>
      </c>
      <c r="CG28">
        <f>IF(CG$4=1,IF(INDEX('×入力'!$C$1:$L$700,276+CG$3,CG$2)&lt;&gt;"",1,0),0)</f>
        <v/>
      </c>
      <c r="CH28">
        <f>IF(CH$4=1,IF(INDEX('×入力'!$C$1:$L$700,276+CH$3,CH$2)&lt;&gt;"",1,0),0)</f>
        <v/>
      </c>
      <c r="CI28">
        <f>IF(CI$4=1,IF(INDEX('×入力'!$C$1:$L$700,276+CI$3,CI$2)&lt;&gt;"",1,0),0)</f>
        <v/>
      </c>
      <c r="CJ28">
        <f>IF(CJ$4=1,IF(INDEX('×入力'!$C$1:$L$700,276+CJ$3,CJ$2)&lt;&gt;"",1,0),0)</f>
        <v/>
      </c>
      <c r="CK28">
        <f>IF(CK$4=1,IF(INDEX('×入力'!$C$1:$L$700,276+CK$3,CK$2)&lt;&gt;"",1,0),0)</f>
        <v/>
      </c>
      <c r="CL28">
        <f>IF(CL$4=1,IF(INDEX('×入力'!$C$1:$L$700,276+CL$3,CL$2)&lt;&gt;"",1,0),0)</f>
        <v/>
      </c>
      <c r="CM28">
        <f>IF(CM$4=1,IF(INDEX('×入力'!$C$1:$L$700,276+CM$3,CM$2)&lt;&gt;"",1,0),0)</f>
        <v/>
      </c>
      <c r="CN28">
        <f>IF(CN$4=1,IF(INDEX('×入力'!$C$1:$L$700,276+CN$3,CN$2)&lt;&gt;"",1,0),0)</f>
        <v/>
      </c>
      <c r="CO28">
        <f>IF(CO$4=1,IF(INDEX('×入力'!$C$1:$L$700,276+CO$3,CO$2)&lt;&gt;"",1,0),0)</f>
        <v/>
      </c>
      <c r="CP28">
        <f>IF(CP$4=1,IF(INDEX('×入力'!$C$1:$L$700,276+CP$3,CP$2)&lt;&gt;"",1,0),0)</f>
        <v/>
      </c>
      <c r="CQ28">
        <f>IF(CQ$4=1,IF(INDEX('×入力'!$C$1:$L$700,276+CQ$3,CQ$2)&lt;&gt;"",1,0),0)</f>
        <v/>
      </c>
      <c r="CR28">
        <f>IF(CR$4=1,IF(INDEX('×入力'!$C$1:$L$700,276+CR$3,CR$2)&lt;&gt;"",1,0),0)</f>
        <v/>
      </c>
      <c r="CS28">
        <f>IF(CS$4=1,IF(INDEX('×入力'!$C$1:$L$700,276+CS$3,CS$2)&lt;&gt;"",1,0),0)</f>
        <v/>
      </c>
      <c r="CT28">
        <f>IF(CT$4=1,IF(INDEX('×入力'!$C$1:$L$700,276+CT$3,CT$2)&lt;&gt;"",1,0),0)</f>
        <v/>
      </c>
      <c r="CU28">
        <f>IF(CU$4=1,IF(INDEX('×入力'!$C$1:$L$700,276+CU$3,CU$2)&lt;&gt;"",1,0),0)</f>
        <v/>
      </c>
      <c r="CV28">
        <f>IF(CV$4=1,IF(INDEX('×入力'!$C$1:$L$700,276+CV$3,CV$2)&lt;&gt;"",1,0),0)</f>
        <v/>
      </c>
      <c r="CW28">
        <f>IF(CW$4=1,IF(INDEX('×入力'!$C$1:$L$700,276+CW$3,CW$2)&lt;&gt;"",1,0),0)</f>
        <v/>
      </c>
      <c r="CX28">
        <f>IF(CX$4=1,IF(INDEX('×入力'!$C$1:$L$700,276+CX$3,CX$2)&lt;&gt;"",1,0),0)</f>
        <v/>
      </c>
      <c r="CY28">
        <f>IF(CY$4=1,IF(INDEX('×入力'!$C$1:$L$700,276+CY$3,CY$2)&lt;&gt;"",1,0),0)</f>
        <v/>
      </c>
      <c r="CZ28">
        <f>IF(CZ$4=1,IF(INDEX('×入力'!$C$1:$L$700,276+CZ$3,CZ$2)&lt;&gt;"",1,0),0)</f>
        <v/>
      </c>
      <c r="DA28">
        <f>IF(DA$4=1,IF(INDEX('×入力'!$C$1:$L$700,276+DA$3,DA$2)&lt;&gt;"",1,0),0)</f>
        <v/>
      </c>
      <c r="DB28">
        <f>IF(DB$4=1,IF(INDEX('×入力'!$C$1:$L$700,276+DB$3,DB$2)&lt;&gt;"",1,0),0)</f>
        <v/>
      </c>
      <c r="DC28">
        <f>IF(DC$4=1,IF(INDEX('×入力'!$C$1:$L$700,276+DC$3,DC$2)&lt;&gt;"",1,0),0)</f>
        <v/>
      </c>
      <c r="DD28">
        <f>IF(DD$4=1,IF(INDEX('×入力'!$C$1:$L$700,276+DD$3,DD$2)&lt;&gt;"",1,0),0)</f>
        <v/>
      </c>
      <c r="DE28">
        <f>IF(DE$4=1,IF(INDEX('×入力'!$C$1:$L$700,276+DE$3,DE$2)&lt;&gt;"",1,0),0)</f>
        <v/>
      </c>
      <c r="DF28">
        <f>IF(DF$4=1,IF(INDEX('×入力'!$C$1:$L$700,276+DF$3,DF$2)&lt;&gt;"",1,0),0)</f>
        <v/>
      </c>
      <c r="DG28">
        <f>IF(DG$4=1,IF(INDEX('×入力'!$C$1:$L$700,276+DG$3,DG$2)&lt;&gt;"",1,0),0)</f>
        <v/>
      </c>
      <c r="DH28">
        <f>IF(DH$4=1,IF(INDEX('×入力'!$C$1:$L$700,276+DH$3,DH$2)&lt;&gt;"",1,0),0)</f>
        <v/>
      </c>
      <c r="DI28">
        <f>IF(DI$4=1,IF(INDEX('×入力'!$C$1:$L$700,276+DI$3,DI$2)&lt;&gt;"",1,0),0)</f>
        <v/>
      </c>
      <c r="DJ28">
        <f>IF(DJ$4=1,IF(INDEX('×入力'!$C$1:$L$700,276+DJ$3,DJ$2)&lt;&gt;"",1,0),0)</f>
        <v/>
      </c>
      <c r="DK28">
        <f>IF(DK$4=1,IF(INDEX('×入力'!$C$1:$L$700,276+DK$3,DK$2)&lt;&gt;"",1,0),0)</f>
        <v/>
      </c>
      <c r="DL28">
        <f>IF(DL$4=1,IF(INDEX('×入力'!$C$1:$L$700,276+DL$3,DL$2)&lt;&gt;"",1,0),0)</f>
        <v/>
      </c>
      <c r="DM28">
        <f>IF(DM$4=1,IF(INDEX('×入力'!$C$1:$L$700,276+DM$3,DM$2)&lt;&gt;"",1,0),0)</f>
        <v/>
      </c>
      <c r="DN28">
        <f>IF(DN$4=1,IF(INDEX('×入力'!$C$1:$L$700,276+DN$3,DN$2)&lt;&gt;"",1,0),0)</f>
        <v/>
      </c>
      <c r="DO28">
        <f>IF(DO$4=1,IF(INDEX('×入力'!$C$1:$L$700,276+DO$3,DO$2)&lt;&gt;"",1,0),0)</f>
        <v/>
      </c>
      <c r="DP28">
        <f>IF(DP$4=1,IF(INDEX('×入力'!$C$1:$L$700,276+DP$3,DP$2)&lt;&gt;"",1,0),0)</f>
        <v/>
      </c>
      <c r="DQ28">
        <f>IF(DQ$4=1,IF(INDEX('×入力'!$C$1:$L$700,276+DQ$3,DQ$2)&lt;&gt;"",1,0),0)</f>
        <v/>
      </c>
      <c r="DR28">
        <f>IF(DR$4=1,IF(INDEX('×入力'!$C$1:$L$700,276+DR$3,DR$2)&lt;&gt;"",1,0),0)</f>
        <v/>
      </c>
      <c r="DS28">
        <f>IF(DS$4=1,IF(INDEX('×入力'!$C$1:$L$700,276+DS$3,DS$2)&lt;&gt;"",1,0),0)</f>
        <v/>
      </c>
      <c r="DU28">
        <f>IFERROR(INDEX('計算B'!$C$3:$C$47,MATCH(A28,'計算B'!$B$3:$B$47,0)),0)</f>
        <v/>
      </c>
      <c r="DV28">
        <f>IF(AND(C28=1,DU28=0),1,0)</f>
        <v/>
      </c>
      <c r="DW28">
        <f>SUMPRODUCT(D78:DS78*(1-$D$7:$DS$7))</f>
        <v/>
      </c>
      <c r="DX28">
        <f>SUM(D28:DS28)</f>
        <v/>
      </c>
      <c r="DY28">
        <f>IF(B28="",0,IF(COUNTIF('割り当て'!$C$6:$L$17,B28)=1,SUMPRODUCT(('割り当て'!$C$6:$L$17=B28)*((COLUMN('割り当て'!$C$6:$L$17)-3)*12+ROW('割り当て'!$C$6:$L$17)-5)),0))</f>
        <v/>
      </c>
      <c r="DZ28">
        <f>IFERROR(MATCH('名簿'!E23,{"早い時刻","遅い時刻","早い日","遅い日"},0),0)</f>
        <v/>
      </c>
      <c r="EA28">
        <f>IF('名簿'!F23="必ず空けたい",2,IF('名簿'!F23="出来れば空けたい",1,0))</f>
        <v/>
      </c>
    </row>
    <row r="29">
      <c r="A29" t="n">
        <v>20</v>
      </c>
      <c r="B29">
        <f>'名簿'!G24</f>
        <v/>
      </c>
      <c r="C29">
        <f>IF(AND(B29&lt;&gt;"",OR('名簿'!H24="入力済み",'名簿'!H24="×なし"),DY29=0,COUNTIF('割り当て'!$C$6:$L$17,B29)=0),1,0)</f>
        <v/>
      </c>
      <c r="D29">
        <f>IF(D$4=1,IF(INDEX('×入力'!$C$1:$L$700,291+D$3,D$2)&lt;&gt;"",1,0),0)</f>
        <v/>
      </c>
      <c r="E29">
        <f>IF(E$4=1,IF(INDEX('×入力'!$C$1:$L$700,291+E$3,E$2)&lt;&gt;"",1,0),0)</f>
        <v/>
      </c>
      <c r="F29">
        <f>IF(F$4=1,IF(INDEX('×入力'!$C$1:$L$700,291+F$3,F$2)&lt;&gt;"",1,0),0)</f>
        <v/>
      </c>
      <c r="G29">
        <f>IF(G$4=1,IF(INDEX('×入力'!$C$1:$L$700,291+G$3,G$2)&lt;&gt;"",1,0),0)</f>
        <v/>
      </c>
      <c r="H29">
        <f>IF(H$4=1,IF(INDEX('×入力'!$C$1:$L$700,291+H$3,H$2)&lt;&gt;"",1,0),0)</f>
        <v/>
      </c>
      <c r="I29">
        <f>IF(I$4=1,IF(INDEX('×入力'!$C$1:$L$700,291+I$3,I$2)&lt;&gt;"",1,0),0)</f>
        <v/>
      </c>
      <c r="J29">
        <f>IF(J$4=1,IF(INDEX('×入力'!$C$1:$L$700,291+J$3,J$2)&lt;&gt;"",1,0),0)</f>
        <v/>
      </c>
      <c r="K29">
        <f>IF(K$4=1,IF(INDEX('×入力'!$C$1:$L$700,291+K$3,K$2)&lt;&gt;"",1,0),0)</f>
        <v/>
      </c>
      <c r="L29">
        <f>IF(L$4=1,IF(INDEX('×入力'!$C$1:$L$700,291+L$3,L$2)&lt;&gt;"",1,0),0)</f>
        <v/>
      </c>
      <c r="M29">
        <f>IF(M$4=1,IF(INDEX('×入力'!$C$1:$L$700,291+M$3,M$2)&lt;&gt;"",1,0),0)</f>
        <v/>
      </c>
      <c r="N29">
        <f>IF(N$4=1,IF(INDEX('×入力'!$C$1:$L$700,291+N$3,N$2)&lt;&gt;"",1,0),0)</f>
        <v/>
      </c>
      <c r="O29">
        <f>IF(O$4=1,IF(INDEX('×入力'!$C$1:$L$700,291+O$3,O$2)&lt;&gt;"",1,0),0)</f>
        <v/>
      </c>
      <c r="P29">
        <f>IF(P$4=1,IF(INDEX('×入力'!$C$1:$L$700,291+P$3,P$2)&lt;&gt;"",1,0),0)</f>
        <v/>
      </c>
      <c r="Q29">
        <f>IF(Q$4=1,IF(INDEX('×入力'!$C$1:$L$700,291+Q$3,Q$2)&lt;&gt;"",1,0),0)</f>
        <v/>
      </c>
      <c r="R29">
        <f>IF(R$4=1,IF(INDEX('×入力'!$C$1:$L$700,291+R$3,R$2)&lt;&gt;"",1,0),0)</f>
        <v/>
      </c>
      <c r="S29">
        <f>IF(S$4=1,IF(INDEX('×入力'!$C$1:$L$700,291+S$3,S$2)&lt;&gt;"",1,0),0)</f>
        <v/>
      </c>
      <c r="T29">
        <f>IF(T$4=1,IF(INDEX('×入力'!$C$1:$L$700,291+T$3,T$2)&lt;&gt;"",1,0),0)</f>
        <v/>
      </c>
      <c r="U29">
        <f>IF(U$4=1,IF(INDEX('×入力'!$C$1:$L$700,291+U$3,U$2)&lt;&gt;"",1,0),0)</f>
        <v/>
      </c>
      <c r="V29">
        <f>IF(V$4=1,IF(INDEX('×入力'!$C$1:$L$700,291+V$3,V$2)&lt;&gt;"",1,0),0)</f>
        <v/>
      </c>
      <c r="W29">
        <f>IF(W$4=1,IF(INDEX('×入力'!$C$1:$L$700,291+W$3,W$2)&lt;&gt;"",1,0),0)</f>
        <v/>
      </c>
      <c r="X29">
        <f>IF(X$4=1,IF(INDEX('×入力'!$C$1:$L$700,291+X$3,X$2)&lt;&gt;"",1,0),0)</f>
        <v/>
      </c>
      <c r="Y29">
        <f>IF(Y$4=1,IF(INDEX('×入力'!$C$1:$L$700,291+Y$3,Y$2)&lt;&gt;"",1,0),0)</f>
        <v/>
      </c>
      <c r="Z29">
        <f>IF(Z$4=1,IF(INDEX('×入力'!$C$1:$L$700,291+Z$3,Z$2)&lt;&gt;"",1,0),0)</f>
        <v/>
      </c>
      <c r="AA29">
        <f>IF(AA$4=1,IF(INDEX('×入力'!$C$1:$L$700,291+AA$3,AA$2)&lt;&gt;"",1,0),0)</f>
        <v/>
      </c>
      <c r="AB29">
        <f>IF(AB$4=1,IF(INDEX('×入力'!$C$1:$L$700,291+AB$3,AB$2)&lt;&gt;"",1,0),0)</f>
        <v/>
      </c>
      <c r="AC29">
        <f>IF(AC$4=1,IF(INDEX('×入力'!$C$1:$L$700,291+AC$3,AC$2)&lt;&gt;"",1,0),0)</f>
        <v/>
      </c>
      <c r="AD29">
        <f>IF(AD$4=1,IF(INDEX('×入力'!$C$1:$L$700,291+AD$3,AD$2)&lt;&gt;"",1,0),0)</f>
        <v/>
      </c>
      <c r="AE29">
        <f>IF(AE$4=1,IF(INDEX('×入力'!$C$1:$L$700,291+AE$3,AE$2)&lt;&gt;"",1,0),0)</f>
        <v/>
      </c>
      <c r="AF29">
        <f>IF(AF$4=1,IF(INDEX('×入力'!$C$1:$L$700,291+AF$3,AF$2)&lt;&gt;"",1,0),0)</f>
        <v/>
      </c>
      <c r="AG29">
        <f>IF(AG$4=1,IF(INDEX('×入力'!$C$1:$L$700,291+AG$3,AG$2)&lt;&gt;"",1,0),0)</f>
        <v/>
      </c>
      <c r="AH29">
        <f>IF(AH$4=1,IF(INDEX('×入力'!$C$1:$L$700,291+AH$3,AH$2)&lt;&gt;"",1,0),0)</f>
        <v/>
      </c>
      <c r="AI29">
        <f>IF(AI$4=1,IF(INDEX('×入力'!$C$1:$L$700,291+AI$3,AI$2)&lt;&gt;"",1,0),0)</f>
        <v/>
      </c>
      <c r="AJ29">
        <f>IF(AJ$4=1,IF(INDEX('×入力'!$C$1:$L$700,291+AJ$3,AJ$2)&lt;&gt;"",1,0),0)</f>
        <v/>
      </c>
      <c r="AK29">
        <f>IF(AK$4=1,IF(INDEX('×入力'!$C$1:$L$700,291+AK$3,AK$2)&lt;&gt;"",1,0),0)</f>
        <v/>
      </c>
      <c r="AL29">
        <f>IF(AL$4=1,IF(INDEX('×入力'!$C$1:$L$700,291+AL$3,AL$2)&lt;&gt;"",1,0),0)</f>
        <v/>
      </c>
      <c r="AM29">
        <f>IF(AM$4=1,IF(INDEX('×入力'!$C$1:$L$700,291+AM$3,AM$2)&lt;&gt;"",1,0),0)</f>
        <v/>
      </c>
      <c r="AN29">
        <f>IF(AN$4=1,IF(INDEX('×入力'!$C$1:$L$700,291+AN$3,AN$2)&lt;&gt;"",1,0),0)</f>
        <v/>
      </c>
      <c r="AO29">
        <f>IF(AO$4=1,IF(INDEX('×入力'!$C$1:$L$700,291+AO$3,AO$2)&lt;&gt;"",1,0),0)</f>
        <v/>
      </c>
      <c r="AP29">
        <f>IF(AP$4=1,IF(INDEX('×入力'!$C$1:$L$700,291+AP$3,AP$2)&lt;&gt;"",1,0),0)</f>
        <v/>
      </c>
      <c r="AQ29">
        <f>IF(AQ$4=1,IF(INDEX('×入力'!$C$1:$L$700,291+AQ$3,AQ$2)&lt;&gt;"",1,0),0)</f>
        <v/>
      </c>
      <c r="AR29">
        <f>IF(AR$4=1,IF(INDEX('×入力'!$C$1:$L$700,291+AR$3,AR$2)&lt;&gt;"",1,0),0)</f>
        <v/>
      </c>
      <c r="AS29">
        <f>IF(AS$4=1,IF(INDEX('×入力'!$C$1:$L$700,291+AS$3,AS$2)&lt;&gt;"",1,0),0)</f>
        <v/>
      </c>
      <c r="AT29">
        <f>IF(AT$4=1,IF(INDEX('×入力'!$C$1:$L$700,291+AT$3,AT$2)&lt;&gt;"",1,0),0)</f>
        <v/>
      </c>
      <c r="AU29">
        <f>IF(AU$4=1,IF(INDEX('×入力'!$C$1:$L$700,291+AU$3,AU$2)&lt;&gt;"",1,0),0)</f>
        <v/>
      </c>
      <c r="AV29">
        <f>IF(AV$4=1,IF(INDEX('×入力'!$C$1:$L$700,291+AV$3,AV$2)&lt;&gt;"",1,0),0)</f>
        <v/>
      </c>
      <c r="AW29">
        <f>IF(AW$4=1,IF(INDEX('×入力'!$C$1:$L$700,291+AW$3,AW$2)&lt;&gt;"",1,0),0)</f>
        <v/>
      </c>
      <c r="AX29">
        <f>IF(AX$4=1,IF(INDEX('×入力'!$C$1:$L$700,291+AX$3,AX$2)&lt;&gt;"",1,0),0)</f>
        <v/>
      </c>
      <c r="AY29">
        <f>IF(AY$4=1,IF(INDEX('×入力'!$C$1:$L$700,291+AY$3,AY$2)&lt;&gt;"",1,0),0)</f>
        <v/>
      </c>
      <c r="AZ29">
        <f>IF(AZ$4=1,IF(INDEX('×入力'!$C$1:$L$700,291+AZ$3,AZ$2)&lt;&gt;"",1,0),0)</f>
        <v/>
      </c>
      <c r="BA29">
        <f>IF(BA$4=1,IF(INDEX('×入力'!$C$1:$L$700,291+BA$3,BA$2)&lt;&gt;"",1,0),0)</f>
        <v/>
      </c>
      <c r="BB29">
        <f>IF(BB$4=1,IF(INDEX('×入力'!$C$1:$L$700,291+BB$3,BB$2)&lt;&gt;"",1,0),0)</f>
        <v/>
      </c>
      <c r="BC29">
        <f>IF(BC$4=1,IF(INDEX('×入力'!$C$1:$L$700,291+BC$3,BC$2)&lt;&gt;"",1,0),0)</f>
        <v/>
      </c>
      <c r="BD29">
        <f>IF(BD$4=1,IF(INDEX('×入力'!$C$1:$L$700,291+BD$3,BD$2)&lt;&gt;"",1,0),0)</f>
        <v/>
      </c>
      <c r="BE29">
        <f>IF(BE$4=1,IF(INDEX('×入力'!$C$1:$L$700,291+BE$3,BE$2)&lt;&gt;"",1,0),0)</f>
        <v/>
      </c>
      <c r="BF29">
        <f>IF(BF$4=1,IF(INDEX('×入力'!$C$1:$L$700,291+BF$3,BF$2)&lt;&gt;"",1,0),0)</f>
        <v/>
      </c>
      <c r="BG29">
        <f>IF(BG$4=1,IF(INDEX('×入力'!$C$1:$L$700,291+BG$3,BG$2)&lt;&gt;"",1,0),0)</f>
        <v/>
      </c>
      <c r="BH29">
        <f>IF(BH$4=1,IF(INDEX('×入力'!$C$1:$L$700,291+BH$3,BH$2)&lt;&gt;"",1,0),0)</f>
        <v/>
      </c>
      <c r="BI29">
        <f>IF(BI$4=1,IF(INDEX('×入力'!$C$1:$L$700,291+BI$3,BI$2)&lt;&gt;"",1,0),0)</f>
        <v/>
      </c>
      <c r="BJ29">
        <f>IF(BJ$4=1,IF(INDEX('×入力'!$C$1:$L$700,291+BJ$3,BJ$2)&lt;&gt;"",1,0),0)</f>
        <v/>
      </c>
      <c r="BK29">
        <f>IF(BK$4=1,IF(INDEX('×入力'!$C$1:$L$700,291+BK$3,BK$2)&lt;&gt;"",1,0),0)</f>
        <v/>
      </c>
      <c r="BL29">
        <f>IF(BL$4=1,IF(INDEX('×入力'!$C$1:$L$700,291+BL$3,BL$2)&lt;&gt;"",1,0),0)</f>
        <v/>
      </c>
      <c r="BM29">
        <f>IF(BM$4=1,IF(INDEX('×入力'!$C$1:$L$700,291+BM$3,BM$2)&lt;&gt;"",1,0),0)</f>
        <v/>
      </c>
      <c r="BN29">
        <f>IF(BN$4=1,IF(INDEX('×入力'!$C$1:$L$700,291+BN$3,BN$2)&lt;&gt;"",1,0),0)</f>
        <v/>
      </c>
      <c r="BO29">
        <f>IF(BO$4=1,IF(INDEX('×入力'!$C$1:$L$700,291+BO$3,BO$2)&lt;&gt;"",1,0),0)</f>
        <v/>
      </c>
      <c r="BP29">
        <f>IF(BP$4=1,IF(INDEX('×入力'!$C$1:$L$700,291+BP$3,BP$2)&lt;&gt;"",1,0),0)</f>
        <v/>
      </c>
      <c r="BQ29">
        <f>IF(BQ$4=1,IF(INDEX('×入力'!$C$1:$L$700,291+BQ$3,BQ$2)&lt;&gt;"",1,0),0)</f>
        <v/>
      </c>
      <c r="BR29">
        <f>IF(BR$4=1,IF(INDEX('×入力'!$C$1:$L$700,291+BR$3,BR$2)&lt;&gt;"",1,0),0)</f>
        <v/>
      </c>
      <c r="BS29">
        <f>IF(BS$4=1,IF(INDEX('×入力'!$C$1:$L$700,291+BS$3,BS$2)&lt;&gt;"",1,0),0)</f>
        <v/>
      </c>
      <c r="BT29">
        <f>IF(BT$4=1,IF(INDEX('×入力'!$C$1:$L$700,291+BT$3,BT$2)&lt;&gt;"",1,0),0)</f>
        <v/>
      </c>
      <c r="BU29">
        <f>IF(BU$4=1,IF(INDEX('×入力'!$C$1:$L$700,291+BU$3,BU$2)&lt;&gt;"",1,0),0)</f>
        <v/>
      </c>
      <c r="BV29">
        <f>IF(BV$4=1,IF(INDEX('×入力'!$C$1:$L$700,291+BV$3,BV$2)&lt;&gt;"",1,0),0)</f>
        <v/>
      </c>
      <c r="BW29">
        <f>IF(BW$4=1,IF(INDEX('×入力'!$C$1:$L$700,291+BW$3,BW$2)&lt;&gt;"",1,0),0)</f>
        <v/>
      </c>
      <c r="BX29">
        <f>IF(BX$4=1,IF(INDEX('×入力'!$C$1:$L$700,291+BX$3,BX$2)&lt;&gt;"",1,0),0)</f>
        <v/>
      </c>
      <c r="BY29">
        <f>IF(BY$4=1,IF(INDEX('×入力'!$C$1:$L$700,291+BY$3,BY$2)&lt;&gt;"",1,0),0)</f>
        <v/>
      </c>
      <c r="BZ29">
        <f>IF(BZ$4=1,IF(INDEX('×入力'!$C$1:$L$700,291+BZ$3,BZ$2)&lt;&gt;"",1,0),0)</f>
        <v/>
      </c>
      <c r="CA29">
        <f>IF(CA$4=1,IF(INDEX('×入力'!$C$1:$L$700,291+CA$3,CA$2)&lt;&gt;"",1,0),0)</f>
        <v/>
      </c>
      <c r="CB29">
        <f>IF(CB$4=1,IF(INDEX('×入力'!$C$1:$L$700,291+CB$3,CB$2)&lt;&gt;"",1,0),0)</f>
        <v/>
      </c>
      <c r="CC29">
        <f>IF(CC$4=1,IF(INDEX('×入力'!$C$1:$L$700,291+CC$3,CC$2)&lt;&gt;"",1,0),0)</f>
        <v/>
      </c>
      <c r="CD29">
        <f>IF(CD$4=1,IF(INDEX('×入力'!$C$1:$L$700,291+CD$3,CD$2)&lt;&gt;"",1,0),0)</f>
        <v/>
      </c>
      <c r="CE29">
        <f>IF(CE$4=1,IF(INDEX('×入力'!$C$1:$L$700,291+CE$3,CE$2)&lt;&gt;"",1,0),0)</f>
        <v/>
      </c>
      <c r="CF29">
        <f>IF(CF$4=1,IF(INDEX('×入力'!$C$1:$L$700,291+CF$3,CF$2)&lt;&gt;"",1,0),0)</f>
        <v/>
      </c>
      <c r="CG29">
        <f>IF(CG$4=1,IF(INDEX('×入力'!$C$1:$L$700,291+CG$3,CG$2)&lt;&gt;"",1,0),0)</f>
        <v/>
      </c>
      <c r="CH29">
        <f>IF(CH$4=1,IF(INDEX('×入力'!$C$1:$L$700,291+CH$3,CH$2)&lt;&gt;"",1,0),0)</f>
        <v/>
      </c>
      <c r="CI29">
        <f>IF(CI$4=1,IF(INDEX('×入力'!$C$1:$L$700,291+CI$3,CI$2)&lt;&gt;"",1,0),0)</f>
        <v/>
      </c>
      <c r="CJ29">
        <f>IF(CJ$4=1,IF(INDEX('×入力'!$C$1:$L$700,291+CJ$3,CJ$2)&lt;&gt;"",1,0),0)</f>
        <v/>
      </c>
      <c r="CK29">
        <f>IF(CK$4=1,IF(INDEX('×入力'!$C$1:$L$700,291+CK$3,CK$2)&lt;&gt;"",1,0),0)</f>
        <v/>
      </c>
      <c r="CL29">
        <f>IF(CL$4=1,IF(INDEX('×入力'!$C$1:$L$700,291+CL$3,CL$2)&lt;&gt;"",1,0),0)</f>
        <v/>
      </c>
      <c r="CM29">
        <f>IF(CM$4=1,IF(INDEX('×入力'!$C$1:$L$700,291+CM$3,CM$2)&lt;&gt;"",1,0),0)</f>
        <v/>
      </c>
      <c r="CN29">
        <f>IF(CN$4=1,IF(INDEX('×入力'!$C$1:$L$700,291+CN$3,CN$2)&lt;&gt;"",1,0),0)</f>
        <v/>
      </c>
      <c r="CO29">
        <f>IF(CO$4=1,IF(INDEX('×入力'!$C$1:$L$700,291+CO$3,CO$2)&lt;&gt;"",1,0),0)</f>
        <v/>
      </c>
      <c r="CP29">
        <f>IF(CP$4=1,IF(INDEX('×入力'!$C$1:$L$700,291+CP$3,CP$2)&lt;&gt;"",1,0),0)</f>
        <v/>
      </c>
      <c r="CQ29">
        <f>IF(CQ$4=1,IF(INDEX('×入力'!$C$1:$L$700,291+CQ$3,CQ$2)&lt;&gt;"",1,0),0)</f>
        <v/>
      </c>
      <c r="CR29">
        <f>IF(CR$4=1,IF(INDEX('×入力'!$C$1:$L$700,291+CR$3,CR$2)&lt;&gt;"",1,0),0)</f>
        <v/>
      </c>
      <c r="CS29">
        <f>IF(CS$4=1,IF(INDEX('×入力'!$C$1:$L$700,291+CS$3,CS$2)&lt;&gt;"",1,0),0)</f>
        <v/>
      </c>
      <c r="CT29">
        <f>IF(CT$4=1,IF(INDEX('×入力'!$C$1:$L$700,291+CT$3,CT$2)&lt;&gt;"",1,0),0)</f>
        <v/>
      </c>
      <c r="CU29">
        <f>IF(CU$4=1,IF(INDEX('×入力'!$C$1:$L$700,291+CU$3,CU$2)&lt;&gt;"",1,0),0)</f>
        <v/>
      </c>
      <c r="CV29">
        <f>IF(CV$4=1,IF(INDEX('×入力'!$C$1:$L$700,291+CV$3,CV$2)&lt;&gt;"",1,0),0)</f>
        <v/>
      </c>
      <c r="CW29">
        <f>IF(CW$4=1,IF(INDEX('×入力'!$C$1:$L$700,291+CW$3,CW$2)&lt;&gt;"",1,0),0)</f>
        <v/>
      </c>
      <c r="CX29">
        <f>IF(CX$4=1,IF(INDEX('×入力'!$C$1:$L$700,291+CX$3,CX$2)&lt;&gt;"",1,0),0)</f>
        <v/>
      </c>
      <c r="CY29">
        <f>IF(CY$4=1,IF(INDEX('×入力'!$C$1:$L$700,291+CY$3,CY$2)&lt;&gt;"",1,0),0)</f>
        <v/>
      </c>
      <c r="CZ29">
        <f>IF(CZ$4=1,IF(INDEX('×入力'!$C$1:$L$700,291+CZ$3,CZ$2)&lt;&gt;"",1,0),0)</f>
        <v/>
      </c>
      <c r="DA29">
        <f>IF(DA$4=1,IF(INDEX('×入力'!$C$1:$L$700,291+DA$3,DA$2)&lt;&gt;"",1,0),0)</f>
        <v/>
      </c>
      <c r="DB29">
        <f>IF(DB$4=1,IF(INDEX('×入力'!$C$1:$L$700,291+DB$3,DB$2)&lt;&gt;"",1,0),0)</f>
        <v/>
      </c>
      <c r="DC29">
        <f>IF(DC$4=1,IF(INDEX('×入力'!$C$1:$L$700,291+DC$3,DC$2)&lt;&gt;"",1,0),0)</f>
        <v/>
      </c>
      <c r="DD29">
        <f>IF(DD$4=1,IF(INDEX('×入力'!$C$1:$L$700,291+DD$3,DD$2)&lt;&gt;"",1,0),0)</f>
        <v/>
      </c>
      <c r="DE29">
        <f>IF(DE$4=1,IF(INDEX('×入力'!$C$1:$L$700,291+DE$3,DE$2)&lt;&gt;"",1,0),0)</f>
        <v/>
      </c>
      <c r="DF29">
        <f>IF(DF$4=1,IF(INDEX('×入力'!$C$1:$L$700,291+DF$3,DF$2)&lt;&gt;"",1,0),0)</f>
        <v/>
      </c>
      <c r="DG29">
        <f>IF(DG$4=1,IF(INDEX('×入力'!$C$1:$L$700,291+DG$3,DG$2)&lt;&gt;"",1,0),0)</f>
        <v/>
      </c>
      <c r="DH29">
        <f>IF(DH$4=1,IF(INDEX('×入力'!$C$1:$L$700,291+DH$3,DH$2)&lt;&gt;"",1,0),0)</f>
        <v/>
      </c>
      <c r="DI29">
        <f>IF(DI$4=1,IF(INDEX('×入力'!$C$1:$L$700,291+DI$3,DI$2)&lt;&gt;"",1,0),0)</f>
        <v/>
      </c>
      <c r="DJ29">
        <f>IF(DJ$4=1,IF(INDEX('×入力'!$C$1:$L$700,291+DJ$3,DJ$2)&lt;&gt;"",1,0),0)</f>
        <v/>
      </c>
      <c r="DK29">
        <f>IF(DK$4=1,IF(INDEX('×入力'!$C$1:$L$700,291+DK$3,DK$2)&lt;&gt;"",1,0),0)</f>
        <v/>
      </c>
      <c r="DL29">
        <f>IF(DL$4=1,IF(INDEX('×入力'!$C$1:$L$700,291+DL$3,DL$2)&lt;&gt;"",1,0),0)</f>
        <v/>
      </c>
      <c r="DM29">
        <f>IF(DM$4=1,IF(INDEX('×入力'!$C$1:$L$700,291+DM$3,DM$2)&lt;&gt;"",1,0),0)</f>
        <v/>
      </c>
      <c r="DN29">
        <f>IF(DN$4=1,IF(INDEX('×入力'!$C$1:$L$700,291+DN$3,DN$2)&lt;&gt;"",1,0),0)</f>
        <v/>
      </c>
      <c r="DO29">
        <f>IF(DO$4=1,IF(INDEX('×入力'!$C$1:$L$700,291+DO$3,DO$2)&lt;&gt;"",1,0),0)</f>
        <v/>
      </c>
      <c r="DP29">
        <f>IF(DP$4=1,IF(INDEX('×入力'!$C$1:$L$700,291+DP$3,DP$2)&lt;&gt;"",1,0),0)</f>
        <v/>
      </c>
      <c r="DQ29">
        <f>IF(DQ$4=1,IF(INDEX('×入力'!$C$1:$L$700,291+DQ$3,DQ$2)&lt;&gt;"",1,0),0)</f>
        <v/>
      </c>
      <c r="DR29">
        <f>IF(DR$4=1,IF(INDEX('×入力'!$C$1:$L$700,291+DR$3,DR$2)&lt;&gt;"",1,0),0)</f>
        <v/>
      </c>
      <c r="DS29">
        <f>IF(DS$4=1,IF(INDEX('×入力'!$C$1:$L$700,291+DS$3,DS$2)&lt;&gt;"",1,0),0)</f>
        <v/>
      </c>
      <c r="DU29">
        <f>IFERROR(INDEX('計算B'!$C$3:$C$47,MATCH(A29,'計算B'!$B$3:$B$47,0)),0)</f>
        <v/>
      </c>
      <c r="DV29">
        <f>IF(AND(C29=1,DU29=0),1,0)</f>
        <v/>
      </c>
      <c r="DW29">
        <f>SUMPRODUCT(D79:DS79*(1-$D$7:$DS$7))</f>
        <v/>
      </c>
      <c r="DX29">
        <f>SUM(D29:DS29)</f>
        <v/>
      </c>
      <c r="DY29">
        <f>IF(B29="",0,IF(COUNTIF('割り当て'!$C$6:$L$17,B29)=1,SUMPRODUCT(('割り当て'!$C$6:$L$17=B29)*((COLUMN('割り当て'!$C$6:$L$17)-3)*12+ROW('割り当て'!$C$6:$L$17)-5)),0))</f>
        <v/>
      </c>
      <c r="DZ29">
        <f>IFERROR(MATCH('名簿'!E24,{"早い時刻","遅い時刻","早い日","遅い日"},0),0)</f>
        <v/>
      </c>
      <c r="EA29">
        <f>IF('名簿'!F24="必ず空けたい",2,IF('名簿'!F24="出来れば空けたい",1,0))</f>
        <v/>
      </c>
    </row>
    <row r="30">
      <c r="A30" t="n">
        <v>21</v>
      </c>
      <c r="B30">
        <f>'名簿'!G25</f>
        <v/>
      </c>
      <c r="C30">
        <f>IF(AND(B30&lt;&gt;"",OR('名簿'!H25="入力済み",'名簿'!H25="×なし"),DY30=0,COUNTIF('割り当て'!$C$6:$L$17,B30)=0),1,0)</f>
        <v/>
      </c>
      <c r="D30">
        <f>IF(D$4=1,IF(INDEX('×入力'!$C$1:$L$700,306+D$3,D$2)&lt;&gt;"",1,0),0)</f>
        <v/>
      </c>
      <c r="E30">
        <f>IF(E$4=1,IF(INDEX('×入力'!$C$1:$L$700,306+E$3,E$2)&lt;&gt;"",1,0),0)</f>
        <v/>
      </c>
      <c r="F30">
        <f>IF(F$4=1,IF(INDEX('×入力'!$C$1:$L$700,306+F$3,F$2)&lt;&gt;"",1,0),0)</f>
        <v/>
      </c>
      <c r="G30">
        <f>IF(G$4=1,IF(INDEX('×入力'!$C$1:$L$700,306+G$3,G$2)&lt;&gt;"",1,0),0)</f>
        <v/>
      </c>
      <c r="H30">
        <f>IF(H$4=1,IF(INDEX('×入力'!$C$1:$L$700,306+H$3,H$2)&lt;&gt;"",1,0),0)</f>
        <v/>
      </c>
      <c r="I30">
        <f>IF(I$4=1,IF(INDEX('×入力'!$C$1:$L$700,306+I$3,I$2)&lt;&gt;"",1,0),0)</f>
        <v/>
      </c>
      <c r="J30">
        <f>IF(J$4=1,IF(INDEX('×入力'!$C$1:$L$700,306+J$3,J$2)&lt;&gt;"",1,0),0)</f>
        <v/>
      </c>
      <c r="K30">
        <f>IF(K$4=1,IF(INDEX('×入力'!$C$1:$L$700,306+K$3,K$2)&lt;&gt;"",1,0),0)</f>
        <v/>
      </c>
      <c r="L30">
        <f>IF(L$4=1,IF(INDEX('×入力'!$C$1:$L$700,306+L$3,L$2)&lt;&gt;"",1,0),0)</f>
        <v/>
      </c>
      <c r="M30">
        <f>IF(M$4=1,IF(INDEX('×入力'!$C$1:$L$700,306+M$3,M$2)&lt;&gt;"",1,0),0)</f>
        <v/>
      </c>
      <c r="N30">
        <f>IF(N$4=1,IF(INDEX('×入力'!$C$1:$L$700,306+N$3,N$2)&lt;&gt;"",1,0),0)</f>
        <v/>
      </c>
      <c r="O30">
        <f>IF(O$4=1,IF(INDEX('×入力'!$C$1:$L$700,306+O$3,O$2)&lt;&gt;"",1,0),0)</f>
        <v/>
      </c>
      <c r="P30">
        <f>IF(P$4=1,IF(INDEX('×入力'!$C$1:$L$700,306+P$3,P$2)&lt;&gt;"",1,0),0)</f>
        <v/>
      </c>
      <c r="Q30">
        <f>IF(Q$4=1,IF(INDEX('×入力'!$C$1:$L$700,306+Q$3,Q$2)&lt;&gt;"",1,0),0)</f>
        <v/>
      </c>
      <c r="R30">
        <f>IF(R$4=1,IF(INDEX('×入力'!$C$1:$L$700,306+R$3,R$2)&lt;&gt;"",1,0),0)</f>
        <v/>
      </c>
      <c r="S30">
        <f>IF(S$4=1,IF(INDEX('×入力'!$C$1:$L$700,306+S$3,S$2)&lt;&gt;"",1,0),0)</f>
        <v/>
      </c>
      <c r="T30">
        <f>IF(T$4=1,IF(INDEX('×入力'!$C$1:$L$700,306+T$3,T$2)&lt;&gt;"",1,0),0)</f>
        <v/>
      </c>
      <c r="U30">
        <f>IF(U$4=1,IF(INDEX('×入力'!$C$1:$L$700,306+U$3,U$2)&lt;&gt;"",1,0),0)</f>
        <v/>
      </c>
      <c r="V30">
        <f>IF(V$4=1,IF(INDEX('×入力'!$C$1:$L$700,306+V$3,V$2)&lt;&gt;"",1,0),0)</f>
        <v/>
      </c>
      <c r="W30">
        <f>IF(W$4=1,IF(INDEX('×入力'!$C$1:$L$700,306+W$3,W$2)&lt;&gt;"",1,0),0)</f>
        <v/>
      </c>
      <c r="X30">
        <f>IF(X$4=1,IF(INDEX('×入力'!$C$1:$L$700,306+X$3,X$2)&lt;&gt;"",1,0),0)</f>
        <v/>
      </c>
      <c r="Y30">
        <f>IF(Y$4=1,IF(INDEX('×入力'!$C$1:$L$700,306+Y$3,Y$2)&lt;&gt;"",1,0),0)</f>
        <v/>
      </c>
      <c r="Z30">
        <f>IF(Z$4=1,IF(INDEX('×入力'!$C$1:$L$700,306+Z$3,Z$2)&lt;&gt;"",1,0),0)</f>
        <v/>
      </c>
      <c r="AA30">
        <f>IF(AA$4=1,IF(INDEX('×入力'!$C$1:$L$700,306+AA$3,AA$2)&lt;&gt;"",1,0),0)</f>
        <v/>
      </c>
      <c r="AB30">
        <f>IF(AB$4=1,IF(INDEX('×入力'!$C$1:$L$700,306+AB$3,AB$2)&lt;&gt;"",1,0),0)</f>
        <v/>
      </c>
      <c r="AC30">
        <f>IF(AC$4=1,IF(INDEX('×入力'!$C$1:$L$700,306+AC$3,AC$2)&lt;&gt;"",1,0),0)</f>
        <v/>
      </c>
      <c r="AD30">
        <f>IF(AD$4=1,IF(INDEX('×入力'!$C$1:$L$700,306+AD$3,AD$2)&lt;&gt;"",1,0),0)</f>
        <v/>
      </c>
      <c r="AE30">
        <f>IF(AE$4=1,IF(INDEX('×入力'!$C$1:$L$700,306+AE$3,AE$2)&lt;&gt;"",1,0),0)</f>
        <v/>
      </c>
      <c r="AF30">
        <f>IF(AF$4=1,IF(INDEX('×入力'!$C$1:$L$700,306+AF$3,AF$2)&lt;&gt;"",1,0),0)</f>
        <v/>
      </c>
      <c r="AG30">
        <f>IF(AG$4=1,IF(INDEX('×入力'!$C$1:$L$700,306+AG$3,AG$2)&lt;&gt;"",1,0),0)</f>
        <v/>
      </c>
      <c r="AH30">
        <f>IF(AH$4=1,IF(INDEX('×入力'!$C$1:$L$700,306+AH$3,AH$2)&lt;&gt;"",1,0),0)</f>
        <v/>
      </c>
      <c r="AI30">
        <f>IF(AI$4=1,IF(INDEX('×入力'!$C$1:$L$700,306+AI$3,AI$2)&lt;&gt;"",1,0),0)</f>
        <v/>
      </c>
      <c r="AJ30">
        <f>IF(AJ$4=1,IF(INDEX('×入力'!$C$1:$L$700,306+AJ$3,AJ$2)&lt;&gt;"",1,0),0)</f>
        <v/>
      </c>
      <c r="AK30">
        <f>IF(AK$4=1,IF(INDEX('×入力'!$C$1:$L$700,306+AK$3,AK$2)&lt;&gt;"",1,0),0)</f>
        <v/>
      </c>
      <c r="AL30">
        <f>IF(AL$4=1,IF(INDEX('×入力'!$C$1:$L$700,306+AL$3,AL$2)&lt;&gt;"",1,0),0)</f>
        <v/>
      </c>
      <c r="AM30">
        <f>IF(AM$4=1,IF(INDEX('×入力'!$C$1:$L$700,306+AM$3,AM$2)&lt;&gt;"",1,0),0)</f>
        <v/>
      </c>
      <c r="AN30">
        <f>IF(AN$4=1,IF(INDEX('×入力'!$C$1:$L$700,306+AN$3,AN$2)&lt;&gt;"",1,0),0)</f>
        <v/>
      </c>
      <c r="AO30">
        <f>IF(AO$4=1,IF(INDEX('×入力'!$C$1:$L$700,306+AO$3,AO$2)&lt;&gt;"",1,0),0)</f>
        <v/>
      </c>
      <c r="AP30">
        <f>IF(AP$4=1,IF(INDEX('×入力'!$C$1:$L$700,306+AP$3,AP$2)&lt;&gt;"",1,0),0)</f>
        <v/>
      </c>
      <c r="AQ30">
        <f>IF(AQ$4=1,IF(INDEX('×入力'!$C$1:$L$700,306+AQ$3,AQ$2)&lt;&gt;"",1,0),0)</f>
        <v/>
      </c>
      <c r="AR30">
        <f>IF(AR$4=1,IF(INDEX('×入力'!$C$1:$L$700,306+AR$3,AR$2)&lt;&gt;"",1,0),0)</f>
        <v/>
      </c>
      <c r="AS30">
        <f>IF(AS$4=1,IF(INDEX('×入力'!$C$1:$L$700,306+AS$3,AS$2)&lt;&gt;"",1,0),0)</f>
        <v/>
      </c>
      <c r="AT30">
        <f>IF(AT$4=1,IF(INDEX('×入力'!$C$1:$L$700,306+AT$3,AT$2)&lt;&gt;"",1,0),0)</f>
        <v/>
      </c>
      <c r="AU30">
        <f>IF(AU$4=1,IF(INDEX('×入力'!$C$1:$L$700,306+AU$3,AU$2)&lt;&gt;"",1,0),0)</f>
        <v/>
      </c>
      <c r="AV30">
        <f>IF(AV$4=1,IF(INDEX('×入力'!$C$1:$L$700,306+AV$3,AV$2)&lt;&gt;"",1,0),0)</f>
        <v/>
      </c>
      <c r="AW30">
        <f>IF(AW$4=1,IF(INDEX('×入力'!$C$1:$L$700,306+AW$3,AW$2)&lt;&gt;"",1,0),0)</f>
        <v/>
      </c>
      <c r="AX30">
        <f>IF(AX$4=1,IF(INDEX('×入力'!$C$1:$L$700,306+AX$3,AX$2)&lt;&gt;"",1,0),0)</f>
        <v/>
      </c>
      <c r="AY30">
        <f>IF(AY$4=1,IF(INDEX('×入力'!$C$1:$L$700,306+AY$3,AY$2)&lt;&gt;"",1,0),0)</f>
        <v/>
      </c>
      <c r="AZ30">
        <f>IF(AZ$4=1,IF(INDEX('×入力'!$C$1:$L$700,306+AZ$3,AZ$2)&lt;&gt;"",1,0),0)</f>
        <v/>
      </c>
      <c r="BA30">
        <f>IF(BA$4=1,IF(INDEX('×入力'!$C$1:$L$700,306+BA$3,BA$2)&lt;&gt;"",1,0),0)</f>
        <v/>
      </c>
      <c r="BB30">
        <f>IF(BB$4=1,IF(INDEX('×入力'!$C$1:$L$700,306+BB$3,BB$2)&lt;&gt;"",1,0),0)</f>
        <v/>
      </c>
      <c r="BC30">
        <f>IF(BC$4=1,IF(INDEX('×入力'!$C$1:$L$700,306+BC$3,BC$2)&lt;&gt;"",1,0),0)</f>
        <v/>
      </c>
      <c r="BD30">
        <f>IF(BD$4=1,IF(INDEX('×入力'!$C$1:$L$700,306+BD$3,BD$2)&lt;&gt;"",1,0),0)</f>
        <v/>
      </c>
      <c r="BE30">
        <f>IF(BE$4=1,IF(INDEX('×入力'!$C$1:$L$700,306+BE$3,BE$2)&lt;&gt;"",1,0),0)</f>
        <v/>
      </c>
      <c r="BF30">
        <f>IF(BF$4=1,IF(INDEX('×入力'!$C$1:$L$700,306+BF$3,BF$2)&lt;&gt;"",1,0),0)</f>
        <v/>
      </c>
      <c r="BG30">
        <f>IF(BG$4=1,IF(INDEX('×入力'!$C$1:$L$700,306+BG$3,BG$2)&lt;&gt;"",1,0),0)</f>
        <v/>
      </c>
      <c r="BH30">
        <f>IF(BH$4=1,IF(INDEX('×入力'!$C$1:$L$700,306+BH$3,BH$2)&lt;&gt;"",1,0),0)</f>
        <v/>
      </c>
      <c r="BI30">
        <f>IF(BI$4=1,IF(INDEX('×入力'!$C$1:$L$700,306+BI$3,BI$2)&lt;&gt;"",1,0),0)</f>
        <v/>
      </c>
      <c r="BJ30">
        <f>IF(BJ$4=1,IF(INDEX('×入力'!$C$1:$L$700,306+BJ$3,BJ$2)&lt;&gt;"",1,0),0)</f>
        <v/>
      </c>
      <c r="BK30">
        <f>IF(BK$4=1,IF(INDEX('×入力'!$C$1:$L$700,306+BK$3,BK$2)&lt;&gt;"",1,0),0)</f>
        <v/>
      </c>
      <c r="BL30">
        <f>IF(BL$4=1,IF(INDEX('×入力'!$C$1:$L$700,306+BL$3,BL$2)&lt;&gt;"",1,0),0)</f>
        <v/>
      </c>
      <c r="BM30">
        <f>IF(BM$4=1,IF(INDEX('×入力'!$C$1:$L$700,306+BM$3,BM$2)&lt;&gt;"",1,0),0)</f>
        <v/>
      </c>
      <c r="BN30">
        <f>IF(BN$4=1,IF(INDEX('×入力'!$C$1:$L$700,306+BN$3,BN$2)&lt;&gt;"",1,0),0)</f>
        <v/>
      </c>
      <c r="BO30">
        <f>IF(BO$4=1,IF(INDEX('×入力'!$C$1:$L$700,306+BO$3,BO$2)&lt;&gt;"",1,0),0)</f>
        <v/>
      </c>
      <c r="BP30">
        <f>IF(BP$4=1,IF(INDEX('×入力'!$C$1:$L$700,306+BP$3,BP$2)&lt;&gt;"",1,0),0)</f>
        <v/>
      </c>
      <c r="BQ30">
        <f>IF(BQ$4=1,IF(INDEX('×入力'!$C$1:$L$700,306+BQ$3,BQ$2)&lt;&gt;"",1,0),0)</f>
        <v/>
      </c>
      <c r="BR30">
        <f>IF(BR$4=1,IF(INDEX('×入力'!$C$1:$L$700,306+BR$3,BR$2)&lt;&gt;"",1,0),0)</f>
        <v/>
      </c>
      <c r="BS30">
        <f>IF(BS$4=1,IF(INDEX('×入力'!$C$1:$L$700,306+BS$3,BS$2)&lt;&gt;"",1,0),0)</f>
        <v/>
      </c>
      <c r="BT30">
        <f>IF(BT$4=1,IF(INDEX('×入力'!$C$1:$L$700,306+BT$3,BT$2)&lt;&gt;"",1,0),0)</f>
        <v/>
      </c>
      <c r="BU30">
        <f>IF(BU$4=1,IF(INDEX('×入力'!$C$1:$L$700,306+BU$3,BU$2)&lt;&gt;"",1,0),0)</f>
        <v/>
      </c>
      <c r="BV30">
        <f>IF(BV$4=1,IF(INDEX('×入力'!$C$1:$L$700,306+BV$3,BV$2)&lt;&gt;"",1,0),0)</f>
        <v/>
      </c>
      <c r="BW30">
        <f>IF(BW$4=1,IF(INDEX('×入力'!$C$1:$L$700,306+BW$3,BW$2)&lt;&gt;"",1,0),0)</f>
        <v/>
      </c>
      <c r="BX30">
        <f>IF(BX$4=1,IF(INDEX('×入力'!$C$1:$L$700,306+BX$3,BX$2)&lt;&gt;"",1,0),0)</f>
        <v/>
      </c>
      <c r="BY30">
        <f>IF(BY$4=1,IF(INDEX('×入力'!$C$1:$L$700,306+BY$3,BY$2)&lt;&gt;"",1,0),0)</f>
        <v/>
      </c>
      <c r="BZ30">
        <f>IF(BZ$4=1,IF(INDEX('×入力'!$C$1:$L$700,306+BZ$3,BZ$2)&lt;&gt;"",1,0),0)</f>
        <v/>
      </c>
      <c r="CA30">
        <f>IF(CA$4=1,IF(INDEX('×入力'!$C$1:$L$700,306+CA$3,CA$2)&lt;&gt;"",1,0),0)</f>
        <v/>
      </c>
      <c r="CB30">
        <f>IF(CB$4=1,IF(INDEX('×入力'!$C$1:$L$700,306+CB$3,CB$2)&lt;&gt;"",1,0),0)</f>
        <v/>
      </c>
      <c r="CC30">
        <f>IF(CC$4=1,IF(INDEX('×入力'!$C$1:$L$700,306+CC$3,CC$2)&lt;&gt;"",1,0),0)</f>
        <v/>
      </c>
      <c r="CD30">
        <f>IF(CD$4=1,IF(INDEX('×入力'!$C$1:$L$700,306+CD$3,CD$2)&lt;&gt;"",1,0),0)</f>
        <v/>
      </c>
      <c r="CE30">
        <f>IF(CE$4=1,IF(INDEX('×入力'!$C$1:$L$700,306+CE$3,CE$2)&lt;&gt;"",1,0),0)</f>
        <v/>
      </c>
      <c r="CF30">
        <f>IF(CF$4=1,IF(INDEX('×入力'!$C$1:$L$700,306+CF$3,CF$2)&lt;&gt;"",1,0),0)</f>
        <v/>
      </c>
      <c r="CG30">
        <f>IF(CG$4=1,IF(INDEX('×入力'!$C$1:$L$700,306+CG$3,CG$2)&lt;&gt;"",1,0),0)</f>
        <v/>
      </c>
      <c r="CH30">
        <f>IF(CH$4=1,IF(INDEX('×入力'!$C$1:$L$700,306+CH$3,CH$2)&lt;&gt;"",1,0),0)</f>
        <v/>
      </c>
      <c r="CI30">
        <f>IF(CI$4=1,IF(INDEX('×入力'!$C$1:$L$700,306+CI$3,CI$2)&lt;&gt;"",1,0),0)</f>
        <v/>
      </c>
      <c r="CJ30">
        <f>IF(CJ$4=1,IF(INDEX('×入力'!$C$1:$L$700,306+CJ$3,CJ$2)&lt;&gt;"",1,0),0)</f>
        <v/>
      </c>
      <c r="CK30">
        <f>IF(CK$4=1,IF(INDEX('×入力'!$C$1:$L$700,306+CK$3,CK$2)&lt;&gt;"",1,0),0)</f>
        <v/>
      </c>
      <c r="CL30">
        <f>IF(CL$4=1,IF(INDEX('×入力'!$C$1:$L$700,306+CL$3,CL$2)&lt;&gt;"",1,0),0)</f>
        <v/>
      </c>
      <c r="CM30">
        <f>IF(CM$4=1,IF(INDEX('×入力'!$C$1:$L$700,306+CM$3,CM$2)&lt;&gt;"",1,0),0)</f>
        <v/>
      </c>
      <c r="CN30">
        <f>IF(CN$4=1,IF(INDEX('×入力'!$C$1:$L$700,306+CN$3,CN$2)&lt;&gt;"",1,0),0)</f>
        <v/>
      </c>
      <c r="CO30">
        <f>IF(CO$4=1,IF(INDEX('×入力'!$C$1:$L$700,306+CO$3,CO$2)&lt;&gt;"",1,0),0)</f>
        <v/>
      </c>
      <c r="CP30">
        <f>IF(CP$4=1,IF(INDEX('×入力'!$C$1:$L$700,306+CP$3,CP$2)&lt;&gt;"",1,0),0)</f>
        <v/>
      </c>
      <c r="CQ30">
        <f>IF(CQ$4=1,IF(INDEX('×入力'!$C$1:$L$700,306+CQ$3,CQ$2)&lt;&gt;"",1,0),0)</f>
        <v/>
      </c>
      <c r="CR30">
        <f>IF(CR$4=1,IF(INDEX('×入力'!$C$1:$L$700,306+CR$3,CR$2)&lt;&gt;"",1,0),0)</f>
        <v/>
      </c>
      <c r="CS30">
        <f>IF(CS$4=1,IF(INDEX('×入力'!$C$1:$L$700,306+CS$3,CS$2)&lt;&gt;"",1,0),0)</f>
        <v/>
      </c>
      <c r="CT30">
        <f>IF(CT$4=1,IF(INDEX('×入力'!$C$1:$L$700,306+CT$3,CT$2)&lt;&gt;"",1,0),0)</f>
        <v/>
      </c>
      <c r="CU30">
        <f>IF(CU$4=1,IF(INDEX('×入力'!$C$1:$L$700,306+CU$3,CU$2)&lt;&gt;"",1,0),0)</f>
        <v/>
      </c>
      <c r="CV30">
        <f>IF(CV$4=1,IF(INDEX('×入力'!$C$1:$L$700,306+CV$3,CV$2)&lt;&gt;"",1,0),0)</f>
        <v/>
      </c>
      <c r="CW30">
        <f>IF(CW$4=1,IF(INDEX('×入力'!$C$1:$L$700,306+CW$3,CW$2)&lt;&gt;"",1,0),0)</f>
        <v/>
      </c>
      <c r="CX30">
        <f>IF(CX$4=1,IF(INDEX('×入力'!$C$1:$L$700,306+CX$3,CX$2)&lt;&gt;"",1,0),0)</f>
        <v/>
      </c>
      <c r="CY30">
        <f>IF(CY$4=1,IF(INDEX('×入力'!$C$1:$L$700,306+CY$3,CY$2)&lt;&gt;"",1,0),0)</f>
        <v/>
      </c>
      <c r="CZ30">
        <f>IF(CZ$4=1,IF(INDEX('×入力'!$C$1:$L$700,306+CZ$3,CZ$2)&lt;&gt;"",1,0),0)</f>
        <v/>
      </c>
      <c r="DA30">
        <f>IF(DA$4=1,IF(INDEX('×入力'!$C$1:$L$700,306+DA$3,DA$2)&lt;&gt;"",1,0),0)</f>
        <v/>
      </c>
      <c r="DB30">
        <f>IF(DB$4=1,IF(INDEX('×入力'!$C$1:$L$700,306+DB$3,DB$2)&lt;&gt;"",1,0),0)</f>
        <v/>
      </c>
      <c r="DC30">
        <f>IF(DC$4=1,IF(INDEX('×入力'!$C$1:$L$700,306+DC$3,DC$2)&lt;&gt;"",1,0),0)</f>
        <v/>
      </c>
      <c r="DD30">
        <f>IF(DD$4=1,IF(INDEX('×入力'!$C$1:$L$700,306+DD$3,DD$2)&lt;&gt;"",1,0),0)</f>
        <v/>
      </c>
      <c r="DE30">
        <f>IF(DE$4=1,IF(INDEX('×入力'!$C$1:$L$700,306+DE$3,DE$2)&lt;&gt;"",1,0),0)</f>
        <v/>
      </c>
      <c r="DF30">
        <f>IF(DF$4=1,IF(INDEX('×入力'!$C$1:$L$700,306+DF$3,DF$2)&lt;&gt;"",1,0),0)</f>
        <v/>
      </c>
      <c r="DG30">
        <f>IF(DG$4=1,IF(INDEX('×入力'!$C$1:$L$700,306+DG$3,DG$2)&lt;&gt;"",1,0),0)</f>
        <v/>
      </c>
      <c r="DH30">
        <f>IF(DH$4=1,IF(INDEX('×入力'!$C$1:$L$700,306+DH$3,DH$2)&lt;&gt;"",1,0),0)</f>
        <v/>
      </c>
      <c r="DI30">
        <f>IF(DI$4=1,IF(INDEX('×入力'!$C$1:$L$700,306+DI$3,DI$2)&lt;&gt;"",1,0),0)</f>
        <v/>
      </c>
      <c r="DJ30">
        <f>IF(DJ$4=1,IF(INDEX('×入力'!$C$1:$L$700,306+DJ$3,DJ$2)&lt;&gt;"",1,0),0)</f>
        <v/>
      </c>
      <c r="DK30">
        <f>IF(DK$4=1,IF(INDEX('×入力'!$C$1:$L$700,306+DK$3,DK$2)&lt;&gt;"",1,0),0)</f>
        <v/>
      </c>
      <c r="DL30">
        <f>IF(DL$4=1,IF(INDEX('×入力'!$C$1:$L$700,306+DL$3,DL$2)&lt;&gt;"",1,0),0)</f>
        <v/>
      </c>
      <c r="DM30">
        <f>IF(DM$4=1,IF(INDEX('×入力'!$C$1:$L$700,306+DM$3,DM$2)&lt;&gt;"",1,0),0)</f>
        <v/>
      </c>
      <c r="DN30">
        <f>IF(DN$4=1,IF(INDEX('×入力'!$C$1:$L$700,306+DN$3,DN$2)&lt;&gt;"",1,0),0)</f>
        <v/>
      </c>
      <c r="DO30">
        <f>IF(DO$4=1,IF(INDEX('×入力'!$C$1:$L$700,306+DO$3,DO$2)&lt;&gt;"",1,0),0)</f>
        <v/>
      </c>
      <c r="DP30">
        <f>IF(DP$4=1,IF(INDEX('×入力'!$C$1:$L$700,306+DP$3,DP$2)&lt;&gt;"",1,0),0)</f>
        <v/>
      </c>
      <c r="DQ30">
        <f>IF(DQ$4=1,IF(INDEX('×入力'!$C$1:$L$700,306+DQ$3,DQ$2)&lt;&gt;"",1,0),0)</f>
        <v/>
      </c>
      <c r="DR30">
        <f>IF(DR$4=1,IF(INDEX('×入力'!$C$1:$L$700,306+DR$3,DR$2)&lt;&gt;"",1,0),0)</f>
        <v/>
      </c>
      <c r="DS30">
        <f>IF(DS$4=1,IF(INDEX('×入力'!$C$1:$L$700,306+DS$3,DS$2)&lt;&gt;"",1,0),0)</f>
        <v/>
      </c>
      <c r="DU30">
        <f>IFERROR(INDEX('計算B'!$C$3:$C$47,MATCH(A30,'計算B'!$B$3:$B$47,0)),0)</f>
        <v/>
      </c>
      <c r="DV30">
        <f>IF(AND(C30=1,DU30=0),1,0)</f>
        <v/>
      </c>
      <c r="DW30">
        <f>SUMPRODUCT(D80:DS80*(1-$D$7:$DS$7))</f>
        <v/>
      </c>
      <c r="DX30">
        <f>SUM(D30:DS30)</f>
        <v/>
      </c>
      <c r="DY30">
        <f>IF(B30="",0,IF(COUNTIF('割り当て'!$C$6:$L$17,B30)=1,SUMPRODUCT(('割り当て'!$C$6:$L$17=B30)*((COLUMN('割り当て'!$C$6:$L$17)-3)*12+ROW('割り当て'!$C$6:$L$17)-5)),0))</f>
        <v/>
      </c>
      <c r="DZ30">
        <f>IFERROR(MATCH('名簿'!E25,{"早い時刻","遅い時刻","早い日","遅い日"},0),0)</f>
        <v/>
      </c>
      <c r="EA30">
        <f>IF('名簿'!F25="必ず空けたい",2,IF('名簿'!F25="出来れば空けたい",1,0))</f>
        <v/>
      </c>
    </row>
    <row r="31">
      <c r="A31" t="n">
        <v>22</v>
      </c>
      <c r="B31">
        <f>'名簿'!G26</f>
        <v/>
      </c>
      <c r="C31">
        <f>IF(AND(B31&lt;&gt;"",OR('名簿'!H26="入力済み",'名簿'!H26="×なし"),DY31=0,COUNTIF('割り当て'!$C$6:$L$17,B31)=0),1,0)</f>
        <v/>
      </c>
      <c r="D31">
        <f>IF(D$4=1,IF(INDEX('×入力'!$C$1:$L$700,321+D$3,D$2)&lt;&gt;"",1,0),0)</f>
        <v/>
      </c>
      <c r="E31">
        <f>IF(E$4=1,IF(INDEX('×入力'!$C$1:$L$700,321+E$3,E$2)&lt;&gt;"",1,0),0)</f>
        <v/>
      </c>
      <c r="F31">
        <f>IF(F$4=1,IF(INDEX('×入力'!$C$1:$L$700,321+F$3,F$2)&lt;&gt;"",1,0),0)</f>
        <v/>
      </c>
      <c r="G31">
        <f>IF(G$4=1,IF(INDEX('×入力'!$C$1:$L$700,321+G$3,G$2)&lt;&gt;"",1,0),0)</f>
        <v/>
      </c>
      <c r="H31">
        <f>IF(H$4=1,IF(INDEX('×入力'!$C$1:$L$700,321+H$3,H$2)&lt;&gt;"",1,0),0)</f>
        <v/>
      </c>
      <c r="I31">
        <f>IF(I$4=1,IF(INDEX('×入力'!$C$1:$L$700,321+I$3,I$2)&lt;&gt;"",1,0),0)</f>
        <v/>
      </c>
      <c r="J31">
        <f>IF(J$4=1,IF(INDEX('×入力'!$C$1:$L$700,321+J$3,J$2)&lt;&gt;"",1,0),0)</f>
        <v/>
      </c>
      <c r="K31">
        <f>IF(K$4=1,IF(INDEX('×入力'!$C$1:$L$700,321+K$3,K$2)&lt;&gt;"",1,0),0)</f>
        <v/>
      </c>
      <c r="L31">
        <f>IF(L$4=1,IF(INDEX('×入力'!$C$1:$L$700,321+L$3,L$2)&lt;&gt;"",1,0),0)</f>
        <v/>
      </c>
      <c r="M31">
        <f>IF(M$4=1,IF(INDEX('×入力'!$C$1:$L$700,321+M$3,M$2)&lt;&gt;"",1,0),0)</f>
        <v/>
      </c>
      <c r="N31">
        <f>IF(N$4=1,IF(INDEX('×入力'!$C$1:$L$700,321+N$3,N$2)&lt;&gt;"",1,0),0)</f>
        <v/>
      </c>
      <c r="O31">
        <f>IF(O$4=1,IF(INDEX('×入力'!$C$1:$L$700,321+O$3,O$2)&lt;&gt;"",1,0),0)</f>
        <v/>
      </c>
      <c r="P31">
        <f>IF(P$4=1,IF(INDEX('×入力'!$C$1:$L$700,321+P$3,P$2)&lt;&gt;"",1,0),0)</f>
        <v/>
      </c>
      <c r="Q31">
        <f>IF(Q$4=1,IF(INDEX('×入力'!$C$1:$L$700,321+Q$3,Q$2)&lt;&gt;"",1,0),0)</f>
        <v/>
      </c>
      <c r="R31">
        <f>IF(R$4=1,IF(INDEX('×入力'!$C$1:$L$700,321+R$3,R$2)&lt;&gt;"",1,0),0)</f>
        <v/>
      </c>
      <c r="S31">
        <f>IF(S$4=1,IF(INDEX('×入力'!$C$1:$L$700,321+S$3,S$2)&lt;&gt;"",1,0),0)</f>
        <v/>
      </c>
      <c r="T31">
        <f>IF(T$4=1,IF(INDEX('×入力'!$C$1:$L$700,321+T$3,T$2)&lt;&gt;"",1,0),0)</f>
        <v/>
      </c>
      <c r="U31">
        <f>IF(U$4=1,IF(INDEX('×入力'!$C$1:$L$700,321+U$3,U$2)&lt;&gt;"",1,0),0)</f>
        <v/>
      </c>
      <c r="V31">
        <f>IF(V$4=1,IF(INDEX('×入力'!$C$1:$L$700,321+V$3,V$2)&lt;&gt;"",1,0),0)</f>
        <v/>
      </c>
      <c r="W31">
        <f>IF(W$4=1,IF(INDEX('×入力'!$C$1:$L$700,321+W$3,W$2)&lt;&gt;"",1,0),0)</f>
        <v/>
      </c>
      <c r="X31">
        <f>IF(X$4=1,IF(INDEX('×入力'!$C$1:$L$700,321+X$3,X$2)&lt;&gt;"",1,0),0)</f>
        <v/>
      </c>
      <c r="Y31">
        <f>IF(Y$4=1,IF(INDEX('×入力'!$C$1:$L$700,321+Y$3,Y$2)&lt;&gt;"",1,0),0)</f>
        <v/>
      </c>
      <c r="Z31">
        <f>IF(Z$4=1,IF(INDEX('×入力'!$C$1:$L$700,321+Z$3,Z$2)&lt;&gt;"",1,0),0)</f>
        <v/>
      </c>
      <c r="AA31">
        <f>IF(AA$4=1,IF(INDEX('×入力'!$C$1:$L$700,321+AA$3,AA$2)&lt;&gt;"",1,0),0)</f>
        <v/>
      </c>
      <c r="AB31">
        <f>IF(AB$4=1,IF(INDEX('×入力'!$C$1:$L$700,321+AB$3,AB$2)&lt;&gt;"",1,0),0)</f>
        <v/>
      </c>
      <c r="AC31">
        <f>IF(AC$4=1,IF(INDEX('×入力'!$C$1:$L$700,321+AC$3,AC$2)&lt;&gt;"",1,0),0)</f>
        <v/>
      </c>
      <c r="AD31">
        <f>IF(AD$4=1,IF(INDEX('×入力'!$C$1:$L$700,321+AD$3,AD$2)&lt;&gt;"",1,0),0)</f>
        <v/>
      </c>
      <c r="AE31">
        <f>IF(AE$4=1,IF(INDEX('×入力'!$C$1:$L$700,321+AE$3,AE$2)&lt;&gt;"",1,0),0)</f>
        <v/>
      </c>
      <c r="AF31">
        <f>IF(AF$4=1,IF(INDEX('×入力'!$C$1:$L$700,321+AF$3,AF$2)&lt;&gt;"",1,0),0)</f>
        <v/>
      </c>
      <c r="AG31">
        <f>IF(AG$4=1,IF(INDEX('×入力'!$C$1:$L$700,321+AG$3,AG$2)&lt;&gt;"",1,0),0)</f>
        <v/>
      </c>
      <c r="AH31">
        <f>IF(AH$4=1,IF(INDEX('×入力'!$C$1:$L$700,321+AH$3,AH$2)&lt;&gt;"",1,0),0)</f>
        <v/>
      </c>
      <c r="AI31">
        <f>IF(AI$4=1,IF(INDEX('×入力'!$C$1:$L$700,321+AI$3,AI$2)&lt;&gt;"",1,0),0)</f>
        <v/>
      </c>
      <c r="AJ31">
        <f>IF(AJ$4=1,IF(INDEX('×入力'!$C$1:$L$700,321+AJ$3,AJ$2)&lt;&gt;"",1,0),0)</f>
        <v/>
      </c>
      <c r="AK31">
        <f>IF(AK$4=1,IF(INDEX('×入力'!$C$1:$L$700,321+AK$3,AK$2)&lt;&gt;"",1,0),0)</f>
        <v/>
      </c>
      <c r="AL31">
        <f>IF(AL$4=1,IF(INDEX('×入力'!$C$1:$L$700,321+AL$3,AL$2)&lt;&gt;"",1,0),0)</f>
        <v/>
      </c>
      <c r="AM31">
        <f>IF(AM$4=1,IF(INDEX('×入力'!$C$1:$L$700,321+AM$3,AM$2)&lt;&gt;"",1,0),0)</f>
        <v/>
      </c>
      <c r="AN31">
        <f>IF(AN$4=1,IF(INDEX('×入力'!$C$1:$L$700,321+AN$3,AN$2)&lt;&gt;"",1,0),0)</f>
        <v/>
      </c>
      <c r="AO31">
        <f>IF(AO$4=1,IF(INDEX('×入力'!$C$1:$L$700,321+AO$3,AO$2)&lt;&gt;"",1,0),0)</f>
        <v/>
      </c>
      <c r="AP31">
        <f>IF(AP$4=1,IF(INDEX('×入力'!$C$1:$L$700,321+AP$3,AP$2)&lt;&gt;"",1,0),0)</f>
        <v/>
      </c>
      <c r="AQ31">
        <f>IF(AQ$4=1,IF(INDEX('×入力'!$C$1:$L$700,321+AQ$3,AQ$2)&lt;&gt;"",1,0),0)</f>
        <v/>
      </c>
      <c r="AR31">
        <f>IF(AR$4=1,IF(INDEX('×入力'!$C$1:$L$700,321+AR$3,AR$2)&lt;&gt;"",1,0),0)</f>
        <v/>
      </c>
      <c r="AS31">
        <f>IF(AS$4=1,IF(INDEX('×入力'!$C$1:$L$700,321+AS$3,AS$2)&lt;&gt;"",1,0),0)</f>
        <v/>
      </c>
      <c r="AT31">
        <f>IF(AT$4=1,IF(INDEX('×入力'!$C$1:$L$700,321+AT$3,AT$2)&lt;&gt;"",1,0),0)</f>
        <v/>
      </c>
      <c r="AU31">
        <f>IF(AU$4=1,IF(INDEX('×入力'!$C$1:$L$700,321+AU$3,AU$2)&lt;&gt;"",1,0),0)</f>
        <v/>
      </c>
      <c r="AV31">
        <f>IF(AV$4=1,IF(INDEX('×入力'!$C$1:$L$700,321+AV$3,AV$2)&lt;&gt;"",1,0),0)</f>
        <v/>
      </c>
      <c r="AW31">
        <f>IF(AW$4=1,IF(INDEX('×入力'!$C$1:$L$700,321+AW$3,AW$2)&lt;&gt;"",1,0),0)</f>
        <v/>
      </c>
      <c r="AX31">
        <f>IF(AX$4=1,IF(INDEX('×入力'!$C$1:$L$700,321+AX$3,AX$2)&lt;&gt;"",1,0),0)</f>
        <v/>
      </c>
      <c r="AY31">
        <f>IF(AY$4=1,IF(INDEX('×入力'!$C$1:$L$700,321+AY$3,AY$2)&lt;&gt;"",1,0),0)</f>
        <v/>
      </c>
      <c r="AZ31">
        <f>IF(AZ$4=1,IF(INDEX('×入力'!$C$1:$L$700,321+AZ$3,AZ$2)&lt;&gt;"",1,0),0)</f>
        <v/>
      </c>
      <c r="BA31">
        <f>IF(BA$4=1,IF(INDEX('×入力'!$C$1:$L$700,321+BA$3,BA$2)&lt;&gt;"",1,0),0)</f>
        <v/>
      </c>
      <c r="BB31">
        <f>IF(BB$4=1,IF(INDEX('×入力'!$C$1:$L$700,321+BB$3,BB$2)&lt;&gt;"",1,0),0)</f>
        <v/>
      </c>
      <c r="BC31">
        <f>IF(BC$4=1,IF(INDEX('×入力'!$C$1:$L$700,321+BC$3,BC$2)&lt;&gt;"",1,0),0)</f>
        <v/>
      </c>
      <c r="BD31">
        <f>IF(BD$4=1,IF(INDEX('×入力'!$C$1:$L$700,321+BD$3,BD$2)&lt;&gt;"",1,0),0)</f>
        <v/>
      </c>
      <c r="BE31">
        <f>IF(BE$4=1,IF(INDEX('×入力'!$C$1:$L$700,321+BE$3,BE$2)&lt;&gt;"",1,0),0)</f>
        <v/>
      </c>
      <c r="BF31">
        <f>IF(BF$4=1,IF(INDEX('×入力'!$C$1:$L$700,321+BF$3,BF$2)&lt;&gt;"",1,0),0)</f>
        <v/>
      </c>
      <c r="BG31">
        <f>IF(BG$4=1,IF(INDEX('×入力'!$C$1:$L$700,321+BG$3,BG$2)&lt;&gt;"",1,0),0)</f>
        <v/>
      </c>
      <c r="BH31">
        <f>IF(BH$4=1,IF(INDEX('×入力'!$C$1:$L$700,321+BH$3,BH$2)&lt;&gt;"",1,0),0)</f>
        <v/>
      </c>
      <c r="BI31">
        <f>IF(BI$4=1,IF(INDEX('×入力'!$C$1:$L$700,321+BI$3,BI$2)&lt;&gt;"",1,0),0)</f>
        <v/>
      </c>
      <c r="BJ31">
        <f>IF(BJ$4=1,IF(INDEX('×入力'!$C$1:$L$700,321+BJ$3,BJ$2)&lt;&gt;"",1,0),0)</f>
        <v/>
      </c>
      <c r="BK31">
        <f>IF(BK$4=1,IF(INDEX('×入力'!$C$1:$L$700,321+BK$3,BK$2)&lt;&gt;"",1,0),0)</f>
        <v/>
      </c>
      <c r="BL31">
        <f>IF(BL$4=1,IF(INDEX('×入力'!$C$1:$L$700,321+BL$3,BL$2)&lt;&gt;"",1,0),0)</f>
        <v/>
      </c>
      <c r="BM31">
        <f>IF(BM$4=1,IF(INDEX('×入力'!$C$1:$L$700,321+BM$3,BM$2)&lt;&gt;"",1,0),0)</f>
        <v/>
      </c>
      <c r="BN31">
        <f>IF(BN$4=1,IF(INDEX('×入力'!$C$1:$L$700,321+BN$3,BN$2)&lt;&gt;"",1,0),0)</f>
        <v/>
      </c>
      <c r="BO31">
        <f>IF(BO$4=1,IF(INDEX('×入力'!$C$1:$L$700,321+BO$3,BO$2)&lt;&gt;"",1,0),0)</f>
        <v/>
      </c>
      <c r="BP31">
        <f>IF(BP$4=1,IF(INDEX('×入力'!$C$1:$L$700,321+BP$3,BP$2)&lt;&gt;"",1,0),0)</f>
        <v/>
      </c>
      <c r="BQ31">
        <f>IF(BQ$4=1,IF(INDEX('×入力'!$C$1:$L$700,321+BQ$3,BQ$2)&lt;&gt;"",1,0),0)</f>
        <v/>
      </c>
      <c r="BR31">
        <f>IF(BR$4=1,IF(INDEX('×入力'!$C$1:$L$700,321+BR$3,BR$2)&lt;&gt;"",1,0),0)</f>
        <v/>
      </c>
      <c r="BS31">
        <f>IF(BS$4=1,IF(INDEX('×入力'!$C$1:$L$700,321+BS$3,BS$2)&lt;&gt;"",1,0),0)</f>
        <v/>
      </c>
      <c r="BT31">
        <f>IF(BT$4=1,IF(INDEX('×入力'!$C$1:$L$700,321+BT$3,BT$2)&lt;&gt;"",1,0),0)</f>
        <v/>
      </c>
      <c r="BU31">
        <f>IF(BU$4=1,IF(INDEX('×入力'!$C$1:$L$700,321+BU$3,BU$2)&lt;&gt;"",1,0),0)</f>
        <v/>
      </c>
      <c r="BV31">
        <f>IF(BV$4=1,IF(INDEX('×入力'!$C$1:$L$700,321+BV$3,BV$2)&lt;&gt;"",1,0),0)</f>
        <v/>
      </c>
      <c r="BW31">
        <f>IF(BW$4=1,IF(INDEX('×入力'!$C$1:$L$700,321+BW$3,BW$2)&lt;&gt;"",1,0),0)</f>
        <v/>
      </c>
      <c r="BX31">
        <f>IF(BX$4=1,IF(INDEX('×入力'!$C$1:$L$700,321+BX$3,BX$2)&lt;&gt;"",1,0),0)</f>
        <v/>
      </c>
      <c r="BY31">
        <f>IF(BY$4=1,IF(INDEX('×入力'!$C$1:$L$700,321+BY$3,BY$2)&lt;&gt;"",1,0),0)</f>
        <v/>
      </c>
      <c r="BZ31">
        <f>IF(BZ$4=1,IF(INDEX('×入力'!$C$1:$L$700,321+BZ$3,BZ$2)&lt;&gt;"",1,0),0)</f>
        <v/>
      </c>
      <c r="CA31">
        <f>IF(CA$4=1,IF(INDEX('×入力'!$C$1:$L$700,321+CA$3,CA$2)&lt;&gt;"",1,0),0)</f>
        <v/>
      </c>
      <c r="CB31">
        <f>IF(CB$4=1,IF(INDEX('×入力'!$C$1:$L$700,321+CB$3,CB$2)&lt;&gt;"",1,0),0)</f>
        <v/>
      </c>
      <c r="CC31">
        <f>IF(CC$4=1,IF(INDEX('×入力'!$C$1:$L$700,321+CC$3,CC$2)&lt;&gt;"",1,0),0)</f>
        <v/>
      </c>
      <c r="CD31">
        <f>IF(CD$4=1,IF(INDEX('×入力'!$C$1:$L$700,321+CD$3,CD$2)&lt;&gt;"",1,0),0)</f>
        <v/>
      </c>
      <c r="CE31">
        <f>IF(CE$4=1,IF(INDEX('×入力'!$C$1:$L$700,321+CE$3,CE$2)&lt;&gt;"",1,0),0)</f>
        <v/>
      </c>
      <c r="CF31">
        <f>IF(CF$4=1,IF(INDEX('×入力'!$C$1:$L$700,321+CF$3,CF$2)&lt;&gt;"",1,0),0)</f>
        <v/>
      </c>
      <c r="CG31">
        <f>IF(CG$4=1,IF(INDEX('×入力'!$C$1:$L$700,321+CG$3,CG$2)&lt;&gt;"",1,0),0)</f>
        <v/>
      </c>
      <c r="CH31">
        <f>IF(CH$4=1,IF(INDEX('×入力'!$C$1:$L$700,321+CH$3,CH$2)&lt;&gt;"",1,0),0)</f>
        <v/>
      </c>
      <c r="CI31">
        <f>IF(CI$4=1,IF(INDEX('×入力'!$C$1:$L$700,321+CI$3,CI$2)&lt;&gt;"",1,0),0)</f>
        <v/>
      </c>
      <c r="CJ31">
        <f>IF(CJ$4=1,IF(INDEX('×入力'!$C$1:$L$700,321+CJ$3,CJ$2)&lt;&gt;"",1,0),0)</f>
        <v/>
      </c>
      <c r="CK31">
        <f>IF(CK$4=1,IF(INDEX('×入力'!$C$1:$L$700,321+CK$3,CK$2)&lt;&gt;"",1,0),0)</f>
        <v/>
      </c>
      <c r="CL31">
        <f>IF(CL$4=1,IF(INDEX('×入力'!$C$1:$L$700,321+CL$3,CL$2)&lt;&gt;"",1,0),0)</f>
        <v/>
      </c>
      <c r="CM31">
        <f>IF(CM$4=1,IF(INDEX('×入力'!$C$1:$L$700,321+CM$3,CM$2)&lt;&gt;"",1,0),0)</f>
        <v/>
      </c>
      <c r="CN31">
        <f>IF(CN$4=1,IF(INDEX('×入力'!$C$1:$L$700,321+CN$3,CN$2)&lt;&gt;"",1,0),0)</f>
        <v/>
      </c>
      <c r="CO31">
        <f>IF(CO$4=1,IF(INDEX('×入力'!$C$1:$L$700,321+CO$3,CO$2)&lt;&gt;"",1,0),0)</f>
        <v/>
      </c>
      <c r="CP31">
        <f>IF(CP$4=1,IF(INDEX('×入力'!$C$1:$L$700,321+CP$3,CP$2)&lt;&gt;"",1,0),0)</f>
        <v/>
      </c>
      <c r="CQ31">
        <f>IF(CQ$4=1,IF(INDEX('×入力'!$C$1:$L$700,321+CQ$3,CQ$2)&lt;&gt;"",1,0),0)</f>
        <v/>
      </c>
      <c r="CR31">
        <f>IF(CR$4=1,IF(INDEX('×入力'!$C$1:$L$700,321+CR$3,CR$2)&lt;&gt;"",1,0),0)</f>
        <v/>
      </c>
      <c r="CS31">
        <f>IF(CS$4=1,IF(INDEX('×入力'!$C$1:$L$700,321+CS$3,CS$2)&lt;&gt;"",1,0),0)</f>
        <v/>
      </c>
      <c r="CT31">
        <f>IF(CT$4=1,IF(INDEX('×入力'!$C$1:$L$700,321+CT$3,CT$2)&lt;&gt;"",1,0),0)</f>
        <v/>
      </c>
      <c r="CU31">
        <f>IF(CU$4=1,IF(INDEX('×入力'!$C$1:$L$700,321+CU$3,CU$2)&lt;&gt;"",1,0),0)</f>
        <v/>
      </c>
      <c r="CV31">
        <f>IF(CV$4=1,IF(INDEX('×入力'!$C$1:$L$700,321+CV$3,CV$2)&lt;&gt;"",1,0),0)</f>
        <v/>
      </c>
      <c r="CW31">
        <f>IF(CW$4=1,IF(INDEX('×入力'!$C$1:$L$700,321+CW$3,CW$2)&lt;&gt;"",1,0),0)</f>
        <v/>
      </c>
      <c r="CX31">
        <f>IF(CX$4=1,IF(INDEX('×入力'!$C$1:$L$700,321+CX$3,CX$2)&lt;&gt;"",1,0),0)</f>
        <v/>
      </c>
      <c r="CY31">
        <f>IF(CY$4=1,IF(INDEX('×入力'!$C$1:$L$700,321+CY$3,CY$2)&lt;&gt;"",1,0),0)</f>
        <v/>
      </c>
      <c r="CZ31">
        <f>IF(CZ$4=1,IF(INDEX('×入力'!$C$1:$L$700,321+CZ$3,CZ$2)&lt;&gt;"",1,0),0)</f>
        <v/>
      </c>
      <c r="DA31">
        <f>IF(DA$4=1,IF(INDEX('×入力'!$C$1:$L$700,321+DA$3,DA$2)&lt;&gt;"",1,0),0)</f>
        <v/>
      </c>
      <c r="DB31">
        <f>IF(DB$4=1,IF(INDEX('×入力'!$C$1:$L$700,321+DB$3,DB$2)&lt;&gt;"",1,0),0)</f>
        <v/>
      </c>
      <c r="DC31">
        <f>IF(DC$4=1,IF(INDEX('×入力'!$C$1:$L$700,321+DC$3,DC$2)&lt;&gt;"",1,0),0)</f>
        <v/>
      </c>
      <c r="DD31">
        <f>IF(DD$4=1,IF(INDEX('×入力'!$C$1:$L$700,321+DD$3,DD$2)&lt;&gt;"",1,0),0)</f>
        <v/>
      </c>
      <c r="DE31">
        <f>IF(DE$4=1,IF(INDEX('×入力'!$C$1:$L$700,321+DE$3,DE$2)&lt;&gt;"",1,0),0)</f>
        <v/>
      </c>
      <c r="DF31">
        <f>IF(DF$4=1,IF(INDEX('×入力'!$C$1:$L$700,321+DF$3,DF$2)&lt;&gt;"",1,0),0)</f>
        <v/>
      </c>
      <c r="DG31">
        <f>IF(DG$4=1,IF(INDEX('×入力'!$C$1:$L$700,321+DG$3,DG$2)&lt;&gt;"",1,0),0)</f>
        <v/>
      </c>
      <c r="DH31">
        <f>IF(DH$4=1,IF(INDEX('×入力'!$C$1:$L$700,321+DH$3,DH$2)&lt;&gt;"",1,0),0)</f>
        <v/>
      </c>
      <c r="DI31">
        <f>IF(DI$4=1,IF(INDEX('×入力'!$C$1:$L$700,321+DI$3,DI$2)&lt;&gt;"",1,0),0)</f>
        <v/>
      </c>
      <c r="DJ31">
        <f>IF(DJ$4=1,IF(INDEX('×入力'!$C$1:$L$700,321+DJ$3,DJ$2)&lt;&gt;"",1,0),0)</f>
        <v/>
      </c>
      <c r="DK31">
        <f>IF(DK$4=1,IF(INDEX('×入力'!$C$1:$L$700,321+DK$3,DK$2)&lt;&gt;"",1,0),0)</f>
        <v/>
      </c>
      <c r="DL31">
        <f>IF(DL$4=1,IF(INDEX('×入力'!$C$1:$L$700,321+DL$3,DL$2)&lt;&gt;"",1,0),0)</f>
        <v/>
      </c>
      <c r="DM31">
        <f>IF(DM$4=1,IF(INDEX('×入力'!$C$1:$L$700,321+DM$3,DM$2)&lt;&gt;"",1,0),0)</f>
        <v/>
      </c>
      <c r="DN31">
        <f>IF(DN$4=1,IF(INDEX('×入力'!$C$1:$L$700,321+DN$3,DN$2)&lt;&gt;"",1,0),0)</f>
        <v/>
      </c>
      <c r="DO31">
        <f>IF(DO$4=1,IF(INDEX('×入力'!$C$1:$L$700,321+DO$3,DO$2)&lt;&gt;"",1,0),0)</f>
        <v/>
      </c>
      <c r="DP31">
        <f>IF(DP$4=1,IF(INDEX('×入力'!$C$1:$L$700,321+DP$3,DP$2)&lt;&gt;"",1,0),0)</f>
        <v/>
      </c>
      <c r="DQ31">
        <f>IF(DQ$4=1,IF(INDEX('×入力'!$C$1:$L$700,321+DQ$3,DQ$2)&lt;&gt;"",1,0),0)</f>
        <v/>
      </c>
      <c r="DR31">
        <f>IF(DR$4=1,IF(INDEX('×入力'!$C$1:$L$700,321+DR$3,DR$2)&lt;&gt;"",1,0),0)</f>
        <v/>
      </c>
      <c r="DS31">
        <f>IF(DS$4=1,IF(INDEX('×入力'!$C$1:$L$700,321+DS$3,DS$2)&lt;&gt;"",1,0),0)</f>
        <v/>
      </c>
      <c r="DU31">
        <f>IFERROR(INDEX('計算B'!$C$3:$C$47,MATCH(A31,'計算B'!$B$3:$B$47,0)),0)</f>
        <v/>
      </c>
      <c r="DV31">
        <f>IF(AND(C31=1,DU31=0),1,0)</f>
        <v/>
      </c>
      <c r="DW31">
        <f>SUMPRODUCT(D81:DS81*(1-$D$7:$DS$7))</f>
        <v/>
      </c>
      <c r="DX31">
        <f>SUM(D31:DS31)</f>
        <v/>
      </c>
      <c r="DY31">
        <f>IF(B31="",0,IF(COUNTIF('割り当て'!$C$6:$L$17,B31)=1,SUMPRODUCT(('割り当て'!$C$6:$L$17=B31)*((COLUMN('割り当て'!$C$6:$L$17)-3)*12+ROW('割り当て'!$C$6:$L$17)-5)),0))</f>
        <v/>
      </c>
      <c r="DZ31">
        <f>IFERROR(MATCH('名簿'!E26,{"早い時刻","遅い時刻","早い日","遅い日"},0),0)</f>
        <v/>
      </c>
      <c r="EA31">
        <f>IF('名簿'!F26="必ず空けたい",2,IF('名簿'!F26="出来れば空けたい",1,0))</f>
        <v/>
      </c>
    </row>
    <row r="32">
      <c r="A32" t="n">
        <v>23</v>
      </c>
      <c r="B32">
        <f>'名簿'!G27</f>
        <v/>
      </c>
      <c r="C32">
        <f>IF(AND(B32&lt;&gt;"",OR('名簿'!H27="入力済み",'名簿'!H27="×なし"),DY32=0,COUNTIF('割り当て'!$C$6:$L$17,B32)=0),1,0)</f>
        <v/>
      </c>
      <c r="D32">
        <f>IF(D$4=1,IF(INDEX('×入力'!$C$1:$L$700,336+D$3,D$2)&lt;&gt;"",1,0),0)</f>
        <v/>
      </c>
      <c r="E32">
        <f>IF(E$4=1,IF(INDEX('×入力'!$C$1:$L$700,336+E$3,E$2)&lt;&gt;"",1,0),0)</f>
        <v/>
      </c>
      <c r="F32">
        <f>IF(F$4=1,IF(INDEX('×入力'!$C$1:$L$700,336+F$3,F$2)&lt;&gt;"",1,0),0)</f>
        <v/>
      </c>
      <c r="G32">
        <f>IF(G$4=1,IF(INDEX('×入力'!$C$1:$L$700,336+G$3,G$2)&lt;&gt;"",1,0),0)</f>
        <v/>
      </c>
      <c r="H32">
        <f>IF(H$4=1,IF(INDEX('×入力'!$C$1:$L$700,336+H$3,H$2)&lt;&gt;"",1,0),0)</f>
        <v/>
      </c>
      <c r="I32">
        <f>IF(I$4=1,IF(INDEX('×入力'!$C$1:$L$700,336+I$3,I$2)&lt;&gt;"",1,0),0)</f>
        <v/>
      </c>
      <c r="J32">
        <f>IF(J$4=1,IF(INDEX('×入力'!$C$1:$L$700,336+J$3,J$2)&lt;&gt;"",1,0),0)</f>
        <v/>
      </c>
      <c r="K32">
        <f>IF(K$4=1,IF(INDEX('×入力'!$C$1:$L$700,336+K$3,K$2)&lt;&gt;"",1,0),0)</f>
        <v/>
      </c>
      <c r="L32">
        <f>IF(L$4=1,IF(INDEX('×入力'!$C$1:$L$700,336+L$3,L$2)&lt;&gt;"",1,0),0)</f>
        <v/>
      </c>
      <c r="M32">
        <f>IF(M$4=1,IF(INDEX('×入力'!$C$1:$L$700,336+M$3,M$2)&lt;&gt;"",1,0),0)</f>
        <v/>
      </c>
      <c r="N32">
        <f>IF(N$4=1,IF(INDEX('×入力'!$C$1:$L$700,336+N$3,N$2)&lt;&gt;"",1,0),0)</f>
        <v/>
      </c>
      <c r="O32">
        <f>IF(O$4=1,IF(INDEX('×入力'!$C$1:$L$700,336+O$3,O$2)&lt;&gt;"",1,0),0)</f>
        <v/>
      </c>
      <c r="P32">
        <f>IF(P$4=1,IF(INDEX('×入力'!$C$1:$L$700,336+P$3,P$2)&lt;&gt;"",1,0),0)</f>
        <v/>
      </c>
      <c r="Q32">
        <f>IF(Q$4=1,IF(INDEX('×入力'!$C$1:$L$700,336+Q$3,Q$2)&lt;&gt;"",1,0),0)</f>
        <v/>
      </c>
      <c r="R32">
        <f>IF(R$4=1,IF(INDEX('×入力'!$C$1:$L$700,336+R$3,R$2)&lt;&gt;"",1,0),0)</f>
        <v/>
      </c>
      <c r="S32">
        <f>IF(S$4=1,IF(INDEX('×入力'!$C$1:$L$700,336+S$3,S$2)&lt;&gt;"",1,0),0)</f>
        <v/>
      </c>
      <c r="T32">
        <f>IF(T$4=1,IF(INDEX('×入力'!$C$1:$L$700,336+T$3,T$2)&lt;&gt;"",1,0),0)</f>
        <v/>
      </c>
      <c r="U32">
        <f>IF(U$4=1,IF(INDEX('×入力'!$C$1:$L$700,336+U$3,U$2)&lt;&gt;"",1,0),0)</f>
        <v/>
      </c>
      <c r="V32">
        <f>IF(V$4=1,IF(INDEX('×入力'!$C$1:$L$700,336+V$3,V$2)&lt;&gt;"",1,0),0)</f>
        <v/>
      </c>
      <c r="W32">
        <f>IF(W$4=1,IF(INDEX('×入力'!$C$1:$L$700,336+W$3,W$2)&lt;&gt;"",1,0),0)</f>
        <v/>
      </c>
      <c r="X32">
        <f>IF(X$4=1,IF(INDEX('×入力'!$C$1:$L$700,336+X$3,X$2)&lt;&gt;"",1,0),0)</f>
        <v/>
      </c>
      <c r="Y32">
        <f>IF(Y$4=1,IF(INDEX('×入力'!$C$1:$L$700,336+Y$3,Y$2)&lt;&gt;"",1,0),0)</f>
        <v/>
      </c>
      <c r="Z32">
        <f>IF(Z$4=1,IF(INDEX('×入力'!$C$1:$L$700,336+Z$3,Z$2)&lt;&gt;"",1,0),0)</f>
        <v/>
      </c>
      <c r="AA32">
        <f>IF(AA$4=1,IF(INDEX('×入力'!$C$1:$L$700,336+AA$3,AA$2)&lt;&gt;"",1,0),0)</f>
        <v/>
      </c>
      <c r="AB32">
        <f>IF(AB$4=1,IF(INDEX('×入力'!$C$1:$L$700,336+AB$3,AB$2)&lt;&gt;"",1,0),0)</f>
        <v/>
      </c>
      <c r="AC32">
        <f>IF(AC$4=1,IF(INDEX('×入力'!$C$1:$L$700,336+AC$3,AC$2)&lt;&gt;"",1,0),0)</f>
        <v/>
      </c>
      <c r="AD32">
        <f>IF(AD$4=1,IF(INDEX('×入力'!$C$1:$L$700,336+AD$3,AD$2)&lt;&gt;"",1,0),0)</f>
        <v/>
      </c>
      <c r="AE32">
        <f>IF(AE$4=1,IF(INDEX('×入力'!$C$1:$L$700,336+AE$3,AE$2)&lt;&gt;"",1,0),0)</f>
        <v/>
      </c>
      <c r="AF32">
        <f>IF(AF$4=1,IF(INDEX('×入力'!$C$1:$L$700,336+AF$3,AF$2)&lt;&gt;"",1,0),0)</f>
        <v/>
      </c>
      <c r="AG32">
        <f>IF(AG$4=1,IF(INDEX('×入力'!$C$1:$L$700,336+AG$3,AG$2)&lt;&gt;"",1,0),0)</f>
        <v/>
      </c>
      <c r="AH32">
        <f>IF(AH$4=1,IF(INDEX('×入力'!$C$1:$L$700,336+AH$3,AH$2)&lt;&gt;"",1,0),0)</f>
        <v/>
      </c>
      <c r="AI32">
        <f>IF(AI$4=1,IF(INDEX('×入力'!$C$1:$L$700,336+AI$3,AI$2)&lt;&gt;"",1,0),0)</f>
        <v/>
      </c>
      <c r="AJ32">
        <f>IF(AJ$4=1,IF(INDEX('×入力'!$C$1:$L$700,336+AJ$3,AJ$2)&lt;&gt;"",1,0),0)</f>
        <v/>
      </c>
      <c r="AK32">
        <f>IF(AK$4=1,IF(INDEX('×入力'!$C$1:$L$700,336+AK$3,AK$2)&lt;&gt;"",1,0),0)</f>
        <v/>
      </c>
      <c r="AL32">
        <f>IF(AL$4=1,IF(INDEX('×入力'!$C$1:$L$700,336+AL$3,AL$2)&lt;&gt;"",1,0),0)</f>
        <v/>
      </c>
      <c r="AM32">
        <f>IF(AM$4=1,IF(INDEX('×入力'!$C$1:$L$700,336+AM$3,AM$2)&lt;&gt;"",1,0),0)</f>
        <v/>
      </c>
      <c r="AN32">
        <f>IF(AN$4=1,IF(INDEX('×入力'!$C$1:$L$700,336+AN$3,AN$2)&lt;&gt;"",1,0),0)</f>
        <v/>
      </c>
      <c r="AO32">
        <f>IF(AO$4=1,IF(INDEX('×入力'!$C$1:$L$700,336+AO$3,AO$2)&lt;&gt;"",1,0),0)</f>
        <v/>
      </c>
      <c r="AP32">
        <f>IF(AP$4=1,IF(INDEX('×入力'!$C$1:$L$700,336+AP$3,AP$2)&lt;&gt;"",1,0),0)</f>
        <v/>
      </c>
      <c r="AQ32">
        <f>IF(AQ$4=1,IF(INDEX('×入力'!$C$1:$L$700,336+AQ$3,AQ$2)&lt;&gt;"",1,0),0)</f>
        <v/>
      </c>
      <c r="AR32">
        <f>IF(AR$4=1,IF(INDEX('×入力'!$C$1:$L$700,336+AR$3,AR$2)&lt;&gt;"",1,0),0)</f>
        <v/>
      </c>
      <c r="AS32">
        <f>IF(AS$4=1,IF(INDEX('×入力'!$C$1:$L$700,336+AS$3,AS$2)&lt;&gt;"",1,0),0)</f>
        <v/>
      </c>
      <c r="AT32">
        <f>IF(AT$4=1,IF(INDEX('×入力'!$C$1:$L$700,336+AT$3,AT$2)&lt;&gt;"",1,0),0)</f>
        <v/>
      </c>
      <c r="AU32">
        <f>IF(AU$4=1,IF(INDEX('×入力'!$C$1:$L$700,336+AU$3,AU$2)&lt;&gt;"",1,0),0)</f>
        <v/>
      </c>
      <c r="AV32">
        <f>IF(AV$4=1,IF(INDEX('×入力'!$C$1:$L$700,336+AV$3,AV$2)&lt;&gt;"",1,0),0)</f>
        <v/>
      </c>
      <c r="AW32">
        <f>IF(AW$4=1,IF(INDEX('×入力'!$C$1:$L$700,336+AW$3,AW$2)&lt;&gt;"",1,0),0)</f>
        <v/>
      </c>
      <c r="AX32">
        <f>IF(AX$4=1,IF(INDEX('×入力'!$C$1:$L$700,336+AX$3,AX$2)&lt;&gt;"",1,0),0)</f>
        <v/>
      </c>
      <c r="AY32">
        <f>IF(AY$4=1,IF(INDEX('×入力'!$C$1:$L$700,336+AY$3,AY$2)&lt;&gt;"",1,0),0)</f>
        <v/>
      </c>
      <c r="AZ32">
        <f>IF(AZ$4=1,IF(INDEX('×入力'!$C$1:$L$700,336+AZ$3,AZ$2)&lt;&gt;"",1,0),0)</f>
        <v/>
      </c>
      <c r="BA32">
        <f>IF(BA$4=1,IF(INDEX('×入力'!$C$1:$L$700,336+BA$3,BA$2)&lt;&gt;"",1,0),0)</f>
        <v/>
      </c>
      <c r="BB32">
        <f>IF(BB$4=1,IF(INDEX('×入力'!$C$1:$L$700,336+BB$3,BB$2)&lt;&gt;"",1,0),0)</f>
        <v/>
      </c>
      <c r="BC32">
        <f>IF(BC$4=1,IF(INDEX('×入力'!$C$1:$L$700,336+BC$3,BC$2)&lt;&gt;"",1,0),0)</f>
        <v/>
      </c>
      <c r="BD32">
        <f>IF(BD$4=1,IF(INDEX('×入力'!$C$1:$L$700,336+BD$3,BD$2)&lt;&gt;"",1,0),0)</f>
        <v/>
      </c>
      <c r="BE32">
        <f>IF(BE$4=1,IF(INDEX('×入力'!$C$1:$L$700,336+BE$3,BE$2)&lt;&gt;"",1,0),0)</f>
        <v/>
      </c>
      <c r="BF32">
        <f>IF(BF$4=1,IF(INDEX('×入力'!$C$1:$L$700,336+BF$3,BF$2)&lt;&gt;"",1,0),0)</f>
        <v/>
      </c>
      <c r="BG32">
        <f>IF(BG$4=1,IF(INDEX('×入力'!$C$1:$L$700,336+BG$3,BG$2)&lt;&gt;"",1,0),0)</f>
        <v/>
      </c>
      <c r="BH32">
        <f>IF(BH$4=1,IF(INDEX('×入力'!$C$1:$L$700,336+BH$3,BH$2)&lt;&gt;"",1,0),0)</f>
        <v/>
      </c>
      <c r="BI32">
        <f>IF(BI$4=1,IF(INDEX('×入力'!$C$1:$L$700,336+BI$3,BI$2)&lt;&gt;"",1,0),0)</f>
        <v/>
      </c>
      <c r="BJ32">
        <f>IF(BJ$4=1,IF(INDEX('×入力'!$C$1:$L$700,336+BJ$3,BJ$2)&lt;&gt;"",1,0),0)</f>
        <v/>
      </c>
      <c r="BK32">
        <f>IF(BK$4=1,IF(INDEX('×入力'!$C$1:$L$700,336+BK$3,BK$2)&lt;&gt;"",1,0),0)</f>
        <v/>
      </c>
      <c r="BL32">
        <f>IF(BL$4=1,IF(INDEX('×入力'!$C$1:$L$700,336+BL$3,BL$2)&lt;&gt;"",1,0),0)</f>
        <v/>
      </c>
      <c r="BM32">
        <f>IF(BM$4=1,IF(INDEX('×入力'!$C$1:$L$700,336+BM$3,BM$2)&lt;&gt;"",1,0),0)</f>
        <v/>
      </c>
      <c r="BN32">
        <f>IF(BN$4=1,IF(INDEX('×入力'!$C$1:$L$700,336+BN$3,BN$2)&lt;&gt;"",1,0),0)</f>
        <v/>
      </c>
      <c r="BO32">
        <f>IF(BO$4=1,IF(INDEX('×入力'!$C$1:$L$700,336+BO$3,BO$2)&lt;&gt;"",1,0),0)</f>
        <v/>
      </c>
      <c r="BP32">
        <f>IF(BP$4=1,IF(INDEX('×入力'!$C$1:$L$700,336+BP$3,BP$2)&lt;&gt;"",1,0),0)</f>
        <v/>
      </c>
      <c r="BQ32">
        <f>IF(BQ$4=1,IF(INDEX('×入力'!$C$1:$L$700,336+BQ$3,BQ$2)&lt;&gt;"",1,0),0)</f>
        <v/>
      </c>
      <c r="BR32">
        <f>IF(BR$4=1,IF(INDEX('×入力'!$C$1:$L$700,336+BR$3,BR$2)&lt;&gt;"",1,0),0)</f>
        <v/>
      </c>
      <c r="BS32">
        <f>IF(BS$4=1,IF(INDEX('×入力'!$C$1:$L$700,336+BS$3,BS$2)&lt;&gt;"",1,0),0)</f>
        <v/>
      </c>
      <c r="BT32">
        <f>IF(BT$4=1,IF(INDEX('×入力'!$C$1:$L$700,336+BT$3,BT$2)&lt;&gt;"",1,0),0)</f>
        <v/>
      </c>
      <c r="BU32">
        <f>IF(BU$4=1,IF(INDEX('×入力'!$C$1:$L$700,336+BU$3,BU$2)&lt;&gt;"",1,0),0)</f>
        <v/>
      </c>
      <c r="BV32">
        <f>IF(BV$4=1,IF(INDEX('×入力'!$C$1:$L$700,336+BV$3,BV$2)&lt;&gt;"",1,0),0)</f>
        <v/>
      </c>
      <c r="BW32">
        <f>IF(BW$4=1,IF(INDEX('×入力'!$C$1:$L$700,336+BW$3,BW$2)&lt;&gt;"",1,0),0)</f>
        <v/>
      </c>
      <c r="BX32">
        <f>IF(BX$4=1,IF(INDEX('×入力'!$C$1:$L$700,336+BX$3,BX$2)&lt;&gt;"",1,0),0)</f>
        <v/>
      </c>
      <c r="BY32">
        <f>IF(BY$4=1,IF(INDEX('×入力'!$C$1:$L$700,336+BY$3,BY$2)&lt;&gt;"",1,0),0)</f>
        <v/>
      </c>
      <c r="BZ32">
        <f>IF(BZ$4=1,IF(INDEX('×入力'!$C$1:$L$700,336+BZ$3,BZ$2)&lt;&gt;"",1,0),0)</f>
        <v/>
      </c>
      <c r="CA32">
        <f>IF(CA$4=1,IF(INDEX('×入力'!$C$1:$L$700,336+CA$3,CA$2)&lt;&gt;"",1,0),0)</f>
        <v/>
      </c>
      <c r="CB32">
        <f>IF(CB$4=1,IF(INDEX('×入力'!$C$1:$L$700,336+CB$3,CB$2)&lt;&gt;"",1,0),0)</f>
        <v/>
      </c>
      <c r="CC32">
        <f>IF(CC$4=1,IF(INDEX('×入力'!$C$1:$L$700,336+CC$3,CC$2)&lt;&gt;"",1,0),0)</f>
        <v/>
      </c>
      <c r="CD32">
        <f>IF(CD$4=1,IF(INDEX('×入力'!$C$1:$L$700,336+CD$3,CD$2)&lt;&gt;"",1,0),0)</f>
        <v/>
      </c>
      <c r="CE32">
        <f>IF(CE$4=1,IF(INDEX('×入力'!$C$1:$L$700,336+CE$3,CE$2)&lt;&gt;"",1,0),0)</f>
        <v/>
      </c>
      <c r="CF32">
        <f>IF(CF$4=1,IF(INDEX('×入力'!$C$1:$L$700,336+CF$3,CF$2)&lt;&gt;"",1,0),0)</f>
        <v/>
      </c>
      <c r="CG32">
        <f>IF(CG$4=1,IF(INDEX('×入力'!$C$1:$L$700,336+CG$3,CG$2)&lt;&gt;"",1,0),0)</f>
        <v/>
      </c>
      <c r="CH32">
        <f>IF(CH$4=1,IF(INDEX('×入力'!$C$1:$L$700,336+CH$3,CH$2)&lt;&gt;"",1,0),0)</f>
        <v/>
      </c>
      <c r="CI32">
        <f>IF(CI$4=1,IF(INDEX('×入力'!$C$1:$L$700,336+CI$3,CI$2)&lt;&gt;"",1,0),0)</f>
        <v/>
      </c>
      <c r="CJ32">
        <f>IF(CJ$4=1,IF(INDEX('×入力'!$C$1:$L$700,336+CJ$3,CJ$2)&lt;&gt;"",1,0),0)</f>
        <v/>
      </c>
      <c r="CK32">
        <f>IF(CK$4=1,IF(INDEX('×入力'!$C$1:$L$700,336+CK$3,CK$2)&lt;&gt;"",1,0),0)</f>
        <v/>
      </c>
      <c r="CL32">
        <f>IF(CL$4=1,IF(INDEX('×入力'!$C$1:$L$700,336+CL$3,CL$2)&lt;&gt;"",1,0),0)</f>
        <v/>
      </c>
      <c r="CM32">
        <f>IF(CM$4=1,IF(INDEX('×入力'!$C$1:$L$700,336+CM$3,CM$2)&lt;&gt;"",1,0),0)</f>
        <v/>
      </c>
      <c r="CN32">
        <f>IF(CN$4=1,IF(INDEX('×入力'!$C$1:$L$700,336+CN$3,CN$2)&lt;&gt;"",1,0),0)</f>
        <v/>
      </c>
      <c r="CO32">
        <f>IF(CO$4=1,IF(INDEX('×入力'!$C$1:$L$700,336+CO$3,CO$2)&lt;&gt;"",1,0),0)</f>
        <v/>
      </c>
      <c r="CP32">
        <f>IF(CP$4=1,IF(INDEX('×入力'!$C$1:$L$700,336+CP$3,CP$2)&lt;&gt;"",1,0),0)</f>
        <v/>
      </c>
      <c r="CQ32">
        <f>IF(CQ$4=1,IF(INDEX('×入力'!$C$1:$L$700,336+CQ$3,CQ$2)&lt;&gt;"",1,0),0)</f>
        <v/>
      </c>
      <c r="CR32">
        <f>IF(CR$4=1,IF(INDEX('×入力'!$C$1:$L$700,336+CR$3,CR$2)&lt;&gt;"",1,0),0)</f>
        <v/>
      </c>
      <c r="CS32">
        <f>IF(CS$4=1,IF(INDEX('×入力'!$C$1:$L$700,336+CS$3,CS$2)&lt;&gt;"",1,0),0)</f>
        <v/>
      </c>
      <c r="CT32">
        <f>IF(CT$4=1,IF(INDEX('×入力'!$C$1:$L$700,336+CT$3,CT$2)&lt;&gt;"",1,0),0)</f>
        <v/>
      </c>
      <c r="CU32">
        <f>IF(CU$4=1,IF(INDEX('×入力'!$C$1:$L$700,336+CU$3,CU$2)&lt;&gt;"",1,0),0)</f>
        <v/>
      </c>
      <c r="CV32">
        <f>IF(CV$4=1,IF(INDEX('×入力'!$C$1:$L$700,336+CV$3,CV$2)&lt;&gt;"",1,0),0)</f>
        <v/>
      </c>
      <c r="CW32">
        <f>IF(CW$4=1,IF(INDEX('×入力'!$C$1:$L$700,336+CW$3,CW$2)&lt;&gt;"",1,0),0)</f>
        <v/>
      </c>
      <c r="CX32">
        <f>IF(CX$4=1,IF(INDEX('×入力'!$C$1:$L$700,336+CX$3,CX$2)&lt;&gt;"",1,0),0)</f>
        <v/>
      </c>
      <c r="CY32">
        <f>IF(CY$4=1,IF(INDEX('×入力'!$C$1:$L$700,336+CY$3,CY$2)&lt;&gt;"",1,0),0)</f>
        <v/>
      </c>
      <c r="CZ32">
        <f>IF(CZ$4=1,IF(INDEX('×入力'!$C$1:$L$700,336+CZ$3,CZ$2)&lt;&gt;"",1,0),0)</f>
        <v/>
      </c>
      <c r="DA32">
        <f>IF(DA$4=1,IF(INDEX('×入力'!$C$1:$L$700,336+DA$3,DA$2)&lt;&gt;"",1,0),0)</f>
        <v/>
      </c>
      <c r="DB32">
        <f>IF(DB$4=1,IF(INDEX('×入力'!$C$1:$L$700,336+DB$3,DB$2)&lt;&gt;"",1,0),0)</f>
        <v/>
      </c>
      <c r="DC32">
        <f>IF(DC$4=1,IF(INDEX('×入力'!$C$1:$L$700,336+DC$3,DC$2)&lt;&gt;"",1,0),0)</f>
        <v/>
      </c>
      <c r="DD32">
        <f>IF(DD$4=1,IF(INDEX('×入力'!$C$1:$L$700,336+DD$3,DD$2)&lt;&gt;"",1,0),0)</f>
        <v/>
      </c>
      <c r="DE32">
        <f>IF(DE$4=1,IF(INDEX('×入力'!$C$1:$L$700,336+DE$3,DE$2)&lt;&gt;"",1,0),0)</f>
        <v/>
      </c>
      <c r="DF32">
        <f>IF(DF$4=1,IF(INDEX('×入力'!$C$1:$L$700,336+DF$3,DF$2)&lt;&gt;"",1,0),0)</f>
        <v/>
      </c>
      <c r="DG32">
        <f>IF(DG$4=1,IF(INDEX('×入力'!$C$1:$L$700,336+DG$3,DG$2)&lt;&gt;"",1,0),0)</f>
        <v/>
      </c>
      <c r="DH32">
        <f>IF(DH$4=1,IF(INDEX('×入力'!$C$1:$L$700,336+DH$3,DH$2)&lt;&gt;"",1,0),0)</f>
        <v/>
      </c>
      <c r="DI32">
        <f>IF(DI$4=1,IF(INDEX('×入力'!$C$1:$L$700,336+DI$3,DI$2)&lt;&gt;"",1,0),0)</f>
        <v/>
      </c>
      <c r="DJ32">
        <f>IF(DJ$4=1,IF(INDEX('×入力'!$C$1:$L$700,336+DJ$3,DJ$2)&lt;&gt;"",1,0),0)</f>
        <v/>
      </c>
      <c r="DK32">
        <f>IF(DK$4=1,IF(INDEX('×入力'!$C$1:$L$700,336+DK$3,DK$2)&lt;&gt;"",1,0),0)</f>
        <v/>
      </c>
      <c r="DL32">
        <f>IF(DL$4=1,IF(INDEX('×入力'!$C$1:$L$700,336+DL$3,DL$2)&lt;&gt;"",1,0),0)</f>
        <v/>
      </c>
      <c r="DM32">
        <f>IF(DM$4=1,IF(INDEX('×入力'!$C$1:$L$700,336+DM$3,DM$2)&lt;&gt;"",1,0),0)</f>
        <v/>
      </c>
      <c r="DN32">
        <f>IF(DN$4=1,IF(INDEX('×入力'!$C$1:$L$700,336+DN$3,DN$2)&lt;&gt;"",1,0),0)</f>
        <v/>
      </c>
      <c r="DO32">
        <f>IF(DO$4=1,IF(INDEX('×入力'!$C$1:$L$700,336+DO$3,DO$2)&lt;&gt;"",1,0),0)</f>
        <v/>
      </c>
      <c r="DP32">
        <f>IF(DP$4=1,IF(INDEX('×入力'!$C$1:$L$700,336+DP$3,DP$2)&lt;&gt;"",1,0),0)</f>
        <v/>
      </c>
      <c r="DQ32">
        <f>IF(DQ$4=1,IF(INDEX('×入力'!$C$1:$L$700,336+DQ$3,DQ$2)&lt;&gt;"",1,0),0)</f>
        <v/>
      </c>
      <c r="DR32">
        <f>IF(DR$4=1,IF(INDEX('×入力'!$C$1:$L$700,336+DR$3,DR$2)&lt;&gt;"",1,0),0)</f>
        <v/>
      </c>
      <c r="DS32">
        <f>IF(DS$4=1,IF(INDEX('×入力'!$C$1:$L$700,336+DS$3,DS$2)&lt;&gt;"",1,0),0)</f>
        <v/>
      </c>
      <c r="DU32">
        <f>IFERROR(INDEX('計算B'!$C$3:$C$47,MATCH(A32,'計算B'!$B$3:$B$47,0)),0)</f>
        <v/>
      </c>
      <c r="DV32">
        <f>IF(AND(C32=1,DU32=0),1,0)</f>
        <v/>
      </c>
      <c r="DW32">
        <f>SUMPRODUCT(D82:DS82*(1-$D$7:$DS$7))</f>
        <v/>
      </c>
      <c r="DX32">
        <f>SUM(D32:DS32)</f>
        <v/>
      </c>
      <c r="DY32">
        <f>IF(B32="",0,IF(COUNTIF('割り当て'!$C$6:$L$17,B32)=1,SUMPRODUCT(('割り当て'!$C$6:$L$17=B32)*((COLUMN('割り当て'!$C$6:$L$17)-3)*12+ROW('割り当て'!$C$6:$L$17)-5)),0))</f>
        <v/>
      </c>
      <c r="DZ32">
        <f>IFERROR(MATCH('名簿'!E27,{"早い時刻","遅い時刻","早い日","遅い日"},0),0)</f>
        <v/>
      </c>
      <c r="EA32">
        <f>IF('名簿'!F27="必ず空けたい",2,IF('名簿'!F27="出来れば空けたい",1,0))</f>
        <v/>
      </c>
    </row>
    <row r="33">
      <c r="A33" t="n">
        <v>24</v>
      </c>
      <c r="B33">
        <f>'名簿'!G28</f>
        <v/>
      </c>
      <c r="C33">
        <f>IF(AND(B33&lt;&gt;"",OR('名簿'!H28="入力済み",'名簿'!H28="×なし"),DY33=0,COUNTIF('割り当て'!$C$6:$L$17,B33)=0),1,0)</f>
        <v/>
      </c>
      <c r="D33">
        <f>IF(D$4=1,IF(INDEX('×入力'!$C$1:$L$700,351+D$3,D$2)&lt;&gt;"",1,0),0)</f>
        <v/>
      </c>
      <c r="E33">
        <f>IF(E$4=1,IF(INDEX('×入力'!$C$1:$L$700,351+E$3,E$2)&lt;&gt;"",1,0),0)</f>
        <v/>
      </c>
      <c r="F33">
        <f>IF(F$4=1,IF(INDEX('×入力'!$C$1:$L$700,351+F$3,F$2)&lt;&gt;"",1,0),0)</f>
        <v/>
      </c>
      <c r="G33">
        <f>IF(G$4=1,IF(INDEX('×入力'!$C$1:$L$700,351+G$3,G$2)&lt;&gt;"",1,0),0)</f>
        <v/>
      </c>
      <c r="H33">
        <f>IF(H$4=1,IF(INDEX('×入力'!$C$1:$L$700,351+H$3,H$2)&lt;&gt;"",1,0),0)</f>
        <v/>
      </c>
      <c r="I33">
        <f>IF(I$4=1,IF(INDEX('×入力'!$C$1:$L$700,351+I$3,I$2)&lt;&gt;"",1,0),0)</f>
        <v/>
      </c>
      <c r="J33">
        <f>IF(J$4=1,IF(INDEX('×入力'!$C$1:$L$700,351+J$3,J$2)&lt;&gt;"",1,0),0)</f>
        <v/>
      </c>
      <c r="K33">
        <f>IF(K$4=1,IF(INDEX('×入力'!$C$1:$L$700,351+K$3,K$2)&lt;&gt;"",1,0),0)</f>
        <v/>
      </c>
      <c r="L33">
        <f>IF(L$4=1,IF(INDEX('×入力'!$C$1:$L$700,351+L$3,L$2)&lt;&gt;"",1,0),0)</f>
        <v/>
      </c>
      <c r="M33">
        <f>IF(M$4=1,IF(INDEX('×入力'!$C$1:$L$700,351+M$3,M$2)&lt;&gt;"",1,0),0)</f>
        <v/>
      </c>
      <c r="N33">
        <f>IF(N$4=1,IF(INDEX('×入力'!$C$1:$L$700,351+N$3,N$2)&lt;&gt;"",1,0),0)</f>
        <v/>
      </c>
      <c r="O33">
        <f>IF(O$4=1,IF(INDEX('×入力'!$C$1:$L$700,351+O$3,O$2)&lt;&gt;"",1,0),0)</f>
        <v/>
      </c>
      <c r="P33">
        <f>IF(P$4=1,IF(INDEX('×入力'!$C$1:$L$700,351+P$3,P$2)&lt;&gt;"",1,0),0)</f>
        <v/>
      </c>
      <c r="Q33">
        <f>IF(Q$4=1,IF(INDEX('×入力'!$C$1:$L$700,351+Q$3,Q$2)&lt;&gt;"",1,0),0)</f>
        <v/>
      </c>
      <c r="R33">
        <f>IF(R$4=1,IF(INDEX('×入力'!$C$1:$L$700,351+R$3,R$2)&lt;&gt;"",1,0),0)</f>
        <v/>
      </c>
      <c r="S33">
        <f>IF(S$4=1,IF(INDEX('×入力'!$C$1:$L$700,351+S$3,S$2)&lt;&gt;"",1,0),0)</f>
        <v/>
      </c>
      <c r="T33">
        <f>IF(T$4=1,IF(INDEX('×入力'!$C$1:$L$700,351+T$3,T$2)&lt;&gt;"",1,0),0)</f>
        <v/>
      </c>
      <c r="U33">
        <f>IF(U$4=1,IF(INDEX('×入力'!$C$1:$L$700,351+U$3,U$2)&lt;&gt;"",1,0),0)</f>
        <v/>
      </c>
      <c r="V33">
        <f>IF(V$4=1,IF(INDEX('×入力'!$C$1:$L$700,351+V$3,V$2)&lt;&gt;"",1,0),0)</f>
        <v/>
      </c>
      <c r="W33">
        <f>IF(W$4=1,IF(INDEX('×入力'!$C$1:$L$700,351+W$3,W$2)&lt;&gt;"",1,0),0)</f>
        <v/>
      </c>
      <c r="X33">
        <f>IF(X$4=1,IF(INDEX('×入力'!$C$1:$L$700,351+X$3,X$2)&lt;&gt;"",1,0),0)</f>
        <v/>
      </c>
      <c r="Y33">
        <f>IF(Y$4=1,IF(INDEX('×入力'!$C$1:$L$700,351+Y$3,Y$2)&lt;&gt;"",1,0),0)</f>
        <v/>
      </c>
      <c r="Z33">
        <f>IF(Z$4=1,IF(INDEX('×入力'!$C$1:$L$700,351+Z$3,Z$2)&lt;&gt;"",1,0),0)</f>
        <v/>
      </c>
      <c r="AA33">
        <f>IF(AA$4=1,IF(INDEX('×入力'!$C$1:$L$700,351+AA$3,AA$2)&lt;&gt;"",1,0),0)</f>
        <v/>
      </c>
      <c r="AB33">
        <f>IF(AB$4=1,IF(INDEX('×入力'!$C$1:$L$700,351+AB$3,AB$2)&lt;&gt;"",1,0),0)</f>
        <v/>
      </c>
      <c r="AC33">
        <f>IF(AC$4=1,IF(INDEX('×入力'!$C$1:$L$700,351+AC$3,AC$2)&lt;&gt;"",1,0),0)</f>
        <v/>
      </c>
      <c r="AD33">
        <f>IF(AD$4=1,IF(INDEX('×入力'!$C$1:$L$700,351+AD$3,AD$2)&lt;&gt;"",1,0),0)</f>
        <v/>
      </c>
      <c r="AE33">
        <f>IF(AE$4=1,IF(INDEX('×入力'!$C$1:$L$700,351+AE$3,AE$2)&lt;&gt;"",1,0),0)</f>
        <v/>
      </c>
      <c r="AF33">
        <f>IF(AF$4=1,IF(INDEX('×入力'!$C$1:$L$700,351+AF$3,AF$2)&lt;&gt;"",1,0),0)</f>
        <v/>
      </c>
      <c r="AG33">
        <f>IF(AG$4=1,IF(INDEX('×入力'!$C$1:$L$700,351+AG$3,AG$2)&lt;&gt;"",1,0),0)</f>
        <v/>
      </c>
      <c r="AH33">
        <f>IF(AH$4=1,IF(INDEX('×入力'!$C$1:$L$700,351+AH$3,AH$2)&lt;&gt;"",1,0),0)</f>
        <v/>
      </c>
      <c r="AI33">
        <f>IF(AI$4=1,IF(INDEX('×入力'!$C$1:$L$700,351+AI$3,AI$2)&lt;&gt;"",1,0),0)</f>
        <v/>
      </c>
      <c r="AJ33">
        <f>IF(AJ$4=1,IF(INDEX('×入力'!$C$1:$L$700,351+AJ$3,AJ$2)&lt;&gt;"",1,0),0)</f>
        <v/>
      </c>
      <c r="AK33">
        <f>IF(AK$4=1,IF(INDEX('×入力'!$C$1:$L$700,351+AK$3,AK$2)&lt;&gt;"",1,0),0)</f>
        <v/>
      </c>
      <c r="AL33">
        <f>IF(AL$4=1,IF(INDEX('×入力'!$C$1:$L$700,351+AL$3,AL$2)&lt;&gt;"",1,0),0)</f>
        <v/>
      </c>
      <c r="AM33">
        <f>IF(AM$4=1,IF(INDEX('×入力'!$C$1:$L$700,351+AM$3,AM$2)&lt;&gt;"",1,0),0)</f>
        <v/>
      </c>
      <c r="AN33">
        <f>IF(AN$4=1,IF(INDEX('×入力'!$C$1:$L$700,351+AN$3,AN$2)&lt;&gt;"",1,0),0)</f>
        <v/>
      </c>
      <c r="AO33">
        <f>IF(AO$4=1,IF(INDEX('×入力'!$C$1:$L$700,351+AO$3,AO$2)&lt;&gt;"",1,0),0)</f>
        <v/>
      </c>
      <c r="AP33">
        <f>IF(AP$4=1,IF(INDEX('×入力'!$C$1:$L$700,351+AP$3,AP$2)&lt;&gt;"",1,0),0)</f>
        <v/>
      </c>
      <c r="AQ33">
        <f>IF(AQ$4=1,IF(INDEX('×入力'!$C$1:$L$700,351+AQ$3,AQ$2)&lt;&gt;"",1,0),0)</f>
        <v/>
      </c>
      <c r="AR33">
        <f>IF(AR$4=1,IF(INDEX('×入力'!$C$1:$L$700,351+AR$3,AR$2)&lt;&gt;"",1,0),0)</f>
        <v/>
      </c>
      <c r="AS33">
        <f>IF(AS$4=1,IF(INDEX('×入力'!$C$1:$L$700,351+AS$3,AS$2)&lt;&gt;"",1,0),0)</f>
        <v/>
      </c>
      <c r="AT33">
        <f>IF(AT$4=1,IF(INDEX('×入力'!$C$1:$L$700,351+AT$3,AT$2)&lt;&gt;"",1,0),0)</f>
        <v/>
      </c>
      <c r="AU33">
        <f>IF(AU$4=1,IF(INDEX('×入力'!$C$1:$L$700,351+AU$3,AU$2)&lt;&gt;"",1,0),0)</f>
        <v/>
      </c>
      <c r="AV33">
        <f>IF(AV$4=1,IF(INDEX('×入力'!$C$1:$L$700,351+AV$3,AV$2)&lt;&gt;"",1,0),0)</f>
        <v/>
      </c>
      <c r="AW33">
        <f>IF(AW$4=1,IF(INDEX('×入力'!$C$1:$L$700,351+AW$3,AW$2)&lt;&gt;"",1,0),0)</f>
        <v/>
      </c>
      <c r="AX33">
        <f>IF(AX$4=1,IF(INDEX('×入力'!$C$1:$L$700,351+AX$3,AX$2)&lt;&gt;"",1,0),0)</f>
        <v/>
      </c>
      <c r="AY33">
        <f>IF(AY$4=1,IF(INDEX('×入力'!$C$1:$L$700,351+AY$3,AY$2)&lt;&gt;"",1,0),0)</f>
        <v/>
      </c>
      <c r="AZ33">
        <f>IF(AZ$4=1,IF(INDEX('×入力'!$C$1:$L$700,351+AZ$3,AZ$2)&lt;&gt;"",1,0),0)</f>
        <v/>
      </c>
      <c r="BA33">
        <f>IF(BA$4=1,IF(INDEX('×入力'!$C$1:$L$700,351+BA$3,BA$2)&lt;&gt;"",1,0),0)</f>
        <v/>
      </c>
      <c r="BB33">
        <f>IF(BB$4=1,IF(INDEX('×入力'!$C$1:$L$700,351+BB$3,BB$2)&lt;&gt;"",1,0),0)</f>
        <v/>
      </c>
      <c r="BC33">
        <f>IF(BC$4=1,IF(INDEX('×入力'!$C$1:$L$700,351+BC$3,BC$2)&lt;&gt;"",1,0),0)</f>
        <v/>
      </c>
      <c r="BD33">
        <f>IF(BD$4=1,IF(INDEX('×入力'!$C$1:$L$700,351+BD$3,BD$2)&lt;&gt;"",1,0),0)</f>
        <v/>
      </c>
      <c r="BE33">
        <f>IF(BE$4=1,IF(INDEX('×入力'!$C$1:$L$700,351+BE$3,BE$2)&lt;&gt;"",1,0),0)</f>
        <v/>
      </c>
      <c r="BF33">
        <f>IF(BF$4=1,IF(INDEX('×入力'!$C$1:$L$700,351+BF$3,BF$2)&lt;&gt;"",1,0),0)</f>
        <v/>
      </c>
      <c r="BG33">
        <f>IF(BG$4=1,IF(INDEX('×入力'!$C$1:$L$700,351+BG$3,BG$2)&lt;&gt;"",1,0),0)</f>
        <v/>
      </c>
      <c r="BH33">
        <f>IF(BH$4=1,IF(INDEX('×入力'!$C$1:$L$700,351+BH$3,BH$2)&lt;&gt;"",1,0),0)</f>
        <v/>
      </c>
      <c r="BI33">
        <f>IF(BI$4=1,IF(INDEX('×入力'!$C$1:$L$700,351+BI$3,BI$2)&lt;&gt;"",1,0),0)</f>
        <v/>
      </c>
      <c r="BJ33">
        <f>IF(BJ$4=1,IF(INDEX('×入力'!$C$1:$L$700,351+BJ$3,BJ$2)&lt;&gt;"",1,0),0)</f>
        <v/>
      </c>
      <c r="BK33">
        <f>IF(BK$4=1,IF(INDEX('×入力'!$C$1:$L$700,351+BK$3,BK$2)&lt;&gt;"",1,0),0)</f>
        <v/>
      </c>
      <c r="BL33">
        <f>IF(BL$4=1,IF(INDEX('×入力'!$C$1:$L$700,351+BL$3,BL$2)&lt;&gt;"",1,0),0)</f>
        <v/>
      </c>
      <c r="BM33">
        <f>IF(BM$4=1,IF(INDEX('×入力'!$C$1:$L$700,351+BM$3,BM$2)&lt;&gt;"",1,0),0)</f>
        <v/>
      </c>
      <c r="BN33">
        <f>IF(BN$4=1,IF(INDEX('×入力'!$C$1:$L$700,351+BN$3,BN$2)&lt;&gt;"",1,0),0)</f>
        <v/>
      </c>
      <c r="BO33">
        <f>IF(BO$4=1,IF(INDEX('×入力'!$C$1:$L$700,351+BO$3,BO$2)&lt;&gt;"",1,0),0)</f>
        <v/>
      </c>
      <c r="BP33">
        <f>IF(BP$4=1,IF(INDEX('×入力'!$C$1:$L$700,351+BP$3,BP$2)&lt;&gt;"",1,0),0)</f>
        <v/>
      </c>
      <c r="BQ33">
        <f>IF(BQ$4=1,IF(INDEX('×入力'!$C$1:$L$700,351+BQ$3,BQ$2)&lt;&gt;"",1,0),0)</f>
        <v/>
      </c>
      <c r="BR33">
        <f>IF(BR$4=1,IF(INDEX('×入力'!$C$1:$L$700,351+BR$3,BR$2)&lt;&gt;"",1,0),0)</f>
        <v/>
      </c>
      <c r="BS33">
        <f>IF(BS$4=1,IF(INDEX('×入力'!$C$1:$L$700,351+BS$3,BS$2)&lt;&gt;"",1,0),0)</f>
        <v/>
      </c>
      <c r="BT33">
        <f>IF(BT$4=1,IF(INDEX('×入力'!$C$1:$L$700,351+BT$3,BT$2)&lt;&gt;"",1,0),0)</f>
        <v/>
      </c>
      <c r="BU33">
        <f>IF(BU$4=1,IF(INDEX('×入力'!$C$1:$L$700,351+BU$3,BU$2)&lt;&gt;"",1,0),0)</f>
        <v/>
      </c>
      <c r="BV33">
        <f>IF(BV$4=1,IF(INDEX('×入力'!$C$1:$L$700,351+BV$3,BV$2)&lt;&gt;"",1,0),0)</f>
        <v/>
      </c>
      <c r="BW33">
        <f>IF(BW$4=1,IF(INDEX('×入力'!$C$1:$L$700,351+BW$3,BW$2)&lt;&gt;"",1,0),0)</f>
        <v/>
      </c>
      <c r="BX33">
        <f>IF(BX$4=1,IF(INDEX('×入力'!$C$1:$L$700,351+BX$3,BX$2)&lt;&gt;"",1,0),0)</f>
        <v/>
      </c>
      <c r="BY33">
        <f>IF(BY$4=1,IF(INDEX('×入力'!$C$1:$L$700,351+BY$3,BY$2)&lt;&gt;"",1,0),0)</f>
        <v/>
      </c>
      <c r="BZ33">
        <f>IF(BZ$4=1,IF(INDEX('×入力'!$C$1:$L$700,351+BZ$3,BZ$2)&lt;&gt;"",1,0),0)</f>
        <v/>
      </c>
      <c r="CA33">
        <f>IF(CA$4=1,IF(INDEX('×入力'!$C$1:$L$700,351+CA$3,CA$2)&lt;&gt;"",1,0),0)</f>
        <v/>
      </c>
      <c r="CB33">
        <f>IF(CB$4=1,IF(INDEX('×入力'!$C$1:$L$700,351+CB$3,CB$2)&lt;&gt;"",1,0),0)</f>
        <v/>
      </c>
      <c r="CC33">
        <f>IF(CC$4=1,IF(INDEX('×入力'!$C$1:$L$700,351+CC$3,CC$2)&lt;&gt;"",1,0),0)</f>
        <v/>
      </c>
      <c r="CD33">
        <f>IF(CD$4=1,IF(INDEX('×入力'!$C$1:$L$700,351+CD$3,CD$2)&lt;&gt;"",1,0),0)</f>
        <v/>
      </c>
      <c r="CE33">
        <f>IF(CE$4=1,IF(INDEX('×入力'!$C$1:$L$700,351+CE$3,CE$2)&lt;&gt;"",1,0),0)</f>
        <v/>
      </c>
      <c r="CF33">
        <f>IF(CF$4=1,IF(INDEX('×入力'!$C$1:$L$700,351+CF$3,CF$2)&lt;&gt;"",1,0),0)</f>
        <v/>
      </c>
      <c r="CG33">
        <f>IF(CG$4=1,IF(INDEX('×入力'!$C$1:$L$700,351+CG$3,CG$2)&lt;&gt;"",1,0),0)</f>
        <v/>
      </c>
      <c r="CH33">
        <f>IF(CH$4=1,IF(INDEX('×入力'!$C$1:$L$700,351+CH$3,CH$2)&lt;&gt;"",1,0),0)</f>
        <v/>
      </c>
      <c r="CI33">
        <f>IF(CI$4=1,IF(INDEX('×入力'!$C$1:$L$700,351+CI$3,CI$2)&lt;&gt;"",1,0),0)</f>
        <v/>
      </c>
      <c r="CJ33">
        <f>IF(CJ$4=1,IF(INDEX('×入力'!$C$1:$L$700,351+CJ$3,CJ$2)&lt;&gt;"",1,0),0)</f>
        <v/>
      </c>
      <c r="CK33">
        <f>IF(CK$4=1,IF(INDEX('×入力'!$C$1:$L$700,351+CK$3,CK$2)&lt;&gt;"",1,0),0)</f>
        <v/>
      </c>
      <c r="CL33">
        <f>IF(CL$4=1,IF(INDEX('×入力'!$C$1:$L$700,351+CL$3,CL$2)&lt;&gt;"",1,0),0)</f>
        <v/>
      </c>
      <c r="CM33">
        <f>IF(CM$4=1,IF(INDEX('×入力'!$C$1:$L$700,351+CM$3,CM$2)&lt;&gt;"",1,0),0)</f>
        <v/>
      </c>
      <c r="CN33">
        <f>IF(CN$4=1,IF(INDEX('×入力'!$C$1:$L$700,351+CN$3,CN$2)&lt;&gt;"",1,0),0)</f>
        <v/>
      </c>
      <c r="CO33">
        <f>IF(CO$4=1,IF(INDEX('×入力'!$C$1:$L$700,351+CO$3,CO$2)&lt;&gt;"",1,0),0)</f>
        <v/>
      </c>
      <c r="CP33">
        <f>IF(CP$4=1,IF(INDEX('×入力'!$C$1:$L$700,351+CP$3,CP$2)&lt;&gt;"",1,0),0)</f>
        <v/>
      </c>
      <c r="CQ33">
        <f>IF(CQ$4=1,IF(INDEX('×入力'!$C$1:$L$700,351+CQ$3,CQ$2)&lt;&gt;"",1,0),0)</f>
        <v/>
      </c>
      <c r="CR33">
        <f>IF(CR$4=1,IF(INDEX('×入力'!$C$1:$L$700,351+CR$3,CR$2)&lt;&gt;"",1,0),0)</f>
        <v/>
      </c>
      <c r="CS33">
        <f>IF(CS$4=1,IF(INDEX('×入力'!$C$1:$L$700,351+CS$3,CS$2)&lt;&gt;"",1,0),0)</f>
        <v/>
      </c>
      <c r="CT33">
        <f>IF(CT$4=1,IF(INDEX('×入力'!$C$1:$L$700,351+CT$3,CT$2)&lt;&gt;"",1,0),0)</f>
        <v/>
      </c>
      <c r="CU33">
        <f>IF(CU$4=1,IF(INDEX('×入力'!$C$1:$L$700,351+CU$3,CU$2)&lt;&gt;"",1,0),0)</f>
        <v/>
      </c>
      <c r="CV33">
        <f>IF(CV$4=1,IF(INDEX('×入力'!$C$1:$L$700,351+CV$3,CV$2)&lt;&gt;"",1,0),0)</f>
        <v/>
      </c>
      <c r="CW33">
        <f>IF(CW$4=1,IF(INDEX('×入力'!$C$1:$L$700,351+CW$3,CW$2)&lt;&gt;"",1,0),0)</f>
        <v/>
      </c>
      <c r="CX33">
        <f>IF(CX$4=1,IF(INDEX('×入力'!$C$1:$L$700,351+CX$3,CX$2)&lt;&gt;"",1,0),0)</f>
        <v/>
      </c>
      <c r="CY33">
        <f>IF(CY$4=1,IF(INDEX('×入力'!$C$1:$L$700,351+CY$3,CY$2)&lt;&gt;"",1,0),0)</f>
        <v/>
      </c>
      <c r="CZ33">
        <f>IF(CZ$4=1,IF(INDEX('×入力'!$C$1:$L$700,351+CZ$3,CZ$2)&lt;&gt;"",1,0),0)</f>
        <v/>
      </c>
      <c r="DA33">
        <f>IF(DA$4=1,IF(INDEX('×入力'!$C$1:$L$700,351+DA$3,DA$2)&lt;&gt;"",1,0),0)</f>
        <v/>
      </c>
      <c r="DB33">
        <f>IF(DB$4=1,IF(INDEX('×入力'!$C$1:$L$700,351+DB$3,DB$2)&lt;&gt;"",1,0),0)</f>
        <v/>
      </c>
      <c r="DC33">
        <f>IF(DC$4=1,IF(INDEX('×入力'!$C$1:$L$700,351+DC$3,DC$2)&lt;&gt;"",1,0),0)</f>
        <v/>
      </c>
      <c r="DD33">
        <f>IF(DD$4=1,IF(INDEX('×入力'!$C$1:$L$700,351+DD$3,DD$2)&lt;&gt;"",1,0),0)</f>
        <v/>
      </c>
      <c r="DE33">
        <f>IF(DE$4=1,IF(INDEX('×入力'!$C$1:$L$700,351+DE$3,DE$2)&lt;&gt;"",1,0),0)</f>
        <v/>
      </c>
      <c r="DF33">
        <f>IF(DF$4=1,IF(INDEX('×入力'!$C$1:$L$700,351+DF$3,DF$2)&lt;&gt;"",1,0),0)</f>
        <v/>
      </c>
      <c r="DG33">
        <f>IF(DG$4=1,IF(INDEX('×入力'!$C$1:$L$700,351+DG$3,DG$2)&lt;&gt;"",1,0),0)</f>
        <v/>
      </c>
      <c r="DH33">
        <f>IF(DH$4=1,IF(INDEX('×入力'!$C$1:$L$700,351+DH$3,DH$2)&lt;&gt;"",1,0),0)</f>
        <v/>
      </c>
      <c r="DI33">
        <f>IF(DI$4=1,IF(INDEX('×入力'!$C$1:$L$700,351+DI$3,DI$2)&lt;&gt;"",1,0),0)</f>
        <v/>
      </c>
      <c r="DJ33">
        <f>IF(DJ$4=1,IF(INDEX('×入力'!$C$1:$L$700,351+DJ$3,DJ$2)&lt;&gt;"",1,0),0)</f>
        <v/>
      </c>
      <c r="DK33">
        <f>IF(DK$4=1,IF(INDEX('×入力'!$C$1:$L$700,351+DK$3,DK$2)&lt;&gt;"",1,0),0)</f>
        <v/>
      </c>
      <c r="DL33">
        <f>IF(DL$4=1,IF(INDEX('×入力'!$C$1:$L$700,351+DL$3,DL$2)&lt;&gt;"",1,0),0)</f>
        <v/>
      </c>
      <c r="DM33">
        <f>IF(DM$4=1,IF(INDEX('×入力'!$C$1:$L$700,351+DM$3,DM$2)&lt;&gt;"",1,0),0)</f>
        <v/>
      </c>
      <c r="DN33">
        <f>IF(DN$4=1,IF(INDEX('×入力'!$C$1:$L$700,351+DN$3,DN$2)&lt;&gt;"",1,0),0)</f>
        <v/>
      </c>
      <c r="DO33">
        <f>IF(DO$4=1,IF(INDEX('×入力'!$C$1:$L$700,351+DO$3,DO$2)&lt;&gt;"",1,0),0)</f>
        <v/>
      </c>
      <c r="DP33">
        <f>IF(DP$4=1,IF(INDEX('×入力'!$C$1:$L$700,351+DP$3,DP$2)&lt;&gt;"",1,0),0)</f>
        <v/>
      </c>
      <c r="DQ33">
        <f>IF(DQ$4=1,IF(INDEX('×入力'!$C$1:$L$700,351+DQ$3,DQ$2)&lt;&gt;"",1,0),0)</f>
        <v/>
      </c>
      <c r="DR33">
        <f>IF(DR$4=1,IF(INDEX('×入力'!$C$1:$L$700,351+DR$3,DR$2)&lt;&gt;"",1,0),0)</f>
        <v/>
      </c>
      <c r="DS33">
        <f>IF(DS$4=1,IF(INDEX('×入力'!$C$1:$L$700,351+DS$3,DS$2)&lt;&gt;"",1,0),0)</f>
        <v/>
      </c>
      <c r="DU33">
        <f>IFERROR(INDEX('計算B'!$C$3:$C$47,MATCH(A33,'計算B'!$B$3:$B$47,0)),0)</f>
        <v/>
      </c>
      <c r="DV33">
        <f>IF(AND(C33=1,DU33=0),1,0)</f>
        <v/>
      </c>
      <c r="DW33">
        <f>SUMPRODUCT(D83:DS83*(1-$D$7:$DS$7))</f>
        <v/>
      </c>
      <c r="DX33">
        <f>SUM(D33:DS33)</f>
        <v/>
      </c>
      <c r="DY33">
        <f>IF(B33="",0,IF(COUNTIF('割り当て'!$C$6:$L$17,B33)=1,SUMPRODUCT(('割り当て'!$C$6:$L$17=B33)*((COLUMN('割り当て'!$C$6:$L$17)-3)*12+ROW('割り当て'!$C$6:$L$17)-5)),0))</f>
        <v/>
      </c>
      <c r="DZ33">
        <f>IFERROR(MATCH('名簿'!E28,{"早い時刻","遅い時刻","早い日","遅い日"},0),0)</f>
        <v/>
      </c>
      <c r="EA33">
        <f>IF('名簿'!F28="必ず空けたい",2,IF('名簿'!F28="出来れば空けたい",1,0))</f>
        <v/>
      </c>
    </row>
    <row r="34">
      <c r="A34" t="n">
        <v>25</v>
      </c>
      <c r="B34">
        <f>'名簿'!G29</f>
        <v/>
      </c>
      <c r="C34">
        <f>IF(AND(B34&lt;&gt;"",OR('名簿'!H29="入力済み",'名簿'!H29="×なし"),DY34=0,COUNTIF('割り当て'!$C$6:$L$17,B34)=0),1,0)</f>
        <v/>
      </c>
      <c r="D34">
        <f>IF(D$4=1,IF(INDEX('×入力'!$C$1:$L$700,366+D$3,D$2)&lt;&gt;"",1,0),0)</f>
        <v/>
      </c>
      <c r="E34">
        <f>IF(E$4=1,IF(INDEX('×入力'!$C$1:$L$700,366+E$3,E$2)&lt;&gt;"",1,0),0)</f>
        <v/>
      </c>
      <c r="F34">
        <f>IF(F$4=1,IF(INDEX('×入力'!$C$1:$L$700,366+F$3,F$2)&lt;&gt;"",1,0),0)</f>
        <v/>
      </c>
      <c r="G34">
        <f>IF(G$4=1,IF(INDEX('×入力'!$C$1:$L$700,366+G$3,G$2)&lt;&gt;"",1,0),0)</f>
        <v/>
      </c>
      <c r="H34">
        <f>IF(H$4=1,IF(INDEX('×入力'!$C$1:$L$700,366+H$3,H$2)&lt;&gt;"",1,0),0)</f>
        <v/>
      </c>
      <c r="I34">
        <f>IF(I$4=1,IF(INDEX('×入力'!$C$1:$L$700,366+I$3,I$2)&lt;&gt;"",1,0),0)</f>
        <v/>
      </c>
      <c r="J34">
        <f>IF(J$4=1,IF(INDEX('×入力'!$C$1:$L$700,366+J$3,J$2)&lt;&gt;"",1,0),0)</f>
        <v/>
      </c>
      <c r="K34">
        <f>IF(K$4=1,IF(INDEX('×入力'!$C$1:$L$700,366+K$3,K$2)&lt;&gt;"",1,0),0)</f>
        <v/>
      </c>
      <c r="L34">
        <f>IF(L$4=1,IF(INDEX('×入力'!$C$1:$L$700,366+L$3,L$2)&lt;&gt;"",1,0),0)</f>
        <v/>
      </c>
      <c r="M34">
        <f>IF(M$4=1,IF(INDEX('×入力'!$C$1:$L$700,366+M$3,M$2)&lt;&gt;"",1,0),0)</f>
        <v/>
      </c>
      <c r="N34">
        <f>IF(N$4=1,IF(INDEX('×入力'!$C$1:$L$700,366+N$3,N$2)&lt;&gt;"",1,0),0)</f>
        <v/>
      </c>
      <c r="O34">
        <f>IF(O$4=1,IF(INDEX('×入力'!$C$1:$L$700,366+O$3,O$2)&lt;&gt;"",1,0),0)</f>
        <v/>
      </c>
      <c r="P34">
        <f>IF(P$4=1,IF(INDEX('×入力'!$C$1:$L$700,366+P$3,P$2)&lt;&gt;"",1,0),0)</f>
        <v/>
      </c>
      <c r="Q34">
        <f>IF(Q$4=1,IF(INDEX('×入力'!$C$1:$L$700,366+Q$3,Q$2)&lt;&gt;"",1,0),0)</f>
        <v/>
      </c>
      <c r="R34">
        <f>IF(R$4=1,IF(INDEX('×入力'!$C$1:$L$700,366+R$3,R$2)&lt;&gt;"",1,0),0)</f>
        <v/>
      </c>
      <c r="S34">
        <f>IF(S$4=1,IF(INDEX('×入力'!$C$1:$L$700,366+S$3,S$2)&lt;&gt;"",1,0),0)</f>
        <v/>
      </c>
      <c r="T34">
        <f>IF(T$4=1,IF(INDEX('×入力'!$C$1:$L$700,366+T$3,T$2)&lt;&gt;"",1,0),0)</f>
        <v/>
      </c>
      <c r="U34">
        <f>IF(U$4=1,IF(INDEX('×入力'!$C$1:$L$700,366+U$3,U$2)&lt;&gt;"",1,0),0)</f>
        <v/>
      </c>
      <c r="V34">
        <f>IF(V$4=1,IF(INDEX('×入力'!$C$1:$L$700,366+V$3,V$2)&lt;&gt;"",1,0),0)</f>
        <v/>
      </c>
      <c r="W34">
        <f>IF(W$4=1,IF(INDEX('×入力'!$C$1:$L$700,366+W$3,W$2)&lt;&gt;"",1,0),0)</f>
        <v/>
      </c>
      <c r="X34">
        <f>IF(X$4=1,IF(INDEX('×入力'!$C$1:$L$700,366+X$3,X$2)&lt;&gt;"",1,0),0)</f>
        <v/>
      </c>
      <c r="Y34">
        <f>IF(Y$4=1,IF(INDEX('×入力'!$C$1:$L$700,366+Y$3,Y$2)&lt;&gt;"",1,0),0)</f>
        <v/>
      </c>
      <c r="Z34">
        <f>IF(Z$4=1,IF(INDEX('×入力'!$C$1:$L$700,366+Z$3,Z$2)&lt;&gt;"",1,0),0)</f>
        <v/>
      </c>
      <c r="AA34">
        <f>IF(AA$4=1,IF(INDEX('×入力'!$C$1:$L$700,366+AA$3,AA$2)&lt;&gt;"",1,0),0)</f>
        <v/>
      </c>
      <c r="AB34">
        <f>IF(AB$4=1,IF(INDEX('×入力'!$C$1:$L$700,366+AB$3,AB$2)&lt;&gt;"",1,0),0)</f>
        <v/>
      </c>
      <c r="AC34">
        <f>IF(AC$4=1,IF(INDEX('×入力'!$C$1:$L$700,366+AC$3,AC$2)&lt;&gt;"",1,0),0)</f>
        <v/>
      </c>
      <c r="AD34">
        <f>IF(AD$4=1,IF(INDEX('×入力'!$C$1:$L$700,366+AD$3,AD$2)&lt;&gt;"",1,0),0)</f>
        <v/>
      </c>
      <c r="AE34">
        <f>IF(AE$4=1,IF(INDEX('×入力'!$C$1:$L$700,366+AE$3,AE$2)&lt;&gt;"",1,0),0)</f>
        <v/>
      </c>
      <c r="AF34">
        <f>IF(AF$4=1,IF(INDEX('×入力'!$C$1:$L$700,366+AF$3,AF$2)&lt;&gt;"",1,0),0)</f>
        <v/>
      </c>
      <c r="AG34">
        <f>IF(AG$4=1,IF(INDEX('×入力'!$C$1:$L$700,366+AG$3,AG$2)&lt;&gt;"",1,0),0)</f>
        <v/>
      </c>
      <c r="AH34">
        <f>IF(AH$4=1,IF(INDEX('×入力'!$C$1:$L$700,366+AH$3,AH$2)&lt;&gt;"",1,0),0)</f>
        <v/>
      </c>
      <c r="AI34">
        <f>IF(AI$4=1,IF(INDEX('×入力'!$C$1:$L$700,366+AI$3,AI$2)&lt;&gt;"",1,0),0)</f>
        <v/>
      </c>
      <c r="AJ34">
        <f>IF(AJ$4=1,IF(INDEX('×入力'!$C$1:$L$700,366+AJ$3,AJ$2)&lt;&gt;"",1,0),0)</f>
        <v/>
      </c>
      <c r="AK34">
        <f>IF(AK$4=1,IF(INDEX('×入力'!$C$1:$L$700,366+AK$3,AK$2)&lt;&gt;"",1,0),0)</f>
        <v/>
      </c>
      <c r="AL34">
        <f>IF(AL$4=1,IF(INDEX('×入力'!$C$1:$L$700,366+AL$3,AL$2)&lt;&gt;"",1,0),0)</f>
        <v/>
      </c>
      <c r="AM34">
        <f>IF(AM$4=1,IF(INDEX('×入力'!$C$1:$L$700,366+AM$3,AM$2)&lt;&gt;"",1,0),0)</f>
        <v/>
      </c>
      <c r="AN34">
        <f>IF(AN$4=1,IF(INDEX('×入力'!$C$1:$L$700,366+AN$3,AN$2)&lt;&gt;"",1,0),0)</f>
        <v/>
      </c>
      <c r="AO34">
        <f>IF(AO$4=1,IF(INDEX('×入力'!$C$1:$L$700,366+AO$3,AO$2)&lt;&gt;"",1,0),0)</f>
        <v/>
      </c>
      <c r="AP34">
        <f>IF(AP$4=1,IF(INDEX('×入力'!$C$1:$L$700,366+AP$3,AP$2)&lt;&gt;"",1,0),0)</f>
        <v/>
      </c>
      <c r="AQ34">
        <f>IF(AQ$4=1,IF(INDEX('×入力'!$C$1:$L$700,366+AQ$3,AQ$2)&lt;&gt;"",1,0),0)</f>
        <v/>
      </c>
      <c r="AR34">
        <f>IF(AR$4=1,IF(INDEX('×入力'!$C$1:$L$700,366+AR$3,AR$2)&lt;&gt;"",1,0),0)</f>
        <v/>
      </c>
      <c r="AS34">
        <f>IF(AS$4=1,IF(INDEX('×入力'!$C$1:$L$700,366+AS$3,AS$2)&lt;&gt;"",1,0),0)</f>
        <v/>
      </c>
      <c r="AT34">
        <f>IF(AT$4=1,IF(INDEX('×入力'!$C$1:$L$700,366+AT$3,AT$2)&lt;&gt;"",1,0),0)</f>
        <v/>
      </c>
      <c r="AU34">
        <f>IF(AU$4=1,IF(INDEX('×入力'!$C$1:$L$700,366+AU$3,AU$2)&lt;&gt;"",1,0),0)</f>
        <v/>
      </c>
      <c r="AV34">
        <f>IF(AV$4=1,IF(INDEX('×入力'!$C$1:$L$700,366+AV$3,AV$2)&lt;&gt;"",1,0),0)</f>
        <v/>
      </c>
      <c r="AW34">
        <f>IF(AW$4=1,IF(INDEX('×入力'!$C$1:$L$700,366+AW$3,AW$2)&lt;&gt;"",1,0),0)</f>
        <v/>
      </c>
      <c r="AX34">
        <f>IF(AX$4=1,IF(INDEX('×入力'!$C$1:$L$700,366+AX$3,AX$2)&lt;&gt;"",1,0),0)</f>
        <v/>
      </c>
      <c r="AY34">
        <f>IF(AY$4=1,IF(INDEX('×入力'!$C$1:$L$700,366+AY$3,AY$2)&lt;&gt;"",1,0),0)</f>
        <v/>
      </c>
      <c r="AZ34">
        <f>IF(AZ$4=1,IF(INDEX('×入力'!$C$1:$L$700,366+AZ$3,AZ$2)&lt;&gt;"",1,0),0)</f>
        <v/>
      </c>
      <c r="BA34">
        <f>IF(BA$4=1,IF(INDEX('×入力'!$C$1:$L$700,366+BA$3,BA$2)&lt;&gt;"",1,0),0)</f>
        <v/>
      </c>
      <c r="BB34">
        <f>IF(BB$4=1,IF(INDEX('×入力'!$C$1:$L$700,366+BB$3,BB$2)&lt;&gt;"",1,0),0)</f>
        <v/>
      </c>
      <c r="BC34">
        <f>IF(BC$4=1,IF(INDEX('×入力'!$C$1:$L$700,366+BC$3,BC$2)&lt;&gt;"",1,0),0)</f>
        <v/>
      </c>
      <c r="BD34">
        <f>IF(BD$4=1,IF(INDEX('×入力'!$C$1:$L$700,366+BD$3,BD$2)&lt;&gt;"",1,0),0)</f>
        <v/>
      </c>
      <c r="BE34">
        <f>IF(BE$4=1,IF(INDEX('×入力'!$C$1:$L$700,366+BE$3,BE$2)&lt;&gt;"",1,0),0)</f>
        <v/>
      </c>
      <c r="BF34">
        <f>IF(BF$4=1,IF(INDEX('×入力'!$C$1:$L$700,366+BF$3,BF$2)&lt;&gt;"",1,0),0)</f>
        <v/>
      </c>
      <c r="BG34">
        <f>IF(BG$4=1,IF(INDEX('×入力'!$C$1:$L$700,366+BG$3,BG$2)&lt;&gt;"",1,0),0)</f>
        <v/>
      </c>
      <c r="BH34">
        <f>IF(BH$4=1,IF(INDEX('×入力'!$C$1:$L$700,366+BH$3,BH$2)&lt;&gt;"",1,0),0)</f>
        <v/>
      </c>
      <c r="BI34">
        <f>IF(BI$4=1,IF(INDEX('×入力'!$C$1:$L$700,366+BI$3,BI$2)&lt;&gt;"",1,0),0)</f>
        <v/>
      </c>
      <c r="BJ34">
        <f>IF(BJ$4=1,IF(INDEX('×入力'!$C$1:$L$700,366+BJ$3,BJ$2)&lt;&gt;"",1,0),0)</f>
        <v/>
      </c>
      <c r="BK34">
        <f>IF(BK$4=1,IF(INDEX('×入力'!$C$1:$L$700,366+BK$3,BK$2)&lt;&gt;"",1,0),0)</f>
        <v/>
      </c>
      <c r="BL34">
        <f>IF(BL$4=1,IF(INDEX('×入力'!$C$1:$L$700,366+BL$3,BL$2)&lt;&gt;"",1,0),0)</f>
        <v/>
      </c>
      <c r="BM34">
        <f>IF(BM$4=1,IF(INDEX('×入力'!$C$1:$L$700,366+BM$3,BM$2)&lt;&gt;"",1,0),0)</f>
        <v/>
      </c>
      <c r="BN34">
        <f>IF(BN$4=1,IF(INDEX('×入力'!$C$1:$L$700,366+BN$3,BN$2)&lt;&gt;"",1,0),0)</f>
        <v/>
      </c>
      <c r="BO34">
        <f>IF(BO$4=1,IF(INDEX('×入力'!$C$1:$L$700,366+BO$3,BO$2)&lt;&gt;"",1,0),0)</f>
        <v/>
      </c>
      <c r="BP34">
        <f>IF(BP$4=1,IF(INDEX('×入力'!$C$1:$L$700,366+BP$3,BP$2)&lt;&gt;"",1,0),0)</f>
        <v/>
      </c>
      <c r="BQ34">
        <f>IF(BQ$4=1,IF(INDEX('×入力'!$C$1:$L$700,366+BQ$3,BQ$2)&lt;&gt;"",1,0),0)</f>
        <v/>
      </c>
      <c r="BR34">
        <f>IF(BR$4=1,IF(INDEX('×入力'!$C$1:$L$700,366+BR$3,BR$2)&lt;&gt;"",1,0),0)</f>
        <v/>
      </c>
      <c r="BS34">
        <f>IF(BS$4=1,IF(INDEX('×入力'!$C$1:$L$700,366+BS$3,BS$2)&lt;&gt;"",1,0),0)</f>
        <v/>
      </c>
      <c r="BT34">
        <f>IF(BT$4=1,IF(INDEX('×入力'!$C$1:$L$700,366+BT$3,BT$2)&lt;&gt;"",1,0),0)</f>
        <v/>
      </c>
      <c r="BU34">
        <f>IF(BU$4=1,IF(INDEX('×入力'!$C$1:$L$700,366+BU$3,BU$2)&lt;&gt;"",1,0),0)</f>
        <v/>
      </c>
      <c r="BV34">
        <f>IF(BV$4=1,IF(INDEX('×入力'!$C$1:$L$700,366+BV$3,BV$2)&lt;&gt;"",1,0),0)</f>
        <v/>
      </c>
      <c r="BW34">
        <f>IF(BW$4=1,IF(INDEX('×入力'!$C$1:$L$700,366+BW$3,BW$2)&lt;&gt;"",1,0),0)</f>
        <v/>
      </c>
      <c r="BX34">
        <f>IF(BX$4=1,IF(INDEX('×入力'!$C$1:$L$700,366+BX$3,BX$2)&lt;&gt;"",1,0),0)</f>
        <v/>
      </c>
      <c r="BY34">
        <f>IF(BY$4=1,IF(INDEX('×入力'!$C$1:$L$700,366+BY$3,BY$2)&lt;&gt;"",1,0),0)</f>
        <v/>
      </c>
      <c r="BZ34">
        <f>IF(BZ$4=1,IF(INDEX('×入力'!$C$1:$L$700,366+BZ$3,BZ$2)&lt;&gt;"",1,0),0)</f>
        <v/>
      </c>
      <c r="CA34">
        <f>IF(CA$4=1,IF(INDEX('×入力'!$C$1:$L$700,366+CA$3,CA$2)&lt;&gt;"",1,0),0)</f>
        <v/>
      </c>
      <c r="CB34">
        <f>IF(CB$4=1,IF(INDEX('×入力'!$C$1:$L$700,366+CB$3,CB$2)&lt;&gt;"",1,0),0)</f>
        <v/>
      </c>
      <c r="CC34">
        <f>IF(CC$4=1,IF(INDEX('×入力'!$C$1:$L$700,366+CC$3,CC$2)&lt;&gt;"",1,0),0)</f>
        <v/>
      </c>
      <c r="CD34">
        <f>IF(CD$4=1,IF(INDEX('×入力'!$C$1:$L$700,366+CD$3,CD$2)&lt;&gt;"",1,0),0)</f>
        <v/>
      </c>
      <c r="CE34">
        <f>IF(CE$4=1,IF(INDEX('×入力'!$C$1:$L$700,366+CE$3,CE$2)&lt;&gt;"",1,0),0)</f>
        <v/>
      </c>
      <c r="CF34">
        <f>IF(CF$4=1,IF(INDEX('×入力'!$C$1:$L$700,366+CF$3,CF$2)&lt;&gt;"",1,0),0)</f>
        <v/>
      </c>
      <c r="CG34">
        <f>IF(CG$4=1,IF(INDEX('×入力'!$C$1:$L$700,366+CG$3,CG$2)&lt;&gt;"",1,0),0)</f>
        <v/>
      </c>
      <c r="CH34">
        <f>IF(CH$4=1,IF(INDEX('×入力'!$C$1:$L$700,366+CH$3,CH$2)&lt;&gt;"",1,0),0)</f>
        <v/>
      </c>
      <c r="CI34">
        <f>IF(CI$4=1,IF(INDEX('×入力'!$C$1:$L$700,366+CI$3,CI$2)&lt;&gt;"",1,0),0)</f>
        <v/>
      </c>
      <c r="CJ34">
        <f>IF(CJ$4=1,IF(INDEX('×入力'!$C$1:$L$700,366+CJ$3,CJ$2)&lt;&gt;"",1,0),0)</f>
        <v/>
      </c>
      <c r="CK34">
        <f>IF(CK$4=1,IF(INDEX('×入力'!$C$1:$L$700,366+CK$3,CK$2)&lt;&gt;"",1,0),0)</f>
        <v/>
      </c>
      <c r="CL34">
        <f>IF(CL$4=1,IF(INDEX('×入力'!$C$1:$L$700,366+CL$3,CL$2)&lt;&gt;"",1,0),0)</f>
        <v/>
      </c>
      <c r="CM34">
        <f>IF(CM$4=1,IF(INDEX('×入力'!$C$1:$L$700,366+CM$3,CM$2)&lt;&gt;"",1,0),0)</f>
        <v/>
      </c>
      <c r="CN34">
        <f>IF(CN$4=1,IF(INDEX('×入力'!$C$1:$L$700,366+CN$3,CN$2)&lt;&gt;"",1,0),0)</f>
        <v/>
      </c>
      <c r="CO34">
        <f>IF(CO$4=1,IF(INDEX('×入力'!$C$1:$L$700,366+CO$3,CO$2)&lt;&gt;"",1,0),0)</f>
        <v/>
      </c>
      <c r="CP34">
        <f>IF(CP$4=1,IF(INDEX('×入力'!$C$1:$L$700,366+CP$3,CP$2)&lt;&gt;"",1,0),0)</f>
        <v/>
      </c>
      <c r="CQ34">
        <f>IF(CQ$4=1,IF(INDEX('×入力'!$C$1:$L$700,366+CQ$3,CQ$2)&lt;&gt;"",1,0),0)</f>
        <v/>
      </c>
      <c r="CR34">
        <f>IF(CR$4=1,IF(INDEX('×入力'!$C$1:$L$700,366+CR$3,CR$2)&lt;&gt;"",1,0),0)</f>
        <v/>
      </c>
      <c r="CS34">
        <f>IF(CS$4=1,IF(INDEX('×入力'!$C$1:$L$700,366+CS$3,CS$2)&lt;&gt;"",1,0),0)</f>
        <v/>
      </c>
      <c r="CT34">
        <f>IF(CT$4=1,IF(INDEX('×入力'!$C$1:$L$700,366+CT$3,CT$2)&lt;&gt;"",1,0),0)</f>
        <v/>
      </c>
      <c r="CU34">
        <f>IF(CU$4=1,IF(INDEX('×入力'!$C$1:$L$700,366+CU$3,CU$2)&lt;&gt;"",1,0),0)</f>
        <v/>
      </c>
      <c r="CV34">
        <f>IF(CV$4=1,IF(INDEX('×入力'!$C$1:$L$700,366+CV$3,CV$2)&lt;&gt;"",1,0),0)</f>
        <v/>
      </c>
      <c r="CW34">
        <f>IF(CW$4=1,IF(INDEX('×入力'!$C$1:$L$700,366+CW$3,CW$2)&lt;&gt;"",1,0),0)</f>
        <v/>
      </c>
      <c r="CX34">
        <f>IF(CX$4=1,IF(INDEX('×入力'!$C$1:$L$700,366+CX$3,CX$2)&lt;&gt;"",1,0),0)</f>
        <v/>
      </c>
      <c r="CY34">
        <f>IF(CY$4=1,IF(INDEX('×入力'!$C$1:$L$700,366+CY$3,CY$2)&lt;&gt;"",1,0),0)</f>
        <v/>
      </c>
      <c r="CZ34">
        <f>IF(CZ$4=1,IF(INDEX('×入力'!$C$1:$L$700,366+CZ$3,CZ$2)&lt;&gt;"",1,0),0)</f>
        <v/>
      </c>
      <c r="DA34">
        <f>IF(DA$4=1,IF(INDEX('×入力'!$C$1:$L$700,366+DA$3,DA$2)&lt;&gt;"",1,0),0)</f>
        <v/>
      </c>
      <c r="DB34">
        <f>IF(DB$4=1,IF(INDEX('×入力'!$C$1:$L$700,366+DB$3,DB$2)&lt;&gt;"",1,0),0)</f>
        <v/>
      </c>
      <c r="DC34">
        <f>IF(DC$4=1,IF(INDEX('×入力'!$C$1:$L$700,366+DC$3,DC$2)&lt;&gt;"",1,0),0)</f>
        <v/>
      </c>
      <c r="DD34">
        <f>IF(DD$4=1,IF(INDEX('×入力'!$C$1:$L$700,366+DD$3,DD$2)&lt;&gt;"",1,0),0)</f>
        <v/>
      </c>
      <c r="DE34">
        <f>IF(DE$4=1,IF(INDEX('×入力'!$C$1:$L$700,366+DE$3,DE$2)&lt;&gt;"",1,0),0)</f>
        <v/>
      </c>
      <c r="DF34">
        <f>IF(DF$4=1,IF(INDEX('×入力'!$C$1:$L$700,366+DF$3,DF$2)&lt;&gt;"",1,0),0)</f>
        <v/>
      </c>
      <c r="DG34">
        <f>IF(DG$4=1,IF(INDEX('×入力'!$C$1:$L$700,366+DG$3,DG$2)&lt;&gt;"",1,0),0)</f>
        <v/>
      </c>
      <c r="DH34">
        <f>IF(DH$4=1,IF(INDEX('×入力'!$C$1:$L$700,366+DH$3,DH$2)&lt;&gt;"",1,0),0)</f>
        <v/>
      </c>
      <c r="DI34">
        <f>IF(DI$4=1,IF(INDEX('×入力'!$C$1:$L$700,366+DI$3,DI$2)&lt;&gt;"",1,0),0)</f>
        <v/>
      </c>
      <c r="DJ34">
        <f>IF(DJ$4=1,IF(INDEX('×入力'!$C$1:$L$700,366+DJ$3,DJ$2)&lt;&gt;"",1,0),0)</f>
        <v/>
      </c>
      <c r="DK34">
        <f>IF(DK$4=1,IF(INDEX('×入力'!$C$1:$L$700,366+DK$3,DK$2)&lt;&gt;"",1,0),0)</f>
        <v/>
      </c>
      <c r="DL34">
        <f>IF(DL$4=1,IF(INDEX('×入力'!$C$1:$L$700,366+DL$3,DL$2)&lt;&gt;"",1,0),0)</f>
        <v/>
      </c>
      <c r="DM34">
        <f>IF(DM$4=1,IF(INDEX('×入力'!$C$1:$L$700,366+DM$3,DM$2)&lt;&gt;"",1,0),0)</f>
        <v/>
      </c>
      <c r="DN34">
        <f>IF(DN$4=1,IF(INDEX('×入力'!$C$1:$L$700,366+DN$3,DN$2)&lt;&gt;"",1,0),0)</f>
        <v/>
      </c>
      <c r="DO34">
        <f>IF(DO$4=1,IF(INDEX('×入力'!$C$1:$L$700,366+DO$3,DO$2)&lt;&gt;"",1,0),0)</f>
        <v/>
      </c>
      <c r="DP34">
        <f>IF(DP$4=1,IF(INDEX('×入力'!$C$1:$L$700,366+DP$3,DP$2)&lt;&gt;"",1,0),0)</f>
        <v/>
      </c>
      <c r="DQ34">
        <f>IF(DQ$4=1,IF(INDEX('×入力'!$C$1:$L$700,366+DQ$3,DQ$2)&lt;&gt;"",1,0),0)</f>
        <v/>
      </c>
      <c r="DR34">
        <f>IF(DR$4=1,IF(INDEX('×入力'!$C$1:$L$700,366+DR$3,DR$2)&lt;&gt;"",1,0),0)</f>
        <v/>
      </c>
      <c r="DS34">
        <f>IF(DS$4=1,IF(INDEX('×入力'!$C$1:$L$700,366+DS$3,DS$2)&lt;&gt;"",1,0),0)</f>
        <v/>
      </c>
      <c r="DU34">
        <f>IFERROR(INDEX('計算B'!$C$3:$C$47,MATCH(A34,'計算B'!$B$3:$B$47,0)),0)</f>
        <v/>
      </c>
      <c r="DV34">
        <f>IF(AND(C34=1,DU34=0),1,0)</f>
        <v/>
      </c>
      <c r="DW34">
        <f>SUMPRODUCT(D84:DS84*(1-$D$7:$DS$7))</f>
        <v/>
      </c>
      <c r="DX34">
        <f>SUM(D34:DS34)</f>
        <v/>
      </c>
      <c r="DY34">
        <f>IF(B34="",0,IF(COUNTIF('割り当て'!$C$6:$L$17,B34)=1,SUMPRODUCT(('割り当て'!$C$6:$L$17=B34)*((COLUMN('割り当て'!$C$6:$L$17)-3)*12+ROW('割り当て'!$C$6:$L$17)-5)),0))</f>
        <v/>
      </c>
      <c r="DZ34">
        <f>IFERROR(MATCH('名簿'!E29,{"早い時刻","遅い時刻","早い日","遅い日"},0),0)</f>
        <v/>
      </c>
      <c r="EA34">
        <f>IF('名簿'!F29="必ず空けたい",2,IF('名簿'!F29="出来れば空けたい",1,0))</f>
        <v/>
      </c>
    </row>
    <row r="35">
      <c r="A35" t="n">
        <v>26</v>
      </c>
      <c r="B35">
        <f>'名簿'!G30</f>
        <v/>
      </c>
      <c r="C35">
        <f>IF(AND(B35&lt;&gt;"",OR('名簿'!H30="入力済み",'名簿'!H30="×なし"),DY35=0,COUNTIF('割り当て'!$C$6:$L$17,B35)=0),1,0)</f>
        <v/>
      </c>
      <c r="D35">
        <f>IF(D$4=1,IF(INDEX('×入力'!$C$1:$L$700,381+D$3,D$2)&lt;&gt;"",1,0),0)</f>
        <v/>
      </c>
      <c r="E35">
        <f>IF(E$4=1,IF(INDEX('×入力'!$C$1:$L$700,381+E$3,E$2)&lt;&gt;"",1,0),0)</f>
        <v/>
      </c>
      <c r="F35">
        <f>IF(F$4=1,IF(INDEX('×入力'!$C$1:$L$700,381+F$3,F$2)&lt;&gt;"",1,0),0)</f>
        <v/>
      </c>
      <c r="G35">
        <f>IF(G$4=1,IF(INDEX('×入力'!$C$1:$L$700,381+G$3,G$2)&lt;&gt;"",1,0),0)</f>
        <v/>
      </c>
      <c r="H35">
        <f>IF(H$4=1,IF(INDEX('×入力'!$C$1:$L$700,381+H$3,H$2)&lt;&gt;"",1,0),0)</f>
        <v/>
      </c>
      <c r="I35">
        <f>IF(I$4=1,IF(INDEX('×入力'!$C$1:$L$700,381+I$3,I$2)&lt;&gt;"",1,0),0)</f>
        <v/>
      </c>
      <c r="J35">
        <f>IF(J$4=1,IF(INDEX('×入力'!$C$1:$L$700,381+J$3,J$2)&lt;&gt;"",1,0),0)</f>
        <v/>
      </c>
      <c r="K35">
        <f>IF(K$4=1,IF(INDEX('×入力'!$C$1:$L$700,381+K$3,K$2)&lt;&gt;"",1,0),0)</f>
        <v/>
      </c>
      <c r="L35">
        <f>IF(L$4=1,IF(INDEX('×入力'!$C$1:$L$700,381+L$3,L$2)&lt;&gt;"",1,0),0)</f>
        <v/>
      </c>
      <c r="M35">
        <f>IF(M$4=1,IF(INDEX('×入力'!$C$1:$L$700,381+M$3,M$2)&lt;&gt;"",1,0),0)</f>
        <v/>
      </c>
      <c r="N35">
        <f>IF(N$4=1,IF(INDEX('×入力'!$C$1:$L$700,381+N$3,N$2)&lt;&gt;"",1,0),0)</f>
        <v/>
      </c>
      <c r="O35">
        <f>IF(O$4=1,IF(INDEX('×入力'!$C$1:$L$700,381+O$3,O$2)&lt;&gt;"",1,0),0)</f>
        <v/>
      </c>
      <c r="P35">
        <f>IF(P$4=1,IF(INDEX('×入力'!$C$1:$L$700,381+P$3,P$2)&lt;&gt;"",1,0),0)</f>
        <v/>
      </c>
      <c r="Q35">
        <f>IF(Q$4=1,IF(INDEX('×入力'!$C$1:$L$700,381+Q$3,Q$2)&lt;&gt;"",1,0),0)</f>
        <v/>
      </c>
      <c r="R35">
        <f>IF(R$4=1,IF(INDEX('×入力'!$C$1:$L$700,381+R$3,R$2)&lt;&gt;"",1,0),0)</f>
        <v/>
      </c>
      <c r="S35">
        <f>IF(S$4=1,IF(INDEX('×入力'!$C$1:$L$700,381+S$3,S$2)&lt;&gt;"",1,0),0)</f>
        <v/>
      </c>
      <c r="T35">
        <f>IF(T$4=1,IF(INDEX('×入力'!$C$1:$L$700,381+T$3,T$2)&lt;&gt;"",1,0),0)</f>
        <v/>
      </c>
      <c r="U35">
        <f>IF(U$4=1,IF(INDEX('×入力'!$C$1:$L$700,381+U$3,U$2)&lt;&gt;"",1,0),0)</f>
        <v/>
      </c>
      <c r="V35">
        <f>IF(V$4=1,IF(INDEX('×入力'!$C$1:$L$700,381+V$3,V$2)&lt;&gt;"",1,0),0)</f>
        <v/>
      </c>
      <c r="W35">
        <f>IF(W$4=1,IF(INDEX('×入力'!$C$1:$L$700,381+W$3,W$2)&lt;&gt;"",1,0),0)</f>
        <v/>
      </c>
      <c r="X35">
        <f>IF(X$4=1,IF(INDEX('×入力'!$C$1:$L$700,381+X$3,X$2)&lt;&gt;"",1,0),0)</f>
        <v/>
      </c>
      <c r="Y35">
        <f>IF(Y$4=1,IF(INDEX('×入力'!$C$1:$L$700,381+Y$3,Y$2)&lt;&gt;"",1,0),0)</f>
        <v/>
      </c>
      <c r="Z35">
        <f>IF(Z$4=1,IF(INDEX('×入力'!$C$1:$L$700,381+Z$3,Z$2)&lt;&gt;"",1,0),0)</f>
        <v/>
      </c>
      <c r="AA35">
        <f>IF(AA$4=1,IF(INDEX('×入力'!$C$1:$L$700,381+AA$3,AA$2)&lt;&gt;"",1,0),0)</f>
        <v/>
      </c>
      <c r="AB35">
        <f>IF(AB$4=1,IF(INDEX('×入力'!$C$1:$L$700,381+AB$3,AB$2)&lt;&gt;"",1,0),0)</f>
        <v/>
      </c>
      <c r="AC35">
        <f>IF(AC$4=1,IF(INDEX('×入力'!$C$1:$L$700,381+AC$3,AC$2)&lt;&gt;"",1,0),0)</f>
        <v/>
      </c>
      <c r="AD35">
        <f>IF(AD$4=1,IF(INDEX('×入力'!$C$1:$L$700,381+AD$3,AD$2)&lt;&gt;"",1,0),0)</f>
        <v/>
      </c>
      <c r="AE35">
        <f>IF(AE$4=1,IF(INDEX('×入力'!$C$1:$L$700,381+AE$3,AE$2)&lt;&gt;"",1,0),0)</f>
        <v/>
      </c>
      <c r="AF35">
        <f>IF(AF$4=1,IF(INDEX('×入力'!$C$1:$L$700,381+AF$3,AF$2)&lt;&gt;"",1,0),0)</f>
        <v/>
      </c>
      <c r="AG35">
        <f>IF(AG$4=1,IF(INDEX('×入力'!$C$1:$L$700,381+AG$3,AG$2)&lt;&gt;"",1,0),0)</f>
        <v/>
      </c>
      <c r="AH35">
        <f>IF(AH$4=1,IF(INDEX('×入力'!$C$1:$L$700,381+AH$3,AH$2)&lt;&gt;"",1,0),0)</f>
        <v/>
      </c>
      <c r="AI35">
        <f>IF(AI$4=1,IF(INDEX('×入力'!$C$1:$L$700,381+AI$3,AI$2)&lt;&gt;"",1,0),0)</f>
        <v/>
      </c>
      <c r="AJ35">
        <f>IF(AJ$4=1,IF(INDEX('×入力'!$C$1:$L$700,381+AJ$3,AJ$2)&lt;&gt;"",1,0),0)</f>
        <v/>
      </c>
      <c r="AK35">
        <f>IF(AK$4=1,IF(INDEX('×入力'!$C$1:$L$700,381+AK$3,AK$2)&lt;&gt;"",1,0),0)</f>
        <v/>
      </c>
      <c r="AL35">
        <f>IF(AL$4=1,IF(INDEX('×入力'!$C$1:$L$700,381+AL$3,AL$2)&lt;&gt;"",1,0),0)</f>
        <v/>
      </c>
      <c r="AM35">
        <f>IF(AM$4=1,IF(INDEX('×入力'!$C$1:$L$700,381+AM$3,AM$2)&lt;&gt;"",1,0),0)</f>
        <v/>
      </c>
      <c r="AN35">
        <f>IF(AN$4=1,IF(INDEX('×入力'!$C$1:$L$700,381+AN$3,AN$2)&lt;&gt;"",1,0),0)</f>
        <v/>
      </c>
      <c r="AO35">
        <f>IF(AO$4=1,IF(INDEX('×入力'!$C$1:$L$700,381+AO$3,AO$2)&lt;&gt;"",1,0),0)</f>
        <v/>
      </c>
      <c r="AP35">
        <f>IF(AP$4=1,IF(INDEX('×入力'!$C$1:$L$700,381+AP$3,AP$2)&lt;&gt;"",1,0),0)</f>
        <v/>
      </c>
      <c r="AQ35">
        <f>IF(AQ$4=1,IF(INDEX('×入力'!$C$1:$L$700,381+AQ$3,AQ$2)&lt;&gt;"",1,0),0)</f>
        <v/>
      </c>
      <c r="AR35">
        <f>IF(AR$4=1,IF(INDEX('×入力'!$C$1:$L$700,381+AR$3,AR$2)&lt;&gt;"",1,0),0)</f>
        <v/>
      </c>
      <c r="AS35">
        <f>IF(AS$4=1,IF(INDEX('×入力'!$C$1:$L$700,381+AS$3,AS$2)&lt;&gt;"",1,0),0)</f>
        <v/>
      </c>
      <c r="AT35">
        <f>IF(AT$4=1,IF(INDEX('×入力'!$C$1:$L$700,381+AT$3,AT$2)&lt;&gt;"",1,0),0)</f>
        <v/>
      </c>
      <c r="AU35">
        <f>IF(AU$4=1,IF(INDEX('×入力'!$C$1:$L$700,381+AU$3,AU$2)&lt;&gt;"",1,0),0)</f>
        <v/>
      </c>
      <c r="AV35">
        <f>IF(AV$4=1,IF(INDEX('×入力'!$C$1:$L$700,381+AV$3,AV$2)&lt;&gt;"",1,0),0)</f>
        <v/>
      </c>
      <c r="AW35">
        <f>IF(AW$4=1,IF(INDEX('×入力'!$C$1:$L$700,381+AW$3,AW$2)&lt;&gt;"",1,0),0)</f>
        <v/>
      </c>
      <c r="AX35">
        <f>IF(AX$4=1,IF(INDEX('×入力'!$C$1:$L$700,381+AX$3,AX$2)&lt;&gt;"",1,0),0)</f>
        <v/>
      </c>
      <c r="AY35">
        <f>IF(AY$4=1,IF(INDEX('×入力'!$C$1:$L$700,381+AY$3,AY$2)&lt;&gt;"",1,0),0)</f>
        <v/>
      </c>
      <c r="AZ35">
        <f>IF(AZ$4=1,IF(INDEX('×入力'!$C$1:$L$700,381+AZ$3,AZ$2)&lt;&gt;"",1,0),0)</f>
        <v/>
      </c>
      <c r="BA35">
        <f>IF(BA$4=1,IF(INDEX('×入力'!$C$1:$L$700,381+BA$3,BA$2)&lt;&gt;"",1,0),0)</f>
        <v/>
      </c>
      <c r="BB35">
        <f>IF(BB$4=1,IF(INDEX('×入力'!$C$1:$L$700,381+BB$3,BB$2)&lt;&gt;"",1,0),0)</f>
        <v/>
      </c>
      <c r="BC35">
        <f>IF(BC$4=1,IF(INDEX('×入力'!$C$1:$L$700,381+BC$3,BC$2)&lt;&gt;"",1,0),0)</f>
        <v/>
      </c>
      <c r="BD35">
        <f>IF(BD$4=1,IF(INDEX('×入力'!$C$1:$L$700,381+BD$3,BD$2)&lt;&gt;"",1,0),0)</f>
        <v/>
      </c>
      <c r="BE35">
        <f>IF(BE$4=1,IF(INDEX('×入力'!$C$1:$L$700,381+BE$3,BE$2)&lt;&gt;"",1,0),0)</f>
        <v/>
      </c>
      <c r="BF35">
        <f>IF(BF$4=1,IF(INDEX('×入力'!$C$1:$L$700,381+BF$3,BF$2)&lt;&gt;"",1,0),0)</f>
        <v/>
      </c>
      <c r="BG35">
        <f>IF(BG$4=1,IF(INDEX('×入力'!$C$1:$L$700,381+BG$3,BG$2)&lt;&gt;"",1,0),0)</f>
        <v/>
      </c>
      <c r="BH35">
        <f>IF(BH$4=1,IF(INDEX('×入力'!$C$1:$L$700,381+BH$3,BH$2)&lt;&gt;"",1,0),0)</f>
        <v/>
      </c>
      <c r="BI35">
        <f>IF(BI$4=1,IF(INDEX('×入力'!$C$1:$L$700,381+BI$3,BI$2)&lt;&gt;"",1,0),0)</f>
        <v/>
      </c>
      <c r="BJ35">
        <f>IF(BJ$4=1,IF(INDEX('×入力'!$C$1:$L$700,381+BJ$3,BJ$2)&lt;&gt;"",1,0),0)</f>
        <v/>
      </c>
      <c r="BK35">
        <f>IF(BK$4=1,IF(INDEX('×入力'!$C$1:$L$700,381+BK$3,BK$2)&lt;&gt;"",1,0),0)</f>
        <v/>
      </c>
      <c r="BL35">
        <f>IF(BL$4=1,IF(INDEX('×入力'!$C$1:$L$700,381+BL$3,BL$2)&lt;&gt;"",1,0),0)</f>
        <v/>
      </c>
      <c r="BM35">
        <f>IF(BM$4=1,IF(INDEX('×入力'!$C$1:$L$700,381+BM$3,BM$2)&lt;&gt;"",1,0),0)</f>
        <v/>
      </c>
      <c r="BN35">
        <f>IF(BN$4=1,IF(INDEX('×入力'!$C$1:$L$700,381+BN$3,BN$2)&lt;&gt;"",1,0),0)</f>
        <v/>
      </c>
      <c r="BO35">
        <f>IF(BO$4=1,IF(INDEX('×入力'!$C$1:$L$700,381+BO$3,BO$2)&lt;&gt;"",1,0),0)</f>
        <v/>
      </c>
      <c r="BP35">
        <f>IF(BP$4=1,IF(INDEX('×入力'!$C$1:$L$700,381+BP$3,BP$2)&lt;&gt;"",1,0),0)</f>
        <v/>
      </c>
      <c r="BQ35">
        <f>IF(BQ$4=1,IF(INDEX('×入力'!$C$1:$L$700,381+BQ$3,BQ$2)&lt;&gt;"",1,0),0)</f>
        <v/>
      </c>
      <c r="BR35">
        <f>IF(BR$4=1,IF(INDEX('×入力'!$C$1:$L$700,381+BR$3,BR$2)&lt;&gt;"",1,0),0)</f>
        <v/>
      </c>
      <c r="BS35">
        <f>IF(BS$4=1,IF(INDEX('×入力'!$C$1:$L$700,381+BS$3,BS$2)&lt;&gt;"",1,0),0)</f>
        <v/>
      </c>
      <c r="BT35">
        <f>IF(BT$4=1,IF(INDEX('×入力'!$C$1:$L$700,381+BT$3,BT$2)&lt;&gt;"",1,0),0)</f>
        <v/>
      </c>
      <c r="BU35">
        <f>IF(BU$4=1,IF(INDEX('×入力'!$C$1:$L$700,381+BU$3,BU$2)&lt;&gt;"",1,0),0)</f>
        <v/>
      </c>
      <c r="BV35">
        <f>IF(BV$4=1,IF(INDEX('×入力'!$C$1:$L$700,381+BV$3,BV$2)&lt;&gt;"",1,0),0)</f>
        <v/>
      </c>
      <c r="BW35">
        <f>IF(BW$4=1,IF(INDEX('×入力'!$C$1:$L$700,381+BW$3,BW$2)&lt;&gt;"",1,0),0)</f>
        <v/>
      </c>
      <c r="BX35">
        <f>IF(BX$4=1,IF(INDEX('×入力'!$C$1:$L$700,381+BX$3,BX$2)&lt;&gt;"",1,0),0)</f>
        <v/>
      </c>
      <c r="BY35">
        <f>IF(BY$4=1,IF(INDEX('×入力'!$C$1:$L$700,381+BY$3,BY$2)&lt;&gt;"",1,0),0)</f>
        <v/>
      </c>
      <c r="BZ35">
        <f>IF(BZ$4=1,IF(INDEX('×入力'!$C$1:$L$700,381+BZ$3,BZ$2)&lt;&gt;"",1,0),0)</f>
        <v/>
      </c>
      <c r="CA35">
        <f>IF(CA$4=1,IF(INDEX('×入力'!$C$1:$L$700,381+CA$3,CA$2)&lt;&gt;"",1,0),0)</f>
        <v/>
      </c>
      <c r="CB35">
        <f>IF(CB$4=1,IF(INDEX('×入力'!$C$1:$L$700,381+CB$3,CB$2)&lt;&gt;"",1,0),0)</f>
        <v/>
      </c>
      <c r="CC35">
        <f>IF(CC$4=1,IF(INDEX('×入力'!$C$1:$L$700,381+CC$3,CC$2)&lt;&gt;"",1,0),0)</f>
        <v/>
      </c>
      <c r="CD35">
        <f>IF(CD$4=1,IF(INDEX('×入力'!$C$1:$L$700,381+CD$3,CD$2)&lt;&gt;"",1,0),0)</f>
        <v/>
      </c>
      <c r="CE35">
        <f>IF(CE$4=1,IF(INDEX('×入力'!$C$1:$L$700,381+CE$3,CE$2)&lt;&gt;"",1,0),0)</f>
        <v/>
      </c>
      <c r="CF35">
        <f>IF(CF$4=1,IF(INDEX('×入力'!$C$1:$L$700,381+CF$3,CF$2)&lt;&gt;"",1,0),0)</f>
        <v/>
      </c>
      <c r="CG35">
        <f>IF(CG$4=1,IF(INDEX('×入力'!$C$1:$L$700,381+CG$3,CG$2)&lt;&gt;"",1,0),0)</f>
        <v/>
      </c>
      <c r="CH35">
        <f>IF(CH$4=1,IF(INDEX('×入力'!$C$1:$L$700,381+CH$3,CH$2)&lt;&gt;"",1,0),0)</f>
        <v/>
      </c>
      <c r="CI35">
        <f>IF(CI$4=1,IF(INDEX('×入力'!$C$1:$L$700,381+CI$3,CI$2)&lt;&gt;"",1,0),0)</f>
        <v/>
      </c>
      <c r="CJ35">
        <f>IF(CJ$4=1,IF(INDEX('×入力'!$C$1:$L$700,381+CJ$3,CJ$2)&lt;&gt;"",1,0),0)</f>
        <v/>
      </c>
      <c r="CK35">
        <f>IF(CK$4=1,IF(INDEX('×入力'!$C$1:$L$700,381+CK$3,CK$2)&lt;&gt;"",1,0),0)</f>
        <v/>
      </c>
      <c r="CL35">
        <f>IF(CL$4=1,IF(INDEX('×入力'!$C$1:$L$700,381+CL$3,CL$2)&lt;&gt;"",1,0),0)</f>
        <v/>
      </c>
      <c r="CM35">
        <f>IF(CM$4=1,IF(INDEX('×入力'!$C$1:$L$700,381+CM$3,CM$2)&lt;&gt;"",1,0),0)</f>
        <v/>
      </c>
      <c r="CN35">
        <f>IF(CN$4=1,IF(INDEX('×入力'!$C$1:$L$700,381+CN$3,CN$2)&lt;&gt;"",1,0),0)</f>
        <v/>
      </c>
      <c r="CO35">
        <f>IF(CO$4=1,IF(INDEX('×入力'!$C$1:$L$700,381+CO$3,CO$2)&lt;&gt;"",1,0),0)</f>
        <v/>
      </c>
      <c r="CP35">
        <f>IF(CP$4=1,IF(INDEX('×入力'!$C$1:$L$700,381+CP$3,CP$2)&lt;&gt;"",1,0),0)</f>
        <v/>
      </c>
      <c r="CQ35">
        <f>IF(CQ$4=1,IF(INDEX('×入力'!$C$1:$L$700,381+CQ$3,CQ$2)&lt;&gt;"",1,0),0)</f>
        <v/>
      </c>
      <c r="CR35">
        <f>IF(CR$4=1,IF(INDEX('×入力'!$C$1:$L$700,381+CR$3,CR$2)&lt;&gt;"",1,0),0)</f>
        <v/>
      </c>
      <c r="CS35">
        <f>IF(CS$4=1,IF(INDEX('×入力'!$C$1:$L$700,381+CS$3,CS$2)&lt;&gt;"",1,0),0)</f>
        <v/>
      </c>
      <c r="CT35">
        <f>IF(CT$4=1,IF(INDEX('×入力'!$C$1:$L$700,381+CT$3,CT$2)&lt;&gt;"",1,0),0)</f>
        <v/>
      </c>
      <c r="CU35">
        <f>IF(CU$4=1,IF(INDEX('×入力'!$C$1:$L$700,381+CU$3,CU$2)&lt;&gt;"",1,0),0)</f>
        <v/>
      </c>
      <c r="CV35">
        <f>IF(CV$4=1,IF(INDEX('×入力'!$C$1:$L$700,381+CV$3,CV$2)&lt;&gt;"",1,0),0)</f>
        <v/>
      </c>
      <c r="CW35">
        <f>IF(CW$4=1,IF(INDEX('×入力'!$C$1:$L$700,381+CW$3,CW$2)&lt;&gt;"",1,0),0)</f>
        <v/>
      </c>
      <c r="CX35">
        <f>IF(CX$4=1,IF(INDEX('×入力'!$C$1:$L$700,381+CX$3,CX$2)&lt;&gt;"",1,0),0)</f>
        <v/>
      </c>
      <c r="CY35">
        <f>IF(CY$4=1,IF(INDEX('×入力'!$C$1:$L$700,381+CY$3,CY$2)&lt;&gt;"",1,0),0)</f>
        <v/>
      </c>
      <c r="CZ35">
        <f>IF(CZ$4=1,IF(INDEX('×入力'!$C$1:$L$700,381+CZ$3,CZ$2)&lt;&gt;"",1,0),0)</f>
        <v/>
      </c>
      <c r="DA35">
        <f>IF(DA$4=1,IF(INDEX('×入力'!$C$1:$L$700,381+DA$3,DA$2)&lt;&gt;"",1,0),0)</f>
        <v/>
      </c>
      <c r="DB35">
        <f>IF(DB$4=1,IF(INDEX('×入力'!$C$1:$L$700,381+DB$3,DB$2)&lt;&gt;"",1,0),0)</f>
        <v/>
      </c>
      <c r="DC35">
        <f>IF(DC$4=1,IF(INDEX('×入力'!$C$1:$L$700,381+DC$3,DC$2)&lt;&gt;"",1,0),0)</f>
        <v/>
      </c>
      <c r="DD35">
        <f>IF(DD$4=1,IF(INDEX('×入力'!$C$1:$L$700,381+DD$3,DD$2)&lt;&gt;"",1,0),0)</f>
        <v/>
      </c>
      <c r="DE35">
        <f>IF(DE$4=1,IF(INDEX('×入力'!$C$1:$L$700,381+DE$3,DE$2)&lt;&gt;"",1,0),0)</f>
        <v/>
      </c>
      <c r="DF35">
        <f>IF(DF$4=1,IF(INDEX('×入力'!$C$1:$L$700,381+DF$3,DF$2)&lt;&gt;"",1,0),0)</f>
        <v/>
      </c>
      <c r="DG35">
        <f>IF(DG$4=1,IF(INDEX('×入力'!$C$1:$L$700,381+DG$3,DG$2)&lt;&gt;"",1,0),0)</f>
        <v/>
      </c>
      <c r="DH35">
        <f>IF(DH$4=1,IF(INDEX('×入力'!$C$1:$L$700,381+DH$3,DH$2)&lt;&gt;"",1,0),0)</f>
        <v/>
      </c>
      <c r="DI35">
        <f>IF(DI$4=1,IF(INDEX('×入力'!$C$1:$L$700,381+DI$3,DI$2)&lt;&gt;"",1,0),0)</f>
        <v/>
      </c>
      <c r="DJ35">
        <f>IF(DJ$4=1,IF(INDEX('×入力'!$C$1:$L$700,381+DJ$3,DJ$2)&lt;&gt;"",1,0),0)</f>
        <v/>
      </c>
      <c r="DK35">
        <f>IF(DK$4=1,IF(INDEX('×入力'!$C$1:$L$700,381+DK$3,DK$2)&lt;&gt;"",1,0),0)</f>
        <v/>
      </c>
      <c r="DL35">
        <f>IF(DL$4=1,IF(INDEX('×入力'!$C$1:$L$700,381+DL$3,DL$2)&lt;&gt;"",1,0),0)</f>
        <v/>
      </c>
      <c r="DM35">
        <f>IF(DM$4=1,IF(INDEX('×入力'!$C$1:$L$700,381+DM$3,DM$2)&lt;&gt;"",1,0),0)</f>
        <v/>
      </c>
      <c r="DN35">
        <f>IF(DN$4=1,IF(INDEX('×入力'!$C$1:$L$700,381+DN$3,DN$2)&lt;&gt;"",1,0),0)</f>
        <v/>
      </c>
      <c r="DO35">
        <f>IF(DO$4=1,IF(INDEX('×入力'!$C$1:$L$700,381+DO$3,DO$2)&lt;&gt;"",1,0),0)</f>
        <v/>
      </c>
      <c r="DP35">
        <f>IF(DP$4=1,IF(INDEX('×入力'!$C$1:$L$700,381+DP$3,DP$2)&lt;&gt;"",1,0),0)</f>
        <v/>
      </c>
      <c r="DQ35">
        <f>IF(DQ$4=1,IF(INDEX('×入力'!$C$1:$L$700,381+DQ$3,DQ$2)&lt;&gt;"",1,0),0)</f>
        <v/>
      </c>
      <c r="DR35">
        <f>IF(DR$4=1,IF(INDEX('×入力'!$C$1:$L$700,381+DR$3,DR$2)&lt;&gt;"",1,0),0)</f>
        <v/>
      </c>
      <c r="DS35">
        <f>IF(DS$4=1,IF(INDEX('×入力'!$C$1:$L$700,381+DS$3,DS$2)&lt;&gt;"",1,0),0)</f>
        <v/>
      </c>
      <c r="DU35">
        <f>IFERROR(INDEX('計算B'!$C$3:$C$47,MATCH(A35,'計算B'!$B$3:$B$47,0)),0)</f>
        <v/>
      </c>
      <c r="DV35">
        <f>IF(AND(C35=1,DU35=0),1,0)</f>
        <v/>
      </c>
      <c r="DW35">
        <f>SUMPRODUCT(D85:DS85*(1-$D$7:$DS$7))</f>
        <v/>
      </c>
      <c r="DX35">
        <f>SUM(D35:DS35)</f>
        <v/>
      </c>
      <c r="DY35">
        <f>IF(B35="",0,IF(COUNTIF('割り当て'!$C$6:$L$17,B35)=1,SUMPRODUCT(('割り当て'!$C$6:$L$17=B35)*((COLUMN('割り当て'!$C$6:$L$17)-3)*12+ROW('割り当て'!$C$6:$L$17)-5)),0))</f>
        <v/>
      </c>
      <c r="DZ35">
        <f>IFERROR(MATCH('名簿'!E30,{"早い時刻","遅い時刻","早い日","遅い日"},0),0)</f>
        <v/>
      </c>
      <c r="EA35">
        <f>IF('名簿'!F30="必ず空けたい",2,IF('名簿'!F30="出来れば空けたい",1,0))</f>
        <v/>
      </c>
    </row>
    <row r="36">
      <c r="A36" t="n">
        <v>27</v>
      </c>
      <c r="B36">
        <f>'名簿'!G31</f>
        <v/>
      </c>
      <c r="C36">
        <f>IF(AND(B36&lt;&gt;"",OR('名簿'!H31="入力済み",'名簿'!H31="×なし"),DY36=0,COUNTIF('割り当て'!$C$6:$L$17,B36)=0),1,0)</f>
        <v/>
      </c>
      <c r="D36">
        <f>IF(D$4=1,IF(INDEX('×入力'!$C$1:$L$700,396+D$3,D$2)&lt;&gt;"",1,0),0)</f>
        <v/>
      </c>
      <c r="E36">
        <f>IF(E$4=1,IF(INDEX('×入力'!$C$1:$L$700,396+E$3,E$2)&lt;&gt;"",1,0),0)</f>
        <v/>
      </c>
      <c r="F36">
        <f>IF(F$4=1,IF(INDEX('×入力'!$C$1:$L$700,396+F$3,F$2)&lt;&gt;"",1,0),0)</f>
        <v/>
      </c>
      <c r="G36">
        <f>IF(G$4=1,IF(INDEX('×入力'!$C$1:$L$700,396+G$3,G$2)&lt;&gt;"",1,0),0)</f>
        <v/>
      </c>
      <c r="H36">
        <f>IF(H$4=1,IF(INDEX('×入力'!$C$1:$L$700,396+H$3,H$2)&lt;&gt;"",1,0),0)</f>
        <v/>
      </c>
      <c r="I36">
        <f>IF(I$4=1,IF(INDEX('×入力'!$C$1:$L$700,396+I$3,I$2)&lt;&gt;"",1,0),0)</f>
        <v/>
      </c>
      <c r="J36">
        <f>IF(J$4=1,IF(INDEX('×入力'!$C$1:$L$700,396+J$3,J$2)&lt;&gt;"",1,0),0)</f>
        <v/>
      </c>
      <c r="K36">
        <f>IF(K$4=1,IF(INDEX('×入力'!$C$1:$L$700,396+K$3,K$2)&lt;&gt;"",1,0),0)</f>
        <v/>
      </c>
      <c r="L36">
        <f>IF(L$4=1,IF(INDEX('×入力'!$C$1:$L$700,396+L$3,L$2)&lt;&gt;"",1,0),0)</f>
        <v/>
      </c>
      <c r="M36">
        <f>IF(M$4=1,IF(INDEX('×入力'!$C$1:$L$700,396+M$3,M$2)&lt;&gt;"",1,0),0)</f>
        <v/>
      </c>
      <c r="N36">
        <f>IF(N$4=1,IF(INDEX('×入力'!$C$1:$L$700,396+N$3,N$2)&lt;&gt;"",1,0),0)</f>
        <v/>
      </c>
      <c r="O36">
        <f>IF(O$4=1,IF(INDEX('×入力'!$C$1:$L$700,396+O$3,O$2)&lt;&gt;"",1,0),0)</f>
        <v/>
      </c>
      <c r="P36">
        <f>IF(P$4=1,IF(INDEX('×入力'!$C$1:$L$700,396+P$3,P$2)&lt;&gt;"",1,0),0)</f>
        <v/>
      </c>
      <c r="Q36">
        <f>IF(Q$4=1,IF(INDEX('×入力'!$C$1:$L$700,396+Q$3,Q$2)&lt;&gt;"",1,0),0)</f>
        <v/>
      </c>
      <c r="R36">
        <f>IF(R$4=1,IF(INDEX('×入力'!$C$1:$L$700,396+R$3,R$2)&lt;&gt;"",1,0),0)</f>
        <v/>
      </c>
      <c r="S36">
        <f>IF(S$4=1,IF(INDEX('×入力'!$C$1:$L$700,396+S$3,S$2)&lt;&gt;"",1,0),0)</f>
        <v/>
      </c>
      <c r="T36">
        <f>IF(T$4=1,IF(INDEX('×入力'!$C$1:$L$700,396+T$3,T$2)&lt;&gt;"",1,0),0)</f>
        <v/>
      </c>
      <c r="U36">
        <f>IF(U$4=1,IF(INDEX('×入力'!$C$1:$L$700,396+U$3,U$2)&lt;&gt;"",1,0),0)</f>
        <v/>
      </c>
      <c r="V36">
        <f>IF(V$4=1,IF(INDEX('×入力'!$C$1:$L$700,396+V$3,V$2)&lt;&gt;"",1,0),0)</f>
        <v/>
      </c>
      <c r="W36">
        <f>IF(W$4=1,IF(INDEX('×入力'!$C$1:$L$700,396+W$3,W$2)&lt;&gt;"",1,0),0)</f>
        <v/>
      </c>
      <c r="X36">
        <f>IF(X$4=1,IF(INDEX('×入力'!$C$1:$L$700,396+X$3,X$2)&lt;&gt;"",1,0),0)</f>
        <v/>
      </c>
      <c r="Y36">
        <f>IF(Y$4=1,IF(INDEX('×入力'!$C$1:$L$700,396+Y$3,Y$2)&lt;&gt;"",1,0),0)</f>
        <v/>
      </c>
      <c r="Z36">
        <f>IF(Z$4=1,IF(INDEX('×入力'!$C$1:$L$700,396+Z$3,Z$2)&lt;&gt;"",1,0),0)</f>
        <v/>
      </c>
      <c r="AA36">
        <f>IF(AA$4=1,IF(INDEX('×入力'!$C$1:$L$700,396+AA$3,AA$2)&lt;&gt;"",1,0),0)</f>
        <v/>
      </c>
      <c r="AB36">
        <f>IF(AB$4=1,IF(INDEX('×入力'!$C$1:$L$700,396+AB$3,AB$2)&lt;&gt;"",1,0),0)</f>
        <v/>
      </c>
      <c r="AC36">
        <f>IF(AC$4=1,IF(INDEX('×入力'!$C$1:$L$700,396+AC$3,AC$2)&lt;&gt;"",1,0),0)</f>
        <v/>
      </c>
      <c r="AD36">
        <f>IF(AD$4=1,IF(INDEX('×入力'!$C$1:$L$700,396+AD$3,AD$2)&lt;&gt;"",1,0),0)</f>
        <v/>
      </c>
      <c r="AE36">
        <f>IF(AE$4=1,IF(INDEX('×入力'!$C$1:$L$700,396+AE$3,AE$2)&lt;&gt;"",1,0),0)</f>
        <v/>
      </c>
      <c r="AF36">
        <f>IF(AF$4=1,IF(INDEX('×入力'!$C$1:$L$700,396+AF$3,AF$2)&lt;&gt;"",1,0),0)</f>
        <v/>
      </c>
      <c r="AG36">
        <f>IF(AG$4=1,IF(INDEX('×入力'!$C$1:$L$700,396+AG$3,AG$2)&lt;&gt;"",1,0),0)</f>
        <v/>
      </c>
      <c r="AH36">
        <f>IF(AH$4=1,IF(INDEX('×入力'!$C$1:$L$700,396+AH$3,AH$2)&lt;&gt;"",1,0),0)</f>
        <v/>
      </c>
      <c r="AI36">
        <f>IF(AI$4=1,IF(INDEX('×入力'!$C$1:$L$700,396+AI$3,AI$2)&lt;&gt;"",1,0),0)</f>
        <v/>
      </c>
      <c r="AJ36">
        <f>IF(AJ$4=1,IF(INDEX('×入力'!$C$1:$L$700,396+AJ$3,AJ$2)&lt;&gt;"",1,0),0)</f>
        <v/>
      </c>
      <c r="AK36">
        <f>IF(AK$4=1,IF(INDEX('×入力'!$C$1:$L$700,396+AK$3,AK$2)&lt;&gt;"",1,0),0)</f>
        <v/>
      </c>
      <c r="AL36">
        <f>IF(AL$4=1,IF(INDEX('×入力'!$C$1:$L$700,396+AL$3,AL$2)&lt;&gt;"",1,0),0)</f>
        <v/>
      </c>
      <c r="AM36">
        <f>IF(AM$4=1,IF(INDEX('×入力'!$C$1:$L$700,396+AM$3,AM$2)&lt;&gt;"",1,0),0)</f>
        <v/>
      </c>
      <c r="AN36">
        <f>IF(AN$4=1,IF(INDEX('×入力'!$C$1:$L$700,396+AN$3,AN$2)&lt;&gt;"",1,0),0)</f>
        <v/>
      </c>
      <c r="AO36">
        <f>IF(AO$4=1,IF(INDEX('×入力'!$C$1:$L$700,396+AO$3,AO$2)&lt;&gt;"",1,0),0)</f>
        <v/>
      </c>
      <c r="AP36">
        <f>IF(AP$4=1,IF(INDEX('×入力'!$C$1:$L$700,396+AP$3,AP$2)&lt;&gt;"",1,0),0)</f>
        <v/>
      </c>
      <c r="AQ36">
        <f>IF(AQ$4=1,IF(INDEX('×入力'!$C$1:$L$700,396+AQ$3,AQ$2)&lt;&gt;"",1,0),0)</f>
        <v/>
      </c>
      <c r="AR36">
        <f>IF(AR$4=1,IF(INDEX('×入力'!$C$1:$L$700,396+AR$3,AR$2)&lt;&gt;"",1,0),0)</f>
        <v/>
      </c>
      <c r="AS36">
        <f>IF(AS$4=1,IF(INDEX('×入力'!$C$1:$L$700,396+AS$3,AS$2)&lt;&gt;"",1,0),0)</f>
        <v/>
      </c>
      <c r="AT36">
        <f>IF(AT$4=1,IF(INDEX('×入力'!$C$1:$L$700,396+AT$3,AT$2)&lt;&gt;"",1,0),0)</f>
        <v/>
      </c>
      <c r="AU36">
        <f>IF(AU$4=1,IF(INDEX('×入力'!$C$1:$L$700,396+AU$3,AU$2)&lt;&gt;"",1,0),0)</f>
        <v/>
      </c>
      <c r="AV36">
        <f>IF(AV$4=1,IF(INDEX('×入力'!$C$1:$L$700,396+AV$3,AV$2)&lt;&gt;"",1,0),0)</f>
        <v/>
      </c>
      <c r="AW36">
        <f>IF(AW$4=1,IF(INDEX('×入力'!$C$1:$L$700,396+AW$3,AW$2)&lt;&gt;"",1,0),0)</f>
        <v/>
      </c>
      <c r="AX36">
        <f>IF(AX$4=1,IF(INDEX('×入力'!$C$1:$L$700,396+AX$3,AX$2)&lt;&gt;"",1,0),0)</f>
        <v/>
      </c>
      <c r="AY36">
        <f>IF(AY$4=1,IF(INDEX('×入力'!$C$1:$L$700,396+AY$3,AY$2)&lt;&gt;"",1,0),0)</f>
        <v/>
      </c>
      <c r="AZ36">
        <f>IF(AZ$4=1,IF(INDEX('×入力'!$C$1:$L$700,396+AZ$3,AZ$2)&lt;&gt;"",1,0),0)</f>
        <v/>
      </c>
      <c r="BA36">
        <f>IF(BA$4=1,IF(INDEX('×入力'!$C$1:$L$700,396+BA$3,BA$2)&lt;&gt;"",1,0),0)</f>
        <v/>
      </c>
      <c r="BB36">
        <f>IF(BB$4=1,IF(INDEX('×入力'!$C$1:$L$700,396+BB$3,BB$2)&lt;&gt;"",1,0),0)</f>
        <v/>
      </c>
      <c r="BC36">
        <f>IF(BC$4=1,IF(INDEX('×入力'!$C$1:$L$700,396+BC$3,BC$2)&lt;&gt;"",1,0),0)</f>
        <v/>
      </c>
      <c r="BD36">
        <f>IF(BD$4=1,IF(INDEX('×入力'!$C$1:$L$700,396+BD$3,BD$2)&lt;&gt;"",1,0),0)</f>
        <v/>
      </c>
      <c r="BE36">
        <f>IF(BE$4=1,IF(INDEX('×入力'!$C$1:$L$700,396+BE$3,BE$2)&lt;&gt;"",1,0),0)</f>
        <v/>
      </c>
      <c r="BF36">
        <f>IF(BF$4=1,IF(INDEX('×入力'!$C$1:$L$700,396+BF$3,BF$2)&lt;&gt;"",1,0),0)</f>
        <v/>
      </c>
      <c r="BG36">
        <f>IF(BG$4=1,IF(INDEX('×入力'!$C$1:$L$700,396+BG$3,BG$2)&lt;&gt;"",1,0),0)</f>
        <v/>
      </c>
      <c r="BH36">
        <f>IF(BH$4=1,IF(INDEX('×入力'!$C$1:$L$700,396+BH$3,BH$2)&lt;&gt;"",1,0),0)</f>
        <v/>
      </c>
      <c r="BI36">
        <f>IF(BI$4=1,IF(INDEX('×入力'!$C$1:$L$700,396+BI$3,BI$2)&lt;&gt;"",1,0),0)</f>
        <v/>
      </c>
      <c r="BJ36">
        <f>IF(BJ$4=1,IF(INDEX('×入力'!$C$1:$L$700,396+BJ$3,BJ$2)&lt;&gt;"",1,0),0)</f>
        <v/>
      </c>
      <c r="BK36">
        <f>IF(BK$4=1,IF(INDEX('×入力'!$C$1:$L$700,396+BK$3,BK$2)&lt;&gt;"",1,0),0)</f>
        <v/>
      </c>
      <c r="BL36">
        <f>IF(BL$4=1,IF(INDEX('×入力'!$C$1:$L$700,396+BL$3,BL$2)&lt;&gt;"",1,0),0)</f>
        <v/>
      </c>
      <c r="BM36">
        <f>IF(BM$4=1,IF(INDEX('×入力'!$C$1:$L$700,396+BM$3,BM$2)&lt;&gt;"",1,0),0)</f>
        <v/>
      </c>
      <c r="BN36">
        <f>IF(BN$4=1,IF(INDEX('×入力'!$C$1:$L$700,396+BN$3,BN$2)&lt;&gt;"",1,0),0)</f>
        <v/>
      </c>
      <c r="BO36">
        <f>IF(BO$4=1,IF(INDEX('×入力'!$C$1:$L$700,396+BO$3,BO$2)&lt;&gt;"",1,0),0)</f>
        <v/>
      </c>
      <c r="BP36">
        <f>IF(BP$4=1,IF(INDEX('×入力'!$C$1:$L$700,396+BP$3,BP$2)&lt;&gt;"",1,0),0)</f>
        <v/>
      </c>
      <c r="BQ36">
        <f>IF(BQ$4=1,IF(INDEX('×入力'!$C$1:$L$700,396+BQ$3,BQ$2)&lt;&gt;"",1,0),0)</f>
        <v/>
      </c>
      <c r="BR36">
        <f>IF(BR$4=1,IF(INDEX('×入力'!$C$1:$L$700,396+BR$3,BR$2)&lt;&gt;"",1,0),0)</f>
        <v/>
      </c>
      <c r="BS36">
        <f>IF(BS$4=1,IF(INDEX('×入力'!$C$1:$L$700,396+BS$3,BS$2)&lt;&gt;"",1,0),0)</f>
        <v/>
      </c>
      <c r="BT36">
        <f>IF(BT$4=1,IF(INDEX('×入力'!$C$1:$L$700,396+BT$3,BT$2)&lt;&gt;"",1,0),0)</f>
        <v/>
      </c>
      <c r="BU36">
        <f>IF(BU$4=1,IF(INDEX('×入力'!$C$1:$L$700,396+BU$3,BU$2)&lt;&gt;"",1,0),0)</f>
        <v/>
      </c>
      <c r="BV36">
        <f>IF(BV$4=1,IF(INDEX('×入力'!$C$1:$L$700,396+BV$3,BV$2)&lt;&gt;"",1,0),0)</f>
        <v/>
      </c>
      <c r="BW36">
        <f>IF(BW$4=1,IF(INDEX('×入力'!$C$1:$L$700,396+BW$3,BW$2)&lt;&gt;"",1,0),0)</f>
        <v/>
      </c>
      <c r="BX36">
        <f>IF(BX$4=1,IF(INDEX('×入力'!$C$1:$L$700,396+BX$3,BX$2)&lt;&gt;"",1,0),0)</f>
        <v/>
      </c>
      <c r="BY36">
        <f>IF(BY$4=1,IF(INDEX('×入力'!$C$1:$L$700,396+BY$3,BY$2)&lt;&gt;"",1,0),0)</f>
        <v/>
      </c>
      <c r="BZ36">
        <f>IF(BZ$4=1,IF(INDEX('×入力'!$C$1:$L$700,396+BZ$3,BZ$2)&lt;&gt;"",1,0),0)</f>
        <v/>
      </c>
      <c r="CA36">
        <f>IF(CA$4=1,IF(INDEX('×入力'!$C$1:$L$700,396+CA$3,CA$2)&lt;&gt;"",1,0),0)</f>
        <v/>
      </c>
      <c r="CB36">
        <f>IF(CB$4=1,IF(INDEX('×入力'!$C$1:$L$700,396+CB$3,CB$2)&lt;&gt;"",1,0),0)</f>
        <v/>
      </c>
      <c r="CC36">
        <f>IF(CC$4=1,IF(INDEX('×入力'!$C$1:$L$700,396+CC$3,CC$2)&lt;&gt;"",1,0),0)</f>
        <v/>
      </c>
      <c r="CD36">
        <f>IF(CD$4=1,IF(INDEX('×入力'!$C$1:$L$700,396+CD$3,CD$2)&lt;&gt;"",1,0),0)</f>
        <v/>
      </c>
      <c r="CE36">
        <f>IF(CE$4=1,IF(INDEX('×入力'!$C$1:$L$700,396+CE$3,CE$2)&lt;&gt;"",1,0),0)</f>
        <v/>
      </c>
      <c r="CF36">
        <f>IF(CF$4=1,IF(INDEX('×入力'!$C$1:$L$700,396+CF$3,CF$2)&lt;&gt;"",1,0),0)</f>
        <v/>
      </c>
      <c r="CG36">
        <f>IF(CG$4=1,IF(INDEX('×入力'!$C$1:$L$700,396+CG$3,CG$2)&lt;&gt;"",1,0),0)</f>
        <v/>
      </c>
      <c r="CH36">
        <f>IF(CH$4=1,IF(INDEX('×入力'!$C$1:$L$700,396+CH$3,CH$2)&lt;&gt;"",1,0),0)</f>
        <v/>
      </c>
      <c r="CI36">
        <f>IF(CI$4=1,IF(INDEX('×入力'!$C$1:$L$700,396+CI$3,CI$2)&lt;&gt;"",1,0),0)</f>
        <v/>
      </c>
      <c r="CJ36">
        <f>IF(CJ$4=1,IF(INDEX('×入力'!$C$1:$L$700,396+CJ$3,CJ$2)&lt;&gt;"",1,0),0)</f>
        <v/>
      </c>
      <c r="CK36">
        <f>IF(CK$4=1,IF(INDEX('×入力'!$C$1:$L$700,396+CK$3,CK$2)&lt;&gt;"",1,0),0)</f>
        <v/>
      </c>
      <c r="CL36">
        <f>IF(CL$4=1,IF(INDEX('×入力'!$C$1:$L$700,396+CL$3,CL$2)&lt;&gt;"",1,0),0)</f>
        <v/>
      </c>
      <c r="CM36">
        <f>IF(CM$4=1,IF(INDEX('×入力'!$C$1:$L$700,396+CM$3,CM$2)&lt;&gt;"",1,0),0)</f>
        <v/>
      </c>
      <c r="CN36">
        <f>IF(CN$4=1,IF(INDEX('×入力'!$C$1:$L$700,396+CN$3,CN$2)&lt;&gt;"",1,0),0)</f>
        <v/>
      </c>
      <c r="CO36">
        <f>IF(CO$4=1,IF(INDEX('×入力'!$C$1:$L$700,396+CO$3,CO$2)&lt;&gt;"",1,0),0)</f>
        <v/>
      </c>
      <c r="CP36">
        <f>IF(CP$4=1,IF(INDEX('×入力'!$C$1:$L$700,396+CP$3,CP$2)&lt;&gt;"",1,0),0)</f>
        <v/>
      </c>
      <c r="CQ36">
        <f>IF(CQ$4=1,IF(INDEX('×入力'!$C$1:$L$700,396+CQ$3,CQ$2)&lt;&gt;"",1,0),0)</f>
        <v/>
      </c>
      <c r="CR36">
        <f>IF(CR$4=1,IF(INDEX('×入力'!$C$1:$L$700,396+CR$3,CR$2)&lt;&gt;"",1,0),0)</f>
        <v/>
      </c>
      <c r="CS36">
        <f>IF(CS$4=1,IF(INDEX('×入力'!$C$1:$L$700,396+CS$3,CS$2)&lt;&gt;"",1,0),0)</f>
        <v/>
      </c>
      <c r="CT36">
        <f>IF(CT$4=1,IF(INDEX('×入力'!$C$1:$L$700,396+CT$3,CT$2)&lt;&gt;"",1,0),0)</f>
        <v/>
      </c>
      <c r="CU36">
        <f>IF(CU$4=1,IF(INDEX('×入力'!$C$1:$L$700,396+CU$3,CU$2)&lt;&gt;"",1,0),0)</f>
        <v/>
      </c>
      <c r="CV36">
        <f>IF(CV$4=1,IF(INDEX('×入力'!$C$1:$L$700,396+CV$3,CV$2)&lt;&gt;"",1,0),0)</f>
        <v/>
      </c>
      <c r="CW36">
        <f>IF(CW$4=1,IF(INDEX('×入力'!$C$1:$L$700,396+CW$3,CW$2)&lt;&gt;"",1,0),0)</f>
        <v/>
      </c>
      <c r="CX36">
        <f>IF(CX$4=1,IF(INDEX('×入力'!$C$1:$L$700,396+CX$3,CX$2)&lt;&gt;"",1,0),0)</f>
        <v/>
      </c>
      <c r="CY36">
        <f>IF(CY$4=1,IF(INDEX('×入力'!$C$1:$L$700,396+CY$3,CY$2)&lt;&gt;"",1,0),0)</f>
        <v/>
      </c>
      <c r="CZ36">
        <f>IF(CZ$4=1,IF(INDEX('×入力'!$C$1:$L$700,396+CZ$3,CZ$2)&lt;&gt;"",1,0),0)</f>
        <v/>
      </c>
      <c r="DA36">
        <f>IF(DA$4=1,IF(INDEX('×入力'!$C$1:$L$700,396+DA$3,DA$2)&lt;&gt;"",1,0),0)</f>
        <v/>
      </c>
      <c r="DB36">
        <f>IF(DB$4=1,IF(INDEX('×入力'!$C$1:$L$700,396+DB$3,DB$2)&lt;&gt;"",1,0),0)</f>
        <v/>
      </c>
      <c r="DC36">
        <f>IF(DC$4=1,IF(INDEX('×入力'!$C$1:$L$700,396+DC$3,DC$2)&lt;&gt;"",1,0),0)</f>
        <v/>
      </c>
      <c r="DD36">
        <f>IF(DD$4=1,IF(INDEX('×入力'!$C$1:$L$700,396+DD$3,DD$2)&lt;&gt;"",1,0),0)</f>
        <v/>
      </c>
      <c r="DE36">
        <f>IF(DE$4=1,IF(INDEX('×入力'!$C$1:$L$700,396+DE$3,DE$2)&lt;&gt;"",1,0),0)</f>
        <v/>
      </c>
      <c r="DF36">
        <f>IF(DF$4=1,IF(INDEX('×入力'!$C$1:$L$700,396+DF$3,DF$2)&lt;&gt;"",1,0),0)</f>
        <v/>
      </c>
      <c r="DG36">
        <f>IF(DG$4=1,IF(INDEX('×入力'!$C$1:$L$700,396+DG$3,DG$2)&lt;&gt;"",1,0),0)</f>
        <v/>
      </c>
      <c r="DH36">
        <f>IF(DH$4=1,IF(INDEX('×入力'!$C$1:$L$700,396+DH$3,DH$2)&lt;&gt;"",1,0),0)</f>
        <v/>
      </c>
      <c r="DI36">
        <f>IF(DI$4=1,IF(INDEX('×入力'!$C$1:$L$700,396+DI$3,DI$2)&lt;&gt;"",1,0),0)</f>
        <v/>
      </c>
      <c r="DJ36">
        <f>IF(DJ$4=1,IF(INDEX('×入力'!$C$1:$L$700,396+DJ$3,DJ$2)&lt;&gt;"",1,0),0)</f>
        <v/>
      </c>
      <c r="DK36">
        <f>IF(DK$4=1,IF(INDEX('×入力'!$C$1:$L$700,396+DK$3,DK$2)&lt;&gt;"",1,0),0)</f>
        <v/>
      </c>
      <c r="DL36">
        <f>IF(DL$4=1,IF(INDEX('×入力'!$C$1:$L$700,396+DL$3,DL$2)&lt;&gt;"",1,0),0)</f>
        <v/>
      </c>
      <c r="DM36">
        <f>IF(DM$4=1,IF(INDEX('×入力'!$C$1:$L$700,396+DM$3,DM$2)&lt;&gt;"",1,0),0)</f>
        <v/>
      </c>
      <c r="DN36">
        <f>IF(DN$4=1,IF(INDEX('×入力'!$C$1:$L$700,396+DN$3,DN$2)&lt;&gt;"",1,0),0)</f>
        <v/>
      </c>
      <c r="DO36">
        <f>IF(DO$4=1,IF(INDEX('×入力'!$C$1:$L$700,396+DO$3,DO$2)&lt;&gt;"",1,0),0)</f>
        <v/>
      </c>
      <c r="DP36">
        <f>IF(DP$4=1,IF(INDEX('×入力'!$C$1:$L$700,396+DP$3,DP$2)&lt;&gt;"",1,0),0)</f>
        <v/>
      </c>
      <c r="DQ36">
        <f>IF(DQ$4=1,IF(INDEX('×入力'!$C$1:$L$700,396+DQ$3,DQ$2)&lt;&gt;"",1,0),0)</f>
        <v/>
      </c>
      <c r="DR36">
        <f>IF(DR$4=1,IF(INDEX('×入力'!$C$1:$L$700,396+DR$3,DR$2)&lt;&gt;"",1,0),0)</f>
        <v/>
      </c>
      <c r="DS36">
        <f>IF(DS$4=1,IF(INDEX('×入力'!$C$1:$L$700,396+DS$3,DS$2)&lt;&gt;"",1,0),0)</f>
        <v/>
      </c>
      <c r="DU36">
        <f>IFERROR(INDEX('計算B'!$C$3:$C$47,MATCH(A36,'計算B'!$B$3:$B$47,0)),0)</f>
        <v/>
      </c>
      <c r="DV36">
        <f>IF(AND(C36=1,DU36=0),1,0)</f>
        <v/>
      </c>
      <c r="DW36">
        <f>SUMPRODUCT(D86:DS86*(1-$D$7:$DS$7))</f>
        <v/>
      </c>
      <c r="DX36">
        <f>SUM(D36:DS36)</f>
        <v/>
      </c>
      <c r="DY36">
        <f>IF(B36="",0,IF(COUNTIF('割り当て'!$C$6:$L$17,B36)=1,SUMPRODUCT(('割り当て'!$C$6:$L$17=B36)*((COLUMN('割り当て'!$C$6:$L$17)-3)*12+ROW('割り当て'!$C$6:$L$17)-5)),0))</f>
        <v/>
      </c>
      <c r="DZ36">
        <f>IFERROR(MATCH('名簿'!E31,{"早い時刻","遅い時刻","早い日","遅い日"},0),0)</f>
        <v/>
      </c>
      <c r="EA36">
        <f>IF('名簿'!F31="必ず空けたい",2,IF('名簿'!F31="出来れば空けたい",1,0))</f>
        <v/>
      </c>
    </row>
    <row r="37">
      <c r="A37" t="n">
        <v>28</v>
      </c>
      <c r="B37">
        <f>'名簿'!G32</f>
        <v/>
      </c>
      <c r="C37">
        <f>IF(AND(B37&lt;&gt;"",OR('名簿'!H32="入力済み",'名簿'!H32="×なし"),DY37=0,COUNTIF('割り当て'!$C$6:$L$17,B37)=0),1,0)</f>
        <v/>
      </c>
      <c r="D37">
        <f>IF(D$4=1,IF(INDEX('×入力'!$C$1:$L$700,411+D$3,D$2)&lt;&gt;"",1,0),0)</f>
        <v/>
      </c>
      <c r="E37">
        <f>IF(E$4=1,IF(INDEX('×入力'!$C$1:$L$700,411+E$3,E$2)&lt;&gt;"",1,0),0)</f>
        <v/>
      </c>
      <c r="F37">
        <f>IF(F$4=1,IF(INDEX('×入力'!$C$1:$L$700,411+F$3,F$2)&lt;&gt;"",1,0),0)</f>
        <v/>
      </c>
      <c r="G37">
        <f>IF(G$4=1,IF(INDEX('×入力'!$C$1:$L$700,411+G$3,G$2)&lt;&gt;"",1,0),0)</f>
        <v/>
      </c>
      <c r="H37">
        <f>IF(H$4=1,IF(INDEX('×入力'!$C$1:$L$700,411+H$3,H$2)&lt;&gt;"",1,0),0)</f>
        <v/>
      </c>
      <c r="I37">
        <f>IF(I$4=1,IF(INDEX('×入力'!$C$1:$L$700,411+I$3,I$2)&lt;&gt;"",1,0),0)</f>
        <v/>
      </c>
      <c r="J37">
        <f>IF(J$4=1,IF(INDEX('×入力'!$C$1:$L$700,411+J$3,J$2)&lt;&gt;"",1,0),0)</f>
        <v/>
      </c>
      <c r="K37">
        <f>IF(K$4=1,IF(INDEX('×入力'!$C$1:$L$700,411+K$3,K$2)&lt;&gt;"",1,0),0)</f>
        <v/>
      </c>
      <c r="L37">
        <f>IF(L$4=1,IF(INDEX('×入力'!$C$1:$L$700,411+L$3,L$2)&lt;&gt;"",1,0),0)</f>
        <v/>
      </c>
      <c r="M37">
        <f>IF(M$4=1,IF(INDEX('×入力'!$C$1:$L$700,411+M$3,M$2)&lt;&gt;"",1,0),0)</f>
        <v/>
      </c>
      <c r="N37">
        <f>IF(N$4=1,IF(INDEX('×入力'!$C$1:$L$700,411+N$3,N$2)&lt;&gt;"",1,0),0)</f>
        <v/>
      </c>
      <c r="O37">
        <f>IF(O$4=1,IF(INDEX('×入力'!$C$1:$L$700,411+O$3,O$2)&lt;&gt;"",1,0),0)</f>
        <v/>
      </c>
      <c r="P37">
        <f>IF(P$4=1,IF(INDEX('×入力'!$C$1:$L$700,411+P$3,P$2)&lt;&gt;"",1,0),0)</f>
        <v/>
      </c>
      <c r="Q37">
        <f>IF(Q$4=1,IF(INDEX('×入力'!$C$1:$L$700,411+Q$3,Q$2)&lt;&gt;"",1,0),0)</f>
        <v/>
      </c>
      <c r="R37">
        <f>IF(R$4=1,IF(INDEX('×入力'!$C$1:$L$700,411+R$3,R$2)&lt;&gt;"",1,0),0)</f>
        <v/>
      </c>
      <c r="S37">
        <f>IF(S$4=1,IF(INDEX('×入力'!$C$1:$L$700,411+S$3,S$2)&lt;&gt;"",1,0),0)</f>
        <v/>
      </c>
      <c r="T37">
        <f>IF(T$4=1,IF(INDEX('×入力'!$C$1:$L$700,411+T$3,T$2)&lt;&gt;"",1,0),0)</f>
        <v/>
      </c>
      <c r="U37">
        <f>IF(U$4=1,IF(INDEX('×入力'!$C$1:$L$700,411+U$3,U$2)&lt;&gt;"",1,0),0)</f>
        <v/>
      </c>
      <c r="V37">
        <f>IF(V$4=1,IF(INDEX('×入力'!$C$1:$L$700,411+V$3,V$2)&lt;&gt;"",1,0),0)</f>
        <v/>
      </c>
      <c r="W37">
        <f>IF(W$4=1,IF(INDEX('×入力'!$C$1:$L$700,411+W$3,W$2)&lt;&gt;"",1,0),0)</f>
        <v/>
      </c>
      <c r="X37">
        <f>IF(X$4=1,IF(INDEX('×入力'!$C$1:$L$700,411+X$3,X$2)&lt;&gt;"",1,0),0)</f>
        <v/>
      </c>
      <c r="Y37">
        <f>IF(Y$4=1,IF(INDEX('×入力'!$C$1:$L$700,411+Y$3,Y$2)&lt;&gt;"",1,0),0)</f>
        <v/>
      </c>
      <c r="Z37">
        <f>IF(Z$4=1,IF(INDEX('×入力'!$C$1:$L$700,411+Z$3,Z$2)&lt;&gt;"",1,0),0)</f>
        <v/>
      </c>
      <c r="AA37">
        <f>IF(AA$4=1,IF(INDEX('×入力'!$C$1:$L$700,411+AA$3,AA$2)&lt;&gt;"",1,0),0)</f>
        <v/>
      </c>
      <c r="AB37">
        <f>IF(AB$4=1,IF(INDEX('×入力'!$C$1:$L$700,411+AB$3,AB$2)&lt;&gt;"",1,0),0)</f>
        <v/>
      </c>
      <c r="AC37">
        <f>IF(AC$4=1,IF(INDEX('×入力'!$C$1:$L$700,411+AC$3,AC$2)&lt;&gt;"",1,0),0)</f>
        <v/>
      </c>
      <c r="AD37">
        <f>IF(AD$4=1,IF(INDEX('×入力'!$C$1:$L$700,411+AD$3,AD$2)&lt;&gt;"",1,0),0)</f>
        <v/>
      </c>
      <c r="AE37">
        <f>IF(AE$4=1,IF(INDEX('×入力'!$C$1:$L$700,411+AE$3,AE$2)&lt;&gt;"",1,0),0)</f>
        <v/>
      </c>
      <c r="AF37">
        <f>IF(AF$4=1,IF(INDEX('×入力'!$C$1:$L$700,411+AF$3,AF$2)&lt;&gt;"",1,0),0)</f>
        <v/>
      </c>
      <c r="AG37">
        <f>IF(AG$4=1,IF(INDEX('×入力'!$C$1:$L$700,411+AG$3,AG$2)&lt;&gt;"",1,0),0)</f>
        <v/>
      </c>
      <c r="AH37">
        <f>IF(AH$4=1,IF(INDEX('×入力'!$C$1:$L$700,411+AH$3,AH$2)&lt;&gt;"",1,0),0)</f>
        <v/>
      </c>
      <c r="AI37">
        <f>IF(AI$4=1,IF(INDEX('×入力'!$C$1:$L$700,411+AI$3,AI$2)&lt;&gt;"",1,0),0)</f>
        <v/>
      </c>
      <c r="AJ37">
        <f>IF(AJ$4=1,IF(INDEX('×入力'!$C$1:$L$700,411+AJ$3,AJ$2)&lt;&gt;"",1,0),0)</f>
        <v/>
      </c>
      <c r="AK37">
        <f>IF(AK$4=1,IF(INDEX('×入力'!$C$1:$L$700,411+AK$3,AK$2)&lt;&gt;"",1,0),0)</f>
        <v/>
      </c>
      <c r="AL37">
        <f>IF(AL$4=1,IF(INDEX('×入力'!$C$1:$L$700,411+AL$3,AL$2)&lt;&gt;"",1,0),0)</f>
        <v/>
      </c>
      <c r="AM37">
        <f>IF(AM$4=1,IF(INDEX('×入力'!$C$1:$L$700,411+AM$3,AM$2)&lt;&gt;"",1,0),0)</f>
        <v/>
      </c>
      <c r="AN37">
        <f>IF(AN$4=1,IF(INDEX('×入力'!$C$1:$L$700,411+AN$3,AN$2)&lt;&gt;"",1,0),0)</f>
        <v/>
      </c>
      <c r="AO37">
        <f>IF(AO$4=1,IF(INDEX('×入力'!$C$1:$L$700,411+AO$3,AO$2)&lt;&gt;"",1,0),0)</f>
        <v/>
      </c>
      <c r="AP37">
        <f>IF(AP$4=1,IF(INDEX('×入力'!$C$1:$L$700,411+AP$3,AP$2)&lt;&gt;"",1,0),0)</f>
        <v/>
      </c>
      <c r="AQ37">
        <f>IF(AQ$4=1,IF(INDEX('×入力'!$C$1:$L$700,411+AQ$3,AQ$2)&lt;&gt;"",1,0),0)</f>
        <v/>
      </c>
      <c r="AR37">
        <f>IF(AR$4=1,IF(INDEX('×入力'!$C$1:$L$700,411+AR$3,AR$2)&lt;&gt;"",1,0),0)</f>
        <v/>
      </c>
      <c r="AS37">
        <f>IF(AS$4=1,IF(INDEX('×入力'!$C$1:$L$700,411+AS$3,AS$2)&lt;&gt;"",1,0),0)</f>
        <v/>
      </c>
      <c r="AT37">
        <f>IF(AT$4=1,IF(INDEX('×入力'!$C$1:$L$700,411+AT$3,AT$2)&lt;&gt;"",1,0),0)</f>
        <v/>
      </c>
      <c r="AU37">
        <f>IF(AU$4=1,IF(INDEX('×入力'!$C$1:$L$700,411+AU$3,AU$2)&lt;&gt;"",1,0),0)</f>
        <v/>
      </c>
      <c r="AV37">
        <f>IF(AV$4=1,IF(INDEX('×入力'!$C$1:$L$700,411+AV$3,AV$2)&lt;&gt;"",1,0),0)</f>
        <v/>
      </c>
      <c r="AW37">
        <f>IF(AW$4=1,IF(INDEX('×入力'!$C$1:$L$700,411+AW$3,AW$2)&lt;&gt;"",1,0),0)</f>
        <v/>
      </c>
      <c r="AX37">
        <f>IF(AX$4=1,IF(INDEX('×入力'!$C$1:$L$700,411+AX$3,AX$2)&lt;&gt;"",1,0),0)</f>
        <v/>
      </c>
      <c r="AY37">
        <f>IF(AY$4=1,IF(INDEX('×入力'!$C$1:$L$700,411+AY$3,AY$2)&lt;&gt;"",1,0),0)</f>
        <v/>
      </c>
      <c r="AZ37">
        <f>IF(AZ$4=1,IF(INDEX('×入力'!$C$1:$L$700,411+AZ$3,AZ$2)&lt;&gt;"",1,0),0)</f>
        <v/>
      </c>
      <c r="BA37">
        <f>IF(BA$4=1,IF(INDEX('×入力'!$C$1:$L$700,411+BA$3,BA$2)&lt;&gt;"",1,0),0)</f>
        <v/>
      </c>
      <c r="BB37">
        <f>IF(BB$4=1,IF(INDEX('×入力'!$C$1:$L$700,411+BB$3,BB$2)&lt;&gt;"",1,0),0)</f>
        <v/>
      </c>
      <c r="BC37">
        <f>IF(BC$4=1,IF(INDEX('×入力'!$C$1:$L$700,411+BC$3,BC$2)&lt;&gt;"",1,0),0)</f>
        <v/>
      </c>
      <c r="BD37">
        <f>IF(BD$4=1,IF(INDEX('×入力'!$C$1:$L$700,411+BD$3,BD$2)&lt;&gt;"",1,0),0)</f>
        <v/>
      </c>
      <c r="BE37">
        <f>IF(BE$4=1,IF(INDEX('×入力'!$C$1:$L$700,411+BE$3,BE$2)&lt;&gt;"",1,0),0)</f>
        <v/>
      </c>
      <c r="BF37">
        <f>IF(BF$4=1,IF(INDEX('×入力'!$C$1:$L$700,411+BF$3,BF$2)&lt;&gt;"",1,0),0)</f>
        <v/>
      </c>
      <c r="BG37">
        <f>IF(BG$4=1,IF(INDEX('×入力'!$C$1:$L$700,411+BG$3,BG$2)&lt;&gt;"",1,0),0)</f>
        <v/>
      </c>
      <c r="BH37">
        <f>IF(BH$4=1,IF(INDEX('×入力'!$C$1:$L$700,411+BH$3,BH$2)&lt;&gt;"",1,0),0)</f>
        <v/>
      </c>
      <c r="BI37">
        <f>IF(BI$4=1,IF(INDEX('×入力'!$C$1:$L$700,411+BI$3,BI$2)&lt;&gt;"",1,0),0)</f>
        <v/>
      </c>
      <c r="BJ37">
        <f>IF(BJ$4=1,IF(INDEX('×入力'!$C$1:$L$700,411+BJ$3,BJ$2)&lt;&gt;"",1,0),0)</f>
        <v/>
      </c>
      <c r="BK37">
        <f>IF(BK$4=1,IF(INDEX('×入力'!$C$1:$L$700,411+BK$3,BK$2)&lt;&gt;"",1,0),0)</f>
        <v/>
      </c>
      <c r="BL37">
        <f>IF(BL$4=1,IF(INDEX('×入力'!$C$1:$L$700,411+BL$3,BL$2)&lt;&gt;"",1,0),0)</f>
        <v/>
      </c>
      <c r="BM37">
        <f>IF(BM$4=1,IF(INDEX('×入力'!$C$1:$L$700,411+BM$3,BM$2)&lt;&gt;"",1,0),0)</f>
        <v/>
      </c>
      <c r="BN37">
        <f>IF(BN$4=1,IF(INDEX('×入力'!$C$1:$L$700,411+BN$3,BN$2)&lt;&gt;"",1,0),0)</f>
        <v/>
      </c>
      <c r="BO37">
        <f>IF(BO$4=1,IF(INDEX('×入力'!$C$1:$L$700,411+BO$3,BO$2)&lt;&gt;"",1,0),0)</f>
        <v/>
      </c>
      <c r="BP37">
        <f>IF(BP$4=1,IF(INDEX('×入力'!$C$1:$L$700,411+BP$3,BP$2)&lt;&gt;"",1,0),0)</f>
        <v/>
      </c>
      <c r="BQ37">
        <f>IF(BQ$4=1,IF(INDEX('×入力'!$C$1:$L$700,411+BQ$3,BQ$2)&lt;&gt;"",1,0),0)</f>
        <v/>
      </c>
      <c r="BR37">
        <f>IF(BR$4=1,IF(INDEX('×入力'!$C$1:$L$700,411+BR$3,BR$2)&lt;&gt;"",1,0),0)</f>
        <v/>
      </c>
      <c r="BS37">
        <f>IF(BS$4=1,IF(INDEX('×入力'!$C$1:$L$700,411+BS$3,BS$2)&lt;&gt;"",1,0),0)</f>
        <v/>
      </c>
      <c r="BT37">
        <f>IF(BT$4=1,IF(INDEX('×入力'!$C$1:$L$700,411+BT$3,BT$2)&lt;&gt;"",1,0),0)</f>
        <v/>
      </c>
      <c r="BU37">
        <f>IF(BU$4=1,IF(INDEX('×入力'!$C$1:$L$700,411+BU$3,BU$2)&lt;&gt;"",1,0),0)</f>
        <v/>
      </c>
      <c r="BV37">
        <f>IF(BV$4=1,IF(INDEX('×入力'!$C$1:$L$700,411+BV$3,BV$2)&lt;&gt;"",1,0),0)</f>
        <v/>
      </c>
      <c r="BW37">
        <f>IF(BW$4=1,IF(INDEX('×入力'!$C$1:$L$700,411+BW$3,BW$2)&lt;&gt;"",1,0),0)</f>
        <v/>
      </c>
      <c r="BX37">
        <f>IF(BX$4=1,IF(INDEX('×入力'!$C$1:$L$700,411+BX$3,BX$2)&lt;&gt;"",1,0),0)</f>
        <v/>
      </c>
      <c r="BY37">
        <f>IF(BY$4=1,IF(INDEX('×入力'!$C$1:$L$700,411+BY$3,BY$2)&lt;&gt;"",1,0),0)</f>
        <v/>
      </c>
      <c r="BZ37">
        <f>IF(BZ$4=1,IF(INDEX('×入力'!$C$1:$L$700,411+BZ$3,BZ$2)&lt;&gt;"",1,0),0)</f>
        <v/>
      </c>
      <c r="CA37">
        <f>IF(CA$4=1,IF(INDEX('×入力'!$C$1:$L$700,411+CA$3,CA$2)&lt;&gt;"",1,0),0)</f>
        <v/>
      </c>
      <c r="CB37">
        <f>IF(CB$4=1,IF(INDEX('×入力'!$C$1:$L$700,411+CB$3,CB$2)&lt;&gt;"",1,0),0)</f>
        <v/>
      </c>
      <c r="CC37">
        <f>IF(CC$4=1,IF(INDEX('×入力'!$C$1:$L$700,411+CC$3,CC$2)&lt;&gt;"",1,0),0)</f>
        <v/>
      </c>
      <c r="CD37">
        <f>IF(CD$4=1,IF(INDEX('×入力'!$C$1:$L$700,411+CD$3,CD$2)&lt;&gt;"",1,0),0)</f>
        <v/>
      </c>
      <c r="CE37">
        <f>IF(CE$4=1,IF(INDEX('×入力'!$C$1:$L$700,411+CE$3,CE$2)&lt;&gt;"",1,0),0)</f>
        <v/>
      </c>
      <c r="CF37">
        <f>IF(CF$4=1,IF(INDEX('×入力'!$C$1:$L$700,411+CF$3,CF$2)&lt;&gt;"",1,0),0)</f>
        <v/>
      </c>
      <c r="CG37">
        <f>IF(CG$4=1,IF(INDEX('×入力'!$C$1:$L$700,411+CG$3,CG$2)&lt;&gt;"",1,0),0)</f>
        <v/>
      </c>
      <c r="CH37">
        <f>IF(CH$4=1,IF(INDEX('×入力'!$C$1:$L$700,411+CH$3,CH$2)&lt;&gt;"",1,0),0)</f>
        <v/>
      </c>
      <c r="CI37">
        <f>IF(CI$4=1,IF(INDEX('×入力'!$C$1:$L$700,411+CI$3,CI$2)&lt;&gt;"",1,0),0)</f>
        <v/>
      </c>
      <c r="CJ37">
        <f>IF(CJ$4=1,IF(INDEX('×入力'!$C$1:$L$700,411+CJ$3,CJ$2)&lt;&gt;"",1,0),0)</f>
        <v/>
      </c>
      <c r="CK37">
        <f>IF(CK$4=1,IF(INDEX('×入力'!$C$1:$L$700,411+CK$3,CK$2)&lt;&gt;"",1,0),0)</f>
        <v/>
      </c>
      <c r="CL37">
        <f>IF(CL$4=1,IF(INDEX('×入力'!$C$1:$L$700,411+CL$3,CL$2)&lt;&gt;"",1,0),0)</f>
        <v/>
      </c>
      <c r="CM37">
        <f>IF(CM$4=1,IF(INDEX('×入力'!$C$1:$L$700,411+CM$3,CM$2)&lt;&gt;"",1,0),0)</f>
        <v/>
      </c>
      <c r="CN37">
        <f>IF(CN$4=1,IF(INDEX('×入力'!$C$1:$L$700,411+CN$3,CN$2)&lt;&gt;"",1,0),0)</f>
        <v/>
      </c>
      <c r="CO37">
        <f>IF(CO$4=1,IF(INDEX('×入力'!$C$1:$L$700,411+CO$3,CO$2)&lt;&gt;"",1,0),0)</f>
        <v/>
      </c>
      <c r="CP37">
        <f>IF(CP$4=1,IF(INDEX('×入力'!$C$1:$L$700,411+CP$3,CP$2)&lt;&gt;"",1,0),0)</f>
        <v/>
      </c>
      <c r="CQ37">
        <f>IF(CQ$4=1,IF(INDEX('×入力'!$C$1:$L$700,411+CQ$3,CQ$2)&lt;&gt;"",1,0),0)</f>
        <v/>
      </c>
      <c r="CR37">
        <f>IF(CR$4=1,IF(INDEX('×入力'!$C$1:$L$700,411+CR$3,CR$2)&lt;&gt;"",1,0),0)</f>
        <v/>
      </c>
      <c r="CS37">
        <f>IF(CS$4=1,IF(INDEX('×入力'!$C$1:$L$700,411+CS$3,CS$2)&lt;&gt;"",1,0),0)</f>
        <v/>
      </c>
      <c r="CT37">
        <f>IF(CT$4=1,IF(INDEX('×入力'!$C$1:$L$700,411+CT$3,CT$2)&lt;&gt;"",1,0),0)</f>
        <v/>
      </c>
      <c r="CU37">
        <f>IF(CU$4=1,IF(INDEX('×入力'!$C$1:$L$700,411+CU$3,CU$2)&lt;&gt;"",1,0),0)</f>
        <v/>
      </c>
      <c r="CV37">
        <f>IF(CV$4=1,IF(INDEX('×入力'!$C$1:$L$700,411+CV$3,CV$2)&lt;&gt;"",1,0),0)</f>
        <v/>
      </c>
      <c r="CW37">
        <f>IF(CW$4=1,IF(INDEX('×入力'!$C$1:$L$700,411+CW$3,CW$2)&lt;&gt;"",1,0),0)</f>
        <v/>
      </c>
      <c r="CX37">
        <f>IF(CX$4=1,IF(INDEX('×入力'!$C$1:$L$700,411+CX$3,CX$2)&lt;&gt;"",1,0),0)</f>
        <v/>
      </c>
      <c r="CY37">
        <f>IF(CY$4=1,IF(INDEX('×入力'!$C$1:$L$700,411+CY$3,CY$2)&lt;&gt;"",1,0),0)</f>
        <v/>
      </c>
      <c r="CZ37">
        <f>IF(CZ$4=1,IF(INDEX('×入力'!$C$1:$L$700,411+CZ$3,CZ$2)&lt;&gt;"",1,0),0)</f>
        <v/>
      </c>
      <c r="DA37">
        <f>IF(DA$4=1,IF(INDEX('×入力'!$C$1:$L$700,411+DA$3,DA$2)&lt;&gt;"",1,0),0)</f>
        <v/>
      </c>
      <c r="DB37">
        <f>IF(DB$4=1,IF(INDEX('×入力'!$C$1:$L$700,411+DB$3,DB$2)&lt;&gt;"",1,0),0)</f>
        <v/>
      </c>
      <c r="DC37">
        <f>IF(DC$4=1,IF(INDEX('×入力'!$C$1:$L$700,411+DC$3,DC$2)&lt;&gt;"",1,0),0)</f>
        <v/>
      </c>
      <c r="DD37">
        <f>IF(DD$4=1,IF(INDEX('×入力'!$C$1:$L$700,411+DD$3,DD$2)&lt;&gt;"",1,0),0)</f>
        <v/>
      </c>
      <c r="DE37">
        <f>IF(DE$4=1,IF(INDEX('×入力'!$C$1:$L$700,411+DE$3,DE$2)&lt;&gt;"",1,0),0)</f>
        <v/>
      </c>
      <c r="DF37">
        <f>IF(DF$4=1,IF(INDEX('×入力'!$C$1:$L$700,411+DF$3,DF$2)&lt;&gt;"",1,0),0)</f>
        <v/>
      </c>
      <c r="DG37">
        <f>IF(DG$4=1,IF(INDEX('×入力'!$C$1:$L$700,411+DG$3,DG$2)&lt;&gt;"",1,0),0)</f>
        <v/>
      </c>
      <c r="DH37">
        <f>IF(DH$4=1,IF(INDEX('×入力'!$C$1:$L$700,411+DH$3,DH$2)&lt;&gt;"",1,0),0)</f>
        <v/>
      </c>
      <c r="DI37">
        <f>IF(DI$4=1,IF(INDEX('×入力'!$C$1:$L$700,411+DI$3,DI$2)&lt;&gt;"",1,0),0)</f>
        <v/>
      </c>
      <c r="DJ37">
        <f>IF(DJ$4=1,IF(INDEX('×入力'!$C$1:$L$700,411+DJ$3,DJ$2)&lt;&gt;"",1,0),0)</f>
        <v/>
      </c>
      <c r="DK37">
        <f>IF(DK$4=1,IF(INDEX('×入力'!$C$1:$L$700,411+DK$3,DK$2)&lt;&gt;"",1,0),0)</f>
        <v/>
      </c>
      <c r="DL37">
        <f>IF(DL$4=1,IF(INDEX('×入力'!$C$1:$L$700,411+DL$3,DL$2)&lt;&gt;"",1,0),0)</f>
        <v/>
      </c>
      <c r="DM37">
        <f>IF(DM$4=1,IF(INDEX('×入力'!$C$1:$L$700,411+DM$3,DM$2)&lt;&gt;"",1,0),0)</f>
        <v/>
      </c>
      <c r="DN37">
        <f>IF(DN$4=1,IF(INDEX('×入力'!$C$1:$L$700,411+DN$3,DN$2)&lt;&gt;"",1,0),0)</f>
        <v/>
      </c>
      <c r="DO37">
        <f>IF(DO$4=1,IF(INDEX('×入力'!$C$1:$L$700,411+DO$3,DO$2)&lt;&gt;"",1,0),0)</f>
        <v/>
      </c>
      <c r="DP37">
        <f>IF(DP$4=1,IF(INDEX('×入力'!$C$1:$L$700,411+DP$3,DP$2)&lt;&gt;"",1,0),0)</f>
        <v/>
      </c>
      <c r="DQ37">
        <f>IF(DQ$4=1,IF(INDEX('×入力'!$C$1:$L$700,411+DQ$3,DQ$2)&lt;&gt;"",1,0),0)</f>
        <v/>
      </c>
      <c r="DR37">
        <f>IF(DR$4=1,IF(INDEX('×入力'!$C$1:$L$700,411+DR$3,DR$2)&lt;&gt;"",1,0),0)</f>
        <v/>
      </c>
      <c r="DS37">
        <f>IF(DS$4=1,IF(INDEX('×入力'!$C$1:$L$700,411+DS$3,DS$2)&lt;&gt;"",1,0),0)</f>
        <v/>
      </c>
      <c r="DU37">
        <f>IFERROR(INDEX('計算B'!$C$3:$C$47,MATCH(A37,'計算B'!$B$3:$B$47,0)),0)</f>
        <v/>
      </c>
      <c r="DV37">
        <f>IF(AND(C37=1,DU37=0),1,0)</f>
        <v/>
      </c>
      <c r="DW37">
        <f>SUMPRODUCT(D87:DS87*(1-$D$7:$DS$7))</f>
        <v/>
      </c>
      <c r="DX37">
        <f>SUM(D37:DS37)</f>
        <v/>
      </c>
      <c r="DY37">
        <f>IF(B37="",0,IF(COUNTIF('割り当て'!$C$6:$L$17,B37)=1,SUMPRODUCT(('割り当て'!$C$6:$L$17=B37)*((COLUMN('割り当て'!$C$6:$L$17)-3)*12+ROW('割り当て'!$C$6:$L$17)-5)),0))</f>
        <v/>
      </c>
      <c r="DZ37">
        <f>IFERROR(MATCH('名簿'!E32,{"早い時刻","遅い時刻","早い日","遅い日"},0),0)</f>
        <v/>
      </c>
      <c r="EA37">
        <f>IF('名簿'!F32="必ず空けたい",2,IF('名簿'!F32="出来れば空けたい",1,0))</f>
        <v/>
      </c>
    </row>
    <row r="38">
      <c r="A38" t="n">
        <v>29</v>
      </c>
      <c r="B38">
        <f>'名簿'!G33</f>
        <v/>
      </c>
      <c r="C38">
        <f>IF(AND(B38&lt;&gt;"",OR('名簿'!H33="入力済み",'名簿'!H33="×なし"),DY38=0,COUNTIF('割り当て'!$C$6:$L$17,B38)=0),1,0)</f>
        <v/>
      </c>
      <c r="D38">
        <f>IF(D$4=1,IF(INDEX('×入力'!$C$1:$L$700,426+D$3,D$2)&lt;&gt;"",1,0),0)</f>
        <v/>
      </c>
      <c r="E38">
        <f>IF(E$4=1,IF(INDEX('×入力'!$C$1:$L$700,426+E$3,E$2)&lt;&gt;"",1,0),0)</f>
        <v/>
      </c>
      <c r="F38">
        <f>IF(F$4=1,IF(INDEX('×入力'!$C$1:$L$700,426+F$3,F$2)&lt;&gt;"",1,0),0)</f>
        <v/>
      </c>
      <c r="G38">
        <f>IF(G$4=1,IF(INDEX('×入力'!$C$1:$L$700,426+G$3,G$2)&lt;&gt;"",1,0),0)</f>
        <v/>
      </c>
      <c r="H38">
        <f>IF(H$4=1,IF(INDEX('×入力'!$C$1:$L$700,426+H$3,H$2)&lt;&gt;"",1,0),0)</f>
        <v/>
      </c>
      <c r="I38">
        <f>IF(I$4=1,IF(INDEX('×入力'!$C$1:$L$700,426+I$3,I$2)&lt;&gt;"",1,0),0)</f>
        <v/>
      </c>
      <c r="J38">
        <f>IF(J$4=1,IF(INDEX('×入力'!$C$1:$L$700,426+J$3,J$2)&lt;&gt;"",1,0),0)</f>
        <v/>
      </c>
      <c r="K38">
        <f>IF(K$4=1,IF(INDEX('×入力'!$C$1:$L$700,426+K$3,K$2)&lt;&gt;"",1,0),0)</f>
        <v/>
      </c>
      <c r="L38">
        <f>IF(L$4=1,IF(INDEX('×入力'!$C$1:$L$700,426+L$3,L$2)&lt;&gt;"",1,0),0)</f>
        <v/>
      </c>
      <c r="M38">
        <f>IF(M$4=1,IF(INDEX('×入力'!$C$1:$L$700,426+M$3,M$2)&lt;&gt;"",1,0),0)</f>
        <v/>
      </c>
      <c r="N38">
        <f>IF(N$4=1,IF(INDEX('×入力'!$C$1:$L$700,426+N$3,N$2)&lt;&gt;"",1,0),0)</f>
        <v/>
      </c>
      <c r="O38">
        <f>IF(O$4=1,IF(INDEX('×入力'!$C$1:$L$700,426+O$3,O$2)&lt;&gt;"",1,0),0)</f>
        <v/>
      </c>
      <c r="P38">
        <f>IF(P$4=1,IF(INDEX('×入力'!$C$1:$L$700,426+P$3,P$2)&lt;&gt;"",1,0),0)</f>
        <v/>
      </c>
      <c r="Q38">
        <f>IF(Q$4=1,IF(INDEX('×入力'!$C$1:$L$700,426+Q$3,Q$2)&lt;&gt;"",1,0),0)</f>
        <v/>
      </c>
      <c r="R38">
        <f>IF(R$4=1,IF(INDEX('×入力'!$C$1:$L$700,426+R$3,R$2)&lt;&gt;"",1,0),0)</f>
        <v/>
      </c>
      <c r="S38">
        <f>IF(S$4=1,IF(INDEX('×入力'!$C$1:$L$700,426+S$3,S$2)&lt;&gt;"",1,0),0)</f>
        <v/>
      </c>
      <c r="T38">
        <f>IF(T$4=1,IF(INDEX('×入力'!$C$1:$L$700,426+T$3,T$2)&lt;&gt;"",1,0),0)</f>
        <v/>
      </c>
      <c r="U38">
        <f>IF(U$4=1,IF(INDEX('×入力'!$C$1:$L$700,426+U$3,U$2)&lt;&gt;"",1,0),0)</f>
        <v/>
      </c>
      <c r="V38">
        <f>IF(V$4=1,IF(INDEX('×入力'!$C$1:$L$700,426+V$3,V$2)&lt;&gt;"",1,0),0)</f>
        <v/>
      </c>
      <c r="W38">
        <f>IF(W$4=1,IF(INDEX('×入力'!$C$1:$L$700,426+W$3,W$2)&lt;&gt;"",1,0),0)</f>
        <v/>
      </c>
      <c r="X38">
        <f>IF(X$4=1,IF(INDEX('×入力'!$C$1:$L$700,426+X$3,X$2)&lt;&gt;"",1,0),0)</f>
        <v/>
      </c>
      <c r="Y38">
        <f>IF(Y$4=1,IF(INDEX('×入力'!$C$1:$L$700,426+Y$3,Y$2)&lt;&gt;"",1,0),0)</f>
        <v/>
      </c>
      <c r="Z38">
        <f>IF(Z$4=1,IF(INDEX('×入力'!$C$1:$L$700,426+Z$3,Z$2)&lt;&gt;"",1,0),0)</f>
        <v/>
      </c>
      <c r="AA38">
        <f>IF(AA$4=1,IF(INDEX('×入力'!$C$1:$L$700,426+AA$3,AA$2)&lt;&gt;"",1,0),0)</f>
        <v/>
      </c>
      <c r="AB38">
        <f>IF(AB$4=1,IF(INDEX('×入力'!$C$1:$L$700,426+AB$3,AB$2)&lt;&gt;"",1,0),0)</f>
        <v/>
      </c>
      <c r="AC38">
        <f>IF(AC$4=1,IF(INDEX('×入力'!$C$1:$L$700,426+AC$3,AC$2)&lt;&gt;"",1,0),0)</f>
        <v/>
      </c>
      <c r="AD38">
        <f>IF(AD$4=1,IF(INDEX('×入力'!$C$1:$L$700,426+AD$3,AD$2)&lt;&gt;"",1,0),0)</f>
        <v/>
      </c>
      <c r="AE38">
        <f>IF(AE$4=1,IF(INDEX('×入力'!$C$1:$L$700,426+AE$3,AE$2)&lt;&gt;"",1,0),0)</f>
        <v/>
      </c>
      <c r="AF38">
        <f>IF(AF$4=1,IF(INDEX('×入力'!$C$1:$L$700,426+AF$3,AF$2)&lt;&gt;"",1,0),0)</f>
        <v/>
      </c>
      <c r="AG38">
        <f>IF(AG$4=1,IF(INDEX('×入力'!$C$1:$L$700,426+AG$3,AG$2)&lt;&gt;"",1,0),0)</f>
        <v/>
      </c>
      <c r="AH38">
        <f>IF(AH$4=1,IF(INDEX('×入力'!$C$1:$L$700,426+AH$3,AH$2)&lt;&gt;"",1,0),0)</f>
        <v/>
      </c>
      <c r="AI38">
        <f>IF(AI$4=1,IF(INDEX('×入力'!$C$1:$L$700,426+AI$3,AI$2)&lt;&gt;"",1,0),0)</f>
        <v/>
      </c>
      <c r="AJ38">
        <f>IF(AJ$4=1,IF(INDEX('×入力'!$C$1:$L$700,426+AJ$3,AJ$2)&lt;&gt;"",1,0),0)</f>
        <v/>
      </c>
      <c r="AK38">
        <f>IF(AK$4=1,IF(INDEX('×入力'!$C$1:$L$700,426+AK$3,AK$2)&lt;&gt;"",1,0),0)</f>
        <v/>
      </c>
      <c r="AL38">
        <f>IF(AL$4=1,IF(INDEX('×入力'!$C$1:$L$700,426+AL$3,AL$2)&lt;&gt;"",1,0),0)</f>
        <v/>
      </c>
      <c r="AM38">
        <f>IF(AM$4=1,IF(INDEX('×入力'!$C$1:$L$700,426+AM$3,AM$2)&lt;&gt;"",1,0),0)</f>
        <v/>
      </c>
      <c r="AN38">
        <f>IF(AN$4=1,IF(INDEX('×入力'!$C$1:$L$700,426+AN$3,AN$2)&lt;&gt;"",1,0),0)</f>
        <v/>
      </c>
      <c r="AO38">
        <f>IF(AO$4=1,IF(INDEX('×入力'!$C$1:$L$700,426+AO$3,AO$2)&lt;&gt;"",1,0),0)</f>
        <v/>
      </c>
      <c r="AP38">
        <f>IF(AP$4=1,IF(INDEX('×入力'!$C$1:$L$700,426+AP$3,AP$2)&lt;&gt;"",1,0),0)</f>
        <v/>
      </c>
      <c r="AQ38">
        <f>IF(AQ$4=1,IF(INDEX('×入力'!$C$1:$L$700,426+AQ$3,AQ$2)&lt;&gt;"",1,0),0)</f>
        <v/>
      </c>
      <c r="AR38">
        <f>IF(AR$4=1,IF(INDEX('×入力'!$C$1:$L$700,426+AR$3,AR$2)&lt;&gt;"",1,0),0)</f>
        <v/>
      </c>
      <c r="AS38">
        <f>IF(AS$4=1,IF(INDEX('×入力'!$C$1:$L$700,426+AS$3,AS$2)&lt;&gt;"",1,0),0)</f>
        <v/>
      </c>
      <c r="AT38">
        <f>IF(AT$4=1,IF(INDEX('×入力'!$C$1:$L$700,426+AT$3,AT$2)&lt;&gt;"",1,0),0)</f>
        <v/>
      </c>
      <c r="AU38">
        <f>IF(AU$4=1,IF(INDEX('×入力'!$C$1:$L$700,426+AU$3,AU$2)&lt;&gt;"",1,0),0)</f>
        <v/>
      </c>
      <c r="AV38">
        <f>IF(AV$4=1,IF(INDEX('×入力'!$C$1:$L$700,426+AV$3,AV$2)&lt;&gt;"",1,0),0)</f>
        <v/>
      </c>
      <c r="AW38">
        <f>IF(AW$4=1,IF(INDEX('×入力'!$C$1:$L$700,426+AW$3,AW$2)&lt;&gt;"",1,0),0)</f>
        <v/>
      </c>
      <c r="AX38">
        <f>IF(AX$4=1,IF(INDEX('×入力'!$C$1:$L$700,426+AX$3,AX$2)&lt;&gt;"",1,0),0)</f>
        <v/>
      </c>
      <c r="AY38">
        <f>IF(AY$4=1,IF(INDEX('×入力'!$C$1:$L$700,426+AY$3,AY$2)&lt;&gt;"",1,0),0)</f>
        <v/>
      </c>
      <c r="AZ38">
        <f>IF(AZ$4=1,IF(INDEX('×入力'!$C$1:$L$700,426+AZ$3,AZ$2)&lt;&gt;"",1,0),0)</f>
        <v/>
      </c>
      <c r="BA38">
        <f>IF(BA$4=1,IF(INDEX('×入力'!$C$1:$L$700,426+BA$3,BA$2)&lt;&gt;"",1,0),0)</f>
        <v/>
      </c>
      <c r="BB38">
        <f>IF(BB$4=1,IF(INDEX('×入力'!$C$1:$L$700,426+BB$3,BB$2)&lt;&gt;"",1,0),0)</f>
        <v/>
      </c>
      <c r="BC38">
        <f>IF(BC$4=1,IF(INDEX('×入力'!$C$1:$L$700,426+BC$3,BC$2)&lt;&gt;"",1,0),0)</f>
        <v/>
      </c>
      <c r="BD38">
        <f>IF(BD$4=1,IF(INDEX('×入力'!$C$1:$L$700,426+BD$3,BD$2)&lt;&gt;"",1,0),0)</f>
        <v/>
      </c>
      <c r="BE38">
        <f>IF(BE$4=1,IF(INDEX('×入力'!$C$1:$L$700,426+BE$3,BE$2)&lt;&gt;"",1,0),0)</f>
        <v/>
      </c>
      <c r="BF38">
        <f>IF(BF$4=1,IF(INDEX('×入力'!$C$1:$L$700,426+BF$3,BF$2)&lt;&gt;"",1,0),0)</f>
        <v/>
      </c>
      <c r="BG38">
        <f>IF(BG$4=1,IF(INDEX('×入力'!$C$1:$L$700,426+BG$3,BG$2)&lt;&gt;"",1,0),0)</f>
        <v/>
      </c>
      <c r="BH38">
        <f>IF(BH$4=1,IF(INDEX('×入力'!$C$1:$L$700,426+BH$3,BH$2)&lt;&gt;"",1,0),0)</f>
        <v/>
      </c>
      <c r="BI38">
        <f>IF(BI$4=1,IF(INDEX('×入力'!$C$1:$L$700,426+BI$3,BI$2)&lt;&gt;"",1,0),0)</f>
        <v/>
      </c>
      <c r="BJ38">
        <f>IF(BJ$4=1,IF(INDEX('×入力'!$C$1:$L$700,426+BJ$3,BJ$2)&lt;&gt;"",1,0),0)</f>
        <v/>
      </c>
      <c r="BK38">
        <f>IF(BK$4=1,IF(INDEX('×入力'!$C$1:$L$700,426+BK$3,BK$2)&lt;&gt;"",1,0),0)</f>
        <v/>
      </c>
      <c r="BL38">
        <f>IF(BL$4=1,IF(INDEX('×入力'!$C$1:$L$700,426+BL$3,BL$2)&lt;&gt;"",1,0),0)</f>
        <v/>
      </c>
      <c r="BM38">
        <f>IF(BM$4=1,IF(INDEX('×入力'!$C$1:$L$700,426+BM$3,BM$2)&lt;&gt;"",1,0),0)</f>
        <v/>
      </c>
      <c r="BN38">
        <f>IF(BN$4=1,IF(INDEX('×入力'!$C$1:$L$700,426+BN$3,BN$2)&lt;&gt;"",1,0),0)</f>
        <v/>
      </c>
      <c r="BO38">
        <f>IF(BO$4=1,IF(INDEX('×入力'!$C$1:$L$700,426+BO$3,BO$2)&lt;&gt;"",1,0),0)</f>
        <v/>
      </c>
      <c r="BP38">
        <f>IF(BP$4=1,IF(INDEX('×入力'!$C$1:$L$700,426+BP$3,BP$2)&lt;&gt;"",1,0),0)</f>
        <v/>
      </c>
      <c r="BQ38">
        <f>IF(BQ$4=1,IF(INDEX('×入力'!$C$1:$L$700,426+BQ$3,BQ$2)&lt;&gt;"",1,0),0)</f>
        <v/>
      </c>
      <c r="BR38">
        <f>IF(BR$4=1,IF(INDEX('×入力'!$C$1:$L$700,426+BR$3,BR$2)&lt;&gt;"",1,0),0)</f>
        <v/>
      </c>
      <c r="BS38">
        <f>IF(BS$4=1,IF(INDEX('×入力'!$C$1:$L$700,426+BS$3,BS$2)&lt;&gt;"",1,0),0)</f>
        <v/>
      </c>
      <c r="BT38">
        <f>IF(BT$4=1,IF(INDEX('×入力'!$C$1:$L$700,426+BT$3,BT$2)&lt;&gt;"",1,0),0)</f>
        <v/>
      </c>
      <c r="BU38">
        <f>IF(BU$4=1,IF(INDEX('×入力'!$C$1:$L$700,426+BU$3,BU$2)&lt;&gt;"",1,0),0)</f>
        <v/>
      </c>
      <c r="BV38">
        <f>IF(BV$4=1,IF(INDEX('×入力'!$C$1:$L$700,426+BV$3,BV$2)&lt;&gt;"",1,0),0)</f>
        <v/>
      </c>
      <c r="BW38">
        <f>IF(BW$4=1,IF(INDEX('×入力'!$C$1:$L$700,426+BW$3,BW$2)&lt;&gt;"",1,0),0)</f>
        <v/>
      </c>
      <c r="BX38">
        <f>IF(BX$4=1,IF(INDEX('×入力'!$C$1:$L$700,426+BX$3,BX$2)&lt;&gt;"",1,0),0)</f>
        <v/>
      </c>
      <c r="BY38">
        <f>IF(BY$4=1,IF(INDEX('×入力'!$C$1:$L$700,426+BY$3,BY$2)&lt;&gt;"",1,0),0)</f>
        <v/>
      </c>
      <c r="BZ38">
        <f>IF(BZ$4=1,IF(INDEX('×入力'!$C$1:$L$700,426+BZ$3,BZ$2)&lt;&gt;"",1,0),0)</f>
        <v/>
      </c>
      <c r="CA38">
        <f>IF(CA$4=1,IF(INDEX('×入力'!$C$1:$L$700,426+CA$3,CA$2)&lt;&gt;"",1,0),0)</f>
        <v/>
      </c>
      <c r="CB38">
        <f>IF(CB$4=1,IF(INDEX('×入力'!$C$1:$L$700,426+CB$3,CB$2)&lt;&gt;"",1,0),0)</f>
        <v/>
      </c>
      <c r="CC38">
        <f>IF(CC$4=1,IF(INDEX('×入力'!$C$1:$L$700,426+CC$3,CC$2)&lt;&gt;"",1,0),0)</f>
        <v/>
      </c>
      <c r="CD38">
        <f>IF(CD$4=1,IF(INDEX('×入力'!$C$1:$L$700,426+CD$3,CD$2)&lt;&gt;"",1,0),0)</f>
        <v/>
      </c>
      <c r="CE38">
        <f>IF(CE$4=1,IF(INDEX('×入力'!$C$1:$L$700,426+CE$3,CE$2)&lt;&gt;"",1,0),0)</f>
        <v/>
      </c>
      <c r="CF38">
        <f>IF(CF$4=1,IF(INDEX('×入力'!$C$1:$L$700,426+CF$3,CF$2)&lt;&gt;"",1,0),0)</f>
        <v/>
      </c>
      <c r="CG38">
        <f>IF(CG$4=1,IF(INDEX('×入力'!$C$1:$L$700,426+CG$3,CG$2)&lt;&gt;"",1,0),0)</f>
        <v/>
      </c>
      <c r="CH38">
        <f>IF(CH$4=1,IF(INDEX('×入力'!$C$1:$L$700,426+CH$3,CH$2)&lt;&gt;"",1,0),0)</f>
        <v/>
      </c>
      <c r="CI38">
        <f>IF(CI$4=1,IF(INDEX('×入力'!$C$1:$L$700,426+CI$3,CI$2)&lt;&gt;"",1,0),0)</f>
        <v/>
      </c>
      <c r="CJ38">
        <f>IF(CJ$4=1,IF(INDEX('×入力'!$C$1:$L$700,426+CJ$3,CJ$2)&lt;&gt;"",1,0),0)</f>
        <v/>
      </c>
      <c r="CK38">
        <f>IF(CK$4=1,IF(INDEX('×入力'!$C$1:$L$700,426+CK$3,CK$2)&lt;&gt;"",1,0),0)</f>
        <v/>
      </c>
      <c r="CL38">
        <f>IF(CL$4=1,IF(INDEX('×入力'!$C$1:$L$700,426+CL$3,CL$2)&lt;&gt;"",1,0),0)</f>
        <v/>
      </c>
      <c r="CM38">
        <f>IF(CM$4=1,IF(INDEX('×入力'!$C$1:$L$700,426+CM$3,CM$2)&lt;&gt;"",1,0),0)</f>
        <v/>
      </c>
      <c r="CN38">
        <f>IF(CN$4=1,IF(INDEX('×入力'!$C$1:$L$700,426+CN$3,CN$2)&lt;&gt;"",1,0),0)</f>
        <v/>
      </c>
      <c r="CO38">
        <f>IF(CO$4=1,IF(INDEX('×入力'!$C$1:$L$700,426+CO$3,CO$2)&lt;&gt;"",1,0),0)</f>
        <v/>
      </c>
      <c r="CP38">
        <f>IF(CP$4=1,IF(INDEX('×入力'!$C$1:$L$700,426+CP$3,CP$2)&lt;&gt;"",1,0),0)</f>
        <v/>
      </c>
      <c r="CQ38">
        <f>IF(CQ$4=1,IF(INDEX('×入力'!$C$1:$L$700,426+CQ$3,CQ$2)&lt;&gt;"",1,0),0)</f>
        <v/>
      </c>
      <c r="CR38">
        <f>IF(CR$4=1,IF(INDEX('×入力'!$C$1:$L$700,426+CR$3,CR$2)&lt;&gt;"",1,0),0)</f>
        <v/>
      </c>
      <c r="CS38">
        <f>IF(CS$4=1,IF(INDEX('×入力'!$C$1:$L$700,426+CS$3,CS$2)&lt;&gt;"",1,0),0)</f>
        <v/>
      </c>
      <c r="CT38">
        <f>IF(CT$4=1,IF(INDEX('×入力'!$C$1:$L$700,426+CT$3,CT$2)&lt;&gt;"",1,0),0)</f>
        <v/>
      </c>
      <c r="CU38">
        <f>IF(CU$4=1,IF(INDEX('×入力'!$C$1:$L$700,426+CU$3,CU$2)&lt;&gt;"",1,0),0)</f>
        <v/>
      </c>
      <c r="CV38">
        <f>IF(CV$4=1,IF(INDEX('×入力'!$C$1:$L$700,426+CV$3,CV$2)&lt;&gt;"",1,0),0)</f>
        <v/>
      </c>
      <c r="CW38">
        <f>IF(CW$4=1,IF(INDEX('×入力'!$C$1:$L$700,426+CW$3,CW$2)&lt;&gt;"",1,0),0)</f>
        <v/>
      </c>
      <c r="CX38">
        <f>IF(CX$4=1,IF(INDEX('×入力'!$C$1:$L$700,426+CX$3,CX$2)&lt;&gt;"",1,0),0)</f>
        <v/>
      </c>
      <c r="CY38">
        <f>IF(CY$4=1,IF(INDEX('×入力'!$C$1:$L$700,426+CY$3,CY$2)&lt;&gt;"",1,0),0)</f>
        <v/>
      </c>
      <c r="CZ38">
        <f>IF(CZ$4=1,IF(INDEX('×入力'!$C$1:$L$700,426+CZ$3,CZ$2)&lt;&gt;"",1,0),0)</f>
        <v/>
      </c>
      <c r="DA38">
        <f>IF(DA$4=1,IF(INDEX('×入力'!$C$1:$L$700,426+DA$3,DA$2)&lt;&gt;"",1,0),0)</f>
        <v/>
      </c>
      <c r="DB38">
        <f>IF(DB$4=1,IF(INDEX('×入力'!$C$1:$L$700,426+DB$3,DB$2)&lt;&gt;"",1,0),0)</f>
        <v/>
      </c>
      <c r="DC38">
        <f>IF(DC$4=1,IF(INDEX('×入力'!$C$1:$L$700,426+DC$3,DC$2)&lt;&gt;"",1,0),0)</f>
        <v/>
      </c>
      <c r="DD38">
        <f>IF(DD$4=1,IF(INDEX('×入力'!$C$1:$L$700,426+DD$3,DD$2)&lt;&gt;"",1,0),0)</f>
        <v/>
      </c>
      <c r="DE38">
        <f>IF(DE$4=1,IF(INDEX('×入力'!$C$1:$L$700,426+DE$3,DE$2)&lt;&gt;"",1,0),0)</f>
        <v/>
      </c>
      <c r="DF38">
        <f>IF(DF$4=1,IF(INDEX('×入力'!$C$1:$L$700,426+DF$3,DF$2)&lt;&gt;"",1,0),0)</f>
        <v/>
      </c>
      <c r="DG38">
        <f>IF(DG$4=1,IF(INDEX('×入力'!$C$1:$L$700,426+DG$3,DG$2)&lt;&gt;"",1,0),0)</f>
        <v/>
      </c>
      <c r="DH38">
        <f>IF(DH$4=1,IF(INDEX('×入力'!$C$1:$L$700,426+DH$3,DH$2)&lt;&gt;"",1,0),0)</f>
        <v/>
      </c>
      <c r="DI38">
        <f>IF(DI$4=1,IF(INDEX('×入力'!$C$1:$L$700,426+DI$3,DI$2)&lt;&gt;"",1,0),0)</f>
        <v/>
      </c>
      <c r="DJ38">
        <f>IF(DJ$4=1,IF(INDEX('×入力'!$C$1:$L$700,426+DJ$3,DJ$2)&lt;&gt;"",1,0),0)</f>
        <v/>
      </c>
      <c r="DK38">
        <f>IF(DK$4=1,IF(INDEX('×入力'!$C$1:$L$700,426+DK$3,DK$2)&lt;&gt;"",1,0),0)</f>
        <v/>
      </c>
      <c r="DL38">
        <f>IF(DL$4=1,IF(INDEX('×入力'!$C$1:$L$700,426+DL$3,DL$2)&lt;&gt;"",1,0),0)</f>
        <v/>
      </c>
      <c r="DM38">
        <f>IF(DM$4=1,IF(INDEX('×入力'!$C$1:$L$700,426+DM$3,DM$2)&lt;&gt;"",1,0),0)</f>
        <v/>
      </c>
      <c r="DN38">
        <f>IF(DN$4=1,IF(INDEX('×入力'!$C$1:$L$700,426+DN$3,DN$2)&lt;&gt;"",1,0),0)</f>
        <v/>
      </c>
      <c r="DO38">
        <f>IF(DO$4=1,IF(INDEX('×入力'!$C$1:$L$700,426+DO$3,DO$2)&lt;&gt;"",1,0),0)</f>
        <v/>
      </c>
      <c r="DP38">
        <f>IF(DP$4=1,IF(INDEX('×入力'!$C$1:$L$700,426+DP$3,DP$2)&lt;&gt;"",1,0),0)</f>
        <v/>
      </c>
      <c r="DQ38">
        <f>IF(DQ$4=1,IF(INDEX('×入力'!$C$1:$L$700,426+DQ$3,DQ$2)&lt;&gt;"",1,0),0)</f>
        <v/>
      </c>
      <c r="DR38">
        <f>IF(DR$4=1,IF(INDEX('×入力'!$C$1:$L$700,426+DR$3,DR$2)&lt;&gt;"",1,0),0)</f>
        <v/>
      </c>
      <c r="DS38">
        <f>IF(DS$4=1,IF(INDEX('×入力'!$C$1:$L$700,426+DS$3,DS$2)&lt;&gt;"",1,0),0)</f>
        <v/>
      </c>
      <c r="DU38">
        <f>IFERROR(INDEX('計算B'!$C$3:$C$47,MATCH(A38,'計算B'!$B$3:$B$47,0)),0)</f>
        <v/>
      </c>
      <c r="DV38">
        <f>IF(AND(C38=1,DU38=0),1,0)</f>
        <v/>
      </c>
      <c r="DW38">
        <f>SUMPRODUCT(D88:DS88*(1-$D$7:$DS$7))</f>
        <v/>
      </c>
      <c r="DX38">
        <f>SUM(D38:DS38)</f>
        <v/>
      </c>
      <c r="DY38">
        <f>IF(B38="",0,IF(COUNTIF('割り当て'!$C$6:$L$17,B38)=1,SUMPRODUCT(('割り当て'!$C$6:$L$17=B38)*((COLUMN('割り当て'!$C$6:$L$17)-3)*12+ROW('割り当て'!$C$6:$L$17)-5)),0))</f>
        <v/>
      </c>
      <c r="DZ38">
        <f>IFERROR(MATCH('名簿'!E33,{"早い時刻","遅い時刻","早い日","遅い日"},0),0)</f>
        <v/>
      </c>
      <c r="EA38">
        <f>IF('名簿'!F33="必ず空けたい",2,IF('名簿'!F33="出来れば空けたい",1,0))</f>
        <v/>
      </c>
    </row>
    <row r="39">
      <c r="A39" t="n">
        <v>30</v>
      </c>
      <c r="B39">
        <f>'名簿'!G34</f>
        <v/>
      </c>
      <c r="C39">
        <f>IF(AND(B39&lt;&gt;"",OR('名簿'!H34="入力済み",'名簿'!H34="×なし"),DY39=0,COUNTIF('割り当て'!$C$6:$L$17,B39)=0),1,0)</f>
        <v/>
      </c>
      <c r="D39">
        <f>IF(D$4=1,IF(INDEX('×入力'!$C$1:$L$700,441+D$3,D$2)&lt;&gt;"",1,0),0)</f>
        <v/>
      </c>
      <c r="E39">
        <f>IF(E$4=1,IF(INDEX('×入力'!$C$1:$L$700,441+E$3,E$2)&lt;&gt;"",1,0),0)</f>
        <v/>
      </c>
      <c r="F39">
        <f>IF(F$4=1,IF(INDEX('×入力'!$C$1:$L$700,441+F$3,F$2)&lt;&gt;"",1,0),0)</f>
        <v/>
      </c>
      <c r="G39">
        <f>IF(G$4=1,IF(INDEX('×入力'!$C$1:$L$700,441+G$3,G$2)&lt;&gt;"",1,0),0)</f>
        <v/>
      </c>
      <c r="H39">
        <f>IF(H$4=1,IF(INDEX('×入力'!$C$1:$L$700,441+H$3,H$2)&lt;&gt;"",1,0),0)</f>
        <v/>
      </c>
      <c r="I39">
        <f>IF(I$4=1,IF(INDEX('×入力'!$C$1:$L$700,441+I$3,I$2)&lt;&gt;"",1,0),0)</f>
        <v/>
      </c>
      <c r="J39">
        <f>IF(J$4=1,IF(INDEX('×入力'!$C$1:$L$700,441+J$3,J$2)&lt;&gt;"",1,0),0)</f>
        <v/>
      </c>
      <c r="K39">
        <f>IF(K$4=1,IF(INDEX('×入力'!$C$1:$L$700,441+K$3,K$2)&lt;&gt;"",1,0),0)</f>
        <v/>
      </c>
      <c r="L39">
        <f>IF(L$4=1,IF(INDEX('×入力'!$C$1:$L$700,441+L$3,L$2)&lt;&gt;"",1,0),0)</f>
        <v/>
      </c>
      <c r="M39">
        <f>IF(M$4=1,IF(INDEX('×入力'!$C$1:$L$700,441+M$3,M$2)&lt;&gt;"",1,0),0)</f>
        <v/>
      </c>
      <c r="N39">
        <f>IF(N$4=1,IF(INDEX('×入力'!$C$1:$L$700,441+N$3,N$2)&lt;&gt;"",1,0),0)</f>
        <v/>
      </c>
      <c r="O39">
        <f>IF(O$4=1,IF(INDEX('×入力'!$C$1:$L$700,441+O$3,O$2)&lt;&gt;"",1,0),0)</f>
        <v/>
      </c>
      <c r="P39">
        <f>IF(P$4=1,IF(INDEX('×入力'!$C$1:$L$700,441+P$3,P$2)&lt;&gt;"",1,0),0)</f>
        <v/>
      </c>
      <c r="Q39">
        <f>IF(Q$4=1,IF(INDEX('×入力'!$C$1:$L$700,441+Q$3,Q$2)&lt;&gt;"",1,0),0)</f>
        <v/>
      </c>
      <c r="R39">
        <f>IF(R$4=1,IF(INDEX('×入力'!$C$1:$L$700,441+R$3,R$2)&lt;&gt;"",1,0),0)</f>
        <v/>
      </c>
      <c r="S39">
        <f>IF(S$4=1,IF(INDEX('×入力'!$C$1:$L$700,441+S$3,S$2)&lt;&gt;"",1,0),0)</f>
        <v/>
      </c>
      <c r="T39">
        <f>IF(T$4=1,IF(INDEX('×入力'!$C$1:$L$700,441+T$3,T$2)&lt;&gt;"",1,0),0)</f>
        <v/>
      </c>
      <c r="U39">
        <f>IF(U$4=1,IF(INDEX('×入力'!$C$1:$L$700,441+U$3,U$2)&lt;&gt;"",1,0),0)</f>
        <v/>
      </c>
      <c r="V39">
        <f>IF(V$4=1,IF(INDEX('×入力'!$C$1:$L$700,441+V$3,V$2)&lt;&gt;"",1,0),0)</f>
        <v/>
      </c>
      <c r="W39">
        <f>IF(W$4=1,IF(INDEX('×入力'!$C$1:$L$700,441+W$3,W$2)&lt;&gt;"",1,0),0)</f>
        <v/>
      </c>
      <c r="X39">
        <f>IF(X$4=1,IF(INDEX('×入力'!$C$1:$L$700,441+X$3,X$2)&lt;&gt;"",1,0),0)</f>
        <v/>
      </c>
      <c r="Y39">
        <f>IF(Y$4=1,IF(INDEX('×入力'!$C$1:$L$700,441+Y$3,Y$2)&lt;&gt;"",1,0),0)</f>
        <v/>
      </c>
      <c r="Z39">
        <f>IF(Z$4=1,IF(INDEX('×入力'!$C$1:$L$700,441+Z$3,Z$2)&lt;&gt;"",1,0),0)</f>
        <v/>
      </c>
      <c r="AA39">
        <f>IF(AA$4=1,IF(INDEX('×入力'!$C$1:$L$700,441+AA$3,AA$2)&lt;&gt;"",1,0),0)</f>
        <v/>
      </c>
      <c r="AB39">
        <f>IF(AB$4=1,IF(INDEX('×入力'!$C$1:$L$700,441+AB$3,AB$2)&lt;&gt;"",1,0),0)</f>
        <v/>
      </c>
      <c r="AC39">
        <f>IF(AC$4=1,IF(INDEX('×入力'!$C$1:$L$700,441+AC$3,AC$2)&lt;&gt;"",1,0),0)</f>
        <v/>
      </c>
      <c r="AD39">
        <f>IF(AD$4=1,IF(INDEX('×入力'!$C$1:$L$700,441+AD$3,AD$2)&lt;&gt;"",1,0),0)</f>
        <v/>
      </c>
      <c r="AE39">
        <f>IF(AE$4=1,IF(INDEX('×入力'!$C$1:$L$700,441+AE$3,AE$2)&lt;&gt;"",1,0),0)</f>
        <v/>
      </c>
      <c r="AF39">
        <f>IF(AF$4=1,IF(INDEX('×入力'!$C$1:$L$700,441+AF$3,AF$2)&lt;&gt;"",1,0),0)</f>
        <v/>
      </c>
      <c r="AG39">
        <f>IF(AG$4=1,IF(INDEX('×入力'!$C$1:$L$700,441+AG$3,AG$2)&lt;&gt;"",1,0),0)</f>
        <v/>
      </c>
      <c r="AH39">
        <f>IF(AH$4=1,IF(INDEX('×入力'!$C$1:$L$700,441+AH$3,AH$2)&lt;&gt;"",1,0),0)</f>
        <v/>
      </c>
      <c r="AI39">
        <f>IF(AI$4=1,IF(INDEX('×入力'!$C$1:$L$700,441+AI$3,AI$2)&lt;&gt;"",1,0),0)</f>
        <v/>
      </c>
      <c r="AJ39">
        <f>IF(AJ$4=1,IF(INDEX('×入力'!$C$1:$L$700,441+AJ$3,AJ$2)&lt;&gt;"",1,0),0)</f>
        <v/>
      </c>
      <c r="AK39">
        <f>IF(AK$4=1,IF(INDEX('×入力'!$C$1:$L$700,441+AK$3,AK$2)&lt;&gt;"",1,0),0)</f>
        <v/>
      </c>
      <c r="AL39">
        <f>IF(AL$4=1,IF(INDEX('×入力'!$C$1:$L$700,441+AL$3,AL$2)&lt;&gt;"",1,0),0)</f>
        <v/>
      </c>
      <c r="AM39">
        <f>IF(AM$4=1,IF(INDEX('×入力'!$C$1:$L$700,441+AM$3,AM$2)&lt;&gt;"",1,0),0)</f>
        <v/>
      </c>
      <c r="AN39">
        <f>IF(AN$4=1,IF(INDEX('×入力'!$C$1:$L$700,441+AN$3,AN$2)&lt;&gt;"",1,0),0)</f>
        <v/>
      </c>
      <c r="AO39">
        <f>IF(AO$4=1,IF(INDEX('×入力'!$C$1:$L$700,441+AO$3,AO$2)&lt;&gt;"",1,0),0)</f>
        <v/>
      </c>
      <c r="AP39">
        <f>IF(AP$4=1,IF(INDEX('×入力'!$C$1:$L$700,441+AP$3,AP$2)&lt;&gt;"",1,0),0)</f>
        <v/>
      </c>
      <c r="AQ39">
        <f>IF(AQ$4=1,IF(INDEX('×入力'!$C$1:$L$700,441+AQ$3,AQ$2)&lt;&gt;"",1,0),0)</f>
        <v/>
      </c>
      <c r="AR39">
        <f>IF(AR$4=1,IF(INDEX('×入力'!$C$1:$L$700,441+AR$3,AR$2)&lt;&gt;"",1,0),0)</f>
        <v/>
      </c>
      <c r="AS39">
        <f>IF(AS$4=1,IF(INDEX('×入力'!$C$1:$L$700,441+AS$3,AS$2)&lt;&gt;"",1,0),0)</f>
        <v/>
      </c>
      <c r="AT39">
        <f>IF(AT$4=1,IF(INDEX('×入力'!$C$1:$L$700,441+AT$3,AT$2)&lt;&gt;"",1,0),0)</f>
        <v/>
      </c>
      <c r="AU39">
        <f>IF(AU$4=1,IF(INDEX('×入力'!$C$1:$L$700,441+AU$3,AU$2)&lt;&gt;"",1,0),0)</f>
        <v/>
      </c>
      <c r="AV39">
        <f>IF(AV$4=1,IF(INDEX('×入力'!$C$1:$L$700,441+AV$3,AV$2)&lt;&gt;"",1,0),0)</f>
        <v/>
      </c>
      <c r="AW39">
        <f>IF(AW$4=1,IF(INDEX('×入力'!$C$1:$L$700,441+AW$3,AW$2)&lt;&gt;"",1,0),0)</f>
        <v/>
      </c>
      <c r="AX39">
        <f>IF(AX$4=1,IF(INDEX('×入力'!$C$1:$L$700,441+AX$3,AX$2)&lt;&gt;"",1,0),0)</f>
        <v/>
      </c>
      <c r="AY39">
        <f>IF(AY$4=1,IF(INDEX('×入力'!$C$1:$L$700,441+AY$3,AY$2)&lt;&gt;"",1,0),0)</f>
        <v/>
      </c>
      <c r="AZ39">
        <f>IF(AZ$4=1,IF(INDEX('×入力'!$C$1:$L$700,441+AZ$3,AZ$2)&lt;&gt;"",1,0),0)</f>
        <v/>
      </c>
      <c r="BA39">
        <f>IF(BA$4=1,IF(INDEX('×入力'!$C$1:$L$700,441+BA$3,BA$2)&lt;&gt;"",1,0),0)</f>
        <v/>
      </c>
      <c r="BB39">
        <f>IF(BB$4=1,IF(INDEX('×入力'!$C$1:$L$700,441+BB$3,BB$2)&lt;&gt;"",1,0),0)</f>
        <v/>
      </c>
      <c r="BC39">
        <f>IF(BC$4=1,IF(INDEX('×入力'!$C$1:$L$700,441+BC$3,BC$2)&lt;&gt;"",1,0),0)</f>
        <v/>
      </c>
      <c r="BD39">
        <f>IF(BD$4=1,IF(INDEX('×入力'!$C$1:$L$700,441+BD$3,BD$2)&lt;&gt;"",1,0),0)</f>
        <v/>
      </c>
      <c r="BE39">
        <f>IF(BE$4=1,IF(INDEX('×入力'!$C$1:$L$700,441+BE$3,BE$2)&lt;&gt;"",1,0),0)</f>
        <v/>
      </c>
      <c r="BF39">
        <f>IF(BF$4=1,IF(INDEX('×入力'!$C$1:$L$700,441+BF$3,BF$2)&lt;&gt;"",1,0),0)</f>
        <v/>
      </c>
      <c r="BG39">
        <f>IF(BG$4=1,IF(INDEX('×入力'!$C$1:$L$700,441+BG$3,BG$2)&lt;&gt;"",1,0),0)</f>
        <v/>
      </c>
      <c r="BH39">
        <f>IF(BH$4=1,IF(INDEX('×入力'!$C$1:$L$700,441+BH$3,BH$2)&lt;&gt;"",1,0),0)</f>
        <v/>
      </c>
      <c r="BI39">
        <f>IF(BI$4=1,IF(INDEX('×入力'!$C$1:$L$700,441+BI$3,BI$2)&lt;&gt;"",1,0),0)</f>
        <v/>
      </c>
      <c r="BJ39">
        <f>IF(BJ$4=1,IF(INDEX('×入力'!$C$1:$L$700,441+BJ$3,BJ$2)&lt;&gt;"",1,0),0)</f>
        <v/>
      </c>
      <c r="BK39">
        <f>IF(BK$4=1,IF(INDEX('×入力'!$C$1:$L$700,441+BK$3,BK$2)&lt;&gt;"",1,0),0)</f>
        <v/>
      </c>
      <c r="BL39">
        <f>IF(BL$4=1,IF(INDEX('×入力'!$C$1:$L$700,441+BL$3,BL$2)&lt;&gt;"",1,0),0)</f>
        <v/>
      </c>
      <c r="BM39">
        <f>IF(BM$4=1,IF(INDEX('×入力'!$C$1:$L$700,441+BM$3,BM$2)&lt;&gt;"",1,0),0)</f>
        <v/>
      </c>
      <c r="BN39">
        <f>IF(BN$4=1,IF(INDEX('×入力'!$C$1:$L$700,441+BN$3,BN$2)&lt;&gt;"",1,0),0)</f>
        <v/>
      </c>
      <c r="BO39">
        <f>IF(BO$4=1,IF(INDEX('×入力'!$C$1:$L$700,441+BO$3,BO$2)&lt;&gt;"",1,0),0)</f>
        <v/>
      </c>
      <c r="BP39">
        <f>IF(BP$4=1,IF(INDEX('×入力'!$C$1:$L$700,441+BP$3,BP$2)&lt;&gt;"",1,0),0)</f>
        <v/>
      </c>
      <c r="BQ39">
        <f>IF(BQ$4=1,IF(INDEX('×入力'!$C$1:$L$700,441+BQ$3,BQ$2)&lt;&gt;"",1,0),0)</f>
        <v/>
      </c>
      <c r="BR39">
        <f>IF(BR$4=1,IF(INDEX('×入力'!$C$1:$L$700,441+BR$3,BR$2)&lt;&gt;"",1,0),0)</f>
        <v/>
      </c>
      <c r="BS39">
        <f>IF(BS$4=1,IF(INDEX('×入力'!$C$1:$L$700,441+BS$3,BS$2)&lt;&gt;"",1,0),0)</f>
        <v/>
      </c>
      <c r="BT39">
        <f>IF(BT$4=1,IF(INDEX('×入力'!$C$1:$L$700,441+BT$3,BT$2)&lt;&gt;"",1,0),0)</f>
        <v/>
      </c>
      <c r="BU39">
        <f>IF(BU$4=1,IF(INDEX('×入力'!$C$1:$L$700,441+BU$3,BU$2)&lt;&gt;"",1,0),0)</f>
        <v/>
      </c>
      <c r="BV39">
        <f>IF(BV$4=1,IF(INDEX('×入力'!$C$1:$L$700,441+BV$3,BV$2)&lt;&gt;"",1,0),0)</f>
        <v/>
      </c>
      <c r="BW39">
        <f>IF(BW$4=1,IF(INDEX('×入力'!$C$1:$L$700,441+BW$3,BW$2)&lt;&gt;"",1,0),0)</f>
        <v/>
      </c>
      <c r="BX39">
        <f>IF(BX$4=1,IF(INDEX('×入力'!$C$1:$L$700,441+BX$3,BX$2)&lt;&gt;"",1,0),0)</f>
        <v/>
      </c>
      <c r="BY39">
        <f>IF(BY$4=1,IF(INDEX('×入力'!$C$1:$L$700,441+BY$3,BY$2)&lt;&gt;"",1,0),0)</f>
        <v/>
      </c>
      <c r="BZ39">
        <f>IF(BZ$4=1,IF(INDEX('×入力'!$C$1:$L$700,441+BZ$3,BZ$2)&lt;&gt;"",1,0),0)</f>
        <v/>
      </c>
      <c r="CA39">
        <f>IF(CA$4=1,IF(INDEX('×入力'!$C$1:$L$700,441+CA$3,CA$2)&lt;&gt;"",1,0),0)</f>
        <v/>
      </c>
      <c r="CB39">
        <f>IF(CB$4=1,IF(INDEX('×入力'!$C$1:$L$700,441+CB$3,CB$2)&lt;&gt;"",1,0),0)</f>
        <v/>
      </c>
      <c r="CC39">
        <f>IF(CC$4=1,IF(INDEX('×入力'!$C$1:$L$700,441+CC$3,CC$2)&lt;&gt;"",1,0),0)</f>
        <v/>
      </c>
      <c r="CD39">
        <f>IF(CD$4=1,IF(INDEX('×入力'!$C$1:$L$700,441+CD$3,CD$2)&lt;&gt;"",1,0),0)</f>
        <v/>
      </c>
      <c r="CE39">
        <f>IF(CE$4=1,IF(INDEX('×入力'!$C$1:$L$700,441+CE$3,CE$2)&lt;&gt;"",1,0),0)</f>
        <v/>
      </c>
      <c r="CF39">
        <f>IF(CF$4=1,IF(INDEX('×入力'!$C$1:$L$700,441+CF$3,CF$2)&lt;&gt;"",1,0),0)</f>
        <v/>
      </c>
      <c r="CG39">
        <f>IF(CG$4=1,IF(INDEX('×入力'!$C$1:$L$700,441+CG$3,CG$2)&lt;&gt;"",1,0),0)</f>
        <v/>
      </c>
      <c r="CH39">
        <f>IF(CH$4=1,IF(INDEX('×入力'!$C$1:$L$700,441+CH$3,CH$2)&lt;&gt;"",1,0),0)</f>
        <v/>
      </c>
      <c r="CI39">
        <f>IF(CI$4=1,IF(INDEX('×入力'!$C$1:$L$700,441+CI$3,CI$2)&lt;&gt;"",1,0),0)</f>
        <v/>
      </c>
      <c r="CJ39">
        <f>IF(CJ$4=1,IF(INDEX('×入力'!$C$1:$L$700,441+CJ$3,CJ$2)&lt;&gt;"",1,0),0)</f>
        <v/>
      </c>
      <c r="CK39">
        <f>IF(CK$4=1,IF(INDEX('×入力'!$C$1:$L$700,441+CK$3,CK$2)&lt;&gt;"",1,0),0)</f>
        <v/>
      </c>
      <c r="CL39">
        <f>IF(CL$4=1,IF(INDEX('×入力'!$C$1:$L$700,441+CL$3,CL$2)&lt;&gt;"",1,0),0)</f>
        <v/>
      </c>
      <c r="CM39">
        <f>IF(CM$4=1,IF(INDEX('×入力'!$C$1:$L$700,441+CM$3,CM$2)&lt;&gt;"",1,0),0)</f>
        <v/>
      </c>
      <c r="CN39">
        <f>IF(CN$4=1,IF(INDEX('×入力'!$C$1:$L$700,441+CN$3,CN$2)&lt;&gt;"",1,0),0)</f>
        <v/>
      </c>
      <c r="CO39">
        <f>IF(CO$4=1,IF(INDEX('×入力'!$C$1:$L$700,441+CO$3,CO$2)&lt;&gt;"",1,0),0)</f>
        <v/>
      </c>
      <c r="CP39">
        <f>IF(CP$4=1,IF(INDEX('×入力'!$C$1:$L$700,441+CP$3,CP$2)&lt;&gt;"",1,0),0)</f>
        <v/>
      </c>
      <c r="CQ39">
        <f>IF(CQ$4=1,IF(INDEX('×入力'!$C$1:$L$700,441+CQ$3,CQ$2)&lt;&gt;"",1,0),0)</f>
        <v/>
      </c>
      <c r="CR39">
        <f>IF(CR$4=1,IF(INDEX('×入力'!$C$1:$L$700,441+CR$3,CR$2)&lt;&gt;"",1,0),0)</f>
        <v/>
      </c>
      <c r="CS39">
        <f>IF(CS$4=1,IF(INDEX('×入力'!$C$1:$L$700,441+CS$3,CS$2)&lt;&gt;"",1,0),0)</f>
        <v/>
      </c>
      <c r="CT39">
        <f>IF(CT$4=1,IF(INDEX('×入力'!$C$1:$L$700,441+CT$3,CT$2)&lt;&gt;"",1,0),0)</f>
        <v/>
      </c>
      <c r="CU39">
        <f>IF(CU$4=1,IF(INDEX('×入力'!$C$1:$L$700,441+CU$3,CU$2)&lt;&gt;"",1,0),0)</f>
        <v/>
      </c>
      <c r="CV39">
        <f>IF(CV$4=1,IF(INDEX('×入力'!$C$1:$L$700,441+CV$3,CV$2)&lt;&gt;"",1,0),0)</f>
        <v/>
      </c>
      <c r="CW39">
        <f>IF(CW$4=1,IF(INDEX('×入力'!$C$1:$L$700,441+CW$3,CW$2)&lt;&gt;"",1,0),0)</f>
        <v/>
      </c>
      <c r="CX39">
        <f>IF(CX$4=1,IF(INDEX('×入力'!$C$1:$L$700,441+CX$3,CX$2)&lt;&gt;"",1,0),0)</f>
        <v/>
      </c>
      <c r="CY39">
        <f>IF(CY$4=1,IF(INDEX('×入力'!$C$1:$L$700,441+CY$3,CY$2)&lt;&gt;"",1,0),0)</f>
        <v/>
      </c>
      <c r="CZ39">
        <f>IF(CZ$4=1,IF(INDEX('×入力'!$C$1:$L$700,441+CZ$3,CZ$2)&lt;&gt;"",1,0),0)</f>
        <v/>
      </c>
      <c r="DA39">
        <f>IF(DA$4=1,IF(INDEX('×入力'!$C$1:$L$700,441+DA$3,DA$2)&lt;&gt;"",1,0),0)</f>
        <v/>
      </c>
      <c r="DB39">
        <f>IF(DB$4=1,IF(INDEX('×入力'!$C$1:$L$700,441+DB$3,DB$2)&lt;&gt;"",1,0),0)</f>
        <v/>
      </c>
      <c r="DC39">
        <f>IF(DC$4=1,IF(INDEX('×入力'!$C$1:$L$700,441+DC$3,DC$2)&lt;&gt;"",1,0),0)</f>
        <v/>
      </c>
      <c r="DD39">
        <f>IF(DD$4=1,IF(INDEX('×入力'!$C$1:$L$700,441+DD$3,DD$2)&lt;&gt;"",1,0),0)</f>
        <v/>
      </c>
      <c r="DE39">
        <f>IF(DE$4=1,IF(INDEX('×入力'!$C$1:$L$700,441+DE$3,DE$2)&lt;&gt;"",1,0),0)</f>
        <v/>
      </c>
      <c r="DF39">
        <f>IF(DF$4=1,IF(INDEX('×入力'!$C$1:$L$700,441+DF$3,DF$2)&lt;&gt;"",1,0),0)</f>
        <v/>
      </c>
      <c r="DG39">
        <f>IF(DG$4=1,IF(INDEX('×入力'!$C$1:$L$700,441+DG$3,DG$2)&lt;&gt;"",1,0),0)</f>
        <v/>
      </c>
      <c r="DH39">
        <f>IF(DH$4=1,IF(INDEX('×入力'!$C$1:$L$700,441+DH$3,DH$2)&lt;&gt;"",1,0),0)</f>
        <v/>
      </c>
      <c r="DI39">
        <f>IF(DI$4=1,IF(INDEX('×入力'!$C$1:$L$700,441+DI$3,DI$2)&lt;&gt;"",1,0),0)</f>
        <v/>
      </c>
      <c r="DJ39">
        <f>IF(DJ$4=1,IF(INDEX('×入力'!$C$1:$L$700,441+DJ$3,DJ$2)&lt;&gt;"",1,0),0)</f>
        <v/>
      </c>
      <c r="DK39">
        <f>IF(DK$4=1,IF(INDEX('×入力'!$C$1:$L$700,441+DK$3,DK$2)&lt;&gt;"",1,0),0)</f>
        <v/>
      </c>
      <c r="DL39">
        <f>IF(DL$4=1,IF(INDEX('×入力'!$C$1:$L$700,441+DL$3,DL$2)&lt;&gt;"",1,0),0)</f>
        <v/>
      </c>
      <c r="DM39">
        <f>IF(DM$4=1,IF(INDEX('×入力'!$C$1:$L$700,441+DM$3,DM$2)&lt;&gt;"",1,0),0)</f>
        <v/>
      </c>
      <c r="DN39">
        <f>IF(DN$4=1,IF(INDEX('×入力'!$C$1:$L$700,441+DN$3,DN$2)&lt;&gt;"",1,0),0)</f>
        <v/>
      </c>
      <c r="DO39">
        <f>IF(DO$4=1,IF(INDEX('×入力'!$C$1:$L$700,441+DO$3,DO$2)&lt;&gt;"",1,0),0)</f>
        <v/>
      </c>
      <c r="DP39">
        <f>IF(DP$4=1,IF(INDEX('×入力'!$C$1:$L$700,441+DP$3,DP$2)&lt;&gt;"",1,0),0)</f>
        <v/>
      </c>
      <c r="DQ39">
        <f>IF(DQ$4=1,IF(INDEX('×入力'!$C$1:$L$700,441+DQ$3,DQ$2)&lt;&gt;"",1,0),0)</f>
        <v/>
      </c>
      <c r="DR39">
        <f>IF(DR$4=1,IF(INDEX('×入力'!$C$1:$L$700,441+DR$3,DR$2)&lt;&gt;"",1,0),0)</f>
        <v/>
      </c>
      <c r="DS39">
        <f>IF(DS$4=1,IF(INDEX('×入力'!$C$1:$L$700,441+DS$3,DS$2)&lt;&gt;"",1,0),0)</f>
        <v/>
      </c>
      <c r="DU39">
        <f>IFERROR(INDEX('計算B'!$C$3:$C$47,MATCH(A39,'計算B'!$B$3:$B$47,0)),0)</f>
        <v/>
      </c>
      <c r="DV39">
        <f>IF(AND(C39=1,DU39=0),1,0)</f>
        <v/>
      </c>
      <c r="DW39">
        <f>SUMPRODUCT(D89:DS89*(1-$D$7:$DS$7))</f>
        <v/>
      </c>
      <c r="DX39">
        <f>SUM(D39:DS39)</f>
        <v/>
      </c>
      <c r="DY39">
        <f>IF(B39="",0,IF(COUNTIF('割り当て'!$C$6:$L$17,B39)=1,SUMPRODUCT(('割り当て'!$C$6:$L$17=B39)*((COLUMN('割り当て'!$C$6:$L$17)-3)*12+ROW('割り当て'!$C$6:$L$17)-5)),0))</f>
        <v/>
      </c>
      <c r="DZ39">
        <f>IFERROR(MATCH('名簿'!E34,{"早い時刻","遅い時刻","早い日","遅い日"},0),0)</f>
        <v/>
      </c>
      <c r="EA39">
        <f>IF('名簿'!F34="必ず空けたい",2,IF('名簿'!F34="出来れば空けたい",1,0))</f>
        <v/>
      </c>
    </row>
    <row r="40">
      <c r="A40" t="n">
        <v>31</v>
      </c>
      <c r="B40">
        <f>'名簿'!G35</f>
        <v/>
      </c>
      <c r="C40">
        <f>IF(AND(B40&lt;&gt;"",OR('名簿'!H35="入力済み",'名簿'!H35="×なし"),DY40=0,COUNTIF('割り当て'!$C$6:$L$17,B40)=0),1,0)</f>
        <v/>
      </c>
      <c r="D40">
        <f>IF(D$4=1,IF(INDEX('×入力'!$C$1:$L$700,456+D$3,D$2)&lt;&gt;"",1,0),0)</f>
        <v/>
      </c>
      <c r="E40">
        <f>IF(E$4=1,IF(INDEX('×入力'!$C$1:$L$700,456+E$3,E$2)&lt;&gt;"",1,0),0)</f>
        <v/>
      </c>
      <c r="F40">
        <f>IF(F$4=1,IF(INDEX('×入力'!$C$1:$L$700,456+F$3,F$2)&lt;&gt;"",1,0),0)</f>
        <v/>
      </c>
      <c r="G40">
        <f>IF(G$4=1,IF(INDEX('×入力'!$C$1:$L$700,456+G$3,G$2)&lt;&gt;"",1,0),0)</f>
        <v/>
      </c>
      <c r="H40">
        <f>IF(H$4=1,IF(INDEX('×入力'!$C$1:$L$700,456+H$3,H$2)&lt;&gt;"",1,0),0)</f>
        <v/>
      </c>
      <c r="I40">
        <f>IF(I$4=1,IF(INDEX('×入力'!$C$1:$L$700,456+I$3,I$2)&lt;&gt;"",1,0),0)</f>
        <v/>
      </c>
      <c r="J40">
        <f>IF(J$4=1,IF(INDEX('×入力'!$C$1:$L$700,456+J$3,J$2)&lt;&gt;"",1,0),0)</f>
        <v/>
      </c>
      <c r="K40">
        <f>IF(K$4=1,IF(INDEX('×入力'!$C$1:$L$700,456+K$3,K$2)&lt;&gt;"",1,0),0)</f>
        <v/>
      </c>
      <c r="L40">
        <f>IF(L$4=1,IF(INDEX('×入力'!$C$1:$L$700,456+L$3,L$2)&lt;&gt;"",1,0),0)</f>
        <v/>
      </c>
      <c r="M40">
        <f>IF(M$4=1,IF(INDEX('×入力'!$C$1:$L$700,456+M$3,M$2)&lt;&gt;"",1,0),0)</f>
        <v/>
      </c>
      <c r="N40">
        <f>IF(N$4=1,IF(INDEX('×入力'!$C$1:$L$700,456+N$3,N$2)&lt;&gt;"",1,0),0)</f>
        <v/>
      </c>
      <c r="O40">
        <f>IF(O$4=1,IF(INDEX('×入力'!$C$1:$L$700,456+O$3,O$2)&lt;&gt;"",1,0),0)</f>
        <v/>
      </c>
      <c r="P40">
        <f>IF(P$4=1,IF(INDEX('×入力'!$C$1:$L$700,456+P$3,P$2)&lt;&gt;"",1,0),0)</f>
        <v/>
      </c>
      <c r="Q40">
        <f>IF(Q$4=1,IF(INDEX('×入力'!$C$1:$L$700,456+Q$3,Q$2)&lt;&gt;"",1,0),0)</f>
        <v/>
      </c>
      <c r="R40">
        <f>IF(R$4=1,IF(INDEX('×入力'!$C$1:$L$700,456+R$3,R$2)&lt;&gt;"",1,0),0)</f>
        <v/>
      </c>
      <c r="S40">
        <f>IF(S$4=1,IF(INDEX('×入力'!$C$1:$L$700,456+S$3,S$2)&lt;&gt;"",1,0),0)</f>
        <v/>
      </c>
      <c r="T40">
        <f>IF(T$4=1,IF(INDEX('×入力'!$C$1:$L$700,456+T$3,T$2)&lt;&gt;"",1,0),0)</f>
        <v/>
      </c>
      <c r="U40">
        <f>IF(U$4=1,IF(INDEX('×入力'!$C$1:$L$700,456+U$3,U$2)&lt;&gt;"",1,0),0)</f>
        <v/>
      </c>
      <c r="V40">
        <f>IF(V$4=1,IF(INDEX('×入力'!$C$1:$L$700,456+V$3,V$2)&lt;&gt;"",1,0),0)</f>
        <v/>
      </c>
      <c r="W40">
        <f>IF(W$4=1,IF(INDEX('×入力'!$C$1:$L$700,456+W$3,W$2)&lt;&gt;"",1,0),0)</f>
        <v/>
      </c>
      <c r="X40">
        <f>IF(X$4=1,IF(INDEX('×入力'!$C$1:$L$700,456+X$3,X$2)&lt;&gt;"",1,0),0)</f>
        <v/>
      </c>
      <c r="Y40">
        <f>IF(Y$4=1,IF(INDEX('×入力'!$C$1:$L$700,456+Y$3,Y$2)&lt;&gt;"",1,0),0)</f>
        <v/>
      </c>
      <c r="Z40">
        <f>IF(Z$4=1,IF(INDEX('×入力'!$C$1:$L$700,456+Z$3,Z$2)&lt;&gt;"",1,0),0)</f>
        <v/>
      </c>
      <c r="AA40">
        <f>IF(AA$4=1,IF(INDEX('×入力'!$C$1:$L$700,456+AA$3,AA$2)&lt;&gt;"",1,0),0)</f>
        <v/>
      </c>
      <c r="AB40">
        <f>IF(AB$4=1,IF(INDEX('×入力'!$C$1:$L$700,456+AB$3,AB$2)&lt;&gt;"",1,0),0)</f>
        <v/>
      </c>
      <c r="AC40">
        <f>IF(AC$4=1,IF(INDEX('×入力'!$C$1:$L$700,456+AC$3,AC$2)&lt;&gt;"",1,0),0)</f>
        <v/>
      </c>
      <c r="AD40">
        <f>IF(AD$4=1,IF(INDEX('×入力'!$C$1:$L$700,456+AD$3,AD$2)&lt;&gt;"",1,0),0)</f>
        <v/>
      </c>
      <c r="AE40">
        <f>IF(AE$4=1,IF(INDEX('×入力'!$C$1:$L$700,456+AE$3,AE$2)&lt;&gt;"",1,0),0)</f>
        <v/>
      </c>
      <c r="AF40">
        <f>IF(AF$4=1,IF(INDEX('×入力'!$C$1:$L$700,456+AF$3,AF$2)&lt;&gt;"",1,0),0)</f>
        <v/>
      </c>
      <c r="AG40">
        <f>IF(AG$4=1,IF(INDEX('×入力'!$C$1:$L$700,456+AG$3,AG$2)&lt;&gt;"",1,0),0)</f>
        <v/>
      </c>
      <c r="AH40">
        <f>IF(AH$4=1,IF(INDEX('×入力'!$C$1:$L$700,456+AH$3,AH$2)&lt;&gt;"",1,0),0)</f>
        <v/>
      </c>
      <c r="AI40">
        <f>IF(AI$4=1,IF(INDEX('×入力'!$C$1:$L$700,456+AI$3,AI$2)&lt;&gt;"",1,0),0)</f>
        <v/>
      </c>
      <c r="AJ40">
        <f>IF(AJ$4=1,IF(INDEX('×入力'!$C$1:$L$700,456+AJ$3,AJ$2)&lt;&gt;"",1,0),0)</f>
        <v/>
      </c>
      <c r="AK40">
        <f>IF(AK$4=1,IF(INDEX('×入力'!$C$1:$L$700,456+AK$3,AK$2)&lt;&gt;"",1,0),0)</f>
        <v/>
      </c>
      <c r="AL40">
        <f>IF(AL$4=1,IF(INDEX('×入力'!$C$1:$L$700,456+AL$3,AL$2)&lt;&gt;"",1,0),0)</f>
        <v/>
      </c>
      <c r="AM40">
        <f>IF(AM$4=1,IF(INDEX('×入力'!$C$1:$L$700,456+AM$3,AM$2)&lt;&gt;"",1,0),0)</f>
        <v/>
      </c>
      <c r="AN40">
        <f>IF(AN$4=1,IF(INDEX('×入力'!$C$1:$L$700,456+AN$3,AN$2)&lt;&gt;"",1,0),0)</f>
        <v/>
      </c>
      <c r="AO40">
        <f>IF(AO$4=1,IF(INDEX('×入力'!$C$1:$L$700,456+AO$3,AO$2)&lt;&gt;"",1,0),0)</f>
        <v/>
      </c>
      <c r="AP40">
        <f>IF(AP$4=1,IF(INDEX('×入力'!$C$1:$L$700,456+AP$3,AP$2)&lt;&gt;"",1,0),0)</f>
        <v/>
      </c>
      <c r="AQ40">
        <f>IF(AQ$4=1,IF(INDEX('×入力'!$C$1:$L$700,456+AQ$3,AQ$2)&lt;&gt;"",1,0),0)</f>
        <v/>
      </c>
      <c r="AR40">
        <f>IF(AR$4=1,IF(INDEX('×入力'!$C$1:$L$700,456+AR$3,AR$2)&lt;&gt;"",1,0),0)</f>
        <v/>
      </c>
      <c r="AS40">
        <f>IF(AS$4=1,IF(INDEX('×入力'!$C$1:$L$700,456+AS$3,AS$2)&lt;&gt;"",1,0),0)</f>
        <v/>
      </c>
      <c r="AT40">
        <f>IF(AT$4=1,IF(INDEX('×入力'!$C$1:$L$700,456+AT$3,AT$2)&lt;&gt;"",1,0),0)</f>
        <v/>
      </c>
      <c r="AU40">
        <f>IF(AU$4=1,IF(INDEX('×入力'!$C$1:$L$700,456+AU$3,AU$2)&lt;&gt;"",1,0),0)</f>
        <v/>
      </c>
      <c r="AV40">
        <f>IF(AV$4=1,IF(INDEX('×入力'!$C$1:$L$700,456+AV$3,AV$2)&lt;&gt;"",1,0),0)</f>
        <v/>
      </c>
      <c r="AW40">
        <f>IF(AW$4=1,IF(INDEX('×入力'!$C$1:$L$700,456+AW$3,AW$2)&lt;&gt;"",1,0),0)</f>
        <v/>
      </c>
      <c r="AX40">
        <f>IF(AX$4=1,IF(INDEX('×入力'!$C$1:$L$700,456+AX$3,AX$2)&lt;&gt;"",1,0),0)</f>
        <v/>
      </c>
      <c r="AY40">
        <f>IF(AY$4=1,IF(INDEX('×入力'!$C$1:$L$700,456+AY$3,AY$2)&lt;&gt;"",1,0),0)</f>
        <v/>
      </c>
      <c r="AZ40">
        <f>IF(AZ$4=1,IF(INDEX('×入力'!$C$1:$L$700,456+AZ$3,AZ$2)&lt;&gt;"",1,0),0)</f>
        <v/>
      </c>
      <c r="BA40">
        <f>IF(BA$4=1,IF(INDEX('×入力'!$C$1:$L$700,456+BA$3,BA$2)&lt;&gt;"",1,0),0)</f>
        <v/>
      </c>
      <c r="BB40">
        <f>IF(BB$4=1,IF(INDEX('×入力'!$C$1:$L$700,456+BB$3,BB$2)&lt;&gt;"",1,0),0)</f>
        <v/>
      </c>
      <c r="BC40">
        <f>IF(BC$4=1,IF(INDEX('×入力'!$C$1:$L$700,456+BC$3,BC$2)&lt;&gt;"",1,0),0)</f>
        <v/>
      </c>
      <c r="BD40">
        <f>IF(BD$4=1,IF(INDEX('×入力'!$C$1:$L$700,456+BD$3,BD$2)&lt;&gt;"",1,0),0)</f>
        <v/>
      </c>
      <c r="BE40">
        <f>IF(BE$4=1,IF(INDEX('×入力'!$C$1:$L$700,456+BE$3,BE$2)&lt;&gt;"",1,0),0)</f>
        <v/>
      </c>
      <c r="BF40">
        <f>IF(BF$4=1,IF(INDEX('×入力'!$C$1:$L$700,456+BF$3,BF$2)&lt;&gt;"",1,0),0)</f>
        <v/>
      </c>
      <c r="BG40">
        <f>IF(BG$4=1,IF(INDEX('×入力'!$C$1:$L$700,456+BG$3,BG$2)&lt;&gt;"",1,0),0)</f>
        <v/>
      </c>
      <c r="BH40">
        <f>IF(BH$4=1,IF(INDEX('×入力'!$C$1:$L$700,456+BH$3,BH$2)&lt;&gt;"",1,0),0)</f>
        <v/>
      </c>
      <c r="BI40">
        <f>IF(BI$4=1,IF(INDEX('×入力'!$C$1:$L$700,456+BI$3,BI$2)&lt;&gt;"",1,0),0)</f>
        <v/>
      </c>
      <c r="BJ40">
        <f>IF(BJ$4=1,IF(INDEX('×入力'!$C$1:$L$700,456+BJ$3,BJ$2)&lt;&gt;"",1,0),0)</f>
        <v/>
      </c>
      <c r="BK40">
        <f>IF(BK$4=1,IF(INDEX('×入力'!$C$1:$L$700,456+BK$3,BK$2)&lt;&gt;"",1,0),0)</f>
        <v/>
      </c>
      <c r="BL40">
        <f>IF(BL$4=1,IF(INDEX('×入力'!$C$1:$L$700,456+BL$3,BL$2)&lt;&gt;"",1,0),0)</f>
        <v/>
      </c>
      <c r="BM40">
        <f>IF(BM$4=1,IF(INDEX('×入力'!$C$1:$L$700,456+BM$3,BM$2)&lt;&gt;"",1,0),0)</f>
        <v/>
      </c>
      <c r="BN40">
        <f>IF(BN$4=1,IF(INDEX('×入力'!$C$1:$L$700,456+BN$3,BN$2)&lt;&gt;"",1,0),0)</f>
        <v/>
      </c>
      <c r="BO40">
        <f>IF(BO$4=1,IF(INDEX('×入力'!$C$1:$L$700,456+BO$3,BO$2)&lt;&gt;"",1,0),0)</f>
        <v/>
      </c>
      <c r="BP40">
        <f>IF(BP$4=1,IF(INDEX('×入力'!$C$1:$L$700,456+BP$3,BP$2)&lt;&gt;"",1,0),0)</f>
        <v/>
      </c>
      <c r="BQ40">
        <f>IF(BQ$4=1,IF(INDEX('×入力'!$C$1:$L$700,456+BQ$3,BQ$2)&lt;&gt;"",1,0),0)</f>
        <v/>
      </c>
      <c r="BR40">
        <f>IF(BR$4=1,IF(INDEX('×入力'!$C$1:$L$700,456+BR$3,BR$2)&lt;&gt;"",1,0),0)</f>
        <v/>
      </c>
      <c r="BS40">
        <f>IF(BS$4=1,IF(INDEX('×入力'!$C$1:$L$700,456+BS$3,BS$2)&lt;&gt;"",1,0),0)</f>
        <v/>
      </c>
      <c r="BT40">
        <f>IF(BT$4=1,IF(INDEX('×入力'!$C$1:$L$700,456+BT$3,BT$2)&lt;&gt;"",1,0),0)</f>
        <v/>
      </c>
      <c r="BU40">
        <f>IF(BU$4=1,IF(INDEX('×入力'!$C$1:$L$700,456+BU$3,BU$2)&lt;&gt;"",1,0),0)</f>
        <v/>
      </c>
      <c r="BV40">
        <f>IF(BV$4=1,IF(INDEX('×入力'!$C$1:$L$700,456+BV$3,BV$2)&lt;&gt;"",1,0),0)</f>
        <v/>
      </c>
      <c r="BW40">
        <f>IF(BW$4=1,IF(INDEX('×入力'!$C$1:$L$700,456+BW$3,BW$2)&lt;&gt;"",1,0),0)</f>
        <v/>
      </c>
      <c r="BX40">
        <f>IF(BX$4=1,IF(INDEX('×入力'!$C$1:$L$700,456+BX$3,BX$2)&lt;&gt;"",1,0),0)</f>
        <v/>
      </c>
      <c r="BY40">
        <f>IF(BY$4=1,IF(INDEX('×入力'!$C$1:$L$700,456+BY$3,BY$2)&lt;&gt;"",1,0),0)</f>
        <v/>
      </c>
      <c r="BZ40">
        <f>IF(BZ$4=1,IF(INDEX('×入力'!$C$1:$L$700,456+BZ$3,BZ$2)&lt;&gt;"",1,0),0)</f>
        <v/>
      </c>
      <c r="CA40">
        <f>IF(CA$4=1,IF(INDEX('×入力'!$C$1:$L$700,456+CA$3,CA$2)&lt;&gt;"",1,0),0)</f>
        <v/>
      </c>
      <c r="CB40">
        <f>IF(CB$4=1,IF(INDEX('×入力'!$C$1:$L$700,456+CB$3,CB$2)&lt;&gt;"",1,0),0)</f>
        <v/>
      </c>
      <c r="CC40">
        <f>IF(CC$4=1,IF(INDEX('×入力'!$C$1:$L$700,456+CC$3,CC$2)&lt;&gt;"",1,0),0)</f>
        <v/>
      </c>
      <c r="CD40">
        <f>IF(CD$4=1,IF(INDEX('×入力'!$C$1:$L$700,456+CD$3,CD$2)&lt;&gt;"",1,0),0)</f>
        <v/>
      </c>
      <c r="CE40">
        <f>IF(CE$4=1,IF(INDEX('×入力'!$C$1:$L$700,456+CE$3,CE$2)&lt;&gt;"",1,0),0)</f>
        <v/>
      </c>
      <c r="CF40">
        <f>IF(CF$4=1,IF(INDEX('×入力'!$C$1:$L$700,456+CF$3,CF$2)&lt;&gt;"",1,0),0)</f>
        <v/>
      </c>
      <c r="CG40">
        <f>IF(CG$4=1,IF(INDEX('×入力'!$C$1:$L$700,456+CG$3,CG$2)&lt;&gt;"",1,0),0)</f>
        <v/>
      </c>
      <c r="CH40">
        <f>IF(CH$4=1,IF(INDEX('×入力'!$C$1:$L$700,456+CH$3,CH$2)&lt;&gt;"",1,0),0)</f>
        <v/>
      </c>
      <c r="CI40">
        <f>IF(CI$4=1,IF(INDEX('×入力'!$C$1:$L$700,456+CI$3,CI$2)&lt;&gt;"",1,0),0)</f>
        <v/>
      </c>
      <c r="CJ40">
        <f>IF(CJ$4=1,IF(INDEX('×入力'!$C$1:$L$700,456+CJ$3,CJ$2)&lt;&gt;"",1,0),0)</f>
        <v/>
      </c>
      <c r="CK40">
        <f>IF(CK$4=1,IF(INDEX('×入力'!$C$1:$L$700,456+CK$3,CK$2)&lt;&gt;"",1,0),0)</f>
        <v/>
      </c>
      <c r="CL40">
        <f>IF(CL$4=1,IF(INDEX('×入力'!$C$1:$L$700,456+CL$3,CL$2)&lt;&gt;"",1,0),0)</f>
        <v/>
      </c>
      <c r="CM40">
        <f>IF(CM$4=1,IF(INDEX('×入力'!$C$1:$L$700,456+CM$3,CM$2)&lt;&gt;"",1,0),0)</f>
        <v/>
      </c>
      <c r="CN40">
        <f>IF(CN$4=1,IF(INDEX('×入力'!$C$1:$L$700,456+CN$3,CN$2)&lt;&gt;"",1,0),0)</f>
        <v/>
      </c>
      <c r="CO40">
        <f>IF(CO$4=1,IF(INDEX('×入力'!$C$1:$L$700,456+CO$3,CO$2)&lt;&gt;"",1,0),0)</f>
        <v/>
      </c>
      <c r="CP40">
        <f>IF(CP$4=1,IF(INDEX('×入力'!$C$1:$L$700,456+CP$3,CP$2)&lt;&gt;"",1,0),0)</f>
        <v/>
      </c>
      <c r="CQ40">
        <f>IF(CQ$4=1,IF(INDEX('×入力'!$C$1:$L$700,456+CQ$3,CQ$2)&lt;&gt;"",1,0),0)</f>
        <v/>
      </c>
      <c r="CR40">
        <f>IF(CR$4=1,IF(INDEX('×入力'!$C$1:$L$700,456+CR$3,CR$2)&lt;&gt;"",1,0),0)</f>
        <v/>
      </c>
      <c r="CS40">
        <f>IF(CS$4=1,IF(INDEX('×入力'!$C$1:$L$700,456+CS$3,CS$2)&lt;&gt;"",1,0),0)</f>
        <v/>
      </c>
      <c r="CT40">
        <f>IF(CT$4=1,IF(INDEX('×入力'!$C$1:$L$700,456+CT$3,CT$2)&lt;&gt;"",1,0),0)</f>
        <v/>
      </c>
      <c r="CU40">
        <f>IF(CU$4=1,IF(INDEX('×入力'!$C$1:$L$700,456+CU$3,CU$2)&lt;&gt;"",1,0),0)</f>
        <v/>
      </c>
      <c r="CV40">
        <f>IF(CV$4=1,IF(INDEX('×入力'!$C$1:$L$700,456+CV$3,CV$2)&lt;&gt;"",1,0),0)</f>
        <v/>
      </c>
      <c r="CW40">
        <f>IF(CW$4=1,IF(INDEX('×入力'!$C$1:$L$700,456+CW$3,CW$2)&lt;&gt;"",1,0),0)</f>
        <v/>
      </c>
      <c r="CX40">
        <f>IF(CX$4=1,IF(INDEX('×入力'!$C$1:$L$700,456+CX$3,CX$2)&lt;&gt;"",1,0),0)</f>
        <v/>
      </c>
      <c r="CY40">
        <f>IF(CY$4=1,IF(INDEX('×入力'!$C$1:$L$700,456+CY$3,CY$2)&lt;&gt;"",1,0),0)</f>
        <v/>
      </c>
      <c r="CZ40">
        <f>IF(CZ$4=1,IF(INDEX('×入力'!$C$1:$L$700,456+CZ$3,CZ$2)&lt;&gt;"",1,0),0)</f>
        <v/>
      </c>
      <c r="DA40">
        <f>IF(DA$4=1,IF(INDEX('×入力'!$C$1:$L$700,456+DA$3,DA$2)&lt;&gt;"",1,0),0)</f>
        <v/>
      </c>
      <c r="DB40">
        <f>IF(DB$4=1,IF(INDEX('×入力'!$C$1:$L$700,456+DB$3,DB$2)&lt;&gt;"",1,0),0)</f>
        <v/>
      </c>
      <c r="DC40">
        <f>IF(DC$4=1,IF(INDEX('×入力'!$C$1:$L$700,456+DC$3,DC$2)&lt;&gt;"",1,0),0)</f>
        <v/>
      </c>
      <c r="DD40">
        <f>IF(DD$4=1,IF(INDEX('×入力'!$C$1:$L$700,456+DD$3,DD$2)&lt;&gt;"",1,0),0)</f>
        <v/>
      </c>
      <c r="DE40">
        <f>IF(DE$4=1,IF(INDEX('×入力'!$C$1:$L$700,456+DE$3,DE$2)&lt;&gt;"",1,0),0)</f>
        <v/>
      </c>
      <c r="DF40">
        <f>IF(DF$4=1,IF(INDEX('×入力'!$C$1:$L$700,456+DF$3,DF$2)&lt;&gt;"",1,0),0)</f>
        <v/>
      </c>
      <c r="DG40">
        <f>IF(DG$4=1,IF(INDEX('×入力'!$C$1:$L$700,456+DG$3,DG$2)&lt;&gt;"",1,0),0)</f>
        <v/>
      </c>
      <c r="DH40">
        <f>IF(DH$4=1,IF(INDEX('×入力'!$C$1:$L$700,456+DH$3,DH$2)&lt;&gt;"",1,0),0)</f>
        <v/>
      </c>
      <c r="DI40">
        <f>IF(DI$4=1,IF(INDEX('×入力'!$C$1:$L$700,456+DI$3,DI$2)&lt;&gt;"",1,0),0)</f>
        <v/>
      </c>
      <c r="DJ40">
        <f>IF(DJ$4=1,IF(INDEX('×入力'!$C$1:$L$700,456+DJ$3,DJ$2)&lt;&gt;"",1,0),0)</f>
        <v/>
      </c>
      <c r="DK40">
        <f>IF(DK$4=1,IF(INDEX('×入力'!$C$1:$L$700,456+DK$3,DK$2)&lt;&gt;"",1,0),0)</f>
        <v/>
      </c>
      <c r="DL40">
        <f>IF(DL$4=1,IF(INDEX('×入力'!$C$1:$L$700,456+DL$3,DL$2)&lt;&gt;"",1,0),0)</f>
        <v/>
      </c>
      <c r="DM40">
        <f>IF(DM$4=1,IF(INDEX('×入力'!$C$1:$L$700,456+DM$3,DM$2)&lt;&gt;"",1,0),0)</f>
        <v/>
      </c>
      <c r="DN40">
        <f>IF(DN$4=1,IF(INDEX('×入力'!$C$1:$L$700,456+DN$3,DN$2)&lt;&gt;"",1,0),0)</f>
        <v/>
      </c>
      <c r="DO40">
        <f>IF(DO$4=1,IF(INDEX('×入力'!$C$1:$L$700,456+DO$3,DO$2)&lt;&gt;"",1,0),0)</f>
        <v/>
      </c>
      <c r="DP40">
        <f>IF(DP$4=1,IF(INDEX('×入力'!$C$1:$L$700,456+DP$3,DP$2)&lt;&gt;"",1,0),0)</f>
        <v/>
      </c>
      <c r="DQ40">
        <f>IF(DQ$4=1,IF(INDEX('×入力'!$C$1:$L$700,456+DQ$3,DQ$2)&lt;&gt;"",1,0),0)</f>
        <v/>
      </c>
      <c r="DR40">
        <f>IF(DR$4=1,IF(INDEX('×入力'!$C$1:$L$700,456+DR$3,DR$2)&lt;&gt;"",1,0),0)</f>
        <v/>
      </c>
      <c r="DS40">
        <f>IF(DS$4=1,IF(INDEX('×入力'!$C$1:$L$700,456+DS$3,DS$2)&lt;&gt;"",1,0),0)</f>
        <v/>
      </c>
      <c r="DU40">
        <f>IFERROR(INDEX('計算B'!$C$3:$C$47,MATCH(A40,'計算B'!$B$3:$B$47,0)),0)</f>
        <v/>
      </c>
      <c r="DV40">
        <f>IF(AND(C40=1,DU40=0),1,0)</f>
        <v/>
      </c>
      <c r="DW40">
        <f>SUMPRODUCT(D90:DS90*(1-$D$7:$DS$7))</f>
        <v/>
      </c>
      <c r="DX40">
        <f>SUM(D40:DS40)</f>
        <v/>
      </c>
      <c r="DY40">
        <f>IF(B40="",0,IF(COUNTIF('割り当て'!$C$6:$L$17,B40)=1,SUMPRODUCT(('割り当て'!$C$6:$L$17=B40)*((COLUMN('割り当て'!$C$6:$L$17)-3)*12+ROW('割り当て'!$C$6:$L$17)-5)),0))</f>
        <v/>
      </c>
      <c r="DZ40">
        <f>IFERROR(MATCH('名簿'!E35,{"早い時刻","遅い時刻","早い日","遅い日"},0),0)</f>
        <v/>
      </c>
      <c r="EA40">
        <f>IF('名簿'!F35="必ず空けたい",2,IF('名簿'!F35="出来れば空けたい",1,0))</f>
        <v/>
      </c>
    </row>
    <row r="41">
      <c r="A41" t="n">
        <v>32</v>
      </c>
      <c r="B41">
        <f>'名簿'!G36</f>
        <v/>
      </c>
      <c r="C41">
        <f>IF(AND(B41&lt;&gt;"",OR('名簿'!H36="入力済み",'名簿'!H36="×なし"),DY41=0,COUNTIF('割り当て'!$C$6:$L$17,B41)=0),1,0)</f>
        <v/>
      </c>
      <c r="D41">
        <f>IF(D$4=1,IF(INDEX('×入力'!$C$1:$L$700,471+D$3,D$2)&lt;&gt;"",1,0),0)</f>
        <v/>
      </c>
      <c r="E41">
        <f>IF(E$4=1,IF(INDEX('×入力'!$C$1:$L$700,471+E$3,E$2)&lt;&gt;"",1,0),0)</f>
        <v/>
      </c>
      <c r="F41">
        <f>IF(F$4=1,IF(INDEX('×入力'!$C$1:$L$700,471+F$3,F$2)&lt;&gt;"",1,0),0)</f>
        <v/>
      </c>
      <c r="G41">
        <f>IF(G$4=1,IF(INDEX('×入力'!$C$1:$L$700,471+G$3,G$2)&lt;&gt;"",1,0),0)</f>
        <v/>
      </c>
      <c r="H41">
        <f>IF(H$4=1,IF(INDEX('×入力'!$C$1:$L$700,471+H$3,H$2)&lt;&gt;"",1,0),0)</f>
        <v/>
      </c>
      <c r="I41">
        <f>IF(I$4=1,IF(INDEX('×入力'!$C$1:$L$700,471+I$3,I$2)&lt;&gt;"",1,0),0)</f>
        <v/>
      </c>
      <c r="J41">
        <f>IF(J$4=1,IF(INDEX('×入力'!$C$1:$L$700,471+J$3,J$2)&lt;&gt;"",1,0),0)</f>
        <v/>
      </c>
      <c r="K41">
        <f>IF(K$4=1,IF(INDEX('×入力'!$C$1:$L$700,471+K$3,K$2)&lt;&gt;"",1,0),0)</f>
        <v/>
      </c>
      <c r="L41">
        <f>IF(L$4=1,IF(INDEX('×入力'!$C$1:$L$700,471+L$3,L$2)&lt;&gt;"",1,0),0)</f>
        <v/>
      </c>
      <c r="M41">
        <f>IF(M$4=1,IF(INDEX('×入力'!$C$1:$L$700,471+M$3,M$2)&lt;&gt;"",1,0),0)</f>
        <v/>
      </c>
      <c r="N41">
        <f>IF(N$4=1,IF(INDEX('×入力'!$C$1:$L$700,471+N$3,N$2)&lt;&gt;"",1,0),0)</f>
        <v/>
      </c>
      <c r="O41">
        <f>IF(O$4=1,IF(INDEX('×入力'!$C$1:$L$700,471+O$3,O$2)&lt;&gt;"",1,0),0)</f>
        <v/>
      </c>
      <c r="P41">
        <f>IF(P$4=1,IF(INDEX('×入力'!$C$1:$L$700,471+P$3,P$2)&lt;&gt;"",1,0),0)</f>
        <v/>
      </c>
      <c r="Q41">
        <f>IF(Q$4=1,IF(INDEX('×入力'!$C$1:$L$700,471+Q$3,Q$2)&lt;&gt;"",1,0),0)</f>
        <v/>
      </c>
      <c r="R41">
        <f>IF(R$4=1,IF(INDEX('×入力'!$C$1:$L$700,471+R$3,R$2)&lt;&gt;"",1,0),0)</f>
        <v/>
      </c>
      <c r="S41">
        <f>IF(S$4=1,IF(INDEX('×入力'!$C$1:$L$700,471+S$3,S$2)&lt;&gt;"",1,0),0)</f>
        <v/>
      </c>
      <c r="T41">
        <f>IF(T$4=1,IF(INDEX('×入力'!$C$1:$L$700,471+T$3,T$2)&lt;&gt;"",1,0),0)</f>
        <v/>
      </c>
      <c r="U41">
        <f>IF(U$4=1,IF(INDEX('×入力'!$C$1:$L$700,471+U$3,U$2)&lt;&gt;"",1,0),0)</f>
        <v/>
      </c>
      <c r="V41">
        <f>IF(V$4=1,IF(INDEX('×入力'!$C$1:$L$700,471+V$3,V$2)&lt;&gt;"",1,0),0)</f>
        <v/>
      </c>
      <c r="W41">
        <f>IF(W$4=1,IF(INDEX('×入力'!$C$1:$L$700,471+W$3,W$2)&lt;&gt;"",1,0),0)</f>
        <v/>
      </c>
      <c r="X41">
        <f>IF(X$4=1,IF(INDEX('×入力'!$C$1:$L$700,471+X$3,X$2)&lt;&gt;"",1,0),0)</f>
        <v/>
      </c>
      <c r="Y41">
        <f>IF(Y$4=1,IF(INDEX('×入力'!$C$1:$L$700,471+Y$3,Y$2)&lt;&gt;"",1,0),0)</f>
        <v/>
      </c>
      <c r="Z41">
        <f>IF(Z$4=1,IF(INDEX('×入力'!$C$1:$L$700,471+Z$3,Z$2)&lt;&gt;"",1,0),0)</f>
        <v/>
      </c>
      <c r="AA41">
        <f>IF(AA$4=1,IF(INDEX('×入力'!$C$1:$L$700,471+AA$3,AA$2)&lt;&gt;"",1,0),0)</f>
        <v/>
      </c>
      <c r="AB41">
        <f>IF(AB$4=1,IF(INDEX('×入力'!$C$1:$L$700,471+AB$3,AB$2)&lt;&gt;"",1,0),0)</f>
        <v/>
      </c>
      <c r="AC41">
        <f>IF(AC$4=1,IF(INDEX('×入力'!$C$1:$L$700,471+AC$3,AC$2)&lt;&gt;"",1,0),0)</f>
        <v/>
      </c>
      <c r="AD41">
        <f>IF(AD$4=1,IF(INDEX('×入力'!$C$1:$L$700,471+AD$3,AD$2)&lt;&gt;"",1,0),0)</f>
        <v/>
      </c>
      <c r="AE41">
        <f>IF(AE$4=1,IF(INDEX('×入力'!$C$1:$L$700,471+AE$3,AE$2)&lt;&gt;"",1,0),0)</f>
        <v/>
      </c>
      <c r="AF41">
        <f>IF(AF$4=1,IF(INDEX('×入力'!$C$1:$L$700,471+AF$3,AF$2)&lt;&gt;"",1,0),0)</f>
        <v/>
      </c>
      <c r="AG41">
        <f>IF(AG$4=1,IF(INDEX('×入力'!$C$1:$L$700,471+AG$3,AG$2)&lt;&gt;"",1,0),0)</f>
        <v/>
      </c>
      <c r="AH41">
        <f>IF(AH$4=1,IF(INDEX('×入力'!$C$1:$L$700,471+AH$3,AH$2)&lt;&gt;"",1,0),0)</f>
        <v/>
      </c>
      <c r="AI41">
        <f>IF(AI$4=1,IF(INDEX('×入力'!$C$1:$L$700,471+AI$3,AI$2)&lt;&gt;"",1,0),0)</f>
        <v/>
      </c>
      <c r="AJ41">
        <f>IF(AJ$4=1,IF(INDEX('×入力'!$C$1:$L$700,471+AJ$3,AJ$2)&lt;&gt;"",1,0),0)</f>
        <v/>
      </c>
      <c r="AK41">
        <f>IF(AK$4=1,IF(INDEX('×入力'!$C$1:$L$700,471+AK$3,AK$2)&lt;&gt;"",1,0),0)</f>
        <v/>
      </c>
      <c r="AL41">
        <f>IF(AL$4=1,IF(INDEX('×入力'!$C$1:$L$700,471+AL$3,AL$2)&lt;&gt;"",1,0),0)</f>
        <v/>
      </c>
      <c r="AM41">
        <f>IF(AM$4=1,IF(INDEX('×入力'!$C$1:$L$700,471+AM$3,AM$2)&lt;&gt;"",1,0),0)</f>
        <v/>
      </c>
      <c r="AN41">
        <f>IF(AN$4=1,IF(INDEX('×入力'!$C$1:$L$700,471+AN$3,AN$2)&lt;&gt;"",1,0),0)</f>
        <v/>
      </c>
      <c r="AO41">
        <f>IF(AO$4=1,IF(INDEX('×入力'!$C$1:$L$700,471+AO$3,AO$2)&lt;&gt;"",1,0),0)</f>
        <v/>
      </c>
      <c r="AP41">
        <f>IF(AP$4=1,IF(INDEX('×入力'!$C$1:$L$700,471+AP$3,AP$2)&lt;&gt;"",1,0),0)</f>
        <v/>
      </c>
      <c r="AQ41">
        <f>IF(AQ$4=1,IF(INDEX('×入力'!$C$1:$L$700,471+AQ$3,AQ$2)&lt;&gt;"",1,0),0)</f>
        <v/>
      </c>
      <c r="AR41">
        <f>IF(AR$4=1,IF(INDEX('×入力'!$C$1:$L$700,471+AR$3,AR$2)&lt;&gt;"",1,0),0)</f>
        <v/>
      </c>
      <c r="AS41">
        <f>IF(AS$4=1,IF(INDEX('×入力'!$C$1:$L$700,471+AS$3,AS$2)&lt;&gt;"",1,0),0)</f>
        <v/>
      </c>
      <c r="AT41">
        <f>IF(AT$4=1,IF(INDEX('×入力'!$C$1:$L$700,471+AT$3,AT$2)&lt;&gt;"",1,0),0)</f>
        <v/>
      </c>
      <c r="AU41">
        <f>IF(AU$4=1,IF(INDEX('×入力'!$C$1:$L$700,471+AU$3,AU$2)&lt;&gt;"",1,0),0)</f>
        <v/>
      </c>
      <c r="AV41">
        <f>IF(AV$4=1,IF(INDEX('×入力'!$C$1:$L$700,471+AV$3,AV$2)&lt;&gt;"",1,0),0)</f>
        <v/>
      </c>
      <c r="AW41">
        <f>IF(AW$4=1,IF(INDEX('×入力'!$C$1:$L$700,471+AW$3,AW$2)&lt;&gt;"",1,0),0)</f>
        <v/>
      </c>
      <c r="AX41">
        <f>IF(AX$4=1,IF(INDEX('×入力'!$C$1:$L$700,471+AX$3,AX$2)&lt;&gt;"",1,0),0)</f>
        <v/>
      </c>
      <c r="AY41">
        <f>IF(AY$4=1,IF(INDEX('×入力'!$C$1:$L$700,471+AY$3,AY$2)&lt;&gt;"",1,0),0)</f>
        <v/>
      </c>
      <c r="AZ41">
        <f>IF(AZ$4=1,IF(INDEX('×入力'!$C$1:$L$700,471+AZ$3,AZ$2)&lt;&gt;"",1,0),0)</f>
        <v/>
      </c>
      <c r="BA41">
        <f>IF(BA$4=1,IF(INDEX('×入力'!$C$1:$L$700,471+BA$3,BA$2)&lt;&gt;"",1,0),0)</f>
        <v/>
      </c>
      <c r="BB41">
        <f>IF(BB$4=1,IF(INDEX('×入力'!$C$1:$L$700,471+BB$3,BB$2)&lt;&gt;"",1,0),0)</f>
        <v/>
      </c>
      <c r="BC41">
        <f>IF(BC$4=1,IF(INDEX('×入力'!$C$1:$L$700,471+BC$3,BC$2)&lt;&gt;"",1,0),0)</f>
        <v/>
      </c>
      <c r="BD41">
        <f>IF(BD$4=1,IF(INDEX('×入力'!$C$1:$L$700,471+BD$3,BD$2)&lt;&gt;"",1,0),0)</f>
        <v/>
      </c>
      <c r="BE41">
        <f>IF(BE$4=1,IF(INDEX('×入力'!$C$1:$L$700,471+BE$3,BE$2)&lt;&gt;"",1,0),0)</f>
        <v/>
      </c>
      <c r="BF41">
        <f>IF(BF$4=1,IF(INDEX('×入力'!$C$1:$L$700,471+BF$3,BF$2)&lt;&gt;"",1,0),0)</f>
        <v/>
      </c>
      <c r="BG41">
        <f>IF(BG$4=1,IF(INDEX('×入力'!$C$1:$L$700,471+BG$3,BG$2)&lt;&gt;"",1,0),0)</f>
        <v/>
      </c>
      <c r="BH41">
        <f>IF(BH$4=1,IF(INDEX('×入力'!$C$1:$L$700,471+BH$3,BH$2)&lt;&gt;"",1,0),0)</f>
        <v/>
      </c>
      <c r="BI41">
        <f>IF(BI$4=1,IF(INDEX('×入力'!$C$1:$L$700,471+BI$3,BI$2)&lt;&gt;"",1,0),0)</f>
        <v/>
      </c>
      <c r="BJ41">
        <f>IF(BJ$4=1,IF(INDEX('×入力'!$C$1:$L$700,471+BJ$3,BJ$2)&lt;&gt;"",1,0),0)</f>
        <v/>
      </c>
      <c r="BK41">
        <f>IF(BK$4=1,IF(INDEX('×入力'!$C$1:$L$700,471+BK$3,BK$2)&lt;&gt;"",1,0),0)</f>
        <v/>
      </c>
      <c r="BL41">
        <f>IF(BL$4=1,IF(INDEX('×入力'!$C$1:$L$700,471+BL$3,BL$2)&lt;&gt;"",1,0),0)</f>
        <v/>
      </c>
      <c r="BM41">
        <f>IF(BM$4=1,IF(INDEX('×入力'!$C$1:$L$700,471+BM$3,BM$2)&lt;&gt;"",1,0),0)</f>
        <v/>
      </c>
      <c r="BN41">
        <f>IF(BN$4=1,IF(INDEX('×入力'!$C$1:$L$700,471+BN$3,BN$2)&lt;&gt;"",1,0),0)</f>
        <v/>
      </c>
      <c r="BO41">
        <f>IF(BO$4=1,IF(INDEX('×入力'!$C$1:$L$700,471+BO$3,BO$2)&lt;&gt;"",1,0),0)</f>
        <v/>
      </c>
      <c r="BP41">
        <f>IF(BP$4=1,IF(INDEX('×入力'!$C$1:$L$700,471+BP$3,BP$2)&lt;&gt;"",1,0),0)</f>
        <v/>
      </c>
      <c r="BQ41">
        <f>IF(BQ$4=1,IF(INDEX('×入力'!$C$1:$L$700,471+BQ$3,BQ$2)&lt;&gt;"",1,0),0)</f>
        <v/>
      </c>
      <c r="BR41">
        <f>IF(BR$4=1,IF(INDEX('×入力'!$C$1:$L$700,471+BR$3,BR$2)&lt;&gt;"",1,0),0)</f>
        <v/>
      </c>
      <c r="BS41">
        <f>IF(BS$4=1,IF(INDEX('×入力'!$C$1:$L$700,471+BS$3,BS$2)&lt;&gt;"",1,0),0)</f>
        <v/>
      </c>
      <c r="BT41">
        <f>IF(BT$4=1,IF(INDEX('×入力'!$C$1:$L$700,471+BT$3,BT$2)&lt;&gt;"",1,0),0)</f>
        <v/>
      </c>
      <c r="BU41">
        <f>IF(BU$4=1,IF(INDEX('×入力'!$C$1:$L$700,471+BU$3,BU$2)&lt;&gt;"",1,0),0)</f>
        <v/>
      </c>
      <c r="BV41">
        <f>IF(BV$4=1,IF(INDEX('×入力'!$C$1:$L$700,471+BV$3,BV$2)&lt;&gt;"",1,0),0)</f>
        <v/>
      </c>
      <c r="BW41">
        <f>IF(BW$4=1,IF(INDEX('×入力'!$C$1:$L$700,471+BW$3,BW$2)&lt;&gt;"",1,0),0)</f>
        <v/>
      </c>
      <c r="BX41">
        <f>IF(BX$4=1,IF(INDEX('×入力'!$C$1:$L$700,471+BX$3,BX$2)&lt;&gt;"",1,0),0)</f>
        <v/>
      </c>
      <c r="BY41">
        <f>IF(BY$4=1,IF(INDEX('×入力'!$C$1:$L$700,471+BY$3,BY$2)&lt;&gt;"",1,0),0)</f>
        <v/>
      </c>
      <c r="BZ41">
        <f>IF(BZ$4=1,IF(INDEX('×入力'!$C$1:$L$700,471+BZ$3,BZ$2)&lt;&gt;"",1,0),0)</f>
        <v/>
      </c>
      <c r="CA41">
        <f>IF(CA$4=1,IF(INDEX('×入力'!$C$1:$L$700,471+CA$3,CA$2)&lt;&gt;"",1,0),0)</f>
        <v/>
      </c>
      <c r="CB41">
        <f>IF(CB$4=1,IF(INDEX('×入力'!$C$1:$L$700,471+CB$3,CB$2)&lt;&gt;"",1,0),0)</f>
        <v/>
      </c>
      <c r="CC41">
        <f>IF(CC$4=1,IF(INDEX('×入力'!$C$1:$L$700,471+CC$3,CC$2)&lt;&gt;"",1,0),0)</f>
        <v/>
      </c>
      <c r="CD41">
        <f>IF(CD$4=1,IF(INDEX('×入力'!$C$1:$L$700,471+CD$3,CD$2)&lt;&gt;"",1,0),0)</f>
        <v/>
      </c>
      <c r="CE41">
        <f>IF(CE$4=1,IF(INDEX('×入力'!$C$1:$L$700,471+CE$3,CE$2)&lt;&gt;"",1,0),0)</f>
        <v/>
      </c>
      <c r="CF41">
        <f>IF(CF$4=1,IF(INDEX('×入力'!$C$1:$L$700,471+CF$3,CF$2)&lt;&gt;"",1,0),0)</f>
        <v/>
      </c>
      <c r="CG41">
        <f>IF(CG$4=1,IF(INDEX('×入力'!$C$1:$L$700,471+CG$3,CG$2)&lt;&gt;"",1,0),0)</f>
        <v/>
      </c>
      <c r="CH41">
        <f>IF(CH$4=1,IF(INDEX('×入力'!$C$1:$L$700,471+CH$3,CH$2)&lt;&gt;"",1,0),0)</f>
        <v/>
      </c>
      <c r="CI41">
        <f>IF(CI$4=1,IF(INDEX('×入力'!$C$1:$L$700,471+CI$3,CI$2)&lt;&gt;"",1,0),0)</f>
        <v/>
      </c>
      <c r="CJ41">
        <f>IF(CJ$4=1,IF(INDEX('×入力'!$C$1:$L$700,471+CJ$3,CJ$2)&lt;&gt;"",1,0),0)</f>
        <v/>
      </c>
      <c r="CK41">
        <f>IF(CK$4=1,IF(INDEX('×入力'!$C$1:$L$700,471+CK$3,CK$2)&lt;&gt;"",1,0),0)</f>
        <v/>
      </c>
      <c r="CL41">
        <f>IF(CL$4=1,IF(INDEX('×入力'!$C$1:$L$700,471+CL$3,CL$2)&lt;&gt;"",1,0),0)</f>
        <v/>
      </c>
      <c r="CM41">
        <f>IF(CM$4=1,IF(INDEX('×入力'!$C$1:$L$700,471+CM$3,CM$2)&lt;&gt;"",1,0),0)</f>
        <v/>
      </c>
      <c r="CN41">
        <f>IF(CN$4=1,IF(INDEX('×入力'!$C$1:$L$700,471+CN$3,CN$2)&lt;&gt;"",1,0),0)</f>
        <v/>
      </c>
      <c r="CO41">
        <f>IF(CO$4=1,IF(INDEX('×入力'!$C$1:$L$700,471+CO$3,CO$2)&lt;&gt;"",1,0),0)</f>
        <v/>
      </c>
      <c r="CP41">
        <f>IF(CP$4=1,IF(INDEX('×入力'!$C$1:$L$700,471+CP$3,CP$2)&lt;&gt;"",1,0),0)</f>
        <v/>
      </c>
      <c r="CQ41">
        <f>IF(CQ$4=1,IF(INDEX('×入力'!$C$1:$L$700,471+CQ$3,CQ$2)&lt;&gt;"",1,0),0)</f>
        <v/>
      </c>
      <c r="CR41">
        <f>IF(CR$4=1,IF(INDEX('×入力'!$C$1:$L$700,471+CR$3,CR$2)&lt;&gt;"",1,0),0)</f>
        <v/>
      </c>
      <c r="CS41">
        <f>IF(CS$4=1,IF(INDEX('×入力'!$C$1:$L$700,471+CS$3,CS$2)&lt;&gt;"",1,0),0)</f>
        <v/>
      </c>
      <c r="CT41">
        <f>IF(CT$4=1,IF(INDEX('×入力'!$C$1:$L$700,471+CT$3,CT$2)&lt;&gt;"",1,0),0)</f>
        <v/>
      </c>
      <c r="CU41">
        <f>IF(CU$4=1,IF(INDEX('×入力'!$C$1:$L$700,471+CU$3,CU$2)&lt;&gt;"",1,0),0)</f>
        <v/>
      </c>
      <c r="CV41">
        <f>IF(CV$4=1,IF(INDEX('×入力'!$C$1:$L$700,471+CV$3,CV$2)&lt;&gt;"",1,0),0)</f>
        <v/>
      </c>
      <c r="CW41">
        <f>IF(CW$4=1,IF(INDEX('×入力'!$C$1:$L$700,471+CW$3,CW$2)&lt;&gt;"",1,0),0)</f>
        <v/>
      </c>
      <c r="CX41">
        <f>IF(CX$4=1,IF(INDEX('×入力'!$C$1:$L$700,471+CX$3,CX$2)&lt;&gt;"",1,0),0)</f>
        <v/>
      </c>
      <c r="CY41">
        <f>IF(CY$4=1,IF(INDEX('×入力'!$C$1:$L$700,471+CY$3,CY$2)&lt;&gt;"",1,0),0)</f>
        <v/>
      </c>
      <c r="CZ41">
        <f>IF(CZ$4=1,IF(INDEX('×入力'!$C$1:$L$700,471+CZ$3,CZ$2)&lt;&gt;"",1,0),0)</f>
        <v/>
      </c>
      <c r="DA41">
        <f>IF(DA$4=1,IF(INDEX('×入力'!$C$1:$L$700,471+DA$3,DA$2)&lt;&gt;"",1,0),0)</f>
        <v/>
      </c>
      <c r="DB41">
        <f>IF(DB$4=1,IF(INDEX('×入力'!$C$1:$L$700,471+DB$3,DB$2)&lt;&gt;"",1,0),0)</f>
        <v/>
      </c>
      <c r="DC41">
        <f>IF(DC$4=1,IF(INDEX('×入力'!$C$1:$L$700,471+DC$3,DC$2)&lt;&gt;"",1,0),0)</f>
        <v/>
      </c>
      <c r="DD41">
        <f>IF(DD$4=1,IF(INDEX('×入力'!$C$1:$L$700,471+DD$3,DD$2)&lt;&gt;"",1,0),0)</f>
        <v/>
      </c>
      <c r="DE41">
        <f>IF(DE$4=1,IF(INDEX('×入力'!$C$1:$L$700,471+DE$3,DE$2)&lt;&gt;"",1,0),0)</f>
        <v/>
      </c>
      <c r="DF41">
        <f>IF(DF$4=1,IF(INDEX('×入力'!$C$1:$L$700,471+DF$3,DF$2)&lt;&gt;"",1,0),0)</f>
        <v/>
      </c>
      <c r="DG41">
        <f>IF(DG$4=1,IF(INDEX('×入力'!$C$1:$L$700,471+DG$3,DG$2)&lt;&gt;"",1,0),0)</f>
        <v/>
      </c>
      <c r="DH41">
        <f>IF(DH$4=1,IF(INDEX('×入力'!$C$1:$L$700,471+DH$3,DH$2)&lt;&gt;"",1,0),0)</f>
        <v/>
      </c>
      <c r="DI41">
        <f>IF(DI$4=1,IF(INDEX('×入力'!$C$1:$L$700,471+DI$3,DI$2)&lt;&gt;"",1,0),0)</f>
        <v/>
      </c>
      <c r="DJ41">
        <f>IF(DJ$4=1,IF(INDEX('×入力'!$C$1:$L$700,471+DJ$3,DJ$2)&lt;&gt;"",1,0),0)</f>
        <v/>
      </c>
      <c r="DK41">
        <f>IF(DK$4=1,IF(INDEX('×入力'!$C$1:$L$700,471+DK$3,DK$2)&lt;&gt;"",1,0),0)</f>
        <v/>
      </c>
      <c r="DL41">
        <f>IF(DL$4=1,IF(INDEX('×入力'!$C$1:$L$700,471+DL$3,DL$2)&lt;&gt;"",1,0),0)</f>
        <v/>
      </c>
      <c r="DM41">
        <f>IF(DM$4=1,IF(INDEX('×入力'!$C$1:$L$700,471+DM$3,DM$2)&lt;&gt;"",1,0),0)</f>
        <v/>
      </c>
      <c r="DN41">
        <f>IF(DN$4=1,IF(INDEX('×入力'!$C$1:$L$700,471+DN$3,DN$2)&lt;&gt;"",1,0),0)</f>
        <v/>
      </c>
      <c r="DO41">
        <f>IF(DO$4=1,IF(INDEX('×入力'!$C$1:$L$700,471+DO$3,DO$2)&lt;&gt;"",1,0),0)</f>
        <v/>
      </c>
      <c r="DP41">
        <f>IF(DP$4=1,IF(INDEX('×入力'!$C$1:$L$700,471+DP$3,DP$2)&lt;&gt;"",1,0),0)</f>
        <v/>
      </c>
      <c r="DQ41">
        <f>IF(DQ$4=1,IF(INDEX('×入力'!$C$1:$L$700,471+DQ$3,DQ$2)&lt;&gt;"",1,0),0)</f>
        <v/>
      </c>
      <c r="DR41">
        <f>IF(DR$4=1,IF(INDEX('×入力'!$C$1:$L$700,471+DR$3,DR$2)&lt;&gt;"",1,0),0)</f>
        <v/>
      </c>
      <c r="DS41">
        <f>IF(DS$4=1,IF(INDEX('×入力'!$C$1:$L$700,471+DS$3,DS$2)&lt;&gt;"",1,0),0)</f>
        <v/>
      </c>
      <c r="DU41">
        <f>IFERROR(INDEX('計算B'!$C$3:$C$47,MATCH(A41,'計算B'!$B$3:$B$47,0)),0)</f>
        <v/>
      </c>
      <c r="DV41">
        <f>IF(AND(C41=1,DU41=0),1,0)</f>
        <v/>
      </c>
      <c r="DW41">
        <f>SUMPRODUCT(D91:DS91*(1-$D$7:$DS$7))</f>
        <v/>
      </c>
      <c r="DX41">
        <f>SUM(D41:DS41)</f>
        <v/>
      </c>
      <c r="DY41">
        <f>IF(B41="",0,IF(COUNTIF('割り当て'!$C$6:$L$17,B41)=1,SUMPRODUCT(('割り当て'!$C$6:$L$17=B41)*((COLUMN('割り当て'!$C$6:$L$17)-3)*12+ROW('割り当て'!$C$6:$L$17)-5)),0))</f>
        <v/>
      </c>
      <c r="DZ41">
        <f>IFERROR(MATCH('名簿'!E36,{"早い時刻","遅い時刻","早い日","遅い日"},0),0)</f>
        <v/>
      </c>
      <c r="EA41">
        <f>IF('名簿'!F36="必ず空けたい",2,IF('名簿'!F36="出来れば空けたい",1,0))</f>
        <v/>
      </c>
    </row>
    <row r="42">
      <c r="A42" t="n">
        <v>33</v>
      </c>
      <c r="B42">
        <f>'名簿'!G37</f>
        <v/>
      </c>
      <c r="C42">
        <f>IF(AND(B42&lt;&gt;"",OR('名簿'!H37="入力済み",'名簿'!H37="×なし"),DY42=0,COUNTIF('割り当て'!$C$6:$L$17,B42)=0),1,0)</f>
        <v/>
      </c>
      <c r="D42">
        <f>IF(D$4=1,IF(INDEX('×入力'!$C$1:$L$700,486+D$3,D$2)&lt;&gt;"",1,0),0)</f>
        <v/>
      </c>
      <c r="E42">
        <f>IF(E$4=1,IF(INDEX('×入力'!$C$1:$L$700,486+E$3,E$2)&lt;&gt;"",1,0),0)</f>
        <v/>
      </c>
      <c r="F42">
        <f>IF(F$4=1,IF(INDEX('×入力'!$C$1:$L$700,486+F$3,F$2)&lt;&gt;"",1,0),0)</f>
        <v/>
      </c>
      <c r="G42">
        <f>IF(G$4=1,IF(INDEX('×入力'!$C$1:$L$700,486+G$3,G$2)&lt;&gt;"",1,0),0)</f>
        <v/>
      </c>
      <c r="H42">
        <f>IF(H$4=1,IF(INDEX('×入力'!$C$1:$L$700,486+H$3,H$2)&lt;&gt;"",1,0),0)</f>
        <v/>
      </c>
      <c r="I42">
        <f>IF(I$4=1,IF(INDEX('×入力'!$C$1:$L$700,486+I$3,I$2)&lt;&gt;"",1,0),0)</f>
        <v/>
      </c>
      <c r="J42">
        <f>IF(J$4=1,IF(INDEX('×入力'!$C$1:$L$700,486+J$3,J$2)&lt;&gt;"",1,0),0)</f>
        <v/>
      </c>
      <c r="K42">
        <f>IF(K$4=1,IF(INDEX('×入力'!$C$1:$L$700,486+K$3,K$2)&lt;&gt;"",1,0),0)</f>
        <v/>
      </c>
      <c r="L42">
        <f>IF(L$4=1,IF(INDEX('×入力'!$C$1:$L$700,486+L$3,L$2)&lt;&gt;"",1,0),0)</f>
        <v/>
      </c>
      <c r="M42">
        <f>IF(M$4=1,IF(INDEX('×入力'!$C$1:$L$700,486+M$3,M$2)&lt;&gt;"",1,0),0)</f>
        <v/>
      </c>
      <c r="N42">
        <f>IF(N$4=1,IF(INDEX('×入力'!$C$1:$L$700,486+N$3,N$2)&lt;&gt;"",1,0),0)</f>
        <v/>
      </c>
      <c r="O42">
        <f>IF(O$4=1,IF(INDEX('×入力'!$C$1:$L$700,486+O$3,O$2)&lt;&gt;"",1,0),0)</f>
        <v/>
      </c>
      <c r="P42">
        <f>IF(P$4=1,IF(INDEX('×入力'!$C$1:$L$700,486+P$3,P$2)&lt;&gt;"",1,0),0)</f>
        <v/>
      </c>
      <c r="Q42">
        <f>IF(Q$4=1,IF(INDEX('×入力'!$C$1:$L$700,486+Q$3,Q$2)&lt;&gt;"",1,0),0)</f>
        <v/>
      </c>
      <c r="R42">
        <f>IF(R$4=1,IF(INDEX('×入力'!$C$1:$L$700,486+R$3,R$2)&lt;&gt;"",1,0),0)</f>
        <v/>
      </c>
      <c r="S42">
        <f>IF(S$4=1,IF(INDEX('×入力'!$C$1:$L$700,486+S$3,S$2)&lt;&gt;"",1,0),0)</f>
        <v/>
      </c>
      <c r="T42">
        <f>IF(T$4=1,IF(INDEX('×入力'!$C$1:$L$700,486+T$3,T$2)&lt;&gt;"",1,0),0)</f>
        <v/>
      </c>
      <c r="U42">
        <f>IF(U$4=1,IF(INDEX('×入力'!$C$1:$L$700,486+U$3,U$2)&lt;&gt;"",1,0),0)</f>
        <v/>
      </c>
      <c r="V42">
        <f>IF(V$4=1,IF(INDEX('×入力'!$C$1:$L$700,486+V$3,V$2)&lt;&gt;"",1,0),0)</f>
        <v/>
      </c>
      <c r="W42">
        <f>IF(W$4=1,IF(INDEX('×入力'!$C$1:$L$700,486+W$3,W$2)&lt;&gt;"",1,0),0)</f>
        <v/>
      </c>
      <c r="X42">
        <f>IF(X$4=1,IF(INDEX('×入力'!$C$1:$L$700,486+X$3,X$2)&lt;&gt;"",1,0),0)</f>
        <v/>
      </c>
      <c r="Y42">
        <f>IF(Y$4=1,IF(INDEX('×入力'!$C$1:$L$700,486+Y$3,Y$2)&lt;&gt;"",1,0),0)</f>
        <v/>
      </c>
      <c r="Z42">
        <f>IF(Z$4=1,IF(INDEX('×入力'!$C$1:$L$700,486+Z$3,Z$2)&lt;&gt;"",1,0),0)</f>
        <v/>
      </c>
      <c r="AA42">
        <f>IF(AA$4=1,IF(INDEX('×入力'!$C$1:$L$700,486+AA$3,AA$2)&lt;&gt;"",1,0),0)</f>
        <v/>
      </c>
      <c r="AB42">
        <f>IF(AB$4=1,IF(INDEX('×入力'!$C$1:$L$700,486+AB$3,AB$2)&lt;&gt;"",1,0),0)</f>
        <v/>
      </c>
      <c r="AC42">
        <f>IF(AC$4=1,IF(INDEX('×入力'!$C$1:$L$700,486+AC$3,AC$2)&lt;&gt;"",1,0),0)</f>
        <v/>
      </c>
      <c r="AD42">
        <f>IF(AD$4=1,IF(INDEX('×入力'!$C$1:$L$700,486+AD$3,AD$2)&lt;&gt;"",1,0),0)</f>
        <v/>
      </c>
      <c r="AE42">
        <f>IF(AE$4=1,IF(INDEX('×入力'!$C$1:$L$700,486+AE$3,AE$2)&lt;&gt;"",1,0),0)</f>
        <v/>
      </c>
      <c r="AF42">
        <f>IF(AF$4=1,IF(INDEX('×入力'!$C$1:$L$700,486+AF$3,AF$2)&lt;&gt;"",1,0),0)</f>
        <v/>
      </c>
      <c r="AG42">
        <f>IF(AG$4=1,IF(INDEX('×入力'!$C$1:$L$700,486+AG$3,AG$2)&lt;&gt;"",1,0),0)</f>
        <v/>
      </c>
      <c r="AH42">
        <f>IF(AH$4=1,IF(INDEX('×入力'!$C$1:$L$700,486+AH$3,AH$2)&lt;&gt;"",1,0),0)</f>
        <v/>
      </c>
      <c r="AI42">
        <f>IF(AI$4=1,IF(INDEX('×入力'!$C$1:$L$700,486+AI$3,AI$2)&lt;&gt;"",1,0),0)</f>
        <v/>
      </c>
      <c r="AJ42">
        <f>IF(AJ$4=1,IF(INDEX('×入力'!$C$1:$L$700,486+AJ$3,AJ$2)&lt;&gt;"",1,0),0)</f>
        <v/>
      </c>
      <c r="AK42">
        <f>IF(AK$4=1,IF(INDEX('×入力'!$C$1:$L$700,486+AK$3,AK$2)&lt;&gt;"",1,0),0)</f>
        <v/>
      </c>
      <c r="AL42">
        <f>IF(AL$4=1,IF(INDEX('×入力'!$C$1:$L$700,486+AL$3,AL$2)&lt;&gt;"",1,0),0)</f>
        <v/>
      </c>
      <c r="AM42">
        <f>IF(AM$4=1,IF(INDEX('×入力'!$C$1:$L$700,486+AM$3,AM$2)&lt;&gt;"",1,0),0)</f>
        <v/>
      </c>
      <c r="AN42">
        <f>IF(AN$4=1,IF(INDEX('×入力'!$C$1:$L$700,486+AN$3,AN$2)&lt;&gt;"",1,0),0)</f>
        <v/>
      </c>
      <c r="AO42">
        <f>IF(AO$4=1,IF(INDEX('×入力'!$C$1:$L$700,486+AO$3,AO$2)&lt;&gt;"",1,0),0)</f>
        <v/>
      </c>
      <c r="AP42">
        <f>IF(AP$4=1,IF(INDEX('×入力'!$C$1:$L$700,486+AP$3,AP$2)&lt;&gt;"",1,0),0)</f>
        <v/>
      </c>
      <c r="AQ42">
        <f>IF(AQ$4=1,IF(INDEX('×入力'!$C$1:$L$700,486+AQ$3,AQ$2)&lt;&gt;"",1,0),0)</f>
        <v/>
      </c>
      <c r="AR42">
        <f>IF(AR$4=1,IF(INDEX('×入力'!$C$1:$L$700,486+AR$3,AR$2)&lt;&gt;"",1,0),0)</f>
        <v/>
      </c>
      <c r="AS42">
        <f>IF(AS$4=1,IF(INDEX('×入力'!$C$1:$L$700,486+AS$3,AS$2)&lt;&gt;"",1,0),0)</f>
        <v/>
      </c>
      <c r="AT42">
        <f>IF(AT$4=1,IF(INDEX('×入力'!$C$1:$L$700,486+AT$3,AT$2)&lt;&gt;"",1,0),0)</f>
        <v/>
      </c>
      <c r="AU42">
        <f>IF(AU$4=1,IF(INDEX('×入力'!$C$1:$L$700,486+AU$3,AU$2)&lt;&gt;"",1,0),0)</f>
        <v/>
      </c>
      <c r="AV42">
        <f>IF(AV$4=1,IF(INDEX('×入力'!$C$1:$L$700,486+AV$3,AV$2)&lt;&gt;"",1,0),0)</f>
        <v/>
      </c>
      <c r="AW42">
        <f>IF(AW$4=1,IF(INDEX('×入力'!$C$1:$L$700,486+AW$3,AW$2)&lt;&gt;"",1,0),0)</f>
        <v/>
      </c>
      <c r="AX42">
        <f>IF(AX$4=1,IF(INDEX('×入力'!$C$1:$L$700,486+AX$3,AX$2)&lt;&gt;"",1,0),0)</f>
        <v/>
      </c>
      <c r="AY42">
        <f>IF(AY$4=1,IF(INDEX('×入力'!$C$1:$L$700,486+AY$3,AY$2)&lt;&gt;"",1,0),0)</f>
        <v/>
      </c>
      <c r="AZ42">
        <f>IF(AZ$4=1,IF(INDEX('×入力'!$C$1:$L$700,486+AZ$3,AZ$2)&lt;&gt;"",1,0),0)</f>
        <v/>
      </c>
      <c r="BA42">
        <f>IF(BA$4=1,IF(INDEX('×入力'!$C$1:$L$700,486+BA$3,BA$2)&lt;&gt;"",1,0),0)</f>
        <v/>
      </c>
      <c r="BB42">
        <f>IF(BB$4=1,IF(INDEX('×入力'!$C$1:$L$700,486+BB$3,BB$2)&lt;&gt;"",1,0),0)</f>
        <v/>
      </c>
      <c r="BC42">
        <f>IF(BC$4=1,IF(INDEX('×入力'!$C$1:$L$700,486+BC$3,BC$2)&lt;&gt;"",1,0),0)</f>
        <v/>
      </c>
      <c r="BD42">
        <f>IF(BD$4=1,IF(INDEX('×入力'!$C$1:$L$700,486+BD$3,BD$2)&lt;&gt;"",1,0),0)</f>
        <v/>
      </c>
      <c r="BE42">
        <f>IF(BE$4=1,IF(INDEX('×入力'!$C$1:$L$700,486+BE$3,BE$2)&lt;&gt;"",1,0),0)</f>
        <v/>
      </c>
      <c r="BF42">
        <f>IF(BF$4=1,IF(INDEX('×入力'!$C$1:$L$700,486+BF$3,BF$2)&lt;&gt;"",1,0),0)</f>
        <v/>
      </c>
      <c r="BG42">
        <f>IF(BG$4=1,IF(INDEX('×入力'!$C$1:$L$700,486+BG$3,BG$2)&lt;&gt;"",1,0),0)</f>
        <v/>
      </c>
      <c r="BH42">
        <f>IF(BH$4=1,IF(INDEX('×入力'!$C$1:$L$700,486+BH$3,BH$2)&lt;&gt;"",1,0),0)</f>
        <v/>
      </c>
      <c r="BI42">
        <f>IF(BI$4=1,IF(INDEX('×入力'!$C$1:$L$700,486+BI$3,BI$2)&lt;&gt;"",1,0),0)</f>
        <v/>
      </c>
      <c r="BJ42">
        <f>IF(BJ$4=1,IF(INDEX('×入力'!$C$1:$L$700,486+BJ$3,BJ$2)&lt;&gt;"",1,0),0)</f>
        <v/>
      </c>
      <c r="BK42">
        <f>IF(BK$4=1,IF(INDEX('×入力'!$C$1:$L$700,486+BK$3,BK$2)&lt;&gt;"",1,0),0)</f>
        <v/>
      </c>
      <c r="BL42">
        <f>IF(BL$4=1,IF(INDEX('×入力'!$C$1:$L$700,486+BL$3,BL$2)&lt;&gt;"",1,0),0)</f>
        <v/>
      </c>
      <c r="BM42">
        <f>IF(BM$4=1,IF(INDEX('×入力'!$C$1:$L$700,486+BM$3,BM$2)&lt;&gt;"",1,0),0)</f>
        <v/>
      </c>
      <c r="BN42">
        <f>IF(BN$4=1,IF(INDEX('×入力'!$C$1:$L$700,486+BN$3,BN$2)&lt;&gt;"",1,0),0)</f>
        <v/>
      </c>
      <c r="BO42">
        <f>IF(BO$4=1,IF(INDEX('×入力'!$C$1:$L$700,486+BO$3,BO$2)&lt;&gt;"",1,0),0)</f>
        <v/>
      </c>
      <c r="BP42">
        <f>IF(BP$4=1,IF(INDEX('×入力'!$C$1:$L$700,486+BP$3,BP$2)&lt;&gt;"",1,0),0)</f>
        <v/>
      </c>
      <c r="BQ42">
        <f>IF(BQ$4=1,IF(INDEX('×入力'!$C$1:$L$700,486+BQ$3,BQ$2)&lt;&gt;"",1,0),0)</f>
        <v/>
      </c>
      <c r="BR42">
        <f>IF(BR$4=1,IF(INDEX('×入力'!$C$1:$L$700,486+BR$3,BR$2)&lt;&gt;"",1,0),0)</f>
        <v/>
      </c>
      <c r="BS42">
        <f>IF(BS$4=1,IF(INDEX('×入力'!$C$1:$L$700,486+BS$3,BS$2)&lt;&gt;"",1,0),0)</f>
        <v/>
      </c>
      <c r="BT42">
        <f>IF(BT$4=1,IF(INDEX('×入力'!$C$1:$L$700,486+BT$3,BT$2)&lt;&gt;"",1,0),0)</f>
        <v/>
      </c>
      <c r="BU42">
        <f>IF(BU$4=1,IF(INDEX('×入力'!$C$1:$L$700,486+BU$3,BU$2)&lt;&gt;"",1,0),0)</f>
        <v/>
      </c>
      <c r="BV42">
        <f>IF(BV$4=1,IF(INDEX('×入力'!$C$1:$L$700,486+BV$3,BV$2)&lt;&gt;"",1,0),0)</f>
        <v/>
      </c>
      <c r="BW42">
        <f>IF(BW$4=1,IF(INDEX('×入力'!$C$1:$L$700,486+BW$3,BW$2)&lt;&gt;"",1,0),0)</f>
        <v/>
      </c>
      <c r="BX42">
        <f>IF(BX$4=1,IF(INDEX('×入力'!$C$1:$L$700,486+BX$3,BX$2)&lt;&gt;"",1,0),0)</f>
        <v/>
      </c>
      <c r="BY42">
        <f>IF(BY$4=1,IF(INDEX('×入力'!$C$1:$L$700,486+BY$3,BY$2)&lt;&gt;"",1,0),0)</f>
        <v/>
      </c>
      <c r="BZ42">
        <f>IF(BZ$4=1,IF(INDEX('×入力'!$C$1:$L$700,486+BZ$3,BZ$2)&lt;&gt;"",1,0),0)</f>
        <v/>
      </c>
      <c r="CA42">
        <f>IF(CA$4=1,IF(INDEX('×入力'!$C$1:$L$700,486+CA$3,CA$2)&lt;&gt;"",1,0),0)</f>
        <v/>
      </c>
      <c r="CB42">
        <f>IF(CB$4=1,IF(INDEX('×入力'!$C$1:$L$700,486+CB$3,CB$2)&lt;&gt;"",1,0),0)</f>
        <v/>
      </c>
      <c r="CC42">
        <f>IF(CC$4=1,IF(INDEX('×入力'!$C$1:$L$700,486+CC$3,CC$2)&lt;&gt;"",1,0),0)</f>
        <v/>
      </c>
      <c r="CD42">
        <f>IF(CD$4=1,IF(INDEX('×入力'!$C$1:$L$700,486+CD$3,CD$2)&lt;&gt;"",1,0),0)</f>
        <v/>
      </c>
      <c r="CE42">
        <f>IF(CE$4=1,IF(INDEX('×入力'!$C$1:$L$700,486+CE$3,CE$2)&lt;&gt;"",1,0),0)</f>
        <v/>
      </c>
      <c r="CF42">
        <f>IF(CF$4=1,IF(INDEX('×入力'!$C$1:$L$700,486+CF$3,CF$2)&lt;&gt;"",1,0),0)</f>
        <v/>
      </c>
      <c r="CG42">
        <f>IF(CG$4=1,IF(INDEX('×入力'!$C$1:$L$700,486+CG$3,CG$2)&lt;&gt;"",1,0),0)</f>
        <v/>
      </c>
      <c r="CH42">
        <f>IF(CH$4=1,IF(INDEX('×入力'!$C$1:$L$700,486+CH$3,CH$2)&lt;&gt;"",1,0),0)</f>
        <v/>
      </c>
      <c r="CI42">
        <f>IF(CI$4=1,IF(INDEX('×入力'!$C$1:$L$700,486+CI$3,CI$2)&lt;&gt;"",1,0),0)</f>
        <v/>
      </c>
      <c r="CJ42">
        <f>IF(CJ$4=1,IF(INDEX('×入力'!$C$1:$L$700,486+CJ$3,CJ$2)&lt;&gt;"",1,0),0)</f>
        <v/>
      </c>
      <c r="CK42">
        <f>IF(CK$4=1,IF(INDEX('×入力'!$C$1:$L$700,486+CK$3,CK$2)&lt;&gt;"",1,0),0)</f>
        <v/>
      </c>
      <c r="CL42">
        <f>IF(CL$4=1,IF(INDEX('×入力'!$C$1:$L$700,486+CL$3,CL$2)&lt;&gt;"",1,0),0)</f>
        <v/>
      </c>
      <c r="CM42">
        <f>IF(CM$4=1,IF(INDEX('×入力'!$C$1:$L$700,486+CM$3,CM$2)&lt;&gt;"",1,0),0)</f>
        <v/>
      </c>
      <c r="CN42">
        <f>IF(CN$4=1,IF(INDEX('×入力'!$C$1:$L$700,486+CN$3,CN$2)&lt;&gt;"",1,0),0)</f>
        <v/>
      </c>
      <c r="CO42">
        <f>IF(CO$4=1,IF(INDEX('×入力'!$C$1:$L$700,486+CO$3,CO$2)&lt;&gt;"",1,0),0)</f>
        <v/>
      </c>
      <c r="CP42">
        <f>IF(CP$4=1,IF(INDEX('×入力'!$C$1:$L$700,486+CP$3,CP$2)&lt;&gt;"",1,0),0)</f>
        <v/>
      </c>
      <c r="CQ42">
        <f>IF(CQ$4=1,IF(INDEX('×入力'!$C$1:$L$700,486+CQ$3,CQ$2)&lt;&gt;"",1,0),0)</f>
        <v/>
      </c>
      <c r="CR42">
        <f>IF(CR$4=1,IF(INDEX('×入力'!$C$1:$L$700,486+CR$3,CR$2)&lt;&gt;"",1,0),0)</f>
        <v/>
      </c>
      <c r="CS42">
        <f>IF(CS$4=1,IF(INDEX('×入力'!$C$1:$L$700,486+CS$3,CS$2)&lt;&gt;"",1,0),0)</f>
        <v/>
      </c>
      <c r="CT42">
        <f>IF(CT$4=1,IF(INDEX('×入力'!$C$1:$L$700,486+CT$3,CT$2)&lt;&gt;"",1,0),0)</f>
        <v/>
      </c>
      <c r="CU42">
        <f>IF(CU$4=1,IF(INDEX('×入力'!$C$1:$L$700,486+CU$3,CU$2)&lt;&gt;"",1,0),0)</f>
        <v/>
      </c>
      <c r="CV42">
        <f>IF(CV$4=1,IF(INDEX('×入力'!$C$1:$L$700,486+CV$3,CV$2)&lt;&gt;"",1,0),0)</f>
        <v/>
      </c>
      <c r="CW42">
        <f>IF(CW$4=1,IF(INDEX('×入力'!$C$1:$L$700,486+CW$3,CW$2)&lt;&gt;"",1,0),0)</f>
        <v/>
      </c>
      <c r="CX42">
        <f>IF(CX$4=1,IF(INDEX('×入力'!$C$1:$L$700,486+CX$3,CX$2)&lt;&gt;"",1,0),0)</f>
        <v/>
      </c>
      <c r="CY42">
        <f>IF(CY$4=1,IF(INDEX('×入力'!$C$1:$L$700,486+CY$3,CY$2)&lt;&gt;"",1,0),0)</f>
        <v/>
      </c>
      <c r="CZ42">
        <f>IF(CZ$4=1,IF(INDEX('×入力'!$C$1:$L$700,486+CZ$3,CZ$2)&lt;&gt;"",1,0),0)</f>
        <v/>
      </c>
      <c r="DA42">
        <f>IF(DA$4=1,IF(INDEX('×入力'!$C$1:$L$700,486+DA$3,DA$2)&lt;&gt;"",1,0),0)</f>
        <v/>
      </c>
      <c r="DB42">
        <f>IF(DB$4=1,IF(INDEX('×入力'!$C$1:$L$700,486+DB$3,DB$2)&lt;&gt;"",1,0),0)</f>
        <v/>
      </c>
      <c r="DC42">
        <f>IF(DC$4=1,IF(INDEX('×入力'!$C$1:$L$700,486+DC$3,DC$2)&lt;&gt;"",1,0),0)</f>
        <v/>
      </c>
      <c r="DD42">
        <f>IF(DD$4=1,IF(INDEX('×入力'!$C$1:$L$700,486+DD$3,DD$2)&lt;&gt;"",1,0),0)</f>
        <v/>
      </c>
      <c r="DE42">
        <f>IF(DE$4=1,IF(INDEX('×入力'!$C$1:$L$700,486+DE$3,DE$2)&lt;&gt;"",1,0),0)</f>
        <v/>
      </c>
      <c r="DF42">
        <f>IF(DF$4=1,IF(INDEX('×入力'!$C$1:$L$700,486+DF$3,DF$2)&lt;&gt;"",1,0),0)</f>
        <v/>
      </c>
      <c r="DG42">
        <f>IF(DG$4=1,IF(INDEX('×入力'!$C$1:$L$700,486+DG$3,DG$2)&lt;&gt;"",1,0),0)</f>
        <v/>
      </c>
      <c r="DH42">
        <f>IF(DH$4=1,IF(INDEX('×入力'!$C$1:$L$700,486+DH$3,DH$2)&lt;&gt;"",1,0),0)</f>
        <v/>
      </c>
      <c r="DI42">
        <f>IF(DI$4=1,IF(INDEX('×入力'!$C$1:$L$700,486+DI$3,DI$2)&lt;&gt;"",1,0),0)</f>
        <v/>
      </c>
      <c r="DJ42">
        <f>IF(DJ$4=1,IF(INDEX('×入力'!$C$1:$L$700,486+DJ$3,DJ$2)&lt;&gt;"",1,0),0)</f>
        <v/>
      </c>
      <c r="DK42">
        <f>IF(DK$4=1,IF(INDEX('×入力'!$C$1:$L$700,486+DK$3,DK$2)&lt;&gt;"",1,0),0)</f>
        <v/>
      </c>
      <c r="DL42">
        <f>IF(DL$4=1,IF(INDEX('×入力'!$C$1:$L$700,486+DL$3,DL$2)&lt;&gt;"",1,0),0)</f>
        <v/>
      </c>
      <c r="DM42">
        <f>IF(DM$4=1,IF(INDEX('×入力'!$C$1:$L$700,486+DM$3,DM$2)&lt;&gt;"",1,0),0)</f>
        <v/>
      </c>
      <c r="DN42">
        <f>IF(DN$4=1,IF(INDEX('×入力'!$C$1:$L$700,486+DN$3,DN$2)&lt;&gt;"",1,0),0)</f>
        <v/>
      </c>
      <c r="DO42">
        <f>IF(DO$4=1,IF(INDEX('×入力'!$C$1:$L$700,486+DO$3,DO$2)&lt;&gt;"",1,0),0)</f>
        <v/>
      </c>
      <c r="DP42">
        <f>IF(DP$4=1,IF(INDEX('×入力'!$C$1:$L$700,486+DP$3,DP$2)&lt;&gt;"",1,0),0)</f>
        <v/>
      </c>
      <c r="DQ42">
        <f>IF(DQ$4=1,IF(INDEX('×入力'!$C$1:$L$700,486+DQ$3,DQ$2)&lt;&gt;"",1,0),0)</f>
        <v/>
      </c>
      <c r="DR42">
        <f>IF(DR$4=1,IF(INDEX('×入力'!$C$1:$L$700,486+DR$3,DR$2)&lt;&gt;"",1,0),0)</f>
        <v/>
      </c>
      <c r="DS42">
        <f>IF(DS$4=1,IF(INDEX('×入力'!$C$1:$L$700,486+DS$3,DS$2)&lt;&gt;"",1,0),0)</f>
        <v/>
      </c>
      <c r="DU42">
        <f>IFERROR(INDEX('計算B'!$C$3:$C$47,MATCH(A42,'計算B'!$B$3:$B$47,0)),0)</f>
        <v/>
      </c>
      <c r="DV42">
        <f>IF(AND(C42=1,DU42=0),1,0)</f>
        <v/>
      </c>
      <c r="DW42">
        <f>SUMPRODUCT(D92:DS92*(1-$D$7:$DS$7))</f>
        <v/>
      </c>
      <c r="DX42">
        <f>SUM(D42:DS42)</f>
        <v/>
      </c>
      <c r="DY42">
        <f>IF(B42="",0,IF(COUNTIF('割り当て'!$C$6:$L$17,B42)=1,SUMPRODUCT(('割り当て'!$C$6:$L$17=B42)*((COLUMN('割り当て'!$C$6:$L$17)-3)*12+ROW('割り当て'!$C$6:$L$17)-5)),0))</f>
        <v/>
      </c>
      <c r="DZ42">
        <f>IFERROR(MATCH('名簿'!E37,{"早い時刻","遅い時刻","早い日","遅い日"},0),0)</f>
        <v/>
      </c>
      <c r="EA42">
        <f>IF('名簿'!F37="必ず空けたい",2,IF('名簿'!F37="出来れば空けたい",1,0))</f>
        <v/>
      </c>
    </row>
    <row r="43">
      <c r="A43" t="n">
        <v>34</v>
      </c>
      <c r="B43">
        <f>'名簿'!G38</f>
        <v/>
      </c>
      <c r="C43">
        <f>IF(AND(B43&lt;&gt;"",OR('名簿'!H38="入力済み",'名簿'!H38="×なし"),DY43=0,COUNTIF('割り当て'!$C$6:$L$17,B43)=0),1,0)</f>
        <v/>
      </c>
      <c r="D43">
        <f>IF(D$4=1,IF(INDEX('×入力'!$C$1:$L$700,501+D$3,D$2)&lt;&gt;"",1,0),0)</f>
        <v/>
      </c>
      <c r="E43">
        <f>IF(E$4=1,IF(INDEX('×入力'!$C$1:$L$700,501+E$3,E$2)&lt;&gt;"",1,0),0)</f>
        <v/>
      </c>
      <c r="F43">
        <f>IF(F$4=1,IF(INDEX('×入力'!$C$1:$L$700,501+F$3,F$2)&lt;&gt;"",1,0),0)</f>
        <v/>
      </c>
      <c r="G43">
        <f>IF(G$4=1,IF(INDEX('×入力'!$C$1:$L$700,501+G$3,G$2)&lt;&gt;"",1,0),0)</f>
        <v/>
      </c>
      <c r="H43">
        <f>IF(H$4=1,IF(INDEX('×入力'!$C$1:$L$700,501+H$3,H$2)&lt;&gt;"",1,0),0)</f>
        <v/>
      </c>
      <c r="I43">
        <f>IF(I$4=1,IF(INDEX('×入力'!$C$1:$L$700,501+I$3,I$2)&lt;&gt;"",1,0),0)</f>
        <v/>
      </c>
      <c r="J43">
        <f>IF(J$4=1,IF(INDEX('×入力'!$C$1:$L$700,501+J$3,J$2)&lt;&gt;"",1,0),0)</f>
        <v/>
      </c>
      <c r="K43">
        <f>IF(K$4=1,IF(INDEX('×入力'!$C$1:$L$700,501+K$3,K$2)&lt;&gt;"",1,0),0)</f>
        <v/>
      </c>
      <c r="L43">
        <f>IF(L$4=1,IF(INDEX('×入力'!$C$1:$L$700,501+L$3,L$2)&lt;&gt;"",1,0),0)</f>
        <v/>
      </c>
      <c r="M43">
        <f>IF(M$4=1,IF(INDEX('×入力'!$C$1:$L$700,501+M$3,M$2)&lt;&gt;"",1,0),0)</f>
        <v/>
      </c>
      <c r="N43">
        <f>IF(N$4=1,IF(INDEX('×入力'!$C$1:$L$700,501+N$3,N$2)&lt;&gt;"",1,0),0)</f>
        <v/>
      </c>
      <c r="O43">
        <f>IF(O$4=1,IF(INDEX('×入力'!$C$1:$L$700,501+O$3,O$2)&lt;&gt;"",1,0),0)</f>
        <v/>
      </c>
      <c r="P43">
        <f>IF(P$4=1,IF(INDEX('×入力'!$C$1:$L$700,501+P$3,P$2)&lt;&gt;"",1,0),0)</f>
        <v/>
      </c>
      <c r="Q43">
        <f>IF(Q$4=1,IF(INDEX('×入力'!$C$1:$L$700,501+Q$3,Q$2)&lt;&gt;"",1,0),0)</f>
        <v/>
      </c>
      <c r="R43">
        <f>IF(R$4=1,IF(INDEX('×入力'!$C$1:$L$700,501+R$3,R$2)&lt;&gt;"",1,0),0)</f>
        <v/>
      </c>
      <c r="S43">
        <f>IF(S$4=1,IF(INDEX('×入力'!$C$1:$L$700,501+S$3,S$2)&lt;&gt;"",1,0),0)</f>
        <v/>
      </c>
      <c r="T43">
        <f>IF(T$4=1,IF(INDEX('×入力'!$C$1:$L$700,501+T$3,T$2)&lt;&gt;"",1,0),0)</f>
        <v/>
      </c>
      <c r="U43">
        <f>IF(U$4=1,IF(INDEX('×入力'!$C$1:$L$700,501+U$3,U$2)&lt;&gt;"",1,0),0)</f>
        <v/>
      </c>
      <c r="V43">
        <f>IF(V$4=1,IF(INDEX('×入力'!$C$1:$L$700,501+V$3,V$2)&lt;&gt;"",1,0),0)</f>
        <v/>
      </c>
      <c r="W43">
        <f>IF(W$4=1,IF(INDEX('×入力'!$C$1:$L$700,501+W$3,W$2)&lt;&gt;"",1,0),0)</f>
        <v/>
      </c>
      <c r="X43">
        <f>IF(X$4=1,IF(INDEX('×入力'!$C$1:$L$700,501+X$3,X$2)&lt;&gt;"",1,0),0)</f>
        <v/>
      </c>
      <c r="Y43">
        <f>IF(Y$4=1,IF(INDEX('×入力'!$C$1:$L$700,501+Y$3,Y$2)&lt;&gt;"",1,0),0)</f>
        <v/>
      </c>
      <c r="Z43">
        <f>IF(Z$4=1,IF(INDEX('×入力'!$C$1:$L$700,501+Z$3,Z$2)&lt;&gt;"",1,0),0)</f>
        <v/>
      </c>
      <c r="AA43">
        <f>IF(AA$4=1,IF(INDEX('×入力'!$C$1:$L$700,501+AA$3,AA$2)&lt;&gt;"",1,0),0)</f>
        <v/>
      </c>
      <c r="AB43">
        <f>IF(AB$4=1,IF(INDEX('×入力'!$C$1:$L$700,501+AB$3,AB$2)&lt;&gt;"",1,0),0)</f>
        <v/>
      </c>
      <c r="AC43">
        <f>IF(AC$4=1,IF(INDEX('×入力'!$C$1:$L$700,501+AC$3,AC$2)&lt;&gt;"",1,0),0)</f>
        <v/>
      </c>
      <c r="AD43">
        <f>IF(AD$4=1,IF(INDEX('×入力'!$C$1:$L$700,501+AD$3,AD$2)&lt;&gt;"",1,0),0)</f>
        <v/>
      </c>
      <c r="AE43">
        <f>IF(AE$4=1,IF(INDEX('×入力'!$C$1:$L$700,501+AE$3,AE$2)&lt;&gt;"",1,0),0)</f>
        <v/>
      </c>
      <c r="AF43">
        <f>IF(AF$4=1,IF(INDEX('×入力'!$C$1:$L$700,501+AF$3,AF$2)&lt;&gt;"",1,0),0)</f>
        <v/>
      </c>
      <c r="AG43">
        <f>IF(AG$4=1,IF(INDEX('×入力'!$C$1:$L$700,501+AG$3,AG$2)&lt;&gt;"",1,0),0)</f>
        <v/>
      </c>
      <c r="AH43">
        <f>IF(AH$4=1,IF(INDEX('×入力'!$C$1:$L$700,501+AH$3,AH$2)&lt;&gt;"",1,0),0)</f>
        <v/>
      </c>
      <c r="AI43">
        <f>IF(AI$4=1,IF(INDEX('×入力'!$C$1:$L$700,501+AI$3,AI$2)&lt;&gt;"",1,0),0)</f>
        <v/>
      </c>
      <c r="AJ43">
        <f>IF(AJ$4=1,IF(INDEX('×入力'!$C$1:$L$700,501+AJ$3,AJ$2)&lt;&gt;"",1,0),0)</f>
        <v/>
      </c>
      <c r="AK43">
        <f>IF(AK$4=1,IF(INDEX('×入力'!$C$1:$L$700,501+AK$3,AK$2)&lt;&gt;"",1,0),0)</f>
        <v/>
      </c>
      <c r="AL43">
        <f>IF(AL$4=1,IF(INDEX('×入力'!$C$1:$L$700,501+AL$3,AL$2)&lt;&gt;"",1,0),0)</f>
        <v/>
      </c>
      <c r="AM43">
        <f>IF(AM$4=1,IF(INDEX('×入力'!$C$1:$L$700,501+AM$3,AM$2)&lt;&gt;"",1,0),0)</f>
        <v/>
      </c>
      <c r="AN43">
        <f>IF(AN$4=1,IF(INDEX('×入力'!$C$1:$L$700,501+AN$3,AN$2)&lt;&gt;"",1,0),0)</f>
        <v/>
      </c>
      <c r="AO43">
        <f>IF(AO$4=1,IF(INDEX('×入力'!$C$1:$L$700,501+AO$3,AO$2)&lt;&gt;"",1,0),0)</f>
        <v/>
      </c>
      <c r="AP43">
        <f>IF(AP$4=1,IF(INDEX('×入力'!$C$1:$L$700,501+AP$3,AP$2)&lt;&gt;"",1,0),0)</f>
        <v/>
      </c>
      <c r="AQ43">
        <f>IF(AQ$4=1,IF(INDEX('×入力'!$C$1:$L$700,501+AQ$3,AQ$2)&lt;&gt;"",1,0),0)</f>
        <v/>
      </c>
      <c r="AR43">
        <f>IF(AR$4=1,IF(INDEX('×入力'!$C$1:$L$700,501+AR$3,AR$2)&lt;&gt;"",1,0),0)</f>
        <v/>
      </c>
      <c r="AS43">
        <f>IF(AS$4=1,IF(INDEX('×入力'!$C$1:$L$700,501+AS$3,AS$2)&lt;&gt;"",1,0),0)</f>
        <v/>
      </c>
      <c r="AT43">
        <f>IF(AT$4=1,IF(INDEX('×入力'!$C$1:$L$700,501+AT$3,AT$2)&lt;&gt;"",1,0),0)</f>
        <v/>
      </c>
      <c r="AU43">
        <f>IF(AU$4=1,IF(INDEX('×入力'!$C$1:$L$700,501+AU$3,AU$2)&lt;&gt;"",1,0),0)</f>
        <v/>
      </c>
      <c r="AV43">
        <f>IF(AV$4=1,IF(INDEX('×入力'!$C$1:$L$700,501+AV$3,AV$2)&lt;&gt;"",1,0),0)</f>
        <v/>
      </c>
      <c r="AW43">
        <f>IF(AW$4=1,IF(INDEX('×入力'!$C$1:$L$700,501+AW$3,AW$2)&lt;&gt;"",1,0),0)</f>
        <v/>
      </c>
      <c r="AX43">
        <f>IF(AX$4=1,IF(INDEX('×入力'!$C$1:$L$700,501+AX$3,AX$2)&lt;&gt;"",1,0),0)</f>
        <v/>
      </c>
      <c r="AY43">
        <f>IF(AY$4=1,IF(INDEX('×入力'!$C$1:$L$700,501+AY$3,AY$2)&lt;&gt;"",1,0),0)</f>
        <v/>
      </c>
      <c r="AZ43">
        <f>IF(AZ$4=1,IF(INDEX('×入力'!$C$1:$L$700,501+AZ$3,AZ$2)&lt;&gt;"",1,0),0)</f>
        <v/>
      </c>
      <c r="BA43">
        <f>IF(BA$4=1,IF(INDEX('×入力'!$C$1:$L$700,501+BA$3,BA$2)&lt;&gt;"",1,0),0)</f>
        <v/>
      </c>
      <c r="BB43">
        <f>IF(BB$4=1,IF(INDEX('×入力'!$C$1:$L$700,501+BB$3,BB$2)&lt;&gt;"",1,0),0)</f>
        <v/>
      </c>
      <c r="BC43">
        <f>IF(BC$4=1,IF(INDEX('×入力'!$C$1:$L$700,501+BC$3,BC$2)&lt;&gt;"",1,0),0)</f>
        <v/>
      </c>
      <c r="BD43">
        <f>IF(BD$4=1,IF(INDEX('×入力'!$C$1:$L$700,501+BD$3,BD$2)&lt;&gt;"",1,0),0)</f>
        <v/>
      </c>
      <c r="BE43">
        <f>IF(BE$4=1,IF(INDEX('×入力'!$C$1:$L$700,501+BE$3,BE$2)&lt;&gt;"",1,0),0)</f>
        <v/>
      </c>
      <c r="BF43">
        <f>IF(BF$4=1,IF(INDEX('×入力'!$C$1:$L$700,501+BF$3,BF$2)&lt;&gt;"",1,0),0)</f>
        <v/>
      </c>
      <c r="BG43">
        <f>IF(BG$4=1,IF(INDEX('×入力'!$C$1:$L$700,501+BG$3,BG$2)&lt;&gt;"",1,0),0)</f>
        <v/>
      </c>
      <c r="BH43">
        <f>IF(BH$4=1,IF(INDEX('×入力'!$C$1:$L$700,501+BH$3,BH$2)&lt;&gt;"",1,0),0)</f>
        <v/>
      </c>
      <c r="BI43">
        <f>IF(BI$4=1,IF(INDEX('×入力'!$C$1:$L$700,501+BI$3,BI$2)&lt;&gt;"",1,0),0)</f>
        <v/>
      </c>
      <c r="BJ43">
        <f>IF(BJ$4=1,IF(INDEX('×入力'!$C$1:$L$700,501+BJ$3,BJ$2)&lt;&gt;"",1,0),0)</f>
        <v/>
      </c>
      <c r="BK43">
        <f>IF(BK$4=1,IF(INDEX('×入力'!$C$1:$L$700,501+BK$3,BK$2)&lt;&gt;"",1,0),0)</f>
        <v/>
      </c>
      <c r="BL43">
        <f>IF(BL$4=1,IF(INDEX('×入力'!$C$1:$L$700,501+BL$3,BL$2)&lt;&gt;"",1,0),0)</f>
        <v/>
      </c>
      <c r="BM43">
        <f>IF(BM$4=1,IF(INDEX('×入力'!$C$1:$L$700,501+BM$3,BM$2)&lt;&gt;"",1,0),0)</f>
        <v/>
      </c>
      <c r="BN43">
        <f>IF(BN$4=1,IF(INDEX('×入力'!$C$1:$L$700,501+BN$3,BN$2)&lt;&gt;"",1,0),0)</f>
        <v/>
      </c>
      <c r="BO43">
        <f>IF(BO$4=1,IF(INDEX('×入力'!$C$1:$L$700,501+BO$3,BO$2)&lt;&gt;"",1,0),0)</f>
        <v/>
      </c>
      <c r="BP43">
        <f>IF(BP$4=1,IF(INDEX('×入力'!$C$1:$L$700,501+BP$3,BP$2)&lt;&gt;"",1,0),0)</f>
        <v/>
      </c>
      <c r="BQ43">
        <f>IF(BQ$4=1,IF(INDEX('×入力'!$C$1:$L$700,501+BQ$3,BQ$2)&lt;&gt;"",1,0),0)</f>
        <v/>
      </c>
      <c r="BR43">
        <f>IF(BR$4=1,IF(INDEX('×入力'!$C$1:$L$700,501+BR$3,BR$2)&lt;&gt;"",1,0),0)</f>
        <v/>
      </c>
      <c r="BS43">
        <f>IF(BS$4=1,IF(INDEX('×入力'!$C$1:$L$700,501+BS$3,BS$2)&lt;&gt;"",1,0),0)</f>
        <v/>
      </c>
      <c r="BT43">
        <f>IF(BT$4=1,IF(INDEX('×入力'!$C$1:$L$700,501+BT$3,BT$2)&lt;&gt;"",1,0),0)</f>
        <v/>
      </c>
      <c r="BU43">
        <f>IF(BU$4=1,IF(INDEX('×入力'!$C$1:$L$700,501+BU$3,BU$2)&lt;&gt;"",1,0),0)</f>
        <v/>
      </c>
      <c r="BV43">
        <f>IF(BV$4=1,IF(INDEX('×入力'!$C$1:$L$700,501+BV$3,BV$2)&lt;&gt;"",1,0),0)</f>
        <v/>
      </c>
      <c r="BW43">
        <f>IF(BW$4=1,IF(INDEX('×入力'!$C$1:$L$700,501+BW$3,BW$2)&lt;&gt;"",1,0),0)</f>
        <v/>
      </c>
      <c r="BX43">
        <f>IF(BX$4=1,IF(INDEX('×入力'!$C$1:$L$700,501+BX$3,BX$2)&lt;&gt;"",1,0),0)</f>
        <v/>
      </c>
      <c r="BY43">
        <f>IF(BY$4=1,IF(INDEX('×入力'!$C$1:$L$700,501+BY$3,BY$2)&lt;&gt;"",1,0),0)</f>
        <v/>
      </c>
      <c r="BZ43">
        <f>IF(BZ$4=1,IF(INDEX('×入力'!$C$1:$L$700,501+BZ$3,BZ$2)&lt;&gt;"",1,0),0)</f>
        <v/>
      </c>
      <c r="CA43">
        <f>IF(CA$4=1,IF(INDEX('×入力'!$C$1:$L$700,501+CA$3,CA$2)&lt;&gt;"",1,0),0)</f>
        <v/>
      </c>
      <c r="CB43">
        <f>IF(CB$4=1,IF(INDEX('×入力'!$C$1:$L$700,501+CB$3,CB$2)&lt;&gt;"",1,0),0)</f>
        <v/>
      </c>
      <c r="CC43">
        <f>IF(CC$4=1,IF(INDEX('×入力'!$C$1:$L$700,501+CC$3,CC$2)&lt;&gt;"",1,0),0)</f>
        <v/>
      </c>
      <c r="CD43">
        <f>IF(CD$4=1,IF(INDEX('×入力'!$C$1:$L$700,501+CD$3,CD$2)&lt;&gt;"",1,0),0)</f>
        <v/>
      </c>
      <c r="CE43">
        <f>IF(CE$4=1,IF(INDEX('×入力'!$C$1:$L$700,501+CE$3,CE$2)&lt;&gt;"",1,0),0)</f>
        <v/>
      </c>
      <c r="CF43">
        <f>IF(CF$4=1,IF(INDEX('×入力'!$C$1:$L$700,501+CF$3,CF$2)&lt;&gt;"",1,0),0)</f>
        <v/>
      </c>
      <c r="CG43">
        <f>IF(CG$4=1,IF(INDEX('×入力'!$C$1:$L$700,501+CG$3,CG$2)&lt;&gt;"",1,0),0)</f>
        <v/>
      </c>
      <c r="CH43">
        <f>IF(CH$4=1,IF(INDEX('×入力'!$C$1:$L$700,501+CH$3,CH$2)&lt;&gt;"",1,0),0)</f>
        <v/>
      </c>
      <c r="CI43">
        <f>IF(CI$4=1,IF(INDEX('×入力'!$C$1:$L$700,501+CI$3,CI$2)&lt;&gt;"",1,0),0)</f>
        <v/>
      </c>
      <c r="CJ43">
        <f>IF(CJ$4=1,IF(INDEX('×入力'!$C$1:$L$700,501+CJ$3,CJ$2)&lt;&gt;"",1,0),0)</f>
        <v/>
      </c>
      <c r="CK43">
        <f>IF(CK$4=1,IF(INDEX('×入力'!$C$1:$L$700,501+CK$3,CK$2)&lt;&gt;"",1,0),0)</f>
        <v/>
      </c>
      <c r="CL43">
        <f>IF(CL$4=1,IF(INDEX('×入力'!$C$1:$L$700,501+CL$3,CL$2)&lt;&gt;"",1,0),0)</f>
        <v/>
      </c>
      <c r="CM43">
        <f>IF(CM$4=1,IF(INDEX('×入力'!$C$1:$L$700,501+CM$3,CM$2)&lt;&gt;"",1,0),0)</f>
        <v/>
      </c>
      <c r="CN43">
        <f>IF(CN$4=1,IF(INDEX('×入力'!$C$1:$L$700,501+CN$3,CN$2)&lt;&gt;"",1,0),0)</f>
        <v/>
      </c>
      <c r="CO43">
        <f>IF(CO$4=1,IF(INDEX('×入力'!$C$1:$L$700,501+CO$3,CO$2)&lt;&gt;"",1,0),0)</f>
        <v/>
      </c>
      <c r="CP43">
        <f>IF(CP$4=1,IF(INDEX('×入力'!$C$1:$L$700,501+CP$3,CP$2)&lt;&gt;"",1,0),0)</f>
        <v/>
      </c>
      <c r="CQ43">
        <f>IF(CQ$4=1,IF(INDEX('×入力'!$C$1:$L$700,501+CQ$3,CQ$2)&lt;&gt;"",1,0),0)</f>
        <v/>
      </c>
      <c r="CR43">
        <f>IF(CR$4=1,IF(INDEX('×入力'!$C$1:$L$700,501+CR$3,CR$2)&lt;&gt;"",1,0),0)</f>
        <v/>
      </c>
      <c r="CS43">
        <f>IF(CS$4=1,IF(INDEX('×入力'!$C$1:$L$700,501+CS$3,CS$2)&lt;&gt;"",1,0),0)</f>
        <v/>
      </c>
      <c r="CT43">
        <f>IF(CT$4=1,IF(INDEX('×入力'!$C$1:$L$700,501+CT$3,CT$2)&lt;&gt;"",1,0),0)</f>
        <v/>
      </c>
      <c r="CU43">
        <f>IF(CU$4=1,IF(INDEX('×入力'!$C$1:$L$700,501+CU$3,CU$2)&lt;&gt;"",1,0),0)</f>
        <v/>
      </c>
      <c r="CV43">
        <f>IF(CV$4=1,IF(INDEX('×入力'!$C$1:$L$700,501+CV$3,CV$2)&lt;&gt;"",1,0),0)</f>
        <v/>
      </c>
      <c r="CW43">
        <f>IF(CW$4=1,IF(INDEX('×入力'!$C$1:$L$700,501+CW$3,CW$2)&lt;&gt;"",1,0),0)</f>
        <v/>
      </c>
      <c r="CX43">
        <f>IF(CX$4=1,IF(INDEX('×入力'!$C$1:$L$700,501+CX$3,CX$2)&lt;&gt;"",1,0),0)</f>
        <v/>
      </c>
      <c r="CY43">
        <f>IF(CY$4=1,IF(INDEX('×入力'!$C$1:$L$700,501+CY$3,CY$2)&lt;&gt;"",1,0),0)</f>
        <v/>
      </c>
      <c r="CZ43">
        <f>IF(CZ$4=1,IF(INDEX('×入力'!$C$1:$L$700,501+CZ$3,CZ$2)&lt;&gt;"",1,0),0)</f>
        <v/>
      </c>
      <c r="DA43">
        <f>IF(DA$4=1,IF(INDEX('×入力'!$C$1:$L$700,501+DA$3,DA$2)&lt;&gt;"",1,0),0)</f>
        <v/>
      </c>
      <c r="DB43">
        <f>IF(DB$4=1,IF(INDEX('×入力'!$C$1:$L$700,501+DB$3,DB$2)&lt;&gt;"",1,0),0)</f>
        <v/>
      </c>
      <c r="DC43">
        <f>IF(DC$4=1,IF(INDEX('×入力'!$C$1:$L$700,501+DC$3,DC$2)&lt;&gt;"",1,0),0)</f>
        <v/>
      </c>
      <c r="DD43">
        <f>IF(DD$4=1,IF(INDEX('×入力'!$C$1:$L$700,501+DD$3,DD$2)&lt;&gt;"",1,0),0)</f>
        <v/>
      </c>
      <c r="DE43">
        <f>IF(DE$4=1,IF(INDEX('×入力'!$C$1:$L$700,501+DE$3,DE$2)&lt;&gt;"",1,0),0)</f>
        <v/>
      </c>
      <c r="DF43">
        <f>IF(DF$4=1,IF(INDEX('×入力'!$C$1:$L$700,501+DF$3,DF$2)&lt;&gt;"",1,0),0)</f>
        <v/>
      </c>
      <c r="DG43">
        <f>IF(DG$4=1,IF(INDEX('×入力'!$C$1:$L$700,501+DG$3,DG$2)&lt;&gt;"",1,0),0)</f>
        <v/>
      </c>
      <c r="DH43">
        <f>IF(DH$4=1,IF(INDEX('×入力'!$C$1:$L$700,501+DH$3,DH$2)&lt;&gt;"",1,0),0)</f>
        <v/>
      </c>
      <c r="DI43">
        <f>IF(DI$4=1,IF(INDEX('×入力'!$C$1:$L$700,501+DI$3,DI$2)&lt;&gt;"",1,0),0)</f>
        <v/>
      </c>
      <c r="DJ43">
        <f>IF(DJ$4=1,IF(INDEX('×入力'!$C$1:$L$700,501+DJ$3,DJ$2)&lt;&gt;"",1,0),0)</f>
        <v/>
      </c>
      <c r="DK43">
        <f>IF(DK$4=1,IF(INDEX('×入力'!$C$1:$L$700,501+DK$3,DK$2)&lt;&gt;"",1,0),0)</f>
        <v/>
      </c>
      <c r="DL43">
        <f>IF(DL$4=1,IF(INDEX('×入力'!$C$1:$L$700,501+DL$3,DL$2)&lt;&gt;"",1,0),0)</f>
        <v/>
      </c>
      <c r="DM43">
        <f>IF(DM$4=1,IF(INDEX('×入力'!$C$1:$L$700,501+DM$3,DM$2)&lt;&gt;"",1,0),0)</f>
        <v/>
      </c>
      <c r="DN43">
        <f>IF(DN$4=1,IF(INDEX('×入力'!$C$1:$L$700,501+DN$3,DN$2)&lt;&gt;"",1,0),0)</f>
        <v/>
      </c>
      <c r="DO43">
        <f>IF(DO$4=1,IF(INDEX('×入力'!$C$1:$L$700,501+DO$3,DO$2)&lt;&gt;"",1,0),0)</f>
        <v/>
      </c>
      <c r="DP43">
        <f>IF(DP$4=1,IF(INDEX('×入力'!$C$1:$L$700,501+DP$3,DP$2)&lt;&gt;"",1,0),0)</f>
        <v/>
      </c>
      <c r="DQ43">
        <f>IF(DQ$4=1,IF(INDEX('×入力'!$C$1:$L$700,501+DQ$3,DQ$2)&lt;&gt;"",1,0),0)</f>
        <v/>
      </c>
      <c r="DR43">
        <f>IF(DR$4=1,IF(INDEX('×入力'!$C$1:$L$700,501+DR$3,DR$2)&lt;&gt;"",1,0),0)</f>
        <v/>
      </c>
      <c r="DS43">
        <f>IF(DS$4=1,IF(INDEX('×入力'!$C$1:$L$700,501+DS$3,DS$2)&lt;&gt;"",1,0),0)</f>
        <v/>
      </c>
      <c r="DU43">
        <f>IFERROR(INDEX('計算B'!$C$3:$C$47,MATCH(A43,'計算B'!$B$3:$B$47,0)),0)</f>
        <v/>
      </c>
      <c r="DV43">
        <f>IF(AND(C43=1,DU43=0),1,0)</f>
        <v/>
      </c>
      <c r="DW43">
        <f>SUMPRODUCT(D93:DS93*(1-$D$7:$DS$7))</f>
        <v/>
      </c>
      <c r="DX43">
        <f>SUM(D43:DS43)</f>
        <v/>
      </c>
      <c r="DY43">
        <f>IF(B43="",0,IF(COUNTIF('割り当て'!$C$6:$L$17,B43)=1,SUMPRODUCT(('割り当て'!$C$6:$L$17=B43)*((COLUMN('割り当て'!$C$6:$L$17)-3)*12+ROW('割り当て'!$C$6:$L$17)-5)),0))</f>
        <v/>
      </c>
      <c r="DZ43">
        <f>IFERROR(MATCH('名簿'!E38,{"早い時刻","遅い時刻","早い日","遅い日"},0),0)</f>
        <v/>
      </c>
      <c r="EA43">
        <f>IF('名簿'!F38="必ず空けたい",2,IF('名簿'!F38="出来れば空けたい",1,0))</f>
        <v/>
      </c>
    </row>
    <row r="44">
      <c r="A44" t="n">
        <v>35</v>
      </c>
      <c r="B44">
        <f>'名簿'!G39</f>
        <v/>
      </c>
      <c r="C44">
        <f>IF(AND(B44&lt;&gt;"",OR('名簿'!H39="入力済み",'名簿'!H39="×なし"),DY44=0,COUNTIF('割り当て'!$C$6:$L$17,B44)=0),1,0)</f>
        <v/>
      </c>
      <c r="D44">
        <f>IF(D$4=1,IF(INDEX('×入力'!$C$1:$L$700,516+D$3,D$2)&lt;&gt;"",1,0),0)</f>
        <v/>
      </c>
      <c r="E44">
        <f>IF(E$4=1,IF(INDEX('×入力'!$C$1:$L$700,516+E$3,E$2)&lt;&gt;"",1,0),0)</f>
        <v/>
      </c>
      <c r="F44">
        <f>IF(F$4=1,IF(INDEX('×入力'!$C$1:$L$700,516+F$3,F$2)&lt;&gt;"",1,0),0)</f>
        <v/>
      </c>
      <c r="G44">
        <f>IF(G$4=1,IF(INDEX('×入力'!$C$1:$L$700,516+G$3,G$2)&lt;&gt;"",1,0),0)</f>
        <v/>
      </c>
      <c r="H44">
        <f>IF(H$4=1,IF(INDEX('×入力'!$C$1:$L$700,516+H$3,H$2)&lt;&gt;"",1,0),0)</f>
        <v/>
      </c>
      <c r="I44">
        <f>IF(I$4=1,IF(INDEX('×入力'!$C$1:$L$700,516+I$3,I$2)&lt;&gt;"",1,0),0)</f>
        <v/>
      </c>
      <c r="J44">
        <f>IF(J$4=1,IF(INDEX('×入力'!$C$1:$L$700,516+J$3,J$2)&lt;&gt;"",1,0),0)</f>
        <v/>
      </c>
      <c r="K44">
        <f>IF(K$4=1,IF(INDEX('×入力'!$C$1:$L$700,516+K$3,K$2)&lt;&gt;"",1,0),0)</f>
        <v/>
      </c>
      <c r="L44">
        <f>IF(L$4=1,IF(INDEX('×入力'!$C$1:$L$700,516+L$3,L$2)&lt;&gt;"",1,0),0)</f>
        <v/>
      </c>
      <c r="M44">
        <f>IF(M$4=1,IF(INDEX('×入力'!$C$1:$L$700,516+M$3,M$2)&lt;&gt;"",1,0),0)</f>
        <v/>
      </c>
      <c r="N44">
        <f>IF(N$4=1,IF(INDEX('×入力'!$C$1:$L$700,516+N$3,N$2)&lt;&gt;"",1,0),0)</f>
        <v/>
      </c>
      <c r="O44">
        <f>IF(O$4=1,IF(INDEX('×入力'!$C$1:$L$700,516+O$3,O$2)&lt;&gt;"",1,0),0)</f>
        <v/>
      </c>
      <c r="P44">
        <f>IF(P$4=1,IF(INDEX('×入力'!$C$1:$L$700,516+P$3,P$2)&lt;&gt;"",1,0),0)</f>
        <v/>
      </c>
      <c r="Q44">
        <f>IF(Q$4=1,IF(INDEX('×入力'!$C$1:$L$700,516+Q$3,Q$2)&lt;&gt;"",1,0),0)</f>
        <v/>
      </c>
      <c r="R44">
        <f>IF(R$4=1,IF(INDEX('×入力'!$C$1:$L$700,516+R$3,R$2)&lt;&gt;"",1,0),0)</f>
        <v/>
      </c>
      <c r="S44">
        <f>IF(S$4=1,IF(INDEX('×入力'!$C$1:$L$700,516+S$3,S$2)&lt;&gt;"",1,0),0)</f>
        <v/>
      </c>
      <c r="T44">
        <f>IF(T$4=1,IF(INDEX('×入力'!$C$1:$L$700,516+T$3,T$2)&lt;&gt;"",1,0),0)</f>
        <v/>
      </c>
      <c r="U44">
        <f>IF(U$4=1,IF(INDEX('×入力'!$C$1:$L$700,516+U$3,U$2)&lt;&gt;"",1,0),0)</f>
        <v/>
      </c>
      <c r="V44">
        <f>IF(V$4=1,IF(INDEX('×入力'!$C$1:$L$700,516+V$3,V$2)&lt;&gt;"",1,0),0)</f>
        <v/>
      </c>
      <c r="W44">
        <f>IF(W$4=1,IF(INDEX('×入力'!$C$1:$L$700,516+W$3,W$2)&lt;&gt;"",1,0),0)</f>
        <v/>
      </c>
      <c r="X44">
        <f>IF(X$4=1,IF(INDEX('×入力'!$C$1:$L$700,516+X$3,X$2)&lt;&gt;"",1,0),0)</f>
        <v/>
      </c>
      <c r="Y44">
        <f>IF(Y$4=1,IF(INDEX('×入力'!$C$1:$L$700,516+Y$3,Y$2)&lt;&gt;"",1,0),0)</f>
        <v/>
      </c>
      <c r="Z44">
        <f>IF(Z$4=1,IF(INDEX('×入力'!$C$1:$L$700,516+Z$3,Z$2)&lt;&gt;"",1,0),0)</f>
        <v/>
      </c>
      <c r="AA44">
        <f>IF(AA$4=1,IF(INDEX('×入力'!$C$1:$L$700,516+AA$3,AA$2)&lt;&gt;"",1,0),0)</f>
        <v/>
      </c>
      <c r="AB44">
        <f>IF(AB$4=1,IF(INDEX('×入力'!$C$1:$L$700,516+AB$3,AB$2)&lt;&gt;"",1,0),0)</f>
        <v/>
      </c>
      <c r="AC44">
        <f>IF(AC$4=1,IF(INDEX('×入力'!$C$1:$L$700,516+AC$3,AC$2)&lt;&gt;"",1,0),0)</f>
        <v/>
      </c>
      <c r="AD44">
        <f>IF(AD$4=1,IF(INDEX('×入力'!$C$1:$L$700,516+AD$3,AD$2)&lt;&gt;"",1,0),0)</f>
        <v/>
      </c>
      <c r="AE44">
        <f>IF(AE$4=1,IF(INDEX('×入力'!$C$1:$L$700,516+AE$3,AE$2)&lt;&gt;"",1,0),0)</f>
        <v/>
      </c>
      <c r="AF44">
        <f>IF(AF$4=1,IF(INDEX('×入力'!$C$1:$L$700,516+AF$3,AF$2)&lt;&gt;"",1,0),0)</f>
        <v/>
      </c>
      <c r="AG44">
        <f>IF(AG$4=1,IF(INDEX('×入力'!$C$1:$L$700,516+AG$3,AG$2)&lt;&gt;"",1,0),0)</f>
        <v/>
      </c>
      <c r="AH44">
        <f>IF(AH$4=1,IF(INDEX('×入力'!$C$1:$L$700,516+AH$3,AH$2)&lt;&gt;"",1,0),0)</f>
        <v/>
      </c>
      <c r="AI44">
        <f>IF(AI$4=1,IF(INDEX('×入力'!$C$1:$L$700,516+AI$3,AI$2)&lt;&gt;"",1,0),0)</f>
        <v/>
      </c>
      <c r="AJ44">
        <f>IF(AJ$4=1,IF(INDEX('×入力'!$C$1:$L$700,516+AJ$3,AJ$2)&lt;&gt;"",1,0),0)</f>
        <v/>
      </c>
      <c r="AK44">
        <f>IF(AK$4=1,IF(INDEX('×入力'!$C$1:$L$700,516+AK$3,AK$2)&lt;&gt;"",1,0),0)</f>
        <v/>
      </c>
      <c r="AL44">
        <f>IF(AL$4=1,IF(INDEX('×入力'!$C$1:$L$700,516+AL$3,AL$2)&lt;&gt;"",1,0),0)</f>
        <v/>
      </c>
      <c r="AM44">
        <f>IF(AM$4=1,IF(INDEX('×入力'!$C$1:$L$700,516+AM$3,AM$2)&lt;&gt;"",1,0),0)</f>
        <v/>
      </c>
      <c r="AN44">
        <f>IF(AN$4=1,IF(INDEX('×入力'!$C$1:$L$700,516+AN$3,AN$2)&lt;&gt;"",1,0),0)</f>
        <v/>
      </c>
      <c r="AO44">
        <f>IF(AO$4=1,IF(INDEX('×入力'!$C$1:$L$700,516+AO$3,AO$2)&lt;&gt;"",1,0),0)</f>
        <v/>
      </c>
      <c r="AP44">
        <f>IF(AP$4=1,IF(INDEX('×入力'!$C$1:$L$700,516+AP$3,AP$2)&lt;&gt;"",1,0),0)</f>
        <v/>
      </c>
      <c r="AQ44">
        <f>IF(AQ$4=1,IF(INDEX('×入力'!$C$1:$L$700,516+AQ$3,AQ$2)&lt;&gt;"",1,0),0)</f>
        <v/>
      </c>
      <c r="AR44">
        <f>IF(AR$4=1,IF(INDEX('×入力'!$C$1:$L$700,516+AR$3,AR$2)&lt;&gt;"",1,0),0)</f>
        <v/>
      </c>
      <c r="AS44">
        <f>IF(AS$4=1,IF(INDEX('×入力'!$C$1:$L$700,516+AS$3,AS$2)&lt;&gt;"",1,0),0)</f>
        <v/>
      </c>
      <c r="AT44">
        <f>IF(AT$4=1,IF(INDEX('×入力'!$C$1:$L$700,516+AT$3,AT$2)&lt;&gt;"",1,0),0)</f>
        <v/>
      </c>
      <c r="AU44">
        <f>IF(AU$4=1,IF(INDEX('×入力'!$C$1:$L$700,516+AU$3,AU$2)&lt;&gt;"",1,0),0)</f>
        <v/>
      </c>
      <c r="AV44">
        <f>IF(AV$4=1,IF(INDEX('×入力'!$C$1:$L$700,516+AV$3,AV$2)&lt;&gt;"",1,0),0)</f>
        <v/>
      </c>
      <c r="AW44">
        <f>IF(AW$4=1,IF(INDEX('×入力'!$C$1:$L$700,516+AW$3,AW$2)&lt;&gt;"",1,0),0)</f>
        <v/>
      </c>
      <c r="AX44">
        <f>IF(AX$4=1,IF(INDEX('×入力'!$C$1:$L$700,516+AX$3,AX$2)&lt;&gt;"",1,0),0)</f>
        <v/>
      </c>
      <c r="AY44">
        <f>IF(AY$4=1,IF(INDEX('×入力'!$C$1:$L$700,516+AY$3,AY$2)&lt;&gt;"",1,0),0)</f>
        <v/>
      </c>
      <c r="AZ44">
        <f>IF(AZ$4=1,IF(INDEX('×入力'!$C$1:$L$700,516+AZ$3,AZ$2)&lt;&gt;"",1,0),0)</f>
        <v/>
      </c>
      <c r="BA44">
        <f>IF(BA$4=1,IF(INDEX('×入力'!$C$1:$L$700,516+BA$3,BA$2)&lt;&gt;"",1,0),0)</f>
        <v/>
      </c>
      <c r="BB44">
        <f>IF(BB$4=1,IF(INDEX('×入力'!$C$1:$L$700,516+BB$3,BB$2)&lt;&gt;"",1,0),0)</f>
        <v/>
      </c>
      <c r="BC44">
        <f>IF(BC$4=1,IF(INDEX('×入力'!$C$1:$L$700,516+BC$3,BC$2)&lt;&gt;"",1,0),0)</f>
        <v/>
      </c>
      <c r="BD44">
        <f>IF(BD$4=1,IF(INDEX('×入力'!$C$1:$L$700,516+BD$3,BD$2)&lt;&gt;"",1,0),0)</f>
        <v/>
      </c>
      <c r="BE44">
        <f>IF(BE$4=1,IF(INDEX('×入力'!$C$1:$L$700,516+BE$3,BE$2)&lt;&gt;"",1,0),0)</f>
        <v/>
      </c>
      <c r="BF44">
        <f>IF(BF$4=1,IF(INDEX('×入力'!$C$1:$L$700,516+BF$3,BF$2)&lt;&gt;"",1,0),0)</f>
        <v/>
      </c>
      <c r="BG44">
        <f>IF(BG$4=1,IF(INDEX('×入力'!$C$1:$L$700,516+BG$3,BG$2)&lt;&gt;"",1,0),0)</f>
        <v/>
      </c>
      <c r="BH44">
        <f>IF(BH$4=1,IF(INDEX('×入力'!$C$1:$L$700,516+BH$3,BH$2)&lt;&gt;"",1,0),0)</f>
        <v/>
      </c>
      <c r="BI44">
        <f>IF(BI$4=1,IF(INDEX('×入力'!$C$1:$L$700,516+BI$3,BI$2)&lt;&gt;"",1,0),0)</f>
        <v/>
      </c>
      <c r="BJ44">
        <f>IF(BJ$4=1,IF(INDEX('×入力'!$C$1:$L$700,516+BJ$3,BJ$2)&lt;&gt;"",1,0),0)</f>
        <v/>
      </c>
      <c r="BK44">
        <f>IF(BK$4=1,IF(INDEX('×入力'!$C$1:$L$700,516+BK$3,BK$2)&lt;&gt;"",1,0),0)</f>
        <v/>
      </c>
      <c r="BL44">
        <f>IF(BL$4=1,IF(INDEX('×入力'!$C$1:$L$700,516+BL$3,BL$2)&lt;&gt;"",1,0),0)</f>
        <v/>
      </c>
      <c r="BM44">
        <f>IF(BM$4=1,IF(INDEX('×入力'!$C$1:$L$700,516+BM$3,BM$2)&lt;&gt;"",1,0),0)</f>
        <v/>
      </c>
      <c r="BN44">
        <f>IF(BN$4=1,IF(INDEX('×入力'!$C$1:$L$700,516+BN$3,BN$2)&lt;&gt;"",1,0),0)</f>
        <v/>
      </c>
      <c r="BO44">
        <f>IF(BO$4=1,IF(INDEX('×入力'!$C$1:$L$700,516+BO$3,BO$2)&lt;&gt;"",1,0),0)</f>
        <v/>
      </c>
      <c r="BP44">
        <f>IF(BP$4=1,IF(INDEX('×入力'!$C$1:$L$700,516+BP$3,BP$2)&lt;&gt;"",1,0),0)</f>
        <v/>
      </c>
      <c r="BQ44">
        <f>IF(BQ$4=1,IF(INDEX('×入力'!$C$1:$L$700,516+BQ$3,BQ$2)&lt;&gt;"",1,0),0)</f>
        <v/>
      </c>
      <c r="BR44">
        <f>IF(BR$4=1,IF(INDEX('×入力'!$C$1:$L$700,516+BR$3,BR$2)&lt;&gt;"",1,0),0)</f>
        <v/>
      </c>
      <c r="BS44">
        <f>IF(BS$4=1,IF(INDEX('×入力'!$C$1:$L$700,516+BS$3,BS$2)&lt;&gt;"",1,0),0)</f>
        <v/>
      </c>
      <c r="BT44">
        <f>IF(BT$4=1,IF(INDEX('×入力'!$C$1:$L$700,516+BT$3,BT$2)&lt;&gt;"",1,0),0)</f>
        <v/>
      </c>
      <c r="BU44">
        <f>IF(BU$4=1,IF(INDEX('×入力'!$C$1:$L$700,516+BU$3,BU$2)&lt;&gt;"",1,0),0)</f>
        <v/>
      </c>
      <c r="BV44">
        <f>IF(BV$4=1,IF(INDEX('×入力'!$C$1:$L$700,516+BV$3,BV$2)&lt;&gt;"",1,0),0)</f>
        <v/>
      </c>
      <c r="BW44">
        <f>IF(BW$4=1,IF(INDEX('×入力'!$C$1:$L$700,516+BW$3,BW$2)&lt;&gt;"",1,0),0)</f>
        <v/>
      </c>
      <c r="BX44">
        <f>IF(BX$4=1,IF(INDEX('×入力'!$C$1:$L$700,516+BX$3,BX$2)&lt;&gt;"",1,0),0)</f>
        <v/>
      </c>
      <c r="BY44">
        <f>IF(BY$4=1,IF(INDEX('×入力'!$C$1:$L$700,516+BY$3,BY$2)&lt;&gt;"",1,0),0)</f>
        <v/>
      </c>
      <c r="BZ44">
        <f>IF(BZ$4=1,IF(INDEX('×入力'!$C$1:$L$700,516+BZ$3,BZ$2)&lt;&gt;"",1,0),0)</f>
        <v/>
      </c>
      <c r="CA44">
        <f>IF(CA$4=1,IF(INDEX('×入力'!$C$1:$L$700,516+CA$3,CA$2)&lt;&gt;"",1,0),0)</f>
        <v/>
      </c>
      <c r="CB44">
        <f>IF(CB$4=1,IF(INDEX('×入力'!$C$1:$L$700,516+CB$3,CB$2)&lt;&gt;"",1,0),0)</f>
        <v/>
      </c>
      <c r="CC44">
        <f>IF(CC$4=1,IF(INDEX('×入力'!$C$1:$L$700,516+CC$3,CC$2)&lt;&gt;"",1,0),0)</f>
        <v/>
      </c>
      <c r="CD44">
        <f>IF(CD$4=1,IF(INDEX('×入力'!$C$1:$L$700,516+CD$3,CD$2)&lt;&gt;"",1,0),0)</f>
        <v/>
      </c>
      <c r="CE44">
        <f>IF(CE$4=1,IF(INDEX('×入力'!$C$1:$L$700,516+CE$3,CE$2)&lt;&gt;"",1,0),0)</f>
        <v/>
      </c>
      <c r="CF44">
        <f>IF(CF$4=1,IF(INDEX('×入力'!$C$1:$L$700,516+CF$3,CF$2)&lt;&gt;"",1,0),0)</f>
        <v/>
      </c>
      <c r="CG44">
        <f>IF(CG$4=1,IF(INDEX('×入力'!$C$1:$L$700,516+CG$3,CG$2)&lt;&gt;"",1,0),0)</f>
        <v/>
      </c>
      <c r="CH44">
        <f>IF(CH$4=1,IF(INDEX('×入力'!$C$1:$L$700,516+CH$3,CH$2)&lt;&gt;"",1,0),0)</f>
        <v/>
      </c>
      <c r="CI44">
        <f>IF(CI$4=1,IF(INDEX('×入力'!$C$1:$L$700,516+CI$3,CI$2)&lt;&gt;"",1,0),0)</f>
        <v/>
      </c>
      <c r="CJ44">
        <f>IF(CJ$4=1,IF(INDEX('×入力'!$C$1:$L$700,516+CJ$3,CJ$2)&lt;&gt;"",1,0),0)</f>
        <v/>
      </c>
      <c r="CK44">
        <f>IF(CK$4=1,IF(INDEX('×入力'!$C$1:$L$700,516+CK$3,CK$2)&lt;&gt;"",1,0),0)</f>
        <v/>
      </c>
      <c r="CL44">
        <f>IF(CL$4=1,IF(INDEX('×入力'!$C$1:$L$700,516+CL$3,CL$2)&lt;&gt;"",1,0),0)</f>
        <v/>
      </c>
      <c r="CM44">
        <f>IF(CM$4=1,IF(INDEX('×入力'!$C$1:$L$700,516+CM$3,CM$2)&lt;&gt;"",1,0),0)</f>
        <v/>
      </c>
      <c r="CN44">
        <f>IF(CN$4=1,IF(INDEX('×入力'!$C$1:$L$700,516+CN$3,CN$2)&lt;&gt;"",1,0),0)</f>
        <v/>
      </c>
      <c r="CO44">
        <f>IF(CO$4=1,IF(INDEX('×入力'!$C$1:$L$700,516+CO$3,CO$2)&lt;&gt;"",1,0),0)</f>
        <v/>
      </c>
      <c r="CP44">
        <f>IF(CP$4=1,IF(INDEX('×入力'!$C$1:$L$700,516+CP$3,CP$2)&lt;&gt;"",1,0),0)</f>
        <v/>
      </c>
      <c r="CQ44">
        <f>IF(CQ$4=1,IF(INDEX('×入力'!$C$1:$L$700,516+CQ$3,CQ$2)&lt;&gt;"",1,0),0)</f>
        <v/>
      </c>
      <c r="CR44">
        <f>IF(CR$4=1,IF(INDEX('×入力'!$C$1:$L$700,516+CR$3,CR$2)&lt;&gt;"",1,0),0)</f>
        <v/>
      </c>
      <c r="CS44">
        <f>IF(CS$4=1,IF(INDEX('×入力'!$C$1:$L$700,516+CS$3,CS$2)&lt;&gt;"",1,0),0)</f>
        <v/>
      </c>
      <c r="CT44">
        <f>IF(CT$4=1,IF(INDEX('×入力'!$C$1:$L$700,516+CT$3,CT$2)&lt;&gt;"",1,0),0)</f>
        <v/>
      </c>
      <c r="CU44">
        <f>IF(CU$4=1,IF(INDEX('×入力'!$C$1:$L$700,516+CU$3,CU$2)&lt;&gt;"",1,0),0)</f>
        <v/>
      </c>
      <c r="CV44">
        <f>IF(CV$4=1,IF(INDEX('×入力'!$C$1:$L$700,516+CV$3,CV$2)&lt;&gt;"",1,0),0)</f>
        <v/>
      </c>
      <c r="CW44">
        <f>IF(CW$4=1,IF(INDEX('×入力'!$C$1:$L$700,516+CW$3,CW$2)&lt;&gt;"",1,0),0)</f>
        <v/>
      </c>
      <c r="CX44">
        <f>IF(CX$4=1,IF(INDEX('×入力'!$C$1:$L$700,516+CX$3,CX$2)&lt;&gt;"",1,0),0)</f>
        <v/>
      </c>
      <c r="CY44">
        <f>IF(CY$4=1,IF(INDEX('×入力'!$C$1:$L$700,516+CY$3,CY$2)&lt;&gt;"",1,0),0)</f>
        <v/>
      </c>
      <c r="CZ44">
        <f>IF(CZ$4=1,IF(INDEX('×入力'!$C$1:$L$700,516+CZ$3,CZ$2)&lt;&gt;"",1,0),0)</f>
        <v/>
      </c>
      <c r="DA44">
        <f>IF(DA$4=1,IF(INDEX('×入力'!$C$1:$L$700,516+DA$3,DA$2)&lt;&gt;"",1,0),0)</f>
        <v/>
      </c>
      <c r="DB44">
        <f>IF(DB$4=1,IF(INDEX('×入力'!$C$1:$L$700,516+DB$3,DB$2)&lt;&gt;"",1,0),0)</f>
        <v/>
      </c>
      <c r="DC44">
        <f>IF(DC$4=1,IF(INDEX('×入力'!$C$1:$L$700,516+DC$3,DC$2)&lt;&gt;"",1,0),0)</f>
        <v/>
      </c>
      <c r="DD44">
        <f>IF(DD$4=1,IF(INDEX('×入力'!$C$1:$L$700,516+DD$3,DD$2)&lt;&gt;"",1,0),0)</f>
        <v/>
      </c>
      <c r="DE44">
        <f>IF(DE$4=1,IF(INDEX('×入力'!$C$1:$L$700,516+DE$3,DE$2)&lt;&gt;"",1,0),0)</f>
        <v/>
      </c>
      <c r="DF44">
        <f>IF(DF$4=1,IF(INDEX('×入力'!$C$1:$L$700,516+DF$3,DF$2)&lt;&gt;"",1,0),0)</f>
        <v/>
      </c>
      <c r="DG44">
        <f>IF(DG$4=1,IF(INDEX('×入力'!$C$1:$L$700,516+DG$3,DG$2)&lt;&gt;"",1,0),0)</f>
        <v/>
      </c>
      <c r="DH44">
        <f>IF(DH$4=1,IF(INDEX('×入力'!$C$1:$L$700,516+DH$3,DH$2)&lt;&gt;"",1,0),0)</f>
        <v/>
      </c>
      <c r="DI44">
        <f>IF(DI$4=1,IF(INDEX('×入力'!$C$1:$L$700,516+DI$3,DI$2)&lt;&gt;"",1,0),0)</f>
        <v/>
      </c>
      <c r="DJ44">
        <f>IF(DJ$4=1,IF(INDEX('×入力'!$C$1:$L$700,516+DJ$3,DJ$2)&lt;&gt;"",1,0),0)</f>
        <v/>
      </c>
      <c r="DK44">
        <f>IF(DK$4=1,IF(INDEX('×入力'!$C$1:$L$700,516+DK$3,DK$2)&lt;&gt;"",1,0),0)</f>
        <v/>
      </c>
      <c r="DL44">
        <f>IF(DL$4=1,IF(INDEX('×入力'!$C$1:$L$700,516+DL$3,DL$2)&lt;&gt;"",1,0),0)</f>
        <v/>
      </c>
      <c r="DM44">
        <f>IF(DM$4=1,IF(INDEX('×入力'!$C$1:$L$700,516+DM$3,DM$2)&lt;&gt;"",1,0),0)</f>
        <v/>
      </c>
      <c r="DN44">
        <f>IF(DN$4=1,IF(INDEX('×入力'!$C$1:$L$700,516+DN$3,DN$2)&lt;&gt;"",1,0),0)</f>
        <v/>
      </c>
      <c r="DO44">
        <f>IF(DO$4=1,IF(INDEX('×入力'!$C$1:$L$700,516+DO$3,DO$2)&lt;&gt;"",1,0),0)</f>
        <v/>
      </c>
      <c r="DP44">
        <f>IF(DP$4=1,IF(INDEX('×入力'!$C$1:$L$700,516+DP$3,DP$2)&lt;&gt;"",1,0),0)</f>
        <v/>
      </c>
      <c r="DQ44">
        <f>IF(DQ$4=1,IF(INDEX('×入力'!$C$1:$L$700,516+DQ$3,DQ$2)&lt;&gt;"",1,0),0)</f>
        <v/>
      </c>
      <c r="DR44">
        <f>IF(DR$4=1,IF(INDEX('×入力'!$C$1:$L$700,516+DR$3,DR$2)&lt;&gt;"",1,0),0)</f>
        <v/>
      </c>
      <c r="DS44">
        <f>IF(DS$4=1,IF(INDEX('×入力'!$C$1:$L$700,516+DS$3,DS$2)&lt;&gt;"",1,0),0)</f>
        <v/>
      </c>
      <c r="DU44">
        <f>IFERROR(INDEX('計算B'!$C$3:$C$47,MATCH(A44,'計算B'!$B$3:$B$47,0)),0)</f>
        <v/>
      </c>
      <c r="DV44">
        <f>IF(AND(C44=1,DU44=0),1,0)</f>
        <v/>
      </c>
      <c r="DW44">
        <f>SUMPRODUCT(D94:DS94*(1-$D$7:$DS$7))</f>
        <v/>
      </c>
      <c r="DX44">
        <f>SUM(D44:DS44)</f>
        <v/>
      </c>
      <c r="DY44">
        <f>IF(B44="",0,IF(COUNTIF('割り当て'!$C$6:$L$17,B44)=1,SUMPRODUCT(('割り当て'!$C$6:$L$17=B44)*((COLUMN('割り当て'!$C$6:$L$17)-3)*12+ROW('割り当て'!$C$6:$L$17)-5)),0))</f>
        <v/>
      </c>
      <c r="DZ44">
        <f>IFERROR(MATCH('名簿'!E39,{"早い時刻","遅い時刻","早い日","遅い日"},0),0)</f>
        <v/>
      </c>
      <c r="EA44">
        <f>IF('名簿'!F39="必ず空けたい",2,IF('名簿'!F39="出来れば空けたい",1,0))</f>
        <v/>
      </c>
    </row>
    <row r="45">
      <c r="A45" t="n">
        <v>36</v>
      </c>
      <c r="B45">
        <f>'名簿'!G40</f>
        <v/>
      </c>
      <c r="C45">
        <f>IF(AND(B45&lt;&gt;"",OR('名簿'!H40="入力済み",'名簿'!H40="×なし"),DY45=0,COUNTIF('割り当て'!$C$6:$L$17,B45)=0),1,0)</f>
        <v/>
      </c>
      <c r="D45">
        <f>IF(D$4=1,IF(INDEX('×入力'!$C$1:$L$700,531+D$3,D$2)&lt;&gt;"",1,0),0)</f>
        <v/>
      </c>
      <c r="E45">
        <f>IF(E$4=1,IF(INDEX('×入力'!$C$1:$L$700,531+E$3,E$2)&lt;&gt;"",1,0),0)</f>
        <v/>
      </c>
      <c r="F45">
        <f>IF(F$4=1,IF(INDEX('×入力'!$C$1:$L$700,531+F$3,F$2)&lt;&gt;"",1,0),0)</f>
        <v/>
      </c>
      <c r="G45">
        <f>IF(G$4=1,IF(INDEX('×入力'!$C$1:$L$700,531+G$3,G$2)&lt;&gt;"",1,0),0)</f>
        <v/>
      </c>
      <c r="H45">
        <f>IF(H$4=1,IF(INDEX('×入力'!$C$1:$L$700,531+H$3,H$2)&lt;&gt;"",1,0),0)</f>
        <v/>
      </c>
      <c r="I45">
        <f>IF(I$4=1,IF(INDEX('×入力'!$C$1:$L$700,531+I$3,I$2)&lt;&gt;"",1,0),0)</f>
        <v/>
      </c>
      <c r="J45">
        <f>IF(J$4=1,IF(INDEX('×入力'!$C$1:$L$700,531+J$3,J$2)&lt;&gt;"",1,0),0)</f>
        <v/>
      </c>
      <c r="K45">
        <f>IF(K$4=1,IF(INDEX('×入力'!$C$1:$L$700,531+K$3,K$2)&lt;&gt;"",1,0),0)</f>
        <v/>
      </c>
      <c r="L45">
        <f>IF(L$4=1,IF(INDEX('×入力'!$C$1:$L$700,531+L$3,L$2)&lt;&gt;"",1,0),0)</f>
        <v/>
      </c>
      <c r="M45">
        <f>IF(M$4=1,IF(INDEX('×入力'!$C$1:$L$700,531+M$3,M$2)&lt;&gt;"",1,0),0)</f>
        <v/>
      </c>
      <c r="N45">
        <f>IF(N$4=1,IF(INDEX('×入力'!$C$1:$L$700,531+N$3,N$2)&lt;&gt;"",1,0),0)</f>
        <v/>
      </c>
      <c r="O45">
        <f>IF(O$4=1,IF(INDEX('×入力'!$C$1:$L$700,531+O$3,O$2)&lt;&gt;"",1,0),0)</f>
        <v/>
      </c>
      <c r="P45">
        <f>IF(P$4=1,IF(INDEX('×入力'!$C$1:$L$700,531+P$3,P$2)&lt;&gt;"",1,0),0)</f>
        <v/>
      </c>
      <c r="Q45">
        <f>IF(Q$4=1,IF(INDEX('×入力'!$C$1:$L$700,531+Q$3,Q$2)&lt;&gt;"",1,0),0)</f>
        <v/>
      </c>
      <c r="R45">
        <f>IF(R$4=1,IF(INDEX('×入力'!$C$1:$L$700,531+R$3,R$2)&lt;&gt;"",1,0),0)</f>
        <v/>
      </c>
      <c r="S45">
        <f>IF(S$4=1,IF(INDEX('×入力'!$C$1:$L$700,531+S$3,S$2)&lt;&gt;"",1,0),0)</f>
        <v/>
      </c>
      <c r="T45">
        <f>IF(T$4=1,IF(INDEX('×入力'!$C$1:$L$700,531+T$3,T$2)&lt;&gt;"",1,0),0)</f>
        <v/>
      </c>
      <c r="U45">
        <f>IF(U$4=1,IF(INDEX('×入力'!$C$1:$L$700,531+U$3,U$2)&lt;&gt;"",1,0),0)</f>
        <v/>
      </c>
      <c r="V45">
        <f>IF(V$4=1,IF(INDEX('×入力'!$C$1:$L$700,531+V$3,V$2)&lt;&gt;"",1,0),0)</f>
        <v/>
      </c>
      <c r="W45">
        <f>IF(W$4=1,IF(INDEX('×入力'!$C$1:$L$700,531+W$3,W$2)&lt;&gt;"",1,0),0)</f>
        <v/>
      </c>
      <c r="X45">
        <f>IF(X$4=1,IF(INDEX('×入力'!$C$1:$L$700,531+X$3,X$2)&lt;&gt;"",1,0),0)</f>
        <v/>
      </c>
      <c r="Y45">
        <f>IF(Y$4=1,IF(INDEX('×入力'!$C$1:$L$700,531+Y$3,Y$2)&lt;&gt;"",1,0),0)</f>
        <v/>
      </c>
      <c r="Z45">
        <f>IF(Z$4=1,IF(INDEX('×入力'!$C$1:$L$700,531+Z$3,Z$2)&lt;&gt;"",1,0),0)</f>
        <v/>
      </c>
      <c r="AA45">
        <f>IF(AA$4=1,IF(INDEX('×入力'!$C$1:$L$700,531+AA$3,AA$2)&lt;&gt;"",1,0),0)</f>
        <v/>
      </c>
      <c r="AB45">
        <f>IF(AB$4=1,IF(INDEX('×入力'!$C$1:$L$700,531+AB$3,AB$2)&lt;&gt;"",1,0),0)</f>
        <v/>
      </c>
      <c r="AC45">
        <f>IF(AC$4=1,IF(INDEX('×入力'!$C$1:$L$700,531+AC$3,AC$2)&lt;&gt;"",1,0),0)</f>
        <v/>
      </c>
      <c r="AD45">
        <f>IF(AD$4=1,IF(INDEX('×入力'!$C$1:$L$700,531+AD$3,AD$2)&lt;&gt;"",1,0),0)</f>
        <v/>
      </c>
      <c r="AE45">
        <f>IF(AE$4=1,IF(INDEX('×入力'!$C$1:$L$700,531+AE$3,AE$2)&lt;&gt;"",1,0),0)</f>
        <v/>
      </c>
      <c r="AF45">
        <f>IF(AF$4=1,IF(INDEX('×入力'!$C$1:$L$700,531+AF$3,AF$2)&lt;&gt;"",1,0),0)</f>
        <v/>
      </c>
      <c r="AG45">
        <f>IF(AG$4=1,IF(INDEX('×入力'!$C$1:$L$700,531+AG$3,AG$2)&lt;&gt;"",1,0),0)</f>
        <v/>
      </c>
      <c r="AH45">
        <f>IF(AH$4=1,IF(INDEX('×入力'!$C$1:$L$700,531+AH$3,AH$2)&lt;&gt;"",1,0),0)</f>
        <v/>
      </c>
      <c r="AI45">
        <f>IF(AI$4=1,IF(INDEX('×入力'!$C$1:$L$700,531+AI$3,AI$2)&lt;&gt;"",1,0),0)</f>
        <v/>
      </c>
      <c r="AJ45">
        <f>IF(AJ$4=1,IF(INDEX('×入力'!$C$1:$L$700,531+AJ$3,AJ$2)&lt;&gt;"",1,0),0)</f>
        <v/>
      </c>
      <c r="AK45">
        <f>IF(AK$4=1,IF(INDEX('×入力'!$C$1:$L$700,531+AK$3,AK$2)&lt;&gt;"",1,0),0)</f>
        <v/>
      </c>
      <c r="AL45">
        <f>IF(AL$4=1,IF(INDEX('×入力'!$C$1:$L$700,531+AL$3,AL$2)&lt;&gt;"",1,0),0)</f>
        <v/>
      </c>
      <c r="AM45">
        <f>IF(AM$4=1,IF(INDEX('×入力'!$C$1:$L$700,531+AM$3,AM$2)&lt;&gt;"",1,0),0)</f>
        <v/>
      </c>
      <c r="AN45">
        <f>IF(AN$4=1,IF(INDEX('×入力'!$C$1:$L$700,531+AN$3,AN$2)&lt;&gt;"",1,0),0)</f>
        <v/>
      </c>
      <c r="AO45">
        <f>IF(AO$4=1,IF(INDEX('×入力'!$C$1:$L$700,531+AO$3,AO$2)&lt;&gt;"",1,0),0)</f>
        <v/>
      </c>
      <c r="AP45">
        <f>IF(AP$4=1,IF(INDEX('×入力'!$C$1:$L$700,531+AP$3,AP$2)&lt;&gt;"",1,0),0)</f>
        <v/>
      </c>
      <c r="AQ45">
        <f>IF(AQ$4=1,IF(INDEX('×入力'!$C$1:$L$700,531+AQ$3,AQ$2)&lt;&gt;"",1,0),0)</f>
        <v/>
      </c>
      <c r="AR45">
        <f>IF(AR$4=1,IF(INDEX('×入力'!$C$1:$L$700,531+AR$3,AR$2)&lt;&gt;"",1,0),0)</f>
        <v/>
      </c>
      <c r="AS45">
        <f>IF(AS$4=1,IF(INDEX('×入力'!$C$1:$L$700,531+AS$3,AS$2)&lt;&gt;"",1,0),0)</f>
        <v/>
      </c>
      <c r="AT45">
        <f>IF(AT$4=1,IF(INDEX('×入力'!$C$1:$L$700,531+AT$3,AT$2)&lt;&gt;"",1,0),0)</f>
        <v/>
      </c>
      <c r="AU45">
        <f>IF(AU$4=1,IF(INDEX('×入力'!$C$1:$L$700,531+AU$3,AU$2)&lt;&gt;"",1,0),0)</f>
        <v/>
      </c>
      <c r="AV45">
        <f>IF(AV$4=1,IF(INDEX('×入力'!$C$1:$L$700,531+AV$3,AV$2)&lt;&gt;"",1,0),0)</f>
        <v/>
      </c>
      <c r="AW45">
        <f>IF(AW$4=1,IF(INDEX('×入力'!$C$1:$L$700,531+AW$3,AW$2)&lt;&gt;"",1,0),0)</f>
        <v/>
      </c>
      <c r="AX45">
        <f>IF(AX$4=1,IF(INDEX('×入力'!$C$1:$L$700,531+AX$3,AX$2)&lt;&gt;"",1,0),0)</f>
        <v/>
      </c>
      <c r="AY45">
        <f>IF(AY$4=1,IF(INDEX('×入力'!$C$1:$L$700,531+AY$3,AY$2)&lt;&gt;"",1,0),0)</f>
        <v/>
      </c>
      <c r="AZ45">
        <f>IF(AZ$4=1,IF(INDEX('×入力'!$C$1:$L$700,531+AZ$3,AZ$2)&lt;&gt;"",1,0),0)</f>
        <v/>
      </c>
      <c r="BA45">
        <f>IF(BA$4=1,IF(INDEX('×入力'!$C$1:$L$700,531+BA$3,BA$2)&lt;&gt;"",1,0),0)</f>
        <v/>
      </c>
      <c r="BB45">
        <f>IF(BB$4=1,IF(INDEX('×入力'!$C$1:$L$700,531+BB$3,BB$2)&lt;&gt;"",1,0),0)</f>
        <v/>
      </c>
      <c r="BC45">
        <f>IF(BC$4=1,IF(INDEX('×入力'!$C$1:$L$700,531+BC$3,BC$2)&lt;&gt;"",1,0),0)</f>
        <v/>
      </c>
      <c r="BD45">
        <f>IF(BD$4=1,IF(INDEX('×入力'!$C$1:$L$700,531+BD$3,BD$2)&lt;&gt;"",1,0),0)</f>
        <v/>
      </c>
      <c r="BE45">
        <f>IF(BE$4=1,IF(INDEX('×入力'!$C$1:$L$700,531+BE$3,BE$2)&lt;&gt;"",1,0),0)</f>
        <v/>
      </c>
      <c r="BF45">
        <f>IF(BF$4=1,IF(INDEX('×入力'!$C$1:$L$700,531+BF$3,BF$2)&lt;&gt;"",1,0),0)</f>
        <v/>
      </c>
      <c r="BG45">
        <f>IF(BG$4=1,IF(INDEX('×入力'!$C$1:$L$700,531+BG$3,BG$2)&lt;&gt;"",1,0),0)</f>
        <v/>
      </c>
      <c r="BH45">
        <f>IF(BH$4=1,IF(INDEX('×入力'!$C$1:$L$700,531+BH$3,BH$2)&lt;&gt;"",1,0),0)</f>
        <v/>
      </c>
      <c r="BI45">
        <f>IF(BI$4=1,IF(INDEX('×入力'!$C$1:$L$700,531+BI$3,BI$2)&lt;&gt;"",1,0),0)</f>
        <v/>
      </c>
      <c r="BJ45">
        <f>IF(BJ$4=1,IF(INDEX('×入力'!$C$1:$L$700,531+BJ$3,BJ$2)&lt;&gt;"",1,0),0)</f>
        <v/>
      </c>
      <c r="BK45">
        <f>IF(BK$4=1,IF(INDEX('×入力'!$C$1:$L$700,531+BK$3,BK$2)&lt;&gt;"",1,0),0)</f>
        <v/>
      </c>
      <c r="BL45">
        <f>IF(BL$4=1,IF(INDEX('×入力'!$C$1:$L$700,531+BL$3,BL$2)&lt;&gt;"",1,0),0)</f>
        <v/>
      </c>
      <c r="BM45">
        <f>IF(BM$4=1,IF(INDEX('×入力'!$C$1:$L$700,531+BM$3,BM$2)&lt;&gt;"",1,0),0)</f>
        <v/>
      </c>
      <c r="BN45">
        <f>IF(BN$4=1,IF(INDEX('×入力'!$C$1:$L$700,531+BN$3,BN$2)&lt;&gt;"",1,0),0)</f>
        <v/>
      </c>
      <c r="BO45">
        <f>IF(BO$4=1,IF(INDEX('×入力'!$C$1:$L$700,531+BO$3,BO$2)&lt;&gt;"",1,0),0)</f>
        <v/>
      </c>
      <c r="BP45">
        <f>IF(BP$4=1,IF(INDEX('×入力'!$C$1:$L$700,531+BP$3,BP$2)&lt;&gt;"",1,0),0)</f>
        <v/>
      </c>
      <c r="BQ45">
        <f>IF(BQ$4=1,IF(INDEX('×入力'!$C$1:$L$700,531+BQ$3,BQ$2)&lt;&gt;"",1,0),0)</f>
        <v/>
      </c>
      <c r="BR45">
        <f>IF(BR$4=1,IF(INDEX('×入力'!$C$1:$L$700,531+BR$3,BR$2)&lt;&gt;"",1,0),0)</f>
        <v/>
      </c>
      <c r="BS45">
        <f>IF(BS$4=1,IF(INDEX('×入力'!$C$1:$L$700,531+BS$3,BS$2)&lt;&gt;"",1,0),0)</f>
        <v/>
      </c>
      <c r="BT45">
        <f>IF(BT$4=1,IF(INDEX('×入力'!$C$1:$L$700,531+BT$3,BT$2)&lt;&gt;"",1,0),0)</f>
        <v/>
      </c>
      <c r="BU45">
        <f>IF(BU$4=1,IF(INDEX('×入力'!$C$1:$L$700,531+BU$3,BU$2)&lt;&gt;"",1,0),0)</f>
        <v/>
      </c>
      <c r="BV45">
        <f>IF(BV$4=1,IF(INDEX('×入力'!$C$1:$L$700,531+BV$3,BV$2)&lt;&gt;"",1,0),0)</f>
        <v/>
      </c>
      <c r="BW45">
        <f>IF(BW$4=1,IF(INDEX('×入力'!$C$1:$L$700,531+BW$3,BW$2)&lt;&gt;"",1,0),0)</f>
        <v/>
      </c>
      <c r="BX45">
        <f>IF(BX$4=1,IF(INDEX('×入力'!$C$1:$L$700,531+BX$3,BX$2)&lt;&gt;"",1,0),0)</f>
        <v/>
      </c>
      <c r="BY45">
        <f>IF(BY$4=1,IF(INDEX('×入力'!$C$1:$L$700,531+BY$3,BY$2)&lt;&gt;"",1,0),0)</f>
        <v/>
      </c>
      <c r="BZ45">
        <f>IF(BZ$4=1,IF(INDEX('×入力'!$C$1:$L$700,531+BZ$3,BZ$2)&lt;&gt;"",1,0),0)</f>
        <v/>
      </c>
      <c r="CA45">
        <f>IF(CA$4=1,IF(INDEX('×入力'!$C$1:$L$700,531+CA$3,CA$2)&lt;&gt;"",1,0),0)</f>
        <v/>
      </c>
      <c r="CB45">
        <f>IF(CB$4=1,IF(INDEX('×入力'!$C$1:$L$700,531+CB$3,CB$2)&lt;&gt;"",1,0),0)</f>
        <v/>
      </c>
      <c r="CC45">
        <f>IF(CC$4=1,IF(INDEX('×入力'!$C$1:$L$700,531+CC$3,CC$2)&lt;&gt;"",1,0),0)</f>
        <v/>
      </c>
      <c r="CD45">
        <f>IF(CD$4=1,IF(INDEX('×入力'!$C$1:$L$700,531+CD$3,CD$2)&lt;&gt;"",1,0),0)</f>
        <v/>
      </c>
      <c r="CE45">
        <f>IF(CE$4=1,IF(INDEX('×入力'!$C$1:$L$700,531+CE$3,CE$2)&lt;&gt;"",1,0),0)</f>
        <v/>
      </c>
      <c r="CF45">
        <f>IF(CF$4=1,IF(INDEX('×入力'!$C$1:$L$700,531+CF$3,CF$2)&lt;&gt;"",1,0),0)</f>
        <v/>
      </c>
      <c r="CG45">
        <f>IF(CG$4=1,IF(INDEX('×入力'!$C$1:$L$700,531+CG$3,CG$2)&lt;&gt;"",1,0),0)</f>
        <v/>
      </c>
      <c r="CH45">
        <f>IF(CH$4=1,IF(INDEX('×入力'!$C$1:$L$700,531+CH$3,CH$2)&lt;&gt;"",1,0),0)</f>
        <v/>
      </c>
      <c r="CI45">
        <f>IF(CI$4=1,IF(INDEX('×入力'!$C$1:$L$700,531+CI$3,CI$2)&lt;&gt;"",1,0),0)</f>
        <v/>
      </c>
      <c r="CJ45">
        <f>IF(CJ$4=1,IF(INDEX('×入力'!$C$1:$L$700,531+CJ$3,CJ$2)&lt;&gt;"",1,0),0)</f>
        <v/>
      </c>
      <c r="CK45">
        <f>IF(CK$4=1,IF(INDEX('×入力'!$C$1:$L$700,531+CK$3,CK$2)&lt;&gt;"",1,0),0)</f>
        <v/>
      </c>
      <c r="CL45">
        <f>IF(CL$4=1,IF(INDEX('×入力'!$C$1:$L$700,531+CL$3,CL$2)&lt;&gt;"",1,0),0)</f>
        <v/>
      </c>
      <c r="CM45">
        <f>IF(CM$4=1,IF(INDEX('×入力'!$C$1:$L$700,531+CM$3,CM$2)&lt;&gt;"",1,0),0)</f>
        <v/>
      </c>
      <c r="CN45">
        <f>IF(CN$4=1,IF(INDEX('×入力'!$C$1:$L$700,531+CN$3,CN$2)&lt;&gt;"",1,0),0)</f>
        <v/>
      </c>
      <c r="CO45">
        <f>IF(CO$4=1,IF(INDEX('×入力'!$C$1:$L$700,531+CO$3,CO$2)&lt;&gt;"",1,0),0)</f>
        <v/>
      </c>
      <c r="CP45">
        <f>IF(CP$4=1,IF(INDEX('×入力'!$C$1:$L$700,531+CP$3,CP$2)&lt;&gt;"",1,0),0)</f>
        <v/>
      </c>
      <c r="CQ45">
        <f>IF(CQ$4=1,IF(INDEX('×入力'!$C$1:$L$700,531+CQ$3,CQ$2)&lt;&gt;"",1,0),0)</f>
        <v/>
      </c>
      <c r="CR45">
        <f>IF(CR$4=1,IF(INDEX('×入力'!$C$1:$L$700,531+CR$3,CR$2)&lt;&gt;"",1,0),0)</f>
        <v/>
      </c>
      <c r="CS45">
        <f>IF(CS$4=1,IF(INDEX('×入力'!$C$1:$L$700,531+CS$3,CS$2)&lt;&gt;"",1,0),0)</f>
        <v/>
      </c>
      <c r="CT45">
        <f>IF(CT$4=1,IF(INDEX('×入力'!$C$1:$L$700,531+CT$3,CT$2)&lt;&gt;"",1,0),0)</f>
        <v/>
      </c>
      <c r="CU45">
        <f>IF(CU$4=1,IF(INDEX('×入力'!$C$1:$L$700,531+CU$3,CU$2)&lt;&gt;"",1,0),0)</f>
        <v/>
      </c>
      <c r="CV45">
        <f>IF(CV$4=1,IF(INDEX('×入力'!$C$1:$L$700,531+CV$3,CV$2)&lt;&gt;"",1,0),0)</f>
        <v/>
      </c>
      <c r="CW45">
        <f>IF(CW$4=1,IF(INDEX('×入力'!$C$1:$L$700,531+CW$3,CW$2)&lt;&gt;"",1,0),0)</f>
        <v/>
      </c>
      <c r="CX45">
        <f>IF(CX$4=1,IF(INDEX('×入力'!$C$1:$L$700,531+CX$3,CX$2)&lt;&gt;"",1,0),0)</f>
        <v/>
      </c>
      <c r="CY45">
        <f>IF(CY$4=1,IF(INDEX('×入力'!$C$1:$L$700,531+CY$3,CY$2)&lt;&gt;"",1,0),0)</f>
        <v/>
      </c>
      <c r="CZ45">
        <f>IF(CZ$4=1,IF(INDEX('×入力'!$C$1:$L$700,531+CZ$3,CZ$2)&lt;&gt;"",1,0),0)</f>
        <v/>
      </c>
      <c r="DA45">
        <f>IF(DA$4=1,IF(INDEX('×入力'!$C$1:$L$700,531+DA$3,DA$2)&lt;&gt;"",1,0),0)</f>
        <v/>
      </c>
      <c r="DB45">
        <f>IF(DB$4=1,IF(INDEX('×入力'!$C$1:$L$700,531+DB$3,DB$2)&lt;&gt;"",1,0),0)</f>
        <v/>
      </c>
      <c r="DC45">
        <f>IF(DC$4=1,IF(INDEX('×入力'!$C$1:$L$700,531+DC$3,DC$2)&lt;&gt;"",1,0),0)</f>
        <v/>
      </c>
      <c r="DD45">
        <f>IF(DD$4=1,IF(INDEX('×入力'!$C$1:$L$700,531+DD$3,DD$2)&lt;&gt;"",1,0),0)</f>
        <v/>
      </c>
      <c r="DE45">
        <f>IF(DE$4=1,IF(INDEX('×入力'!$C$1:$L$700,531+DE$3,DE$2)&lt;&gt;"",1,0),0)</f>
        <v/>
      </c>
      <c r="DF45">
        <f>IF(DF$4=1,IF(INDEX('×入力'!$C$1:$L$700,531+DF$3,DF$2)&lt;&gt;"",1,0),0)</f>
        <v/>
      </c>
      <c r="DG45">
        <f>IF(DG$4=1,IF(INDEX('×入力'!$C$1:$L$700,531+DG$3,DG$2)&lt;&gt;"",1,0),0)</f>
        <v/>
      </c>
      <c r="DH45">
        <f>IF(DH$4=1,IF(INDEX('×入力'!$C$1:$L$700,531+DH$3,DH$2)&lt;&gt;"",1,0),0)</f>
        <v/>
      </c>
      <c r="DI45">
        <f>IF(DI$4=1,IF(INDEX('×入力'!$C$1:$L$700,531+DI$3,DI$2)&lt;&gt;"",1,0),0)</f>
        <v/>
      </c>
      <c r="DJ45">
        <f>IF(DJ$4=1,IF(INDEX('×入力'!$C$1:$L$700,531+DJ$3,DJ$2)&lt;&gt;"",1,0),0)</f>
        <v/>
      </c>
      <c r="DK45">
        <f>IF(DK$4=1,IF(INDEX('×入力'!$C$1:$L$700,531+DK$3,DK$2)&lt;&gt;"",1,0),0)</f>
        <v/>
      </c>
      <c r="DL45">
        <f>IF(DL$4=1,IF(INDEX('×入力'!$C$1:$L$700,531+DL$3,DL$2)&lt;&gt;"",1,0),0)</f>
        <v/>
      </c>
      <c r="DM45">
        <f>IF(DM$4=1,IF(INDEX('×入力'!$C$1:$L$700,531+DM$3,DM$2)&lt;&gt;"",1,0),0)</f>
        <v/>
      </c>
      <c r="DN45">
        <f>IF(DN$4=1,IF(INDEX('×入力'!$C$1:$L$700,531+DN$3,DN$2)&lt;&gt;"",1,0),0)</f>
        <v/>
      </c>
      <c r="DO45">
        <f>IF(DO$4=1,IF(INDEX('×入力'!$C$1:$L$700,531+DO$3,DO$2)&lt;&gt;"",1,0),0)</f>
        <v/>
      </c>
      <c r="DP45">
        <f>IF(DP$4=1,IF(INDEX('×入力'!$C$1:$L$700,531+DP$3,DP$2)&lt;&gt;"",1,0),0)</f>
        <v/>
      </c>
      <c r="DQ45">
        <f>IF(DQ$4=1,IF(INDEX('×入力'!$C$1:$L$700,531+DQ$3,DQ$2)&lt;&gt;"",1,0),0)</f>
        <v/>
      </c>
      <c r="DR45">
        <f>IF(DR$4=1,IF(INDEX('×入力'!$C$1:$L$700,531+DR$3,DR$2)&lt;&gt;"",1,0),0)</f>
        <v/>
      </c>
      <c r="DS45">
        <f>IF(DS$4=1,IF(INDEX('×入力'!$C$1:$L$700,531+DS$3,DS$2)&lt;&gt;"",1,0),0)</f>
        <v/>
      </c>
      <c r="DU45">
        <f>IFERROR(INDEX('計算B'!$C$3:$C$47,MATCH(A45,'計算B'!$B$3:$B$47,0)),0)</f>
        <v/>
      </c>
      <c r="DV45">
        <f>IF(AND(C45=1,DU45=0),1,0)</f>
        <v/>
      </c>
      <c r="DW45">
        <f>SUMPRODUCT(D95:DS95*(1-$D$7:$DS$7))</f>
        <v/>
      </c>
      <c r="DX45">
        <f>SUM(D45:DS45)</f>
        <v/>
      </c>
      <c r="DY45">
        <f>IF(B45="",0,IF(COUNTIF('割り当て'!$C$6:$L$17,B45)=1,SUMPRODUCT(('割り当て'!$C$6:$L$17=B45)*((COLUMN('割り当て'!$C$6:$L$17)-3)*12+ROW('割り当て'!$C$6:$L$17)-5)),0))</f>
        <v/>
      </c>
      <c r="DZ45">
        <f>IFERROR(MATCH('名簿'!E40,{"早い時刻","遅い時刻","早い日","遅い日"},0),0)</f>
        <v/>
      </c>
      <c r="EA45">
        <f>IF('名簿'!F40="必ず空けたい",2,IF('名簿'!F40="出来れば空けたい",1,0))</f>
        <v/>
      </c>
    </row>
    <row r="46">
      <c r="A46" t="n">
        <v>37</v>
      </c>
      <c r="B46">
        <f>'名簿'!G41</f>
        <v/>
      </c>
      <c r="C46">
        <f>IF(AND(B46&lt;&gt;"",OR('名簿'!H41="入力済み",'名簿'!H41="×なし"),DY46=0,COUNTIF('割り当て'!$C$6:$L$17,B46)=0),1,0)</f>
        <v/>
      </c>
      <c r="D46">
        <f>IF(D$4=1,IF(INDEX('×入力'!$C$1:$L$700,546+D$3,D$2)&lt;&gt;"",1,0),0)</f>
        <v/>
      </c>
      <c r="E46">
        <f>IF(E$4=1,IF(INDEX('×入力'!$C$1:$L$700,546+E$3,E$2)&lt;&gt;"",1,0),0)</f>
        <v/>
      </c>
      <c r="F46">
        <f>IF(F$4=1,IF(INDEX('×入力'!$C$1:$L$700,546+F$3,F$2)&lt;&gt;"",1,0),0)</f>
        <v/>
      </c>
      <c r="G46">
        <f>IF(G$4=1,IF(INDEX('×入力'!$C$1:$L$700,546+G$3,G$2)&lt;&gt;"",1,0),0)</f>
        <v/>
      </c>
      <c r="H46">
        <f>IF(H$4=1,IF(INDEX('×入力'!$C$1:$L$700,546+H$3,H$2)&lt;&gt;"",1,0),0)</f>
        <v/>
      </c>
      <c r="I46">
        <f>IF(I$4=1,IF(INDEX('×入力'!$C$1:$L$700,546+I$3,I$2)&lt;&gt;"",1,0),0)</f>
        <v/>
      </c>
      <c r="J46">
        <f>IF(J$4=1,IF(INDEX('×入力'!$C$1:$L$700,546+J$3,J$2)&lt;&gt;"",1,0),0)</f>
        <v/>
      </c>
      <c r="K46">
        <f>IF(K$4=1,IF(INDEX('×入力'!$C$1:$L$700,546+K$3,K$2)&lt;&gt;"",1,0),0)</f>
        <v/>
      </c>
      <c r="L46">
        <f>IF(L$4=1,IF(INDEX('×入力'!$C$1:$L$700,546+L$3,L$2)&lt;&gt;"",1,0),0)</f>
        <v/>
      </c>
      <c r="M46">
        <f>IF(M$4=1,IF(INDEX('×入力'!$C$1:$L$700,546+M$3,M$2)&lt;&gt;"",1,0),0)</f>
        <v/>
      </c>
      <c r="N46">
        <f>IF(N$4=1,IF(INDEX('×入力'!$C$1:$L$700,546+N$3,N$2)&lt;&gt;"",1,0),0)</f>
        <v/>
      </c>
      <c r="O46">
        <f>IF(O$4=1,IF(INDEX('×入力'!$C$1:$L$700,546+O$3,O$2)&lt;&gt;"",1,0),0)</f>
        <v/>
      </c>
      <c r="P46">
        <f>IF(P$4=1,IF(INDEX('×入力'!$C$1:$L$700,546+P$3,P$2)&lt;&gt;"",1,0),0)</f>
        <v/>
      </c>
      <c r="Q46">
        <f>IF(Q$4=1,IF(INDEX('×入力'!$C$1:$L$700,546+Q$3,Q$2)&lt;&gt;"",1,0),0)</f>
        <v/>
      </c>
      <c r="R46">
        <f>IF(R$4=1,IF(INDEX('×入力'!$C$1:$L$700,546+R$3,R$2)&lt;&gt;"",1,0),0)</f>
        <v/>
      </c>
      <c r="S46">
        <f>IF(S$4=1,IF(INDEX('×入力'!$C$1:$L$700,546+S$3,S$2)&lt;&gt;"",1,0),0)</f>
        <v/>
      </c>
      <c r="T46">
        <f>IF(T$4=1,IF(INDEX('×入力'!$C$1:$L$700,546+T$3,T$2)&lt;&gt;"",1,0),0)</f>
        <v/>
      </c>
      <c r="U46">
        <f>IF(U$4=1,IF(INDEX('×入力'!$C$1:$L$700,546+U$3,U$2)&lt;&gt;"",1,0),0)</f>
        <v/>
      </c>
      <c r="V46">
        <f>IF(V$4=1,IF(INDEX('×入力'!$C$1:$L$700,546+V$3,V$2)&lt;&gt;"",1,0),0)</f>
        <v/>
      </c>
      <c r="W46">
        <f>IF(W$4=1,IF(INDEX('×入力'!$C$1:$L$700,546+W$3,W$2)&lt;&gt;"",1,0),0)</f>
        <v/>
      </c>
      <c r="X46">
        <f>IF(X$4=1,IF(INDEX('×入力'!$C$1:$L$700,546+X$3,X$2)&lt;&gt;"",1,0),0)</f>
        <v/>
      </c>
      <c r="Y46">
        <f>IF(Y$4=1,IF(INDEX('×入力'!$C$1:$L$700,546+Y$3,Y$2)&lt;&gt;"",1,0),0)</f>
        <v/>
      </c>
      <c r="Z46">
        <f>IF(Z$4=1,IF(INDEX('×入力'!$C$1:$L$700,546+Z$3,Z$2)&lt;&gt;"",1,0),0)</f>
        <v/>
      </c>
      <c r="AA46">
        <f>IF(AA$4=1,IF(INDEX('×入力'!$C$1:$L$700,546+AA$3,AA$2)&lt;&gt;"",1,0),0)</f>
        <v/>
      </c>
      <c r="AB46">
        <f>IF(AB$4=1,IF(INDEX('×入力'!$C$1:$L$700,546+AB$3,AB$2)&lt;&gt;"",1,0),0)</f>
        <v/>
      </c>
      <c r="AC46">
        <f>IF(AC$4=1,IF(INDEX('×入力'!$C$1:$L$700,546+AC$3,AC$2)&lt;&gt;"",1,0),0)</f>
        <v/>
      </c>
      <c r="AD46">
        <f>IF(AD$4=1,IF(INDEX('×入力'!$C$1:$L$700,546+AD$3,AD$2)&lt;&gt;"",1,0),0)</f>
        <v/>
      </c>
      <c r="AE46">
        <f>IF(AE$4=1,IF(INDEX('×入力'!$C$1:$L$700,546+AE$3,AE$2)&lt;&gt;"",1,0),0)</f>
        <v/>
      </c>
      <c r="AF46">
        <f>IF(AF$4=1,IF(INDEX('×入力'!$C$1:$L$700,546+AF$3,AF$2)&lt;&gt;"",1,0),0)</f>
        <v/>
      </c>
      <c r="AG46">
        <f>IF(AG$4=1,IF(INDEX('×入力'!$C$1:$L$700,546+AG$3,AG$2)&lt;&gt;"",1,0),0)</f>
        <v/>
      </c>
      <c r="AH46">
        <f>IF(AH$4=1,IF(INDEX('×入力'!$C$1:$L$700,546+AH$3,AH$2)&lt;&gt;"",1,0),0)</f>
        <v/>
      </c>
      <c r="AI46">
        <f>IF(AI$4=1,IF(INDEX('×入力'!$C$1:$L$700,546+AI$3,AI$2)&lt;&gt;"",1,0),0)</f>
        <v/>
      </c>
      <c r="AJ46">
        <f>IF(AJ$4=1,IF(INDEX('×入力'!$C$1:$L$700,546+AJ$3,AJ$2)&lt;&gt;"",1,0),0)</f>
        <v/>
      </c>
      <c r="AK46">
        <f>IF(AK$4=1,IF(INDEX('×入力'!$C$1:$L$700,546+AK$3,AK$2)&lt;&gt;"",1,0),0)</f>
        <v/>
      </c>
      <c r="AL46">
        <f>IF(AL$4=1,IF(INDEX('×入力'!$C$1:$L$700,546+AL$3,AL$2)&lt;&gt;"",1,0),0)</f>
        <v/>
      </c>
      <c r="AM46">
        <f>IF(AM$4=1,IF(INDEX('×入力'!$C$1:$L$700,546+AM$3,AM$2)&lt;&gt;"",1,0),0)</f>
        <v/>
      </c>
      <c r="AN46">
        <f>IF(AN$4=1,IF(INDEX('×入力'!$C$1:$L$700,546+AN$3,AN$2)&lt;&gt;"",1,0),0)</f>
        <v/>
      </c>
      <c r="AO46">
        <f>IF(AO$4=1,IF(INDEX('×入力'!$C$1:$L$700,546+AO$3,AO$2)&lt;&gt;"",1,0),0)</f>
        <v/>
      </c>
      <c r="AP46">
        <f>IF(AP$4=1,IF(INDEX('×入力'!$C$1:$L$700,546+AP$3,AP$2)&lt;&gt;"",1,0),0)</f>
        <v/>
      </c>
      <c r="AQ46">
        <f>IF(AQ$4=1,IF(INDEX('×入力'!$C$1:$L$700,546+AQ$3,AQ$2)&lt;&gt;"",1,0),0)</f>
        <v/>
      </c>
      <c r="AR46">
        <f>IF(AR$4=1,IF(INDEX('×入力'!$C$1:$L$700,546+AR$3,AR$2)&lt;&gt;"",1,0),0)</f>
        <v/>
      </c>
      <c r="AS46">
        <f>IF(AS$4=1,IF(INDEX('×入力'!$C$1:$L$700,546+AS$3,AS$2)&lt;&gt;"",1,0),0)</f>
        <v/>
      </c>
      <c r="AT46">
        <f>IF(AT$4=1,IF(INDEX('×入力'!$C$1:$L$700,546+AT$3,AT$2)&lt;&gt;"",1,0),0)</f>
        <v/>
      </c>
      <c r="AU46">
        <f>IF(AU$4=1,IF(INDEX('×入力'!$C$1:$L$700,546+AU$3,AU$2)&lt;&gt;"",1,0),0)</f>
        <v/>
      </c>
      <c r="AV46">
        <f>IF(AV$4=1,IF(INDEX('×入力'!$C$1:$L$700,546+AV$3,AV$2)&lt;&gt;"",1,0),0)</f>
        <v/>
      </c>
      <c r="AW46">
        <f>IF(AW$4=1,IF(INDEX('×入力'!$C$1:$L$700,546+AW$3,AW$2)&lt;&gt;"",1,0),0)</f>
        <v/>
      </c>
      <c r="AX46">
        <f>IF(AX$4=1,IF(INDEX('×入力'!$C$1:$L$700,546+AX$3,AX$2)&lt;&gt;"",1,0),0)</f>
        <v/>
      </c>
      <c r="AY46">
        <f>IF(AY$4=1,IF(INDEX('×入力'!$C$1:$L$700,546+AY$3,AY$2)&lt;&gt;"",1,0),0)</f>
        <v/>
      </c>
      <c r="AZ46">
        <f>IF(AZ$4=1,IF(INDEX('×入力'!$C$1:$L$700,546+AZ$3,AZ$2)&lt;&gt;"",1,0),0)</f>
        <v/>
      </c>
      <c r="BA46">
        <f>IF(BA$4=1,IF(INDEX('×入力'!$C$1:$L$700,546+BA$3,BA$2)&lt;&gt;"",1,0),0)</f>
        <v/>
      </c>
      <c r="BB46">
        <f>IF(BB$4=1,IF(INDEX('×入力'!$C$1:$L$700,546+BB$3,BB$2)&lt;&gt;"",1,0),0)</f>
        <v/>
      </c>
      <c r="BC46">
        <f>IF(BC$4=1,IF(INDEX('×入力'!$C$1:$L$700,546+BC$3,BC$2)&lt;&gt;"",1,0),0)</f>
        <v/>
      </c>
      <c r="BD46">
        <f>IF(BD$4=1,IF(INDEX('×入力'!$C$1:$L$700,546+BD$3,BD$2)&lt;&gt;"",1,0),0)</f>
        <v/>
      </c>
      <c r="BE46">
        <f>IF(BE$4=1,IF(INDEX('×入力'!$C$1:$L$700,546+BE$3,BE$2)&lt;&gt;"",1,0),0)</f>
        <v/>
      </c>
      <c r="BF46">
        <f>IF(BF$4=1,IF(INDEX('×入力'!$C$1:$L$700,546+BF$3,BF$2)&lt;&gt;"",1,0),0)</f>
        <v/>
      </c>
      <c r="BG46">
        <f>IF(BG$4=1,IF(INDEX('×入力'!$C$1:$L$700,546+BG$3,BG$2)&lt;&gt;"",1,0),0)</f>
        <v/>
      </c>
      <c r="BH46">
        <f>IF(BH$4=1,IF(INDEX('×入力'!$C$1:$L$700,546+BH$3,BH$2)&lt;&gt;"",1,0),0)</f>
        <v/>
      </c>
      <c r="BI46">
        <f>IF(BI$4=1,IF(INDEX('×入力'!$C$1:$L$700,546+BI$3,BI$2)&lt;&gt;"",1,0),0)</f>
        <v/>
      </c>
      <c r="BJ46">
        <f>IF(BJ$4=1,IF(INDEX('×入力'!$C$1:$L$700,546+BJ$3,BJ$2)&lt;&gt;"",1,0),0)</f>
        <v/>
      </c>
      <c r="BK46">
        <f>IF(BK$4=1,IF(INDEX('×入力'!$C$1:$L$700,546+BK$3,BK$2)&lt;&gt;"",1,0),0)</f>
        <v/>
      </c>
      <c r="BL46">
        <f>IF(BL$4=1,IF(INDEX('×入力'!$C$1:$L$700,546+BL$3,BL$2)&lt;&gt;"",1,0),0)</f>
        <v/>
      </c>
      <c r="BM46">
        <f>IF(BM$4=1,IF(INDEX('×入力'!$C$1:$L$700,546+BM$3,BM$2)&lt;&gt;"",1,0),0)</f>
        <v/>
      </c>
      <c r="BN46">
        <f>IF(BN$4=1,IF(INDEX('×入力'!$C$1:$L$700,546+BN$3,BN$2)&lt;&gt;"",1,0),0)</f>
        <v/>
      </c>
      <c r="BO46">
        <f>IF(BO$4=1,IF(INDEX('×入力'!$C$1:$L$700,546+BO$3,BO$2)&lt;&gt;"",1,0),0)</f>
        <v/>
      </c>
      <c r="BP46">
        <f>IF(BP$4=1,IF(INDEX('×入力'!$C$1:$L$700,546+BP$3,BP$2)&lt;&gt;"",1,0),0)</f>
        <v/>
      </c>
      <c r="BQ46">
        <f>IF(BQ$4=1,IF(INDEX('×入力'!$C$1:$L$700,546+BQ$3,BQ$2)&lt;&gt;"",1,0),0)</f>
        <v/>
      </c>
      <c r="BR46">
        <f>IF(BR$4=1,IF(INDEX('×入力'!$C$1:$L$700,546+BR$3,BR$2)&lt;&gt;"",1,0),0)</f>
        <v/>
      </c>
      <c r="BS46">
        <f>IF(BS$4=1,IF(INDEX('×入力'!$C$1:$L$700,546+BS$3,BS$2)&lt;&gt;"",1,0),0)</f>
        <v/>
      </c>
      <c r="BT46">
        <f>IF(BT$4=1,IF(INDEX('×入力'!$C$1:$L$700,546+BT$3,BT$2)&lt;&gt;"",1,0),0)</f>
        <v/>
      </c>
      <c r="BU46">
        <f>IF(BU$4=1,IF(INDEX('×入力'!$C$1:$L$700,546+BU$3,BU$2)&lt;&gt;"",1,0),0)</f>
        <v/>
      </c>
      <c r="BV46">
        <f>IF(BV$4=1,IF(INDEX('×入力'!$C$1:$L$700,546+BV$3,BV$2)&lt;&gt;"",1,0),0)</f>
        <v/>
      </c>
      <c r="BW46">
        <f>IF(BW$4=1,IF(INDEX('×入力'!$C$1:$L$700,546+BW$3,BW$2)&lt;&gt;"",1,0),0)</f>
        <v/>
      </c>
      <c r="BX46">
        <f>IF(BX$4=1,IF(INDEX('×入力'!$C$1:$L$700,546+BX$3,BX$2)&lt;&gt;"",1,0),0)</f>
        <v/>
      </c>
      <c r="BY46">
        <f>IF(BY$4=1,IF(INDEX('×入力'!$C$1:$L$700,546+BY$3,BY$2)&lt;&gt;"",1,0),0)</f>
        <v/>
      </c>
      <c r="BZ46">
        <f>IF(BZ$4=1,IF(INDEX('×入力'!$C$1:$L$700,546+BZ$3,BZ$2)&lt;&gt;"",1,0),0)</f>
        <v/>
      </c>
      <c r="CA46">
        <f>IF(CA$4=1,IF(INDEX('×入力'!$C$1:$L$700,546+CA$3,CA$2)&lt;&gt;"",1,0),0)</f>
        <v/>
      </c>
      <c r="CB46">
        <f>IF(CB$4=1,IF(INDEX('×入力'!$C$1:$L$700,546+CB$3,CB$2)&lt;&gt;"",1,0),0)</f>
        <v/>
      </c>
      <c r="CC46">
        <f>IF(CC$4=1,IF(INDEX('×入力'!$C$1:$L$700,546+CC$3,CC$2)&lt;&gt;"",1,0),0)</f>
        <v/>
      </c>
      <c r="CD46">
        <f>IF(CD$4=1,IF(INDEX('×入力'!$C$1:$L$700,546+CD$3,CD$2)&lt;&gt;"",1,0),0)</f>
        <v/>
      </c>
      <c r="CE46">
        <f>IF(CE$4=1,IF(INDEX('×入力'!$C$1:$L$700,546+CE$3,CE$2)&lt;&gt;"",1,0),0)</f>
        <v/>
      </c>
      <c r="CF46">
        <f>IF(CF$4=1,IF(INDEX('×入力'!$C$1:$L$700,546+CF$3,CF$2)&lt;&gt;"",1,0),0)</f>
        <v/>
      </c>
      <c r="CG46">
        <f>IF(CG$4=1,IF(INDEX('×入力'!$C$1:$L$700,546+CG$3,CG$2)&lt;&gt;"",1,0),0)</f>
        <v/>
      </c>
      <c r="CH46">
        <f>IF(CH$4=1,IF(INDEX('×入力'!$C$1:$L$700,546+CH$3,CH$2)&lt;&gt;"",1,0),0)</f>
        <v/>
      </c>
      <c r="CI46">
        <f>IF(CI$4=1,IF(INDEX('×入力'!$C$1:$L$700,546+CI$3,CI$2)&lt;&gt;"",1,0),0)</f>
        <v/>
      </c>
      <c r="CJ46">
        <f>IF(CJ$4=1,IF(INDEX('×入力'!$C$1:$L$700,546+CJ$3,CJ$2)&lt;&gt;"",1,0),0)</f>
        <v/>
      </c>
      <c r="CK46">
        <f>IF(CK$4=1,IF(INDEX('×入力'!$C$1:$L$700,546+CK$3,CK$2)&lt;&gt;"",1,0),0)</f>
        <v/>
      </c>
      <c r="CL46">
        <f>IF(CL$4=1,IF(INDEX('×入力'!$C$1:$L$700,546+CL$3,CL$2)&lt;&gt;"",1,0),0)</f>
        <v/>
      </c>
      <c r="CM46">
        <f>IF(CM$4=1,IF(INDEX('×入力'!$C$1:$L$700,546+CM$3,CM$2)&lt;&gt;"",1,0),0)</f>
        <v/>
      </c>
      <c r="CN46">
        <f>IF(CN$4=1,IF(INDEX('×入力'!$C$1:$L$700,546+CN$3,CN$2)&lt;&gt;"",1,0),0)</f>
        <v/>
      </c>
      <c r="CO46">
        <f>IF(CO$4=1,IF(INDEX('×入力'!$C$1:$L$700,546+CO$3,CO$2)&lt;&gt;"",1,0),0)</f>
        <v/>
      </c>
      <c r="CP46">
        <f>IF(CP$4=1,IF(INDEX('×入力'!$C$1:$L$700,546+CP$3,CP$2)&lt;&gt;"",1,0),0)</f>
        <v/>
      </c>
      <c r="CQ46">
        <f>IF(CQ$4=1,IF(INDEX('×入力'!$C$1:$L$700,546+CQ$3,CQ$2)&lt;&gt;"",1,0),0)</f>
        <v/>
      </c>
      <c r="CR46">
        <f>IF(CR$4=1,IF(INDEX('×入力'!$C$1:$L$700,546+CR$3,CR$2)&lt;&gt;"",1,0),0)</f>
        <v/>
      </c>
      <c r="CS46">
        <f>IF(CS$4=1,IF(INDEX('×入力'!$C$1:$L$700,546+CS$3,CS$2)&lt;&gt;"",1,0),0)</f>
        <v/>
      </c>
      <c r="CT46">
        <f>IF(CT$4=1,IF(INDEX('×入力'!$C$1:$L$700,546+CT$3,CT$2)&lt;&gt;"",1,0),0)</f>
        <v/>
      </c>
      <c r="CU46">
        <f>IF(CU$4=1,IF(INDEX('×入力'!$C$1:$L$700,546+CU$3,CU$2)&lt;&gt;"",1,0),0)</f>
        <v/>
      </c>
      <c r="CV46">
        <f>IF(CV$4=1,IF(INDEX('×入力'!$C$1:$L$700,546+CV$3,CV$2)&lt;&gt;"",1,0),0)</f>
        <v/>
      </c>
      <c r="CW46">
        <f>IF(CW$4=1,IF(INDEX('×入力'!$C$1:$L$700,546+CW$3,CW$2)&lt;&gt;"",1,0),0)</f>
        <v/>
      </c>
      <c r="CX46">
        <f>IF(CX$4=1,IF(INDEX('×入力'!$C$1:$L$700,546+CX$3,CX$2)&lt;&gt;"",1,0),0)</f>
        <v/>
      </c>
      <c r="CY46">
        <f>IF(CY$4=1,IF(INDEX('×入力'!$C$1:$L$700,546+CY$3,CY$2)&lt;&gt;"",1,0),0)</f>
        <v/>
      </c>
      <c r="CZ46">
        <f>IF(CZ$4=1,IF(INDEX('×入力'!$C$1:$L$700,546+CZ$3,CZ$2)&lt;&gt;"",1,0),0)</f>
        <v/>
      </c>
      <c r="DA46">
        <f>IF(DA$4=1,IF(INDEX('×入力'!$C$1:$L$700,546+DA$3,DA$2)&lt;&gt;"",1,0),0)</f>
        <v/>
      </c>
      <c r="DB46">
        <f>IF(DB$4=1,IF(INDEX('×入力'!$C$1:$L$700,546+DB$3,DB$2)&lt;&gt;"",1,0),0)</f>
        <v/>
      </c>
      <c r="DC46">
        <f>IF(DC$4=1,IF(INDEX('×入力'!$C$1:$L$700,546+DC$3,DC$2)&lt;&gt;"",1,0),0)</f>
        <v/>
      </c>
      <c r="DD46">
        <f>IF(DD$4=1,IF(INDEX('×入力'!$C$1:$L$700,546+DD$3,DD$2)&lt;&gt;"",1,0),0)</f>
        <v/>
      </c>
      <c r="DE46">
        <f>IF(DE$4=1,IF(INDEX('×入力'!$C$1:$L$700,546+DE$3,DE$2)&lt;&gt;"",1,0),0)</f>
        <v/>
      </c>
      <c r="DF46">
        <f>IF(DF$4=1,IF(INDEX('×入力'!$C$1:$L$700,546+DF$3,DF$2)&lt;&gt;"",1,0),0)</f>
        <v/>
      </c>
      <c r="DG46">
        <f>IF(DG$4=1,IF(INDEX('×入力'!$C$1:$L$700,546+DG$3,DG$2)&lt;&gt;"",1,0),0)</f>
        <v/>
      </c>
      <c r="DH46">
        <f>IF(DH$4=1,IF(INDEX('×入力'!$C$1:$L$700,546+DH$3,DH$2)&lt;&gt;"",1,0),0)</f>
        <v/>
      </c>
      <c r="DI46">
        <f>IF(DI$4=1,IF(INDEX('×入力'!$C$1:$L$700,546+DI$3,DI$2)&lt;&gt;"",1,0),0)</f>
        <v/>
      </c>
      <c r="DJ46">
        <f>IF(DJ$4=1,IF(INDEX('×入力'!$C$1:$L$700,546+DJ$3,DJ$2)&lt;&gt;"",1,0),0)</f>
        <v/>
      </c>
      <c r="DK46">
        <f>IF(DK$4=1,IF(INDEX('×入力'!$C$1:$L$700,546+DK$3,DK$2)&lt;&gt;"",1,0),0)</f>
        <v/>
      </c>
      <c r="DL46">
        <f>IF(DL$4=1,IF(INDEX('×入力'!$C$1:$L$700,546+DL$3,DL$2)&lt;&gt;"",1,0),0)</f>
        <v/>
      </c>
      <c r="DM46">
        <f>IF(DM$4=1,IF(INDEX('×入力'!$C$1:$L$700,546+DM$3,DM$2)&lt;&gt;"",1,0),0)</f>
        <v/>
      </c>
      <c r="DN46">
        <f>IF(DN$4=1,IF(INDEX('×入力'!$C$1:$L$700,546+DN$3,DN$2)&lt;&gt;"",1,0),0)</f>
        <v/>
      </c>
      <c r="DO46">
        <f>IF(DO$4=1,IF(INDEX('×入力'!$C$1:$L$700,546+DO$3,DO$2)&lt;&gt;"",1,0),0)</f>
        <v/>
      </c>
      <c r="DP46">
        <f>IF(DP$4=1,IF(INDEX('×入力'!$C$1:$L$700,546+DP$3,DP$2)&lt;&gt;"",1,0),0)</f>
        <v/>
      </c>
      <c r="DQ46">
        <f>IF(DQ$4=1,IF(INDEX('×入力'!$C$1:$L$700,546+DQ$3,DQ$2)&lt;&gt;"",1,0),0)</f>
        <v/>
      </c>
      <c r="DR46">
        <f>IF(DR$4=1,IF(INDEX('×入力'!$C$1:$L$700,546+DR$3,DR$2)&lt;&gt;"",1,0),0)</f>
        <v/>
      </c>
      <c r="DS46">
        <f>IF(DS$4=1,IF(INDEX('×入力'!$C$1:$L$700,546+DS$3,DS$2)&lt;&gt;"",1,0),0)</f>
        <v/>
      </c>
      <c r="DU46">
        <f>IFERROR(INDEX('計算B'!$C$3:$C$47,MATCH(A46,'計算B'!$B$3:$B$47,0)),0)</f>
        <v/>
      </c>
      <c r="DV46">
        <f>IF(AND(C46=1,DU46=0),1,0)</f>
        <v/>
      </c>
      <c r="DW46">
        <f>SUMPRODUCT(D96:DS96*(1-$D$7:$DS$7))</f>
        <v/>
      </c>
      <c r="DX46">
        <f>SUM(D46:DS46)</f>
        <v/>
      </c>
      <c r="DY46">
        <f>IF(B46="",0,IF(COUNTIF('割り当て'!$C$6:$L$17,B46)=1,SUMPRODUCT(('割り当て'!$C$6:$L$17=B46)*((COLUMN('割り当て'!$C$6:$L$17)-3)*12+ROW('割り当て'!$C$6:$L$17)-5)),0))</f>
        <v/>
      </c>
      <c r="DZ46">
        <f>IFERROR(MATCH('名簿'!E41,{"早い時刻","遅い時刻","早い日","遅い日"},0),0)</f>
        <v/>
      </c>
      <c r="EA46">
        <f>IF('名簿'!F41="必ず空けたい",2,IF('名簿'!F41="出来れば空けたい",1,0))</f>
        <v/>
      </c>
    </row>
    <row r="47">
      <c r="A47" t="n">
        <v>38</v>
      </c>
      <c r="B47">
        <f>'名簿'!G42</f>
        <v/>
      </c>
      <c r="C47">
        <f>IF(AND(B47&lt;&gt;"",OR('名簿'!H42="入力済み",'名簿'!H42="×なし"),DY47=0,COUNTIF('割り当て'!$C$6:$L$17,B47)=0),1,0)</f>
        <v/>
      </c>
      <c r="D47">
        <f>IF(D$4=1,IF(INDEX('×入力'!$C$1:$L$700,561+D$3,D$2)&lt;&gt;"",1,0),0)</f>
        <v/>
      </c>
      <c r="E47">
        <f>IF(E$4=1,IF(INDEX('×入力'!$C$1:$L$700,561+E$3,E$2)&lt;&gt;"",1,0),0)</f>
        <v/>
      </c>
      <c r="F47">
        <f>IF(F$4=1,IF(INDEX('×入力'!$C$1:$L$700,561+F$3,F$2)&lt;&gt;"",1,0),0)</f>
        <v/>
      </c>
      <c r="G47">
        <f>IF(G$4=1,IF(INDEX('×入力'!$C$1:$L$700,561+G$3,G$2)&lt;&gt;"",1,0),0)</f>
        <v/>
      </c>
      <c r="H47">
        <f>IF(H$4=1,IF(INDEX('×入力'!$C$1:$L$700,561+H$3,H$2)&lt;&gt;"",1,0),0)</f>
        <v/>
      </c>
      <c r="I47">
        <f>IF(I$4=1,IF(INDEX('×入力'!$C$1:$L$700,561+I$3,I$2)&lt;&gt;"",1,0),0)</f>
        <v/>
      </c>
      <c r="J47">
        <f>IF(J$4=1,IF(INDEX('×入力'!$C$1:$L$700,561+J$3,J$2)&lt;&gt;"",1,0),0)</f>
        <v/>
      </c>
      <c r="K47">
        <f>IF(K$4=1,IF(INDEX('×入力'!$C$1:$L$700,561+K$3,K$2)&lt;&gt;"",1,0),0)</f>
        <v/>
      </c>
      <c r="L47">
        <f>IF(L$4=1,IF(INDEX('×入力'!$C$1:$L$700,561+L$3,L$2)&lt;&gt;"",1,0),0)</f>
        <v/>
      </c>
      <c r="M47">
        <f>IF(M$4=1,IF(INDEX('×入力'!$C$1:$L$700,561+M$3,M$2)&lt;&gt;"",1,0),0)</f>
        <v/>
      </c>
      <c r="N47">
        <f>IF(N$4=1,IF(INDEX('×入力'!$C$1:$L$700,561+N$3,N$2)&lt;&gt;"",1,0),0)</f>
        <v/>
      </c>
      <c r="O47">
        <f>IF(O$4=1,IF(INDEX('×入力'!$C$1:$L$700,561+O$3,O$2)&lt;&gt;"",1,0),0)</f>
        <v/>
      </c>
      <c r="P47">
        <f>IF(P$4=1,IF(INDEX('×入力'!$C$1:$L$700,561+P$3,P$2)&lt;&gt;"",1,0),0)</f>
        <v/>
      </c>
      <c r="Q47">
        <f>IF(Q$4=1,IF(INDEX('×入力'!$C$1:$L$700,561+Q$3,Q$2)&lt;&gt;"",1,0),0)</f>
        <v/>
      </c>
      <c r="R47">
        <f>IF(R$4=1,IF(INDEX('×入力'!$C$1:$L$700,561+R$3,R$2)&lt;&gt;"",1,0),0)</f>
        <v/>
      </c>
      <c r="S47">
        <f>IF(S$4=1,IF(INDEX('×入力'!$C$1:$L$700,561+S$3,S$2)&lt;&gt;"",1,0),0)</f>
        <v/>
      </c>
      <c r="T47">
        <f>IF(T$4=1,IF(INDEX('×入力'!$C$1:$L$700,561+T$3,T$2)&lt;&gt;"",1,0),0)</f>
        <v/>
      </c>
      <c r="U47">
        <f>IF(U$4=1,IF(INDEX('×入力'!$C$1:$L$700,561+U$3,U$2)&lt;&gt;"",1,0),0)</f>
        <v/>
      </c>
      <c r="V47">
        <f>IF(V$4=1,IF(INDEX('×入力'!$C$1:$L$700,561+V$3,V$2)&lt;&gt;"",1,0),0)</f>
        <v/>
      </c>
      <c r="W47">
        <f>IF(W$4=1,IF(INDEX('×入力'!$C$1:$L$700,561+W$3,W$2)&lt;&gt;"",1,0),0)</f>
        <v/>
      </c>
      <c r="X47">
        <f>IF(X$4=1,IF(INDEX('×入力'!$C$1:$L$700,561+X$3,X$2)&lt;&gt;"",1,0),0)</f>
        <v/>
      </c>
      <c r="Y47">
        <f>IF(Y$4=1,IF(INDEX('×入力'!$C$1:$L$700,561+Y$3,Y$2)&lt;&gt;"",1,0),0)</f>
        <v/>
      </c>
      <c r="Z47">
        <f>IF(Z$4=1,IF(INDEX('×入力'!$C$1:$L$700,561+Z$3,Z$2)&lt;&gt;"",1,0),0)</f>
        <v/>
      </c>
      <c r="AA47">
        <f>IF(AA$4=1,IF(INDEX('×入力'!$C$1:$L$700,561+AA$3,AA$2)&lt;&gt;"",1,0),0)</f>
        <v/>
      </c>
      <c r="AB47">
        <f>IF(AB$4=1,IF(INDEX('×入力'!$C$1:$L$700,561+AB$3,AB$2)&lt;&gt;"",1,0),0)</f>
        <v/>
      </c>
      <c r="AC47">
        <f>IF(AC$4=1,IF(INDEX('×入力'!$C$1:$L$700,561+AC$3,AC$2)&lt;&gt;"",1,0),0)</f>
        <v/>
      </c>
      <c r="AD47">
        <f>IF(AD$4=1,IF(INDEX('×入力'!$C$1:$L$700,561+AD$3,AD$2)&lt;&gt;"",1,0),0)</f>
        <v/>
      </c>
      <c r="AE47">
        <f>IF(AE$4=1,IF(INDEX('×入力'!$C$1:$L$700,561+AE$3,AE$2)&lt;&gt;"",1,0),0)</f>
        <v/>
      </c>
      <c r="AF47">
        <f>IF(AF$4=1,IF(INDEX('×入力'!$C$1:$L$700,561+AF$3,AF$2)&lt;&gt;"",1,0),0)</f>
        <v/>
      </c>
      <c r="AG47">
        <f>IF(AG$4=1,IF(INDEX('×入力'!$C$1:$L$700,561+AG$3,AG$2)&lt;&gt;"",1,0),0)</f>
        <v/>
      </c>
      <c r="AH47">
        <f>IF(AH$4=1,IF(INDEX('×入力'!$C$1:$L$700,561+AH$3,AH$2)&lt;&gt;"",1,0),0)</f>
        <v/>
      </c>
      <c r="AI47">
        <f>IF(AI$4=1,IF(INDEX('×入力'!$C$1:$L$700,561+AI$3,AI$2)&lt;&gt;"",1,0),0)</f>
        <v/>
      </c>
      <c r="AJ47">
        <f>IF(AJ$4=1,IF(INDEX('×入力'!$C$1:$L$700,561+AJ$3,AJ$2)&lt;&gt;"",1,0),0)</f>
        <v/>
      </c>
      <c r="AK47">
        <f>IF(AK$4=1,IF(INDEX('×入力'!$C$1:$L$700,561+AK$3,AK$2)&lt;&gt;"",1,0),0)</f>
        <v/>
      </c>
      <c r="AL47">
        <f>IF(AL$4=1,IF(INDEX('×入力'!$C$1:$L$700,561+AL$3,AL$2)&lt;&gt;"",1,0),0)</f>
        <v/>
      </c>
      <c r="AM47">
        <f>IF(AM$4=1,IF(INDEX('×入力'!$C$1:$L$700,561+AM$3,AM$2)&lt;&gt;"",1,0),0)</f>
        <v/>
      </c>
      <c r="AN47">
        <f>IF(AN$4=1,IF(INDEX('×入力'!$C$1:$L$700,561+AN$3,AN$2)&lt;&gt;"",1,0),0)</f>
        <v/>
      </c>
      <c r="AO47">
        <f>IF(AO$4=1,IF(INDEX('×入力'!$C$1:$L$700,561+AO$3,AO$2)&lt;&gt;"",1,0),0)</f>
        <v/>
      </c>
      <c r="AP47">
        <f>IF(AP$4=1,IF(INDEX('×入力'!$C$1:$L$700,561+AP$3,AP$2)&lt;&gt;"",1,0),0)</f>
        <v/>
      </c>
      <c r="AQ47">
        <f>IF(AQ$4=1,IF(INDEX('×入力'!$C$1:$L$700,561+AQ$3,AQ$2)&lt;&gt;"",1,0),0)</f>
        <v/>
      </c>
      <c r="AR47">
        <f>IF(AR$4=1,IF(INDEX('×入力'!$C$1:$L$700,561+AR$3,AR$2)&lt;&gt;"",1,0),0)</f>
        <v/>
      </c>
      <c r="AS47">
        <f>IF(AS$4=1,IF(INDEX('×入力'!$C$1:$L$700,561+AS$3,AS$2)&lt;&gt;"",1,0),0)</f>
        <v/>
      </c>
      <c r="AT47">
        <f>IF(AT$4=1,IF(INDEX('×入力'!$C$1:$L$700,561+AT$3,AT$2)&lt;&gt;"",1,0),0)</f>
        <v/>
      </c>
      <c r="AU47">
        <f>IF(AU$4=1,IF(INDEX('×入力'!$C$1:$L$700,561+AU$3,AU$2)&lt;&gt;"",1,0),0)</f>
        <v/>
      </c>
      <c r="AV47">
        <f>IF(AV$4=1,IF(INDEX('×入力'!$C$1:$L$700,561+AV$3,AV$2)&lt;&gt;"",1,0),0)</f>
        <v/>
      </c>
      <c r="AW47">
        <f>IF(AW$4=1,IF(INDEX('×入力'!$C$1:$L$700,561+AW$3,AW$2)&lt;&gt;"",1,0),0)</f>
        <v/>
      </c>
      <c r="AX47">
        <f>IF(AX$4=1,IF(INDEX('×入力'!$C$1:$L$700,561+AX$3,AX$2)&lt;&gt;"",1,0),0)</f>
        <v/>
      </c>
      <c r="AY47">
        <f>IF(AY$4=1,IF(INDEX('×入力'!$C$1:$L$700,561+AY$3,AY$2)&lt;&gt;"",1,0),0)</f>
        <v/>
      </c>
      <c r="AZ47">
        <f>IF(AZ$4=1,IF(INDEX('×入力'!$C$1:$L$700,561+AZ$3,AZ$2)&lt;&gt;"",1,0),0)</f>
        <v/>
      </c>
      <c r="BA47">
        <f>IF(BA$4=1,IF(INDEX('×入力'!$C$1:$L$700,561+BA$3,BA$2)&lt;&gt;"",1,0),0)</f>
        <v/>
      </c>
      <c r="BB47">
        <f>IF(BB$4=1,IF(INDEX('×入力'!$C$1:$L$700,561+BB$3,BB$2)&lt;&gt;"",1,0),0)</f>
        <v/>
      </c>
      <c r="BC47">
        <f>IF(BC$4=1,IF(INDEX('×入力'!$C$1:$L$700,561+BC$3,BC$2)&lt;&gt;"",1,0),0)</f>
        <v/>
      </c>
      <c r="BD47">
        <f>IF(BD$4=1,IF(INDEX('×入力'!$C$1:$L$700,561+BD$3,BD$2)&lt;&gt;"",1,0),0)</f>
        <v/>
      </c>
      <c r="BE47">
        <f>IF(BE$4=1,IF(INDEX('×入力'!$C$1:$L$700,561+BE$3,BE$2)&lt;&gt;"",1,0),0)</f>
        <v/>
      </c>
      <c r="BF47">
        <f>IF(BF$4=1,IF(INDEX('×入力'!$C$1:$L$700,561+BF$3,BF$2)&lt;&gt;"",1,0),0)</f>
        <v/>
      </c>
      <c r="BG47">
        <f>IF(BG$4=1,IF(INDEX('×入力'!$C$1:$L$700,561+BG$3,BG$2)&lt;&gt;"",1,0),0)</f>
        <v/>
      </c>
      <c r="BH47">
        <f>IF(BH$4=1,IF(INDEX('×入力'!$C$1:$L$700,561+BH$3,BH$2)&lt;&gt;"",1,0),0)</f>
        <v/>
      </c>
      <c r="BI47">
        <f>IF(BI$4=1,IF(INDEX('×入力'!$C$1:$L$700,561+BI$3,BI$2)&lt;&gt;"",1,0),0)</f>
        <v/>
      </c>
      <c r="BJ47">
        <f>IF(BJ$4=1,IF(INDEX('×入力'!$C$1:$L$700,561+BJ$3,BJ$2)&lt;&gt;"",1,0),0)</f>
        <v/>
      </c>
      <c r="BK47">
        <f>IF(BK$4=1,IF(INDEX('×入力'!$C$1:$L$700,561+BK$3,BK$2)&lt;&gt;"",1,0),0)</f>
        <v/>
      </c>
      <c r="BL47">
        <f>IF(BL$4=1,IF(INDEX('×入力'!$C$1:$L$700,561+BL$3,BL$2)&lt;&gt;"",1,0),0)</f>
        <v/>
      </c>
      <c r="BM47">
        <f>IF(BM$4=1,IF(INDEX('×入力'!$C$1:$L$700,561+BM$3,BM$2)&lt;&gt;"",1,0),0)</f>
        <v/>
      </c>
      <c r="BN47">
        <f>IF(BN$4=1,IF(INDEX('×入力'!$C$1:$L$700,561+BN$3,BN$2)&lt;&gt;"",1,0),0)</f>
        <v/>
      </c>
      <c r="BO47">
        <f>IF(BO$4=1,IF(INDEX('×入力'!$C$1:$L$700,561+BO$3,BO$2)&lt;&gt;"",1,0),0)</f>
        <v/>
      </c>
      <c r="BP47">
        <f>IF(BP$4=1,IF(INDEX('×入力'!$C$1:$L$700,561+BP$3,BP$2)&lt;&gt;"",1,0),0)</f>
        <v/>
      </c>
      <c r="BQ47">
        <f>IF(BQ$4=1,IF(INDEX('×入力'!$C$1:$L$700,561+BQ$3,BQ$2)&lt;&gt;"",1,0),0)</f>
        <v/>
      </c>
      <c r="BR47">
        <f>IF(BR$4=1,IF(INDEX('×入力'!$C$1:$L$700,561+BR$3,BR$2)&lt;&gt;"",1,0),0)</f>
        <v/>
      </c>
      <c r="BS47">
        <f>IF(BS$4=1,IF(INDEX('×入力'!$C$1:$L$700,561+BS$3,BS$2)&lt;&gt;"",1,0),0)</f>
        <v/>
      </c>
      <c r="BT47">
        <f>IF(BT$4=1,IF(INDEX('×入力'!$C$1:$L$700,561+BT$3,BT$2)&lt;&gt;"",1,0),0)</f>
        <v/>
      </c>
      <c r="BU47">
        <f>IF(BU$4=1,IF(INDEX('×入力'!$C$1:$L$700,561+BU$3,BU$2)&lt;&gt;"",1,0),0)</f>
        <v/>
      </c>
      <c r="BV47">
        <f>IF(BV$4=1,IF(INDEX('×入力'!$C$1:$L$700,561+BV$3,BV$2)&lt;&gt;"",1,0),0)</f>
        <v/>
      </c>
      <c r="BW47">
        <f>IF(BW$4=1,IF(INDEX('×入力'!$C$1:$L$700,561+BW$3,BW$2)&lt;&gt;"",1,0),0)</f>
        <v/>
      </c>
      <c r="BX47">
        <f>IF(BX$4=1,IF(INDEX('×入力'!$C$1:$L$700,561+BX$3,BX$2)&lt;&gt;"",1,0),0)</f>
        <v/>
      </c>
      <c r="BY47">
        <f>IF(BY$4=1,IF(INDEX('×入力'!$C$1:$L$700,561+BY$3,BY$2)&lt;&gt;"",1,0),0)</f>
        <v/>
      </c>
      <c r="BZ47">
        <f>IF(BZ$4=1,IF(INDEX('×入力'!$C$1:$L$700,561+BZ$3,BZ$2)&lt;&gt;"",1,0),0)</f>
        <v/>
      </c>
      <c r="CA47">
        <f>IF(CA$4=1,IF(INDEX('×入力'!$C$1:$L$700,561+CA$3,CA$2)&lt;&gt;"",1,0),0)</f>
        <v/>
      </c>
      <c r="CB47">
        <f>IF(CB$4=1,IF(INDEX('×入力'!$C$1:$L$700,561+CB$3,CB$2)&lt;&gt;"",1,0),0)</f>
        <v/>
      </c>
      <c r="CC47">
        <f>IF(CC$4=1,IF(INDEX('×入力'!$C$1:$L$700,561+CC$3,CC$2)&lt;&gt;"",1,0),0)</f>
        <v/>
      </c>
      <c r="CD47">
        <f>IF(CD$4=1,IF(INDEX('×入力'!$C$1:$L$700,561+CD$3,CD$2)&lt;&gt;"",1,0),0)</f>
        <v/>
      </c>
      <c r="CE47">
        <f>IF(CE$4=1,IF(INDEX('×入力'!$C$1:$L$700,561+CE$3,CE$2)&lt;&gt;"",1,0),0)</f>
        <v/>
      </c>
      <c r="CF47">
        <f>IF(CF$4=1,IF(INDEX('×入力'!$C$1:$L$700,561+CF$3,CF$2)&lt;&gt;"",1,0),0)</f>
        <v/>
      </c>
      <c r="CG47">
        <f>IF(CG$4=1,IF(INDEX('×入力'!$C$1:$L$700,561+CG$3,CG$2)&lt;&gt;"",1,0),0)</f>
        <v/>
      </c>
      <c r="CH47">
        <f>IF(CH$4=1,IF(INDEX('×入力'!$C$1:$L$700,561+CH$3,CH$2)&lt;&gt;"",1,0),0)</f>
        <v/>
      </c>
      <c r="CI47">
        <f>IF(CI$4=1,IF(INDEX('×入力'!$C$1:$L$700,561+CI$3,CI$2)&lt;&gt;"",1,0),0)</f>
        <v/>
      </c>
      <c r="CJ47">
        <f>IF(CJ$4=1,IF(INDEX('×入力'!$C$1:$L$700,561+CJ$3,CJ$2)&lt;&gt;"",1,0),0)</f>
        <v/>
      </c>
      <c r="CK47">
        <f>IF(CK$4=1,IF(INDEX('×入力'!$C$1:$L$700,561+CK$3,CK$2)&lt;&gt;"",1,0),0)</f>
        <v/>
      </c>
      <c r="CL47">
        <f>IF(CL$4=1,IF(INDEX('×入力'!$C$1:$L$700,561+CL$3,CL$2)&lt;&gt;"",1,0),0)</f>
        <v/>
      </c>
      <c r="CM47">
        <f>IF(CM$4=1,IF(INDEX('×入力'!$C$1:$L$700,561+CM$3,CM$2)&lt;&gt;"",1,0),0)</f>
        <v/>
      </c>
      <c r="CN47">
        <f>IF(CN$4=1,IF(INDEX('×入力'!$C$1:$L$700,561+CN$3,CN$2)&lt;&gt;"",1,0),0)</f>
        <v/>
      </c>
      <c r="CO47">
        <f>IF(CO$4=1,IF(INDEX('×入力'!$C$1:$L$700,561+CO$3,CO$2)&lt;&gt;"",1,0),0)</f>
        <v/>
      </c>
      <c r="CP47">
        <f>IF(CP$4=1,IF(INDEX('×入力'!$C$1:$L$700,561+CP$3,CP$2)&lt;&gt;"",1,0),0)</f>
        <v/>
      </c>
      <c r="CQ47">
        <f>IF(CQ$4=1,IF(INDEX('×入力'!$C$1:$L$700,561+CQ$3,CQ$2)&lt;&gt;"",1,0),0)</f>
        <v/>
      </c>
      <c r="CR47">
        <f>IF(CR$4=1,IF(INDEX('×入力'!$C$1:$L$700,561+CR$3,CR$2)&lt;&gt;"",1,0),0)</f>
        <v/>
      </c>
      <c r="CS47">
        <f>IF(CS$4=1,IF(INDEX('×入力'!$C$1:$L$700,561+CS$3,CS$2)&lt;&gt;"",1,0),0)</f>
        <v/>
      </c>
      <c r="CT47">
        <f>IF(CT$4=1,IF(INDEX('×入力'!$C$1:$L$700,561+CT$3,CT$2)&lt;&gt;"",1,0),0)</f>
        <v/>
      </c>
      <c r="CU47">
        <f>IF(CU$4=1,IF(INDEX('×入力'!$C$1:$L$700,561+CU$3,CU$2)&lt;&gt;"",1,0),0)</f>
        <v/>
      </c>
      <c r="CV47">
        <f>IF(CV$4=1,IF(INDEX('×入力'!$C$1:$L$700,561+CV$3,CV$2)&lt;&gt;"",1,0),0)</f>
        <v/>
      </c>
      <c r="CW47">
        <f>IF(CW$4=1,IF(INDEX('×入力'!$C$1:$L$700,561+CW$3,CW$2)&lt;&gt;"",1,0),0)</f>
        <v/>
      </c>
      <c r="CX47">
        <f>IF(CX$4=1,IF(INDEX('×入力'!$C$1:$L$700,561+CX$3,CX$2)&lt;&gt;"",1,0),0)</f>
        <v/>
      </c>
      <c r="CY47">
        <f>IF(CY$4=1,IF(INDEX('×入力'!$C$1:$L$700,561+CY$3,CY$2)&lt;&gt;"",1,0),0)</f>
        <v/>
      </c>
      <c r="CZ47">
        <f>IF(CZ$4=1,IF(INDEX('×入力'!$C$1:$L$700,561+CZ$3,CZ$2)&lt;&gt;"",1,0),0)</f>
        <v/>
      </c>
      <c r="DA47">
        <f>IF(DA$4=1,IF(INDEX('×入力'!$C$1:$L$700,561+DA$3,DA$2)&lt;&gt;"",1,0),0)</f>
        <v/>
      </c>
      <c r="DB47">
        <f>IF(DB$4=1,IF(INDEX('×入力'!$C$1:$L$700,561+DB$3,DB$2)&lt;&gt;"",1,0),0)</f>
        <v/>
      </c>
      <c r="DC47">
        <f>IF(DC$4=1,IF(INDEX('×入力'!$C$1:$L$700,561+DC$3,DC$2)&lt;&gt;"",1,0),0)</f>
        <v/>
      </c>
      <c r="DD47">
        <f>IF(DD$4=1,IF(INDEX('×入力'!$C$1:$L$700,561+DD$3,DD$2)&lt;&gt;"",1,0),0)</f>
        <v/>
      </c>
      <c r="DE47">
        <f>IF(DE$4=1,IF(INDEX('×入力'!$C$1:$L$700,561+DE$3,DE$2)&lt;&gt;"",1,0),0)</f>
        <v/>
      </c>
      <c r="DF47">
        <f>IF(DF$4=1,IF(INDEX('×入力'!$C$1:$L$700,561+DF$3,DF$2)&lt;&gt;"",1,0),0)</f>
        <v/>
      </c>
      <c r="DG47">
        <f>IF(DG$4=1,IF(INDEX('×入力'!$C$1:$L$700,561+DG$3,DG$2)&lt;&gt;"",1,0),0)</f>
        <v/>
      </c>
      <c r="DH47">
        <f>IF(DH$4=1,IF(INDEX('×入力'!$C$1:$L$700,561+DH$3,DH$2)&lt;&gt;"",1,0),0)</f>
        <v/>
      </c>
      <c r="DI47">
        <f>IF(DI$4=1,IF(INDEX('×入力'!$C$1:$L$700,561+DI$3,DI$2)&lt;&gt;"",1,0),0)</f>
        <v/>
      </c>
      <c r="DJ47">
        <f>IF(DJ$4=1,IF(INDEX('×入力'!$C$1:$L$700,561+DJ$3,DJ$2)&lt;&gt;"",1,0),0)</f>
        <v/>
      </c>
      <c r="DK47">
        <f>IF(DK$4=1,IF(INDEX('×入力'!$C$1:$L$700,561+DK$3,DK$2)&lt;&gt;"",1,0),0)</f>
        <v/>
      </c>
      <c r="DL47">
        <f>IF(DL$4=1,IF(INDEX('×入力'!$C$1:$L$700,561+DL$3,DL$2)&lt;&gt;"",1,0),0)</f>
        <v/>
      </c>
      <c r="DM47">
        <f>IF(DM$4=1,IF(INDEX('×入力'!$C$1:$L$700,561+DM$3,DM$2)&lt;&gt;"",1,0),0)</f>
        <v/>
      </c>
      <c r="DN47">
        <f>IF(DN$4=1,IF(INDEX('×入力'!$C$1:$L$700,561+DN$3,DN$2)&lt;&gt;"",1,0),0)</f>
        <v/>
      </c>
      <c r="DO47">
        <f>IF(DO$4=1,IF(INDEX('×入力'!$C$1:$L$700,561+DO$3,DO$2)&lt;&gt;"",1,0),0)</f>
        <v/>
      </c>
      <c r="DP47">
        <f>IF(DP$4=1,IF(INDEX('×入力'!$C$1:$L$700,561+DP$3,DP$2)&lt;&gt;"",1,0),0)</f>
        <v/>
      </c>
      <c r="DQ47">
        <f>IF(DQ$4=1,IF(INDEX('×入力'!$C$1:$L$700,561+DQ$3,DQ$2)&lt;&gt;"",1,0),0)</f>
        <v/>
      </c>
      <c r="DR47">
        <f>IF(DR$4=1,IF(INDEX('×入力'!$C$1:$L$700,561+DR$3,DR$2)&lt;&gt;"",1,0),0)</f>
        <v/>
      </c>
      <c r="DS47">
        <f>IF(DS$4=1,IF(INDEX('×入力'!$C$1:$L$700,561+DS$3,DS$2)&lt;&gt;"",1,0),0)</f>
        <v/>
      </c>
      <c r="DU47">
        <f>IFERROR(INDEX('計算B'!$C$3:$C$47,MATCH(A47,'計算B'!$B$3:$B$47,0)),0)</f>
        <v/>
      </c>
      <c r="DV47">
        <f>IF(AND(C47=1,DU47=0),1,0)</f>
        <v/>
      </c>
      <c r="DW47">
        <f>SUMPRODUCT(D97:DS97*(1-$D$7:$DS$7))</f>
        <v/>
      </c>
      <c r="DX47">
        <f>SUM(D47:DS47)</f>
        <v/>
      </c>
      <c r="DY47">
        <f>IF(B47="",0,IF(COUNTIF('割り当て'!$C$6:$L$17,B47)=1,SUMPRODUCT(('割り当て'!$C$6:$L$17=B47)*((COLUMN('割り当て'!$C$6:$L$17)-3)*12+ROW('割り当て'!$C$6:$L$17)-5)),0))</f>
        <v/>
      </c>
      <c r="DZ47">
        <f>IFERROR(MATCH('名簿'!E42,{"早い時刻","遅い時刻","早い日","遅い日"},0),0)</f>
        <v/>
      </c>
      <c r="EA47">
        <f>IF('名簿'!F42="必ず空けたい",2,IF('名簿'!F42="出来れば空けたい",1,0))</f>
        <v/>
      </c>
    </row>
    <row r="48">
      <c r="A48" t="n">
        <v>39</v>
      </c>
      <c r="B48">
        <f>'名簿'!G43</f>
        <v/>
      </c>
      <c r="C48">
        <f>IF(AND(B48&lt;&gt;"",OR('名簿'!H43="入力済み",'名簿'!H43="×なし"),DY48=0,COUNTIF('割り当て'!$C$6:$L$17,B48)=0),1,0)</f>
        <v/>
      </c>
      <c r="D48">
        <f>IF(D$4=1,IF(INDEX('×入力'!$C$1:$L$700,576+D$3,D$2)&lt;&gt;"",1,0),0)</f>
        <v/>
      </c>
      <c r="E48">
        <f>IF(E$4=1,IF(INDEX('×入力'!$C$1:$L$700,576+E$3,E$2)&lt;&gt;"",1,0),0)</f>
        <v/>
      </c>
      <c r="F48">
        <f>IF(F$4=1,IF(INDEX('×入力'!$C$1:$L$700,576+F$3,F$2)&lt;&gt;"",1,0),0)</f>
        <v/>
      </c>
      <c r="G48">
        <f>IF(G$4=1,IF(INDEX('×入力'!$C$1:$L$700,576+G$3,G$2)&lt;&gt;"",1,0),0)</f>
        <v/>
      </c>
      <c r="H48">
        <f>IF(H$4=1,IF(INDEX('×入力'!$C$1:$L$700,576+H$3,H$2)&lt;&gt;"",1,0),0)</f>
        <v/>
      </c>
      <c r="I48">
        <f>IF(I$4=1,IF(INDEX('×入力'!$C$1:$L$700,576+I$3,I$2)&lt;&gt;"",1,0),0)</f>
        <v/>
      </c>
      <c r="J48">
        <f>IF(J$4=1,IF(INDEX('×入力'!$C$1:$L$700,576+J$3,J$2)&lt;&gt;"",1,0),0)</f>
        <v/>
      </c>
      <c r="K48">
        <f>IF(K$4=1,IF(INDEX('×入力'!$C$1:$L$700,576+K$3,K$2)&lt;&gt;"",1,0),0)</f>
        <v/>
      </c>
      <c r="L48">
        <f>IF(L$4=1,IF(INDEX('×入力'!$C$1:$L$700,576+L$3,L$2)&lt;&gt;"",1,0),0)</f>
        <v/>
      </c>
      <c r="M48">
        <f>IF(M$4=1,IF(INDEX('×入力'!$C$1:$L$700,576+M$3,M$2)&lt;&gt;"",1,0),0)</f>
        <v/>
      </c>
      <c r="N48">
        <f>IF(N$4=1,IF(INDEX('×入力'!$C$1:$L$700,576+N$3,N$2)&lt;&gt;"",1,0),0)</f>
        <v/>
      </c>
      <c r="O48">
        <f>IF(O$4=1,IF(INDEX('×入力'!$C$1:$L$700,576+O$3,O$2)&lt;&gt;"",1,0),0)</f>
        <v/>
      </c>
      <c r="P48">
        <f>IF(P$4=1,IF(INDEX('×入力'!$C$1:$L$700,576+P$3,P$2)&lt;&gt;"",1,0),0)</f>
        <v/>
      </c>
      <c r="Q48">
        <f>IF(Q$4=1,IF(INDEX('×入力'!$C$1:$L$700,576+Q$3,Q$2)&lt;&gt;"",1,0),0)</f>
        <v/>
      </c>
      <c r="R48">
        <f>IF(R$4=1,IF(INDEX('×入力'!$C$1:$L$700,576+R$3,R$2)&lt;&gt;"",1,0),0)</f>
        <v/>
      </c>
      <c r="S48">
        <f>IF(S$4=1,IF(INDEX('×入力'!$C$1:$L$700,576+S$3,S$2)&lt;&gt;"",1,0),0)</f>
        <v/>
      </c>
      <c r="T48">
        <f>IF(T$4=1,IF(INDEX('×入力'!$C$1:$L$700,576+T$3,T$2)&lt;&gt;"",1,0),0)</f>
        <v/>
      </c>
      <c r="U48">
        <f>IF(U$4=1,IF(INDEX('×入力'!$C$1:$L$700,576+U$3,U$2)&lt;&gt;"",1,0),0)</f>
        <v/>
      </c>
      <c r="V48">
        <f>IF(V$4=1,IF(INDEX('×入力'!$C$1:$L$700,576+V$3,V$2)&lt;&gt;"",1,0),0)</f>
        <v/>
      </c>
      <c r="W48">
        <f>IF(W$4=1,IF(INDEX('×入力'!$C$1:$L$700,576+W$3,W$2)&lt;&gt;"",1,0),0)</f>
        <v/>
      </c>
      <c r="X48">
        <f>IF(X$4=1,IF(INDEX('×入力'!$C$1:$L$700,576+X$3,X$2)&lt;&gt;"",1,0),0)</f>
        <v/>
      </c>
      <c r="Y48">
        <f>IF(Y$4=1,IF(INDEX('×入力'!$C$1:$L$700,576+Y$3,Y$2)&lt;&gt;"",1,0),0)</f>
        <v/>
      </c>
      <c r="Z48">
        <f>IF(Z$4=1,IF(INDEX('×入力'!$C$1:$L$700,576+Z$3,Z$2)&lt;&gt;"",1,0),0)</f>
        <v/>
      </c>
      <c r="AA48">
        <f>IF(AA$4=1,IF(INDEX('×入力'!$C$1:$L$700,576+AA$3,AA$2)&lt;&gt;"",1,0),0)</f>
        <v/>
      </c>
      <c r="AB48">
        <f>IF(AB$4=1,IF(INDEX('×入力'!$C$1:$L$700,576+AB$3,AB$2)&lt;&gt;"",1,0),0)</f>
        <v/>
      </c>
      <c r="AC48">
        <f>IF(AC$4=1,IF(INDEX('×入力'!$C$1:$L$700,576+AC$3,AC$2)&lt;&gt;"",1,0),0)</f>
        <v/>
      </c>
      <c r="AD48">
        <f>IF(AD$4=1,IF(INDEX('×入力'!$C$1:$L$700,576+AD$3,AD$2)&lt;&gt;"",1,0),0)</f>
        <v/>
      </c>
      <c r="AE48">
        <f>IF(AE$4=1,IF(INDEX('×入力'!$C$1:$L$700,576+AE$3,AE$2)&lt;&gt;"",1,0),0)</f>
        <v/>
      </c>
      <c r="AF48">
        <f>IF(AF$4=1,IF(INDEX('×入力'!$C$1:$L$700,576+AF$3,AF$2)&lt;&gt;"",1,0),0)</f>
        <v/>
      </c>
      <c r="AG48">
        <f>IF(AG$4=1,IF(INDEX('×入力'!$C$1:$L$700,576+AG$3,AG$2)&lt;&gt;"",1,0),0)</f>
        <v/>
      </c>
      <c r="AH48">
        <f>IF(AH$4=1,IF(INDEX('×入力'!$C$1:$L$700,576+AH$3,AH$2)&lt;&gt;"",1,0),0)</f>
        <v/>
      </c>
      <c r="AI48">
        <f>IF(AI$4=1,IF(INDEX('×入力'!$C$1:$L$700,576+AI$3,AI$2)&lt;&gt;"",1,0),0)</f>
        <v/>
      </c>
      <c r="AJ48">
        <f>IF(AJ$4=1,IF(INDEX('×入力'!$C$1:$L$700,576+AJ$3,AJ$2)&lt;&gt;"",1,0),0)</f>
        <v/>
      </c>
      <c r="AK48">
        <f>IF(AK$4=1,IF(INDEX('×入力'!$C$1:$L$700,576+AK$3,AK$2)&lt;&gt;"",1,0),0)</f>
        <v/>
      </c>
      <c r="AL48">
        <f>IF(AL$4=1,IF(INDEX('×入力'!$C$1:$L$700,576+AL$3,AL$2)&lt;&gt;"",1,0),0)</f>
        <v/>
      </c>
      <c r="AM48">
        <f>IF(AM$4=1,IF(INDEX('×入力'!$C$1:$L$700,576+AM$3,AM$2)&lt;&gt;"",1,0),0)</f>
        <v/>
      </c>
      <c r="AN48">
        <f>IF(AN$4=1,IF(INDEX('×入力'!$C$1:$L$700,576+AN$3,AN$2)&lt;&gt;"",1,0),0)</f>
        <v/>
      </c>
      <c r="AO48">
        <f>IF(AO$4=1,IF(INDEX('×入力'!$C$1:$L$700,576+AO$3,AO$2)&lt;&gt;"",1,0),0)</f>
        <v/>
      </c>
      <c r="AP48">
        <f>IF(AP$4=1,IF(INDEX('×入力'!$C$1:$L$700,576+AP$3,AP$2)&lt;&gt;"",1,0),0)</f>
        <v/>
      </c>
      <c r="AQ48">
        <f>IF(AQ$4=1,IF(INDEX('×入力'!$C$1:$L$700,576+AQ$3,AQ$2)&lt;&gt;"",1,0),0)</f>
        <v/>
      </c>
      <c r="AR48">
        <f>IF(AR$4=1,IF(INDEX('×入力'!$C$1:$L$700,576+AR$3,AR$2)&lt;&gt;"",1,0),0)</f>
        <v/>
      </c>
      <c r="AS48">
        <f>IF(AS$4=1,IF(INDEX('×入力'!$C$1:$L$700,576+AS$3,AS$2)&lt;&gt;"",1,0),0)</f>
        <v/>
      </c>
      <c r="AT48">
        <f>IF(AT$4=1,IF(INDEX('×入力'!$C$1:$L$700,576+AT$3,AT$2)&lt;&gt;"",1,0),0)</f>
        <v/>
      </c>
      <c r="AU48">
        <f>IF(AU$4=1,IF(INDEX('×入力'!$C$1:$L$700,576+AU$3,AU$2)&lt;&gt;"",1,0),0)</f>
        <v/>
      </c>
      <c r="AV48">
        <f>IF(AV$4=1,IF(INDEX('×入力'!$C$1:$L$700,576+AV$3,AV$2)&lt;&gt;"",1,0),0)</f>
        <v/>
      </c>
      <c r="AW48">
        <f>IF(AW$4=1,IF(INDEX('×入力'!$C$1:$L$700,576+AW$3,AW$2)&lt;&gt;"",1,0),0)</f>
        <v/>
      </c>
      <c r="AX48">
        <f>IF(AX$4=1,IF(INDEX('×入力'!$C$1:$L$700,576+AX$3,AX$2)&lt;&gt;"",1,0),0)</f>
        <v/>
      </c>
      <c r="AY48">
        <f>IF(AY$4=1,IF(INDEX('×入力'!$C$1:$L$700,576+AY$3,AY$2)&lt;&gt;"",1,0),0)</f>
        <v/>
      </c>
      <c r="AZ48">
        <f>IF(AZ$4=1,IF(INDEX('×入力'!$C$1:$L$700,576+AZ$3,AZ$2)&lt;&gt;"",1,0),0)</f>
        <v/>
      </c>
      <c r="BA48">
        <f>IF(BA$4=1,IF(INDEX('×入力'!$C$1:$L$700,576+BA$3,BA$2)&lt;&gt;"",1,0),0)</f>
        <v/>
      </c>
      <c r="BB48">
        <f>IF(BB$4=1,IF(INDEX('×入力'!$C$1:$L$700,576+BB$3,BB$2)&lt;&gt;"",1,0),0)</f>
        <v/>
      </c>
      <c r="BC48">
        <f>IF(BC$4=1,IF(INDEX('×入力'!$C$1:$L$700,576+BC$3,BC$2)&lt;&gt;"",1,0),0)</f>
        <v/>
      </c>
      <c r="BD48">
        <f>IF(BD$4=1,IF(INDEX('×入力'!$C$1:$L$700,576+BD$3,BD$2)&lt;&gt;"",1,0),0)</f>
        <v/>
      </c>
      <c r="BE48">
        <f>IF(BE$4=1,IF(INDEX('×入力'!$C$1:$L$700,576+BE$3,BE$2)&lt;&gt;"",1,0),0)</f>
        <v/>
      </c>
      <c r="BF48">
        <f>IF(BF$4=1,IF(INDEX('×入力'!$C$1:$L$700,576+BF$3,BF$2)&lt;&gt;"",1,0),0)</f>
        <v/>
      </c>
      <c r="BG48">
        <f>IF(BG$4=1,IF(INDEX('×入力'!$C$1:$L$700,576+BG$3,BG$2)&lt;&gt;"",1,0),0)</f>
        <v/>
      </c>
      <c r="BH48">
        <f>IF(BH$4=1,IF(INDEX('×入力'!$C$1:$L$700,576+BH$3,BH$2)&lt;&gt;"",1,0),0)</f>
        <v/>
      </c>
      <c r="BI48">
        <f>IF(BI$4=1,IF(INDEX('×入力'!$C$1:$L$700,576+BI$3,BI$2)&lt;&gt;"",1,0),0)</f>
        <v/>
      </c>
      <c r="BJ48">
        <f>IF(BJ$4=1,IF(INDEX('×入力'!$C$1:$L$700,576+BJ$3,BJ$2)&lt;&gt;"",1,0),0)</f>
        <v/>
      </c>
      <c r="BK48">
        <f>IF(BK$4=1,IF(INDEX('×入力'!$C$1:$L$700,576+BK$3,BK$2)&lt;&gt;"",1,0),0)</f>
        <v/>
      </c>
      <c r="BL48">
        <f>IF(BL$4=1,IF(INDEX('×入力'!$C$1:$L$700,576+BL$3,BL$2)&lt;&gt;"",1,0),0)</f>
        <v/>
      </c>
      <c r="BM48">
        <f>IF(BM$4=1,IF(INDEX('×入力'!$C$1:$L$700,576+BM$3,BM$2)&lt;&gt;"",1,0),0)</f>
        <v/>
      </c>
      <c r="BN48">
        <f>IF(BN$4=1,IF(INDEX('×入力'!$C$1:$L$700,576+BN$3,BN$2)&lt;&gt;"",1,0),0)</f>
        <v/>
      </c>
      <c r="BO48">
        <f>IF(BO$4=1,IF(INDEX('×入力'!$C$1:$L$700,576+BO$3,BO$2)&lt;&gt;"",1,0),0)</f>
        <v/>
      </c>
      <c r="BP48">
        <f>IF(BP$4=1,IF(INDEX('×入力'!$C$1:$L$700,576+BP$3,BP$2)&lt;&gt;"",1,0),0)</f>
        <v/>
      </c>
      <c r="BQ48">
        <f>IF(BQ$4=1,IF(INDEX('×入力'!$C$1:$L$700,576+BQ$3,BQ$2)&lt;&gt;"",1,0),0)</f>
        <v/>
      </c>
      <c r="BR48">
        <f>IF(BR$4=1,IF(INDEX('×入力'!$C$1:$L$700,576+BR$3,BR$2)&lt;&gt;"",1,0),0)</f>
        <v/>
      </c>
      <c r="BS48">
        <f>IF(BS$4=1,IF(INDEX('×入力'!$C$1:$L$700,576+BS$3,BS$2)&lt;&gt;"",1,0),0)</f>
        <v/>
      </c>
      <c r="BT48">
        <f>IF(BT$4=1,IF(INDEX('×入力'!$C$1:$L$700,576+BT$3,BT$2)&lt;&gt;"",1,0),0)</f>
        <v/>
      </c>
      <c r="BU48">
        <f>IF(BU$4=1,IF(INDEX('×入力'!$C$1:$L$700,576+BU$3,BU$2)&lt;&gt;"",1,0),0)</f>
        <v/>
      </c>
      <c r="BV48">
        <f>IF(BV$4=1,IF(INDEX('×入力'!$C$1:$L$700,576+BV$3,BV$2)&lt;&gt;"",1,0),0)</f>
        <v/>
      </c>
      <c r="BW48">
        <f>IF(BW$4=1,IF(INDEX('×入力'!$C$1:$L$700,576+BW$3,BW$2)&lt;&gt;"",1,0),0)</f>
        <v/>
      </c>
      <c r="BX48">
        <f>IF(BX$4=1,IF(INDEX('×入力'!$C$1:$L$700,576+BX$3,BX$2)&lt;&gt;"",1,0),0)</f>
        <v/>
      </c>
      <c r="BY48">
        <f>IF(BY$4=1,IF(INDEX('×入力'!$C$1:$L$700,576+BY$3,BY$2)&lt;&gt;"",1,0),0)</f>
        <v/>
      </c>
      <c r="BZ48">
        <f>IF(BZ$4=1,IF(INDEX('×入力'!$C$1:$L$700,576+BZ$3,BZ$2)&lt;&gt;"",1,0),0)</f>
        <v/>
      </c>
      <c r="CA48">
        <f>IF(CA$4=1,IF(INDEX('×入力'!$C$1:$L$700,576+CA$3,CA$2)&lt;&gt;"",1,0),0)</f>
        <v/>
      </c>
      <c r="CB48">
        <f>IF(CB$4=1,IF(INDEX('×入力'!$C$1:$L$700,576+CB$3,CB$2)&lt;&gt;"",1,0),0)</f>
        <v/>
      </c>
      <c r="CC48">
        <f>IF(CC$4=1,IF(INDEX('×入力'!$C$1:$L$700,576+CC$3,CC$2)&lt;&gt;"",1,0),0)</f>
        <v/>
      </c>
      <c r="CD48">
        <f>IF(CD$4=1,IF(INDEX('×入力'!$C$1:$L$700,576+CD$3,CD$2)&lt;&gt;"",1,0),0)</f>
        <v/>
      </c>
      <c r="CE48">
        <f>IF(CE$4=1,IF(INDEX('×入力'!$C$1:$L$700,576+CE$3,CE$2)&lt;&gt;"",1,0),0)</f>
        <v/>
      </c>
      <c r="CF48">
        <f>IF(CF$4=1,IF(INDEX('×入力'!$C$1:$L$700,576+CF$3,CF$2)&lt;&gt;"",1,0),0)</f>
        <v/>
      </c>
      <c r="CG48">
        <f>IF(CG$4=1,IF(INDEX('×入力'!$C$1:$L$700,576+CG$3,CG$2)&lt;&gt;"",1,0),0)</f>
        <v/>
      </c>
      <c r="CH48">
        <f>IF(CH$4=1,IF(INDEX('×入力'!$C$1:$L$700,576+CH$3,CH$2)&lt;&gt;"",1,0),0)</f>
        <v/>
      </c>
      <c r="CI48">
        <f>IF(CI$4=1,IF(INDEX('×入力'!$C$1:$L$700,576+CI$3,CI$2)&lt;&gt;"",1,0),0)</f>
        <v/>
      </c>
      <c r="CJ48">
        <f>IF(CJ$4=1,IF(INDEX('×入力'!$C$1:$L$700,576+CJ$3,CJ$2)&lt;&gt;"",1,0),0)</f>
        <v/>
      </c>
      <c r="CK48">
        <f>IF(CK$4=1,IF(INDEX('×入力'!$C$1:$L$700,576+CK$3,CK$2)&lt;&gt;"",1,0),0)</f>
        <v/>
      </c>
      <c r="CL48">
        <f>IF(CL$4=1,IF(INDEX('×入力'!$C$1:$L$700,576+CL$3,CL$2)&lt;&gt;"",1,0),0)</f>
        <v/>
      </c>
      <c r="CM48">
        <f>IF(CM$4=1,IF(INDEX('×入力'!$C$1:$L$700,576+CM$3,CM$2)&lt;&gt;"",1,0),0)</f>
        <v/>
      </c>
      <c r="CN48">
        <f>IF(CN$4=1,IF(INDEX('×入力'!$C$1:$L$700,576+CN$3,CN$2)&lt;&gt;"",1,0),0)</f>
        <v/>
      </c>
      <c r="CO48">
        <f>IF(CO$4=1,IF(INDEX('×入力'!$C$1:$L$700,576+CO$3,CO$2)&lt;&gt;"",1,0),0)</f>
        <v/>
      </c>
      <c r="CP48">
        <f>IF(CP$4=1,IF(INDEX('×入力'!$C$1:$L$700,576+CP$3,CP$2)&lt;&gt;"",1,0),0)</f>
        <v/>
      </c>
      <c r="CQ48">
        <f>IF(CQ$4=1,IF(INDEX('×入力'!$C$1:$L$700,576+CQ$3,CQ$2)&lt;&gt;"",1,0),0)</f>
        <v/>
      </c>
      <c r="CR48">
        <f>IF(CR$4=1,IF(INDEX('×入力'!$C$1:$L$700,576+CR$3,CR$2)&lt;&gt;"",1,0),0)</f>
        <v/>
      </c>
      <c r="CS48">
        <f>IF(CS$4=1,IF(INDEX('×入力'!$C$1:$L$700,576+CS$3,CS$2)&lt;&gt;"",1,0),0)</f>
        <v/>
      </c>
      <c r="CT48">
        <f>IF(CT$4=1,IF(INDEX('×入力'!$C$1:$L$700,576+CT$3,CT$2)&lt;&gt;"",1,0),0)</f>
        <v/>
      </c>
      <c r="CU48">
        <f>IF(CU$4=1,IF(INDEX('×入力'!$C$1:$L$700,576+CU$3,CU$2)&lt;&gt;"",1,0),0)</f>
        <v/>
      </c>
      <c r="CV48">
        <f>IF(CV$4=1,IF(INDEX('×入力'!$C$1:$L$700,576+CV$3,CV$2)&lt;&gt;"",1,0),0)</f>
        <v/>
      </c>
      <c r="CW48">
        <f>IF(CW$4=1,IF(INDEX('×入力'!$C$1:$L$700,576+CW$3,CW$2)&lt;&gt;"",1,0),0)</f>
        <v/>
      </c>
      <c r="CX48">
        <f>IF(CX$4=1,IF(INDEX('×入力'!$C$1:$L$700,576+CX$3,CX$2)&lt;&gt;"",1,0),0)</f>
        <v/>
      </c>
      <c r="CY48">
        <f>IF(CY$4=1,IF(INDEX('×入力'!$C$1:$L$700,576+CY$3,CY$2)&lt;&gt;"",1,0),0)</f>
        <v/>
      </c>
      <c r="CZ48">
        <f>IF(CZ$4=1,IF(INDEX('×入力'!$C$1:$L$700,576+CZ$3,CZ$2)&lt;&gt;"",1,0),0)</f>
        <v/>
      </c>
      <c r="DA48">
        <f>IF(DA$4=1,IF(INDEX('×入力'!$C$1:$L$700,576+DA$3,DA$2)&lt;&gt;"",1,0),0)</f>
        <v/>
      </c>
      <c r="DB48">
        <f>IF(DB$4=1,IF(INDEX('×入力'!$C$1:$L$700,576+DB$3,DB$2)&lt;&gt;"",1,0),0)</f>
        <v/>
      </c>
      <c r="DC48">
        <f>IF(DC$4=1,IF(INDEX('×入力'!$C$1:$L$700,576+DC$3,DC$2)&lt;&gt;"",1,0),0)</f>
        <v/>
      </c>
      <c r="DD48">
        <f>IF(DD$4=1,IF(INDEX('×入力'!$C$1:$L$700,576+DD$3,DD$2)&lt;&gt;"",1,0),0)</f>
        <v/>
      </c>
      <c r="DE48">
        <f>IF(DE$4=1,IF(INDEX('×入力'!$C$1:$L$700,576+DE$3,DE$2)&lt;&gt;"",1,0),0)</f>
        <v/>
      </c>
      <c r="DF48">
        <f>IF(DF$4=1,IF(INDEX('×入力'!$C$1:$L$700,576+DF$3,DF$2)&lt;&gt;"",1,0),0)</f>
        <v/>
      </c>
      <c r="DG48">
        <f>IF(DG$4=1,IF(INDEX('×入力'!$C$1:$L$700,576+DG$3,DG$2)&lt;&gt;"",1,0),0)</f>
        <v/>
      </c>
      <c r="DH48">
        <f>IF(DH$4=1,IF(INDEX('×入力'!$C$1:$L$700,576+DH$3,DH$2)&lt;&gt;"",1,0),0)</f>
        <v/>
      </c>
      <c r="DI48">
        <f>IF(DI$4=1,IF(INDEX('×入力'!$C$1:$L$700,576+DI$3,DI$2)&lt;&gt;"",1,0),0)</f>
        <v/>
      </c>
      <c r="DJ48">
        <f>IF(DJ$4=1,IF(INDEX('×入力'!$C$1:$L$700,576+DJ$3,DJ$2)&lt;&gt;"",1,0),0)</f>
        <v/>
      </c>
      <c r="DK48">
        <f>IF(DK$4=1,IF(INDEX('×入力'!$C$1:$L$700,576+DK$3,DK$2)&lt;&gt;"",1,0),0)</f>
        <v/>
      </c>
      <c r="DL48">
        <f>IF(DL$4=1,IF(INDEX('×入力'!$C$1:$L$700,576+DL$3,DL$2)&lt;&gt;"",1,0),0)</f>
        <v/>
      </c>
      <c r="DM48">
        <f>IF(DM$4=1,IF(INDEX('×入力'!$C$1:$L$700,576+DM$3,DM$2)&lt;&gt;"",1,0),0)</f>
        <v/>
      </c>
      <c r="DN48">
        <f>IF(DN$4=1,IF(INDEX('×入力'!$C$1:$L$700,576+DN$3,DN$2)&lt;&gt;"",1,0),0)</f>
        <v/>
      </c>
      <c r="DO48">
        <f>IF(DO$4=1,IF(INDEX('×入力'!$C$1:$L$700,576+DO$3,DO$2)&lt;&gt;"",1,0),0)</f>
        <v/>
      </c>
      <c r="DP48">
        <f>IF(DP$4=1,IF(INDEX('×入力'!$C$1:$L$700,576+DP$3,DP$2)&lt;&gt;"",1,0),0)</f>
        <v/>
      </c>
      <c r="DQ48">
        <f>IF(DQ$4=1,IF(INDEX('×入力'!$C$1:$L$700,576+DQ$3,DQ$2)&lt;&gt;"",1,0),0)</f>
        <v/>
      </c>
      <c r="DR48">
        <f>IF(DR$4=1,IF(INDEX('×入力'!$C$1:$L$700,576+DR$3,DR$2)&lt;&gt;"",1,0),0)</f>
        <v/>
      </c>
      <c r="DS48">
        <f>IF(DS$4=1,IF(INDEX('×入力'!$C$1:$L$700,576+DS$3,DS$2)&lt;&gt;"",1,0),0)</f>
        <v/>
      </c>
      <c r="DU48">
        <f>IFERROR(INDEX('計算B'!$C$3:$C$47,MATCH(A48,'計算B'!$B$3:$B$47,0)),0)</f>
        <v/>
      </c>
      <c r="DV48">
        <f>IF(AND(C48=1,DU48=0),1,0)</f>
        <v/>
      </c>
      <c r="DW48">
        <f>SUMPRODUCT(D98:DS98*(1-$D$7:$DS$7))</f>
        <v/>
      </c>
      <c r="DX48">
        <f>SUM(D48:DS48)</f>
        <v/>
      </c>
      <c r="DY48">
        <f>IF(B48="",0,IF(COUNTIF('割り当て'!$C$6:$L$17,B48)=1,SUMPRODUCT(('割り当て'!$C$6:$L$17=B48)*((COLUMN('割り当て'!$C$6:$L$17)-3)*12+ROW('割り当て'!$C$6:$L$17)-5)),0))</f>
        <v/>
      </c>
      <c r="DZ48">
        <f>IFERROR(MATCH('名簿'!E43,{"早い時刻","遅い時刻","早い日","遅い日"},0),0)</f>
        <v/>
      </c>
      <c r="EA48">
        <f>IF('名簿'!F43="必ず空けたい",2,IF('名簿'!F43="出来れば空けたい",1,0))</f>
        <v/>
      </c>
    </row>
    <row r="49">
      <c r="A49" t="n">
        <v>40</v>
      </c>
      <c r="B49">
        <f>'名簿'!G44</f>
        <v/>
      </c>
      <c r="C49">
        <f>IF(AND(B49&lt;&gt;"",OR('名簿'!H44="入力済み",'名簿'!H44="×なし"),DY49=0,COUNTIF('割り当て'!$C$6:$L$17,B49)=0),1,0)</f>
        <v/>
      </c>
      <c r="D49">
        <f>IF(D$4=1,IF(INDEX('×入力'!$C$1:$L$700,591+D$3,D$2)&lt;&gt;"",1,0),0)</f>
        <v/>
      </c>
      <c r="E49">
        <f>IF(E$4=1,IF(INDEX('×入力'!$C$1:$L$700,591+E$3,E$2)&lt;&gt;"",1,0),0)</f>
        <v/>
      </c>
      <c r="F49">
        <f>IF(F$4=1,IF(INDEX('×入力'!$C$1:$L$700,591+F$3,F$2)&lt;&gt;"",1,0),0)</f>
        <v/>
      </c>
      <c r="G49">
        <f>IF(G$4=1,IF(INDEX('×入力'!$C$1:$L$700,591+G$3,G$2)&lt;&gt;"",1,0),0)</f>
        <v/>
      </c>
      <c r="H49">
        <f>IF(H$4=1,IF(INDEX('×入力'!$C$1:$L$700,591+H$3,H$2)&lt;&gt;"",1,0),0)</f>
        <v/>
      </c>
      <c r="I49">
        <f>IF(I$4=1,IF(INDEX('×入力'!$C$1:$L$700,591+I$3,I$2)&lt;&gt;"",1,0),0)</f>
        <v/>
      </c>
      <c r="J49">
        <f>IF(J$4=1,IF(INDEX('×入力'!$C$1:$L$700,591+J$3,J$2)&lt;&gt;"",1,0),0)</f>
        <v/>
      </c>
      <c r="K49">
        <f>IF(K$4=1,IF(INDEX('×入力'!$C$1:$L$700,591+K$3,K$2)&lt;&gt;"",1,0),0)</f>
        <v/>
      </c>
      <c r="L49">
        <f>IF(L$4=1,IF(INDEX('×入力'!$C$1:$L$700,591+L$3,L$2)&lt;&gt;"",1,0),0)</f>
        <v/>
      </c>
      <c r="M49">
        <f>IF(M$4=1,IF(INDEX('×入力'!$C$1:$L$700,591+M$3,M$2)&lt;&gt;"",1,0),0)</f>
        <v/>
      </c>
      <c r="N49">
        <f>IF(N$4=1,IF(INDEX('×入力'!$C$1:$L$700,591+N$3,N$2)&lt;&gt;"",1,0),0)</f>
        <v/>
      </c>
      <c r="O49">
        <f>IF(O$4=1,IF(INDEX('×入力'!$C$1:$L$700,591+O$3,O$2)&lt;&gt;"",1,0),0)</f>
        <v/>
      </c>
      <c r="P49">
        <f>IF(P$4=1,IF(INDEX('×入力'!$C$1:$L$700,591+P$3,P$2)&lt;&gt;"",1,0),0)</f>
        <v/>
      </c>
      <c r="Q49">
        <f>IF(Q$4=1,IF(INDEX('×入力'!$C$1:$L$700,591+Q$3,Q$2)&lt;&gt;"",1,0),0)</f>
        <v/>
      </c>
      <c r="R49">
        <f>IF(R$4=1,IF(INDEX('×入力'!$C$1:$L$700,591+R$3,R$2)&lt;&gt;"",1,0),0)</f>
        <v/>
      </c>
      <c r="S49">
        <f>IF(S$4=1,IF(INDEX('×入力'!$C$1:$L$700,591+S$3,S$2)&lt;&gt;"",1,0),0)</f>
        <v/>
      </c>
      <c r="T49">
        <f>IF(T$4=1,IF(INDEX('×入力'!$C$1:$L$700,591+T$3,T$2)&lt;&gt;"",1,0),0)</f>
        <v/>
      </c>
      <c r="U49">
        <f>IF(U$4=1,IF(INDEX('×入力'!$C$1:$L$700,591+U$3,U$2)&lt;&gt;"",1,0),0)</f>
        <v/>
      </c>
      <c r="V49">
        <f>IF(V$4=1,IF(INDEX('×入力'!$C$1:$L$700,591+V$3,V$2)&lt;&gt;"",1,0),0)</f>
        <v/>
      </c>
      <c r="W49">
        <f>IF(W$4=1,IF(INDEX('×入力'!$C$1:$L$700,591+W$3,W$2)&lt;&gt;"",1,0),0)</f>
        <v/>
      </c>
      <c r="X49">
        <f>IF(X$4=1,IF(INDEX('×入力'!$C$1:$L$700,591+X$3,X$2)&lt;&gt;"",1,0),0)</f>
        <v/>
      </c>
      <c r="Y49">
        <f>IF(Y$4=1,IF(INDEX('×入力'!$C$1:$L$700,591+Y$3,Y$2)&lt;&gt;"",1,0),0)</f>
        <v/>
      </c>
      <c r="Z49">
        <f>IF(Z$4=1,IF(INDEX('×入力'!$C$1:$L$700,591+Z$3,Z$2)&lt;&gt;"",1,0),0)</f>
        <v/>
      </c>
      <c r="AA49">
        <f>IF(AA$4=1,IF(INDEX('×入力'!$C$1:$L$700,591+AA$3,AA$2)&lt;&gt;"",1,0),0)</f>
        <v/>
      </c>
      <c r="AB49">
        <f>IF(AB$4=1,IF(INDEX('×入力'!$C$1:$L$700,591+AB$3,AB$2)&lt;&gt;"",1,0),0)</f>
        <v/>
      </c>
      <c r="AC49">
        <f>IF(AC$4=1,IF(INDEX('×入力'!$C$1:$L$700,591+AC$3,AC$2)&lt;&gt;"",1,0),0)</f>
        <v/>
      </c>
      <c r="AD49">
        <f>IF(AD$4=1,IF(INDEX('×入力'!$C$1:$L$700,591+AD$3,AD$2)&lt;&gt;"",1,0),0)</f>
        <v/>
      </c>
      <c r="AE49">
        <f>IF(AE$4=1,IF(INDEX('×入力'!$C$1:$L$700,591+AE$3,AE$2)&lt;&gt;"",1,0),0)</f>
        <v/>
      </c>
      <c r="AF49">
        <f>IF(AF$4=1,IF(INDEX('×入力'!$C$1:$L$700,591+AF$3,AF$2)&lt;&gt;"",1,0),0)</f>
        <v/>
      </c>
      <c r="AG49">
        <f>IF(AG$4=1,IF(INDEX('×入力'!$C$1:$L$700,591+AG$3,AG$2)&lt;&gt;"",1,0),0)</f>
        <v/>
      </c>
      <c r="AH49">
        <f>IF(AH$4=1,IF(INDEX('×入力'!$C$1:$L$700,591+AH$3,AH$2)&lt;&gt;"",1,0),0)</f>
        <v/>
      </c>
      <c r="AI49">
        <f>IF(AI$4=1,IF(INDEX('×入力'!$C$1:$L$700,591+AI$3,AI$2)&lt;&gt;"",1,0),0)</f>
        <v/>
      </c>
      <c r="AJ49">
        <f>IF(AJ$4=1,IF(INDEX('×入力'!$C$1:$L$700,591+AJ$3,AJ$2)&lt;&gt;"",1,0),0)</f>
        <v/>
      </c>
      <c r="AK49">
        <f>IF(AK$4=1,IF(INDEX('×入力'!$C$1:$L$700,591+AK$3,AK$2)&lt;&gt;"",1,0),0)</f>
        <v/>
      </c>
      <c r="AL49">
        <f>IF(AL$4=1,IF(INDEX('×入力'!$C$1:$L$700,591+AL$3,AL$2)&lt;&gt;"",1,0),0)</f>
        <v/>
      </c>
      <c r="AM49">
        <f>IF(AM$4=1,IF(INDEX('×入力'!$C$1:$L$700,591+AM$3,AM$2)&lt;&gt;"",1,0),0)</f>
        <v/>
      </c>
      <c r="AN49">
        <f>IF(AN$4=1,IF(INDEX('×入力'!$C$1:$L$700,591+AN$3,AN$2)&lt;&gt;"",1,0),0)</f>
        <v/>
      </c>
      <c r="AO49">
        <f>IF(AO$4=1,IF(INDEX('×入力'!$C$1:$L$700,591+AO$3,AO$2)&lt;&gt;"",1,0),0)</f>
        <v/>
      </c>
      <c r="AP49">
        <f>IF(AP$4=1,IF(INDEX('×入力'!$C$1:$L$700,591+AP$3,AP$2)&lt;&gt;"",1,0),0)</f>
        <v/>
      </c>
      <c r="AQ49">
        <f>IF(AQ$4=1,IF(INDEX('×入力'!$C$1:$L$700,591+AQ$3,AQ$2)&lt;&gt;"",1,0),0)</f>
        <v/>
      </c>
      <c r="AR49">
        <f>IF(AR$4=1,IF(INDEX('×入力'!$C$1:$L$700,591+AR$3,AR$2)&lt;&gt;"",1,0),0)</f>
        <v/>
      </c>
      <c r="AS49">
        <f>IF(AS$4=1,IF(INDEX('×入力'!$C$1:$L$700,591+AS$3,AS$2)&lt;&gt;"",1,0),0)</f>
        <v/>
      </c>
      <c r="AT49">
        <f>IF(AT$4=1,IF(INDEX('×入力'!$C$1:$L$700,591+AT$3,AT$2)&lt;&gt;"",1,0),0)</f>
        <v/>
      </c>
      <c r="AU49">
        <f>IF(AU$4=1,IF(INDEX('×入力'!$C$1:$L$700,591+AU$3,AU$2)&lt;&gt;"",1,0),0)</f>
        <v/>
      </c>
      <c r="AV49">
        <f>IF(AV$4=1,IF(INDEX('×入力'!$C$1:$L$700,591+AV$3,AV$2)&lt;&gt;"",1,0),0)</f>
        <v/>
      </c>
      <c r="AW49">
        <f>IF(AW$4=1,IF(INDEX('×入力'!$C$1:$L$700,591+AW$3,AW$2)&lt;&gt;"",1,0),0)</f>
        <v/>
      </c>
      <c r="AX49">
        <f>IF(AX$4=1,IF(INDEX('×入力'!$C$1:$L$700,591+AX$3,AX$2)&lt;&gt;"",1,0),0)</f>
        <v/>
      </c>
      <c r="AY49">
        <f>IF(AY$4=1,IF(INDEX('×入力'!$C$1:$L$700,591+AY$3,AY$2)&lt;&gt;"",1,0),0)</f>
        <v/>
      </c>
      <c r="AZ49">
        <f>IF(AZ$4=1,IF(INDEX('×入力'!$C$1:$L$700,591+AZ$3,AZ$2)&lt;&gt;"",1,0),0)</f>
        <v/>
      </c>
      <c r="BA49">
        <f>IF(BA$4=1,IF(INDEX('×入力'!$C$1:$L$700,591+BA$3,BA$2)&lt;&gt;"",1,0),0)</f>
        <v/>
      </c>
      <c r="BB49">
        <f>IF(BB$4=1,IF(INDEX('×入力'!$C$1:$L$700,591+BB$3,BB$2)&lt;&gt;"",1,0),0)</f>
        <v/>
      </c>
      <c r="BC49">
        <f>IF(BC$4=1,IF(INDEX('×入力'!$C$1:$L$700,591+BC$3,BC$2)&lt;&gt;"",1,0),0)</f>
        <v/>
      </c>
      <c r="BD49">
        <f>IF(BD$4=1,IF(INDEX('×入力'!$C$1:$L$700,591+BD$3,BD$2)&lt;&gt;"",1,0),0)</f>
        <v/>
      </c>
      <c r="BE49">
        <f>IF(BE$4=1,IF(INDEX('×入力'!$C$1:$L$700,591+BE$3,BE$2)&lt;&gt;"",1,0),0)</f>
        <v/>
      </c>
      <c r="BF49">
        <f>IF(BF$4=1,IF(INDEX('×入力'!$C$1:$L$700,591+BF$3,BF$2)&lt;&gt;"",1,0),0)</f>
        <v/>
      </c>
      <c r="BG49">
        <f>IF(BG$4=1,IF(INDEX('×入力'!$C$1:$L$700,591+BG$3,BG$2)&lt;&gt;"",1,0),0)</f>
        <v/>
      </c>
      <c r="BH49">
        <f>IF(BH$4=1,IF(INDEX('×入力'!$C$1:$L$700,591+BH$3,BH$2)&lt;&gt;"",1,0),0)</f>
        <v/>
      </c>
      <c r="BI49">
        <f>IF(BI$4=1,IF(INDEX('×入力'!$C$1:$L$700,591+BI$3,BI$2)&lt;&gt;"",1,0),0)</f>
        <v/>
      </c>
      <c r="BJ49">
        <f>IF(BJ$4=1,IF(INDEX('×入力'!$C$1:$L$700,591+BJ$3,BJ$2)&lt;&gt;"",1,0),0)</f>
        <v/>
      </c>
      <c r="BK49">
        <f>IF(BK$4=1,IF(INDEX('×入力'!$C$1:$L$700,591+BK$3,BK$2)&lt;&gt;"",1,0),0)</f>
        <v/>
      </c>
      <c r="BL49">
        <f>IF(BL$4=1,IF(INDEX('×入力'!$C$1:$L$700,591+BL$3,BL$2)&lt;&gt;"",1,0),0)</f>
        <v/>
      </c>
      <c r="BM49">
        <f>IF(BM$4=1,IF(INDEX('×入力'!$C$1:$L$700,591+BM$3,BM$2)&lt;&gt;"",1,0),0)</f>
        <v/>
      </c>
      <c r="BN49">
        <f>IF(BN$4=1,IF(INDEX('×入力'!$C$1:$L$700,591+BN$3,BN$2)&lt;&gt;"",1,0),0)</f>
        <v/>
      </c>
      <c r="BO49">
        <f>IF(BO$4=1,IF(INDEX('×入力'!$C$1:$L$700,591+BO$3,BO$2)&lt;&gt;"",1,0),0)</f>
        <v/>
      </c>
      <c r="BP49">
        <f>IF(BP$4=1,IF(INDEX('×入力'!$C$1:$L$700,591+BP$3,BP$2)&lt;&gt;"",1,0),0)</f>
        <v/>
      </c>
      <c r="BQ49">
        <f>IF(BQ$4=1,IF(INDEX('×入力'!$C$1:$L$700,591+BQ$3,BQ$2)&lt;&gt;"",1,0),0)</f>
        <v/>
      </c>
      <c r="BR49">
        <f>IF(BR$4=1,IF(INDEX('×入力'!$C$1:$L$700,591+BR$3,BR$2)&lt;&gt;"",1,0),0)</f>
        <v/>
      </c>
      <c r="BS49">
        <f>IF(BS$4=1,IF(INDEX('×入力'!$C$1:$L$700,591+BS$3,BS$2)&lt;&gt;"",1,0),0)</f>
        <v/>
      </c>
      <c r="BT49">
        <f>IF(BT$4=1,IF(INDEX('×入力'!$C$1:$L$700,591+BT$3,BT$2)&lt;&gt;"",1,0),0)</f>
        <v/>
      </c>
      <c r="BU49">
        <f>IF(BU$4=1,IF(INDEX('×入力'!$C$1:$L$700,591+BU$3,BU$2)&lt;&gt;"",1,0),0)</f>
        <v/>
      </c>
      <c r="BV49">
        <f>IF(BV$4=1,IF(INDEX('×入力'!$C$1:$L$700,591+BV$3,BV$2)&lt;&gt;"",1,0),0)</f>
        <v/>
      </c>
      <c r="BW49">
        <f>IF(BW$4=1,IF(INDEX('×入力'!$C$1:$L$700,591+BW$3,BW$2)&lt;&gt;"",1,0),0)</f>
        <v/>
      </c>
      <c r="BX49">
        <f>IF(BX$4=1,IF(INDEX('×入力'!$C$1:$L$700,591+BX$3,BX$2)&lt;&gt;"",1,0),0)</f>
        <v/>
      </c>
      <c r="BY49">
        <f>IF(BY$4=1,IF(INDEX('×入力'!$C$1:$L$700,591+BY$3,BY$2)&lt;&gt;"",1,0),0)</f>
        <v/>
      </c>
      <c r="BZ49">
        <f>IF(BZ$4=1,IF(INDEX('×入力'!$C$1:$L$700,591+BZ$3,BZ$2)&lt;&gt;"",1,0),0)</f>
        <v/>
      </c>
      <c r="CA49">
        <f>IF(CA$4=1,IF(INDEX('×入力'!$C$1:$L$700,591+CA$3,CA$2)&lt;&gt;"",1,0),0)</f>
        <v/>
      </c>
      <c r="CB49">
        <f>IF(CB$4=1,IF(INDEX('×入力'!$C$1:$L$700,591+CB$3,CB$2)&lt;&gt;"",1,0),0)</f>
        <v/>
      </c>
      <c r="CC49">
        <f>IF(CC$4=1,IF(INDEX('×入力'!$C$1:$L$700,591+CC$3,CC$2)&lt;&gt;"",1,0),0)</f>
        <v/>
      </c>
      <c r="CD49">
        <f>IF(CD$4=1,IF(INDEX('×入力'!$C$1:$L$700,591+CD$3,CD$2)&lt;&gt;"",1,0),0)</f>
        <v/>
      </c>
      <c r="CE49">
        <f>IF(CE$4=1,IF(INDEX('×入力'!$C$1:$L$700,591+CE$3,CE$2)&lt;&gt;"",1,0),0)</f>
        <v/>
      </c>
      <c r="CF49">
        <f>IF(CF$4=1,IF(INDEX('×入力'!$C$1:$L$700,591+CF$3,CF$2)&lt;&gt;"",1,0),0)</f>
        <v/>
      </c>
      <c r="CG49">
        <f>IF(CG$4=1,IF(INDEX('×入力'!$C$1:$L$700,591+CG$3,CG$2)&lt;&gt;"",1,0),0)</f>
        <v/>
      </c>
      <c r="CH49">
        <f>IF(CH$4=1,IF(INDEX('×入力'!$C$1:$L$700,591+CH$3,CH$2)&lt;&gt;"",1,0),0)</f>
        <v/>
      </c>
      <c r="CI49">
        <f>IF(CI$4=1,IF(INDEX('×入力'!$C$1:$L$700,591+CI$3,CI$2)&lt;&gt;"",1,0),0)</f>
        <v/>
      </c>
      <c r="CJ49">
        <f>IF(CJ$4=1,IF(INDEX('×入力'!$C$1:$L$700,591+CJ$3,CJ$2)&lt;&gt;"",1,0),0)</f>
        <v/>
      </c>
      <c r="CK49">
        <f>IF(CK$4=1,IF(INDEX('×入力'!$C$1:$L$700,591+CK$3,CK$2)&lt;&gt;"",1,0),0)</f>
        <v/>
      </c>
      <c r="CL49">
        <f>IF(CL$4=1,IF(INDEX('×入力'!$C$1:$L$700,591+CL$3,CL$2)&lt;&gt;"",1,0),0)</f>
        <v/>
      </c>
      <c r="CM49">
        <f>IF(CM$4=1,IF(INDEX('×入力'!$C$1:$L$700,591+CM$3,CM$2)&lt;&gt;"",1,0),0)</f>
        <v/>
      </c>
      <c r="CN49">
        <f>IF(CN$4=1,IF(INDEX('×入力'!$C$1:$L$700,591+CN$3,CN$2)&lt;&gt;"",1,0),0)</f>
        <v/>
      </c>
      <c r="CO49">
        <f>IF(CO$4=1,IF(INDEX('×入力'!$C$1:$L$700,591+CO$3,CO$2)&lt;&gt;"",1,0),0)</f>
        <v/>
      </c>
      <c r="CP49">
        <f>IF(CP$4=1,IF(INDEX('×入力'!$C$1:$L$700,591+CP$3,CP$2)&lt;&gt;"",1,0),0)</f>
        <v/>
      </c>
      <c r="CQ49">
        <f>IF(CQ$4=1,IF(INDEX('×入力'!$C$1:$L$700,591+CQ$3,CQ$2)&lt;&gt;"",1,0),0)</f>
        <v/>
      </c>
      <c r="CR49">
        <f>IF(CR$4=1,IF(INDEX('×入力'!$C$1:$L$700,591+CR$3,CR$2)&lt;&gt;"",1,0),0)</f>
        <v/>
      </c>
      <c r="CS49">
        <f>IF(CS$4=1,IF(INDEX('×入力'!$C$1:$L$700,591+CS$3,CS$2)&lt;&gt;"",1,0),0)</f>
        <v/>
      </c>
      <c r="CT49">
        <f>IF(CT$4=1,IF(INDEX('×入力'!$C$1:$L$700,591+CT$3,CT$2)&lt;&gt;"",1,0),0)</f>
        <v/>
      </c>
      <c r="CU49">
        <f>IF(CU$4=1,IF(INDEX('×入力'!$C$1:$L$700,591+CU$3,CU$2)&lt;&gt;"",1,0),0)</f>
        <v/>
      </c>
      <c r="CV49">
        <f>IF(CV$4=1,IF(INDEX('×入力'!$C$1:$L$700,591+CV$3,CV$2)&lt;&gt;"",1,0),0)</f>
        <v/>
      </c>
      <c r="CW49">
        <f>IF(CW$4=1,IF(INDEX('×入力'!$C$1:$L$700,591+CW$3,CW$2)&lt;&gt;"",1,0),0)</f>
        <v/>
      </c>
      <c r="CX49">
        <f>IF(CX$4=1,IF(INDEX('×入力'!$C$1:$L$700,591+CX$3,CX$2)&lt;&gt;"",1,0),0)</f>
        <v/>
      </c>
      <c r="CY49">
        <f>IF(CY$4=1,IF(INDEX('×入力'!$C$1:$L$700,591+CY$3,CY$2)&lt;&gt;"",1,0),0)</f>
        <v/>
      </c>
      <c r="CZ49">
        <f>IF(CZ$4=1,IF(INDEX('×入力'!$C$1:$L$700,591+CZ$3,CZ$2)&lt;&gt;"",1,0),0)</f>
        <v/>
      </c>
      <c r="DA49">
        <f>IF(DA$4=1,IF(INDEX('×入力'!$C$1:$L$700,591+DA$3,DA$2)&lt;&gt;"",1,0),0)</f>
        <v/>
      </c>
      <c r="DB49">
        <f>IF(DB$4=1,IF(INDEX('×入力'!$C$1:$L$700,591+DB$3,DB$2)&lt;&gt;"",1,0),0)</f>
        <v/>
      </c>
      <c r="DC49">
        <f>IF(DC$4=1,IF(INDEX('×入力'!$C$1:$L$700,591+DC$3,DC$2)&lt;&gt;"",1,0),0)</f>
        <v/>
      </c>
      <c r="DD49">
        <f>IF(DD$4=1,IF(INDEX('×入力'!$C$1:$L$700,591+DD$3,DD$2)&lt;&gt;"",1,0),0)</f>
        <v/>
      </c>
      <c r="DE49">
        <f>IF(DE$4=1,IF(INDEX('×入力'!$C$1:$L$700,591+DE$3,DE$2)&lt;&gt;"",1,0),0)</f>
        <v/>
      </c>
      <c r="DF49">
        <f>IF(DF$4=1,IF(INDEX('×入力'!$C$1:$L$700,591+DF$3,DF$2)&lt;&gt;"",1,0),0)</f>
        <v/>
      </c>
      <c r="DG49">
        <f>IF(DG$4=1,IF(INDEX('×入力'!$C$1:$L$700,591+DG$3,DG$2)&lt;&gt;"",1,0),0)</f>
        <v/>
      </c>
      <c r="DH49">
        <f>IF(DH$4=1,IF(INDEX('×入力'!$C$1:$L$700,591+DH$3,DH$2)&lt;&gt;"",1,0),0)</f>
        <v/>
      </c>
      <c r="DI49">
        <f>IF(DI$4=1,IF(INDEX('×入力'!$C$1:$L$700,591+DI$3,DI$2)&lt;&gt;"",1,0),0)</f>
        <v/>
      </c>
      <c r="DJ49">
        <f>IF(DJ$4=1,IF(INDEX('×入力'!$C$1:$L$700,591+DJ$3,DJ$2)&lt;&gt;"",1,0),0)</f>
        <v/>
      </c>
      <c r="DK49">
        <f>IF(DK$4=1,IF(INDEX('×入力'!$C$1:$L$700,591+DK$3,DK$2)&lt;&gt;"",1,0),0)</f>
        <v/>
      </c>
      <c r="DL49">
        <f>IF(DL$4=1,IF(INDEX('×入力'!$C$1:$L$700,591+DL$3,DL$2)&lt;&gt;"",1,0),0)</f>
        <v/>
      </c>
      <c r="DM49">
        <f>IF(DM$4=1,IF(INDEX('×入力'!$C$1:$L$700,591+DM$3,DM$2)&lt;&gt;"",1,0),0)</f>
        <v/>
      </c>
      <c r="DN49">
        <f>IF(DN$4=1,IF(INDEX('×入力'!$C$1:$L$700,591+DN$3,DN$2)&lt;&gt;"",1,0),0)</f>
        <v/>
      </c>
      <c r="DO49">
        <f>IF(DO$4=1,IF(INDEX('×入力'!$C$1:$L$700,591+DO$3,DO$2)&lt;&gt;"",1,0),0)</f>
        <v/>
      </c>
      <c r="DP49">
        <f>IF(DP$4=1,IF(INDEX('×入力'!$C$1:$L$700,591+DP$3,DP$2)&lt;&gt;"",1,0),0)</f>
        <v/>
      </c>
      <c r="DQ49">
        <f>IF(DQ$4=1,IF(INDEX('×入力'!$C$1:$L$700,591+DQ$3,DQ$2)&lt;&gt;"",1,0),0)</f>
        <v/>
      </c>
      <c r="DR49">
        <f>IF(DR$4=1,IF(INDEX('×入力'!$C$1:$L$700,591+DR$3,DR$2)&lt;&gt;"",1,0),0)</f>
        <v/>
      </c>
      <c r="DS49">
        <f>IF(DS$4=1,IF(INDEX('×入力'!$C$1:$L$700,591+DS$3,DS$2)&lt;&gt;"",1,0),0)</f>
        <v/>
      </c>
      <c r="DU49">
        <f>IFERROR(INDEX('計算B'!$C$3:$C$47,MATCH(A49,'計算B'!$B$3:$B$47,0)),0)</f>
        <v/>
      </c>
      <c r="DV49">
        <f>IF(AND(C49=1,DU49=0),1,0)</f>
        <v/>
      </c>
      <c r="DW49">
        <f>SUMPRODUCT(D99:DS99*(1-$D$7:$DS$7))</f>
        <v/>
      </c>
      <c r="DX49">
        <f>SUM(D49:DS49)</f>
        <v/>
      </c>
      <c r="DY49">
        <f>IF(B49="",0,IF(COUNTIF('割り当て'!$C$6:$L$17,B49)=1,SUMPRODUCT(('割り当て'!$C$6:$L$17=B49)*((COLUMN('割り当て'!$C$6:$L$17)-3)*12+ROW('割り当て'!$C$6:$L$17)-5)),0))</f>
        <v/>
      </c>
      <c r="DZ49">
        <f>IFERROR(MATCH('名簿'!E44,{"早い時刻","遅い時刻","早い日","遅い日"},0),0)</f>
        <v/>
      </c>
      <c r="EA49">
        <f>IF('名簿'!F44="必ず空けたい",2,IF('名簿'!F44="出来れば空けたい",1,0))</f>
        <v/>
      </c>
    </row>
    <row r="50">
      <c r="A50" t="n">
        <v>41</v>
      </c>
      <c r="B50">
        <f>'名簿'!G45</f>
        <v/>
      </c>
      <c r="C50">
        <f>IF(AND(B50&lt;&gt;"",OR('名簿'!H45="入力済み",'名簿'!H45="×なし"),DY50=0,COUNTIF('割り当て'!$C$6:$L$17,B50)=0),1,0)</f>
        <v/>
      </c>
      <c r="D50">
        <f>IF(D$4=1,IF(INDEX('×入力'!$C$1:$L$700,606+D$3,D$2)&lt;&gt;"",1,0),0)</f>
        <v/>
      </c>
      <c r="E50">
        <f>IF(E$4=1,IF(INDEX('×入力'!$C$1:$L$700,606+E$3,E$2)&lt;&gt;"",1,0),0)</f>
        <v/>
      </c>
      <c r="F50">
        <f>IF(F$4=1,IF(INDEX('×入力'!$C$1:$L$700,606+F$3,F$2)&lt;&gt;"",1,0),0)</f>
        <v/>
      </c>
      <c r="G50">
        <f>IF(G$4=1,IF(INDEX('×入力'!$C$1:$L$700,606+G$3,G$2)&lt;&gt;"",1,0),0)</f>
        <v/>
      </c>
      <c r="H50">
        <f>IF(H$4=1,IF(INDEX('×入力'!$C$1:$L$700,606+H$3,H$2)&lt;&gt;"",1,0),0)</f>
        <v/>
      </c>
      <c r="I50">
        <f>IF(I$4=1,IF(INDEX('×入力'!$C$1:$L$700,606+I$3,I$2)&lt;&gt;"",1,0),0)</f>
        <v/>
      </c>
      <c r="J50">
        <f>IF(J$4=1,IF(INDEX('×入力'!$C$1:$L$700,606+J$3,J$2)&lt;&gt;"",1,0),0)</f>
        <v/>
      </c>
      <c r="K50">
        <f>IF(K$4=1,IF(INDEX('×入力'!$C$1:$L$700,606+K$3,K$2)&lt;&gt;"",1,0),0)</f>
        <v/>
      </c>
      <c r="L50">
        <f>IF(L$4=1,IF(INDEX('×入力'!$C$1:$L$700,606+L$3,L$2)&lt;&gt;"",1,0),0)</f>
        <v/>
      </c>
      <c r="M50">
        <f>IF(M$4=1,IF(INDEX('×入力'!$C$1:$L$700,606+M$3,M$2)&lt;&gt;"",1,0),0)</f>
        <v/>
      </c>
      <c r="N50">
        <f>IF(N$4=1,IF(INDEX('×入力'!$C$1:$L$700,606+N$3,N$2)&lt;&gt;"",1,0),0)</f>
        <v/>
      </c>
      <c r="O50">
        <f>IF(O$4=1,IF(INDEX('×入力'!$C$1:$L$700,606+O$3,O$2)&lt;&gt;"",1,0),0)</f>
        <v/>
      </c>
      <c r="P50">
        <f>IF(P$4=1,IF(INDEX('×入力'!$C$1:$L$700,606+P$3,P$2)&lt;&gt;"",1,0),0)</f>
        <v/>
      </c>
      <c r="Q50">
        <f>IF(Q$4=1,IF(INDEX('×入力'!$C$1:$L$700,606+Q$3,Q$2)&lt;&gt;"",1,0),0)</f>
        <v/>
      </c>
      <c r="R50">
        <f>IF(R$4=1,IF(INDEX('×入力'!$C$1:$L$700,606+R$3,R$2)&lt;&gt;"",1,0),0)</f>
        <v/>
      </c>
      <c r="S50">
        <f>IF(S$4=1,IF(INDEX('×入力'!$C$1:$L$700,606+S$3,S$2)&lt;&gt;"",1,0),0)</f>
        <v/>
      </c>
      <c r="T50">
        <f>IF(T$4=1,IF(INDEX('×入力'!$C$1:$L$700,606+T$3,T$2)&lt;&gt;"",1,0),0)</f>
        <v/>
      </c>
      <c r="U50">
        <f>IF(U$4=1,IF(INDEX('×入力'!$C$1:$L$700,606+U$3,U$2)&lt;&gt;"",1,0),0)</f>
        <v/>
      </c>
      <c r="V50">
        <f>IF(V$4=1,IF(INDEX('×入力'!$C$1:$L$700,606+V$3,V$2)&lt;&gt;"",1,0),0)</f>
        <v/>
      </c>
      <c r="W50">
        <f>IF(W$4=1,IF(INDEX('×入力'!$C$1:$L$700,606+W$3,W$2)&lt;&gt;"",1,0),0)</f>
        <v/>
      </c>
      <c r="X50">
        <f>IF(X$4=1,IF(INDEX('×入力'!$C$1:$L$700,606+X$3,X$2)&lt;&gt;"",1,0),0)</f>
        <v/>
      </c>
      <c r="Y50">
        <f>IF(Y$4=1,IF(INDEX('×入力'!$C$1:$L$700,606+Y$3,Y$2)&lt;&gt;"",1,0),0)</f>
        <v/>
      </c>
      <c r="Z50">
        <f>IF(Z$4=1,IF(INDEX('×入力'!$C$1:$L$700,606+Z$3,Z$2)&lt;&gt;"",1,0),0)</f>
        <v/>
      </c>
      <c r="AA50">
        <f>IF(AA$4=1,IF(INDEX('×入力'!$C$1:$L$700,606+AA$3,AA$2)&lt;&gt;"",1,0),0)</f>
        <v/>
      </c>
      <c r="AB50">
        <f>IF(AB$4=1,IF(INDEX('×入力'!$C$1:$L$700,606+AB$3,AB$2)&lt;&gt;"",1,0),0)</f>
        <v/>
      </c>
      <c r="AC50">
        <f>IF(AC$4=1,IF(INDEX('×入力'!$C$1:$L$700,606+AC$3,AC$2)&lt;&gt;"",1,0),0)</f>
        <v/>
      </c>
      <c r="AD50">
        <f>IF(AD$4=1,IF(INDEX('×入力'!$C$1:$L$700,606+AD$3,AD$2)&lt;&gt;"",1,0),0)</f>
        <v/>
      </c>
      <c r="AE50">
        <f>IF(AE$4=1,IF(INDEX('×入力'!$C$1:$L$700,606+AE$3,AE$2)&lt;&gt;"",1,0),0)</f>
        <v/>
      </c>
      <c r="AF50">
        <f>IF(AF$4=1,IF(INDEX('×入力'!$C$1:$L$700,606+AF$3,AF$2)&lt;&gt;"",1,0),0)</f>
        <v/>
      </c>
      <c r="AG50">
        <f>IF(AG$4=1,IF(INDEX('×入力'!$C$1:$L$700,606+AG$3,AG$2)&lt;&gt;"",1,0),0)</f>
        <v/>
      </c>
      <c r="AH50">
        <f>IF(AH$4=1,IF(INDEX('×入力'!$C$1:$L$700,606+AH$3,AH$2)&lt;&gt;"",1,0),0)</f>
        <v/>
      </c>
      <c r="AI50">
        <f>IF(AI$4=1,IF(INDEX('×入力'!$C$1:$L$700,606+AI$3,AI$2)&lt;&gt;"",1,0),0)</f>
        <v/>
      </c>
      <c r="AJ50">
        <f>IF(AJ$4=1,IF(INDEX('×入力'!$C$1:$L$700,606+AJ$3,AJ$2)&lt;&gt;"",1,0),0)</f>
        <v/>
      </c>
      <c r="AK50">
        <f>IF(AK$4=1,IF(INDEX('×入力'!$C$1:$L$700,606+AK$3,AK$2)&lt;&gt;"",1,0),0)</f>
        <v/>
      </c>
      <c r="AL50">
        <f>IF(AL$4=1,IF(INDEX('×入力'!$C$1:$L$700,606+AL$3,AL$2)&lt;&gt;"",1,0),0)</f>
        <v/>
      </c>
      <c r="AM50">
        <f>IF(AM$4=1,IF(INDEX('×入力'!$C$1:$L$700,606+AM$3,AM$2)&lt;&gt;"",1,0),0)</f>
        <v/>
      </c>
      <c r="AN50">
        <f>IF(AN$4=1,IF(INDEX('×入力'!$C$1:$L$700,606+AN$3,AN$2)&lt;&gt;"",1,0),0)</f>
        <v/>
      </c>
      <c r="AO50">
        <f>IF(AO$4=1,IF(INDEX('×入力'!$C$1:$L$700,606+AO$3,AO$2)&lt;&gt;"",1,0),0)</f>
        <v/>
      </c>
      <c r="AP50">
        <f>IF(AP$4=1,IF(INDEX('×入力'!$C$1:$L$700,606+AP$3,AP$2)&lt;&gt;"",1,0),0)</f>
        <v/>
      </c>
      <c r="AQ50">
        <f>IF(AQ$4=1,IF(INDEX('×入力'!$C$1:$L$700,606+AQ$3,AQ$2)&lt;&gt;"",1,0),0)</f>
        <v/>
      </c>
      <c r="AR50">
        <f>IF(AR$4=1,IF(INDEX('×入力'!$C$1:$L$700,606+AR$3,AR$2)&lt;&gt;"",1,0),0)</f>
        <v/>
      </c>
      <c r="AS50">
        <f>IF(AS$4=1,IF(INDEX('×入力'!$C$1:$L$700,606+AS$3,AS$2)&lt;&gt;"",1,0),0)</f>
        <v/>
      </c>
      <c r="AT50">
        <f>IF(AT$4=1,IF(INDEX('×入力'!$C$1:$L$700,606+AT$3,AT$2)&lt;&gt;"",1,0),0)</f>
        <v/>
      </c>
      <c r="AU50">
        <f>IF(AU$4=1,IF(INDEX('×入力'!$C$1:$L$700,606+AU$3,AU$2)&lt;&gt;"",1,0),0)</f>
        <v/>
      </c>
      <c r="AV50">
        <f>IF(AV$4=1,IF(INDEX('×入力'!$C$1:$L$700,606+AV$3,AV$2)&lt;&gt;"",1,0),0)</f>
        <v/>
      </c>
      <c r="AW50">
        <f>IF(AW$4=1,IF(INDEX('×入力'!$C$1:$L$700,606+AW$3,AW$2)&lt;&gt;"",1,0),0)</f>
        <v/>
      </c>
      <c r="AX50">
        <f>IF(AX$4=1,IF(INDEX('×入力'!$C$1:$L$700,606+AX$3,AX$2)&lt;&gt;"",1,0),0)</f>
        <v/>
      </c>
      <c r="AY50">
        <f>IF(AY$4=1,IF(INDEX('×入力'!$C$1:$L$700,606+AY$3,AY$2)&lt;&gt;"",1,0),0)</f>
        <v/>
      </c>
      <c r="AZ50">
        <f>IF(AZ$4=1,IF(INDEX('×入力'!$C$1:$L$700,606+AZ$3,AZ$2)&lt;&gt;"",1,0),0)</f>
        <v/>
      </c>
      <c r="BA50">
        <f>IF(BA$4=1,IF(INDEX('×入力'!$C$1:$L$700,606+BA$3,BA$2)&lt;&gt;"",1,0),0)</f>
        <v/>
      </c>
      <c r="BB50">
        <f>IF(BB$4=1,IF(INDEX('×入力'!$C$1:$L$700,606+BB$3,BB$2)&lt;&gt;"",1,0),0)</f>
        <v/>
      </c>
      <c r="BC50">
        <f>IF(BC$4=1,IF(INDEX('×入力'!$C$1:$L$700,606+BC$3,BC$2)&lt;&gt;"",1,0),0)</f>
        <v/>
      </c>
      <c r="BD50">
        <f>IF(BD$4=1,IF(INDEX('×入力'!$C$1:$L$700,606+BD$3,BD$2)&lt;&gt;"",1,0),0)</f>
        <v/>
      </c>
      <c r="BE50">
        <f>IF(BE$4=1,IF(INDEX('×入力'!$C$1:$L$700,606+BE$3,BE$2)&lt;&gt;"",1,0),0)</f>
        <v/>
      </c>
      <c r="BF50">
        <f>IF(BF$4=1,IF(INDEX('×入力'!$C$1:$L$700,606+BF$3,BF$2)&lt;&gt;"",1,0),0)</f>
        <v/>
      </c>
      <c r="BG50">
        <f>IF(BG$4=1,IF(INDEX('×入力'!$C$1:$L$700,606+BG$3,BG$2)&lt;&gt;"",1,0),0)</f>
        <v/>
      </c>
      <c r="BH50">
        <f>IF(BH$4=1,IF(INDEX('×入力'!$C$1:$L$700,606+BH$3,BH$2)&lt;&gt;"",1,0),0)</f>
        <v/>
      </c>
      <c r="BI50">
        <f>IF(BI$4=1,IF(INDEX('×入力'!$C$1:$L$700,606+BI$3,BI$2)&lt;&gt;"",1,0),0)</f>
        <v/>
      </c>
      <c r="BJ50">
        <f>IF(BJ$4=1,IF(INDEX('×入力'!$C$1:$L$700,606+BJ$3,BJ$2)&lt;&gt;"",1,0),0)</f>
        <v/>
      </c>
      <c r="BK50">
        <f>IF(BK$4=1,IF(INDEX('×入力'!$C$1:$L$700,606+BK$3,BK$2)&lt;&gt;"",1,0),0)</f>
        <v/>
      </c>
      <c r="BL50">
        <f>IF(BL$4=1,IF(INDEX('×入力'!$C$1:$L$700,606+BL$3,BL$2)&lt;&gt;"",1,0),0)</f>
        <v/>
      </c>
      <c r="BM50">
        <f>IF(BM$4=1,IF(INDEX('×入力'!$C$1:$L$700,606+BM$3,BM$2)&lt;&gt;"",1,0),0)</f>
        <v/>
      </c>
      <c r="BN50">
        <f>IF(BN$4=1,IF(INDEX('×入力'!$C$1:$L$700,606+BN$3,BN$2)&lt;&gt;"",1,0),0)</f>
        <v/>
      </c>
      <c r="BO50">
        <f>IF(BO$4=1,IF(INDEX('×入力'!$C$1:$L$700,606+BO$3,BO$2)&lt;&gt;"",1,0),0)</f>
        <v/>
      </c>
      <c r="BP50">
        <f>IF(BP$4=1,IF(INDEX('×入力'!$C$1:$L$700,606+BP$3,BP$2)&lt;&gt;"",1,0),0)</f>
        <v/>
      </c>
      <c r="BQ50">
        <f>IF(BQ$4=1,IF(INDEX('×入力'!$C$1:$L$700,606+BQ$3,BQ$2)&lt;&gt;"",1,0),0)</f>
        <v/>
      </c>
      <c r="BR50">
        <f>IF(BR$4=1,IF(INDEX('×入力'!$C$1:$L$700,606+BR$3,BR$2)&lt;&gt;"",1,0),0)</f>
        <v/>
      </c>
      <c r="BS50">
        <f>IF(BS$4=1,IF(INDEX('×入力'!$C$1:$L$700,606+BS$3,BS$2)&lt;&gt;"",1,0),0)</f>
        <v/>
      </c>
      <c r="BT50">
        <f>IF(BT$4=1,IF(INDEX('×入力'!$C$1:$L$700,606+BT$3,BT$2)&lt;&gt;"",1,0),0)</f>
        <v/>
      </c>
      <c r="BU50">
        <f>IF(BU$4=1,IF(INDEX('×入力'!$C$1:$L$700,606+BU$3,BU$2)&lt;&gt;"",1,0),0)</f>
        <v/>
      </c>
      <c r="BV50">
        <f>IF(BV$4=1,IF(INDEX('×入力'!$C$1:$L$700,606+BV$3,BV$2)&lt;&gt;"",1,0),0)</f>
        <v/>
      </c>
      <c r="BW50">
        <f>IF(BW$4=1,IF(INDEX('×入力'!$C$1:$L$700,606+BW$3,BW$2)&lt;&gt;"",1,0),0)</f>
        <v/>
      </c>
      <c r="BX50">
        <f>IF(BX$4=1,IF(INDEX('×入力'!$C$1:$L$700,606+BX$3,BX$2)&lt;&gt;"",1,0),0)</f>
        <v/>
      </c>
      <c r="BY50">
        <f>IF(BY$4=1,IF(INDEX('×入力'!$C$1:$L$700,606+BY$3,BY$2)&lt;&gt;"",1,0),0)</f>
        <v/>
      </c>
      <c r="BZ50">
        <f>IF(BZ$4=1,IF(INDEX('×入力'!$C$1:$L$700,606+BZ$3,BZ$2)&lt;&gt;"",1,0),0)</f>
        <v/>
      </c>
      <c r="CA50">
        <f>IF(CA$4=1,IF(INDEX('×入力'!$C$1:$L$700,606+CA$3,CA$2)&lt;&gt;"",1,0),0)</f>
        <v/>
      </c>
      <c r="CB50">
        <f>IF(CB$4=1,IF(INDEX('×入力'!$C$1:$L$700,606+CB$3,CB$2)&lt;&gt;"",1,0),0)</f>
        <v/>
      </c>
      <c r="CC50">
        <f>IF(CC$4=1,IF(INDEX('×入力'!$C$1:$L$700,606+CC$3,CC$2)&lt;&gt;"",1,0),0)</f>
        <v/>
      </c>
      <c r="CD50">
        <f>IF(CD$4=1,IF(INDEX('×入力'!$C$1:$L$700,606+CD$3,CD$2)&lt;&gt;"",1,0),0)</f>
        <v/>
      </c>
      <c r="CE50">
        <f>IF(CE$4=1,IF(INDEX('×入力'!$C$1:$L$700,606+CE$3,CE$2)&lt;&gt;"",1,0),0)</f>
        <v/>
      </c>
      <c r="CF50">
        <f>IF(CF$4=1,IF(INDEX('×入力'!$C$1:$L$700,606+CF$3,CF$2)&lt;&gt;"",1,0),0)</f>
        <v/>
      </c>
      <c r="CG50">
        <f>IF(CG$4=1,IF(INDEX('×入力'!$C$1:$L$700,606+CG$3,CG$2)&lt;&gt;"",1,0),0)</f>
        <v/>
      </c>
      <c r="CH50">
        <f>IF(CH$4=1,IF(INDEX('×入力'!$C$1:$L$700,606+CH$3,CH$2)&lt;&gt;"",1,0),0)</f>
        <v/>
      </c>
      <c r="CI50">
        <f>IF(CI$4=1,IF(INDEX('×入力'!$C$1:$L$700,606+CI$3,CI$2)&lt;&gt;"",1,0),0)</f>
        <v/>
      </c>
      <c r="CJ50">
        <f>IF(CJ$4=1,IF(INDEX('×入力'!$C$1:$L$700,606+CJ$3,CJ$2)&lt;&gt;"",1,0),0)</f>
        <v/>
      </c>
      <c r="CK50">
        <f>IF(CK$4=1,IF(INDEX('×入力'!$C$1:$L$700,606+CK$3,CK$2)&lt;&gt;"",1,0),0)</f>
        <v/>
      </c>
      <c r="CL50">
        <f>IF(CL$4=1,IF(INDEX('×入力'!$C$1:$L$700,606+CL$3,CL$2)&lt;&gt;"",1,0),0)</f>
        <v/>
      </c>
      <c r="CM50">
        <f>IF(CM$4=1,IF(INDEX('×入力'!$C$1:$L$700,606+CM$3,CM$2)&lt;&gt;"",1,0),0)</f>
        <v/>
      </c>
      <c r="CN50">
        <f>IF(CN$4=1,IF(INDEX('×入力'!$C$1:$L$700,606+CN$3,CN$2)&lt;&gt;"",1,0),0)</f>
        <v/>
      </c>
      <c r="CO50">
        <f>IF(CO$4=1,IF(INDEX('×入力'!$C$1:$L$700,606+CO$3,CO$2)&lt;&gt;"",1,0),0)</f>
        <v/>
      </c>
      <c r="CP50">
        <f>IF(CP$4=1,IF(INDEX('×入力'!$C$1:$L$700,606+CP$3,CP$2)&lt;&gt;"",1,0),0)</f>
        <v/>
      </c>
      <c r="CQ50">
        <f>IF(CQ$4=1,IF(INDEX('×入力'!$C$1:$L$700,606+CQ$3,CQ$2)&lt;&gt;"",1,0),0)</f>
        <v/>
      </c>
      <c r="CR50">
        <f>IF(CR$4=1,IF(INDEX('×入力'!$C$1:$L$700,606+CR$3,CR$2)&lt;&gt;"",1,0),0)</f>
        <v/>
      </c>
      <c r="CS50">
        <f>IF(CS$4=1,IF(INDEX('×入力'!$C$1:$L$700,606+CS$3,CS$2)&lt;&gt;"",1,0),0)</f>
        <v/>
      </c>
      <c r="CT50">
        <f>IF(CT$4=1,IF(INDEX('×入力'!$C$1:$L$700,606+CT$3,CT$2)&lt;&gt;"",1,0),0)</f>
        <v/>
      </c>
      <c r="CU50">
        <f>IF(CU$4=1,IF(INDEX('×入力'!$C$1:$L$700,606+CU$3,CU$2)&lt;&gt;"",1,0),0)</f>
        <v/>
      </c>
      <c r="CV50">
        <f>IF(CV$4=1,IF(INDEX('×入力'!$C$1:$L$700,606+CV$3,CV$2)&lt;&gt;"",1,0),0)</f>
        <v/>
      </c>
      <c r="CW50">
        <f>IF(CW$4=1,IF(INDEX('×入力'!$C$1:$L$700,606+CW$3,CW$2)&lt;&gt;"",1,0),0)</f>
        <v/>
      </c>
      <c r="CX50">
        <f>IF(CX$4=1,IF(INDEX('×入力'!$C$1:$L$700,606+CX$3,CX$2)&lt;&gt;"",1,0),0)</f>
        <v/>
      </c>
      <c r="CY50">
        <f>IF(CY$4=1,IF(INDEX('×入力'!$C$1:$L$700,606+CY$3,CY$2)&lt;&gt;"",1,0),0)</f>
        <v/>
      </c>
      <c r="CZ50">
        <f>IF(CZ$4=1,IF(INDEX('×入力'!$C$1:$L$700,606+CZ$3,CZ$2)&lt;&gt;"",1,0),0)</f>
        <v/>
      </c>
      <c r="DA50">
        <f>IF(DA$4=1,IF(INDEX('×入力'!$C$1:$L$700,606+DA$3,DA$2)&lt;&gt;"",1,0),0)</f>
        <v/>
      </c>
      <c r="DB50">
        <f>IF(DB$4=1,IF(INDEX('×入力'!$C$1:$L$700,606+DB$3,DB$2)&lt;&gt;"",1,0),0)</f>
        <v/>
      </c>
      <c r="DC50">
        <f>IF(DC$4=1,IF(INDEX('×入力'!$C$1:$L$700,606+DC$3,DC$2)&lt;&gt;"",1,0),0)</f>
        <v/>
      </c>
      <c r="DD50">
        <f>IF(DD$4=1,IF(INDEX('×入力'!$C$1:$L$700,606+DD$3,DD$2)&lt;&gt;"",1,0),0)</f>
        <v/>
      </c>
      <c r="DE50">
        <f>IF(DE$4=1,IF(INDEX('×入力'!$C$1:$L$700,606+DE$3,DE$2)&lt;&gt;"",1,0),0)</f>
        <v/>
      </c>
      <c r="DF50">
        <f>IF(DF$4=1,IF(INDEX('×入力'!$C$1:$L$700,606+DF$3,DF$2)&lt;&gt;"",1,0),0)</f>
        <v/>
      </c>
      <c r="DG50">
        <f>IF(DG$4=1,IF(INDEX('×入力'!$C$1:$L$700,606+DG$3,DG$2)&lt;&gt;"",1,0),0)</f>
        <v/>
      </c>
      <c r="DH50">
        <f>IF(DH$4=1,IF(INDEX('×入力'!$C$1:$L$700,606+DH$3,DH$2)&lt;&gt;"",1,0),0)</f>
        <v/>
      </c>
      <c r="DI50">
        <f>IF(DI$4=1,IF(INDEX('×入力'!$C$1:$L$700,606+DI$3,DI$2)&lt;&gt;"",1,0),0)</f>
        <v/>
      </c>
      <c r="DJ50">
        <f>IF(DJ$4=1,IF(INDEX('×入力'!$C$1:$L$700,606+DJ$3,DJ$2)&lt;&gt;"",1,0),0)</f>
        <v/>
      </c>
      <c r="DK50">
        <f>IF(DK$4=1,IF(INDEX('×入力'!$C$1:$L$700,606+DK$3,DK$2)&lt;&gt;"",1,0),0)</f>
        <v/>
      </c>
      <c r="DL50">
        <f>IF(DL$4=1,IF(INDEX('×入力'!$C$1:$L$700,606+DL$3,DL$2)&lt;&gt;"",1,0),0)</f>
        <v/>
      </c>
      <c r="DM50">
        <f>IF(DM$4=1,IF(INDEX('×入力'!$C$1:$L$700,606+DM$3,DM$2)&lt;&gt;"",1,0),0)</f>
        <v/>
      </c>
      <c r="DN50">
        <f>IF(DN$4=1,IF(INDEX('×入力'!$C$1:$L$700,606+DN$3,DN$2)&lt;&gt;"",1,0),0)</f>
        <v/>
      </c>
      <c r="DO50">
        <f>IF(DO$4=1,IF(INDEX('×入力'!$C$1:$L$700,606+DO$3,DO$2)&lt;&gt;"",1,0),0)</f>
        <v/>
      </c>
      <c r="DP50">
        <f>IF(DP$4=1,IF(INDEX('×入力'!$C$1:$L$700,606+DP$3,DP$2)&lt;&gt;"",1,0),0)</f>
        <v/>
      </c>
      <c r="DQ50">
        <f>IF(DQ$4=1,IF(INDEX('×入力'!$C$1:$L$700,606+DQ$3,DQ$2)&lt;&gt;"",1,0),0)</f>
        <v/>
      </c>
      <c r="DR50">
        <f>IF(DR$4=1,IF(INDEX('×入力'!$C$1:$L$700,606+DR$3,DR$2)&lt;&gt;"",1,0),0)</f>
        <v/>
      </c>
      <c r="DS50">
        <f>IF(DS$4=1,IF(INDEX('×入力'!$C$1:$L$700,606+DS$3,DS$2)&lt;&gt;"",1,0),0)</f>
        <v/>
      </c>
      <c r="DU50">
        <f>IFERROR(INDEX('計算B'!$C$3:$C$47,MATCH(A50,'計算B'!$B$3:$B$47,0)),0)</f>
        <v/>
      </c>
      <c r="DV50">
        <f>IF(AND(C50=1,DU50=0),1,0)</f>
        <v/>
      </c>
      <c r="DW50">
        <f>SUMPRODUCT(D100:DS100*(1-$D$7:$DS$7))</f>
        <v/>
      </c>
      <c r="DX50">
        <f>SUM(D50:DS50)</f>
        <v/>
      </c>
      <c r="DY50">
        <f>IF(B50="",0,IF(COUNTIF('割り当て'!$C$6:$L$17,B50)=1,SUMPRODUCT(('割り当て'!$C$6:$L$17=B50)*((COLUMN('割り当て'!$C$6:$L$17)-3)*12+ROW('割り当て'!$C$6:$L$17)-5)),0))</f>
        <v/>
      </c>
      <c r="DZ50">
        <f>IFERROR(MATCH('名簿'!E45,{"早い時刻","遅い時刻","早い日","遅い日"},0),0)</f>
        <v/>
      </c>
      <c r="EA50">
        <f>IF('名簿'!F45="必ず空けたい",2,IF('名簿'!F45="出来れば空けたい",1,0))</f>
        <v/>
      </c>
    </row>
    <row r="51">
      <c r="A51" t="n">
        <v>42</v>
      </c>
      <c r="B51">
        <f>'名簿'!G46</f>
        <v/>
      </c>
      <c r="C51">
        <f>IF(AND(B51&lt;&gt;"",OR('名簿'!H46="入力済み",'名簿'!H46="×なし"),DY51=0,COUNTIF('割り当て'!$C$6:$L$17,B51)=0),1,0)</f>
        <v/>
      </c>
      <c r="D51">
        <f>IF(D$4=1,IF(INDEX('×入力'!$C$1:$L$700,621+D$3,D$2)&lt;&gt;"",1,0),0)</f>
        <v/>
      </c>
      <c r="E51">
        <f>IF(E$4=1,IF(INDEX('×入力'!$C$1:$L$700,621+E$3,E$2)&lt;&gt;"",1,0),0)</f>
        <v/>
      </c>
      <c r="F51">
        <f>IF(F$4=1,IF(INDEX('×入力'!$C$1:$L$700,621+F$3,F$2)&lt;&gt;"",1,0),0)</f>
        <v/>
      </c>
      <c r="G51">
        <f>IF(G$4=1,IF(INDEX('×入力'!$C$1:$L$700,621+G$3,G$2)&lt;&gt;"",1,0),0)</f>
        <v/>
      </c>
      <c r="H51">
        <f>IF(H$4=1,IF(INDEX('×入力'!$C$1:$L$700,621+H$3,H$2)&lt;&gt;"",1,0),0)</f>
        <v/>
      </c>
      <c r="I51">
        <f>IF(I$4=1,IF(INDEX('×入力'!$C$1:$L$700,621+I$3,I$2)&lt;&gt;"",1,0),0)</f>
        <v/>
      </c>
      <c r="J51">
        <f>IF(J$4=1,IF(INDEX('×入力'!$C$1:$L$700,621+J$3,J$2)&lt;&gt;"",1,0),0)</f>
        <v/>
      </c>
      <c r="K51">
        <f>IF(K$4=1,IF(INDEX('×入力'!$C$1:$L$700,621+K$3,K$2)&lt;&gt;"",1,0),0)</f>
        <v/>
      </c>
      <c r="L51">
        <f>IF(L$4=1,IF(INDEX('×入力'!$C$1:$L$700,621+L$3,L$2)&lt;&gt;"",1,0),0)</f>
        <v/>
      </c>
      <c r="M51">
        <f>IF(M$4=1,IF(INDEX('×入力'!$C$1:$L$700,621+M$3,M$2)&lt;&gt;"",1,0),0)</f>
        <v/>
      </c>
      <c r="N51">
        <f>IF(N$4=1,IF(INDEX('×入力'!$C$1:$L$700,621+N$3,N$2)&lt;&gt;"",1,0),0)</f>
        <v/>
      </c>
      <c r="O51">
        <f>IF(O$4=1,IF(INDEX('×入力'!$C$1:$L$700,621+O$3,O$2)&lt;&gt;"",1,0),0)</f>
        <v/>
      </c>
      <c r="P51">
        <f>IF(P$4=1,IF(INDEX('×入力'!$C$1:$L$700,621+P$3,P$2)&lt;&gt;"",1,0),0)</f>
        <v/>
      </c>
      <c r="Q51">
        <f>IF(Q$4=1,IF(INDEX('×入力'!$C$1:$L$700,621+Q$3,Q$2)&lt;&gt;"",1,0),0)</f>
        <v/>
      </c>
      <c r="R51">
        <f>IF(R$4=1,IF(INDEX('×入力'!$C$1:$L$700,621+R$3,R$2)&lt;&gt;"",1,0),0)</f>
        <v/>
      </c>
      <c r="S51">
        <f>IF(S$4=1,IF(INDEX('×入力'!$C$1:$L$700,621+S$3,S$2)&lt;&gt;"",1,0),0)</f>
        <v/>
      </c>
      <c r="T51">
        <f>IF(T$4=1,IF(INDEX('×入力'!$C$1:$L$700,621+T$3,T$2)&lt;&gt;"",1,0),0)</f>
        <v/>
      </c>
      <c r="U51">
        <f>IF(U$4=1,IF(INDEX('×入力'!$C$1:$L$700,621+U$3,U$2)&lt;&gt;"",1,0),0)</f>
        <v/>
      </c>
      <c r="V51">
        <f>IF(V$4=1,IF(INDEX('×入力'!$C$1:$L$700,621+V$3,V$2)&lt;&gt;"",1,0),0)</f>
        <v/>
      </c>
      <c r="W51">
        <f>IF(W$4=1,IF(INDEX('×入力'!$C$1:$L$700,621+W$3,W$2)&lt;&gt;"",1,0),0)</f>
        <v/>
      </c>
      <c r="X51">
        <f>IF(X$4=1,IF(INDEX('×入力'!$C$1:$L$700,621+X$3,X$2)&lt;&gt;"",1,0),0)</f>
        <v/>
      </c>
      <c r="Y51">
        <f>IF(Y$4=1,IF(INDEX('×入力'!$C$1:$L$700,621+Y$3,Y$2)&lt;&gt;"",1,0),0)</f>
        <v/>
      </c>
      <c r="Z51">
        <f>IF(Z$4=1,IF(INDEX('×入力'!$C$1:$L$700,621+Z$3,Z$2)&lt;&gt;"",1,0),0)</f>
        <v/>
      </c>
      <c r="AA51">
        <f>IF(AA$4=1,IF(INDEX('×入力'!$C$1:$L$700,621+AA$3,AA$2)&lt;&gt;"",1,0),0)</f>
        <v/>
      </c>
      <c r="AB51">
        <f>IF(AB$4=1,IF(INDEX('×入力'!$C$1:$L$700,621+AB$3,AB$2)&lt;&gt;"",1,0),0)</f>
        <v/>
      </c>
      <c r="AC51">
        <f>IF(AC$4=1,IF(INDEX('×入力'!$C$1:$L$700,621+AC$3,AC$2)&lt;&gt;"",1,0),0)</f>
        <v/>
      </c>
      <c r="AD51">
        <f>IF(AD$4=1,IF(INDEX('×入力'!$C$1:$L$700,621+AD$3,AD$2)&lt;&gt;"",1,0),0)</f>
        <v/>
      </c>
      <c r="AE51">
        <f>IF(AE$4=1,IF(INDEX('×入力'!$C$1:$L$700,621+AE$3,AE$2)&lt;&gt;"",1,0),0)</f>
        <v/>
      </c>
      <c r="AF51">
        <f>IF(AF$4=1,IF(INDEX('×入力'!$C$1:$L$700,621+AF$3,AF$2)&lt;&gt;"",1,0),0)</f>
        <v/>
      </c>
      <c r="AG51">
        <f>IF(AG$4=1,IF(INDEX('×入力'!$C$1:$L$700,621+AG$3,AG$2)&lt;&gt;"",1,0),0)</f>
        <v/>
      </c>
      <c r="AH51">
        <f>IF(AH$4=1,IF(INDEX('×入力'!$C$1:$L$700,621+AH$3,AH$2)&lt;&gt;"",1,0),0)</f>
        <v/>
      </c>
      <c r="AI51">
        <f>IF(AI$4=1,IF(INDEX('×入力'!$C$1:$L$700,621+AI$3,AI$2)&lt;&gt;"",1,0),0)</f>
        <v/>
      </c>
      <c r="AJ51">
        <f>IF(AJ$4=1,IF(INDEX('×入力'!$C$1:$L$700,621+AJ$3,AJ$2)&lt;&gt;"",1,0),0)</f>
        <v/>
      </c>
      <c r="AK51">
        <f>IF(AK$4=1,IF(INDEX('×入力'!$C$1:$L$700,621+AK$3,AK$2)&lt;&gt;"",1,0),0)</f>
        <v/>
      </c>
      <c r="AL51">
        <f>IF(AL$4=1,IF(INDEX('×入力'!$C$1:$L$700,621+AL$3,AL$2)&lt;&gt;"",1,0),0)</f>
        <v/>
      </c>
      <c r="AM51">
        <f>IF(AM$4=1,IF(INDEX('×入力'!$C$1:$L$700,621+AM$3,AM$2)&lt;&gt;"",1,0),0)</f>
        <v/>
      </c>
      <c r="AN51">
        <f>IF(AN$4=1,IF(INDEX('×入力'!$C$1:$L$700,621+AN$3,AN$2)&lt;&gt;"",1,0),0)</f>
        <v/>
      </c>
      <c r="AO51">
        <f>IF(AO$4=1,IF(INDEX('×入力'!$C$1:$L$700,621+AO$3,AO$2)&lt;&gt;"",1,0),0)</f>
        <v/>
      </c>
      <c r="AP51">
        <f>IF(AP$4=1,IF(INDEX('×入力'!$C$1:$L$700,621+AP$3,AP$2)&lt;&gt;"",1,0),0)</f>
        <v/>
      </c>
      <c r="AQ51">
        <f>IF(AQ$4=1,IF(INDEX('×入力'!$C$1:$L$700,621+AQ$3,AQ$2)&lt;&gt;"",1,0),0)</f>
        <v/>
      </c>
      <c r="AR51">
        <f>IF(AR$4=1,IF(INDEX('×入力'!$C$1:$L$700,621+AR$3,AR$2)&lt;&gt;"",1,0),0)</f>
        <v/>
      </c>
      <c r="AS51">
        <f>IF(AS$4=1,IF(INDEX('×入力'!$C$1:$L$700,621+AS$3,AS$2)&lt;&gt;"",1,0),0)</f>
        <v/>
      </c>
      <c r="AT51">
        <f>IF(AT$4=1,IF(INDEX('×入力'!$C$1:$L$700,621+AT$3,AT$2)&lt;&gt;"",1,0),0)</f>
        <v/>
      </c>
      <c r="AU51">
        <f>IF(AU$4=1,IF(INDEX('×入力'!$C$1:$L$700,621+AU$3,AU$2)&lt;&gt;"",1,0),0)</f>
        <v/>
      </c>
      <c r="AV51">
        <f>IF(AV$4=1,IF(INDEX('×入力'!$C$1:$L$700,621+AV$3,AV$2)&lt;&gt;"",1,0),0)</f>
        <v/>
      </c>
      <c r="AW51">
        <f>IF(AW$4=1,IF(INDEX('×入力'!$C$1:$L$700,621+AW$3,AW$2)&lt;&gt;"",1,0),0)</f>
        <v/>
      </c>
      <c r="AX51">
        <f>IF(AX$4=1,IF(INDEX('×入力'!$C$1:$L$700,621+AX$3,AX$2)&lt;&gt;"",1,0),0)</f>
        <v/>
      </c>
      <c r="AY51">
        <f>IF(AY$4=1,IF(INDEX('×入力'!$C$1:$L$700,621+AY$3,AY$2)&lt;&gt;"",1,0),0)</f>
        <v/>
      </c>
      <c r="AZ51">
        <f>IF(AZ$4=1,IF(INDEX('×入力'!$C$1:$L$700,621+AZ$3,AZ$2)&lt;&gt;"",1,0),0)</f>
        <v/>
      </c>
      <c r="BA51">
        <f>IF(BA$4=1,IF(INDEX('×入力'!$C$1:$L$700,621+BA$3,BA$2)&lt;&gt;"",1,0),0)</f>
        <v/>
      </c>
      <c r="BB51">
        <f>IF(BB$4=1,IF(INDEX('×入力'!$C$1:$L$700,621+BB$3,BB$2)&lt;&gt;"",1,0),0)</f>
        <v/>
      </c>
      <c r="BC51">
        <f>IF(BC$4=1,IF(INDEX('×入力'!$C$1:$L$700,621+BC$3,BC$2)&lt;&gt;"",1,0),0)</f>
        <v/>
      </c>
      <c r="BD51">
        <f>IF(BD$4=1,IF(INDEX('×入力'!$C$1:$L$700,621+BD$3,BD$2)&lt;&gt;"",1,0),0)</f>
        <v/>
      </c>
      <c r="BE51">
        <f>IF(BE$4=1,IF(INDEX('×入力'!$C$1:$L$700,621+BE$3,BE$2)&lt;&gt;"",1,0),0)</f>
        <v/>
      </c>
      <c r="BF51">
        <f>IF(BF$4=1,IF(INDEX('×入力'!$C$1:$L$700,621+BF$3,BF$2)&lt;&gt;"",1,0),0)</f>
        <v/>
      </c>
      <c r="BG51">
        <f>IF(BG$4=1,IF(INDEX('×入力'!$C$1:$L$700,621+BG$3,BG$2)&lt;&gt;"",1,0),0)</f>
        <v/>
      </c>
      <c r="BH51">
        <f>IF(BH$4=1,IF(INDEX('×入力'!$C$1:$L$700,621+BH$3,BH$2)&lt;&gt;"",1,0),0)</f>
        <v/>
      </c>
      <c r="BI51">
        <f>IF(BI$4=1,IF(INDEX('×入力'!$C$1:$L$700,621+BI$3,BI$2)&lt;&gt;"",1,0),0)</f>
        <v/>
      </c>
      <c r="BJ51">
        <f>IF(BJ$4=1,IF(INDEX('×入力'!$C$1:$L$700,621+BJ$3,BJ$2)&lt;&gt;"",1,0),0)</f>
        <v/>
      </c>
      <c r="BK51">
        <f>IF(BK$4=1,IF(INDEX('×入力'!$C$1:$L$700,621+BK$3,BK$2)&lt;&gt;"",1,0),0)</f>
        <v/>
      </c>
      <c r="BL51">
        <f>IF(BL$4=1,IF(INDEX('×入力'!$C$1:$L$700,621+BL$3,BL$2)&lt;&gt;"",1,0),0)</f>
        <v/>
      </c>
      <c r="BM51">
        <f>IF(BM$4=1,IF(INDEX('×入力'!$C$1:$L$700,621+BM$3,BM$2)&lt;&gt;"",1,0),0)</f>
        <v/>
      </c>
      <c r="BN51">
        <f>IF(BN$4=1,IF(INDEX('×入力'!$C$1:$L$700,621+BN$3,BN$2)&lt;&gt;"",1,0),0)</f>
        <v/>
      </c>
      <c r="BO51">
        <f>IF(BO$4=1,IF(INDEX('×入力'!$C$1:$L$700,621+BO$3,BO$2)&lt;&gt;"",1,0),0)</f>
        <v/>
      </c>
      <c r="BP51">
        <f>IF(BP$4=1,IF(INDEX('×入力'!$C$1:$L$700,621+BP$3,BP$2)&lt;&gt;"",1,0),0)</f>
        <v/>
      </c>
      <c r="BQ51">
        <f>IF(BQ$4=1,IF(INDEX('×入力'!$C$1:$L$700,621+BQ$3,BQ$2)&lt;&gt;"",1,0),0)</f>
        <v/>
      </c>
      <c r="BR51">
        <f>IF(BR$4=1,IF(INDEX('×入力'!$C$1:$L$700,621+BR$3,BR$2)&lt;&gt;"",1,0),0)</f>
        <v/>
      </c>
      <c r="BS51">
        <f>IF(BS$4=1,IF(INDEX('×入力'!$C$1:$L$700,621+BS$3,BS$2)&lt;&gt;"",1,0),0)</f>
        <v/>
      </c>
      <c r="BT51">
        <f>IF(BT$4=1,IF(INDEX('×入力'!$C$1:$L$700,621+BT$3,BT$2)&lt;&gt;"",1,0),0)</f>
        <v/>
      </c>
      <c r="BU51">
        <f>IF(BU$4=1,IF(INDEX('×入力'!$C$1:$L$700,621+BU$3,BU$2)&lt;&gt;"",1,0),0)</f>
        <v/>
      </c>
      <c r="BV51">
        <f>IF(BV$4=1,IF(INDEX('×入力'!$C$1:$L$700,621+BV$3,BV$2)&lt;&gt;"",1,0),0)</f>
        <v/>
      </c>
      <c r="BW51">
        <f>IF(BW$4=1,IF(INDEX('×入力'!$C$1:$L$700,621+BW$3,BW$2)&lt;&gt;"",1,0),0)</f>
        <v/>
      </c>
      <c r="BX51">
        <f>IF(BX$4=1,IF(INDEX('×入力'!$C$1:$L$700,621+BX$3,BX$2)&lt;&gt;"",1,0),0)</f>
        <v/>
      </c>
      <c r="BY51">
        <f>IF(BY$4=1,IF(INDEX('×入力'!$C$1:$L$700,621+BY$3,BY$2)&lt;&gt;"",1,0),0)</f>
        <v/>
      </c>
      <c r="BZ51">
        <f>IF(BZ$4=1,IF(INDEX('×入力'!$C$1:$L$700,621+BZ$3,BZ$2)&lt;&gt;"",1,0),0)</f>
        <v/>
      </c>
      <c r="CA51">
        <f>IF(CA$4=1,IF(INDEX('×入力'!$C$1:$L$700,621+CA$3,CA$2)&lt;&gt;"",1,0),0)</f>
        <v/>
      </c>
      <c r="CB51">
        <f>IF(CB$4=1,IF(INDEX('×入力'!$C$1:$L$700,621+CB$3,CB$2)&lt;&gt;"",1,0),0)</f>
        <v/>
      </c>
      <c r="CC51">
        <f>IF(CC$4=1,IF(INDEX('×入力'!$C$1:$L$700,621+CC$3,CC$2)&lt;&gt;"",1,0),0)</f>
        <v/>
      </c>
      <c r="CD51">
        <f>IF(CD$4=1,IF(INDEX('×入力'!$C$1:$L$700,621+CD$3,CD$2)&lt;&gt;"",1,0),0)</f>
        <v/>
      </c>
      <c r="CE51">
        <f>IF(CE$4=1,IF(INDEX('×入力'!$C$1:$L$700,621+CE$3,CE$2)&lt;&gt;"",1,0),0)</f>
        <v/>
      </c>
      <c r="CF51">
        <f>IF(CF$4=1,IF(INDEX('×入力'!$C$1:$L$700,621+CF$3,CF$2)&lt;&gt;"",1,0),0)</f>
        <v/>
      </c>
      <c r="CG51">
        <f>IF(CG$4=1,IF(INDEX('×入力'!$C$1:$L$700,621+CG$3,CG$2)&lt;&gt;"",1,0),0)</f>
        <v/>
      </c>
      <c r="CH51">
        <f>IF(CH$4=1,IF(INDEX('×入力'!$C$1:$L$700,621+CH$3,CH$2)&lt;&gt;"",1,0),0)</f>
        <v/>
      </c>
      <c r="CI51">
        <f>IF(CI$4=1,IF(INDEX('×入力'!$C$1:$L$700,621+CI$3,CI$2)&lt;&gt;"",1,0),0)</f>
        <v/>
      </c>
      <c r="CJ51">
        <f>IF(CJ$4=1,IF(INDEX('×入力'!$C$1:$L$700,621+CJ$3,CJ$2)&lt;&gt;"",1,0),0)</f>
        <v/>
      </c>
      <c r="CK51">
        <f>IF(CK$4=1,IF(INDEX('×入力'!$C$1:$L$700,621+CK$3,CK$2)&lt;&gt;"",1,0),0)</f>
        <v/>
      </c>
      <c r="CL51">
        <f>IF(CL$4=1,IF(INDEX('×入力'!$C$1:$L$700,621+CL$3,CL$2)&lt;&gt;"",1,0),0)</f>
        <v/>
      </c>
      <c r="CM51">
        <f>IF(CM$4=1,IF(INDEX('×入力'!$C$1:$L$700,621+CM$3,CM$2)&lt;&gt;"",1,0),0)</f>
        <v/>
      </c>
      <c r="CN51">
        <f>IF(CN$4=1,IF(INDEX('×入力'!$C$1:$L$700,621+CN$3,CN$2)&lt;&gt;"",1,0),0)</f>
        <v/>
      </c>
      <c r="CO51">
        <f>IF(CO$4=1,IF(INDEX('×入力'!$C$1:$L$700,621+CO$3,CO$2)&lt;&gt;"",1,0),0)</f>
        <v/>
      </c>
      <c r="CP51">
        <f>IF(CP$4=1,IF(INDEX('×入力'!$C$1:$L$700,621+CP$3,CP$2)&lt;&gt;"",1,0),0)</f>
        <v/>
      </c>
      <c r="CQ51">
        <f>IF(CQ$4=1,IF(INDEX('×入力'!$C$1:$L$700,621+CQ$3,CQ$2)&lt;&gt;"",1,0),0)</f>
        <v/>
      </c>
      <c r="CR51">
        <f>IF(CR$4=1,IF(INDEX('×入力'!$C$1:$L$700,621+CR$3,CR$2)&lt;&gt;"",1,0),0)</f>
        <v/>
      </c>
      <c r="CS51">
        <f>IF(CS$4=1,IF(INDEX('×入力'!$C$1:$L$700,621+CS$3,CS$2)&lt;&gt;"",1,0),0)</f>
        <v/>
      </c>
      <c r="CT51">
        <f>IF(CT$4=1,IF(INDEX('×入力'!$C$1:$L$700,621+CT$3,CT$2)&lt;&gt;"",1,0),0)</f>
        <v/>
      </c>
      <c r="CU51">
        <f>IF(CU$4=1,IF(INDEX('×入力'!$C$1:$L$700,621+CU$3,CU$2)&lt;&gt;"",1,0),0)</f>
        <v/>
      </c>
      <c r="CV51">
        <f>IF(CV$4=1,IF(INDEX('×入力'!$C$1:$L$700,621+CV$3,CV$2)&lt;&gt;"",1,0),0)</f>
        <v/>
      </c>
      <c r="CW51">
        <f>IF(CW$4=1,IF(INDEX('×入力'!$C$1:$L$700,621+CW$3,CW$2)&lt;&gt;"",1,0),0)</f>
        <v/>
      </c>
      <c r="CX51">
        <f>IF(CX$4=1,IF(INDEX('×入力'!$C$1:$L$700,621+CX$3,CX$2)&lt;&gt;"",1,0),0)</f>
        <v/>
      </c>
      <c r="CY51">
        <f>IF(CY$4=1,IF(INDEX('×入力'!$C$1:$L$700,621+CY$3,CY$2)&lt;&gt;"",1,0),0)</f>
        <v/>
      </c>
      <c r="CZ51">
        <f>IF(CZ$4=1,IF(INDEX('×入力'!$C$1:$L$700,621+CZ$3,CZ$2)&lt;&gt;"",1,0),0)</f>
        <v/>
      </c>
      <c r="DA51">
        <f>IF(DA$4=1,IF(INDEX('×入力'!$C$1:$L$700,621+DA$3,DA$2)&lt;&gt;"",1,0),0)</f>
        <v/>
      </c>
      <c r="DB51">
        <f>IF(DB$4=1,IF(INDEX('×入力'!$C$1:$L$700,621+DB$3,DB$2)&lt;&gt;"",1,0),0)</f>
        <v/>
      </c>
      <c r="DC51">
        <f>IF(DC$4=1,IF(INDEX('×入力'!$C$1:$L$700,621+DC$3,DC$2)&lt;&gt;"",1,0),0)</f>
        <v/>
      </c>
      <c r="DD51">
        <f>IF(DD$4=1,IF(INDEX('×入力'!$C$1:$L$700,621+DD$3,DD$2)&lt;&gt;"",1,0),0)</f>
        <v/>
      </c>
      <c r="DE51">
        <f>IF(DE$4=1,IF(INDEX('×入力'!$C$1:$L$700,621+DE$3,DE$2)&lt;&gt;"",1,0),0)</f>
        <v/>
      </c>
      <c r="DF51">
        <f>IF(DF$4=1,IF(INDEX('×入力'!$C$1:$L$700,621+DF$3,DF$2)&lt;&gt;"",1,0),0)</f>
        <v/>
      </c>
      <c r="DG51">
        <f>IF(DG$4=1,IF(INDEX('×入力'!$C$1:$L$700,621+DG$3,DG$2)&lt;&gt;"",1,0),0)</f>
        <v/>
      </c>
      <c r="DH51">
        <f>IF(DH$4=1,IF(INDEX('×入力'!$C$1:$L$700,621+DH$3,DH$2)&lt;&gt;"",1,0),0)</f>
        <v/>
      </c>
      <c r="DI51">
        <f>IF(DI$4=1,IF(INDEX('×入力'!$C$1:$L$700,621+DI$3,DI$2)&lt;&gt;"",1,0),0)</f>
        <v/>
      </c>
      <c r="DJ51">
        <f>IF(DJ$4=1,IF(INDEX('×入力'!$C$1:$L$700,621+DJ$3,DJ$2)&lt;&gt;"",1,0),0)</f>
        <v/>
      </c>
      <c r="DK51">
        <f>IF(DK$4=1,IF(INDEX('×入力'!$C$1:$L$700,621+DK$3,DK$2)&lt;&gt;"",1,0),0)</f>
        <v/>
      </c>
      <c r="DL51">
        <f>IF(DL$4=1,IF(INDEX('×入力'!$C$1:$L$700,621+DL$3,DL$2)&lt;&gt;"",1,0),0)</f>
        <v/>
      </c>
      <c r="DM51">
        <f>IF(DM$4=1,IF(INDEX('×入力'!$C$1:$L$700,621+DM$3,DM$2)&lt;&gt;"",1,0),0)</f>
        <v/>
      </c>
      <c r="DN51">
        <f>IF(DN$4=1,IF(INDEX('×入力'!$C$1:$L$700,621+DN$3,DN$2)&lt;&gt;"",1,0),0)</f>
        <v/>
      </c>
      <c r="DO51">
        <f>IF(DO$4=1,IF(INDEX('×入力'!$C$1:$L$700,621+DO$3,DO$2)&lt;&gt;"",1,0),0)</f>
        <v/>
      </c>
      <c r="DP51">
        <f>IF(DP$4=1,IF(INDEX('×入力'!$C$1:$L$700,621+DP$3,DP$2)&lt;&gt;"",1,0),0)</f>
        <v/>
      </c>
      <c r="DQ51">
        <f>IF(DQ$4=1,IF(INDEX('×入力'!$C$1:$L$700,621+DQ$3,DQ$2)&lt;&gt;"",1,0),0)</f>
        <v/>
      </c>
      <c r="DR51">
        <f>IF(DR$4=1,IF(INDEX('×入力'!$C$1:$L$700,621+DR$3,DR$2)&lt;&gt;"",1,0),0)</f>
        <v/>
      </c>
      <c r="DS51">
        <f>IF(DS$4=1,IF(INDEX('×入力'!$C$1:$L$700,621+DS$3,DS$2)&lt;&gt;"",1,0),0)</f>
        <v/>
      </c>
      <c r="DU51">
        <f>IFERROR(INDEX('計算B'!$C$3:$C$47,MATCH(A51,'計算B'!$B$3:$B$47,0)),0)</f>
        <v/>
      </c>
      <c r="DV51">
        <f>IF(AND(C51=1,DU51=0),1,0)</f>
        <v/>
      </c>
      <c r="DW51">
        <f>SUMPRODUCT(D101:DS101*(1-$D$7:$DS$7))</f>
        <v/>
      </c>
      <c r="DX51">
        <f>SUM(D51:DS51)</f>
        <v/>
      </c>
      <c r="DY51">
        <f>IF(B51="",0,IF(COUNTIF('割り当て'!$C$6:$L$17,B51)=1,SUMPRODUCT(('割り当て'!$C$6:$L$17=B51)*((COLUMN('割り当て'!$C$6:$L$17)-3)*12+ROW('割り当て'!$C$6:$L$17)-5)),0))</f>
        <v/>
      </c>
      <c r="DZ51">
        <f>IFERROR(MATCH('名簿'!E46,{"早い時刻","遅い時刻","早い日","遅い日"},0),0)</f>
        <v/>
      </c>
      <c r="EA51">
        <f>IF('名簿'!F46="必ず空けたい",2,IF('名簿'!F46="出来れば空けたい",1,0))</f>
        <v/>
      </c>
    </row>
    <row r="52">
      <c r="A52" t="n">
        <v>43</v>
      </c>
      <c r="B52">
        <f>'名簿'!G47</f>
        <v/>
      </c>
      <c r="C52">
        <f>IF(AND(B52&lt;&gt;"",OR('名簿'!H47="入力済み",'名簿'!H47="×なし"),DY52=0,COUNTIF('割り当て'!$C$6:$L$17,B52)=0),1,0)</f>
        <v/>
      </c>
      <c r="D52">
        <f>IF(D$4=1,IF(INDEX('×入力'!$C$1:$L$700,636+D$3,D$2)&lt;&gt;"",1,0),0)</f>
        <v/>
      </c>
      <c r="E52">
        <f>IF(E$4=1,IF(INDEX('×入力'!$C$1:$L$700,636+E$3,E$2)&lt;&gt;"",1,0),0)</f>
        <v/>
      </c>
      <c r="F52">
        <f>IF(F$4=1,IF(INDEX('×入力'!$C$1:$L$700,636+F$3,F$2)&lt;&gt;"",1,0),0)</f>
        <v/>
      </c>
      <c r="G52">
        <f>IF(G$4=1,IF(INDEX('×入力'!$C$1:$L$700,636+G$3,G$2)&lt;&gt;"",1,0),0)</f>
        <v/>
      </c>
      <c r="H52">
        <f>IF(H$4=1,IF(INDEX('×入力'!$C$1:$L$700,636+H$3,H$2)&lt;&gt;"",1,0),0)</f>
        <v/>
      </c>
      <c r="I52">
        <f>IF(I$4=1,IF(INDEX('×入力'!$C$1:$L$700,636+I$3,I$2)&lt;&gt;"",1,0),0)</f>
        <v/>
      </c>
      <c r="J52">
        <f>IF(J$4=1,IF(INDEX('×入力'!$C$1:$L$700,636+J$3,J$2)&lt;&gt;"",1,0),0)</f>
        <v/>
      </c>
      <c r="K52">
        <f>IF(K$4=1,IF(INDEX('×入力'!$C$1:$L$700,636+K$3,K$2)&lt;&gt;"",1,0),0)</f>
        <v/>
      </c>
      <c r="L52">
        <f>IF(L$4=1,IF(INDEX('×入力'!$C$1:$L$700,636+L$3,L$2)&lt;&gt;"",1,0),0)</f>
        <v/>
      </c>
      <c r="M52">
        <f>IF(M$4=1,IF(INDEX('×入力'!$C$1:$L$700,636+M$3,M$2)&lt;&gt;"",1,0),0)</f>
        <v/>
      </c>
      <c r="N52">
        <f>IF(N$4=1,IF(INDEX('×入力'!$C$1:$L$700,636+N$3,N$2)&lt;&gt;"",1,0),0)</f>
        <v/>
      </c>
      <c r="O52">
        <f>IF(O$4=1,IF(INDEX('×入力'!$C$1:$L$700,636+O$3,O$2)&lt;&gt;"",1,0),0)</f>
        <v/>
      </c>
      <c r="P52">
        <f>IF(P$4=1,IF(INDEX('×入力'!$C$1:$L$700,636+P$3,P$2)&lt;&gt;"",1,0),0)</f>
        <v/>
      </c>
      <c r="Q52">
        <f>IF(Q$4=1,IF(INDEX('×入力'!$C$1:$L$700,636+Q$3,Q$2)&lt;&gt;"",1,0),0)</f>
        <v/>
      </c>
      <c r="R52">
        <f>IF(R$4=1,IF(INDEX('×入力'!$C$1:$L$700,636+R$3,R$2)&lt;&gt;"",1,0),0)</f>
        <v/>
      </c>
      <c r="S52">
        <f>IF(S$4=1,IF(INDEX('×入力'!$C$1:$L$700,636+S$3,S$2)&lt;&gt;"",1,0),0)</f>
        <v/>
      </c>
      <c r="T52">
        <f>IF(T$4=1,IF(INDEX('×入力'!$C$1:$L$700,636+T$3,T$2)&lt;&gt;"",1,0),0)</f>
        <v/>
      </c>
      <c r="U52">
        <f>IF(U$4=1,IF(INDEX('×入力'!$C$1:$L$700,636+U$3,U$2)&lt;&gt;"",1,0),0)</f>
        <v/>
      </c>
      <c r="V52">
        <f>IF(V$4=1,IF(INDEX('×入力'!$C$1:$L$700,636+V$3,V$2)&lt;&gt;"",1,0),0)</f>
        <v/>
      </c>
      <c r="W52">
        <f>IF(W$4=1,IF(INDEX('×入力'!$C$1:$L$700,636+W$3,W$2)&lt;&gt;"",1,0),0)</f>
        <v/>
      </c>
      <c r="X52">
        <f>IF(X$4=1,IF(INDEX('×入力'!$C$1:$L$700,636+X$3,X$2)&lt;&gt;"",1,0),0)</f>
        <v/>
      </c>
      <c r="Y52">
        <f>IF(Y$4=1,IF(INDEX('×入力'!$C$1:$L$700,636+Y$3,Y$2)&lt;&gt;"",1,0),0)</f>
        <v/>
      </c>
      <c r="Z52">
        <f>IF(Z$4=1,IF(INDEX('×入力'!$C$1:$L$700,636+Z$3,Z$2)&lt;&gt;"",1,0),0)</f>
        <v/>
      </c>
      <c r="AA52">
        <f>IF(AA$4=1,IF(INDEX('×入力'!$C$1:$L$700,636+AA$3,AA$2)&lt;&gt;"",1,0),0)</f>
        <v/>
      </c>
      <c r="AB52">
        <f>IF(AB$4=1,IF(INDEX('×入力'!$C$1:$L$700,636+AB$3,AB$2)&lt;&gt;"",1,0),0)</f>
        <v/>
      </c>
      <c r="AC52">
        <f>IF(AC$4=1,IF(INDEX('×入力'!$C$1:$L$700,636+AC$3,AC$2)&lt;&gt;"",1,0),0)</f>
        <v/>
      </c>
      <c r="AD52">
        <f>IF(AD$4=1,IF(INDEX('×入力'!$C$1:$L$700,636+AD$3,AD$2)&lt;&gt;"",1,0),0)</f>
        <v/>
      </c>
      <c r="AE52">
        <f>IF(AE$4=1,IF(INDEX('×入力'!$C$1:$L$700,636+AE$3,AE$2)&lt;&gt;"",1,0),0)</f>
        <v/>
      </c>
      <c r="AF52">
        <f>IF(AF$4=1,IF(INDEX('×入力'!$C$1:$L$700,636+AF$3,AF$2)&lt;&gt;"",1,0),0)</f>
        <v/>
      </c>
      <c r="AG52">
        <f>IF(AG$4=1,IF(INDEX('×入力'!$C$1:$L$700,636+AG$3,AG$2)&lt;&gt;"",1,0),0)</f>
        <v/>
      </c>
      <c r="AH52">
        <f>IF(AH$4=1,IF(INDEX('×入力'!$C$1:$L$700,636+AH$3,AH$2)&lt;&gt;"",1,0),0)</f>
        <v/>
      </c>
      <c r="AI52">
        <f>IF(AI$4=1,IF(INDEX('×入力'!$C$1:$L$700,636+AI$3,AI$2)&lt;&gt;"",1,0),0)</f>
        <v/>
      </c>
      <c r="AJ52">
        <f>IF(AJ$4=1,IF(INDEX('×入力'!$C$1:$L$700,636+AJ$3,AJ$2)&lt;&gt;"",1,0),0)</f>
        <v/>
      </c>
      <c r="AK52">
        <f>IF(AK$4=1,IF(INDEX('×入力'!$C$1:$L$700,636+AK$3,AK$2)&lt;&gt;"",1,0),0)</f>
        <v/>
      </c>
      <c r="AL52">
        <f>IF(AL$4=1,IF(INDEX('×入力'!$C$1:$L$700,636+AL$3,AL$2)&lt;&gt;"",1,0),0)</f>
        <v/>
      </c>
      <c r="AM52">
        <f>IF(AM$4=1,IF(INDEX('×入力'!$C$1:$L$700,636+AM$3,AM$2)&lt;&gt;"",1,0),0)</f>
        <v/>
      </c>
      <c r="AN52">
        <f>IF(AN$4=1,IF(INDEX('×入力'!$C$1:$L$700,636+AN$3,AN$2)&lt;&gt;"",1,0),0)</f>
        <v/>
      </c>
      <c r="AO52">
        <f>IF(AO$4=1,IF(INDEX('×入力'!$C$1:$L$700,636+AO$3,AO$2)&lt;&gt;"",1,0),0)</f>
        <v/>
      </c>
      <c r="AP52">
        <f>IF(AP$4=1,IF(INDEX('×入力'!$C$1:$L$700,636+AP$3,AP$2)&lt;&gt;"",1,0),0)</f>
        <v/>
      </c>
      <c r="AQ52">
        <f>IF(AQ$4=1,IF(INDEX('×入力'!$C$1:$L$700,636+AQ$3,AQ$2)&lt;&gt;"",1,0),0)</f>
        <v/>
      </c>
      <c r="AR52">
        <f>IF(AR$4=1,IF(INDEX('×入力'!$C$1:$L$700,636+AR$3,AR$2)&lt;&gt;"",1,0),0)</f>
        <v/>
      </c>
      <c r="AS52">
        <f>IF(AS$4=1,IF(INDEX('×入力'!$C$1:$L$700,636+AS$3,AS$2)&lt;&gt;"",1,0),0)</f>
        <v/>
      </c>
      <c r="AT52">
        <f>IF(AT$4=1,IF(INDEX('×入力'!$C$1:$L$700,636+AT$3,AT$2)&lt;&gt;"",1,0),0)</f>
        <v/>
      </c>
      <c r="AU52">
        <f>IF(AU$4=1,IF(INDEX('×入力'!$C$1:$L$700,636+AU$3,AU$2)&lt;&gt;"",1,0),0)</f>
        <v/>
      </c>
      <c r="AV52">
        <f>IF(AV$4=1,IF(INDEX('×入力'!$C$1:$L$700,636+AV$3,AV$2)&lt;&gt;"",1,0),0)</f>
        <v/>
      </c>
      <c r="AW52">
        <f>IF(AW$4=1,IF(INDEX('×入力'!$C$1:$L$700,636+AW$3,AW$2)&lt;&gt;"",1,0),0)</f>
        <v/>
      </c>
      <c r="AX52">
        <f>IF(AX$4=1,IF(INDEX('×入力'!$C$1:$L$700,636+AX$3,AX$2)&lt;&gt;"",1,0),0)</f>
        <v/>
      </c>
      <c r="AY52">
        <f>IF(AY$4=1,IF(INDEX('×入力'!$C$1:$L$700,636+AY$3,AY$2)&lt;&gt;"",1,0),0)</f>
        <v/>
      </c>
      <c r="AZ52">
        <f>IF(AZ$4=1,IF(INDEX('×入力'!$C$1:$L$700,636+AZ$3,AZ$2)&lt;&gt;"",1,0),0)</f>
        <v/>
      </c>
      <c r="BA52">
        <f>IF(BA$4=1,IF(INDEX('×入力'!$C$1:$L$700,636+BA$3,BA$2)&lt;&gt;"",1,0),0)</f>
        <v/>
      </c>
      <c r="BB52">
        <f>IF(BB$4=1,IF(INDEX('×入力'!$C$1:$L$700,636+BB$3,BB$2)&lt;&gt;"",1,0),0)</f>
        <v/>
      </c>
      <c r="BC52">
        <f>IF(BC$4=1,IF(INDEX('×入力'!$C$1:$L$700,636+BC$3,BC$2)&lt;&gt;"",1,0),0)</f>
        <v/>
      </c>
      <c r="BD52">
        <f>IF(BD$4=1,IF(INDEX('×入力'!$C$1:$L$700,636+BD$3,BD$2)&lt;&gt;"",1,0),0)</f>
        <v/>
      </c>
      <c r="BE52">
        <f>IF(BE$4=1,IF(INDEX('×入力'!$C$1:$L$700,636+BE$3,BE$2)&lt;&gt;"",1,0),0)</f>
        <v/>
      </c>
      <c r="BF52">
        <f>IF(BF$4=1,IF(INDEX('×入力'!$C$1:$L$700,636+BF$3,BF$2)&lt;&gt;"",1,0),0)</f>
        <v/>
      </c>
      <c r="BG52">
        <f>IF(BG$4=1,IF(INDEX('×入力'!$C$1:$L$700,636+BG$3,BG$2)&lt;&gt;"",1,0),0)</f>
        <v/>
      </c>
      <c r="BH52">
        <f>IF(BH$4=1,IF(INDEX('×入力'!$C$1:$L$700,636+BH$3,BH$2)&lt;&gt;"",1,0),0)</f>
        <v/>
      </c>
      <c r="BI52">
        <f>IF(BI$4=1,IF(INDEX('×入力'!$C$1:$L$700,636+BI$3,BI$2)&lt;&gt;"",1,0),0)</f>
        <v/>
      </c>
      <c r="BJ52">
        <f>IF(BJ$4=1,IF(INDEX('×入力'!$C$1:$L$700,636+BJ$3,BJ$2)&lt;&gt;"",1,0),0)</f>
        <v/>
      </c>
      <c r="BK52">
        <f>IF(BK$4=1,IF(INDEX('×入力'!$C$1:$L$700,636+BK$3,BK$2)&lt;&gt;"",1,0),0)</f>
        <v/>
      </c>
      <c r="BL52">
        <f>IF(BL$4=1,IF(INDEX('×入力'!$C$1:$L$700,636+BL$3,BL$2)&lt;&gt;"",1,0),0)</f>
        <v/>
      </c>
      <c r="BM52">
        <f>IF(BM$4=1,IF(INDEX('×入力'!$C$1:$L$700,636+BM$3,BM$2)&lt;&gt;"",1,0),0)</f>
        <v/>
      </c>
      <c r="BN52">
        <f>IF(BN$4=1,IF(INDEX('×入力'!$C$1:$L$700,636+BN$3,BN$2)&lt;&gt;"",1,0),0)</f>
        <v/>
      </c>
      <c r="BO52">
        <f>IF(BO$4=1,IF(INDEX('×入力'!$C$1:$L$700,636+BO$3,BO$2)&lt;&gt;"",1,0),0)</f>
        <v/>
      </c>
      <c r="BP52">
        <f>IF(BP$4=1,IF(INDEX('×入力'!$C$1:$L$700,636+BP$3,BP$2)&lt;&gt;"",1,0),0)</f>
        <v/>
      </c>
      <c r="BQ52">
        <f>IF(BQ$4=1,IF(INDEX('×入力'!$C$1:$L$700,636+BQ$3,BQ$2)&lt;&gt;"",1,0),0)</f>
        <v/>
      </c>
      <c r="BR52">
        <f>IF(BR$4=1,IF(INDEX('×入力'!$C$1:$L$700,636+BR$3,BR$2)&lt;&gt;"",1,0),0)</f>
        <v/>
      </c>
      <c r="BS52">
        <f>IF(BS$4=1,IF(INDEX('×入力'!$C$1:$L$700,636+BS$3,BS$2)&lt;&gt;"",1,0),0)</f>
        <v/>
      </c>
      <c r="BT52">
        <f>IF(BT$4=1,IF(INDEX('×入力'!$C$1:$L$700,636+BT$3,BT$2)&lt;&gt;"",1,0),0)</f>
        <v/>
      </c>
      <c r="BU52">
        <f>IF(BU$4=1,IF(INDEX('×入力'!$C$1:$L$700,636+BU$3,BU$2)&lt;&gt;"",1,0),0)</f>
        <v/>
      </c>
      <c r="BV52">
        <f>IF(BV$4=1,IF(INDEX('×入力'!$C$1:$L$700,636+BV$3,BV$2)&lt;&gt;"",1,0),0)</f>
        <v/>
      </c>
      <c r="BW52">
        <f>IF(BW$4=1,IF(INDEX('×入力'!$C$1:$L$700,636+BW$3,BW$2)&lt;&gt;"",1,0),0)</f>
        <v/>
      </c>
      <c r="BX52">
        <f>IF(BX$4=1,IF(INDEX('×入力'!$C$1:$L$700,636+BX$3,BX$2)&lt;&gt;"",1,0),0)</f>
        <v/>
      </c>
      <c r="BY52">
        <f>IF(BY$4=1,IF(INDEX('×入力'!$C$1:$L$700,636+BY$3,BY$2)&lt;&gt;"",1,0),0)</f>
        <v/>
      </c>
      <c r="BZ52">
        <f>IF(BZ$4=1,IF(INDEX('×入力'!$C$1:$L$700,636+BZ$3,BZ$2)&lt;&gt;"",1,0),0)</f>
        <v/>
      </c>
      <c r="CA52">
        <f>IF(CA$4=1,IF(INDEX('×入力'!$C$1:$L$700,636+CA$3,CA$2)&lt;&gt;"",1,0),0)</f>
        <v/>
      </c>
      <c r="CB52">
        <f>IF(CB$4=1,IF(INDEX('×入力'!$C$1:$L$700,636+CB$3,CB$2)&lt;&gt;"",1,0),0)</f>
        <v/>
      </c>
      <c r="CC52">
        <f>IF(CC$4=1,IF(INDEX('×入力'!$C$1:$L$700,636+CC$3,CC$2)&lt;&gt;"",1,0),0)</f>
        <v/>
      </c>
      <c r="CD52">
        <f>IF(CD$4=1,IF(INDEX('×入力'!$C$1:$L$700,636+CD$3,CD$2)&lt;&gt;"",1,0),0)</f>
        <v/>
      </c>
      <c r="CE52">
        <f>IF(CE$4=1,IF(INDEX('×入力'!$C$1:$L$700,636+CE$3,CE$2)&lt;&gt;"",1,0),0)</f>
        <v/>
      </c>
      <c r="CF52">
        <f>IF(CF$4=1,IF(INDEX('×入力'!$C$1:$L$700,636+CF$3,CF$2)&lt;&gt;"",1,0),0)</f>
        <v/>
      </c>
      <c r="CG52">
        <f>IF(CG$4=1,IF(INDEX('×入力'!$C$1:$L$700,636+CG$3,CG$2)&lt;&gt;"",1,0),0)</f>
        <v/>
      </c>
      <c r="CH52">
        <f>IF(CH$4=1,IF(INDEX('×入力'!$C$1:$L$700,636+CH$3,CH$2)&lt;&gt;"",1,0),0)</f>
        <v/>
      </c>
      <c r="CI52">
        <f>IF(CI$4=1,IF(INDEX('×入力'!$C$1:$L$700,636+CI$3,CI$2)&lt;&gt;"",1,0),0)</f>
        <v/>
      </c>
      <c r="CJ52">
        <f>IF(CJ$4=1,IF(INDEX('×入力'!$C$1:$L$700,636+CJ$3,CJ$2)&lt;&gt;"",1,0),0)</f>
        <v/>
      </c>
      <c r="CK52">
        <f>IF(CK$4=1,IF(INDEX('×入力'!$C$1:$L$700,636+CK$3,CK$2)&lt;&gt;"",1,0),0)</f>
        <v/>
      </c>
      <c r="CL52">
        <f>IF(CL$4=1,IF(INDEX('×入力'!$C$1:$L$700,636+CL$3,CL$2)&lt;&gt;"",1,0),0)</f>
        <v/>
      </c>
      <c r="CM52">
        <f>IF(CM$4=1,IF(INDEX('×入力'!$C$1:$L$700,636+CM$3,CM$2)&lt;&gt;"",1,0),0)</f>
        <v/>
      </c>
      <c r="CN52">
        <f>IF(CN$4=1,IF(INDEX('×入力'!$C$1:$L$700,636+CN$3,CN$2)&lt;&gt;"",1,0),0)</f>
        <v/>
      </c>
      <c r="CO52">
        <f>IF(CO$4=1,IF(INDEX('×入力'!$C$1:$L$700,636+CO$3,CO$2)&lt;&gt;"",1,0),0)</f>
        <v/>
      </c>
      <c r="CP52">
        <f>IF(CP$4=1,IF(INDEX('×入力'!$C$1:$L$700,636+CP$3,CP$2)&lt;&gt;"",1,0),0)</f>
        <v/>
      </c>
      <c r="CQ52">
        <f>IF(CQ$4=1,IF(INDEX('×入力'!$C$1:$L$700,636+CQ$3,CQ$2)&lt;&gt;"",1,0),0)</f>
        <v/>
      </c>
      <c r="CR52">
        <f>IF(CR$4=1,IF(INDEX('×入力'!$C$1:$L$700,636+CR$3,CR$2)&lt;&gt;"",1,0),0)</f>
        <v/>
      </c>
      <c r="CS52">
        <f>IF(CS$4=1,IF(INDEX('×入力'!$C$1:$L$700,636+CS$3,CS$2)&lt;&gt;"",1,0),0)</f>
        <v/>
      </c>
      <c r="CT52">
        <f>IF(CT$4=1,IF(INDEX('×入力'!$C$1:$L$700,636+CT$3,CT$2)&lt;&gt;"",1,0),0)</f>
        <v/>
      </c>
      <c r="CU52">
        <f>IF(CU$4=1,IF(INDEX('×入力'!$C$1:$L$700,636+CU$3,CU$2)&lt;&gt;"",1,0),0)</f>
        <v/>
      </c>
      <c r="CV52">
        <f>IF(CV$4=1,IF(INDEX('×入力'!$C$1:$L$700,636+CV$3,CV$2)&lt;&gt;"",1,0),0)</f>
        <v/>
      </c>
      <c r="CW52">
        <f>IF(CW$4=1,IF(INDEX('×入力'!$C$1:$L$700,636+CW$3,CW$2)&lt;&gt;"",1,0),0)</f>
        <v/>
      </c>
      <c r="CX52">
        <f>IF(CX$4=1,IF(INDEX('×入力'!$C$1:$L$700,636+CX$3,CX$2)&lt;&gt;"",1,0),0)</f>
        <v/>
      </c>
      <c r="CY52">
        <f>IF(CY$4=1,IF(INDEX('×入力'!$C$1:$L$700,636+CY$3,CY$2)&lt;&gt;"",1,0),0)</f>
        <v/>
      </c>
      <c r="CZ52">
        <f>IF(CZ$4=1,IF(INDEX('×入力'!$C$1:$L$700,636+CZ$3,CZ$2)&lt;&gt;"",1,0),0)</f>
        <v/>
      </c>
      <c r="DA52">
        <f>IF(DA$4=1,IF(INDEX('×入力'!$C$1:$L$700,636+DA$3,DA$2)&lt;&gt;"",1,0),0)</f>
        <v/>
      </c>
      <c r="DB52">
        <f>IF(DB$4=1,IF(INDEX('×入力'!$C$1:$L$700,636+DB$3,DB$2)&lt;&gt;"",1,0),0)</f>
        <v/>
      </c>
      <c r="DC52">
        <f>IF(DC$4=1,IF(INDEX('×入力'!$C$1:$L$700,636+DC$3,DC$2)&lt;&gt;"",1,0),0)</f>
        <v/>
      </c>
      <c r="DD52">
        <f>IF(DD$4=1,IF(INDEX('×入力'!$C$1:$L$700,636+DD$3,DD$2)&lt;&gt;"",1,0),0)</f>
        <v/>
      </c>
      <c r="DE52">
        <f>IF(DE$4=1,IF(INDEX('×入力'!$C$1:$L$700,636+DE$3,DE$2)&lt;&gt;"",1,0),0)</f>
        <v/>
      </c>
      <c r="DF52">
        <f>IF(DF$4=1,IF(INDEX('×入力'!$C$1:$L$700,636+DF$3,DF$2)&lt;&gt;"",1,0),0)</f>
        <v/>
      </c>
      <c r="DG52">
        <f>IF(DG$4=1,IF(INDEX('×入力'!$C$1:$L$700,636+DG$3,DG$2)&lt;&gt;"",1,0),0)</f>
        <v/>
      </c>
      <c r="DH52">
        <f>IF(DH$4=1,IF(INDEX('×入力'!$C$1:$L$700,636+DH$3,DH$2)&lt;&gt;"",1,0),0)</f>
        <v/>
      </c>
      <c r="DI52">
        <f>IF(DI$4=1,IF(INDEX('×入力'!$C$1:$L$700,636+DI$3,DI$2)&lt;&gt;"",1,0),0)</f>
        <v/>
      </c>
      <c r="DJ52">
        <f>IF(DJ$4=1,IF(INDEX('×入力'!$C$1:$L$700,636+DJ$3,DJ$2)&lt;&gt;"",1,0),0)</f>
        <v/>
      </c>
      <c r="DK52">
        <f>IF(DK$4=1,IF(INDEX('×入力'!$C$1:$L$700,636+DK$3,DK$2)&lt;&gt;"",1,0),0)</f>
        <v/>
      </c>
      <c r="DL52">
        <f>IF(DL$4=1,IF(INDEX('×入力'!$C$1:$L$700,636+DL$3,DL$2)&lt;&gt;"",1,0),0)</f>
        <v/>
      </c>
      <c r="DM52">
        <f>IF(DM$4=1,IF(INDEX('×入力'!$C$1:$L$700,636+DM$3,DM$2)&lt;&gt;"",1,0),0)</f>
        <v/>
      </c>
      <c r="DN52">
        <f>IF(DN$4=1,IF(INDEX('×入力'!$C$1:$L$700,636+DN$3,DN$2)&lt;&gt;"",1,0),0)</f>
        <v/>
      </c>
      <c r="DO52">
        <f>IF(DO$4=1,IF(INDEX('×入力'!$C$1:$L$700,636+DO$3,DO$2)&lt;&gt;"",1,0),0)</f>
        <v/>
      </c>
      <c r="DP52">
        <f>IF(DP$4=1,IF(INDEX('×入力'!$C$1:$L$700,636+DP$3,DP$2)&lt;&gt;"",1,0),0)</f>
        <v/>
      </c>
      <c r="DQ52">
        <f>IF(DQ$4=1,IF(INDEX('×入力'!$C$1:$L$700,636+DQ$3,DQ$2)&lt;&gt;"",1,0),0)</f>
        <v/>
      </c>
      <c r="DR52">
        <f>IF(DR$4=1,IF(INDEX('×入力'!$C$1:$L$700,636+DR$3,DR$2)&lt;&gt;"",1,0),0)</f>
        <v/>
      </c>
      <c r="DS52">
        <f>IF(DS$4=1,IF(INDEX('×入力'!$C$1:$L$700,636+DS$3,DS$2)&lt;&gt;"",1,0),0)</f>
        <v/>
      </c>
      <c r="DU52">
        <f>IFERROR(INDEX('計算B'!$C$3:$C$47,MATCH(A52,'計算B'!$B$3:$B$47,0)),0)</f>
        <v/>
      </c>
      <c r="DV52">
        <f>IF(AND(C52=1,DU52=0),1,0)</f>
        <v/>
      </c>
      <c r="DW52">
        <f>SUMPRODUCT(D102:DS102*(1-$D$7:$DS$7))</f>
        <v/>
      </c>
      <c r="DX52">
        <f>SUM(D52:DS52)</f>
        <v/>
      </c>
      <c r="DY52">
        <f>IF(B52="",0,IF(COUNTIF('割り当て'!$C$6:$L$17,B52)=1,SUMPRODUCT(('割り当て'!$C$6:$L$17=B52)*((COLUMN('割り当て'!$C$6:$L$17)-3)*12+ROW('割り当て'!$C$6:$L$17)-5)),0))</f>
        <v/>
      </c>
      <c r="DZ52">
        <f>IFERROR(MATCH('名簿'!E47,{"早い時刻","遅い時刻","早い日","遅い日"},0),0)</f>
        <v/>
      </c>
      <c r="EA52">
        <f>IF('名簿'!F47="必ず空けたい",2,IF('名簿'!F47="出来れば空けたい",1,0))</f>
        <v/>
      </c>
    </row>
    <row r="53">
      <c r="A53" t="n">
        <v>44</v>
      </c>
      <c r="B53">
        <f>'名簿'!G48</f>
        <v/>
      </c>
      <c r="C53">
        <f>IF(AND(B53&lt;&gt;"",OR('名簿'!H48="入力済み",'名簿'!H48="×なし"),DY53=0,COUNTIF('割り当て'!$C$6:$L$17,B53)=0),1,0)</f>
        <v/>
      </c>
      <c r="D53">
        <f>IF(D$4=1,IF(INDEX('×入力'!$C$1:$L$700,651+D$3,D$2)&lt;&gt;"",1,0),0)</f>
        <v/>
      </c>
      <c r="E53">
        <f>IF(E$4=1,IF(INDEX('×入力'!$C$1:$L$700,651+E$3,E$2)&lt;&gt;"",1,0),0)</f>
        <v/>
      </c>
      <c r="F53">
        <f>IF(F$4=1,IF(INDEX('×入力'!$C$1:$L$700,651+F$3,F$2)&lt;&gt;"",1,0),0)</f>
        <v/>
      </c>
      <c r="G53">
        <f>IF(G$4=1,IF(INDEX('×入力'!$C$1:$L$700,651+G$3,G$2)&lt;&gt;"",1,0),0)</f>
        <v/>
      </c>
      <c r="H53">
        <f>IF(H$4=1,IF(INDEX('×入力'!$C$1:$L$700,651+H$3,H$2)&lt;&gt;"",1,0),0)</f>
        <v/>
      </c>
      <c r="I53">
        <f>IF(I$4=1,IF(INDEX('×入力'!$C$1:$L$700,651+I$3,I$2)&lt;&gt;"",1,0),0)</f>
        <v/>
      </c>
      <c r="J53">
        <f>IF(J$4=1,IF(INDEX('×入力'!$C$1:$L$700,651+J$3,J$2)&lt;&gt;"",1,0),0)</f>
        <v/>
      </c>
      <c r="K53">
        <f>IF(K$4=1,IF(INDEX('×入力'!$C$1:$L$700,651+K$3,K$2)&lt;&gt;"",1,0),0)</f>
        <v/>
      </c>
      <c r="L53">
        <f>IF(L$4=1,IF(INDEX('×入力'!$C$1:$L$700,651+L$3,L$2)&lt;&gt;"",1,0),0)</f>
        <v/>
      </c>
      <c r="M53">
        <f>IF(M$4=1,IF(INDEX('×入力'!$C$1:$L$700,651+M$3,M$2)&lt;&gt;"",1,0),0)</f>
        <v/>
      </c>
      <c r="N53">
        <f>IF(N$4=1,IF(INDEX('×入力'!$C$1:$L$700,651+N$3,N$2)&lt;&gt;"",1,0),0)</f>
        <v/>
      </c>
      <c r="O53">
        <f>IF(O$4=1,IF(INDEX('×入力'!$C$1:$L$700,651+O$3,O$2)&lt;&gt;"",1,0),0)</f>
        <v/>
      </c>
      <c r="P53">
        <f>IF(P$4=1,IF(INDEX('×入力'!$C$1:$L$700,651+P$3,P$2)&lt;&gt;"",1,0),0)</f>
        <v/>
      </c>
      <c r="Q53">
        <f>IF(Q$4=1,IF(INDEX('×入力'!$C$1:$L$700,651+Q$3,Q$2)&lt;&gt;"",1,0),0)</f>
        <v/>
      </c>
      <c r="R53">
        <f>IF(R$4=1,IF(INDEX('×入力'!$C$1:$L$700,651+R$3,R$2)&lt;&gt;"",1,0),0)</f>
        <v/>
      </c>
      <c r="S53">
        <f>IF(S$4=1,IF(INDEX('×入力'!$C$1:$L$700,651+S$3,S$2)&lt;&gt;"",1,0),0)</f>
        <v/>
      </c>
      <c r="T53">
        <f>IF(T$4=1,IF(INDEX('×入力'!$C$1:$L$700,651+T$3,T$2)&lt;&gt;"",1,0),0)</f>
        <v/>
      </c>
      <c r="U53">
        <f>IF(U$4=1,IF(INDEX('×入力'!$C$1:$L$700,651+U$3,U$2)&lt;&gt;"",1,0),0)</f>
        <v/>
      </c>
      <c r="V53">
        <f>IF(V$4=1,IF(INDEX('×入力'!$C$1:$L$700,651+V$3,V$2)&lt;&gt;"",1,0),0)</f>
        <v/>
      </c>
      <c r="W53">
        <f>IF(W$4=1,IF(INDEX('×入力'!$C$1:$L$700,651+W$3,W$2)&lt;&gt;"",1,0),0)</f>
        <v/>
      </c>
      <c r="X53">
        <f>IF(X$4=1,IF(INDEX('×入力'!$C$1:$L$700,651+X$3,X$2)&lt;&gt;"",1,0),0)</f>
        <v/>
      </c>
      <c r="Y53">
        <f>IF(Y$4=1,IF(INDEX('×入力'!$C$1:$L$700,651+Y$3,Y$2)&lt;&gt;"",1,0),0)</f>
        <v/>
      </c>
      <c r="Z53">
        <f>IF(Z$4=1,IF(INDEX('×入力'!$C$1:$L$700,651+Z$3,Z$2)&lt;&gt;"",1,0),0)</f>
        <v/>
      </c>
      <c r="AA53">
        <f>IF(AA$4=1,IF(INDEX('×入力'!$C$1:$L$700,651+AA$3,AA$2)&lt;&gt;"",1,0),0)</f>
        <v/>
      </c>
      <c r="AB53">
        <f>IF(AB$4=1,IF(INDEX('×入力'!$C$1:$L$700,651+AB$3,AB$2)&lt;&gt;"",1,0),0)</f>
        <v/>
      </c>
      <c r="AC53">
        <f>IF(AC$4=1,IF(INDEX('×入力'!$C$1:$L$700,651+AC$3,AC$2)&lt;&gt;"",1,0),0)</f>
        <v/>
      </c>
      <c r="AD53">
        <f>IF(AD$4=1,IF(INDEX('×入力'!$C$1:$L$700,651+AD$3,AD$2)&lt;&gt;"",1,0),0)</f>
        <v/>
      </c>
      <c r="AE53">
        <f>IF(AE$4=1,IF(INDEX('×入力'!$C$1:$L$700,651+AE$3,AE$2)&lt;&gt;"",1,0),0)</f>
        <v/>
      </c>
      <c r="AF53">
        <f>IF(AF$4=1,IF(INDEX('×入力'!$C$1:$L$700,651+AF$3,AF$2)&lt;&gt;"",1,0),0)</f>
        <v/>
      </c>
      <c r="AG53">
        <f>IF(AG$4=1,IF(INDEX('×入力'!$C$1:$L$700,651+AG$3,AG$2)&lt;&gt;"",1,0),0)</f>
        <v/>
      </c>
      <c r="AH53">
        <f>IF(AH$4=1,IF(INDEX('×入力'!$C$1:$L$700,651+AH$3,AH$2)&lt;&gt;"",1,0),0)</f>
        <v/>
      </c>
      <c r="AI53">
        <f>IF(AI$4=1,IF(INDEX('×入力'!$C$1:$L$700,651+AI$3,AI$2)&lt;&gt;"",1,0),0)</f>
        <v/>
      </c>
      <c r="AJ53">
        <f>IF(AJ$4=1,IF(INDEX('×入力'!$C$1:$L$700,651+AJ$3,AJ$2)&lt;&gt;"",1,0),0)</f>
        <v/>
      </c>
      <c r="AK53">
        <f>IF(AK$4=1,IF(INDEX('×入力'!$C$1:$L$700,651+AK$3,AK$2)&lt;&gt;"",1,0),0)</f>
        <v/>
      </c>
      <c r="AL53">
        <f>IF(AL$4=1,IF(INDEX('×入力'!$C$1:$L$700,651+AL$3,AL$2)&lt;&gt;"",1,0),0)</f>
        <v/>
      </c>
      <c r="AM53">
        <f>IF(AM$4=1,IF(INDEX('×入力'!$C$1:$L$700,651+AM$3,AM$2)&lt;&gt;"",1,0),0)</f>
        <v/>
      </c>
      <c r="AN53">
        <f>IF(AN$4=1,IF(INDEX('×入力'!$C$1:$L$700,651+AN$3,AN$2)&lt;&gt;"",1,0),0)</f>
        <v/>
      </c>
      <c r="AO53">
        <f>IF(AO$4=1,IF(INDEX('×入力'!$C$1:$L$700,651+AO$3,AO$2)&lt;&gt;"",1,0),0)</f>
        <v/>
      </c>
      <c r="AP53">
        <f>IF(AP$4=1,IF(INDEX('×入力'!$C$1:$L$700,651+AP$3,AP$2)&lt;&gt;"",1,0),0)</f>
        <v/>
      </c>
      <c r="AQ53">
        <f>IF(AQ$4=1,IF(INDEX('×入力'!$C$1:$L$700,651+AQ$3,AQ$2)&lt;&gt;"",1,0),0)</f>
        <v/>
      </c>
      <c r="AR53">
        <f>IF(AR$4=1,IF(INDEX('×入力'!$C$1:$L$700,651+AR$3,AR$2)&lt;&gt;"",1,0),0)</f>
        <v/>
      </c>
      <c r="AS53">
        <f>IF(AS$4=1,IF(INDEX('×入力'!$C$1:$L$700,651+AS$3,AS$2)&lt;&gt;"",1,0),0)</f>
        <v/>
      </c>
      <c r="AT53">
        <f>IF(AT$4=1,IF(INDEX('×入力'!$C$1:$L$700,651+AT$3,AT$2)&lt;&gt;"",1,0),0)</f>
        <v/>
      </c>
      <c r="AU53">
        <f>IF(AU$4=1,IF(INDEX('×入力'!$C$1:$L$700,651+AU$3,AU$2)&lt;&gt;"",1,0),0)</f>
        <v/>
      </c>
      <c r="AV53">
        <f>IF(AV$4=1,IF(INDEX('×入力'!$C$1:$L$700,651+AV$3,AV$2)&lt;&gt;"",1,0),0)</f>
        <v/>
      </c>
      <c r="AW53">
        <f>IF(AW$4=1,IF(INDEX('×入力'!$C$1:$L$700,651+AW$3,AW$2)&lt;&gt;"",1,0),0)</f>
        <v/>
      </c>
      <c r="AX53">
        <f>IF(AX$4=1,IF(INDEX('×入力'!$C$1:$L$700,651+AX$3,AX$2)&lt;&gt;"",1,0),0)</f>
        <v/>
      </c>
      <c r="AY53">
        <f>IF(AY$4=1,IF(INDEX('×入力'!$C$1:$L$700,651+AY$3,AY$2)&lt;&gt;"",1,0),0)</f>
        <v/>
      </c>
      <c r="AZ53">
        <f>IF(AZ$4=1,IF(INDEX('×入力'!$C$1:$L$700,651+AZ$3,AZ$2)&lt;&gt;"",1,0),0)</f>
        <v/>
      </c>
      <c r="BA53">
        <f>IF(BA$4=1,IF(INDEX('×入力'!$C$1:$L$700,651+BA$3,BA$2)&lt;&gt;"",1,0),0)</f>
        <v/>
      </c>
      <c r="BB53">
        <f>IF(BB$4=1,IF(INDEX('×入力'!$C$1:$L$700,651+BB$3,BB$2)&lt;&gt;"",1,0),0)</f>
        <v/>
      </c>
      <c r="BC53">
        <f>IF(BC$4=1,IF(INDEX('×入力'!$C$1:$L$700,651+BC$3,BC$2)&lt;&gt;"",1,0),0)</f>
        <v/>
      </c>
      <c r="BD53">
        <f>IF(BD$4=1,IF(INDEX('×入力'!$C$1:$L$700,651+BD$3,BD$2)&lt;&gt;"",1,0),0)</f>
        <v/>
      </c>
      <c r="BE53">
        <f>IF(BE$4=1,IF(INDEX('×入力'!$C$1:$L$700,651+BE$3,BE$2)&lt;&gt;"",1,0),0)</f>
        <v/>
      </c>
      <c r="BF53">
        <f>IF(BF$4=1,IF(INDEX('×入力'!$C$1:$L$700,651+BF$3,BF$2)&lt;&gt;"",1,0),0)</f>
        <v/>
      </c>
      <c r="BG53">
        <f>IF(BG$4=1,IF(INDEX('×入力'!$C$1:$L$700,651+BG$3,BG$2)&lt;&gt;"",1,0),0)</f>
        <v/>
      </c>
      <c r="BH53">
        <f>IF(BH$4=1,IF(INDEX('×入力'!$C$1:$L$700,651+BH$3,BH$2)&lt;&gt;"",1,0),0)</f>
        <v/>
      </c>
      <c r="BI53">
        <f>IF(BI$4=1,IF(INDEX('×入力'!$C$1:$L$700,651+BI$3,BI$2)&lt;&gt;"",1,0),0)</f>
        <v/>
      </c>
      <c r="BJ53">
        <f>IF(BJ$4=1,IF(INDEX('×入力'!$C$1:$L$700,651+BJ$3,BJ$2)&lt;&gt;"",1,0),0)</f>
        <v/>
      </c>
      <c r="BK53">
        <f>IF(BK$4=1,IF(INDEX('×入力'!$C$1:$L$700,651+BK$3,BK$2)&lt;&gt;"",1,0),0)</f>
        <v/>
      </c>
      <c r="BL53">
        <f>IF(BL$4=1,IF(INDEX('×入力'!$C$1:$L$700,651+BL$3,BL$2)&lt;&gt;"",1,0),0)</f>
        <v/>
      </c>
      <c r="BM53">
        <f>IF(BM$4=1,IF(INDEX('×入力'!$C$1:$L$700,651+BM$3,BM$2)&lt;&gt;"",1,0),0)</f>
        <v/>
      </c>
      <c r="BN53">
        <f>IF(BN$4=1,IF(INDEX('×入力'!$C$1:$L$700,651+BN$3,BN$2)&lt;&gt;"",1,0),0)</f>
        <v/>
      </c>
      <c r="BO53">
        <f>IF(BO$4=1,IF(INDEX('×入力'!$C$1:$L$700,651+BO$3,BO$2)&lt;&gt;"",1,0),0)</f>
        <v/>
      </c>
      <c r="BP53">
        <f>IF(BP$4=1,IF(INDEX('×入力'!$C$1:$L$700,651+BP$3,BP$2)&lt;&gt;"",1,0),0)</f>
        <v/>
      </c>
      <c r="BQ53">
        <f>IF(BQ$4=1,IF(INDEX('×入力'!$C$1:$L$700,651+BQ$3,BQ$2)&lt;&gt;"",1,0),0)</f>
        <v/>
      </c>
      <c r="BR53">
        <f>IF(BR$4=1,IF(INDEX('×入力'!$C$1:$L$700,651+BR$3,BR$2)&lt;&gt;"",1,0),0)</f>
        <v/>
      </c>
      <c r="BS53">
        <f>IF(BS$4=1,IF(INDEX('×入力'!$C$1:$L$700,651+BS$3,BS$2)&lt;&gt;"",1,0),0)</f>
        <v/>
      </c>
      <c r="BT53">
        <f>IF(BT$4=1,IF(INDEX('×入力'!$C$1:$L$700,651+BT$3,BT$2)&lt;&gt;"",1,0),0)</f>
        <v/>
      </c>
      <c r="BU53">
        <f>IF(BU$4=1,IF(INDEX('×入力'!$C$1:$L$700,651+BU$3,BU$2)&lt;&gt;"",1,0),0)</f>
        <v/>
      </c>
      <c r="BV53">
        <f>IF(BV$4=1,IF(INDEX('×入力'!$C$1:$L$700,651+BV$3,BV$2)&lt;&gt;"",1,0),0)</f>
        <v/>
      </c>
      <c r="BW53">
        <f>IF(BW$4=1,IF(INDEX('×入力'!$C$1:$L$700,651+BW$3,BW$2)&lt;&gt;"",1,0),0)</f>
        <v/>
      </c>
      <c r="BX53">
        <f>IF(BX$4=1,IF(INDEX('×入力'!$C$1:$L$700,651+BX$3,BX$2)&lt;&gt;"",1,0),0)</f>
        <v/>
      </c>
      <c r="BY53">
        <f>IF(BY$4=1,IF(INDEX('×入力'!$C$1:$L$700,651+BY$3,BY$2)&lt;&gt;"",1,0),0)</f>
        <v/>
      </c>
      <c r="BZ53">
        <f>IF(BZ$4=1,IF(INDEX('×入力'!$C$1:$L$700,651+BZ$3,BZ$2)&lt;&gt;"",1,0),0)</f>
        <v/>
      </c>
      <c r="CA53">
        <f>IF(CA$4=1,IF(INDEX('×入力'!$C$1:$L$700,651+CA$3,CA$2)&lt;&gt;"",1,0),0)</f>
        <v/>
      </c>
      <c r="CB53">
        <f>IF(CB$4=1,IF(INDEX('×入力'!$C$1:$L$700,651+CB$3,CB$2)&lt;&gt;"",1,0),0)</f>
        <v/>
      </c>
      <c r="CC53">
        <f>IF(CC$4=1,IF(INDEX('×入力'!$C$1:$L$700,651+CC$3,CC$2)&lt;&gt;"",1,0),0)</f>
        <v/>
      </c>
      <c r="CD53">
        <f>IF(CD$4=1,IF(INDEX('×入力'!$C$1:$L$700,651+CD$3,CD$2)&lt;&gt;"",1,0),0)</f>
        <v/>
      </c>
      <c r="CE53">
        <f>IF(CE$4=1,IF(INDEX('×入力'!$C$1:$L$700,651+CE$3,CE$2)&lt;&gt;"",1,0),0)</f>
        <v/>
      </c>
      <c r="CF53">
        <f>IF(CF$4=1,IF(INDEX('×入力'!$C$1:$L$700,651+CF$3,CF$2)&lt;&gt;"",1,0),0)</f>
        <v/>
      </c>
      <c r="CG53">
        <f>IF(CG$4=1,IF(INDEX('×入力'!$C$1:$L$700,651+CG$3,CG$2)&lt;&gt;"",1,0),0)</f>
        <v/>
      </c>
      <c r="CH53">
        <f>IF(CH$4=1,IF(INDEX('×入力'!$C$1:$L$700,651+CH$3,CH$2)&lt;&gt;"",1,0),0)</f>
        <v/>
      </c>
      <c r="CI53">
        <f>IF(CI$4=1,IF(INDEX('×入力'!$C$1:$L$700,651+CI$3,CI$2)&lt;&gt;"",1,0),0)</f>
        <v/>
      </c>
      <c r="CJ53">
        <f>IF(CJ$4=1,IF(INDEX('×入力'!$C$1:$L$700,651+CJ$3,CJ$2)&lt;&gt;"",1,0),0)</f>
        <v/>
      </c>
      <c r="CK53">
        <f>IF(CK$4=1,IF(INDEX('×入力'!$C$1:$L$700,651+CK$3,CK$2)&lt;&gt;"",1,0),0)</f>
        <v/>
      </c>
      <c r="CL53">
        <f>IF(CL$4=1,IF(INDEX('×入力'!$C$1:$L$700,651+CL$3,CL$2)&lt;&gt;"",1,0),0)</f>
        <v/>
      </c>
      <c r="CM53">
        <f>IF(CM$4=1,IF(INDEX('×入力'!$C$1:$L$700,651+CM$3,CM$2)&lt;&gt;"",1,0),0)</f>
        <v/>
      </c>
      <c r="CN53">
        <f>IF(CN$4=1,IF(INDEX('×入力'!$C$1:$L$700,651+CN$3,CN$2)&lt;&gt;"",1,0),0)</f>
        <v/>
      </c>
      <c r="CO53">
        <f>IF(CO$4=1,IF(INDEX('×入力'!$C$1:$L$700,651+CO$3,CO$2)&lt;&gt;"",1,0),0)</f>
        <v/>
      </c>
      <c r="CP53">
        <f>IF(CP$4=1,IF(INDEX('×入力'!$C$1:$L$700,651+CP$3,CP$2)&lt;&gt;"",1,0),0)</f>
        <v/>
      </c>
      <c r="CQ53">
        <f>IF(CQ$4=1,IF(INDEX('×入力'!$C$1:$L$700,651+CQ$3,CQ$2)&lt;&gt;"",1,0),0)</f>
        <v/>
      </c>
      <c r="CR53">
        <f>IF(CR$4=1,IF(INDEX('×入力'!$C$1:$L$700,651+CR$3,CR$2)&lt;&gt;"",1,0),0)</f>
        <v/>
      </c>
      <c r="CS53">
        <f>IF(CS$4=1,IF(INDEX('×入力'!$C$1:$L$700,651+CS$3,CS$2)&lt;&gt;"",1,0),0)</f>
        <v/>
      </c>
      <c r="CT53">
        <f>IF(CT$4=1,IF(INDEX('×入力'!$C$1:$L$700,651+CT$3,CT$2)&lt;&gt;"",1,0),0)</f>
        <v/>
      </c>
      <c r="CU53">
        <f>IF(CU$4=1,IF(INDEX('×入力'!$C$1:$L$700,651+CU$3,CU$2)&lt;&gt;"",1,0),0)</f>
        <v/>
      </c>
      <c r="CV53">
        <f>IF(CV$4=1,IF(INDEX('×入力'!$C$1:$L$700,651+CV$3,CV$2)&lt;&gt;"",1,0),0)</f>
        <v/>
      </c>
      <c r="CW53">
        <f>IF(CW$4=1,IF(INDEX('×入力'!$C$1:$L$700,651+CW$3,CW$2)&lt;&gt;"",1,0),0)</f>
        <v/>
      </c>
      <c r="CX53">
        <f>IF(CX$4=1,IF(INDEX('×入力'!$C$1:$L$700,651+CX$3,CX$2)&lt;&gt;"",1,0),0)</f>
        <v/>
      </c>
      <c r="CY53">
        <f>IF(CY$4=1,IF(INDEX('×入力'!$C$1:$L$700,651+CY$3,CY$2)&lt;&gt;"",1,0),0)</f>
        <v/>
      </c>
      <c r="CZ53">
        <f>IF(CZ$4=1,IF(INDEX('×入力'!$C$1:$L$700,651+CZ$3,CZ$2)&lt;&gt;"",1,0),0)</f>
        <v/>
      </c>
      <c r="DA53">
        <f>IF(DA$4=1,IF(INDEX('×入力'!$C$1:$L$700,651+DA$3,DA$2)&lt;&gt;"",1,0),0)</f>
        <v/>
      </c>
      <c r="DB53">
        <f>IF(DB$4=1,IF(INDEX('×入力'!$C$1:$L$700,651+DB$3,DB$2)&lt;&gt;"",1,0),0)</f>
        <v/>
      </c>
      <c r="DC53">
        <f>IF(DC$4=1,IF(INDEX('×入力'!$C$1:$L$700,651+DC$3,DC$2)&lt;&gt;"",1,0),0)</f>
        <v/>
      </c>
      <c r="DD53">
        <f>IF(DD$4=1,IF(INDEX('×入力'!$C$1:$L$700,651+DD$3,DD$2)&lt;&gt;"",1,0),0)</f>
        <v/>
      </c>
      <c r="DE53">
        <f>IF(DE$4=1,IF(INDEX('×入力'!$C$1:$L$700,651+DE$3,DE$2)&lt;&gt;"",1,0),0)</f>
        <v/>
      </c>
      <c r="DF53">
        <f>IF(DF$4=1,IF(INDEX('×入力'!$C$1:$L$700,651+DF$3,DF$2)&lt;&gt;"",1,0),0)</f>
        <v/>
      </c>
      <c r="DG53">
        <f>IF(DG$4=1,IF(INDEX('×入力'!$C$1:$L$700,651+DG$3,DG$2)&lt;&gt;"",1,0),0)</f>
        <v/>
      </c>
      <c r="DH53">
        <f>IF(DH$4=1,IF(INDEX('×入力'!$C$1:$L$700,651+DH$3,DH$2)&lt;&gt;"",1,0),0)</f>
        <v/>
      </c>
      <c r="DI53">
        <f>IF(DI$4=1,IF(INDEX('×入力'!$C$1:$L$700,651+DI$3,DI$2)&lt;&gt;"",1,0),0)</f>
        <v/>
      </c>
      <c r="DJ53">
        <f>IF(DJ$4=1,IF(INDEX('×入力'!$C$1:$L$700,651+DJ$3,DJ$2)&lt;&gt;"",1,0),0)</f>
        <v/>
      </c>
      <c r="DK53">
        <f>IF(DK$4=1,IF(INDEX('×入力'!$C$1:$L$700,651+DK$3,DK$2)&lt;&gt;"",1,0),0)</f>
        <v/>
      </c>
      <c r="DL53">
        <f>IF(DL$4=1,IF(INDEX('×入力'!$C$1:$L$700,651+DL$3,DL$2)&lt;&gt;"",1,0),0)</f>
        <v/>
      </c>
      <c r="DM53">
        <f>IF(DM$4=1,IF(INDEX('×入力'!$C$1:$L$700,651+DM$3,DM$2)&lt;&gt;"",1,0),0)</f>
        <v/>
      </c>
      <c r="DN53">
        <f>IF(DN$4=1,IF(INDEX('×入力'!$C$1:$L$700,651+DN$3,DN$2)&lt;&gt;"",1,0),0)</f>
        <v/>
      </c>
      <c r="DO53">
        <f>IF(DO$4=1,IF(INDEX('×入力'!$C$1:$L$700,651+DO$3,DO$2)&lt;&gt;"",1,0),0)</f>
        <v/>
      </c>
      <c r="DP53">
        <f>IF(DP$4=1,IF(INDEX('×入力'!$C$1:$L$700,651+DP$3,DP$2)&lt;&gt;"",1,0),0)</f>
        <v/>
      </c>
      <c r="DQ53">
        <f>IF(DQ$4=1,IF(INDEX('×入力'!$C$1:$L$700,651+DQ$3,DQ$2)&lt;&gt;"",1,0),0)</f>
        <v/>
      </c>
      <c r="DR53">
        <f>IF(DR$4=1,IF(INDEX('×入力'!$C$1:$L$700,651+DR$3,DR$2)&lt;&gt;"",1,0),0)</f>
        <v/>
      </c>
      <c r="DS53">
        <f>IF(DS$4=1,IF(INDEX('×入力'!$C$1:$L$700,651+DS$3,DS$2)&lt;&gt;"",1,0),0)</f>
        <v/>
      </c>
      <c r="DU53">
        <f>IFERROR(INDEX('計算B'!$C$3:$C$47,MATCH(A53,'計算B'!$B$3:$B$47,0)),0)</f>
        <v/>
      </c>
      <c r="DV53">
        <f>IF(AND(C53=1,DU53=0),1,0)</f>
        <v/>
      </c>
      <c r="DW53">
        <f>SUMPRODUCT(D103:DS103*(1-$D$7:$DS$7))</f>
        <v/>
      </c>
      <c r="DX53">
        <f>SUM(D53:DS53)</f>
        <v/>
      </c>
      <c r="DY53">
        <f>IF(B53="",0,IF(COUNTIF('割り当て'!$C$6:$L$17,B53)=1,SUMPRODUCT(('割り当て'!$C$6:$L$17=B53)*((COLUMN('割り当て'!$C$6:$L$17)-3)*12+ROW('割り当て'!$C$6:$L$17)-5)),0))</f>
        <v/>
      </c>
      <c r="DZ53">
        <f>IFERROR(MATCH('名簿'!E48,{"早い時刻","遅い時刻","早い日","遅い日"},0),0)</f>
        <v/>
      </c>
      <c r="EA53">
        <f>IF('名簿'!F48="必ず空けたい",2,IF('名簿'!F48="出来れば空けたい",1,0))</f>
        <v/>
      </c>
    </row>
    <row r="54">
      <c r="A54" t="n">
        <v>45</v>
      </c>
      <c r="B54">
        <f>'名簿'!G49</f>
        <v/>
      </c>
      <c r="C54">
        <f>IF(AND(B54&lt;&gt;"",OR('名簿'!H49="入力済み",'名簿'!H49="×なし"),DY54=0,COUNTIF('割り当て'!$C$6:$L$17,B54)=0),1,0)</f>
        <v/>
      </c>
      <c r="D54">
        <f>IF(D$4=1,IF(INDEX('×入力'!$C$1:$L$700,666+D$3,D$2)&lt;&gt;"",1,0),0)</f>
        <v/>
      </c>
      <c r="E54">
        <f>IF(E$4=1,IF(INDEX('×入力'!$C$1:$L$700,666+E$3,E$2)&lt;&gt;"",1,0),0)</f>
        <v/>
      </c>
      <c r="F54">
        <f>IF(F$4=1,IF(INDEX('×入力'!$C$1:$L$700,666+F$3,F$2)&lt;&gt;"",1,0),0)</f>
        <v/>
      </c>
      <c r="G54">
        <f>IF(G$4=1,IF(INDEX('×入力'!$C$1:$L$700,666+G$3,G$2)&lt;&gt;"",1,0),0)</f>
        <v/>
      </c>
      <c r="H54">
        <f>IF(H$4=1,IF(INDEX('×入力'!$C$1:$L$700,666+H$3,H$2)&lt;&gt;"",1,0),0)</f>
        <v/>
      </c>
      <c r="I54">
        <f>IF(I$4=1,IF(INDEX('×入力'!$C$1:$L$700,666+I$3,I$2)&lt;&gt;"",1,0),0)</f>
        <v/>
      </c>
      <c r="J54">
        <f>IF(J$4=1,IF(INDEX('×入力'!$C$1:$L$700,666+J$3,J$2)&lt;&gt;"",1,0),0)</f>
        <v/>
      </c>
      <c r="K54">
        <f>IF(K$4=1,IF(INDEX('×入力'!$C$1:$L$700,666+K$3,K$2)&lt;&gt;"",1,0),0)</f>
        <v/>
      </c>
      <c r="L54">
        <f>IF(L$4=1,IF(INDEX('×入力'!$C$1:$L$700,666+L$3,L$2)&lt;&gt;"",1,0),0)</f>
        <v/>
      </c>
      <c r="M54">
        <f>IF(M$4=1,IF(INDEX('×入力'!$C$1:$L$700,666+M$3,M$2)&lt;&gt;"",1,0),0)</f>
        <v/>
      </c>
      <c r="N54">
        <f>IF(N$4=1,IF(INDEX('×入力'!$C$1:$L$700,666+N$3,N$2)&lt;&gt;"",1,0),0)</f>
        <v/>
      </c>
      <c r="O54">
        <f>IF(O$4=1,IF(INDEX('×入力'!$C$1:$L$700,666+O$3,O$2)&lt;&gt;"",1,0),0)</f>
        <v/>
      </c>
      <c r="P54">
        <f>IF(P$4=1,IF(INDEX('×入力'!$C$1:$L$700,666+P$3,P$2)&lt;&gt;"",1,0),0)</f>
        <v/>
      </c>
      <c r="Q54">
        <f>IF(Q$4=1,IF(INDEX('×入力'!$C$1:$L$700,666+Q$3,Q$2)&lt;&gt;"",1,0),0)</f>
        <v/>
      </c>
      <c r="R54">
        <f>IF(R$4=1,IF(INDEX('×入力'!$C$1:$L$700,666+R$3,R$2)&lt;&gt;"",1,0),0)</f>
        <v/>
      </c>
      <c r="S54">
        <f>IF(S$4=1,IF(INDEX('×入力'!$C$1:$L$700,666+S$3,S$2)&lt;&gt;"",1,0),0)</f>
        <v/>
      </c>
      <c r="T54">
        <f>IF(T$4=1,IF(INDEX('×入力'!$C$1:$L$700,666+T$3,T$2)&lt;&gt;"",1,0),0)</f>
        <v/>
      </c>
      <c r="U54">
        <f>IF(U$4=1,IF(INDEX('×入力'!$C$1:$L$700,666+U$3,U$2)&lt;&gt;"",1,0),0)</f>
        <v/>
      </c>
      <c r="V54">
        <f>IF(V$4=1,IF(INDEX('×入力'!$C$1:$L$700,666+V$3,V$2)&lt;&gt;"",1,0),0)</f>
        <v/>
      </c>
      <c r="W54">
        <f>IF(W$4=1,IF(INDEX('×入力'!$C$1:$L$700,666+W$3,W$2)&lt;&gt;"",1,0),0)</f>
        <v/>
      </c>
      <c r="X54">
        <f>IF(X$4=1,IF(INDEX('×入力'!$C$1:$L$700,666+X$3,X$2)&lt;&gt;"",1,0),0)</f>
        <v/>
      </c>
      <c r="Y54">
        <f>IF(Y$4=1,IF(INDEX('×入力'!$C$1:$L$700,666+Y$3,Y$2)&lt;&gt;"",1,0),0)</f>
        <v/>
      </c>
      <c r="Z54">
        <f>IF(Z$4=1,IF(INDEX('×入力'!$C$1:$L$700,666+Z$3,Z$2)&lt;&gt;"",1,0),0)</f>
        <v/>
      </c>
      <c r="AA54">
        <f>IF(AA$4=1,IF(INDEX('×入力'!$C$1:$L$700,666+AA$3,AA$2)&lt;&gt;"",1,0),0)</f>
        <v/>
      </c>
      <c r="AB54">
        <f>IF(AB$4=1,IF(INDEX('×入力'!$C$1:$L$700,666+AB$3,AB$2)&lt;&gt;"",1,0),0)</f>
        <v/>
      </c>
      <c r="AC54">
        <f>IF(AC$4=1,IF(INDEX('×入力'!$C$1:$L$700,666+AC$3,AC$2)&lt;&gt;"",1,0),0)</f>
        <v/>
      </c>
      <c r="AD54">
        <f>IF(AD$4=1,IF(INDEX('×入力'!$C$1:$L$700,666+AD$3,AD$2)&lt;&gt;"",1,0),0)</f>
        <v/>
      </c>
      <c r="AE54">
        <f>IF(AE$4=1,IF(INDEX('×入力'!$C$1:$L$700,666+AE$3,AE$2)&lt;&gt;"",1,0),0)</f>
        <v/>
      </c>
      <c r="AF54">
        <f>IF(AF$4=1,IF(INDEX('×入力'!$C$1:$L$700,666+AF$3,AF$2)&lt;&gt;"",1,0),0)</f>
        <v/>
      </c>
      <c r="AG54">
        <f>IF(AG$4=1,IF(INDEX('×入力'!$C$1:$L$700,666+AG$3,AG$2)&lt;&gt;"",1,0),0)</f>
        <v/>
      </c>
      <c r="AH54">
        <f>IF(AH$4=1,IF(INDEX('×入力'!$C$1:$L$700,666+AH$3,AH$2)&lt;&gt;"",1,0),0)</f>
        <v/>
      </c>
      <c r="AI54">
        <f>IF(AI$4=1,IF(INDEX('×入力'!$C$1:$L$700,666+AI$3,AI$2)&lt;&gt;"",1,0),0)</f>
        <v/>
      </c>
      <c r="AJ54">
        <f>IF(AJ$4=1,IF(INDEX('×入力'!$C$1:$L$700,666+AJ$3,AJ$2)&lt;&gt;"",1,0),0)</f>
        <v/>
      </c>
      <c r="AK54">
        <f>IF(AK$4=1,IF(INDEX('×入力'!$C$1:$L$700,666+AK$3,AK$2)&lt;&gt;"",1,0),0)</f>
        <v/>
      </c>
      <c r="AL54">
        <f>IF(AL$4=1,IF(INDEX('×入力'!$C$1:$L$700,666+AL$3,AL$2)&lt;&gt;"",1,0),0)</f>
        <v/>
      </c>
      <c r="AM54">
        <f>IF(AM$4=1,IF(INDEX('×入力'!$C$1:$L$700,666+AM$3,AM$2)&lt;&gt;"",1,0),0)</f>
        <v/>
      </c>
      <c r="AN54">
        <f>IF(AN$4=1,IF(INDEX('×入力'!$C$1:$L$700,666+AN$3,AN$2)&lt;&gt;"",1,0),0)</f>
        <v/>
      </c>
      <c r="AO54">
        <f>IF(AO$4=1,IF(INDEX('×入力'!$C$1:$L$700,666+AO$3,AO$2)&lt;&gt;"",1,0),0)</f>
        <v/>
      </c>
      <c r="AP54">
        <f>IF(AP$4=1,IF(INDEX('×入力'!$C$1:$L$700,666+AP$3,AP$2)&lt;&gt;"",1,0),0)</f>
        <v/>
      </c>
      <c r="AQ54">
        <f>IF(AQ$4=1,IF(INDEX('×入力'!$C$1:$L$700,666+AQ$3,AQ$2)&lt;&gt;"",1,0),0)</f>
        <v/>
      </c>
      <c r="AR54">
        <f>IF(AR$4=1,IF(INDEX('×入力'!$C$1:$L$700,666+AR$3,AR$2)&lt;&gt;"",1,0),0)</f>
        <v/>
      </c>
      <c r="AS54">
        <f>IF(AS$4=1,IF(INDEX('×入力'!$C$1:$L$700,666+AS$3,AS$2)&lt;&gt;"",1,0),0)</f>
        <v/>
      </c>
      <c r="AT54">
        <f>IF(AT$4=1,IF(INDEX('×入力'!$C$1:$L$700,666+AT$3,AT$2)&lt;&gt;"",1,0),0)</f>
        <v/>
      </c>
      <c r="AU54">
        <f>IF(AU$4=1,IF(INDEX('×入力'!$C$1:$L$700,666+AU$3,AU$2)&lt;&gt;"",1,0),0)</f>
        <v/>
      </c>
      <c r="AV54">
        <f>IF(AV$4=1,IF(INDEX('×入力'!$C$1:$L$700,666+AV$3,AV$2)&lt;&gt;"",1,0),0)</f>
        <v/>
      </c>
      <c r="AW54">
        <f>IF(AW$4=1,IF(INDEX('×入力'!$C$1:$L$700,666+AW$3,AW$2)&lt;&gt;"",1,0),0)</f>
        <v/>
      </c>
      <c r="AX54">
        <f>IF(AX$4=1,IF(INDEX('×入力'!$C$1:$L$700,666+AX$3,AX$2)&lt;&gt;"",1,0),0)</f>
        <v/>
      </c>
      <c r="AY54">
        <f>IF(AY$4=1,IF(INDEX('×入力'!$C$1:$L$700,666+AY$3,AY$2)&lt;&gt;"",1,0),0)</f>
        <v/>
      </c>
      <c r="AZ54">
        <f>IF(AZ$4=1,IF(INDEX('×入力'!$C$1:$L$700,666+AZ$3,AZ$2)&lt;&gt;"",1,0),0)</f>
        <v/>
      </c>
      <c r="BA54">
        <f>IF(BA$4=1,IF(INDEX('×入力'!$C$1:$L$700,666+BA$3,BA$2)&lt;&gt;"",1,0),0)</f>
        <v/>
      </c>
      <c r="BB54">
        <f>IF(BB$4=1,IF(INDEX('×入力'!$C$1:$L$700,666+BB$3,BB$2)&lt;&gt;"",1,0),0)</f>
        <v/>
      </c>
      <c r="BC54">
        <f>IF(BC$4=1,IF(INDEX('×入力'!$C$1:$L$700,666+BC$3,BC$2)&lt;&gt;"",1,0),0)</f>
        <v/>
      </c>
      <c r="BD54">
        <f>IF(BD$4=1,IF(INDEX('×入力'!$C$1:$L$700,666+BD$3,BD$2)&lt;&gt;"",1,0),0)</f>
        <v/>
      </c>
      <c r="BE54">
        <f>IF(BE$4=1,IF(INDEX('×入力'!$C$1:$L$700,666+BE$3,BE$2)&lt;&gt;"",1,0),0)</f>
        <v/>
      </c>
      <c r="BF54">
        <f>IF(BF$4=1,IF(INDEX('×入力'!$C$1:$L$700,666+BF$3,BF$2)&lt;&gt;"",1,0),0)</f>
        <v/>
      </c>
      <c r="BG54">
        <f>IF(BG$4=1,IF(INDEX('×入力'!$C$1:$L$700,666+BG$3,BG$2)&lt;&gt;"",1,0),0)</f>
        <v/>
      </c>
      <c r="BH54">
        <f>IF(BH$4=1,IF(INDEX('×入力'!$C$1:$L$700,666+BH$3,BH$2)&lt;&gt;"",1,0),0)</f>
        <v/>
      </c>
      <c r="BI54">
        <f>IF(BI$4=1,IF(INDEX('×入力'!$C$1:$L$700,666+BI$3,BI$2)&lt;&gt;"",1,0),0)</f>
        <v/>
      </c>
      <c r="BJ54">
        <f>IF(BJ$4=1,IF(INDEX('×入力'!$C$1:$L$700,666+BJ$3,BJ$2)&lt;&gt;"",1,0),0)</f>
        <v/>
      </c>
      <c r="BK54">
        <f>IF(BK$4=1,IF(INDEX('×入力'!$C$1:$L$700,666+BK$3,BK$2)&lt;&gt;"",1,0),0)</f>
        <v/>
      </c>
      <c r="BL54">
        <f>IF(BL$4=1,IF(INDEX('×入力'!$C$1:$L$700,666+BL$3,BL$2)&lt;&gt;"",1,0),0)</f>
        <v/>
      </c>
      <c r="BM54">
        <f>IF(BM$4=1,IF(INDEX('×入力'!$C$1:$L$700,666+BM$3,BM$2)&lt;&gt;"",1,0),0)</f>
        <v/>
      </c>
      <c r="BN54">
        <f>IF(BN$4=1,IF(INDEX('×入力'!$C$1:$L$700,666+BN$3,BN$2)&lt;&gt;"",1,0),0)</f>
        <v/>
      </c>
      <c r="BO54">
        <f>IF(BO$4=1,IF(INDEX('×入力'!$C$1:$L$700,666+BO$3,BO$2)&lt;&gt;"",1,0),0)</f>
        <v/>
      </c>
      <c r="BP54">
        <f>IF(BP$4=1,IF(INDEX('×入力'!$C$1:$L$700,666+BP$3,BP$2)&lt;&gt;"",1,0),0)</f>
        <v/>
      </c>
      <c r="BQ54">
        <f>IF(BQ$4=1,IF(INDEX('×入力'!$C$1:$L$700,666+BQ$3,BQ$2)&lt;&gt;"",1,0),0)</f>
        <v/>
      </c>
      <c r="BR54">
        <f>IF(BR$4=1,IF(INDEX('×入力'!$C$1:$L$700,666+BR$3,BR$2)&lt;&gt;"",1,0),0)</f>
        <v/>
      </c>
      <c r="BS54">
        <f>IF(BS$4=1,IF(INDEX('×入力'!$C$1:$L$700,666+BS$3,BS$2)&lt;&gt;"",1,0),0)</f>
        <v/>
      </c>
      <c r="BT54">
        <f>IF(BT$4=1,IF(INDEX('×入力'!$C$1:$L$700,666+BT$3,BT$2)&lt;&gt;"",1,0),0)</f>
        <v/>
      </c>
      <c r="BU54">
        <f>IF(BU$4=1,IF(INDEX('×入力'!$C$1:$L$700,666+BU$3,BU$2)&lt;&gt;"",1,0),0)</f>
        <v/>
      </c>
      <c r="BV54">
        <f>IF(BV$4=1,IF(INDEX('×入力'!$C$1:$L$700,666+BV$3,BV$2)&lt;&gt;"",1,0),0)</f>
        <v/>
      </c>
      <c r="BW54">
        <f>IF(BW$4=1,IF(INDEX('×入力'!$C$1:$L$700,666+BW$3,BW$2)&lt;&gt;"",1,0),0)</f>
        <v/>
      </c>
      <c r="BX54">
        <f>IF(BX$4=1,IF(INDEX('×入力'!$C$1:$L$700,666+BX$3,BX$2)&lt;&gt;"",1,0),0)</f>
        <v/>
      </c>
      <c r="BY54">
        <f>IF(BY$4=1,IF(INDEX('×入力'!$C$1:$L$700,666+BY$3,BY$2)&lt;&gt;"",1,0),0)</f>
        <v/>
      </c>
      <c r="BZ54">
        <f>IF(BZ$4=1,IF(INDEX('×入力'!$C$1:$L$700,666+BZ$3,BZ$2)&lt;&gt;"",1,0),0)</f>
        <v/>
      </c>
      <c r="CA54">
        <f>IF(CA$4=1,IF(INDEX('×入力'!$C$1:$L$700,666+CA$3,CA$2)&lt;&gt;"",1,0),0)</f>
        <v/>
      </c>
      <c r="CB54">
        <f>IF(CB$4=1,IF(INDEX('×入力'!$C$1:$L$700,666+CB$3,CB$2)&lt;&gt;"",1,0),0)</f>
        <v/>
      </c>
      <c r="CC54">
        <f>IF(CC$4=1,IF(INDEX('×入力'!$C$1:$L$700,666+CC$3,CC$2)&lt;&gt;"",1,0),0)</f>
        <v/>
      </c>
      <c r="CD54">
        <f>IF(CD$4=1,IF(INDEX('×入力'!$C$1:$L$700,666+CD$3,CD$2)&lt;&gt;"",1,0),0)</f>
        <v/>
      </c>
      <c r="CE54">
        <f>IF(CE$4=1,IF(INDEX('×入力'!$C$1:$L$700,666+CE$3,CE$2)&lt;&gt;"",1,0),0)</f>
        <v/>
      </c>
      <c r="CF54">
        <f>IF(CF$4=1,IF(INDEX('×入力'!$C$1:$L$700,666+CF$3,CF$2)&lt;&gt;"",1,0),0)</f>
        <v/>
      </c>
      <c r="CG54">
        <f>IF(CG$4=1,IF(INDEX('×入力'!$C$1:$L$700,666+CG$3,CG$2)&lt;&gt;"",1,0),0)</f>
        <v/>
      </c>
      <c r="CH54">
        <f>IF(CH$4=1,IF(INDEX('×入力'!$C$1:$L$700,666+CH$3,CH$2)&lt;&gt;"",1,0),0)</f>
        <v/>
      </c>
      <c r="CI54">
        <f>IF(CI$4=1,IF(INDEX('×入力'!$C$1:$L$700,666+CI$3,CI$2)&lt;&gt;"",1,0),0)</f>
        <v/>
      </c>
      <c r="CJ54">
        <f>IF(CJ$4=1,IF(INDEX('×入力'!$C$1:$L$700,666+CJ$3,CJ$2)&lt;&gt;"",1,0),0)</f>
        <v/>
      </c>
      <c r="CK54">
        <f>IF(CK$4=1,IF(INDEX('×入力'!$C$1:$L$700,666+CK$3,CK$2)&lt;&gt;"",1,0),0)</f>
        <v/>
      </c>
      <c r="CL54">
        <f>IF(CL$4=1,IF(INDEX('×入力'!$C$1:$L$700,666+CL$3,CL$2)&lt;&gt;"",1,0),0)</f>
        <v/>
      </c>
      <c r="CM54">
        <f>IF(CM$4=1,IF(INDEX('×入力'!$C$1:$L$700,666+CM$3,CM$2)&lt;&gt;"",1,0),0)</f>
        <v/>
      </c>
      <c r="CN54">
        <f>IF(CN$4=1,IF(INDEX('×入力'!$C$1:$L$700,666+CN$3,CN$2)&lt;&gt;"",1,0),0)</f>
        <v/>
      </c>
      <c r="CO54">
        <f>IF(CO$4=1,IF(INDEX('×入力'!$C$1:$L$700,666+CO$3,CO$2)&lt;&gt;"",1,0),0)</f>
        <v/>
      </c>
      <c r="CP54">
        <f>IF(CP$4=1,IF(INDEX('×入力'!$C$1:$L$700,666+CP$3,CP$2)&lt;&gt;"",1,0),0)</f>
        <v/>
      </c>
      <c r="CQ54">
        <f>IF(CQ$4=1,IF(INDEX('×入力'!$C$1:$L$700,666+CQ$3,CQ$2)&lt;&gt;"",1,0),0)</f>
        <v/>
      </c>
      <c r="CR54">
        <f>IF(CR$4=1,IF(INDEX('×入力'!$C$1:$L$700,666+CR$3,CR$2)&lt;&gt;"",1,0),0)</f>
        <v/>
      </c>
      <c r="CS54">
        <f>IF(CS$4=1,IF(INDEX('×入力'!$C$1:$L$700,666+CS$3,CS$2)&lt;&gt;"",1,0),0)</f>
        <v/>
      </c>
      <c r="CT54">
        <f>IF(CT$4=1,IF(INDEX('×入力'!$C$1:$L$700,666+CT$3,CT$2)&lt;&gt;"",1,0),0)</f>
        <v/>
      </c>
      <c r="CU54">
        <f>IF(CU$4=1,IF(INDEX('×入力'!$C$1:$L$700,666+CU$3,CU$2)&lt;&gt;"",1,0),0)</f>
        <v/>
      </c>
      <c r="CV54">
        <f>IF(CV$4=1,IF(INDEX('×入力'!$C$1:$L$700,666+CV$3,CV$2)&lt;&gt;"",1,0),0)</f>
        <v/>
      </c>
      <c r="CW54">
        <f>IF(CW$4=1,IF(INDEX('×入力'!$C$1:$L$700,666+CW$3,CW$2)&lt;&gt;"",1,0),0)</f>
        <v/>
      </c>
      <c r="CX54">
        <f>IF(CX$4=1,IF(INDEX('×入力'!$C$1:$L$700,666+CX$3,CX$2)&lt;&gt;"",1,0),0)</f>
        <v/>
      </c>
      <c r="CY54">
        <f>IF(CY$4=1,IF(INDEX('×入力'!$C$1:$L$700,666+CY$3,CY$2)&lt;&gt;"",1,0),0)</f>
        <v/>
      </c>
      <c r="CZ54">
        <f>IF(CZ$4=1,IF(INDEX('×入力'!$C$1:$L$700,666+CZ$3,CZ$2)&lt;&gt;"",1,0),0)</f>
        <v/>
      </c>
      <c r="DA54">
        <f>IF(DA$4=1,IF(INDEX('×入力'!$C$1:$L$700,666+DA$3,DA$2)&lt;&gt;"",1,0),0)</f>
        <v/>
      </c>
      <c r="DB54">
        <f>IF(DB$4=1,IF(INDEX('×入力'!$C$1:$L$700,666+DB$3,DB$2)&lt;&gt;"",1,0),0)</f>
        <v/>
      </c>
      <c r="DC54">
        <f>IF(DC$4=1,IF(INDEX('×入力'!$C$1:$L$700,666+DC$3,DC$2)&lt;&gt;"",1,0),0)</f>
        <v/>
      </c>
      <c r="DD54">
        <f>IF(DD$4=1,IF(INDEX('×入力'!$C$1:$L$700,666+DD$3,DD$2)&lt;&gt;"",1,0),0)</f>
        <v/>
      </c>
      <c r="DE54">
        <f>IF(DE$4=1,IF(INDEX('×入力'!$C$1:$L$700,666+DE$3,DE$2)&lt;&gt;"",1,0),0)</f>
        <v/>
      </c>
      <c r="DF54">
        <f>IF(DF$4=1,IF(INDEX('×入力'!$C$1:$L$700,666+DF$3,DF$2)&lt;&gt;"",1,0),0)</f>
        <v/>
      </c>
      <c r="DG54">
        <f>IF(DG$4=1,IF(INDEX('×入力'!$C$1:$L$700,666+DG$3,DG$2)&lt;&gt;"",1,0),0)</f>
        <v/>
      </c>
      <c r="DH54">
        <f>IF(DH$4=1,IF(INDEX('×入力'!$C$1:$L$700,666+DH$3,DH$2)&lt;&gt;"",1,0),0)</f>
        <v/>
      </c>
      <c r="DI54">
        <f>IF(DI$4=1,IF(INDEX('×入力'!$C$1:$L$700,666+DI$3,DI$2)&lt;&gt;"",1,0),0)</f>
        <v/>
      </c>
      <c r="DJ54">
        <f>IF(DJ$4=1,IF(INDEX('×入力'!$C$1:$L$700,666+DJ$3,DJ$2)&lt;&gt;"",1,0),0)</f>
        <v/>
      </c>
      <c r="DK54">
        <f>IF(DK$4=1,IF(INDEX('×入力'!$C$1:$L$700,666+DK$3,DK$2)&lt;&gt;"",1,0),0)</f>
        <v/>
      </c>
      <c r="DL54">
        <f>IF(DL$4=1,IF(INDEX('×入力'!$C$1:$L$700,666+DL$3,DL$2)&lt;&gt;"",1,0),0)</f>
        <v/>
      </c>
      <c r="DM54">
        <f>IF(DM$4=1,IF(INDEX('×入力'!$C$1:$L$700,666+DM$3,DM$2)&lt;&gt;"",1,0),0)</f>
        <v/>
      </c>
      <c r="DN54">
        <f>IF(DN$4=1,IF(INDEX('×入力'!$C$1:$L$700,666+DN$3,DN$2)&lt;&gt;"",1,0),0)</f>
        <v/>
      </c>
      <c r="DO54">
        <f>IF(DO$4=1,IF(INDEX('×入力'!$C$1:$L$700,666+DO$3,DO$2)&lt;&gt;"",1,0),0)</f>
        <v/>
      </c>
      <c r="DP54">
        <f>IF(DP$4=1,IF(INDEX('×入力'!$C$1:$L$700,666+DP$3,DP$2)&lt;&gt;"",1,0),0)</f>
        <v/>
      </c>
      <c r="DQ54">
        <f>IF(DQ$4=1,IF(INDEX('×入力'!$C$1:$L$700,666+DQ$3,DQ$2)&lt;&gt;"",1,0),0)</f>
        <v/>
      </c>
      <c r="DR54">
        <f>IF(DR$4=1,IF(INDEX('×入力'!$C$1:$L$700,666+DR$3,DR$2)&lt;&gt;"",1,0),0)</f>
        <v/>
      </c>
      <c r="DS54">
        <f>IF(DS$4=1,IF(INDEX('×入力'!$C$1:$L$700,666+DS$3,DS$2)&lt;&gt;"",1,0),0)</f>
        <v/>
      </c>
      <c r="DU54">
        <f>IFERROR(INDEX('計算B'!$C$3:$C$47,MATCH(A54,'計算B'!$B$3:$B$47,0)),0)</f>
        <v/>
      </c>
      <c r="DV54">
        <f>IF(AND(C54=1,DU54=0),1,0)</f>
        <v/>
      </c>
      <c r="DW54">
        <f>SUMPRODUCT(D104:DS104*(1-$D$7:$DS$7))</f>
        <v/>
      </c>
      <c r="DX54">
        <f>SUM(D54:DS54)</f>
        <v/>
      </c>
      <c r="DY54">
        <f>IF(B54="",0,IF(COUNTIF('割り当て'!$C$6:$L$17,B54)=1,SUMPRODUCT(('割り当て'!$C$6:$L$17=B54)*((COLUMN('割り当て'!$C$6:$L$17)-3)*12+ROW('割り当て'!$C$6:$L$17)-5)),0))</f>
        <v/>
      </c>
      <c r="DZ54">
        <f>IFERROR(MATCH('名簿'!E49,{"早い時刻","遅い時刻","早い日","遅い日"},0),0)</f>
        <v/>
      </c>
      <c r="EA54">
        <f>IF('名簿'!F49="必ず空けたい",2,IF('名簿'!F49="出来れば空けたい",1,0))</f>
        <v/>
      </c>
    </row>
    <row r="59">
      <c r="A59" t="inlineStr">
        <is>
          <t>入れられる枠（使える かつ ×なし）</t>
        </is>
      </c>
    </row>
    <row r="60">
      <c r="A60" t="n">
        <v>1</v>
      </c>
      <c r="D60">
        <f>IF(AND(D$4=1,D10=0),1,0)</f>
        <v/>
      </c>
      <c r="E60">
        <f>IF(AND(E$4=1,E10=0),1,0)</f>
        <v/>
      </c>
      <c r="F60">
        <f>IF(AND(F$4=1,F10=0),1,0)</f>
        <v/>
      </c>
      <c r="G60">
        <f>IF(AND(G$4=1,G10=0),1,0)</f>
        <v/>
      </c>
      <c r="H60">
        <f>IF(AND(H$4=1,H10=0),1,0)</f>
        <v/>
      </c>
      <c r="I60">
        <f>IF(AND(I$4=1,I10=0),1,0)</f>
        <v/>
      </c>
      <c r="J60">
        <f>IF(AND(J$4=1,J10=0),1,0)</f>
        <v/>
      </c>
      <c r="K60">
        <f>IF(AND(K$4=1,K10=0),1,0)</f>
        <v/>
      </c>
      <c r="L60">
        <f>IF(AND(L$4=1,L10=0),1,0)</f>
        <v/>
      </c>
      <c r="M60">
        <f>IF(AND(M$4=1,M10=0),1,0)</f>
        <v/>
      </c>
      <c r="N60">
        <f>IF(AND(N$4=1,N10=0),1,0)</f>
        <v/>
      </c>
      <c r="O60">
        <f>IF(AND(O$4=1,O10=0),1,0)</f>
        <v/>
      </c>
      <c r="P60">
        <f>IF(AND(P$4=1,P10=0),1,0)</f>
        <v/>
      </c>
      <c r="Q60">
        <f>IF(AND(Q$4=1,Q10=0),1,0)</f>
        <v/>
      </c>
      <c r="R60">
        <f>IF(AND(R$4=1,R10=0),1,0)</f>
        <v/>
      </c>
      <c r="S60">
        <f>IF(AND(S$4=1,S10=0),1,0)</f>
        <v/>
      </c>
      <c r="T60">
        <f>IF(AND(T$4=1,T10=0),1,0)</f>
        <v/>
      </c>
      <c r="U60">
        <f>IF(AND(U$4=1,U10=0),1,0)</f>
        <v/>
      </c>
      <c r="V60">
        <f>IF(AND(V$4=1,V10=0),1,0)</f>
        <v/>
      </c>
      <c r="W60">
        <f>IF(AND(W$4=1,W10=0),1,0)</f>
        <v/>
      </c>
      <c r="X60">
        <f>IF(AND(X$4=1,X10=0),1,0)</f>
        <v/>
      </c>
      <c r="Y60">
        <f>IF(AND(Y$4=1,Y10=0),1,0)</f>
        <v/>
      </c>
      <c r="Z60">
        <f>IF(AND(Z$4=1,Z10=0),1,0)</f>
        <v/>
      </c>
      <c r="AA60">
        <f>IF(AND(AA$4=1,AA10=0),1,0)</f>
        <v/>
      </c>
      <c r="AB60">
        <f>IF(AND(AB$4=1,AB10=0),1,0)</f>
        <v/>
      </c>
      <c r="AC60">
        <f>IF(AND(AC$4=1,AC10=0),1,0)</f>
        <v/>
      </c>
      <c r="AD60">
        <f>IF(AND(AD$4=1,AD10=0),1,0)</f>
        <v/>
      </c>
      <c r="AE60">
        <f>IF(AND(AE$4=1,AE10=0),1,0)</f>
        <v/>
      </c>
      <c r="AF60">
        <f>IF(AND(AF$4=1,AF10=0),1,0)</f>
        <v/>
      </c>
      <c r="AG60">
        <f>IF(AND(AG$4=1,AG10=0),1,0)</f>
        <v/>
      </c>
      <c r="AH60">
        <f>IF(AND(AH$4=1,AH10=0),1,0)</f>
        <v/>
      </c>
      <c r="AI60">
        <f>IF(AND(AI$4=1,AI10=0),1,0)</f>
        <v/>
      </c>
      <c r="AJ60">
        <f>IF(AND(AJ$4=1,AJ10=0),1,0)</f>
        <v/>
      </c>
      <c r="AK60">
        <f>IF(AND(AK$4=1,AK10=0),1,0)</f>
        <v/>
      </c>
      <c r="AL60">
        <f>IF(AND(AL$4=1,AL10=0),1,0)</f>
        <v/>
      </c>
      <c r="AM60">
        <f>IF(AND(AM$4=1,AM10=0),1,0)</f>
        <v/>
      </c>
      <c r="AN60">
        <f>IF(AND(AN$4=1,AN10=0),1,0)</f>
        <v/>
      </c>
      <c r="AO60">
        <f>IF(AND(AO$4=1,AO10=0),1,0)</f>
        <v/>
      </c>
      <c r="AP60">
        <f>IF(AND(AP$4=1,AP10=0),1,0)</f>
        <v/>
      </c>
      <c r="AQ60">
        <f>IF(AND(AQ$4=1,AQ10=0),1,0)</f>
        <v/>
      </c>
      <c r="AR60">
        <f>IF(AND(AR$4=1,AR10=0),1,0)</f>
        <v/>
      </c>
      <c r="AS60">
        <f>IF(AND(AS$4=1,AS10=0),1,0)</f>
        <v/>
      </c>
      <c r="AT60">
        <f>IF(AND(AT$4=1,AT10=0),1,0)</f>
        <v/>
      </c>
      <c r="AU60">
        <f>IF(AND(AU$4=1,AU10=0),1,0)</f>
        <v/>
      </c>
      <c r="AV60">
        <f>IF(AND(AV$4=1,AV10=0),1,0)</f>
        <v/>
      </c>
      <c r="AW60">
        <f>IF(AND(AW$4=1,AW10=0),1,0)</f>
        <v/>
      </c>
      <c r="AX60">
        <f>IF(AND(AX$4=1,AX10=0),1,0)</f>
        <v/>
      </c>
      <c r="AY60">
        <f>IF(AND(AY$4=1,AY10=0),1,0)</f>
        <v/>
      </c>
      <c r="AZ60">
        <f>IF(AND(AZ$4=1,AZ10=0),1,0)</f>
        <v/>
      </c>
      <c r="BA60">
        <f>IF(AND(BA$4=1,BA10=0),1,0)</f>
        <v/>
      </c>
      <c r="BB60">
        <f>IF(AND(BB$4=1,BB10=0),1,0)</f>
        <v/>
      </c>
      <c r="BC60">
        <f>IF(AND(BC$4=1,BC10=0),1,0)</f>
        <v/>
      </c>
      <c r="BD60">
        <f>IF(AND(BD$4=1,BD10=0),1,0)</f>
        <v/>
      </c>
      <c r="BE60">
        <f>IF(AND(BE$4=1,BE10=0),1,0)</f>
        <v/>
      </c>
      <c r="BF60">
        <f>IF(AND(BF$4=1,BF10=0),1,0)</f>
        <v/>
      </c>
      <c r="BG60">
        <f>IF(AND(BG$4=1,BG10=0),1,0)</f>
        <v/>
      </c>
      <c r="BH60">
        <f>IF(AND(BH$4=1,BH10=0),1,0)</f>
        <v/>
      </c>
      <c r="BI60">
        <f>IF(AND(BI$4=1,BI10=0),1,0)</f>
        <v/>
      </c>
      <c r="BJ60">
        <f>IF(AND(BJ$4=1,BJ10=0),1,0)</f>
        <v/>
      </c>
      <c r="BK60">
        <f>IF(AND(BK$4=1,BK10=0),1,0)</f>
        <v/>
      </c>
      <c r="BL60">
        <f>IF(AND(BL$4=1,BL10=0),1,0)</f>
        <v/>
      </c>
      <c r="BM60">
        <f>IF(AND(BM$4=1,BM10=0),1,0)</f>
        <v/>
      </c>
      <c r="BN60">
        <f>IF(AND(BN$4=1,BN10=0),1,0)</f>
        <v/>
      </c>
      <c r="BO60">
        <f>IF(AND(BO$4=1,BO10=0),1,0)</f>
        <v/>
      </c>
      <c r="BP60">
        <f>IF(AND(BP$4=1,BP10=0),1,0)</f>
        <v/>
      </c>
      <c r="BQ60">
        <f>IF(AND(BQ$4=1,BQ10=0),1,0)</f>
        <v/>
      </c>
      <c r="BR60">
        <f>IF(AND(BR$4=1,BR10=0),1,0)</f>
        <v/>
      </c>
      <c r="BS60">
        <f>IF(AND(BS$4=1,BS10=0),1,0)</f>
        <v/>
      </c>
      <c r="BT60">
        <f>IF(AND(BT$4=1,BT10=0),1,0)</f>
        <v/>
      </c>
      <c r="BU60">
        <f>IF(AND(BU$4=1,BU10=0),1,0)</f>
        <v/>
      </c>
      <c r="BV60">
        <f>IF(AND(BV$4=1,BV10=0),1,0)</f>
        <v/>
      </c>
      <c r="BW60">
        <f>IF(AND(BW$4=1,BW10=0),1,0)</f>
        <v/>
      </c>
      <c r="BX60">
        <f>IF(AND(BX$4=1,BX10=0),1,0)</f>
        <v/>
      </c>
      <c r="BY60">
        <f>IF(AND(BY$4=1,BY10=0),1,0)</f>
        <v/>
      </c>
      <c r="BZ60">
        <f>IF(AND(BZ$4=1,BZ10=0),1,0)</f>
        <v/>
      </c>
      <c r="CA60">
        <f>IF(AND(CA$4=1,CA10=0),1,0)</f>
        <v/>
      </c>
      <c r="CB60">
        <f>IF(AND(CB$4=1,CB10=0),1,0)</f>
        <v/>
      </c>
      <c r="CC60">
        <f>IF(AND(CC$4=1,CC10=0),1,0)</f>
        <v/>
      </c>
      <c r="CD60">
        <f>IF(AND(CD$4=1,CD10=0),1,0)</f>
        <v/>
      </c>
      <c r="CE60">
        <f>IF(AND(CE$4=1,CE10=0),1,0)</f>
        <v/>
      </c>
      <c r="CF60">
        <f>IF(AND(CF$4=1,CF10=0),1,0)</f>
        <v/>
      </c>
      <c r="CG60">
        <f>IF(AND(CG$4=1,CG10=0),1,0)</f>
        <v/>
      </c>
      <c r="CH60">
        <f>IF(AND(CH$4=1,CH10=0),1,0)</f>
        <v/>
      </c>
      <c r="CI60">
        <f>IF(AND(CI$4=1,CI10=0),1,0)</f>
        <v/>
      </c>
      <c r="CJ60">
        <f>IF(AND(CJ$4=1,CJ10=0),1,0)</f>
        <v/>
      </c>
      <c r="CK60">
        <f>IF(AND(CK$4=1,CK10=0),1,0)</f>
        <v/>
      </c>
      <c r="CL60">
        <f>IF(AND(CL$4=1,CL10=0),1,0)</f>
        <v/>
      </c>
      <c r="CM60">
        <f>IF(AND(CM$4=1,CM10=0),1,0)</f>
        <v/>
      </c>
      <c r="CN60">
        <f>IF(AND(CN$4=1,CN10=0),1,0)</f>
        <v/>
      </c>
      <c r="CO60">
        <f>IF(AND(CO$4=1,CO10=0),1,0)</f>
        <v/>
      </c>
      <c r="CP60">
        <f>IF(AND(CP$4=1,CP10=0),1,0)</f>
        <v/>
      </c>
      <c r="CQ60">
        <f>IF(AND(CQ$4=1,CQ10=0),1,0)</f>
        <v/>
      </c>
      <c r="CR60">
        <f>IF(AND(CR$4=1,CR10=0),1,0)</f>
        <v/>
      </c>
      <c r="CS60">
        <f>IF(AND(CS$4=1,CS10=0),1,0)</f>
        <v/>
      </c>
      <c r="CT60">
        <f>IF(AND(CT$4=1,CT10=0),1,0)</f>
        <v/>
      </c>
      <c r="CU60">
        <f>IF(AND(CU$4=1,CU10=0),1,0)</f>
        <v/>
      </c>
      <c r="CV60">
        <f>IF(AND(CV$4=1,CV10=0),1,0)</f>
        <v/>
      </c>
      <c r="CW60">
        <f>IF(AND(CW$4=1,CW10=0),1,0)</f>
        <v/>
      </c>
      <c r="CX60">
        <f>IF(AND(CX$4=1,CX10=0),1,0)</f>
        <v/>
      </c>
      <c r="CY60">
        <f>IF(AND(CY$4=1,CY10=0),1,0)</f>
        <v/>
      </c>
      <c r="CZ60">
        <f>IF(AND(CZ$4=1,CZ10=0),1,0)</f>
        <v/>
      </c>
      <c r="DA60">
        <f>IF(AND(DA$4=1,DA10=0),1,0)</f>
        <v/>
      </c>
      <c r="DB60">
        <f>IF(AND(DB$4=1,DB10=0),1,0)</f>
        <v/>
      </c>
      <c r="DC60">
        <f>IF(AND(DC$4=1,DC10=0),1,0)</f>
        <v/>
      </c>
      <c r="DD60">
        <f>IF(AND(DD$4=1,DD10=0),1,0)</f>
        <v/>
      </c>
      <c r="DE60">
        <f>IF(AND(DE$4=1,DE10=0),1,0)</f>
        <v/>
      </c>
      <c r="DF60">
        <f>IF(AND(DF$4=1,DF10=0),1,0)</f>
        <v/>
      </c>
      <c r="DG60">
        <f>IF(AND(DG$4=1,DG10=0),1,0)</f>
        <v/>
      </c>
      <c r="DH60">
        <f>IF(AND(DH$4=1,DH10=0),1,0)</f>
        <v/>
      </c>
      <c r="DI60">
        <f>IF(AND(DI$4=1,DI10=0),1,0)</f>
        <v/>
      </c>
      <c r="DJ60">
        <f>IF(AND(DJ$4=1,DJ10=0),1,0)</f>
        <v/>
      </c>
      <c r="DK60">
        <f>IF(AND(DK$4=1,DK10=0),1,0)</f>
        <v/>
      </c>
      <c r="DL60">
        <f>IF(AND(DL$4=1,DL10=0),1,0)</f>
        <v/>
      </c>
      <c r="DM60">
        <f>IF(AND(DM$4=1,DM10=0),1,0)</f>
        <v/>
      </c>
      <c r="DN60">
        <f>IF(AND(DN$4=1,DN10=0),1,0)</f>
        <v/>
      </c>
      <c r="DO60">
        <f>IF(AND(DO$4=1,DO10=0),1,0)</f>
        <v/>
      </c>
      <c r="DP60">
        <f>IF(AND(DP$4=1,DP10=0),1,0)</f>
        <v/>
      </c>
      <c r="DQ60">
        <f>IF(AND(DQ$4=1,DQ10=0),1,0)</f>
        <v/>
      </c>
      <c r="DR60">
        <f>IF(AND(DR$4=1,DR10=0),1,0)</f>
        <v/>
      </c>
      <c r="DS60">
        <f>IF(AND(DS$4=1,DS10=0),1,0)</f>
        <v/>
      </c>
    </row>
    <row r="61">
      <c r="A61" t="n">
        <v>2</v>
      </c>
      <c r="D61">
        <f>IF(AND(D$4=1,D11=0),1,0)</f>
        <v/>
      </c>
      <c r="E61">
        <f>IF(AND(E$4=1,E11=0),1,0)</f>
        <v/>
      </c>
      <c r="F61">
        <f>IF(AND(F$4=1,F11=0),1,0)</f>
        <v/>
      </c>
      <c r="G61">
        <f>IF(AND(G$4=1,G11=0),1,0)</f>
        <v/>
      </c>
      <c r="H61">
        <f>IF(AND(H$4=1,H11=0),1,0)</f>
        <v/>
      </c>
      <c r="I61">
        <f>IF(AND(I$4=1,I11=0),1,0)</f>
        <v/>
      </c>
      <c r="J61">
        <f>IF(AND(J$4=1,J11=0),1,0)</f>
        <v/>
      </c>
      <c r="K61">
        <f>IF(AND(K$4=1,K11=0),1,0)</f>
        <v/>
      </c>
      <c r="L61">
        <f>IF(AND(L$4=1,L11=0),1,0)</f>
        <v/>
      </c>
      <c r="M61">
        <f>IF(AND(M$4=1,M11=0),1,0)</f>
        <v/>
      </c>
      <c r="N61">
        <f>IF(AND(N$4=1,N11=0),1,0)</f>
        <v/>
      </c>
      <c r="O61">
        <f>IF(AND(O$4=1,O11=0),1,0)</f>
        <v/>
      </c>
      <c r="P61">
        <f>IF(AND(P$4=1,P11=0),1,0)</f>
        <v/>
      </c>
      <c r="Q61">
        <f>IF(AND(Q$4=1,Q11=0),1,0)</f>
        <v/>
      </c>
      <c r="R61">
        <f>IF(AND(R$4=1,R11=0),1,0)</f>
        <v/>
      </c>
      <c r="S61">
        <f>IF(AND(S$4=1,S11=0),1,0)</f>
        <v/>
      </c>
      <c r="T61">
        <f>IF(AND(T$4=1,T11=0),1,0)</f>
        <v/>
      </c>
      <c r="U61">
        <f>IF(AND(U$4=1,U11=0),1,0)</f>
        <v/>
      </c>
      <c r="V61">
        <f>IF(AND(V$4=1,V11=0),1,0)</f>
        <v/>
      </c>
      <c r="W61">
        <f>IF(AND(W$4=1,W11=0),1,0)</f>
        <v/>
      </c>
      <c r="X61">
        <f>IF(AND(X$4=1,X11=0),1,0)</f>
        <v/>
      </c>
      <c r="Y61">
        <f>IF(AND(Y$4=1,Y11=0),1,0)</f>
        <v/>
      </c>
      <c r="Z61">
        <f>IF(AND(Z$4=1,Z11=0),1,0)</f>
        <v/>
      </c>
      <c r="AA61">
        <f>IF(AND(AA$4=1,AA11=0),1,0)</f>
        <v/>
      </c>
      <c r="AB61">
        <f>IF(AND(AB$4=1,AB11=0),1,0)</f>
        <v/>
      </c>
      <c r="AC61">
        <f>IF(AND(AC$4=1,AC11=0),1,0)</f>
        <v/>
      </c>
      <c r="AD61">
        <f>IF(AND(AD$4=1,AD11=0),1,0)</f>
        <v/>
      </c>
      <c r="AE61">
        <f>IF(AND(AE$4=1,AE11=0),1,0)</f>
        <v/>
      </c>
      <c r="AF61">
        <f>IF(AND(AF$4=1,AF11=0),1,0)</f>
        <v/>
      </c>
      <c r="AG61">
        <f>IF(AND(AG$4=1,AG11=0),1,0)</f>
        <v/>
      </c>
      <c r="AH61">
        <f>IF(AND(AH$4=1,AH11=0),1,0)</f>
        <v/>
      </c>
      <c r="AI61">
        <f>IF(AND(AI$4=1,AI11=0),1,0)</f>
        <v/>
      </c>
      <c r="AJ61">
        <f>IF(AND(AJ$4=1,AJ11=0),1,0)</f>
        <v/>
      </c>
      <c r="AK61">
        <f>IF(AND(AK$4=1,AK11=0),1,0)</f>
        <v/>
      </c>
      <c r="AL61">
        <f>IF(AND(AL$4=1,AL11=0),1,0)</f>
        <v/>
      </c>
      <c r="AM61">
        <f>IF(AND(AM$4=1,AM11=0),1,0)</f>
        <v/>
      </c>
      <c r="AN61">
        <f>IF(AND(AN$4=1,AN11=0),1,0)</f>
        <v/>
      </c>
      <c r="AO61">
        <f>IF(AND(AO$4=1,AO11=0),1,0)</f>
        <v/>
      </c>
      <c r="AP61">
        <f>IF(AND(AP$4=1,AP11=0),1,0)</f>
        <v/>
      </c>
      <c r="AQ61">
        <f>IF(AND(AQ$4=1,AQ11=0),1,0)</f>
        <v/>
      </c>
      <c r="AR61">
        <f>IF(AND(AR$4=1,AR11=0),1,0)</f>
        <v/>
      </c>
      <c r="AS61">
        <f>IF(AND(AS$4=1,AS11=0),1,0)</f>
        <v/>
      </c>
      <c r="AT61">
        <f>IF(AND(AT$4=1,AT11=0),1,0)</f>
        <v/>
      </c>
      <c r="AU61">
        <f>IF(AND(AU$4=1,AU11=0),1,0)</f>
        <v/>
      </c>
      <c r="AV61">
        <f>IF(AND(AV$4=1,AV11=0),1,0)</f>
        <v/>
      </c>
      <c r="AW61">
        <f>IF(AND(AW$4=1,AW11=0),1,0)</f>
        <v/>
      </c>
      <c r="AX61">
        <f>IF(AND(AX$4=1,AX11=0),1,0)</f>
        <v/>
      </c>
      <c r="AY61">
        <f>IF(AND(AY$4=1,AY11=0),1,0)</f>
        <v/>
      </c>
      <c r="AZ61">
        <f>IF(AND(AZ$4=1,AZ11=0),1,0)</f>
        <v/>
      </c>
      <c r="BA61">
        <f>IF(AND(BA$4=1,BA11=0),1,0)</f>
        <v/>
      </c>
      <c r="BB61">
        <f>IF(AND(BB$4=1,BB11=0),1,0)</f>
        <v/>
      </c>
      <c r="BC61">
        <f>IF(AND(BC$4=1,BC11=0),1,0)</f>
        <v/>
      </c>
      <c r="BD61">
        <f>IF(AND(BD$4=1,BD11=0),1,0)</f>
        <v/>
      </c>
      <c r="BE61">
        <f>IF(AND(BE$4=1,BE11=0),1,0)</f>
        <v/>
      </c>
      <c r="BF61">
        <f>IF(AND(BF$4=1,BF11=0),1,0)</f>
        <v/>
      </c>
      <c r="BG61">
        <f>IF(AND(BG$4=1,BG11=0),1,0)</f>
        <v/>
      </c>
      <c r="BH61">
        <f>IF(AND(BH$4=1,BH11=0),1,0)</f>
        <v/>
      </c>
      <c r="BI61">
        <f>IF(AND(BI$4=1,BI11=0),1,0)</f>
        <v/>
      </c>
      <c r="BJ61">
        <f>IF(AND(BJ$4=1,BJ11=0),1,0)</f>
        <v/>
      </c>
      <c r="BK61">
        <f>IF(AND(BK$4=1,BK11=0),1,0)</f>
        <v/>
      </c>
      <c r="BL61">
        <f>IF(AND(BL$4=1,BL11=0),1,0)</f>
        <v/>
      </c>
      <c r="BM61">
        <f>IF(AND(BM$4=1,BM11=0),1,0)</f>
        <v/>
      </c>
      <c r="BN61">
        <f>IF(AND(BN$4=1,BN11=0),1,0)</f>
        <v/>
      </c>
      <c r="BO61">
        <f>IF(AND(BO$4=1,BO11=0),1,0)</f>
        <v/>
      </c>
      <c r="BP61">
        <f>IF(AND(BP$4=1,BP11=0),1,0)</f>
        <v/>
      </c>
      <c r="BQ61">
        <f>IF(AND(BQ$4=1,BQ11=0),1,0)</f>
        <v/>
      </c>
      <c r="BR61">
        <f>IF(AND(BR$4=1,BR11=0),1,0)</f>
        <v/>
      </c>
      <c r="BS61">
        <f>IF(AND(BS$4=1,BS11=0),1,0)</f>
        <v/>
      </c>
      <c r="BT61">
        <f>IF(AND(BT$4=1,BT11=0),1,0)</f>
        <v/>
      </c>
      <c r="BU61">
        <f>IF(AND(BU$4=1,BU11=0),1,0)</f>
        <v/>
      </c>
      <c r="BV61">
        <f>IF(AND(BV$4=1,BV11=0),1,0)</f>
        <v/>
      </c>
      <c r="BW61">
        <f>IF(AND(BW$4=1,BW11=0),1,0)</f>
        <v/>
      </c>
      <c r="BX61">
        <f>IF(AND(BX$4=1,BX11=0),1,0)</f>
        <v/>
      </c>
      <c r="BY61">
        <f>IF(AND(BY$4=1,BY11=0),1,0)</f>
        <v/>
      </c>
      <c r="BZ61">
        <f>IF(AND(BZ$4=1,BZ11=0),1,0)</f>
        <v/>
      </c>
      <c r="CA61">
        <f>IF(AND(CA$4=1,CA11=0),1,0)</f>
        <v/>
      </c>
      <c r="CB61">
        <f>IF(AND(CB$4=1,CB11=0),1,0)</f>
        <v/>
      </c>
      <c r="CC61">
        <f>IF(AND(CC$4=1,CC11=0),1,0)</f>
        <v/>
      </c>
      <c r="CD61">
        <f>IF(AND(CD$4=1,CD11=0),1,0)</f>
        <v/>
      </c>
      <c r="CE61">
        <f>IF(AND(CE$4=1,CE11=0),1,0)</f>
        <v/>
      </c>
      <c r="CF61">
        <f>IF(AND(CF$4=1,CF11=0),1,0)</f>
        <v/>
      </c>
      <c r="CG61">
        <f>IF(AND(CG$4=1,CG11=0),1,0)</f>
        <v/>
      </c>
      <c r="CH61">
        <f>IF(AND(CH$4=1,CH11=0),1,0)</f>
        <v/>
      </c>
      <c r="CI61">
        <f>IF(AND(CI$4=1,CI11=0),1,0)</f>
        <v/>
      </c>
      <c r="CJ61">
        <f>IF(AND(CJ$4=1,CJ11=0),1,0)</f>
        <v/>
      </c>
      <c r="CK61">
        <f>IF(AND(CK$4=1,CK11=0),1,0)</f>
        <v/>
      </c>
      <c r="CL61">
        <f>IF(AND(CL$4=1,CL11=0),1,0)</f>
        <v/>
      </c>
      <c r="CM61">
        <f>IF(AND(CM$4=1,CM11=0),1,0)</f>
        <v/>
      </c>
      <c r="CN61">
        <f>IF(AND(CN$4=1,CN11=0),1,0)</f>
        <v/>
      </c>
      <c r="CO61">
        <f>IF(AND(CO$4=1,CO11=0),1,0)</f>
        <v/>
      </c>
      <c r="CP61">
        <f>IF(AND(CP$4=1,CP11=0),1,0)</f>
        <v/>
      </c>
      <c r="CQ61">
        <f>IF(AND(CQ$4=1,CQ11=0),1,0)</f>
        <v/>
      </c>
      <c r="CR61">
        <f>IF(AND(CR$4=1,CR11=0),1,0)</f>
        <v/>
      </c>
      <c r="CS61">
        <f>IF(AND(CS$4=1,CS11=0),1,0)</f>
        <v/>
      </c>
      <c r="CT61">
        <f>IF(AND(CT$4=1,CT11=0),1,0)</f>
        <v/>
      </c>
      <c r="CU61">
        <f>IF(AND(CU$4=1,CU11=0),1,0)</f>
        <v/>
      </c>
      <c r="CV61">
        <f>IF(AND(CV$4=1,CV11=0),1,0)</f>
        <v/>
      </c>
      <c r="CW61">
        <f>IF(AND(CW$4=1,CW11=0),1,0)</f>
        <v/>
      </c>
      <c r="CX61">
        <f>IF(AND(CX$4=1,CX11=0),1,0)</f>
        <v/>
      </c>
      <c r="CY61">
        <f>IF(AND(CY$4=1,CY11=0),1,0)</f>
        <v/>
      </c>
      <c r="CZ61">
        <f>IF(AND(CZ$4=1,CZ11=0),1,0)</f>
        <v/>
      </c>
      <c r="DA61">
        <f>IF(AND(DA$4=1,DA11=0),1,0)</f>
        <v/>
      </c>
      <c r="DB61">
        <f>IF(AND(DB$4=1,DB11=0),1,0)</f>
        <v/>
      </c>
      <c r="DC61">
        <f>IF(AND(DC$4=1,DC11=0),1,0)</f>
        <v/>
      </c>
      <c r="DD61">
        <f>IF(AND(DD$4=1,DD11=0),1,0)</f>
        <v/>
      </c>
      <c r="DE61">
        <f>IF(AND(DE$4=1,DE11=0),1,0)</f>
        <v/>
      </c>
      <c r="DF61">
        <f>IF(AND(DF$4=1,DF11=0),1,0)</f>
        <v/>
      </c>
      <c r="DG61">
        <f>IF(AND(DG$4=1,DG11=0),1,0)</f>
        <v/>
      </c>
      <c r="DH61">
        <f>IF(AND(DH$4=1,DH11=0),1,0)</f>
        <v/>
      </c>
      <c r="DI61">
        <f>IF(AND(DI$4=1,DI11=0),1,0)</f>
        <v/>
      </c>
      <c r="DJ61">
        <f>IF(AND(DJ$4=1,DJ11=0),1,0)</f>
        <v/>
      </c>
      <c r="DK61">
        <f>IF(AND(DK$4=1,DK11=0),1,0)</f>
        <v/>
      </c>
      <c r="DL61">
        <f>IF(AND(DL$4=1,DL11=0),1,0)</f>
        <v/>
      </c>
      <c r="DM61">
        <f>IF(AND(DM$4=1,DM11=0),1,0)</f>
        <v/>
      </c>
      <c r="DN61">
        <f>IF(AND(DN$4=1,DN11=0),1,0)</f>
        <v/>
      </c>
      <c r="DO61">
        <f>IF(AND(DO$4=1,DO11=0),1,0)</f>
        <v/>
      </c>
      <c r="DP61">
        <f>IF(AND(DP$4=1,DP11=0),1,0)</f>
        <v/>
      </c>
      <c r="DQ61">
        <f>IF(AND(DQ$4=1,DQ11=0),1,0)</f>
        <v/>
      </c>
      <c r="DR61">
        <f>IF(AND(DR$4=1,DR11=0),1,0)</f>
        <v/>
      </c>
      <c r="DS61">
        <f>IF(AND(DS$4=1,DS11=0),1,0)</f>
        <v/>
      </c>
    </row>
    <row r="62">
      <c r="A62" t="n">
        <v>3</v>
      </c>
      <c r="D62">
        <f>IF(AND(D$4=1,D12=0),1,0)</f>
        <v/>
      </c>
      <c r="E62">
        <f>IF(AND(E$4=1,E12=0),1,0)</f>
        <v/>
      </c>
      <c r="F62">
        <f>IF(AND(F$4=1,F12=0),1,0)</f>
        <v/>
      </c>
      <c r="G62">
        <f>IF(AND(G$4=1,G12=0),1,0)</f>
        <v/>
      </c>
      <c r="H62">
        <f>IF(AND(H$4=1,H12=0),1,0)</f>
        <v/>
      </c>
      <c r="I62">
        <f>IF(AND(I$4=1,I12=0),1,0)</f>
        <v/>
      </c>
      <c r="J62">
        <f>IF(AND(J$4=1,J12=0),1,0)</f>
        <v/>
      </c>
      <c r="K62">
        <f>IF(AND(K$4=1,K12=0),1,0)</f>
        <v/>
      </c>
      <c r="L62">
        <f>IF(AND(L$4=1,L12=0),1,0)</f>
        <v/>
      </c>
      <c r="M62">
        <f>IF(AND(M$4=1,M12=0),1,0)</f>
        <v/>
      </c>
      <c r="N62">
        <f>IF(AND(N$4=1,N12=0),1,0)</f>
        <v/>
      </c>
      <c r="O62">
        <f>IF(AND(O$4=1,O12=0),1,0)</f>
        <v/>
      </c>
      <c r="P62">
        <f>IF(AND(P$4=1,P12=0),1,0)</f>
        <v/>
      </c>
      <c r="Q62">
        <f>IF(AND(Q$4=1,Q12=0),1,0)</f>
        <v/>
      </c>
      <c r="R62">
        <f>IF(AND(R$4=1,R12=0),1,0)</f>
        <v/>
      </c>
      <c r="S62">
        <f>IF(AND(S$4=1,S12=0),1,0)</f>
        <v/>
      </c>
      <c r="T62">
        <f>IF(AND(T$4=1,T12=0),1,0)</f>
        <v/>
      </c>
      <c r="U62">
        <f>IF(AND(U$4=1,U12=0),1,0)</f>
        <v/>
      </c>
      <c r="V62">
        <f>IF(AND(V$4=1,V12=0),1,0)</f>
        <v/>
      </c>
      <c r="W62">
        <f>IF(AND(W$4=1,W12=0),1,0)</f>
        <v/>
      </c>
      <c r="X62">
        <f>IF(AND(X$4=1,X12=0),1,0)</f>
        <v/>
      </c>
      <c r="Y62">
        <f>IF(AND(Y$4=1,Y12=0),1,0)</f>
        <v/>
      </c>
      <c r="Z62">
        <f>IF(AND(Z$4=1,Z12=0),1,0)</f>
        <v/>
      </c>
      <c r="AA62">
        <f>IF(AND(AA$4=1,AA12=0),1,0)</f>
        <v/>
      </c>
      <c r="AB62">
        <f>IF(AND(AB$4=1,AB12=0),1,0)</f>
        <v/>
      </c>
      <c r="AC62">
        <f>IF(AND(AC$4=1,AC12=0),1,0)</f>
        <v/>
      </c>
      <c r="AD62">
        <f>IF(AND(AD$4=1,AD12=0),1,0)</f>
        <v/>
      </c>
      <c r="AE62">
        <f>IF(AND(AE$4=1,AE12=0),1,0)</f>
        <v/>
      </c>
      <c r="AF62">
        <f>IF(AND(AF$4=1,AF12=0),1,0)</f>
        <v/>
      </c>
      <c r="AG62">
        <f>IF(AND(AG$4=1,AG12=0),1,0)</f>
        <v/>
      </c>
      <c r="AH62">
        <f>IF(AND(AH$4=1,AH12=0),1,0)</f>
        <v/>
      </c>
      <c r="AI62">
        <f>IF(AND(AI$4=1,AI12=0),1,0)</f>
        <v/>
      </c>
      <c r="AJ62">
        <f>IF(AND(AJ$4=1,AJ12=0),1,0)</f>
        <v/>
      </c>
      <c r="AK62">
        <f>IF(AND(AK$4=1,AK12=0),1,0)</f>
        <v/>
      </c>
      <c r="AL62">
        <f>IF(AND(AL$4=1,AL12=0),1,0)</f>
        <v/>
      </c>
      <c r="AM62">
        <f>IF(AND(AM$4=1,AM12=0),1,0)</f>
        <v/>
      </c>
      <c r="AN62">
        <f>IF(AND(AN$4=1,AN12=0),1,0)</f>
        <v/>
      </c>
      <c r="AO62">
        <f>IF(AND(AO$4=1,AO12=0),1,0)</f>
        <v/>
      </c>
      <c r="AP62">
        <f>IF(AND(AP$4=1,AP12=0),1,0)</f>
        <v/>
      </c>
      <c r="AQ62">
        <f>IF(AND(AQ$4=1,AQ12=0),1,0)</f>
        <v/>
      </c>
      <c r="AR62">
        <f>IF(AND(AR$4=1,AR12=0),1,0)</f>
        <v/>
      </c>
      <c r="AS62">
        <f>IF(AND(AS$4=1,AS12=0),1,0)</f>
        <v/>
      </c>
      <c r="AT62">
        <f>IF(AND(AT$4=1,AT12=0),1,0)</f>
        <v/>
      </c>
      <c r="AU62">
        <f>IF(AND(AU$4=1,AU12=0),1,0)</f>
        <v/>
      </c>
      <c r="AV62">
        <f>IF(AND(AV$4=1,AV12=0),1,0)</f>
        <v/>
      </c>
      <c r="AW62">
        <f>IF(AND(AW$4=1,AW12=0),1,0)</f>
        <v/>
      </c>
      <c r="AX62">
        <f>IF(AND(AX$4=1,AX12=0),1,0)</f>
        <v/>
      </c>
      <c r="AY62">
        <f>IF(AND(AY$4=1,AY12=0),1,0)</f>
        <v/>
      </c>
      <c r="AZ62">
        <f>IF(AND(AZ$4=1,AZ12=0),1,0)</f>
        <v/>
      </c>
      <c r="BA62">
        <f>IF(AND(BA$4=1,BA12=0),1,0)</f>
        <v/>
      </c>
      <c r="BB62">
        <f>IF(AND(BB$4=1,BB12=0),1,0)</f>
        <v/>
      </c>
      <c r="BC62">
        <f>IF(AND(BC$4=1,BC12=0),1,0)</f>
        <v/>
      </c>
      <c r="BD62">
        <f>IF(AND(BD$4=1,BD12=0),1,0)</f>
        <v/>
      </c>
      <c r="BE62">
        <f>IF(AND(BE$4=1,BE12=0),1,0)</f>
        <v/>
      </c>
      <c r="BF62">
        <f>IF(AND(BF$4=1,BF12=0),1,0)</f>
        <v/>
      </c>
      <c r="BG62">
        <f>IF(AND(BG$4=1,BG12=0),1,0)</f>
        <v/>
      </c>
      <c r="BH62">
        <f>IF(AND(BH$4=1,BH12=0),1,0)</f>
        <v/>
      </c>
      <c r="BI62">
        <f>IF(AND(BI$4=1,BI12=0),1,0)</f>
        <v/>
      </c>
      <c r="BJ62">
        <f>IF(AND(BJ$4=1,BJ12=0),1,0)</f>
        <v/>
      </c>
      <c r="BK62">
        <f>IF(AND(BK$4=1,BK12=0),1,0)</f>
        <v/>
      </c>
      <c r="BL62">
        <f>IF(AND(BL$4=1,BL12=0),1,0)</f>
        <v/>
      </c>
      <c r="BM62">
        <f>IF(AND(BM$4=1,BM12=0),1,0)</f>
        <v/>
      </c>
      <c r="BN62">
        <f>IF(AND(BN$4=1,BN12=0),1,0)</f>
        <v/>
      </c>
      <c r="BO62">
        <f>IF(AND(BO$4=1,BO12=0),1,0)</f>
        <v/>
      </c>
      <c r="BP62">
        <f>IF(AND(BP$4=1,BP12=0),1,0)</f>
        <v/>
      </c>
      <c r="BQ62">
        <f>IF(AND(BQ$4=1,BQ12=0),1,0)</f>
        <v/>
      </c>
      <c r="BR62">
        <f>IF(AND(BR$4=1,BR12=0),1,0)</f>
        <v/>
      </c>
      <c r="BS62">
        <f>IF(AND(BS$4=1,BS12=0),1,0)</f>
        <v/>
      </c>
      <c r="BT62">
        <f>IF(AND(BT$4=1,BT12=0),1,0)</f>
        <v/>
      </c>
      <c r="BU62">
        <f>IF(AND(BU$4=1,BU12=0),1,0)</f>
        <v/>
      </c>
      <c r="BV62">
        <f>IF(AND(BV$4=1,BV12=0),1,0)</f>
        <v/>
      </c>
      <c r="BW62">
        <f>IF(AND(BW$4=1,BW12=0),1,0)</f>
        <v/>
      </c>
      <c r="BX62">
        <f>IF(AND(BX$4=1,BX12=0),1,0)</f>
        <v/>
      </c>
      <c r="BY62">
        <f>IF(AND(BY$4=1,BY12=0),1,0)</f>
        <v/>
      </c>
      <c r="BZ62">
        <f>IF(AND(BZ$4=1,BZ12=0),1,0)</f>
        <v/>
      </c>
      <c r="CA62">
        <f>IF(AND(CA$4=1,CA12=0),1,0)</f>
        <v/>
      </c>
      <c r="CB62">
        <f>IF(AND(CB$4=1,CB12=0),1,0)</f>
        <v/>
      </c>
      <c r="CC62">
        <f>IF(AND(CC$4=1,CC12=0),1,0)</f>
        <v/>
      </c>
      <c r="CD62">
        <f>IF(AND(CD$4=1,CD12=0),1,0)</f>
        <v/>
      </c>
      <c r="CE62">
        <f>IF(AND(CE$4=1,CE12=0),1,0)</f>
        <v/>
      </c>
      <c r="CF62">
        <f>IF(AND(CF$4=1,CF12=0),1,0)</f>
        <v/>
      </c>
      <c r="CG62">
        <f>IF(AND(CG$4=1,CG12=0),1,0)</f>
        <v/>
      </c>
      <c r="CH62">
        <f>IF(AND(CH$4=1,CH12=0),1,0)</f>
        <v/>
      </c>
      <c r="CI62">
        <f>IF(AND(CI$4=1,CI12=0),1,0)</f>
        <v/>
      </c>
      <c r="CJ62">
        <f>IF(AND(CJ$4=1,CJ12=0),1,0)</f>
        <v/>
      </c>
      <c r="CK62">
        <f>IF(AND(CK$4=1,CK12=0),1,0)</f>
        <v/>
      </c>
      <c r="CL62">
        <f>IF(AND(CL$4=1,CL12=0),1,0)</f>
        <v/>
      </c>
      <c r="CM62">
        <f>IF(AND(CM$4=1,CM12=0),1,0)</f>
        <v/>
      </c>
      <c r="CN62">
        <f>IF(AND(CN$4=1,CN12=0),1,0)</f>
        <v/>
      </c>
      <c r="CO62">
        <f>IF(AND(CO$4=1,CO12=0),1,0)</f>
        <v/>
      </c>
      <c r="CP62">
        <f>IF(AND(CP$4=1,CP12=0),1,0)</f>
        <v/>
      </c>
      <c r="CQ62">
        <f>IF(AND(CQ$4=1,CQ12=0),1,0)</f>
        <v/>
      </c>
      <c r="CR62">
        <f>IF(AND(CR$4=1,CR12=0),1,0)</f>
        <v/>
      </c>
      <c r="CS62">
        <f>IF(AND(CS$4=1,CS12=0),1,0)</f>
        <v/>
      </c>
      <c r="CT62">
        <f>IF(AND(CT$4=1,CT12=0),1,0)</f>
        <v/>
      </c>
      <c r="CU62">
        <f>IF(AND(CU$4=1,CU12=0),1,0)</f>
        <v/>
      </c>
      <c r="CV62">
        <f>IF(AND(CV$4=1,CV12=0),1,0)</f>
        <v/>
      </c>
      <c r="CW62">
        <f>IF(AND(CW$4=1,CW12=0),1,0)</f>
        <v/>
      </c>
      <c r="CX62">
        <f>IF(AND(CX$4=1,CX12=0),1,0)</f>
        <v/>
      </c>
      <c r="CY62">
        <f>IF(AND(CY$4=1,CY12=0),1,0)</f>
        <v/>
      </c>
      <c r="CZ62">
        <f>IF(AND(CZ$4=1,CZ12=0),1,0)</f>
        <v/>
      </c>
      <c r="DA62">
        <f>IF(AND(DA$4=1,DA12=0),1,0)</f>
        <v/>
      </c>
      <c r="DB62">
        <f>IF(AND(DB$4=1,DB12=0),1,0)</f>
        <v/>
      </c>
      <c r="DC62">
        <f>IF(AND(DC$4=1,DC12=0),1,0)</f>
        <v/>
      </c>
      <c r="DD62">
        <f>IF(AND(DD$4=1,DD12=0),1,0)</f>
        <v/>
      </c>
      <c r="DE62">
        <f>IF(AND(DE$4=1,DE12=0),1,0)</f>
        <v/>
      </c>
      <c r="DF62">
        <f>IF(AND(DF$4=1,DF12=0),1,0)</f>
        <v/>
      </c>
      <c r="DG62">
        <f>IF(AND(DG$4=1,DG12=0),1,0)</f>
        <v/>
      </c>
      <c r="DH62">
        <f>IF(AND(DH$4=1,DH12=0),1,0)</f>
        <v/>
      </c>
      <c r="DI62">
        <f>IF(AND(DI$4=1,DI12=0),1,0)</f>
        <v/>
      </c>
      <c r="DJ62">
        <f>IF(AND(DJ$4=1,DJ12=0),1,0)</f>
        <v/>
      </c>
      <c r="DK62">
        <f>IF(AND(DK$4=1,DK12=0),1,0)</f>
        <v/>
      </c>
      <c r="DL62">
        <f>IF(AND(DL$4=1,DL12=0),1,0)</f>
        <v/>
      </c>
      <c r="DM62">
        <f>IF(AND(DM$4=1,DM12=0),1,0)</f>
        <v/>
      </c>
      <c r="DN62">
        <f>IF(AND(DN$4=1,DN12=0),1,0)</f>
        <v/>
      </c>
      <c r="DO62">
        <f>IF(AND(DO$4=1,DO12=0),1,0)</f>
        <v/>
      </c>
      <c r="DP62">
        <f>IF(AND(DP$4=1,DP12=0),1,0)</f>
        <v/>
      </c>
      <c r="DQ62">
        <f>IF(AND(DQ$4=1,DQ12=0),1,0)</f>
        <v/>
      </c>
      <c r="DR62">
        <f>IF(AND(DR$4=1,DR12=0),1,0)</f>
        <v/>
      </c>
      <c r="DS62">
        <f>IF(AND(DS$4=1,DS12=0),1,0)</f>
        <v/>
      </c>
    </row>
    <row r="63">
      <c r="A63" t="n">
        <v>4</v>
      </c>
      <c r="D63">
        <f>IF(AND(D$4=1,D13=0),1,0)</f>
        <v/>
      </c>
      <c r="E63">
        <f>IF(AND(E$4=1,E13=0),1,0)</f>
        <v/>
      </c>
      <c r="F63">
        <f>IF(AND(F$4=1,F13=0),1,0)</f>
        <v/>
      </c>
      <c r="G63">
        <f>IF(AND(G$4=1,G13=0),1,0)</f>
        <v/>
      </c>
      <c r="H63">
        <f>IF(AND(H$4=1,H13=0),1,0)</f>
        <v/>
      </c>
      <c r="I63">
        <f>IF(AND(I$4=1,I13=0),1,0)</f>
        <v/>
      </c>
      <c r="J63">
        <f>IF(AND(J$4=1,J13=0),1,0)</f>
        <v/>
      </c>
      <c r="K63">
        <f>IF(AND(K$4=1,K13=0),1,0)</f>
        <v/>
      </c>
      <c r="L63">
        <f>IF(AND(L$4=1,L13=0),1,0)</f>
        <v/>
      </c>
      <c r="M63">
        <f>IF(AND(M$4=1,M13=0),1,0)</f>
        <v/>
      </c>
      <c r="N63">
        <f>IF(AND(N$4=1,N13=0),1,0)</f>
        <v/>
      </c>
      <c r="O63">
        <f>IF(AND(O$4=1,O13=0),1,0)</f>
        <v/>
      </c>
      <c r="P63">
        <f>IF(AND(P$4=1,P13=0),1,0)</f>
        <v/>
      </c>
      <c r="Q63">
        <f>IF(AND(Q$4=1,Q13=0),1,0)</f>
        <v/>
      </c>
      <c r="R63">
        <f>IF(AND(R$4=1,R13=0),1,0)</f>
        <v/>
      </c>
      <c r="S63">
        <f>IF(AND(S$4=1,S13=0),1,0)</f>
        <v/>
      </c>
      <c r="T63">
        <f>IF(AND(T$4=1,T13=0),1,0)</f>
        <v/>
      </c>
      <c r="U63">
        <f>IF(AND(U$4=1,U13=0),1,0)</f>
        <v/>
      </c>
      <c r="V63">
        <f>IF(AND(V$4=1,V13=0),1,0)</f>
        <v/>
      </c>
      <c r="W63">
        <f>IF(AND(W$4=1,W13=0),1,0)</f>
        <v/>
      </c>
      <c r="X63">
        <f>IF(AND(X$4=1,X13=0),1,0)</f>
        <v/>
      </c>
      <c r="Y63">
        <f>IF(AND(Y$4=1,Y13=0),1,0)</f>
        <v/>
      </c>
      <c r="Z63">
        <f>IF(AND(Z$4=1,Z13=0),1,0)</f>
        <v/>
      </c>
      <c r="AA63">
        <f>IF(AND(AA$4=1,AA13=0),1,0)</f>
        <v/>
      </c>
      <c r="AB63">
        <f>IF(AND(AB$4=1,AB13=0),1,0)</f>
        <v/>
      </c>
      <c r="AC63">
        <f>IF(AND(AC$4=1,AC13=0),1,0)</f>
        <v/>
      </c>
      <c r="AD63">
        <f>IF(AND(AD$4=1,AD13=0),1,0)</f>
        <v/>
      </c>
      <c r="AE63">
        <f>IF(AND(AE$4=1,AE13=0),1,0)</f>
        <v/>
      </c>
      <c r="AF63">
        <f>IF(AND(AF$4=1,AF13=0),1,0)</f>
        <v/>
      </c>
      <c r="AG63">
        <f>IF(AND(AG$4=1,AG13=0),1,0)</f>
        <v/>
      </c>
      <c r="AH63">
        <f>IF(AND(AH$4=1,AH13=0),1,0)</f>
        <v/>
      </c>
      <c r="AI63">
        <f>IF(AND(AI$4=1,AI13=0),1,0)</f>
        <v/>
      </c>
      <c r="AJ63">
        <f>IF(AND(AJ$4=1,AJ13=0),1,0)</f>
        <v/>
      </c>
      <c r="AK63">
        <f>IF(AND(AK$4=1,AK13=0),1,0)</f>
        <v/>
      </c>
      <c r="AL63">
        <f>IF(AND(AL$4=1,AL13=0),1,0)</f>
        <v/>
      </c>
      <c r="AM63">
        <f>IF(AND(AM$4=1,AM13=0),1,0)</f>
        <v/>
      </c>
      <c r="AN63">
        <f>IF(AND(AN$4=1,AN13=0),1,0)</f>
        <v/>
      </c>
      <c r="AO63">
        <f>IF(AND(AO$4=1,AO13=0),1,0)</f>
        <v/>
      </c>
      <c r="AP63">
        <f>IF(AND(AP$4=1,AP13=0),1,0)</f>
        <v/>
      </c>
      <c r="AQ63">
        <f>IF(AND(AQ$4=1,AQ13=0),1,0)</f>
        <v/>
      </c>
      <c r="AR63">
        <f>IF(AND(AR$4=1,AR13=0),1,0)</f>
        <v/>
      </c>
      <c r="AS63">
        <f>IF(AND(AS$4=1,AS13=0),1,0)</f>
        <v/>
      </c>
      <c r="AT63">
        <f>IF(AND(AT$4=1,AT13=0),1,0)</f>
        <v/>
      </c>
      <c r="AU63">
        <f>IF(AND(AU$4=1,AU13=0),1,0)</f>
        <v/>
      </c>
      <c r="AV63">
        <f>IF(AND(AV$4=1,AV13=0),1,0)</f>
        <v/>
      </c>
      <c r="AW63">
        <f>IF(AND(AW$4=1,AW13=0),1,0)</f>
        <v/>
      </c>
      <c r="AX63">
        <f>IF(AND(AX$4=1,AX13=0),1,0)</f>
        <v/>
      </c>
      <c r="AY63">
        <f>IF(AND(AY$4=1,AY13=0),1,0)</f>
        <v/>
      </c>
      <c r="AZ63">
        <f>IF(AND(AZ$4=1,AZ13=0),1,0)</f>
        <v/>
      </c>
      <c r="BA63">
        <f>IF(AND(BA$4=1,BA13=0),1,0)</f>
        <v/>
      </c>
      <c r="BB63">
        <f>IF(AND(BB$4=1,BB13=0),1,0)</f>
        <v/>
      </c>
      <c r="BC63">
        <f>IF(AND(BC$4=1,BC13=0),1,0)</f>
        <v/>
      </c>
      <c r="BD63">
        <f>IF(AND(BD$4=1,BD13=0),1,0)</f>
        <v/>
      </c>
      <c r="BE63">
        <f>IF(AND(BE$4=1,BE13=0),1,0)</f>
        <v/>
      </c>
      <c r="BF63">
        <f>IF(AND(BF$4=1,BF13=0),1,0)</f>
        <v/>
      </c>
      <c r="BG63">
        <f>IF(AND(BG$4=1,BG13=0),1,0)</f>
        <v/>
      </c>
      <c r="BH63">
        <f>IF(AND(BH$4=1,BH13=0),1,0)</f>
        <v/>
      </c>
      <c r="BI63">
        <f>IF(AND(BI$4=1,BI13=0),1,0)</f>
        <v/>
      </c>
      <c r="BJ63">
        <f>IF(AND(BJ$4=1,BJ13=0),1,0)</f>
        <v/>
      </c>
      <c r="BK63">
        <f>IF(AND(BK$4=1,BK13=0),1,0)</f>
        <v/>
      </c>
      <c r="BL63">
        <f>IF(AND(BL$4=1,BL13=0),1,0)</f>
        <v/>
      </c>
      <c r="BM63">
        <f>IF(AND(BM$4=1,BM13=0),1,0)</f>
        <v/>
      </c>
      <c r="BN63">
        <f>IF(AND(BN$4=1,BN13=0),1,0)</f>
        <v/>
      </c>
      <c r="BO63">
        <f>IF(AND(BO$4=1,BO13=0),1,0)</f>
        <v/>
      </c>
      <c r="BP63">
        <f>IF(AND(BP$4=1,BP13=0),1,0)</f>
        <v/>
      </c>
      <c r="BQ63">
        <f>IF(AND(BQ$4=1,BQ13=0),1,0)</f>
        <v/>
      </c>
      <c r="BR63">
        <f>IF(AND(BR$4=1,BR13=0),1,0)</f>
        <v/>
      </c>
      <c r="BS63">
        <f>IF(AND(BS$4=1,BS13=0),1,0)</f>
        <v/>
      </c>
      <c r="BT63">
        <f>IF(AND(BT$4=1,BT13=0),1,0)</f>
        <v/>
      </c>
      <c r="BU63">
        <f>IF(AND(BU$4=1,BU13=0),1,0)</f>
        <v/>
      </c>
      <c r="BV63">
        <f>IF(AND(BV$4=1,BV13=0),1,0)</f>
        <v/>
      </c>
      <c r="BW63">
        <f>IF(AND(BW$4=1,BW13=0),1,0)</f>
        <v/>
      </c>
      <c r="BX63">
        <f>IF(AND(BX$4=1,BX13=0),1,0)</f>
        <v/>
      </c>
      <c r="BY63">
        <f>IF(AND(BY$4=1,BY13=0),1,0)</f>
        <v/>
      </c>
      <c r="BZ63">
        <f>IF(AND(BZ$4=1,BZ13=0),1,0)</f>
        <v/>
      </c>
      <c r="CA63">
        <f>IF(AND(CA$4=1,CA13=0),1,0)</f>
        <v/>
      </c>
      <c r="CB63">
        <f>IF(AND(CB$4=1,CB13=0),1,0)</f>
        <v/>
      </c>
      <c r="CC63">
        <f>IF(AND(CC$4=1,CC13=0),1,0)</f>
        <v/>
      </c>
      <c r="CD63">
        <f>IF(AND(CD$4=1,CD13=0),1,0)</f>
        <v/>
      </c>
      <c r="CE63">
        <f>IF(AND(CE$4=1,CE13=0),1,0)</f>
        <v/>
      </c>
      <c r="CF63">
        <f>IF(AND(CF$4=1,CF13=0),1,0)</f>
        <v/>
      </c>
      <c r="CG63">
        <f>IF(AND(CG$4=1,CG13=0),1,0)</f>
        <v/>
      </c>
      <c r="CH63">
        <f>IF(AND(CH$4=1,CH13=0),1,0)</f>
        <v/>
      </c>
      <c r="CI63">
        <f>IF(AND(CI$4=1,CI13=0),1,0)</f>
        <v/>
      </c>
      <c r="CJ63">
        <f>IF(AND(CJ$4=1,CJ13=0),1,0)</f>
        <v/>
      </c>
      <c r="CK63">
        <f>IF(AND(CK$4=1,CK13=0),1,0)</f>
        <v/>
      </c>
      <c r="CL63">
        <f>IF(AND(CL$4=1,CL13=0),1,0)</f>
        <v/>
      </c>
      <c r="CM63">
        <f>IF(AND(CM$4=1,CM13=0),1,0)</f>
        <v/>
      </c>
      <c r="CN63">
        <f>IF(AND(CN$4=1,CN13=0),1,0)</f>
        <v/>
      </c>
      <c r="CO63">
        <f>IF(AND(CO$4=1,CO13=0),1,0)</f>
        <v/>
      </c>
      <c r="CP63">
        <f>IF(AND(CP$4=1,CP13=0),1,0)</f>
        <v/>
      </c>
      <c r="CQ63">
        <f>IF(AND(CQ$4=1,CQ13=0),1,0)</f>
        <v/>
      </c>
      <c r="CR63">
        <f>IF(AND(CR$4=1,CR13=0),1,0)</f>
        <v/>
      </c>
      <c r="CS63">
        <f>IF(AND(CS$4=1,CS13=0),1,0)</f>
        <v/>
      </c>
      <c r="CT63">
        <f>IF(AND(CT$4=1,CT13=0),1,0)</f>
        <v/>
      </c>
      <c r="CU63">
        <f>IF(AND(CU$4=1,CU13=0),1,0)</f>
        <v/>
      </c>
      <c r="CV63">
        <f>IF(AND(CV$4=1,CV13=0),1,0)</f>
        <v/>
      </c>
      <c r="CW63">
        <f>IF(AND(CW$4=1,CW13=0),1,0)</f>
        <v/>
      </c>
      <c r="CX63">
        <f>IF(AND(CX$4=1,CX13=0),1,0)</f>
        <v/>
      </c>
      <c r="CY63">
        <f>IF(AND(CY$4=1,CY13=0),1,0)</f>
        <v/>
      </c>
      <c r="CZ63">
        <f>IF(AND(CZ$4=1,CZ13=0),1,0)</f>
        <v/>
      </c>
      <c r="DA63">
        <f>IF(AND(DA$4=1,DA13=0),1,0)</f>
        <v/>
      </c>
      <c r="DB63">
        <f>IF(AND(DB$4=1,DB13=0),1,0)</f>
        <v/>
      </c>
      <c r="DC63">
        <f>IF(AND(DC$4=1,DC13=0),1,0)</f>
        <v/>
      </c>
      <c r="DD63">
        <f>IF(AND(DD$4=1,DD13=0),1,0)</f>
        <v/>
      </c>
      <c r="DE63">
        <f>IF(AND(DE$4=1,DE13=0),1,0)</f>
        <v/>
      </c>
      <c r="DF63">
        <f>IF(AND(DF$4=1,DF13=0),1,0)</f>
        <v/>
      </c>
      <c r="DG63">
        <f>IF(AND(DG$4=1,DG13=0),1,0)</f>
        <v/>
      </c>
      <c r="DH63">
        <f>IF(AND(DH$4=1,DH13=0),1,0)</f>
        <v/>
      </c>
      <c r="DI63">
        <f>IF(AND(DI$4=1,DI13=0),1,0)</f>
        <v/>
      </c>
      <c r="DJ63">
        <f>IF(AND(DJ$4=1,DJ13=0),1,0)</f>
        <v/>
      </c>
      <c r="DK63">
        <f>IF(AND(DK$4=1,DK13=0),1,0)</f>
        <v/>
      </c>
      <c r="DL63">
        <f>IF(AND(DL$4=1,DL13=0),1,0)</f>
        <v/>
      </c>
      <c r="DM63">
        <f>IF(AND(DM$4=1,DM13=0),1,0)</f>
        <v/>
      </c>
      <c r="DN63">
        <f>IF(AND(DN$4=1,DN13=0),1,0)</f>
        <v/>
      </c>
      <c r="DO63">
        <f>IF(AND(DO$4=1,DO13=0),1,0)</f>
        <v/>
      </c>
      <c r="DP63">
        <f>IF(AND(DP$4=1,DP13=0),1,0)</f>
        <v/>
      </c>
      <c r="DQ63">
        <f>IF(AND(DQ$4=1,DQ13=0),1,0)</f>
        <v/>
      </c>
      <c r="DR63">
        <f>IF(AND(DR$4=1,DR13=0),1,0)</f>
        <v/>
      </c>
      <c r="DS63">
        <f>IF(AND(DS$4=1,DS13=0),1,0)</f>
        <v/>
      </c>
    </row>
    <row r="64">
      <c r="A64" t="n">
        <v>5</v>
      </c>
      <c r="D64">
        <f>IF(AND(D$4=1,D14=0),1,0)</f>
        <v/>
      </c>
      <c r="E64">
        <f>IF(AND(E$4=1,E14=0),1,0)</f>
        <v/>
      </c>
      <c r="F64">
        <f>IF(AND(F$4=1,F14=0),1,0)</f>
        <v/>
      </c>
      <c r="G64">
        <f>IF(AND(G$4=1,G14=0),1,0)</f>
        <v/>
      </c>
      <c r="H64">
        <f>IF(AND(H$4=1,H14=0),1,0)</f>
        <v/>
      </c>
      <c r="I64">
        <f>IF(AND(I$4=1,I14=0),1,0)</f>
        <v/>
      </c>
      <c r="J64">
        <f>IF(AND(J$4=1,J14=0),1,0)</f>
        <v/>
      </c>
      <c r="K64">
        <f>IF(AND(K$4=1,K14=0),1,0)</f>
        <v/>
      </c>
      <c r="L64">
        <f>IF(AND(L$4=1,L14=0),1,0)</f>
        <v/>
      </c>
      <c r="M64">
        <f>IF(AND(M$4=1,M14=0),1,0)</f>
        <v/>
      </c>
      <c r="N64">
        <f>IF(AND(N$4=1,N14=0),1,0)</f>
        <v/>
      </c>
      <c r="O64">
        <f>IF(AND(O$4=1,O14=0),1,0)</f>
        <v/>
      </c>
      <c r="P64">
        <f>IF(AND(P$4=1,P14=0),1,0)</f>
        <v/>
      </c>
      <c r="Q64">
        <f>IF(AND(Q$4=1,Q14=0),1,0)</f>
        <v/>
      </c>
      <c r="R64">
        <f>IF(AND(R$4=1,R14=0),1,0)</f>
        <v/>
      </c>
      <c r="S64">
        <f>IF(AND(S$4=1,S14=0),1,0)</f>
        <v/>
      </c>
      <c r="T64">
        <f>IF(AND(T$4=1,T14=0),1,0)</f>
        <v/>
      </c>
      <c r="U64">
        <f>IF(AND(U$4=1,U14=0),1,0)</f>
        <v/>
      </c>
      <c r="V64">
        <f>IF(AND(V$4=1,V14=0),1,0)</f>
        <v/>
      </c>
      <c r="W64">
        <f>IF(AND(W$4=1,W14=0),1,0)</f>
        <v/>
      </c>
      <c r="X64">
        <f>IF(AND(X$4=1,X14=0),1,0)</f>
        <v/>
      </c>
      <c r="Y64">
        <f>IF(AND(Y$4=1,Y14=0),1,0)</f>
        <v/>
      </c>
      <c r="Z64">
        <f>IF(AND(Z$4=1,Z14=0),1,0)</f>
        <v/>
      </c>
      <c r="AA64">
        <f>IF(AND(AA$4=1,AA14=0),1,0)</f>
        <v/>
      </c>
      <c r="AB64">
        <f>IF(AND(AB$4=1,AB14=0),1,0)</f>
        <v/>
      </c>
      <c r="AC64">
        <f>IF(AND(AC$4=1,AC14=0),1,0)</f>
        <v/>
      </c>
      <c r="AD64">
        <f>IF(AND(AD$4=1,AD14=0),1,0)</f>
        <v/>
      </c>
      <c r="AE64">
        <f>IF(AND(AE$4=1,AE14=0),1,0)</f>
        <v/>
      </c>
      <c r="AF64">
        <f>IF(AND(AF$4=1,AF14=0),1,0)</f>
        <v/>
      </c>
      <c r="AG64">
        <f>IF(AND(AG$4=1,AG14=0),1,0)</f>
        <v/>
      </c>
      <c r="AH64">
        <f>IF(AND(AH$4=1,AH14=0),1,0)</f>
        <v/>
      </c>
      <c r="AI64">
        <f>IF(AND(AI$4=1,AI14=0),1,0)</f>
        <v/>
      </c>
      <c r="AJ64">
        <f>IF(AND(AJ$4=1,AJ14=0),1,0)</f>
        <v/>
      </c>
      <c r="AK64">
        <f>IF(AND(AK$4=1,AK14=0),1,0)</f>
        <v/>
      </c>
      <c r="AL64">
        <f>IF(AND(AL$4=1,AL14=0),1,0)</f>
        <v/>
      </c>
      <c r="AM64">
        <f>IF(AND(AM$4=1,AM14=0),1,0)</f>
        <v/>
      </c>
      <c r="AN64">
        <f>IF(AND(AN$4=1,AN14=0),1,0)</f>
        <v/>
      </c>
      <c r="AO64">
        <f>IF(AND(AO$4=1,AO14=0),1,0)</f>
        <v/>
      </c>
      <c r="AP64">
        <f>IF(AND(AP$4=1,AP14=0),1,0)</f>
        <v/>
      </c>
      <c r="AQ64">
        <f>IF(AND(AQ$4=1,AQ14=0),1,0)</f>
        <v/>
      </c>
      <c r="AR64">
        <f>IF(AND(AR$4=1,AR14=0),1,0)</f>
        <v/>
      </c>
      <c r="AS64">
        <f>IF(AND(AS$4=1,AS14=0),1,0)</f>
        <v/>
      </c>
      <c r="AT64">
        <f>IF(AND(AT$4=1,AT14=0),1,0)</f>
        <v/>
      </c>
      <c r="AU64">
        <f>IF(AND(AU$4=1,AU14=0),1,0)</f>
        <v/>
      </c>
      <c r="AV64">
        <f>IF(AND(AV$4=1,AV14=0),1,0)</f>
        <v/>
      </c>
      <c r="AW64">
        <f>IF(AND(AW$4=1,AW14=0),1,0)</f>
        <v/>
      </c>
      <c r="AX64">
        <f>IF(AND(AX$4=1,AX14=0),1,0)</f>
        <v/>
      </c>
      <c r="AY64">
        <f>IF(AND(AY$4=1,AY14=0),1,0)</f>
        <v/>
      </c>
      <c r="AZ64">
        <f>IF(AND(AZ$4=1,AZ14=0),1,0)</f>
        <v/>
      </c>
      <c r="BA64">
        <f>IF(AND(BA$4=1,BA14=0),1,0)</f>
        <v/>
      </c>
      <c r="BB64">
        <f>IF(AND(BB$4=1,BB14=0),1,0)</f>
        <v/>
      </c>
      <c r="BC64">
        <f>IF(AND(BC$4=1,BC14=0),1,0)</f>
        <v/>
      </c>
      <c r="BD64">
        <f>IF(AND(BD$4=1,BD14=0),1,0)</f>
        <v/>
      </c>
      <c r="BE64">
        <f>IF(AND(BE$4=1,BE14=0),1,0)</f>
        <v/>
      </c>
      <c r="BF64">
        <f>IF(AND(BF$4=1,BF14=0),1,0)</f>
        <v/>
      </c>
      <c r="BG64">
        <f>IF(AND(BG$4=1,BG14=0),1,0)</f>
        <v/>
      </c>
      <c r="BH64">
        <f>IF(AND(BH$4=1,BH14=0),1,0)</f>
        <v/>
      </c>
      <c r="BI64">
        <f>IF(AND(BI$4=1,BI14=0),1,0)</f>
        <v/>
      </c>
      <c r="BJ64">
        <f>IF(AND(BJ$4=1,BJ14=0),1,0)</f>
        <v/>
      </c>
      <c r="BK64">
        <f>IF(AND(BK$4=1,BK14=0),1,0)</f>
        <v/>
      </c>
      <c r="BL64">
        <f>IF(AND(BL$4=1,BL14=0),1,0)</f>
        <v/>
      </c>
      <c r="BM64">
        <f>IF(AND(BM$4=1,BM14=0),1,0)</f>
        <v/>
      </c>
      <c r="BN64">
        <f>IF(AND(BN$4=1,BN14=0),1,0)</f>
        <v/>
      </c>
      <c r="BO64">
        <f>IF(AND(BO$4=1,BO14=0),1,0)</f>
        <v/>
      </c>
      <c r="BP64">
        <f>IF(AND(BP$4=1,BP14=0),1,0)</f>
        <v/>
      </c>
      <c r="BQ64">
        <f>IF(AND(BQ$4=1,BQ14=0),1,0)</f>
        <v/>
      </c>
      <c r="BR64">
        <f>IF(AND(BR$4=1,BR14=0),1,0)</f>
        <v/>
      </c>
      <c r="BS64">
        <f>IF(AND(BS$4=1,BS14=0),1,0)</f>
        <v/>
      </c>
      <c r="BT64">
        <f>IF(AND(BT$4=1,BT14=0),1,0)</f>
        <v/>
      </c>
      <c r="BU64">
        <f>IF(AND(BU$4=1,BU14=0),1,0)</f>
        <v/>
      </c>
      <c r="BV64">
        <f>IF(AND(BV$4=1,BV14=0),1,0)</f>
        <v/>
      </c>
      <c r="BW64">
        <f>IF(AND(BW$4=1,BW14=0),1,0)</f>
        <v/>
      </c>
      <c r="BX64">
        <f>IF(AND(BX$4=1,BX14=0),1,0)</f>
        <v/>
      </c>
      <c r="BY64">
        <f>IF(AND(BY$4=1,BY14=0),1,0)</f>
        <v/>
      </c>
      <c r="BZ64">
        <f>IF(AND(BZ$4=1,BZ14=0),1,0)</f>
        <v/>
      </c>
      <c r="CA64">
        <f>IF(AND(CA$4=1,CA14=0),1,0)</f>
        <v/>
      </c>
      <c r="CB64">
        <f>IF(AND(CB$4=1,CB14=0),1,0)</f>
        <v/>
      </c>
      <c r="CC64">
        <f>IF(AND(CC$4=1,CC14=0),1,0)</f>
        <v/>
      </c>
      <c r="CD64">
        <f>IF(AND(CD$4=1,CD14=0),1,0)</f>
        <v/>
      </c>
      <c r="CE64">
        <f>IF(AND(CE$4=1,CE14=0),1,0)</f>
        <v/>
      </c>
      <c r="CF64">
        <f>IF(AND(CF$4=1,CF14=0),1,0)</f>
        <v/>
      </c>
      <c r="CG64">
        <f>IF(AND(CG$4=1,CG14=0),1,0)</f>
        <v/>
      </c>
      <c r="CH64">
        <f>IF(AND(CH$4=1,CH14=0),1,0)</f>
        <v/>
      </c>
      <c r="CI64">
        <f>IF(AND(CI$4=1,CI14=0),1,0)</f>
        <v/>
      </c>
      <c r="CJ64">
        <f>IF(AND(CJ$4=1,CJ14=0),1,0)</f>
        <v/>
      </c>
      <c r="CK64">
        <f>IF(AND(CK$4=1,CK14=0),1,0)</f>
        <v/>
      </c>
      <c r="CL64">
        <f>IF(AND(CL$4=1,CL14=0),1,0)</f>
        <v/>
      </c>
      <c r="CM64">
        <f>IF(AND(CM$4=1,CM14=0),1,0)</f>
        <v/>
      </c>
      <c r="CN64">
        <f>IF(AND(CN$4=1,CN14=0),1,0)</f>
        <v/>
      </c>
      <c r="CO64">
        <f>IF(AND(CO$4=1,CO14=0),1,0)</f>
        <v/>
      </c>
      <c r="CP64">
        <f>IF(AND(CP$4=1,CP14=0),1,0)</f>
        <v/>
      </c>
      <c r="CQ64">
        <f>IF(AND(CQ$4=1,CQ14=0),1,0)</f>
        <v/>
      </c>
      <c r="CR64">
        <f>IF(AND(CR$4=1,CR14=0),1,0)</f>
        <v/>
      </c>
      <c r="CS64">
        <f>IF(AND(CS$4=1,CS14=0),1,0)</f>
        <v/>
      </c>
      <c r="CT64">
        <f>IF(AND(CT$4=1,CT14=0),1,0)</f>
        <v/>
      </c>
      <c r="CU64">
        <f>IF(AND(CU$4=1,CU14=0),1,0)</f>
        <v/>
      </c>
      <c r="CV64">
        <f>IF(AND(CV$4=1,CV14=0),1,0)</f>
        <v/>
      </c>
      <c r="CW64">
        <f>IF(AND(CW$4=1,CW14=0),1,0)</f>
        <v/>
      </c>
      <c r="CX64">
        <f>IF(AND(CX$4=1,CX14=0),1,0)</f>
        <v/>
      </c>
      <c r="CY64">
        <f>IF(AND(CY$4=1,CY14=0),1,0)</f>
        <v/>
      </c>
      <c r="CZ64">
        <f>IF(AND(CZ$4=1,CZ14=0),1,0)</f>
        <v/>
      </c>
      <c r="DA64">
        <f>IF(AND(DA$4=1,DA14=0),1,0)</f>
        <v/>
      </c>
      <c r="DB64">
        <f>IF(AND(DB$4=1,DB14=0),1,0)</f>
        <v/>
      </c>
      <c r="DC64">
        <f>IF(AND(DC$4=1,DC14=0),1,0)</f>
        <v/>
      </c>
      <c r="DD64">
        <f>IF(AND(DD$4=1,DD14=0),1,0)</f>
        <v/>
      </c>
      <c r="DE64">
        <f>IF(AND(DE$4=1,DE14=0),1,0)</f>
        <v/>
      </c>
      <c r="DF64">
        <f>IF(AND(DF$4=1,DF14=0),1,0)</f>
        <v/>
      </c>
      <c r="DG64">
        <f>IF(AND(DG$4=1,DG14=0),1,0)</f>
        <v/>
      </c>
      <c r="DH64">
        <f>IF(AND(DH$4=1,DH14=0),1,0)</f>
        <v/>
      </c>
      <c r="DI64">
        <f>IF(AND(DI$4=1,DI14=0),1,0)</f>
        <v/>
      </c>
      <c r="DJ64">
        <f>IF(AND(DJ$4=1,DJ14=0),1,0)</f>
        <v/>
      </c>
      <c r="DK64">
        <f>IF(AND(DK$4=1,DK14=0),1,0)</f>
        <v/>
      </c>
      <c r="DL64">
        <f>IF(AND(DL$4=1,DL14=0),1,0)</f>
        <v/>
      </c>
      <c r="DM64">
        <f>IF(AND(DM$4=1,DM14=0),1,0)</f>
        <v/>
      </c>
      <c r="DN64">
        <f>IF(AND(DN$4=1,DN14=0),1,0)</f>
        <v/>
      </c>
      <c r="DO64">
        <f>IF(AND(DO$4=1,DO14=0),1,0)</f>
        <v/>
      </c>
      <c r="DP64">
        <f>IF(AND(DP$4=1,DP14=0),1,0)</f>
        <v/>
      </c>
      <c r="DQ64">
        <f>IF(AND(DQ$4=1,DQ14=0),1,0)</f>
        <v/>
      </c>
      <c r="DR64">
        <f>IF(AND(DR$4=1,DR14=0),1,0)</f>
        <v/>
      </c>
      <c r="DS64">
        <f>IF(AND(DS$4=1,DS14=0),1,0)</f>
        <v/>
      </c>
    </row>
    <row r="65">
      <c r="A65" t="n">
        <v>6</v>
      </c>
      <c r="D65">
        <f>IF(AND(D$4=1,D15=0),1,0)</f>
        <v/>
      </c>
      <c r="E65">
        <f>IF(AND(E$4=1,E15=0),1,0)</f>
        <v/>
      </c>
      <c r="F65">
        <f>IF(AND(F$4=1,F15=0),1,0)</f>
        <v/>
      </c>
      <c r="G65">
        <f>IF(AND(G$4=1,G15=0),1,0)</f>
        <v/>
      </c>
      <c r="H65">
        <f>IF(AND(H$4=1,H15=0),1,0)</f>
        <v/>
      </c>
      <c r="I65">
        <f>IF(AND(I$4=1,I15=0),1,0)</f>
        <v/>
      </c>
      <c r="J65">
        <f>IF(AND(J$4=1,J15=0),1,0)</f>
        <v/>
      </c>
      <c r="K65">
        <f>IF(AND(K$4=1,K15=0),1,0)</f>
        <v/>
      </c>
      <c r="L65">
        <f>IF(AND(L$4=1,L15=0),1,0)</f>
        <v/>
      </c>
      <c r="M65">
        <f>IF(AND(M$4=1,M15=0),1,0)</f>
        <v/>
      </c>
      <c r="N65">
        <f>IF(AND(N$4=1,N15=0),1,0)</f>
        <v/>
      </c>
      <c r="O65">
        <f>IF(AND(O$4=1,O15=0),1,0)</f>
        <v/>
      </c>
      <c r="P65">
        <f>IF(AND(P$4=1,P15=0),1,0)</f>
        <v/>
      </c>
      <c r="Q65">
        <f>IF(AND(Q$4=1,Q15=0),1,0)</f>
        <v/>
      </c>
      <c r="R65">
        <f>IF(AND(R$4=1,R15=0),1,0)</f>
        <v/>
      </c>
      <c r="S65">
        <f>IF(AND(S$4=1,S15=0),1,0)</f>
        <v/>
      </c>
      <c r="T65">
        <f>IF(AND(T$4=1,T15=0),1,0)</f>
        <v/>
      </c>
      <c r="U65">
        <f>IF(AND(U$4=1,U15=0),1,0)</f>
        <v/>
      </c>
      <c r="V65">
        <f>IF(AND(V$4=1,V15=0),1,0)</f>
        <v/>
      </c>
      <c r="W65">
        <f>IF(AND(W$4=1,W15=0),1,0)</f>
        <v/>
      </c>
      <c r="X65">
        <f>IF(AND(X$4=1,X15=0),1,0)</f>
        <v/>
      </c>
      <c r="Y65">
        <f>IF(AND(Y$4=1,Y15=0),1,0)</f>
        <v/>
      </c>
      <c r="Z65">
        <f>IF(AND(Z$4=1,Z15=0),1,0)</f>
        <v/>
      </c>
      <c r="AA65">
        <f>IF(AND(AA$4=1,AA15=0),1,0)</f>
        <v/>
      </c>
      <c r="AB65">
        <f>IF(AND(AB$4=1,AB15=0),1,0)</f>
        <v/>
      </c>
      <c r="AC65">
        <f>IF(AND(AC$4=1,AC15=0),1,0)</f>
        <v/>
      </c>
      <c r="AD65">
        <f>IF(AND(AD$4=1,AD15=0),1,0)</f>
        <v/>
      </c>
      <c r="AE65">
        <f>IF(AND(AE$4=1,AE15=0),1,0)</f>
        <v/>
      </c>
      <c r="AF65">
        <f>IF(AND(AF$4=1,AF15=0),1,0)</f>
        <v/>
      </c>
      <c r="AG65">
        <f>IF(AND(AG$4=1,AG15=0),1,0)</f>
        <v/>
      </c>
      <c r="AH65">
        <f>IF(AND(AH$4=1,AH15=0),1,0)</f>
        <v/>
      </c>
      <c r="AI65">
        <f>IF(AND(AI$4=1,AI15=0),1,0)</f>
        <v/>
      </c>
      <c r="AJ65">
        <f>IF(AND(AJ$4=1,AJ15=0),1,0)</f>
        <v/>
      </c>
      <c r="AK65">
        <f>IF(AND(AK$4=1,AK15=0),1,0)</f>
        <v/>
      </c>
      <c r="AL65">
        <f>IF(AND(AL$4=1,AL15=0),1,0)</f>
        <v/>
      </c>
      <c r="AM65">
        <f>IF(AND(AM$4=1,AM15=0),1,0)</f>
        <v/>
      </c>
      <c r="AN65">
        <f>IF(AND(AN$4=1,AN15=0),1,0)</f>
        <v/>
      </c>
      <c r="AO65">
        <f>IF(AND(AO$4=1,AO15=0),1,0)</f>
        <v/>
      </c>
      <c r="AP65">
        <f>IF(AND(AP$4=1,AP15=0),1,0)</f>
        <v/>
      </c>
      <c r="AQ65">
        <f>IF(AND(AQ$4=1,AQ15=0),1,0)</f>
        <v/>
      </c>
      <c r="AR65">
        <f>IF(AND(AR$4=1,AR15=0),1,0)</f>
        <v/>
      </c>
      <c r="AS65">
        <f>IF(AND(AS$4=1,AS15=0),1,0)</f>
        <v/>
      </c>
      <c r="AT65">
        <f>IF(AND(AT$4=1,AT15=0),1,0)</f>
        <v/>
      </c>
      <c r="AU65">
        <f>IF(AND(AU$4=1,AU15=0),1,0)</f>
        <v/>
      </c>
      <c r="AV65">
        <f>IF(AND(AV$4=1,AV15=0),1,0)</f>
        <v/>
      </c>
      <c r="AW65">
        <f>IF(AND(AW$4=1,AW15=0),1,0)</f>
        <v/>
      </c>
      <c r="AX65">
        <f>IF(AND(AX$4=1,AX15=0),1,0)</f>
        <v/>
      </c>
      <c r="AY65">
        <f>IF(AND(AY$4=1,AY15=0),1,0)</f>
        <v/>
      </c>
      <c r="AZ65">
        <f>IF(AND(AZ$4=1,AZ15=0),1,0)</f>
        <v/>
      </c>
      <c r="BA65">
        <f>IF(AND(BA$4=1,BA15=0),1,0)</f>
        <v/>
      </c>
      <c r="BB65">
        <f>IF(AND(BB$4=1,BB15=0),1,0)</f>
        <v/>
      </c>
      <c r="BC65">
        <f>IF(AND(BC$4=1,BC15=0),1,0)</f>
        <v/>
      </c>
      <c r="BD65">
        <f>IF(AND(BD$4=1,BD15=0),1,0)</f>
        <v/>
      </c>
      <c r="BE65">
        <f>IF(AND(BE$4=1,BE15=0),1,0)</f>
        <v/>
      </c>
      <c r="BF65">
        <f>IF(AND(BF$4=1,BF15=0),1,0)</f>
        <v/>
      </c>
      <c r="BG65">
        <f>IF(AND(BG$4=1,BG15=0),1,0)</f>
        <v/>
      </c>
      <c r="BH65">
        <f>IF(AND(BH$4=1,BH15=0),1,0)</f>
        <v/>
      </c>
      <c r="BI65">
        <f>IF(AND(BI$4=1,BI15=0),1,0)</f>
        <v/>
      </c>
      <c r="BJ65">
        <f>IF(AND(BJ$4=1,BJ15=0),1,0)</f>
        <v/>
      </c>
      <c r="BK65">
        <f>IF(AND(BK$4=1,BK15=0),1,0)</f>
        <v/>
      </c>
      <c r="BL65">
        <f>IF(AND(BL$4=1,BL15=0),1,0)</f>
        <v/>
      </c>
      <c r="BM65">
        <f>IF(AND(BM$4=1,BM15=0),1,0)</f>
        <v/>
      </c>
      <c r="BN65">
        <f>IF(AND(BN$4=1,BN15=0),1,0)</f>
        <v/>
      </c>
      <c r="BO65">
        <f>IF(AND(BO$4=1,BO15=0),1,0)</f>
        <v/>
      </c>
      <c r="BP65">
        <f>IF(AND(BP$4=1,BP15=0),1,0)</f>
        <v/>
      </c>
      <c r="BQ65">
        <f>IF(AND(BQ$4=1,BQ15=0),1,0)</f>
        <v/>
      </c>
      <c r="BR65">
        <f>IF(AND(BR$4=1,BR15=0),1,0)</f>
        <v/>
      </c>
      <c r="BS65">
        <f>IF(AND(BS$4=1,BS15=0),1,0)</f>
        <v/>
      </c>
      <c r="BT65">
        <f>IF(AND(BT$4=1,BT15=0),1,0)</f>
        <v/>
      </c>
      <c r="BU65">
        <f>IF(AND(BU$4=1,BU15=0),1,0)</f>
        <v/>
      </c>
      <c r="BV65">
        <f>IF(AND(BV$4=1,BV15=0),1,0)</f>
        <v/>
      </c>
      <c r="BW65">
        <f>IF(AND(BW$4=1,BW15=0),1,0)</f>
        <v/>
      </c>
      <c r="BX65">
        <f>IF(AND(BX$4=1,BX15=0),1,0)</f>
        <v/>
      </c>
      <c r="BY65">
        <f>IF(AND(BY$4=1,BY15=0),1,0)</f>
        <v/>
      </c>
      <c r="BZ65">
        <f>IF(AND(BZ$4=1,BZ15=0),1,0)</f>
        <v/>
      </c>
      <c r="CA65">
        <f>IF(AND(CA$4=1,CA15=0),1,0)</f>
        <v/>
      </c>
      <c r="CB65">
        <f>IF(AND(CB$4=1,CB15=0),1,0)</f>
        <v/>
      </c>
      <c r="CC65">
        <f>IF(AND(CC$4=1,CC15=0),1,0)</f>
        <v/>
      </c>
      <c r="CD65">
        <f>IF(AND(CD$4=1,CD15=0),1,0)</f>
        <v/>
      </c>
      <c r="CE65">
        <f>IF(AND(CE$4=1,CE15=0),1,0)</f>
        <v/>
      </c>
      <c r="CF65">
        <f>IF(AND(CF$4=1,CF15=0),1,0)</f>
        <v/>
      </c>
      <c r="CG65">
        <f>IF(AND(CG$4=1,CG15=0),1,0)</f>
        <v/>
      </c>
      <c r="CH65">
        <f>IF(AND(CH$4=1,CH15=0),1,0)</f>
        <v/>
      </c>
      <c r="CI65">
        <f>IF(AND(CI$4=1,CI15=0),1,0)</f>
        <v/>
      </c>
      <c r="CJ65">
        <f>IF(AND(CJ$4=1,CJ15=0),1,0)</f>
        <v/>
      </c>
      <c r="CK65">
        <f>IF(AND(CK$4=1,CK15=0),1,0)</f>
        <v/>
      </c>
      <c r="CL65">
        <f>IF(AND(CL$4=1,CL15=0),1,0)</f>
        <v/>
      </c>
      <c r="CM65">
        <f>IF(AND(CM$4=1,CM15=0),1,0)</f>
        <v/>
      </c>
      <c r="CN65">
        <f>IF(AND(CN$4=1,CN15=0),1,0)</f>
        <v/>
      </c>
      <c r="CO65">
        <f>IF(AND(CO$4=1,CO15=0),1,0)</f>
        <v/>
      </c>
      <c r="CP65">
        <f>IF(AND(CP$4=1,CP15=0),1,0)</f>
        <v/>
      </c>
      <c r="CQ65">
        <f>IF(AND(CQ$4=1,CQ15=0),1,0)</f>
        <v/>
      </c>
      <c r="CR65">
        <f>IF(AND(CR$4=1,CR15=0),1,0)</f>
        <v/>
      </c>
      <c r="CS65">
        <f>IF(AND(CS$4=1,CS15=0),1,0)</f>
        <v/>
      </c>
      <c r="CT65">
        <f>IF(AND(CT$4=1,CT15=0),1,0)</f>
        <v/>
      </c>
      <c r="CU65">
        <f>IF(AND(CU$4=1,CU15=0),1,0)</f>
        <v/>
      </c>
      <c r="CV65">
        <f>IF(AND(CV$4=1,CV15=0),1,0)</f>
        <v/>
      </c>
      <c r="CW65">
        <f>IF(AND(CW$4=1,CW15=0),1,0)</f>
        <v/>
      </c>
      <c r="CX65">
        <f>IF(AND(CX$4=1,CX15=0),1,0)</f>
        <v/>
      </c>
      <c r="CY65">
        <f>IF(AND(CY$4=1,CY15=0),1,0)</f>
        <v/>
      </c>
      <c r="CZ65">
        <f>IF(AND(CZ$4=1,CZ15=0),1,0)</f>
        <v/>
      </c>
      <c r="DA65">
        <f>IF(AND(DA$4=1,DA15=0),1,0)</f>
        <v/>
      </c>
      <c r="DB65">
        <f>IF(AND(DB$4=1,DB15=0),1,0)</f>
        <v/>
      </c>
      <c r="DC65">
        <f>IF(AND(DC$4=1,DC15=0),1,0)</f>
        <v/>
      </c>
      <c r="DD65">
        <f>IF(AND(DD$4=1,DD15=0),1,0)</f>
        <v/>
      </c>
      <c r="DE65">
        <f>IF(AND(DE$4=1,DE15=0),1,0)</f>
        <v/>
      </c>
      <c r="DF65">
        <f>IF(AND(DF$4=1,DF15=0),1,0)</f>
        <v/>
      </c>
      <c r="DG65">
        <f>IF(AND(DG$4=1,DG15=0),1,0)</f>
        <v/>
      </c>
      <c r="DH65">
        <f>IF(AND(DH$4=1,DH15=0),1,0)</f>
        <v/>
      </c>
      <c r="DI65">
        <f>IF(AND(DI$4=1,DI15=0),1,0)</f>
        <v/>
      </c>
      <c r="DJ65">
        <f>IF(AND(DJ$4=1,DJ15=0),1,0)</f>
        <v/>
      </c>
      <c r="DK65">
        <f>IF(AND(DK$4=1,DK15=0),1,0)</f>
        <v/>
      </c>
      <c r="DL65">
        <f>IF(AND(DL$4=1,DL15=0),1,0)</f>
        <v/>
      </c>
      <c r="DM65">
        <f>IF(AND(DM$4=1,DM15=0),1,0)</f>
        <v/>
      </c>
      <c r="DN65">
        <f>IF(AND(DN$4=1,DN15=0),1,0)</f>
        <v/>
      </c>
      <c r="DO65">
        <f>IF(AND(DO$4=1,DO15=0),1,0)</f>
        <v/>
      </c>
      <c r="DP65">
        <f>IF(AND(DP$4=1,DP15=0),1,0)</f>
        <v/>
      </c>
      <c r="DQ65">
        <f>IF(AND(DQ$4=1,DQ15=0),1,0)</f>
        <v/>
      </c>
      <c r="DR65">
        <f>IF(AND(DR$4=1,DR15=0),1,0)</f>
        <v/>
      </c>
      <c r="DS65">
        <f>IF(AND(DS$4=1,DS15=0),1,0)</f>
        <v/>
      </c>
    </row>
    <row r="66">
      <c r="A66" t="n">
        <v>7</v>
      </c>
      <c r="D66">
        <f>IF(AND(D$4=1,D16=0),1,0)</f>
        <v/>
      </c>
      <c r="E66">
        <f>IF(AND(E$4=1,E16=0),1,0)</f>
        <v/>
      </c>
      <c r="F66">
        <f>IF(AND(F$4=1,F16=0),1,0)</f>
        <v/>
      </c>
      <c r="G66">
        <f>IF(AND(G$4=1,G16=0),1,0)</f>
        <v/>
      </c>
      <c r="H66">
        <f>IF(AND(H$4=1,H16=0),1,0)</f>
        <v/>
      </c>
      <c r="I66">
        <f>IF(AND(I$4=1,I16=0),1,0)</f>
        <v/>
      </c>
      <c r="J66">
        <f>IF(AND(J$4=1,J16=0),1,0)</f>
        <v/>
      </c>
      <c r="K66">
        <f>IF(AND(K$4=1,K16=0),1,0)</f>
        <v/>
      </c>
      <c r="L66">
        <f>IF(AND(L$4=1,L16=0),1,0)</f>
        <v/>
      </c>
      <c r="M66">
        <f>IF(AND(M$4=1,M16=0),1,0)</f>
        <v/>
      </c>
      <c r="N66">
        <f>IF(AND(N$4=1,N16=0),1,0)</f>
        <v/>
      </c>
      <c r="O66">
        <f>IF(AND(O$4=1,O16=0),1,0)</f>
        <v/>
      </c>
      <c r="P66">
        <f>IF(AND(P$4=1,P16=0),1,0)</f>
        <v/>
      </c>
      <c r="Q66">
        <f>IF(AND(Q$4=1,Q16=0),1,0)</f>
        <v/>
      </c>
      <c r="R66">
        <f>IF(AND(R$4=1,R16=0),1,0)</f>
        <v/>
      </c>
      <c r="S66">
        <f>IF(AND(S$4=1,S16=0),1,0)</f>
        <v/>
      </c>
      <c r="T66">
        <f>IF(AND(T$4=1,T16=0),1,0)</f>
        <v/>
      </c>
      <c r="U66">
        <f>IF(AND(U$4=1,U16=0),1,0)</f>
        <v/>
      </c>
      <c r="V66">
        <f>IF(AND(V$4=1,V16=0),1,0)</f>
        <v/>
      </c>
      <c r="W66">
        <f>IF(AND(W$4=1,W16=0),1,0)</f>
        <v/>
      </c>
      <c r="X66">
        <f>IF(AND(X$4=1,X16=0),1,0)</f>
        <v/>
      </c>
      <c r="Y66">
        <f>IF(AND(Y$4=1,Y16=0),1,0)</f>
        <v/>
      </c>
      <c r="Z66">
        <f>IF(AND(Z$4=1,Z16=0),1,0)</f>
        <v/>
      </c>
      <c r="AA66">
        <f>IF(AND(AA$4=1,AA16=0),1,0)</f>
        <v/>
      </c>
      <c r="AB66">
        <f>IF(AND(AB$4=1,AB16=0),1,0)</f>
        <v/>
      </c>
      <c r="AC66">
        <f>IF(AND(AC$4=1,AC16=0),1,0)</f>
        <v/>
      </c>
      <c r="AD66">
        <f>IF(AND(AD$4=1,AD16=0),1,0)</f>
        <v/>
      </c>
      <c r="AE66">
        <f>IF(AND(AE$4=1,AE16=0),1,0)</f>
        <v/>
      </c>
      <c r="AF66">
        <f>IF(AND(AF$4=1,AF16=0),1,0)</f>
        <v/>
      </c>
      <c r="AG66">
        <f>IF(AND(AG$4=1,AG16=0),1,0)</f>
        <v/>
      </c>
      <c r="AH66">
        <f>IF(AND(AH$4=1,AH16=0),1,0)</f>
        <v/>
      </c>
      <c r="AI66">
        <f>IF(AND(AI$4=1,AI16=0),1,0)</f>
        <v/>
      </c>
      <c r="AJ66">
        <f>IF(AND(AJ$4=1,AJ16=0),1,0)</f>
        <v/>
      </c>
      <c r="AK66">
        <f>IF(AND(AK$4=1,AK16=0),1,0)</f>
        <v/>
      </c>
      <c r="AL66">
        <f>IF(AND(AL$4=1,AL16=0),1,0)</f>
        <v/>
      </c>
      <c r="AM66">
        <f>IF(AND(AM$4=1,AM16=0),1,0)</f>
        <v/>
      </c>
      <c r="AN66">
        <f>IF(AND(AN$4=1,AN16=0),1,0)</f>
        <v/>
      </c>
      <c r="AO66">
        <f>IF(AND(AO$4=1,AO16=0),1,0)</f>
        <v/>
      </c>
      <c r="AP66">
        <f>IF(AND(AP$4=1,AP16=0),1,0)</f>
        <v/>
      </c>
      <c r="AQ66">
        <f>IF(AND(AQ$4=1,AQ16=0),1,0)</f>
        <v/>
      </c>
      <c r="AR66">
        <f>IF(AND(AR$4=1,AR16=0),1,0)</f>
        <v/>
      </c>
      <c r="AS66">
        <f>IF(AND(AS$4=1,AS16=0),1,0)</f>
        <v/>
      </c>
      <c r="AT66">
        <f>IF(AND(AT$4=1,AT16=0),1,0)</f>
        <v/>
      </c>
      <c r="AU66">
        <f>IF(AND(AU$4=1,AU16=0),1,0)</f>
        <v/>
      </c>
      <c r="AV66">
        <f>IF(AND(AV$4=1,AV16=0),1,0)</f>
        <v/>
      </c>
      <c r="AW66">
        <f>IF(AND(AW$4=1,AW16=0),1,0)</f>
        <v/>
      </c>
      <c r="AX66">
        <f>IF(AND(AX$4=1,AX16=0),1,0)</f>
        <v/>
      </c>
      <c r="AY66">
        <f>IF(AND(AY$4=1,AY16=0),1,0)</f>
        <v/>
      </c>
      <c r="AZ66">
        <f>IF(AND(AZ$4=1,AZ16=0),1,0)</f>
        <v/>
      </c>
      <c r="BA66">
        <f>IF(AND(BA$4=1,BA16=0),1,0)</f>
        <v/>
      </c>
      <c r="BB66">
        <f>IF(AND(BB$4=1,BB16=0),1,0)</f>
        <v/>
      </c>
      <c r="BC66">
        <f>IF(AND(BC$4=1,BC16=0),1,0)</f>
        <v/>
      </c>
      <c r="BD66">
        <f>IF(AND(BD$4=1,BD16=0),1,0)</f>
        <v/>
      </c>
      <c r="BE66">
        <f>IF(AND(BE$4=1,BE16=0),1,0)</f>
        <v/>
      </c>
      <c r="BF66">
        <f>IF(AND(BF$4=1,BF16=0),1,0)</f>
        <v/>
      </c>
      <c r="BG66">
        <f>IF(AND(BG$4=1,BG16=0),1,0)</f>
        <v/>
      </c>
      <c r="BH66">
        <f>IF(AND(BH$4=1,BH16=0),1,0)</f>
        <v/>
      </c>
      <c r="BI66">
        <f>IF(AND(BI$4=1,BI16=0),1,0)</f>
        <v/>
      </c>
      <c r="BJ66">
        <f>IF(AND(BJ$4=1,BJ16=0),1,0)</f>
        <v/>
      </c>
      <c r="BK66">
        <f>IF(AND(BK$4=1,BK16=0),1,0)</f>
        <v/>
      </c>
      <c r="BL66">
        <f>IF(AND(BL$4=1,BL16=0),1,0)</f>
        <v/>
      </c>
      <c r="BM66">
        <f>IF(AND(BM$4=1,BM16=0),1,0)</f>
        <v/>
      </c>
      <c r="BN66">
        <f>IF(AND(BN$4=1,BN16=0),1,0)</f>
        <v/>
      </c>
      <c r="BO66">
        <f>IF(AND(BO$4=1,BO16=0),1,0)</f>
        <v/>
      </c>
      <c r="BP66">
        <f>IF(AND(BP$4=1,BP16=0),1,0)</f>
        <v/>
      </c>
      <c r="BQ66">
        <f>IF(AND(BQ$4=1,BQ16=0),1,0)</f>
        <v/>
      </c>
      <c r="BR66">
        <f>IF(AND(BR$4=1,BR16=0),1,0)</f>
        <v/>
      </c>
      <c r="BS66">
        <f>IF(AND(BS$4=1,BS16=0),1,0)</f>
        <v/>
      </c>
      <c r="BT66">
        <f>IF(AND(BT$4=1,BT16=0),1,0)</f>
        <v/>
      </c>
      <c r="BU66">
        <f>IF(AND(BU$4=1,BU16=0),1,0)</f>
        <v/>
      </c>
      <c r="BV66">
        <f>IF(AND(BV$4=1,BV16=0),1,0)</f>
        <v/>
      </c>
      <c r="BW66">
        <f>IF(AND(BW$4=1,BW16=0),1,0)</f>
        <v/>
      </c>
      <c r="BX66">
        <f>IF(AND(BX$4=1,BX16=0),1,0)</f>
        <v/>
      </c>
      <c r="BY66">
        <f>IF(AND(BY$4=1,BY16=0),1,0)</f>
        <v/>
      </c>
      <c r="BZ66">
        <f>IF(AND(BZ$4=1,BZ16=0),1,0)</f>
        <v/>
      </c>
      <c r="CA66">
        <f>IF(AND(CA$4=1,CA16=0),1,0)</f>
        <v/>
      </c>
      <c r="CB66">
        <f>IF(AND(CB$4=1,CB16=0),1,0)</f>
        <v/>
      </c>
      <c r="CC66">
        <f>IF(AND(CC$4=1,CC16=0),1,0)</f>
        <v/>
      </c>
      <c r="CD66">
        <f>IF(AND(CD$4=1,CD16=0),1,0)</f>
        <v/>
      </c>
      <c r="CE66">
        <f>IF(AND(CE$4=1,CE16=0),1,0)</f>
        <v/>
      </c>
      <c r="CF66">
        <f>IF(AND(CF$4=1,CF16=0),1,0)</f>
        <v/>
      </c>
      <c r="CG66">
        <f>IF(AND(CG$4=1,CG16=0),1,0)</f>
        <v/>
      </c>
      <c r="CH66">
        <f>IF(AND(CH$4=1,CH16=0),1,0)</f>
        <v/>
      </c>
      <c r="CI66">
        <f>IF(AND(CI$4=1,CI16=0),1,0)</f>
        <v/>
      </c>
      <c r="CJ66">
        <f>IF(AND(CJ$4=1,CJ16=0),1,0)</f>
        <v/>
      </c>
      <c r="CK66">
        <f>IF(AND(CK$4=1,CK16=0),1,0)</f>
        <v/>
      </c>
      <c r="CL66">
        <f>IF(AND(CL$4=1,CL16=0),1,0)</f>
        <v/>
      </c>
      <c r="CM66">
        <f>IF(AND(CM$4=1,CM16=0),1,0)</f>
        <v/>
      </c>
      <c r="CN66">
        <f>IF(AND(CN$4=1,CN16=0),1,0)</f>
        <v/>
      </c>
      <c r="CO66">
        <f>IF(AND(CO$4=1,CO16=0),1,0)</f>
        <v/>
      </c>
      <c r="CP66">
        <f>IF(AND(CP$4=1,CP16=0),1,0)</f>
        <v/>
      </c>
      <c r="CQ66">
        <f>IF(AND(CQ$4=1,CQ16=0),1,0)</f>
        <v/>
      </c>
      <c r="CR66">
        <f>IF(AND(CR$4=1,CR16=0),1,0)</f>
        <v/>
      </c>
      <c r="CS66">
        <f>IF(AND(CS$4=1,CS16=0),1,0)</f>
        <v/>
      </c>
      <c r="CT66">
        <f>IF(AND(CT$4=1,CT16=0),1,0)</f>
        <v/>
      </c>
      <c r="CU66">
        <f>IF(AND(CU$4=1,CU16=0),1,0)</f>
        <v/>
      </c>
      <c r="CV66">
        <f>IF(AND(CV$4=1,CV16=0),1,0)</f>
        <v/>
      </c>
      <c r="CW66">
        <f>IF(AND(CW$4=1,CW16=0),1,0)</f>
        <v/>
      </c>
      <c r="CX66">
        <f>IF(AND(CX$4=1,CX16=0),1,0)</f>
        <v/>
      </c>
      <c r="CY66">
        <f>IF(AND(CY$4=1,CY16=0),1,0)</f>
        <v/>
      </c>
      <c r="CZ66">
        <f>IF(AND(CZ$4=1,CZ16=0),1,0)</f>
        <v/>
      </c>
      <c r="DA66">
        <f>IF(AND(DA$4=1,DA16=0),1,0)</f>
        <v/>
      </c>
      <c r="DB66">
        <f>IF(AND(DB$4=1,DB16=0),1,0)</f>
        <v/>
      </c>
      <c r="DC66">
        <f>IF(AND(DC$4=1,DC16=0),1,0)</f>
        <v/>
      </c>
      <c r="DD66">
        <f>IF(AND(DD$4=1,DD16=0),1,0)</f>
        <v/>
      </c>
      <c r="DE66">
        <f>IF(AND(DE$4=1,DE16=0),1,0)</f>
        <v/>
      </c>
      <c r="DF66">
        <f>IF(AND(DF$4=1,DF16=0),1,0)</f>
        <v/>
      </c>
      <c r="DG66">
        <f>IF(AND(DG$4=1,DG16=0),1,0)</f>
        <v/>
      </c>
      <c r="DH66">
        <f>IF(AND(DH$4=1,DH16=0),1,0)</f>
        <v/>
      </c>
      <c r="DI66">
        <f>IF(AND(DI$4=1,DI16=0),1,0)</f>
        <v/>
      </c>
      <c r="DJ66">
        <f>IF(AND(DJ$4=1,DJ16=0),1,0)</f>
        <v/>
      </c>
      <c r="DK66">
        <f>IF(AND(DK$4=1,DK16=0),1,0)</f>
        <v/>
      </c>
      <c r="DL66">
        <f>IF(AND(DL$4=1,DL16=0),1,0)</f>
        <v/>
      </c>
      <c r="DM66">
        <f>IF(AND(DM$4=1,DM16=0),1,0)</f>
        <v/>
      </c>
      <c r="DN66">
        <f>IF(AND(DN$4=1,DN16=0),1,0)</f>
        <v/>
      </c>
      <c r="DO66">
        <f>IF(AND(DO$4=1,DO16=0),1,0)</f>
        <v/>
      </c>
      <c r="DP66">
        <f>IF(AND(DP$4=1,DP16=0),1,0)</f>
        <v/>
      </c>
      <c r="DQ66">
        <f>IF(AND(DQ$4=1,DQ16=0),1,0)</f>
        <v/>
      </c>
      <c r="DR66">
        <f>IF(AND(DR$4=1,DR16=0),1,0)</f>
        <v/>
      </c>
      <c r="DS66">
        <f>IF(AND(DS$4=1,DS16=0),1,0)</f>
        <v/>
      </c>
    </row>
    <row r="67">
      <c r="A67" t="n">
        <v>8</v>
      </c>
      <c r="D67">
        <f>IF(AND(D$4=1,D17=0),1,0)</f>
        <v/>
      </c>
      <c r="E67">
        <f>IF(AND(E$4=1,E17=0),1,0)</f>
        <v/>
      </c>
      <c r="F67">
        <f>IF(AND(F$4=1,F17=0),1,0)</f>
        <v/>
      </c>
      <c r="G67">
        <f>IF(AND(G$4=1,G17=0),1,0)</f>
        <v/>
      </c>
      <c r="H67">
        <f>IF(AND(H$4=1,H17=0),1,0)</f>
        <v/>
      </c>
      <c r="I67">
        <f>IF(AND(I$4=1,I17=0),1,0)</f>
        <v/>
      </c>
      <c r="J67">
        <f>IF(AND(J$4=1,J17=0),1,0)</f>
        <v/>
      </c>
      <c r="K67">
        <f>IF(AND(K$4=1,K17=0),1,0)</f>
        <v/>
      </c>
      <c r="L67">
        <f>IF(AND(L$4=1,L17=0),1,0)</f>
        <v/>
      </c>
      <c r="M67">
        <f>IF(AND(M$4=1,M17=0),1,0)</f>
        <v/>
      </c>
      <c r="N67">
        <f>IF(AND(N$4=1,N17=0),1,0)</f>
        <v/>
      </c>
      <c r="O67">
        <f>IF(AND(O$4=1,O17=0),1,0)</f>
        <v/>
      </c>
      <c r="P67">
        <f>IF(AND(P$4=1,P17=0),1,0)</f>
        <v/>
      </c>
      <c r="Q67">
        <f>IF(AND(Q$4=1,Q17=0),1,0)</f>
        <v/>
      </c>
      <c r="R67">
        <f>IF(AND(R$4=1,R17=0),1,0)</f>
        <v/>
      </c>
      <c r="S67">
        <f>IF(AND(S$4=1,S17=0),1,0)</f>
        <v/>
      </c>
      <c r="T67">
        <f>IF(AND(T$4=1,T17=0),1,0)</f>
        <v/>
      </c>
      <c r="U67">
        <f>IF(AND(U$4=1,U17=0),1,0)</f>
        <v/>
      </c>
      <c r="V67">
        <f>IF(AND(V$4=1,V17=0),1,0)</f>
        <v/>
      </c>
      <c r="W67">
        <f>IF(AND(W$4=1,W17=0),1,0)</f>
        <v/>
      </c>
      <c r="X67">
        <f>IF(AND(X$4=1,X17=0),1,0)</f>
        <v/>
      </c>
      <c r="Y67">
        <f>IF(AND(Y$4=1,Y17=0),1,0)</f>
        <v/>
      </c>
      <c r="Z67">
        <f>IF(AND(Z$4=1,Z17=0),1,0)</f>
        <v/>
      </c>
      <c r="AA67">
        <f>IF(AND(AA$4=1,AA17=0),1,0)</f>
        <v/>
      </c>
      <c r="AB67">
        <f>IF(AND(AB$4=1,AB17=0),1,0)</f>
        <v/>
      </c>
      <c r="AC67">
        <f>IF(AND(AC$4=1,AC17=0),1,0)</f>
        <v/>
      </c>
      <c r="AD67">
        <f>IF(AND(AD$4=1,AD17=0),1,0)</f>
        <v/>
      </c>
      <c r="AE67">
        <f>IF(AND(AE$4=1,AE17=0),1,0)</f>
        <v/>
      </c>
      <c r="AF67">
        <f>IF(AND(AF$4=1,AF17=0),1,0)</f>
        <v/>
      </c>
      <c r="AG67">
        <f>IF(AND(AG$4=1,AG17=0),1,0)</f>
        <v/>
      </c>
      <c r="AH67">
        <f>IF(AND(AH$4=1,AH17=0),1,0)</f>
        <v/>
      </c>
      <c r="AI67">
        <f>IF(AND(AI$4=1,AI17=0),1,0)</f>
        <v/>
      </c>
      <c r="AJ67">
        <f>IF(AND(AJ$4=1,AJ17=0),1,0)</f>
        <v/>
      </c>
      <c r="AK67">
        <f>IF(AND(AK$4=1,AK17=0),1,0)</f>
        <v/>
      </c>
      <c r="AL67">
        <f>IF(AND(AL$4=1,AL17=0),1,0)</f>
        <v/>
      </c>
      <c r="AM67">
        <f>IF(AND(AM$4=1,AM17=0),1,0)</f>
        <v/>
      </c>
      <c r="AN67">
        <f>IF(AND(AN$4=1,AN17=0),1,0)</f>
        <v/>
      </c>
      <c r="AO67">
        <f>IF(AND(AO$4=1,AO17=0),1,0)</f>
        <v/>
      </c>
      <c r="AP67">
        <f>IF(AND(AP$4=1,AP17=0),1,0)</f>
        <v/>
      </c>
      <c r="AQ67">
        <f>IF(AND(AQ$4=1,AQ17=0),1,0)</f>
        <v/>
      </c>
      <c r="AR67">
        <f>IF(AND(AR$4=1,AR17=0),1,0)</f>
        <v/>
      </c>
      <c r="AS67">
        <f>IF(AND(AS$4=1,AS17=0),1,0)</f>
        <v/>
      </c>
      <c r="AT67">
        <f>IF(AND(AT$4=1,AT17=0),1,0)</f>
        <v/>
      </c>
      <c r="AU67">
        <f>IF(AND(AU$4=1,AU17=0),1,0)</f>
        <v/>
      </c>
      <c r="AV67">
        <f>IF(AND(AV$4=1,AV17=0),1,0)</f>
        <v/>
      </c>
      <c r="AW67">
        <f>IF(AND(AW$4=1,AW17=0),1,0)</f>
        <v/>
      </c>
      <c r="AX67">
        <f>IF(AND(AX$4=1,AX17=0),1,0)</f>
        <v/>
      </c>
      <c r="AY67">
        <f>IF(AND(AY$4=1,AY17=0),1,0)</f>
        <v/>
      </c>
      <c r="AZ67">
        <f>IF(AND(AZ$4=1,AZ17=0),1,0)</f>
        <v/>
      </c>
      <c r="BA67">
        <f>IF(AND(BA$4=1,BA17=0),1,0)</f>
        <v/>
      </c>
      <c r="BB67">
        <f>IF(AND(BB$4=1,BB17=0),1,0)</f>
        <v/>
      </c>
      <c r="BC67">
        <f>IF(AND(BC$4=1,BC17=0),1,0)</f>
        <v/>
      </c>
      <c r="BD67">
        <f>IF(AND(BD$4=1,BD17=0),1,0)</f>
        <v/>
      </c>
      <c r="BE67">
        <f>IF(AND(BE$4=1,BE17=0),1,0)</f>
        <v/>
      </c>
      <c r="BF67">
        <f>IF(AND(BF$4=1,BF17=0),1,0)</f>
        <v/>
      </c>
      <c r="BG67">
        <f>IF(AND(BG$4=1,BG17=0),1,0)</f>
        <v/>
      </c>
      <c r="BH67">
        <f>IF(AND(BH$4=1,BH17=0),1,0)</f>
        <v/>
      </c>
      <c r="BI67">
        <f>IF(AND(BI$4=1,BI17=0),1,0)</f>
        <v/>
      </c>
      <c r="BJ67">
        <f>IF(AND(BJ$4=1,BJ17=0),1,0)</f>
        <v/>
      </c>
      <c r="BK67">
        <f>IF(AND(BK$4=1,BK17=0),1,0)</f>
        <v/>
      </c>
      <c r="BL67">
        <f>IF(AND(BL$4=1,BL17=0),1,0)</f>
        <v/>
      </c>
      <c r="BM67">
        <f>IF(AND(BM$4=1,BM17=0),1,0)</f>
        <v/>
      </c>
      <c r="BN67">
        <f>IF(AND(BN$4=1,BN17=0),1,0)</f>
        <v/>
      </c>
      <c r="BO67">
        <f>IF(AND(BO$4=1,BO17=0),1,0)</f>
        <v/>
      </c>
      <c r="BP67">
        <f>IF(AND(BP$4=1,BP17=0),1,0)</f>
        <v/>
      </c>
      <c r="BQ67">
        <f>IF(AND(BQ$4=1,BQ17=0),1,0)</f>
        <v/>
      </c>
      <c r="BR67">
        <f>IF(AND(BR$4=1,BR17=0),1,0)</f>
        <v/>
      </c>
      <c r="BS67">
        <f>IF(AND(BS$4=1,BS17=0),1,0)</f>
        <v/>
      </c>
      <c r="BT67">
        <f>IF(AND(BT$4=1,BT17=0),1,0)</f>
        <v/>
      </c>
      <c r="BU67">
        <f>IF(AND(BU$4=1,BU17=0),1,0)</f>
        <v/>
      </c>
      <c r="BV67">
        <f>IF(AND(BV$4=1,BV17=0),1,0)</f>
        <v/>
      </c>
      <c r="BW67">
        <f>IF(AND(BW$4=1,BW17=0),1,0)</f>
        <v/>
      </c>
      <c r="BX67">
        <f>IF(AND(BX$4=1,BX17=0),1,0)</f>
        <v/>
      </c>
      <c r="BY67">
        <f>IF(AND(BY$4=1,BY17=0),1,0)</f>
        <v/>
      </c>
      <c r="BZ67">
        <f>IF(AND(BZ$4=1,BZ17=0),1,0)</f>
        <v/>
      </c>
      <c r="CA67">
        <f>IF(AND(CA$4=1,CA17=0),1,0)</f>
        <v/>
      </c>
      <c r="CB67">
        <f>IF(AND(CB$4=1,CB17=0),1,0)</f>
        <v/>
      </c>
      <c r="CC67">
        <f>IF(AND(CC$4=1,CC17=0),1,0)</f>
        <v/>
      </c>
      <c r="CD67">
        <f>IF(AND(CD$4=1,CD17=0),1,0)</f>
        <v/>
      </c>
      <c r="CE67">
        <f>IF(AND(CE$4=1,CE17=0),1,0)</f>
        <v/>
      </c>
      <c r="CF67">
        <f>IF(AND(CF$4=1,CF17=0),1,0)</f>
        <v/>
      </c>
      <c r="CG67">
        <f>IF(AND(CG$4=1,CG17=0),1,0)</f>
        <v/>
      </c>
      <c r="CH67">
        <f>IF(AND(CH$4=1,CH17=0),1,0)</f>
        <v/>
      </c>
      <c r="CI67">
        <f>IF(AND(CI$4=1,CI17=0),1,0)</f>
        <v/>
      </c>
      <c r="CJ67">
        <f>IF(AND(CJ$4=1,CJ17=0),1,0)</f>
        <v/>
      </c>
      <c r="CK67">
        <f>IF(AND(CK$4=1,CK17=0),1,0)</f>
        <v/>
      </c>
      <c r="CL67">
        <f>IF(AND(CL$4=1,CL17=0),1,0)</f>
        <v/>
      </c>
      <c r="CM67">
        <f>IF(AND(CM$4=1,CM17=0),1,0)</f>
        <v/>
      </c>
      <c r="CN67">
        <f>IF(AND(CN$4=1,CN17=0),1,0)</f>
        <v/>
      </c>
      <c r="CO67">
        <f>IF(AND(CO$4=1,CO17=0),1,0)</f>
        <v/>
      </c>
      <c r="CP67">
        <f>IF(AND(CP$4=1,CP17=0),1,0)</f>
        <v/>
      </c>
      <c r="CQ67">
        <f>IF(AND(CQ$4=1,CQ17=0),1,0)</f>
        <v/>
      </c>
      <c r="CR67">
        <f>IF(AND(CR$4=1,CR17=0),1,0)</f>
        <v/>
      </c>
      <c r="CS67">
        <f>IF(AND(CS$4=1,CS17=0),1,0)</f>
        <v/>
      </c>
      <c r="CT67">
        <f>IF(AND(CT$4=1,CT17=0),1,0)</f>
        <v/>
      </c>
      <c r="CU67">
        <f>IF(AND(CU$4=1,CU17=0),1,0)</f>
        <v/>
      </c>
      <c r="CV67">
        <f>IF(AND(CV$4=1,CV17=0),1,0)</f>
        <v/>
      </c>
      <c r="CW67">
        <f>IF(AND(CW$4=1,CW17=0),1,0)</f>
        <v/>
      </c>
      <c r="CX67">
        <f>IF(AND(CX$4=1,CX17=0),1,0)</f>
        <v/>
      </c>
      <c r="CY67">
        <f>IF(AND(CY$4=1,CY17=0),1,0)</f>
        <v/>
      </c>
      <c r="CZ67">
        <f>IF(AND(CZ$4=1,CZ17=0),1,0)</f>
        <v/>
      </c>
      <c r="DA67">
        <f>IF(AND(DA$4=1,DA17=0),1,0)</f>
        <v/>
      </c>
      <c r="DB67">
        <f>IF(AND(DB$4=1,DB17=0),1,0)</f>
        <v/>
      </c>
      <c r="DC67">
        <f>IF(AND(DC$4=1,DC17=0),1,0)</f>
        <v/>
      </c>
      <c r="DD67">
        <f>IF(AND(DD$4=1,DD17=0),1,0)</f>
        <v/>
      </c>
      <c r="DE67">
        <f>IF(AND(DE$4=1,DE17=0),1,0)</f>
        <v/>
      </c>
      <c r="DF67">
        <f>IF(AND(DF$4=1,DF17=0),1,0)</f>
        <v/>
      </c>
      <c r="DG67">
        <f>IF(AND(DG$4=1,DG17=0),1,0)</f>
        <v/>
      </c>
      <c r="DH67">
        <f>IF(AND(DH$4=1,DH17=0),1,0)</f>
        <v/>
      </c>
      <c r="DI67">
        <f>IF(AND(DI$4=1,DI17=0),1,0)</f>
        <v/>
      </c>
      <c r="DJ67">
        <f>IF(AND(DJ$4=1,DJ17=0),1,0)</f>
        <v/>
      </c>
      <c r="DK67">
        <f>IF(AND(DK$4=1,DK17=0),1,0)</f>
        <v/>
      </c>
      <c r="DL67">
        <f>IF(AND(DL$4=1,DL17=0),1,0)</f>
        <v/>
      </c>
      <c r="DM67">
        <f>IF(AND(DM$4=1,DM17=0),1,0)</f>
        <v/>
      </c>
      <c r="DN67">
        <f>IF(AND(DN$4=1,DN17=0),1,0)</f>
        <v/>
      </c>
      <c r="DO67">
        <f>IF(AND(DO$4=1,DO17=0),1,0)</f>
        <v/>
      </c>
      <c r="DP67">
        <f>IF(AND(DP$4=1,DP17=0),1,0)</f>
        <v/>
      </c>
      <c r="DQ67">
        <f>IF(AND(DQ$4=1,DQ17=0),1,0)</f>
        <v/>
      </c>
      <c r="DR67">
        <f>IF(AND(DR$4=1,DR17=0),1,0)</f>
        <v/>
      </c>
      <c r="DS67">
        <f>IF(AND(DS$4=1,DS17=0),1,0)</f>
        <v/>
      </c>
    </row>
    <row r="68">
      <c r="A68" t="n">
        <v>9</v>
      </c>
      <c r="D68">
        <f>IF(AND(D$4=1,D18=0),1,0)</f>
        <v/>
      </c>
      <c r="E68">
        <f>IF(AND(E$4=1,E18=0),1,0)</f>
        <v/>
      </c>
      <c r="F68">
        <f>IF(AND(F$4=1,F18=0),1,0)</f>
        <v/>
      </c>
      <c r="G68">
        <f>IF(AND(G$4=1,G18=0),1,0)</f>
        <v/>
      </c>
      <c r="H68">
        <f>IF(AND(H$4=1,H18=0),1,0)</f>
        <v/>
      </c>
      <c r="I68">
        <f>IF(AND(I$4=1,I18=0),1,0)</f>
        <v/>
      </c>
      <c r="J68">
        <f>IF(AND(J$4=1,J18=0),1,0)</f>
        <v/>
      </c>
      <c r="K68">
        <f>IF(AND(K$4=1,K18=0),1,0)</f>
        <v/>
      </c>
      <c r="L68">
        <f>IF(AND(L$4=1,L18=0),1,0)</f>
        <v/>
      </c>
      <c r="M68">
        <f>IF(AND(M$4=1,M18=0),1,0)</f>
        <v/>
      </c>
      <c r="N68">
        <f>IF(AND(N$4=1,N18=0),1,0)</f>
        <v/>
      </c>
      <c r="O68">
        <f>IF(AND(O$4=1,O18=0),1,0)</f>
        <v/>
      </c>
      <c r="P68">
        <f>IF(AND(P$4=1,P18=0),1,0)</f>
        <v/>
      </c>
      <c r="Q68">
        <f>IF(AND(Q$4=1,Q18=0),1,0)</f>
        <v/>
      </c>
      <c r="R68">
        <f>IF(AND(R$4=1,R18=0),1,0)</f>
        <v/>
      </c>
      <c r="S68">
        <f>IF(AND(S$4=1,S18=0),1,0)</f>
        <v/>
      </c>
      <c r="T68">
        <f>IF(AND(T$4=1,T18=0),1,0)</f>
        <v/>
      </c>
      <c r="U68">
        <f>IF(AND(U$4=1,U18=0),1,0)</f>
        <v/>
      </c>
      <c r="V68">
        <f>IF(AND(V$4=1,V18=0),1,0)</f>
        <v/>
      </c>
      <c r="W68">
        <f>IF(AND(W$4=1,W18=0),1,0)</f>
        <v/>
      </c>
      <c r="X68">
        <f>IF(AND(X$4=1,X18=0),1,0)</f>
        <v/>
      </c>
      <c r="Y68">
        <f>IF(AND(Y$4=1,Y18=0),1,0)</f>
        <v/>
      </c>
      <c r="Z68">
        <f>IF(AND(Z$4=1,Z18=0),1,0)</f>
        <v/>
      </c>
      <c r="AA68">
        <f>IF(AND(AA$4=1,AA18=0),1,0)</f>
        <v/>
      </c>
      <c r="AB68">
        <f>IF(AND(AB$4=1,AB18=0),1,0)</f>
        <v/>
      </c>
      <c r="AC68">
        <f>IF(AND(AC$4=1,AC18=0),1,0)</f>
        <v/>
      </c>
      <c r="AD68">
        <f>IF(AND(AD$4=1,AD18=0),1,0)</f>
        <v/>
      </c>
      <c r="AE68">
        <f>IF(AND(AE$4=1,AE18=0),1,0)</f>
        <v/>
      </c>
      <c r="AF68">
        <f>IF(AND(AF$4=1,AF18=0),1,0)</f>
        <v/>
      </c>
      <c r="AG68">
        <f>IF(AND(AG$4=1,AG18=0),1,0)</f>
        <v/>
      </c>
      <c r="AH68">
        <f>IF(AND(AH$4=1,AH18=0),1,0)</f>
        <v/>
      </c>
      <c r="AI68">
        <f>IF(AND(AI$4=1,AI18=0),1,0)</f>
        <v/>
      </c>
      <c r="AJ68">
        <f>IF(AND(AJ$4=1,AJ18=0),1,0)</f>
        <v/>
      </c>
      <c r="AK68">
        <f>IF(AND(AK$4=1,AK18=0),1,0)</f>
        <v/>
      </c>
      <c r="AL68">
        <f>IF(AND(AL$4=1,AL18=0),1,0)</f>
        <v/>
      </c>
      <c r="AM68">
        <f>IF(AND(AM$4=1,AM18=0),1,0)</f>
        <v/>
      </c>
      <c r="AN68">
        <f>IF(AND(AN$4=1,AN18=0),1,0)</f>
        <v/>
      </c>
      <c r="AO68">
        <f>IF(AND(AO$4=1,AO18=0),1,0)</f>
        <v/>
      </c>
      <c r="AP68">
        <f>IF(AND(AP$4=1,AP18=0),1,0)</f>
        <v/>
      </c>
      <c r="AQ68">
        <f>IF(AND(AQ$4=1,AQ18=0),1,0)</f>
        <v/>
      </c>
      <c r="AR68">
        <f>IF(AND(AR$4=1,AR18=0),1,0)</f>
        <v/>
      </c>
      <c r="AS68">
        <f>IF(AND(AS$4=1,AS18=0),1,0)</f>
        <v/>
      </c>
      <c r="AT68">
        <f>IF(AND(AT$4=1,AT18=0),1,0)</f>
        <v/>
      </c>
      <c r="AU68">
        <f>IF(AND(AU$4=1,AU18=0),1,0)</f>
        <v/>
      </c>
      <c r="AV68">
        <f>IF(AND(AV$4=1,AV18=0),1,0)</f>
        <v/>
      </c>
      <c r="AW68">
        <f>IF(AND(AW$4=1,AW18=0),1,0)</f>
        <v/>
      </c>
      <c r="AX68">
        <f>IF(AND(AX$4=1,AX18=0),1,0)</f>
        <v/>
      </c>
      <c r="AY68">
        <f>IF(AND(AY$4=1,AY18=0),1,0)</f>
        <v/>
      </c>
      <c r="AZ68">
        <f>IF(AND(AZ$4=1,AZ18=0),1,0)</f>
        <v/>
      </c>
      <c r="BA68">
        <f>IF(AND(BA$4=1,BA18=0),1,0)</f>
        <v/>
      </c>
      <c r="BB68">
        <f>IF(AND(BB$4=1,BB18=0),1,0)</f>
        <v/>
      </c>
      <c r="BC68">
        <f>IF(AND(BC$4=1,BC18=0),1,0)</f>
        <v/>
      </c>
      <c r="BD68">
        <f>IF(AND(BD$4=1,BD18=0),1,0)</f>
        <v/>
      </c>
      <c r="BE68">
        <f>IF(AND(BE$4=1,BE18=0),1,0)</f>
        <v/>
      </c>
      <c r="BF68">
        <f>IF(AND(BF$4=1,BF18=0),1,0)</f>
        <v/>
      </c>
      <c r="BG68">
        <f>IF(AND(BG$4=1,BG18=0),1,0)</f>
        <v/>
      </c>
      <c r="BH68">
        <f>IF(AND(BH$4=1,BH18=0),1,0)</f>
        <v/>
      </c>
      <c r="BI68">
        <f>IF(AND(BI$4=1,BI18=0),1,0)</f>
        <v/>
      </c>
      <c r="BJ68">
        <f>IF(AND(BJ$4=1,BJ18=0),1,0)</f>
        <v/>
      </c>
      <c r="BK68">
        <f>IF(AND(BK$4=1,BK18=0),1,0)</f>
        <v/>
      </c>
      <c r="BL68">
        <f>IF(AND(BL$4=1,BL18=0),1,0)</f>
        <v/>
      </c>
      <c r="BM68">
        <f>IF(AND(BM$4=1,BM18=0),1,0)</f>
        <v/>
      </c>
      <c r="BN68">
        <f>IF(AND(BN$4=1,BN18=0),1,0)</f>
        <v/>
      </c>
      <c r="BO68">
        <f>IF(AND(BO$4=1,BO18=0),1,0)</f>
        <v/>
      </c>
      <c r="BP68">
        <f>IF(AND(BP$4=1,BP18=0),1,0)</f>
        <v/>
      </c>
      <c r="BQ68">
        <f>IF(AND(BQ$4=1,BQ18=0),1,0)</f>
        <v/>
      </c>
      <c r="BR68">
        <f>IF(AND(BR$4=1,BR18=0),1,0)</f>
        <v/>
      </c>
      <c r="BS68">
        <f>IF(AND(BS$4=1,BS18=0),1,0)</f>
        <v/>
      </c>
      <c r="BT68">
        <f>IF(AND(BT$4=1,BT18=0),1,0)</f>
        <v/>
      </c>
      <c r="BU68">
        <f>IF(AND(BU$4=1,BU18=0),1,0)</f>
        <v/>
      </c>
      <c r="BV68">
        <f>IF(AND(BV$4=1,BV18=0),1,0)</f>
        <v/>
      </c>
      <c r="BW68">
        <f>IF(AND(BW$4=1,BW18=0),1,0)</f>
        <v/>
      </c>
      <c r="BX68">
        <f>IF(AND(BX$4=1,BX18=0),1,0)</f>
        <v/>
      </c>
      <c r="BY68">
        <f>IF(AND(BY$4=1,BY18=0),1,0)</f>
        <v/>
      </c>
      <c r="BZ68">
        <f>IF(AND(BZ$4=1,BZ18=0),1,0)</f>
        <v/>
      </c>
      <c r="CA68">
        <f>IF(AND(CA$4=1,CA18=0),1,0)</f>
        <v/>
      </c>
      <c r="CB68">
        <f>IF(AND(CB$4=1,CB18=0),1,0)</f>
        <v/>
      </c>
      <c r="CC68">
        <f>IF(AND(CC$4=1,CC18=0),1,0)</f>
        <v/>
      </c>
      <c r="CD68">
        <f>IF(AND(CD$4=1,CD18=0),1,0)</f>
        <v/>
      </c>
      <c r="CE68">
        <f>IF(AND(CE$4=1,CE18=0),1,0)</f>
        <v/>
      </c>
      <c r="CF68">
        <f>IF(AND(CF$4=1,CF18=0),1,0)</f>
        <v/>
      </c>
      <c r="CG68">
        <f>IF(AND(CG$4=1,CG18=0),1,0)</f>
        <v/>
      </c>
      <c r="CH68">
        <f>IF(AND(CH$4=1,CH18=0),1,0)</f>
        <v/>
      </c>
      <c r="CI68">
        <f>IF(AND(CI$4=1,CI18=0),1,0)</f>
        <v/>
      </c>
      <c r="CJ68">
        <f>IF(AND(CJ$4=1,CJ18=0),1,0)</f>
        <v/>
      </c>
      <c r="CK68">
        <f>IF(AND(CK$4=1,CK18=0),1,0)</f>
        <v/>
      </c>
      <c r="CL68">
        <f>IF(AND(CL$4=1,CL18=0),1,0)</f>
        <v/>
      </c>
      <c r="CM68">
        <f>IF(AND(CM$4=1,CM18=0),1,0)</f>
        <v/>
      </c>
      <c r="CN68">
        <f>IF(AND(CN$4=1,CN18=0),1,0)</f>
        <v/>
      </c>
      <c r="CO68">
        <f>IF(AND(CO$4=1,CO18=0),1,0)</f>
        <v/>
      </c>
      <c r="CP68">
        <f>IF(AND(CP$4=1,CP18=0),1,0)</f>
        <v/>
      </c>
      <c r="CQ68">
        <f>IF(AND(CQ$4=1,CQ18=0),1,0)</f>
        <v/>
      </c>
      <c r="CR68">
        <f>IF(AND(CR$4=1,CR18=0),1,0)</f>
        <v/>
      </c>
      <c r="CS68">
        <f>IF(AND(CS$4=1,CS18=0),1,0)</f>
        <v/>
      </c>
      <c r="CT68">
        <f>IF(AND(CT$4=1,CT18=0),1,0)</f>
        <v/>
      </c>
      <c r="CU68">
        <f>IF(AND(CU$4=1,CU18=0),1,0)</f>
        <v/>
      </c>
      <c r="CV68">
        <f>IF(AND(CV$4=1,CV18=0),1,0)</f>
        <v/>
      </c>
      <c r="CW68">
        <f>IF(AND(CW$4=1,CW18=0),1,0)</f>
        <v/>
      </c>
      <c r="CX68">
        <f>IF(AND(CX$4=1,CX18=0),1,0)</f>
        <v/>
      </c>
      <c r="CY68">
        <f>IF(AND(CY$4=1,CY18=0),1,0)</f>
        <v/>
      </c>
      <c r="CZ68">
        <f>IF(AND(CZ$4=1,CZ18=0),1,0)</f>
        <v/>
      </c>
      <c r="DA68">
        <f>IF(AND(DA$4=1,DA18=0),1,0)</f>
        <v/>
      </c>
      <c r="DB68">
        <f>IF(AND(DB$4=1,DB18=0),1,0)</f>
        <v/>
      </c>
      <c r="DC68">
        <f>IF(AND(DC$4=1,DC18=0),1,0)</f>
        <v/>
      </c>
      <c r="DD68">
        <f>IF(AND(DD$4=1,DD18=0),1,0)</f>
        <v/>
      </c>
      <c r="DE68">
        <f>IF(AND(DE$4=1,DE18=0),1,0)</f>
        <v/>
      </c>
      <c r="DF68">
        <f>IF(AND(DF$4=1,DF18=0),1,0)</f>
        <v/>
      </c>
      <c r="DG68">
        <f>IF(AND(DG$4=1,DG18=0),1,0)</f>
        <v/>
      </c>
      <c r="DH68">
        <f>IF(AND(DH$4=1,DH18=0),1,0)</f>
        <v/>
      </c>
      <c r="DI68">
        <f>IF(AND(DI$4=1,DI18=0),1,0)</f>
        <v/>
      </c>
      <c r="DJ68">
        <f>IF(AND(DJ$4=1,DJ18=0),1,0)</f>
        <v/>
      </c>
      <c r="DK68">
        <f>IF(AND(DK$4=1,DK18=0),1,0)</f>
        <v/>
      </c>
      <c r="DL68">
        <f>IF(AND(DL$4=1,DL18=0),1,0)</f>
        <v/>
      </c>
      <c r="DM68">
        <f>IF(AND(DM$4=1,DM18=0),1,0)</f>
        <v/>
      </c>
      <c r="DN68">
        <f>IF(AND(DN$4=1,DN18=0),1,0)</f>
        <v/>
      </c>
      <c r="DO68">
        <f>IF(AND(DO$4=1,DO18=0),1,0)</f>
        <v/>
      </c>
      <c r="DP68">
        <f>IF(AND(DP$4=1,DP18=0),1,0)</f>
        <v/>
      </c>
      <c r="DQ68">
        <f>IF(AND(DQ$4=1,DQ18=0),1,0)</f>
        <v/>
      </c>
      <c r="DR68">
        <f>IF(AND(DR$4=1,DR18=0),1,0)</f>
        <v/>
      </c>
      <c r="DS68">
        <f>IF(AND(DS$4=1,DS18=0),1,0)</f>
        <v/>
      </c>
    </row>
    <row r="69">
      <c r="A69" t="n">
        <v>10</v>
      </c>
      <c r="D69">
        <f>IF(AND(D$4=1,D19=0),1,0)</f>
        <v/>
      </c>
      <c r="E69">
        <f>IF(AND(E$4=1,E19=0),1,0)</f>
        <v/>
      </c>
      <c r="F69">
        <f>IF(AND(F$4=1,F19=0),1,0)</f>
        <v/>
      </c>
      <c r="G69">
        <f>IF(AND(G$4=1,G19=0),1,0)</f>
        <v/>
      </c>
      <c r="H69">
        <f>IF(AND(H$4=1,H19=0),1,0)</f>
        <v/>
      </c>
      <c r="I69">
        <f>IF(AND(I$4=1,I19=0),1,0)</f>
        <v/>
      </c>
      <c r="J69">
        <f>IF(AND(J$4=1,J19=0),1,0)</f>
        <v/>
      </c>
      <c r="K69">
        <f>IF(AND(K$4=1,K19=0),1,0)</f>
        <v/>
      </c>
      <c r="L69">
        <f>IF(AND(L$4=1,L19=0),1,0)</f>
        <v/>
      </c>
      <c r="M69">
        <f>IF(AND(M$4=1,M19=0),1,0)</f>
        <v/>
      </c>
      <c r="N69">
        <f>IF(AND(N$4=1,N19=0),1,0)</f>
        <v/>
      </c>
      <c r="O69">
        <f>IF(AND(O$4=1,O19=0),1,0)</f>
        <v/>
      </c>
      <c r="P69">
        <f>IF(AND(P$4=1,P19=0),1,0)</f>
        <v/>
      </c>
      <c r="Q69">
        <f>IF(AND(Q$4=1,Q19=0),1,0)</f>
        <v/>
      </c>
      <c r="R69">
        <f>IF(AND(R$4=1,R19=0),1,0)</f>
        <v/>
      </c>
      <c r="S69">
        <f>IF(AND(S$4=1,S19=0),1,0)</f>
        <v/>
      </c>
      <c r="T69">
        <f>IF(AND(T$4=1,T19=0),1,0)</f>
        <v/>
      </c>
      <c r="U69">
        <f>IF(AND(U$4=1,U19=0),1,0)</f>
        <v/>
      </c>
      <c r="V69">
        <f>IF(AND(V$4=1,V19=0),1,0)</f>
        <v/>
      </c>
      <c r="W69">
        <f>IF(AND(W$4=1,W19=0),1,0)</f>
        <v/>
      </c>
      <c r="X69">
        <f>IF(AND(X$4=1,X19=0),1,0)</f>
        <v/>
      </c>
      <c r="Y69">
        <f>IF(AND(Y$4=1,Y19=0),1,0)</f>
        <v/>
      </c>
      <c r="Z69">
        <f>IF(AND(Z$4=1,Z19=0),1,0)</f>
        <v/>
      </c>
      <c r="AA69">
        <f>IF(AND(AA$4=1,AA19=0),1,0)</f>
        <v/>
      </c>
      <c r="AB69">
        <f>IF(AND(AB$4=1,AB19=0),1,0)</f>
        <v/>
      </c>
      <c r="AC69">
        <f>IF(AND(AC$4=1,AC19=0),1,0)</f>
        <v/>
      </c>
      <c r="AD69">
        <f>IF(AND(AD$4=1,AD19=0),1,0)</f>
        <v/>
      </c>
      <c r="AE69">
        <f>IF(AND(AE$4=1,AE19=0),1,0)</f>
        <v/>
      </c>
      <c r="AF69">
        <f>IF(AND(AF$4=1,AF19=0),1,0)</f>
        <v/>
      </c>
      <c r="AG69">
        <f>IF(AND(AG$4=1,AG19=0),1,0)</f>
        <v/>
      </c>
      <c r="AH69">
        <f>IF(AND(AH$4=1,AH19=0),1,0)</f>
        <v/>
      </c>
      <c r="AI69">
        <f>IF(AND(AI$4=1,AI19=0),1,0)</f>
        <v/>
      </c>
      <c r="AJ69">
        <f>IF(AND(AJ$4=1,AJ19=0),1,0)</f>
        <v/>
      </c>
      <c r="AK69">
        <f>IF(AND(AK$4=1,AK19=0),1,0)</f>
        <v/>
      </c>
      <c r="AL69">
        <f>IF(AND(AL$4=1,AL19=0),1,0)</f>
        <v/>
      </c>
      <c r="AM69">
        <f>IF(AND(AM$4=1,AM19=0),1,0)</f>
        <v/>
      </c>
      <c r="AN69">
        <f>IF(AND(AN$4=1,AN19=0),1,0)</f>
        <v/>
      </c>
      <c r="AO69">
        <f>IF(AND(AO$4=1,AO19=0),1,0)</f>
        <v/>
      </c>
      <c r="AP69">
        <f>IF(AND(AP$4=1,AP19=0),1,0)</f>
        <v/>
      </c>
      <c r="AQ69">
        <f>IF(AND(AQ$4=1,AQ19=0),1,0)</f>
        <v/>
      </c>
      <c r="AR69">
        <f>IF(AND(AR$4=1,AR19=0),1,0)</f>
        <v/>
      </c>
      <c r="AS69">
        <f>IF(AND(AS$4=1,AS19=0),1,0)</f>
        <v/>
      </c>
      <c r="AT69">
        <f>IF(AND(AT$4=1,AT19=0),1,0)</f>
        <v/>
      </c>
      <c r="AU69">
        <f>IF(AND(AU$4=1,AU19=0),1,0)</f>
        <v/>
      </c>
      <c r="AV69">
        <f>IF(AND(AV$4=1,AV19=0),1,0)</f>
        <v/>
      </c>
      <c r="AW69">
        <f>IF(AND(AW$4=1,AW19=0),1,0)</f>
        <v/>
      </c>
      <c r="AX69">
        <f>IF(AND(AX$4=1,AX19=0),1,0)</f>
        <v/>
      </c>
      <c r="AY69">
        <f>IF(AND(AY$4=1,AY19=0),1,0)</f>
        <v/>
      </c>
      <c r="AZ69">
        <f>IF(AND(AZ$4=1,AZ19=0),1,0)</f>
        <v/>
      </c>
      <c r="BA69">
        <f>IF(AND(BA$4=1,BA19=0),1,0)</f>
        <v/>
      </c>
      <c r="BB69">
        <f>IF(AND(BB$4=1,BB19=0),1,0)</f>
        <v/>
      </c>
      <c r="BC69">
        <f>IF(AND(BC$4=1,BC19=0),1,0)</f>
        <v/>
      </c>
      <c r="BD69">
        <f>IF(AND(BD$4=1,BD19=0),1,0)</f>
        <v/>
      </c>
      <c r="BE69">
        <f>IF(AND(BE$4=1,BE19=0),1,0)</f>
        <v/>
      </c>
      <c r="BF69">
        <f>IF(AND(BF$4=1,BF19=0),1,0)</f>
        <v/>
      </c>
      <c r="BG69">
        <f>IF(AND(BG$4=1,BG19=0),1,0)</f>
        <v/>
      </c>
      <c r="BH69">
        <f>IF(AND(BH$4=1,BH19=0),1,0)</f>
        <v/>
      </c>
      <c r="BI69">
        <f>IF(AND(BI$4=1,BI19=0),1,0)</f>
        <v/>
      </c>
      <c r="BJ69">
        <f>IF(AND(BJ$4=1,BJ19=0),1,0)</f>
        <v/>
      </c>
      <c r="BK69">
        <f>IF(AND(BK$4=1,BK19=0),1,0)</f>
        <v/>
      </c>
      <c r="BL69">
        <f>IF(AND(BL$4=1,BL19=0),1,0)</f>
        <v/>
      </c>
      <c r="BM69">
        <f>IF(AND(BM$4=1,BM19=0),1,0)</f>
        <v/>
      </c>
      <c r="BN69">
        <f>IF(AND(BN$4=1,BN19=0),1,0)</f>
        <v/>
      </c>
      <c r="BO69">
        <f>IF(AND(BO$4=1,BO19=0),1,0)</f>
        <v/>
      </c>
      <c r="BP69">
        <f>IF(AND(BP$4=1,BP19=0),1,0)</f>
        <v/>
      </c>
      <c r="BQ69">
        <f>IF(AND(BQ$4=1,BQ19=0),1,0)</f>
        <v/>
      </c>
      <c r="BR69">
        <f>IF(AND(BR$4=1,BR19=0),1,0)</f>
        <v/>
      </c>
      <c r="BS69">
        <f>IF(AND(BS$4=1,BS19=0),1,0)</f>
        <v/>
      </c>
      <c r="BT69">
        <f>IF(AND(BT$4=1,BT19=0),1,0)</f>
        <v/>
      </c>
      <c r="BU69">
        <f>IF(AND(BU$4=1,BU19=0),1,0)</f>
        <v/>
      </c>
      <c r="BV69">
        <f>IF(AND(BV$4=1,BV19=0),1,0)</f>
        <v/>
      </c>
      <c r="BW69">
        <f>IF(AND(BW$4=1,BW19=0),1,0)</f>
        <v/>
      </c>
      <c r="BX69">
        <f>IF(AND(BX$4=1,BX19=0),1,0)</f>
        <v/>
      </c>
      <c r="BY69">
        <f>IF(AND(BY$4=1,BY19=0),1,0)</f>
        <v/>
      </c>
      <c r="BZ69">
        <f>IF(AND(BZ$4=1,BZ19=0),1,0)</f>
        <v/>
      </c>
      <c r="CA69">
        <f>IF(AND(CA$4=1,CA19=0),1,0)</f>
        <v/>
      </c>
      <c r="CB69">
        <f>IF(AND(CB$4=1,CB19=0),1,0)</f>
        <v/>
      </c>
      <c r="CC69">
        <f>IF(AND(CC$4=1,CC19=0),1,0)</f>
        <v/>
      </c>
      <c r="CD69">
        <f>IF(AND(CD$4=1,CD19=0),1,0)</f>
        <v/>
      </c>
      <c r="CE69">
        <f>IF(AND(CE$4=1,CE19=0),1,0)</f>
        <v/>
      </c>
      <c r="CF69">
        <f>IF(AND(CF$4=1,CF19=0),1,0)</f>
        <v/>
      </c>
      <c r="CG69">
        <f>IF(AND(CG$4=1,CG19=0),1,0)</f>
        <v/>
      </c>
      <c r="CH69">
        <f>IF(AND(CH$4=1,CH19=0),1,0)</f>
        <v/>
      </c>
      <c r="CI69">
        <f>IF(AND(CI$4=1,CI19=0),1,0)</f>
        <v/>
      </c>
      <c r="CJ69">
        <f>IF(AND(CJ$4=1,CJ19=0),1,0)</f>
        <v/>
      </c>
      <c r="CK69">
        <f>IF(AND(CK$4=1,CK19=0),1,0)</f>
        <v/>
      </c>
      <c r="CL69">
        <f>IF(AND(CL$4=1,CL19=0),1,0)</f>
        <v/>
      </c>
      <c r="CM69">
        <f>IF(AND(CM$4=1,CM19=0),1,0)</f>
        <v/>
      </c>
      <c r="CN69">
        <f>IF(AND(CN$4=1,CN19=0),1,0)</f>
        <v/>
      </c>
      <c r="CO69">
        <f>IF(AND(CO$4=1,CO19=0),1,0)</f>
        <v/>
      </c>
      <c r="CP69">
        <f>IF(AND(CP$4=1,CP19=0),1,0)</f>
        <v/>
      </c>
      <c r="CQ69">
        <f>IF(AND(CQ$4=1,CQ19=0),1,0)</f>
        <v/>
      </c>
      <c r="CR69">
        <f>IF(AND(CR$4=1,CR19=0),1,0)</f>
        <v/>
      </c>
      <c r="CS69">
        <f>IF(AND(CS$4=1,CS19=0),1,0)</f>
        <v/>
      </c>
      <c r="CT69">
        <f>IF(AND(CT$4=1,CT19=0),1,0)</f>
        <v/>
      </c>
      <c r="CU69">
        <f>IF(AND(CU$4=1,CU19=0),1,0)</f>
        <v/>
      </c>
      <c r="CV69">
        <f>IF(AND(CV$4=1,CV19=0),1,0)</f>
        <v/>
      </c>
      <c r="CW69">
        <f>IF(AND(CW$4=1,CW19=0),1,0)</f>
        <v/>
      </c>
      <c r="CX69">
        <f>IF(AND(CX$4=1,CX19=0),1,0)</f>
        <v/>
      </c>
      <c r="CY69">
        <f>IF(AND(CY$4=1,CY19=0),1,0)</f>
        <v/>
      </c>
      <c r="CZ69">
        <f>IF(AND(CZ$4=1,CZ19=0),1,0)</f>
        <v/>
      </c>
      <c r="DA69">
        <f>IF(AND(DA$4=1,DA19=0),1,0)</f>
        <v/>
      </c>
      <c r="DB69">
        <f>IF(AND(DB$4=1,DB19=0),1,0)</f>
        <v/>
      </c>
      <c r="DC69">
        <f>IF(AND(DC$4=1,DC19=0),1,0)</f>
        <v/>
      </c>
      <c r="DD69">
        <f>IF(AND(DD$4=1,DD19=0),1,0)</f>
        <v/>
      </c>
      <c r="DE69">
        <f>IF(AND(DE$4=1,DE19=0),1,0)</f>
        <v/>
      </c>
      <c r="DF69">
        <f>IF(AND(DF$4=1,DF19=0),1,0)</f>
        <v/>
      </c>
      <c r="DG69">
        <f>IF(AND(DG$4=1,DG19=0),1,0)</f>
        <v/>
      </c>
      <c r="DH69">
        <f>IF(AND(DH$4=1,DH19=0),1,0)</f>
        <v/>
      </c>
      <c r="DI69">
        <f>IF(AND(DI$4=1,DI19=0),1,0)</f>
        <v/>
      </c>
      <c r="DJ69">
        <f>IF(AND(DJ$4=1,DJ19=0),1,0)</f>
        <v/>
      </c>
      <c r="DK69">
        <f>IF(AND(DK$4=1,DK19=0),1,0)</f>
        <v/>
      </c>
      <c r="DL69">
        <f>IF(AND(DL$4=1,DL19=0),1,0)</f>
        <v/>
      </c>
      <c r="DM69">
        <f>IF(AND(DM$4=1,DM19=0),1,0)</f>
        <v/>
      </c>
      <c r="DN69">
        <f>IF(AND(DN$4=1,DN19=0),1,0)</f>
        <v/>
      </c>
      <c r="DO69">
        <f>IF(AND(DO$4=1,DO19=0),1,0)</f>
        <v/>
      </c>
      <c r="DP69">
        <f>IF(AND(DP$4=1,DP19=0),1,0)</f>
        <v/>
      </c>
      <c r="DQ69">
        <f>IF(AND(DQ$4=1,DQ19=0),1,0)</f>
        <v/>
      </c>
      <c r="DR69">
        <f>IF(AND(DR$4=1,DR19=0),1,0)</f>
        <v/>
      </c>
      <c r="DS69">
        <f>IF(AND(DS$4=1,DS19=0),1,0)</f>
        <v/>
      </c>
    </row>
    <row r="70">
      <c r="A70" t="n">
        <v>11</v>
      </c>
      <c r="D70">
        <f>IF(AND(D$4=1,D20=0),1,0)</f>
        <v/>
      </c>
      <c r="E70">
        <f>IF(AND(E$4=1,E20=0),1,0)</f>
        <v/>
      </c>
      <c r="F70">
        <f>IF(AND(F$4=1,F20=0),1,0)</f>
        <v/>
      </c>
      <c r="G70">
        <f>IF(AND(G$4=1,G20=0),1,0)</f>
        <v/>
      </c>
      <c r="H70">
        <f>IF(AND(H$4=1,H20=0),1,0)</f>
        <v/>
      </c>
      <c r="I70">
        <f>IF(AND(I$4=1,I20=0),1,0)</f>
        <v/>
      </c>
      <c r="J70">
        <f>IF(AND(J$4=1,J20=0),1,0)</f>
        <v/>
      </c>
      <c r="K70">
        <f>IF(AND(K$4=1,K20=0),1,0)</f>
        <v/>
      </c>
      <c r="L70">
        <f>IF(AND(L$4=1,L20=0),1,0)</f>
        <v/>
      </c>
      <c r="M70">
        <f>IF(AND(M$4=1,M20=0),1,0)</f>
        <v/>
      </c>
      <c r="N70">
        <f>IF(AND(N$4=1,N20=0),1,0)</f>
        <v/>
      </c>
      <c r="O70">
        <f>IF(AND(O$4=1,O20=0),1,0)</f>
        <v/>
      </c>
      <c r="P70">
        <f>IF(AND(P$4=1,P20=0),1,0)</f>
        <v/>
      </c>
      <c r="Q70">
        <f>IF(AND(Q$4=1,Q20=0),1,0)</f>
        <v/>
      </c>
      <c r="R70">
        <f>IF(AND(R$4=1,R20=0),1,0)</f>
        <v/>
      </c>
      <c r="S70">
        <f>IF(AND(S$4=1,S20=0),1,0)</f>
        <v/>
      </c>
      <c r="T70">
        <f>IF(AND(T$4=1,T20=0),1,0)</f>
        <v/>
      </c>
      <c r="U70">
        <f>IF(AND(U$4=1,U20=0),1,0)</f>
        <v/>
      </c>
      <c r="V70">
        <f>IF(AND(V$4=1,V20=0),1,0)</f>
        <v/>
      </c>
      <c r="W70">
        <f>IF(AND(W$4=1,W20=0),1,0)</f>
        <v/>
      </c>
      <c r="X70">
        <f>IF(AND(X$4=1,X20=0),1,0)</f>
        <v/>
      </c>
      <c r="Y70">
        <f>IF(AND(Y$4=1,Y20=0),1,0)</f>
        <v/>
      </c>
      <c r="Z70">
        <f>IF(AND(Z$4=1,Z20=0),1,0)</f>
        <v/>
      </c>
      <c r="AA70">
        <f>IF(AND(AA$4=1,AA20=0),1,0)</f>
        <v/>
      </c>
      <c r="AB70">
        <f>IF(AND(AB$4=1,AB20=0),1,0)</f>
        <v/>
      </c>
      <c r="AC70">
        <f>IF(AND(AC$4=1,AC20=0),1,0)</f>
        <v/>
      </c>
      <c r="AD70">
        <f>IF(AND(AD$4=1,AD20=0),1,0)</f>
        <v/>
      </c>
      <c r="AE70">
        <f>IF(AND(AE$4=1,AE20=0),1,0)</f>
        <v/>
      </c>
      <c r="AF70">
        <f>IF(AND(AF$4=1,AF20=0),1,0)</f>
        <v/>
      </c>
      <c r="AG70">
        <f>IF(AND(AG$4=1,AG20=0),1,0)</f>
        <v/>
      </c>
      <c r="AH70">
        <f>IF(AND(AH$4=1,AH20=0),1,0)</f>
        <v/>
      </c>
      <c r="AI70">
        <f>IF(AND(AI$4=1,AI20=0),1,0)</f>
        <v/>
      </c>
      <c r="AJ70">
        <f>IF(AND(AJ$4=1,AJ20=0),1,0)</f>
        <v/>
      </c>
      <c r="AK70">
        <f>IF(AND(AK$4=1,AK20=0),1,0)</f>
        <v/>
      </c>
      <c r="AL70">
        <f>IF(AND(AL$4=1,AL20=0),1,0)</f>
        <v/>
      </c>
      <c r="AM70">
        <f>IF(AND(AM$4=1,AM20=0),1,0)</f>
        <v/>
      </c>
      <c r="AN70">
        <f>IF(AND(AN$4=1,AN20=0),1,0)</f>
        <v/>
      </c>
      <c r="AO70">
        <f>IF(AND(AO$4=1,AO20=0),1,0)</f>
        <v/>
      </c>
      <c r="AP70">
        <f>IF(AND(AP$4=1,AP20=0),1,0)</f>
        <v/>
      </c>
      <c r="AQ70">
        <f>IF(AND(AQ$4=1,AQ20=0),1,0)</f>
        <v/>
      </c>
      <c r="AR70">
        <f>IF(AND(AR$4=1,AR20=0),1,0)</f>
        <v/>
      </c>
      <c r="AS70">
        <f>IF(AND(AS$4=1,AS20=0),1,0)</f>
        <v/>
      </c>
      <c r="AT70">
        <f>IF(AND(AT$4=1,AT20=0),1,0)</f>
        <v/>
      </c>
      <c r="AU70">
        <f>IF(AND(AU$4=1,AU20=0),1,0)</f>
        <v/>
      </c>
      <c r="AV70">
        <f>IF(AND(AV$4=1,AV20=0),1,0)</f>
        <v/>
      </c>
      <c r="AW70">
        <f>IF(AND(AW$4=1,AW20=0),1,0)</f>
        <v/>
      </c>
      <c r="AX70">
        <f>IF(AND(AX$4=1,AX20=0),1,0)</f>
        <v/>
      </c>
      <c r="AY70">
        <f>IF(AND(AY$4=1,AY20=0),1,0)</f>
        <v/>
      </c>
      <c r="AZ70">
        <f>IF(AND(AZ$4=1,AZ20=0),1,0)</f>
        <v/>
      </c>
      <c r="BA70">
        <f>IF(AND(BA$4=1,BA20=0),1,0)</f>
        <v/>
      </c>
      <c r="BB70">
        <f>IF(AND(BB$4=1,BB20=0),1,0)</f>
        <v/>
      </c>
      <c r="BC70">
        <f>IF(AND(BC$4=1,BC20=0),1,0)</f>
        <v/>
      </c>
      <c r="BD70">
        <f>IF(AND(BD$4=1,BD20=0),1,0)</f>
        <v/>
      </c>
      <c r="BE70">
        <f>IF(AND(BE$4=1,BE20=0),1,0)</f>
        <v/>
      </c>
      <c r="BF70">
        <f>IF(AND(BF$4=1,BF20=0),1,0)</f>
        <v/>
      </c>
      <c r="BG70">
        <f>IF(AND(BG$4=1,BG20=0),1,0)</f>
        <v/>
      </c>
      <c r="BH70">
        <f>IF(AND(BH$4=1,BH20=0),1,0)</f>
        <v/>
      </c>
      <c r="BI70">
        <f>IF(AND(BI$4=1,BI20=0),1,0)</f>
        <v/>
      </c>
      <c r="BJ70">
        <f>IF(AND(BJ$4=1,BJ20=0),1,0)</f>
        <v/>
      </c>
      <c r="BK70">
        <f>IF(AND(BK$4=1,BK20=0),1,0)</f>
        <v/>
      </c>
      <c r="BL70">
        <f>IF(AND(BL$4=1,BL20=0),1,0)</f>
        <v/>
      </c>
      <c r="BM70">
        <f>IF(AND(BM$4=1,BM20=0),1,0)</f>
        <v/>
      </c>
      <c r="BN70">
        <f>IF(AND(BN$4=1,BN20=0),1,0)</f>
        <v/>
      </c>
      <c r="BO70">
        <f>IF(AND(BO$4=1,BO20=0),1,0)</f>
        <v/>
      </c>
      <c r="BP70">
        <f>IF(AND(BP$4=1,BP20=0),1,0)</f>
        <v/>
      </c>
      <c r="BQ70">
        <f>IF(AND(BQ$4=1,BQ20=0),1,0)</f>
        <v/>
      </c>
      <c r="BR70">
        <f>IF(AND(BR$4=1,BR20=0),1,0)</f>
        <v/>
      </c>
      <c r="BS70">
        <f>IF(AND(BS$4=1,BS20=0),1,0)</f>
        <v/>
      </c>
      <c r="BT70">
        <f>IF(AND(BT$4=1,BT20=0),1,0)</f>
        <v/>
      </c>
      <c r="BU70">
        <f>IF(AND(BU$4=1,BU20=0),1,0)</f>
        <v/>
      </c>
      <c r="BV70">
        <f>IF(AND(BV$4=1,BV20=0),1,0)</f>
        <v/>
      </c>
      <c r="BW70">
        <f>IF(AND(BW$4=1,BW20=0),1,0)</f>
        <v/>
      </c>
      <c r="BX70">
        <f>IF(AND(BX$4=1,BX20=0),1,0)</f>
        <v/>
      </c>
      <c r="BY70">
        <f>IF(AND(BY$4=1,BY20=0),1,0)</f>
        <v/>
      </c>
      <c r="BZ70">
        <f>IF(AND(BZ$4=1,BZ20=0),1,0)</f>
        <v/>
      </c>
      <c r="CA70">
        <f>IF(AND(CA$4=1,CA20=0),1,0)</f>
        <v/>
      </c>
      <c r="CB70">
        <f>IF(AND(CB$4=1,CB20=0),1,0)</f>
        <v/>
      </c>
      <c r="CC70">
        <f>IF(AND(CC$4=1,CC20=0),1,0)</f>
        <v/>
      </c>
      <c r="CD70">
        <f>IF(AND(CD$4=1,CD20=0),1,0)</f>
        <v/>
      </c>
      <c r="CE70">
        <f>IF(AND(CE$4=1,CE20=0),1,0)</f>
        <v/>
      </c>
      <c r="CF70">
        <f>IF(AND(CF$4=1,CF20=0),1,0)</f>
        <v/>
      </c>
      <c r="CG70">
        <f>IF(AND(CG$4=1,CG20=0),1,0)</f>
        <v/>
      </c>
      <c r="CH70">
        <f>IF(AND(CH$4=1,CH20=0),1,0)</f>
        <v/>
      </c>
      <c r="CI70">
        <f>IF(AND(CI$4=1,CI20=0),1,0)</f>
        <v/>
      </c>
      <c r="CJ70">
        <f>IF(AND(CJ$4=1,CJ20=0),1,0)</f>
        <v/>
      </c>
      <c r="CK70">
        <f>IF(AND(CK$4=1,CK20=0),1,0)</f>
        <v/>
      </c>
      <c r="CL70">
        <f>IF(AND(CL$4=1,CL20=0),1,0)</f>
        <v/>
      </c>
      <c r="CM70">
        <f>IF(AND(CM$4=1,CM20=0),1,0)</f>
        <v/>
      </c>
      <c r="CN70">
        <f>IF(AND(CN$4=1,CN20=0),1,0)</f>
        <v/>
      </c>
      <c r="CO70">
        <f>IF(AND(CO$4=1,CO20=0),1,0)</f>
        <v/>
      </c>
      <c r="CP70">
        <f>IF(AND(CP$4=1,CP20=0),1,0)</f>
        <v/>
      </c>
      <c r="CQ70">
        <f>IF(AND(CQ$4=1,CQ20=0),1,0)</f>
        <v/>
      </c>
      <c r="CR70">
        <f>IF(AND(CR$4=1,CR20=0),1,0)</f>
        <v/>
      </c>
      <c r="CS70">
        <f>IF(AND(CS$4=1,CS20=0),1,0)</f>
        <v/>
      </c>
      <c r="CT70">
        <f>IF(AND(CT$4=1,CT20=0),1,0)</f>
        <v/>
      </c>
      <c r="CU70">
        <f>IF(AND(CU$4=1,CU20=0),1,0)</f>
        <v/>
      </c>
      <c r="CV70">
        <f>IF(AND(CV$4=1,CV20=0),1,0)</f>
        <v/>
      </c>
      <c r="CW70">
        <f>IF(AND(CW$4=1,CW20=0),1,0)</f>
        <v/>
      </c>
      <c r="CX70">
        <f>IF(AND(CX$4=1,CX20=0),1,0)</f>
        <v/>
      </c>
      <c r="CY70">
        <f>IF(AND(CY$4=1,CY20=0),1,0)</f>
        <v/>
      </c>
      <c r="CZ70">
        <f>IF(AND(CZ$4=1,CZ20=0),1,0)</f>
        <v/>
      </c>
      <c r="DA70">
        <f>IF(AND(DA$4=1,DA20=0),1,0)</f>
        <v/>
      </c>
      <c r="DB70">
        <f>IF(AND(DB$4=1,DB20=0),1,0)</f>
        <v/>
      </c>
      <c r="DC70">
        <f>IF(AND(DC$4=1,DC20=0),1,0)</f>
        <v/>
      </c>
      <c r="DD70">
        <f>IF(AND(DD$4=1,DD20=0),1,0)</f>
        <v/>
      </c>
      <c r="DE70">
        <f>IF(AND(DE$4=1,DE20=0),1,0)</f>
        <v/>
      </c>
      <c r="DF70">
        <f>IF(AND(DF$4=1,DF20=0),1,0)</f>
        <v/>
      </c>
      <c r="DG70">
        <f>IF(AND(DG$4=1,DG20=0),1,0)</f>
        <v/>
      </c>
      <c r="DH70">
        <f>IF(AND(DH$4=1,DH20=0),1,0)</f>
        <v/>
      </c>
      <c r="DI70">
        <f>IF(AND(DI$4=1,DI20=0),1,0)</f>
        <v/>
      </c>
      <c r="DJ70">
        <f>IF(AND(DJ$4=1,DJ20=0),1,0)</f>
        <v/>
      </c>
      <c r="DK70">
        <f>IF(AND(DK$4=1,DK20=0),1,0)</f>
        <v/>
      </c>
      <c r="DL70">
        <f>IF(AND(DL$4=1,DL20=0),1,0)</f>
        <v/>
      </c>
      <c r="DM70">
        <f>IF(AND(DM$4=1,DM20=0),1,0)</f>
        <v/>
      </c>
      <c r="DN70">
        <f>IF(AND(DN$4=1,DN20=0),1,0)</f>
        <v/>
      </c>
      <c r="DO70">
        <f>IF(AND(DO$4=1,DO20=0),1,0)</f>
        <v/>
      </c>
      <c r="DP70">
        <f>IF(AND(DP$4=1,DP20=0),1,0)</f>
        <v/>
      </c>
      <c r="DQ70">
        <f>IF(AND(DQ$4=1,DQ20=0),1,0)</f>
        <v/>
      </c>
      <c r="DR70">
        <f>IF(AND(DR$4=1,DR20=0),1,0)</f>
        <v/>
      </c>
      <c r="DS70">
        <f>IF(AND(DS$4=1,DS20=0),1,0)</f>
        <v/>
      </c>
    </row>
    <row r="71">
      <c r="A71" t="n">
        <v>12</v>
      </c>
      <c r="D71">
        <f>IF(AND(D$4=1,D21=0),1,0)</f>
        <v/>
      </c>
      <c r="E71">
        <f>IF(AND(E$4=1,E21=0),1,0)</f>
        <v/>
      </c>
      <c r="F71">
        <f>IF(AND(F$4=1,F21=0),1,0)</f>
        <v/>
      </c>
      <c r="G71">
        <f>IF(AND(G$4=1,G21=0),1,0)</f>
        <v/>
      </c>
      <c r="H71">
        <f>IF(AND(H$4=1,H21=0),1,0)</f>
        <v/>
      </c>
      <c r="I71">
        <f>IF(AND(I$4=1,I21=0),1,0)</f>
        <v/>
      </c>
      <c r="J71">
        <f>IF(AND(J$4=1,J21=0),1,0)</f>
        <v/>
      </c>
      <c r="K71">
        <f>IF(AND(K$4=1,K21=0),1,0)</f>
        <v/>
      </c>
      <c r="L71">
        <f>IF(AND(L$4=1,L21=0),1,0)</f>
        <v/>
      </c>
      <c r="M71">
        <f>IF(AND(M$4=1,M21=0),1,0)</f>
        <v/>
      </c>
      <c r="N71">
        <f>IF(AND(N$4=1,N21=0),1,0)</f>
        <v/>
      </c>
      <c r="O71">
        <f>IF(AND(O$4=1,O21=0),1,0)</f>
        <v/>
      </c>
      <c r="P71">
        <f>IF(AND(P$4=1,P21=0),1,0)</f>
        <v/>
      </c>
      <c r="Q71">
        <f>IF(AND(Q$4=1,Q21=0),1,0)</f>
        <v/>
      </c>
      <c r="R71">
        <f>IF(AND(R$4=1,R21=0),1,0)</f>
        <v/>
      </c>
      <c r="S71">
        <f>IF(AND(S$4=1,S21=0),1,0)</f>
        <v/>
      </c>
      <c r="T71">
        <f>IF(AND(T$4=1,T21=0),1,0)</f>
        <v/>
      </c>
      <c r="U71">
        <f>IF(AND(U$4=1,U21=0),1,0)</f>
        <v/>
      </c>
      <c r="V71">
        <f>IF(AND(V$4=1,V21=0),1,0)</f>
        <v/>
      </c>
      <c r="W71">
        <f>IF(AND(W$4=1,W21=0),1,0)</f>
        <v/>
      </c>
      <c r="X71">
        <f>IF(AND(X$4=1,X21=0),1,0)</f>
        <v/>
      </c>
      <c r="Y71">
        <f>IF(AND(Y$4=1,Y21=0),1,0)</f>
        <v/>
      </c>
      <c r="Z71">
        <f>IF(AND(Z$4=1,Z21=0),1,0)</f>
        <v/>
      </c>
      <c r="AA71">
        <f>IF(AND(AA$4=1,AA21=0),1,0)</f>
        <v/>
      </c>
      <c r="AB71">
        <f>IF(AND(AB$4=1,AB21=0),1,0)</f>
        <v/>
      </c>
      <c r="AC71">
        <f>IF(AND(AC$4=1,AC21=0),1,0)</f>
        <v/>
      </c>
      <c r="AD71">
        <f>IF(AND(AD$4=1,AD21=0),1,0)</f>
        <v/>
      </c>
      <c r="AE71">
        <f>IF(AND(AE$4=1,AE21=0),1,0)</f>
        <v/>
      </c>
      <c r="AF71">
        <f>IF(AND(AF$4=1,AF21=0),1,0)</f>
        <v/>
      </c>
      <c r="AG71">
        <f>IF(AND(AG$4=1,AG21=0),1,0)</f>
        <v/>
      </c>
      <c r="AH71">
        <f>IF(AND(AH$4=1,AH21=0),1,0)</f>
        <v/>
      </c>
      <c r="AI71">
        <f>IF(AND(AI$4=1,AI21=0),1,0)</f>
        <v/>
      </c>
      <c r="AJ71">
        <f>IF(AND(AJ$4=1,AJ21=0),1,0)</f>
        <v/>
      </c>
      <c r="AK71">
        <f>IF(AND(AK$4=1,AK21=0),1,0)</f>
        <v/>
      </c>
      <c r="AL71">
        <f>IF(AND(AL$4=1,AL21=0),1,0)</f>
        <v/>
      </c>
      <c r="AM71">
        <f>IF(AND(AM$4=1,AM21=0),1,0)</f>
        <v/>
      </c>
      <c r="AN71">
        <f>IF(AND(AN$4=1,AN21=0),1,0)</f>
        <v/>
      </c>
      <c r="AO71">
        <f>IF(AND(AO$4=1,AO21=0),1,0)</f>
        <v/>
      </c>
      <c r="AP71">
        <f>IF(AND(AP$4=1,AP21=0),1,0)</f>
        <v/>
      </c>
      <c r="AQ71">
        <f>IF(AND(AQ$4=1,AQ21=0),1,0)</f>
        <v/>
      </c>
      <c r="AR71">
        <f>IF(AND(AR$4=1,AR21=0),1,0)</f>
        <v/>
      </c>
      <c r="AS71">
        <f>IF(AND(AS$4=1,AS21=0),1,0)</f>
        <v/>
      </c>
      <c r="AT71">
        <f>IF(AND(AT$4=1,AT21=0),1,0)</f>
        <v/>
      </c>
      <c r="AU71">
        <f>IF(AND(AU$4=1,AU21=0),1,0)</f>
        <v/>
      </c>
      <c r="AV71">
        <f>IF(AND(AV$4=1,AV21=0),1,0)</f>
        <v/>
      </c>
      <c r="AW71">
        <f>IF(AND(AW$4=1,AW21=0),1,0)</f>
        <v/>
      </c>
      <c r="AX71">
        <f>IF(AND(AX$4=1,AX21=0),1,0)</f>
        <v/>
      </c>
      <c r="AY71">
        <f>IF(AND(AY$4=1,AY21=0),1,0)</f>
        <v/>
      </c>
      <c r="AZ71">
        <f>IF(AND(AZ$4=1,AZ21=0),1,0)</f>
        <v/>
      </c>
      <c r="BA71">
        <f>IF(AND(BA$4=1,BA21=0),1,0)</f>
        <v/>
      </c>
      <c r="BB71">
        <f>IF(AND(BB$4=1,BB21=0),1,0)</f>
        <v/>
      </c>
      <c r="BC71">
        <f>IF(AND(BC$4=1,BC21=0),1,0)</f>
        <v/>
      </c>
      <c r="BD71">
        <f>IF(AND(BD$4=1,BD21=0),1,0)</f>
        <v/>
      </c>
      <c r="BE71">
        <f>IF(AND(BE$4=1,BE21=0),1,0)</f>
        <v/>
      </c>
      <c r="BF71">
        <f>IF(AND(BF$4=1,BF21=0),1,0)</f>
        <v/>
      </c>
      <c r="BG71">
        <f>IF(AND(BG$4=1,BG21=0),1,0)</f>
        <v/>
      </c>
      <c r="BH71">
        <f>IF(AND(BH$4=1,BH21=0),1,0)</f>
        <v/>
      </c>
      <c r="BI71">
        <f>IF(AND(BI$4=1,BI21=0),1,0)</f>
        <v/>
      </c>
      <c r="BJ71">
        <f>IF(AND(BJ$4=1,BJ21=0),1,0)</f>
        <v/>
      </c>
      <c r="BK71">
        <f>IF(AND(BK$4=1,BK21=0),1,0)</f>
        <v/>
      </c>
      <c r="BL71">
        <f>IF(AND(BL$4=1,BL21=0),1,0)</f>
        <v/>
      </c>
      <c r="BM71">
        <f>IF(AND(BM$4=1,BM21=0),1,0)</f>
        <v/>
      </c>
      <c r="BN71">
        <f>IF(AND(BN$4=1,BN21=0),1,0)</f>
        <v/>
      </c>
      <c r="BO71">
        <f>IF(AND(BO$4=1,BO21=0),1,0)</f>
        <v/>
      </c>
      <c r="BP71">
        <f>IF(AND(BP$4=1,BP21=0),1,0)</f>
        <v/>
      </c>
      <c r="BQ71">
        <f>IF(AND(BQ$4=1,BQ21=0),1,0)</f>
        <v/>
      </c>
      <c r="BR71">
        <f>IF(AND(BR$4=1,BR21=0),1,0)</f>
        <v/>
      </c>
      <c r="BS71">
        <f>IF(AND(BS$4=1,BS21=0),1,0)</f>
        <v/>
      </c>
      <c r="BT71">
        <f>IF(AND(BT$4=1,BT21=0),1,0)</f>
        <v/>
      </c>
      <c r="BU71">
        <f>IF(AND(BU$4=1,BU21=0),1,0)</f>
        <v/>
      </c>
      <c r="BV71">
        <f>IF(AND(BV$4=1,BV21=0),1,0)</f>
        <v/>
      </c>
      <c r="BW71">
        <f>IF(AND(BW$4=1,BW21=0),1,0)</f>
        <v/>
      </c>
      <c r="BX71">
        <f>IF(AND(BX$4=1,BX21=0),1,0)</f>
        <v/>
      </c>
      <c r="BY71">
        <f>IF(AND(BY$4=1,BY21=0),1,0)</f>
        <v/>
      </c>
      <c r="BZ71">
        <f>IF(AND(BZ$4=1,BZ21=0),1,0)</f>
        <v/>
      </c>
      <c r="CA71">
        <f>IF(AND(CA$4=1,CA21=0),1,0)</f>
        <v/>
      </c>
      <c r="CB71">
        <f>IF(AND(CB$4=1,CB21=0),1,0)</f>
        <v/>
      </c>
      <c r="CC71">
        <f>IF(AND(CC$4=1,CC21=0),1,0)</f>
        <v/>
      </c>
      <c r="CD71">
        <f>IF(AND(CD$4=1,CD21=0),1,0)</f>
        <v/>
      </c>
      <c r="CE71">
        <f>IF(AND(CE$4=1,CE21=0),1,0)</f>
        <v/>
      </c>
      <c r="CF71">
        <f>IF(AND(CF$4=1,CF21=0),1,0)</f>
        <v/>
      </c>
      <c r="CG71">
        <f>IF(AND(CG$4=1,CG21=0),1,0)</f>
        <v/>
      </c>
      <c r="CH71">
        <f>IF(AND(CH$4=1,CH21=0),1,0)</f>
        <v/>
      </c>
      <c r="CI71">
        <f>IF(AND(CI$4=1,CI21=0),1,0)</f>
        <v/>
      </c>
      <c r="CJ71">
        <f>IF(AND(CJ$4=1,CJ21=0),1,0)</f>
        <v/>
      </c>
      <c r="CK71">
        <f>IF(AND(CK$4=1,CK21=0),1,0)</f>
        <v/>
      </c>
      <c r="CL71">
        <f>IF(AND(CL$4=1,CL21=0),1,0)</f>
        <v/>
      </c>
      <c r="CM71">
        <f>IF(AND(CM$4=1,CM21=0),1,0)</f>
        <v/>
      </c>
      <c r="CN71">
        <f>IF(AND(CN$4=1,CN21=0),1,0)</f>
        <v/>
      </c>
      <c r="CO71">
        <f>IF(AND(CO$4=1,CO21=0),1,0)</f>
        <v/>
      </c>
      <c r="CP71">
        <f>IF(AND(CP$4=1,CP21=0),1,0)</f>
        <v/>
      </c>
      <c r="CQ71">
        <f>IF(AND(CQ$4=1,CQ21=0),1,0)</f>
        <v/>
      </c>
      <c r="CR71">
        <f>IF(AND(CR$4=1,CR21=0),1,0)</f>
        <v/>
      </c>
      <c r="CS71">
        <f>IF(AND(CS$4=1,CS21=0),1,0)</f>
        <v/>
      </c>
      <c r="CT71">
        <f>IF(AND(CT$4=1,CT21=0),1,0)</f>
        <v/>
      </c>
      <c r="CU71">
        <f>IF(AND(CU$4=1,CU21=0),1,0)</f>
        <v/>
      </c>
      <c r="CV71">
        <f>IF(AND(CV$4=1,CV21=0),1,0)</f>
        <v/>
      </c>
      <c r="CW71">
        <f>IF(AND(CW$4=1,CW21=0),1,0)</f>
        <v/>
      </c>
      <c r="CX71">
        <f>IF(AND(CX$4=1,CX21=0),1,0)</f>
        <v/>
      </c>
      <c r="CY71">
        <f>IF(AND(CY$4=1,CY21=0),1,0)</f>
        <v/>
      </c>
      <c r="CZ71">
        <f>IF(AND(CZ$4=1,CZ21=0),1,0)</f>
        <v/>
      </c>
      <c r="DA71">
        <f>IF(AND(DA$4=1,DA21=0),1,0)</f>
        <v/>
      </c>
      <c r="DB71">
        <f>IF(AND(DB$4=1,DB21=0),1,0)</f>
        <v/>
      </c>
      <c r="DC71">
        <f>IF(AND(DC$4=1,DC21=0),1,0)</f>
        <v/>
      </c>
      <c r="DD71">
        <f>IF(AND(DD$4=1,DD21=0),1,0)</f>
        <v/>
      </c>
      <c r="DE71">
        <f>IF(AND(DE$4=1,DE21=0),1,0)</f>
        <v/>
      </c>
      <c r="DF71">
        <f>IF(AND(DF$4=1,DF21=0),1,0)</f>
        <v/>
      </c>
      <c r="DG71">
        <f>IF(AND(DG$4=1,DG21=0),1,0)</f>
        <v/>
      </c>
      <c r="DH71">
        <f>IF(AND(DH$4=1,DH21=0),1,0)</f>
        <v/>
      </c>
      <c r="DI71">
        <f>IF(AND(DI$4=1,DI21=0),1,0)</f>
        <v/>
      </c>
      <c r="DJ71">
        <f>IF(AND(DJ$4=1,DJ21=0),1,0)</f>
        <v/>
      </c>
      <c r="DK71">
        <f>IF(AND(DK$4=1,DK21=0),1,0)</f>
        <v/>
      </c>
      <c r="DL71">
        <f>IF(AND(DL$4=1,DL21=0),1,0)</f>
        <v/>
      </c>
      <c r="DM71">
        <f>IF(AND(DM$4=1,DM21=0),1,0)</f>
        <v/>
      </c>
      <c r="DN71">
        <f>IF(AND(DN$4=1,DN21=0),1,0)</f>
        <v/>
      </c>
      <c r="DO71">
        <f>IF(AND(DO$4=1,DO21=0),1,0)</f>
        <v/>
      </c>
      <c r="DP71">
        <f>IF(AND(DP$4=1,DP21=0),1,0)</f>
        <v/>
      </c>
      <c r="DQ71">
        <f>IF(AND(DQ$4=1,DQ21=0),1,0)</f>
        <v/>
      </c>
      <c r="DR71">
        <f>IF(AND(DR$4=1,DR21=0),1,0)</f>
        <v/>
      </c>
      <c r="DS71">
        <f>IF(AND(DS$4=1,DS21=0),1,0)</f>
        <v/>
      </c>
    </row>
    <row r="72">
      <c r="A72" t="n">
        <v>13</v>
      </c>
      <c r="D72">
        <f>IF(AND(D$4=1,D22=0),1,0)</f>
        <v/>
      </c>
      <c r="E72">
        <f>IF(AND(E$4=1,E22=0),1,0)</f>
        <v/>
      </c>
      <c r="F72">
        <f>IF(AND(F$4=1,F22=0),1,0)</f>
        <v/>
      </c>
      <c r="G72">
        <f>IF(AND(G$4=1,G22=0),1,0)</f>
        <v/>
      </c>
      <c r="H72">
        <f>IF(AND(H$4=1,H22=0),1,0)</f>
        <v/>
      </c>
      <c r="I72">
        <f>IF(AND(I$4=1,I22=0),1,0)</f>
        <v/>
      </c>
      <c r="J72">
        <f>IF(AND(J$4=1,J22=0),1,0)</f>
        <v/>
      </c>
      <c r="K72">
        <f>IF(AND(K$4=1,K22=0),1,0)</f>
        <v/>
      </c>
      <c r="L72">
        <f>IF(AND(L$4=1,L22=0),1,0)</f>
        <v/>
      </c>
      <c r="M72">
        <f>IF(AND(M$4=1,M22=0),1,0)</f>
        <v/>
      </c>
      <c r="N72">
        <f>IF(AND(N$4=1,N22=0),1,0)</f>
        <v/>
      </c>
      <c r="O72">
        <f>IF(AND(O$4=1,O22=0),1,0)</f>
        <v/>
      </c>
      <c r="P72">
        <f>IF(AND(P$4=1,P22=0),1,0)</f>
        <v/>
      </c>
      <c r="Q72">
        <f>IF(AND(Q$4=1,Q22=0),1,0)</f>
        <v/>
      </c>
      <c r="R72">
        <f>IF(AND(R$4=1,R22=0),1,0)</f>
        <v/>
      </c>
      <c r="S72">
        <f>IF(AND(S$4=1,S22=0),1,0)</f>
        <v/>
      </c>
      <c r="T72">
        <f>IF(AND(T$4=1,T22=0),1,0)</f>
        <v/>
      </c>
      <c r="U72">
        <f>IF(AND(U$4=1,U22=0),1,0)</f>
        <v/>
      </c>
      <c r="V72">
        <f>IF(AND(V$4=1,V22=0),1,0)</f>
        <v/>
      </c>
      <c r="W72">
        <f>IF(AND(W$4=1,W22=0),1,0)</f>
        <v/>
      </c>
      <c r="X72">
        <f>IF(AND(X$4=1,X22=0),1,0)</f>
        <v/>
      </c>
      <c r="Y72">
        <f>IF(AND(Y$4=1,Y22=0),1,0)</f>
        <v/>
      </c>
      <c r="Z72">
        <f>IF(AND(Z$4=1,Z22=0),1,0)</f>
        <v/>
      </c>
      <c r="AA72">
        <f>IF(AND(AA$4=1,AA22=0),1,0)</f>
        <v/>
      </c>
      <c r="AB72">
        <f>IF(AND(AB$4=1,AB22=0),1,0)</f>
        <v/>
      </c>
      <c r="AC72">
        <f>IF(AND(AC$4=1,AC22=0),1,0)</f>
        <v/>
      </c>
      <c r="AD72">
        <f>IF(AND(AD$4=1,AD22=0),1,0)</f>
        <v/>
      </c>
      <c r="AE72">
        <f>IF(AND(AE$4=1,AE22=0),1,0)</f>
        <v/>
      </c>
      <c r="AF72">
        <f>IF(AND(AF$4=1,AF22=0),1,0)</f>
        <v/>
      </c>
      <c r="AG72">
        <f>IF(AND(AG$4=1,AG22=0),1,0)</f>
        <v/>
      </c>
      <c r="AH72">
        <f>IF(AND(AH$4=1,AH22=0),1,0)</f>
        <v/>
      </c>
      <c r="AI72">
        <f>IF(AND(AI$4=1,AI22=0),1,0)</f>
        <v/>
      </c>
      <c r="AJ72">
        <f>IF(AND(AJ$4=1,AJ22=0),1,0)</f>
        <v/>
      </c>
      <c r="AK72">
        <f>IF(AND(AK$4=1,AK22=0),1,0)</f>
        <v/>
      </c>
      <c r="AL72">
        <f>IF(AND(AL$4=1,AL22=0),1,0)</f>
        <v/>
      </c>
      <c r="AM72">
        <f>IF(AND(AM$4=1,AM22=0),1,0)</f>
        <v/>
      </c>
      <c r="AN72">
        <f>IF(AND(AN$4=1,AN22=0),1,0)</f>
        <v/>
      </c>
      <c r="AO72">
        <f>IF(AND(AO$4=1,AO22=0),1,0)</f>
        <v/>
      </c>
      <c r="AP72">
        <f>IF(AND(AP$4=1,AP22=0),1,0)</f>
        <v/>
      </c>
      <c r="AQ72">
        <f>IF(AND(AQ$4=1,AQ22=0),1,0)</f>
        <v/>
      </c>
      <c r="AR72">
        <f>IF(AND(AR$4=1,AR22=0),1,0)</f>
        <v/>
      </c>
      <c r="AS72">
        <f>IF(AND(AS$4=1,AS22=0),1,0)</f>
        <v/>
      </c>
      <c r="AT72">
        <f>IF(AND(AT$4=1,AT22=0),1,0)</f>
        <v/>
      </c>
      <c r="AU72">
        <f>IF(AND(AU$4=1,AU22=0),1,0)</f>
        <v/>
      </c>
      <c r="AV72">
        <f>IF(AND(AV$4=1,AV22=0),1,0)</f>
        <v/>
      </c>
      <c r="AW72">
        <f>IF(AND(AW$4=1,AW22=0),1,0)</f>
        <v/>
      </c>
      <c r="AX72">
        <f>IF(AND(AX$4=1,AX22=0),1,0)</f>
        <v/>
      </c>
      <c r="AY72">
        <f>IF(AND(AY$4=1,AY22=0),1,0)</f>
        <v/>
      </c>
      <c r="AZ72">
        <f>IF(AND(AZ$4=1,AZ22=0),1,0)</f>
        <v/>
      </c>
      <c r="BA72">
        <f>IF(AND(BA$4=1,BA22=0),1,0)</f>
        <v/>
      </c>
      <c r="BB72">
        <f>IF(AND(BB$4=1,BB22=0),1,0)</f>
        <v/>
      </c>
      <c r="BC72">
        <f>IF(AND(BC$4=1,BC22=0),1,0)</f>
        <v/>
      </c>
      <c r="BD72">
        <f>IF(AND(BD$4=1,BD22=0),1,0)</f>
        <v/>
      </c>
      <c r="BE72">
        <f>IF(AND(BE$4=1,BE22=0),1,0)</f>
        <v/>
      </c>
      <c r="BF72">
        <f>IF(AND(BF$4=1,BF22=0),1,0)</f>
        <v/>
      </c>
      <c r="BG72">
        <f>IF(AND(BG$4=1,BG22=0),1,0)</f>
        <v/>
      </c>
      <c r="BH72">
        <f>IF(AND(BH$4=1,BH22=0),1,0)</f>
        <v/>
      </c>
      <c r="BI72">
        <f>IF(AND(BI$4=1,BI22=0),1,0)</f>
        <v/>
      </c>
      <c r="BJ72">
        <f>IF(AND(BJ$4=1,BJ22=0),1,0)</f>
        <v/>
      </c>
      <c r="BK72">
        <f>IF(AND(BK$4=1,BK22=0),1,0)</f>
        <v/>
      </c>
      <c r="BL72">
        <f>IF(AND(BL$4=1,BL22=0),1,0)</f>
        <v/>
      </c>
      <c r="BM72">
        <f>IF(AND(BM$4=1,BM22=0),1,0)</f>
        <v/>
      </c>
      <c r="BN72">
        <f>IF(AND(BN$4=1,BN22=0),1,0)</f>
        <v/>
      </c>
      <c r="BO72">
        <f>IF(AND(BO$4=1,BO22=0),1,0)</f>
        <v/>
      </c>
      <c r="BP72">
        <f>IF(AND(BP$4=1,BP22=0),1,0)</f>
        <v/>
      </c>
      <c r="BQ72">
        <f>IF(AND(BQ$4=1,BQ22=0),1,0)</f>
        <v/>
      </c>
      <c r="BR72">
        <f>IF(AND(BR$4=1,BR22=0),1,0)</f>
        <v/>
      </c>
      <c r="BS72">
        <f>IF(AND(BS$4=1,BS22=0),1,0)</f>
        <v/>
      </c>
      <c r="BT72">
        <f>IF(AND(BT$4=1,BT22=0),1,0)</f>
        <v/>
      </c>
      <c r="BU72">
        <f>IF(AND(BU$4=1,BU22=0),1,0)</f>
        <v/>
      </c>
      <c r="BV72">
        <f>IF(AND(BV$4=1,BV22=0),1,0)</f>
        <v/>
      </c>
      <c r="BW72">
        <f>IF(AND(BW$4=1,BW22=0),1,0)</f>
        <v/>
      </c>
      <c r="BX72">
        <f>IF(AND(BX$4=1,BX22=0),1,0)</f>
        <v/>
      </c>
      <c r="BY72">
        <f>IF(AND(BY$4=1,BY22=0),1,0)</f>
        <v/>
      </c>
      <c r="BZ72">
        <f>IF(AND(BZ$4=1,BZ22=0),1,0)</f>
        <v/>
      </c>
      <c r="CA72">
        <f>IF(AND(CA$4=1,CA22=0),1,0)</f>
        <v/>
      </c>
      <c r="CB72">
        <f>IF(AND(CB$4=1,CB22=0),1,0)</f>
        <v/>
      </c>
      <c r="CC72">
        <f>IF(AND(CC$4=1,CC22=0),1,0)</f>
        <v/>
      </c>
      <c r="CD72">
        <f>IF(AND(CD$4=1,CD22=0),1,0)</f>
        <v/>
      </c>
      <c r="CE72">
        <f>IF(AND(CE$4=1,CE22=0),1,0)</f>
        <v/>
      </c>
      <c r="CF72">
        <f>IF(AND(CF$4=1,CF22=0),1,0)</f>
        <v/>
      </c>
      <c r="CG72">
        <f>IF(AND(CG$4=1,CG22=0),1,0)</f>
        <v/>
      </c>
      <c r="CH72">
        <f>IF(AND(CH$4=1,CH22=0),1,0)</f>
        <v/>
      </c>
      <c r="CI72">
        <f>IF(AND(CI$4=1,CI22=0),1,0)</f>
        <v/>
      </c>
      <c r="CJ72">
        <f>IF(AND(CJ$4=1,CJ22=0),1,0)</f>
        <v/>
      </c>
      <c r="CK72">
        <f>IF(AND(CK$4=1,CK22=0),1,0)</f>
        <v/>
      </c>
      <c r="CL72">
        <f>IF(AND(CL$4=1,CL22=0),1,0)</f>
        <v/>
      </c>
      <c r="CM72">
        <f>IF(AND(CM$4=1,CM22=0),1,0)</f>
        <v/>
      </c>
      <c r="CN72">
        <f>IF(AND(CN$4=1,CN22=0),1,0)</f>
        <v/>
      </c>
      <c r="CO72">
        <f>IF(AND(CO$4=1,CO22=0),1,0)</f>
        <v/>
      </c>
      <c r="CP72">
        <f>IF(AND(CP$4=1,CP22=0),1,0)</f>
        <v/>
      </c>
      <c r="CQ72">
        <f>IF(AND(CQ$4=1,CQ22=0),1,0)</f>
        <v/>
      </c>
      <c r="CR72">
        <f>IF(AND(CR$4=1,CR22=0),1,0)</f>
        <v/>
      </c>
      <c r="CS72">
        <f>IF(AND(CS$4=1,CS22=0),1,0)</f>
        <v/>
      </c>
      <c r="CT72">
        <f>IF(AND(CT$4=1,CT22=0),1,0)</f>
        <v/>
      </c>
      <c r="CU72">
        <f>IF(AND(CU$4=1,CU22=0),1,0)</f>
        <v/>
      </c>
      <c r="CV72">
        <f>IF(AND(CV$4=1,CV22=0),1,0)</f>
        <v/>
      </c>
      <c r="CW72">
        <f>IF(AND(CW$4=1,CW22=0),1,0)</f>
        <v/>
      </c>
      <c r="CX72">
        <f>IF(AND(CX$4=1,CX22=0),1,0)</f>
        <v/>
      </c>
      <c r="CY72">
        <f>IF(AND(CY$4=1,CY22=0),1,0)</f>
        <v/>
      </c>
      <c r="CZ72">
        <f>IF(AND(CZ$4=1,CZ22=0),1,0)</f>
        <v/>
      </c>
      <c r="DA72">
        <f>IF(AND(DA$4=1,DA22=0),1,0)</f>
        <v/>
      </c>
      <c r="DB72">
        <f>IF(AND(DB$4=1,DB22=0),1,0)</f>
        <v/>
      </c>
      <c r="DC72">
        <f>IF(AND(DC$4=1,DC22=0),1,0)</f>
        <v/>
      </c>
      <c r="DD72">
        <f>IF(AND(DD$4=1,DD22=0),1,0)</f>
        <v/>
      </c>
      <c r="DE72">
        <f>IF(AND(DE$4=1,DE22=0),1,0)</f>
        <v/>
      </c>
      <c r="DF72">
        <f>IF(AND(DF$4=1,DF22=0),1,0)</f>
        <v/>
      </c>
      <c r="DG72">
        <f>IF(AND(DG$4=1,DG22=0),1,0)</f>
        <v/>
      </c>
      <c r="DH72">
        <f>IF(AND(DH$4=1,DH22=0),1,0)</f>
        <v/>
      </c>
      <c r="DI72">
        <f>IF(AND(DI$4=1,DI22=0),1,0)</f>
        <v/>
      </c>
      <c r="DJ72">
        <f>IF(AND(DJ$4=1,DJ22=0),1,0)</f>
        <v/>
      </c>
      <c r="DK72">
        <f>IF(AND(DK$4=1,DK22=0),1,0)</f>
        <v/>
      </c>
      <c r="DL72">
        <f>IF(AND(DL$4=1,DL22=0),1,0)</f>
        <v/>
      </c>
      <c r="DM72">
        <f>IF(AND(DM$4=1,DM22=0),1,0)</f>
        <v/>
      </c>
      <c r="DN72">
        <f>IF(AND(DN$4=1,DN22=0),1,0)</f>
        <v/>
      </c>
      <c r="DO72">
        <f>IF(AND(DO$4=1,DO22=0),1,0)</f>
        <v/>
      </c>
      <c r="DP72">
        <f>IF(AND(DP$4=1,DP22=0),1,0)</f>
        <v/>
      </c>
      <c r="DQ72">
        <f>IF(AND(DQ$4=1,DQ22=0),1,0)</f>
        <v/>
      </c>
      <c r="DR72">
        <f>IF(AND(DR$4=1,DR22=0),1,0)</f>
        <v/>
      </c>
      <c r="DS72">
        <f>IF(AND(DS$4=1,DS22=0),1,0)</f>
        <v/>
      </c>
    </row>
    <row r="73">
      <c r="A73" t="n">
        <v>14</v>
      </c>
      <c r="D73">
        <f>IF(AND(D$4=1,D23=0),1,0)</f>
        <v/>
      </c>
      <c r="E73">
        <f>IF(AND(E$4=1,E23=0),1,0)</f>
        <v/>
      </c>
      <c r="F73">
        <f>IF(AND(F$4=1,F23=0),1,0)</f>
        <v/>
      </c>
      <c r="G73">
        <f>IF(AND(G$4=1,G23=0),1,0)</f>
        <v/>
      </c>
      <c r="H73">
        <f>IF(AND(H$4=1,H23=0),1,0)</f>
        <v/>
      </c>
      <c r="I73">
        <f>IF(AND(I$4=1,I23=0),1,0)</f>
        <v/>
      </c>
      <c r="J73">
        <f>IF(AND(J$4=1,J23=0),1,0)</f>
        <v/>
      </c>
      <c r="K73">
        <f>IF(AND(K$4=1,K23=0),1,0)</f>
        <v/>
      </c>
      <c r="L73">
        <f>IF(AND(L$4=1,L23=0),1,0)</f>
        <v/>
      </c>
      <c r="M73">
        <f>IF(AND(M$4=1,M23=0),1,0)</f>
        <v/>
      </c>
      <c r="N73">
        <f>IF(AND(N$4=1,N23=0),1,0)</f>
        <v/>
      </c>
      <c r="O73">
        <f>IF(AND(O$4=1,O23=0),1,0)</f>
        <v/>
      </c>
      <c r="P73">
        <f>IF(AND(P$4=1,P23=0),1,0)</f>
        <v/>
      </c>
      <c r="Q73">
        <f>IF(AND(Q$4=1,Q23=0),1,0)</f>
        <v/>
      </c>
      <c r="R73">
        <f>IF(AND(R$4=1,R23=0),1,0)</f>
        <v/>
      </c>
      <c r="S73">
        <f>IF(AND(S$4=1,S23=0),1,0)</f>
        <v/>
      </c>
      <c r="T73">
        <f>IF(AND(T$4=1,T23=0),1,0)</f>
        <v/>
      </c>
      <c r="U73">
        <f>IF(AND(U$4=1,U23=0),1,0)</f>
        <v/>
      </c>
      <c r="V73">
        <f>IF(AND(V$4=1,V23=0),1,0)</f>
        <v/>
      </c>
      <c r="W73">
        <f>IF(AND(W$4=1,W23=0),1,0)</f>
        <v/>
      </c>
      <c r="X73">
        <f>IF(AND(X$4=1,X23=0),1,0)</f>
        <v/>
      </c>
      <c r="Y73">
        <f>IF(AND(Y$4=1,Y23=0),1,0)</f>
        <v/>
      </c>
      <c r="Z73">
        <f>IF(AND(Z$4=1,Z23=0),1,0)</f>
        <v/>
      </c>
      <c r="AA73">
        <f>IF(AND(AA$4=1,AA23=0),1,0)</f>
        <v/>
      </c>
      <c r="AB73">
        <f>IF(AND(AB$4=1,AB23=0),1,0)</f>
        <v/>
      </c>
      <c r="AC73">
        <f>IF(AND(AC$4=1,AC23=0),1,0)</f>
        <v/>
      </c>
      <c r="AD73">
        <f>IF(AND(AD$4=1,AD23=0),1,0)</f>
        <v/>
      </c>
      <c r="AE73">
        <f>IF(AND(AE$4=1,AE23=0),1,0)</f>
        <v/>
      </c>
      <c r="AF73">
        <f>IF(AND(AF$4=1,AF23=0),1,0)</f>
        <v/>
      </c>
      <c r="AG73">
        <f>IF(AND(AG$4=1,AG23=0),1,0)</f>
        <v/>
      </c>
      <c r="AH73">
        <f>IF(AND(AH$4=1,AH23=0),1,0)</f>
        <v/>
      </c>
      <c r="AI73">
        <f>IF(AND(AI$4=1,AI23=0),1,0)</f>
        <v/>
      </c>
      <c r="AJ73">
        <f>IF(AND(AJ$4=1,AJ23=0),1,0)</f>
        <v/>
      </c>
      <c r="AK73">
        <f>IF(AND(AK$4=1,AK23=0),1,0)</f>
        <v/>
      </c>
      <c r="AL73">
        <f>IF(AND(AL$4=1,AL23=0),1,0)</f>
        <v/>
      </c>
      <c r="AM73">
        <f>IF(AND(AM$4=1,AM23=0),1,0)</f>
        <v/>
      </c>
      <c r="AN73">
        <f>IF(AND(AN$4=1,AN23=0),1,0)</f>
        <v/>
      </c>
      <c r="AO73">
        <f>IF(AND(AO$4=1,AO23=0),1,0)</f>
        <v/>
      </c>
      <c r="AP73">
        <f>IF(AND(AP$4=1,AP23=0),1,0)</f>
        <v/>
      </c>
      <c r="AQ73">
        <f>IF(AND(AQ$4=1,AQ23=0),1,0)</f>
        <v/>
      </c>
      <c r="AR73">
        <f>IF(AND(AR$4=1,AR23=0),1,0)</f>
        <v/>
      </c>
      <c r="AS73">
        <f>IF(AND(AS$4=1,AS23=0),1,0)</f>
        <v/>
      </c>
      <c r="AT73">
        <f>IF(AND(AT$4=1,AT23=0),1,0)</f>
        <v/>
      </c>
      <c r="AU73">
        <f>IF(AND(AU$4=1,AU23=0),1,0)</f>
        <v/>
      </c>
      <c r="AV73">
        <f>IF(AND(AV$4=1,AV23=0),1,0)</f>
        <v/>
      </c>
      <c r="AW73">
        <f>IF(AND(AW$4=1,AW23=0),1,0)</f>
        <v/>
      </c>
      <c r="AX73">
        <f>IF(AND(AX$4=1,AX23=0),1,0)</f>
        <v/>
      </c>
      <c r="AY73">
        <f>IF(AND(AY$4=1,AY23=0),1,0)</f>
        <v/>
      </c>
      <c r="AZ73">
        <f>IF(AND(AZ$4=1,AZ23=0),1,0)</f>
        <v/>
      </c>
      <c r="BA73">
        <f>IF(AND(BA$4=1,BA23=0),1,0)</f>
        <v/>
      </c>
      <c r="BB73">
        <f>IF(AND(BB$4=1,BB23=0),1,0)</f>
        <v/>
      </c>
      <c r="BC73">
        <f>IF(AND(BC$4=1,BC23=0),1,0)</f>
        <v/>
      </c>
      <c r="BD73">
        <f>IF(AND(BD$4=1,BD23=0),1,0)</f>
        <v/>
      </c>
      <c r="BE73">
        <f>IF(AND(BE$4=1,BE23=0),1,0)</f>
        <v/>
      </c>
      <c r="BF73">
        <f>IF(AND(BF$4=1,BF23=0),1,0)</f>
        <v/>
      </c>
      <c r="BG73">
        <f>IF(AND(BG$4=1,BG23=0),1,0)</f>
        <v/>
      </c>
      <c r="BH73">
        <f>IF(AND(BH$4=1,BH23=0),1,0)</f>
        <v/>
      </c>
      <c r="BI73">
        <f>IF(AND(BI$4=1,BI23=0),1,0)</f>
        <v/>
      </c>
      <c r="BJ73">
        <f>IF(AND(BJ$4=1,BJ23=0),1,0)</f>
        <v/>
      </c>
      <c r="BK73">
        <f>IF(AND(BK$4=1,BK23=0),1,0)</f>
        <v/>
      </c>
      <c r="BL73">
        <f>IF(AND(BL$4=1,BL23=0),1,0)</f>
        <v/>
      </c>
      <c r="BM73">
        <f>IF(AND(BM$4=1,BM23=0),1,0)</f>
        <v/>
      </c>
      <c r="BN73">
        <f>IF(AND(BN$4=1,BN23=0),1,0)</f>
        <v/>
      </c>
      <c r="BO73">
        <f>IF(AND(BO$4=1,BO23=0),1,0)</f>
        <v/>
      </c>
      <c r="BP73">
        <f>IF(AND(BP$4=1,BP23=0),1,0)</f>
        <v/>
      </c>
      <c r="BQ73">
        <f>IF(AND(BQ$4=1,BQ23=0),1,0)</f>
        <v/>
      </c>
      <c r="BR73">
        <f>IF(AND(BR$4=1,BR23=0),1,0)</f>
        <v/>
      </c>
      <c r="BS73">
        <f>IF(AND(BS$4=1,BS23=0),1,0)</f>
        <v/>
      </c>
      <c r="BT73">
        <f>IF(AND(BT$4=1,BT23=0),1,0)</f>
        <v/>
      </c>
      <c r="BU73">
        <f>IF(AND(BU$4=1,BU23=0),1,0)</f>
        <v/>
      </c>
      <c r="BV73">
        <f>IF(AND(BV$4=1,BV23=0),1,0)</f>
        <v/>
      </c>
      <c r="BW73">
        <f>IF(AND(BW$4=1,BW23=0),1,0)</f>
        <v/>
      </c>
      <c r="BX73">
        <f>IF(AND(BX$4=1,BX23=0),1,0)</f>
        <v/>
      </c>
      <c r="BY73">
        <f>IF(AND(BY$4=1,BY23=0),1,0)</f>
        <v/>
      </c>
      <c r="BZ73">
        <f>IF(AND(BZ$4=1,BZ23=0),1,0)</f>
        <v/>
      </c>
      <c r="CA73">
        <f>IF(AND(CA$4=1,CA23=0),1,0)</f>
        <v/>
      </c>
      <c r="CB73">
        <f>IF(AND(CB$4=1,CB23=0),1,0)</f>
        <v/>
      </c>
      <c r="CC73">
        <f>IF(AND(CC$4=1,CC23=0),1,0)</f>
        <v/>
      </c>
      <c r="CD73">
        <f>IF(AND(CD$4=1,CD23=0),1,0)</f>
        <v/>
      </c>
      <c r="CE73">
        <f>IF(AND(CE$4=1,CE23=0),1,0)</f>
        <v/>
      </c>
      <c r="CF73">
        <f>IF(AND(CF$4=1,CF23=0),1,0)</f>
        <v/>
      </c>
      <c r="CG73">
        <f>IF(AND(CG$4=1,CG23=0),1,0)</f>
        <v/>
      </c>
      <c r="CH73">
        <f>IF(AND(CH$4=1,CH23=0),1,0)</f>
        <v/>
      </c>
      <c r="CI73">
        <f>IF(AND(CI$4=1,CI23=0),1,0)</f>
        <v/>
      </c>
      <c r="CJ73">
        <f>IF(AND(CJ$4=1,CJ23=0),1,0)</f>
        <v/>
      </c>
      <c r="CK73">
        <f>IF(AND(CK$4=1,CK23=0),1,0)</f>
        <v/>
      </c>
      <c r="CL73">
        <f>IF(AND(CL$4=1,CL23=0),1,0)</f>
        <v/>
      </c>
      <c r="CM73">
        <f>IF(AND(CM$4=1,CM23=0),1,0)</f>
        <v/>
      </c>
      <c r="CN73">
        <f>IF(AND(CN$4=1,CN23=0),1,0)</f>
        <v/>
      </c>
      <c r="CO73">
        <f>IF(AND(CO$4=1,CO23=0),1,0)</f>
        <v/>
      </c>
      <c r="CP73">
        <f>IF(AND(CP$4=1,CP23=0),1,0)</f>
        <v/>
      </c>
      <c r="CQ73">
        <f>IF(AND(CQ$4=1,CQ23=0),1,0)</f>
        <v/>
      </c>
      <c r="CR73">
        <f>IF(AND(CR$4=1,CR23=0),1,0)</f>
        <v/>
      </c>
      <c r="CS73">
        <f>IF(AND(CS$4=1,CS23=0),1,0)</f>
        <v/>
      </c>
      <c r="CT73">
        <f>IF(AND(CT$4=1,CT23=0),1,0)</f>
        <v/>
      </c>
      <c r="CU73">
        <f>IF(AND(CU$4=1,CU23=0),1,0)</f>
        <v/>
      </c>
      <c r="CV73">
        <f>IF(AND(CV$4=1,CV23=0),1,0)</f>
        <v/>
      </c>
      <c r="CW73">
        <f>IF(AND(CW$4=1,CW23=0),1,0)</f>
        <v/>
      </c>
      <c r="CX73">
        <f>IF(AND(CX$4=1,CX23=0),1,0)</f>
        <v/>
      </c>
      <c r="CY73">
        <f>IF(AND(CY$4=1,CY23=0),1,0)</f>
        <v/>
      </c>
      <c r="CZ73">
        <f>IF(AND(CZ$4=1,CZ23=0),1,0)</f>
        <v/>
      </c>
      <c r="DA73">
        <f>IF(AND(DA$4=1,DA23=0),1,0)</f>
        <v/>
      </c>
      <c r="DB73">
        <f>IF(AND(DB$4=1,DB23=0),1,0)</f>
        <v/>
      </c>
      <c r="DC73">
        <f>IF(AND(DC$4=1,DC23=0),1,0)</f>
        <v/>
      </c>
      <c r="DD73">
        <f>IF(AND(DD$4=1,DD23=0),1,0)</f>
        <v/>
      </c>
      <c r="DE73">
        <f>IF(AND(DE$4=1,DE23=0),1,0)</f>
        <v/>
      </c>
      <c r="DF73">
        <f>IF(AND(DF$4=1,DF23=0),1,0)</f>
        <v/>
      </c>
      <c r="DG73">
        <f>IF(AND(DG$4=1,DG23=0),1,0)</f>
        <v/>
      </c>
      <c r="DH73">
        <f>IF(AND(DH$4=1,DH23=0),1,0)</f>
        <v/>
      </c>
      <c r="DI73">
        <f>IF(AND(DI$4=1,DI23=0),1,0)</f>
        <v/>
      </c>
      <c r="DJ73">
        <f>IF(AND(DJ$4=1,DJ23=0),1,0)</f>
        <v/>
      </c>
      <c r="DK73">
        <f>IF(AND(DK$4=1,DK23=0),1,0)</f>
        <v/>
      </c>
      <c r="DL73">
        <f>IF(AND(DL$4=1,DL23=0),1,0)</f>
        <v/>
      </c>
      <c r="DM73">
        <f>IF(AND(DM$4=1,DM23=0),1,0)</f>
        <v/>
      </c>
      <c r="DN73">
        <f>IF(AND(DN$4=1,DN23=0),1,0)</f>
        <v/>
      </c>
      <c r="DO73">
        <f>IF(AND(DO$4=1,DO23=0),1,0)</f>
        <v/>
      </c>
      <c r="DP73">
        <f>IF(AND(DP$4=1,DP23=0),1,0)</f>
        <v/>
      </c>
      <c r="DQ73">
        <f>IF(AND(DQ$4=1,DQ23=0),1,0)</f>
        <v/>
      </c>
      <c r="DR73">
        <f>IF(AND(DR$4=1,DR23=0),1,0)</f>
        <v/>
      </c>
      <c r="DS73">
        <f>IF(AND(DS$4=1,DS23=0),1,0)</f>
        <v/>
      </c>
    </row>
    <row r="74">
      <c r="A74" t="n">
        <v>15</v>
      </c>
      <c r="D74">
        <f>IF(AND(D$4=1,D24=0),1,0)</f>
        <v/>
      </c>
      <c r="E74">
        <f>IF(AND(E$4=1,E24=0),1,0)</f>
        <v/>
      </c>
      <c r="F74">
        <f>IF(AND(F$4=1,F24=0),1,0)</f>
        <v/>
      </c>
      <c r="G74">
        <f>IF(AND(G$4=1,G24=0),1,0)</f>
        <v/>
      </c>
      <c r="H74">
        <f>IF(AND(H$4=1,H24=0),1,0)</f>
        <v/>
      </c>
      <c r="I74">
        <f>IF(AND(I$4=1,I24=0),1,0)</f>
        <v/>
      </c>
      <c r="J74">
        <f>IF(AND(J$4=1,J24=0),1,0)</f>
        <v/>
      </c>
      <c r="K74">
        <f>IF(AND(K$4=1,K24=0),1,0)</f>
        <v/>
      </c>
      <c r="L74">
        <f>IF(AND(L$4=1,L24=0),1,0)</f>
        <v/>
      </c>
      <c r="M74">
        <f>IF(AND(M$4=1,M24=0),1,0)</f>
        <v/>
      </c>
      <c r="N74">
        <f>IF(AND(N$4=1,N24=0),1,0)</f>
        <v/>
      </c>
      <c r="O74">
        <f>IF(AND(O$4=1,O24=0),1,0)</f>
        <v/>
      </c>
      <c r="P74">
        <f>IF(AND(P$4=1,P24=0),1,0)</f>
        <v/>
      </c>
      <c r="Q74">
        <f>IF(AND(Q$4=1,Q24=0),1,0)</f>
        <v/>
      </c>
      <c r="R74">
        <f>IF(AND(R$4=1,R24=0),1,0)</f>
        <v/>
      </c>
      <c r="S74">
        <f>IF(AND(S$4=1,S24=0),1,0)</f>
        <v/>
      </c>
      <c r="T74">
        <f>IF(AND(T$4=1,T24=0),1,0)</f>
        <v/>
      </c>
      <c r="U74">
        <f>IF(AND(U$4=1,U24=0),1,0)</f>
        <v/>
      </c>
      <c r="V74">
        <f>IF(AND(V$4=1,V24=0),1,0)</f>
        <v/>
      </c>
      <c r="W74">
        <f>IF(AND(W$4=1,W24=0),1,0)</f>
        <v/>
      </c>
      <c r="X74">
        <f>IF(AND(X$4=1,X24=0),1,0)</f>
        <v/>
      </c>
      <c r="Y74">
        <f>IF(AND(Y$4=1,Y24=0),1,0)</f>
        <v/>
      </c>
      <c r="Z74">
        <f>IF(AND(Z$4=1,Z24=0),1,0)</f>
        <v/>
      </c>
      <c r="AA74">
        <f>IF(AND(AA$4=1,AA24=0),1,0)</f>
        <v/>
      </c>
      <c r="AB74">
        <f>IF(AND(AB$4=1,AB24=0),1,0)</f>
        <v/>
      </c>
      <c r="AC74">
        <f>IF(AND(AC$4=1,AC24=0),1,0)</f>
        <v/>
      </c>
      <c r="AD74">
        <f>IF(AND(AD$4=1,AD24=0),1,0)</f>
        <v/>
      </c>
      <c r="AE74">
        <f>IF(AND(AE$4=1,AE24=0),1,0)</f>
        <v/>
      </c>
      <c r="AF74">
        <f>IF(AND(AF$4=1,AF24=0),1,0)</f>
        <v/>
      </c>
      <c r="AG74">
        <f>IF(AND(AG$4=1,AG24=0),1,0)</f>
        <v/>
      </c>
      <c r="AH74">
        <f>IF(AND(AH$4=1,AH24=0),1,0)</f>
        <v/>
      </c>
      <c r="AI74">
        <f>IF(AND(AI$4=1,AI24=0),1,0)</f>
        <v/>
      </c>
      <c r="AJ74">
        <f>IF(AND(AJ$4=1,AJ24=0),1,0)</f>
        <v/>
      </c>
      <c r="AK74">
        <f>IF(AND(AK$4=1,AK24=0),1,0)</f>
        <v/>
      </c>
      <c r="AL74">
        <f>IF(AND(AL$4=1,AL24=0),1,0)</f>
        <v/>
      </c>
      <c r="AM74">
        <f>IF(AND(AM$4=1,AM24=0),1,0)</f>
        <v/>
      </c>
      <c r="AN74">
        <f>IF(AND(AN$4=1,AN24=0),1,0)</f>
        <v/>
      </c>
      <c r="AO74">
        <f>IF(AND(AO$4=1,AO24=0),1,0)</f>
        <v/>
      </c>
      <c r="AP74">
        <f>IF(AND(AP$4=1,AP24=0),1,0)</f>
        <v/>
      </c>
      <c r="AQ74">
        <f>IF(AND(AQ$4=1,AQ24=0),1,0)</f>
        <v/>
      </c>
      <c r="AR74">
        <f>IF(AND(AR$4=1,AR24=0),1,0)</f>
        <v/>
      </c>
      <c r="AS74">
        <f>IF(AND(AS$4=1,AS24=0),1,0)</f>
        <v/>
      </c>
      <c r="AT74">
        <f>IF(AND(AT$4=1,AT24=0),1,0)</f>
        <v/>
      </c>
      <c r="AU74">
        <f>IF(AND(AU$4=1,AU24=0),1,0)</f>
        <v/>
      </c>
      <c r="AV74">
        <f>IF(AND(AV$4=1,AV24=0),1,0)</f>
        <v/>
      </c>
      <c r="AW74">
        <f>IF(AND(AW$4=1,AW24=0),1,0)</f>
        <v/>
      </c>
      <c r="AX74">
        <f>IF(AND(AX$4=1,AX24=0),1,0)</f>
        <v/>
      </c>
      <c r="AY74">
        <f>IF(AND(AY$4=1,AY24=0),1,0)</f>
        <v/>
      </c>
      <c r="AZ74">
        <f>IF(AND(AZ$4=1,AZ24=0),1,0)</f>
        <v/>
      </c>
      <c r="BA74">
        <f>IF(AND(BA$4=1,BA24=0),1,0)</f>
        <v/>
      </c>
      <c r="BB74">
        <f>IF(AND(BB$4=1,BB24=0),1,0)</f>
        <v/>
      </c>
      <c r="BC74">
        <f>IF(AND(BC$4=1,BC24=0),1,0)</f>
        <v/>
      </c>
      <c r="BD74">
        <f>IF(AND(BD$4=1,BD24=0),1,0)</f>
        <v/>
      </c>
      <c r="BE74">
        <f>IF(AND(BE$4=1,BE24=0),1,0)</f>
        <v/>
      </c>
      <c r="BF74">
        <f>IF(AND(BF$4=1,BF24=0),1,0)</f>
        <v/>
      </c>
      <c r="BG74">
        <f>IF(AND(BG$4=1,BG24=0),1,0)</f>
        <v/>
      </c>
      <c r="BH74">
        <f>IF(AND(BH$4=1,BH24=0),1,0)</f>
        <v/>
      </c>
      <c r="BI74">
        <f>IF(AND(BI$4=1,BI24=0),1,0)</f>
        <v/>
      </c>
      <c r="BJ74">
        <f>IF(AND(BJ$4=1,BJ24=0),1,0)</f>
        <v/>
      </c>
      <c r="BK74">
        <f>IF(AND(BK$4=1,BK24=0),1,0)</f>
        <v/>
      </c>
      <c r="BL74">
        <f>IF(AND(BL$4=1,BL24=0),1,0)</f>
        <v/>
      </c>
      <c r="BM74">
        <f>IF(AND(BM$4=1,BM24=0),1,0)</f>
        <v/>
      </c>
      <c r="BN74">
        <f>IF(AND(BN$4=1,BN24=0),1,0)</f>
        <v/>
      </c>
      <c r="BO74">
        <f>IF(AND(BO$4=1,BO24=0),1,0)</f>
        <v/>
      </c>
      <c r="BP74">
        <f>IF(AND(BP$4=1,BP24=0),1,0)</f>
        <v/>
      </c>
      <c r="BQ74">
        <f>IF(AND(BQ$4=1,BQ24=0),1,0)</f>
        <v/>
      </c>
      <c r="BR74">
        <f>IF(AND(BR$4=1,BR24=0),1,0)</f>
        <v/>
      </c>
      <c r="BS74">
        <f>IF(AND(BS$4=1,BS24=0),1,0)</f>
        <v/>
      </c>
      <c r="BT74">
        <f>IF(AND(BT$4=1,BT24=0),1,0)</f>
        <v/>
      </c>
      <c r="BU74">
        <f>IF(AND(BU$4=1,BU24=0),1,0)</f>
        <v/>
      </c>
      <c r="BV74">
        <f>IF(AND(BV$4=1,BV24=0),1,0)</f>
        <v/>
      </c>
      <c r="BW74">
        <f>IF(AND(BW$4=1,BW24=0),1,0)</f>
        <v/>
      </c>
      <c r="BX74">
        <f>IF(AND(BX$4=1,BX24=0),1,0)</f>
        <v/>
      </c>
      <c r="BY74">
        <f>IF(AND(BY$4=1,BY24=0),1,0)</f>
        <v/>
      </c>
      <c r="BZ74">
        <f>IF(AND(BZ$4=1,BZ24=0),1,0)</f>
        <v/>
      </c>
      <c r="CA74">
        <f>IF(AND(CA$4=1,CA24=0),1,0)</f>
        <v/>
      </c>
      <c r="CB74">
        <f>IF(AND(CB$4=1,CB24=0),1,0)</f>
        <v/>
      </c>
      <c r="CC74">
        <f>IF(AND(CC$4=1,CC24=0),1,0)</f>
        <v/>
      </c>
      <c r="CD74">
        <f>IF(AND(CD$4=1,CD24=0),1,0)</f>
        <v/>
      </c>
      <c r="CE74">
        <f>IF(AND(CE$4=1,CE24=0),1,0)</f>
        <v/>
      </c>
      <c r="CF74">
        <f>IF(AND(CF$4=1,CF24=0),1,0)</f>
        <v/>
      </c>
      <c r="CG74">
        <f>IF(AND(CG$4=1,CG24=0),1,0)</f>
        <v/>
      </c>
      <c r="CH74">
        <f>IF(AND(CH$4=1,CH24=0),1,0)</f>
        <v/>
      </c>
      <c r="CI74">
        <f>IF(AND(CI$4=1,CI24=0),1,0)</f>
        <v/>
      </c>
      <c r="CJ74">
        <f>IF(AND(CJ$4=1,CJ24=0),1,0)</f>
        <v/>
      </c>
      <c r="CK74">
        <f>IF(AND(CK$4=1,CK24=0),1,0)</f>
        <v/>
      </c>
      <c r="CL74">
        <f>IF(AND(CL$4=1,CL24=0),1,0)</f>
        <v/>
      </c>
      <c r="CM74">
        <f>IF(AND(CM$4=1,CM24=0),1,0)</f>
        <v/>
      </c>
      <c r="CN74">
        <f>IF(AND(CN$4=1,CN24=0),1,0)</f>
        <v/>
      </c>
      <c r="CO74">
        <f>IF(AND(CO$4=1,CO24=0),1,0)</f>
        <v/>
      </c>
      <c r="CP74">
        <f>IF(AND(CP$4=1,CP24=0),1,0)</f>
        <v/>
      </c>
      <c r="CQ74">
        <f>IF(AND(CQ$4=1,CQ24=0),1,0)</f>
        <v/>
      </c>
      <c r="CR74">
        <f>IF(AND(CR$4=1,CR24=0),1,0)</f>
        <v/>
      </c>
      <c r="CS74">
        <f>IF(AND(CS$4=1,CS24=0),1,0)</f>
        <v/>
      </c>
      <c r="CT74">
        <f>IF(AND(CT$4=1,CT24=0),1,0)</f>
        <v/>
      </c>
      <c r="CU74">
        <f>IF(AND(CU$4=1,CU24=0),1,0)</f>
        <v/>
      </c>
      <c r="CV74">
        <f>IF(AND(CV$4=1,CV24=0),1,0)</f>
        <v/>
      </c>
      <c r="CW74">
        <f>IF(AND(CW$4=1,CW24=0),1,0)</f>
        <v/>
      </c>
      <c r="CX74">
        <f>IF(AND(CX$4=1,CX24=0),1,0)</f>
        <v/>
      </c>
      <c r="CY74">
        <f>IF(AND(CY$4=1,CY24=0),1,0)</f>
        <v/>
      </c>
      <c r="CZ74">
        <f>IF(AND(CZ$4=1,CZ24=0),1,0)</f>
        <v/>
      </c>
      <c r="DA74">
        <f>IF(AND(DA$4=1,DA24=0),1,0)</f>
        <v/>
      </c>
      <c r="DB74">
        <f>IF(AND(DB$4=1,DB24=0),1,0)</f>
        <v/>
      </c>
      <c r="DC74">
        <f>IF(AND(DC$4=1,DC24=0),1,0)</f>
        <v/>
      </c>
      <c r="DD74">
        <f>IF(AND(DD$4=1,DD24=0),1,0)</f>
        <v/>
      </c>
      <c r="DE74">
        <f>IF(AND(DE$4=1,DE24=0),1,0)</f>
        <v/>
      </c>
      <c r="DF74">
        <f>IF(AND(DF$4=1,DF24=0),1,0)</f>
        <v/>
      </c>
      <c r="DG74">
        <f>IF(AND(DG$4=1,DG24=0),1,0)</f>
        <v/>
      </c>
      <c r="DH74">
        <f>IF(AND(DH$4=1,DH24=0),1,0)</f>
        <v/>
      </c>
      <c r="DI74">
        <f>IF(AND(DI$4=1,DI24=0),1,0)</f>
        <v/>
      </c>
      <c r="DJ74">
        <f>IF(AND(DJ$4=1,DJ24=0),1,0)</f>
        <v/>
      </c>
      <c r="DK74">
        <f>IF(AND(DK$4=1,DK24=0),1,0)</f>
        <v/>
      </c>
      <c r="DL74">
        <f>IF(AND(DL$4=1,DL24=0),1,0)</f>
        <v/>
      </c>
      <c r="DM74">
        <f>IF(AND(DM$4=1,DM24=0),1,0)</f>
        <v/>
      </c>
      <c r="DN74">
        <f>IF(AND(DN$4=1,DN24=0),1,0)</f>
        <v/>
      </c>
      <c r="DO74">
        <f>IF(AND(DO$4=1,DO24=0),1,0)</f>
        <v/>
      </c>
      <c r="DP74">
        <f>IF(AND(DP$4=1,DP24=0),1,0)</f>
        <v/>
      </c>
      <c r="DQ74">
        <f>IF(AND(DQ$4=1,DQ24=0),1,0)</f>
        <v/>
      </c>
      <c r="DR74">
        <f>IF(AND(DR$4=1,DR24=0),1,0)</f>
        <v/>
      </c>
      <c r="DS74">
        <f>IF(AND(DS$4=1,DS24=0),1,0)</f>
        <v/>
      </c>
    </row>
    <row r="75">
      <c r="A75" t="n">
        <v>16</v>
      </c>
      <c r="D75">
        <f>IF(AND(D$4=1,D25=0),1,0)</f>
        <v/>
      </c>
      <c r="E75">
        <f>IF(AND(E$4=1,E25=0),1,0)</f>
        <v/>
      </c>
      <c r="F75">
        <f>IF(AND(F$4=1,F25=0),1,0)</f>
        <v/>
      </c>
      <c r="G75">
        <f>IF(AND(G$4=1,G25=0),1,0)</f>
        <v/>
      </c>
      <c r="H75">
        <f>IF(AND(H$4=1,H25=0),1,0)</f>
        <v/>
      </c>
      <c r="I75">
        <f>IF(AND(I$4=1,I25=0),1,0)</f>
        <v/>
      </c>
      <c r="J75">
        <f>IF(AND(J$4=1,J25=0),1,0)</f>
        <v/>
      </c>
      <c r="K75">
        <f>IF(AND(K$4=1,K25=0),1,0)</f>
        <v/>
      </c>
      <c r="L75">
        <f>IF(AND(L$4=1,L25=0),1,0)</f>
        <v/>
      </c>
      <c r="M75">
        <f>IF(AND(M$4=1,M25=0),1,0)</f>
        <v/>
      </c>
      <c r="N75">
        <f>IF(AND(N$4=1,N25=0),1,0)</f>
        <v/>
      </c>
      <c r="O75">
        <f>IF(AND(O$4=1,O25=0),1,0)</f>
        <v/>
      </c>
      <c r="P75">
        <f>IF(AND(P$4=1,P25=0),1,0)</f>
        <v/>
      </c>
      <c r="Q75">
        <f>IF(AND(Q$4=1,Q25=0),1,0)</f>
        <v/>
      </c>
      <c r="R75">
        <f>IF(AND(R$4=1,R25=0),1,0)</f>
        <v/>
      </c>
      <c r="S75">
        <f>IF(AND(S$4=1,S25=0),1,0)</f>
        <v/>
      </c>
      <c r="T75">
        <f>IF(AND(T$4=1,T25=0),1,0)</f>
        <v/>
      </c>
      <c r="U75">
        <f>IF(AND(U$4=1,U25=0),1,0)</f>
        <v/>
      </c>
      <c r="V75">
        <f>IF(AND(V$4=1,V25=0),1,0)</f>
        <v/>
      </c>
      <c r="W75">
        <f>IF(AND(W$4=1,W25=0),1,0)</f>
        <v/>
      </c>
      <c r="X75">
        <f>IF(AND(X$4=1,X25=0),1,0)</f>
        <v/>
      </c>
      <c r="Y75">
        <f>IF(AND(Y$4=1,Y25=0),1,0)</f>
        <v/>
      </c>
      <c r="Z75">
        <f>IF(AND(Z$4=1,Z25=0),1,0)</f>
        <v/>
      </c>
      <c r="AA75">
        <f>IF(AND(AA$4=1,AA25=0),1,0)</f>
        <v/>
      </c>
      <c r="AB75">
        <f>IF(AND(AB$4=1,AB25=0),1,0)</f>
        <v/>
      </c>
      <c r="AC75">
        <f>IF(AND(AC$4=1,AC25=0),1,0)</f>
        <v/>
      </c>
      <c r="AD75">
        <f>IF(AND(AD$4=1,AD25=0),1,0)</f>
        <v/>
      </c>
      <c r="AE75">
        <f>IF(AND(AE$4=1,AE25=0),1,0)</f>
        <v/>
      </c>
      <c r="AF75">
        <f>IF(AND(AF$4=1,AF25=0),1,0)</f>
        <v/>
      </c>
      <c r="AG75">
        <f>IF(AND(AG$4=1,AG25=0),1,0)</f>
        <v/>
      </c>
      <c r="AH75">
        <f>IF(AND(AH$4=1,AH25=0),1,0)</f>
        <v/>
      </c>
      <c r="AI75">
        <f>IF(AND(AI$4=1,AI25=0),1,0)</f>
        <v/>
      </c>
      <c r="AJ75">
        <f>IF(AND(AJ$4=1,AJ25=0),1,0)</f>
        <v/>
      </c>
      <c r="AK75">
        <f>IF(AND(AK$4=1,AK25=0),1,0)</f>
        <v/>
      </c>
      <c r="AL75">
        <f>IF(AND(AL$4=1,AL25=0),1,0)</f>
        <v/>
      </c>
      <c r="AM75">
        <f>IF(AND(AM$4=1,AM25=0),1,0)</f>
        <v/>
      </c>
      <c r="AN75">
        <f>IF(AND(AN$4=1,AN25=0),1,0)</f>
        <v/>
      </c>
      <c r="AO75">
        <f>IF(AND(AO$4=1,AO25=0),1,0)</f>
        <v/>
      </c>
      <c r="AP75">
        <f>IF(AND(AP$4=1,AP25=0),1,0)</f>
        <v/>
      </c>
      <c r="AQ75">
        <f>IF(AND(AQ$4=1,AQ25=0),1,0)</f>
        <v/>
      </c>
      <c r="AR75">
        <f>IF(AND(AR$4=1,AR25=0),1,0)</f>
        <v/>
      </c>
      <c r="AS75">
        <f>IF(AND(AS$4=1,AS25=0),1,0)</f>
        <v/>
      </c>
      <c r="AT75">
        <f>IF(AND(AT$4=1,AT25=0),1,0)</f>
        <v/>
      </c>
      <c r="AU75">
        <f>IF(AND(AU$4=1,AU25=0),1,0)</f>
        <v/>
      </c>
      <c r="AV75">
        <f>IF(AND(AV$4=1,AV25=0),1,0)</f>
        <v/>
      </c>
      <c r="AW75">
        <f>IF(AND(AW$4=1,AW25=0),1,0)</f>
        <v/>
      </c>
      <c r="AX75">
        <f>IF(AND(AX$4=1,AX25=0),1,0)</f>
        <v/>
      </c>
      <c r="AY75">
        <f>IF(AND(AY$4=1,AY25=0),1,0)</f>
        <v/>
      </c>
      <c r="AZ75">
        <f>IF(AND(AZ$4=1,AZ25=0),1,0)</f>
        <v/>
      </c>
      <c r="BA75">
        <f>IF(AND(BA$4=1,BA25=0),1,0)</f>
        <v/>
      </c>
      <c r="BB75">
        <f>IF(AND(BB$4=1,BB25=0),1,0)</f>
        <v/>
      </c>
      <c r="BC75">
        <f>IF(AND(BC$4=1,BC25=0),1,0)</f>
        <v/>
      </c>
      <c r="BD75">
        <f>IF(AND(BD$4=1,BD25=0),1,0)</f>
        <v/>
      </c>
      <c r="BE75">
        <f>IF(AND(BE$4=1,BE25=0),1,0)</f>
        <v/>
      </c>
      <c r="BF75">
        <f>IF(AND(BF$4=1,BF25=0),1,0)</f>
        <v/>
      </c>
      <c r="BG75">
        <f>IF(AND(BG$4=1,BG25=0),1,0)</f>
        <v/>
      </c>
      <c r="BH75">
        <f>IF(AND(BH$4=1,BH25=0),1,0)</f>
        <v/>
      </c>
      <c r="BI75">
        <f>IF(AND(BI$4=1,BI25=0),1,0)</f>
        <v/>
      </c>
      <c r="BJ75">
        <f>IF(AND(BJ$4=1,BJ25=0),1,0)</f>
        <v/>
      </c>
      <c r="BK75">
        <f>IF(AND(BK$4=1,BK25=0),1,0)</f>
        <v/>
      </c>
      <c r="BL75">
        <f>IF(AND(BL$4=1,BL25=0),1,0)</f>
        <v/>
      </c>
      <c r="BM75">
        <f>IF(AND(BM$4=1,BM25=0),1,0)</f>
        <v/>
      </c>
      <c r="BN75">
        <f>IF(AND(BN$4=1,BN25=0),1,0)</f>
        <v/>
      </c>
      <c r="BO75">
        <f>IF(AND(BO$4=1,BO25=0),1,0)</f>
        <v/>
      </c>
      <c r="BP75">
        <f>IF(AND(BP$4=1,BP25=0),1,0)</f>
        <v/>
      </c>
      <c r="BQ75">
        <f>IF(AND(BQ$4=1,BQ25=0),1,0)</f>
        <v/>
      </c>
      <c r="BR75">
        <f>IF(AND(BR$4=1,BR25=0),1,0)</f>
        <v/>
      </c>
      <c r="BS75">
        <f>IF(AND(BS$4=1,BS25=0),1,0)</f>
        <v/>
      </c>
      <c r="BT75">
        <f>IF(AND(BT$4=1,BT25=0),1,0)</f>
        <v/>
      </c>
      <c r="BU75">
        <f>IF(AND(BU$4=1,BU25=0),1,0)</f>
        <v/>
      </c>
      <c r="BV75">
        <f>IF(AND(BV$4=1,BV25=0),1,0)</f>
        <v/>
      </c>
      <c r="BW75">
        <f>IF(AND(BW$4=1,BW25=0),1,0)</f>
        <v/>
      </c>
      <c r="BX75">
        <f>IF(AND(BX$4=1,BX25=0),1,0)</f>
        <v/>
      </c>
      <c r="BY75">
        <f>IF(AND(BY$4=1,BY25=0),1,0)</f>
        <v/>
      </c>
      <c r="BZ75">
        <f>IF(AND(BZ$4=1,BZ25=0),1,0)</f>
        <v/>
      </c>
      <c r="CA75">
        <f>IF(AND(CA$4=1,CA25=0),1,0)</f>
        <v/>
      </c>
      <c r="CB75">
        <f>IF(AND(CB$4=1,CB25=0),1,0)</f>
        <v/>
      </c>
      <c r="CC75">
        <f>IF(AND(CC$4=1,CC25=0),1,0)</f>
        <v/>
      </c>
      <c r="CD75">
        <f>IF(AND(CD$4=1,CD25=0),1,0)</f>
        <v/>
      </c>
      <c r="CE75">
        <f>IF(AND(CE$4=1,CE25=0),1,0)</f>
        <v/>
      </c>
      <c r="CF75">
        <f>IF(AND(CF$4=1,CF25=0),1,0)</f>
        <v/>
      </c>
      <c r="CG75">
        <f>IF(AND(CG$4=1,CG25=0),1,0)</f>
        <v/>
      </c>
      <c r="CH75">
        <f>IF(AND(CH$4=1,CH25=0),1,0)</f>
        <v/>
      </c>
      <c r="CI75">
        <f>IF(AND(CI$4=1,CI25=0),1,0)</f>
        <v/>
      </c>
      <c r="CJ75">
        <f>IF(AND(CJ$4=1,CJ25=0),1,0)</f>
        <v/>
      </c>
      <c r="CK75">
        <f>IF(AND(CK$4=1,CK25=0),1,0)</f>
        <v/>
      </c>
      <c r="CL75">
        <f>IF(AND(CL$4=1,CL25=0),1,0)</f>
        <v/>
      </c>
      <c r="CM75">
        <f>IF(AND(CM$4=1,CM25=0),1,0)</f>
        <v/>
      </c>
      <c r="CN75">
        <f>IF(AND(CN$4=1,CN25=0),1,0)</f>
        <v/>
      </c>
      <c r="CO75">
        <f>IF(AND(CO$4=1,CO25=0),1,0)</f>
        <v/>
      </c>
      <c r="CP75">
        <f>IF(AND(CP$4=1,CP25=0),1,0)</f>
        <v/>
      </c>
      <c r="CQ75">
        <f>IF(AND(CQ$4=1,CQ25=0),1,0)</f>
        <v/>
      </c>
      <c r="CR75">
        <f>IF(AND(CR$4=1,CR25=0),1,0)</f>
        <v/>
      </c>
      <c r="CS75">
        <f>IF(AND(CS$4=1,CS25=0),1,0)</f>
        <v/>
      </c>
      <c r="CT75">
        <f>IF(AND(CT$4=1,CT25=0),1,0)</f>
        <v/>
      </c>
      <c r="CU75">
        <f>IF(AND(CU$4=1,CU25=0),1,0)</f>
        <v/>
      </c>
      <c r="CV75">
        <f>IF(AND(CV$4=1,CV25=0),1,0)</f>
        <v/>
      </c>
      <c r="CW75">
        <f>IF(AND(CW$4=1,CW25=0),1,0)</f>
        <v/>
      </c>
      <c r="CX75">
        <f>IF(AND(CX$4=1,CX25=0),1,0)</f>
        <v/>
      </c>
      <c r="CY75">
        <f>IF(AND(CY$4=1,CY25=0),1,0)</f>
        <v/>
      </c>
      <c r="CZ75">
        <f>IF(AND(CZ$4=1,CZ25=0),1,0)</f>
        <v/>
      </c>
      <c r="DA75">
        <f>IF(AND(DA$4=1,DA25=0),1,0)</f>
        <v/>
      </c>
      <c r="DB75">
        <f>IF(AND(DB$4=1,DB25=0),1,0)</f>
        <v/>
      </c>
      <c r="DC75">
        <f>IF(AND(DC$4=1,DC25=0),1,0)</f>
        <v/>
      </c>
      <c r="DD75">
        <f>IF(AND(DD$4=1,DD25=0),1,0)</f>
        <v/>
      </c>
      <c r="DE75">
        <f>IF(AND(DE$4=1,DE25=0),1,0)</f>
        <v/>
      </c>
      <c r="DF75">
        <f>IF(AND(DF$4=1,DF25=0),1,0)</f>
        <v/>
      </c>
      <c r="DG75">
        <f>IF(AND(DG$4=1,DG25=0),1,0)</f>
        <v/>
      </c>
      <c r="DH75">
        <f>IF(AND(DH$4=1,DH25=0),1,0)</f>
        <v/>
      </c>
      <c r="DI75">
        <f>IF(AND(DI$4=1,DI25=0),1,0)</f>
        <v/>
      </c>
      <c r="DJ75">
        <f>IF(AND(DJ$4=1,DJ25=0),1,0)</f>
        <v/>
      </c>
      <c r="DK75">
        <f>IF(AND(DK$4=1,DK25=0),1,0)</f>
        <v/>
      </c>
      <c r="DL75">
        <f>IF(AND(DL$4=1,DL25=0),1,0)</f>
        <v/>
      </c>
      <c r="DM75">
        <f>IF(AND(DM$4=1,DM25=0),1,0)</f>
        <v/>
      </c>
      <c r="DN75">
        <f>IF(AND(DN$4=1,DN25=0),1,0)</f>
        <v/>
      </c>
      <c r="DO75">
        <f>IF(AND(DO$4=1,DO25=0),1,0)</f>
        <v/>
      </c>
      <c r="DP75">
        <f>IF(AND(DP$4=1,DP25=0),1,0)</f>
        <v/>
      </c>
      <c r="DQ75">
        <f>IF(AND(DQ$4=1,DQ25=0),1,0)</f>
        <v/>
      </c>
      <c r="DR75">
        <f>IF(AND(DR$4=1,DR25=0),1,0)</f>
        <v/>
      </c>
      <c r="DS75">
        <f>IF(AND(DS$4=1,DS25=0),1,0)</f>
        <v/>
      </c>
    </row>
    <row r="76">
      <c r="A76" t="n">
        <v>17</v>
      </c>
      <c r="D76">
        <f>IF(AND(D$4=1,D26=0),1,0)</f>
        <v/>
      </c>
      <c r="E76">
        <f>IF(AND(E$4=1,E26=0),1,0)</f>
        <v/>
      </c>
      <c r="F76">
        <f>IF(AND(F$4=1,F26=0),1,0)</f>
        <v/>
      </c>
      <c r="G76">
        <f>IF(AND(G$4=1,G26=0),1,0)</f>
        <v/>
      </c>
      <c r="H76">
        <f>IF(AND(H$4=1,H26=0),1,0)</f>
        <v/>
      </c>
      <c r="I76">
        <f>IF(AND(I$4=1,I26=0),1,0)</f>
        <v/>
      </c>
      <c r="J76">
        <f>IF(AND(J$4=1,J26=0),1,0)</f>
        <v/>
      </c>
      <c r="K76">
        <f>IF(AND(K$4=1,K26=0),1,0)</f>
        <v/>
      </c>
      <c r="L76">
        <f>IF(AND(L$4=1,L26=0),1,0)</f>
        <v/>
      </c>
      <c r="M76">
        <f>IF(AND(M$4=1,M26=0),1,0)</f>
        <v/>
      </c>
      <c r="N76">
        <f>IF(AND(N$4=1,N26=0),1,0)</f>
        <v/>
      </c>
      <c r="O76">
        <f>IF(AND(O$4=1,O26=0),1,0)</f>
        <v/>
      </c>
      <c r="P76">
        <f>IF(AND(P$4=1,P26=0),1,0)</f>
        <v/>
      </c>
      <c r="Q76">
        <f>IF(AND(Q$4=1,Q26=0),1,0)</f>
        <v/>
      </c>
      <c r="R76">
        <f>IF(AND(R$4=1,R26=0),1,0)</f>
        <v/>
      </c>
      <c r="S76">
        <f>IF(AND(S$4=1,S26=0),1,0)</f>
        <v/>
      </c>
      <c r="T76">
        <f>IF(AND(T$4=1,T26=0),1,0)</f>
        <v/>
      </c>
      <c r="U76">
        <f>IF(AND(U$4=1,U26=0),1,0)</f>
        <v/>
      </c>
      <c r="V76">
        <f>IF(AND(V$4=1,V26=0),1,0)</f>
        <v/>
      </c>
      <c r="W76">
        <f>IF(AND(W$4=1,W26=0),1,0)</f>
        <v/>
      </c>
      <c r="X76">
        <f>IF(AND(X$4=1,X26=0),1,0)</f>
        <v/>
      </c>
      <c r="Y76">
        <f>IF(AND(Y$4=1,Y26=0),1,0)</f>
        <v/>
      </c>
      <c r="Z76">
        <f>IF(AND(Z$4=1,Z26=0),1,0)</f>
        <v/>
      </c>
      <c r="AA76">
        <f>IF(AND(AA$4=1,AA26=0),1,0)</f>
        <v/>
      </c>
      <c r="AB76">
        <f>IF(AND(AB$4=1,AB26=0),1,0)</f>
        <v/>
      </c>
      <c r="AC76">
        <f>IF(AND(AC$4=1,AC26=0),1,0)</f>
        <v/>
      </c>
      <c r="AD76">
        <f>IF(AND(AD$4=1,AD26=0),1,0)</f>
        <v/>
      </c>
      <c r="AE76">
        <f>IF(AND(AE$4=1,AE26=0),1,0)</f>
        <v/>
      </c>
      <c r="AF76">
        <f>IF(AND(AF$4=1,AF26=0),1,0)</f>
        <v/>
      </c>
      <c r="AG76">
        <f>IF(AND(AG$4=1,AG26=0),1,0)</f>
        <v/>
      </c>
      <c r="AH76">
        <f>IF(AND(AH$4=1,AH26=0),1,0)</f>
        <v/>
      </c>
      <c r="AI76">
        <f>IF(AND(AI$4=1,AI26=0),1,0)</f>
        <v/>
      </c>
      <c r="AJ76">
        <f>IF(AND(AJ$4=1,AJ26=0),1,0)</f>
        <v/>
      </c>
      <c r="AK76">
        <f>IF(AND(AK$4=1,AK26=0),1,0)</f>
        <v/>
      </c>
      <c r="AL76">
        <f>IF(AND(AL$4=1,AL26=0),1,0)</f>
        <v/>
      </c>
      <c r="AM76">
        <f>IF(AND(AM$4=1,AM26=0),1,0)</f>
        <v/>
      </c>
      <c r="AN76">
        <f>IF(AND(AN$4=1,AN26=0),1,0)</f>
        <v/>
      </c>
      <c r="AO76">
        <f>IF(AND(AO$4=1,AO26=0),1,0)</f>
        <v/>
      </c>
      <c r="AP76">
        <f>IF(AND(AP$4=1,AP26=0),1,0)</f>
        <v/>
      </c>
      <c r="AQ76">
        <f>IF(AND(AQ$4=1,AQ26=0),1,0)</f>
        <v/>
      </c>
      <c r="AR76">
        <f>IF(AND(AR$4=1,AR26=0),1,0)</f>
        <v/>
      </c>
      <c r="AS76">
        <f>IF(AND(AS$4=1,AS26=0),1,0)</f>
        <v/>
      </c>
      <c r="AT76">
        <f>IF(AND(AT$4=1,AT26=0),1,0)</f>
        <v/>
      </c>
      <c r="AU76">
        <f>IF(AND(AU$4=1,AU26=0),1,0)</f>
        <v/>
      </c>
      <c r="AV76">
        <f>IF(AND(AV$4=1,AV26=0),1,0)</f>
        <v/>
      </c>
      <c r="AW76">
        <f>IF(AND(AW$4=1,AW26=0),1,0)</f>
        <v/>
      </c>
      <c r="AX76">
        <f>IF(AND(AX$4=1,AX26=0),1,0)</f>
        <v/>
      </c>
      <c r="AY76">
        <f>IF(AND(AY$4=1,AY26=0),1,0)</f>
        <v/>
      </c>
      <c r="AZ76">
        <f>IF(AND(AZ$4=1,AZ26=0),1,0)</f>
        <v/>
      </c>
      <c r="BA76">
        <f>IF(AND(BA$4=1,BA26=0),1,0)</f>
        <v/>
      </c>
      <c r="BB76">
        <f>IF(AND(BB$4=1,BB26=0),1,0)</f>
        <v/>
      </c>
      <c r="BC76">
        <f>IF(AND(BC$4=1,BC26=0),1,0)</f>
        <v/>
      </c>
      <c r="BD76">
        <f>IF(AND(BD$4=1,BD26=0),1,0)</f>
        <v/>
      </c>
      <c r="BE76">
        <f>IF(AND(BE$4=1,BE26=0),1,0)</f>
        <v/>
      </c>
      <c r="BF76">
        <f>IF(AND(BF$4=1,BF26=0),1,0)</f>
        <v/>
      </c>
      <c r="BG76">
        <f>IF(AND(BG$4=1,BG26=0),1,0)</f>
        <v/>
      </c>
      <c r="BH76">
        <f>IF(AND(BH$4=1,BH26=0),1,0)</f>
        <v/>
      </c>
      <c r="BI76">
        <f>IF(AND(BI$4=1,BI26=0),1,0)</f>
        <v/>
      </c>
      <c r="BJ76">
        <f>IF(AND(BJ$4=1,BJ26=0),1,0)</f>
        <v/>
      </c>
      <c r="BK76">
        <f>IF(AND(BK$4=1,BK26=0),1,0)</f>
        <v/>
      </c>
      <c r="BL76">
        <f>IF(AND(BL$4=1,BL26=0),1,0)</f>
        <v/>
      </c>
      <c r="BM76">
        <f>IF(AND(BM$4=1,BM26=0),1,0)</f>
        <v/>
      </c>
      <c r="BN76">
        <f>IF(AND(BN$4=1,BN26=0),1,0)</f>
        <v/>
      </c>
      <c r="BO76">
        <f>IF(AND(BO$4=1,BO26=0),1,0)</f>
        <v/>
      </c>
      <c r="BP76">
        <f>IF(AND(BP$4=1,BP26=0),1,0)</f>
        <v/>
      </c>
      <c r="BQ76">
        <f>IF(AND(BQ$4=1,BQ26=0),1,0)</f>
        <v/>
      </c>
      <c r="BR76">
        <f>IF(AND(BR$4=1,BR26=0),1,0)</f>
        <v/>
      </c>
      <c r="BS76">
        <f>IF(AND(BS$4=1,BS26=0),1,0)</f>
        <v/>
      </c>
      <c r="BT76">
        <f>IF(AND(BT$4=1,BT26=0),1,0)</f>
        <v/>
      </c>
      <c r="BU76">
        <f>IF(AND(BU$4=1,BU26=0),1,0)</f>
        <v/>
      </c>
      <c r="BV76">
        <f>IF(AND(BV$4=1,BV26=0),1,0)</f>
        <v/>
      </c>
      <c r="BW76">
        <f>IF(AND(BW$4=1,BW26=0),1,0)</f>
        <v/>
      </c>
      <c r="BX76">
        <f>IF(AND(BX$4=1,BX26=0),1,0)</f>
        <v/>
      </c>
      <c r="BY76">
        <f>IF(AND(BY$4=1,BY26=0),1,0)</f>
        <v/>
      </c>
      <c r="BZ76">
        <f>IF(AND(BZ$4=1,BZ26=0),1,0)</f>
        <v/>
      </c>
      <c r="CA76">
        <f>IF(AND(CA$4=1,CA26=0),1,0)</f>
        <v/>
      </c>
      <c r="CB76">
        <f>IF(AND(CB$4=1,CB26=0),1,0)</f>
        <v/>
      </c>
      <c r="CC76">
        <f>IF(AND(CC$4=1,CC26=0),1,0)</f>
        <v/>
      </c>
      <c r="CD76">
        <f>IF(AND(CD$4=1,CD26=0),1,0)</f>
        <v/>
      </c>
      <c r="CE76">
        <f>IF(AND(CE$4=1,CE26=0),1,0)</f>
        <v/>
      </c>
      <c r="CF76">
        <f>IF(AND(CF$4=1,CF26=0),1,0)</f>
        <v/>
      </c>
      <c r="CG76">
        <f>IF(AND(CG$4=1,CG26=0),1,0)</f>
        <v/>
      </c>
      <c r="CH76">
        <f>IF(AND(CH$4=1,CH26=0),1,0)</f>
        <v/>
      </c>
      <c r="CI76">
        <f>IF(AND(CI$4=1,CI26=0),1,0)</f>
        <v/>
      </c>
      <c r="CJ76">
        <f>IF(AND(CJ$4=1,CJ26=0),1,0)</f>
        <v/>
      </c>
      <c r="CK76">
        <f>IF(AND(CK$4=1,CK26=0),1,0)</f>
        <v/>
      </c>
      <c r="CL76">
        <f>IF(AND(CL$4=1,CL26=0),1,0)</f>
        <v/>
      </c>
      <c r="CM76">
        <f>IF(AND(CM$4=1,CM26=0),1,0)</f>
        <v/>
      </c>
      <c r="CN76">
        <f>IF(AND(CN$4=1,CN26=0),1,0)</f>
        <v/>
      </c>
      <c r="CO76">
        <f>IF(AND(CO$4=1,CO26=0),1,0)</f>
        <v/>
      </c>
      <c r="CP76">
        <f>IF(AND(CP$4=1,CP26=0),1,0)</f>
        <v/>
      </c>
      <c r="CQ76">
        <f>IF(AND(CQ$4=1,CQ26=0),1,0)</f>
        <v/>
      </c>
      <c r="CR76">
        <f>IF(AND(CR$4=1,CR26=0),1,0)</f>
        <v/>
      </c>
      <c r="CS76">
        <f>IF(AND(CS$4=1,CS26=0),1,0)</f>
        <v/>
      </c>
      <c r="CT76">
        <f>IF(AND(CT$4=1,CT26=0),1,0)</f>
        <v/>
      </c>
      <c r="CU76">
        <f>IF(AND(CU$4=1,CU26=0),1,0)</f>
        <v/>
      </c>
      <c r="CV76">
        <f>IF(AND(CV$4=1,CV26=0),1,0)</f>
        <v/>
      </c>
      <c r="CW76">
        <f>IF(AND(CW$4=1,CW26=0),1,0)</f>
        <v/>
      </c>
      <c r="CX76">
        <f>IF(AND(CX$4=1,CX26=0),1,0)</f>
        <v/>
      </c>
      <c r="CY76">
        <f>IF(AND(CY$4=1,CY26=0),1,0)</f>
        <v/>
      </c>
      <c r="CZ76">
        <f>IF(AND(CZ$4=1,CZ26=0),1,0)</f>
        <v/>
      </c>
      <c r="DA76">
        <f>IF(AND(DA$4=1,DA26=0),1,0)</f>
        <v/>
      </c>
      <c r="DB76">
        <f>IF(AND(DB$4=1,DB26=0),1,0)</f>
        <v/>
      </c>
      <c r="DC76">
        <f>IF(AND(DC$4=1,DC26=0),1,0)</f>
        <v/>
      </c>
      <c r="DD76">
        <f>IF(AND(DD$4=1,DD26=0),1,0)</f>
        <v/>
      </c>
      <c r="DE76">
        <f>IF(AND(DE$4=1,DE26=0),1,0)</f>
        <v/>
      </c>
      <c r="DF76">
        <f>IF(AND(DF$4=1,DF26=0),1,0)</f>
        <v/>
      </c>
      <c r="DG76">
        <f>IF(AND(DG$4=1,DG26=0),1,0)</f>
        <v/>
      </c>
      <c r="DH76">
        <f>IF(AND(DH$4=1,DH26=0),1,0)</f>
        <v/>
      </c>
      <c r="DI76">
        <f>IF(AND(DI$4=1,DI26=0),1,0)</f>
        <v/>
      </c>
      <c r="DJ76">
        <f>IF(AND(DJ$4=1,DJ26=0),1,0)</f>
        <v/>
      </c>
      <c r="DK76">
        <f>IF(AND(DK$4=1,DK26=0),1,0)</f>
        <v/>
      </c>
      <c r="DL76">
        <f>IF(AND(DL$4=1,DL26=0),1,0)</f>
        <v/>
      </c>
      <c r="DM76">
        <f>IF(AND(DM$4=1,DM26=0),1,0)</f>
        <v/>
      </c>
      <c r="DN76">
        <f>IF(AND(DN$4=1,DN26=0),1,0)</f>
        <v/>
      </c>
      <c r="DO76">
        <f>IF(AND(DO$4=1,DO26=0),1,0)</f>
        <v/>
      </c>
      <c r="DP76">
        <f>IF(AND(DP$4=1,DP26=0),1,0)</f>
        <v/>
      </c>
      <c r="DQ76">
        <f>IF(AND(DQ$4=1,DQ26=0),1,0)</f>
        <v/>
      </c>
      <c r="DR76">
        <f>IF(AND(DR$4=1,DR26=0),1,0)</f>
        <v/>
      </c>
      <c r="DS76">
        <f>IF(AND(DS$4=1,DS26=0),1,0)</f>
        <v/>
      </c>
    </row>
    <row r="77">
      <c r="A77" t="n">
        <v>18</v>
      </c>
      <c r="D77">
        <f>IF(AND(D$4=1,D27=0),1,0)</f>
        <v/>
      </c>
      <c r="E77">
        <f>IF(AND(E$4=1,E27=0),1,0)</f>
        <v/>
      </c>
      <c r="F77">
        <f>IF(AND(F$4=1,F27=0),1,0)</f>
        <v/>
      </c>
      <c r="G77">
        <f>IF(AND(G$4=1,G27=0),1,0)</f>
        <v/>
      </c>
      <c r="H77">
        <f>IF(AND(H$4=1,H27=0),1,0)</f>
        <v/>
      </c>
      <c r="I77">
        <f>IF(AND(I$4=1,I27=0),1,0)</f>
        <v/>
      </c>
      <c r="J77">
        <f>IF(AND(J$4=1,J27=0),1,0)</f>
        <v/>
      </c>
      <c r="K77">
        <f>IF(AND(K$4=1,K27=0),1,0)</f>
        <v/>
      </c>
      <c r="L77">
        <f>IF(AND(L$4=1,L27=0),1,0)</f>
        <v/>
      </c>
      <c r="M77">
        <f>IF(AND(M$4=1,M27=0),1,0)</f>
        <v/>
      </c>
      <c r="N77">
        <f>IF(AND(N$4=1,N27=0),1,0)</f>
        <v/>
      </c>
      <c r="O77">
        <f>IF(AND(O$4=1,O27=0),1,0)</f>
        <v/>
      </c>
      <c r="P77">
        <f>IF(AND(P$4=1,P27=0),1,0)</f>
        <v/>
      </c>
      <c r="Q77">
        <f>IF(AND(Q$4=1,Q27=0),1,0)</f>
        <v/>
      </c>
      <c r="R77">
        <f>IF(AND(R$4=1,R27=0),1,0)</f>
        <v/>
      </c>
      <c r="S77">
        <f>IF(AND(S$4=1,S27=0),1,0)</f>
        <v/>
      </c>
      <c r="T77">
        <f>IF(AND(T$4=1,T27=0),1,0)</f>
        <v/>
      </c>
      <c r="U77">
        <f>IF(AND(U$4=1,U27=0),1,0)</f>
        <v/>
      </c>
      <c r="V77">
        <f>IF(AND(V$4=1,V27=0),1,0)</f>
        <v/>
      </c>
      <c r="W77">
        <f>IF(AND(W$4=1,W27=0),1,0)</f>
        <v/>
      </c>
      <c r="X77">
        <f>IF(AND(X$4=1,X27=0),1,0)</f>
        <v/>
      </c>
      <c r="Y77">
        <f>IF(AND(Y$4=1,Y27=0),1,0)</f>
        <v/>
      </c>
      <c r="Z77">
        <f>IF(AND(Z$4=1,Z27=0),1,0)</f>
        <v/>
      </c>
      <c r="AA77">
        <f>IF(AND(AA$4=1,AA27=0),1,0)</f>
        <v/>
      </c>
      <c r="AB77">
        <f>IF(AND(AB$4=1,AB27=0),1,0)</f>
        <v/>
      </c>
      <c r="AC77">
        <f>IF(AND(AC$4=1,AC27=0),1,0)</f>
        <v/>
      </c>
      <c r="AD77">
        <f>IF(AND(AD$4=1,AD27=0),1,0)</f>
        <v/>
      </c>
      <c r="AE77">
        <f>IF(AND(AE$4=1,AE27=0),1,0)</f>
        <v/>
      </c>
      <c r="AF77">
        <f>IF(AND(AF$4=1,AF27=0),1,0)</f>
        <v/>
      </c>
      <c r="AG77">
        <f>IF(AND(AG$4=1,AG27=0),1,0)</f>
        <v/>
      </c>
      <c r="AH77">
        <f>IF(AND(AH$4=1,AH27=0),1,0)</f>
        <v/>
      </c>
      <c r="AI77">
        <f>IF(AND(AI$4=1,AI27=0),1,0)</f>
        <v/>
      </c>
      <c r="AJ77">
        <f>IF(AND(AJ$4=1,AJ27=0),1,0)</f>
        <v/>
      </c>
      <c r="AK77">
        <f>IF(AND(AK$4=1,AK27=0),1,0)</f>
        <v/>
      </c>
      <c r="AL77">
        <f>IF(AND(AL$4=1,AL27=0),1,0)</f>
        <v/>
      </c>
      <c r="AM77">
        <f>IF(AND(AM$4=1,AM27=0),1,0)</f>
        <v/>
      </c>
      <c r="AN77">
        <f>IF(AND(AN$4=1,AN27=0),1,0)</f>
        <v/>
      </c>
      <c r="AO77">
        <f>IF(AND(AO$4=1,AO27=0),1,0)</f>
        <v/>
      </c>
      <c r="AP77">
        <f>IF(AND(AP$4=1,AP27=0),1,0)</f>
        <v/>
      </c>
      <c r="AQ77">
        <f>IF(AND(AQ$4=1,AQ27=0),1,0)</f>
        <v/>
      </c>
      <c r="AR77">
        <f>IF(AND(AR$4=1,AR27=0),1,0)</f>
        <v/>
      </c>
      <c r="AS77">
        <f>IF(AND(AS$4=1,AS27=0),1,0)</f>
        <v/>
      </c>
      <c r="AT77">
        <f>IF(AND(AT$4=1,AT27=0),1,0)</f>
        <v/>
      </c>
      <c r="AU77">
        <f>IF(AND(AU$4=1,AU27=0),1,0)</f>
        <v/>
      </c>
      <c r="AV77">
        <f>IF(AND(AV$4=1,AV27=0),1,0)</f>
        <v/>
      </c>
      <c r="AW77">
        <f>IF(AND(AW$4=1,AW27=0),1,0)</f>
        <v/>
      </c>
      <c r="AX77">
        <f>IF(AND(AX$4=1,AX27=0),1,0)</f>
        <v/>
      </c>
      <c r="AY77">
        <f>IF(AND(AY$4=1,AY27=0),1,0)</f>
        <v/>
      </c>
      <c r="AZ77">
        <f>IF(AND(AZ$4=1,AZ27=0),1,0)</f>
        <v/>
      </c>
      <c r="BA77">
        <f>IF(AND(BA$4=1,BA27=0),1,0)</f>
        <v/>
      </c>
      <c r="BB77">
        <f>IF(AND(BB$4=1,BB27=0),1,0)</f>
        <v/>
      </c>
      <c r="BC77">
        <f>IF(AND(BC$4=1,BC27=0),1,0)</f>
        <v/>
      </c>
      <c r="BD77">
        <f>IF(AND(BD$4=1,BD27=0),1,0)</f>
        <v/>
      </c>
      <c r="BE77">
        <f>IF(AND(BE$4=1,BE27=0),1,0)</f>
        <v/>
      </c>
      <c r="BF77">
        <f>IF(AND(BF$4=1,BF27=0),1,0)</f>
        <v/>
      </c>
      <c r="BG77">
        <f>IF(AND(BG$4=1,BG27=0),1,0)</f>
        <v/>
      </c>
      <c r="BH77">
        <f>IF(AND(BH$4=1,BH27=0),1,0)</f>
        <v/>
      </c>
      <c r="BI77">
        <f>IF(AND(BI$4=1,BI27=0),1,0)</f>
        <v/>
      </c>
      <c r="BJ77">
        <f>IF(AND(BJ$4=1,BJ27=0),1,0)</f>
        <v/>
      </c>
      <c r="BK77">
        <f>IF(AND(BK$4=1,BK27=0),1,0)</f>
        <v/>
      </c>
      <c r="BL77">
        <f>IF(AND(BL$4=1,BL27=0),1,0)</f>
        <v/>
      </c>
      <c r="BM77">
        <f>IF(AND(BM$4=1,BM27=0),1,0)</f>
        <v/>
      </c>
      <c r="BN77">
        <f>IF(AND(BN$4=1,BN27=0),1,0)</f>
        <v/>
      </c>
      <c r="BO77">
        <f>IF(AND(BO$4=1,BO27=0),1,0)</f>
        <v/>
      </c>
      <c r="BP77">
        <f>IF(AND(BP$4=1,BP27=0),1,0)</f>
        <v/>
      </c>
      <c r="BQ77">
        <f>IF(AND(BQ$4=1,BQ27=0),1,0)</f>
        <v/>
      </c>
      <c r="BR77">
        <f>IF(AND(BR$4=1,BR27=0),1,0)</f>
        <v/>
      </c>
      <c r="BS77">
        <f>IF(AND(BS$4=1,BS27=0),1,0)</f>
        <v/>
      </c>
      <c r="BT77">
        <f>IF(AND(BT$4=1,BT27=0),1,0)</f>
        <v/>
      </c>
      <c r="BU77">
        <f>IF(AND(BU$4=1,BU27=0),1,0)</f>
        <v/>
      </c>
      <c r="BV77">
        <f>IF(AND(BV$4=1,BV27=0),1,0)</f>
        <v/>
      </c>
      <c r="BW77">
        <f>IF(AND(BW$4=1,BW27=0),1,0)</f>
        <v/>
      </c>
      <c r="BX77">
        <f>IF(AND(BX$4=1,BX27=0),1,0)</f>
        <v/>
      </c>
      <c r="BY77">
        <f>IF(AND(BY$4=1,BY27=0),1,0)</f>
        <v/>
      </c>
      <c r="BZ77">
        <f>IF(AND(BZ$4=1,BZ27=0),1,0)</f>
        <v/>
      </c>
      <c r="CA77">
        <f>IF(AND(CA$4=1,CA27=0),1,0)</f>
        <v/>
      </c>
      <c r="CB77">
        <f>IF(AND(CB$4=1,CB27=0),1,0)</f>
        <v/>
      </c>
      <c r="CC77">
        <f>IF(AND(CC$4=1,CC27=0),1,0)</f>
        <v/>
      </c>
      <c r="CD77">
        <f>IF(AND(CD$4=1,CD27=0),1,0)</f>
        <v/>
      </c>
      <c r="CE77">
        <f>IF(AND(CE$4=1,CE27=0),1,0)</f>
        <v/>
      </c>
      <c r="CF77">
        <f>IF(AND(CF$4=1,CF27=0),1,0)</f>
        <v/>
      </c>
      <c r="CG77">
        <f>IF(AND(CG$4=1,CG27=0),1,0)</f>
        <v/>
      </c>
      <c r="CH77">
        <f>IF(AND(CH$4=1,CH27=0),1,0)</f>
        <v/>
      </c>
      <c r="CI77">
        <f>IF(AND(CI$4=1,CI27=0),1,0)</f>
        <v/>
      </c>
      <c r="CJ77">
        <f>IF(AND(CJ$4=1,CJ27=0),1,0)</f>
        <v/>
      </c>
      <c r="CK77">
        <f>IF(AND(CK$4=1,CK27=0),1,0)</f>
        <v/>
      </c>
      <c r="CL77">
        <f>IF(AND(CL$4=1,CL27=0),1,0)</f>
        <v/>
      </c>
      <c r="CM77">
        <f>IF(AND(CM$4=1,CM27=0),1,0)</f>
        <v/>
      </c>
      <c r="CN77">
        <f>IF(AND(CN$4=1,CN27=0),1,0)</f>
        <v/>
      </c>
      <c r="CO77">
        <f>IF(AND(CO$4=1,CO27=0),1,0)</f>
        <v/>
      </c>
      <c r="CP77">
        <f>IF(AND(CP$4=1,CP27=0),1,0)</f>
        <v/>
      </c>
      <c r="CQ77">
        <f>IF(AND(CQ$4=1,CQ27=0),1,0)</f>
        <v/>
      </c>
      <c r="CR77">
        <f>IF(AND(CR$4=1,CR27=0),1,0)</f>
        <v/>
      </c>
      <c r="CS77">
        <f>IF(AND(CS$4=1,CS27=0),1,0)</f>
        <v/>
      </c>
      <c r="CT77">
        <f>IF(AND(CT$4=1,CT27=0),1,0)</f>
        <v/>
      </c>
      <c r="CU77">
        <f>IF(AND(CU$4=1,CU27=0),1,0)</f>
        <v/>
      </c>
      <c r="CV77">
        <f>IF(AND(CV$4=1,CV27=0),1,0)</f>
        <v/>
      </c>
      <c r="CW77">
        <f>IF(AND(CW$4=1,CW27=0),1,0)</f>
        <v/>
      </c>
      <c r="CX77">
        <f>IF(AND(CX$4=1,CX27=0),1,0)</f>
        <v/>
      </c>
      <c r="CY77">
        <f>IF(AND(CY$4=1,CY27=0),1,0)</f>
        <v/>
      </c>
      <c r="CZ77">
        <f>IF(AND(CZ$4=1,CZ27=0),1,0)</f>
        <v/>
      </c>
      <c r="DA77">
        <f>IF(AND(DA$4=1,DA27=0),1,0)</f>
        <v/>
      </c>
      <c r="DB77">
        <f>IF(AND(DB$4=1,DB27=0),1,0)</f>
        <v/>
      </c>
      <c r="DC77">
        <f>IF(AND(DC$4=1,DC27=0),1,0)</f>
        <v/>
      </c>
      <c r="DD77">
        <f>IF(AND(DD$4=1,DD27=0),1,0)</f>
        <v/>
      </c>
      <c r="DE77">
        <f>IF(AND(DE$4=1,DE27=0),1,0)</f>
        <v/>
      </c>
      <c r="DF77">
        <f>IF(AND(DF$4=1,DF27=0),1,0)</f>
        <v/>
      </c>
      <c r="DG77">
        <f>IF(AND(DG$4=1,DG27=0),1,0)</f>
        <v/>
      </c>
      <c r="DH77">
        <f>IF(AND(DH$4=1,DH27=0),1,0)</f>
        <v/>
      </c>
      <c r="DI77">
        <f>IF(AND(DI$4=1,DI27=0),1,0)</f>
        <v/>
      </c>
      <c r="DJ77">
        <f>IF(AND(DJ$4=1,DJ27=0),1,0)</f>
        <v/>
      </c>
      <c r="DK77">
        <f>IF(AND(DK$4=1,DK27=0),1,0)</f>
        <v/>
      </c>
      <c r="DL77">
        <f>IF(AND(DL$4=1,DL27=0),1,0)</f>
        <v/>
      </c>
      <c r="DM77">
        <f>IF(AND(DM$4=1,DM27=0),1,0)</f>
        <v/>
      </c>
      <c r="DN77">
        <f>IF(AND(DN$4=1,DN27=0),1,0)</f>
        <v/>
      </c>
      <c r="DO77">
        <f>IF(AND(DO$4=1,DO27=0),1,0)</f>
        <v/>
      </c>
      <c r="DP77">
        <f>IF(AND(DP$4=1,DP27=0),1,0)</f>
        <v/>
      </c>
      <c r="DQ77">
        <f>IF(AND(DQ$4=1,DQ27=0),1,0)</f>
        <v/>
      </c>
      <c r="DR77">
        <f>IF(AND(DR$4=1,DR27=0),1,0)</f>
        <v/>
      </c>
      <c r="DS77">
        <f>IF(AND(DS$4=1,DS27=0),1,0)</f>
        <v/>
      </c>
    </row>
    <row r="78">
      <c r="A78" t="n">
        <v>19</v>
      </c>
      <c r="D78">
        <f>IF(AND(D$4=1,D28=0),1,0)</f>
        <v/>
      </c>
      <c r="E78">
        <f>IF(AND(E$4=1,E28=0),1,0)</f>
        <v/>
      </c>
      <c r="F78">
        <f>IF(AND(F$4=1,F28=0),1,0)</f>
        <v/>
      </c>
      <c r="G78">
        <f>IF(AND(G$4=1,G28=0),1,0)</f>
        <v/>
      </c>
      <c r="H78">
        <f>IF(AND(H$4=1,H28=0),1,0)</f>
        <v/>
      </c>
      <c r="I78">
        <f>IF(AND(I$4=1,I28=0),1,0)</f>
        <v/>
      </c>
      <c r="J78">
        <f>IF(AND(J$4=1,J28=0),1,0)</f>
        <v/>
      </c>
      <c r="K78">
        <f>IF(AND(K$4=1,K28=0),1,0)</f>
        <v/>
      </c>
      <c r="L78">
        <f>IF(AND(L$4=1,L28=0),1,0)</f>
        <v/>
      </c>
      <c r="M78">
        <f>IF(AND(M$4=1,M28=0),1,0)</f>
        <v/>
      </c>
      <c r="N78">
        <f>IF(AND(N$4=1,N28=0),1,0)</f>
        <v/>
      </c>
      <c r="O78">
        <f>IF(AND(O$4=1,O28=0),1,0)</f>
        <v/>
      </c>
      <c r="P78">
        <f>IF(AND(P$4=1,P28=0),1,0)</f>
        <v/>
      </c>
      <c r="Q78">
        <f>IF(AND(Q$4=1,Q28=0),1,0)</f>
        <v/>
      </c>
      <c r="R78">
        <f>IF(AND(R$4=1,R28=0),1,0)</f>
        <v/>
      </c>
      <c r="S78">
        <f>IF(AND(S$4=1,S28=0),1,0)</f>
        <v/>
      </c>
      <c r="T78">
        <f>IF(AND(T$4=1,T28=0),1,0)</f>
        <v/>
      </c>
      <c r="U78">
        <f>IF(AND(U$4=1,U28=0),1,0)</f>
        <v/>
      </c>
      <c r="V78">
        <f>IF(AND(V$4=1,V28=0),1,0)</f>
        <v/>
      </c>
      <c r="W78">
        <f>IF(AND(W$4=1,W28=0),1,0)</f>
        <v/>
      </c>
      <c r="X78">
        <f>IF(AND(X$4=1,X28=0),1,0)</f>
        <v/>
      </c>
      <c r="Y78">
        <f>IF(AND(Y$4=1,Y28=0),1,0)</f>
        <v/>
      </c>
      <c r="Z78">
        <f>IF(AND(Z$4=1,Z28=0),1,0)</f>
        <v/>
      </c>
      <c r="AA78">
        <f>IF(AND(AA$4=1,AA28=0),1,0)</f>
        <v/>
      </c>
      <c r="AB78">
        <f>IF(AND(AB$4=1,AB28=0),1,0)</f>
        <v/>
      </c>
      <c r="AC78">
        <f>IF(AND(AC$4=1,AC28=0),1,0)</f>
        <v/>
      </c>
      <c r="AD78">
        <f>IF(AND(AD$4=1,AD28=0),1,0)</f>
        <v/>
      </c>
      <c r="AE78">
        <f>IF(AND(AE$4=1,AE28=0),1,0)</f>
        <v/>
      </c>
      <c r="AF78">
        <f>IF(AND(AF$4=1,AF28=0),1,0)</f>
        <v/>
      </c>
      <c r="AG78">
        <f>IF(AND(AG$4=1,AG28=0),1,0)</f>
        <v/>
      </c>
      <c r="AH78">
        <f>IF(AND(AH$4=1,AH28=0),1,0)</f>
        <v/>
      </c>
      <c r="AI78">
        <f>IF(AND(AI$4=1,AI28=0),1,0)</f>
        <v/>
      </c>
      <c r="AJ78">
        <f>IF(AND(AJ$4=1,AJ28=0),1,0)</f>
        <v/>
      </c>
      <c r="AK78">
        <f>IF(AND(AK$4=1,AK28=0),1,0)</f>
        <v/>
      </c>
      <c r="AL78">
        <f>IF(AND(AL$4=1,AL28=0),1,0)</f>
        <v/>
      </c>
      <c r="AM78">
        <f>IF(AND(AM$4=1,AM28=0),1,0)</f>
        <v/>
      </c>
      <c r="AN78">
        <f>IF(AND(AN$4=1,AN28=0),1,0)</f>
        <v/>
      </c>
      <c r="AO78">
        <f>IF(AND(AO$4=1,AO28=0),1,0)</f>
        <v/>
      </c>
      <c r="AP78">
        <f>IF(AND(AP$4=1,AP28=0),1,0)</f>
        <v/>
      </c>
      <c r="AQ78">
        <f>IF(AND(AQ$4=1,AQ28=0),1,0)</f>
        <v/>
      </c>
      <c r="AR78">
        <f>IF(AND(AR$4=1,AR28=0),1,0)</f>
        <v/>
      </c>
      <c r="AS78">
        <f>IF(AND(AS$4=1,AS28=0),1,0)</f>
        <v/>
      </c>
      <c r="AT78">
        <f>IF(AND(AT$4=1,AT28=0),1,0)</f>
        <v/>
      </c>
      <c r="AU78">
        <f>IF(AND(AU$4=1,AU28=0),1,0)</f>
        <v/>
      </c>
      <c r="AV78">
        <f>IF(AND(AV$4=1,AV28=0),1,0)</f>
        <v/>
      </c>
      <c r="AW78">
        <f>IF(AND(AW$4=1,AW28=0),1,0)</f>
        <v/>
      </c>
      <c r="AX78">
        <f>IF(AND(AX$4=1,AX28=0),1,0)</f>
        <v/>
      </c>
      <c r="AY78">
        <f>IF(AND(AY$4=1,AY28=0),1,0)</f>
        <v/>
      </c>
      <c r="AZ78">
        <f>IF(AND(AZ$4=1,AZ28=0),1,0)</f>
        <v/>
      </c>
      <c r="BA78">
        <f>IF(AND(BA$4=1,BA28=0),1,0)</f>
        <v/>
      </c>
      <c r="BB78">
        <f>IF(AND(BB$4=1,BB28=0),1,0)</f>
        <v/>
      </c>
      <c r="BC78">
        <f>IF(AND(BC$4=1,BC28=0),1,0)</f>
        <v/>
      </c>
      <c r="BD78">
        <f>IF(AND(BD$4=1,BD28=0),1,0)</f>
        <v/>
      </c>
      <c r="BE78">
        <f>IF(AND(BE$4=1,BE28=0),1,0)</f>
        <v/>
      </c>
      <c r="BF78">
        <f>IF(AND(BF$4=1,BF28=0),1,0)</f>
        <v/>
      </c>
      <c r="BG78">
        <f>IF(AND(BG$4=1,BG28=0),1,0)</f>
        <v/>
      </c>
      <c r="BH78">
        <f>IF(AND(BH$4=1,BH28=0),1,0)</f>
        <v/>
      </c>
      <c r="BI78">
        <f>IF(AND(BI$4=1,BI28=0),1,0)</f>
        <v/>
      </c>
      <c r="BJ78">
        <f>IF(AND(BJ$4=1,BJ28=0),1,0)</f>
        <v/>
      </c>
      <c r="BK78">
        <f>IF(AND(BK$4=1,BK28=0),1,0)</f>
        <v/>
      </c>
      <c r="BL78">
        <f>IF(AND(BL$4=1,BL28=0),1,0)</f>
        <v/>
      </c>
      <c r="BM78">
        <f>IF(AND(BM$4=1,BM28=0),1,0)</f>
        <v/>
      </c>
      <c r="BN78">
        <f>IF(AND(BN$4=1,BN28=0),1,0)</f>
        <v/>
      </c>
      <c r="BO78">
        <f>IF(AND(BO$4=1,BO28=0),1,0)</f>
        <v/>
      </c>
      <c r="BP78">
        <f>IF(AND(BP$4=1,BP28=0),1,0)</f>
        <v/>
      </c>
      <c r="BQ78">
        <f>IF(AND(BQ$4=1,BQ28=0),1,0)</f>
        <v/>
      </c>
      <c r="BR78">
        <f>IF(AND(BR$4=1,BR28=0),1,0)</f>
        <v/>
      </c>
      <c r="BS78">
        <f>IF(AND(BS$4=1,BS28=0),1,0)</f>
        <v/>
      </c>
      <c r="BT78">
        <f>IF(AND(BT$4=1,BT28=0),1,0)</f>
        <v/>
      </c>
      <c r="BU78">
        <f>IF(AND(BU$4=1,BU28=0),1,0)</f>
        <v/>
      </c>
      <c r="BV78">
        <f>IF(AND(BV$4=1,BV28=0),1,0)</f>
        <v/>
      </c>
      <c r="BW78">
        <f>IF(AND(BW$4=1,BW28=0),1,0)</f>
        <v/>
      </c>
      <c r="BX78">
        <f>IF(AND(BX$4=1,BX28=0),1,0)</f>
        <v/>
      </c>
      <c r="BY78">
        <f>IF(AND(BY$4=1,BY28=0),1,0)</f>
        <v/>
      </c>
      <c r="BZ78">
        <f>IF(AND(BZ$4=1,BZ28=0),1,0)</f>
        <v/>
      </c>
      <c r="CA78">
        <f>IF(AND(CA$4=1,CA28=0),1,0)</f>
        <v/>
      </c>
      <c r="CB78">
        <f>IF(AND(CB$4=1,CB28=0),1,0)</f>
        <v/>
      </c>
      <c r="CC78">
        <f>IF(AND(CC$4=1,CC28=0),1,0)</f>
        <v/>
      </c>
      <c r="CD78">
        <f>IF(AND(CD$4=1,CD28=0),1,0)</f>
        <v/>
      </c>
      <c r="CE78">
        <f>IF(AND(CE$4=1,CE28=0),1,0)</f>
        <v/>
      </c>
      <c r="CF78">
        <f>IF(AND(CF$4=1,CF28=0),1,0)</f>
        <v/>
      </c>
      <c r="CG78">
        <f>IF(AND(CG$4=1,CG28=0),1,0)</f>
        <v/>
      </c>
      <c r="CH78">
        <f>IF(AND(CH$4=1,CH28=0),1,0)</f>
        <v/>
      </c>
      <c r="CI78">
        <f>IF(AND(CI$4=1,CI28=0),1,0)</f>
        <v/>
      </c>
      <c r="CJ78">
        <f>IF(AND(CJ$4=1,CJ28=0),1,0)</f>
        <v/>
      </c>
      <c r="CK78">
        <f>IF(AND(CK$4=1,CK28=0),1,0)</f>
        <v/>
      </c>
      <c r="CL78">
        <f>IF(AND(CL$4=1,CL28=0),1,0)</f>
        <v/>
      </c>
      <c r="CM78">
        <f>IF(AND(CM$4=1,CM28=0),1,0)</f>
        <v/>
      </c>
      <c r="CN78">
        <f>IF(AND(CN$4=1,CN28=0),1,0)</f>
        <v/>
      </c>
      <c r="CO78">
        <f>IF(AND(CO$4=1,CO28=0),1,0)</f>
        <v/>
      </c>
      <c r="CP78">
        <f>IF(AND(CP$4=1,CP28=0),1,0)</f>
        <v/>
      </c>
      <c r="CQ78">
        <f>IF(AND(CQ$4=1,CQ28=0),1,0)</f>
        <v/>
      </c>
      <c r="CR78">
        <f>IF(AND(CR$4=1,CR28=0),1,0)</f>
        <v/>
      </c>
      <c r="CS78">
        <f>IF(AND(CS$4=1,CS28=0),1,0)</f>
        <v/>
      </c>
      <c r="CT78">
        <f>IF(AND(CT$4=1,CT28=0),1,0)</f>
        <v/>
      </c>
      <c r="CU78">
        <f>IF(AND(CU$4=1,CU28=0),1,0)</f>
        <v/>
      </c>
      <c r="CV78">
        <f>IF(AND(CV$4=1,CV28=0),1,0)</f>
        <v/>
      </c>
      <c r="CW78">
        <f>IF(AND(CW$4=1,CW28=0),1,0)</f>
        <v/>
      </c>
      <c r="CX78">
        <f>IF(AND(CX$4=1,CX28=0),1,0)</f>
        <v/>
      </c>
      <c r="CY78">
        <f>IF(AND(CY$4=1,CY28=0),1,0)</f>
        <v/>
      </c>
      <c r="CZ78">
        <f>IF(AND(CZ$4=1,CZ28=0),1,0)</f>
        <v/>
      </c>
      <c r="DA78">
        <f>IF(AND(DA$4=1,DA28=0),1,0)</f>
        <v/>
      </c>
      <c r="DB78">
        <f>IF(AND(DB$4=1,DB28=0),1,0)</f>
        <v/>
      </c>
      <c r="DC78">
        <f>IF(AND(DC$4=1,DC28=0),1,0)</f>
        <v/>
      </c>
      <c r="DD78">
        <f>IF(AND(DD$4=1,DD28=0),1,0)</f>
        <v/>
      </c>
      <c r="DE78">
        <f>IF(AND(DE$4=1,DE28=0),1,0)</f>
        <v/>
      </c>
      <c r="DF78">
        <f>IF(AND(DF$4=1,DF28=0),1,0)</f>
        <v/>
      </c>
      <c r="DG78">
        <f>IF(AND(DG$4=1,DG28=0),1,0)</f>
        <v/>
      </c>
      <c r="DH78">
        <f>IF(AND(DH$4=1,DH28=0),1,0)</f>
        <v/>
      </c>
      <c r="DI78">
        <f>IF(AND(DI$4=1,DI28=0),1,0)</f>
        <v/>
      </c>
      <c r="DJ78">
        <f>IF(AND(DJ$4=1,DJ28=0),1,0)</f>
        <v/>
      </c>
      <c r="DK78">
        <f>IF(AND(DK$4=1,DK28=0),1,0)</f>
        <v/>
      </c>
      <c r="DL78">
        <f>IF(AND(DL$4=1,DL28=0),1,0)</f>
        <v/>
      </c>
      <c r="DM78">
        <f>IF(AND(DM$4=1,DM28=0),1,0)</f>
        <v/>
      </c>
      <c r="DN78">
        <f>IF(AND(DN$4=1,DN28=0),1,0)</f>
        <v/>
      </c>
      <c r="DO78">
        <f>IF(AND(DO$4=1,DO28=0),1,0)</f>
        <v/>
      </c>
      <c r="DP78">
        <f>IF(AND(DP$4=1,DP28=0),1,0)</f>
        <v/>
      </c>
      <c r="DQ78">
        <f>IF(AND(DQ$4=1,DQ28=0),1,0)</f>
        <v/>
      </c>
      <c r="DR78">
        <f>IF(AND(DR$4=1,DR28=0),1,0)</f>
        <v/>
      </c>
      <c r="DS78">
        <f>IF(AND(DS$4=1,DS28=0),1,0)</f>
        <v/>
      </c>
    </row>
    <row r="79">
      <c r="A79" t="n">
        <v>20</v>
      </c>
      <c r="D79">
        <f>IF(AND(D$4=1,D29=0),1,0)</f>
        <v/>
      </c>
      <c r="E79">
        <f>IF(AND(E$4=1,E29=0),1,0)</f>
        <v/>
      </c>
      <c r="F79">
        <f>IF(AND(F$4=1,F29=0),1,0)</f>
        <v/>
      </c>
      <c r="G79">
        <f>IF(AND(G$4=1,G29=0),1,0)</f>
        <v/>
      </c>
      <c r="H79">
        <f>IF(AND(H$4=1,H29=0),1,0)</f>
        <v/>
      </c>
      <c r="I79">
        <f>IF(AND(I$4=1,I29=0),1,0)</f>
        <v/>
      </c>
      <c r="J79">
        <f>IF(AND(J$4=1,J29=0),1,0)</f>
        <v/>
      </c>
      <c r="K79">
        <f>IF(AND(K$4=1,K29=0),1,0)</f>
        <v/>
      </c>
      <c r="L79">
        <f>IF(AND(L$4=1,L29=0),1,0)</f>
        <v/>
      </c>
      <c r="M79">
        <f>IF(AND(M$4=1,M29=0),1,0)</f>
        <v/>
      </c>
      <c r="N79">
        <f>IF(AND(N$4=1,N29=0),1,0)</f>
        <v/>
      </c>
      <c r="O79">
        <f>IF(AND(O$4=1,O29=0),1,0)</f>
        <v/>
      </c>
      <c r="P79">
        <f>IF(AND(P$4=1,P29=0),1,0)</f>
        <v/>
      </c>
      <c r="Q79">
        <f>IF(AND(Q$4=1,Q29=0),1,0)</f>
        <v/>
      </c>
      <c r="R79">
        <f>IF(AND(R$4=1,R29=0),1,0)</f>
        <v/>
      </c>
      <c r="S79">
        <f>IF(AND(S$4=1,S29=0),1,0)</f>
        <v/>
      </c>
      <c r="T79">
        <f>IF(AND(T$4=1,T29=0),1,0)</f>
        <v/>
      </c>
      <c r="U79">
        <f>IF(AND(U$4=1,U29=0),1,0)</f>
        <v/>
      </c>
      <c r="V79">
        <f>IF(AND(V$4=1,V29=0),1,0)</f>
        <v/>
      </c>
      <c r="W79">
        <f>IF(AND(W$4=1,W29=0),1,0)</f>
        <v/>
      </c>
      <c r="X79">
        <f>IF(AND(X$4=1,X29=0),1,0)</f>
        <v/>
      </c>
      <c r="Y79">
        <f>IF(AND(Y$4=1,Y29=0),1,0)</f>
        <v/>
      </c>
      <c r="Z79">
        <f>IF(AND(Z$4=1,Z29=0),1,0)</f>
        <v/>
      </c>
      <c r="AA79">
        <f>IF(AND(AA$4=1,AA29=0),1,0)</f>
        <v/>
      </c>
      <c r="AB79">
        <f>IF(AND(AB$4=1,AB29=0),1,0)</f>
        <v/>
      </c>
      <c r="AC79">
        <f>IF(AND(AC$4=1,AC29=0),1,0)</f>
        <v/>
      </c>
      <c r="AD79">
        <f>IF(AND(AD$4=1,AD29=0),1,0)</f>
        <v/>
      </c>
      <c r="AE79">
        <f>IF(AND(AE$4=1,AE29=0),1,0)</f>
        <v/>
      </c>
      <c r="AF79">
        <f>IF(AND(AF$4=1,AF29=0),1,0)</f>
        <v/>
      </c>
      <c r="AG79">
        <f>IF(AND(AG$4=1,AG29=0),1,0)</f>
        <v/>
      </c>
      <c r="AH79">
        <f>IF(AND(AH$4=1,AH29=0),1,0)</f>
        <v/>
      </c>
      <c r="AI79">
        <f>IF(AND(AI$4=1,AI29=0),1,0)</f>
        <v/>
      </c>
      <c r="AJ79">
        <f>IF(AND(AJ$4=1,AJ29=0),1,0)</f>
        <v/>
      </c>
      <c r="AK79">
        <f>IF(AND(AK$4=1,AK29=0),1,0)</f>
        <v/>
      </c>
      <c r="AL79">
        <f>IF(AND(AL$4=1,AL29=0),1,0)</f>
        <v/>
      </c>
      <c r="AM79">
        <f>IF(AND(AM$4=1,AM29=0),1,0)</f>
        <v/>
      </c>
      <c r="AN79">
        <f>IF(AND(AN$4=1,AN29=0),1,0)</f>
        <v/>
      </c>
      <c r="AO79">
        <f>IF(AND(AO$4=1,AO29=0),1,0)</f>
        <v/>
      </c>
      <c r="AP79">
        <f>IF(AND(AP$4=1,AP29=0),1,0)</f>
        <v/>
      </c>
      <c r="AQ79">
        <f>IF(AND(AQ$4=1,AQ29=0),1,0)</f>
        <v/>
      </c>
      <c r="AR79">
        <f>IF(AND(AR$4=1,AR29=0),1,0)</f>
        <v/>
      </c>
      <c r="AS79">
        <f>IF(AND(AS$4=1,AS29=0),1,0)</f>
        <v/>
      </c>
      <c r="AT79">
        <f>IF(AND(AT$4=1,AT29=0),1,0)</f>
        <v/>
      </c>
      <c r="AU79">
        <f>IF(AND(AU$4=1,AU29=0),1,0)</f>
        <v/>
      </c>
      <c r="AV79">
        <f>IF(AND(AV$4=1,AV29=0),1,0)</f>
        <v/>
      </c>
      <c r="AW79">
        <f>IF(AND(AW$4=1,AW29=0),1,0)</f>
        <v/>
      </c>
      <c r="AX79">
        <f>IF(AND(AX$4=1,AX29=0),1,0)</f>
        <v/>
      </c>
      <c r="AY79">
        <f>IF(AND(AY$4=1,AY29=0),1,0)</f>
        <v/>
      </c>
      <c r="AZ79">
        <f>IF(AND(AZ$4=1,AZ29=0),1,0)</f>
        <v/>
      </c>
      <c r="BA79">
        <f>IF(AND(BA$4=1,BA29=0),1,0)</f>
        <v/>
      </c>
      <c r="BB79">
        <f>IF(AND(BB$4=1,BB29=0),1,0)</f>
        <v/>
      </c>
      <c r="BC79">
        <f>IF(AND(BC$4=1,BC29=0),1,0)</f>
        <v/>
      </c>
      <c r="BD79">
        <f>IF(AND(BD$4=1,BD29=0),1,0)</f>
        <v/>
      </c>
      <c r="BE79">
        <f>IF(AND(BE$4=1,BE29=0),1,0)</f>
        <v/>
      </c>
      <c r="BF79">
        <f>IF(AND(BF$4=1,BF29=0),1,0)</f>
        <v/>
      </c>
      <c r="BG79">
        <f>IF(AND(BG$4=1,BG29=0),1,0)</f>
        <v/>
      </c>
      <c r="BH79">
        <f>IF(AND(BH$4=1,BH29=0),1,0)</f>
        <v/>
      </c>
      <c r="BI79">
        <f>IF(AND(BI$4=1,BI29=0),1,0)</f>
        <v/>
      </c>
      <c r="BJ79">
        <f>IF(AND(BJ$4=1,BJ29=0),1,0)</f>
        <v/>
      </c>
      <c r="BK79">
        <f>IF(AND(BK$4=1,BK29=0),1,0)</f>
        <v/>
      </c>
      <c r="BL79">
        <f>IF(AND(BL$4=1,BL29=0),1,0)</f>
        <v/>
      </c>
      <c r="BM79">
        <f>IF(AND(BM$4=1,BM29=0),1,0)</f>
        <v/>
      </c>
      <c r="BN79">
        <f>IF(AND(BN$4=1,BN29=0),1,0)</f>
        <v/>
      </c>
      <c r="BO79">
        <f>IF(AND(BO$4=1,BO29=0),1,0)</f>
        <v/>
      </c>
      <c r="BP79">
        <f>IF(AND(BP$4=1,BP29=0),1,0)</f>
        <v/>
      </c>
      <c r="BQ79">
        <f>IF(AND(BQ$4=1,BQ29=0),1,0)</f>
        <v/>
      </c>
      <c r="BR79">
        <f>IF(AND(BR$4=1,BR29=0),1,0)</f>
        <v/>
      </c>
      <c r="BS79">
        <f>IF(AND(BS$4=1,BS29=0),1,0)</f>
        <v/>
      </c>
      <c r="BT79">
        <f>IF(AND(BT$4=1,BT29=0),1,0)</f>
        <v/>
      </c>
      <c r="BU79">
        <f>IF(AND(BU$4=1,BU29=0),1,0)</f>
        <v/>
      </c>
      <c r="BV79">
        <f>IF(AND(BV$4=1,BV29=0),1,0)</f>
        <v/>
      </c>
      <c r="BW79">
        <f>IF(AND(BW$4=1,BW29=0),1,0)</f>
        <v/>
      </c>
      <c r="BX79">
        <f>IF(AND(BX$4=1,BX29=0),1,0)</f>
        <v/>
      </c>
      <c r="BY79">
        <f>IF(AND(BY$4=1,BY29=0),1,0)</f>
        <v/>
      </c>
      <c r="BZ79">
        <f>IF(AND(BZ$4=1,BZ29=0),1,0)</f>
        <v/>
      </c>
      <c r="CA79">
        <f>IF(AND(CA$4=1,CA29=0),1,0)</f>
        <v/>
      </c>
      <c r="CB79">
        <f>IF(AND(CB$4=1,CB29=0),1,0)</f>
        <v/>
      </c>
      <c r="CC79">
        <f>IF(AND(CC$4=1,CC29=0),1,0)</f>
        <v/>
      </c>
      <c r="CD79">
        <f>IF(AND(CD$4=1,CD29=0),1,0)</f>
        <v/>
      </c>
      <c r="CE79">
        <f>IF(AND(CE$4=1,CE29=0),1,0)</f>
        <v/>
      </c>
      <c r="CF79">
        <f>IF(AND(CF$4=1,CF29=0),1,0)</f>
        <v/>
      </c>
      <c r="CG79">
        <f>IF(AND(CG$4=1,CG29=0),1,0)</f>
        <v/>
      </c>
      <c r="CH79">
        <f>IF(AND(CH$4=1,CH29=0),1,0)</f>
        <v/>
      </c>
      <c r="CI79">
        <f>IF(AND(CI$4=1,CI29=0),1,0)</f>
        <v/>
      </c>
      <c r="CJ79">
        <f>IF(AND(CJ$4=1,CJ29=0),1,0)</f>
        <v/>
      </c>
      <c r="CK79">
        <f>IF(AND(CK$4=1,CK29=0),1,0)</f>
        <v/>
      </c>
      <c r="CL79">
        <f>IF(AND(CL$4=1,CL29=0),1,0)</f>
        <v/>
      </c>
      <c r="CM79">
        <f>IF(AND(CM$4=1,CM29=0),1,0)</f>
        <v/>
      </c>
      <c r="CN79">
        <f>IF(AND(CN$4=1,CN29=0),1,0)</f>
        <v/>
      </c>
      <c r="CO79">
        <f>IF(AND(CO$4=1,CO29=0),1,0)</f>
        <v/>
      </c>
      <c r="CP79">
        <f>IF(AND(CP$4=1,CP29=0),1,0)</f>
        <v/>
      </c>
      <c r="CQ79">
        <f>IF(AND(CQ$4=1,CQ29=0),1,0)</f>
        <v/>
      </c>
      <c r="CR79">
        <f>IF(AND(CR$4=1,CR29=0),1,0)</f>
        <v/>
      </c>
      <c r="CS79">
        <f>IF(AND(CS$4=1,CS29=0),1,0)</f>
        <v/>
      </c>
      <c r="CT79">
        <f>IF(AND(CT$4=1,CT29=0),1,0)</f>
        <v/>
      </c>
      <c r="CU79">
        <f>IF(AND(CU$4=1,CU29=0),1,0)</f>
        <v/>
      </c>
      <c r="CV79">
        <f>IF(AND(CV$4=1,CV29=0),1,0)</f>
        <v/>
      </c>
      <c r="CW79">
        <f>IF(AND(CW$4=1,CW29=0),1,0)</f>
        <v/>
      </c>
      <c r="CX79">
        <f>IF(AND(CX$4=1,CX29=0),1,0)</f>
        <v/>
      </c>
      <c r="CY79">
        <f>IF(AND(CY$4=1,CY29=0),1,0)</f>
        <v/>
      </c>
      <c r="CZ79">
        <f>IF(AND(CZ$4=1,CZ29=0),1,0)</f>
        <v/>
      </c>
      <c r="DA79">
        <f>IF(AND(DA$4=1,DA29=0),1,0)</f>
        <v/>
      </c>
      <c r="DB79">
        <f>IF(AND(DB$4=1,DB29=0),1,0)</f>
        <v/>
      </c>
      <c r="DC79">
        <f>IF(AND(DC$4=1,DC29=0),1,0)</f>
        <v/>
      </c>
      <c r="DD79">
        <f>IF(AND(DD$4=1,DD29=0),1,0)</f>
        <v/>
      </c>
      <c r="DE79">
        <f>IF(AND(DE$4=1,DE29=0),1,0)</f>
        <v/>
      </c>
      <c r="DF79">
        <f>IF(AND(DF$4=1,DF29=0),1,0)</f>
        <v/>
      </c>
      <c r="DG79">
        <f>IF(AND(DG$4=1,DG29=0),1,0)</f>
        <v/>
      </c>
      <c r="DH79">
        <f>IF(AND(DH$4=1,DH29=0),1,0)</f>
        <v/>
      </c>
      <c r="DI79">
        <f>IF(AND(DI$4=1,DI29=0),1,0)</f>
        <v/>
      </c>
      <c r="DJ79">
        <f>IF(AND(DJ$4=1,DJ29=0),1,0)</f>
        <v/>
      </c>
      <c r="DK79">
        <f>IF(AND(DK$4=1,DK29=0),1,0)</f>
        <v/>
      </c>
      <c r="DL79">
        <f>IF(AND(DL$4=1,DL29=0),1,0)</f>
        <v/>
      </c>
      <c r="DM79">
        <f>IF(AND(DM$4=1,DM29=0),1,0)</f>
        <v/>
      </c>
      <c r="DN79">
        <f>IF(AND(DN$4=1,DN29=0),1,0)</f>
        <v/>
      </c>
      <c r="DO79">
        <f>IF(AND(DO$4=1,DO29=0),1,0)</f>
        <v/>
      </c>
      <c r="DP79">
        <f>IF(AND(DP$4=1,DP29=0),1,0)</f>
        <v/>
      </c>
      <c r="DQ79">
        <f>IF(AND(DQ$4=1,DQ29=0),1,0)</f>
        <v/>
      </c>
      <c r="DR79">
        <f>IF(AND(DR$4=1,DR29=0),1,0)</f>
        <v/>
      </c>
      <c r="DS79">
        <f>IF(AND(DS$4=1,DS29=0),1,0)</f>
        <v/>
      </c>
    </row>
    <row r="80">
      <c r="A80" t="n">
        <v>21</v>
      </c>
      <c r="D80">
        <f>IF(AND(D$4=1,D30=0),1,0)</f>
        <v/>
      </c>
      <c r="E80">
        <f>IF(AND(E$4=1,E30=0),1,0)</f>
        <v/>
      </c>
      <c r="F80">
        <f>IF(AND(F$4=1,F30=0),1,0)</f>
        <v/>
      </c>
      <c r="G80">
        <f>IF(AND(G$4=1,G30=0),1,0)</f>
        <v/>
      </c>
      <c r="H80">
        <f>IF(AND(H$4=1,H30=0),1,0)</f>
        <v/>
      </c>
      <c r="I80">
        <f>IF(AND(I$4=1,I30=0),1,0)</f>
        <v/>
      </c>
      <c r="J80">
        <f>IF(AND(J$4=1,J30=0),1,0)</f>
        <v/>
      </c>
      <c r="K80">
        <f>IF(AND(K$4=1,K30=0),1,0)</f>
        <v/>
      </c>
      <c r="L80">
        <f>IF(AND(L$4=1,L30=0),1,0)</f>
        <v/>
      </c>
      <c r="M80">
        <f>IF(AND(M$4=1,M30=0),1,0)</f>
        <v/>
      </c>
      <c r="N80">
        <f>IF(AND(N$4=1,N30=0),1,0)</f>
        <v/>
      </c>
      <c r="O80">
        <f>IF(AND(O$4=1,O30=0),1,0)</f>
        <v/>
      </c>
      <c r="P80">
        <f>IF(AND(P$4=1,P30=0),1,0)</f>
        <v/>
      </c>
      <c r="Q80">
        <f>IF(AND(Q$4=1,Q30=0),1,0)</f>
        <v/>
      </c>
      <c r="R80">
        <f>IF(AND(R$4=1,R30=0),1,0)</f>
        <v/>
      </c>
      <c r="S80">
        <f>IF(AND(S$4=1,S30=0),1,0)</f>
        <v/>
      </c>
      <c r="T80">
        <f>IF(AND(T$4=1,T30=0),1,0)</f>
        <v/>
      </c>
      <c r="U80">
        <f>IF(AND(U$4=1,U30=0),1,0)</f>
        <v/>
      </c>
      <c r="V80">
        <f>IF(AND(V$4=1,V30=0),1,0)</f>
        <v/>
      </c>
      <c r="W80">
        <f>IF(AND(W$4=1,W30=0),1,0)</f>
        <v/>
      </c>
      <c r="X80">
        <f>IF(AND(X$4=1,X30=0),1,0)</f>
        <v/>
      </c>
      <c r="Y80">
        <f>IF(AND(Y$4=1,Y30=0),1,0)</f>
        <v/>
      </c>
      <c r="Z80">
        <f>IF(AND(Z$4=1,Z30=0),1,0)</f>
        <v/>
      </c>
      <c r="AA80">
        <f>IF(AND(AA$4=1,AA30=0),1,0)</f>
        <v/>
      </c>
      <c r="AB80">
        <f>IF(AND(AB$4=1,AB30=0),1,0)</f>
        <v/>
      </c>
      <c r="AC80">
        <f>IF(AND(AC$4=1,AC30=0),1,0)</f>
        <v/>
      </c>
      <c r="AD80">
        <f>IF(AND(AD$4=1,AD30=0),1,0)</f>
        <v/>
      </c>
      <c r="AE80">
        <f>IF(AND(AE$4=1,AE30=0),1,0)</f>
        <v/>
      </c>
      <c r="AF80">
        <f>IF(AND(AF$4=1,AF30=0),1,0)</f>
        <v/>
      </c>
      <c r="AG80">
        <f>IF(AND(AG$4=1,AG30=0),1,0)</f>
        <v/>
      </c>
      <c r="AH80">
        <f>IF(AND(AH$4=1,AH30=0),1,0)</f>
        <v/>
      </c>
      <c r="AI80">
        <f>IF(AND(AI$4=1,AI30=0),1,0)</f>
        <v/>
      </c>
      <c r="AJ80">
        <f>IF(AND(AJ$4=1,AJ30=0),1,0)</f>
        <v/>
      </c>
      <c r="AK80">
        <f>IF(AND(AK$4=1,AK30=0),1,0)</f>
        <v/>
      </c>
      <c r="AL80">
        <f>IF(AND(AL$4=1,AL30=0),1,0)</f>
        <v/>
      </c>
      <c r="AM80">
        <f>IF(AND(AM$4=1,AM30=0),1,0)</f>
        <v/>
      </c>
      <c r="AN80">
        <f>IF(AND(AN$4=1,AN30=0),1,0)</f>
        <v/>
      </c>
      <c r="AO80">
        <f>IF(AND(AO$4=1,AO30=0),1,0)</f>
        <v/>
      </c>
      <c r="AP80">
        <f>IF(AND(AP$4=1,AP30=0),1,0)</f>
        <v/>
      </c>
      <c r="AQ80">
        <f>IF(AND(AQ$4=1,AQ30=0),1,0)</f>
        <v/>
      </c>
      <c r="AR80">
        <f>IF(AND(AR$4=1,AR30=0),1,0)</f>
        <v/>
      </c>
      <c r="AS80">
        <f>IF(AND(AS$4=1,AS30=0),1,0)</f>
        <v/>
      </c>
      <c r="AT80">
        <f>IF(AND(AT$4=1,AT30=0),1,0)</f>
        <v/>
      </c>
      <c r="AU80">
        <f>IF(AND(AU$4=1,AU30=0),1,0)</f>
        <v/>
      </c>
      <c r="AV80">
        <f>IF(AND(AV$4=1,AV30=0),1,0)</f>
        <v/>
      </c>
      <c r="AW80">
        <f>IF(AND(AW$4=1,AW30=0),1,0)</f>
        <v/>
      </c>
      <c r="AX80">
        <f>IF(AND(AX$4=1,AX30=0),1,0)</f>
        <v/>
      </c>
      <c r="AY80">
        <f>IF(AND(AY$4=1,AY30=0),1,0)</f>
        <v/>
      </c>
      <c r="AZ80">
        <f>IF(AND(AZ$4=1,AZ30=0),1,0)</f>
        <v/>
      </c>
      <c r="BA80">
        <f>IF(AND(BA$4=1,BA30=0),1,0)</f>
        <v/>
      </c>
      <c r="BB80">
        <f>IF(AND(BB$4=1,BB30=0),1,0)</f>
        <v/>
      </c>
      <c r="BC80">
        <f>IF(AND(BC$4=1,BC30=0),1,0)</f>
        <v/>
      </c>
      <c r="BD80">
        <f>IF(AND(BD$4=1,BD30=0),1,0)</f>
        <v/>
      </c>
      <c r="BE80">
        <f>IF(AND(BE$4=1,BE30=0),1,0)</f>
        <v/>
      </c>
      <c r="BF80">
        <f>IF(AND(BF$4=1,BF30=0),1,0)</f>
        <v/>
      </c>
      <c r="BG80">
        <f>IF(AND(BG$4=1,BG30=0),1,0)</f>
        <v/>
      </c>
      <c r="BH80">
        <f>IF(AND(BH$4=1,BH30=0),1,0)</f>
        <v/>
      </c>
      <c r="BI80">
        <f>IF(AND(BI$4=1,BI30=0),1,0)</f>
        <v/>
      </c>
      <c r="BJ80">
        <f>IF(AND(BJ$4=1,BJ30=0),1,0)</f>
        <v/>
      </c>
      <c r="BK80">
        <f>IF(AND(BK$4=1,BK30=0),1,0)</f>
        <v/>
      </c>
      <c r="BL80">
        <f>IF(AND(BL$4=1,BL30=0),1,0)</f>
        <v/>
      </c>
      <c r="BM80">
        <f>IF(AND(BM$4=1,BM30=0),1,0)</f>
        <v/>
      </c>
      <c r="BN80">
        <f>IF(AND(BN$4=1,BN30=0),1,0)</f>
        <v/>
      </c>
      <c r="BO80">
        <f>IF(AND(BO$4=1,BO30=0),1,0)</f>
        <v/>
      </c>
      <c r="BP80">
        <f>IF(AND(BP$4=1,BP30=0),1,0)</f>
        <v/>
      </c>
      <c r="BQ80">
        <f>IF(AND(BQ$4=1,BQ30=0),1,0)</f>
        <v/>
      </c>
      <c r="BR80">
        <f>IF(AND(BR$4=1,BR30=0),1,0)</f>
        <v/>
      </c>
      <c r="BS80">
        <f>IF(AND(BS$4=1,BS30=0),1,0)</f>
        <v/>
      </c>
      <c r="BT80">
        <f>IF(AND(BT$4=1,BT30=0),1,0)</f>
        <v/>
      </c>
      <c r="BU80">
        <f>IF(AND(BU$4=1,BU30=0),1,0)</f>
        <v/>
      </c>
      <c r="BV80">
        <f>IF(AND(BV$4=1,BV30=0),1,0)</f>
        <v/>
      </c>
      <c r="BW80">
        <f>IF(AND(BW$4=1,BW30=0),1,0)</f>
        <v/>
      </c>
      <c r="BX80">
        <f>IF(AND(BX$4=1,BX30=0),1,0)</f>
        <v/>
      </c>
      <c r="BY80">
        <f>IF(AND(BY$4=1,BY30=0),1,0)</f>
        <v/>
      </c>
      <c r="BZ80">
        <f>IF(AND(BZ$4=1,BZ30=0),1,0)</f>
        <v/>
      </c>
      <c r="CA80">
        <f>IF(AND(CA$4=1,CA30=0),1,0)</f>
        <v/>
      </c>
      <c r="CB80">
        <f>IF(AND(CB$4=1,CB30=0),1,0)</f>
        <v/>
      </c>
      <c r="CC80">
        <f>IF(AND(CC$4=1,CC30=0),1,0)</f>
        <v/>
      </c>
      <c r="CD80">
        <f>IF(AND(CD$4=1,CD30=0),1,0)</f>
        <v/>
      </c>
      <c r="CE80">
        <f>IF(AND(CE$4=1,CE30=0),1,0)</f>
        <v/>
      </c>
      <c r="CF80">
        <f>IF(AND(CF$4=1,CF30=0),1,0)</f>
        <v/>
      </c>
      <c r="CG80">
        <f>IF(AND(CG$4=1,CG30=0),1,0)</f>
        <v/>
      </c>
      <c r="CH80">
        <f>IF(AND(CH$4=1,CH30=0),1,0)</f>
        <v/>
      </c>
      <c r="CI80">
        <f>IF(AND(CI$4=1,CI30=0),1,0)</f>
        <v/>
      </c>
      <c r="CJ80">
        <f>IF(AND(CJ$4=1,CJ30=0),1,0)</f>
        <v/>
      </c>
      <c r="CK80">
        <f>IF(AND(CK$4=1,CK30=0),1,0)</f>
        <v/>
      </c>
      <c r="CL80">
        <f>IF(AND(CL$4=1,CL30=0),1,0)</f>
        <v/>
      </c>
      <c r="CM80">
        <f>IF(AND(CM$4=1,CM30=0),1,0)</f>
        <v/>
      </c>
      <c r="CN80">
        <f>IF(AND(CN$4=1,CN30=0),1,0)</f>
        <v/>
      </c>
      <c r="CO80">
        <f>IF(AND(CO$4=1,CO30=0),1,0)</f>
        <v/>
      </c>
      <c r="CP80">
        <f>IF(AND(CP$4=1,CP30=0),1,0)</f>
        <v/>
      </c>
      <c r="CQ80">
        <f>IF(AND(CQ$4=1,CQ30=0),1,0)</f>
        <v/>
      </c>
      <c r="CR80">
        <f>IF(AND(CR$4=1,CR30=0),1,0)</f>
        <v/>
      </c>
      <c r="CS80">
        <f>IF(AND(CS$4=1,CS30=0),1,0)</f>
        <v/>
      </c>
      <c r="CT80">
        <f>IF(AND(CT$4=1,CT30=0),1,0)</f>
        <v/>
      </c>
      <c r="CU80">
        <f>IF(AND(CU$4=1,CU30=0),1,0)</f>
        <v/>
      </c>
      <c r="CV80">
        <f>IF(AND(CV$4=1,CV30=0),1,0)</f>
        <v/>
      </c>
      <c r="CW80">
        <f>IF(AND(CW$4=1,CW30=0),1,0)</f>
        <v/>
      </c>
      <c r="CX80">
        <f>IF(AND(CX$4=1,CX30=0),1,0)</f>
        <v/>
      </c>
      <c r="CY80">
        <f>IF(AND(CY$4=1,CY30=0),1,0)</f>
        <v/>
      </c>
      <c r="CZ80">
        <f>IF(AND(CZ$4=1,CZ30=0),1,0)</f>
        <v/>
      </c>
      <c r="DA80">
        <f>IF(AND(DA$4=1,DA30=0),1,0)</f>
        <v/>
      </c>
      <c r="DB80">
        <f>IF(AND(DB$4=1,DB30=0),1,0)</f>
        <v/>
      </c>
      <c r="DC80">
        <f>IF(AND(DC$4=1,DC30=0),1,0)</f>
        <v/>
      </c>
      <c r="DD80">
        <f>IF(AND(DD$4=1,DD30=0),1,0)</f>
        <v/>
      </c>
      <c r="DE80">
        <f>IF(AND(DE$4=1,DE30=0),1,0)</f>
        <v/>
      </c>
      <c r="DF80">
        <f>IF(AND(DF$4=1,DF30=0),1,0)</f>
        <v/>
      </c>
      <c r="DG80">
        <f>IF(AND(DG$4=1,DG30=0),1,0)</f>
        <v/>
      </c>
      <c r="DH80">
        <f>IF(AND(DH$4=1,DH30=0),1,0)</f>
        <v/>
      </c>
      <c r="DI80">
        <f>IF(AND(DI$4=1,DI30=0),1,0)</f>
        <v/>
      </c>
      <c r="DJ80">
        <f>IF(AND(DJ$4=1,DJ30=0),1,0)</f>
        <v/>
      </c>
      <c r="DK80">
        <f>IF(AND(DK$4=1,DK30=0),1,0)</f>
        <v/>
      </c>
      <c r="DL80">
        <f>IF(AND(DL$4=1,DL30=0),1,0)</f>
        <v/>
      </c>
      <c r="DM80">
        <f>IF(AND(DM$4=1,DM30=0),1,0)</f>
        <v/>
      </c>
      <c r="DN80">
        <f>IF(AND(DN$4=1,DN30=0),1,0)</f>
        <v/>
      </c>
      <c r="DO80">
        <f>IF(AND(DO$4=1,DO30=0),1,0)</f>
        <v/>
      </c>
      <c r="DP80">
        <f>IF(AND(DP$4=1,DP30=0),1,0)</f>
        <v/>
      </c>
      <c r="DQ80">
        <f>IF(AND(DQ$4=1,DQ30=0),1,0)</f>
        <v/>
      </c>
      <c r="DR80">
        <f>IF(AND(DR$4=1,DR30=0),1,0)</f>
        <v/>
      </c>
      <c r="DS80">
        <f>IF(AND(DS$4=1,DS30=0),1,0)</f>
        <v/>
      </c>
    </row>
    <row r="81">
      <c r="A81" t="n">
        <v>22</v>
      </c>
      <c r="D81">
        <f>IF(AND(D$4=1,D31=0),1,0)</f>
        <v/>
      </c>
      <c r="E81">
        <f>IF(AND(E$4=1,E31=0),1,0)</f>
        <v/>
      </c>
      <c r="F81">
        <f>IF(AND(F$4=1,F31=0),1,0)</f>
        <v/>
      </c>
      <c r="G81">
        <f>IF(AND(G$4=1,G31=0),1,0)</f>
        <v/>
      </c>
      <c r="H81">
        <f>IF(AND(H$4=1,H31=0),1,0)</f>
        <v/>
      </c>
      <c r="I81">
        <f>IF(AND(I$4=1,I31=0),1,0)</f>
        <v/>
      </c>
      <c r="J81">
        <f>IF(AND(J$4=1,J31=0),1,0)</f>
        <v/>
      </c>
      <c r="K81">
        <f>IF(AND(K$4=1,K31=0),1,0)</f>
        <v/>
      </c>
      <c r="L81">
        <f>IF(AND(L$4=1,L31=0),1,0)</f>
        <v/>
      </c>
      <c r="M81">
        <f>IF(AND(M$4=1,M31=0),1,0)</f>
        <v/>
      </c>
      <c r="N81">
        <f>IF(AND(N$4=1,N31=0),1,0)</f>
        <v/>
      </c>
      <c r="O81">
        <f>IF(AND(O$4=1,O31=0),1,0)</f>
        <v/>
      </c>
      <c r="P81">
        <f>IF(AND(P$4=1,P31=0),1,0)</f>
        <v/>
      </c>
      <c r="Q81">
        <f>IF(AND(Q$4=1,Q31=0),1,0)</f>
        <v/>
      </c>
      <c r="R81">
        <f>IF(AND(R$4=1,R31=0),1,0)</f>
        <v/>
      </c>
      <c r="S81">
        <f>IF(AND(S$4=1,S31=0),1,0)</f>
        <v/>
      </c>
      <c r="T81">
        <f>IF(AND(T$4=1,T31=0),1,0)</f>
        <v/>
      </c>
      <c r="U81">
        <f>IF(AND(U$4=1,U31=0),1,0)</f>
        <v/>
      </c>
      <c r="V81">
        <f>IF(AND(V$4=1,V31=0),1,0)</f>
        <v/>
      </c>
      <c r="W81">
        <f>IF(AND(W$4=1,W31=0),1,0)</f>
        <v/>
      </c>
      <c r="X81">
        <f>IF(AND(X$4=1,X31=0),1,0)</f>
        <v/>
      </c>
      <c r="Y81">
        <f>IF(AND(Y$4=1,Y31=0),1,0)</f>
        <v/>
      </c>
      <c r="Z81">
        <f>IF(AND(Z$4=1,Z31=0),1,0)</f>
        <v/>
      </c>
      <c r="AA81">
        <f>IF(AND(AA$4=1,AA31=0),1,0)</f>
        <v/>
      </c>
      <c r="AB81">
        <f>IF(AND(AB$4=1,AB31=0),1,0)</f>
        <v/>
      </c>
      <c r="AC81">
        <f>IF(AND(AC$4=1,AC31=0),1,0)</f>
        <v/>
      </c>
      <c r="AD81">
        <f>IF(AND(AD$4=1,AD31=0),1,0)</f>
        <v/>
      </c>
      <c r="AE81">
        <f>IF(AND(AE$4=1,AE31=0),1,0)</f>
        <v/>
      </c>
      <c r="AF81">
        <f>IF(AND(AF$4=1,AF31=0),1,0)</f>
        <v/>
      </c>
      <c r="AG81">
        <f>IF(AND(AG$4=1,AG31=0),1,0)</f>
        <v/>
      </c>
      <c r="AH81">
        <f>IF(AND(AH$4=1,AH31=0),1,0)</f>
        <v/>
      </c>
      <c r="AI81">
        <f>IF(AND(AI$4=1,AI31=0),1,0)</f>
        <v/>
      </c>
      <c r="AJ81">
        <f>IF(AND(AJ$4=1,AJ31=0),1,0)</f>
        <v/>
      </c>
      <c r="AK81">
        <f>IF(AND(AK$4=1,AK31=0),1,0)</f>
        <v/>
      </c>
      <c r="AL81">
        <f>IF(AND(AL$4=1,AL31=0),1,0)</f>
        <v/>
      </c>
      <c r="AM81">
        <f>IF(AND(AM$4=1,AM31=0),1,0)</f>
        <v/>
      </c>
      <c r="AN81">
        <f>IF(AND(AN$4=1,AN31=0),1,0)</f>
        <v/>
      </c>
      <c r="AO81">
        <f>IF(AND(AO$4=1,AO31=0),1,0)</f>
        <v/>
      </c>
      <c r="AP81">
        <f>IF(AND(AP$4=1,AP31=0),1,0)</f>
        <v/>
      </c>
      <c r="AQ81">
        <f>IF(AND(AQ$4=1,AQ31=0),1,0)</f>
        <v/>
      </c>
      <c r="AR81">
        <f>IF(AND(AR$4=1,AR31=0),1,0)</f>
        <v/>
      </c>
      <c r="AS81">
        <f>IF(AND(AS$4=1,AS31=0),1,0)</f>
        <v/>
      </c>
      <c r="AT81">
        <f>IF(AND(AT$4=1,AT31=0),1,0)</f>
        <v/>
      </c>
      <c r="AU81">
        <f>IF(AND(AU$4=1,AU31=0),1,0)</f>
        <v/>
      </c>
      <c r="AV81">
        <f>IF(AND(AV$4=1,AV31=0),1,0)</f>
        <v/>
      </c>
      <c r="AW81">
        <f>IF(AND(AW$4=1,AW31=0),1,0)</f>
        <v/>
      </c>
      <c r="AX81">
        <f>IF(AND(AX$4=1,AX31=0),1,0)</f>
        <v/>
      </c>
      <c r="AY81">
        <f>IF(AND(AY$4=1,AY31=0),1,0)</f>
        <v/>
      </c>
      <c r="AZ81">
        <f>IF(AND(AZ$4=1,AZ31=0),1,0)</f>
        <v/>
      </c>
      <c r="BA81">
        <f>IF(AND(BA$4=1,BA31=0),1,0)</f>
        <v/>
      </c>
      <c r="BB81">
        <f>IF(AND(BB$4=1,BB31=0),1,0)</f>
        <v/>
      </c>
      <c r="BC81">
        <f>IF(AND(BC$4=1,BC31=0),1,0)</f>
        <v/>
      </c>
      <c r="BD81">
        <f>IF(AND(BD$4=1,BD31=0),1,0)</f>
        <v/>
      </c>
      <c r="BE81">
        <f>IF(AND(BE$4=1,BE31=0),1,0)</f>
        <v/>
      </c>
      <c r="BF81">
        <f>IF(AND(BF$4=1,BF31=0),1,0)</f>
        <v/>
      </c>
      <c r="BG81">
        <f>IF(AND(BG$4=1,BG31=0),1,0)</f>
        <v/>
      </c>
      <c r="BH81">
        <f>IF(AND(BH$4=1,BH31=0),1,0)</f>
        <v/>
      </c>
      <c r="BI81">
        <f>IF(AND(BI$4=1,BI31=0),1,0)</f>
        <v/>
      </c>
      <c r="BJ81">
        <f>IF(AND(BJ$4=1,BJ31=0),1,0)</f>
        <v/>
      </c>
      <c r="BK81">
        <f>IF(AND(BK$4=1,BK31=0),1,0)</f>
        <v/>
      </c>
      <c r="BL81">
        <f>IF(AND(BL$4=1,BL31=0),1,0)</f>
        <v/>
      </c>
      <c r="BM81">
        <f>IF(AND(BM$4=1,BM31=0),1,0)</f>
        <v/>
      </c>
      <c r="BN81">
        <f>IF(AND(BN$4=1,BN31=0),1,0)</f>
        <v/>
      </c>
      <c r="BO81">
        <f>IF(AND(BO$4=1,BO31=0),1,0)</f>
        <v/>
      </c>
      <c r="BP81">
        <f>IF(AND(BP$4=1,BP31=0),1,0)</f>
        <v/>
      </c>
      <c r="BQ81">
        <f>IF(AND(BQ$4=1,BQ31=0),1,0)</f>
        <v/>
      </c>
      <c r="BR81">
        <f>IF(AND(BR$4=1,BR31=0),1,0)</f>
        <v/>
      </c>
      <c r="BS81">
        <f>IF(AND(BS$4=1,BS31=0),1,0)</f>
        <v/>
      </c>
      <c r="BT81">
        <f>IF(AND(BT$4=1,BT31=0),1,0)</f>
        <v/>
      </c>
      <c r="BU81">
        <f>IF(AND(BU$4=1,BU31=0),1,0)</f>
        <v/>
      </c>
      <c r="BV81">
        <f>IF(AND(BV$4=1,BV31=0),1,0)</f>
        <v/>
      </c>
      <c r="BW81">
        <f>IF(AND(BW$4=1,BW31=0),1,0)</f>
        <v/>
      </c>
      <c r="BX81">
        <f>IF(AND(BX$4=1,BX31=0),1,0)</f>
        <v/>
      </c>
      <c r="BY81">
        <f>IF(AND(BY$4=1,BY31=0),1,0)</f>
        <v/>
      </c>
      <c r="BZ81">
        <f>IF(AND(BZ$4=1,BZ31=0),1,0)</f>
        <v/>
      </c>
      <c r="CA81">
        <f>IF(AND(CA$4=1,CA31=0),1,0)</f>
        <v/>
      </c>
      <c r="CB81">
        <f>IF(AND(CB$4=1,CB31=0),1,0)</f>
        <v/>
      </c>
      <c r="CC81">
        <f>IF(AND(CC$4=1,CC31=0),1,0)</f>
        <v/>
      </c>
      <c r="CD81">
        <f>IF(AND(CD$4=1,CD31=0),1,0)</f>
        <v/>
      </c>
      <c r="CE81">
        <f>IF(AND(CE$4=1,CE31=0),1,0)</f>
        <v/>
      </c>
      <c r="CF81">
        <f>IF(AND(CF$4=1,CF31=0),1,0)</f>
        <v/>
      </c>
      <c r="CG81">
        <f>IF(AND(CG$4=1,CG31=0),1,0)</f>
        <v/>
      </c>
      <c r="CH81">
        <f>IF(AND(CH$4=1,CH31=0),1,0)</f>
        <v/>
      </c>
      <c r="CI81">
        <f>IF(AND(CI$4=1,CI31=0),1,0)</f>
        <v/>
      </c>
      <c r="CJ81">
        <f>IF(AND(CJ$4=1,CJ31=0),1,0)</f>
        <v/>
      </c>
      <c r="CK81">
        <f>IF(AND(CK$4=1,CK31=0),1,0)</f>
        <v/>
      </c>
      <c r="CL81">
        <f>IF(AND(CL$4=1,CL31=0),1,0)</f>
        <v/>
      </c>
      <c r="CM81">
        <f>IF(AND(CM$4=1,CM31=0),1,0)</f>
        <v/>
      </c>
      <c r="CN81">
        <f>IF(AND(CN$4=1,CN31=0),1,0)</f>
        <v/>
      </c>
      <c r="CO81">
        <f>IF(AND(CO$4=1,CO31=0),1,0)</f>
        <v/>
      </c>
      <c r="CP81">
        <f>IF(AND(CP$4=1,CP31=0),1,0)</f>
        <v/>
      </c>
      <c r="CQ81">
        <f>IF(AND(CQ$4=1,CQ31=0),1,0)</f>
        <v/>
      </c>
      <c r="CR81">
        <f>IF(AND(CR$4=1,CR31=0),1,0)</f>
        <v/>
      </c>
      <c r="CS81">
        <f>IF(AND(CS$4=1,CS31=0),1,0)</f>
        <v/>
      </c>
      <c r="CT81">
        <f>IF(AND(CT$4=1,CT31=0),1,0)</f>
        <v/>
      </c>
      <c r="CU81">
        <f>IF(AND(CU$4=1,CU31=0),1,0)</f>
        <v/>
      </c>
      <c r="CV81">
        <f>IF(AND(CV$4=1,CV31=0),1,0)</f>
        <v/>
      </c>
      <c r="CW81">
        <f>IF(AND(CW$4=1,CW31=0),1,0)</f>
        <v/>
      </c>
      <c r="CX81">
        <f>IF(AND(CX$4=1,CX31=0),1,0)</f>
        <v/>
      </c>
      <c r="CY81">
        <f>IF(AND(CY$4=1,CY31=0),1,0)</f>
        <v/>
      </c>
      <c r="CZ81">
        <f>IF(AND(CZ$4=1,CZ31=0),1,0)</f>
        <v/>
      </c>
      <c r="DA81">
        <f>IF(AND(DA$4=1,DA31=0),1,0)</f>
        <v/>
      </c>
      <c r="DB81">
        <f>IF(AND(DB$4=1,DB31=0),1,0)</f>
        <v/>
      </c>
      <c r="DC81">
        <f>IF(AND(DC$4=1,DC31=0),1,0)</f>
        <v/>
      </c>
      <c r="DD81">
        <f>IF(AND(DD$4=1,DD31=0),1,0)</f>
        <v/>
      </c>
      <c r="DE81">
        <f>IF(AND(DE$4=1,DE31=0),1,0)</f>
        <v/>
      </c>
      <c r="DF81">
        <f>IF(AND(DF$4=1,DF31=0),1,0)</f>
        <v/>
      </c>
      <c r="DG81">
        <f>IF(AND(DG$4=1,DG31=0),1,0)</f>
        <v/>
      </c>
      <c r="DH81">
        <f>IF(AND(DH$4=1,DH31=0),1,0)</f>
        <v/>
      </c>
      <c r="DI81">
        <f>IF(AND(DI$4=1,DI31=0),1,0)</f>
        <v/>
      </c>
      <c r="DJ81">
        <f>IF(AND(DJ$4=1,DJ31=0),1,0)</f>
        <v/>
      </c>
      <c r="DK81">
        <f>IF(AND(DK$4=1,DK31=0),1,0)</f>
        <v/>
      </c>
      <c r="DL81">
        <f>IF(AND(DL$4=1,DL31=0),1,0)</f>
        <v/>
      </c>
      <c r="DM81">
        <f>IF(AND(DM$4=1,DM31=0),1,0)</f>
        <v/>
      </c>
      <c r="DN81">
        <f>IF(AND(DN$4=1,DN31=0),1,0)</f>
        <v/>
      </c>
      <c r="DO81">
        <f>IF(AND(DO$4=1,DO31=0),1,0)</f>
        <v/>
      </c>
      <c r="DP81">
        <f>IF(AND(DP$4=1,DP31=0),1,0)</f>
        <v/>
      </c>
      <c r="DQ81">
        <f>IF(AND(DQ$4=1,DQ31=0),1,0)</f>
        <v/>
      </c>
      <c r="DR81">
        <f>IF(AND(DR$4=1,DR31=0),1,0)</f>
        <v/>
      </c>
      <c r="DS81">
        <f>IF(AND(DS$4=1,DS31=0),1,0)</f>
        <v/>
      </c>
    </row>
    <row r="82">
      <c r="A82" t="n">
        <v>23</v>
      </c>
      <c r="D82">
        <f>IF(AND(D$4=1,D32=0),1,0)</f>
        <v/>
      </c>
      <c r="E82">
        <f>IF(AND(E$4=1,E32=0),1,0)</f>
        <v/>
      </c>
      <c r="F82">
        <f>IF(AND(F$4=1,F32=0),1,0)</f>
        <v/>
      </c>
      <c r="G82">
        <f>IF(AND(G$4=1,G32=0),1,0)</f>
        <v/>
      </c>
      <c r="H82">
        <f>IF(AND(H$4=1,H32=0),1,0)</f>
        <v/>
      </c>
      <c r="I82">
        <f>IF(AND(I$4=1,I32=0),1,0)</f>
        <v/>
      </c>
      <c r="J82">
        <f>IF(AND(J$4=1,J32=0),1,0)</f>
        <v/>
      </c>
      <c r="K82">
        <f>IF(AND(K$4=1,K32=0),1,0)</f>
        <v/>
      </c>
      <c r="L82">
        <f>IF(AND(L$4=1,L32=0),1,0)</f>
        <v/>
      </c>
      <c r="M82">
        <f>IF(AND(M$4=1,M32=0),1,0)</f>
        <v/>
      </c>
      <c r="N82">
        <f>IF(AND(N$4=1,N32=0),1,0)</f>
        <v/>
      </c>
      <c r="O82">
        <f>IF(AND(O$4=1,O32=0),1,0)</f>
        <v/>
      </c>
      <c r="P82">
        <f>IF(AND(P$4=1,P32=0),1,0)</f>
        <v/>
      </c>
      <c r="Q82">
        <f>IF(AND(Q$4=1,Q32=0),1,0)</f>
        <v/>
      </c>
      <c r="R82">
        <f>IF(AND(R$4=1,R32=0),1,0)</f>
        <v/>
      </c>
      <c r="S82">
        <f>IF(AND(S$4=1,S32=0),1,0)</f>
        <v/>
      </c>
      <c r="T82">
        <f>IF(AND(T$4=1,T32=0),1,0)</f>
        <v/>
      </c>
      <c r="U82">
        <f>IF(AND(U$4=1,U32=0),1,0)</f>
        <v/>
      </c>
      <c r="V82">
        <f>IF(AND(V$4=1,V32=0),1,0)</f>
        <v/>
      </c>
      <c r="W82">
        <f>IF(AND(W$4=1,W32=0),1,0)</f>
        <v/>
      </c>
      <c r="X82">
        <f>IF(AND(X$4=1,X32=0),1,0)</f>
        <v/>
      </c>
      <c r="Y82">
        <f>IF(AND(Y$4=1,Y32=0),1,0)</f>
        <v/>
      </c>
      <c r="Z82">
        <f>IF(AND(Z$4=1,Z32=0),1,0)</f>
        <v/>
      </c>
      <c r="AA82">
        <f>IF(AND(AA$4=1,AA32=0),1,0)</f>
        <v/>
      </c>
      <c r="AB82">
        <f>IF(AND(AB$4=1,AB32=0),1,0)</f>
        <v/>
      </c>
      <c r="AC82">
        <f>IF(AND(AC$4=1,AC32=0),1,0)</f>
        <v/>
      </c>
      <c r="AD82">
        <f>IF(AND(AD$4=1,AD32=0),1,0)</f>
        <v/>
      </c>
      <c r="AE82">
        <f>IF(AND(AE$4=1,AE32=0),1,0)</f>
        <v/>
      </c>
      <c r="AF82">
        <f>IF(AND(AF$4=1,AF32=0),1,0)</f>
        <v/>
      </c>
      <c r="AG82">
        <f>IF(AND(AG$4=1,AG32=0),1,0)</f>
        <v/>
      </c>
      <c r="AH82">
        <f>IF(AND(AH$4=1,AH32=0),1,0)</f>
        <v/>
      </c>
      <c r="AI82">
        <f>IF(AND(AI$4=1,AI32=0),1,0)</f>
        <v/>
      </c>
      <c r="AJ82">
        <f>IF(AND(AJ$4=1,AJ32=0),1,0)</f>
        <v/>
      </c>
      <c r="AK82">
        <f>IF(AND(AK$4=1,AK32=0),1,0)</f>
        <v/>
      </c>
      <c r="AL82">
        <f>IF(AND(AL$4=1,AL32=0),1,0)</f>
        <v/>
      </c>
      <c r="AM82">
        <f>IF(AND(AM$4=1,AM32=0),1,0)</f>
        <v/>
      </c>
      <c r="AN82">
        <f>IF(AND(AN$4=1,AN32=0),1,0)</f>
        <v/>
      </c>
      <c r="AO82">
        <f>IF(AND(AO$4=1,AO32=0),1,0)</f>
        <v/>
      </c>
      <c r="AP82">
        <f>IF(AND(AP$4=1,AP32=0),1,0)</f>
        <v/>
      </c>
      <c r="AQ82">
        <f>IF(AND(AQ$4=1,AQ32=0),1,0)</f>
        <v/>
      </c>
      <c r="AR82">
        <f>IF(AND(AR$4=1,AR32=0),1,0)</f>
        <v/>
      </c>
      <c r="AS82">
        <f>IF(AND(AS$4=1,AS32=0),1,0)</f>
        <v/>
      </c>
      <c r="AT82">
        <f>IF(AND(AT$4=1,AT32=0),1,0)</f>
        <v/>
      </c>
      <c r="AU82">
        <f>IF(AND(AU$4=1,AU32=0),1,0)</f>
        <v/>
      </c>
      <c r="AV82">
        <f>IF(AND(AV$4=1,AV32=0),1,0)</f>
        <v/>
      </c>
      <c r="AW82">
        <f>IF(AND(AW$4=1,AW32=0),1,0)</f>
        <v/>
      </c>
      <c r="AX82">
        <f>IF(AND(AX$4=1,AX32=0),1,0)</f>
        <v/>
      </c>
      <c r="AY82">
        <f>IF(AND(AY$4=1,AY32=0),1,0)</f>
        <v/>
      </c>
      <c r="AZ82">
        <f>IF(AND(AZ$4=1,AZ32=0),1,0)</f>
        <v/>
      </c>
      <c r="BA82">
        <f>IF(AND(BA$4=1,BA32=0),1,0)</f>
        <v/>
      </c>
      <c r="BB82">
        <f>IF(AND(BB$4=1,BB32=0),1,0)</f>
        <v/>
      </c>
      <c r="BC82">
        <f>IF(AND(BC$4=1,BC32=0),1,0)</f>
        <v/>
      </c>
      <c r="BD82">
        <f>IF(AND(BD$4=1,BD32=0),1,0)</f>
        <v/>
      </c>
      <c r="BE82">
        <f>IF(AND(BE$4=1,BE32=0),1,0)</f>
        <v/>
      </c>
      <c r="BF82">
        <f>IF(AND(BF$4=1,BF32=0),1,0)</f>
        <v/>
      </c>
      <c r="BG82">
        <f>IF(AND(BG$4=1,BG32=0),1,0)</f>
        <v/>
      </c>
      <c r="BH82">
        <f>IF(AND(BH$4=1,BH32=0),1,0)</f>
        <v/>
      </c>
      <c r="BI82">
        <f>IF(AND(BI$4=1,BI32=0),1,0)</f>
        <v/>
      </c>
      <c r="BJ82">
        <f>IF(AND(BJ$4=1,BJ32=0),1,0)</f>
        <v/>
      </c>
      <c r="BK82">
        <f>IF(AND(BK$4=1,BK32=0),1,0)</f>
        <v/>
      </c>
      <c r="BL82">
        <f>IF(AND(BL$4=1,BL32=0),1,0)</f>
        <v/>
      </c>
      <c r="BM82">
        <f>IF(AND(BM$4=1,BM32=0),1,0)</f>
        <v/>
      </c>
      <c r="BN82">
        <f>IF(AND(BN$4=1,BN32=0),1,0)</f>
        <v/>
      </c>
      <c r="BO82">
        <f>IF(AND(BO$4=1,BO32=0),1,0)</f>
        <v/>
      </c>
      <c r="BP82">
        <f>IF(AND(BP$4=1,BP32=0),1,0)</f>
        <v/>
      </c>
      <c r="BQ82">
        <f>IF(AND(BQ$4=1,BQ32=0),1,0)</f>
        <v/>
      </c>
      <c r="BR82">
        <f>IF(AND(BR$4=1,BR32=0),1,0)</f>
        <v/>
      </c>
      <c r="BS82">
        <f>IF(AND(BS$4=1,BS32=0),1,0)</f>
        <v/>
      </c>
      <c r="BT82">
        <f>IF(AND(BT$4=1,BT32=0),1,0)</f>
        <v/>
      </c>
      <c r="BU82">
        <f>IF(AND(BU$4=1,BU32=0),1,0)</f>
        <v/>
      </c>
      <c r="BV82">
        <f>IF(AND(BV$4=1,BV32=0),1,0)</f>
        <v/>
      </c>
      <c r="BW82">
        <f>IF(AND(BW$4=1,BW32=0),1,0)</f>
        <v/>
      </c>
      <c r="BX82">
        <f>IF(AND(BX$4=1,BX32=0),1,0)</f>
        <v/>
      </c>
      <c r="BY82">
        <f>IF(AND(BY$4=1,BY32=0),1,0)</f>
        <v/>
      </c>
      <c r="BZ82">
        <f>IF(AND(BZ$4=1,BZ32=0),1,0)</f>
        <v/>
      </c>
      <c r="CA82">
        <f>IF(AND(CA$4=1,CA32=0),1,0)</f>
        <v/>
      </c>
      <c r="CB82">
        <f>IF(AND(CB$4=1,CB32=0),1,0)</f>
        <v/>
      </c>
      <c r="CC82">
        <f>IF(AND(CC$4=1,CC32=0),1,0)</f>
        <v/>
      </c>
      <c r="CD82">
        <f>IF(AND(CD$4=1,CD32=0),1,0)</f>
        <v/>
      </c>
      <c r="CE82">
        <f>IF(AND(CE$4=1,CE32=0),1,0)</f>
        <v/>
      </c>
      <c r="CF82">
        <f>IF(AND(CF$4=1,CF32=0),1,0)</f>
        <v/>
      </c>
      <c r="CG82">
        <f>IF(AND(CG$4=1,CG32=0),1,0)</f>
        <v/>
      </c>
      <c r="CH82">
        <f>IF(AND(CH$4=1,CH32=0),1,0)</f>
        <v/>
      </c>
      <c r="CI82">
        <f>IF(AND(CI$4=1,CI32=0),1,0)</f>
        <v/>
      </c>
      <c r="CJ82">
        <f>IF(AND(CJ$4=1,CJ32=0),1,0)</f>
        <v/>
      </c>
      <c r="CK82">
        <f>IF(AND(CK$4=1,CK32=0),1,0)</f>
        <v/>
      </c>
      <c r="CL82">
        <f>IF(AND(CL$4=1,CL32=0),1,0)</f>
        <v/>
      </c>
      <c r="CM82">
        <f>IF(AND(CM$4=1,CM32=0),1,0)</f>
        <v/>
      </c>
      <c r="CN82">
        <f>IF(AND(CN$4=1,CN32=0),1,0)</f>
        <v/>
      </c>
      <c r="CO82">
        <f>IF(AND(CO$4=1,CO32=0),1,0)</f>
        <v/>
      </c>
      <c r="CP82">
        <f>IF(AND(CP$4=1,CP32=0),1,0)</f>
        <v/>
      </c>
      <c r="CQ82">
        <f>IF(AND(CQ$4=1,CQ32=0),1,0)</f>
        <v/>
      </c>
      <c r="CR82">
        <f>IF(AND(CR$4=1,CR32=0),1,0)</f>
        <v/>
      </c>
      <c r="CS82">
        <f>IF(AND(CS$4=1,CS32=0),1,0)</f>
        <v/>
      </c>
      <c r="CT82">
        <f>IF(AND(CT$4=1,CT32=0),1,0)</f>
        <v/>
      </c>
      <c r="CU82">
        <f>IF(AND(CU$4=1,CU32=0),1,0)</f>
        <v/>
      </c>
      <c r="CV82">
        <f>IF(AND(CV$4=1,CV32=0),1,0)</f>
        <v/>
      </c>
      <c r="CW82">
        <f>IF(AND(CW$4=1,CW32=0),1,0)</f>
        <v/>
      </c>
      <c r="CX82">
        <f>IF(AND(CX$4=1,CX32=0),1,0)</f>
        <v/>
      </c>
      <c r="CY82">
        <f>IF(AND(CY$4=1,CY32=0),1,0)</f>
        <v/>
      </c>
      <c r="CZ82">
        <f>IF(AND(CZ$4=1,CZ32=0),1,0)</f>
        <v/>
      </c>
      <c r="DA82">
        <f>IF(AND(DA$4=1,DA32=0),1,0)</f>
        <v/>
      </c>
      <c r="DB82">
        <f>IF(AND(DB$4=1,DB32=0),1,0)</f>
        <v/>
      </c>
      <c r="DC82">
        <f>IF(AND(DC$4=1,DC32=0),1,0)</f>
        <v/>
      </c>
      <c r="DD82">
        <f>IF(AND(DD$4=1,DD32=0),1,0)</f>
        <v/>
      </c>
      <c r="DE82">
        <f>IF(AND(DE$4=1,DE32=0),1,0)</f>
        <v/>
      </c>
      <c r="DF82">
        <f>IF(AND(DF$4=1,DF32=0),1,0)</f>
        <v/>
      </c>
      <c r="DG82">
        <f>IF(AND(DG$4=1,DG32=0),1,0)</f>
        <v/>
      </c>
      <c r="DH82">
        <f>IF(AND(DH$4=1,DH32=0),1,0)</f>
        <v/>
      </c>
      <c r="DI82">
        <f>IF(AND(DI$4=1,DI32=0),1,0)</f>
        <v/>
      </c>
      <c r="DJ82">
        <f>IF(AND(DJ$4=1,DJ32=0),1,0)</f>
        <v/>
      </c>
      <c r="DK82">
        <f>IF(AND(DK$4=1,DK32=0),1,0)</f>
        <v/>
      </c>
      <c r="DL82">
        <f>IF(AND(DL$4=1,DL32=0),1,0)</f>
        <v/>
      </c>
      <c r="DM82">
        <f>IF(AND(DM$4=1,DM32=0),1,0)</f>
        <v/>
      </c>
      <c r="DN82">
        <f>IF(AND(DN$4=1,DN32=0),1,0)</f>
        <v/>
      </c>
      <c r="DO82">
        <f>IF(AND(DO$4=1,DO32=0),1,0)</f>
        <v/>
      </c>
      <c r="DP82">
        <f>IF(AND(DP$4=1,DP32=0),1,0)</f>
        <v/>
      </c>
      <c r="DQ82">
        <f>IF(AND(DQ$4=1,DQ32=0),1,0)</f>
        <v/>
      </c>
      <c r="DR82">
        <f>IF(AND(DR$4=1,DR32=0),1,0)</f>
        <v/>
      </c>
      <c r="DS82">
        <f>IF(AND(DS$4=1,DS32=0),1,0)</f>
        <v/>
      </c>
    </row>
    <row r="83">
      <c r="A83" t="n">
        <v>24</v>
      </c>
      <c r="D83">
        <f>IF(AND(D$4=1,D33=0),1,0)</f>
        <v/>
      </c>
      <c r="E83">
        <f>IF(AND(E$4=1,E33=0),1,0)</f>
        <v/>
      </c>
      <c r="F83">
        <f>IF(AND(F$4=1,F33=0),1,0)</f>
        <v/>
      </c>
      <c r="G83">
        <f>IF(AND(G$4=1,G33=0),1,0)</f>
        <v/>
      </c>
      <c r="H83">
        <f>IF(AND(H$4=1,H33=0),1,0)</f>
        <v/>
      </c>
      <c r="I83">
        <f>IF(AND(I$4=1,I33=0),1,0)</f>
        <v/>
      </c>
      <c r="J83">
        <f>IF(AND(J$4=1,J33=0),1,0)</f>
        <v/>
      </c>
      <c r="K83">
        <f>IF(AND(K$4=1,K33=0),1,0)</f>
        <v/>
      </c>
      <c r="L83">
        <f>IF(AND(L$4=1,L33=0),1,0)</f>
        <v/>
      </c>
      <c r="M83">
        <f>IF(AND(M$4=1,M33=0),1,0)</f>
        <v/>
      </c>
      <c r="N83">
        <f>IF(AND(N$4=1,N33=0),1,0)</f>
        <v/>
      </c>
      <c r="O83">
        <f>IF(AND(O$4=1,O33=0),1,0)</f>
        <v/>
      </c>
      <c r="P83">
        <f>IF(AND(P$4=1,P33=0),1,0)</f>
        <v/>
      </c>
      <c r="Q83">
        <f>IF(AND(Q$4=1,Q33=0),1,0)</f>
        <v/>
      </c>
      <c r="R83">
        <f>IF(AND(R$4=1,R33=0),1,0)</f>
        <v/>
      </c>
      <c r="S83">
        <f>IF(AND(S$4=1,S33=0),1,0)</f>
        <v/>
      </c>
      <c r="T83">
        <f>IF(AND(T$4=1,T33=0),1,0)</f>
        <v/>
      </c>
      <c r="U83">
        <f>IF(AND(U$4=1,U33=0),1,0)</f>
        <v/>
      </c>
      <c r="V83">
        <f>IF(AND(V$4=1,V33=0),1,0)</f>
        <v/>
      </c>
      <c r="W83">
        <f>IF(AND(W$4=1,W33=0),1,0)</f>
        <v/>
      </c>
      <c r="X83">
        <f>IF(AND(X$4=1,X33=0),1,0)</f>
        <v/>
      </c>
      <c r="Y83">
        <f>IF(AND(Y$4=1,Y33=0),1,0)</f>
        <v/>
      </c>
      <c r="Z83">
        <f>IF(AND(Z$4=1,Z33=0),1,0)</f>
        <v/>
      </c>
      <c r="AA83">
        <f>IF(AND(AA$4=1,AA33=0),1,0)</f>
        <v/>
      </c>
      <c r="AB83">
        <f>IF(AND(AB$4=1,AB33=0),1,0)</f>
        <v/>
      </c>
      <c r="AC83">
        <f>IF(AND(AC$4=1,AC33=0),1,0)</f>
        <v/>
      </c>
      <c r="AD83">
        <f>IF(AND(AD$4=1,AD33=0),1,0)</f>
        <v/>
      </c>
      <c r="AE83">
        <f>IF(AND(AE$4=1,AE33=0),1,0)</f>
        <v/>
      </c>
      <c r="AF83">
        <f>IF(AND(AF$4=1,AF33=0),1,0)</f>
        <v/>
      </c>
      <c r="AG83">
        <f>IF(AND(AG$4=1,AG33=0),1,0)</f>
        <v/>
      </c>
      <c r="AH83">
        <f>IF(AND(AH$4=1,AH33=0),1,0)</f>
        <v/>
      </c>
      <c r="AI83">
        <f>IF(AND(AI$4=1,AI33=0),1,0)</f>
        <v/>
      </c>
      <c r="AJ83">
        <f>IF(AND(AJ$4=1,AJ33=0),1,0)</f>
        <v/>
      </c>
      <c r="AK83">
        <f>IF(AND(AK$4=1,AK33=0),1,0)</f>
        <v/>
      </c>
      <c r="AL83">
        <f>IF(AND(AL$4=1,AL33=0),1,0)</f>
        <v/>
      </c>
      <c r="AM83">
        <f>IF(AND(AM$4=1,AM33=0),1,0)</f>
        <v/>
      </c>
      <c r="AN83">
        <f>IF(AND(AN$4=1,AN33=0),1,0)</f>
        <v/>
      </c>
      <c r="AO83">
        <f>IF(AND(AO$4=1,AO33=0),1,0)</f>
        <v/>
      </c>
      <c r="AP83">
        <f>IF(AND(AP$4=1,AP33=0),1,0)</f>
        <v/>
      </c>
      <c r="AQ83">
        <f>IF(AND(AQ$4=1,AQ33=0),1,0)</f>
        <v/>
      </c>
      <c r="AR83">
        <f>IF(AND(AR$4=1,AR33=0),1,0)</f>
        <v/>
      </c>
      <c r="AS83">
        <f>IF(AND(AS$4=1,AS33=0),1,0)</f>
        <v/>
      </c>
      <c r="AT83">
        <f>IF(AND(AT$4=1,AT33=0),1,0)</f>
        <v/>
      </c>
      <c r="AU83">
        <f>IF(AND(AU$4=1,AU33=0),1,0)</f>
        <v/>
      </c>
      <c r="AV83">
        <f>IF(AND(AV$4=1,AV33=0),1,0)</f>
        <v/>
      </c>
      <c r="AW83">
        <f>IF(AND(AW$4=1,AW33=0),1,0)</f>
        <v/>
      </c>
      <c r="AX83">
        <f>IF(AND(AX$4=1,AX33=0),1,0)</f>
        <v/>
      </c>
      <c r="AY83">
        <f>IF(AND(AY$4=1,AY33=0),1,0)</f>
        <v/>
      </c>
      <c r="AZ83">
        <f>IF(AND(AZ$4=1,AZ33=0),1,0)</f>
        <v/>
      </c>
      <c r="BA83">
        <f>IF(AND(BA$4=1,BA33=0),1,0)</f>
        <v/>
      </c>
      <c r="BB83">
        <f>IF(AND(BB$4=1,BB33=0),1,0)</f>
        <v/>
      </c>
      <c r="BC83">
        <f>IF(AND(BC$4=1,BC33=0),1,0)</f>
        <v/>
      </c>
      <c r="BD83">
        <f>IF(AND(BD$4=1,BD33=0),1,0)</f>
        <v/>
      </c>
      <c r="BE83">
        <f>IF(AND(BE$4=1,BE33=0),1,0)</f>
        <v/>
      </c>
      <c r="BF83">
        <f>IF(AND(BF$4=1,BF33=0),1,0)</f>
        <v/>
      </c>
      <c r="BG83">
        <f>IF(AND(BG$4=1,BG33=0),1,0)</f>
        <v/>
      </c>
      <c r="BH83">
        <f>IF(AND(BH$4=1,BH33=0),1,0)</f>
        <v/>
      </c>
      <c r="BI83">
        <f>IF(AND(BI$4=1,BI33=0),1,0)</f>
        <v/>
      </c>
      <c r="BJ83">
        <f>IF(AND(BJ$4=1,BJ33=0),1,0)</f>
        <v/>
      </c>
      <c r="BK83">
        <f>IF(AND(BK$4=1,BK33=0),1,0)</f>
        <v/>
      </c>
      <c r="BL83">
        <f>IF(AND(BL$4=1,BL33=0),1,0)</f>
        <v/>
      </c>
      <c r="BM83">
        <f>IF(AND(BM$4=1,BM33=0),1,0)</f>
        <v/>
      </c>
      <c r="BN83">
        <f>IF(AND(BN$4=1,BN33=0),1,0)</f>
        <v/>
      </c>
      <c r="BO83">
        <f>IF(AND(BO$4=1,BO33=0),1,0)</f>
        <v/>
      </c>
      <c r="BP83">
        <f>IF(AND(BP$4=1,BP33=0),1,0)</f>
        <v/>
      </c>
      <c r="BQ83">
        <f>IF(AND(BQ$4=1,BQ33=0),1,0)</f>
        <v/>
      </c>
      <c r="BR83">
        <f>IF(AND(BR$4=1,BR33=0),1,0)</f>
        <v/>
      </c>
      <c r="BS83">
        <f>IF(AND(BS$4=1,BS33=0),1,0)</f>
        <v/>
      </c>
      <c r="BT83">
        <f>IF(AND(BT$4=1,BT33=0),1,0)</f>
        <v/>
      </c>
      <c r="BU83">
        <f>IF(AND(BU$4=1,BU33=0),1,0)</f>
        <v/>
      </c>
      <c r="BV83">
        <f>IF(AND(BV$4=1,BV33=0),1,0)</f>
        <v/>
      </c>
      <c r="BW83">
        <f>IF(AND(BW$4=1,BW33=0),1,0)</f>
        <v/>
      </c>
      <c r="BX83">
        <f>IF(AND(BX$4=1,BX33=0),1,0)</f>
        <v/>
      </c>
      <c r="BY83">
        <f>IF(AND(BY$4=1,BY33=0),1,0)</f>
        <v/>
      </c>
      <c r="BZ83">
        <f>IF(AND(BZ$4=1,BZ33=0),1,0)</f>
        <v/>
      </c>
      <c r="CA83">
        <f>IF(AND(CA$4=1,CA33=0),1,0)</f>
        <v/>
      </c>
      <c r="CB83">
        <f>IF(AND(CB$4=1,CB33=0),1,0)</f>
        <v/>
      </c>
      <c r="CC83">
        <f>IF(AND(CC$4=1,CC33=0),1,0)</f>
        <v/>
      </c>
      <c r="CD83">
        <f>IF(AND(CD$4=1,CD33=0),1,0)</f>
        <v/>
      </c>
      <c r="CE83">
        <f>IF(AND(CE$4=1,CE33=0),1,0)</f>
        <v/>
      </c>
      <c r="CF83">
        <f>IF(AND(CF$4=1,CF33=0),1,0)</f>
        <v/>
      </c>
      <c r="CG83">
        <f>IF(AND(CG$4=1,CG33=0),1,0)</f>
        <v/>
      </c>
      <c r="CH83">
        <f>IF(AND(CH$4=1,CH33=0),1,0)</f>
        <v/>
      </c>
      <c r="CI83">
        <f>IF(AND(CI$4=1,CI33=0),1,0)</f>
        <v/>
      </c>
      <c r="CJ83">
        <f>IF(AND(CJ$4=1,CJ33=0),1,0)</f>
        <v/>
      </c>
      <c r="CK83">
        <f>IF(AND(CK$4=1,CK33=0),1,0)</f>
        <v/>
      </c>
      <c r="CL83">
        <f>IF(AND(CL$4=1,CL33=0),1,0)</f>
        <v/>
      </c>
      <c r="CM83">
        <f>IF(AND(CM$4=1,CM33=0),1,0)</f>
        <v/>
      </c>
      <c r="CN83">
        <f>IF(AND(CN$4=1,CN33=0),1,0)</f>
        <v/>
      </c>
      <c r="CO83">
        <f>IF(AND(CO$4=1,CO33=0),1,0)</f>
        <v/>
      </c>
      <c r="CP83">
        <f>IF(AND(CP$4=1,CP33=0),1,0)</f>
        <v/>
      </c>
      <c r="CQ83">
        <f>IF(AND(CQ$4=1,CQ33=0),1,0)</f>
        <v/>
      </c>
      <c r="CR83">
        <f>IF(AND(CR$4=1,CR33=0),1,0)</f>
        <v/>
      </c>
      <c r="CS83">
        <f>IF(AND(CS$4=1,CS33=0),1,0)</f>
        <v/>
      </c>
      <c r="CT83">
        <f>IF(AND(CT$4=1,CT33=0),1,0)</f>
        <v/>
      </c>
      <c r="CU83">
        <f>IF(AND(CU$4=1,CU33=0),1,0)</f>
        <v/>
      </c>
      <c r="CV83">
        <f>IF(AND(CV$4=1,CV33=0),1,0)</f>
        <v/>
      </c>
      <c r="CW83">
        <f>IF(AND(CW$4=1,CW33=0),1,0)</f>
        <v/>
      </c>
      <c r="CX83">
        <f>IF(AND(CX$4=1,CX33=0),1,0)</f>
        <v/>
      </c>
      <c r="CY83">
        <f>IF(AND(CY$4=1,CY33=0),1,0)</f>
        <v/>
      </c>
      <c r="CZ83">
        <f>IF(AND(CZ$4=1,CZ33=0),1,0)</f>
        <v/>
      </c>
      <c r="DA83">
        <f>IF(AND(DA$4=1,DA33=0),1,0)</f>
        <v/>
      </c>
      <c r="DB83">
        <f>IF(AND(DB$4=1,DB33=0),1,0)</f>
        <v/>
      </c>
      <c r="DC83">
        <f>IF(AND(DC$4=1,DC33=0),1,0)</f>
        <v/>
      </c>
      <c r="DD83">
        <f>IF(AND(DD$4=1,DD33=0),1,0)</f>
        <v/>
      </c>
      <c r="DE83">
        <f>IF(AND(DE$4=1,DE33=0),1,0)</f>
        <v/>
      </c>
      <c r="DF83">
        <f>IF(AND(DF$4=1,DF33=0),1,0)</f>
        <v/>
      </c>
      <c r="DG83">
        <f>IF(AND(DG$4=1,DG33=0),1,0)</f>
        <v/>
      </c>
      <c r="DH83">
        <f>IF(AND(DH$4=1,DH33=0),1,0)</f>
        <v/>
      </c>
      <c r="DI83">
        <f>IF(AND(DI$4=1,DI33=0),1,0)</f>
        <v/>
      </c>
      <c r="DJ83">
        <f>IF(AND(DJ$4=1,DJ33=0),1,0)</f>
        <v/>
      </c>
      <c r="DK83">
        <f>IF(AND(DK$4=1,DK33=0),1,0)</f>
        <v/>
      </c>
      <c r="DL83">
        <f>IF(AND(DL$4=1,DL33=0),1,0)</f>
        <v/>
      </c>
      <c r="DM83">
        <f>IF(AND(DM$4=1,DM33=0),1,0)</f>
        <v/>
      </c>
      <c r="DN83">
        <f>IF(AND(DN$4=1,DN33=0),1,0)</f>
        <v/>
      </c>
      <c r="DO83">
        <f>IF(AND(DO$4=1,DO33=0),1,0)</f>
        <v/>
      </c>
      <c r="DP83">
        <f>IF(AND(DP$4=1,DP33=0),1,0)</f>
        <v/>
      </c>
      <c r="DQ83">
        <f>IF(AND(DQ$4=1,DQ33=0),1,0)</f>
        <v/>
      </c>
      <c r="DR83">
        <f>IF(AND(DR$4=1,DR33=0),1,0)</f>
        <v/>
      </c>
      <c r="DS83">
        <f>IF(AND(DS$4=1,DS33=0),1,0)</f>
        <v/>
      </c>
    </row>
    <row r="84">
      <c r="A84" t="n">
        <v>25</v>
      </c>
      <c r="D84">
        <f>IF(AND(D$4=1,D34=0),1,0)</f>
        <v/>
      </c>
      <c r="E84">
        <f>IF(AND(E$4=1,E34=0),1,0)</f>
        <v/>
      </c>
      <c r="F84">
        <f>IF(AND(F$4=1,F34=0),1,0)</f>
        <v/>
      </c>
      <c r="G84">
        <f>IF(AND(G$4=1,G34=0),1,0)</f>
        <v/>
      </c>
      <c r="H84">
        <f>IF(AND(H$4=1,H34=0),1,0)</f>
        <v/>
      </c>
      <c r="I84">
        <f>IF(AND(I$4=1,I34=0),1,0)</f>
        <v/>
      </c>
      <c r="J84">
        <f>IF(AND(J$4=1,J34=0),1,0)</f>
        <v/>
      </c>
      <c r="K84">
        <f>IF(AND(K$4=1,K34=0),1,0)</f>
        <v/>
      </c>
      <c r="L84">
        <f>IF(AND(L$4=1,L34=0),1,0)</f>
        <v/>
      </c>
      <c r="M84">
        <f>IF(AND(M$4=1,M34=0),1,0)</f>
        <v/>
      </c>
      <c r="N84">
        <f>IF(AND(N$4=1,N34=0),1,0)</f>
        <v/>
      </c>
      <c r="O84">
        <f>IF(AND(O$4=1,O34=0),1,0)</f>
        <v/>
      </c>
      <c r="P84">
        <f>IF(AND(P$4=1,P34=0),1,0)</f>
        <v/>
      </c>
      <c r="Q84">
        <f>IF(AND(Q$4=1,Q34=0),1,0)</f>
        <v/>
      </c>
      <c r="R84">
        <f>IF(AND(R$4=1,R34=0),1,0)</f>
        <v/>
      </c>
      <c r="S84">
        <f>IF(AND(S$4=1,S34=0),1,0)</f>
        <v/>
      </c>
      <c r="T84">
        <f>IF(AND(T$4=1,T34=0),1,0)</f>
        <v/>
      </c>
      <c r="U84">
        <f>IF(AND(U$4=1,U34=0),1,0)</f>
        <v/>
      </c>
      <c r="V84">
        <f>IF(AND(V$4=1,V34=0),1,0)</f>
        <v/>
      </c>
      <c r="W84">
        <f>IF(AND(W$4=1,W34=0),1,0)</f>
        <v/>
      </c>
      <c r="X84">
        <f>IF(AND(X$4=1,X34=0),1,0)</f>
        <v/>
      </c>
      <c r="Y84">
        <f>IF(AND(Y$4=1,Y34=0),1,0)</f>
        <v/>
      </c>
      <c r="Z84">
        <f>IF(AND(Z$4=1,Z34=0),1,0)</f>
        <v/>
      </c>
      <c r="AA84">
        <f>IF(AND(AA$4=1,AA34=0),1,0)</f>
        <v/>
      </c>
      <c r="AB84">
        <f>IF(AND(AB$4=1,AB34=0),1,0)</f>
        <v/>
      </c>
      <c r="AC84">
        <f>IF(AND(AC$4=1,AC34=0),1,0)</f>
        <v/>
      </c>
      <c r="AD84">
        <f>IF(AND(AD$4=1,AD34=0),1,0)</f>
        <v/>
      </c>
      <c r="AE84">
        <f>IF(AND(AE$4=1,AE34=0),1,0)</f>
        <v/>
      </c>
      <c r="AF84">
        <f>IF(AND(AF$4=1,AF34=0),1,0)</f>
        <v/>
      </c>
      <c r="AG84">
        <f>IF(AND(AG$4=1,AG34=0),1,0)</f>
        <v/>
      </c>
      <c r="AH84">
        <f>IF(AND(AH$4=1,AH34=0),1,0)</f>
        <v/>
      </c>
      <c r="AI84">
        <f>IF(AND(AI$4=1,AI34=0),1,0)</f>
        <v/>
      </c>
      <c r="AJ84">
        <f>IF(AND(AJ$4=1,AJ34=0),1,0)</f>
        <v/>
      </c>
      <c r="AK84">
        <f>IF(AND(AK$4=1,AK34=0),1,0)</f>
        <v/>
      </c>
      <c r="AL84">
        <f>IF(AND(AL$4=1,AL34=0),1,0)</f>
        <v/>
      </c>
      <c r="AM84">
        <f>IF(AND(AM$4=1,AM34=0),1,0)</f>
        <v/>
      </c>
      <c r="AN84">
        <f>IF(AND(AN$4=1,AN34=0),1,0)</f>
        <v/>
      </c>
      <c r="AO84">
        <f>IF(AND(AO$4=1,AO34=0),1,0)</f>
        <v/>
      </c>
      <c r="AP84">
        <f>IF(AND(AP$4=1,AP34=0),1,0)</f>
        <v/>
      </c>
      <c r="AQ84">
        <f>IF(AND(AQ$4=1,AQ34=0),1,0)</f>
        <v/>
      </c>
      <c r="AR84">
        <f>IF(AND(AR$4=1,AR34=0),1,0)</f>
        <v/>
      </c>
      <c r="AS84">
        <f>IF(AND(AS$4=1,AS34=0),1,0)</f>
        <v/>
      </c>
      <c r="AT84">
        <f>IF(AND(AT$4=1,AT34=0),1,0)</f>
        <v/>
      </c>
      <c r="AU84">
        <f>IF(AND(AU$4=1,AU34=0),1,0)</f>
        <v/>
      </c>
      <c r="AV84">
        <f>IF(AND(AV$4=1,AV34=0),1,0)</f>
        <v/>
      </c>
      <c r="AW84">
        <f>IF(AND(AW$4=1,AW34=0),1,0)</f>
        <v/>
      </c>
      <c r="AX84">
        <f>IF(AND(AX$4=1,AX34=0),1,0)</f>
        <v/>
      </c>
      <c r="AY84">
        <f>IF(AND(AY$4=1,AY34=0),1,0)</f>
        <v/>
      </c>
      <c r="AZ84">
        <f>IF(AND(AZ$4=1,AZ34=0),1,0)</f>
        <v/>
      </c>
      <c r="BA84">
        <f>IF(AND(BA$4=1,BA34=0),1,0)</f>
        <v/>
      </c>
      <c r="BB84">
        <f>IF(AND(BB$4=1,BB34=0),1,0)</f>
        <v/>
      </c>
      <c r="BC84">
        <f>IF(AND(BC$4=1,BC34=0),1,0)</f>
        <v/>
      </c>
      <c r="BD84">
        <f>IF(AND(BD$4=1,BD34=0),1,0)</f>
        <v/>
      </c>
      <c r="BE84">
        <f>IF(AND(BE$4=1,BE34=0),1,0)</f>
        <v/>
      </c>
      <c r="BF84">
        <f>IF(AND(BF$4=1,BF34=0),1,0)</f>
        <v/>
      </c>
      <c r="BG84">
        <f>IF(AND(BG$4=1,BG34=0),1,0)</f>
        <v/>
      </c>
      <c r="BH84">
        <f>IF(AND(BH$4=1,BH34=0),1,0)</f>
        <v/>
      </c>
      <c r="BI84">
        <f>IF(AND(BI$4=1,BI34=0),1,0)</f>
        <v/>
      </c>
      <c r="BJ84">
        <f>IF(AND(BJ$4=1,BJ34=0),1,0)</f>
        <v/>
      </c>
      <c r="BK84">
        <f>IF(AND(BK$4=1,BK34=0),1,0)</f>
        <v/>
      </c>
      <c r="BL84">
        <f>IF(AND(BL$4=1,BL34=0),1,0)</f>
        <v/>
      </c>
      <c r="BM84">
        <f>IF(AND(BM$4=1,BM34=0),1,0)</f>
        <v/>
      </c>
      <c r="BN84">
        <f>IF(AND(BN$4=1,BN34=0),1,0)</f>
        <v/>
      </c>
      <c r="BO84">
        <f>IF(AND(BO$4=1,BO34=0),1,0)</f>
        <v/>
      </c>
      <c r="BP84">
        <f>IF(AND(BP$4=1,BP34=0),1,0)</f>
        <v/>
      </c>
      <c r="BQ84">
        <f>IF(AND(BQ$4=1,BQ34=0),1,0)</f>
        <v/>
      </c>
      <c r="BR84">
        <f>IF(AND(BR$4=1,BR34=0),1,0)</f>
        <v/>
      </c>
      <c r="BS84">
        <f>IF(AND(BS$4=1,BS34=0),1,0)</f>
        <v/>
      </c>
      <c r="BT84">
        <f>IF(AND(BT$4=1,BT34=0),1,0)</f>
        <v/>
      </c>
      <c r="BU84">
        <f>IF(AND(BU$4=1,BU34=0),1,0)</f>
        <v/>
      </c>
      <c r="BV84">
        <f>IF(AND(BV$4=1,BV34=0),1,0)</f>
        <v/>
      </c>
      <c r="BW84">
        <f>IF(AND(BW$4=1,BW34=0),1,0)</f>
        <v/>
      </c>
      <c r="BX84">
        <f>IF(AND(BX$4=1,BX34=0),1,0)</f>
        <v/>
      </c>
      <c r="BY84">
        <f>IF(AND(BY$4=1,BY34=0),1,0)</f>
        <v/>
      </c>
      <c r="BZ84">
        <f>IF(AND(BZ$4=1,BZ34=0),1,0)</f>
        <v/>
      </c>
      <c r="CA84">
        <f>IF(AND(CA$4=1,CA34=0),1,0)</f>
        <v/>
      </c>
      <c r="CB84">
        <f>IF(AND(CB$4=1,CB34=0),1,0)</f>
        <v/>
      </c>
      <c r="CC84">
        <f>IF(AND(CC$4=1,CC34=0),1,0)</f>
        <v/>
      </c>
      <c r="CD84">
        <f>IF(AND(CD$4=1,CD34=0),1,0)</f>
        <v/>
      </c>
      <c r="CE84">
        <f>IF(AND(CE$4=1,CE34=0),1,0)</f>
        <v/>
      </c>
      <c r="CF84">
        <f>IF(AND(CF$4=1,CF34=0),1,0)</f>
        <v/>
      </c>
      <c r="CG84">
        <f>IF(AND(CG$4=1,CG34=0),1,0)</f>
        <v/>
      </c>
      <c r="CH84">
        <f>IF(AND(CH$4=1,CH34=0),1,0)</f>
        <v/>
      </c>
      <c r="CI84">
        <f>IF(AND(CI$4=1,CI34=0),1,0)</f>
        <v/>
      </c>
      <c r="CJ84">
        <f>IF(AND(CJ$4=1,CJ34=0),1,0)</f>
        <v/>
      </c>
      <c r="CK84">
        <f>IF(AND(CK$4=1,CK34=0),1,0)</f>
        <v/>
      </c>
      <c r="CL84">
        <f>IF(AND(CL$4=1,CL34=0),1,0)</f>
        <v/>
      </c>
      <c r="CM84">
        <f>IF(AND(CM$4=1,CM34=0),1,0)</f>
        <v/>
      </c>
      <c r="CN84">
        <f>IF(AND(CN$4=1,CN34=0),1,0)</f>
        <v/>
      </c>
      <c r="CO84">
        <f>IF(AND(CO$4=1,CO34=0),1,0)</f>
        <v/>
      </c>
      <c r="CP84">
        <f>IF(AND(CP$4=1,CP34=0),1,0)</f>
        <v/>
      </c>
      <c r="CQ84">
        <f>IF(AND(CQ$4=1,CQ34=0),1,0)</f>
        <v/>
      </c>
      <c r="CR84">
        <f>IF(AND(CR$4=1,CR34=0),1,0)</f>
        <v/>
      </c>
      <c r="CS84">
        <f>IF(AND(CS$4=1,CS34=0),1,0)</f>
        <v/>
      </c>
      <c r="CT84">
        <f>IF(AND(CT$4=1,CT34=0),1,0)</f>
        <v/>
      </c>
      <c r="CU84">
        <f>IF(AND(CU$4=1,CU34=0),1,0)</f>
        <v/>
      </c>
      <c r="CV84">
        <f>IF(AND(CV$4=1,CV34=0),1,0)</f>
        <v/>
      </c>
      <c r="CW84">
        <f>IF(AND(CW$4=1,CW34=0),1,0)</f>
        <v/>
      </c>
      <c r="CX84">
        <f>IF(AND(CX$4=1,CX34=0),1,0)</f>
        <v/>
      </c>
      <c r="CY84">
        <f>IF(AND(CY$4=1,CY34=0),1,0)</f>
        <v/>
      </c>
      <c r="CZ84">
        <f>IF(AND(CZ$4=1,CZ34=0),1,0)</f>
        <v/>
      </c>
      <c r="DA84">
        <f>IF(AND(DA$4=1,DA34=0),1,0)</f>
        <v/>
      </c>
      <c r="DB84">
        <f>IF(AND(DB$4=1,DB34=0),1,0)</f>
        <v/>
      </c>
      <c r="DC84">
        <f>IF(AND(DC$4=1,DC34=0),1,0)</f>
        <v/>
      </c>
      <c r="DD84">
        <f>IF(AND(DD$4=1,DD34=0),1,0)</f>
        <v/>
      </c>
      <c r="DE84">
        <f>IF(AND(DE$4=1,DE34=0),1,0)</f>
        <v/>
      </c>
      <c r="DF84">
        <f>IF(AND(DF$4=1,DF34=0),1,0)</f>
        <v/>
      </c>
      <c r="DG84">
        <f>IF(AND(DG$4=1,DG34=0),1,0)</f>
        <v/>
      </c>
      <c r="DH84">
        <f>IF(AND(DH$4=1,DH34=0),1,0)</f>
        <v/>
      </c>
      <c r="DI84">
        <f>IF(AND(DI$4=1,DI34=0),1,0)</f>
        <v/>
      </c>
      <c r="DJ84">
        <f>IF(AND(DJ$4=1,DJ34=0),1,0)</f>
        <v/>
      </c>
      <c r="DK84">
        <f>IF(AND(DK$4=1,DK34=0),1,0)</f>
        <v/>
      </c>
      <c r="DL84">
        <f>IF(AND(DL$4=1,DL34=0),1,0)</f>
        <v/>
      </c>
      <c r="DM84">
        <f>IF(AND(DM$4=1,DM34=0),1,0)</f>
        <v/>
      </c>
      <c r="DN84">
        <f>IF(AND(DN$4=1,DN34=0),1,0)</f>
        <v/>
      </c>
      <c r="DO84">
        <f>IF(AND(DO$4=1,DO34=0),1,0)</f>
        <v/>
      </c>
      <c r="DP84">
        <f>IF(AND(DP$4=1,DP34=0),1,0)</f>
        <v/>
      </c>
      <c r="DQ84">
        <f>IF(AND(DQ$4=1,DQ34=0),1,0)</f>
        <v/>
      </c>
      <c r="DR84">
        <f>IF(AND(DR$4=1,DR34=0),1,0)</f>
        <v/>
      </c>
      <c r="DS84">
        <f>IF(AND(DS$4=1,DS34=0),1,0)</f>
        <v/>
      </c>
    </row>
    <row r="85">
      <c r="A85" t="n">
        <v>26</v>
      </c>
      <c r="D85">
        <f>IF(AND(D$4=1,D35=0),1,0)</f>
        <v/>
      </c>
      <c r="E85">
        <f>IF(AND(E$4=1,E35=0),1,0)</f>
        <v/>
      </c>
      <c r="F85">
        <f>IF(AND(F$4=1,F35=0),1,0)</f>
        <v/>
      </c>
      <c r="G85">
        <f>IF(AND(G$4=1,G35=0),1,0)</f>
        <v/>
      </c>
      <c r="H85">
        <f>IF(AND(H$4=1,H35=0),1,0)</f>
        <v/>
      </c>
      <c r="I85">
        <f>IF(AND(I$4=1,I35=0),1,0)</f>
        <v/>
      </c>
      <c r="J85">
        <f>IF(AND(J$4=1,J35=0),1,0)</f>
        <v/>
      </c>
      <c r="K85">
        <f>IF(AND(K$4=1,K35=0),1,0)</f>
        <v/>
      </c>
      <c r="L85">
        <f>IF(AND(L$4=1,L35=0),1,0)</f>
        <v/>
      </c>
      <c r="M85">
        <f>IF(AND(M$4=1,M35=0),1,0)</f>
        <v/>
      </c>
      <c r="N85">
        <f>IF(AND(N$4=1,N35=0),1,0)</f>
        <v/>
      </c>
      <c r="O85">
        <f>IF(AND(O$4=1,O35=0),1,0)</f>
        <v/>
      </c>
      <c r="P85">
        <f>IF(AND(P$4=1,P35=0),1,0)</f>
        <v/>
      </c>
      <c r="Q85">
        <f>IF(AND(Q$4=1,Q35=0),1,0)</f>
        <v/>
      </c>
      <c r="R85">
        <f>IF(AND(R$4=1,R35=0),1,0)</f>
        <v/>
      </c>
      <c r="S85">
        <f>IF(AND(S$4=1,S35=0),1,0)</f>
        <v/>
      </c>
      <c r="T85">
        <f>IF(AND(T$4=1,T35=0),1,0)</f>
        <v/>
      </c>
      <c r="U85">
        <f>IF(AND(U$4=1,U35=0),1,0)</f>
        <v/>
      </c>
      <c r="V85">
        <f>IF(AND(V$4=1,V35=0),1,0)</f>
        <v/>
      </c>
      <c r="W85">
        <f>IF(AND(W$4=1,W35=0),1,0)</f>
        <v/>
      </c>
      <c r="X85">
        <f>IF(AND(X$4=1,X35=0),1,0)</f>
        <v/>
      </c>
      <c r="Y85">
        <f>IF(AND(Y$4=1,Y35=0),1,0)</f>
        <v/>
      </c>
      <c r="Z85">
        <f>IF(AND(Z$4=1,Z35=0),1,0)</f>
        <v/>
      </c>
      <c r="AA85">
        <f>IF(AND(AA$4=1,AA35=0),1,0)</f>
        <v/>
      </c>
      <c r="AB85">
        <f>IF(AND(AB$4=1,AB35=0),1,0)</f>
        <v/>
      </c>
      <c r="AC85">
        <f>IF(AND(AC$4=1,AC35=0),1,0)</f>
        <v/>
      </c>
      <c r="AD85">
        <f>IF(AND(AD$4=1,AD35=0),1,0)</f>
        <v/>
      </c>
      <c r="AE85">
        <f>IF(AND(AE$4=1,AE35=0),1,0)</f>
        <v/>
      </c>
      <c r="AF85">
        <f>IF(AND(AF$4=1,AF35=0),1,0)</f>
        <v/>
      </c>
      <c r="AG85">
        <f>IF(AND(AG$4=1,AG35=0),1,0)</f>
        <v/>
      </c>
      <c r="AH85">
        <f>IF(AND(AH$4=1,AH35=0),1,0)</f>
        <v/>
      </c>
      <c r="AI85">
        <f>IF(AND(AI$4=1,AI35=0),1,0)</f>
        <v/>
      </c>
      <c r="AJ85">
        <f>IF(AND(AJ$4=1,AJ35=0),1,0)</f>
        <v/>
      </c>
      <c r="AK85">
        <f>IF(AND(AK$4=1,AK35=0),1,0)</f>
        <v/>
      </c>
      <c r="AL85">
        <f>IF(AND(AL$4=1,AL35=0),1,0)</f>
        <v/>
      </c>
      <c r="AM85">
        <f>IF(AND(AM$4=1,AM35=0),1,0)</f>
        <v/>
      </c>
      <c r="AN85">
        <f>IF(AND(AN$4=1,AN35=0),1,0)</f>
        <v/>
      </c>
      <c r="AO85">
        <f>IF(AND(AO$4=1,AO35=0),1,0)</f>
        <v/>
      </c>
      <c r="AP85">
        <f>IF(AND(AP$4=1,AP35=0),1,0)</f>
        <v/>
      </c>
      <c r="AQ85">
        <f>IF(AND(AQ$4=1,AQ35=0),1,0)</f>
        <v/>
      </c>
      <c r="AR85">
        <f>IF(AND(AR$4=1,AR35=0),1,0)</f>
        <v/>
      </c>
      <c r="AS85">
        <f>IF(AND(AS$4=1,AS35=0),1,0)</f>
        <v/>
      </c>
      <c r="AT85">
        <f>IF(AND(AT$4=1,AT35=0),1,0)</f>
        <v/>
      </c>
      <c r="AU85">
        <f>IF(AND(AU$4=1,AU35=0),1,0)</f>
        <v/>
      </c>
      <c r="AV85">
        <f>IF(AND(AV$4=1,AV35=0),1,0)</f>
        <v/>
      </c>
      <c r="AW85">
        <f>IF(AND(AW$4=1,AW35=0),1,0)</f>
        <v/>
      </c>
      <c r="AX85">
        <f>IF(AND(AX$4=1,AX35=0),1,0)</f>
        <v/>
      </c>
      <c r="AY85">
        <f>IF(AND(AY$4=1,AY35=0),1,0)</f>
        <v/>
      </c>
      <c r="AZ85">
        <f>IF(AND(AZ$4=1,AZ35=0),1,0)</f>
        <v/>
      </c>
      <c r="BA85">
        <f>IF(AND(BA$4=1,BA35=0),1,0)</f>
        <v/>
      </c>
      <c r="BB85">
        <f>IF(AND(BB$4=1,BB35=0),1,0)</f>
        <v/>
      </c>
      <c r="BC85">
        <f>IF(AND(BC$4=1,BC35=0),1,0)</f>
        <v/>
      </c>
      <c r="BD85">
        <f>IF(AND(BD$4=1,BD35=0),1,0)</f>
        <v/>
      </c>
      <c r="BE85">
        <f>IF(AND(BE$4=1,BE35=0),1,0)</f>
        <v/>
      </c>
      <c r="BF85">
        <f>IF(AND(BF$4=1,BF35=0),1,0)</f>
        <v/>
      </c>
      <c r="BG85">
        <f>IF(AND(BG$4=1,BG35=0),1,0)</f>
        <v/>
      </c>
      <c r="BH85">
        <f>IF(AND(BH$4=1,BH35=0),1,0)</f>
        <v/>
      </c>
      <c r="BI85">
        <f>IF(AND(BI$4=1,BI35=0),1,0)</f>
        <v/>
      </c>
      <c r="BJ85">
        <f>IF(AND(BJ$4=1,BJ35=0),1,0)</f>
        <v/>
      </c>
      <c r="BK85">
        <f>IF(AND(BK$4=1,BK35=0),1,0)</f>
        <v/>
      </c>
      <c r="BL85">
        <f>IF(AND(BL$4=1,BL35=0),1,0)</f>
        <v/>
      </c>
      <c r="BM85">
        <f>IF(AND(BM$4=1,BM35=0),1,0)</f>
        <v/>
      </c>
      <c r="BN85">
        <f>IF(AND(BN$4=1,BN35=0),1,0)</f>
        <v/>
      </c>
      <c r="BO85">
        <f>IF(AND(BO$4=1,BO35=0),1,0)</f>
        <v/>
      </c>
      <c r="BP85">
        <f>IF(AND(BP$4=1,BP35=0),1,0)</f>
        <v/>
      </c>
      <c r="BQ85">
        <f>IF(AND(BQ$4=1,BQ35=0),1,0)</f>
        <v/>
      </c>
      <c r="BR85">
        <f>IF(AND(BR$4=1,BR35=0),1,0)</f>
        <v/>
      </c>
      <c r="BS85">
        <f>IF(AND(BS$4=1,BS35=0),1,0)</f>
        <v/>
      </c>
      <c r="BT85">
        <f>IF(AND(BT$4=1,BT35=0),1,0)</f>
        <v/>
      </c>
      <c r="BU85">
        <f>IF(AND(BU$4=1,BU35=0),1,0)</f>
        <v/>
      </c>
      <c r="BV85">
        <f>IF(AND(BV$4=1,BV35=0),1,0)</f>
        <v/>
      </c>
      <c r="BW85">
        <f>IF(AND(BW$4=1,BW35=0),1,0)</f>
        <v/>
      </c>
      <c r="BX85">
        <f>IF(AND(BX$4=1,BX35=0),1,0)</f>
        <v/>
      </c>
      <c r="BY85">
        <f>IF(AND(BY$4=1,BY35=0),1,0)</f>
        <v/>
      </c>
      <c r="BZ85">
        <f>IF(AND(BZ$4=1,BZ35=0),1,0)</f>
        <v/>
      </c>
      <c r="CA85">
        <f>IF(AND(CA$4=1,CA35=0),1,0)</f>
        <v/>
      </c>
      <c r="CB85">
        <f>IF(AND(CB$4=1,CB35=0),1,0)</f>
        <v/>
      </c>
      <c r="CC85">
        <f>IF(AND(CC$4=1,CC35=0),1,0)</f>
        <v/>
      </c>
      <c r="CD85">
        <f>IF(AND(CD$4=1,CD35=0),1,0)</f>
        <v/>
      </c>
      <c r="CE85">
        <f>IF(AND(CE$4=1,CE35=0),1,0)</f>
        <v/>
      </c>
      <c r="CF85">
        <f>IF(AND(CF$4=1,CF35=0),1,0)</f>
        <v/>
      </c>
      <c r="CG85">
        <f>IF(AND(CG$4=1,CG35=0),1,0)</f>
        <v/>
      </c>
      <c r="CH85">
        <f>IF(AND(CH$4=1,CH35=0),1,0)</f>
        <v/>
      </c>
      <c r="CI85">
        <f>IF(AND(CI$4=1,CI35=0),1,0)</f>
        <v/>
      </c>
      <c r="CJ85">
        <f>IF(AND(CJ$4=1,CJ35=0),1,0)</f>
        <v/>
      </c>
      <c r="CK85">
        <f>IF(AND(CK$4=1,CK35=0),1,0)</f>
        <v/>
      </c>
      <c r="CL85">
        <f>IF(AND(CL$4=1,CL35=0),1,0)</f>
        <v/>
      </c>
      <c r="CM85">
        <f>IF(AND(CM$4=1,CM35=0),1,0)</f>
        <v/>
      </c>
      <c r="CN85">
        <f>IF(AND(CN$4=1,CN35=0),1,0)</f>
        <v/>
      </c>
      <c r="CO85">
        <f>IF(AND(CO$4=1,CO35=0),1,0)</f>
        <v/>
      </c>
      <c r="CP85">
        <f>IF(AND(CP$4=1,CP35=0),1,0)</f>
        <v/>
      </c>
      <c r="CQ85">
        <f>IF(AND(CQ$4=1,CQ35=0),1,0)</f>
        <v/>
      </c>
      <c r="CR85">
        <f>IF(AND(CR$4=1,CR35=0),1,0)</f>
        <v/>
      </c>
      <c r="CS85">
        <f>IF(AND(CS$4=1,CS35=0),1,0)</f>
        <v/>
      </c>
      <c r="CT85">
        <f>IF(AND(CT$4=1,CT35=0),1,0)</f>
        <v/>
      </c>
      <c r="CU85">
        <f>IF(AND(CU$4=1,CU35=0),1,0)</f>
        <v/>
      </c>
      <c r="CV85">
        <f>IF(AND(CV$4=1,CV35=0),1,0)</f>
        <v/>
      </c>
      <c r="CW85">
        <f>IF(AND(CW$4=1,CW35=0),1,0)</f>
        <v/>
      </c>
      <c r="CX85">
        <f>IF(AND(CX$4=1,CX35=0),1,0)</f>
        <v/>
      </c>
      <c r="CY85">
        <f>IF(AND(CY$4=1,CY35=0),1,0)</f>
        <v/>
      </c>
      <c r="CZ85">
        <f>IF(AND(CZ$4=1,CZ35=0),1,0)</f>
        <v/>
      </c>
      <c r="DA85">
        <f>IF(AND(DA$4=1,DA35=0),1,0)</f>
        <v/>
      </c>
      <c r="DB85">
        <f>IF(AND(DB$4=1,DB35=0),1,0)</f>
        <v/>
      </c>
      <c r="DC85">
        <f>IF(AND(DC$4=1,DC35=0),1,0)</f>
        <v/>
      </c>
      <c r="DD85">
        <f>IF(AND(DD$4=1,DD35=0),1,0)</f>
        <v/>
      </c>
      <c r="DE85">
        <f>IF(AND(DE$4=1,DE35=0),1,0)</f>
        <v/>
      </c>
      <c r="DF85">
        <f>IF(AND(DF$4=1,DF35=0),1,0)</f>
        <v/>
      </c>
      <c r="DG85">
        <f>IF(AND(DG$4=1,DG35=0),1,0)</f>
        <v/>
      </c>
      <c r="DH85">
        <f>IF(AND(DH$4=1,DH35=0),1,0)</f>
        <v/>
      </c>
      <c r="DI85">
        <f>IF(AND(DI$4=1,DI35=0),1,0)</f>
        <v/>
      </c>
      <c r="DJ85">
        <f>IF(AND(DJ$4=1,DJ35=0),1,0)</f>
        <v/>
      </c>
      <c r="DK85">
        <f>IF(AND(DK$4=1,DK35=0),1,0)</f>
        <v/>
      </c>
      <c r="DL85">
        <f>IF(AND(DL$4=1,DL35=0),1,0)</f>
        <v/>
      </c>
      <c r="DM85">
        <f>IF(AND(DM$4=1,DM35=0),1,0)</f>
        <v/>
      </c>
      <c r="DN85">
        <f>IF(AND(DN$4=1,DN35=0),1,0)</f>
        <v/>
      </c>
      <c r="DO85">
        <f>IF(AND(DO$4=1,DO35=0),1,0)</f>
        <v/>
      </c>
      <c r="DP85">
        <f>IF(AND(DP$4=1,DP35=0),1,0)</f>
        <v/>
      </c>
      <c r="DQ85">
        <f>IF(AND(DQ$4=1,DQ35=0),1,0)</f>
        <v/>
      </c>
      <c r="DR85">
        <f>IF(AND(DR$4=1,DR35=0),1,0)</f>
        <v/>
      </c>
      <c r="DS85">
        <f>IF(AND(DS$4=1,DS35=0),1,0)</f>
        <v/>
      </c>
    </row>
    <row r="86">
      <c r="A86" t="n">
        <v>27</v>
      </c>
      <c r="D86">
        <f>IF(AND(D$4=1,D36=0),1,0)</f>
        <v/>
      </c>
      <c r="E86">
        <f>IF(AND(E$4=1,E36=0),1,0)</f>
        <v/>
      </c>
      <c r="F86">
        <f>IF(AND(F$4=1,F36=0),1,0)</f>
        <v/>
      </c>
      <c r="G86">
        <f>IF(AND(G$4=1,G36=0),1,0)</f>
        <v/>
      </c>
      <c r="H86">
        <f>IF(AND(H$4=1,H36=0),1,0)</f>
        <v/>
      </c>
      <c r="I86">
        <f>IF(AND(I$4=1,I36=0),1,0)</f>
        <v/>
      </c>
      <c r="J86">
        <f>IF(AND(J$4=1,J36=0),1,0)</f>
        <v/>
      </c>
      <c r="K86">
        <f>IF(AND(K$4=1,K36=0),1,0)</f>
        <v/>
      </c>
      <c r="L86">
        <f>IF(AND(L$4=1,L36=0),1,0)</f>
        <v/>
      </c>
      <c r="M86">
        <f>IF(AND(M$4=1,M36=0),1,0)</f>
        <v/>
      </c>
      <c r="N86">
        <f>IF(AND(N$4=1,N36=0),1,0)</f>
        <v/>
      </c>
      <c r="O86">
        <f>IF(AND(O$4=1,O36=0),1,0)</f>
        <v/>
      </c>
      <c r="P86">
        <f>IF(AND(P$4=1,P36=0),1,0)</f>
        <v/>
      </c>
      <c r="Q86">
        <f>IF(AND(Q$4=1,Q36=0),1,0)</f>
        <v/>
      </c>
      <c r="R86">
        <f>IF(AND(R$4=1,R36=0),1,0)</f>
        <v/>
      </c>
      <c r="S86">
        <f>IF(AND(S$4=1,S36=0),1,0)</f>
        <v/>
      </c>
      <c r="T86">
        <f>IF(AND(T$4=1,T36=0),1,0)</f>
        <v/>
      </c>
      <c r="U86">
        <f>IF(AND(U$4=1,U36=0),1,0)</f>
        <v/>
      </c>
      <c r="V86">
        <f>IF(AND(V$4=1,V36=0),1,0)</f>
        <v/>
      </c>
      <c r="W86">
        <f>IF(AND(W$4=1,W36=0),1,0)</f>
        <v/>
      </c>
      <c r="X86">
        <f>IF(AND(X$4=1,X36=0),1,0)</f>
        <v/>
      </c>
      <c r="Y86">
        <f>IF(AND(Y$4=1,Y36=0),1,0)</f>
        <v/>
      </c>
      <c r="Z86">
        <f>IF(AND(Z$4=1,Z36=0),1,0)</f>
        <v/>
      </c>
      <c r="AA86">
        <f>IF(AND(AA$4=1,AA36=0),1,0)</f>
        <v/>
      </c>
      <c r="AB86">
        <f>IF(AND(AB$4=1,AB36=0),1,0)</f>
        <v/>
      </c>
      <c r="AC86">
        <f>IF(AND(AC$4=1,AC36=0),1,0)</f>
        <v/>
      </c>
      <c r="AD86">
        <f>IF(AND(AD$4=1,AD36=0),1,0)</f>
        <v/>
      </c>
      <c r="AE86">
        <f>IF(AND(AE$4=1,AE36=0),1,0)</f>
        <v/>
      </c>
      <c r="AF86">
        <f>IF(AND(AF$4=1,AF36=0),1,0)</f>
        <v/>
      </c>
      <c r="AG86">
        <f>IF(AND(AG$4=1,AG36=0),1,0)</f>
        <v/>
      </c>
      <c r="AH86">
        <f>IF(AND(AH$4=1,AH36=0),1,0)</f>
        <v/>
      </c>
      <c r="AI86">
        <f>IF(AND(AI$4=1,AI36=0),1,0)</f>
        <v/>
      </c>
      <c r="AJ86">
        <f>IF(AND(AJ$4=1,AJ36=0),1,0)</f>
        <v/>
      </c>
      <c r="AK86">
        <f>IF(AND(AK$4=1,AK36=0),1,0)</f>
        <v/>
      </c>
      <c r="AL86">
        <f>IF(AND(AL$4=1,AL36=0),1,0)</f>
        <v/>
      </c>
      <c r="AM86">
        <f>IF(AND(AM$4=1,AM36=0),1,0)</f>
        <v/>
      </c>
      <c r="AN86">
        <f>IF(AND(AN$4=1,AN36=0),1,0)</f>
        <v/>
      </c>
      <c r="AO86">
        <f>IF(AND(AO$4=1,AO36=0),1,0)</f>
        <v/>
      </c>
      <c r="AP86">
        <f>IF(AND(AP$4=1,AP36=0),1,0)</f>
        <v/>
      </c>
      <c r="AQ86">
        <f>IF(AND(AQ$4=1,AQ36=0),1,0)</f>
        <v/>
      </c>
      <c r="AR86">
        <f>IF(AND(AR$4=1,AR36=0),1,0)</f>
        <v/>
      </c>
      <c r="AS86">
        <f>IF(AND(AS$4=1,AS36=0),1,0)</f>
        <v/>
      </c>
      <c r="AT86">
        <f>IF(AND(AT$4=1,AT36=0),1,0)</f>
        <v/>
      </c>
      <c r="AU86">
        <f>IF(AND(AU$4=1,AU36=0),1,0)</f>
        <v/>
      </c>
      <c r="AV86">
        <f>IF(AND(AV$4=1,AV36=0),1,0)</f>
        <v/>
      </c>
      <c r="AW86">
        <f>IF(AND(AW$4=1,AW36=0),1,0)</f>
        <v/>
      </c>
      <c r="AX86">
        <f>IF(AND(AX$4=1,AX36=0),1,0)</f>
        <v/>
      </c>
      <c r="AY86">
        <f>IF(AND(AY$4=1,AY36=0),1,0)</f>
        <v/>
      </c>
      <c r="AZ86">
        <f>IF(AND(AZ$4=1,AZ36=0),1,0)</f>
        <v/>
      </c>
      <c r="BA86">
        <f>IF(AND(BA$4=1,BA36=0),1,0)</f>
        <v/>
      </c>
      <c r="BB86">
        <f>IF(AND(BB$4=1,BB36=0),1,0)</f>
        <v/>
      </c>
      <c r="BC86">
        <f>IF(AND(BC$4=1,BC36=0),1,0)</f>
        <v/>
      </c>
      <c r="BD86">
        <f>IF(AND(BD$4=1,BD36=0),1,0)</f>
        <v/>
      </c>
      <c r="BE86">
        <f>IF(AND(BE$4=1,BE36=0),1,0)</f>
        <v/>
      </c>
      <c r="BF86">
        <f>IF(AND(BF$4=1,BF36=0),1,0)</f>
        <v/>
      </c>
      <c r="BG86">
        <f>IF(AND(BG$4=1,BG36=0),1,0)</f>
        <v/>
      </c>
      <c r="BH86">
        <f>IF(AND(BH$4=1,BH36=0),1,0)</f>
        <v/>
      </c>
      <c r="BI86">
        <f>IF(AND(BI$4=1,BI36=0),1,0)</f>
        <v/>
      </c>
      <c r="BJ86">
        <f>IF(AND(BJ$4=1,BJ36=0),1,0)</f>
        <v/>
      </c>
      <c r="BK86">
        <f>IF(AND(BK$4=1,BK36=0),1,0)</f>
        <v/>
      </c>
      <c r="BL86">
        <f>IF(AND(BL$4=1,BL36=0),1,0)</f>
        <v/>
      </c>
      <c r="BM86">
        <f>IF(AND(BM$4=1,BM36=0),1,0)</f>
        <v/>
      </c>
      <c r="BN86">
        <f>IF(AND(BN$4=1,BN36=0),1,0)</f>
        <v/>
      </c>
      <c r="BO86">
        <f>IF(AND(BO$4=1,BO36=0),1,0)</f>
        <v/>
      </c>
      <c r="BP86">
        <f>IF(AND(BP$4=1,BP36=0),1,0)</f>
        <v/>
      </c>
      <c r="BQ86">
        <f>IF(AND(BQ$4=1,BQ36=0),1,0)</f>
        <v/>
      </c>
      <c r="BR86">
        <f>IF(AND(BR$4=1,BR36=0),1,0)</f>
        <v/>
      </c>
      <c r="BS86">
        <f>IF(AND(BS$4=1,BS36=0),1,0)</f>
        <v/>
      </c>
      <c r="BT86">
        <f>IF(AND(BT$4=1,BT36=0),1,0)</f>
        <v/>
      </c>
      <c r="BU86">
        <f>IF(AND(BU$4=1,BU36=0),1,0)</f>
        <v/>
      </c>
      <c r="BV86">
        <f>IF(AND(BV$4=1,BV36=0),1,0)</f>
        <v/>
      </c>
      <c r="BW86">
        <f>IF(AND(BW$4=1,BW36=0),1,0)</f>
        <v/>
      </c>
      <c r="BX86">
        <f>IF(AND(BX$4=1,BX36=0),1,0)</f>
        <v/>
      </c>
      <c r="BY86">
        <f>IF(AND(BY$4=1,BY36=0),1,0)</f>
        <v/>
      </c>
      <c r="BZ86">
        <f>IF(AND(BZ$4=1,BZ36=0),1,0)</f>
        <v/>
      </c>
      <c r="CA86">
        <f>IF(AND(CA$4=1,CA36=0),1,0)</f>
        <v/>
      </c>
      <c r="CB86">
        <f>IF(AND(CB$4=1,CB36=0),1,0)</f>
        <v/>
      </c>
      <c r="CC86">
        <f>IF(AND(CC$4=1,CC36=0),1,0)</f>
        <v/>
      </c>
      <c r="CD86">
        <f>IF(AND(CD$4=1,CD36=0),1,0)</f>
        <v/>
      </c>
      <c r="CE86">
        <f>IF(AND(CE$4=1,CE36=0),1,0)</f>
        <v/>
      </c>
      <c r="CF86">
        <f>IF(AND(CF$4=1,CF36=0),1,0)</f>
        <v/>
      </c>
      <c r="CG86">
        <f>IF(AND(CG$4=1,CG36=0),1,0)</f>
        <v/>
      </c>
      <c r="CH86">
        <f>IF(AND(CH$4=1,CH36=0),1,0)</f>
        <v/>
      </c>
      <c r="CI86">
        <f>IF(AND(CI$4=1,CI36=0),1,0)</f>
        <v/>
      </c>
      <c r="CJ86">
        <f>IF(AND(CJ$4=1,CJ36=0),1,0)</f>
        <v/>
      </c>
      <c r="CK86">
        <f>IF(AND(CK$4=1,CK36=0),1,0)</f>
        <v/>
      </c>
      <c r="CL86">
        <f>IF(AND(CL$4=1,CL36=0),1,0)</f>
        <v/>
      </c>
      <c r="CM86">
        <f>IF(AND(CM$4=1,CM36=0),1,0)</f>
        <v/>
      </c>
      <c r="CN86">
        <f>IF(AND(CN$4=1,CN36=0),1,0)</f>
        <v/>
      </c>
      <c r="CO86">
        <f>IF(AND(CO$4=1,CO36=0),1,0)</f>
        <v/>
      </c>
      <c r="CP86">
        <f>IF(AND(CP$4=1,CP36=0),1,0)</f>
        <v/>
      </c>
      <c r="CQ86">
        <f>IF(AND(CQ$4=1,CQ36=0),1,0)</f>
        <v/>
      </c>
      <c r="CR86">
        <f>IF(AND(CR$4=1,CR36=0),1,0)</f>
        <v/>
      </c>
      <c r="CS86">
        <f>IF(AND(CS$4=1,CS36=0),1,0)</f>
        <v/>
      </c>
      <c r="CT86">
        <f>IF(AND(CT$4=1,CT36=0),1,0)</f>
        <v/>
      </c>
      <c r="CU86">
        <f>IF(AND(CU$4=1,CU36=0),1,0)</f>
        <v/>
      </c>
      <c r="CV86">
        <f>IF(AND(CV$4=1,CV36=0),1,0)</f>
        <v/>
      </c>
      <c r="CW86">
        <f>IF(AND(CW$4=1,CW36=0),1,0)</f>
        <v/>
      </c>
      <c r="CX86">
        <f>IF(AND(CX$4=1,CX36=0),1,0)</f>
        <v/>
      </c>
      <c r="CY86">
        <f>IF(AND(CY$4=1,CY36=0),1,0)</f>
        <v/>
      </c>
      <c r="CZ86">
        <f>IF(AND(CZ$4=1,CZ36=0),1,0)</f>
        <v/>
      </c>
      <c r="DA86">
        <f>IF(AND(DA$4=1,DA36=0),1,0)</f>
        <v/>
      </c>
      <c r="DB86">
        <f>IF(AND(DB$4=1,DB36=0),1,0)</f>
        <v/>
      </c>
      <c r="DC86">
        <f>IF(AND(DC$4=1,DC36=0),1,0)</f>
        <v/>
      </c>
      <c r="DD86">
        <f>IF(AND(DD$4=1,DD36=0),1,0)</f>
        <v/>
      </c>
      <c r="DE86">
        <f>IF(AND(DE$4=1,DE36=0),1,0)</f>
        <v/>
      </c>
      <c r="DF86">
        <f>IF(AND(DF$4=1,DF36=0),1,0)</f>
        <v/>
      </c>
      <c r="DG86">
        <f>IF(AND(DG$4=1,DG36=0),1,0)</f>
        <v/>
      </c>
      <c r="DH86">
        <f>IF(AND(DH$4=1,DH36=0),1,0)</f>
        <v/>
      </c>
      <c r="DI86">
        <f>IF(AND(DI$4=1,DI36=0),1,0)</f>
        <v/>
      </c>
      <c r="DJ86">
        <f>IF(AND(DJ$4=1,DJ36=0),1,0)</f>
        <v/>
      </c>
      <c r="DK86">
        <f>IF(AND(DK$4=1,DK36=0),1,0)</f>
        <v/>
      </c>
      <c r="DL86">
        <f>IF(AND(DL$4=1,DL36=0),1,0)</f>
        <v/>
      </c>
      <c r="DM86">
        <f>IF(AND(DM$4=1,DM36=0),1,0)</f>
        <v/>
      </c>
      <c r="DN86">
        <f>IF(AND(DN$4=1,DN36=0),1,0)</f>
        <v/>
      </c>
      <c r="DO86">
        <f>IF(AND(DO$4=1,DO36=0),1,0)</f>
        <v/>
      </c>
      <c r="DP86">
        <f>IF(AND(DP$4=1,DP36=0),1,0)</f>
        <v/>
      </c>
      <c r="DQ86">
        <f>IF(AND(DQ$4=1,DQ36=0),1,0)</f>
        <v/>
      </c>
      <c r="DR86">
        <f>IF(AND(DR$4=1,DR36=0),1,0)</f>
        <v/>
      </c>
      <c r="DS86">
        <f>IF(AND(DS$4=1,DS36=0),1,0)</f>
        <v/>
      </c>
    </row>
    <row r="87">
      <c r="A87" t="n">
        <v>28</v>
      </c>
      <c r="D87">
        <f>IF(AND(D$4=1,D37=0),1,0)</f>
        <v/>
      </c>
      <c r="E87">
        <f>IF(AND(E$4=1,E37=0),1,0)</f>
        <v/>
      </c>
      <c r="F87">
        <f>IF(AND(F$4=1,F37=0),1,0)</f>
        <v/>
      </c>
      <c r="G87">
        <f>IF(AND(G$4=1,G37=0),1,0)</f>
        <v/>
      </c>
      <c r="H87">
        <f>IF(AND(H$4=1,H37=0),1,0)</f>
        <v/>
      </c>
      <c r="I87">
        <f>IF(AND(I$4=1,I37=0),1,0)</f>
        <v/>
      </c>
      <c r="J87">
        <f>IF(AND(J$4=1,J37=0),1,0)</f>
        <v/>
      </c>
      <c r="K87">
        <f>IF(AND(K$4=1,K37=0),1,0)</f>
        <v/>
      </c>
      <c r="L87">
        <f>IF(AND(L$4=1,L37=0),1,0)</f>
        <v/>
      </c>
      <c r="M87">
        <f>IF(AND(M$4=1,M37=0),1,0)</f>
        <v/>
      </c>
      <c r="N87">
        <f>IF(AND(N$4=1,N37=0),1,0)</f>
        <v/>
      </c>
      <c r="O87">
        <f>IF(AND(O$4=1,O37=0),1,0)</f>
        <v/>
      </c>
      <c r="P87">
        <f>IF(AND(P$4=1,P37=0),1,0)</f>
        <v/>
      </c>
      <c r="Q87">
        <f>IF(AND(Q$4=1,Q37=0),1,0)</f>
        <v/>
      </c>
      <c r="R87">
        <f>IF(AND(R$4=1,R37=0),1,0)</f>
        <v/>
      </c>
      <c r="S87">
        <f>IF(AND(S$4=1,S37=0),1,0)</f>
        <v/>
      </c>
      <c r="T87">
        <f>IF(AND(T$4=1,T37=0),1,0)</f>
        <v/>
      </c>
      <c r="U87">
        <f>IF(AND(U$4=1,U37=0),1,0)</f>
        <v/>
      </c>
      <c r="V87">
        <f>IF(AND(V$4=1,V37=0),1,0)</f>
        <v/>
      </c>
      <c r="W87">
        <f>IF(AND(W$4=1,W37=0),1,0)</f>
        <v/>
      </c>
      <c r="X87">
        <f>IF(AND(X$4=1,X37=0),1,0)</f>
        <v/>
      </c>
      <c r="Y87">
        <f>IF(AND(Y$4=1,Y37=0),1,0)</f>
        <v/>
      </c>
      <c r="Z87">
        <f>IF(AND(Z$4=1,Z37=0),1,0)</f>
        <v/>
      </c>
      <c r="AA87">
        <f>IF(AND(AA$4=1,AA37=0),1,0)</f>
        <v/>
      </c>
      <c r="AB87">
        <f>IF(AND(AB$4=1,AB37=0),1,0)</f>
        <v/>
      </c>
      <c r="AC87">
        <f>IF(AND(AC$4=1,AC37=0),1,0)</f>
        <v/>
      </c>
      <c r="AD87">
        <f>IF(AND(AD$4=1,AD37=0),1,0)</f>
        <v/>
      </c>
      <c r="AE87">
        <f>IF(AND(AE$4=1,AE37=0),1,0)</f>
        <v/>
      </c>
      <c r="AF87">
        <f>IF(AND(AF$4=1,AF37=0),1,0)</f>
        <v/>
      </c>
      <c r="AG87">
        <f>IF(AND(AG$4=1,AG37=0),1,0)</f>
        <v/>
      </c>
      <c r="AH87">
        <f>IF(AND(AH$4=1,AH37=0),1,0)</f>
        <v/>
      </c>
      <c r="AI87">
        <f>IF(AND(AI$4=1,AI37=0),1,0)</f>
        <v/>
      </c>
      <c r="AJ87">
        <f>IF(AND(AJ$4=1,AJ37=0),1,0)</f>
        <v/>
      </c>
      <c r="AK87">
        <f>IF(AND(AK$4=1,AK37=0),1,0)</f>
        <v/>
      </c>
      <c r="AL87">
        <f>IF(AND(AL$4=1,AL37=0),1,0)</f>
        <v/>
      </c>
      <c r="AM87">
        <f>IF(AND(AM$4=1,AM37=0),1,0)</f>
        <v/>
      </c>
      <c r="AN87">
        <f>IF(AND(AN$4=1,AN37=0),1,0)</f>
        <v/>
      </c>
      <c r="AO87">
        <f>IF(AND(AO$4=1,AO37=0),1,0)</f>
        <v/>
      </c>
      <c r="AP87">
        <f>IF(AND(AP$4=1,AP37=0),1,0)</f>
        <v/>
      </c>
      <c r="AQ87">
        <f>IF(AND(AQ$4=1,AQ37=0),1,0)</f>
        <v/>
      </c>
      <c r="AR87">
        <f>IF(AND(AR$4=1,AR37=0),1,0)</f>
        <v/>
      </c>
      <c r="AS87">
        <f>IF(AND(AS$4=1,AS37=0),1,0)</f>
        <v/>
      </c>
      <c r="AT87">
        <f>IF(AND(AT$4=1,AT37=0),1,0)</f>
        <v/>
      </c>
      <c r="AU87">
        <f>IF(AND(AU$4=1,AU37=0),1,0)</f>
        <v/>
      </c>
      <c r="AV87">
        <f>IF(AND(AV$4=1,AV37=0),1,0)</f>
        <v/>
      </c>
      <c r="AW87">
        <f>IF(AND(AW$4=1,AW37=0),1,0)</f>
        <v/>
      </c>
      <c r="AX87">
        <f>IF(AND(AX$4=1,AX37=0),1,0)</f>
        <v/>
      </c>
      <c r="AY87">
        <f>IF(AND(AY$4=1,AY37=0),1,0)</f>
        <v/>
      </c>
      <c r="AZ87">
        <f>IF(AND(AZ$4=1,AZ37=0),1,0)</f>
        <v/>
      </c>
      <c r="BA87">
        <f>IF(AND(BA$4=1,BA37=0),1,0)</f>
        <v/>
      </c>
      <c r="BB87">
        <f>IF(AND(BB$4=1,BB37=0),1,0)</f>
        <v/>
      </c>
      <c r="BC87">
        <f>IF(AND(BC$4=1,BC37=0),1,0)</f>
        <v/>
      </c>
      <c r="BD87">
        <f>IF(AND(BD$4=1,BD37=0),1,0)</f>
        <v/>
      </c>
      <c r="BE87">
        <f>IF(AND(BE$4=1,BE37=0),1,0)</f>
        <v/>
      </c>
      <c r="BF87">
        <f>IF(AND(BF$4=1,BF37=0),1,0)</f>
        <v/>
      </c>
      <c r="BG87">
        <f>IF(AND(BG$4=1,BG37=0),1,0)</f>
        <v/>
      </c>
      <c r="BH87">
        <f>IF(AND(BH$4=1,BH37=0),1,0)</f>
        <v/>
      </c>
      <c r="BI87">
        <f>IF(AND(BI$4=1,BI37=0),1,0)</f>
        <v/>
      </c>
      <c r="BJ87">
        <f>IF(AND(BJ$4=1,BJ37=0),1,0)</f>
        <v/>
      </c>
      <c r="BK87">
        <f>IF(AND(BK$4=1,BK37=0),1,0)</f>
        <v/>
      </c>
      <c r="BL87">
        <f>IF(AND(BL$4=1,BL37=0),1,0)</f>
        <v/>
      </c>
      <c r="BM87">
        <f>IF(AND(BM$4=1,BM37=0),1,0)</f>
        <v/>
      </c>
      <c r="BN87">
        <f>IF(AND(BN$4=1,BN37=0),1,0)</f>
        <v/>
      </c>
      <c r="BO87">
        <f>IF(AND(BO$4=1,BO37=0),1,0)</f>
        <v/>
      </c>
      <c r="BP87">
        <f>IF(AND(BP$4=1,BP37=0),1,0)</f>
        <v/>
      </c>
      <c r="BQ87">
        <f>IF(AND(BQ$4=1,BQ37=0),1,0)</f>
        <v/>
      </c>
      <c r="BR87">
        <f>IF(AND(BR$4=1,BR37=0),1,0)</f>
        <v/>
      </c>
      <c r="BS87">
        <f>IF(AND(BS$4=1,BS37=0),1,0)</f>
        <v/>
      </c>
      <c r="BT87">
        <f>IF(AND(BT$4=1,BT37=0),1,0)</f>
        <v/>
      </c>
      <c r="BU87">
        <f>IF(AND(BU$4=1,BU37=0),1,0)</f>
        <v/>
      </c>
      <c r="BV87">
        <f>IF(AND(BV$4=1,BV37=0),1,0)</f>
        <v/>
      </c>
      <c r="BW87">
        <f>IF(AND(BW$4=1,BW37=0),1,0)</f>
        <v/>
      </c>
      <c r="BX87">
        <f>IF(AND(BX$4=1,BX37=0),1,0)</f>
        <v/>
      </c>
      <c r="BY87">
        <f>IF(AND(BY$4=1,BY37=0),1,0)</f>
        <v/>
      </c>
      <c r="BZ87">
        <f>IF(AND(BZ$4=1,BZ37=0),1,0)</f>
        <v/>
      </c>
      <c r="CA87">
        <f>IF(AND(CA$4=1,CA37=0),1,0)</f>
        <v/>
      </c>
      <c r="CB87">
        <f>IF(AND(CB$4=1,CB37=0),1,0)</f>
        <v/>
      </c>
      <c r="CC87">
        <f>IF(AND(CC$4=1,CC37=0),1,0)</f>
        <v/>
      </c>
      <c r="CD87">
        <f>IF(AND(CD$4=1,CD37=0),1,0)</f>
        <v/>
      </c>
      <c r="CE87">
        <f>IF(AND(CE$4=1,CE37=0),1,0)</f>
        <v/>
      </c>
      <c r="CF87">
        <f>IF(AND(CF$4=1,CF37=0),1,0)</f>
        <v/>
      </c>
      <c r="CG87">
        <f>IF(AND(CG$4=1,CG37=0),1,0)</f>
        <v/>
      </c>
      <c r="CH87">
        <f>IF(AND(CH$4=1,CH37=0),1,0)</f>
        <v/>
      </c>
      <c r="CI87">
        <f>IF(AND(CI$4=1,CI37=0),1,0)</f>
        <v/>
      </c>
      <c r="CJ87">
        <f>IF(AND(CJ$4=1,CJ37=0),1,0)</f>
        <v/>
      </c>
      <c r="CK87">
        <f>IF(AND(CK$4=1,CK37=0),1,0)</f>
        <v/>
      </c>
      <c r="CL87">
        <f>IF(AND(CL$4=1,CL37=0),1,0)</f>
        <v/>
      </c>
      <c r="CM87">
        <f>IF(AND(CM$4=1,CM37=0),1,0)</f>
        <v/>
      </c>
      <c r="CN87">
        <f>IF(AND(CN$4=1,CN37=0),1,0)</f>
        <v/>
      </c>
      <c r="CO87">
        <f>IF(AND(CO$4=1,CO37=0),1,0)</f>
        <v/>
      </c>
      <c r="CP87">
        <f>IF(AND(CP$4=1,CP37=0),1,0)</f>
        <v/>
      </c>
      <c r="CQ87">
        <f>IF(AND(CQ$4=1,CQ37=0),1,0)</f>
        <v/>
      </c>
      <c r="CR87">
        <f>IF(AND(CR$4=1,CR37=0),1,0)</f>
        <v/>
      </c>
      <c r="CS87">
        <f>IF(AND(CS$4=1,CS37=0),1,0)</f>
        <v/>
      </c>
      <c r="CT87">
        <f>IF(AND(CT$4=1,CT37=0),1,0)</f>
        <v/>
      </c>
      <c r="CU87">
        <f>IF(AND(CU$4=1,CU37=0),1,0)</f>
        <v/>
      </c>
      <c r="CV87">
        <f>IF(AND(CV$4=1,CV37=0),1,0)</f>
        <v/>
      </c>
      <c r="CW87">
        <f>IF(AND(CW$4=1,CW37=0),1,0)</f>
        <v/>
      </c>
      <c r="CX87">
        <f>IF(AND(CX$4=1,CX37=0),1,0)</f>
        <v/>
      </c>
      <c r="CY87">
        <f>IF(AND(CY$4=1,CY37=0),1,0)</f>
        <v/>
      </c>
      <c r="CZ87">
        <f>IF(AND(CZ$4=1,CZ37=0),1,0)</f>
        <v/>
      </c>
      <c r="DA87">
        <f>IF(AND(DA$4=1,DA37=0),1,0)</f>
        <v/>
      </c>
      <c r="DB87">
        <f>IF(AND(DB$4=1,DB37=0),1,0)</f>
        <v/>
      </c>
      <c r="DC87">
        <f>IF(AND(DC$4=1,DC37=0),1,0)</f>
        <v/>
      </c>
      <c r="DD87">
        <f>IF(AND(DD$4=1,DD37=0),1,0)</f>
        <v/>
      </c>
      <c r="DE87">
        <f>IF(AND(DE$4=1,DE37=0),1,0)</f>
        <v/>
      </c>
      <c r="DF87">
        <f>IF(AND(DF$4=1,DF37=0),1,0)</f>
        <v/>
      </c>
      <c r="DG87">
        <f>IF(AND(DG$4=1,DG37=0),1,0)</f>
        <v/>
      </c>
      <c r="DH87">
        <f>IF(AND(DH$4=1,DH37=0),1,0)</f>
        <v/>
      </c>
      <c r="DI87">
        <f>IF(AND(DI$4=1,DI37=0),1,0)</f>
        <v/>
      </c>
      <c r="DJ87">
        <f>IF(AND(DJ$4=1,DJ37=0),1,0)</f>
        <v/>
      </c>
      <c r="DK87">
        <f>IF(AND(DK$4=1,DK37=0),1,0)</f>
        <v/>
      </c>
      <c r="DL87">
        <f>IF(AND(DL$4=1,DL37=0),1,0)</f>
        <v/>
      </c>
      <c r="DM87">
        <f>IF(AND(DM$4=1,DM37=0),1,0)</f>
        <v/>
      </c>
      <c r="DN87">
        <f>IF(AND(DN$4=1,DN37=0),1,0)</f>
        <v/>
      </c>
      <c r="DO87">
        <f>IF(AND(DO$4=1,DO37=0),1,0)</f>
        <v/>
      </c>
      <c r="DP87">
        <f>IF(AND(DP$4=1,DP37=0),1,0)</f>
        <v/>
      </c>
      <c r="DQ87">
        <f>IF(AND(DQ$4=1,DQ37=0),1,0)</f>
        <v/>
      </c>
      <c r="DR87">
        <f>IF(AND(DR$4=1,DR37=0),1,0)</f>
        <v/>
      </c>
      <c r="DS87">
        <f>IF(AND(DS$4=1,DS37=0),1,0)</f>
        <v/>
      </c>
    </row>
    <row r="88">
      <c r="A88" t="n">
        <v>29</v>
      </c>
      <c r="D88">
        <f>IF(AND(D$4=1,D38=0),1,0)</f>
        <v/>
      </c>
      <c r="E88">
        <f>IF(AND(E$4=1,E38=0),1,0)</f>
        <v/>
      </c>
      <c r="F88">
        <f>IF(AND(F$4=1,F38=0),1,0)</f>
        <v/>
      </c>
      <c r="G88">
        <f>IF(AND(G$4=1,G38=0),1,0)</f>
        <v/>
      </c>
      <c r="H88">
        <f>IF(AND(H$4=1,H38=0),1,0)</f>
        <v/>
      </c>
      <c r="I88">
        <f>IF(AND(I$4=1,I38=0),1,0)</f>
        <v/>
      </c>
      <c r="J88">
        <f>IF(AND(J$4=1,J38=0),1,0)</f>
        <v/>
      </c>
      <c r="K88">
        <f>IF(AND(K$4=1,K38=0),1,0)</f>
        <v/>
      </c>
      <c r="L88">
        <f>IF(AND(L$4=1,L38=0),1,0)</f>
        <v/>
      </c>
      <c r="M88">
        <f>IF(AND(M$4=1,M38=0),1,0)</f>
        <v/>
      </c>
      <c r="N88">
        <f>IF(AND(N$4=1,N38=0),1,0)</f>
        <v/>
      </c>
      <c r="O88">
        <f>IF(AND(O$4=1,O38=0),1,0)</f>
        <v/>
      </c>
      <c r="P88">
        <f>IF(AND(P$4=1,P38=0),1,0)</f>
        <v/>
      </c>
      <c r="Q88">
        <f>IF(AND(Q$4=1,Q38=0),1,0)</f>
        <v/>
      </c>
      <c r="R88">
        <f>IF(AND(R$4=1,R38=0),1,0)</f>
        <v/>
      </c>
      <c r="S88">
        <f>IF(AND(S$4=1,S38=0),1,0)</f>
        <v/>
      </c>
      <c r="T88">
        <f>IF(AND(T$4=1,T38=0),1,0)</f>
        <v/>
      </c>
      <c r="U88">
        <f>IF(AND(U$4=1,U38=0),1,0)</f>
        <v/>
      </c>
      <c r="V88">
        <f>IF(AND(V$4=1,V38=0),1,0)</f>
        <v/>
      </c>
      <c r="W88">
        <f>IF(AND(W$4=1,W38=0),1,0)</f>
        <v/>
      </c>
      <c r="X88">
        <f>IF(AND(X$4=1,X38=0),1,0)</f>
        <v/>
      </c>
      <c r="Y88">
        <f>IF(AND(Y$4=1,Y38=0),1,0)</f>
        <v/>
      </c>
      <c r="Z88">
        <f>IF(AND(Z$4=1,Z38=0),1,0)</f>
        <v/>
      </c>
      <c r="AA88">
        <f>IF(AND(AA$4=1,AA38=0),1,0)</f>
        <v/>
      </c>
      <c r="AB88">
        <f>IF(AND(AB$4=1,AB38=0),1,0)</f>
        <v/>
      </c>
      <c r="AC88">
        <f>IF(AND(AC$4=1,AC38=0),1,0)</f>
        <v/>
      </c>
      <c r="AD88">
        <f>IF(AND(AD$4=1,AD38=0),1,0)</f>
        <v/>
      </c>
      <c r="AE88">
        <f>IF(AND(AE$4=1,AE38=0),1,0)</f>
        <v/>
      </c>
      <c r="AF88">
        <f>IF(AND(AF$4=1,AF38=0),1,0)</f>
        <v/>
      </c>
      <c r="AG88">
        <f>IF(AND(AG$4=1,AG38=0),1,0)</f>
        <v/>
      </c>
      <c r="AH88">
        <f>IF(AND(AH$4=1,AH38=0),1,0)</f>
        <v/>
      </c>
      <c r="AI88">
        <f>IF(AND(AI$4=1,AI38=0),1,0)</f>
        <v/>
      </c>
      <c r="AJ88">
        <f>IF(AND(AJ$4=1,AJ38=0),1,0)</f>
        <v/>
      </c>
      <c r="AK88">
        <f>IF(AND(AK$4=1,AK38=0),1,0)</f>
        <v/>
      </c>
      <c r="AL88">
        <f>IF(AND(AL$4=1,AL38=0),1,0)</f>
        <v/>
      </c>
      <c r="AM88">
        <f>IF(AND(AM$4=1,AM38=0),1,0)</f>
        <v/>
      </c>
      <c r="AN88">
        <f>IF(AND(AN$4=1,AN38=0),1,0)</f>
        <v/>
      </c>
      <c r="AO88">
        <f>IF(AND(AO$4=1,AO38=0),1,0)</f>
        <v/>
      </c>
      <c r="AP88">
        <f>IF(AND(AP$4=1,AP38=0),1,0)</f>
        <v/>
      </c>
      <c r="AQ88">
        <f>IF(AND(AQ$4=1,AQ38=0),1,0)</f>
        <v/>
      </c>
      <c r="AR88">
        <f>IF(AND(AR$4=1,AR38=0),1,0)</f>
        <v/>
      </c>
      <c r="AS88">
        <f>IF(AND(AS$4=1,AS38=0),1,0)</f>
        <v/>
      </c>
      <c r="AT88">
        <f>IF(AND(AT$4=1,AT38=0),1,0)</f>
        <v/>
      </c>
      <c r="AU88">
        <f>IF(AND(AU$4=1,AU38=0),1,0)</f>
        <v/>
      </c>
      <c r="AV88">
        <f>IF(AND(AV$4=1,AV38=0),1,0)</f>
        <v/>
      </c>
      <c r="AW88">
        <f>IF(AND(AW$4=1,AW38=0),1,0)</f>
        <v/>
      </c>
      <c r="AX88">
        <f>IF(AND(AX$4=1,AX38=0),1,0)</f>
        <v/>
      </c>
      <c r="AY88">
        <f>IF(AND(AY$4=1,AY38=0),1,0)</f>
        <v/>
      </c>
      <c r="AZ88">
        <f>IF(AND(AZ$4=1,AZ38=0),1,0)</f>
        <v/>
      </c>
      <c r="BA88">
        <f>IF(AND(BA$4=1,BA38=0),1,0)</f>
        <v/>
      </c>
      <c r="BB88">
        <f>IF(AND(BB$4=1,BB38=0),1,0)</f>
        <v/>
      </c>
      <c r="BC88">
        <f>IF(AND(BC$4=1,BC38=0),1,0)</f>
        <v/>
      </c>
      <c r="BD88">
        <f>IF(AND(BD$4=1,BD38=0),1,0)</f>
        <v/>
      </c>
      <c r="BE88">
        <f>IF(AND(BE$4=1,BE38=0),1,0)</f>
        <v/>
      </c>
      <c r="BF88">
        <f>IF(AND(BF$4=1,BF38=0),1,0)</f>
        <v/>
      </c>
      <c r="BG88">
        <f>IF(AND(BG$4=1,BG38=0),1,0)</f>
        <v/>
      </c>
      <c r="BH88">
        <f>IF(AND(BH$4=1,BH38=0),1,0)</f>
        <v/>
      </c>
      <c r="BI88">
        <f>IF(AND(BI$4=1,BI38=0),1,0)</f>
        <v/>
      </c>
      <c r="BJ88">
        <f>IF(AND(BJ$4=1,BJ38=0),1,0)</f>
        <v/>
      </c>
      <c r="BK88">
        <f>IF(AND(BK$4=1,BK38=0),1,0)</f>
        <v/>
      </c>
      <c r="BL88">
        <f>IF(AND(BL$4=1,BL38=0),1,0)</f>
        <v/>
      </c>
      <c r="BM88">
        <f>IF(AND(BM$4=1,BM38=0),1,0)</f>
        <v/>
      </c>
      <c r="BN88">
        <f>IF(AND(BN$4=1,BN38=0),1,0)</f>
        <v/>
      </c>
      <c r="BO88">
        <f>IF(AND(BO$4=1,BO38=0),1,0)</f>
        <v/>
      </c>
      <c r="BP88">
        <f>IF(AND(BP$4=1,BP38=0),1,0)</f>
        <v/>
      </c>
      <c r="BQ88">
        <f>IF(AND(BQ$4=1,BQ38=0),1,0)</f>
        <v/>
      </c>
      <c r="BR88">
        <f>IF(AND(BR$4=1,BR38=0),1,0)</f>
        <v/>
      </c>
      <c r="BS88">
        <f>IF(AND(BS$4=1,BS38=0),1,0)</f>
        <v/>
      </c>
      <c r="BT88">
        <f>IF(AND(BT$4=1,BT38=0),1,0)</f>
        <v/>
      </c>
      <c r="BU88">
        <f>IF(AND(BU$4=1,BU38=0),1,0)</f>
        <v/>
      </c>
      <c r="BV88">
        <f>IF(AND(BV$4=1,BV38=0),1,0)</f>
        <v/>
      </c>
      <c r="BW88">
        <f>IF(AND(BW$4=1,BW38=0),1,0)</f>
        <v/>
      </c>
      <c r="BX88">
        <f>IF(AND(BX$4=1,BX38=0),1,0)</f>
        <v/>
      </c>
      <c r="BY88">
        <f>IF(AND(BY$4=1,BY38=0),1,0)</f>
        <v/>
      </c>
      <c r="BZ88">
        <f>IF(AND(BZ$4=1,BZ38=0),1,0)</f>
        <v/>
      </c>
      <c r="CA88">
        <f>IF(AND(CA$4=1,CA38=0),1,0)</f>
        <v/>
      </c>
      <c r="CB88">
        <f>IF(AND(CB$4=1,CB38=0),1,0)</f>
        <v/>
      </c>
      <c r="CC88">
        <f>IF(AND(CC$4=1,CC38=0),1,0)</f>
        <v/>
      </c>
      <c r="CD88">
        <f>IF(AND(CD$4=1,CD38=0),1,0)</f>
        <v/>
      </c>
      <c r="CE88">
        <f>IF(AND(CE$4=1,CE38=0),1,0)</f>
        <v/>
      </c>
      <c r="CF88">
        <f>IF(AND(CF$4=1,CF38=0),1,0)</f>
        <v/>
      </c>
      <c r="CG88">
        <f>IF(AND(CG$4=1,CG38=0),1,0)</f>
        <v/>
      </c>
      <c r="CH88">
        <f>IF(AND(CH$4=1,CH38=0),1,0)</f>
        <v/>
      </c>
      <c r="CI88">
        <f>IF(AND(CI$4=1,CI38=0),1,0)</f>
        <v/>
      </c>
      <c r="CJ88">
        <f>IF(AND(CJ$4=1,CJ38=0),1,0)</f>
        <v/>
      </c>
      <c r="CK88">
        <f>IF(AND(CK$4=1,CK38=0),1,0)</f>
        <v/>
      </c>
      <c r="CL88">
        <f>IF(AND(CL$4=1,CL38=0),1,0)</f>
        <v/>
      </c>
      <c r="CM88">
        <f>IF(AND(CM$4=1,CM38=0),1,0)</f>
        <v/>
      </c>
      <c r="CN88">
        <f>IF(AND(CN$4=1,CN38=0),1,0)</f>
        <v/>
      </c>
      <c r="CO88">
        <f>IF(AND(CO$4=1,CO38=0),1,0)</f>
        <v/>
      </c>
      <c r="CP88">
        <f>IF(AND(CP$4=1,CP38=0),1,0)</f>
        <v/>
      </c>
      <c r="CQ88">
        <f>IF(AND(CQ$4=1,CQ38=0),1,0)</f>
        <v/>
      </c>
      <c r="CR88">
        <f>IF(AND(CR$4=1,CR38=0),1,0)</f>
        <v/>
      </c>
      <c r="CS88">
        <f>IF(AND(CS$4=1,CS38=0),1,0)</f>
        <v/>
      </c>
      <c r="CT88">
        <f>IF(AND(CT$4=1,CT38=0),1,0)</f>
        <v/>
      </c>
      <c r="CU88">
        <f>IF(AND(CU$4=1,CU38=0),1,0)</f>
        <v/>
      </c>
      <c r="CV88">
        <f>IF(AND(CV$4=1,CV38=0),1,0)</f>
        <v/>
      </c>
      <c r="CW88">
        <f>IF(AND(CW$4=1,CW38=0),1,0)</f>
        <v/>
      </c>
      <c r="CX88">
        <f>IF(AND(CX$4=1,CX38=0),1,0)</f>
        <v/>
      </c>
      <c r="CY88">
        <f>IF(AND(CY$4=1,CY38=0),1,0)</f>
        <v/>
      </c>
      <c r="CZ88">
        <f>IF(AND(CZ$4=1,CZ38=0),1,0)</f>
        <v/>
      </c>
      <c r="DA88">
        <f>IF(AND(DA$4=1,DA38=0),1,0)</f>
        <v/>
      </c>
      <c r="DB88">
        <f>IF(AND(DB$4=1,DB38=0),1,0)</f>
        <v/>
      </c>
      <c r="DC88">
        <f>IF(AND(DC$4=1,DC38=0),1,0)</f>
        <v/>
      </c>
      <c r="DD88">
        <f>IF(AND(DD$4=1,DD38=0),1,0)</f>
        <v/>
      </c>
      <c r="DE88">
        <f>IF(AND(DE$4=1,DE38=0),1,0)</f>
        <v/>
      </c>
      <c r="DF88">
        <f>IF(AND(DF$4=1,DF38=0),1,0)</f>
        <v/>
      </c>
      <c r="DG88">
        <f>IF(AND(DG$4=1,DG38=0),1,0)</f>
        <v/>
      </c>
      <c r="DH88">
        <f>IF(AND(DH$4=1,DH38=0),1,0)</f>
        <v/>
      </c>
      <c r="DI88">
        <f>IF(AND(DI$4=1,DI38=0),1,0)</f>
        <v/>
      </c>
      <c r="DJ88">
        <f>IF(AND(DJ$4=1,DJ38=0),1,0)</f>
        <v/>
      </c>
      <c r="DK88">
        <f>IF(AND(DK$4=1,DK38=0),1,0)</f>
        <v/>
      </c>
      <c r="DL88">
        <f>IF(AND(DL$4=1,DL38=0),1,0)</f>
        <v/>
      </c>
      <c r="DM88">
        <f>IF(AND(DM$4=1,DM38=0),1,0)</f>
        <v/>
      </c>
      <c r="DN88">
        <f>IF(AND(DN$4=1,DN38=0),1,0)</f>
        <v/>
      </c>
      <c r="DO88">
        <f>IF(AND(DO$4=1,DO38=0),1,0)</f>
        <v/>
      </c>
      <c r="DP88">
        <f>IF(AND(DP$4=1,DP38=0),1,0)</f>
        <v/>
      </c>
      <c r="DQ88">
        <f>IF(AND(DQ$4=1,DQ38=0),1,0)</f>
        <v/>
      </c>
      <c r="DR88">
        <f>IF(AND(DR$4=1,DR38=0),1,0)</f>
        <v/>
      </c>
      <c r="DS88">
        <f>IF(AND(DS$4=1,DS38=0),1,0)</f>
        <v/>
      </c>
    </row>
    <row r="89">
      <c r="A89" t="n">
        <v>30</v>
      </c>
      <c r="D89">
        <f>IF(AND(D$4=1,D39=0),1,0)</f>
        <v/>
      </c>
      <c r="E89">
        <f>IF(AND(E$4=1,E39=0),1,0)</f>
        <v/>
      </c>
      <c r="F89">
        <f>IF(AND(F$4=1,F39=0),1,0)</f>
        <v/>
      </c>
      <c r="G89">
        <f>IF(AND(G$4=1,G39=0),1,0)</f>
        <v/>
      </c>
      <c r="H89">
        <f>IF(AND(H$4=1,H39=0),1,0)</f>
        <v/>
      </c>
      <c r="I89">
        <f>IF(AND(I$4=1,I39=0),1,0)</f>
        <v/>
      </c>
      <c r="J89">
        <f>IF(AND(J$4=1,J39=0),1,0)</f>
        <v/>
      </c>
      <c r="K89">
        <f>IF(AND(K$4=1,K39=0),1,0)</f>
        <v/>
      </c>
      <c r="L89">
        <f>IF(AND(L$4=1,L39=0),1,0)</f>
        <v/>
      </c>
      <c r="M89">
        <f>IF(AND(M$4=1,M39=0),1,0)</f>
        <v/>
      </c>
      <c r="N89">
        <f>IF(AND(N$4=1,N39=0),1,0)</f>
        <v/>
      </c>
      <c r="O89">
        <f>IF(AND(O$4=1,O39=0),1,0)</f>
        <v/>
      </c>
      <c r="P89">
        <f>IF(AND(P$4=1,P39=0),1,0)</f>
        <v/>
      </c>
      <c r="Q89">
        <f>IF(AND(Q$4=1,Q39=0),1,0)</f>
        <v/>
      </c>
      <c r="R89">
        <f>IF(AND(R$4=1,R39=0),1,0)</f>
        <v/>
      </c>
      <c r="S89">
        <f>IF(AND(S$4=1,S39=0),1,0)</f>
        <v/>
      </c>
      <c r="T89">
        <f>IF(AND(T$4=1,T39=0),1,0)</f>
        <v/>
      </c>
      <c r="U89">
        <f>IF(AND(U$4=1,U39=0),1,0)</f>
        <v/>
      </c>
      <c r="V89">
        <f>IF(AND(V$4=1,V39=0),1,0)</f>
        <v/>
      </c>
      <c r="W89">
        <f>IF(AND(W$4=1,W39=0),1,0)</f>
        <v/>
      </c>
      <c r="X89">
        <f>IF(AND(X$4=1,X39=0),1,0)</f>
        <v/>
      </c>
      <c r="Y89">
        <f>IF(AND(Y$4=1,Y39=0),1,0)</f>
        <v/>
      </c>
      <c r="Z89">
        <f>IF(AND(Z$4=1,Z39=0),1,0)</f>
        <v/>
      </c>
      <c r="AA89">
        <f>IF(AND(AA$4=1,AA39=0),1,0)</f>
        <v/>
      </c>
      <c r="AB89">
        <f>IF(AND(AB$4=1,AB39=0),1,0)</f>
        <v/>
      </c>
      <c r="AC89">
        <f>IF(AND(AC$4=1,AC39=0),1,0)</f>
        <v/>
      </c>
      <c r="AD89">
        <f>IF(AND(AD$4=1,AD39=0),1,0)</f>
        <v/>
      </c>
      <c r="AE89">
        <f>IF(AND(AE$4=1,AE39=0),1,0)</f>
        <v/>
      </c>
      <c r="AF89">
        <f>IF(AND(AF$4=1,AF39=0),1,0)</f>
        <v/>
      </c>
      <c r="AG89">
        <f>IF(AND(AG$4=1,AG39=0),1,0)</f>
        <v/>
      </c>
      <c r="AH89">
        <f>IF(AND(AH$4=1,AH39=0),1,0)</f>
        <v/>
      </c>
      <c r="AI89">
        <f>IF(AND(AI$4=1,AI39=0),1,0)</f>
        <v/>
      </c>
      <c r="AJ89">
        <f>IF(AND(AJ$4=1,AJ39=0),1,0)</f>
        <v/>
      </c>
      <c r="AK89">
        <f>IF(AND(AK$4=1,AK39=0),1,0)</f>
        <v/>
      </c>
      <c r="AL89">
        <f>IF(AND(AL$4=1,AL39=0),1,0)</f>
        <v/>
      </c>
      <c r="AM89">
        <f>IF(AND(AM$4=1,AM39=0),1,0)</f>
        <v/>
      </c>
      <c r="AN89">
        <f>IF(AND(AN$4=1,AN39=0),1,0)</f>
        <v/>
      </c>
      <c r="AO89">
        <f>IF(AND(AO$4=1,AO39=0),1,0)</f>
        <v/>
      </c>
      <c r="AP89">
        <f>IF(AND(AP$4=1,AP39=0),1,0)</f>
        <v/>
      </c>
      <c r="AQ89">
        <f>IF(AND(AQ$4=1,AQ39=0),1,0)</f>
        <v/>
      </c>
      <c r="AR89">
        <f>IF(AND(AR$4=1,AR39=0),1,0)</f>
        <v/>
      </c>
      <c r="AS89">
        <f>IF(AND(AS$4=1,AS39=0),1,0)</f>
        <v/>
      </c>
      <c r="AT89">
        <f>IF(AND(AT$4=1,AT39=0),1,0)</f>
        <v/>
      </c>
      <c r="AU89">
        <f>IF(AND(AU$4=1,AU39=0),1,0)</f>
        <v/>
      </c>
      <c r="AV89">
        <f>IF(AND(AV$4=1,AV39=0),1,0)</f>
        <v/>
      </c>
      <c r="AW89">
        <f>IF(AND(AW$4=1,AW39=0),1,0)</f>
        <v/>
      </c>
      <c r="AX89">
        <f>IF(AND(AX$4=1,AX39=0),1,0)</f>
        <v/>
      </c>
      <c r="AY89">
        <f>IF(AND(AY$4=1,AY39=0),1,0)</f>
        <v/>
      </c>
      <c r="AZ89">
        <f>IF(AND(AZ$4=1,AZ39=0),1,0)</f>
        <v/>
      </c>
      <c r="BA89">
        <f>IF(AND(BA$4=1,BA39=0),1,0)</f>
        <v/>
      </c>
      <c r="BB89">
        <f>IF(AND(BB$4=1,BB39=0),1,0)</f>
        <v/>
      </c>
      <c r="BC89">
        <f>IF(AND(BC$4=1,BC39=0),1,0)</f>
        <v/>
      </c>
      <c r="BD89">
        <f>IF(AND(BD$4=1,BD39=0),1,0)</f>
        <v/>
      </c>
      <c r="BE89">
        <f>IF(AND(BE$4=1,BE39=0),1,0)</f>
        <v/>
      </c>
      <c r="BF89">
        <f>IF(AND(BF$4=1,BF39=0),1,0)</f>
        <v/>
      </c>
      <c r="BG89">
        <f>IF(AND(BG$4=1,BG39=0),1,0)</f>
        <v/>
      </c>
      <c r="BH89">
        <f>IF(AND(BH$4=1,BH39=0),1,0)</f>
        <v/>
      </c>
      <c r="BI89">
        <f>IF(AND(BI$4=1,BI39=0),1,0)</f>
        <v/>
      </c>
      <c r="BJ89">
        <f>IF(AND(BJ$4=1,BJ39=0),1,0)</f>
        <v/>
      </c>
      <c r="BK89">
        <f>IF(AND(BK$4=1,BK39=0),1,0)</f>
        <v/>
      </c>
      <c r="BL89">
        <f>IF(AND(BL$4=1,BL39=0),1,0)</f>
        <v/>
      </c>
      <c r="BM89">
        <f>IF(AND(BM$4=1,BM39=0),1,0)</f>
        <v/>
      </c>
      <c r="BN89">
        <f>IF(AND(BN$4=1,BN39=0),1,0)</f>
        <v/>
      </c>
      <c r="BO89">
        <f>IF(AND(BO$4=1,BO39=0),1,0)</f>
        <v/>
      </c>
      <c r="BP89">
        <f>IF(AND(BP$4=1,BP39=0),1,0)</f>
        <v/>
      </c>
      <c r="BQ89">
        <f>IF(AND(BQ$4=1,BQ39=0),1,0)</f>
        <v/>
      </c>
      <c r="BR89">
        <f>IF(AND(BR$4=1,BR39=0),1,0)</f>
        <v/>
      </c>
      <c r="BS89">
        <f>IF(AND(BS$4=1,BS39=0),1,0)</f>
        <v/>
      </c>
      <c r="BT89">
        <f>IF(AND(BT$4=1,BT39=0),1,0)</f>
        <v/>
      </c>
      <c r="BU89">
        <f>IF(AND(BU$4=1,BU39=0),1,0)</f>
        <v/>
      </c>
      <c r="BV89">
        <f>IF(AND(BV$4=1,BV39=0),1,0)</f>
        <v/>
      </c>
      <c r="BW89">
        <f>IF(AND(BW$4=1,BW39=0),1,0)</f>
        <v/>
      </c>
      <c r="BX89">
        <f>IF(AND(BX$4=1,BX39=0),1,0)</f>
        <v/>
      </c>
      <c r="BY89">
        <f>IF(AND(BY$4=1,BY39=0),1,0)</f>
        <v/>
      </c>
      <c r="BZ89">
        <f>IF(AND(BZ$4=1,BZ39=0),1,0)</f>
        <v/>
      </c>
      <c r="CA89">
        <f>IF(AND(CA$4=1,CA39=0),1,0)</f>
        <v/>
      </c>
      <c r="CB89">
        <f>IF(AND(CB$4=1,CB39=0),1,0)</f>
        <v/>
      </c>
      <c r="CC89">
        <f>IF(AND(CC$4=1,CC39=0),1,0)</f>
        <v/>
      </c>
      <c r="CD89">
        <f>IF(AND(CD$4=1,CD39=0),1,0)</f>
        <v/>
      </c>
      <c r="CE89">
        <f>IF(AND(CE$4=1,CE39=0),1,0)</f>
        <v/>
      </c>
      <c r="CF89">
        <f>IF(AND(CF$4=1,CF39=0),1,0)</f>
        <v/>
      </c>
      <c r="CG89">
        <f>IF(AND(CG$4=1,CG39=0),1,0)</f>
        <v/>
      </c>
      <c r="CH89">
        <f>IF(AND(CH$4=1,CH39=0),1,0)</f>
        <v/>
      </c>
      <c r="CI89">
        <f>IF(AND(CI$4=1,CI39=0),1,0)</f>
        <v/>
      </c>
      <c r="CJ89">
        <f>IF(AND(CJ$4=1,CJ39=0),1,0)</f>
        <v/>
      </c>
      <c r="CK89">
        <f>IF(AND(CK$4=1,CK39=0),1,0)</f>
        <v/>
      </c>
      <c r="CL89">
        <f>IF(AND(CL$4=1,CL39=0),1,0)</f>
        <v/>
      </c>
      <c r="CM89">
        <f>IF(AND(CM$4=1,CM39=0),1,0)</f>
        <v/>
      </c>
      <c r="CN89">
        <f>IF(AND(CN$4=1,CN39=0),1,0)</f>
        <v/>
      </c>
      <c r="CO89">
        <f>IF(AND(CO$4=1,CO39=0),1,0)</f>
        <v/>
      </c>
      <c r="CP89">
        <f>IF(AND(CP$4=1,CP39=0),1,0)</f>
        <v/>
      </c>
      <c r="CQ89">
        <f>IF(AND(CQ$4=1,CQ39=0),1,0)</f>
        <v/>
      </c>
      <c r="CR89">
        <f>IF(AND(CR$4=1,CR39=0),1,0)</f>
        <v/>
      </c>
      <c r="CS89">
        <f>IF(AND(CS$4=1,CS39=0),1,0)</f>
        <v/>
      </c>
      <c r="CT89">
        <f>IF(AND(CT$4=1,CT39=0),1,0)</f>
        <v/>
      </c>
      <c r="CU89">
        <f>IF(AND(CU$4=1,CU39=0),1,0)</f>
        <v/>
      </c>
      <c r="CV89">
        <f>IF(AND(CV$4=1,CV39=0),1,0)</f>
        <v/>
      </c>
      <c r="CW89">
        <f>IF(AND(CW$4=1,CW39=0),1,0)</f>
        <v/>
      </c>
      <c r="CX89">
        <f>IF(AND(CX$4=1,CX39=0),1,0)</f>
        <v/>
      </c>
      <c r="CY89">
        <f>IF(AND(CY$4=1,CY39=0),1,0)</f>
        <v/>
      </c>
      <c r="CZ89">
        <f>IF(AND(CZ$4=1,CZ39=0),1,0)</f>
        <v/>
      </c>
      <c r="DA89">
        <f>IF(AND(DA$4=1,DA39=0),1,0)</f>
        <v/>
      </c>
      <c r="DB89">
        <f>IF(AND(DB$4=1,DB39=0),1,0)</f>
        <v/>
      </c>
      <c r="DC89">
        <f>IF(AND(DC$4=1,DC39=0),1,0)</f>
        <v/>
      </c>
      <c r="DD89">
        <f>IF(AND(DD$4=1,DD39=0),1,0)</f>
        <v/>
      </c>
      <c r="DE89">
        <f>IF(AND(DE$4=1,DE39=0),1,0)</f>
        <v/>
      </c>
      <c r="DF89">
        <f>IF(AND(DF$4=1,DF39=0),1,0)</f>
        <v/>
      </c>
      <c r="DG89">
        <f>IF(AND(DG$4=1,DG39=0),1,0)</f>
        <v/>
      </c>
      <c r="DH89">
        <f>IF(AND(DH$4=1,DH39=0),1,0)</f>
        <v/>
      </c>
      <c r="DI89">
        <f>IF(AND(DI$4=1,DI39=0),1,0)</f>
        <v/>
      </c>
      <c r="DJ89">
        <f>IF(AND(DJ$4=1,DJ39=0),1,0)</f>
        <v/>
      </c>
      <c r="DK89">
        <f>IF(AND(DK$4=1,DK39=0),1,0)</f>
        <v/>
      </c>
      <c r="DL89">
        <f>IF(AND(DL$4=1,DL39=0),1,0)</f>
        <v/>
      </c>
      <c r="DM89">
        <f>IF(AND(DM$4=1,DM39=0),1,0)</f>
        <v/>
      </c>
      <c r="DN89">
        <f>IF(AND(DN$4=1,DN39=0),1,0)</f>
        <v/>
      </c>
      <c r="DO89">
        <f>IF(AND(DO$4=1,DO39=0),1,0)</f>
        <v/>
      </c>
      <c r="DP89">
        <f>IF(AND(DP$4=1,DP39=0),1,0)</f>
        <v/>
      </c>
      <c r="DQ89">
        <f>IF(AND(DQ$4=1,DQ39=0),1,0)</f>
        <v/>
      </c>
      <c r="DR89">
        <f>IF(AND(DR$4=1,DR39=0),1,0)</f>
        <v/>
      </c>
      <c r="DS89">
        <f>IF(AND(DS$4=1,DS39=0),1,0)</f>
        <v/>
      </c>
    </row>
    <row r="90">
      <c r="A90" t="n">
        <v>31</v>
      </c>
      <c r="D90">
        <f>IF(AND(D$4=1,D40=0),1,0)</f>
        <v/>
      </c>
      <c r="E90">
        <f>IF(AND(E$4=1,E40=0),1,0)</f>
        <v/>
      </c>
      <c r="F90">
        <f>IF(AND(F$4=1,F40=0),1,0)</f>
        <v/>
      </c>
      <c r="G90">
        <f>IF(AND(G$4=1,G40=0),1,0)</f>
        <v/>
      </c>
      <c r="H90">
        <f>IF(AND(H$4=1,H40=0),1,0)</f>
        <v/>
      </c>
      <c r="I90">
        <f>IF(AND(I$4=1,I40=0),1,0)</f>
        <v/>
      </c>
      <c r="J90">
        <f>IF(AND(J$4=1,J40=0),1,0)</f>
        <v/>
      </c>
      <c r="K90">
        <f>IF(AND(K$4=1,K40=0),1,0)</f>
        <v/>
      </c>
      <c r="L90">
        <f>IF(AND(L$4=1,L40=0),1,0)</f>
        <v/>
      </c>
      <c r="M90">
        <f>IF(AND(M$4=1,M40=0),1,0)</f>
        <v/>
      </c>
      <c r="N90">
        <f>IF(AND(N$4=1,N40=0),1,0)</f>
        <v/>
      </c>
      <c r="O90">
        <f>IF(AND(O$4=1,O40=0),1,0)</f>
        <v/>
      </c>
      <c r="P90">
        <f>IF(AND(P$4=1,P40=0),1,0)</f>
        <v/>
      </c>
      <c r="Q90">
        <f>IF(AND(Q$4=1,Q40=0),1,0)</f>
        <v/>
      </c>
      <c r="R90">
        <f>IF(AND(R$4=1,R40=0),1,0)</f>
        <v/>
      </c>
      <c r="S90">
        <f>IF(AND(S$4=1,S40=0),1,0)</f>
        <v/>
      </c>
      <c r="T90">
        <f>IF(AND(T$4=1,T40=0),1,0)</f>
        <v/>
      </c>
      <c r="U90">
        <f>IF(AND(U$4=1,U40=0),1,0)</f>
        <v/>
      </c>
      <c r="V90">
        <f>IF(AND(V$4=1,V40=0),1,0)</f>
        <v/>
      </c>
      <c r="W90">
        <f>IF(AND(W$4=1,W40=0),1,0)</f>
        <v/>
      </c>
      <c r="X90">
        <f>IF(AND(X$4=1,X40=0),1,0)</f>
        <v/>
      </c>
      <c r="Y90">
        <f>IF(AND(Y$4=1,Y40=0),1,0)</f>
        <v/>
      </c>
      <c r="Z90">
        <f>IF(AND(Z$4=1,Z40=0),1,0)</f>
        <v/>
      </c>
      <c r="AA90">
        <f>IF(AND(AA$4=1,AA40=0),1,0)</f>
        <v/>
      </c>
      <c r="AB90">
        <f>IF(AND(AB$4=1,AB40=0),1,0)</f>
        <v/>
      </c>
      <c r="AC90">
        <f>IF(AND(AC$4=1,AC40=0),1,0)</f>
        <v/>
      </c>
      <c r="AD90">
        <f>IF(AND(AD$4=1,AD40=0),1,0)</f>
        <v/>
      </c>
      <c r="AE90">
        <f>IF(AND(AE$4=1,AE40=0),1,0)</f>
        <v/>
      </c>
      <c r="AF90">
        <f>IF(AND(AF$4=1,AF40=0),1,0)</f>
        <v/>
      </c>
      <c r="AG90">
        <f>IF(AND(AG$4=1,AG40=0),1,0)</f>
        <v/>
      </c>
      <c r="AH90">
        <f>IF(AND(AH$4=1,AH40=0),1,0)</f>
        <v/>
      </c>
      <c r="AI90">
        <f>IF(AND(AI$4=1,AI40=0),1,0)</f>
        <v/>
      </c>
      <c r="AJ90">
        <f>IF(AND(AJ$4=1,AJ40=0),1,0)</f>
        <v/>
      </c>
      <c r="AK90">
        <f>IF(AND(AK$4=1,AK40=0),1,0)</f>
        <v/>
      </c>
      <c r="AL90">
        <f>IF(AND(AL$4=1,AL40=0),1,0)</f>
        <v/>
      </c>
      <c r="AM90">
        <f>IF(AND(AM$4=1,AM40=0),1,0)</f>
        <v/>
      </c>
      <c r="AN90">
        <f>IF(AND(AN$4=1,AN40=0),1,0)</f>
        <v/>
      </c>
      <c r="AO90">
        <f>IF(AND(AO$4=1,AO40=0),1,0)</f>
        <v/>
      </c>
      <c r="AP90">
        <f>IF(AND(AP$4=1,AP40=0),1,0)</f>
        <v/>
      </c>
      <c r="AQ90">
        <f>IF(AND(AQ$4=1,AQ40=0),1,0)</f>
        <v/>
      </c>
      <c r="AR90">
        <f>IF(AND(AR$4=1,AR40=0),1,0)</f>
        <v/>
      </c>
      <c r="AS90">
        <f>IF(AND(AS$4=1,AS40=0),1,0)</f>
        <v/>
      </c>
      <c r="AT90">
        <f>IF(AND(AT$4=1,AT40=0),1,0)</f>
        <v/>
      </c>
      <c r="AU90">
        <f>IF(AND(AU$4=1,AU40=0),1,0)</f>
        <v/>
      </c>
      <c r="AV90">
        <f>IF(AND(AV$4=1,AV40=0),1,0)</f>
        <v/>
      </c>
      <c r="AW90">
        <f>IF(AND(AW$4=1,AW40=0),1,0)</f>
        <v/>
      </c>
      <c r="AX90">
        <f>IF(AND(AX$4=1,AX40=0),1,0)</f>
        <v/>
      </c>
      <c r="AY90">
        <f>IF(AND(AY$4=1,AY40=0),1,0)</f>
        <v/>
      </c>
      <c r="AZ90">
        <f>IF(AND(AZ$4=1,AZ40=0),1,0)</f>
        <v/>
      </c>
      <c r="BA90">
        <f>IF(AND(BA$4=1,BA40=0),1,0)</f>
        <v/>
      </c>
      <c r="BB90">
        <f>IF(AND(BB$4=1,BB40=0),1,0)</f>
        <v/>
      </c>
      <c r="BC90">
        <f>IF(AND(BC$4=1,BC40=0),1,0)</f>
        <v/>
      </c>
      <c r="BD90">
        <f>IF(AND(BD$4=1,BD40=0),1,0)</f>
        <v/>
      </c>
      <c r="BE90">
        <f>IF(AND(BE$4=1,BE40=0),1,0)</f>
        <v/>
      </c>
      <c r="BF90">
        <f>IF(AND(BF$4=1,BF40=0),1,0)</f>
        <v/>
      </c>
      <c r="BG90">
        <f>IF(AND(BG$4=1,BG40=0),1,0)</f>
        <v/>
      </c>
      <c r="BH90">
        <f>IF(AND(BH$4=1,BH40=0),1,0)</f>
        <v/>
      </c>
      <c r="BI90">
        <f>IF(AND(BI$4=1,BI40=0),1,0)</f>
        <v/>
      </c>
      <c r="BJ90">
        <f>IF(AND(BJ$4=1,BJ40=0),1,0)</f>
        <v/>
      </c>
      <c r="BK90">
        <f>IF(AND(BK$4=1,BK40=0),1,0)</f>
        <v/>
      </c>
      <c r="BL90">
        <f>IF(AND(BL$4=1,BL40=0),1,0)</f>
        <v/>
      </c>
      <c r="BM90">
        <f>IF(AND(BM$4=1,BM40=0),1,0)</f>
        <v/>
      </c>
      <c r="BN90">
        <f>IF(AND(BN$4=1,BN40=0),1,0)</f>
        <v/>
      </c>
      <c r="BO90">
        <f>IF(AND(BO$4=1,BO40=0),1,0)</f>
        <v/>
      </c>
      <c r="BP90">
        <f>IF(AND(BP$4=1,BP40=0),1,0)</f>
        <v/>
      </c>
      <c r="BQ90">
        <f>IF(AND(BQ$4=1,BQ40=0),1,0)</f>
        <v/>
      </c>
      <c r="BR90">
        <f>IF(AND(BR$4=1,BR40=0),1,0)</f>
        <v/>
      </c>
      <c r="BS90">
        <f>IF(AND(BS$4=1,BS40=0),1,0)</f>
        <v/>
      </c>
      <c r="BT90">
        <f>IF(AND(BT$4=1,BT40=0),1,0)</f>
        <v/>
      </c>
      <c r="BU90">
        <f>IF(AND(BU$4=1,BU40=0),1,0)</f>
        <v/>
      </c>
      <c r="BV90">
        <f>IF(AND(BV$4=1,BV40=0),1,0)</f>
        <v/>
      </c>
      <c r="BW90">
        <f>IF(AND(BW$4=1,BW40=0),1,0)</f>
        <v/>
      </c>
      <c r="BX90">
        <f>IF(AND(BX$4=1,BX40=0),1,0)</f>
        <v/>
      </c>
      <c r="BY90">
        <f>IF(AND(BY$4=1,BY40=0),1,0)</f>
        <v/>
      </c>
      <c r="BZ90">
        <f>IF(AND(BZ$4=1,BZ40=0),1,0)</f>
        <v/>
      </c>
      <c r="CA90">
        <f>IF(AND(CA$4=1,CA40=0),1,0)</f>
        <v/>
      </c>
      <c r="CB90">
        <f>IF(AND(CB$4=1,CB40=0),1,0)</f>
        <v/>
      </c>
      <c r="CC90">
        <f>IF(AND(CC$4=1,CC40=0),1,0)</f>
        <v/>
      </c>
      <c r="CD90">
        <f>IF(AND(CD$4=1,CD40=0),1,0)</f>
        <v/>
      </c>
      <c r="CE90">
        <f>IF(AND(CE$4=1,CE40=0),1,0)</f>
        <v/>
      </c>
      <c r="CF90">
        <f>IF(AND(CF$4=1,CF40=0),1,0)</f>
        <v/>
      </c>
      <c r="CG90">
        <f>IF(AND(CG$4=1,CG40=0),1,0)</f>
        <v/>
      </c>
      <c r="CH90">
        <f>IF(AND(CH$4=1,CH40=0),1,0)</f>
        <v/>
      </c>
      <c r="CI90">
        <f>IF(AND(CI$4=1,CI40=0),1,0)</f>
        <v/>
      </c>
      <c r="CJ90">
        <f>IF(AND(CJ$4=1,CJ40=0),1,0)</f>
        <v/>
      </c>
      <c r="CK90">
        <f>IF(AND(CK$4=1,CK40=0),1,0)</f>
        <v/>
      </c>
      <c r="CL90">
        <f>IF(AND(CL$4=1,CL40=0),1,0)</f>
        <v/>
      </c>
      <c r="CM90">
        <f>IF(AND(CM$4=1,CM40=0),1,0)</f>
        <v/>
      </c>
      <c r="CN90">
        <f>IF(AND(CN$4=1,CN40=0),1,0)</f>
        <v/>
      </c>
      <c r="CO90">
        <f>IF(AND(CO$4=1,CO40=0),1,0)</f>
        <v/>
      </c>
      <c r="CP90">
        <f>IF(AND(CP$4=1,CP40=0),1,0)</f>
        <v/>
      </c>
      <c r="CQ90">
        <f>IF(AND(CQ$4=1,CQ40=0),1,0)</f>
        <v/>
      </c>
      <c r="CR90">
        <f>IF(AND(CR$4=1,CR40=0),1,0)</f>
        <v/>
      </c>
      <c r="CS90">
        <f>IF(AND(CS$4=1,CS40=0),1,0)</f>
        <v/>
      </c>
      <c r="CT90">
        <f>IF(AND(CT$4=1,CT40=0),1,0)</f>
        <v/>
      </c>
      <c r="CU90">
        <f>IF(AND(CU$4=1,CU40=0),1,0)</f>
        <v/>
      </c>
      <c r="CV90">
        <f>IF(AND(CV$4=1,CV40=0),1,0)</f>
        <v/>
      </c>
      <c r="CW90">
        <f>IF(AND(CW$4=1,CW40=0),1,0)</f>
        <v/>
      </c>
      <c r="CX90">
        <f>IF(AND(CX$4=1,CX40=0),1,0)</f>
        <v/>
      </c>
      <c r="CY90">
        <f>IF(AND(CY$4=1,CY40=0),1,0)</f>
        <v/>
      </c>
      <c r="CZ90">
        <f>IF(AND(CZ$4=1,CZ40=0),1,0)</f>
        <v/>
      </c>
      <c r="DA90">
        <f>IF(AND(DA$4=1,DA40=0),1,0)</f>
        <v/>
      </c>
      <c r="DB90">
        <f>IF(AND(DB$4=1,DB40=0),1,0)</f>
        <v/>
      </c>
      <c r="DC90">
        <f>IF(AND(DC$4=1,DC40=0),1,0)</f>
        <v/>
      </c>
      <c r="DD90">
        <f>IF(AND(DD$4=1,DD40=0),1,0)</f>
        <v/>
      </c>
      <c r="DE90">
        <f>IF(AND(DE$4=1,DE40=0),1,0)</f>
        <v/>
      </c>
      <c r="DF90">
        <f>IF(AND(DF$4=1,DF40=0),1,0)</f>
        <v/>
      </c>
      <c r="DG90">
        <f>IF(AND(DG$4=1,DG40=0),1,0)</f>
        <v/>
      </c>
      <c r="DH90">
        <f>IF(AND(DH$4=1,DH40=0),1,0)</f>
        <v/>
      </c>
      <c r="DI90">
        <f>IF(AND(DI$4=1,DI40=0),1,0)</f>
        <v/>
      </c>
      <c r="DJ90">
        <f>IF(AND(DJ$4=1,DJ40=0),1,0)</f>
        <v/>
      </c>
      <c r="DK90">
        <f>IF(AND(DK$4=1,DK40=0),1,0)</f>
        <v/>
      </c>
      <c r="DL90">
        <f>IF(AND(DL$4=1,DL40=0),1,0)</f>
        <v/>
      </c>
      <c r="DM90">
        <f>IF(AND(DM$4=1,DM40=0),1,0)</f>
        <v/>
      </c>
      <c r="DN90">
        <f>IF(AND(DN$4=1,DN40=0),1,0)</f>
        <v/>
      </c>
      <c r="DO90">
        <f>IF(AND(DO$4=1,DO40=0),1,0)</f>
        <v/>
      </c>
      <c r="DP90">
        <f>IF(AND(DP$4=1,DP40=0),1,0)</f>
        <v/>
      </c>
      <c r="DQ90">
        <f>IF(AND(DQ$4=1,DQ40=0),1,0)</f>
        <v/>
      </c>
      <c r="DR90">
        <f>IF(AND(DR$4=1,DR40=0),1,0)</f>
        <v/>
      </c>
      <c r="DS90">
        <f>IF(AND(DS$4=1,DS40=0),1,0)</f>
        <v/>
      </c>
    </row>
    <row r="91">
      <c r="A91" t="n">
        <v>32</v>
      </c>
      <c r="D91">
        <f>IF(AND(D$4=1,D41=0),1,0)</f>
        <v/>
      </c>
      <c r="E91">
        <f>IF(AND(E$4=1,E41=0),1,0)</f>
        <v/>
      </c>
      <c r="F91">
        <f>IF(AND(F$4=1,F41=0),1,0)</f>
        <v/>
      </c>
      <c r="G91">
        <f>IF(AND(G$4=1,G41=0),1,0)</f>
        <v/>
      </c>
      <c r="H91">
        <f>IF(AND(H$4=1,H41=0),1,0)</f>
        <v/>
      </c>
      <c r="I91">
        <f>IF(AND(I$4=1,I41=0),1,0)</f>
        <v/>
      </c>
      <c r="J91">
        <f>IF(AND(J$4=1,J41=0),1,0)</f>
        <v/>
      </c>
      <c r="K91">
        <f>IF(AND(K$4=1,K41=0),1,0)</f>
        <v/>
      </c>
      <c r="L91">
        <f>IF(AND(L$4=1,L41=0),1,0)</f>
        <v/>
      </c>
      <c r="M91">
        <f>IF(AND(M$4=1,M41=0),1,0)</f>
        <v/>
      </c>
      <c r="N91">
        <f>IF(AND(N$4=1,N41=0),1,0)</f>
        <v/>
      </c>
      <c r="O91">
        <f>IF(AND(O$4=1,O41=0),1,0)</f>
        <v/>
      </c>
      <c r="P91">
        <f>IF(AND(P$4=1,P41=0),1,0)</f>
        <v/>
      </c>
      <c r="Q91">
        <f>IF(AND(Q$4=1,Q41=0),1,0)</f>
        <v/>
      </c>
      <c r="R91">
        <f>IF(AND(R$4=1,R41=0),1,0)</f>
        <v/>
      </c>
      <c r="S91">
        <f>IF(AND(S$4=1,S41=0),1,0)</f>
        <v/>
      </c>
      <c r="T91">
        <f>IF(AND(T$4=1,T41=0),1,0)</f>
        <v/>
      </c>
      <c r="U91">
        <f>IF(AND(U$4=1,U41=0),1,0)</f>
        <v/>
      </c>
      <c r="V91">
        <f>IF(AND(V$4=1,V41=0),1,0)</f>
        <v/>
      </c>
      <c r="W91">
        <f>IF(AND(W$4=1,W41=0),1,0)</f>
        <v/>
      </c>
      <c r="X91">
        <f>IF(AND(X$4=1,X41=0),1,0)</f>
        <v/>
      </c>
      <c r="Y91">
        <f>IF(AND(Y$4=1,Y41=0),1,0)</f>
        <v/>
      </c>
      <c r="Z91">
        <f>IF(AND(Z$4=1,Z41=0),1,0)</f>
        <v/>
      </c>
      <c r="AA91">
        <f>IF(AND(AA$4=1,AA41=0),1,0)</f>
        <v/>
      </c>
      <c r="AB91">
        <f>IF(AND(AB$4=1,AB41=0),1,0)</f>
        <v/>
      </c>
      <c r="AC91">
        <f>IF(AND(AC$4=1,AC41=0),1,0)</f>
        <v/>
      </c>
      <c r="AD91">
        <f>IF(AND(AD$4=1,AD41=0),1,0)</f>
        <v/>
      </c>
      <c r="AE91">
        <f>IF(AND(AE$4=1,AE41=0),1,0)</f>
        <v/>
      </c>
      <c r="AF91">
        <f>IF(AND(AF$4=1,AF41=0),1,0)</f>
        <v/>
      </c>
      <c r="AG91">
        <f>IF(AND(AG$4=1,AG41=0),1,0)</f>
        <v/>
      </c>
      <c r="AH91">
        <f>IF(AND(AH$4=1,AH41=0),1,0)</f>
        <v/>
      </c>
      <c r="AI91">
        <f>IF(AND(AI$4=1,AI41=0),1,0)</f>
        <v/>
      </c>
      <c r="AJ91">
        <f>IF(AND(AJ$4=1,AJ41=0),1,0)</f>
        <v/>
      </c>
      <c r="AK91">
        <f>IF(AND(AK$4=1,AK41=0),1,0)</f>
        <v/>
      </c>
      <c r="AL91">
        <f>IF(AND(AL$4=1,AL41=0),1,0)</f>
        <v/>
      </c>
      <c r="AM91">
        <f>IF(AND(AM$4=1,AM41=0),1,0)</f>
        <v/>
      </c>
      <c r="AN91">
        <f>IF(AND(AN$4=1,AN41=0),1,0)</f>
        <v/>
      </c>
      <c r="AO91">
        <f>IF(AND(AO$4=1,AO41=0),1,0)</f>
        <v/>
      </c>
      <c r="AP91">
        <f>IF(AND(AP$4=1,AP41=0),1,0)</f>
        <v/>
      </c>
      <c r="AQ91">
        <f>IF(AND(AQ$4=1,AQ41=0),1,0)</f>
        <v/>
      </c>
      <c r="AR91">
        <f>IF(AND(AR$4=1,AR41=0),1,0)</f>
        <v/>
      </c>
      <c r="AS91">
        <f>IF(AND(AS$4=1,AS41=0),1,0)</f>
        <v/>
      </c>
      <c r="AT91">
        <f>IF(AND(AT$4=1,AT41=0),1,0)</f>
        <v/>
      </c>
      <c r="AU91">
        <f>IF(AND(AU$4=1,AU41=0),1,0)</f>
        <v/>
      </c>
      <c r="AV91">
        <f>IF(AND(AV$4=1,AV41=0),1,0)</f>
        <v/>
      </c>
      <c r="AW91">
        <f>IF(AND(AW$4=1,AW41=0),1,0)</f>
        <v/>
      </c>
      <c r="AX91">
        <f>IF(AND(AX$4=1,AX41=0),1,0)</f>
        <v/>
      </c>
      <c r="AY91">
        <f>IF(AND(AY$4=1,AY41=0),1,0)</f>
        <v/>
      </c>
      <c r="AZ91">
        <f>IF(AND(AZ$4=1,AZ41=0),1,0)</f>
        <v/>
      </c>
      <c r="BA91">
        <f>IF(AND(BA$4=1,BA41=0),1,0)</f>
        <v/>
      </c>
      <c r="BB91">
        <f>IF(AND(BB$4=1,BB41=0),1,0)</f>
        <v/>
      </c>
      <c r="BC91">
        <f>IF(AND(BC$4=1,BC41=0),1,0)</f>
        <v/>
      </c>
      <c r="BD91">
        <f>IF(AND(BD$4=1,BD41=0),1,0)</f>
        <v/>
      </c>
      <c r="BE91">
        <f>IF(AND(BE$4=1,BE41=0),1,0)</f>
        <v/>
      </c>
      <c r="BF91">
        <f>IF(AND(BF$4=1,BF41=0),1,0)</f>
        <v/>
      </c>
      <c r="BG91">
        <f>IF(AND(BG$4=1,BG41=0),1,0)</f>
        <v/>
      </c>
      <c r="BH91">
        <f>IF(AND(BH$4=1,BH41=0),1,0)</f>
        <v/>
      </c>
      <c r="BI91">
        <f>IF(AND(BI$4=1,BI41=0),1,0)</f>
        <v/>
      </c>
      <c r="BJ91">
        <f>IF(AND(BJ$4=1,BJ41=0),1,0)</f>
        <v/>
      </c>
      <c r="BK91">
        <f>IF(AND(BK$4=1,BK41=0),1,0)</f>
        <v/>
      </c>
      <c r="BL91">
        <f>IF(AND(BL$4=1,BL41=0),1,0)</f>
        <v/>
      </c>
      <c r="BM91">
        <f>IF(AND(BM$4=1,BM41=0),1,0)</f>
        <v/>
      </c>
      <c r="BN91">
        <f>IF(AND(BN$4=1,BN41=0),1,0)</f>
        <v/>
      </c>
      <c r="BO91">
        <f>IF(AND(BO$4=1,BO41=0),1,0)</f>
        <v/>
      </c>
      <c r="BP91">
        <f>IF(AND(BP$4=1,BP41=0),1,0)</f>
        <v/>
      </c>
      <c r="BQ91">
        <f>IF(AND(BQ$4=1,BQ41=0),1,0)</f>
        <v/>
      </c>
      <c r="BR91">
        <f>IF(AND(BR$4=1,BR41=0),1,0)</f>
        <v/>
      </c>
      <c r="BS91">
        <f>IF(AND(BS$4=1,BS41=0),1,0)</f>
        <v/>
      </c>
      <c r="BT91">
        <f>IF(AND(BT$4=1,BT41=0),1,0)</f>
        <v/>
      </c>
      <c r="BU91">
        <f>IF(AND(BU$4=1,BU41=0),1,0)</f>
        <v/>
      </c>
      <c r="BV91">
        <f>IF(AND(BV$4=1,BV41=0),1,0)</f>
        <v/>
      </c>
      <c r="BW91">
        <f>IF(AND(BW$4=1,BW41=0),1,0)</f>
        <v/>
      </c>
      <c r="BX91">
        <f>IF(AND(BX$4=1,BX41=0),1,0)</f>
        <v/>
      </c>
      <c r="BY91">
        <f>IF(AND(BY$4=1,BY41=0),1,0)</f>
        <v/>
      </c>
      <c r="BZ91">
        <f>IF(AND(BZ$4=1,BZ41=0),1,0)</f>
        <v/>
      </c>
      <c r="CA91">
        <f>IF(AND(CA$4=1,CA41=0),1,0)</f>
        <v/>
      </c>
      <c r="CB91">
        <f>IF(AND(CB$4=1,CB41=0),1,0)</f>
        <v/>
      </c>
      <c r="CC91">
        <f>IF(AND(CC$4=1,CC41=0),1,0)</f>
        <v/>
      </c>
      <c r="CD91">
        <f>IF(AND(CD$4=1,CD41=0),1,0)</f>
        <v/>
      </c>
      <c r="CE91">
        <f>IF(AND(CE$4=1,CE41=0),1,0)</f>
        <v/>
      </c>
      <c r="CF91">
        <f>IF(AND(CF$4=1,CF41=0),1,0)</f>
        <v/>
      </c>
      <c r="CG91">
        <f>IF(AND(CG$4=1,CG41=0),1,0)</f>
        <v/>
      </c>
      <c r="CH91">
        <f>IF(AND(CH$4=1,CH41=0),1,0)</f>
        <v/>
      </c>
      <c r="CI91">
        <f>IF(AND(CI$4=1,CI41=0),1,0)</f>
        <v/>
      </c>
      <c r="CJ91">
        <f>IF(AND(CJ$4=1,CJ41=0),1,0)</f>
        <v/>
      </c>
      <c r="CK91">
        <f>IF(AND(CK$4=1,CK41=0),1,0)</f>
        <v/>
      </c>
      <c r="CL91">
        <f>IF(AND(CL$4=1,CL41=0),1,0)</f>
        <v/>
      </c>
      <c r="CM91">
        <f>IF(AND(CM$4=1,CM41=0),1,0)</f>
        <v/>
      </c>
      <c r="CN91">
        <f>IF(AND(CN$4=1,CN41=0),1,0)</f>
        <v/>
      </c>
      <c r="CO91">
        <f>IF(AND(CO$4=1,CO41=0),1,0)</f>
        <v/>
      </c>
      <c r="CP91">
        <f>IF(AND(CP$4=1,CP41=0),1,0)</f>
        <v/>
      </c>
      <c r="CQ91">
        <f>IF(AND(CQ$4=1,CQ41=0),1,0)</f>
        <v/>
      </c>
      <c r="CR91">
        <f>IF(AND(CR$4=1,CR41=0),1,0)</f>
        <v/>
      </c>
      <c r="CS91">
        <f>IF(AND(CS$4=1,CS41=0),1,0)</f>
        <v/>
      </c>
      <c r="CT91">
        <f>IF(AND(CT$4=1,CT41=0),1,0)</f>
        <v/>
      </c>
      <c r="CU91">
        <f>IF(AND(CU$4=1,CU41=0),1,0)</f>
        <v/>
      </c>
      <c r="CV91">
        <f>IF(AND(CV$4=1,CV41=0),1,0)</f>
        <v/>
      </c>
      <c r="CW91">
        <f>IF(AND(CW$4=1,CW41=0),1,0)</f>
        <v/>
      </c>
      <c r="CX91">
        <f>IF(AND(CX$4=1,CX41=0),1,0)</f>
        <v/>
      </c>
      <c r="CY91">
        <f>IF(AND(CY$4=1,CY41=0),1,0)</f>
        <v/>
      </c>
      <c r="CZ91">
        <f>IF(AND(CZ$4=1,CZ41=0),1,0)</f>
        <v/>
      </c>
      <c r="DA91">
        <f>IF(AND(DA$4=1,DA41=0),1,0)</f>
        <v/>
      </c>
      <c r="DB91">
        <f>IF(AND(DB$4=1,DB41=0),1,0)</f>
        <v/>
      </c>
      <c r="DC91">
        <f>IF(AND(DC$4=1,DC41=0),1,0)</f>
        <v/>
      </c>
      <c r="DD91">
        <f>IF(AND(DD$4=1,DD41=0),1,0)</f>
        <v/>
      </c>
      <c r="DE91">
        <f>IF(AND(DE$4=1,DE41=0),1,0)</f>
        <v/>
      </c>
      <c r="DF91">
        <f>IF(AND(DF$4=1,DF41=0),1,0)</f>
        <v/>
      </c>
      <c r="DG91">
        <f>IF(AND(DG$4=1,DG41=0),1,0)</f>
        <v/>
      </c>
      <c r="DH91">
        <f>IF(AND(DH$4=1,DH41=0),1,0)</f>
        <v/>
      </c>
      <c r="DI91">
        <f>IF(AND(DI$4=1,DI41=0),1,0)</f>
        <v/>
      </c>
      <c r="DJ91">
        <f>IF(AND(DJ$4=1,DJ41=0),1,0)</f>
        <v/>
      </c>
      <c r="DK91">
        <f>IF(AND(DK$4=1,DK41=0),1,0)</f>
        <v/>
      </c>
      <c r="DL91">
        <f>IF(AND(DL$4=1,DL41=0),1,0)</f>
        <v/>
      </c>
      <c r="DM91">
        <f>IF(AND(DM$4=1,DM41=0),1,0)</f>
        <v/>
      </c>
      <c r="DN91">
        <f>IF(AND(DN$4=1,DN41=0),1,0)</f>
        <v/>
      </c>
      <c r="DO91">
        <f>IF(AND(DO$4=1,DO41=0),1,0)</f>
        <v/>
      </c>
      <c r="DP91">
        <f>IF(AND(DP$4=1,DP41=0),1,0)</f>
        <v/>
      </c>
      <c r="DQ91">
        <f>IF(AND(DQ$4=1,DQ41=0),1,0)</f>
        <v/>
      </c>
      <c r="DR91">
        <f>IF(AND(DR$4=1,DR41=0),1,0)</f>
        <v/>
      </c>
      <c r="DS91">
        <f>IF(AND(DS$4=1,DS41=0),1,0)</f>
        <v/>
      </c>
    </row>
    <row r="92">
      <c r="A92" t="n">
        <v>33</v>
      </c>
      <c r="D92">
        <f>IF(AND(D$4=1,D42=0),1,0)</f>
        <v/>
      </c>
      <c r="E92">
        <f>IF(AND(E$4=1,E42=0),1,0)</f>
        <v/>
      </c>
      <c r="F92">
        <f>IF(AND(F$4=1,F42=0),1,0)</f>
        <v/>
      </c>
      <c r="G92">
        <f>IF(AND(G$4=1,G42=0),1,0)</f>
        <v/>
      </c>
      <c r="H92">
        <f>IF(AND(H$4=1,H42=0),1,0)</f>
        <v/>
      </c>
      <c r="I92">
        <f>IF(AND(I$4=1,I42=0),1,0)</f>
        <v/>
      </c>
      <c r="J92">
        <f>IF(AND(J$4=1,J42=0),1,0)</f>
        <v/>
      </c>
      <c r="K92">
        <f>IF(AND(K$4=1,K42=0),1,0)</f>
        <v/>
      </c>
      <c r="L92">
        <f>IF(AND(L$4=1,L42=0),1,0)</f>
        <v/>
      </c>
      <c r="M92">
        <f>IF(AND(M$4=1,M42=0),1,0)</f>
        <v/>
      </c>
      <c r="N92">
        <f>IF(AND(N$4=1,N42=0),1,0)</f>
        <v/>
      </c>
      <c r="O92">
        <f>IF(AND(O$4=1,O42=0),1,0)</f>
        <v/>
      </c>
      <c r="P92">
        <f>IF(AND(P$4=1,P42=0),1,0)</f>
        <v/>
      </c>
      <c r="Q92">
        <f>IF(AND(Q$4=1,Q42=0),1,0)</f>
        <v/>
      </c>
      <c r="R92">
        <f>IF(AND(R$4=1,R42=0),1,0)</f>
        <v/>
      </c>
      <c r="S92">
        <f>IF(AND(S$4=1,S42=0),1,0)</f>
        <v/>
      </c>
      <c r="T92">
        <f>IF(AND(T$4=1,T42=0),1,0)</f>
        <v/>
      </c>
      <c r="U92">
        <f>IF(AND(U$4=1,U42=0),1,0)</f>
        <v/>
      </c>
      <c r="V92">
        <f>IF(AND(V$4=1,V42=0),1,0)</f>
        <v/>
      </c>
      <c r="W92">
        <f>IF(AND(W$4=1,W42=0),1,0)</f>
        <v/>
      </c>
      <c r="X92">
        <f>IF(AND(X$4=1,X42=0),1,0)</f>
        <v/>
      </c>
      <c r="Y92">
        <f>IF(AND(Y$4=1,Y42=0),1,0)</f>
        <v/>
      </c>
      <c r="Z92">
        <f>IF(AND(Z$4=1,Z42=0),1,0)</f>
        <v/>
      </c>
      <c r="AA92">
        <f>IF(AND(AA$4=1,AA42=0),1,0)</f>
        <v/>
      </c>
      <c r="AB92">
        <f>IF(AND(AB$4=1,AB42=0),1,0)</f>
        <v/>
      </c>
      <c r="AC92">
        <f>IF(AND(AC$4=1,AC42=0),1,0)</f>
        <v/>
      </c>
      <c r="AD92">
        <f>IF(AND(AD$4=1,AD42=0),1,0)</f>
        <v/>
      </c>
      <c r="AE92">
        <f>IF(AND(AE$4=1,AE42=0),1,0)</f>
        <v/>
      </c>
      <c r="AF92">
        <f>IF(AND(AF$4=1,AF42=0),1,0)</f>
        <v/>
      </c>
      <c r="AG92">
        <f>IF(AND(AG$4=1,AG42=0),1,0)</f>
        <v/>
      </c>
      <c r="AH92">
        <f>IF(AND(AH$4=1,AH42=0),1,0)</f>
        <v/>
      </c>
      <c r="AI92">
        <f>IF(AND(AI$4=1,AI42=0),1,0)</f>
        <v/>
      </c>
      <c r="AJ92">
        <f>IF(AND(AJ$4=1,AJ42=0),1,0)</f>
        <v/>
      </c>
      <c r="AK92">
        <f>IF(AND(AK$4=1,AK42=0),1,0)</f>
        <v/>
      </c>
      <c r="AL92">
        <f>IF(AND(AL$4=1,AL42=0),1,0)</f>
        <v/>
      </c>
      <c r="AM92">
        <f>IF(AND(AM$4=1,AM42=0),1,0)</f>
        <v/>
      </c>
      <c r="AN92">
        <f>IF(AND(AN$4=1,AN42=0),1,0)</f>
        <v/>
      </c>
      <c r="AO92">
        <f>IF(AND(AO$4=1,AO42=0),1,0)</f>
        <v/>
      </c>
      <c r="AP92">
        <f>IF(AND(AP$4=1,AP42=0),1,0)</f>
        <v/>
      </c>
      <c r="AQ92">
        <f>IF(AND(AQ$4=1,AQ42=0),1,0)</f>
        <v/>
      </c>
      <c r="AR92">
        <f>IF(AND(AR$4=1,AR42=0),1,0)</f>
        <v/>
      </c>
      <c r="AS92">
        <f>IF(AND(AS$4=1,AS42=0),1,0)</f>
        <v/>
      </c>
      <c r="AT92">
        <f>IF(AND(AT$4=1,AT42=0),1,0)</f>
        <v/>
      </c>
      <c r="AU92">
        <f>IF(AND(AU$4=1,AU42=0),1,0)</f>
        <v/>
      </c>
      <c r="AV92">
        <f>IF(AND(AV$4=1,AV42=0),1,0)</f>
        <v/>
      </c>
      <c r="AW92">
        <f>IF(AND(AW$4=1,AW42=0),1,0)</f>
        <v/>
      </c>
      <c r="AX92">
        <f>IF(AND(AX$4=1,AX42=0),1,0)</f>
        <v/>
      </c>
      <c r="AY92">
        <f>IF(AND(AY$4=1,AY42=0),1,0)</f>
        <v/>
      </c>
      <c r="AZ92">
        <f>IF(AND(AZ$4=1,AZ42=0),1,0)</f>
        <v/>
      </c>
      <c r="BA92">
        <f>IF(AND(BA$4=1,BA42=0),1,0)</f>
        <v/>
      </c>
      <c r="BB92">
        <f>IF(AND(BB$4=1,BB42=0),1,0)</f>
        <v/>
      </c>
      <c r="BC92">
        <f>IF(AND(BC$4=1,BC42=0),1,0)</f>
        <v/>
      </c>
      <c r="BD92">
        <f>IF(AND(BD$4=1,BD42=0),1,0)</f>
        <v/>
      </c>
      <c r="BE92">
        <f>IF(AND(BE$4=1,BE42=0),1,0)</f>
        <v/>
      </c>
      <c r="BF92">
        <f>IF(AND(BF$4=1,BF42=0),1,0)</f>
        <v/>
      </c>
      <c r="BG92">
        <f>IF(AND(BG$4=1,BG42=0),1,0)</f>
        <v/>
      </c>
      <c r="BH92">
        <f>IF(AND(BH$4=1,BH42=0),1,0)</f>
        <v/>
      </c>
      <c r="BI92">
        <f>IF(AND(BI$4=1,BI42=0),1,0)</f>
        <v/>
      </c>
      <c r="BJ92">
        <f>IF(AND(BJ$4=1,BJ42=0),1,0)</f>
        <v/>
      </c>
      <c r="BK92">
        <f>IF(AND(BK$4=1,BK42=0),1,0)</f>
        <v/>
      </c>
      <c r="BL92">
        <f>IF(AND(BL$4=1,BL42=0),1,0)</f>
        <v/>
      </c>
      <c r="BM92">
        <f>IF(AND(BM$4=1,BM42=0),1,0)</f>
        <v/>
      </c>
      <c r="BN92">
        <f>IF(AND(BN$4=1,BN42=0),1,0)</f>
        <v/>
      </c>
      <c r="BO92">
        <f>IF(AND(BO$4=1,BO42=0),1,0)</f>
        <v/>
      </c>
      <c r="BP92">
        <f>IF(AND(BP$4=1,BP42=0),1,0)</f>
        <v/>
      </c>
      <c r="BQ92">
        <f>IF(AND(BQ$4=1,BQ42=0),1,0)</f>
        <v/>
      </c>
      <c r="BR92">
        <f>IF(AND(BR$4=1,BR42=0),1,0)</f>
        <v/>
      </c>
      <c r="BS92">
        <f>IF(AND(BS$4=1,BS42=0),1,0)</f>
        <v/>
      </c>
      <c r="BT92">
        <f>IF(AND(BT$4=1,BT42=0),1,0)</f>
        <v/>
      </c>
      <c r="BU92">
        <f>IF(AND(BU$4=1,BU42=0),1,0)</f>
        <v/>
      </c>
      <c r="BV92">
        <f>IF(AND(BV$4=1,BV42=0),1,0)</f>
        <v/>
      </c>
      <c r="BW92">
        <f>IF(AND(BW$4=1,BW42=0),1,0)</f>
        <v/>
      </c>
      <c r="BX92">
        <f>IF(AND(BX$4=1,BX42=0),1,0)</f>
        <v/>
      </c>
      <c r="BY92">
        <f>IF(AND(BY$4=1,BY42=0),1,0)</f>
        <v/>
      </c>
      <c r="BZ92">
        <f>IF(AND(BZ$4=1,BZ42=0),1,0)</f>
        <v/>
      </c>
      <c r="CA92">
        <f>IF(AND(CA$4=1,CA42=0),1,0)</f>
        <v/>
      </c>
      <c r="CB92">
        <f>IF(AND(CB$4=1,CB42=0),1,0)</f>
        <v/>
      </c>
      <c r="CC92">
        <f>IF(AND(CC$4=1,CC42=0),1,0)</f>
        <v/>
      </c>
      <c r="CD92">
        <f>IF(AND(CD$4=1,CD42=0),1,0)</f>
        <v/>
      </c>
      <c r="CE92">
        <f>IF(AND(CE$4=1,CE42=0),1,0)</f>
        <v/>
      </c>
      <c r="CF92">
        <f>IF(AND(CF$4=1,CF42=0),1,0)</f>
        <v/>
      </c>
      <c r="CG92">
        <f>IF(AND(CG$4=1,CG42=0),1,0)</f>
        <v/>
      </c>
      <c r="CH92">
        <f>IF(AND(CH$4=1,CH42=0),1,0)</f>
        <v/>
      </c>
      <c r="CI92">
        <f>IF(AND(CI$4=1,CI42=0),1,0)</f>
        <v/>
      </c>
      <c r="CJ92">
        <f>IF(AND(CJ$4=1,CJ42=0),1,0)</f>
        <v/>
      </c>
      <c r="CK92">
        <f>IF(AND(CK$4=1,CK42=0),1,0)</f>
        <v/>
      </c>
      <c r="CL92">
        <f>IF(AND(CL$4=1,CL42=0),1,0)</f>
        <v/>
      </c>
      <c r="CM92">
        <f>IF(AND(CM$4=1,CM42=0),1,0)</f>
        <v/>
      </c>
      <c r="CN92">
        <f>IF(AND(CN$4=1,CN42=0),1,0)</f>
        <v/>
      </c>
      <c r="CO92">
        <f>IF(AND(CO$4=1,CO42=0),1,0)</f>
        <v/>
      </c>
      <c r="CP92">
        <f>IF(AND(CP$4=1,CP42=0),1,0)</f>
        <v/>
      </c>
      <c r="CQ92">
        <f>IF(AND(CQ$4=1,CQ42=0),1,0)</f>
        <v/>
      </c>
      <c r="CR92">
        <f>IF(AND(CR$4=1,CR42=0),1,0)</f>
        <v/>
      </c>
      <c r="CS92">
        <f>IF(AND(CS$4=1,CS42=0),1,0)</f>
        <v/>
      </c>
      <c r="CT92">
        <f>IF(AND(CT$4=1,CT42=0),1,0)</f>
        <v/>
      </c>
      <c r="CU92">
        <f>IF(AND(CU$4=1,CU42=0),1,0)</f>
        <v/>
      </c>
      <c r="CV92">
        <f>IF(AND(CV$4=1,CV42=0),1,0)</f>
        <v/>
      </c>
      <c r="CW92">
        <f>IF(AND(CW$4=1,CW42=0),1,0)</f>
        <v/>
      </c>
      <c r="CX92">
        <f>IF(AND(CX$4=1,CX42=0),1,0)</f>
        <v/>
      </c>
      <c r="CY92">
        <f>IF(AND(CY$4=1,CY42=0),1,0)</f>
        <v/>
      </c>
      <c r="CZ92">
        <f>IF(AND(CZ$4=1,CZ42=0),1,0)</f>
        <v/>
      </c>
      <c r="DA92">
        <f>IF(AND(DA$4=1,DA42=0),1,0)</f>
        <v/>
      </c>
      <c r="DB92">
        <f>IF(AND(DB$4=1,DB42=0),1,0)</f>
        <v/>
      </c>
      <c r="DC92">
        <f>IF(AND(DC$4=1,DC42=0),1,0)</f>
        <v/>
      </c>
      <c r="DD92">
        <f>IF(AND(DD$4=1,DD42=0),1,0)</f>
        <v/>
      </c>
      <c r="DE92">
        <f>IF(AND(DE$4=1,DE42=0),1,0)</f>
        <v/>
      </c>
      <c r="DF92">
        <f>IF(AND(DF$4=1,DF42=0),1,0)</f>
        <v/>
      </c>
      <c r="DG92">
        <f>IF(AND(DG$4=1,DG42=0),1,0)</f>
        <v/>
      </c>
      <c r="DH92">
        <f>IF(AND(DH$4=1,DH42=0),1,0)</f>
        <v/>
      </c>
      <c r="DI92">
        <f>IF(AND(DI$4=1,DI42=0),1,0)</f>
        <v/>
      </c>
      <c r="DJ92">
        <f>IF(AND(DJ$4=1,DJ42=0),1,0)</f>
        <v/>
      </c>
      <c r="DK92">
        <f>IF(AND(DK$4=1,DK42=0),1,0)</f>
        <v/>
      </c>
      <c r="DL92">
        <f>IF(AND(DL$4=1,DL42=0),1,0)</f>
        <v/>
      </c>
      <c r="DM92">
        <f>IF(AND(DM$4=1,DM42=0),1,0)</f>
        <v/>
      </c>
      <c r="DN92">
        <f>IF(AND(DN$4=1,DN42=0),1,0)</f>
        <v/>
      </c>
      <c r="DO92">
        <f>IF(AND(DO$4=1,DO42=0),1,0)</f>
        <v/>
      </c>
      <c r="DP92">
        <f>IF(AND(DP$4=1,DP42=0),1,0)</f>
        <v/>
      </c>
      <c r="DQ92">
        <f>IF(AND(DQ$4=1,DQ42=0),1,0)</f>
        <v/>
      </c>
      <c r="DR92">
        <f>IF(AND(DR$4=1,DR42=0),1,0)</f>
        <v/>
      </c>
      <c r="DS92">
        <f>IF(AND(DS$4=1,DS42=0),1,0)</f>
        <v/>
      </c>
    </row>
    <row r="93">
      <c r="A93" t="n">
        <v>34</v>
      </c>
      <c r="D93">
        <f>IF(AND(D$4=1,D43=0),1,0)</f>
        <v/>
      </c>
      <c r="E93">
        <f>IF(AND(E$4=1,E43=0),1,0)</f>
        <v/>
      </c>
      <c r="F93">
        <f>IF(AND(F$4=1,F43=0),1,0)</f>
        <v/>
      </c>
      <c r="G93">
        <f>IF(AND(G$4=1,G43=0),1,0)</f>
        <v/>
      </c>
      <c r="H93">
        <f>IF(AND(H$4=1,H43=0),1,0)</f>
        <v/>
      </c>
      <c r="I93">
        <f>IF(AND(I$4=1,I43=0),1,0)</f>
        <v/>
      </c>
      <c r="J93">
        <f>IF(AND(J$4=1,J43=0),1,0)</f>
        <v/>
      </c>
      <c r="K93">
        <f>IF(AND(K$4=1,K43=0),1,0)</f>
        <v/>
      </c>
      <c r="L93">
        <f>IF(AND(L$4=1,L43=0),1,0)</f>
        <v/>
      </c>
      <c r="M93">
        <f>IF(AND(M$4=1,M43=0),1,0)</f>
        <v/>
      </c>
      <c r="N93">
        <f>IF(AND(N$4=1,N43=0),1,0)</f>
        <v/>
      </c>
      <c r="O93">
        <f>IF(AND(O$4=1,O43=0),1,0)</f>
        <v/>
      </c>
      <c r="P93">
        <f>IF(AND(P$4=1,P43=0),1,0)</f>
        <v/>
      </c>
      <c r="Q93">
        <f>IF(AND(Q$4=1,Q43=0),1,0)</f>
        <v/>
      </c>
      <c r="R93">
        <f>IF(AND(R$4=1,R43=0),1,0)</f>
        <v/>
      </c>
      <c r="S93">
        <f>IF(AND(S$4=1,S43=0),1,0)</f>
        <v/>
      </c>
      <c r="T93">
        <f>IF(AND(T$4=1,T43=0),1,0)</f>
        <v/>
      </c>
      <c r="U93">
        <f>IF(AND(U$4=1,U43=0),1,0)</f>
        <v/>
      </c>
      <c r="V93">
        <f>IF(AND(V$4=1,V43=0),1,0)</f>
        <v/>
      </c>
      <c r="W93">
        <f>IF(AND(W$4=1,W43=0),1,0)</f>
        <v/>
      </c>
      <c r="X93">
        <f>IF(AND(X$4=1,X43=0),1,0)</f>
        <v/>
      </c>
      <c r="Y93">
        <f>IF(AND(Y$4=1,Y43=0),1,0)</f>
        <v/>
      </c>
      <c r="Z93">
        <f>IF(AND(Z$4=1,Z43=0),1,0)</f>
        <v/>
      </c>
      <c r="AA93">
        <f>IF(AND(AA$4=1,AA43=0),1,0)</f>
        <v/>
      </c>
      <c r="AB93">
        <f>IF(AND(AB$4=1,AB43=0),1,0)</f>
        <v/>
      </c>
      <c r="AC93">
        <f>IF(AND(AC$4=1,AC43=0),1,0)</f>
        <v/>
      </c>
      <c r="AD93">
        <f>IF(AND(AD$4=1,AD43=0),1,0)</f>
        <v/>
      </c>
      <c r="AE93">
        <f>IF(AND(AE$4=1,AE43=0),1,0)</f>
        <v/>
      </c>
      <c r="AF93">
        <f>IF(AND(AF$4=1,AF43=0),1,0)</f>
        <v/>
      </c>
      <c r="AG93">
        <f>IF(AND(AG$4=1,AG43=0),1,0)</f>
        <v/>
      </c>
      <c r="AH93">
        <f>IF(AND(AH$4=1,AH43=0),1,0)</f>
        <v/>
      </c>
      <c r="AI93">
        <f>IF(AND(AI$4=1,AI43=0),1,0)</f>
        <v/>
      </c>
      <c r="AJ93">
        <f>IF(AND(AJ$4=1,AJ43=0),1,0)</f>
        <v/>
      </c>
      <c r="AK93">
        <f>IF(AND(AK$4=1,AK43=0),1,0)</f>
        <v/>
      </c>
      <c r="AL93">
        <f>IF(AND(AL$4=1,AL43=0),1,0)</f>
        <v/>
      </c>
      <c r="AM93">
        <f>IF(AND(AM$4=1,AM43=0),1,0)</f>
        <v/>
      </c>
      <c r="AN93">
        <f>IF(AND(AN$4=1,AN43=0),1,0)</f>
        <v/>
      </c>
      <c r="AO93">
        <f>IF(AND(AO$4=1,AO43=0),1,0)</f>
        <v/>
      </c>
      <c r="AP93">
        <f>IF(AND(AP$4=1,AP43=0),1,0)</f>
        <v/>
      </c>
      <c r="AQ93">
        <f>IF(AND(AQ$4=1,AQ43=0),1,0)</f>
        <v/>
      </c>
      <c r="AR93">
        <f>IF(AND(AR$4=1,AR43=0),1,0)</f>
        <v/>
      </c>
      <c r="AS93">
        <f>IF(AND(AS$4=1,AS43=0),1,0)</f>
        <v/>
      </c>
      <c r="AT93">
        <f>IF(AND(AT$4=1,AT43=0),1,0)</f>
        <v/>
      </c>
      <c r="AU93">
        <f>IF(AND(AU$4=1,AU43=0),1,0)</f>
        <v/>
      </c>
      <c r="AV93">
        <f>IF(AND(AV$4=1,AV43=0),1,0)</f>
        <v/>
      </c>
      <c r="AW93">
        <f>IF(AND(AW$4=1,AW43=0),1,0)</f>
        <v/>
      </c>
      <c r="AX93">
        <f>IF(AND(AX$4=1,AX43=0),1,0)</f>
        <v/>
      </c>
      <c r="AY93">
        <f>IF(AND(AY$4=1,AY43=0),1,0)</f>
        <v/>
      </c>
      <c r="AZ93">
        <f>IF(AND(AZ$4=1,AZ43=0),1,0)</f>
        <v/>
      </c>
      <c r="BA93">
        <f>IF(AND(BA$4=1,BA43=0),1,0)</f>
        <v/>
      </c>
      <c r="BB93">
        <f>IF(AND(BB$4=1,BB43=0),1,0)</f>
        <v/>
      </c>
      <c r="BC93">
        <f>IF(AND(BC$4=1,BC43=0),1,0)</f>
        <v/>
      </c>
      <c r="BD93">
        <f>IF(AND(BD$4=1,BD43=0),1,0)</f>
        <v/>
      </c>
      <c r="BE93">
        <f>IF(AND(BE$4=1,BE43=0),1,0)</f>
        <v/>
      </c>
      <c r="BF93">
        <f>IF(AND(BF$4=1,BF43=0),1,0)</f>
        <v/>
      </c>
      <c r="BG93">
        <f>IF(AND(BG$4=1,BG43=0),1,0)</f>
        <v/>
      </c>
      <c r="BH93">
        <f>IF(AND(BH$4=1,BH43=0),1,0)</f>
        <v/>
      </c>
      <c r="BI93">
        <f>IF(AND(BI$4=1,BI43=0),1,0)</f>
        <v/>
      </c>
      <c r="BJ93">
        <f>IF(AND(BJ$4=1,BJ43=0),1,0)</f>
        <v/>
      </c>
      <c r="BK93">
        <f>IF(AND(BK$4=1,BK43=0),1,0)</f>
        <v/>
      </c>
      <c r="BL93">
        <f>IF(AND(BL$4=1,BL43=0),1,0)</f>
        <v/>
      </c>
      <c r="BM93">
        <f>IF(AND(BM$4=1,BM43=0),1,0)</f>
        <v/>
      </c>
      <c r="BN93">
        <f>IF(AND(BN$4=1,BN43=0),1,0)</f>
        <v/>
      </c>
      <c r="BO93">
        <f>IF(AND(BO$4=1,BO43=0),1,0)</f>
        <v/>
      </c>
      <c r="BP93">
        <f>IF(AND(BP$4=1,BP43=0),1,0)</f>
        <v/>
      </c>
      <c r="BQ93">
        <f>IF(AND(BQ$4=1,BQ43=0),1,0)</f>
        <v/>
      </c>
      <c r="BR93">
        <f>IF(AND(BR$4=1,BR43=0),1,0)</f>
        <v/>
      </c>
      <c r="BS93">
        <f>IF(AND(BS$4=1,BS43=0),1,0)</f>
        <v/>
      </c>
      <c r="BT93">
        <f>IF(AND(BT$4=1,BT43=0),1,0)</f>
        <v/>
      </c>
      <c r="BU93">
        <f>IF(AND(BU$4=1,BU43=0),1,0)</f>
        <v/>
      </c>
      <c r="BV93">
        <f>IF(AND(BV$4=1,BV43=0),1,0)</f>
        <v/>
      </c>
      <c r="BW93">
        <f>IF(AND(BW$4=1,BW43=0),1,0)</f>
        <v/>
      </c>
      <c r="BX93">
        <f>IF(AND(BX$4=1,BX43=0),1,0)</f>
        <v/>
      </c>
      <c r="BY93">
        <f>IF(AND(BY$4=1,BY43=0),1,0)</f>
        <v/>
      </c>
      <c r="BZ93">
        <f>IF(AND(BZ$4=1,BZ43=0),1,0)</f>
        <v/>
      </c>
      <c r="CA93">
        <f>IF(AND(CA$4=1,CA43=0),1,0)</f>
        <v/>
      </c>
      <c r="CB93">
        <f>IF(AND(CB$4=1,CB43=0),1,0)</f>
        <v/>
      </c>
      <c r="CC93">
        <f>IF(AND(CC$4=1,CC43=0),1,0)</f>
        <v/>
      </c>
      <c r="CD93">
        <f>IF(AND(CD$4=1,CD43=0),1,0)</f>
        <v/>
      </c>
      <c r="CE93">
        <f>IF(AND(CE$4=1,CE43=0),1,0)</f>
        <v/>
      </c>
      <c r="CF93">
        <f>IF(AND(CF$4=1,CF43=0),1,0)</f>
        <v/>
      </c>
      <c r="CG93">
        <f>IF(AND(CG$4=1,CG43=0),1,0)</f>
        <v/>
      </c>
      <c r="CH93">
        <f>IF(AND(CH$4=1,CH43=0),1,0)</f>
        <v/>
      </c>
      <c r="CI93">
        <f>IF(AND(CI$4=1,CI43=0),1,0)</f>
        <v/>
      </c>
      <c r="CJ93">
        <f>IF(AND(CJ$4=1,CJ43=0),1,0)</f>
        <v/>
      </c>
      <c r="CK93">
        <f>IF(AND(CK$4=1,CK43=0),1,0)</f>
        <v/>
      </c>
      <c r="CL93">
        <f>IF(AND(CL$4=1,CL43=0),1,0)</f>
        <v/>
      </c>
      <c r="CM93">
        <f>IF(AND(CM$4=1,CM43=0),1,0)</f>
        <v/>
      </c>
      <c r="CN93">
        <f>IF(AND(CN$4=1,CN43=0),1,0)</f>
        <v/>
      </c>
      <c r="CO93">
        <f>IF(AND(CO$4=1,CO43=0),1,0)</f>
        <v/>
      </c>
      <c r="CP93">
        <f>IF(AND(CP$4=1,CP43=0),1,0)</f>
        <v/>
      </c>
      <c r="CQ93">
        <f>IF(AND(CQ$4=1,CQ43=0),1,0)</f>
        <v/>
      </c>
      <c r="CR93">
        <f>IF(AND(CR$4=1,CR43=0),1,0)</f>
        <v/>
      </c>
      <c r="CS93">
        <f>IF(AND(CS$4=1,CS43=0),1,0)</f>
        <v/>
      </c>
      <c r="CT93">
        <f>IF(AND(CT$4=1,CT43=0),1,0)</f>
        <v/>
      </c>
      <c r="CU93">
        <f>IF(AND(CU$4=1,CU43=0),1,0)</f>
        <v/>
      </c>
      <c r="CV93">
        <f>IF(AND(CV$4=1,CV43=0),1,0)</f>
        <v/>
      </c>
      <c r="CW93">
        <f>IF(AND(CW$4=1,CW43=0),1,0)</f>
        <v/>
      </c>
      <c r="CX93">
        <f>IF(AND(CX$4=1,CX43=0),1,0)</f>
        <v/>
      </c>
      <c r="CY93">
        <f>IF(AND(CY$4=1,CY43=0),1,0)</f>
        <v/>
      </c>
      <c r="CZ93">
        <f>IF(AND(CZ$4=1,CZ43=0),1,0)</f>
        <v/>
      </c>
      <c r="DA93">
        <f>IF(AND(DA$4=1,DA43=0),1,0)</f>
        <v/>
      </c>
      <c r="DB93">
        <f>IF(AND(DB$4=1,DB43=0),1,0)</f>
        <v/>
      </c>
      <c r="DC93">
        <f>IF(AND(DC$4=1,DC43=0),1,0)</f>
        <v/>
      </c>
      <c r="DD93">
        <f>IF(AND(DD$4=1,DD43=0),1,0)</f>
        <v/>
      </c>
      <c r="DE93">
        <f>IF(AND(DE$4=1,DE43=0),1,0)</f>
        <v/>
      </c>
      <c r="DF93">
        <f>IF(AND(DF$4=1,DF43=0),1,0)</f>
        <v/>
      </c>
      <c r="DG93">
        <f>IF(AND(DG$4=1,DG43=0),1,0)</f>
        <v/>
      </c>
      <c r="DH93">
        <f>IF(AND(DH$4=1,DH43=0),1,0)</f>
        <v/>
      </c>
      <c r="DI93">
        <f>IF(AND(DI$4=1,DI43=0),1,0)</f>
        <v/>
      </c>
      <c r="DJ93">
        <f>IF(AND(DJ$4=1,DJ43=0),1,0)</f>
        <v/>
      </c>
      <c r="DK93">
        <f>IF(AND(DK$4=1,DK43=0),1,0)</f>
        <v/>
      </c>
      <c r="DL93">
        <f>IF(AND(DL$4=1,DL43=0),1,0)</f>
        <v/>
      </c>
      <c r="DM93">
        <f>IF(AND(DM$4=1,DM43=0),1,0)</f>
        <v/>
      </c>
      <c r="DN93">
        <f>IF(AND(DN$4=1,DN43=0),1,0)</f>
        <v/>
      </c>
      <c r="DO93">
        <f>IF(AND(DO$4=1,DO43=0),1,0)</f>
        <v/>
      </c>
      <c r="DP93">
        <f>IF(AND(DP$4=1,DP43=0),1,0)</f>
        <v/>
      </c>
      <c r="DQ93">
        <f>IF(AND(DQ$4=1,DQ43=0),1,0)</f>
        <v/>
      </c>
      <c r="DR93">
        <f>IF(AND(DR$4=1,DR43=0),1,0)</f>
        <v/>
      </c>
      <c r="DS93">
        <f>IF(AND(DS$4=1,DS43=0),1,0)</f>
        <v/>
      </c>
    </row>
    <row r="94">
      <c r="A94" t="n">
        <v>35</v>
      </c>
      <c r="D94">
        <f>IF(AND(D$4=1,D44=0),1,0)</f>
        <v/>
      </c>
      <c r="E94">
        <f>IF(AND(E$4=1,E44=0),1,0)</f>
        <v/>
      </c>
      <c r="F94">
        <f>IF(AND(F$4=1,F44=0),1,0)</f>
        <v/>
      </c>
      <c r="G94">
        <f>IF(AND(G$4=1,G44=0),1,0)</f>
        <v/>
      </c>
      <c r="H94">
        <f>IF(AND(H$4=1,H44=0),1,0)</f>
        <v/>
      </c>
      <c r="I94">
        <f>IF(AND(I$4=1,I44=0),1,0)</f>
        <v/>
      </c>
      <c r="J94">
        <f>IF(AND(J$4=1,J44=0),1,0)</f>
        <v/>
      </c>
      <c r="K94">
        <f>IF(AND(K$4=1,K44=0),1,0)</f>
        <v/>
      </c>
      <c r="L94">
        <f>IF(AND(L$4=1,L44=0),1,0)</f>
        <v/>
      </c>
      <c r="M94">
        <f>IF(AND(M$4=1,M44=0),1,0)</f>
        <v/>
      </c>
      <c r="N94">
        <f>IF(AND(N$4=1,N44=0),1,0)</f>
        <v/>
      </c>
      <c r="O94">
        <f>IF(AND(O$4=1,O44=0),1,0)</f>
        <v/>
      </c>
      <c r="P94">
        <f>IF(AND(P$4=1,P44=0),1,0)</f>
        <v/>
      </c>
      <c r="Q94">
        <f>IF(AND(Q$4=1,Q44=0),1,0)</f>
        <v/>
      </c>
      <c r="R94">
        <f>IF(AND(R$4=1,R44=0),1,0)</f>
        <v/>
      </c>
      <c r="S94">
        <f>IF(AND(S$4=1,S44=0),1,0)</f>
        <v/>
      </c>
      <c r="T94">
        <f>IF(AND(T$4=1,T44=0),1,0)</f>
        <v/>
      </c>
      <c r="U94">
        <f>IF(AND(U$4=1,U44=0),1,0)</f>
        <v/>
      </c>
      <c r="V94">
        <f>IF(AND(V$4=1,V44=0),1,0)</f>
        <v/>
      </c>
      <c r="W94">
        <f>IF(AND(W$4=1,W44=0),1,0)</f>
        <v/>
      </c>
      <c r="X94">
        <f>IF(AND(X$4=1,X44=0),1,0)</f>
        <v/>
      </c>
      <c r="Y94">
        <f>IF(AND(Y$4=1,Y44=0),1,0)</f>
        <v/>
      </c>
      <c r="Z94">
        <f>IF(AND(Z$4=1,Z44=0),1,0)</f>
        <v/>
      </c>
      <c r="AA94">
        <f>IF(AND(AA$4=1,AA44=0),1,0)</f>
        <v/>
      </c>
      <c r="AB94">
        <f>IF(AND(AB$4=1,AB44=0),1,0)</f>
        <v/>
      </c>
      <c r="AC94">
        <f>IF(AND(AC$4=1,AC44=0),1,0)</f>
        <v/>
      </c>
      <c r="AD94">
        <f>IF(AND(AD$4=1,AD44=0),1,0)</f>
        <v/>
      </c>
      <c r="AE94">
        <f>IF(AND(AE$4=1,AE44=0),1,0)</f>
        <v/>
      </c>
      <c r="AF94">
        <f>IF(AND(AF$4=1,AF44=0),1,0)</f>
        <v/>
      </c>
      <c r="AG94">
        <f>IF(AND(AG$4=1,AG44=0),1,0)</f>
        <v/>
      </c>
      <c r="AH94">
        <f>IF(AND(AH$4=1,AH44=0),1,0)</f>
        <v/>
      </c>
      <c r="AI94">
        <f>IF(AND(AI$4=1,AI44=0),1,0)</f>
        <v/>
      </c>
      <c r="AJ94">
        <f>IF(AND(AJ$4=1,AJ44=0),1,0)</f>
        <v/>
      </c>
      <c r="AK94">
        <f>IF(AND(AK$4=1,AK44=0),1,0)</f>
        <v/>
      </c>
      <c r="AL94">
        <f>IF(AND(AL$4=1,AL44=0),1,0)</f>
        <v/>
      </c>
      <c r="AM94">
        <f>IF(AND(AM$4=1,AM44=0),1,0)</f>
        <v/>
      </c>
      <c r="AN94">
        <f>IF(AND(AN$4=1,AN44=0),1,0)</f>
        <v/>
      </c>
      <c r="AO94">
        <f>IF(AND(AO$4=1,AO44=0),1,0)</f>
        <v/>
      </c>
      <c r="AP94">
        <f>IF(AND(AP$4=1,AP44=0),1,0)</f>
        <v/>
      </c>
      <c r="AQ94">
        <f>IF(AND(AQ$4=1,AQ44=0),1,0)</f>
        <v/>
      </c>
      <c r="AR94">
        <f>IF(AND(AR$4=1,AR44=0),1,0)</f>
        <v/>
      </c>
      <c r="AS94">
        <f>IF(AND(AS$4=1,AS44=0),1,0)</f>
        <v/>
      </c>
      <c r="AT94">
        <f>IF(AND(AT$4=1,AT44=0),1,0)</f>
        <v/>
      </c>
      <c r="AU94">
        <f>IF(AND(AU$4=1,AU44=0),1,0)</f>
        <v/>
      </c>
      <c r="AV94">
        <f>IF(AND(AV$4=1,AV44=0),1,0)</f>
        <v/>
      </c>
      <c r="AW94">
        <f>IF(AND(AW$4=1,AW44=0),1,0)</f>
        <v/>
      </c>
      <c r="AX94">
        <f>IF(AND(AX$4=1,AX44=0),1,0)</f>
        <v/>
      </c>
      <c r="AY94">
        <f>IF(AND(AY$4=1,AY44=0),1,0)</f>
        <v/>
      </c>
      <c r="AZ94">
        <f>IF(AND(AZ$4=1,AZ44=0),1,0)</f>
        <v/>
      </c>
      <c r="BA94">
        <f>IF(AND(BA$4=1,BA44=0),1,0)</f>
        <v/>
      </c>
      <c r="BB94">
        <f>IF(AND(BB$4=1,BB44=0),1,0)</f>
        <v/>
      </c>
      <c r="BC94">
        <f>IF(AND(BC$4=1,BC44=0),1,0)</f>
        <v/>
      </c>
      <c r="BD94">
        <f>IF(AND(BD$4=1,BD44=0),1,0)</f>
        <v/>
      </c>
      <c r="BE94">
        <f>IF(AND(BE$4=1,BE44=0),1,0)</f>
        <v/>
      </c>
      <c r="BF94">
        <f>IF(AND(BF$4=1,BF44=0),1,0)</f>
        <v/>
      </c>
      <c r="BG94">
        <f>IF(AND(BG$4=1,BG44=0),1,0)</f>
        <v/>
      </c>
      <c r="BH94">
        <f>IF(AND(BH$4=1,BH44=0),1,0)</f>
        <v/>
      </c>
      <c r="BI94">
        <f>IF(AND(BI$4=1,BI44=0),1,0)</f>
        <v/>
      </c>
      <c r="BJ94">
        <f>IF(AND(BJ$4=1,BJ44=0),1,0)</f>
        <v/>
      </c>
      <c r="BK94">
        <f>IF(AND(BK$4=1,BK44=0),1,0)</f>
        <v/>
      </c>
      <c r="BL94">
        <f>IF(AND(BL$4=1,BL44=0),1,0)</f>
        <v/>
      </c>
      <c r="BM94">
        <f>IF(AND(BM$4=1,BM44=0),1,0)</f>
        <v/>
      </c>
      <c r="BN94">
        <f>IF(AND(BN$4=1,BN44=0),1,0)</f>
        <v/>
      </c>
      <c r="BO94">
        <f>IF(AND(BO$4=1,BO44=0),1,0)</f>
        <v/>
      </c>
      <c r="BP94">
        <f>IF(AND(BP$4=1,BP44=0),1,0)</f>
        <v/>
      </c>
      <c r="BQ94">
        <f>IF(AND(BQ$4=1,BQ44=0),1,0)</f>
        <v/>
      </c>
      <c r="BR94">
        <f>IF(AND(BR$4=1,BR44=0),1,0)</f>
        <v/>
      </c>
      <c r="BS94">
        <f>IF(AND(BS$4=1,BS44=0),1,0)</f>
        <v/>
      </c>
      <c r="BT94">
        <f>IF(AND(BT$4=1,BT44=0),1,0)</f>
        <v/>
      </c>
      <c r="BU94">
        <f>IF(AND(BU$4=1,BU44=0),1,0)</f>
        <v/>
      </c>
      <c r="BV94">
        <f>IF(AND(BV$4=1,BV44=0),1,0)</f>
        <v/>
      </c>
      <c r="BW94">
        <f>IF(AND(BW$4=1,BW44=0),1,0)</f>
        <v/>
      </c>
      <c r="BX94">
        <f>IF(AND(BX$4=1,BX44=0),1,0)</f>
        <v/>
      </c>
      <c r="BY94">
        <f>IF(AND(BY$4=1,BY44=0),1,0)</f>
        <v/>
      </c>
      <c r="BZ94">
        <f>IF(AND(BZ$4=1,BZ44=0),1,0)</f>
        <v/>
      </c>
      <c r="CA94">
        <f>IF(AND(CA$4=1,CA44=0),1,0)</f>
        <v/>
      </c>
      <c r="CB94">
        <f>IF(AND(CB$4=1,CB44=0),1,0)</f>
        <v/>
      </c>
      <c r="CC94">
        <f>IF(AND(CC$4=1,CC44=0),1,0)</f>
        <v/>
      </c>
      <c r="CD94">
        <f>IF(AND(CD$4=1,CD44=0),1,0)</f>
        <v/>
      </c>
      <c r="CE94">
        <f>IF(AND(CE$4=1,CE44=0),1,0)</f>
        <v/>
      </c>
      <c r="CF94">
        <f>IF(AND(CF$4=1,CF44=0),1,0)</f>
        <v/>
      </c>
      <c r="CG94">
        <f>IF(AND(CG$4=1,CG44=0),1,0)</f>
        <v/>
      </c>
      <c r="CH94">
        <f>IF(AND(CH$4=1,CH44=0),1,0)</f>
        <v/>
      </c>
      <c r="CI94">
        <f>IF(AND(CI$4=1,CI44=0),1,0)</f>
        <v/>
      </c>
      <c r="CJ94">
        <f>IF(AND(CJ$4=1,CJ44=0),1,0)</f>
        <v/>
      </c>
      <c r="CK94">
        <f>IF(AND(CK$4=1,CK44=0),1,0)</f>
        <v/>
      </c>
      <c r="CL94">
        <f>IF(AND(CL$4=1,CL44=0),1,0)</f>
        <v/>
      </c>
      <c r="CM94">
        <f>IF(AND(CM$4=1,CM44=0),1,0)</f>
        <v/>
      </c>
      <c r="CN94">
        <f>IF(AND(CN$4=1,CN44=0),1,0)</f>
        <v/>
      </c>
      <c r="CO94">
        <f>IF(AND(CO$4=1,CO44=0),1,0)</f>
        <v/>
      </c>
      <c r="CP94">
        <f>IF(AND(CP$4=1,CP44=0),1,0)</f>
        <v/>
      </c>
      <c r="CQ94">
        <f>IF(AND(CQ$4=1,CQ44=0),1,0)</f>
        <v/>
      </c>
      <c r="CR94">
        <f>IF(AND(CR$4=1,CR44=0),1,0)</f>
        <v/>
      </c>
      <c r="CS94">
        <f>IF(AND(CS$4=1,CS44=0),1,0)</f>
        <v/>
      </c>
      <c r="CT94">
        <f>IF(AND(CT$4=1,CT44=0),1,0)</f>
        <v/>
      </c>
      <c r="CU94">
        <f>IF(AND(CU$4=1,CU44=0),1,0)</f>
        <v/>
      </c>
      <c r="CV94">
        <f>IF(AND(CV$4=1,CV44=0),1,0)</f>
        <v/>
      </c>
      <c r="CW94">
        <f>IF(AND(CW$4=1,CW44=0),1,0)</f>
        <v/>
      </c>
      <c r="CX94">
        <f>IF(AND(CX$4=1,CX44=0),1,0)</f>
        <v/>
      </c>
      <c r="CY94">
        <f>IF(AND(CY$4=1,CY44=0),1,0)</f>
        <v/>
      </c>
      <c r="CZ94">
        <f>IF(AND(CZ$4=1,CZ44=0),1,0)</f>
        <v/>
      </c>
      <c r="DA94">
        <f>IF(AND(DA$4=1,DA44=0),1,0)</f>
        <v/>
      </c>
      <c r="DB94">
        <f>IF(AND(DB$4=1,DB44=0),1,0)</f>
        <v/>
      </c>
      <c r="DC94">
        <f>IF(AND(DC$4=1,DC44=0),1,0)</f>
        <v/>
      </c>
      <c r="DD94">
        <f>IF(AND(DD$4=1,DD44=0),1,0)</f>
        <v/>
      </c>
      <c r="DE94">
        <f>IF(AND(DE$4=1,DE44=0),1,0)</f>
        <v/>
      </c>
      <c r="DF94">
        <f>IF(AND(DF$4=1,DF44=0),1,0)</f>
        <v/>
      </c>
      <c r="DG94">
        <f>IF(AND(DG$4=1,DG44=0),1,0)</f>
        <v/>
      </c>
      <c r="DH94">
        <f>IF(AND(DH$4=1,DH44=0),1,0)</f>
        <v/>
      </c>
      <c r="DI94">
        <f>IF(AND(DI$4=1,DI44=0),1,0)</f>
        <v/>
      </c>
      <c r="DJ94">
        <f>IF(AND(DJ$4=1,DJ44=0),1,0)</f>
        <v/>
      </c>
      <c r="DK94">
        <f>IF(AND(DK$4=1,DK44=0),1,0)</f>
        <v/>
      </c>
      <c r="DL94">
        <f>IF(AND(DL$4=1,DL44=0),1,0)</f>
        <v/>
      </c>
      <c r="DM94">
        <f>IF(AND(DM$4=1,DM44=0),1,0)</f>
        <v/>
      </c>
      <c r="DN94">
        <f>IF(AND(DN$4=1,DN44=0),1,0)</f>
        <v/>
      </c>
      <c r="DO94">
        <f>IF(AND(DO$4=1,DO44=0),1,0)</f>
        <v/>
      </c>
      <c r="DP94">
        <f>IF(AND(DP$4=1,DP44=0),1,0)</f>
        <v/>
      </c>
      <c r="DQ94">
        <f>IF(AND(DQ$4=1,DQ44=0),1,0)</f>
        <v/>
      </c>
      <c r="DR94">
        <f>IF(AND(DR$4=1,DR44=0),1,0)</f>
        <v/>
      </c>
      <c r="DS94">
        <f>IF(AND(DS$4=1,DS44=0),1,0)</f>
        <v/>
      </c>
    </row>
    <row r="95">
      <c r="A95" t="n">
        <v>36</v>
      </c>
      <c r="D95">
        <f>IF(AND(D$4=1,D45=0),1,0)</f>
        <v/>
      </c>
      <c r="E95">
        <f>IF(AND(E$4=1,E45=0),1,0)</f>
        <v/>
      </c>
      <c r="F95">
        <f>IF(AND(F$4=1,F45=0),1,0)</f>
        <v/>
      </c>
      <c r="G95">
        <f>IF(AND(G$4=1,G45=0),1,0)</f>
        <v/>
      </c>
      <c r="H95">
        <f>IF(AND(H$4=1,H45=0),1,0)</f>
        <v/>
      </c>
      <c r="I95">
        <f>IF(AND(I$4=1,I45=0),1,0)</f>
        <v/>
      </c>
      <c r="J95">
        <f>IF(AND(J$4=1,J45=0),1,0)</f>
        <v/>
      </c>
      <c r="K95">
        <f>IF(AND(K$4=1,K45=0),1,0)</f>
        <v/>
      </c>
      <c r="L95">
        <f>IF(AND(L$4=1,L45=0),1,0)</f>
        <v/>
      </c>
      <c r="M95">
        <f>IF(AND(M$4=1,M45=0),1,0)</f>
        <v/>
      </c>
      <c r="N95">
        <f>IF(AND(N$4=1,N45=0),1,0)</f>
        <v/>
      </c>
      <c r="O95">
        <f>IF(AND(O$4=1,O45=0),1,0)</f>
        <v/>
      </c>
      <c r="P95">
        <f>IF(AND(P$4=1,P45=0),1,0)</f>
        <v/>
      </c>
      <c r="Q95">
        <f>IF(AND(Q$4=1,Q45=0),1,0)</f>
        <v/>
      </c>
      <c r="R95">
        <f>IF(AND(R$4=1,R45=0),1,0)</f>
        <v/>
      </c>
      <c r="S95">
        <f>IF(AND(S$4=1,S45=0),1,0)</f>
        <v/>
      </c>
      <c r="T95">
        <f>IF(AND(T$4=1,T45=0),1,0)</f>
        <v/>
      </c>
      <c r="U95">
        <f>IF(AND(U$4=1,U45=0),1,0)</f>
        <v/>
      </c>
      <c r="V95">
        <f>IF(AND(V$4=1,V45=0),1,0)</f>
        <v/>
      </c>
      <c r="W95">
        <f>IF(AND(W$4=1,W45=0),1,0)</f>
        <v/>
      </c>
      <c r="X95">
        <f>IF(AND(X$4=1,X45=0),1,0)</f>
        <v/>
      </c>
      <c r="Y95">
        <f>IF(AND(Y$4=1,Y45=0),1,0)</f>
        <v/>
      </c>
      <c r="Z95">
        <f>IF(AND(Z$4=1,Z45=0),1,0)</f>
        <v/>
      </c>
      <c r="AA95">
        <f>IF(AND(AA$4=1,AA45=0),1,0)</f>
        <v/>
      </c>
      <c r="AB95">
        <f>IF(AND(AB$4=1,AB45=0),1,0)</f>
        <v/>
      </c>
      <c r="AC95">
        <f>IF(AND(AC$4=1,AC45=0),1,0)</f>
        <v/>
      </c>
      <c r="AD95">
        <f>IF(AND(AD$4=1,AD45=0),1,0)</f>
        <v/>
      </c>
      <c r="AE95">
        <f>IF(AND(AE$4=1,AE45=0),1,0)</f>
        <v/>
      </c>
      <c r="AF95">
        <f>IF(AND(AF$4=1,AF45=0),1,0)</f>
        <v/>
      </c>
      <c r="AG95">
        <f>IF(AND(AG$4=1,AG45=0),1,0)</f>
        <v/>
      </c>
      <c r="AH95">
        <f>IF(AND(AH$4=1,AH45=0),1,0)</f>
        <v/>
      </c>
      <c r="AI95">
        <f>IF(AND(AI$4=1,AI45=0),1,0)</f>
        <v/>
      </c>
      <c r="AJ95">
        <f>IF(AND(AJ$4=1,AJ45=0),1,0)</f>
        <v/>
      </c>
      <c r="AK95">
        <f>IF(AND(AK$4=1,AK45=0),1,0)</f>
        <v/>
      </c>
      <c r="AL95">
        <f>IF(AND(AL$4=1,AL45=0),1,0)</f>
        <v/>
      </c>
      <c r="AM95">
        <f>IF(AND(AM$4=1,AM45=0),1,0)</f>
        <v/>
      </c>
      <c r="AN95">
        <f>IF(AND(AN$4=1,AN45=0),1,0)</f>
        <v/>
      </c>
      <c r="AO95">
        <f>IF(AND(AO$4=1,AO45=0),1,0)</f>
        <v/>
      </c>
      <c r="AP95">
        <f>IF(AND(AP$4=1,AP45=0),1,0)</f>
        <v/>
      </c>
      <c r="AQ95">
        <f>IF(AND(AQ$4=1,AQ45=0),1,0)</f>
        <v/>
      </c>
      <c r="AR95">
        <f>IF(AND(AR$4=1,AR45=0),1,0)</f>
        <v/>
      </c>
      <c r="AS95">
        <f>IF(AND(AS$4=1,AS45=0),1,0)</f>
        <v/>
      </c>
      <c r="AT95">
        <f>IF(AND(AT$4=1,AT45=0),1,0)</f>
        <v/>
      </c>
      <c r="AU95">
        <f>IF(AND(AU$4=1,AU45=0),1,0)</f>
        <v/>
      </c>
      <c r="AV95">
        <f>IF(AND(AV$4=1,AV45=0),1,0)</f>
        <v/>
      </c>
      <c r="AW95">
        <f>IF(AND(AW$4=1,AW45=0),1,0)</f>
        <v/>
      </c>
      <c r="AX95">
        <f>IF(AND(AX$4=1,AX45=0),1,0)</f>
        <v/>
      </c>
      <c r="AY95">
        <f>IF(AND(AY$4=1,AY45=0),1,0)</f>
        <v/>
      </c>
      <c r="AZ95">
        <f>IF(AND(AZ$4=1,AZ45=0),1,0)</f>
        <v/>
      </c>
      <c r="BA95">
        <f>IF(AND(BA$4=1,BA45=0),1,0)</f>
        <v/>
      </c>
      <c r="BB95">
        <f>IF(AND(BB$4=1,BB45=0),1,0)</f>
        <v/>
      </c>
      <c r="BC95">
        <f>IF(AND(BC$4=1,BC45=0),1,0)</f>
        <v/>
      </c>
      <c r="BD95">
        <f>IF(AND(BD$4=1,BD45=0),1,0)</f>
        <v/>
      </c>
      <c r="BE95">
        <f>IF(AND(BE$4=1,BE45=0),1,0)</f>
        <v/>
      </c>
      <c r="BF95">
        <f>IF(AND(BF$4=1,BF45=0),1,0)</f>
        <v/>
      </c>
      <c r="BG95">
        <f>IF(AND(BG$4=1,BG45=0),1,0)</f>
        <v/>
      </c>
      <c r="BH95">
        <f>IF(AND(BH$4=1,BH45=0),1,0)</f>
        <v/>
      </c>
      <c r="BI95">
        <f>IF(AND(BI$4=1,BI45=0),1,0)</f>
        <v/>
      </c>
      <c r="BJ95">
        <f>IF(AND(BJ$4=1,BJ45=0),1,0)</f>
        <v/>
      </c>
      <c r="BK95">
        <f>IF(AND(BK$4=1,BK45=0),1,0)</f>
        <v/>
      </c>
      <c r="BL95">
        <f>IF(AND(BL$4=1,BL45=0),1,0)</f>
        <v/>
      </c>
      <c r="BM95">
        <f>IF(AND(BM$4=1,BM45=0),1,0)</f>
        <v/>
      </c>
      <c r="BN95">
        <f>IF(AND(BN$4=1,BN45=0),1,0)</f>
        <v/>
      </c>
      <c r="BO95">
        <f>IF(AND(BO$4=1,BO45=0),1,0)</f>
        <v/>
      </c>
      <c r="BP95">
        <f>IF(AND(BP$4=1,BP45=0),1,0)</f>
        <v/>
      </c>
      <c r="BQ95">
        <f>IF(AND(BQ$4=1,BQ45=0),1,0)</f>
        <v/>
      </c>
      <c r="BR95">
        <f>IF(AND(BR$4=1,BR45=0),1,0)</f>
        <v/>
      </c>
      <c r="BS95">
        <f>IF(AND(BS$4=1,BS45=0),1,0)</f>
        <v/>
      </c>
      <c r="BT95">
        <f>IF(AND(BT$4=1,BT45=0),1,0)</f>
        <v/>
      </c>
      <c r="BU95">
        <f>IF(AND(BU$4=1,BU45=0),1,0)</f>
        <v/>
      </c>
      <c r="BV95">
        <f>IF(AND(BV$4=1,BV45=0),1,0)</f>
        <v/>
      </c>
      <c r="BW95">
        <f>IF(AND(BW$4=1,BW45=0),1,0)</f>
        <v/>
      </c>
      <c r="BX95">
        <f>IF(AND(BX$4=1,BX45=0),1,0)</f>
        <v/>
      </c>
      <c r="BY95">
        <f>IF(AND(BY$4=1,BY45=0),1,0)</f>
        <v/>
      </c>
      <c r="BZ95">
        <f>IF(AND(BZ$4=1,BZ45=0),1,0)</f>
        <v/>
      </c>
      <c r="CA95">
        <f>IF(AND(CA$4=1,CA45=0),1,0)</f>
        <v/>
      </c>
      <c r="CB95">
        <f>IF(AND(CB$4=1,CB45=0),1,0)</f>
        <v/>
      </c>
      <c r="CC95">
        <f>IF(AND(CC$4=1,CC45=0),1,0)</f>
        <v/>
      </c>
      <c r="CD95">
        <f>IF(AND(CD$4=1,CD45=0),1,0)</f>
        <v/>
      </c>
      <c r="CE95">
        <f>IF(AND(CE$4=1,CE45=0),1,0)</f>
        <v/>
      </c>
      <c r="CF95">
        <f>IF(AND(CF$4=1,CF45=0),1,0)</f>
        <v/>
      </c>
      <c r="CG95">
        <f>IF(AND(CG$4=1,CG45=0),1,0)</f>
        <v/>
      </c>
      <c r="CH95">
        <f>IF(AND(CH$4=1,CH45=0),1,0)</f>
        <v/>
      </c>
      <c r="CI95">
        <f>IF(AND(CI$4=1,CI45=0),1,0)</f>
        <v/>
      </c>
      <c r="CJ95">
        <f>IF(AND(CJ$4=1,CJ45=0),1,0)</f>
        <v/>
      </c>
      <c r="CK95">
        <f>IF(AND(CK$4=1,CK45=0),1,0)</f>
        <v/>
      </c>
      <c r="CL95">
        <f>IF(AND(CL$4=1,CL45=0),1,0)</f>
        <v/>
      </c>
      <c r="CM95">
        <f>IF(AND(CM$4=1,CM45=0),1,0)</f>
        <v/>
      </c>
      <c r="CN95">
        <f>IF(AND(CN$4=1,CN45=0),1,0)</f>
        <v/>
      </c>
      <c r="CO95">
        <f>IF(AND(CO$4=1,CO45=0),1,0)</f>
        <v/>
      </c>
      <c r="CP95">
        <f>IF(AND(CP$4=1,CP45=0),1,0)</f>
        <v/>
      </c>
      <c r="CQ95">
        <f>IF(AND(CQ$4=1,CQ45=0),1,0)</f>
        <v/>
      </c>
      <c r="CR95">
        <f>IF(AND(CR$4=1,CR45=0),1,0)</f>
        <v/>
      </c>
      <c r="CS95">
        <f>IF(AND(CS$4=1,CS45=0),1,0)</f>
        <v/>
      </c>
      <c r="CT95">
        <f>IF(AND(CT$4=1,CT45=0),1,0)</f>
        <v/>
      </c>
      <c r="CU95">
        <f>IF(AND(CU$4=1,CU45=0),1,0)</f>
        <v/>
      </c>
      <c r="CV95">
        <f>IF(AND(CV$4=1,CV45=0),1,0)</f>
        <v/>
      </c>
      <c r="CW95">
        <f>IF(AND(CW$4=1,CW45=0),1,0)</f>
        <v/>
      </c>
      <c r="CX95">
        <f>IF(AND(CX$4=1,CX45=0),1,0)</f>
        <v/>
      </c>
      <c r="CY95">
        <f>IF(AND(CY$4=1,CY45=0),1,0)</f>
        <v/>
      </c>
      <c r="CZ95">
        <f>IF(AND(CZ$4=1,CZ45=0),1,0)</f>
        <v/>
      </c>
      <c r="DA95">
        <f>IF(AND(DA$4=1,DA45=0),1,0)</f>
        <v/>
      </c>
      <c r="DB95">
        <f>IF(AND(DB$4=1,DB45=0),1,0)</f>
        <v/>
      </c>
      <c r="DC95">
        <f>IF(AND(DC$4=1,DC45=0),1,0)</f>
        <v/>
      </c>
      <c r="DD95">
        <f>IF(AND(DD$4=1,DD45=0),1,0)</f>
        <v/>
      </c>
      <c r="DE95">
        <f>IF(AND(DE$4=1,DE45=0),1,0)</f>
        <v/>
      </c>
      <c r="DF95">
        <f>IF(AND(DF$4=1,DF45=0),1,0)</f>
        <v/>
      </c>
      <c r="DG95">
        <f>IF(AND(DG$4=1,DG45=0),1,0)</f>
        <v/>
      </c>
      <c r="DH95">
        <f>IF(AND(DH$4=1,DH45=0),1,0)</f>
        <v/>
      </c>
      <c r="DI95">
        <f>IF(AND(DI$4=1,DI45=0),1,0)</f>
        <v/>
      </c>
      <c r="DJ95">
        <f>IF(AND(DJ$4=1,DJ45=0),1,0)</f>
        <v/>
      </c>
      <c r="DK95">
        <f>IF(AND(DK$4=1,DK45=0),1,0)</f>
        <v/>
      </c>
      <c r="DL95">
        <f>IF(AND(DL$4=1,DL45=0),1,0)</f>
        <v/>
      </c>
      <c r="DM95">
        <f>IF(AND(DM$4=1,DM45=0),1,0)</f>
        <v/>
      </c>
      <c r="DN95">
        <f>IF(AND(DN$4=1,DN45=0),1,0)</f>
        <v/>
      </c>
      <c r="DO95">
        <f>IF(AND(DO$4=1,DO45=0),1,0)</f>
        <v/>
      </c>
      <c r="DP95">
        <f>IF(AND(DP$4=1,DP45=0),1,0)</f>
        <v/>
      </c>
      <c r="DQ95">
        <f>IF(AND(DQ$4=1,DQ45=0),1,0)</f>
        <v/>
      </c>
      <c r="DR95">
        <f>IF(AND(DR$4=1,DR45=0),1,0)</f>
        <v/>
      </c>
      <c r="DS95">
        <f>IF(AND(DS$4=1,DS45=0),1,0)</f>
        <v/>
      </c>
    </row>
    <row r="96">
      <c r="A96" t="n">
        <v>37</v>
      </c>
      <c r="D96">
        <f>IF(AND(D$4=1,D46=0),1,0)</f>
        <v/>
      </c>
      <c r="E96">
        <f>IF(AND(E$4=1,E46=0),1,0)</f>
        <v/>
      </c>
      <c r="F96">
        <f>IF(AND(F$4=1,F46=0),1,0)</f>
        <v/>
      </c>
      <c r="G96">
        <f>IF(AND(G$4=1,G46=0),1,0)</f>
        <v/>
      </c>
      <c r="H96">
        <f>IF(AND(H$4=1,H46=0),1,0)</f>
        <v/>
      </c>
      <c r="I96">
        <f>IF(AND(I$4=1,I46=0),1,0)</f>
        <v/>
      </c>
      <c r="J96">
        <f>IF(AND(J$4=1,J46=0),1,0)</f>
        <v/>
      </c>
      <c r="K96">
        <f>IF(AND(K$4=1,K46=0),1,0)</f>
        <v/>
      </c>
      <c r="L96">
        <f>IF(AND(L$4=1,L46=0),1,0)</f>
        <v/>
      </c>
      <c r="M96">
        <f>IF(AND(M$4=1,M46=0),1,0)</f>
        <v/>
      </c>
      <c r="N96">
        <f>IF(AND(N$4=1,N46=0),1,0)</f>
        <v/>
      </c>
      <c r="O96">
        <f>IF(AND(O$4=1,O46=0),1,0)</f>
        <v/>
      </c>
      <c r="P96">
        <f>IF(AND(P$4=1,P46=0),1,0)</f>
        <v/>
      </c>
      <c r="Q96">
        <f>IF(AND(Q$4=1,Q46=0),1,0)</f>
        <v/>
      </c>
      <c r="R96">
        <f>IF(AND(R$4=1,R46=0),1,0)</f>
        <v/>
      </c>
      <c r="S96">
        <f>IF(AND(S$4=1,S46=0),1,0)</f>
        <v/>
      </c>
      <c r="T96">
        <f>IF(AND(T$4=1,T46=0),1,0)</f>
        <v/>
      </c>
      <c r="U96">
        <f>IF(AND(U$4=1,U46=0),1,0)</f>
        <v/>
      </c>
      <c r="V96">
        <f>IF(AND(V$4=1,V46=0),1,0)</f>
        <v/>
      </c>
      <c r="W96">
        <f>IF(AND(W$4=1,W46=0),1,0)</f>
        <v/>
      </c>
      <c r="X96">
        <f>IF(AND(X$4=1,X46=0),1,0)</f>
        <v/>
      </c>
      <c r="Y96">
        <f>IF(AND(Y$4=1,Y46=0),1,0)</f>
        <v/>
      </c>
      <c r="Z96">
        <f>IF(AND(Z$4=1,Z46=0),1,0)</f>
        <v/>
      </c>
      <c r="AA96">
        <f>IF(AND(AA$4=1,AA46=0),1,0)</f>
        <v/>
      </c>
      <c r="AB96">
        <f>IF(AND(AB$4=1,AB46=0),1,0)</f>
        <v/>
      </c>
      <c r="AC96">
        <f>IF(AND(AC$4=1,AC46=0),1,0)</f>
        <v/>
      </c>
      <c r="AD96">
        <f>IF(AND(AD$4=1,AD46=0),1,0)</f>
        <v/>
      </c>
      <c r="AE96">
        <f>IF(AND(AE$4=1,AE46=0),1,0)</f>
        <v/>
      </c>
      <c r="AF96">
        <f>IF(AND(AF$4=1,AF46=0),1,0)</f>
        <v/>
      </c>
      <c r="AG96">
        <f>IF(AND(AG$4=1,AG46=0),1,0)</f>
        <v/>
      </c>
      <c r="AH96">
        <f>IF(AND(AH$4=1,AH46=0),1,0)</f>
        <v/>
      </c>
      <c r="AI96">
        <f>IF(AND(AI$4=1,AI46=0),1,0)</f>
        <v/>
      </c>
      <c r="AJ96">
        <f>IF(AND(AJ$4=1,AJ46=0),1,0)</f>
        <v/>
      </c>
      <c r="AK96">
        <f>IF(AND(AK$4=1,AK46=0),1,0)</f>
        <v/>
      </c>
      <c r="AL96">
        <f>IF(AND(AL$4=1,AL46=0),1,0)</f>
        <v/>
      </c>
      <c r="AM96">
        <f>IF(AND(AM$4=1,AM46=0),1,0)</f>
        <v/>
      </c>
      <c r="AN96">
        <f>IF(AND(AN$4=1,AN46=0),1,0)</f>
        <v/>
      </c>
      <c r="AO96">
        <f>IF(AND(AO$4=1,AO46=0),1,0)</f>
        <v/>
      </c>
      <c r="AP96">
        <f>IF(AND(AP$4=1,AP46=0),1,0)</f>
        <v/>
      </c>
      <c r="AQ96">
        <f>IF(AND(AQ$4=1,AQ46=0),1,0)</f>
        <v/>
      </c>
      <c r="AR96">
        <f>IF(AND(AR$4=1,AR46=0),1,0)</f>
        <v/>
      </c>
      <c r="AS96">
        <f>IF(AND(AS$4=1,AS46=0),1,0)</f>
        <v/>
      </c>
      <c r="AT96">
        <f>IF(AND(AT$4=1,AT46=0),1,0)</f>
        <v/>
      </c>
      <c r="AU96">
        <f>IF(AND(AU$4=1,AU46=0),1,0)</f>
        <v/>
      </c>
      <c r="AV96">
        <f>IF(AND(AV$4=1,AV46=0),1,0)</f>
        <v/>
      </c>
      <c r="AW96">
        <f>IF(AND(AW$4=1,AW46=0),1,0)</f>
        <v/>
      </c>
      <c r="AX96">
        <f>IF(AND(AX$4=1,AX46=0),1,0)</f>
        <v/>
      </c>
      <c r="AY96">
        <f>IF(AND(AY$4=1,AY46=0),1,0)</f>
        <v/>
      </c>
      <c r="AZ96">
        <f>IF(AND(AZ$4=1,AZ46=0),1,0)</f>
        <v/>
      </c>
      <c r="BA96">
        <f>IF(AND(BA$4=1,BA46=0),1,0)</f>
        <v/>
      </c>
      <c r="BB96">
        <f>IF(AND(BB$4=1,BB46=0),1,0)</f>
        <v/>
      </c>
      <c r="BC96">
        <f>IF(AND(BC$4=1,BC46=0),1,0)</f>
        <v/>
      </c>
      <c r="BD96">
        <f>IF(AND(BD$4=1,BD46=0),1,0)</f>
        <v/>
      </c>
      <c r="BE96">
        <f>IF(AND(BE$4=1,BE46=0),1,0)</f>
        <v/>
      </c>
      <c r="BF96">
        <f>IF(AND(BF$4=1,BF46=0),1,0)</f>
        <v/>
      </c>
      <c r="BG96">
        <f>IF(AND(BG$4=1,BG46=0),1,0)</f>
        <v/>
      </c>
      <c r="BH96">
        <f>IF(AND(BH$4=1,BH46=0),1,0)</f>
        <v/>
      </c>
      <c r="BI96">
        <f>IF(AND(BI$4=1,BI46=0),1,0)</f>
        <v/>
      </c>
      <c r="BJ96">
        <f>IF(AND(BJ$4=1,BJ46=0),1,0)</f>
        <v/>
      </c>
      <c r="BK96">
        <f>IF(AND(BK$4=1,BK46=0),1,0)</f>
        <v/>
      </c>
      <c r="BL96">
        <f>IF(AND(BL$4=1,BL46=0),1,0)</f>
        <v/>
      </c>
      <c r="BM96">
        <f>IF(AND(BM$4=1,BM46=0),1,0)</f>
        <v/>
      </c>
      <c r="BN96">
        <f>IF(AND(BN$4=1,BN46=0),1,0)</f>
        <v/>
      </c>
      <c r="BO96">
        <f>IF(AND(BO$4=1,BO46=0),1,0)</f>
        <v/>
      </c>
      <c r="BP96">
        <f>IF(AND(BP$4=1,BP46=0),1,0)</f>
        <v/>
      </c>
      <c r="BQ96">
        <f>IF(AND(BQ$4=1,BQ46=0),1,0)</f>
        <v/>
      </c>
      <c r="BR96">
        <f>IF(AND(BR$4=1,BR46=0),1,0)</f>
        <v/>
      </c>
      <c r="BS96">
        <f>IF(AND(BS$4=1,BS46=0),1,0)</f>
        <v/>
      </c>
      <c r="BT96">
        <f>IF(AND(BT$4=1,BT46=0),1,0)</f>
        <v/>
      </c>
      <c r="BU96">
        <f>IF(AND(BU$4=1,BU46=0),1,0)</f>
        <v/>
      </c>
      <c r="BV96">
        <f>IF(AND(BV$4=1,BV46=0),1,0)</f>
        <v/>
      </c>
      <c r="BW96">
        <f>IF(AND(BW$4=1,BW46=0),1,0)</f>
        <v/>
      </c>
      <c r="BX96">
        <f>IF(AND(BX$4=1,BX46=0),1,0)</f>
        <v/>
      </c>
      <c r="BY96">
        <f>IF(AND(BY$4=1,BY46=0),1,0)</f>
        <v/>
      </c>
      <c r="BZ96">
        <f>IF(AND(BZ$4=1,BZ46=0),1,0)</f>
        <v/>
      </c>
      <c r="CA96">
        <f>IF(AND(CA$4=1,CA46=0),1,0)</f>
        <v/>
      </c>
      <c r="CB96">
        <f>IF(AND(CB$4=1,CB46=0),1,0)</f>
        <v/>
      </c>
      <c r="CC96">
        <f>IF(AND(CC$4=1,CC46=0),1,0)</f>
        <v/>
      </c>
      <c r="CD96">
        <f>IF(AND(CD$4=1,CD46=0),1,0)</f>
        <v/>
      </c>
      <c r="CE96">
        <f>IF(AND(CE$4=1,CE46=0),1,0)</f>
        <v/>
      </c>
      <c r="CF96">
        <f>IF(AND(CF$4=1,CF46=0),1,0)</f>
        <v/>
      </c>
      <c r="CG96">
        <f>IF(AND(CG$4=1,CG46=0),1,0)</f>
        <v/>
      </c>
      <c r="CH96">
        <f>IF(AND(CH$4=1,CH46=0),1,0)</f>
        <v/>
      </c>
      <c r="CI96">
        <f>IF(AND(CI$4=1,CI46=0),1,0)</f>
        <v/>
      </c>
      <c r="CJ96">
        <f>IF(AND(CJ$4=1,CJ46=0),1,0)</f>
        <v/>
      </c>
      <c r="CK96">
        <f>IF(AND(CK$4=1,CK46=0),1,0)</f>
        <v/>
      </c>
      <c r="CL96">
        <f>IF(AND(CL$4=1,CL46=0),1,0)</f>
        <v/>
      </c>
      <c r="CM96">
        <f>IF(AND(CM$4=1,CM46=0),1,0)</f>
        <v/>
      </c>
      <c r="CN96">
        <f>IF(AND(CN$4=1,CN46=0),1,0)</f>
        <v/>
      </c>
      <c r="CO96">
        <f>IF(AND(CO$4=1,CO46=0),1,0)</f>
        <v/>
      </c>
      <c r="CP96">
        <f>IF(AND(CP$4=1,CP46=0),1,0)</f>
        <v/>
      </c>
      <c r="CQ96">
        <f>IF(AND(CQ$4=1,CQ46=0),1,0)</f>
        <v/>
      </c>
      <c r="CR96">
        <f>IF(AND(CR$4=1,CR46=0),1,0)</f>
        <v/>
      </c>
      <c r="CS96">
        <f>IF(AND(CS$4=1,CS46=0),1,0)</f>
        <v/>
      </c>
      <c r="CT96">
        <f>IF(AND(CT$4=1,CT46=0),1,0)</f>
        <v/>
      </c>
      <c r="CU96">
        <f>IF(AND(CU$4=1,CU46=0),1,0)</f>
        <v/>
      </c>
      <c r="CV96">
        <f>IF(AND(CV$4=1,CV46=0),1,0)</f>
        <v/>
      </c>
      <c r="CW96">
        <f>IF(AND(CW$4=1,CW46=0),1,0)</f>
        <v/>
      </c>
      <c r="CX96">
        <f>IF(AND(CX$4=1,CX46=0),1,0)</f>
        <v/>
      </c>
      <c r="CY96">
        <f>IF(AND(CY$4=1,CY46=0),1,0)</f>
        <v/>
      </c>
      <c r="CZ96">
        <f>IF(AND(CZ$4=1,CZ46=0),1,0)</f>
        <v/>
      </c>
      <c r="DA96">
        <f>IF(AND(DA$4=1,DA46=0),1,0)</f>
        <v/>
      </c>
      <c r="DB96">
        <f>IF(AND(DB$4=1,DB46=0),1,0)</f>
        <v/>
      </c>
      <c r="DC96">
        <f>IF(AND(DC$4=1,DC46=0),1,0)</f>
        <v/>
      </c>
      <c r="DD96">
        <f>IF(AND(DD$4=1,DD46=0),1,0)</f>
        <v/>
      </c>
      <c r="DE96">
        <f>IF(AND(DE$4=1,DE46=0),1,0)</f>
        <v/>
      </c>
      <c r="DF96">
        <f>IF(AND(DF$4=1,DF46=0),1,0)</f>
        <v/>
      </c>
      <c r="DG96">
        <f>IF(AND(DG$4=1,DG46=0),1,0)</f>
        <v/>
      </c>
      <c r="DH96">
        <f>IF(AND(DH$4=1,DH46=0),1,0)</f>
        <v/>
      </c>
      <c r="DI96">
        <f>IF(AND(DI$4=1,DI46=0),1,0)</f>
        <v/>
      </c>
      <c r="DJ96">
        <f>IF(AND(DJ$4=1,DJ46=0),1,0)</f>
        <v/>
      </c>
      <c r="DK96">
        <f>IF(AND(DK$4=1,DK46=0),1,0)</f>
        <v/>
      </c>
      <c r="DL96">
        <f>IF(AND(DL$4=1,DL46=0),1,0)</f>
        <v/>
      </c>
      <c r="DM96">
        <f>IF(AND(DM$4=1,DM46=0),1,0)</f>
        <v/>
      </c>
      <c r="DN96">
        <f>IF(AND(DN$4=1,DN46=0),1,0)</f>
        <v/>
      </c>
      <c r="DO96">
        <f>IF(AND(DO$4=1,DO46=0),1,0)</f>
        <v/>
      </c>
      <c r="DP96">
        <f>IF(AND(DP$4=1,DP46=0),1,0)</f>
        <v/>
      </c>
      <c r="DQ96">
        <f>IF(AND(DQ$4=1,DQ46=0),1,0)</f>
        <v/>
      </c>
      <c r="DR96">
        <f>IF(AND(DR$4=1,DR46=0),1,0)</f>
        <v/>
      </c>
      <c r="DS96">
        <f>IF(AND(DS$4=1,DS46=0),1,0)</f>
        <v/>
      </c>
    </row>
    <row r="97">
      <c r="A97" t="n">
        <v>38</v>
      </c>
      <c r="D97">
        <f>IF(AND(D$4=1,D47=0),1,0)</f>
        <v/>
      </c>
      <c r="E97">
        <f>IF(AND(E$4=1,E47=0),1,0)</f>
        <v/>
      </c>
      <c r="F97">
        <f>IF(AND(F$4=1,F47=0),1,0)</f>
        <v/>
      </c>
      <c r="G97">
        <f>IF(AND(G$4=1,G47=0),1,0)</f>
        <v/>
      </c>
      <c r="H97">
        <f>IF(AND(H$4=1,H47=0),1,0)</f>
        <v/>
      </c>
      <c r="I97">
        <f>IF(AND(I$4=1,I47=0),1,0)</f>
        <v/>
      </c>
      <c r="J97">
        <f>IF(AND(J$4=1,J47=0),1,0)</f>
        <v/>
      </c>
      <c r="K97">
        <f>IF(AND(K$4=1,K47=0),1,0)</f>
        <v/>
      </c>
      <c r="L97">
        <f>IF(AND(L$4=1,L47=0),1,0)</f>
        <v/>
      </c>
      <c r="M97">
        <f>IF(AND(M$4=1,M47=0),1,0)</f>
        <v/>
      </c>
      <c r="N97">
        <f>IF(AND(N$4=1,N47=0),1,0)</f>
        <v/>
      </c>
      <c r="O97">
        <f>IF(AND(O$4=1,O47=0),1,0)</f>
        <v/>
      </c>
      <c r="P97">
        <f>IF(AND(P$4=1,P47=0),1,0)</f>
        <v/>
      </c>
      <c r="Q97">
        <f>IF(AND(Q$4=1,Q47=0),1,0)</f>
        <v/>
      </c>
      <c r="R97">
        <f>IF(AND(R$4=1,R47=0),1,0)</f>
        <v/>
      </c>
      <c r="S97">
        <f>IF(AND(S$4=1,S47=0),1,0)</f>
        <v/>
      </c>
      <c r="T97">
        <f>IF(AND(T$4=1,T47=0),1,0)</f>
        <v/>
      </c>
      <c r="U97">
        <f>IF(AND(U$4=1,U47=0),1,0)</f>
        <v/>
      </c>
      <c r="V97">
        <f>IF(AND(V$4=1,V47=0),1,0)</f>
        <v/>
      </c>
      <c r="W97">
        <f>IF(AND(W$4=1,W47=0),1,0)</f>
        <v/>
      </c>
      <c r="X97">
        <f>IF(AND(X$4=1,X47=0),1,0)</f>
        <v/>
      </c>
      <c r="Y97">
        <f>IF(AND(Y$4=1,Y47=0),1,0)</f>
        <v/>
      </c>
      <c r="Z97">
        <f>IF(AND(Z$4=1,Z47=0),1,0)</f>
        <v/>
      </c>
      <c r="AA97">
        <f>IF(AND(AA$4=1,AA47=0),1,0)</f>
        <v/>
      </c>
      <c r="AB97">
        <f>IF(AND(AB$4=1,AB47=0),1,0)</f>
        <v/>
      </c>
      <c r="AC97">
        <f>IF(AND(AC$4=1,AC47=0),1,0)</f>
        <v/>
      </c>
      <c r="AD97">
        <f>IF(AND(AD$4=1,AD47=0),1,0)</f>
        <v/>
      </c>
      <c r="AE97">
        <f>IF(AND(AE$4=1,AE47=0),1,0)</f>
        <v/>
      </c>
      <c r="AF97">
        <f>IF(AND(AF$4=1,AF47=0),1,0)</f>
        <v/>
      </c>
      <c r="AG97">
        <f>IF(AND(AG$4=1,AG47=0),1,0)</f>
        <v/>
      </c>
      <c r="AH97">
        <f>IF(AND(AH$4=1,AH47=0),1,0)</f>
        <v/>
      </c>
      <c r="AI97">
        <f>IF(AND(AI$4=1,AI47=0),1,0)</f>
        <v/>
      </c>
      <c r="AJ97">
        <f>IF(AND(AJ$4=1,AJ47=0),1,0)</f>
        <v/>
      </c>
      <c r="AK97">
        <f>IF(AND(AK$4=1,AK47=0),1,0)</f>
        <v/>
      </c>
      <c r="AL97">
        <f>IF(AND(AL$4=1,AL47=0),1,0)</f>
        <v/>
      </c>
      <c r="AM97">
        <f>IF(AND(AM$4=1,AM47=0),1,0)</f>
        <v/>
      </c>
      <c r="AN97">
        <f>IF(AND(AN$4=1,AN47=0),1,0)</f>
        <v/>
      </c>
      <c r="AO97">
        <f>IF(AND(AO$4=1,AO47=0),1,0)</f>
        <v/>
      </c>
      <c r="AP97">
        <f>IF(AND(AP$4=1,AP47=0),1,0)</f>
        <v/>
      </c>
      <c r="AQ97">
        <f>IF(AND(AQ$4=1,AQ47=0),1,0)</f>
        <v/>
      </c>
      <c r="AR97">
        <f>IF(AND(AR$4=1,AR47=0),1,0)</f>
        <v/>
      </c>
      <c r="AS97">
        <f>IF(AND(AS$4=1,AS47=0),1,0)</f>
        <v/>
      </c>
      <c r="AT97">
        <f>IF(AND(AT$4=1,AT47=0),1,0)</f>
        <v/>
      </c>
      <c r="AU97">
        <f>IF(AND(AU$4=1,AU47=0),1,0)</f>
        <v/>
      </c>
      <c r="AV97">
        <f>IF(AND(AV$4=1,AV47=0),1,0)</f>
        <v/>
      </c>
      <c r="AW97">
        <f>IF(AND(AW$4=1,AW47=0),1,0)</f>
        <v/>
      </c>
      <c r="AX97">
        <f>IF(AND(AX$4=1,AX47=0),1,0)</f>
        <v/>
      </c>
      <c r="AY97">
        <f>IF(AND(AY$4=1,AY47=0),1,0)</f>
        <v/>
      </c>
      <c r="AZ97">
        <f>IF(AND(AZ$4=1,AZ47=0),1,0)</f>
        <v/>
      </c>
      <c r="BA97">
        <f>IF(AND(BA$4=1,BA47=0),1,0)</f>
        <v/>
      </c>
      <c r="BB97">
        <f>IF(AND(BB$4=1,BB47=0),1,0)</f>
        <v/>
      </c>
      <c r="BC97">
        <f>IF(AND(BC$4=1,BC47=0),1,0)</f>
        <v/>
      </c>
      <c r="BD97">
        <f>IF(AND(BD$4=1,BD47=0),1,0)</f>
        <v/>
      </c>
      <c r="BE97">
        <f>IF(AND(BE$4=1,BE47=0),1,0)</f>
        <v/>
      </c>
      <c r="BF97">
        <f>IF(AND(BF$4=1,BF47=0),1,0)</f>
        <v/>
      </c>
      <c r="BG97">
        <f>IF(AND(BG$4=1,BG47=0),1,0)</f>
        <v/>
      </c>
      <c r="BH97">
        <f>IF(AND(BH$4=1,BH47=0),1,0)</f>
        <v/>
      </c>
      <c r="BI97">
        <f>IF(AND(BI$4=1,BI47=0),1,0)</f>
        <v/>
      </c>
      <c r="BJ97">
        <f>IF(AND(BJ$4=1,BJ47=0),1,0)</f>
        <v/>
      </c>
      <c r="BK97">
        <f>IF(AND(BK$4=1,BK47=0),1,0)</f>
        <v/>
      </c>
      <c r="BL97">
        <f>IF(AND(BL$4=1,BL47=0),1,0)</f>
        <v/>
      </c>
      <c r="BM97">
        <f>IF(AND(BM$4=1,BM47=0),1,0)</f>
        <v/>
      </c>
      <c r="BN97">
        <f>IF(AND(BN$4=1,BN47=0),1,0)</f>
        <v/>
      </c>
      <c r="BO97">
        <f>IF(AND(BO$4=1,BO47=0),1,0)</f>
        <v/>
      </c>
      <c r="BP97">
        <f>IF(AND(BP$4=1,BP47=0),1,0)</f>
        <v/>
      </c>
      <c r="BQ97">
        <f>IF(AND(BQ$4=1,BQ47=0),1,0)</f>
        <v/>
      </c>
      <c r="BR97">
        <f>IF(AND(BR$4=1,BR47=0),1,0)</f>
        <v/>
      </c>
      <c r="BS97">
        <f>IF(AND(BS$4=1,BS47=0),1,0)</f>
        <v/>
      </c>
      <c r="BT97">
        <f>IF(AND(BT$4=1,BT47=0),1,0)</f>
        <v/>
      </c>
      <c r="BU97">
        <f>IF(AND(BU$4=1,BU47=0),1,0)</f>
        <v/>
      </c>
      <c r="BV97">
        <f>IF(AND(BV$4=1,BV47=0),1,0)</f>
        <v/>
      </c>
      <c r="BW97">
        <f>IF(AND(BW$4=1,BW47=0),1,0)</f>
        <v/>
      </c>
      <c r="BX97">
        <f>IF(AND(BX$4=1,BX47=0),1,0)</f>
        <v/>
      </c>
      <c r="BY97">
        <f>IF(AND(BY$4=1,BY47=0),1,0)</f>
        <v/>
      </c>
      <c r="BZ97">
        <f>IF(AND(BZ$4=1,BZ47=0),1,0)</f>
        <v/>
      </c>
      <c r="CA97">
        <f>IF(AND(CA$4=1,CA47=0),1,0)</f>
        <v/>
      </c>
      <c r="CB97">
        <f>IF(AND(CB$4=1,CB47=0),1,0)</f>
        <v/>
      </c>
      <c r="CC97">
        <f>IF(AND(CC$4=1,CC47=0),1,0)</f>
        <v/>
      </c>
      <c r="CD97">
        <f>IF(AND(CD$4=1,CD47=0),1,0)</f>
        <v/>
      </c>
      <c r="CE97">
        <f>IF(AND(CE$4=1,CE47=0),1,0)</f>
        <v/>
      </c>
      <c r="CF97">
        <f>IF(AND(CF$4=1,CF47=0),1,0)</f>
        <v/>
      </c>
      <c r="CG97">
        <f>IF(AND(CG$4=1,CG47=0),1,0)</f>
        <v/>
      </c>
      <c r="CH97">
        <f>IF(AND(CH$4=1,CH47=0),1,0)</f>
        <v/>
      </c>
      <c r="CI97">
        <f>IF(AND(CI$4=1,CI47=0),1,0)</f>
        <v/>
      </c>
      <c r="CJ97">
        <f>IF(AND(CJ$4=1,CJ47=0),1,0)</f>
        <v/>
      </c>
      <c r="CK97">
        <f>IF(AND(CK$4=1,CK47=0),1,0)</f>
        <v/>
      </c>
      <c r="CL97">
        <f>IF(AND(CL$4=1,CL47=0),1,0)</f>
        <v/>
      </c>
      <c r="CM97">
        <f>IF(AND(CM$4=1,CM47=0),1,0)</f>
        <v/>
      </c>
      <c r="CN97">
        <f>IF(AND(CN$4=1,CN47=0),1,0)</f>
        <v/>
      </c>
      <c r="CO97">
        <f>IF(AND(CO$4=1,CO47=0),1,0)</f>
        <v/>
      </c>
      <c r="CP97">
        <f>IF(AND(CP$4=1,CP47=0),1,0)</f>
        <v/>
      </c>
      <c r="CQ97">
        <f>IF(AND(CQ$4=1,CQ47=0),1,0)</f>
        <v/>
      </c>
      <c r="CR97">
        <f>IF(AND(CR$4=1,CR47=0),1,0)</f>
        <v/>
      </c>
      <c r="CS97">
        <f>IF(AND(CS$4=1,CS47=0),1,0)</f>
        <v/>
      </c>
      <c r="CT97">
        <f>IF(AND(CT$4=1,CT47=0),1,0)</f>
        <v/>
      </c>
      <c r="CU97">
        <f>IF(AND(CU$4=1,CU47=0),1,0)</f>
        <v/>
      </c>
      <c r="CV97">
        <f>IF(AND(CV$4=1,CV47=0),1,0)</f>
        <v/>
      </c>
      <c r="CW97">
        <f>IF(AND(CW$4=1,CW47=0),1,0)</f>
        <v/>
      </c>
      <c r="CX97">
        <f>IF(AND(CX$4=1,CX47=0),1,0)</f>
        <v/>
      </c>
      <c r="CY97">
        <f>IF(AND(CY$4=1,CY47=0),1,0)</f>
        <v/>
      </c>
      <c r="CZ97">
        <f>IF(AND(CZ$4=1,CZ47=0),1,0)</f>
        <v/>
      </c>
      <c r="DA97">
        <f>IF(AND(DA$4=1,DA47=0),1,0)</f>
        <v/>
      </c>
      <c r="DB97">
        <f>IF(AND(DB$4=1,DB47=0),1,0)</f>
        <v/>
      </c>
      <c r="DC97">
        <f>IF(AND(DC$4=1,DC47=0),1,0)</f>
        <v/>
      </c>
      <c r="DD97">
        <f>IF(AND(DD$4=1,DD47=0),1,0)</f>
        <v/>
      </c>
      <c r="DE97">
        <f>IF(AND(DE$4=1,DE47=0),1,0)</f>
        <v/>
      </c>
      <c r="DF97">
        <f>IF(AND(DF$4=1,DF47=0),1,0)</f>
        <v/>
      </c>
      <c r="DG97">
        <f>IF(AND(DG$4=1,DG47=0),1,0)</f>
        <v/>
      </c>
      <c r="DH97">
        <f>IF(AND(DH$4=1,DH47=0),1,0)</f>
        <v/>
      </c>
      <c r="DI97">
        <f>IF(AND(DI$4=1,DI47=0),1,0)</f>
        <v/>
      </c>
      <c r="DJ97">
        <f>IF(AND(DJ$4=1,DJ47=0),1,0)</f>
        <v/>
      </c>
      <c r="DK97">
        <f>IF(AND(DK$4=1,DK47=0),1,0)</f>
        <v/>
      </c>
      <c r="DL97">
        <f>IF(AND(DL$4=1,DL47=0),1,0)</f>
        <v/>
      </c>
      <c r="DM97">
        <f>IF(AND(DM$4=1,DM47=0),1,0)</f>
        <v/>
      </c>
      <c r="DN97">
        <f>IF(AND(DN$4=1,DN47=0),1,0)</f>
        <v/>
      </c>
      <c r="DO97">
        <f>IF(AND(DO$4=1,DO47=0),1,0)</f>
        <v/>
      </c>
      <c r="DP97">
        <f>IF(AND(DP$4=1,DP47=0),1,0)</f>
        <v/>
      </c>
      <c r="DQ97">
        <f>IF(AND(DQ$4=1,DQ47=0),1,0)</f>
        <v/>
      </c>
      <c r="DR97">
        <f>IF(AND(DR$4=1,DR47=0),1,0)</f>
        <v/>
      </c>
      <c r="DS97">
        <f>IF(AND(DS$4=1,DS47=0),1,0)</f>
        <v/>
      </c>
    </row>
    <row r="98">
      <c r="A98" t="n">
        <v>39</v>
      </c>
      <c r="D98">
        <f>IF(AND(D$4=1,D48=0),1,0)</f>
        <v/>
      </c>
      <c r="E98">
        <f>IF(AND(E$4=1,E48=0),1,0)</f>
        <v/>
      </c>
      <c r="F98">
        <f>IF(AND(F$4=1,F48=0),1,0)</f>
        <v/>
      </c>
      <c r="G98">
        <f>IF(AND(G$4=1,G48=0),1,0)</f>
        <v/>
      </c>
      <c r="H98">
        <f>IF(AND(H$4=1,H48=0),1,0)</f>
        <v/>
      </c>
      <c r="I98">
        <f>IF(AND(I$4=1,I48=0),1,0)</f>
        <v/>
      </c>
      <c r="J98">
        <f>IF(AND(J$4=1,J48=0),1,0)</f>
        <v/>
      </c>
      <c r="K98">
        <f>IF(AND(K$4=1,K48=0),1,0)</f>
        <v/>
      </c>
      <c r="L98">
        <f>IF(AND(L$4=1,L48=0),1,0)</f>
        <v/>
      </c>
      <c r="M98">
        <f>IF(AND(M$4=1,M48=0),1,0)</f>
        <v/>
      </c>
      <c r="N98">
        <f>IF(AND(N$4=1,N48=0),1,0)</f>
        <v/>
      </c>
      <c r="O98">
        <f>IF(AND(O$4=1,O48=0),1,0)</f>
        <v/>
      </c>
      <c r="P98">
        <f>IF(AND(P$4=1,P48=0),1,0)</f>
        <v/>
      </c>
      <c r="Q98">
        <f>IF(AND(Q$4=1,Q48=0),1,0)</f>
        <v/>
      </c>
      <c r="R98">
        <f>IF(AND(R$4=1,R48=0),1,0)</f>
        <v/>
      </c>
      <c r="S98">
        <f>IF(AND(S$4=1,S48=0),1,0)</f>
        <v/>
      </c>
      <c r="T98">
        <f>IF(AND(T$4=1,T48=0),1,0)</f>
        <v/>
      </c>
      <c r="U98">
        <f>IF(AND(U$4=1,U48=0),1,0)</f>
        <v/>
      </c>
      <c r="V98">
        <f>IF(AND(V$4=1,V48=0),1,0)</f>
        <v/>
      </c>
      <c r="W98">
        <f>IF(AND(W$4=1,W48=0),1,0)</f>
        <v/>
      </c>
      <c r="X98">
        <f>IF(AND(X$4=1,X48=0),1,0)</f>
        <v/>
      </c>
      <c r="Y98">
        <f>IF(AND(Y$4=1,Y48=0),1,0)</f>
        <v/>
      </c>
      <c r="Z98">
        <f>IF(AND(Z$4=1,Z48=0),1,0)</f>
        <v/>
      </c>
      <c r="AA98">
        <f>IF(AND(AA$4=1,AA48=0),1,0)</f>
        <v/>
      </c>
      <c r="AB98">
        <f>IF(AND(AB$4=1,AB48=0),1,0)</f>
        <v/>
      </c>
      <c r="AC98">
        <f>IF(AND(AC$4=1,AC48=0),1,0)</f>
        <v/>
      </c>
      <c r="AD98">
        <f>IF(AND(AD$4=1,AD48=0),1,0)</f>
        <v/>
      </c>
      <c r="AE98">
        <f>IF(AND(AE$4=1,AE48=0),1,0)</f>
        <v/>
      </c>
      <c r="AF98">
        <f>IF(AND(AF$4=1,AF48=0),1,0)</f>
        <v/>
      </c>
      <c r="AG98">
        <f>IF(AND(AG$4=1,AG48=0),1,0)</f>
        <v/>
      </c>
      <c r="AH98">
        <f>IF(AND(AH$4=1,AH48=0),1,0)</f>
        <v/>
      </c>
      <c r="AI98">
        <f>IF(AND(AI$4=1,AI48=0),1,0)</f>
        <v/>
      </c>
      <c r="AJ98">
        <f>IF(AND(AJ$4=1,AJ48=0),1,0)</f>
        <v/>
      </c>
      <c r="AK98">
        <f>IF(AND(AK$4=1,AK48=0),1,0)</f>
        <v/>
      </c>
      <c r="AL98">
        <f>IF(AND(AL$4=1,AL48=0),1,0)</f>
        <v/>
      </c>
      <c r="AM98">
        <f>IF(AND(AM$4=1,AM48=0),1,0)</f>
        <v/>
      </c>
      <c r="AN98">
        <f>IF(AND(AN$4=1,AN48=0),1,0)</f>
        <v/>
      </c>
      <c r="AO98">
        <f>IF(AND(AO$4=1,AO48=0),1,0)</f>
        <v/>
      </c>
      <c r="AP98">
        <f>IF(AND(AP$4=1,AP48=0),1,0)</f>
        <v/>
      </c>
      <c r="AQ98">
        <f>IF(AND(AQ$4=1,AQ48=0),1,0)</f>
        <v/>
      </c>
      <c r="AR98">
        <f>IF(AND(AR$4=1,AR48=0),1,0)</f>
        <v/>
      </c>
      <c r="AS98">
        <f>IF(AND(AS$4=1,AS48=0),1,0)</f>
        <v/>
      </c>
      <c r="AT98">
        <f>IF(AND(AT$4=1,AT48=0),1,0)</f>
        <v/>
      </c>
      <c r="AU98">
        <f>IF(AND(AU$4=1,AU48=0),1,0)</f>
        <v/>
      </c>
      <c r="AV98">
        <f>IF(AND(AV$4=1,AV48=0),1,0)</f>
        <v/>
      </c>
      <c r="AW98">
        <f>IF(AND(AW$4=1,AW48=0),1,0)</f>
        <v/>
      </c>
      <c r="AX98">
        <f>IF(AND(AX$4=1,AX48=0),1,0)</f>
        <v/>
      </c>
      <c r="AY98">
        <f>IF(AND(AY$4=1,AY48=0),1,0)</f>
        <v/>
      </c>
      <c r="AZ98">
        <f>IF(AND(AZ$4=1,AZ48=0),1,0)</f>
        <v/>
      </c>
      <c r="BA98">
        <f>IF(AND(BA$4=1,BA48=0),1,0)</f>
        <v/>
      </c>
      <c r="BB98">
        <f>IF(AND(BB$4=1,BB48=0),1,0)</f>
        <v/>
      </c>
      <c r="BC98">
        <f>IF(AND(BC$4=1,BC48=0),1,0)</f>
        <v/>
      </c>
      <c r="BD98">
        <f>IF(AND(BD$4=1,BD48=0),1,0)</f>
        <v/>
      </c>
      <c r="BE98">
        <f>IF(AND(BE$4=1,BE48=0),1,0)</f>
        <v/>
      </c>
      <c r="BF98">
        <f>IF(AND(BF$4=1,BF48=0),1,0)</f>
        <v/>
      </c>
      <c r="BG98">
        <f>IF(AND(BG$4=1,BG48=0),1,0)</f>
        <v/>
      </c>
      <c r="BH98">
        <f>IF(AND(BH$4=1,BH48=0),1,0)</f>
        <v/>
      </c>
      <c r="BI98">
        <f>IF(AND(BI$4=1,BI48=0),1,0)</f>
        <v/>
      </c>
      <c r="BJ98">
        <f>IF(AND(BJ$4=1,BJ48=0),1,0)</f>
        <v/>
      </c>
      <c r="BK98">
        <f>IF(AND(BK$4=1,BK48=0),1,0)</f>
        <v/>
      </c>
      <c r="BL98">
        <f>IF(AND(BL$4=1,BL48=0),1,0)</f>
        <v/>
      </c>
      <c r="BM98">
        <f>IF(AND(BM$4=1,BM48=0),1,0)</f>
        <v/>
      </c>
      <c r="BN98">
        <f>IF(AND(BN$4=1,BN48=0),1,0)</f>
        <v/>
      </c>
      <c r="BO98">
        <f>IF(AND(BO$4=1,BO48=0),1,0)</f>
        <v/>
      </c>
      <c r="BP98">
        <f>IF(AND(BP$4=1,BP48=0),1,0)</f>
        <v/>
      </c>
      <c r="BQ98">
        <f>IF(AND(BQ$4=1,BQ48=0),1,0)</f>
        <v/>
      </c>
      <c r="BR98">
        <f>IF(AND(BR$4=1,BR48=0),1,0)</f>
        <v/>
      </c>
      <c r="BS98">
        <f>IF(AND(BS$4=1,BS48=0),1,0)</f>
        <v/>
      </c>
      <c r="BT98">
        <f>IF(AND(BT$4=1,BT48=0),1,0)</f>
        <v/>
      </c>
      <c r="BU98">
        <f>IF(AND(BU$4=1,BU48=0),1,0)</f>
        <v/>
      </c>
      <c r="BV98">
        <f>IF(AND(BV$4=1,BV48=0),1,0)</f>
        <v/>
      </c>
      <c r="BW98">
        <f>IF(AND(BW$4=1,BW48=0),1,0)</f>
        <v/>
      </c>
      <c r="BX98">
        <f>IF(AND(BX$4=1,BX48=0),1,0)</f>
        <v/>
      </c>
      <c r="BY98">
        <f>IF(AND(BY$4=1,BY48=0),1,0)</f>
        <v/>
      </c>
      <c r="BZ98">
        <f>IF(AND(BZ$4=1,BZ48=0),1,0)</f>
        <v/>
      </c>
      <c r="CA98">
        <f>IF(AND(CA$4=1,CA48=0),1,0)</f>
        <v/>
      </c>
      <c r="CB98">
        <f>IF(AND(CB$4=1,CB48=0),1,0)</f>
        <v/>
      </c>
      <c r="CC98">
        <f>IF(AND(CC$4=1,CC48=0),1,0)</f>
        <v/>
      </c>
      <c r="CD98">
        <f>IF(AND(CD$4=1,CD48=0),1,0)</f>
        <v/>
      </c>
      <c r="CE98">
        <f>IF(AND(CE$4=1,CE48=0),1,0)</f>
        <v/>
      </c>
      <c r="CF98">
        <f>IF(AND(CF$4=1,CF48=0),1,0)</f>
        <v/>
      </c>
      <c r="CG98">
        <f>IF(AND(CG$4=1,CG48=0),1,0)</f>
        <v/>
      </c>
      <c r="CH98">
        <f>IF(AND(CH$4=1,CH48=0),1,0)</f>
        <v/>
      </c>
      <c r="CI98">
        <f>IF(AND(CI$4=1,CI48=0),1,0)</f>
        <v/>
      </c>
      <c r="CJ98">
        <f>IF(AND(CJ$4=1,CJ48=0),1,0)</f>
        <v/>
      </c>
      <c r="CK98">
        <f>IF(AND(CK$4=1,CK48=0),1,0)</f>
        <v/>
      </c>
      <c r="CL98">
        <f>IF(AND(CL$4=1,CL48=0),1,0)</f>
        <v/>
      </c>
      <c r="CM98">
        <f>IF(AND(CM$4=1,CM48=0),1,0)</f>
        <v/>
      </c>
      <c r="CN98">
        <f>IF(AND(CN$4=1,CN48=0),1,0)</f>
        <v/>
      </c>
      <c r="CO98">
        <f>IF(AND(CO$4=1,CO48=0),1,0)</f>
        <v/>
      </c>
      <c r="CP98">
        <f>IF(AND(CP$4=1,CP48=0),1,0)</f>
        <v/>
      </c>
      <c r="CQ98">
        <f>IF(AND(CQ$4=1,CQ48=0),1,0)</f>
        <v/>
      </c>
      <c r="CR98">
        <f>IF(AND(CR$4=1,CR48=0),1,0)</f>
        <v/>
      </c>
      <c r="CS98">
        <f>IF(AND(CS$4=1,CS48=0),1,0)</f>
        <v/>
      </c>
      <c r="CT98">
        <f>IF(AND(CT$4=1,CT48=0),1,0)</f>
        <v/>
      </c>
      <c r="CU98">
        <f>IF(AND(CU$4=1,CU48=0),1,0)</f>
        <v/>
      </c>
      <c r="CV98">
        <f>IF(AND(CV$4=1,CV48=0),1,0)</f>
        <v/>
      </c>
      <c r="CW98">
        <f>IF(AND(CW$4=1,CW48=0),1,0)</f>
        <v/>
      </c>
      <c r="CX98">
        <f>IF(AND(CX$4=1,CX48=0),1,0)</f>
        <v/>
      </c>
      <c r="CY98">
        <f>IF(AND(CY$4=1,CY48=0),1,0)</f>
        <v/>
      </c>
      <c r="CZ98">
        <f>IF(AND(CZ$4=1,CZ48=0),1,0)</f>
        <v/>
      </c>
      <c r="DA98">
        <f>IF(AND(DA$4=1,DA48=0),1,0)</f>
        <v/>
      </c>
      <c r="DB98">
        <f>IF(AND(DB$4=1,DB48=0),1,0)</f>
        <v/>
      </c>
      <c r="DC98">
        <f>IF(AND(DC$4=1,DC48=0),1,0)</f>
        <v/>
      </c>
      <c r="DD98">
        <f>IF(AND(DD$4=1,DD48=0),1,0)</f>
        <v/>
      </c>
      <c r="DE98">
        <f>IF(AND(DE$4=1,DE48=0),1,0)</f>
        <v/>
      </c>
      <c r="DF98">
        <f>IF(AND(DF$4=1,DF48=0),1,0)</f>
        <v/>
      </c>
      <c r="DG98">
        <f>IF(AND(DG$4=1,DG48=0),1,0)</f>
        <v/>
      </c>
      <c r="DH98">
        <f>IF(AND(DH$4=1,DH48=0),1,0)</f>
        <v/>
      </c>
      <c r="DI98">
        <f>IF(AND(DI$4=1,DI48=0),1,0)</f>
        <v/>
      </c>
      <c r="DJ98">
        <f>IF(AND(DJ$4=1,DJ48=0),1,0)</f>
        <v/>
      </c>
      <c r="DK98">
        <f>IF(AND(DK$4=1,DK48=0),1,0)</f>
        <v/>
      </c>
      <c r="DL98">
        <f>IF(AND(DL$4=1,DL48=0),1,0)</f>
        <v/>
      </c>
      <c r="DM98">
        <f>IF(AND(DM$4=1,DM48=0),1,0)</f>
        <v/>
      </c>
      <c r="DN98">
        <f>IF(AND(DN$4=1,DN48=0),1,0)</f>
        <v/>
      </c>
      <c r="DO98">
        <f>IF(AND(DO$4=1,DO48=0),1,0)</f>
        <v/>
      </c>
      <c r="DP98">
        <f>IF(AND(DP$4=1,DP48=0),1,0)</f>
        <v/>
      </c>
      <c r="DQ98">
        <f>IF(AND(DQ$4=1,DQ48=0),1,0)</f>
        <v/>
      </c>
      <c r="DR98">
        <f>IF(AND(DR$4=1,DR48=0),1,0)</f>
        <v/>
      </c>
      <c r="DS98">
        <f>IF(AND(DS$4=1,DS48=0),1,0)</f>
        <v/>
      </c>
    </row>
    <row r="99">
      <c r="A99" t="n">
        <v>40</v>
      </c>
      <c r="D99">
        <f>IF(AND(D$4=1,D49=0),1,0)</f>
        <v/>
      </c>
      <c r="E99">
        <f>IF(AND(E$4=1,E49=0),1,0)</f>
        <v/>
      </c>
      <c r="F99">
        <f>IF(AND(F$4=1,F49=0),1,0)</f>
        <v/>
      </c>
      <c r="G99">
        <f>IF(AND(G$4=1,G49=0),1,0)</f>
        <v/>
      </c>
      <c r="H99">
        <f>IF(AND(H$4=1,H49=0),1,0)</f>
        <v/>
      </c>
      <c r="I99">
        <f>IF(AND(I$4=1,I49=0),1,0)</f>
        <v/>
      </c>
      <c r="J99">
        <f>IF(AND(J$4=1,J49=0),1,0)</f>
        <v/>
      </c>
      <c r="K99">
        <f>IF(AND(K$4=1,K49=0),1,0)</f>
        <v/>
      </c>
      <c r="L99">
        <f>IF(AND(L$4=1,L49=0),1,0)</f>
        <v/>
      </c>
      <c r="M99">
        <f>IF(AND(M$4=1,M49=0),1,0)</f>
        <v/>
      </c>
      <c r="N99">
        <f>IF(AND(N$4=1,N49=0),1,0)</f>
        <v/>
      </c>
      <c r="O99">
        <f>IF(AND(O$4=1,O49=0),1,0)</f>
        <v/>
      </c>
      <c r="P99">
        <f>IF(AND(P$4=1,P49=0),1,0)</f>
        <v/>
      </c>
      <c r="Q99">
        <f>IF(AND(Q$4=1,Q49=0),1,0)</f>
        <v/>
      </c>
      <c r="R99">
        <f>IF(AND(R$4=1,R49=0),1,0)</f>
        <v/>
      </c>
      <c r="S99">
        <f>IF(AND(S$4=1,S49=0),1,0)</f>
        <v/>
      </c>
      <c r="T99">
        <f>IF(AND(T$4=1,T49=0),1,0)</f>
        <v/>
      </c>
      <c r="U99">
        <f>IF(AND(U$4=1,U49=0),1,0)</f>
        <v/>
      </c>
      <c r="V99">
        <f>IF(AND(V$4=1,V49=0),1,0)</f>
        <v/>
      </c>
      <c r="W99">
        <f>IF(AND(W$4=1,W49=0),1,0)</f>
        <v/>
      </c>
      <c r="X99">
        <f>IF(AND(X$4=1,X49=0),1,0)</f>
        <v/>
      </c>
      <c r="Y99">
        <f>IF(AND(Y$4=1,Y49=0),1,0)</f>
        <v/>
      </c>
      <c r="Z99">
        <f>IF(AND(Z$4=1,Z49=0),1,0)</f>
        <v/>
      </c>
      <c r="AA99">
        <f>IF(AND(AA$4=1,AA49=0),1,0)</f>
        <v/>
      </c>
      <c r="AB99">
        <f>IF(AND(AB$4=1,AB49=0),1,0)</f>
        <v/>
      </c>
      <c r="AC99">
        <f>IF(AND(AC$4=1,AC49=0),1,0)</f>
        <v/>
      </c>
      <c r="AD99">
        <f>IF(AND(AD$4=1,AD49=0),1,0)</f>
        <v/>
      </c>
      <c r="AE99">
        <f>IF(AND(AE$4=1,AE49=0),1,0)</f>
        <v/>
      </c>
      <c r="AF99">
        <f>IF(AND(AF$4=1,AF49=0),1,0)</f>
        <v/>
      </c>
      <c r="AG99">
        <f>IF(AND(AG$4=1,AG49=0),1,0)</f>
        <v/>
      </c>
      <c r="AH99">
        <f>IF(AND(AH$4=1,AH49=0),1,0)</f>
        <v/>
      </c>
      <c r="AI99">
        <f>IF(AND(AI$4=1,AI49=0),1,0)</f>
        <v/>
      </c>
      <c r="AJ99">
        <f>IF(AND(AJ$4=1,AJ49=0),1,0)</f>
        <v/>
      </c>
      <c r="AK99">
        <f>IF(AND(AK$4=1,AK49=0),1,0)</f>
        <v/>
      </c>
      <c r="AL99">
        <f>IF(AND(AL$4=1,AL49=0),1,0)</f>
        <v/>
      </c>
      <c r="AM99">
        <f>IF(AND(AM$4=1,AM49=0),1,0)</f>
        <v/>
      </c>
      <c r="AN99">
        <f>IF(AND(AN$4=1,AN49=0),1,0)</f>
        <v/>
      </c>
      <c r="AO99">
        <f>IF(AND(AO$4=1,AO49=0),1,0)</f>
        <v/>
      </c>
      <c r="AP99">
        <f>IF(AND(AP$4=1,AP49=0),1,0)</f>
        <v/>
      </c>
      <c r="AQ99">
        <f>IF(AND(AQ$4=1,AQ49=0),1,0)</f>
        <v/>
      </c>
      <c r="AR99">
        <f>IF(AND(AR$4=1,AR49=0),1,0)</f>
        <v/>
      </c>
      <c r="AS99">
        <f>IF(AND(AS$4=1,AS49=0),1,0)</f>
        <v/>
      </c>
      <c r="AT99">
        <f>IF(AND(AT$4=1,AT49=0),1,0)</f>
        <v/>
      </c>
      <c r="AU99">
        <f>IF(AND(AU$4=1,AU49=0),1,0)</f>
        <v/>
      </c>
      <c r="AV99">
        <f>IF(AND(AV$4=1,AV49=0),1,0)</f>
        <v/>
      </c>
      <c r="AW99">
        <f>IF(AND(AW$4=1,AW49=0),1,0)</f>
        <v/>
      </c>
      <c r="AX99">
        <f>IF(AND(AX$4=1,AX49=0),1,0)</f>
        <v/>
      </c>
      <c r="AY99">
        <f>IF(AND(AY$4=1,AY49=0),1,0)</f>
        <v/>
      </c>
      <c r="AZ99">
        <f>IF(AND(AZ$4=1,AZ49=0),1,0)</f>
        <v/>
      </c>
      <c r="BA99">
        <f>IF(AND(BA$4=1,BA49=0),1,0)</f>
        <v/>
      </c>
      <c r="BB99">
        <f>IF(AND(BB$4=1,BB49=0),1,0)</f>
        <v/>
      </c>
      <c r="BC99">
        <f>IF(AND(BC$4=1,BC49=0),1,0)</f>
        <v/>
      </c>
      <c r="BD99">
        <f>IF(AND(BD$4=1,BD49=0),1,0)</f>
        <v/>
      </c>
      <c r="BE99">
        <f>IF(AND(BE$4=1,BE49=0),1,0)</f>
        <v/>
      </c>
      <c r="BF99">
        <f>IF(AND(BF$4=1,BF49=0),1,0)</f>
        <v/>
      </c>
      <c r="BG99">
        <f>IF(AND(BG$4=1,BG49=0),1,0)</f>
        <v/>
      </c>
      <c r="BH99">
        <f>IF(AND(BH$4=1,BH49=0),1,0)</f>
        <v/>
      </c>
      <c r="BI99">
        <f>IF(AND(BI$4=1,BI49=0),1,0)</f>
        <v/>
      </c>
      <c r="BJ99">
        <f>IF(AND(BJ$4=1,BJ49=0),1,0)</f>
        <v/>
      </c>
      <c r="BK99">
        <f>IF(AND(BK$4=1,BK49=0),1,0)</f>
        <v/>
      </c>
      <c r="BL99">
        <f>IF(AND(BL$4=1,BL49=0),1,0)</f>
        <v/>
      </c>
      <c r="BM99">
        <f>IF(AND(BM$4=1,BM49=0),1,0)</f>
        <v/>
      </c>
      <c r="BN99">
        <f>IF(AND(BN$4=1,BN49=0),1,0)</f>
        <v/>
      </c>
      <c r="BO99">
        <f>IF(AND(BO$4=1,BO49=0),1,0)</f>
        <v/>
      </c>
      <c r="BP99">
        <f>IF(AND(BP$4=1,BP49=0),1,0)</f>
        <v/>
      </c>
      <c r="BQ99">
        <f>IF(AND(BQ$4=1,BQ49=0),1,0)</f>
        <v/>
      </c>
      <c r="BR99">
        <f>IF(AND(BR$4=1,BR49=0),1,0)</f>
        <v/>
      </c>
      <c r="BS99">
        <f>IF(AND(BS$4=1,BS49=0),1,0)</f>
        <v/>
      </c>
      <c r="BT99">
        <f>IF(AND(BT$4=1,BT49=0),1,0)</f>
        <v/>
      </c>
      <c r="BU99">
        <f>IF(AND(BU$4=1,BU49=0),1,0)</f>
        <v/>
      </c>
      <c r="BV99">
        <f>IF(AND(BV$4=1,BV49=0),1,0)</f>
        <v/>
      </c>
      <c r="BW99">
        <f>IF(AND(BW$4=1,BW49=0),1,0)</f>
        <v/>
      </c>
      <c r="BX99">
        <f>IF(AND(BX$4=1,BX49=0),1,0)</f>
        <v/>
      </c>
      <c r="BY99">
        <f>IF(AND(BY$4=1,BY49=0),1,0)</f>
        <v/>
      </c>
      <c r="BZ99">
        <f>IF(AND(BZ$4=1,BZ49=0),1,0)</f>
        <v/>
      </c>
      <c r="CA99">
        <f>IF(AND(CA$4=1,CA49=0),1,0)</f>
        <v/>
      </c>
      <c r="CB99">
        <f>IF(AND(CB$4=1,CB49=0),1,0)</f>
        <v/>
      </c>
      <c r="CC99">
        <f>IF(AND(CC$4=1,CC49=0),1,0)</f>
        <v/>
      </c>
      <c r="CD99">
        <f>IF(AND(CD$4=1,CD49=0),1,0)</f>
        <v/>
      </c>
      <c r="CE99">
        <f>IF(AND(CE$4=1,CE49=0),1,0)</f>
        <v/>
      </c>
      <c r="CF99">
        <f>IF(AND(CF$4=1,CF49=0),1,0)</f>
        <v/>
      </c>
      <c r="CG99">
        <f>IF(AND(CG$4=1,CG49=0),1,0)</f>
        <v/>
      </c>
      <c r="CH99">
        <f>IF(AND(CH$4=1,CH49=0),1,0)</f>
        <v/>
      </c>
      <c r="CI99">
        <f>IF(AND(CI$4=1,CI49=0),1,0)</f>
        <v/>
      </c>
      <c r="CJ99">
        <f>IF(AND(CJ$4=1,CJ49=0),1,0)</f>
        <v/>
      </c>
      <c r="CK99">
        <f>IF(AND(CK$4=1,CK49=0),1,0)</f>
        <v/>
      </c>
      <c r="CL99">
        <f>IF(AND(CL$4=1,CL49=0),1,0)</f>
        <v/>
      </c>
      <c r="CM99">
        <f>IF(AND(CM$4=1,CM49=0),1,0)</f>
        <v/>
      </c>
      <c r="CN99">
        <f>IF(AND(CN$4=1,CN49=0),1,0)</f>
        <v/>
      </c>
      <c r="CO99">
        <f>IF(AND(CO$4=1,CO49=0),1,0)</f>
        <v/>
      </c>
      <c r="CP99">
        <f>IF(AND(CP$4=1,CP49=0),1,0)</f>
        <v/>
      </c>
      <c r="CQ99">
        <f>IF(AND(CQ$4=1,CQ49=0),1,0)</f>
        <v/>
      </c>
      <c r="CR99">
        <f>IF(AND(CR$4=1,CR49=0),1,0)</f>
        <v/>
      </c>
      <c r="CS99">
        <f>IF(AND(CS$4=1,CS49=0),1,0)</f>
        <v/>
      </c>
      <c r="CT99">
        <f>IF(AND(CT$4=1,CT49=0),1,0)</f>
        <v/>
      </c>
      <c r="CU99">
        <f>IF(AND(CU$4=1,CU49=0),1,0)</f>
        <v/>
      </c>
      <c r="CV99">
        <f>IF(AND(CV$4=1,CV49=0),1,0)</f>
        <v/>
      </c>
      <c r="CW99">
        <f>IF(AND(CW$4=1,CW49=0),1,0)</f>
        <v/>
      </c>
      <c r="CX99">
        <f>IF(AND(CX$4=1,CX49=0),1,0)</f>
        <v/>
      </c>
      <c r="CY99">
        <f>IF(AND(CY$4=1,CY49=0),1,0)</f>
        <v/>
      </c>
      <c r="CZ99">
        <f>IF(AND(CZ$4=1,CZ49=0),1,0)</f>
        <v/>
      </c>
      <c r="DA99">
        <f>IF(AND(DA$4=1,DA49=0),1,0)</f>
        <v/>
      </c>
      <c r="DB99">
        <f>IF(AND(DB$4=1,DB49=0),1,0)</f>
        <v/>
      </c>
      <c r="DC99">
        <f>IF(AND(DC$4=1,DC49=0),1,0)</f>
        <v/>
      </c>
      <c r="DD99">
        <f>IF(AND(DD$4=1,DD49=0),1,0)</f>
        <v/>
      </c>
      <c r="DE99">
        <f>IF(AND(DE$4=1,DE49=0),1,0)</f>
        <v/>
      </c>
      <c r="DF99">
        <f>IF(AND(DF$4=1,DF49=0),1,0)</f>
        <v/>
      </c>
      <c r="DG99">
        <f>IF(AND(DG$4=1,DG49=0),1,0)</f>
        <v/>
      </c>
      <c r="DH99">
        <f>IF(AND(DH$4=1,DH49=0),1,0)</f>
        <v/>
      </c>
      <c r="DI99">
        <f>IF(AND(DI$4=1,DI49=0),1,0)</f>
        <v/>
      </c>
      <c r="DJ99">
        <f>IF(AND(DJ$4=1,DJ49=0),1,0)</f>
        <v/>
      </c>
      <c r="DK99">
        <f>IF(AND(DK$4=1,DK49=0),1,0)</f>
        <v/>
      </c>
      <c r="DL99">
        <f>IF(AND(DL$4=1,DL49=0),1,0)</f>
        <v/>
      </c>
      <c r="DM99">
        <f>IF(AND(DM$4=1,DM49=0),1,0)</f>
        <v/>
      </c>
      <c r="DN99">
        <f>IF(AND(DN$4=1,DN49=0),1,0)</f>
        <v/>
      </c>
      <c r="DO99">
        <f>IF(AND(DO$4=1,DO49=0),1,0)</f>
        <v/>
      </c>
      <c r="DP99">
        <f>IF(AND(DP$4=1,DP49=0),1,0)</f>
        <v/>
      </c>
      <c r="DQ99">
        <f>IF(AND(DQ$4=1,DQ49=0),1,0)</f>
        <v/>
      </c>
      <c r="DR99">
        <f>IF(AND(DR$4=1,DR49=0),1,0)</f>
        <v/>
      </c>
      <c r="DS99">
        <f>IF(AND(DS$4=1,DS49=0),1,0)</f>
        <v/>
      </c>
    </row>
    <row r="100">
      <c r="A100" t="n">
        <v>41</v>
      </c>
      <c r="D100">
        <f>IF(AND(D$4=1,D50=0),1,0)</f>
        <v/>
      </c>
      <c r="E100">
        <f>IF(AND(E$4=1,E50=0),1,0)</f>
        <v/>
      </c>
      <c r="F100">
        <f>IF(AND(F$4=1,F50=0),1,0)</f>
        <v/>
      </c>
      <c r="G100">
        <f>IF(AND(G$4=1,G50=0),1,0)</f>
        <v/>
      </c>
      <c r="H100">
        <f>IF(AND(H$4=1,H50=0),1,0)</f>
        <v/>
      </c>
      <c r="I100">
        <f>IF(AND(I$4=1,I50=0),1,0)</f>
        <v/>
      </c>
      <c r="J100">
        <f>IF(AND(J$4=1,J50=0),1,0)</f>
        <v/>
      </c>
      <c r="K100">
        <f>IF(AND(K$4=1,K50=0),1,0)</f>
        <v/>
      </c>
      <c r="L100">
        <f>IF(AND(L$4=1,L50=0),1,0)</f>
        <v/>
      </c>
      <c r="M100">
        <f>IF(AND(M$4=1,M50=0),1,0)</f>
        <v/>
      </c>
      <c r="N100">
        <f>IF(AND(N$4=1,N50=0),1,0)</f>
        <v/>
      </c>
      <c r="O100">
        <f>IF(AND(O$4=1,O50=0),1,0)</f>
        <v/>
      </c>
      <c r="P100">
        <f>IF(AND(P$4=1,P50=0),1,0)</f>
        <v/>
      </c>
      <c r="Q100">
        <f>IF(AND(Q$4=1,Q50=0),1,0)</f>
        <v/>
      </c>
      <c r="R100">
        <f>IF(AND(R$4=1,R50=0),1,0)</f>
        <v/>
      </c>
      <c r="S100">
        <f>IF(AND(S$4=1,S50=0),1,0)</f>
        <v/>
      </c>
      <c r="T100">
        <f>IF(AND(T$4=1,T50=0),1,0)</f>
        <v/>
      </c>
      <c r="U100">
        <f>IF(AND(U$4=1,U50=0),1,0)</f>
        <v/>
      </c>
      <c r="V100">
        <f>IF(AND(V$4=1,V50=0),1,0)</f>
        <v/>
      </c>
      <c r="W100">
        <f>IF(AND(W$4=1,W50=0),1,0)</f>
        <v/>
      </c>
      <c r="X100">
        <f>IF(AND(X$4=1,X50=0),1,0)</f>
        <v/>
      </c>
      <c r="Y100">
        <f>IF(AND(Y$4=1,Y50=0),1,0)</f>
        <v/>
      </c>
      <c r="Z100">
        <f>IF(AND(Z$4=1,Z50=0),1,0)</f>
        <v/>
      </c>
      <c r="AA100">
        <f>IF(AND(AA$4=1,AA50=0),1,0)</f>
        <v/>
      </c>
      <c r="AB100">
        <f>IF(AND(AB$4=1,AB50=0),1,0)</f>
        <v/>
      </c>
      <c r="AC100">
        <f>IF(AND(AC$4=1,AC50=0),1,0)</f>
        <v/>
      </c>
      <c r="AD100">
        <f>IF(AND(AD$4=1,AD50=0),1,0)</f>
        <v/>
      </c>
      <c r="AE100">
        <f>IF(AND(AE$4=1,AE50=0),1,0)</f>
        <v/>
      </c>
      <c r="AF100">
        <f>IF(AND(AF$4=1,AF50=0),1,0)</f>
        <v/>
      </c>
      <c r="AG100">
        <f>IF(AND(AG$4=1,AG50=0),1,0)</f>
        <v/>
      </c>
      <c r="AH100">
        <f>IF(AND(AH$4=1,AH50=0),1,0)</f>
        <v/>
      </c>
      <c r="AI100">
        <f>IF(AND(AI$4=1,AI50=0),1,0)</f>
        <v/>
      </c>
      <c r="AJ100">
        <f>IF(AND(AJ$4=1,AJ50=0),1,0)</f>
        <v/>
      </c>
      <c r="AK100">
        <f>IF(AND(AK$4=1,AK50=0),1,0)</f>
        <v/>
      </c>
      <c r="AL100">
        <f>IF(AND(AL$4=1,AL50=0),1,0)</f>
        <v/>
      </c>
      <c r="AM100">
        <f>IF(AND(AM$4=1,AM50=0),1,0)</f>
        <v/>
      </c>
      <c r="AN100">
        <f>IF(AND(AN$4=1,AN50=0),1,0)</f>
        <v/>
      </c>
      <c r="AO100">
        <f>IF(AND(AO$4=1,AO50=0),1,0)</f>
        <v/>
      </c>
      <c r="AP100">
        <f>IF(AND(AP$4=1,AP50=0),1,0)</f>
        <v/>
      </c>
      <c r="AQ100">
        <f>IF(AND(AQ$4=1,AQ50=0),1,0)</f>
        <v/>
      </c>
      <c r="AR100">
        <f>IF(AND(AR$4=1,AR50=0),1,0)</f>
        <v/>
      </c>
      <c r="AS100">
        <f>IF(AND(AS$4=1,AS50=0),1,0)</f>
        <v/>
      </c>
      <c r="AT100">
        <f>IF(AND(AT$4=1,AT50=0),1,0)</f>
        <v/>
      </c>
      <c r="AU100">
        <f>IF(AND(AU$4=1,AU50=0),1,0)</f>
        <v/>
      </c>
      <c r="AV100">
        <f>IF(AND(AV$4=1,AV50=0),1,0)</f>
        <v/>
      </c>
      <c r="AW100">
        <f>IF(AND(AW$4=1,AW50=0),1,0)</f>
        <v/>
      </c>
      <c r="AX100">
        <f>IF(AND(AX$4=1,AX50=0),1,0)</f>
        <v/>
      </c>
      <c r="AY100">
        <f>IF(AND(AY$4=1,AY50=0),1,0)</f>
        <v/>
      </c>
      <c r="AZ100">
        <f>IF(AND(AZ$4=1,AZ50=0),1,0)</f>
        <v/>
      </c>
      <c r="BA100">
        <f>IF(AND(BA$4=1,BA50=0),1,0)</f>
        <v/>
      </c>
      <c r="BB100">
        <f>IF(AND(BB$4=1,BB50=0),1,0)</f>
        <v/>
      </c>
      <c r="BC100">
        <f>IF(AND(BC$4=1,BC50=0),1,0)</f>
        <v/>
      </c>
      <c r="BD100">
        <f>IF(AND(BD$4=1,BD50=0),1,0)</f>
        <v/>
      </c>
      <c r="BE100">
        <f>IF(AND(BE$4=1,BE50=0),1,0)</f>
        <v/>
      </c>
      <c r="BF100">
        <f>IF(AND(BF$4=1,BF50=0),1,0)</f>
        <v/>
      </c>
      <c r="BG100">
        <f>IF(AND(BG$4=1,BG50=0),1,0)</f>
        <v/>
      </c>
      <c r="BH100">
        <f>IF(AND(BH$4=1,BH50=0),1,0)</f>
        <v/>
      </c>
      <c r="BI100">
        <f>IF(AND(BI$4=1,BI50=0),1,0)</f>
        <v/>
      </c>
      <c r="BJ100">
        <f>IF(AND(BJ$4=1,BJ50=0),1,0)</f>
        <v/>
      </c>
      <c r="BK100">
        <f>IF(AND(BK$4=1,BK50=0),1,0)</f>
        <v/>
      </c>
      <c r="BL100">
        <f>IF(AND(BL$4=1,BL50=0),1,0)</f>
        <v/>
      </c>
      <c r="BM100">
        <f>IF(AND(BM$4=1,BM50=0),1,0)</f>
        <v/>
      </c>
      <c r="BN100">
        <f>IF(AND(BN$4=1,BN50=0),1,0)</f>
        <v/>
      </c>
      <c r="BO100">
        <f>IF(AND(BO$4=1,BO50=0),1,0)</f>
        <v/>
      </c>
      <c r="BP100">
        <f>IF(AND(BP$4=1,BP50=0),1,0)</f>
        <v/>
      </c>
      <c r="BQ100">
        <f>IF(AND(BQ$4=1,BQ50=0),1,0)</f>
        <v/>
      </c>
      <c r="BR100">
        <f>IF(AND(BR$4=1,BR50=0),1,0)</f>
        <v/>
      </c>
      <c r="BS100">
        <f>IF(AND(BS$4=1,BS50=0),1,0)</f>
        <v/>
      </c>
      <c r="BT100">
        <f>IF(AND(BT$4=1,BT50=0),1,0)</f>
        <v/>
      </c>
      <c r="BU100">
        <f>IF(AND(BU$4=1,BU50=0),1,0)</f>
        <v/>
      </c>
      <c r="BV100">
        <f>IF(AND(BV$4=1,BV50=0),1,0)</f>
        <v/>
      </c>
      <c r="BW100">
        <f>IF(AND(BW$4=1,BW50=0),1,0)</f>
        <v/>
      </c>
      <c r="BX100">
        <f>IF(AND(BX$4=1,BX50=0),1,0)</f>
        <v/>
      </c>
      <c r="BY100">
        <f>IF(AND(BY$4=1,BY50=0),1,0)</f>
        <v/>
      </c>
      <c r="BZ100">
        <f>IF(AND(BZ$4=1,BZ50=0),1,0)</f>
        <v/>
      </c>
      <c r="CA100">
        <f>IF(AND(CA$4=1,CA50=0),1,0)</f>
        <v/>
      </c>
      <c r="CB100">
        <f>IF(AND(CB$4=1,CB50=0),1,0)</f>
        <v/>
      </c>
      <c r="CC100">
        <f>IF(AND(CC$4=1,CC50=0),1,0)</f>
        <v/>
      </c>
      <c r="CD100">
        <f>IF(AND(CD$4=1,CD50=0),1,0)</f>
        <v/>
      </c>
      <c r="CE100">
        <f>IF(AND(CE$4=1,CE50=0),1,0)</f>
        <v/>
      </c>
      <c r="CF100">
        <f>IF(AND(CF$4=1,CF50=0),1,0)</f>
        <v/>
      </c>
      <c r="CG100">
        <f>IF(AND(CG$4=1,CG50=0),1,0)</f>
        <v/>
      </c>
      <c r="CH100">
        <f>IF(AND(CH$4=1,CH50=0),1,0)</f>
        <v/>
      </c>
      <c r="CI100">
        <f>IF(AND(CI$4=1,CI50=0),1,0)</f>
        <v/>
      </c>
      <c r="CJ100">
        <f>IF(AND(CJ$4=1,CJ50=0),1,0)</f>
        <v/>
      </c>
      <c r="CK100">
        <f>IF(AND(CK$4=1,CK50=0),1,0)</f>
        <v/>
      </c>
      <c r="CL100">
        <f>IF(AND(CL$4=1,CL50=0),1,0)</f>
        <v/>
      </c>
      <c r="CM100">
        <f>IF(AND(CM$4=1,CM50=0),1,0)</f>
        <v/>
      </c>
      <c r="CN100">
        <f>IF(AND(CN$4=1,CN50=0),1,0)</f>
        <v/>
      </c>
      <c r="CO100">
        <f>IF(AND(CO$4=1,CO50=0),1,0)</f>
        <v/>
      </c>
      <c r="CP100">
        <f>IF(AND(CP$4=1,CP50=0),1,0)</f>
        <v/>
      </c>
      <c r="CQ100">
        <f>IF(AND(CQ$4=1,CQ50=0),1,0)</f>
        <v/>
      </c>
      <c r="CR100">
        <f>IF(AND(CR$4=1,CR50=0),1,0)</f>
        <v/>
      </c>
      <c r="CS100">
        <f>IF(AND(CS$4=1,CS50=0),1,0)</f>
        <v/>
      </c>
      <c r="CT100">
        <f>IF(AND(CT$4=1,CT50=0),1,0)</f>
        <v/>
      </c>
      <c r="CU100">
        <f>IF(AND(CU$4=1,CU50=0),1,0)</f>
        <v/>
      </c>
      <c r="CV100">
        <f>IF(AND(CV$4=1,CV50=0),1,0)</f>
        <v/>
      </c>
      <c r="CW100">
        <f>IF(AND(CW$4=1,CW50=0),1,0)</f>
        <v/>
      </c>
      <c r="CX100">
        <f>IF(AND(CX$4=1,CX50=0),1,0)</f>
        <v/>
      </c>
      <c r="CY100">
        <f>IF(AND(CY$4=1,CY50=0),1,0)</f>
        <v/>
      </c>
      <c r="CZ100">
        <f>IF(AND(CZ$4=1,CZ50=0),1,0)</f>
        <v/>
      </c>
      <c r="DA100">
        <f>IF(AND(DA$4=1,DA50=0),1,0)</f>
        <v/>
      </c>
      <c r="DB100">
        <f>IF(AND(DB$4=1,DB50=0),1,0)</f>
        <v/>
      </c>
      <c r="DC100">
        <f>IF(AND(DC$4=1,DC50=0),1,0)</f>
        <v/>
      </c>
      <c r="DD100">
        <f>IF(AND(DD$4=1,DD50=0),1,0)</f>
        <v/>
      </c>
      <c r="DE100">
        <f>IF(AND(DE$4=1,DE50=0),1,0)</f>
        <v/>
      </c>
      <c r="DF100">
        <f>IF(AND(DF$4=1,DF50=0),1,0)</f>
        <v/>
      </c>
      <c r="DG100">
        <f>IF(AND(DG$4=1,DG50=0),1,0)</f>
        <v/>
      </c>
      <c r="DH100">
        <f>IF(AND(DH$4=1,DH50=0),1,0)</f>
        <v/>
      </c>
      <c r="DI100">
        <f>IF(AND(DI$4=1,DI50=0),1,0)</f>
        <v/>
      </c>
      <c r="DJ100">
        <f>IF(AND(DJ$4=1,DJ50=0),1,0)</f>
        <v/>
      </c>
      <c r="DK100">
        <f>IF(AND(DK$4=1,DK50=0),1,0)</f>
        <v/>
      </c>
      <c r="DL100">
        <f>IF(AND(DL$4=1,DL50=0),1,0)</f>
        <v/>
      </c>
      <c r="DM100">
        <f>IF(AND(DM$4=1,DM50=0),1,0)</f>
        <v/>
      </c>
      <c r="DN100">
        <f>IF(AND(DN$4=1,DN50=0),1,0)</f>
        <v/>
      </c>
      <c r="DO100">
        <f>IF(AND(DO$4=1,DO50=0),1,0)</f>
        <v/>
      </c>
      <c r="DP100">
        <f>IF(AND(DP$4=1,DP50=0),1,0)</f>
        <v/>
      </c>
      <c r="DQ100">
        <f>IF(AND(DQ$4=1,DQ50=0),1,0)</f>
        <v/>
      </c>
      <c r="DR100">
        <f>IF(AND(DR$4=1,DR50=0),1,0)</f>
        <v/>
      </c>
      <c r="DS100">
        <f>IF(AND(DS$4=1,DS50=0),1,0)</f>
        <v/>
      </c>
    </row>
    <row r="101">
      <c r="A101" t="n">
        <v>42</v>
      </c>
      <c r="D101">
        <f>IF(AND(D$4=1,D51=0),1,0)</f>
        <v/>
      </c>
      <c r="E101">
        <f>IF(AND(E$4=1,E51=0),1,0)</f>
        <v/>
      </c>
      <c r="F101">
        <f>IF(AND(F$4=1,F51=0),1,0)</f>
        <v/>
      </c>
      <c r="G101">
        <f>IF(AND(G$4=1,G51=0),1,0)</f>
        <v/>
      </c>
      <c r="H101">
        <f>IF(AND(H$4=1,H51=0),1,0)</f>
        <v/>
      </c>
      <c r="I101">
        <f>IF(AND(I$4=1,I51=0),1,0)</f>
        <v/>
      </c>
      <c r="J101">
        <f>IF(AND(J$4=1,J51=0),1,0)</f>
        <v/>
      </c>
      <c r="K101">
        <f>IF(AND(K$4=1,K51=0),1,0)</f>
        <v/>
      </c>
      <c r="L101">
        <f>IF(AND(L$4=1,L51=0),1,0)</f>
        <v/>
      </c>
      <c r="M101">
        <f>IF(AND(M$4=1,M51=0),1,0)</f>
        <v/>
      </c>
      <c r="N101">
        <f>IF(AND(N$4=1,N51=0),1,0)</f>
        <v/>
      </c>
      <c r="O101">
        <f>IF(AND(O$4=1,O51=0),1,0)</f>
        <v/>
      </c>
      <c r="P101">
        <f>IF(AND(P$4=1,P51=0),1,0)</f>
        <v/>
      </c>
      <c r="Q101">
        <f>IF(AND(Q$4=1,Q51=0),1,0)</f>
        <v/>
      </c>
      <c r="R101">
        <f>IF(AND(R$4=1,R51=0),1,0)</f>
        <v/>
      </c>
      <c r="S101">
        <f>IF(AND(S$4=1,S51=0),1,0)</f>
        <v/>
      </c>
      <c r="T101">
        <f>IF(AND(T$4=1,T51=0),1,0)</f>
        <v/>
      </c>
      <c r="U101">
        <f>IF(AND(U$4=1,U51=0),1,0)</f>
        <v/>
      </c>
      <c r="V101">
        <f>IF(AND(V$4=1,V51=0),1,0)</f>
        <v/>
      </c>
      <c r="W101">
        <f>IF(AND(W$4=1,W51=0),1,0)</f>
        <v/>
      </c>
      <c r="X101">
        <f>IF(AND(X$4=1,X51=0),1,0)</f>
        <v/>
      </c>
      <c r="Y101">
        <f>IF(AND(Y$4=1,Y51=0),1,0)</f>
        <v/>
      </c>
      <c r="Z101">
        <f>IF(AND(Z$4=1,Z51=0),1,0)</f>
        <v/>
      </c>
      <c r="AA101">
        <f>IF(AND(AA$4=1,AA51=0),1,0)</f>
        <v/>
      </c>
      <c r="AB101">
        <f>IF(AND(AB$4=1,AB51=0),1,0)</f>
        <v/>
      </c>
      <c r="AC101">
        <f>IF(AND(AC$4=1,AC51=0),1,0)</f>
        <v/>
      </c>
      <c r="AD101">
        <f>IF(AND(AD$4=1,AD51=0),1,0)</f>
        <v/>
      </c>
      <c r="AE101">
        <f>IF(AND(AE$4=1,AE51=0),1,0)</f>
        <v/>
      </c>
      <c r="AF101">
        <f>IF(AND(AF$4=1,AF51=0),1,0)</f>
        <v/>
      </c>
      <c r="AG101">
        <f>IF(AND(AG$4=1,AG51=0),1,0)</f>
        <v/>
      </c>
      <c r="AH101">
        <f>IF(AND(AH$4=1,AH51=0),1,0)</f>
        <v/>
      </c>
      <c r="AI101">
        <f>IF(AND(AI$4=1,AI51=0),1,0)</f>
        <v/>
      </c>
      <c r="AJ101">
        <f>IF(AND(AJ$4=1,AJ51=0),1,0)</f>
        <v/>
      </c>
      <c r="AK101">
        <f>IF(AND(AK$4=1,AK51=0),1,0)</f>
        <v/>
      </c>
      <c r="AL101">
        <f>IF(AND(AL$4=1,AL51=0),1,0)</f>
        <v/>
      </c>
      <c r="AM101">
        <f>IF(AND(AM$4=1,AM51=0),1,0)</f>
        <v/>
      </c>
      <c r="AN101">
        <f>IF(AND(AN$4=1,AN51=0),1,0)</f>
        <v/>
      </c>
      <c r="AO101">
        <f>IF(AND(AO$4=1,AO51=0),1,0)</f>
        <v/>
      </c>
      <c r="AP101">
        <f>IF(AND(AP$4=1,AP51=0),1,0)</f>
        <v/>
      </c>
      <c r="AQ101">
        <f>IF(AND(AQ$4=1,AQ51=0),1,0)</f>
        <v/>
      </c>
      <c r="AR101">
        <f>IF(AND(AR$4=1,AR51=0),1,0)</f>
        <v/>
      </c>
      <c r="AS101">
        <f>IF(AND(AS$4=1,AS51=0),1,0)</f>
        <v/>
      </c>
      <c r="AT101">
        <f>IF(AND(AT$4=1,AT51=0),1,0)</f>
        <v/>
      </c>
      <c r="AU101">
        <f>IF(AND(AU$4=1,AU51=0),1,0)</f>
        <v/>
      </c>
      <c r="AV101">
        <f>IF(AND(AV$4=1,AV51=0),1,0)</f>
        <v/>
      </c>
      <c r="AW101">
        <f>IF(AND(AW$4=1,AW51=0),1,0)</f>
        <v/>
      </c>
      <c r="AX101">
        <f>IF(AND(AX$4=1,AX51=0),1,0)</f>
        <v/>
      </c>
      <c r="AY101">
        <f>IF(AND(AY$4=1,AY51=0),1,0)</f>
        <v/>
      </c>
      <c r="AZ101">
        <f>IF(AND(AZ$4=1,AZ51=0),1,0)</f>
        <v/>
      </c>
      <c r="BA101">
        <f>IF(AND(BA$4=1,BA51=0),1,0)</f>
        <v/>
      </c>
      <c r="BB101">
        <f>IF(AND(BB$4=1,BB51=0),1,0)</f>
        <v/>
      </c>
      <c r="BC101">
        <f>IF(AND(BC$4=1,BC51=0),1,0)</f>
        <v/>
      </c>
      <c r="BD101">
        <f>IF(AND(BD$4=1,BD51=0),1,0)</f>
        <v/>
      </c>
      <c r="BE101">
        <f>IF(AND(BE$4=1,BE51=0),1,0)</f>
        <v/>
      </c>
      <c r="BF101">
        <f>IF(AND(BF$4=1,BF51=0),1,0)</f>
        <v/>
      </c>
      <c r="BG101">
        <f>IF(AND(BG$4=1,BG51=0),1,0)</f>
        <v/>
      </c>
      <c r="BH101">
        <f>IF(AND(BH$4=1,BH51=0),1,0)</f>
        <v/>
      </c>
      <c r="BI101">
        <f>IF(AND(BI$4=1,BI51=0),1,0)</f>
        <v/>
      </c>
      <c r="BJ101">
        <f>IF(AND(BJ$4=1,BJ51=0),1,0)</f>
        <v/>
      </c>
      <c r="BK101">
        <f>IF(AND(BK$4=1,BK51=0),1,0)</f>
        <v/>
      </c>
      <c r="BL101">
        <f>IF(AND(BL$4=1,BL51=0),1,0)</f>
        <v/>
      </c>
      <c r="BM101">
        <f>IF(AND(BM$4=1,BM51=0),1,0)</f>
        <v/>
      </c>
      <c r="BN101">
        <f>IF(AND(BN$4=1,BN51=0),1,0)</f>
        <v/>
      </c>
      <c r="BO101">
        <f>IF(AND(BO$4=1,BO51=0),1,0)</f>
        <v/>
      </c>
      <c r="BP101">
        <f>IF(AND(BP$4=1,BP51=0),1,0)</f>
        <v/>
      </c>
      <c r="BQ101">
        <f>IF(AND(BQ$4=1,BQ51=0),1,0)</f>
        <v/>
      </c>
      <c r="BR101">
        <f>IF(AND(BR$4=1,BR51=0),1,0)</f>
        <v/>
      </c>
      <c r="BS101">
        <f>IF(AND(BS$4=1,BS51=0),1,0)</f>
        <v/>
      </c>
      <c r="BT101">
        <f>IF(AND(BT$4=1,BT51=0),1,0)</f>
        <v/>
      </c>
      <c r="BU101">
        <f>IF(AND(BU$4=1,BU51=0),1,0)</f>
        <v/>
      </c>
      <c r="BV101">
        <f>IF(AND(BV$4=1,BV51=0),1,0)</f>
        <v/>
      </c>
      <c r="BW101">
        <f>IF(AND(BW$4=1,BW51=0),1,0)</f>
        <v/>
      </c>
      <c r="BX101">
        <f>IF(AND(BX$4=1,BX51=0),1,0)</f>
        <v/>
      </c>
      <c r="BY101">
        <f>IF(AND(BY$4=1,BY51=0),1,0)</f>
        <v/>
      </c>
      <c r="BZ101">
        <f>IF(AND(BZ$4=1,BZ51=0),1,0)</f>
        <v/>
      </c>
      <c r="CA101">
        <f>IF(AND(CA$4=1,CA51=0),1,0)</f>
        <v/>
      </c>
      <c r="CB101">
        <f>IF(AND(CB$4=1,CB51=0),1,0)</f>
        <v/>
      </c>
      <c r="CC101">
        <f>IF(AND(CC$4=1,CC51=0),1,0)</f>
        <v/>
      </c>
      <c r="CD101">
        <f>IF(AND(CD$4=1,CD51=0),1,0)</f>
        <v/>
      </c>
      <c r="CE101">
        <f>IF(AND(CE$4=1,CE51=0),1,0)</f>
        <v/>
      </c>
      <c r="CF101">
        <f>IF(AND(CF$4=1,CF51=0),1,0)</f>
        <v/>
      </c>
      <c r="CG101">
        <f>IF(AND(CG$4=1,CG51=0),1,0)</f>
        <v/>
      </c>
      <c r="CH101">
        <f>IF(AND(CH$4=1,CH51=0),1,0)</f>
        <v/>
      </c>
      <c r="CI101">
        <f>IF(AND(CI$4=1,CI51=0),1,0)</f>
        <v/>
      </c>
      <c r="CJ101">
        <f>IF(AND(CJ$4=1,CJ51=0),1,0)</f>
        <v/>
      </c>
      <c r="CK101">
        <f>IF(AND(CK$4=1,CK51=0),1,0)</f>
        <v/>
      </c>
      <c r="CL101">
        <f>IF(AND(CL$4=1,CL51=0),1,0)</f>
        <v/>
      </c>
      <c r="CM101">
        <f>IF(AND(CM$4=1,CM51=0),1,0)</f>
        <v/>
      </c>
      <c r="CN101">
        <f>IF(AND(CN$4=1,CN51=0),1,0)</f>
        <v/>
      </c>
      <c r="CO101">
        <f>IF(AND(CO$4=1,CO51=0),1,0)</f>
        <v/>
      </c>
      <c r="CP101">
        <f>IF(AND(CP$4=1,CP51=0),1,0)</f>
        <v/>
      </c>
      <c r="CQ101">
        <f>IF(AND(CQ$4=1,CQ51=0),1,0)</f>
        <v/>
      </c>
      <c r="CR101">
        <f>IF(AND(CR$4=1,CR51=0),1,0)</f>
        <v/>
      </c>
      <c r="CS101">
        <f>IF(AND(CS$4=1,CS51=0),1,0)</f>
        <v/>
      </c>
      <c r="CT101">
        <f>IF(AND(CT$4=1,CT51=0),1,0)</f>
        <v/>
      </c>
      <c r="CU101">
        <f>IF(AND(CU$4=1,CU51=0),1,0)</f>
        <v/>
      </c>
      <c r="CV101">
        <f>IF(AND(CV$4=1,CV51=0),1,0)</f>
        <v/>
      </c>
      <c r="CW101">
        <f>IF(AND(CW$4=1,CW51=0),1,0)</f>
        <v/>
      </c>
      <c r="CX101">
        <f>IF(AND(CX$4=1,CX51=0),1,0)</f>
        <v/>
      </c>
      <c r="CY101">
        <f>IF(AND(CY$4=1,CY51=0),1,0)</f>
        <v/>
      </c>
      <c r="CZ101">
        <f>IF(AND(CZ$4=1,CZ51=0),1,0)</f>
        <v/>
      </c>
      <c r="DA101">
        <f>IF(AND(DA$4=1,DA51=0),1,0)</f>
        <v/>
      </c>
      <c r="DB101">
        <f>IF(AND(DB$4=1,DB51=0),1,0)</f>
        <v/>
      </c>
      <c r="DC101">
        <f>IF(AND(DC$4=1,DC51=0),1,0)</f>
        <v/>
      </c>
      <c r="DD101">
        <f>IF(AND(DD$4=1,DD51=0),1,0)</f>
        <v/>
      </c>
      <c r="DE101">
        <f>IF(AND(DE$4=1,DE51=0),1,0)</f>
        <v/>
      </c>
      <c r="DF101">
        <f>IF(AND(DF$4=1,DF51=0),1,0)</f>
        <v/>
      </c>
      <c r="DG101">
        <f>IF(AND(DG$4=1,DG51=0),1,0)</f>
        <v/>
      </c>
      <c r="DH101">
        <f>IF(AND(DH$4=1,DH51=0),1,0)</f>
        <v/>
      </c>
      <c r="DI101">
        <f>IF(AND(DI$4=1,DI51=0),1,0)</f>
        <v/>
      </c>
      <c r="DJ101">
        <f>IF(AND(DJ$4=1,DJ51=0),1,0)</f>
        <v/>
      </c>
      <c r="DK101">
        <f>IF(AND(DK$4=1,DK51=0),1,0)</f>
        <v/>
      </c>
      <c r="DL101">
        <f>IF(AND(DL$4=1,DL51=0),1,0)</f>
        <v/>
      </c>
      <c r="DM101">
        <f>IF(AND(DM$4=1,DM51=0),1,0)</f>
        <v/>
      </c>
      <c r="DN101">
        <f>IF(AND(DN$4=1,DN51=0),1,0)</f>
        <v/>
      </c>
      <c r="DO101">
        <f>IF(AND(DO$4=1,DO51=0),1,0)</f>
        <v/>
      </c>
      <c r="DP101">
        <f>IF(AND(DP$4=1,DP51=0),1,0)</f>
        <v/>
      </c>
      <c r="DQ101">
        <f>IF(AND(DQ$4=1,DQ51=0),1,0)</f>
        <v/>
      </c>
      <c r="DR101">
        <f>IF(AND(DR$4=1,DR51=0),1,0)</f>
        <v/>
      </c>
      <c r="DS101">
        <f>IF(AND(DS$4=1,DS51=0),1,0)</f>
        <v/>
      </c>
    </row>
    <row r="102">
      <c r="A102" t="n">
        <v>43</v>
      </c>
      <c r="D102">
        <f>IF(AND(D$4=1,D52=0),1,0)</f>
        <v/>
      </c>
      <c r="E102">
        <f>IF(AND(E$4=1,E52=0),1,0)</f>
        <v/>
      </c>
      <c r="F102">
        <f>IF(AND(F$4=1,F52=0),1,0)</f>
        <v/>
      </c>
      <c r="G102">
        <f>IF(AND(G$4=1,G52=0),1,0)</f>
        <v/>
      </c>
      <c r="H102">
        <f>IF(AND(H$4=1,H52=0),1,0)</f>
        <v/>
      </c>
      <c r="I102">
        <f>IF(AND(I$4=1,I52=0),1,0)</f>
        <v/>
      </c>
      <c r="J102">
        <f>IF(AND(J$4=1,J52=0),1,0)</f>
        <v/>
      </c>
      <c r="K102">
        <f>IF(AND(K$4=1,K52=0),1,0)</f>
        <v/>
      </c>
      <c r="L102">
        <f>IF(AND(L$4=1,L52=0),1,0)</f>
        <v/>
      </c>
      <c r="M102">
        <f>IF(AND(M$4=1,M52=0),1,0)</f>
        <v/>
      </c>
      <c r="N102">
        <f>IF(AND(N$4=1,N52=0),1,0)</f>
        <v/>
      </c>
      <c r="O102">
        <f>IF(AND(O$4=1,O52=0),1,0)</f>
        <v/>
      </c>
      <c r="P102">
        <f>IF(AND(P$4=1,P52=0),1,0)</f>
        <v/>
      </c>
      <c r="Q102">
        <f>IF(AND(Q$4=1,Q52=0),1,0)</f>
        <v/>
      </c>
      <c r="R102">
        <f>IF(AND(R$4=1,R52=0),1,0)</f>
        <v/>
      </c>
      <c r="S102">
        <f>IF(AND(S$4=1,S52=0),1,0)</f>
        <v/>
      </c>
      <c r="T102">
        <f>IF(AND(T$4=1,T52=0),1,0)</f>
        <v/>
      </c>
      <c r="U102">
        <f>IF(AND(U$4=1,U52=0),1,0)</f>
        <v/>
      </c>
      <c r="V102">
        <f>IF(AND(V$4=1,V52=0),1,0)</f>
        <v/>
      </c>
      <c r="W102">
        <f>IF(AND(W$4=1,W52=0),1,0)</f>
        <v/>
      </c>
      <c r="X102">
        <f>IF(AND(X$4=1,X52=0),1,0)</f>
        <v/>
      </c>
      <c r="Y102">
        <f>IF(AND(Y$4=1,Y52=0),1,0)</f>
        <v/>
      </c>
      <c r="Z102">
        <f>IF(AND(Z$4=1,Z52=0),1,0)</f>
        <v/>
      </c>
      <c r="AA102">
        <f>IF(AND(AA$4=1,AA52=0),1,0)</f>
        <v/>
      </c>
      <c r="AB102">
        <f>IF(AND(AB$4=1,AB52=0),1,0)</f>
        <v/>
      </c>
      <c r="AC102">
        <f>IF(AND(AC$4=1,AC52=0),1,0)</f>
        <v/>
      </c>
      <c r="AD102">
        <f>IF(AND(AD$4=1,AD52=0),1,0)</f>
        <v/>
      </c>
      <c r="AE102">
        <f>IF(AND(AE$4=1,AE52=0),1,0)</f>
        <v/>
      </c>
      <c r="AF102">
        <f>IF(AND(AF$4=1,AF52=0),1,0)</f>
        <v/>
      </c>
      <c r="AG102">
        <f>IF(AND(AG$4=1,AG52=0),1,0)</f>
        <v/>
      </c>
      <c r="AH102">
        <f>IF(AND(AH$4=1,AH52=0),1,0)</f>
        <v/>
      </c>
      <c r="AI102">
        <f>IF(AND(AI$4=1,AI52=0),1,0)</f>
        <v/>
      </c>
      <c r="AJ102">
        <f>IF(AND(AJ$4=1,AJ52=0),1,0)</f>
        <v/>
      </c>
      <c r="AK102">
        <f>IF(AND(AK$4=1,AK52=0),1,0)</f>
        <v/>
      </c>
      <c r="AL102">
        <f>IF(AND(AL$4=1,AL52=0),1,0)</f>
        <v/>
      </c>
      <c r="AM102">
        <f>IF(AND(AM$4=1,AM52=0),1,0)</f>
        <v/>
      </c>
      <c r="AN102">
        <f>IF(AND(AN$4=1,AN52=0),1,0)</f>
        <v/>
      </c>
      <c r="AO102">
        <f>IF(AND(AO$4=1,AO52=0),1,0)</f>
        <v/>
      </c>
      <c r="AP102">
        <f>IF(AND(AP$4=1,AP52=0),1,0)</f>
        <v/>
      </c>
      <c r="AQ102">
        <f>IF(AND(AQ$4=1,AQ52=0),1,0)</f>
        <v/>
      </c>
      <c r="AR102">
        <f>IF(AND(AR$4=1,AR52=0),1,0)</f>
        <v/>
      </c>
      <c r="AS102">
        <f>IF(AND(AS$4=1,AS52=0),1,0)</f>
        <v/>
      </c>
      <c r="AT102">
        <f>IF(AND(AT$4=1,AT52=0),1,0)</f>
        <v/>
      </c>
      <c r="AU102">
        <f>IF(AND(AU$4=1,AU52=0),1,0)</f>
        <v/>
      </c>
      <c r="AV102">
        <f>IF(AND(AV$4=1,AV52=0),1,0)</f>
        <v/>
      </c>
      <c r="AW102">
        <f>IF(AND(AW$4=1,AW52=0),1,0)</f>
        <v/>
      </c>
      <c r="AX102">
        <f>IF(AND(AX$4=1,AX52=0),1,0)</f>
        <v/>
      </c>
      <c r="AY102">
        <f>IF(AND(AY$4=1,AY52=0),1,0)</f>
        <v/>
      </c>
      <c r="AZ102">
        <f>IF(AND(AZ$4=1,AZ52=0),1,0)</f>
        <v/>
      </c>
      <c r="BA102">
        <f>IF(AND(BA$4=1,BA52=0),1,0)</f>
        <v/>
      </c>
      <c r="BB102">
        <f>IF(AND(BB$4=1,BB52=0),1,0)</f>
        <v/>
      </c>
      <c r="BC102">
        <f>IF(AND(BC$4=1,BC52=0),1,0)</f>
        <v/>
      </c>
      <c r="BD102">
        <f>IF(AND(BD$4=1,BD52=0),1,0)</f>
        <v/>
      </c>
      <c r="BE102">
        <f>IF(AND(BE$4=1,BE52=0),1,0)</f>
        <v/>
      </c>
      <c r="BF102">
        <f>IF(AND(BF$4=1,BF52=0),1,0)</f>
        <v/>
      </c>
      <c r="BG102">
        <f>IF(AND(BG$4=1,BG52=0),1,0)</f>
        <v/>
      </c>
      <c r="BH102">
        <f>IF(AND(BH$4=1,BH52=0),1,0)</f>
        <v/>
      </c>
      <c r="BI102">
        <f>IF(AND(BI$4=1,BI52=0),1,0)</f>
        <v/>
      </c>
      <c r="BJ102">
        <f>IF(AND(BJ$4=1,BJ52=0),1,0)</f>
        <v/>
      </c>
      <c r="BK102">
        <f>IF(AND(BK$4=1,BK52=0),1,0)</f>
        <v/>
      </c>
      <c r="BL102">
        <f>IF(AND(BL$4=1,BL52=0),1,0)</f>
        <v/>
      </c>
      <c r="BM102">
        <f>IF(AND(BM$4=1,BM52=0),1,0)</f>
        <v/>
      </c>
      <c r="BN102">
        <f>IF(AND(BN$4=1,BN52=0),1,0)</f>
        <v/>
      </c>
      <c r="BO102">
        <f>IF(AND(BO$4=1,BO52=0),1,0)</f>
        <v/>
      </c>
      <c r="BP102">
        <f>IF(AND(BP$4=1,BP52=0),1,0)</f>
        <v/>
      </c>
      <c r="BQ102">
        <f>IF(AND(BQ$4=1,BQ52=0),1,0)</f>
        <v/>
      </c>
      <c r="BR102">
        <f>IF(AND(BR$4=1,BR52=0),1,0)</f>
        <v/>
      </c>
      <c r="BS102">
        <f>IF(AND(BS$4=1,BS52=0),1,0)</f>
        <v/>
      </c>
      <c r="BT102">
        <f>IF(AND(BT$4=1,BT52=0),1,0)</f>
        <v/>
      </c>
      <c r="BU102">
        <f>IF(AND(BU$4=1,BU52=0),1,0)</f>
        <v/>
      </c>
      <c r="BV102">
        <f>IF(AND(BV$4=1,BV52=0),1,0)</f>
        <v/>
      </c>
      <c r="BW102">
        <f>IF(AND(BW$4=1,BW52=0),1,0)</f>
        <v/>
      </c>
      <c r="BX102">
        <f>IF(AND(BX$4=1,BX52=0),1,0)</f>
        <v/>
      </c>
      <c r="BY102">
        <f>IF(AND(BY$4=1,BY52=0),1,0)</f>
        <v/>
      </c>
      <c r="BZ102">
        <f>IF(AND(BZ$4=1,BZ52=0),1,0)</f>
        <v/>
      </c>
      <c r="CA102">
        <f>IF(AND(CA$4=1,CA52=0),1,0)</f>
        <v/>
      </c>
      <c r="CB102">
        <f>IF(AND(CB$4=1,CB52=0),1,0)</f>
        <v/>
      </c>
      <c r="CC102">
        <f>IF(AND(CC$4=1,CC52=0),1,0)</f>
        <v/>
      </c>
      <c r="CD102">
        <f>IF(AND(CD$4=1,CD52=0),1,0)</f>
        <v/>
      </c>
      <c r="CE102">
        <f>IF(AND(CE$4=1,CE52=0),1,0)</f>
        <v/>
      </c>
      <c r="CF102">
        <f>IF(AND(CF$4=1,CF52=0),1,0)</f>
        <v/>
      </c>
      <c r="CG102">
        <f>IF(AND(CG$4=1,CG52=0),1,0)</f>
        <v/>
      </c>
      <c r="CH102">
        <f>IF(AND(CH$4=1,CH52=0),1,0)</f>
        <v/>
      </c>
      <c r="CI102">
        <f>IF(AND(CI$4=1,CI52=0),1,0)</f>
        <v/>
      </c>
      <c r="CJ102">
        <f>IF(AND(CJ$4=1,CJ52=0),1,0)</f>
        <v/>
      </c>
      <c r="CK102">
        <f>IF(AND(CK$4=1,CK52=0),1,0)</f>
        <v/>
      </c>
      <c r="CL102">
        <f>IF(AND(CL$4=1,CL52=0),1,0)</f>
        <v/>
      </c>
      <c r="CM102">
        <f>IF(AND(CM$4=1,CM52=0),1,0)</f>
        <v/>
      </c>
      <c r="CN102">
        <f>IF(AND(CN$4=1,CN52=0),1,0)</f>
        <v/>
      </c>
      <c r="CO102">
        <f>IF(AND(CO$4=1,CO52=0),1,0)</f>
        <v/>
      </c>
      <c r="CP102">
        <f>IF(AND(CP$4=1,CP52=0),1,0)</f>
        <v/>
      </c>
      <c r="CQ102">
        <f>IF(AND(CQ$4=1,CQ52=0),1,0)</f>
        <v/>
      </c>
      <c r="CR102">
        <f>IF(AND(CR$4=1,CR52=0),1,0)</f>
        <v/>
      </c>
      <c r="CS102">
        <f>IF(AND(CS$4=1,CS52=0),1,0)</f>
        <v/>
      </c>
      <c r="CT102">
        <f>IF(AND(CT$4=1,CT52=0),1,0)</f>
        <v/>
      </c>
      <c r="CU102">
        <f>IF(AND(CU$4=1,CU52=0),1,0)</f>
        <v/>
      </c>
      <c r="CV102">
        <f>IF(AND(CV$4=1,CV52=0),1,0)</f>
        <v/>
      </c>
      <c r="CW102">
        <f>IF(AND(CW$4=1,CW52=0),1,0)</f>
        <v/>
      </c>
      <c r="CX102">
        <f>IF(AND(CX$4=1,CX52=0),1,0)</f>
        <v/>
      </c>
      <c r="CY102">
        <f>IF(AND(CY$4=1,CY52=0),1,0)</f>
        <v/>
      </c>
      <c r="CZ102">
        <f>IF(AND(CZ$4=1,CZ52=0),1,0)</f>
        <v/>
      </c>
      <c r="DA102">
        <f>IF(AND(DA$4=1,DA52=0),1,0)</f>
        <v/>
      </c>
      <c r="DB102">
        <f>IF(AND(DB$4=1,DB52=0),1,0)</f>
        <v/>
      </c>
      <c r="DC102">
        <f>IF(AND(DC$4=1,DC52=0),1,0)</f>
        <v/>
      </c>
      <c r="DD102">
        <f>IF(AND(DD$4=1,DD52=0),1,0)</f>
        <v/>
      </c>
      <c r="DE102">
        <f>IF(AND(DE$4=1,DE52=0),1,0)</f>
        <v/>
      </c>
      <c r="DF102">
        <f>IF(AND(DF$4=1,DF52=0),1,0)</f>
        <v/>
      </c>
      <c r="DG102">
        <f>IF(AND(DG$4=1,DG52=0),1,0)</f>
        <v/>
      </c>
      <c r="DH102">
        <f>IF(AND(DH$4=1,DH52=0),1,0)</f>
        <v/>
      </c>
      <c r="DI102">
        <f>IF(AND(DI$4=1,DI52=0),1,0)</f>
        <v/>
      </c>
      <c r="DJ102">
        <f>IF(AND(DJ$4=1,DJ52=0),1,0)</f>
        <v/>
      </c>
      <c r="DK102">
        <f>IF(AND(DK$4=1,DK52=0),1,0)</f>
        <v/>
      </c>
      <c r="DL102">
        <f>IF(AND(DL$4=1,DL52=0),1,0)</f>
        <v/>
      </c>
      <c r="DM102">
        <f>IF(AND(DM$4=1,DM52=0),1,0)</f>
        <v/>
      </c>
      <c r="DN102">
        <f>IF(AND(DN$4=1,DN52=0),1,0)</f>
        <v/>
      </c>
      <c r="DO102">
        <f>IF(AND(DO$4=1,DO52=0),1,0)</f>
        <v/>
      </c>
      <c r="DP102">
        <f>IF(AND(DP$4=1,DP52=0),1,0)</f>
        <v/>
      </c>
      <c r="DQ102">
        <f>IF(AND(DQ$4=1,DQ52=0),1,0)</f>
        <v/>
      </c>
      <c r="DR102">
        <f>IF(AND(DR$4=1,DR52=0),1,0)</f>
        <v/>
      </c>
      <c r="DS102">
        <f>IF(AND(DS$4=1,DS52=0),1,0)</f>
        <v/>
      </c>
    </row>
    <row r="103">
      <c r="A103" t="n">
        <v>44</v>
      </c>
      <c r="D103">
        <f>IF(AND(D$4=1,D53=0),1,0)</f>
        <v/>
      </c>
      <c r="E103">
        <f>IF(AND(E$4=1,E53=0),1,0)</f>
        <v/>
      </c>
      <c r="F103">
        <f>IF(AND(F$4=1,F53=0),1,0)</f>
        <v/>
      </c>
      <c r="G103">
        <f>IF(AND(G$4=1,G53=0),1,0)</f>
        <v/>
      </c>
      <c r="H103">
        <f>IF(AND(H$4=1,H53=0),1,0)</f>
        <v/>
      </c>
      <c r="I103">
        <f>IF(AND(I$4=1,I53=0),1,0)</f>
        <v/>
      </c>
      <c r="J103">
        <f>IF(AND(J$4=1,J53=0),1,0)</f>
        <v/>
      </c>
      <c r="K103">
        <f>IF(AND(K$4=1,K53=0),1,0)</f>
        <v/>
      </c>
      <c r="L103">
        <f>IF(AND(L$4=1,L53=0),1,0)</f>
        <v/>
      </c>
      <c r="M103">
        <f>IF(AND(M$4=1,M53=0),1,0)</f>
        <v/>
      </c>
      <c r="N103">
        <f>IF(AND(N$4=1,N53=0),1,0)</f>
        <v/>
      </c>
      <c r="O103">
        <f>IF(AND(O$4=1,O53=0),1,0)</f>
        <v/>
      </c>
      <c r="P103">
        <f>IF(AND(P$4=1,P53=0),1,0)</f>
        <v/>
      </c>
      <c r="Q103">
        <f>IF(AND(Q$4=1,Q53=0),1,0)</f>
        <v/>
      </c>
      <c r="R103">
        <f>IF(AND(R$4=1,R53=0),1,0)</f>
        <v/>
      </c>
      <c r="S103">
        <f>IF(AND(S$4=1,S53=0),1,0)</f>
        <v/>
      </c>
      <c r="T103">
        <f>IF(AND(T$4=1,T53=0),1,0)</f>
        <v/>
      </c>
      <c r="U103">
        <f>IF(AND(U$4=1,U53=0),1,0)</f>
        <v/>
      </c>
      <c r="V103">
        <f>IF(AND(V$4=1,V53=0),1,0)</f>
        <v/>
      </c>
      <c r="W103">
        <f>IF(AND(W$4=1,W53=0),1,0)</f>
        <v/>
      </c>
      <c r="X103">
        <f>IF(AND(X$4=1,X53=0),1,0)</f>
        <v/>
      </c>
      <c r="Y103">
        <f>IF(AND(Y$4=1,Y53=0),1,0)</f>
        <v/>
      </c>
      <c r="Z103">
        <f>IF(AND(Z$4=1,Z53=0),1,0)</f>
        <v/>
      </c>
      <c r="AA103">
        <f>IF(AND(AA$4=1,AA53=0),1,0)</f>
        <v/>
      </c>
      <c r="AB103">
        <f>IF(AND(AB$4=1,AB53=0),1,0)</f>
        <v/>
      </c>
      <c r="AC103">
        <f>IF(AND(AC$4=1,AC53=0),1,0)</f>
        <v/>
      </c>
      <c r="AD103">
        <f>IF(AND(AD$4=1,AD53=0),1,0)</f>
        <v/>
      </c>
      <c r="AE103">
        <f>IF(AND(AE$4=1,AE53=0),1,0)</f>
        <v/>
      </c>
      <c r="AF103">
        <f>IF(AND(AF$4=1,AF53=0),1,0)</f>
        <v/>
      </c>
      <c r="AG103">
        <f>IF(AND(AG$4=1,AG53=0),1,0)</f>
        <v/>
      </c>
      <c r="AH103">
        <f>IF(AND(AH$4=1,AH53=0),1,0)</f>
        <v/>
      </c>
      <c r="AI103">
        <f>IF(AND(AI$4=1,AI53=0),1,0)</f>
        <v/>
      </c>
      <c r="AJ103">
        <f>IF(AND(AJ$4=1,AJ53=0),1,0)</f>
        <v/>
      </c>
      <c r="AK103">
        <f>IF(AND(AK$4=1,AK53=0),1,0)</f>
        <v/>
      </c>
      <c r="AL103">
        <f>IF(AND(AL$4=1,AL53=0),1,0)</f>
        <v/>
      </c>
      <c r="AM103">
        <f>IF(AND(AM$4=1,AM53=0),1,0)</f>
        <v/>
      </c>
      <c r="AN103">
        <f>IF(AND(AN$4=1,AN53=0),1,0)</f>
        <v/>
      </c>
      <c r="AO103">
        <f>IF(AND(AO$4=1,AO53=0),1,0)</f>
        <v/>
      </c>
      <c r="AP103">
        <f>IF(AND(AP$4=1,AP53=0),1,0)</f>
        <v/>
      </c>
      <c r="AQ103">
        <f>IF(AND(AQ$4=1,AQ53=0),1,0)</f>
        <v/>
      </c>
      <c r="AR103">
        <f>IF(AND(AR$4=1,AR53=0),1,0)</f>
        <v/>
      </c>
      <c r="AS103">
        <f>IF(AND(AS$4=1,AS53=0),1,0)</f>
        <v/>
      </c>
      <c r="AT103">
        <f>IF(AND(AT$4=1,AT53=0),1,0)</f>
        <v/>
      </c>
      <c r="AU103">
        <f>IF(AND(AU$4=1,AU53=0),1,0)</f>
        <v/>
      </c>
      <c r="AV103">
        <f>IF(AND(AV$4=1,AV53=0),1,0)</f>
        <v/>
      </c>
      <c r="AW103">
        <f>IF(AND(AW$4=1,AW53=0),1,0)</f>
        <v/>
      </c>
      <c r="AX103">
        <f>IF(AND(AX$4=1,AX53=0),1,0)</f>
        <v/>
      </c>
      <c r="AY103">
        <f>IF(AND(AY$4=1,AY53=0),1,0)</f>
        <v/>
      </c>
      <c r="AZ103">
        <f>IF(AND(AZ$4=1,AZ53=0),1,0)</f>
        <v/>
      </c>
      <c r="BA103">
        <f>IF(AND(BA$4=1,BA53=0),1,0)</f>
        <v/>
      </c>
      <c r="BB103">
        <f>IF(AND(BB$4=1,BB53=0),1,0)</f>
        <v/>
      </c>
      <c r="BC103">
        <f>IF(AND(BC$4=1,BC53=0),1,0)</f>
        <v/>
      </c>
      <c r="BD103">
        <f>IF(AND(BD$4=1,BD53=0),1,0)</f>
        <v/>
      </c>
      <c r="BE103">
        <f>IF(AND(BE$4=1,BE53=0),1,0)</f>
        <v/>
      </c>
      <c r="BF103">
        <f>IF(AND(BF$4=1,BF53=0),1,0)</f>
        <v/>
      </c>
      <c r="BG103">
        <f>IF(AND(BG$4=1,BG53=0),1,0)</f>
        <v/>
      </c>
      <c r="BH103">
        <f>IF(AND(BH$4=1,BH53=0),1,0)</f>
        <v/>
      </c>
      <c r="BI103">
        <f>IF(AND(BI$4=1,BI53=0),1,0)</f>
        <v/>
      </c>
      <c r="BJ103">
        <f>IF(AND(BJ$4=1,BJ53=0),1,0)</f>
        <v/>
      </c>
      <c r="BK103">
        <f>IF(AND(BK$4=1,BK53=0),1,0)</f>
        <v/>
      </c>
      <c r="BL103">
        <f>IF(AND(BL$4=1,BL53=0),1,0)</f>
        <v/>
      </c>
      <c r="BM103">
        <f>IF(AND(BM$4=1,BM53=0),1,0)</f>
        <v/>
      </c>
      <c r="BN103">
        <f>IF(AND(BN$4=1,BN53=0),1,0)</f>
        <v/>
      </c>
      <c r="BO103">
        <f>IF(AND(BO$4=1,BO53=0),1,0)</f>
        <v/>
      </c>
      <c r="BP103">
        <f>IF(AND(BP$4=1,BP53=0),1,0)</f>
        <v/>
      </c>
      <c r="BQ103">
        <f>IF(AND(BQ$4=1,BQ53=0),1,0)</f>
        <v/>
      </c>
      <c r="BR103">
        <f>IF(AND(BR$4=1,BR53=0),1,0)</f>
        <v/>
      </c>
      <c r="BS103">
        <f>IF(AND(BS$4=1,BS53=0),1,0)</f>
        <v/>
      </c>
      <c r="BT103">
        <f>IF(AND(BT$4=1,BT53=0),1,0)</f>
        <v/>
      </c>
      <c r="BU103">
        <f>IF(AND(BU$4=1,BU53=0),1,0)</f>
        <v/>
      </c>
      <c r="BV103">
        <f>IF(AND(BV$4=1,BV53=0),1,0)</f>
        <v/>
      </c>
      <c r="BW103">
        <f>IF(AND(BW$4=1,BW53=0),1,0)</f>
        <v/>
      </c>
      <c r="BX103">
        <f>IF(AND(BX$4=1,BX53=0),1,0)</f>
        <v/>
      </c>
      <c r="BY103">
        <f>IF(AND(BY$4=1,BY53=0),1,0)</f>
        <v/>
      </c>
      <c r="BZ103">
        <f>IF(AND(BZ$4=1,BZ53=0),1,0)</f>
        <v/>
      </c>
      <c r="CA103">
        <f>IF(AND(CA$4=1,CA53=0),1,0)</f>
        <v/>
      </c>
      <c r="CB103">
        <f>IF(AND(CB$4=1,CB53=0),1,0)</f>
        <v/>
      </c>
      <c r="CC103">
        <f>IF(AND(CC$4=1,CC53=0),1,0)</f>
        <v/>
      </c>
      <c r="CD103">
        <f>IF(AND(CD$4=1,CD53=0),1,0)</f>
        <v/>
      </c>
      <c r="CE103">
        <f>IF(AND(CE$4=1,CE53=0),1,0)</f>
        <v/>
      </c>
      <c r="CF103">
        <f>IF(AND(CF$4=1,CF53=0),1,0)</f>
        <v/>
      </c>
      <c r="CG103">
        <f>IF(AND(CG$4=1,CG53=0),1,0)</f>
        <v/>
      </c>
      <c r="CH103">
        <f>IF(AND(CH$4=1,CH53=0),1,0)</f>
        <v/>
      </c>
      <c r="CI103">
        <f>IF(AND(CI$4=1,CI53=0),1,0)</f>
        <v/>
      </c>
      <c r="CJ103">
        <f>IF(AND(CJ$4=1,CJ53=0),1,0)</f>
        <v/>
      </c>
      <c r="CK103">
        <f>IF(AND(CK$4=1,CK53=0),1,0)</f>
        <v/>
      </c>
      <c r="CL103">
        <f>IF(AND(CL$4=1,CL53=0),1,0)</f>
        <v/>
      </c>
      <c r="CM103">
        <f>IF(AND(CM$4=1,CM53=0),1,0)</f>
        <v/>
      </c>
      <c r="CN103">
        <f>IF(AND(CN$4=1,CN53=0),1,0)</f>
        <v/>
      </c>
      <c r="CO103">
        <f>IF(AND(CO$4=1,CO53=0),1,0)</f>
        <v/>
      </c>
      <c r="CP103">
        <f>IF(AND(CP$4=1,CP53=0),1,0)</f>
        <v/>
      </c>
      <c r="CQ103">
        <f>IF(AND(CQ$4=1,CQ53=0),1,0)</f>
        <v/>
      </c>
      <c r="CR103">
        <f>IF(AND(CR$4=1,CR53=0),1,0)</f>
        <v/>
      </c>
      <c r="CS103">
        <f>IF(AND(CS$4=1,CS53=0),1,0)</f>
        <v/>
      </c>
      <c r="CT103">
        <f>IF(AND(CT$4=1,CT53=0),1,0)</f>
        <v/>
      </c>
      <c r="CU103">
        <f>IF(AND(CU$4=1,CU53=0),1,0)</f>
        <v/>
      </c>
      <c r="CV103">
        <f>IF(AND(CV$4=1,CV53=0),1,0)</f>
        <v/>
      </c>
      <c r="CW103">
        <f>IF(AND(CW$4=1,CW53=0),1,0)</f>
        <v/>
      </c>
      <c r="CX103">
        <f>IF(AND(CX$4=1,CX53=0),1,0)</f>
        <v/>
      </c>
      <c r="CY103">
        <f>IF(AND(CY$4=1,CY53=0),1,0)</f>
        <v/>
      </c>
      <c r="CZ103">
        <f>IF(AND(CZ$4=1,CZ53=0),1,0)</f>
        <v/>
      </c>
      <c r="DA103">
        <f>IF(AND(DA$4=1,DA53=0),1,0)</f>
        <v/>
      </c>
      <c r="DB103">
        <f>IF(AND(DB$4=1,DB53=0),1,0)</f>
        <v/>
      </c>
      <c r="DC103">
        <f>IF(AND(DC$4=1,DC53=0),1,0)</f>
        <v/>
      </c>
      <c r="DD103">
        <f>IF(AND(DD$4=1,DD53=0),1,0)</f>
        <v/>
      </c>
      <c r="DE103">
        <f>IF(AND(DE$4=1,DE53=0),1,0)</f>
        <v/>
      </c>
      <c r="DF103">
        <f>IF(AND(DF$4=1,DF53=0),1,0)</f>
        <v/>
      </c>
      <c r="DG103">
        <f>IF(AND(DG$4=1,DG53=0),1,0)</f>
        <v/>
      </c>
      <c r="DH103">
        <f>IF(AND(DH$4=1,DH53=0),1,0)</f>
        <v/>
      </c>
      <c r="DI103">
        <f>IF(AND(DI$4=1,DI53=0),1,0)</f>
        <v/>
      </c>
      <c r="DJ103">
        <f>IF(AND(DJ$4=1,DJ53=0),1,0)</f>
        <v/>
      </c>
      <c r="DK103">
        <f>IF(AND(DK$4=1,DK53=0),1,0)</f>
        <v/>
      </c>
      <c r="DL103">
        <f>IF(AND(DL$4=1,DL53=0),1,0)</f>
        <v/>
      </c>
      <c r="DM103">
        <f>IF(AND(DM$4=1,DM53=0),1,0)</f>
        <v/>
      </c>
      <c r="DN103">
        <f>IF(AND(DN$4=1,DN53=0),1,0)</f>
        <v/>
      </c>
      <c r="DO103">
        <f>IF(AND(DO$4=1,DO53=0),1,0)</f>
        <v/>
      </c>
      <c r="DP103">
        <f>IF(AND(DP$4=1,DP53=0),1,0)</f>
        <v/>
      </c>
      <c r="DQ103">
        <f>IF(AND(DQ$4=1,DQ53=0),1,0)</f>
        <v/>
      </c>
      <c r="DR103">
        <f>IF(AND(DR$4=1,DR53=0),1,0)</f>
        <v/>
      </c>
      <c r="DS103">
        <f>IF(AND(DS$4=1,DS53=0),1,0)</f>
        <v/>
      </c>
    </row>
    <row r="104">
      <c r="A104" t="n">
        <v>45</v>
      </c>
      <c r="D104">
        <f>IF(AND(D$4=1,D54=0),1,0)</f>
        <v/>
      </c>
      <c r="E104">
        <f>IF(AND(E$4=1,E54=0),1,0)</f>
        <v/>
      </c>
      <c r="F104">
        <f>IF(AND(F$4=1,F54=0),1,0)</f>
        <v/>
      </c>
      <c r="G104">
        <f>IF(AND(G$4=1,G54=0),1,0)</f>
        <v/>
      </c>
      <c r="H104">
        <f>IF(AND(H$4=1,H54=0),1,0)</f>
        <v/>
      </c>
      <c r="I104">
        <f>IF(AND(I$4=1,I54=0),1,0)</f>
        <v/>
      </c>
      <c r="J104">
        <f>IF(AND(J$4=1,J54=0),1,0)</f>
        <v/>
      </c>
      <c r="K104">
        <f>IF(AND(K$4=1,K54=0),1,0)</f>
        <v/>
      </c>
      <c r="L104">
        <f>IF(AND(L$4=1,L54=0),1,0)</f>
        <v/>
      </c>
      <c r="M104">
        <f>IF(AND(M$4=1,M54=0),1,0)</f>
        <v/>
      </c>
      <c r="N104">
        <f>IF(AND(N$4=1,N54=0),1,0)</f>
        <v/>
      </c>
      <c r="O104">
        <f>IF(AND(O$4=1,O54=0),1,0)</f>
        <v/>
      </c>
      <c r="P104">
        <f>IF(AND(P$4=1,P54=0),1,0)</f>
        <v/>
      </c>
      <c r="Q104">
        <f>IF(AND(Q$4=1,Q54=0),1,0)</f>
        <v/>
      </c>
      <c r="R104">
        <f>IF(AND(R$4=1,R54=0),1,0)</f>
        <v/>
      </c>
      <c r="S104">
        <f>IF(AND(S$4=1,S54=0),1,0)</f>
        <v/>
      </c>
      <c r="T104">
        <f>IF(AND(T$4=1,T54=0),1,0)</f>
        <v/>
      </c>
      <c r="U104">
        <f>IF(AND(U$4=1,U54=0),1,0)</f>
        <v/>
      </c>
      <c r="V104">
        <f>IF(AND(V$4=1,V54=0),1,0)</f>
        <v/>
      </c>
      <c r="W104">
        <f>IF(AND(W$4=1,W54=0),1,0)</f>
        <v/>
      </c>
      <c r="X104">
        <f>IF(AND(X$4=1,X54=0),1,0)</f>
        <v/>
      </c>
      <c r="Y104">
        <f>IF(AND(Y$4=1,Y54=0),1,0)</f>
        <v/>
      </c>
      <c r="Z104">
        <f>IF(AND(Z$4=1,Z54=0),1,0)</f>
        <v/>
      </c>
      <c r="AA104">
        <f>IF(AND(AA$4=1,AA54=0),1,0)</f>
        <v/>
      </c>
      <c r="AB104">
        <f>IF(AND(AB$4=1,AB54=0),1,0)</f>
        <v/>
      </c>
      <c r="AC104">
        <f>IF(AND(AC$4=1,AC54=0),1,0)</f>
        <v/>
      </c>
      <c r="AD104">
        <f>IF(AND(AD$4=1,AD54=0),1,0)</f>
        <v/>
      </c>
      <c r="AE104">
        <f>IF(AND(AE$4=1,AE54=0),1,0)</f>
        <v/>
      </c>
      <c r="AF104">
        <f>IF(AND(AF$4=1,AF54=0),1,0)</f>
        <v/>
      </c>
      <c r="AG104">
        <f>IF(AND(AG$4=1,AG54=0),1,0)</f>
        <v/>
      </c>
      <c r="AH104">
        <f>IF(AND(AH$4=1,AH54=0),1,0)</f>
        <v/>
      </c>
      <c r="AI104">
        <f>IF(AND(AI$4=1,AI54=0),1,0)</f>
        <v/>
      </c>
      <c r="AJ104">
        <f>IF(AND(AJ$4=1,AJ54=0),1,0)</f>
        <v/>
      </c>
      <c r="AK104">
        <f>IF(AND(AK$4=1,AK54=0),1,0)</f>
        <v/>
      </c>
      <c r="AL104">
        <f>IF(AND(AL$4=1,AL54=0),1,0)</f>
        <v/>
      </c>
      <c r="AM104">
        <f>IF(AND(AM$4=1,AM54=0),1,0)</f>
        <v/>
      </c>
      <c r="AN104">
        <f>IF(AND(AN$4=1,AN54=0),1,0)</f>
        <v/>
      </c>
      <c r="AO104">
        <f>IF(AND(AO$4=1,AO54=0),1,0)</f>
        <v/>
      </c>
      <c r="AP104">
        <f>IF(AND(AP$4=1,AP54=0),1,0)</f>
        <v/>
      </c>
      <c r="AQ104">
        <f>IF(AND(AQ$4=1,AQ54=0),1,0)</f>
        <v/>
      </c>
      <c r="AR104">
        <f>IF(AND(AR$4=1,AR54=0),1,0)</f>
        <v/>
      </c>
      <c r="AS104">
        <f>IF(AND(AS$4=1,AS54=0),1,0)</f>
        <v/>
      </c>
      <c r="AT104">
        <f>IF(AND(AT$4=1,AT54=0),1,0)</f>
        <v/>
      </c>
      <c r="AU104">
        <f>IF(AND(AU$4=1,AU54=0),1,0)</f>
        <v/>
      </c>
      <c r="AV104">
        <f>IF(AND(AV$4=1,AV54=0),1,0)</f>
        <v/>
      </c>
      <c r="AW104">
        <f>IF(AND(AW$4=1,AW54=0),1,0)</f>
        <v/>
      </c>
      <c r="AX104">
        <f>IF(AND(AX$4=1,AX54=0),1,0)</f>
        <v/>
      </c>
      <c r="AY104">
        <f>IF(AND(AY$4=1,AY54=0),1,0)</f>
        <v/>
      </c>
      <c r="AZ104">
        <f>IF(AND(AZ$4=1,AZ54=0),1,0)</f>
        <v/>
      </c>
      <c r="BA104">
        <f>IF(AND(BA$4=1,BA54=0),1,0)</f>
        <v/>
      </c>
      <c r="BB104">
        <f>IF(AND(BB$4=1,BB54=0),1,0)</f>
        <v/>
      </c>
      <c r="BC104">
        <f>IF(AND(BC$4=1,BC54=0),1,0)</f>
        <v/>
      </c>
      <c r="BD104">
        <f>IF(AND(BD$4=1,BD54=0),1,0)</f>
        <v/>
      </c>
      <c r="BE104">
        <f>IF(AND(BE$4=1,BE54=0),1,0)</f>
        <v/>
      </c>
      <c r="BF104">
        <f>IF(AND(BF$4=1,BF54=0),1,0)</f>
        <v/>
      </c>
      <c r="BG104">
        <f>IF(AND(BG$4=1,BG54=0),1,0)</f>
        <v/>
      </c>
      <c r="BH104">
        <f>IF(AND(BH$4=1,BH54=0),1,0)</f>
        <v/>
      </c>
      <c r="BI104">
        <f>IF(AND(BI$4=1,BI54=0),1,0)</f>
        <v/>
      </c>
      <c r="BJ104">
        <f>IF(AND(BJ$4=1,BJ54=0),1,0)</f>
        <v/>
      </c>
      <c r="BK104">
        <f>IF(AND(BK$4=1,BK54=0),1,0)</f>
        <v/>
      </c>
      <c r="BL104">
        <f>IF(AND(BL$4=1,BL54=0),1,0)</f>
        <v/>
      </c>
      <c r="BM104">
        <f>IF(AND(BM$4=1,BM54=0),1,0)</f>
        <v/>
      </c>
      <c r="BN104">
        <f>IF(AND(BN$4=1,BN54=0),1,0)</f>
        <v/>
      </c>
      <c r="BO104">
        <f>IF(AND(BO$4=1,BO54=0),1,0)</f>
        <v/>
      </c>
      <c r="BP104">
        <f>IF(AND(BP$4=1,BP54=0),1,0)</f>
        <v/>
      </c>
      <c r="BQ104">
        <f>IF(AND(BQ$4=1,BQ54=0),1,0)</f>
        <v/>
      </c>
      <c r="BR104">
        <f>IF(AND(BR$4=1,BR54=0),1,0)</f>
        <v/>
      </c>
      <c r="BS104">
        <f>IF(AND(BS$4=1,BS54=0),1,0)</f>
        <v/>
      </c>
      <c r="BT104">
        <f>IF(AND(BT$4=1,BT54=0),1,0)</f>
        <v/>
      </c>
      <c r="BU104">
        <f>IF(AND(BU$4=1,BU54=0),1,0)</f>
        <v/>
      </c>
      <c r="BV104">
        <f>IF(AND(BV$4=1,BV54=0),1,0)</f>
        <v/>
      </c>
      <c r="BW104">
        <f>IF(AND(BW$4=1,BW54=0),1,0)</f>
        <v/>
      </c>
      <c r="BX104">
        <f>IF(AND(BX$4=1,BX54=0),1,0)</f>
        <v/>
      </c>
      <c r="BY104">
        <f>IF(AND(BY$4=1,BY54=0),1,0)</f>
        <v/>
      </c>
      <c r="BZ104">
        <f>IF(AND(BZ$4=1,BZ54=0),1,0)</f>
        <v/>
      </c>
      <c r="CA104">
        <f>IF(AND(CA$4=1,CA54=0),1,0)</f>
        <v/>
      </c>
      <c r="CB104">
        <f>IF(AND(CB$4=1,CB54=0),1,0)</f>
        <v/>
      </c>
      <c r="CC104">
        <f>IF(AND(CC$4=1,CC54=0),1,0)</f>
        <v/>
      </c>
      <c r="CD104">
        <f>IF(AND(CD$4=1,CD54=0),1,0)</f>
        <v/>
      </c>
      <c r="CE104">
        <f>IF(AND(CE$4=1,CE54=0),1,0)</f>
        <v/>
      </c>
      <c r="CF104">
        <f>IF(AND(CF$4=1,CF54=0),1,0)</f>
        <v/>
      </c>
      <c r="CG104">
        <f>IF(AND(CG$4=1,CG54=0),1,0)</f>
        <v/>
      </c>
      <c r="CH104">
        <f>IF(AND(CH$4=1,CH54=0),1,0)</f>
        <v/>
      </c>
      <c r="CI104">
        <f>IF(AND(CI$4=1,CI54=0),1,0)</f>
        <v/>
      </c>
      <c r="CJ104">
        <f>IF(AND(CJ$4=1,CJ54=0),1,0)</f>
        <v/>
      </c>
      <c r="CK104">
        <f>IF(AND(CK$4=1,CK54=0),1,0)</f>
        <v/>
      </c>
      <c r="CL104">
        <f>IF(AND(CL$4=1,CL54=0),1,0)</f>
        <v/>
      </c>
      <c r="CM104">
        <f>IF(AND(CM$4=1,CM54=0),1,0)</f>
        <v/>
      </c>
      <c r="CN104">
        <f>IF(AND(CN$4=1,CN54=0),1,0)</f>
        <v/>
      </c>
      <c r="CO104">
        <f>IF(AND(CO$4=1,CO54=0),1,0)</f>
        <v/>
      </c>
      <c r="CP104">
        <f>IF(AND(CP$4=1,CP54=0),1,0)</f>
        <v/>
      </c>
      <c r="CQ104">
        <f>IF(AND(CQ$4=1,CQ54=0),1,0)</f>
        <v/>
      </c>
      <c r="CR104">
        <f>IF(AND(CR$4=1,CR54=0),1,0)</f>
        <v/>
      </c>
      <c r="CS104">
        <f>IF(AND(CS$4=1,CS54=0),1,0)</f>
        <v/>
      </c>
      <c r="CT104">
        <f>IF(AND(CT$4=1,CT54=0),1,0)</f>
        <v/>
      </c>
      <c r="CU104">
        <f>IF(AND(CU$4=1,CU54=0),1,0)</f>
        <v/>
      </c>
      <c r="CV104">
        <f>IF(AND(CV$4=1,CV54=0),1,0)</f>
        <v/>
      </c>
      <c r="CW104">
        <f>IF(AND(CW$4=1,CW54=0),1,0)</f>
        <v/>
      </c>
      <c r="CX104">
        <f>IF(AND(CX$4=1,CX54=0),1,0)</f>
        <v/>
      </c>
      <c r="CY104">
        <f>IF(AND(CY$4=1,CY54=0),1,0)</f>
        <v/>
      </c>
      <c r="CZ104">
        <f>IF(AND(CZ$4=1,CZ54=0),1,0)</f>
        <v/>
      </c>
      <c r="DA104">
        <f>IF(AND(DA$4=1,DA54=0),1,0)</f>
        <v/>
      </c>
      <c r="DB104">
        <f>IF(AND(DB$4=1,DB54=0),1,0)</f>
        <v/>
      </c>
      <c r="DC104">
        <f>IF(AND(DC$4=1,DC54=0),1,0)</f>
        <v/>
      </c>
      <c r="DD104">
        <f>IF(AND(DD$4=1,DD54=0),1,0)</f>
        <v/>
      </c>
      <c r="DE104">
        <f>IF(AND(DE$4=1,DE54=0),1,0)</f>
        <v/>
      </c>
      <c r="DF104">
        <f>IF(AND(DF$4=1,DF54=0),1,0)</f>
        <v/>
      </c>
      <c r="DG104">
        <f>IF(AND(DG$4=1,DG54=0),1,0)</f>
        <v/>
      </c>
      <c r="DH104">
        <f>IF(AND(DH$4=1,DH54=0),1,0)</f>
        <v/>
      </c>
      <c r="DI104">
        <f>IF(AND(DI$4=1,DI54=0),1,0)</f>
        <v/>
      </c>
      <c r="DJ104">
        <f>IF(AND(DJ$4=1,DJ54=0),1,0)</f>
        <v/>
      </c>
      <c r="DK104">
        <f>IF(AND(DK$4=1,DK54=0),1,0)</f>
        <v/>
      </c>
      <c r="DL104">
        <f>IF(AND(DL$4=1,DL54=0),1,0)</f>
        <v/>
      </c>
      <c r="DM104">
        <f>IF(AND(DM$4=1,DM54=0),1,0)</f>
        <v/>
      </c>
      <c r="DN104">
        <f>IF(AND(DN$4=1,DN54=0),1,0)</f>
        <v/>
      </c>
      <c r="DO104">
        <f>IF(AND(DO$4=1,DO54=0),1,0)</f>
        <v/>
      </c>
      <c r="DP104">
        <f>IF(AND(DP$4=1,DP54=0),1,0)</f>
        <v/>
      </c>
      <c r="DQ104">
        <f>IF(AND(DQ$4=1,DQ54=0),1,0)</f>
        <v/>
      </c>
      <c r="DR104">
        <f>IF(AND(DR$4=1,DR54=0),1,0)</f>
        <v/>
      </c>
      <c r="DS104">
        <f>IF(AND(DS$4=1,DS54=0),1,0)</f>
        <v/>
      </c>
    </row>
    <row r="106">
      <c r="C106" t="inlineStr">
        <is>
          <t>次の枠あり</t>
        </is>
      </c>
      <c r="D106">
        <f>IF(E4=1,1,0)</f>
        <v/>
      </c>
      <c r="E106">
        <f>IF(F4=1,1,0)</f>
        <v/>
      </c>
      <c r="F106">
        <f>IF(G4=1,1,0)</f>
        <v/>
      </c>
      <c r="G106">
        <f>IF(H4=1,1,0)</f>
        <v/>
      </c>
      <c r="H106">
        <f>IF(I4=1,1,0)</f>
        <v/>
      </c>
      <c r="I106">
        <f>IF(J4=1,1,0)</f>
        <v/>
      </c>
      <c r="J106">
        <f>IF(K4=1,1,0)</f>
        <v/>
      </c>
      <c r="K106">
        <f>IF(L4=1,1,0)</f>
        <v/>
      </c>
      <c r="L106">
        <f>IF(M4=1,1,0)</f>
        <v/>
      </c>
      <c r="M106">
        <f>IF(N4=1,1,0)</f>
        <v/>
      </c>
      <c r="N106">
        <f>IF(O4=1,1,0)</f>
        <v/>
      </c>
      <c r="O106" t="n">
        <v>0</v>
      </c>
      <c r="P106">
        <f>IF(Q4=1,1,0)</f>
        <v/>
      </c>
      <c r="Q106">
        <f>IF(R4=1,1,0)</f>
        <v/>
      </c>
      <c r="R106">
        <f>IF(S4=1,1,0)</f>
        <v/>
      </c>
      <c r="S106">
        <f>IF(T4=1,1,0)</f>
        <v/>
      </c>
      <c r="T106">
        <f>IF(U4=1,1,0)</f>
        <v/>
      </c>
      <c r="U106">
        <f>IF(V4=1,1,0)</f>
        <v/>
      </c>
      <c r="V106">
        <f>IF(W4=1,1,0)</f>
        <v/>
      </c>
      <c r="W106">
        <f>IF(X4=1,1,0)</f>
        <v/>
      </c>
      <c r="X106">
        <f>IF(Y4=1,1,0)</f>
        <v/>
      </c>
      <c r="Y106">
        <f>IF(Z4=1,1,0)</f>
        <v/>
      </c>
      <c r="Z106">
        <f>IF(AA4=1,1,0)</f>
        <v/>
      </c>
      <c r="AA106" t="n">
        <v>0</v>
      </c>
      <c r="AB106">
        <f>IF(AC4=1,1,0)</f>
        <v/>
      </c>
      <c r="AC106">
        <f>IF(AD4=1,1,0)</f>
        <v/>
      </c>
      <c r="AD106">
        <f>IF(AE4=1,1,0)</f>
        <v/>
      </c>
      <c r="AE106">
        <f>IF(AF4=1,1,0)</f>
        <v/>
      </c>
      <c r="AF106">
        <f>IF(AG4=1,1,0)</f>
        <v/>
      </c>
      <c r="AG106">
        <f>IF(AH4=1,1,0)</f>
        <v/>
      </c>
      <c r="AH106">
        <f>IF(AI4=1,1,0)</f>
        <v/>
      </c>
      <c r="AI106">
        <f>IF(AJ4=1,1,0)</f>
        <v/>
      </c>
      <c r="AJ106">
        <f>IF(AK4=1,1,0)</f>
        <v/>
      </c>
      <c r="AK106">
        <f>IF(AL4=1,1,0)</f>
        <v/>
      </c>
      <c r="AL106">
        <f>IF(AM4=1,1,0)</f>
        <v/>
      </c>
      <c r="AM106" t="n">
        <v>0</v>
      </c>
      <c r="AN106">
        <f>IF(AO4=1,1,0)</f>
        <v/>
      </c>
      <c r="AO106">
        <f>IF(AP4=1,1,0)</f>
        <v/>
      </c>
      <c r="AP106">
        <f>IF(AQ4=1,1,0)</f>
        <v/>
      </c>
      <c r="AQ106">
        <f>IF(AR4=1,1,0)</f>
        <v/>
      </c>
      <c r="AR106">
        <f>IF(AS4=1,1,0)</f>
        <v/>
      </c>
      <c r="AS106">
        <f>IF(AT4=1,1,0)</f>
        <v/>
      </c>
      <c r="AT106">
        <f>IF(AU4=1,1,0)</f>
        <v/>
      </c>
      <c r="AU106">
        <f>IF(AV4=1,1,0)</f>
        <v/>
      </c>
      <c r="AV106">
        <f>IF(AW4=1,1,0)</f>
        <v/>
      </c>
      <c r="AW106">
        <f>IF(AX4=1,1,0)</f>
        <v/>
      </c>
      <c r="AX106">
        <f>IF(AY4=1,1,0)</f>
        <v/>
      </c>
      <c r="AY106" t="n">
        <v>0</v>
      </c>
      <c r="AZ106">
        <f>IF(BA4=1,1,0)</f>
        <v/>
      </c>
      <c r="BA106">
        <f>IF(BB4=1,1,0)</f>
        <v/>
      </c>
      <c r="BB106">
        <f>IF(BC4=1,1,0)</f>
        <v/>
      </c>
      <c r="BC106">
        <f>IF(BD4=1,1,0)</f>
        <v/>
      </c>
      <c r="BD106">
        <f>IF(BE4=1,1,0)</f>
        <v/>
      </c>
      <c r="BE106">
        <f>IF(BF4=1,1,0)</f>
        <v/>
      </c>
      <c r="BF106">
        <f>IF(BG4=1,1,0)</f>
        <v/>
      </c>
      <c r="BG106">
        <f>IF(BH4=1,1,0)</f>
        <v/>
      </c>
      <c r="BH106">
        <f>IF(BI4=1,1,0)</f>
        <v/>
      </c>
      <c r="BI106">
        <f>IF(BJ4=1,1,0)</f>
        <v/>
      </c>
      <c r="BJ106">
        <f>IF(BK4=1,1,0)</f>
        <v/>
      </c>
      <c r="BK106" t="n">
        <v>0</v>
      </c>
      <c r="BL106">
        <f>IF(BM4=1,1,0)</f>
        <v/>
      </c>
      <c r="BM106">
        <f>IF(BN4=1,1,0)</f>
        <v/>
      </c>
      <c r="BN106">
        <f>IF(BO4=1,1,0)</f>
        <v/>
      </c>
      <c r="BO106">
        <f>IF(BP4=1,1,0)</f>
        <v/>
      </c>
      <c r="BP106">
        <f>IF(BQ4=1,1,0)</f>
        <v/>
      </c>
      <c r="BQ106">
        <f>IF(BR4=1,1,0)</f>
        <v/>
      </c>
      <c r="BR106">
        <f>IF(BS4=1,1,0)</f>
        <v/>
      </c>
      <c r="BS106">
        <f>IF(BT4=1,1,0)</f>
        <v/>
      </c>
      <c r="BT106">
        <f>IF(BU4=1,1,0)</f>
        <v/>
      </c>
      <c r="BU106">
        <f>IF(BV4=1,1,0)</f>
        <v/>
      </c>
      <c r="BV106">
        <f>IF(BW4=1,1,0)</f>
        <v/>
      </c>
      <c r="BW106" t="n">
        <v>0</v>
      </c>
      <c r="BX106">
        <f>IF(BY4=1,1,0)</f>
        <v/>
      </c>
      <c r="BY106">
        <f>IF(BZ4=1,1,0)</f>
        <v/>
      </c>
      <c r="BZ106">
        <f>IF(CA4=1,1,0)</f>
        <v/>
      </c>
      <c r="CA106">
        <f>IF(CB4=1,1,0)</f>
        <v/>
      </c>
      <c r="CB106">
        <f>IF(CC4=1,1,0)</f>
        <v/>
      </c>
      <c r="CC106">
        <f>IF(CD4=1,1,0)</f>
        <v/>
      </c>
      <c r="CD106">
        <f>IF(CE4=1,1,0)</f>
        <v/>
      </c>
      <c r="CE106">
        <f>IF(CF4=1,1,0)</f>
        <v/>
      </c>
      <c r="CF106">
        <f>IF(CG4=1,1,0)</f>
        <v/>
      </c>
      <c r="CG106">
        <f>IF(CH4=1,1,0)</f>
        <v/>
      </c>
      <c r="CH106">
        <f>IF(CI4=1,1,0)</f>
        <v/>
      </c>
      <c r="CI106" t="n">
        <v>0</v>
      </c>
      <c r="CJ106">
        <f>IF(CK4=1,1,0)</f>
        <v/>
      </c>
      <c r="CK106">
        <f>IF(CL4=1,1,0)</f>
        <v/>
      </c>
      <c r="CL106">
        <f>IF(CM4=1,1,0)</f>
        <v/>
      </c>
      <c r="CM106">
        <f>IF(CN4=1,1,0)</f>
        <v/>
      </c>
      <c r="CN106">
        <f>IF(CO4=1,1,0)</f>
        <v/>
      </c>
      <c r="CO106">
        <f>IF(CP4=1,1,0)</f>
        <v/>
      </c>
      <c r="CP106">
        <f>IF(CQ4=1,1,0)</f>
        <v/>
      </c>
      <c r="CQ106">
        <f>IF(CR4=1,1,0)</f>
        <v/>
      </c>
      <c r="CR106">
        <f>IF(CS4=1,1,0)</f>
        <v/>
      </c>
      <c r="CS106">
        <f>IF(CT4=1,1,0)</f>
        <v/>
      </c>
      <c r="CT106">
        <f>IF(CU4=1,1,0)</f>
        <v/>
      </c>
      <c r="CU106" t="n">
        <v>0</v>
      </c>
      <c r="CV106">
        <f>IF(CW4=1,1,0)</f>
        <v/>
      </c>
      <c r="CW106">
        <f>IF(CX4=1,1,0)</f>
        <v/>
      </c>
      <c r="CX106">
        <f>IF(CY4=1,1,0)</f>
        <v/>
      </c>
      <c r="CY106">
        <f>IF(CZ4=1,1,0)</f>
        <v/>
      </c>
      <c r="CZ106">
        <f>IF(DA4=1,1,0)</f>
        <v/>
      </c>
      <c r="DA106">
        <f>IF(DB4=1,1,0)</f>
        <v/>
      </c>
      <c r="DB106">
        <f>IF(DC4=1,1,0)</f>
        <v/>
      </c>
      <c r="DC106">
        <f>IF(DD4=1,1,0)</f>
        <v/>
      </c>
      <c r="DD106">
        <f>IF(DE4=1,1,0)</f>
        <v/>
      </c>
      <c r="DE106">
        <f>IF(DF4=1,1,0)</f>
        <v/>
      </c>
      <c r="DF106">
        <f>IF(DG4=1,1,0)</f>
        <v/>
      </c>
      <c r="DG106" t="n">
        <v>0</v>
      </c>
      <c r="DH106">
        <f>IF(DI4=1,1,0)</f>
        <v/>
      </c>
      <c r="DI106">
        <f>IF(DJ4=1,1,0)</f>
        <v/>
      </c>
      <c r="DJ106">
        <f>IF(DK4=1,1,0)</f>
        <v/>
      </c>
      <c r="DK106">
        <f>IF(DL4=1,1,0)</f>
        <v/>
      </c>
      <c r="DL106">
        <f>IF(DM4=1,1,0)</f>
        <v/>
      </c>
      <c r="DM106">
        <f>IF(DN4=1,1,0)</f>
        <v/>
      </c>
      <c r="DN106">
        <f>IF(DO4=1,1,0)</f>
        <v/>
      </c>
      <c r="DO106">
        <f>IF(DP4=1,1,0)</f>
        <v/>
      </c>
      <c r="DP106">
        <f>IF(DQ4=1,1,0)</f>
        <v/>
      </c>
      <c r="DQ106">
        <f>IF(DR4=1,1,0)</f>
        <v/>
      </c>
      <c r="DR106">
        <f>IF(DS4=1,1,0)</f>
        <v/>
      </c>
      <c r="DS106" t="n">
        <v>0</v>
      </c>
    </row>
    <row r="107">
      <c r="C107" t="inlineStr">
        <is>
          <t>自動で空ける</t>
        </is>
      </c>
      <c r="D107">
        <f>IF(COUNTIF('計算B'!$G$3:$G$47,1)&gt;0,1,0)</f>
        <v/>
      </c>
      <c r="E107">
        <f>IF(COUNTIF('計算B'!$G$3:$G$47,2)&gt;0,1,0)</f>
        <v/>
      </c>
      <c r="F107">
        <f>IF(COUNTIF('計算B'!$G$3:$G$47,3)&gt;0,1,0)</f>
        <v/>
      </c>
      <c r="G107">
        <f>IF(COUNTIF('計算B'!$G$3:$G$47,4)&gt;0,1,0)</f>
        <v/>
      </c>
      <c r="H107">
        <f>IF(COUNTIF('計算B'!$G$3:$G$47,5)&gt;0,1,0)</f>
        <v/>
      </c>
      <c r="I107">
        <f>IF(COUNTIF('計算B'!$G$3:$G$47,6)&gt;0,1,0)</f>
        <v/>
      </c>
      <c r="J107">
        <f>IF(COUNTIF('計算B'!$G$3:$G$47,7)&gt;0,1,0)</f>
        <v/>
      </c>
      <c r="K107">
        <f>IF(COUNTIF('計算B'!$G$3:$G$47,8)&gt;0,1,0)</f>
        <v/>
      </c>
      <c r="L107">
        <f>IF(COUNTIF('計算B'!$G$3:$G$47,9)&gt;0,1,0)</f>
        <v/>
      </c>
      <c r="M107">
        <f>IF(COUNTIF('計算B'!$G$3:$G$47,10)&gt;0,1,0)</f>
        <v/>
      </c>
      <c r="N107">
        <f>IF(COUNTIF('計算B'!$G$3:$G$47,11)&gt;0,1,0)</f>
        <v/>
      </c>
      <c r="O107">
        <f>IF(COUNTIF('計算B'!$G$3:$G$47,12)&gt;0,1,0)</f>
        <v/>
      </c>
      <c r="P107">
        <f>IF(COUNTIF('計算B'!$G$3:$G$47,13)&gt;0,1,0)</f>
        <v/>
      </c>
      <c r="Q107">
        <f>IF(COUNTIF('計算B'!$G$3:$G$47,14)&gt;0,1,0)</f>
        <v/>
      </c>
      <c r="R107">
        <f>IF(COUNTIF('計算B'!$G$3:$G$47,15)&gt;0,1,0)</f>
        <v/>
      </c>
      <c r="S107">
        <f>IF(COUNTIF('計算B'!$G$3:$G$47,16)&gt;0,1,0)</f>
        <v/>
      </c>
      <c r="T107">
        <f>IF(COUNTIF('計算B'!$G$3:$G$47,17)&gt;0,1,0)</f>
        <v/>
      </c>
      <c r="U107">
        <f>IF(COUNTIF('計算B'!$G$3:$G$47,18)&gt;0,1,0)</f>
        <v/>
      </c>
      <c r="V107">
        <f>IF(COUNTIF('計算B'!$G$3:$G$47,19)&gt;0,1,0)</f>
        <v/>
      </c>
      <c r="W107">
        <f>IF(COUNTIF('計算B'!$G$3:$G$47,20)&gt;0,1,0)</f>
        <v/>
      </c>
      <c r="X107">
        <f>IF(COUNTIF('計算B'!$G$3:$G$47,21)&gt;0,1,0)</f>
        <v/>
      </c>
      <c r="Y107">
        <f>IF(COUNTIF('計算B'!$G$3:$G$47,22)&gt;0,1,0)</f>
        <v/>
      </c>
      <c r="Z107">
        <f>IF(COUNTIF('計算B'!$G$3:$G$47,23)&gt;0,1,0)</f>
        <v/>
      </c>
      <c r="AA107">
        <f>IF(COUNTIF('計算B'!$G$3:$G$47,24)&gt;0,1,0)</f>
        <v/>
      </c>
      <c r="AB107">
        <f>IF(COUNTIF('計算B'!$G$3:$G$47,25)&gt;0,1,0)</f>
        <v/>
      </c>
      <c r="AC107">
        <f>IF(COUNTIF('計算B'!$G$3:$G$47,26)&gt;0,1,0)</f>
        <v/>
      </c>
      <c r="AD107">
        <f>IF(COUNTIF('計算B'!$G$3:$G$47,27)&gt;0,1,0)</f>
        <v/>
      </c>
      <c r="AE107">
        <f>IF(COUNTIF('計算B'!$G$3:$G$47,28)&gt;0,1,0)</f>
        <v/>
      </c>
      <c r="AF107">
        <f>IF(COUNTIF('計算B'!$G$3:$G$47,29)&gt;0,1,0)</f>
        <v/>
      </c>
      <c r="AG107">
        <f>IF(COUNTIF('計算B'!$G$3:$G$47,30)&gt;0,1,0)</f>
        <v/>
      </c>
      <c r="AH107">
        <f>IF(COUNTIF('計算B'!$G$3:$G$47,31)&gt;0,1,0)</f>
        <v/>
      </c>
      <c r="AI107">
        <f>IF(COUNTIF('計算B'!$G$3:$G$47,32)&gt;0,1,0)</f>
        <v/>
      </c>
      <c r="AJ107">
        <f>IF(COUNTIF('計算B'!$G$3:$G$47,33)&gt;0,1,0)</f>
        <v/>
      </c>
      <c r="AK107">
        <f>IF(COUNTIF('計算B'!$G$3:$G$47,34)&gt;0,1,0)</f>
        <v/>
      </c>
      <c r="AL107">
        <f>IF(COUNTIF('計算B'!$G$3:$G$47,35)&gt;0,1,0)</f>
        <v/>
      </c>
      <c r="AM107">
        <f>IF(COUNTIF('計算B'!$G$3:$G$47,36)&gt;0,1,0)</f>
        <v/>
      </c>
      <c r="AN107">
        <f>IF(COUNTIF('計算B'!$G$3:$G$47,37)&gt;0,1,0)</f>
        <v/>
      </c>
      <c r="AO107">
        <f>IF(COUNTIF('計算B'!$G$3:$G$47,38)&gt;0,1,0)</f>
        <v/>
      </c>
      <c r="AP107">
        <f>IF(COUNTIF('計算B'!$G$3:$G$47,39)&gt;0,1,0)</f>
        <v/>
      </c>
      <c r="AQ107">
        <f>IF(COUNTIF('計算B'!$G$3:$G$47,40)&gt;0,1,0)</f>
        <v/>
      </c>
      <c r="AR107">
        <f>IF(COUNTIF('計算B'!$G$3:$G$47,41)&gt;0,1,0)</f>
        <v/>
      </c>
      <c r="AS107">
        <f>IF(COUNTIF('計算B'!$G$3:$G$47,42)&gt;0,1,0)</f>
        <v/>
      </c>
      <c r="AT107">
        <f>IF(COUNTIF('計算B'!$G$3:$G$47,43)&gt;0,1,0)</f>
        <v/>
      </c>
      <c r="AU107">
        <f>IF(COUNTIF('計算B'!$G$3:$G$47,44)&gt;0,1,0)</f>
        <v/>
      </c>
      <c r="AV107">
        <f>IF(COUNTIF('計算B'!$G$3:$G$47,45)&gt;0,1,0)</f>
        <v/>
      </c>
      <c r="AW107">
        <f>IF(COUNTIF('計算B'!$G$3:$G$47,46)&gt;0,1,0)</f>
        <v/>
      </c>
      <c r="AX107">
        <f>IF(COUNTIF('計算B'!$G$3:$G$47,47)&gt;0,1,0)</f>
        <v/>
      </c>
      <c r="AY107">
        <f>IF(COUNTIF('計算B'!$G$3:$G$47,48)&gt;0,1,0)</f>
        <v/>
      </c>
      <c r="AZ107">
        <f>IF(COUNTIF('計算B'!$G$3:$G$47,49)&gt;0,1,0)</f>
        <v/>
      </c>
      <c r="BA107">
        <f>IF(COUNTIF('計算B'!$G$3:$G$47,50)&gt;0,1,0)</f>
        <v/>
      </c>
      <c r="BB107">
        <f>IF(COUNTIF('計算B'!$G$3:$G$47,51)&gt;0,1,0)</f>
        <v/>
      </c>
      <c r="BC107">
        <f>IF(COUNTIF('計算B'!$G$3:$G$47,52)&gt;0,1,0)</f>
        <v/>
      </c>
      <c r="BD107">
        <f>IF(COUNTIF('計算B'!$G$3:$G$47,53)&gt;0,1,0)</f>
        <v/>
      </c>
      <c r="BE107">
        <f>IF(COUNTIF('計算B'!$G$3:$G$47,54)&gt;0,1,0)</f>
        <v/>
      </c>
      <c r="BF107">
        <f>IF(COUNTIF('計算B'!$G$3:$G$47,55)&gt;0,1,0)</f>
        <v/>
      </c>
      <c r="BG107">
        <f>IF(COUNTIF('計算B'!$G$3:$G$47,56)&gt;0,1,0)</f>
        <v/>
      </c>
      <c r="BH107">
        <f>IF(COUNTIF('計算B'!$G$3:$G$47,57)&gt;0,1,0)</f>
        <v/>
      </c>
      <c r="BI107">
        <f>IF(COUNTIF('計算B'!$G$3:$G$47,58)&gt;0,1,0)</f>
        <v/>
      </c>
      <c r="BJ107">
        <f>IF(COUNTIF('計算B'!$G$3:$G$47,59)&gt;0,1,0)</f>
        <v/>
      </c>
      <c r="BK107">
        <f>IF(COUNTIF('計算B'!$G$3:$G$47,60)&gt;0,1,0)</f>
        <v/>
      </c>
      <c r="BL107">
        <f>IF(COUNTIF('計算B'!$G$3:$G$47,61)&gt;0,1,0)</f>
        <v/>
      </c>
      <c r="BM107">
        <f>IF(COUNTIF('計算B'!$G$3:$G$47,62)&gt;0,1,0)</f>
        <v/>
      </c>
      <c r="BN107">
        <f>IF(COUNTIF('計算B'!$G$3:$G$47,63)&gt;0,1,0)</f>
        <v/>
      </c>
      <c r="BO107">
        <f>IF(COUNTIF('計算B'!$G$3:$G$47,64)&gt;0,1,0)</f>
        <v/>
      </c>
      <c r="BP107">
        <f>IF(COUNTIF('計算B'!$G$3:$G$47,65)&gt;0,1,0)</f>
        <v/>
      </c>
      <c r="BQ107">
        <f>IF(COUNTIF('計算B'!$G$3:$G$47,66)&gt;0,1,0)</f>
        <v/>
      </c>
      <c r="BR107">
        <f>IF(COUNTIF('計算B'!$G$3:$G$47,67)&gt;0,1,0)</f>
        <v/>
      </c>
      <c r="BS107">
        <f>IF(COUNTIF('計算B'!$G$3:$G$47,68)&gt;0,1,0)</f>
        <v/>
      </c>
      <c r="BT107">
        <f>IF(COUNTIF('計算B'!$G$3:$G$47,69)&gt;0,1,0)</f>
        <v/>
      </c>
      <c r="BU107">
        <f>IF(COUNTIF('計算B'!$G$3:$G$47,70)&gt;0,1,0)</f>
        <v/>
      </c>
      <c r="BV107">
        <f>IF(COUNTIF('計算B'!$G$3:$G$47,71)&gt;0,1,0)</f>
        <v/>
      </c>
      <c r="BW107">
        <f>IF(COUNTIF('計算B'!$G$3:$G$47,72)&gt;0,1,0)</f>
        <v/>
      </c>
      <c r="BX107">
        <f>IF(COUNTIF('計算B'!$G$3:$G$47,73)&gt;0,1,0)</f>
        <v/>
      </c>
      <c r="BY107">
        <f>IF(COUNTIF('計算B'!$G$3:$G$47,74)&gt;0,1,0)</f>
        <v/>
      </c>
      <c r="BZ107">
        <f>IF(COUNTIF('計算B'!$G$3:$G$47,75)&gt;0,1,0)</f>
        <v/>
      </c>
      <c r="CA107">
        <f>IF(COUNTIF('計算B'!$G$3:$G$47,76)&gt;0,1,0)</f>
        <v/>
      </c>
      <c r="CB107">
        <f>IF(COUNTIF('計算B'!$G$3:$G$47,77)&gt;0,1,0)</f>
        <v/>
      </c>
      <c r="CC107">
        <f>IF(COUNTIF('計算B'!$G$3:$G$47,78)&gt;0,1,0)</f>
        <v/>
      </c>
      <c r="CD107">
        <f>IF(COUNTIF('計算B'!$G$3:$G$47,79)&gt;0,1,0)</f>
        <v/>
      </c>
      <c r="CE107">
        <f>IF(COUNTIF('計算B'!$G$3:$G$47,80)&gt;0,1,0)</f>
        <v/>
      </c>
      <c r="CF107">
        <f>IF(COUNTIF('計算B'!$G$3:$G$47,81)&gt;0,1,0)</f>
        <v/>
      </c>
      <c r="CG107">
        <f>IF(COUNTIF('計算B'!$G$3:$G$47,82)&gt;0,1,0)</f>
        <v/>
      </c>
      <c r="CH107">
        <f>IF(COUNTIF('計算B'!$G$3:$G$47,83)&gt;0,1,0)</f>
        <v/>
      </c>
      <c r="CI107">
        <f>IF(COUNTIF('計算B'!$G$3:$G$47,84)&gt;0,1,0)</f>
        <v/>
      </c>
      <c r="CJ107">
        <f>IF(COUNTIF('計算B'!$G$3:$G$47,85)&gt;0,1,0)</f>
        <v/>
      </c>
      <c r="CK107">
        <f>IF(COUNTIF('計算B'!$G$3:$G$47,86)&gt;0,1,0)</f>
        <v/>
      </c>
      <c r="CL107">
        <f>IF(COUNTIF('計算B'!$G$3:$G$47,87)&gt;0,1,0)</f>
        <v/>
      </c>
      <c r="CM107">
        <f>IF(COUNTIF('計算B'!$G$3:$G$47,88)&gt;0,1,0)</f>
        <v/>
      </c>
      <c r="CN107">
        <f>IF(COUNTIF('計算B'!$G$3:$G$47,89)&gt;0,1,0)</f>
        <v/>
      </c>
      <c r="CO107">
        <f>IF(COUNTIF('計算B'!$G$3:$G$47,90)&gt;0,1,0)</f>
        <v/>
      </c>
      <c r="CP107">
        <f>IF(COUNTIF('計算B'!$G$3:$G$47,91)&gt;0,1,0)</f>
        <v/>
      </c>
      <c r="CQ107">
        <f>IF(COUNTIF('計算B'!$G$3:$G$47,92)&gt;0,1,0)</f>
        <v/>
      </c>
      <c r="CR107">
        <f>IF(COUNTIF('計算B'!$G$3:$G$47,93)&gt;0,1,0)</f>
        <v/>
      </c>
      <c r="CS107">
        <f>IF(COUNTIF('計算B'!$G$3:$G$47,94)&gt;0,1,0)</f>
        <v/>
      </c>
      <c r="CT107">
        <f>IF(COUNTIF('計算B'!$G$3:$G$47,95)&gt;0,1,0)</f>
        <v/>
      </c>
      <c r="CU107">
        <f>IF(COUNTIF('計算B'!$G$3:$G$47,96)&gt;0,1,0)</f>
        <v/>
      </c>
      <c r="CV107">
        <f>IF(COUNTIF('計算B'!$G$3:$G$47,97)&gt;0,1,0)</f>
        <v/>
      </c>
      <c r="CW107">
        <f>IF(COUNTIF('計算B'!$G$3:$G$47,98)&gt;0,1,0)</f>
        <v/>
      </c>
      <c r="CX107">
        <f>IF(COUNTIF('計算B'!$G$3:$G$47,99)&gt;0,1,0)</f>
        <v/>
      </c>
      <c r="CY107">
        <f>IF(COUNTIF('計算B'!$G$3:$G$47,100)&gt;0,1,0)</f>
        <v/>
      </c>
      <c r="CZ107">
        <f>IF(COUNTIF('計算B'!$G$3:$G$47,101)&gt;0,1,0)</f>
        <v/>
      </c>
      <c r="DA107">
        <f>IF(COUNTIF('計算B'!$G$3:$G$47,102)&gt;0,1,0)</f>
        <v/>
      </c>
      <c r="DB107">
        <f>IF(COUNTIF('計算B'!$G$3:$G$47,103)&gt;0,1,0)</f>
        <v/>
      </c>
      <c r="DC107">
        <f>IF(COUNTIF('計算B'!$G$3:$G$47,104)&gt;0,1,0)</f>
        <v/>
      </c>
      <c r="DD107">
        <f>IF(COUNTIF('計算B'!$G$3:$G$47,105)&gt;0,1,0)</f>
        <v/>
      </c>
      <c r="DE107">
        <f>IF(COUNTIF('計算B'!$G$3:$G$47,106)&gt;0,1,0)</f>
        <v/>
      </c>
      <c r="DF107">
        <f>IF(COUNTIF('計算B'!$G$3:$G$47,107)&gt;0,1,0)</f>
        <v/>
      </c>
      <c r="DG107">
        <f>IF(COUNTIF('計算B'!$G$3:$G$47,108)&gt;0,1,0)</f>
        <v/>
      </c>
      <c r="DH107">
        <f>IF(COUNTIF('計算B'!$G$3:$G$47,109)&gt;0,1,0)</f>
        <v/>
      </c>
      <c r="DI107">
        <f>IF(COUNTIF('計算B'!$G$3:$G$47,110)&gt;0,1,0)</f>
        <v/>
      </c>
      <c r="DJ107">
        <f>IF(COUNTIF('計算B'!$G$3:$G$47,111)&gt;0,1,0)</f>
        <v/>
      </c>
      <c r="DK107">
        <f>IF(COUNTIF('計算B'!$G$3:$G$47,112)&gt;0,1,0)</f>
        <v/>
      </c>
      <c r="DL107">
        <f>IF(COUNTIF('計算B'!$G$3:$G$47,113)&gt;0,1,0)</f>
        <v/>
      </c>
      <c r="DM107">
        <f>IF(COUNTIF('計算B'!$G$3:$G$47,114)&gt;0,1,0)</f>
        <v/>
      </c>
      <c r="DN107">
        <f>IF(COUNTIF('計算B'!$G$3:$G$47,115)&gt;0,1,0)</f>
        <v/>
      </c>
      <c r="DO107">
        <f>IF(COUNTIF('計算B'!$G$3:$G$47,116)&gt;0,1,0)</f>
        <v/>
      </c>
      <c r="DP107">
        <f>IF(COUNTIF('計算B'!$G$3:$G$47,117)&gt;0,1,0)</f>
        <v/>
      </c>
      <c r="DQ107">
        <f>IF(COUNTIF('計算B'!$G$3:$G$47,118)&gt;0,1,0)</f>
        <v/>
      </c>
      <c r="DR107">
        <f>IF(COUNTIF('計算B'!$G$3:$G$47,119)&gt;0,1,0)</f>
        <v/>
      </c>
      <c r="DS107">
        <f>IF(COUNTIF('計算B'!$G$3:$G$47,120)&gt;0,1,0)</f>
        <v/>
      </c>
    </row>
    <row r="108">
      <c r="C108" t="inlineStr">
        <is>
          <t>後ろを空ける枠</t>
        </is>
      </c>
      <c r="D108" t="n">
        <v>0</v>
      </c>
      <c r="E108">
        <f>IF(INDEX('割り当て'!$C$6:$L$17,E3-1,E2)="",0,IF(IFERROR(INDEX('名簿'!$F$5:$F$49,MATCH(INDEX('割り当て'!$C$6:$L$17,E3-1,E2),'名簿'!$G$5:$G$49,0)),"")&lt;&gt;"",1,0))</f>
        <v/>
      </c>
      <c r="F108">
        <f>IF(INDEX('割り当て'!$C$6:$L$17,F3-1,F2)="",0,IF(IFERROR(INDEX('名簿'!$F$5:$F$49,MATCH(INDEX('割り当て'!$C$6:$L$17,F3-1,F2),'名簿'!$G$5:$G$49,0)),"")&lt;&gt;"",1,0))</f>
        <v/>
      </c>
      <c r="G108">
        <f>IF(INDEX('割り当て'!$C$6:$L$17,G3-1,G2)="",0,IF(IFERROR(INDEX('名簿'!$F$5:$F$49,MATCH(INDEX('割り当て'!$C$6:$L$17,G3-1,G2),'名簿'!$G$5:$G$49,0)),"")&lt;&gt;"",1,0))</f>
        <v/>
      </c>
      <c r="H108">
        <f>IF(INDEX('割り当て'!$C$6:$L$17,H3-1,H2)="",0,IF(IFERROR(INDEX('名簿'!$F$5:$F$49,MATCH(INDEX('割り当て'!$C$6:$L$17,H3-1,H2),'名簿'!$G$5:$G$49,0)),"")&lt;&gt;"",1,0))</f>
        <v/>
      </c>
      <c r="I108">
        <f>IF(INDEX('割り当て'!$C$6:$L$17,I3-1,I2)="",0,IF(IFERROR(INDEX('名簿'!$F$5:$F$49,MATCH(INDEX('割り当て'!$C$6:$L$17,I3-1,I2),'名簿'!$G$5:$G$49,0)),"")&lt;&gt;"",1,0))</f>
        <v/>
      </c>
      <c r="J108">
        <f>IF(INDEX('割り当て'!$C$6:$L$17,J3-1,J2)="",0,IF(IFERROR(INDEX('名簿'!$F$5:$F$49,MATCH(INDEX('割り当て'!$C$6:$L$17,J3-1,J2),'名簿'!$G$5:$G$49,0)),"")&lt;&gt;"",1,0))</f>
        <v/>
      </c>
      <c r="K108">
        <f>IF(INDEX('割り当て'!$C$6:$L$17,K3-1,K2)="",0,IF(IFERROR(INDEX('名簿'!$F$5:$F$49,MATCH(INDEX('割り当て'!$C$6:$L$17,K3-1,K2),'名簿'!$G$5:$G$49,0)),"")&lt;&gt;"",1,0))</f>
        <v/>
      </c>
      <c r="L108">
        <f>IF(INDEX('割り当て'!$C$6:$L$17,L3-1,L2)="",0,IF(IFERROR(INDEX('名簿'!$F$5:$F$49,MATCH(INDEX('割り当て'!$C$6:$L$17,L3-1,L2),'名簿'!$G$5:$G$49,0)),"")&lt;&gt;"",1,0))</f>
        <v/>
      </c>
      <c r="M108">
        <f>IF(INDEX('割り当て'!$C$6:$L$17,M3-1,M2)="",0,IF(IFERROR(INDEX('名簿'!$F$5:$F$49,MATCH(INDEX('割り当て'!$C$6:$L$17,M3-1,M2),'名簿'!$G$5:$G$49,0)),"")&lt;&gt;"",1,0))</f>
        <v/>
      </c>
      <c r="N108">
        <f>IF(INDEX('割り当て'!$C$6:$L$17,N3-1,N2)="",0,IF(IFERROR(INDEX('名簿'!$F$5:$F$49,MATCH(INDEX('割り当て'!$C$6:$L$17,N3-1,N2),'名簿'!$G$5:$G$49,0)),"")&lt;&gt;"",1,0))</f>
        <v/>
      </c>
      <c r="O108">
        <f>IF(INDEX('割り当て'!$C$6:$L$17,O3-1,O2)="",0,IF(IFERROR(INDEX('名簿'!$F$5:$F$49,MATCH(INDEX('割り当て'!$C$6:$L$17,O3-1,O2),'名簿'!$G$5:$G$49,0)),"")&lt;&gt;"",1,0))</f>
        <v/>
      </c>
      <c r="P108" t="n">
        <v>0</v>
      </c>
      <c r="Q108">
        <f>IF(INDEX('割り当て'!$C$6:$L$17,Q3-1,Q2)="",0,IF(IFERROR(INDEX('名簿'!$F$5:$F$49,MATCH(INDEX('割り当て'!$C$6:$L$17,Q3-1,Q2),'名簿'!$G$5:$G$49,0)),"")&lt;&gt;"",1,0))</f>
        <v/>
      </c>
      <c r="R108">
        <f>IF(INDEX('割り当て'!$C$6:$L$17,R3-1,R2)="",0,IF(IFERROR(INDEX('名簿'!$F$5:$F$49,MATCH(INDEX('割り当て'!$C$6:$L$17,R3-1,R2),'名簿'!$G$5:$G$49,0)),"")&lt;&gt;"",1,0))</f>
        <v/>
      </c>
      <c r="S108">
        <f>IF(INDEX('割り当て'!$C$6:$L$17,S3-1,S2)="",0,IF(IFERROR(INDEX('名簿'!$F$5:$F$49,MATCH(INDEX('割り当て'!$C$6:$L$17,S3-1,S2),'名簿'!$G$5:$G$49,0)),"")&lt;&gt;"",1,0))</f>
        <v/>
      </c>
      <c r="T108">
        <f>IF(INDEX('割り当て'!$C$6:$L$17,T3-1,T2)="",0,IF(IFERROR(INDEX('名簿'!$F$5:$F$49,MATCH(INDEX('割り当て'!$C$6:$L$17,T3-1,T2),'名簿'!$G$5:$G$49,0)),"")&lt;&gt;"",1,0))</f>
        <v/>
      </c>
      <c r="U108">
        <f>IF(INDEX('割り当て'!$C$6:$L$17,U3-1,U2)="",0,IF(IFERROR(INDEX('名簿'!$F$5:$F$49,MATCH(INDEX('割り当て'!$C$6:$L$17,U3-1,U2),'名簿'!$G$5:$G$49,0)),"")&lt;&gt;"",1,0))</f>
        <v/>
      </c>
      <c r="V108">
        <f>IF(INDEX('割り当て'!$C$6:$L$17,V3-1,V2)="",0,IF(IFERROR(INDEX('名簿'!$F$5:$F$49,MATCH(INDEX('割り当て'!$C$6:$L$17,V3-1,V2),'名簿'!$G$5:$G$49,0)),"")&lt;&gt;"",1,0))</f>
        <v/>
      </c>
      <c r="W108">
        <f>IF(INDEX('割り当て'!$C$6:$L$17,W3-1,W2)="",0,IF(IFERROR(INDEX('名簿'!$F$5:$F$49,MATCH(INDEX('割り当て'!$C$6:$L$17,W3-1,W2),'名簿'!$G$5:$G$49,0)),"")&lt;&gt;"",1,0))</f>
        <v/>
      </c>
      <c r="X108">
        <f>IF(INDEX('割り当て'!$C$6:$L$17,X3-1,X2)="",0,IF(IFERROR(INDEX('名簿'!$F$5:$F$49,MATCH(INDEX('割り当て'!$C$6:$L$17,X3-1,X2),'名簿'!$G$5:$G$49,0)),"")&lt;&gt;"",1,0))</f>
        <v/>
      </c>
      <c r="Y108">
        <f>IF(INDEX('割り当て'!$C$6:$L$17,Y3-1,Y2)="",0,IF(IFERROR(INDEX('名簿'!$F$5:$F$49,MATCH(INDEX('割り当て'!$C$6:$L$17,Y3-1,Y2),'名簿'!$G$5:$G$49,0)),"")&lt;&gt;"",1,0))</f>
        <v/>
      </c>
      <c r="Z108">
        <f>IF(INDEX('割り当て'!$C$6:$L$17,Z3-1,Z2)="",0,IF(IFERROR(INDEX('名簿'!$F$5:$F$49,MATCH(INDEX('割り当て'!$C$6:$L$17,Z3-1,Z2),'名簿'!$G$5:$G$49,0)),"")&lt;&gt;"",1,0))</f>
        <v/>
      </c>
      <c r="AA108">
        <f>IF(INDEX('割り当て'!$C$6:$L$17,AA3-1,AA2)="",0,IF(IFERROR(INDEX('名簿'!$F$5:$F$49,MATCH(INDEX('割り当て'!$C$6:$L$17,AA3-1,AA2),'名簿'!$G$5:$G$49,0)),"")&lt;&gt;"",1,0))</f>
        <v/>
      </c>
      <c r="AB108" t="n">
        <v>0</v>
      </c>
      <c r="AC108">
        <f>IF(INDEX('割り当て'!$C$6:$L$17,AC3-1,AC2)="",0,IF(IFERROR(INDEX('名簿'!$F$5:$F$49,MATCH(INDEX('割り当て'!$C$6:$L$17,AC3-1,AC2),'名簿'!$G$5:$G$49,0)),"")&lt;&gt;"",1,0))</f>
        <v/>
      </c>
      <c r="AD108">
        <f>IF(INDEX('割り当て'!$C$6:$L$17,AD3-1,AD2)="",0,IF(IFERROR(INDEX('名簿'!$F$5:$F$49,MATCH(INDEX('割り当て'!$C$6:$L$17,AD3-1,AD2),'名簿'!$G$5:$G$49,0)),"")&lt;&gt;"",1,0))</f>
        <v/>
      </c>
      <c r="AE108">
        <f>IF(INDEX('割り当て'!$C$6:$L$17,AE3-1,AE2)="",0,IF(IFERROR(INDEX('名簿'!$F$5:$F$49,MATCH(INDEX('割り当て'!$C$6:$L$17,AE3-1,AE2),'名簿'!$G$5:$G$49,0)),"")&lt;&gt;"",1,0))</f>
        <v/>
      </c>
      <c r="AF108">
        <f>IF(INDEX('割り当て'!$C$6:$L$17,AF3-1,AF2)="",0,IF(IFERROR(INDEX('名簿'!$F$5:$F$49,MATCH(INDEX('割り当て'!$C$6:$L$17,AF3-1,AF2),'名簿'!$G$5:$G$49,0)),"")&lt;&gt;"",1,0))</f>
        <v/>
      </c>
      <c r="AG108">
        <f>IF(INDEX('割り当て'!$C$6:$L$17,AG3-1,AG2)="",0,IF(IFERROR(INDEX('名簿'!$F$5:$F$49,MATCH(INDEX('割り当て'!$C$6:$L$17,AG3-1,AG2),'名簿'!$G$5:$G$49,0)),"")&lt;&gt;"",1,0))</f>
        <v/>
      </c>
      <c r="AH108">
        <f>IF(INDEX('割り当て'!$C$6:$L$17,AH3-1,AH2)="",0,IF(IFERROR(INDEX('名簿'!$F$5:$F$49,MATCH(INDEX('割り当て'!$C$6:$L$17,AH3-1,AH2),'名簿'!$G$5:$G$49,0)),"")&lt;&gt;"",1,0))</f>
        <v/>
      </c>
      <c r="AI108">
        <f>IF(INDEX('割り当て'!$C$6:$L$17,AI3-1,AI2)="",0,IF(IFERROR(INDEX('名簿'!$F$5:$F$49,MATCH(INDEX('割り当て'!$C$6:$L$17,AI3-1,AI2),'名簿'!$G$5:$G$49,0)),"")&lt;&gt;"",1,0))</f>
        <v/>
      </c>
      <c r="AJ108">
        <f>IF(INDEX('割り当て'!$C$6:$L$17,AJ3-1,AJ2)="",0,IF(IFERROR(INDEX('名簿'!$F$5:$F$49,MATCH(INDEX('割り当て'!$C$6:$L$17,AJ3-1,AJ2),'名簿'!$G$5:$G$49,0)),"")&lt;&gt;"",1,0))</f>
        <v/>
      </c>
      <c r="AK108">
        <f>IF(INDEX('割り当て'!$C$6:$L$17,AK3-1,AK2)="",0,IF(IFERROR(INDEX('名簿'!$F$5:$F$49,MATCH(INDEX('割り当て'!$C$6:$L$17,AK3-1,AK2),'名簿'!$G$5:$G$49,0)),"")&lt;&gt;"",1,0))</f>
        <v/>
      </c>
      <c r="AL108">
        <f>IF(INDEX('割り当て'!$C$6:$L$17,AL3-1,AL2)="",0,IF(IFERROR(INDEX('名簿'!$F$5:$F$49,MATCH(INDEX('割り当て'!$C$6:$L$17,AL3-1,AL2),'名簿'!$G$5:$G$49,0)),"")&lt;&gt;"",1,0))</f>
        <v/>
      </c>
      <c r="AM108">
        <f>IF(INDEX('割り当て'!$C$6:$L$17,AM3-1,AM2)="",0,IF(IFERROR(INDEX('名簿'!$F$5:$F$49,MATCH(INDEX('割り当て'!$C$6:$L$17,AM3-1,AM2),'名簿'!$G$5:$G$49,0)),"")&lt;&gt;"",1,0))</f>
        <v/>
      </c>
      <c r="AN108" t="n">
        <v>0</v>
      </c>
      <c r="AO108">
        <f>IF(INDEX('割り当て'!$C$6:$L$17,AO3-1,AO2)="",0,IF(IFERROR(INDEX('名簿'!$F$5:$F$49,MATCH(INDEX('割り当て'!$C$6:$L$17,AO3-1,AO2),'名簿'!$G$5:$G$49,0)),"")&lt;&gt;"",1,0))</f>
        <v/>
      </c>
      <c r="AP108">
        <f>IF(INDEX('割り当て'!$C$6:$L$17,AP3-1,AP2)="",0,IF(IFERROR(INDEX('名簿'!$F$5:$F$49,MATCH(INDEX('割り当て'!$C$6:$L$17,AP3-1,AP2),'名簿'!$G$5:$G$49,0)),"")&lt;&gt;"",1,0))</f>
        <v/>
      </c>
      <c r="AQ108">
        <f>IF(INDEX('割り当て'!$C$6:$L$17,AQ3-1,AQ2)="",0,IF(IFERROR(INDEX('名簿'!$F$5:$F$49,MATCH(INDEX('割り当て'!$C$6:$L$17,AQ3-1,AQ2),'名簿'!$G$5:$G$49,0)),"")&lt;&gt;"",1,0))</f>
        <v/>
      </c>
      <c r="AR108">
        <f>IF(INDEX('割り当て'!$C$6:$L$17,AR3-1,AR2)="",0,IF(IFERROR(INDEX('名簿'!$F$5:$F$49,MATCH(INDEX('割り当て'!$C$6:$L$17,AR3-1,AR2),'名簿'!$G$5:$G$49,0)),"")&lt;&gt;"",1,0))</f>
        <v/>
      </c>
      <c r="AS108">
        <f>IF(INDEX('割り当て'!$C$6:$L$17,AS3-1,AS2)="",0,IF(IFERROR(INDEX('名簿'!$F$5:$F$49,MATCH(INDEX('割り当て'!$C$6:$L$17,AS3-1,AS2),'名簿'!$G$5:$G$49,0)),"")&lt;&gt;"",1,0))</f>
        <v/>
      </c>
      <c r="AT108">
        <f>IF(INDEX('割り当て'!$C$6:$L$17,AT3-1,AT2)="",0,IF(IFERROR(INDEX('名簿'!$F$5:$F$49,MATCH(INDEX('割り当て'!$C$6:$L$17,AT3-1,AT2),'名簿'!$G$5:$G$49,0)),"")&lt;&gt;"",1,0))</f>
        <v/>
      </c>
      <c r="AU108">
        <f>IF(INDEX('割り当て'!$C$6:$L$17,AU3-1,AU2)="",0,IF(IFERROR(INDEX('名簿'!$F$5:$F$49,MATCH(INDEX('割り当て'!$C$6:$L$17,AU3-1,AU2),'名簿'!$G$5:$G$49,0)),"")&lt;&gt;"",1,0))</f>
        <v/>
      </c>
      <c r="AV108">
        <f>IF(INDEX('割り当て'!$C$6:$L$17,AV3-1,AV2)="",0,IF(IFERROR(INDEX('名簿'!$F$5:$F$49,MATCH(INDEX('割り当て'!$C$6:$L$17,AV3-1,AV2),'名簿'!$G$5:$G$49,0)),"")&lt;&gt;"",1,0))</f>
        <v/>
      </c>
      <c r="AW108">
        <f>IF(INDEX('割り当て'!$C$6:$L$17,AW3-1,AW2)="",0,IF(IFERROR(INDEX('名簿'!$F$5:$F$49,MATCH(INDEX('割り当て'!$C$6:$L$17,AW3-1,AW2),'名簿'!$G$5:$G$49,0)),"")&lt;&gt;"",1,0))</f>
        <v/>
      </c>
      <c r="AX108">
        <f>IF(INDEX('割り当て'!$C$6:$L$17,AX3-1,AX2)="",0,IF(IFERROR(INDEX('名簿'!$F$5:$F$49,MATCH(INDEX('割り当て'!$C$6:$L$17,AX3-1,AX2),'名簿'!$G$5:$G$49,0)),"")&lt;&gt;"",1,0))</f>
        <v/>
      </c>
      <c r="AY108">
        <f>IF(INDEX('割り当て'!$C$6:$L$17,AY3-1,AY2)="",0,IF(IFERROR(INDEX('名簿'!$F$5:$F$49,MATCH(INDEX('割り当て'!$C$6:$L$17,AY3-1,AY2),'名簿'!$G$5:$G$49,0)),"")&lt;&gt;"",1,0))</f>
        <v/>
      </c>
      <c r="AZ108" t="n">
        <v>0</v>
      </c>
      <c r="BA108">
        <f>IF(INDEX('割り当て'!$C$6:$L$17,BA3-1,BA2)="",0,IF(IFERROR(INDEX('名簿'!$F$5:$F$49,MATCH(INDEX('割り当て'!$C$6:$L$17,BA3-1,BA2),'名簿'!$G$5:$G$49,0)),"")&lt;&gt;"",1,0))</f>
        <v/>
      </c>
      <c r="BB108">
        <f>IF(INDEX('割り当て'!$C$6:$L$17,BB3-1,BB2)="",0,IF(IFERROR(INDEX('名簿'!$F$5:$F$49,MATCH(INDEX('割り当て'!$C$6:$L$17,BB3-1,BB2),'名簿'!$G$5:$G$49,0)),"")&lt;&gt;"",1,0))</f>
        <v/>
      </c>
      <c r="BC108">
        <f>IF(INDEX('割り当て'!$C$6:$L$17,BC3-1,BC2)="",0,IF(IFERROR(INDEX('名簿'!$F$5:$F$49,MATCH(INDEX('割り当て'!$C$6:$L$17,BC3-1,BC2),'名簿'!$G$5:$G$49,0)),"")&lt;&gt;"",1,0))</f>
        <v/>
      </c>
      <c r="BD108">
        <f>IF(INDEX('割り当て'!$C$6:$L$17,BD3-1,BD2)="",0,IF(IFERROR(INDEX('名簿'!$F$5:$F$49,MATCH(INDEX('割り当て'!$C$6:$L$17,BD3-1,BD2),'名簿'!$G$5:$G$49,0)),"")&lt;&gt;"",1,0))</f>
        <v/>
      </c>
      <c r="BE108">
        <f>IF(INDEX('割り当て'!$C$6:$L$17,BE3-1,BE2)="",0,IF(IFERROR(INDEX('名簿'!$F$5:$F$49,MATCH(INDEX('割り当て'!$C$6:$L$17,BE3-1,BE2),'名簿'!$G$5:$G$49,0)),"")&lt;&gt;"",1,0))</f>
        <v/>
      </c>
      <c r="BF108">
        <f>IF(INDEX('割り当て'!$C$6:$L$17,BF3-1,BF2)="",0,IF(IFERROR(INDEX('名簿'!$F$5:$F$49,MATCH(INDEX('割り当て'!$C$6:$L$17,BF3-1,BF2),'名簿'!$G$5:$G$49,0)),"")&lt;&gt;"",1,0))</f>
        <v/>
      </c>
      <c r="BG108">
        <f>IF(INDEX('割り当て'!$C$6:$L$17,BG3-1,BG2)="",0,IF(IFERROR(INDEX('名簿'!$F$5:$F$49,MATCH(INDEX('割り当て'!$C$6:$L$17,BG3-1,BG2),'名簿'!$G$5:$G$49,0)),"")&lt;&gt;"",1,0))</f>
        <v/>
      </c>
      <c r="BH108">
        <f>IF(INDEX('割り当て'!$C$6:$L$17,BH3-1,BH2)="",0,IF(IFERROR(INDEX('名簿'!$F$5:$F$49,MATCH(INDEX('割り当て'!$C$6:$L$17,BH3-1,BH2),'名簿'!$G$5:$G$49,0)),"")&lt;&gt;"",1,0))</f>
        <v/>
      </c>
      <c r="BI108">
        <f>IF(INDEX('割り当て'!$C$6:$L$17,BI3-1,BI2)="",0,IF(IFERROR(INDEX('名簿'!$F$5:$F$49,MATCH(INDEX('割り当て'!$C$6:$L$17,BI3-1,BI2),'名簿'!$G$5:$G$49,0)),"")&lt;&gt;"",1,0))</f>
        <v/>
      </c>
      <c r="BJ108">
        <f>IF(INDEX('割り当て'!$C$6:$L$17,BJ3-1,BJ2)="",0,IF(IFERROR(INDEX('名簿'!$F$5:$F$49,MATCH(INDEX('割り当て'!$C$6:$L$17,BJ3-1,BJ2),'名簿'!$G$5:$G$49,0)),"")&lt;&gt;"",1,0))</f>
        <v/>
      </c>
      <c r="BK108">
        <f>IF(INDEX('割り当て'!$C$6:$L$17,BK3-1,BK2)="",0,IF(IFERROR(INDEX('名簿'!$F$5:$F$49,MATCH(INDEX('割り当て'!$C$6:$L$17,BK3-1,BK2),'名簿'!$G$5:$G$49,0)),"")&lt;&gt;"",1,0))</f>
        <v/>
      </c>
      <c r="BL108" t="n">
        <v>0</v>
      </c>
      <c r="BM108">
        <f>IF(INDEX('割り当て'!$C$6:$L$17,BM3-1,BM2)="",0,IF(IFERROR(INDEX('名簿'!$F$5:$F$49,MATCH(INDEX('割り当て'!$C$6:$L$17,BM3-1,BM2),'名簿'!$G$5:$G$49,0)),"")&lt;&gt;"",1,0))</f>
        <v/>
      </c>
      <c r="BN108">
        <f>IF(INDEX('割り当て'!$C$6:$L$17,BN3-1,BN2)="",0,IF(IFERROR(INDEX('名簿'!$F$5:$F$49,MATCH(INDEX('割り当て'!$C$6:$L$17,BN3-1,BN2),'名簿'!$G$5:$G$49,0)),"")&lt;&gt;"",1,0))</f>
        <v/>
      </c>
      <c r="BO108">
        <f>IF(INDEX('割り当て'!$C$6:$L$17,BO3-1,BO2)="",0,IF(IFERROR(INDEX('名簿'!$F$5:$F$49,MATCH(INDEX('割り当て'!$C$6:$L$17,BO3-1,BO2),'名簿'!$G$5:$G$49,0)),"")&lt;&gt;"",1,0))</f>
        <v/>
      </c>
      <c r="BP108">
        <f>IF(INDEX('割り当て'!$C$6:$L$17,BP3-1,BP2)="",0,IF(IFERROR(INDEX('名簿'!$F$5:$F$49,MATCH(INDEX('割り当て'!$C$6:$L$17,BP3-1,BP2),'名簿'!$G$5:$G$49,0)),"")&lt;&gt;"",1,0))</f>
        <v/>
      </c>
      <c r="BQ108">
        <f>IF(INDEX('割り当て'!$C$6:$L$17,BQ3-1,BQ2)="",0,IF(IFERROR(INDEX('名簿'!$F$5:$F$49,MATCH(INDEX('割り当て'!$C$6:$L$17,BQ3-1,BQ2),'名簿'!$G$5:$G$49,0)),"")&lt;&gt;"",1,0))</f>
        <v/>
      </c>
      <c r="BR108">
        <f>IF(INDEX('割り当て'!$C$6:$L$17,BR3-1,BR2)="",0,IF(IFERROR(INDEX('名簿'!$F$5:$F$49,MATCH(INDEX('割り当て'!$C$6:$L$17,BR3-1,BR2),'名簿'!$G$5:$G$49,0)),"")&lt;&gt;"",1,0))</f>
        <v/>
      </c>
      <c r="BS108">
        <f>IF(INDEX('割り当て'!$C$6:$L$17,BS3-1,BS2)="",0,IF(IFERROR(INDEX('名簿'!$F$5:$F$49,MATCH(INDEX('割り当て'!$C$6:$L$17,BS3-1,BS2),'名簿'!$G$5:$G$49,0)),"")&lt;&gt;"",1,0))</f>
        <v/>
      </c>
      <c r="BT108">
        <f>IF(INDEX('割り当て'!$C$6:$L$17,BT3-1,BT2)="",0,IF(IFERROR(INDEX('名簿'!$F$5:$F$49,MATCH(INDEX('割り当て'!$C$6:$L$17,BT3-1,BT2),'名簿'!$G$5:$G$49,0)),"")&lt;&gt;"",1,0))</f>
        <v/>
      </c>
      <c r="BU108">
        <f>IF(INDEX('割り当て'!$C$6:$L$17,BU3-1,BU2)="",0,IF(IFERROR(INDEX('名簿'!$F$5:$F$49,MATCH(INDEX('割り当て'!$C$6:$L$17,BU3-1,BU2),'名簿'!$G$5:$G$49,0)),"")&lt;&gt;"",1,0))</f>
        <v/>
      </c>
      <c r="BV108">
        <f>IF(INDEX('割り当て'!$C$6:$L$17,BV3-1,BV2)="",0,IF(IFERROR(INDEX('名簿'!$F$5:$F$49,MATCH(INDEX('割り当て'!$C$6:$L$17,BV3-1,BV2),'名簿'!$G$5:$G$49,0)),"")&lt;&gt;"",1,0))</f>
        <v/>
      </c>
      <c r="BW108">
        <f>IF(INDEX('割り当て'!$C$6:$L$17,BW3-1,BW2)="",0,IF(IFERROR(INDEX('名簿'!$F$5:$F$49,MATCH(INDEX('割り当て'!$C$6:$L$17,BW3-1,BW2),'名簿'!$G$5:$G$49,0)),"")&lt;&gt;"",1,0))</f>
        <v/>
      </c>
      <c r="BX108" t="n">
        <v>0</v>
      </c>
      <c r="BY108">
        <f>IF(INDEX('割り当て'!$C$6:$L$17,BY3-1,BY2)="",0,IF(IFERROR(INDEX('名簿'!$F$5:$F$49,MATCH(INDEX('割り当て'!$C$6:$L$17,BY3-1,BY2),'名簿'!$G$5:$G$49,0)),"")&lt;&gt;"",1,0))</f>
        <v/>
      </c>
      <c r="BZ108">
        <f>IF(INDEX('割り当て'!$C$6:$L$17,BZ3-1,BZ2)="",0,IF(IFERROR(INDEX('名簿'!$F$5:$F$49,MATCH(INDEX('割り当て'!$C$6:$L$17,BZ3-1,BZ2),'名簿'!$G$5:$G$49,0)),"")&lt;&gt;"",1,0))</f>
        <v/>
      </c>
      <c r="CA108">
        <f>IF(INDEX('割り当て'!$C$6:$L$17,CA3-1,CA2)="",0,IF(IFERROR(INDEX('名簿'!$F$5:$F$49,MATCH(INDEX('割り当て'!$C$6:$L$17,CA3-1,CA2),'名簿'!$G$5:$G$49,0)),"")&lt;&gt;"",1,0))</f>
        <v/>
      </c>
      <c r="CB108">
        <f>IF(INDEX('割り当て'!$C$6:$L$17,CB3-1,CB2)="",0,IF(IFERROR(INDEX('名簿'!$F$5:$F$49,MATCH(INDEX('割り当て'!$C$6:$L$17,CB3-1,CB2),'名簿'!$G$5:$G$49,0)),"")&lt;&gt;"",1,0))</f>
        <v/>
      </c>
      <c r="CC108">
        <f>IF(INDEX('割り当て'!$C$6:$L$17,CC3-1,CC2)="",0,IF(IFERROR(INDEX('名簿'!$F$5:$F$49,MATCH(INDEX('割り当て'!$C$6:$L$17,CC3-1,CC2),'名簿'!$G$5:$G$49,0)),"")&lt;&gt;"",1,0))</f>
        <v/>
      </c>
      <c r="CD108">
        <f>IF(INDEX('割り当て'!$C$6:$L$17,CD3-1,CD2)="",0,IF(IFERROR(INDEX('名簿'!$F$5:$F$49,MATCH(INDEX('割り当て'!$C$6:$L$17,CD3-1,CD2),'名簿'!$G$5:$G$49,0)),"")&lt;&gt;"",1,0))</f>
        <v/>
      </c>
      <c r="CE108">
        <f>IF(INDEX('割り当て'!$C$6:$L$17,CE3-1,CE2)="",0,IF(IFERROR(INDEX('名簿'!$F$5:$F$49,MATCH(INDEX('割り当て'!$C$6:$L$17,CE3-1,CE2),'名簿'!$G$5:$G$49,0)),"")&lt;&gt;"",1,0))</f>
        <v/>
      </c>
      <c r="CF108">
        <f>IF(INDEX('割り当て'!$C$6:$L$17,CF3-1,CF2)="",0,IF(IFERROR(INDEX('名簿'!$F$5:$F$49,MATCH(INDEX('割り当て'!$C$6:$L$17,CF3-1,CF2),'名簿'!$G$5:$G$49,0)),"")&lt;&gt;"",1,0))</f>
        <v/>
      </c>
      <c r="CG108">
        <f>IF(INDEX('割り当て'!$C$6:$L$17,CG3-1,CG2)="",0,IF(IFERROR(INDEX('名簿'!$F$5:$F$49,MATCH(INDEX('割り当て'!$C$6:$L$17,CG3-1,CG2),'名簿'!$G$5:$G$49,0)),"")&lt;&gt;"",1,0))</f>
        <v/>
      </c>
      <c r="CH108">
        <f>IF(INDEX('割り当て'!$C$6:$L$17,CH3-1,CH2)="",0,IF(IFERROR(INDEX('名簿'!$F$5:$F$49,MATCH(INDEX('割り当て'!$C$6:$L$17,CH3-1,CH2),'名簿'!$G$5:$G$49,0)),"")&lt;&gt;"",1,0))</f>
        <v/>
      </c>
      <c r="CI108">
        <f>IF(INDEX('割り当て'!$C$6:$L$17,CI3-1,CI2)="",0,IF(IFERROR(INDEX('名簿'!$F$5:$F$49,MATCH(INDEX('割り当て'!$C$6:$L$17,CI3-1,CI2),'名簿'!$G$5:$G$49,0)),"")&lt;&gt;"",1,0))</f>
        <v/>
      </c>
      <c r="CJ108" t="n">
        <v>0</v>
      </c>
      <c r="CK108">
        <f>IF(INDEX('割り当て'!$C$6:$L$17,CK3-1,CK2)="",0,IF(IFERROR(INDEX('名簿'!$F$5:$F$49,MATCH(INDEX('割り当て'!$C$6:$L$17,CK3-1,CK2),'名簿'!$G$5:$G$49,0)),"")&lt;&gt;"",1,0))</f>
        <v/>
      </c>
      <c r="CL108">
        <f>IF(INDEX('割り当て'!$C$6:$L$17,CL3-1,CL2)="",0,IF(IFERROR(INDEX('名簿'!$F$5:$F$49,MATCH(INDEX('割り当て'!$C$6:$L$17,CL3-1,CL2),'名簿'!$G$5:$G$49,0)),"")&lt;&gt;"",1,0))</f>
        <v/>
      </c>
      <c r="CM108">
        <f>IF(INDEX('割り当て'!$C$6:$L$17,CM3-1,CM2)="",0,IF(IFERROR(INDEX('名簿'!$F$5:$F$49,MATCH(INDEX('割り当て'!$C$6:$L$17,CM3-1,CM2),'名簿'!$G$5:$G$49,0)),"")&lt;&gt;"",1,0))</f>
        <v/>
      </c>
      <c r="CN108">
        <f>IF(INDEX('割り当て'!$C$6:$L$17,CN3-1,CN2)="",0,IF(IFERROR(INDEX('名簿'!$F$5:$F$49,MATCH(INDEX('割り当て'!$C$6:$L$17,CN3-1,CN2),'名簿'!$G$5:$G$49,0)),"")&lt;&gt;"",1,0))</f>
        <v/>
      </c>
      <c r="CO108">
        <f>IF(INDEX('割り当て'!$C$6:$L$17,CO3-1,CO2)="",0,IF(IFERROR(INDEX('名簿'!$F$5:$F$49,MATCH(INDEX('割り当て'!$C$6:$L$17,CO3-1,CO2),'名簿'!$G$5:$G$49,0)),"")&lt;&gt;"",1,0))</f>
        <v/>
      </c>
      <c r="CP108">
        <f>IF(INDEX('割り当て'!$C$6:$L$17,CP3-1,CP2)="",0,IF(IFERROR(INDEX('名簿'!$F$5:$F$49,MATCH(INDEX('割り当て'!$C$6:$L$17,CP3-1,CP2),'名簿'!$G$5:$G$49,0)),"")&lt;&gt;"",1,0))</f>
        <v/>
      </c>
      <c r="CQ108">
        <f>IF(INDEX('割り当て'!$C$6:$L$17,CQ3-1,CQ2)="",0,IF(IFERROR(INDEX('名簿'!$F$5:$F$49,MATCH(INDEX('割り当て'!$C$6:$L$17,CQ3-1,CQ2),'名簿'!$G$5:$G$49,0)),"")&lt;&gt;"",1,0))</f>
        <v/>
      </c>
      <c r="CR108">
        <f>IF(INDEX('割り当て'!$C$6:$L$17,CR3-1,CR2)="",0,IF(IFERROR(INDEX('名簿'!$F$5:$F$49,MATCH(INDEX('割り当て'!$C$6:$L$17,CR3-1,CR2),'名簿'!$G$5:$G$49,0)),"")&lt;&gt;"",1,0))</f>
        <v/>
      </c>
      <c r="CS108">
        <f>IF(INDEX('割り当て'!$C$6:$L$17,CS3-1,CS2)="",0,IF(IFERROR(INDEX('名簿'!$F$5:$F$49,MATCH(INDEX('割り当て'!$C$6:$L$17,CS3-1,CS2),'名簿'!$G$5:$G$49,0)),"")&lt;&gt;"",1,0))</f>
        <v/>
      </c>
      <c r="CT108">
        <f>IF(INDEX('割り当て'!$C$6:$L$17,CT3-1,CT2)="",0,IF(IFERROR(INDEX('名簿'!$F$5:$F$49,MATCH(INDEX('割り当て'!$C$6:$L$17,CT3-1,CT2),'名簿'!$G$5:$G$49,0)),"")&lt;&gt;"",1,0))</f>
        <v/>
      </c>
      <c r="CU108">
        <f>IF(INDEX('割り当て'!$C$6:$L$17,CU3-1,CU2)="",0,IF(IFERROR(INDEX('名簿'!$F$5:$F$49,MATCH(INDEX('割り当て'!$C$6:$L$17,CU3-1,CU2),'名簿'!$G$5:$G$49,0)),"")&lt;&gt;"",1,0))</f>
        <v/>
      </c>
      <c r="CV108" t="n">
        <v>0</v>
      </c>
      <c r="CW108">
        <f>IF(INDEX('割り当て'!$C$6:$L$17,CW3-1,CW2)="",0,IF(IFERROR(INDEX('名簿'!$F$5:$F$49,MATCH(INDEX('割り当て'!$C$6:$L$17,CW3-1,CW2),'名簿'!$G$5:$G$49,0)),"")&lt;&gt;"",1,0))</f>
        <v/>
      </c>
      <c r="CX108">
        <f>IF(INDEX('割り当て'!$C$6:$L$17,CX3-1,CX2)="",0,IF(IFERROR(INDEX('名簿'!$F$5:$F$49,MATCH(INDEX('割り当て'!$C$6:$L$17,CX3-1,CX2),'名簿'!$G$5:$G$49,0)),"")&lt;&gt;"",1,0))</f>
        <v/>
      </c>
      <c r="CY108">
        <f>IF(INDEX('割り当て'!$C$6:$L$17,CY3-1,CY2)="",0,IF(IFERROR(INDEX('名簿'!$F$5:$F$49,MATCH(INDEX('割り当て'!$C$6:$L$17,CY3-1,CY2),'名簿'!$G$5:$G$49,0)),"")&lt;&gt;"",1,0))</f>
        <v/>
      </c>
      <c r="CZ108">
        <f>IF(INDEX('割り当て'!$C$6:$L$17,CZ3-1,CZ2)="",0,IF(IFERROR(INDEX('名簿'!$F$5:$F$49,MATCH(INDEX('割り当て'!$C$6:$L$17,CZ3-1,CZ2),'名簿'!$G$5:$G$49,0)),"")&lt;&gt;"",1,0))</f>
        <v/>
      </c>
      <c r="DA108">
        <f>IF(INDEX('割り当て'!$C$6:$L$17,DA3-1,DA2)="",0,IF(IFERROR(INDEX('名簿'!$F$5:$F$49,MATCH(INDEX('割り当て'!$C$6:$L$17,DA3-1,DA2),'名簿'!$G$5:$G$49,0)),"")&lt;&gt;"",1,0))</f>
        <v/>
      </c>
      <c r="DB108">
        <f>IF(INDEX('割り当て'!$C$6:$L$17,DB3-1,DB2)="",0,IF(IFERROR(INDEX('名簿'!$F$5:$F$49,MATCH(INDEX('割り当て'!$C$6:$L$17,DB3-1,DB2),'名簿'!$G$5:$G$49,0)),"")&lt;&gt;"",1,0))</f>
        <v/>
      </c>
      <c r="DC108">
        <f>IF(INDEX('割り当て'!$C$6:$L$17,DC3-1,DC2)="",0,IF(IFERROR(INDEX('名簿'!$F$5:$F$49,MATCH(INDEX('割り当て'!$C$6:$L$17,DC3-1,DC2),'名簿'!$G$5:$G$49,0)),"")&lt;&gt;"",1,0))</f>
        <v/>
      </c>
      <c r="DD108">
        <f>IF(INDEX('割り当て'!$C$6:$L$17,DD3-1,DD2)="",0,IF(IFERROR(INDEX('名簿'!$F$5:$F$49,MATCH(INDEX('割り当て'!$C$6:$L$17,DD3-1,DD2),'名簿'!$G$5:$G$49,0)),"")&lt;&gt;"",1,0))</f>
        <v/>
      </c>
      <c r="DE108">
        <f>IF(INDEX('割り当て'!$C$6:$L$17,DE3-1,DE2)="",0,IF(IFERROR(INDEX('名簿'!$F$5:$F$49,MATCH(INDEX('割り当て'!$C$6:$L$17,DE3-1,DE2),'名簿'!$G$5:$G$49,0)),"")&lt;&gt;"",1,0))</f>
        <v/>
      </c>
      <c r="DF108">
        <f>IF(INDEX('割り当て'!$C$6:$L$17,DF3-1,DF2)="",0,IF(IFERROR(INDEX('名簿'!$F$5:$F$49,MATCH(INDEX('割り当て'!$C$6:$L$17,DF3-1,DF2),'名簿'!$G$5:$G$49,0)),"")&lt;&gt;"",1,0))</f>
        <v/>
      </c>
      <c r="DG108">
        <f>IF(INDEX('割り当て'!$C$6:$L$17,DG3-1,DG2)="",0,IF(IFERROR(INDEX('名簿'!$F$5:$F$49,MATCH(INDEX('割り当て'!$C$6:$L$17,DG3-1,DG2),'名簿'!$G$5:$G$49,0)),"")&lt;&gt;"",1,0))</f>
        <v/>
      </c>
      <c r="DH108" t="n">
        <v>0</v>
      </c>
      <c r="DI108">
        <f>IF(INDEX('割り当て'!$C$6:$L$17,DI3-1,DI2)="",0,IF(IFERROR(INDEX('名簿'!$F$5:$F$49,MATCH(INDEX('割り当て'!$C$6:$L$17,DI3-1,DI2),'名簿'!$G$5:$G$49,0)),"")&lt;&gt;"",1,0))</f>
        <v/>
      </c>
      <c r="DJ108">
        <f>IF(INDEX('割り当て'!$C$6:$L$17,DJ3-1,DJ2)="",0,IF(IFERROR(INDEX('名簿'!$F$5:$F$49,MATCH(INDEX('割り当て'!$C$6:$L$17,DJ3-1,DJ2),'名簿'!$G$5:$G$49,0)),"")&lt;&gt;"",1,0))</f>
        <v/>
      </c>
      <c r="DK108">
        <f>IF(INDEX('割り当て'!$C$6:$L$17,DK3-1,DK2)="",0,IF(IFERROR(INDEX('名簿'!$F$5:$F$49,MATCH(INDEX('割り当て'!$C$6:$L$17,DK3-1,DK2),'名簿'!$G$5:$G$49,0)),"")&lt;&gt;"",1,0))</f>
        <v/>
      </c>
      <c r="DL108">
        <f>IF(INDEX('割り当て'!$C$6:$L$17,DL3-1,DL2)="",0,IF(IFERROR(INDEX('名簿'!$F$5:$F$49,MATCH(INDEX('割り当て'!$C$6:$L$17,DL3-1,DL2),'名簿'!$G$5:$G$49,0)),"")&lt;&gt;"",1,0))</f>
        <v/>
      </c>
      <c r="DM108">
        <f>IF(INDEX('割り当て'!$C$6:$L$17,DM3-1,DM2)="",0,IF(IFERROR(INDEX('名簿'!$F$5:$F$49,MATCH(INDEX('割り当て'!$C$6:$L$17,DM3-1,DM2),'名簿'!$G$5:$G$49,0)),"")&lt;&gt;"",1,0))</f>
        <v/>
      </c>
      <c r="DN108">
        <f>IF(INDEX('割り当て'!$C$6:$L$17,DN3-1,DN2)="",0,IF(IFERROR(INDEX('名簿'!$F$5:$F$49,MATCH(INDEX('割り当て'!$C$6:$L$17,DN3-1,DN2),'名簿'!$G$5:$G$49,0)),"")&lt;&gt;"",1,0))</f>
        <v/>
      </c>
      <c r="DO108">
        <f>IF(INDEX('割り当て'!$C$6:$L$17,DO3-1,DO2)="",0,IF(IFERROR(INDEX('名簿'!$F$5:$F$49,MATCH(INDEX('割り当て'!$C$6:$L$17,DO3-1,DO2),'名簿'!$G$5:$G$49,0)),"")&lt;&gt;"",1,0))</f>
        <v/>
      </c>
      <c r="DP108">
        <f>IF(INDEX('割り当て'!$C$6:$L$17,DP3-1,DP2)="",0,IF(IFERROR(INDEX('名簿'!$F$5:$F$49,MATCH(INDEX('割り当て'!$C$6:$L$17,DP3-1,DP2),'名簿'!$G$5:$G$49,0)),"")&lt;&gt;"",1,0))</f>
        <v/>
      </c>
      <c r="DQ108">
        <f>IF(INDEX('割り当て'!$C$6:$L$17,DQ3-1,DQ2)="",0,IF(IFERROR(INDEX('名簿'!$F$5:$F$49,MATCH(INDEX('割り当て'!$C$6:$L$17,DQ3-1,DQ2),'名簿'!$G$5:$G$49,0)),"")&lt;&gt;"",1,0))</f>
        <v/>
      </c>
      <c r="DR108">
        <f>IF(INDEX('割り当て'!$C$6:$L$17,DR3-1,DR2)="",0,IF(IFERROR(INDEX('名簿'!$F$5:$F$49,MATCH(INDEX('割り当て'!$C$6:$L$17,DR3-1,DR2),'名簿'!$G$5:$G$49,0)),"")&lt;&gt;"",1,0))</f>
        <v/>
      </c>
      <c r="DS108">
        <f>IF(INDEX('割り当て'!$C$6:$L$17,DS3-1,DS2)="",0,IF(IFERROR(INDEX('名簿'!$F$5:$F$49,MATCH(INDEX('割り当て'!$C$6:$L$17,DS3-1,DS2),'名簿'!$G$5:$G$49,0)),"")&lt;&gt;"",1,0))</f>
        <v/>
      </c>
    </row>
    <row r="109">
      <c r="C109" t="inlineStr">
        <is>
          <t>人がいる</t>
        </is>
      </c>
      <c r="D109">
        <f>IF(INDEX('割り当て'!$C$6:$L$17,D3,D2)&lt;&gt;"",1,0)</f>
        <v/>
      </c>
      <c r="E109">
        <f>IF(INDEX('割り当て'!$C$6:$L$17,E3,E2)&lt;&gt;"",1,0)</f>
        <v/>
      </c>
      <c r="F109">
        <f>IF(INDEX('割り当て'!$C$6:$L$17,F3,F2)&lt;&gt;"",1,0)</f>
        <v/>
      </c>
      <c r="G109">
        <f>IF(INDEX('割り当て'!$C$6:$L$17,G3,G2)&lt;&gt;"",1,0)</f>
        <v/>
      </c>
      <c r="H109">
        <f>IF(INDEX('割り当て'!$C$6:$L$17,H3,H2)&lt;&gt;"",1,0)</f>
        <v/>
      </c>
      <c r="I109">
        <f>IF(INDEX('割り当て'!$C$6:$L$17,I3,I2)&lt;&gt;"",1,0)</f>
        <v/>
      </c>
      <c r="J109">
        <f>IF(INDEX('割り当て'!$C$6:$L$17,J3,J2)&lt;&gt;"",1,0)</f>
        <v/>
      </c>
      <c r="K109">
        <f>IF(INDEX('割り当て'!$C$6:$L$17,K3,K2)&lt;&gt;"",1,0)</f>
        <v/>
      </c>
      <c r="L109">
        <f>IF(INDEX('割り当て'!$C$6:$L$17,L3,L2)&lt;&gt;"",1,0)</f>
        <v/>
      </c>
      <c r="M109">
        <f>IF(INDEX('割り当て'!$C$6:$L$17,M3,M2)&lt;&gt;"",1,0)</f>
        <v/>
      </c>
      <c r="N109">
        <f>IF(INDEX('割り当て'!$C$6:$L$17,N3,N2)&lt;&gt;"",1,0)</f>
        <v/>
      </c>
      <c r="O109">
        <f>IF(INDEX('割り当て'!$C$6:$L$17,O3,O2)&lt;&gt;"",1,0)</f>
        <v/>
      </c>
      <c r="P109">
        <f>IF(INDEX('割り当て'!$C$6:$L$17,P3,P2)&lt;&gt;"",1,0)</f>
        <v/>
      </c>
      <c r="Q109">
        <f>IF(INDEX('割り当て'!$C$6:$L$17,Q3,Q2)&lt;&gt;"",1,0)</f>
        <v/>
      </c>
      <c r="R109">
        <f>IF(INDEX('割り当て'!$C$6:$L$17,R3,R2)&lt;&gt;"",1,0)</f>
        <v/>
      </c>
      <c r="S109">
        <f>IF(INDEX('割り当て'!$C$6:$L$17,S3,S2)&lt;&gt;"",1,0)</f>
        <v/>
      </c>
      <c r="T109">
        <f>IF(INDEX('割り当て'!$C$6:$L$17,T3,T2)&lt;&gt;"",1,0)</f>
        <v/>
      </c>
      <c r="U109">
        <f>IF(INDEX('割り当て'!$C$6:$L$17,U3,U2)&lt;&gt;"",1,0)</f>
        <v/>
      </c>
      <c r="V109">
        <f>IF(INDEX('割り当て'!$C$6:$L$17,V3,V2)&lt;&gt;"",1,0)</f>
        <v/>
      </c>
      <c r="W109">
        <f>IF(INDEX('割り当て'!$C$6:$L$17,W3,W2)&lt;&gt;"",1,0)</f>
        <v/>
      </c>
      <c r="X109">
        <f>IF(INDEX('割り当て'!$C$6:$L$17,X3,X2)&lt;&gt;"",1,0)</f>
        <v/>
      </c>
      <c r="Y109">
        <f>IF(INDEX('割り当て'!$C$6:$L$17,Y3,Y2)&lt;&gt;"",1,0)</f>
        <v/>
      </c>
      <c r="Z109">
        <f>IF(INDEX('割り当て'!$C$6:$L$17,Z3,Z2)&lt;&gt;"",1,0)</f>
        <v/>
      </c>
      <c r="AA109">
        <f>IF(INDEX('割り当て'!$C$6:$L$17,AA3,AA2)&lt;&gt;"",1,0)</f>
        <v/>
      </c>
      <c r="AB109">
        <f>IF(INDEX('割り当て'!$C$6:$L$17,AB3,AB2)&lt;&gt;"",1,0)</f>
        <v/>
      </c>
      <c r="AC109">
        <f>IF(INDEX('割り当て'!$C$6:$L$17,AC3,AC2)&lt;&gt;"",1,0)</f>
        <v/>
      </c>
      <c r="AD109">
        <f>IF(INDEX('割り当て'!$C$6:$L$17,AD3,AD2)&lt;&gt;"",1,0)</f>
        <v/>
      </c>
      <c r="AE109">
        <f>IF(INDEX('割り当て'!$C$6:$L$17,AE3,AE2)&lt;&gt;"",1,0)</f>
        <v/>
      </c>
      <c r="AF109">
        <f>IF(INDEX('割り当て'!$C$6:$L$17,AF3,AF2)&lt;&gt;"",1,0)</f>
        <v/>
      </c>
      <c r="AG109">
        <f>IF(INDEX('割り当て'!$C$6:$L$17,AG3,AG2)&lt;&gt;"",1,0)</f>
        <v/>
      </c>
      <c r="AH109">
        <f>IF(INDEX('割り当て'!$C$6:$L$17,AH3,AH2)&lt;&gt;"",1,0)</f>
        <v/>
      </c>
      <c r="AI109">
        <f>IF(INDEX('割り当て'!$C$6:$L$17,AI3,AI2)&lt;&gt;"",1,0)</f>
        <v/>
      </c>
      <c r="AJ109">
        <f>IF(INDEX('割り当て'!$C$6:$L$17,AJ3,AJ2)&lt;&gt;"",1,0)</f>
        <v/>
      </c>
      <c r="AK109">
        <f>IF(INDEX('割り当て'!$C$6:$L$17,AK3,AK2)&lt;&gt;"",1,0)</f>
        <v/>
      </c>
      <c r="AL109">
        <f>IF(INDEX('割り当て'!$C$6:$L$17,AL3,AL2)&lt;&gt;"",1,0)</f>
        <v/>
      </c>
      <c r="AM109">
        <f>IF(INDEX('割り当て'!$C$6:$L$17,AM3,AM2)&lt;&gt;"",1,0)</f>
        <v/>
      </c>
      <c r="AN109">
        <f>IF(INDEX('割り当て'!$C$6:$L$17,AN3,AN2)&lt;&gt;"",1,0)</f>
        <v/>
      </c>
      <c r="AO109">
        <f>IF(INDEX('割り当て'!$C$6:$L$17,AO3,AO2)&lt;&gt;"",1,0)</f>
        <v/>
      </c>
      <c r="AP109">
        <f>IF(INDEX('割り当て'!$C$6:$L$17,AP3,AP2)&lt;&gt;"",1,0)</f>
        <v/>
      </c>
      <c r="AQ109">
        <f>IF(INDEX('割り当て'!$C$6:$L$17,AQ3,AQ2)&lt;&gt;"",1,0)</f>
        <v/>
      </c>
      <c r="AR109">
        <f>IF(INDEX('割り当て'!$C$6:$L$17,AR3,AR2)&lt;&gt;"",1,0)</f>
        <v/>
      </c>
      <c r="AS109">
        <f>IF(INDEX('割り当て'!$C$6:$L$17,AS3,AS2)&lt;&gt;"",1,0)</f>
        <v/>
      </c>
      <c r="AT109">
        <f>IF(INDEX('割り当て'!$C$6:$L$17,AT3,AT2)&lt;&gt;"",1,0)</f>
        <v/>
      </c>
      <c r="AU109">
        <f>IF(INDEX('割り当て'!$C$6:$L$17,AU3,AU2)&lt;&gt;"",1,0)</f>
        <v/>
      </c>
      <c r="AV109">
        <f>IF(INDEX('割り当て'!$C$6:$L$17,AV3,AV2)&lt;&gt;"",1,0)</f>
        <v/>
      </c>
      <c r="AW109">
        <f>IF(INDEX('割り当て'!$C$6:$L$17,AW3,AW2)&lt;&gt;"",1,0)</f>
        <v/>
      </c>
      <c r="AX109">
        <f>IF(INDEX('割り当て'!$C$6:$L$17,AX3,AX2)&lt;&gt;"",1,0)</f>
        <v/>
      </c>
      <c r="AY109">
        <f>IF(INDEX('割り当て'!$C$6:$L$17,AY3,AY2)&lt;&gt;"",1,0)</f>
        <v/>
      </c>
      <c r="AZ109">
        <f>IF(INDEX('割り当て'!$C$6:$L$17,AZ3,AZ2)&lt;&gt;"",1,0)</f>
        <v/>
      </c>
      <c r="BA109">
        <f>IF(INDEX('割り当て'!$C$6:$L$17,BA3,BA2)&lt;&gt;"",1,0)</f>
        <v/>
      </c>
      <c r="BB109">
        <f>IF(INDEX('割り当て'!$C$6:$L$17,BB3,BB2)&lt;&gt;"",1,0)</f>
        <v/>
      </c>
      <c r="BC109">
        <f>IF(INDEX('割り当て'!$C$6:$L$17,BC3,BC2)&lt;&gt;"",1,0)</f>
        <v/>
      </c>
      <c r="BD109">
        <f>IF(INDEX('割り当て'!$C$6:$L$17,BD3,BD2)&lt;&gt;"",1,0)</f>
        <v/>
      </c>
      <c r="BE109">
        <f>IF(INDEX('割り当て'!$C$6:$L$17,BE3,BE2)&lt;&gt;"",1,0)</f>
        <v/>
      </c>
      <c r="BF109">
        <f>IF(INDEX('割り当て'!$C$6:$L$17,BF3,BF2)&lt;&gt;"",1,0)</f>
        <v/>
      </c>
      <c r="BG109">
        <f>IF(INDEX('割り当て'!$C$6:$L$17,BG3,BG2)&lt;&gt;"",1,0)</f>
        <v/>
      </c>
      <c r="BH109">
        <f>IF(INDEX('割り当て'!$C$6:$L$17,BH3,BH2)&lt;&gt;"",1,0)</f>
        <v/>
      </c>
      <c r="BI109">
        <f>IF(INDEX('割り当て'!$C$6:$L$17,BI3,BI2)&lt;&gt;"",1,0)</f>
        <v/>
      </c>
      <c r="BJ109">
        <f>IF(INDEX('割り当て'!$C$6:$L$17,BJ3,BJ2)&lt;&gt;"",1,0)</f>
        <v/>
      </c>
      <c r="BK109">
        <f>IF(INDEX('割り当て'!$C$6:$L$17,BK3,BK2)&lt;&gt;"",1,0)</f>
        <v/>
      </c>
      <c r="BL109">
        <f>IF(INDEX('割り当て'!$C$6:$L$17,BL3,BL2)&lt;&gt;"",1,0)</f>
        <v/>
      </c>
      <c r="BM109">
        <f>IF(INDEX('割り当て'!$C$6:$L$17,BM3,BM2)&lt;&gt;"",1,0)</f>
        <v/>
      </c>
      <c r="BN109">
        <f>IF(INDEX('割り当て'!$C$6:$L$17,BN3,BN2)&lt;&gt;"",1,0)</f>
        <v/>
      </c>
      <c r="BO109">
        <f>IF(INDEX('割り当て'!$C$6:$L$17,BO3,BO2)&lt;&gt;"",1,0)</f>
        <v/>
      </c>
      <c r="BP109">
        <f>IF(INDEX('割り当て'!$C$6:$L$17,BP3,BP2)&lt;&gt;"",1,0)</f>
        <v/>
      </c>
      <c r="BQ109">
        <f>IF(INDEX('割り当て'!$C$6:$L$17,BQ3,BQ2)&lt;&gt;"",1,0)</f>
        <v/>
      </c>
      <c r="BR109">
        <f>IF(INDEX('割り当て'!$C$6:$L$17,BR3,BR2)&lt;&gt;"",1,0)</f>
        <v/>
      </c>
      <c r="BS109">
        <f>IF(INDEX('割り当て'!$C$6:$L$17,BS3,BS2)&lt;&gt;"",1,0)</f>
        <v/>
      </c>
      <c r="BT109">
        <f>IF(INDEX('割り当て'!$C$6:$L$17,BT3,BT2)&lt;&gt;"",1,0)</f>
        <v/>
      </c>
      <c r="BU109">
        <f>IF(INDEX('割り当て'!$C$6:$L$17,BU3,BU2)&lt;&gt;"",1,0)</f>
        <v/>
      </c>
      <c r="BV109">
        <f>IF(INDEX('割り当て'!$C$6:$L$17,BV3,BV2)&lt;&gt;"",1,0)</f>
        <v/>
      </c>
      <c r="BW109">
        <f>IF(INDEX('割り当て'!$C$6:$L$17,BW3,BW2)&lt;&gt;"",1,0)</f>
        <v/>
      </c>
      <c r="BX109">
        <f>IF(INDEX('割り当て'!$C$6:$L$17,BX3,BX2)&lt;&gt;"",1,0)</f>
        <v/>
      </c>
      <c r="BY109">
        <f>IF(INDEX('割り当て'!$C$6:$L$17,BY3,BY2)&lt;&gt;"",1,0)</f>
        <v/>
      </c>
      <c r="BZ109">
        <f>IF(INDEX('割り当て'!$C$6:$L$17,BZ3,BZ2)&lt;&gt;"",1,0)</f>
        <v/>
      </c>
      <c r="CA109">
        <f>IF(INDEX('割り当て'!$C$6:$L$17,CA3,CA2)&lt;&gt;"",1,0)</f>
        <v/>
      </c>
      <c r="CB109">
        <f>IF(INDEX('割り当て'!$C$6:$L$17,CB3,CB2)&lt;&gt;"",1,0)</f>
        <v/>
      </c>
      <c r="CC109">
        <f>IF(INDEX('割り当て'!$C$6:$L$17,CC3,CC2)&lt;&gt;"",1,0)</f>
        <v/>
      </c>
      <c r="CD109">
        <f>IF(INDEX('割り当て'!$C$6:$L$17,CD3,CD2)&lt;&gt;"",1,0)</f>
        <v/>
      </c>
      <c r="CE109">
        <f>IF(INDEX('割り当て'!$C$6:$L$17,CE3,CE2)&lt;&gt;"",1,0)</f>
        <v/>
      </c>
      <c r="CF109">
        <f>IF(INDEX('割り当て'!$C$6:$L$17,CF3,CF2)&lt;&gt;"",1,0)</f>
        <v/>
      </c>
      <c r="CG109">
        <f>IF(INDEX('割り当て'!$C$6:$L$17,CG3,CG2)&lt;&gt;"",1,0)</f>
        <v/>
      </c>
      <c r="CH109">
        <f>IF(INDEX('割り当て'!$C$6:$L$17,CH3,CH2)&lt;&gt;"",1,0)</f>
        <v/>
      </c>
      <c r="CI109">
        <f>IF(INDEX('割り当て'!$C$6:$L$17,CI3,CI2)&lt;&gt;"",1,0)</f>
        <v/>
      </c>
      <c r="CJ109">
        <f>IF(INDEX('割り当て'!$C$6:$L$17,CJ3,CJ2)&lt;&gt;"",1,0)</f>
        <v/>
      </c>
      <c r="CK109">
        <f>IF(INDEX('割り当て'!$C$6:$L$17,CK3,CK2)&lt;&gt;"",1,0)</f>
        <v/>
      </c>
      <c r="CL109">
        <f>IF(INDEX('割り当て'!$C$6:$L$17,CL3,CL2)&lt;&gt;"",1,0)</f>
        <v/>
      </c>
      <c r="CM109">
        <f>IF(INDEX('割り当て'!$C$6:$L$17,CM3,CM2)&lt;&gt;"",1,0)</f>
        <v/>
      </c>
      <c r="CN109">
        <f>IF(INDEX('割り当て'!$C$6:$L$17,CN3,CN2)&lt;&gt;"",1,0)</f>
        <v/>
      </c>
      <c r="CO109">
        <f>IF(INDEX('割り当て'!$C$6:$L$17,CO3,CO2)&lt;&gt;"",1,0)</f>
        <v/>
      </c>
      <c r="CP109">
        <f>IF(INDEX('割り当て'!$C$6:$L$17,CP3,CP2)&lt;&gt;"",1,0)</f>
        <v/>
      </c>
      <c r="CQ109">
        <f>IF(INDEX('割り当て'!$C$6:$L$17,CQ3,CQ2)&lt;&gt;"",1,0)</f>
        <v/>
      </c>
      <c r="CR109">
        <f>IF(INDEX('割り当て'!$C$6:$L$17,CR3,CR2)&lt;&gt;"",1,0)</f>
        <v/>
      </c>
      <c r="CS109">
        <f>IF(INDEX('割り当て'!$C$6:$L$17,CS3,CS2)&lt;&gt;"",1,0)</f>
        <v/>
      </c>
      <c r="CT109">
        <f>IF(INDEX('割り当て'!$C$6:$L$17,CT3,CT2)&lt;&gt;"",1,0)</f>
        <v/>
      </c>
      <c r="CU109">
        <f>IF(INDEX('割り当て'!$C$6:$L$17,CU3,CU2)&lt;&gt;"",1,0)</f>
        <v/>
      </c>
      <c r="CV109">
        <f>IF(INDEX('割り当て'!$C$6:$L$17,CV3,CV2)&lt;&gt;"",1,0)</f>
        <v/>
      </c>
      <c r="CW109">
        <f>IF(INDEX('割り当て'!$C$6:$L$17,CW3,CW2)&lt;&gt;"",1,0)</f>
        <v/>
      </c>
      <c r="CX109">
        <f>IF(INDEX('割り当て'!$C$6:$L$17,CX3,CX2)&lt;&gt;"",1,0)</f>
        <v/>
      </c>
      <c r="CY109">
        <f>IF(INDEX('割り当て'!$C$6:$L$17,CY3,CY2)&lt;&gt;"",1,0)</f>
        <v/>
      </c>
      <c r="CZ109">
        <f>IF(INDEX('割り当て'!$C$6:$L$17,CZ3,CZ2)&lt;&gt;"",1,0)</f>
        <v/>
      </c>
      <c r="DA109">
        <f>IF(INDEX('割り当て'!$C$6:$L$17,DA3,DA2)&lt;&gt;"",1,0)</f>
        <v/>
      </c>
      <c r="DB109">
        <f>IF(INDEX('割り当て'!$C$6:$L$17,DB3,DB2)&lt;&gt;"",1,0)</f>
        <v/>
      </c>
      <c r="DC109">
        <f>IF(INDEX('割り当て'!$C$6:$L$17,DC3,DC2)&lt;&gt;"",1,0)</f>
        <v/>
      </c>
      <c r="DD109">
        <f>IF(INDEX('割り当て'!$C$6:$L$17,DD3,DD2)&lt;&gt;"",1,0)</f>
        <v/>
      </c>
      <c r="DE109">
        <f>IF(INDEX('割り当て'!$C$6:$L$17,DE3,DE2)&lt;&gt;"",1,0)</f>
        <v/>
      </c>
      <c r="DF109">
        <f>IF(INDEX('割り当て'!$C$6:$L$17,DF3,DF2)&lt;&gt;"",1,0)</f>
        <v/>
      </c>
      <c r="DG109">
        <f>IF(INDEX('割り当て'!$C$6:$L$17,DG3,DG2)&lt;&gt;"",1,0)</f>
        <v/>
      </c>
      <c r="DH109">
        <f>IF(INDEX('割り当て'!$C$6:$L$17,DH3,DH2)&lt;&gt;"",1,0)</f>
        <v/>
      </c>
      <c r="DI109">
        <f>IF(INDEX('割り当て'!$C$6:$L$17,DI3,DI2)&lt;&gt;"",1,0)</f>
        <v/>
      </c>
      <c r="DJ109">
        <f>IF(INDEX('割り当て'!$C$6:$L$17,DJ3,DJ2)&lt;&gt;"",1,0)</f>
        <v/>
      </c>
      <c r="DK109">
        <f>IF(INDEX('割り当て'!$C$6:$L$17,DK3,DK2)&lt;&gt;"",1,0)</f>
        <v/>
      </c>
      <c r="DL109">
        <f>IF(INDEX('割り当て'!$C$6:$L$17,DL3,DL2)&lt;&gt;"",1,0)</f>
        <v/>
      </c>
      <c r="DM109">
        <f>IF(INDEX('割り当て'!$C$6:$L$17,DM3,DM2)&lt;&gt;"",1,0)</f>
        <v/>
      </c>
      <c r="DN109">
        <f>IF(INDEX('割り当て'!$C$6:$L$17,DN3,DN2)&lt;&gt;"",1,0)</f>
        <v/>
      </c>
      <c r="DO109">
        <f>IF(INDEX('割り当て'!$C$6:$L$17,DO3,DO2)&lt;&gt;"",1,0)</f>
        <v/>
      </c>
      <c r="DP109">
        <f>IF(INDEX('割り当て'!$C$6:$L$17,DP3,DP2)&lt;&gt;"",1,0)</f>
        <v/>
      </c>
      <c r="DQ109">
        <f>IF(INDEX('割り当て'!$C$6:$L$17,DQ3,DQ2)&lt;&gt;"",1,0)</f>
        <v/>
      </c>
      <c r="DR109">
        <f>IF(INDEX('割り当て'!$C$6:$L$17,DR3,DR2)&lt;&gt;"",1,0)</f>
        <v/>
      </c>
      <c r="DS109">
        <f>IF(INDEX('割り当て'!$C$6:$L$17,DS3,DS2)&lt;&gt;"",1,0)</f>
        <v/>
      </c>
    </row>
    <row r="110">
      <c r="C110" t="inlineStr">
        <is>
          <t>優先：全体</t>
        </is>
      </c>
      <c r="D110">
        <f>D6</f>
        <v/>
      </c>
      <c r="E110">
        <f>E6</f>
        <v/>
      </c>
      <c r="F110">
        <f>F6</f>
        <v/>
      </c>
      <c r="G110">
        <f>G6</f>
        <v/>
      </c>
      <c r="H110">
        <f>H6</f>
        <v/>
      </c>
      <c r="I110">
        <f>I6</f>
        <v/>
      </c>
      <c r="J110">
        <f>J6</f>
        <v/>
      </c>
      <c r="K110">
        <f>K6</f>
        <v/>
      </c>
      <c r="L110">
        <f>L6</f>
        <v/>
      </c>
      <c r="M110">
        <f>M6</f>
        <v/>
      </c>
      <c r="N110">
        <f>N6</f>
        <v/>
      </c>
      <c r="O110">
        <f>O6</f>
        <v/>
      </c>
      <c r="P110">
        <f>P6</f>
        <v/>
      </c>
      <c r="Q110">
        <f>Q6</f>
        <v/>
      </c>
      <c r="R110">
        <f>R6</f>
        <v/>
      </c>
      <c r="S110">
        <f>S6</f>
        <v/>
      </c>
      <c r="T110">
        <f>T6</f>
        <v/>
      </c>
      <c r="U110">
        <f>U6</f>
        <v/>
      </c>
      <c r="V110">
        <f>V6</f>
        <v/>
      </c>
      <c r="W110">
        <f>W6</f>
        <v/>
      </c>
      <c r="X110">
        <f>X6</f>
        <v/>
      </c>
      <c r="Y110">
        <f>Y6</f>
        <v/>
      </c>
      <c r="Z110">
        <f>Z6</f>
        <v/>
      </c>
      <c r="AA110">
        <f>AA6</f>
        <v/>
      </c>
      <c r="AB110">
        <f>AB6</f>
        <v/>
      </c>
      <c r="AC110">
        <f>AC6</f>
        <v/>
      </c>
      <c r="AD110">
        <f>AD6</f>
        <v/>
      </c>
      <c r="AE110">
        <f>AE6</f>
        <v/>
      </c>
      <c r="AF110">
        <f>AF6</f>
        <v/>
      </c>
      <c r="AG110">
        <f>AG6</f>
        <v/>
      </c>
      <c r="AH110">
        <f>AH6</f>
        <v/>
      </c>
      <c r="AI110">
        <f>AI6</f>
        <v/>
      </c>
      <c r="AJ110">
        <f>AJ6</f>
        <v/>
      </c>
      <c r="AK110">
        <f>AK6</f>
        <v/>
      </c>
      <c r="AL110">
        <f>AL6</f>
        <v/>
      </c>
      <c r="AM110">
        <f>AM6</f>
        <v/>
      </c>
      <c r="AN110">
        <f>AN6</f>
        <v/>
      </c>
      <c r="AO110">
        <f>AO6</f>
        <v/>
      </c>
      <c r="AP110">
        <f>AP6</f>
        <v/>
      </c>
      <c r="AQ110">
        <f>AQ6</f>
        <v/>
      </c>
      <c r="AR110">
        <f>AR6</f>
        <v/>
      </c>
      <c r="AS110">
        <f>AS6</f>
        <v/>
      </c>
      <c r="AT110">
        <f>AT6</f>
        <v/>
      </c>
      <c r="AU110">
        <f>AU6</f>
        <v/>
      </c>
      <c r="AV110">
        <f>AV6</f>
        <v/>
      </c>
      <c r="AW110">
        <f>AW6</f>
        <v/>
      </c>
      <c r="AX110">
        <f>AX6</f>
        <v/>
      </c>
      <c r="AY110">
        <f>AY6</f>
        <v/>
      </c>
      <c r="AZ110">
        <f>AZ6</f>
        <v/>
      </c>
      <c r="BA110">
        <f>BA6</f>
        <v/>
      </c>
      <c r="BB110">
        <f>BB6</f>
        <v/>
      </c>
      <c r="BC110">
        <f>BC6</f>
        <v/>
      </c>
      <c r="BD110">
        <f>BD6</f>
        <v/>
      </c>
      <c r="BE110">
        <f>BE6</f>
        <v/>
      </c>
      <c r="BF110">
        <f>BF6</f>
        <v/>
      </c>
      <c r="BG110">
        <f>BG6</f>
        <v/>
      </c>
      <c r="BH110">
        <f>BH6</f>
        <v/>
      </c>
      <c r="BI110">
        <f>BI6</f>
        <v/>
      </c>
      <c r="BJ110">
        <f>BJ6</f>
        <v/>
      </c>
      <c r="BK110">
        <f>BK6</f>
        <v/>
      </c>
      <c r="BL110">
        <f>BL6</f>
        <v/>
      </c>
      <c r="BM110">
        <f>BM6</f>
        <v/>
      </c>
      <c r="BN110">
        <f>BN6</f>
        <v/>
      </c>
      <c r="BO110">
        <f>BO6</f>
        <v/>
      </c>
      <c r="BP110">
        <f>BP6</f>
        <v/>
      </c>
      <c r="BQ110">
        <f>BQ6</f>
        <v/>
      </c>
      <c r="BR110">
        <f>BR6</f>
        <v/>
      </c>
      <c r="BS110">
        <f>BS6</f>
        <v/>
      </c>
      <c r="BT110">
        <f>BT6</f>
        <v/>
      </c>
      <c r="BU110">
        <f>BU6</f>
        <v/>
      </c>
      <c r="BV110">
        <f>BV6</f>
        <v/>
      </c>
      <c r="BW110">
        <f>BW6</f>
        <v/>
      </c>
      <c r="BX110">
        <f>BX6</f>
        <v/>
      </c>
      <c r="BY110">
        <f>BY6</f>
        <v/>
      </c>
      <c r="BZ110">
        <f>BZ6</f>
        <v/>
      </c>
      <c r="CA110">
        <f>CA6</f>
        <v/>
      </c>
      <c r="CB110">
        <f>CB6</f>
        <v/>
      </c>
      <c r="CC110">
        <f>CC6</f>
        <v/>
      </c>
      <c r="CD110">
        <f>CD6</f>
        <v/>
      </c>
      <c r="CE110">
        <f>CE6</f>
        <v/>
      </c>
      <c r="CF110">
        <f>CF6</f>
        <v/>
      </c>
      <c r="CG110">
        <f>CG6</f>
        <v/>
      </c>
      <c r="CH110">
        <f>CH6</f>
        <v/>
      </c>
      <c r="CI110">
        <f>CI6</f>
        <v/>
      </c>
      <c r="CJ110">
        <f>CJ6</f>
        <v/>
      </c>
      <c r="CK110">
        <f>CK6</f>
        <v/>
      </c>
      <c r="CL110">
        <f>CL6</f>
        <v/>
      </c>
      <c r="CM110">
        <f>CM6</f>
        <v/>
      </c>
      <c r="CN110">
        <f>CN6</f>
        <v/>
      </c>
      <c r="CO110">
        <f>CO6</f>
        <v/>
      </c>
      <c r="CP110">
        <f>CP6</f>
        <v/>
      </c>
      <c r="CQ110">
        <f>CQ6</f>
        <v/>
      </c>
      <c r="CR110">
        <f>CR6</f>
        <v/>
      </c>
      <c r="CS110">
        <f>CS6</f>
        <v/>
      </c>
      <c r="CT110">
        <f>CT6</f>
        <v/>
      </c>
      <c r="CU110">
        <f>CU6</f>
        <v/>
      </c>
      <c r="CV110">
        <f>CV6</f>
        <v/>
      </c>
      <c r="CW110">
        <f>CW6</f>
        <v/>
      </c>
      <c r="CX110">
        <f>CX6</f>
        <v/>
      </c>
      <c r="CY110">
        <f>CY6</f>
        <v/>
      </c>
      <c r="CZ110">
        <f>CZ6</f>
        <v/>
      </c>
      <c r="DA110">
        <f>DA6</f>
        <v/>
      </c>
      <c r="DB110">
        <f>DB6</f>
        <v/>
      </c>
      <c r="DC110">
        <f>DC6</f>
        <v/>
      </c>
      <c r="DD110">
        <f>DD6</f>
        <v/>
      </c>
      <c r="DE110">
        <f>DE6</f>
        <v/>
      </c>
      <c r="DF110">
        <f>DF6</f>
        <v/>
      </c>
      <c r="DG110">
        <f>DG6</f>
        <v/>
      </c>
      <c r="DH110">
        <f>DH6</f>
        <v/>
      </c>
      <c r="DI110">
        <f>DI6</f>
        <v/>
      </c>
      <c r="DJ110">
        <f>DJ6</f>
        <v/>
      </c>
      <c r="DK110">
        <f>DK6</f>
        <v/>
      </c>
      <c r="DL110">
        <f>DL6</f>
        <v/>
      </c>
      <c r="DM110">
        <f>DM6</f>
        <v/>
      </c>
      <c r="DN110">
        <f>DN6</f>
        <v/>
      </c>
      <c r="DO110">
        <f>DO6</f>
        <v/>
      </c>
      <c r="DP110">
        <f>DP6</f>
        <v/>
      </c>
      <c r="DQ110">
        <f>DQ6</f>
        <v/>
      </c>
      <c r="DR110">
        <f>DR6</f>
        <v/>
      </c>
      <c r="DS110">
        <f>DS6</f>
        <v/>
      </c>
    </row>
    <row r="111">
      <c r="C111" t="inlineStr">
        <is>
          <t>早い時刻</t>
        </is>
      </c>
      <c r="D111">
        <f>(D3-1)*10+D2+D5*10000</f>
        <v/>
      </c>
      <c r="E111">
        <f>(E3-1)*10+E2+E5*10000</f>
        <v/>
      </c>
      <c r="F111">
        <f>(F3-1)*10+F2+F5*10000</f>
        <v/>
      </c>
      <c r="G111">
        <f>(G3-1)*10+G2+G5*10000</f>
        <v/>
      </c>
      <c r="H111">
        <f>(H3-1)*10+H2+H5*10000</f>
        <v/>
      </c>
      <c r="I111">
        <f>(I3-1)*10+I2+I5*10000</f>
        <v/>
      </c>
      <c r="J111">
        <f>(J3-1)*10+J2+J5*10000</f>
        <v/>
      </c>
      <c r="K111">
        <f>(K3-1)*10+K2+K5*10000</f>
        <v/>
      </c>
      <c r="L111">
        <f>(L3-1)*10+L2+L5*10000</f>
        <v/>
      </c>
      <c r="M111">
        <f>(M3-1)*10+M2+M5*10000</f>
        <v/>
      </c>
      <c r="N111">
        <f>(N3-1)*10+N2+N5*10000</f>
        <v/>
      </c>
      <c r="O111">
        <f>(O3-1)*10+O2+O5*10000</f>
        <v/>
      </c>
      <c r="P111">
        <f>(P3-1)*10+P2+P5*10000</f>
        <v/>
      </c>
      <c r="Q111">
        <f>(Q3-1)*10+Q2+Q5*10000</f>
        <v/>
      </c>
      <c r="R111">
        <f>(R3-1)*10+R2+R5*10000</f>
        <v/>
      </c>
      <c r="S111">
        <f>(S3-1)*10+S2+S5*10000</f>
        <v/>
      </c>
      <c r="T111">
        <f>(T3-1)*10+T2+T5*10000</f>
        <v/>
      </c>
      <c r="U111">
        <f>(U3-1)*10+U2+U5*10000</f>
        <v/>
      </c>
      <c r="V111">
        <f>(V3-1)*10+V2+V5*10000</f>
        <v/>
      </c>
      <c r="W111">
        <f>(W3-1)*10+W2+W5*10000</f>
        <v/>
      </c>
      <c r="X111">
        <f>(X3-1)*10+X2+X5*10000</f>
        <v/>
      </c>
      <c r="Y111">
        <f>(Y3-1)*10+Y2+Y5*10000</f>
        <v/>
      </c>
      <c r="Z111">
        <f>(Z3-1)*10+Z2+Z5*10000</f>
        <v/>
      </c>
      <c r="AA111">
        <f>(AA3-1)*10+AA2+AA5*10000</f>
        <v/>
      </c>
      <c r="AB111">
        <f>(AB3-1)*10+AB2+AB5*10000</f>
        <v/>
      </c>
      <c r="AC111">
        <f>(AC3-1)*10+AC2+AC5*10000</f>
        <v/>
      </c>
      <c r="AD111">
        <f>(AD3-1)*10+AD2+AD5*10000</f>
        <v/>
      </c>
      <c r="AE111">
        <f>(AE3-1)*10+AE2+AE5*10000</f>
        <v/>
      </c>
      <c r="AF111">
        <f>(AF3-1)*10+AF2+AF5*10000</f>
        <v/>
      </c>
      <c r="AG111">
        <f>(AG3-1)*10+AG2+AG5*10000</f>
        <v/>
      </c>
      <c r="AH111">
        <f>(AH3-1)*10+AH2+AH5*10000</f>
        <v/>
      </c>
      <c r="AI111">
        <f>(AI3-1)*10+AI2+AI5*10000</f>
        <v/>
      </c>
      <c r="AJ111">
        <f>(AJ3-1)*10+AJ2+AJ5*10000</f>
        <v/>
      </c>
      <c r="AK111">
        <f>(AK3-1)*10+AK2+AK5*10000</f>
        <v/>
      </c>
      <c r="AL111">
        <f>(AL3-1)*10+AL2+AL5*10000</f>
        <v/>
      </c>
      <c r="AM111">
        <f>(AM3-1)*10+AM2+AM5*10000</f>
        <v/>
      </c>
      <c r="AN111">
        <f>(AN3-1)*10+AN2+AN5*10000</f>
        <v/>
      </c>
      <c r="AO111">
        <f>(AO3-1)*10+AO2+AO5*10000</f>
        <v/>
      </c>
      <c r="AP111">
        <f>(AP3-1)*10+AP2+AP5*10000</f>
        <v/>
      </c>
      <c r="AQ111">
        <f>(AQ3-1)*10+AQ2+AQ5*10000</f>
        <v/>
      </c>
      <c r="AR111">
        <f>(AR3-1)*10+AR2+AR5*10000</f>
        <v/>
      </c>
      <c r="AS111">
        <f>(AS3-1)*10+AS2+AS5*10000</f>
        <v/>
      </c>
      <c r="AT111">
        <f>(AT3-1)*10+AT2+AT5*10000</f>
        <v/>
      </c>
      <c r="AU111">
        <f>(AU3-1)*10+AU2+AU5*10000</f>
        <v/>
      </c>
      <c r="AV111">
        <f>(AV3-1)*10+AV2+AV5*10000</f>
        <v/>
      </c>
      <c r="AW111">
        <f>(AW3-1)*10+AW2+AW5*10000</f>
        <v/>
      </c>
      <c r="AX111">
        <f>(AX3-1)*10+AX2+AX5*10000</f>
        <v/>
      </c>
      <c r="AY111">
        <f>(AY3-1)*10+AY2+AY5*10000</f>
        <v/>
      </c>
      <c r="AZ111">
        <f>(AZ3-1)*10+AZ2+AZ5*10000</f>
        <v/>
      </c>
      <c r="BA111">
        <f>(BA3-1)*10+BA2+BA5*10000</f>
        <v/>
      </c>
      <c r="BB111">
        <f>(BB3-1)*10+BB2+BB5*10000</f>
        <v/>
      </c>
      <c r="BC111">
        <f>(BC3-1)*10+BC2+BC5*10000</f>
        <v/>
      </c>
      <c r="BD111">
        <f>(BD3-1)*10+BD2+BD5*10000</f>
        <v/>
      </c>
      <c r="BE111">
        <f>(BE3-1)*10+BE2+BE5*10000</f>
        <v/>
      </c>
      <c r="BF111">
        <f>(BF3-1)*10+BF2+BF5*10000</f>
        <v/>
      </c>
      <c r="BG111">
        <f>(BG3-1)*10+BG2+BG5*10000</f>
        <v/>
      </c>
      <c r="BH111">
        <f>(BH3-1)*10+BH2+BH5*10000</f>
        <v/>
      </c>
      <c r="BI111">
        <f>(BI3-1)*10+BI2+BI5*10000</f>
        <v/>
      </c>
      <c r="BJ111">
        <f>(BJ3-1)*10+BJ2+BJ5*10000</f>
        <v/>
      </c>
      <c r="BK111">
        <f>(BK3-1)*10+BK2+BK5*10000</f>
        <v/>
      </c>
      <c r="BL111">
        <f>(BL3-1)*10+BL2+BL5*10000</f>
        <v/>
      </c>
      <c r="BM111">
        <f>(BM3-1)*10+BM2+BM5*10000</f>
        <v/>
      </c>
      <c r="BN111">
        <f>(BN3-1)*10+BN2+BN5*10000</f>
        <v/>
      </c>
      <c r="BO111">
        <f>(BO3-1)*10+BO2+BO5*10000</f>
        <v/>
      </c>
      <c r="BP111">
        <f>(BP3-1)*10+BP2+BP5*10000</f>
        <v/>
      </c>
      <c r="BQ111">
        <f>(BQ3-1)*10+BQ2+BQ5*10000</f>
        <v/>
      </c>
      <c r="BR111">
        <f>(BR3-1)*10+BR2+BR5*10000</f>
        <v/>
      </c>
      <c r="BS111">
        <f>(BS3-1)*10+BS2+BS5*10000</f>
        <v/>
      </c>
      <c r="BT111">
        <f>(BT3-1)*10+BT2+BT5*10000</f>
        <v/>
      </c>
      <c r="BU111">
        <f>(BU3-1)*10+BU2+BU5*10000</f>
        <v/>
      </c>
      <c r="BV111">
        <f>(BV3-1)*10+BV2+BV5*10000</f>
        <v/>
      </c>
      <c r="BW111">
        <f>(BW3-1)*10+BW2+BW5*10000</f>
        <v/>
      </c>
      <c r="BX111">
        <f>(BX3-1)*10+BX2+BX5*10000</f>
        <v/>
      </c>
      <c r="BY111">
        <f>(BY3-1)*10+BY2+BY5*10000</f>
        <v/>
      </c>
      <c r="BZ111">
        <f>(BZ3-1)*10+BZ2+BZ5*10000</f>
        <v/>
      </c>
      <c r="CA111">
        <f>(CA3-1)*10+CA2+CA5*10000</f>
        <v/>
      </c>
      <c r="CB111">
        <f>(CB3-1)*10+CB2+CB5*10000</f>
        <v/>
      </c>
      <c r="CC111">
        <f>(CC3-1)*10+CC2+CC5*10000</f>
        <v/>
      </c>
      <c r="CD111">
        <f>(CD3-1)*10+CD2+CD5*10000</f>
        <v/>
      </c>
      <c r="CE111">
        <f>(CE3-1)*10+CE2+CE5*10000</f>
        <v/>
      </c>
      <c r="CF111">
        <f>(CF3-1)*10+CF2+CF5*10000</f>
        <v/>
      </c>
      <c r="CG111">
        <f>(CG3-1)*10+CG2+CG5*10000</f>
        <v/>
      </c>
      <c r="CH111">
        <f>(CH3-1)*10+CH2+CH5*10000</f>
        <v/>
      </c>
      <c r="CI111">
        <f>(CI3-1)*10+CI2+CI5*10000</f>
        <v/>
      </c>
      <c r="CJ111">
        <f>(CJ3-1)*10+CJ2+CJ5*10000</f>
        <v/>
      </c>
      <c r="CK111">
        <f>(CK3-1)*10+CK2+CK5*10000</f>
        <v/>
      </c>
      <c r="CL111">
        <f>(CL3-1)*10+CL2+CL5*10000</f>
        <v/>
      </c>
      <c r="CM111">
        <f>(CM3-1)*10+CM2+CM5*10000</f>
        <v/>
      </c>
      <c r="CN111">
        <f>(CN3-1)*10+CN2+CN5*10000</f>
        <v/>
      </c>
      <c r="CO111">
        <f>(CO3-1)*10+CO2+CO5*10000</f>
        <v/>
      </c>
      <c r="CP111">
        <f>(CP3-1)*10+CP2+CP5*10000</f>
        <v/>
      </c>
      <c r="CQ111">
        <f>(CQ3-1)*10+CQ2+CQ5*10000</f>
        <v/>
      </c>
      <c r="CR111">
        <f>(CR3-1)*10+CR2+CR5*10000</f>
        <v/>
      </c>
      <c r="CS111">
        <f>(CS3-1)*10+CS2+CS5*10000</f>
        <v/>
      </c>
      <c r="CT111">
        <f>(CT3-1)*10+CT2+CT5*10000</f>
        <v/>
      </c>
      <c r="CU111">
        <f>(CU3-1)*10+CU2+CU5*10000</f>
        <v/>
      </c>
      <c r="CV111">
        <f>(CV3-1)*10+CV2+CV5*10000</f>
        <v/>
      </c>
      <c r="CW111">
        <f>(CW3-1)*10+CW2+CW5*10000</f>
        <v/>
      </c>
      <c r="CX111">
        <f>(CX3-1)*10+CX2+CX5*10000</f>
        <v/>
      </c>
      <c r="CY111">
        <f>(CY3-1)*10+CY2+CY5*10000</f>
        <v/>
      </c>
      <c r="CZ111">
        <f>(CZ3-1)*10+CZ2+CZ5*10000</f>
        <v/>
      </c>
      <c r="DA111">
        <f>(DA3-1)*10+DA2+DA5*10000</f>
        <v/>
      </c>
      <c r="DB111">
        <f>(DB3-1)*10+DB2+DB5*10000</f>
        <v/>
      </c>
      <c r="DC111">
        <f>(DC3-1)*10+DC2+DC5*10000</f>
        <v/>
      </c>
      <c r="DD111">
        <f>(DD3-1)*10+DD2+DD5*10000</f>
        <v/>
      </c>
      <c r="DE111">
        <f>(DE3-1)*10+DE2+DE5*10000</f>
        <v/>
      </c>
      <c r="DF111">
        <f>(DF3-1)*10+DF2+DF5*10000</f>
        <v/>
      </c>
      <c r="DG111">
        <f>(DG3-1)*10+DG2+DG5*10000</f>
        <v/>
      </c>
      <c r="DH111">
        <f>(DH3-1)*10+DH2+DH5*10000</f>
        <v/>
      </c>
      <c r="DI111">
        <f>(DI3-1)*10+DI2+DI5*10000</f>
        <v/>
      </c>
      <c r="DJ111">
        <f>(DJ3-1)*10+DJ2+DJ5*10000</f>
        <v/>
      </c>
      <c r="DK111">
        <f>(DK3-1)*10+DK2+DK5*10000</f>
        <v/>
      </c>
      <c r="DL111">
        <f>(DL3-1)*10+DL2+DL5*10000</f>
        <v/>
      </c>
      <c r="DM111">
        <f>(DM3-1)*10+DM2+DM5*10000</f>
        <v/>
      </c>
      <c r="DN111">
        <f>(DN3-1)*10+DN2+DN5*10000</f>
        <v/>
      </c>
      <c r="DO111">
        <f>(DO3-1)*10+DO2+DO5*10000</f>
        <v/>
      </c>
      <c r="DP111">
        <f>(DP3-1)*10+DP2+DP5*10000</f>
        <v/>
      </c>
      <c r="DQ111">
        <f>(DQ3-1)*10+DQ2+DQ5*10000</f>
        <v/>
      </c>
      <c r="DR111">
        <f>(DR3-1)*10+DR2+DR5*10000</f>
        <v/>
      </c>
      <c r="DS111">
        <f>(DS3-1)*10+DS2+DS5*10000</f>
        <v/>
      </c>
    </row>
    <row r="112">
      <c r="C112" t="inlineStr">
        <is>
          <t>遅い時刻</t>
        </is>
      </c>
      <c r="D112">
        <f>(12-D3)*10+D2+D5*10000</f>
        <v/>
      </c>
      <c r="E112">
        <f>(12-E3)*10+E2+E5*10000</f>
        <v/>
      </c>
      <c r="F112">
        <f>(12-F3)*10+F2+F5*10000</f>
        <v/>
      </c>
      <c r="G112">
        <f>(12-G3)*10+G2+G5*10000</f>
        <v/>
      </c>
      <c r="H112">
        <f>(12-H3)*10+H2+H5*10000</f>
        <v/>
      </c>
      <c r="I112">
        <f>(12-I3)*10+I2+I5*10000</f>
        <v/>
      </c>
      <c r="J112">
        <f>(12-J3)*10+J2+J5*10000</f>
        <v/>
      </c>
      <c r="K112">
        <f>(12-K3)*10+K2+K5*10000</f>
        <v/>
      </c>
      <c r="L112">
        <f>(12-L3)*10+L2+L5*10000</f>
        <v/>
      </c>
      <c r="M112">
        <f>(12-M3)*10+M2+M5*10000</f>
        <v/>
      </c>
      <c r="N112">
        <f>(12-N3)*10+N2+N5*10000</f>
        <v/>
      </c>
      <c r="O112">
        <f>(12-O3)*10+O2+O5*10000</f>
        <v/>
      </c>
      <c r="P112">
        <f>(12-P3)*10+P2+P5*10000</f>
        <v/>
      </c>
      <c r="Q112">
        <f>(12-Q3)*10+Q2+Q5*10000</f>
        <v/>
      </c>
      <c r="R112">
        <f>(12-R3)*10+R2+R5*10000</f>
        <v/>
      </c>
      <c r="S112">
        <f>(12-S3)*10+S2+S5*10000</f>
        <v/>
      </c>
      <c r="T112">
        <f>(12-T3)*10+T2+T5*10000</f>
        <v/>
      </c>
      <c r="U112">
        <f>(12-U3)*10+U2+U5*10000</f>
        <v/>
      </c>
      <c r="V112">
        <f>(12-V3)*10+V2+V5*10000</f>
        <v/>
      </c>
      <c r="W112">
        <f>(12-W3)*10+W2+W5*10000</f>
        <v/>
      </c>
      <c r="X112">
        <f>(12-X3)*10+X2+X5*10000</f>
        <v/>
      </c>
      <c r="Y112">
        <f>(12-Y3)*10+Y2+Y5*10000</f>
        <v/>
      </c>
      <c r="Z112">
        <f>(12-Z3)*10+Z2+Z5*10000</f>
        <v/>
      </c>
      <c r="AA112">
        <f>(12-AA3)*10+AA2+AA5*10000</f>
        <v/>
      </c>
      <c r="AB112">
        <f>(12-AB3)*10+AB2+AB5*10000</f>
        <v/>
      </c>
      <c r="AC112">
        <f>(12-AC3)*10+AC2+AC5*10000</f>
        <v/>
      </c>
      <c r="AD112">
        <f>(12-AD3)*10+AD2+AD5*10000</f>
        <v/>
      </c>
      <c r="AE112">
        <f>(12-AE3)*10+AE2+AE5*10000</f>
        <v/>
      </c>
      <c r="AF112">
        <f>(12-AF3)*10+AF2+AF5*10000</f>
        <v/>
      </c>
      <c r="AG112">
        <f>(12-AG3)*10+AG2+AG5*10000</f>
        <v/>
      </c>
      <c r="AH112">
        <f>(12-AH3)*10+AH2+AH5*10000</f>
        <v/>
      </c>
      <c r="AI112">
        <f>(12-AI3)*10+AI2+AI5*10000</f>
        <v/>
      </c>
      <c r="AJ112">
        <f>(12-AJ3)*10+AJ2+AJ5*10000</f>
        <v/>
      </c>
      <c r="AK112">
        <f>(12-AK3)*10+AK2+AK5*10000</f>
        <v/>
      </c>
      <c r="AL112">
        <f>(12-AL3)*10+AL2+AL5*10000</f>
        <v/>
      </c>
      <c r="AM112">
        <f>(12-AM3)*10+AM2+AM5*10000</f>
        <v/>
      </c>
      <c r="AN112">
        <f>(12-AN3)*10+AN2+AN5*10000</f>
        <v/>
      </c>
      <c r="AO112">
        <f>(12-AO3)*10+AO2+AO5*10000</f>
        <v/>
      </c>
      <c r="AP112">
        <f>(12-AP3)*10+AP2+AP5*10000</f>
        <v/>
      </c>
      <c r="AQ112">
        <f>(12-AQ3)*10+AQ2+AQ5*10000</f>
        <v/>
      </c>
      <c r="AR112">
        <f>(12-AR3)*10+AR2+AR5*10000</f>
        <v/>
      </c>
      <c r="AS112">
        <f>(12-AS3)*10+AS2+AS5*10000</f>
        <v/>
      </c>
      <c r="AT112">
        <f>(12-AT3)*10+AT2+AT5*10000</f>
        <v/>
      </c>
      <c r="AU112">
        <f>(12-AU3)*10+AU2+AU5*10000</f>
        <v/>
      </c>
      <c r="AV112">
        <f>(12-AV3)*10+AV2+AV5*10000</f>
        <v/>
      </c>
      <c r="AW112">
        <f>(12-AW3)*10+AW2+AW5*10000</f>
        <v/>
      </c>
      <c r="AX112">
        <f>(12-AX3)*10+AX2+AX5*10000</f>
        <v/>
      </c>
      <c r="AY112">
        <f>(12-AY3)*10+AY2+AY5*10000</f>
        <v/>
      </c>
      <c r="AZ112">
        <f>(12-AZ3)*10+AZ2+AZ5*10000</f>
        <v/>
      </c>
      <c r="BA112">
        <f>(12-BA3)*10+BA2+BA5*10000</f>
        <v/>
      </c>
      <c r="BB112">
        <f>(12-BB3)*10+BB2+BB5*10000</f>
        <v/>
      </c>
      <c r="BC112">
        <f>(12-BC3)*10+BC2+BC5*10000</f>
        <v/>
      </c>
      <c r="BD112">
        <f>(12-BD3)*10+BD2+BD5*10000</f>
        <v/>
      </c>
      <c r="BE112">
        <f>(12-BE3)*10+BE2+BE5*10000</f>
        <v/>
      </c>
      <c r="BF112">
        <f>(12-BF3)*10+BF2+BF5*10000</f>
        <v/>
      </c>
      <c r="BG112">
        <f>(12-BG3)*10+BG2+BG5*10000</f>
        <v/>
      </c>
      <c r="BH112">
        <f>(12-BH3)*10+BH2+BH5*10000</f>
        <v/>
      </c>
      <c r="BI112">
        <f>(12-BI3)*10+BI2+BI5*10000</f>
        <v/>
      </c>
      <c r="BJ112">
        <f>(12-BJ3)*10+BJ2+BJ5*10000</f>
        <v/>
      </c>
      <c r="BK112">
        <f>(12-BK3)*10+BK2+BK5*10000</f>
        <v/>
      </c>
      <c r="BL112">
        <f>(12-BL3)*10+BL2+BL5*10000</f>
        <v/>
      </c>
      <c r="BM112">
        <f>(12-BM3)*10+BM2+BM5*10000</f>
        <v/>
      </c>
      <c r="BN112">
        <f>(12-BN3)*10+BN2+BN5*10000</f>
        <v/>
      </c>
      <c r="BO112">
        <f>(12-BO3)*10+BO2+BO5*10000</f>
        <v/>
      </c>
      <c r="BP112">
        <f>(12-BP3)*10+BP2+BP5*10000</f>
        <v/>
      </c>
      <c r="BQ112">
        <f>(12-BQ3)*10+BQ2+BQ5*10000</f>
        <v/>
      </c>
      <c r="BR112">
        <f>(12-BR3)*10+BR2+BR5*10000</f>
        <v/>
      </c>
      <c r="BS112">
        <f>(12-BS3)*10+BS2+BS5*10000</f>
        <v/>
      </c>
      <c r="BT112">
        <f>(12-BT3)*10+BT2+BT5*10000</f>
        <v/>
      </c>
      <c r="BU112">
        <f>(12-BU3)*10+BU2+BU5*10000</f>
        <v/>
      </c>
      <c r="BV112">
        <f>(12-BV3)*10+BV2+BV5*10000</f>
        <v/>
      </c>
      <c r="BW112">
        <f>(12-BW3)*10+BW2+BW5*10000</f>
        <v/>
      </c>
      <c r="BX112">
        <f>(12-BX3)*10+BX2+BX5*10000</f>
        <v/>
      </c>
      <c r="BY112">
        <f>(12-BY3)*10+BY2+BY5*10000</f>
        <v/>
      </c>
      <c r="BZ112">
        <f>(12-BZ3)*10+BZ2+BZ5*10000</f>
        <v/>
      </c>
      <c r="CA112">
        <f>(12-CA3)*10+CA2+CA5*10000</f>
        <v/>
      </c>
      <c r="CB112">
        <f>(12-CB3)*10+CB2+CB5*10000</f>
        <v/>
      </c>
      <c r="CC112">
        <f>(12-CC3)*10+CC2+CC5*10000</f>
        <v/>
      </c>
      <c r="CD112">
        <f>(12-CD3)*10+CD2+CD5*10000</f>
        <v/>
      </c>
      <c r="CE112">
        <f>(12-CE3)*10+CE2+CE5*10000</f>
        <v/>
      </c>
      <c r="CF112">
        <f>(12-CF3)*10+CF2+CF5*10000</f>
        <v/>
      </c>
      <c r="CG112">
        <f>(12-CG3)*10+CG2+CG5*10000</f>
        <v/>
      </c>
      <c r="CH112">
        <f>(12-CH3)*10+CH2+CH5*10000</f>
        <v/>
      </c>
      <c r="CI112">
        <f>(12-CI3)*10+CI2+CI5*10000</f>
        <v/>
      </c>
      <c r="CJ112">
        <f>(12-CJ3)*10+CJ2+CJ5*10000</f>
        <v/>
      </c>
      <c r="CK112">
        <f>(12-CK3)*10+CK2+CK5*10000</f>
        <v/>
      </c>
      <c r="CL112">
        <f>(12-CL3)*10+CL2+CL5*10000</f>
        <v/>
      </c>
      <c r="CM112">
        <f>(12-CM3)*10+CM2+CM5*10000</f>
        <v/>
      </c>
      <c r="CN112">
        <f>(12-CN3)*10+CN2+CN5*10000</f>
        <v/>
      </c>
      <c r="CO112">
        <f>(12-CO3)*10+CO2+CO5*10000</f>
        <v/>
      </c>
      <c r="CP112">
        <f>(12-CP3)*10+CP2+CP5*10000</f>
        <v/>
      </c>
      <c r="CQ112">
        <f>(12-CQ3)*10+CQ2+CQ5*10000</f>
        <v/>
      </c>
      <c r="CR112">
        <f>(12-CR3)*10+CR2+CR5*10000</f>
        <v/>
      </c>
      <c r="CS112">
        <f>(12-CS3)*10+CS2+CS5*10000</f>
        <v/>
      </c>
      <c r="CT112">
        <f>(12-CT3)*10+CT2+CT5*10000</f>
        <v/>
      </c>
      <c r="CU112">
        <f>(12-CU3)*10+CU2+CU5*10000</f>
        <v/>
      </c>
      <c r="CV112">
        <f>(12-CV3)*10+CV2+CV5*10000</f>
        <v/>
      </c>
      <c r="CW112">
        <f>(12-CW3)*10+CW2+CW5*10000</f>
        <v/>
      </c>
      <c r="CX112">
        <f>(12-CX3)*10+CX2+CX5*10000</f>
        <v/>
      </c>
      <c r="CY112">
        <f>(12-CY3)*10+CY2+CY5*10000</f>
        <v/>
      </c>
      <c r="CZ112">
        <f>(12-CZ3)*10+CZ2+CZ5*10000</f>
        <v/>
      </c>
      <c r="DA112">
        <f>(12-DA3)*10+DA2+DA5*10000</f>
        <v/>
      </c>
      <c r="DB112">
        <f>(12-DB3)*10+DB2+DB5*10000</f>
        <v/>
      </c>
      <c r="DC112">
        <f>(12-DC3)*10+DC2+DC5*10000</f>
        <v/>
      </c>
      <c r="DD112">
        <f>(12-DD3)*10+DD2+DD5*10000</f>
        <v/>
      </c>
      <c r="DE112">
        <f>(12-DE3)*10+DE2+DE5*10000</f>
        <v/>
      </c>
      <c r="DF112">
        <f>(12-DF3)*10+DF2+DF5*10000</f>
        <v/>
      </c>
      <c r="DG112">
        <f>(12-DG3)*10+DG2+DG5*10000</f>
        <v/>
      </c>
      <c r="DH112">
        <f>(12-DH3)*10+DH2+DH5*10000</f>
        <v/>
      </c>
      <c r="DI112">
        <f>(12-DI3)*10+DI2+DI5*10000</f>
        <v/>
      </c>
      <c r="DJ112">
        <f>(12-DJ3)*10+DJ2+DJ5*10000</f>
        <v/>
      </c>
      <c r="DK112">
        <f>(12-DK3)*10+DK2+DK5*10000</f>
        <v/>
      </c>
      <c r="DL112">
        <f>(12-DL3)*10+DL2+DL5*10000</f>
        <v/>
      </c>
      <c r="DM112">
        <f>(12-DM3)*10+DM2+DM5*10000</f>
        <v/>
      </c>
      <c r="DN112">
        <f>(12-DN3)*10+DN2+DN5*10000</f>
        <v/>
      </c>
      <c r="DO112">
        <f>(12-DO3)*10+DO2+DO5*10000</f>
        <v/>
      </c>
      <c r="DP112">
        <f>(12-DP3)*10+DP2+DP5*10000</f>
        <v/>
      </c>
      <c r="DQ112">
        <f>(12-DQ3)*10+DQ2+DQ5*10000</f>
        <v/>
      </c>
      <c r="DR112">
        <f>(12-DR3)*10+DR2+DR5*10000</f>
        <v/>
      </c>
      <c r="DS112">
        <f>(12-DS3)*10+DS2+DS5*10000</f>
        <v/>
      </c>
    </row>
    <row r="113">
      <c r="C113" t="inlineStr">
        <is>
          <t>早い日</t>
        </is>
      </c>
      <c r="D113">
        <f>(D2-1)*12+D3+D5*10000</f>
        <v/>
      </c>
      <c r="E113">
        <f>(E2-1)*12+E3+E5*10000</f>
        <v/>
      </c>
      <c r="F113">
        <f>(F2-1)*12+F3+F5*10000</f>
        <v/>
      </c>
      <c r="G113">
        <f>(G2-1)*12+G3+G5*10000</f>
        <v/>
      </c>
      <c r="H113">
        <f>(H2-1)*12+H3+H5*10000</f>
        <v/>
      </c>
      <c r="I113">
        <f>(I2-1)*12+I3+I5*10000</f>
        <v/>
      </c>
      <c r="J113">
        <f>(J2-1)*12+J3+J5*10000</f>
        <v/>
      </c>
      <c r="K113">
        <f>(K2-1)*12+K3+K5*10000</f>
        <v/>
      </c>
      <c r="L113">
        <f>(L2-1)*12+L3+L5*10000</f>
        <v/>
      </c>
      <c r="M113">
        <f>(M2-1)*12+M3+M5*10000</f>
        <v/>
      </c>
      <c r="N113">
        <f>(N2-1)*12+N3+N5*10000</f>
        <v/>
      </c>
      <c r="O113">
        <f>(O2-1)*12+O3+O5*10000</f>
        <v/>
      </c>
      <c r="P113">
        <f>(P2-1)*12+P3+P5*10000</f>
        <v/>
      </c>
      <c r="Q113">
        <f>(Q2-1)*12+Q3+Q5*10000</f>
        <v/>
      </c>
      <c r="R113">
        <f>(R2-1)*12+R3+R5*10000</f>
        <v/>
      </c>
      <c r="S113">
        <f>(S2-1)*12+S3+S5*10000</f>
        <v/>
      </c>
      <c r="T113">
        <f>(T2-1)*12+T3+T5*10000</f>
        <v/>
      </c>
      <c r="U113">
        <f>(U2-1)*12+U3+U5*10000</f>
        <v/>
      </c>
      <c r="V113">
        <f>(V2-1)*12+V3+V5*10000</f>
        <v/>
      </c>
      <c r="W113">
        <f>(W2-1)*12+W3+W5*10000</f>
        <v/>
      </c>
      <c r="X113">
        <f>(X2-1)*12+X3+X5*10000</f>
        <v/>
      </c>
      <c r="Y113">
        <f>(Y2-1)*12+Y3+Y5*10000</f>
        <v/>
      </c>
      <c r="Z113">
        <f>(Z2-1)*12+Z3+Z5*10000</f>
        <v/>
      </c>
      <c r="AA113">
        <f>(AA2-1)*12+AA3+AA5*10000</f>
        <v/>
      </c>
      <c r="AB113">
        <f>(AB2-1)*12+AB3+AB5*10000</f>
        <v/>
      </c>
      <c r="AC113">
        <f>(AC2-1)*12+AC3+AC5*10000</f>
        <v/>
      </c>
      <c r="AD113">
        <f>(AD2-1)*12+AD3+AD5*10000</f>
        <v/>
      </c>
      <c r="AE113">
        <f>(AE2-1)*12+AE3+AE5*10000</f>
        <v/>
      </c>
      <c r="AF113">
        <f>(AF2-1)*12+AF3+AF5*10000</f>
        <v/>
      </c>
      <c r="AG113">
        <f>(AG2-1)*12+AG3+AG5*10000</f>
        <v/>
      </c>
      <c r="AH113">
        <f>(AH2-1)*12+AH3+AH5*10000</f>
        <v/>
      </c>
      <c r="AI113">
        <f>(AI2-1)*12+AI3+AI5*10000</f>
        <v/>
      </c>
      <c r="AJ113">
        <f>(AJ2-1)*12+AJ3+AJ5*10000</f>
        <v/>
      </c>
      <c r="AK113">
        <f>(AK2-1)*12+AK3+AK5*10000</f>
        <v/>
      </c>
      <c r="AL113">
        <f>(AL2-1)*12+AL3+AL5*10000</f>
        <v/>
      </c>
      <c r="AM113">
        <f>(AM2-1)*12+AM3+AM5*10000</f>
        <v/>
      </c>
      <c r="AN113">
        <f>(AN2-1)*12+AN3+AN5*10000</f>
        <v/>
      </c>
      <c r="AO113">
        <f>(AO2-1)*12+AO3+AO5*10000</f>
        <v/>
      </c>
      <c r="AP113">
        <f>(AP2-1)*12+AP3+AP5*10000</f>
        <v/>
      </c>
      <c r="AQ113">
        <f>(AQ2-1)*12+AQ3+AQ5*10000</f>
        <v/>
      </c>
      <c r="AR113">
        <f>(AR2-1)*12+AR3+AR5*10000</f>
        <v/>
      </c>
      <c r="AS113">
        <f>(AS2-1)*12+AS3+AS5*10000</f>
        <v/>
      </c>
      <c r="AT113">
        <f>(AT2-1)*12+AT3+AT5*10000</f>
        <v/>
      </c>
      <c r="AU113">
        <f>(AU2-1)*12+AU3+AU5*10000</f>
        <v/>
      </c>
      <c r="AV113">
        <f>(AV2-1)*12+AV3+AV5*10000</f>
        <v/>
      </c>
      <c r="AW113">
        <f>(AW2-1)*12+AW3+AW5*10000</f>
        <v/>
      </c>
      <c r="AX113">
        <f>(AX2-1)*12+AX3+AX5*10000</f>
        <v/>
      </c>
      <c r="AY113">
        <f>(AY2-1)*12+AY3+AY5*10000</f>
        <v/>
      </c>
      <c r="AZ113">
        <f>(AZ2-1)*12+AZ3+AZ5*10000</f>
        <v/>
      </c>
      <c r="BA113">
        <f>(BA2-1)*12+BA3+BA5*10000</f>
        <v/>
      </c>
      <c r="BB113">
        <f>(BB2-1)*12+BB3+BB5*10000</f>
        <v/>
      </c>
      <c r="BC113">
        <f>(BC2-1)*12+BC3+BC5*10000</f>
        <v/>
      </c>
      <c r="BD113">
        <f>(BD2-1)*12+BD3+BD5*10000</f>
        <v/>
      </c>
      <c r="BE113">
        <f>(BE2-1)*12+BE3+BE5*10000</f>
        <v/>
      </c>
      <c r="BF113">
        <f>(BF2-1)*12+BF3+BF5*10000</f>
        <v/>
      </c>
      <c r="BG113">
        <f>(BG2-1)*12+BG3+BG5*10000</f>
        <v/>
      </c>
      <c r="BH113">
        <f>(BH2-1)*12+BH3+BH5*10000</f>
        <v/>
      </c>
      <c r="BI113">
        <f>(BI2-1)*12+BI3+BI5*10000</f>
        <v/>
      </c>
      <c r="BJ113">
        <f>(BJ2-1)*12+BJ3+BJ5*10000</f>
        <v/>
      </c>
      <c r="BK113">
        <f>(BK2-1)*12+BK3+BK5*10000</f>
        <v/>
      </c>
      <c r="BL113">
        <f>(BL2-1)*12+BL3+BL5*10000</f>
        <v/>
      </c>
      <c r="BM113">
        <f>(BM2-1)*12+BM3+BM5*10000</f>
        <v/>
      </c>
      <c r="BN113">
        <f>(BN2-1)*12+BN3+BN5*10000</f>
        <v/>
      </c>
      <c r="BO113">
        <f>(BO2-1)*12+BO3+BO5*10000</f>
        <v/>
      </c>
      <c r="BP113">
        <f>(BP2-1)*12+BP3+BP5*10000</f>
        <v/>
      </c>
      <c r="BQ113">
        <f>(BQ2-1)*12+BQ3+BQ5*10000</f>
        <v/>
      </c>
      <c r="BR113">
        <f>(BR2-1)*12+BR3+BR5*10000</f>
        <v/>
      </c>
      <c r="BS113">
        <f>(BS2-1)*12+BS3+BS5*10000</f>
        <v/>
      </c>
      <c r="BT113">
        <f>(BT2-1)*12+BT3+BT5*10000</f>
        <v/>
      </c>
      <c r="BU113">
        <f>(BU2-1)*12+BU3+BU5*10000</f>
        <v/>
      </c>
      <c r="BV113">
        <f>(BV2-1)*12+BV3+BV5*10000</f>
        <v/>
      </c>
      <c r="BW113">
        <f>(BW2-1)*12+BW3+BW5*10000</f>
        <v/>
      </c>
      <c r="BX113">
        <f>(BX2-1)*12+BX3+BX5*10000</f>
        <v/>
      </c>
      <c r="BY113">
        <f>(BY2-1)*12+BY3+BY5*10000</f>
        <v/>
      </c>
      <c r="BZ113">
        <f>(BZ2-1)*12+BZ3+BZ5*10000</f>
        <v/>
      </c>
      <c r="CA113">
        <f>(CA2-1)*12+CA3+CA5*10000</f>
        <v/>
      </c>
      <c r="CB113">
        <f>(CB2-1)*12+CB3+CB5*10000</f>
        <v/>
      </c>
      <c r="CC113">
        <f>(CC2-1)*12+CC3+CC5*10000</f>
        <v/>
      </c>
      <c r="CD113">
        <f>(CD2-1)*12+CD3+CD5*10000</f>
        <v/>
      </c>
      <c r="CE113">
        <f>(CE2-1)*12+CE3+CE5*10000</f>
        <v/>
      </c>
      <c r="CF113">
        <f>(CF2-1)*12+CF3+CF5*10000</f>
        <v/>
      </c>
      <c r="CG113">
        <f>(CG2-1)*12+CG3+CG5*10000</f>
        <v/>
      </c>
      <c r="CH113">
        <f>(CH2-1)*12+CH3+CH5*10000</f>
        <v/>
      </c>
      <c r="CI113">
        <f>(CI2-1)*12+CI3+CI5*10000</f>
        <v/>
      </c>
      <c r="CJ113">
        <f>(CJ2-1)*12+CJ3+CJ5*10000</f>
        <v/>
      </c>
      <c r="CK113">
        <f>(CK2-1)*12+CK3+CK5*10000</f>
        <v/>
      </c>
      <c r="CL113">
        <f>(CL2-1)*12+CL3+CL5*10000</f>
        <v/>
      </c>
      <c r="CM113">
        <f>(CM2-1)*12+CM3+CM5*10000</f>
        <v/>
      </c>
      <c r="CN113">
        <f>(CN2-1)*12+CN3+CN5*10000</f>
        <v/>
      </c>
      <c r="CO113">
        <f>(CO2-1)*12+CO3+CO5*10000</f>
        <v/>
      </c>
      <c r="CP113">
        <f>(CP2-1)*12+CP3+CP5*10000</f>
        <v/>
      </c>
      <c r="CQ113">
        <f>(CQ2-1)*12+CQ3+CQ5*10000</f>
        <v/>
      </c>
      <c r="CR113">
        <f>(CR2-1)*12+CR3+CR5*10000</f>
        <v/>
      </c>
      <c r="CS113">
        <f>(CS2-1)*12+CS3+CS5*10000</f>
        <v/>
      </c>
      <c r="CT113">
        <f>(CT2-1)*12+CT3+CT5*10000</f>
        <v/>
      </c>
      <c r="CU113">
        <f>(CU2-1)*12+CU3+CU5*10000</f>
        <v/>
      </c>
      <c r="CV113">
        <f>(CV2-1)*12+CV3+CV5*10000</f>
        <v/>
      </c>
      <c r="CW113">
        <f>(CW2-1)*12+CW3+CW5*10000</f>
        <v/>
      </c>
      <c r="CX113">
        <f>(CX2-1)*12+CX3+CX5*10000</f>
        <v/>
      </c>
      <c r="CY113">
        <f>(CY2-1)*12+CY3+CY5*10000</f>
        <v/>
      </c>
      <c r="CZ113">
        <f>(CZ2-1)*12+CZ3+CZ5*10000</f>
        <v/>
      </c>
      <c r="DA113">
        <f>(DA2-1)*12+DA3+DA5*10000</f>
        <v/>
      </c>
      <c r="DB113">
        <f>(DB2-1)*12+DB3+DB5*10000</f>
        <v/>
      </c>
      <c r="DC113">
        <f>(DC2-1)*12+DC3+DC5*10000</f>
        <v/>
      </c>
      <c r="DD113">
        <f>(DD2-1)*12+DD3+DD5*10000</f>
        <v/>
      </c>
      <c r="DE113">
        <f>(DE2-1)*12+DE3+DE5*10000</f>
        <v/>
      </c>
      <c r="DF113">
        <f>(DF2-1)*12+DF3+DF5*10000</f>
        <v/>
      </c>
      <c r="DG113">
        <f>(DG2-1)*12+DG3+DG5*10000</f>
        <v/>
      </c>
      <c r="DH113">
        <f>(DH2-1)*12+DH3+DH5*10000</f>
        <v/>
      </c>
      <c r="DI113">
        <f>(DI2-1)*12+DI3+DI5*10000</f>
        <v/>
      </c>
      <c r="DJ113">
        <f>(DJ2-1)*12+DJ3+DJ5*10000</f>
        <v/>
      </c>
      <c r="DK113">
        <f>(DK2-1)*12+DK3+DK5*10000</f>
        <v/>
      </c>
      <c r="DL113">
        <f>(DL2-1)*12+DL3+DL5*10000</f>
        <v/>
      </c>
      <c r="DM113">
        <f>(DM2-1)*12+DM3+DM5*10000</f>
        <v/>
      </c>
      <c r="DN113">
        <f>(DN2-1)*12+DN3+DN5*10000</f>
        <v/>
      </c>
      <c r="DO113">
        <f>(DO2-1)*12+DO3+DO5*10000</f>
        <v/>
      </c>
      <c r="DP113">
        <f>(DP2-1)*12+DP3+DP5*10000</f>
        <v/>
      </c>
      <c r="DQ113">
        <f>(DQ2-1)*12+DQ3+DQ5*10000</f>
        <v/>
      </c>
      <c r="DR113">
        <f>(DR2-1)*12+DR3+DR5*10000</f>
        <v/>
      </c>
      <c r="DS113">
        <f>(DS2-1)*12+DS3+DS5*10000</f>
        <v/>
      </c>
    </row>
    <row r="114">
      <c r="C114" t="inlineStr">
        <is>
          <t>遅い日</t>
        </is>
      </c>
      <c r="D114">
        <f>(10-D2)*12+D3+D5*10000</f>
        <v/>
      </c>
      <c r="E114">
        <f>(10-E2)*12+E3+E5*10000</f>
        <v/>
      </c>
      <c r="F114">
        <f>(10-F2)*12+F3+F5*10000</f>
        <v/>
      </c>
      <c r="G114">
        <f>(10-G2)*12+G3+G5*10000</f>
        <v/>
      </c>
      <c r="H114">
        <f>(10-H2)*12+H3+H5*10000</f>
        <v/>
      </c>
      <c r="I114">
        <f>(10-I2)*12+I3+I5*10000</f>
        <v/>
      </c>
      <c r="J114">
        <f>(10-J2)*12+J3+J5*10000</f>
        <v/>
      </c>
      <c r="K114">
        <f>(10-K2)*12+K3+K5*10000</f>
        <v/>
      </c>
      <c r="L114">
        <f>(10-L2)*12+L3+L5*10000</f>
        <v/>
      </c>
      <c r="M114">
        <f>(10-M2)*12+M3+M5*10000</f>
        <v/>
      </c>
      <c r="N114">
        <f>(10-N2)*12+N3+N5*10000</f>
        <v/>
      </c>
      <c r="O114">
        <f>(10-O2)*12+O3+O5*10000</f>
        <v/>
      </c>
      <c r="P114">
        <f>(10-P2)*12+P3+P5*10000</f>
        <v/>
      </c>
      <c r="Q114">
        <f>(10-Q2)*12+Q3+Q5*10000</f>
        <v/>
      </c>
      <c r="R114">
        <f>(10-R2)*12+R3+R5*10000</f>
        <v/>
      </c>
      <c r="S114">
        <f>(10-S2)*12+S3+S5*10000</f>
        <v/>
      </c>
      <c r="T114">
        <f>(10-T2)*12+T3+T5*10000</f>
        <v/>
      </c>
      <c r="U114">
        <f>(10-U2)*12+U3+U5*10000</f>
        <v/>
      </c>
      <c r="V114">
        <f>(10-V2)*12+V3+V5*10000</f>
        <v/>
      </c>
      <c r="W114">
        <f>(10-W2)*12+W3+W5*10000</f>
        <v/>
      </c>
      <c r="X114">
        <f>(10-X2)*12+X3+X5*10000</f>
        <v/>
      </c>
      <c r="Y114">
        <f>(10-Y2)*12+Y3+Y5*10000</f>
        <v/>
      </c>
      <c r="Z114">
        <f>(10-Z2)*12+Z3+Z5*10000</f>
        <v/>
      </c>
      <c r="AA114">
        <f>(10-AA2)*12+AA3+AA5*10000</f>
        <v/>
      </c>
      <c r="AB114">
        <f>(10-AB2)*12+AB3+AB5*10000</f>
        <v/>
      </c>
      <c r="AC114">
        <f>(10-AC2)*12+AC3+AC5*10000</f>
        <v/>
      </c>
      <c r="AD114">
        <f>(10-AD2)*12+AD3+AD5*10000</f>
        <v/>
      </c>
      <c r="AE114">
        <f>(10-AE2)*12+AE3+AE5*10000</f>
        <v/>
      </c>
      <c r="AF114">
        <f>(10-AF2)*12+AF3+AF5*10000</f>
        <v/>
      </c>
      <c r="AG114">
        <f>(10-AG2)*12+AG3+AG5*10000</f>
        <v/>
      </c>
      <c r="AH114">
        <f>(10-AH2)*12+AH3+AH5*10000</f>
        <v/>
      </c>
      <c r="AI114">
        <f>(10-AI2)*12+AI3+AI5*10000</f>
        <v/>
      </c>
      <c r="AJ114">
        <f>(10-AJ2)*12+AJ3+AJ5*10000</f>
        <v/>
      </c>
      <c r="AK114">
        <f>(10-AK2)*12+AK3+AK5*10000</f>
        <v/>
      </c>
      <c r="AL114">
        <f>(10-AL2)*12+AL3+AL5*10000</f>
        <v/>
      </c>
      <c r="AM114">
        <f>(10-AM2)*12+AM3+AM5*10000</f>
        <v/>
      </c>
      <c r="AN114">
        <f>(10-AN2)*12+AN3+AN5*10000</f>
        <v/>
      </c>
      <c r="AO114">
        <f>(10-AO2)*12+AO3+AO5*10000</f>
        <v/>
      </c>
      <c r="AP114">
        <f>(10-AP2)*12+AP3+AP5*10000</f>
        <v/>
      </c>
      <c r="AQ114">
        <f>(10-AQ2)*12+AQ3+AQ5*10000</f>
        <v/>
      </c>
      <c r="AR114">
        <f>(10-AR2)*12+AR3+AR5*10000</f>
        <v/>
      </c>
      <c r="AS114">
        <f>(10-AS2)*12+AS3+AS5*10000</f>
        <v/>
      </c>
      <c r="AT114">
        <f>(10-AT2)*12+AT3+AT5*10000</f>
        <v/>
      </c>
      <c r="AU114">
        <f>(10-AU2)*12+AU3+AU5*10000</f>
        <v/>
      </c>
      <c r="AV114">
        <f>(10-AV2)*12+AV3+AV5*10000</f>
        <v/>
      </c>
      <c r="AW114">
        <f>(10-AW2)*12+AW3+AW5*10000</f>
        <v/>
      </c>
      <c r="AX114">
        <f>(10-AX2)*12+AX3+AX5*10000</f>
        <v/>
      </c>
      <c r="AY114">
        <f>(10-AY2)*12+AY3+AY5*10000</f>
        <v/>
      </c>
      <c r="AZ114">
        <f>(10-AZ2)*12+AZ3+AZ5*10000</f>
        <v/>
      </c>
      <c r="BA114">
        <f>(10-BA2)*12+BA3+BA5*10000</f>
        <v/>
      </c>
      <c r="BB114">
        <f>(10-BB2)*12+BB3+BB5*10000</f>
        <v/>
      </c>
      <c r="BC114">
        <f>(10-BC2)*12+BC3+BC5*10000</f>
        <v/>
      </c>
      <c r="BD114">
        <f>(10-BD2)*12+BD3+BD5*10000</f>
        <v/>
      </c>
      <c r="BE114">
        <f>(10-BE2)*12+BE3+BE5*10000</f>
        <v/>
      </c>
      <c r="BF114">
        <f>(10-BF2)*12+BF3+BF5*10000</f>
        <v/>
      </c>
      <c r="BG114">
        <f>(10-BG2)*12+BG3+BG5*10000</f>
        <v/>
      </c>
      <c r="BH114">
        <f>(10-BH2)*12+BH3+BH5*10000</f>
        <v/>
      </c>
      <c r="BI114">
        <f>(10-BI2)*12+BI3+BI5*10000</f>
        <v/>
      </c>
      <c r="BJ114">
        <f>(10-BJ2)*12+BJ3+BJ5*10000</f>
        <v/>
      </c>
      <c r="BK114">
        <f>(10-BK2)*12+BK3+BK5*10000</f>
        <v/>
      </c>
      <c r="BL114">
        <f>(10-BL2)*12+BL3+BL5*10000</f>
        <v/>
      </c>
      <c r="BM114">
        <f>(10-BM2)*12+BM3+BM5*10000</f>
        <v/>
      </c>
      <c r="BN114">
        <f>(10-BN2)*12+BN3+BN5*10000</f>
        <v/>
      </c>
      <c r="BO114">
        <f>(10-BO2)*12+BO3+BO5*10000</f>
        <v/>
      </c>
      <c r="BP114">
        <f>(10-BP2)*12+BP3+BP5*10000</f>
        <v/>
      </c>
      <c r="BQ114">
        <f>(10-BQ2)*12+BQ3+BQ5*10000</f>
        <v/>
      </c>
      <c r="BR114">
        <f>(10-BR2)*12+BR3+BR5*10000</f>
        <v/>
      </c>
      <c r="BS114">
        <f>(10-BS2)*12+BS3+BS5*10000</f>
        <v/>
      </c>
      <c r="BT114">
        <f>(10-BT2)*12+BT3+BT5*10000</f>
        <v/>
      </c>
      <c r="BU114">
        <f>(10-BU2)*12+BU3+BU5*10000</f>
        <v/>
      </c>
      <c r="BV114">
        <f>(10-BV2)*12+BV3+BV5*10000</f>
        <v/>
      </c>
      <c r="BW114">
        <f>(10-BW2)*12+BW3+BW5*10000</f>
        <v/>
      </c>
      <c r="BX114">
        <f>(10-BX2)*12+BX3+BX5*10000</f>
        <v/>
      </c>
      <c r="BY114">
        <f>(10-BY2)*12+BY3+BY5*10000</f>
        <v/>
      </c>
      <c r="BZ114">
        <f>(10-BZ2)*12+BZ3+BZ5*10000</f>
        <v/>
      </c>
      <c r="CA114">
        <f>(10-CA2)*12+CA3+CA5*10000</f>
        <v/>
      </c>
      <c r="CB114">
        <f>(10-CB2)*12+CB3+CB5*10000</f>
        <v/>
      </c>
      <c r="CC114">
        <f>(10-CC2)*12+CC3+CC5*10000</f>
        <v/>
      </c>
      <c r="CD114">
        <f>(10-CD2)*12+CD3+CD5*10000</f>
        <v/>
      </c>
      <c r="CE114">
        <f>(10-CE2)*12+CE3+CE5*10000</f>
        <v/>
      </c>
      <c r="CF114">
        <f>(10-CF2)*12+CF3+CF5*10000</f>
        <v/>
      </c>
      <c r="CG114">
        <f>(10-CG2)*12+CG3+CG5*10000</f>
        <v/>
      </c>
      <c r="CH114">
        <f>(10-CH2)*12+CH3+CH5*10000</f>
        <v/>
      </c>
      <c r="CI114">
        <f>(10-CI2)*12+CI3+CI5*10000</f>
        <v/>
      </c>
      <c r="CJ114">
        <f>(10-CJ2)*12+CJ3+CJ5*10000</f>
        <v/>
      </c>
      <c r="CK114">
        <f>(10-CK2)*12+CK3+CK5*10000</f>
        <v/>
      </c>
      <c r="CL114">
        <f>(10-CL2)*12+CL3+CL5*10000</f>
        <v/>
      </c>
      <c r="CM114">
        <f>(10-CM2)*12+CM3+CM5*10000</f>
        <v/>
      </c>
      <c r="CN114">
        <f>(10-CN2)*12+CN3+CN5*10000</f>
        <v/>
      </c>
      <c r="CO114">
        <f>(10-CO2)*12+CO3+CO5*10000</f>
        <v/>
      </c>
      <c r="CP114">
        <f>(10-CP2)*12+CP3+CP5*10000</f>
        <v/>
      </c>
      <c r="CQ114">
        <f>(10-CQ2)*12+CQ3+CQ5*10000</f>
        <v/>
      </c>
      <c r="CR114">
        <f>(10-CR2)*12+CR3+CR5*10000</f>
        <v/>
      </c>
      <c r="CS114">
        <f>(10-CS2)*12+CS3+CS5*10000</f>
        <v/>
      </c>
      <c r="CT114">
        <f>(10-CT2)*12+CT3+CT5*10000</f>
        <v/>
      </c>
      <c r="CU114">
        <f>(10-CU2)*12+CU3+CU5*10000</f>
        <v/>
      </c>
      <c r="CV114">
        <f>(10-CV2)*12+CV3+CV5*10000</f>
        <v/>
      </c>
      <c r="CW114">
        <f>(10-CW2)*12+CW3+CW5*10000</f>
        <v/>
      </c>
      <c r="CX114">
        <f>(10-CX2)*12+CX3+CX5*10000</f>
        <v/>
      </c>
      <c r="CY114">
        <f>(10-CY2)*12+CY3+CY5*10000</f>
        <v/>
      </c>
      <c r="CZ114">
        <f>(10-CZ2)*12+CZ3+CZ5*10000</f>
        <v/>
      </c>
      <c r="DA114">
        <f>(10-DA2)*12+DA3+DA5*10000</f>
        <v/>
      </c>
      <c r="DB114">
        <f>(10-DB2)*12+DB3+DB5*10000</f>
        <v/>
      </c>
      <c r="DC114">
        <f>(10-DC2)*12+DC3+DC5*10000</f>
        <v/>
      </c>
      <c r="DD114">
        <f>(10-DD2)*12+DD3+DD5*10000</f>
        <v/>
      </c>
      <c r="DE114">
        <f>(10-DE2)*12+DE3+DE5*10000</f>
        <v/>
      </c>
      <c r="DF114">
        <f>(10-DF2)*12+DF3+DF5*10000</f>
        <v/>
      </c>
      <c r="DG114">
        <f>(10-DG2)*12+DG3+DG5*10000</f>
        <v/>
      </c>
      <c r="DH114">
        <f>(10-DH2)*12+DH3+DH5*10000</f>
        <v/>
      </c>
      <c r="DI114">
        <f>(10-DI2)*12+DI3+DI5*10000</f>
        <v/>
      </c>
      <c r="DJ114">
        <f>(10-DJ2)*12+DJ3+DJ5*10000</f>
        <v/>
      </c>
      <c r="DK114">
        <f>(10-DK2)*12+DK3+DK5*10000</f>
        <v/>
      </c>
      <c r="DL114">
        <f>(10-DL2)*12+DL3+DL5*10000</f>
        <v/>
      </c>
      <c r="DM114">
        <f>(10-DM2)*12+DM3+DM5*10000</f>
        <v/>
      </c>
      <c r="DN114">
        <f>(10-DN2)*12+DN3+DN5*10000</f>
        <v/>
      </c>
      <c r="DO114">
        <f>(10-DO2)*12+DO3+DO5*10000</f>
        <v/>
      </c>
      <c r="DP114">
        <f>(10-DP2)*12+DP3+DP5*10000</f>
        <v/>
      </c>
      <c r="DQ114">
        <f>(10-DQ2)*12+DQ3+DQ5*10000</f>
        <v/>
      </c>
      <c r="DR114">
        <f>(10-DR2)*12+DR3+DR5*10000</f>
        <v/>
      </c>
      <c r="DS114">
        <f>(10-DS2)*12+DS3+DS5*10000</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T47"/>
  <sheetViews>
    <sheetView showGridLines="0" workbookViewId="0">
      <selection activeCell="A1" sqref="A1"/>
    </sheetView>
  </sheetViews>
  <sheetFormatPr baseColWidth="8" defaultRowHeight="15"/>
  <sheetData>
    <row r="1">
      <c r="A1" s="57" t="inlineStr">
        <is>
          <t>計算用（さわらないでください）</t>
        </is>
      </c>
      <c r="I1" t="inlineStr">
        <is>
          <t>済</t>
        </is>
      </c>
      <c r="BC1" t="inlineStr">
        <is>
          <t>点数（入れられる枠の数）</t>
        </is>
      </c>
      <c r="CW1" t="inlineStr">
        <is>
          <t>空き</t>
        </is>
      </c>
      <c r="HN1" t="inlineStr">
        <is>
          <t>次の枠が空いている</t>
        </is>
      </c>
      <c r="ME1" t="inlineStr">
        <is>
          <t>枠の点数</t>
        </is>
      </c>
    </row>
    <row r="2">
      <c r="A2" t="inlineStr">
        <is>
          <t>k</t>
        </is>
      </c>
      <c r="B2" t="inlineStr">
        <is>
          <t>児童</t>
        </is>
      </c>
      <c r="C2" t="inlineStr">
        <is>
          <t>枠</t>
        </is>
      </c>
      <c r="D2" t="inlineStr">
        <is>
          <t>空けたい枠</t>
        </is>
      </c>
      <c r="E2" t="inlineStr">
        <is>
          <t>後ろ空け</t>
        </is>
      </c>
      <c r="F2" t="inlineStr">
        <is>
          <t>希望</t>
        </is>
      </c>
      <c r="G2" t="inlineStr">
        <is>
          <t>空けた枠</t>
        </is>
      </c>
      <c r="I2" t="n">
        <v>1</v>
      </c>
      <c r="J2" t="n">
        <v>2</v>
      </c>
      <c r="K2" t="n">
        <v>3</v>
      </c>
      <c r="L2" t="n">
        <v>4</v>
      </c>
      <c r="M2" t="n">
        <v>5</v>
      </c>
      <c r="N2" t="n">
        <v>6</v>
      </c>
      <c r="O2" t="n">
        <v>7</v>
      </c>
      <c r="P2" t="n">
        <v>8</v>
      </c>
      <c r="Q2" t="n">
        <v>9</v>
      </c>
      <c r="R2" t="n">
        <v>10</v>
      </c>
      <c r="S2" t="n">
        <v>11</v>
      </c>
      <c r="T2" t="n">
        <v>12</v>
      </c>
      <c r="U2" t="n">
        <v>13</v>
      </c>
      <c r="V2" t="n">
        <v>14</v>
      </c>
      <c r="W2" t="n">
        <v>15</v>
      </c>
      <c r="X2" t="n">
        <v>16</v>
      </c>
      <c r="Y2" t="n">
        <v>17</v>
      </c>
      <c r="Z2" t="n">
        <v>18</v>
      </c>
      <c r="AA2" t="n">
        <v>19</v>
      </c>
      <c r="AB2" t="n">
        <v>20</v>
      </c>
      <c r="AC2" t="n">
        <v>21</v>
      </c>
      <c r="AD2" t="n">
        <v>22</v>
      </c>
      <c r="AE2" t="n">
        <v>23</v>
      </c>
      <c r="AF2" t="n">
        <v>24</v>
      </c>
      <c r="AG2" t="n">
        <v>25</v>
      </c>
      <c r="AH2" t="n">
        <v>26</v>
      </c>
      <c r="AI2" t="n">
        <v>27</v>
      </c>
      <c r="AJ2" t="n">
        <v>28</v>
      </c>
      <c r="AK2" t="n">
        <v>29</v>
      </c>
      <c r="AL2" t="n">
        <v>30</v>
      </c>
      <c r="AM2" t="n">
        <v>31</v>
      </c>
      <c r="AN2" t="n">
        <v>32</v>
      </c>
      <c r="AO2" t="n">
        <v>33</v>
      </c>
      <c r="AP2" t="n">
        <v>34</v>
      </c>
      <c r="AQ2" t="n">
        <v>35</v>
      </c>
      <c r="AR2" t="n">
        <v>36</v>
      </c>
      <c r="AS2" t="n">
        <v>37</v>
      </c>
      <c r="AT2" t="n">
        <v>38</v>
      </c>
      <c r="AU2" t="n">
        <v>39</v>
      </c>
      <c r="AV2" t="n">
        <v>40</v>
      </c>
      <c r="AW2" t="n">
        <v>41</v>
      </c>
      <c r="AX2" t="n">
        <v>42</v>
      </c>
      <c r="AY2" t="n">
        <v>43</v>
      </c>
      <c r="AZ2" t="n">
        <v>44</v>
      </c>
      <c r="BA2" t="n">
        <v>45</v>
      </c>
      <c r="BC2" t="n">
        <v>1</v>
      </c>
      <c r="BD2" t="n">
        <v>2</v>
      </c>
      <c r="BE2" t="n">
        <v>3</v>
      </c>
      <c r="BF2" t="n">
        <v>4</v>
      </c>
      <c r="BG2" t="n">
        <v>5</v>
      </c>
      <c r="BH2" t="n">
        <v>6</v>
      </c>
      <c r="BI2" t="n">
        <v>7</v>
      </c>
      <c r="BJ2" t="n">
        <v>8</v>
      </c>
      <c r="BK2" t="n">
        <v>9</v>
      </c>
      <c r="BL2" t="n">
        <v>10</v>
      </c>
      <c r="BM2" t="n">
        <v>11</v>
      </c>
      <c r="BN2" t="n">
        <v>12</v>
      </c>
      <c r="BO2" t="n">
        <v>13</v>
      </c>
      <c r="BP2" t="n">
        <v>14</v>
      </c>
      <c r="BQ2" t="n">
        <v>15</v>
      </c>
      <c r="BR2" t="n">
        <v>16</v>
      </c>
      <c r="BS2" t="n">
        <v>17</v>
      </c>
      <c r="BT2" t="n">
        <v>18</v>
      </c>
      <c r="BU2" t="n">
        <v>19</v>
      </c>
      <c r="BV2" t="n">
        <v>20</v>
      </c>
      <c r="BW2" t="n">
        <v>21</v>
      </c>
      <c r="BX2" t="n">
        <v>22</v>
      </c>
      <c r="BY2" t="n">
        <v>23</v>
      </c>
      <c r="BZ2" t="n">
        <v>24</v>
      </c>
      <c r="CA2" t="n">
        <v>25</v>
      </c>
      <c r="CB2" t="n">
        <v>26</v>
      </c>
      <c r="CC2" t="n">
        <v>27</v>
      </c>
      <c r="CD2" t="n">
        <v>28</v>
      </c>
      <c r="CE2" t="n">
        <v>29</v>
      </c>
      <c r="CF2" t="n">
        <v>30</v>
      </c>
      <c r="CG2" t="n">
        <v>31</v>
      </c>
      <c r="CH2" t="n">
        <v>32</v>
      </c>
      <c r="CI2" t="n">
        <v>33</v>
      </c>
      <c r="CJ2" t="n">
        <v>34</v>
      </c>
      <c r="CK2" t="n">
        <v>35</v>
      </c>
      <c r="CL2" t="n">
        <v>36</v>
      </c>
      <c r="CM2" t="n">
        <v>37</v>
      </c>
      <c r="CN2" t="n">
        <v>38</v>
      </c>
      <c r="CO2" t="n">
        <v>39</v>
      </c>
      <c r="CP2" t="n">
        <v>40</v>
      </c>
      <c r="CQ2" t="n">
        <v>41</v>
      </c>
      <c r="CR2" t="n">
        <v>42</v>
      </c>
      <c r="CS2" t="n">
        <v>43</v>
      </c>
      <c r="CT2" t="n">
        <v>44</v>
      </c>
      <c r="CU2" t="n">
        <v>45</v>
      </c>
      <c r="CW2" t="n">
        <v>1</v>
      </c>
      <c r="CX2" t="n">
        <v>2</v>
      </c>
      <c r="CY2" t="n">
        <v>3</v>
      </c>
      <c r="CZ2" t="n">
        <v>4</v>
      </c>
      <c r="DA2" t="n">
        <v>5</v>
      </c>
      <c r="DB2" t="n">
        <v>6</v>
      </c>
      <c r="DC2" t="n">
        <v>7</v>
      </c>
      <c r="DD2" t="n">
        <v>8</v>
      </c>
      <c r="DE2" t="n">
        <v>9</v>
      </c>
      <c r="DF2" t="n">
        <v>10</v>
      </c>
      <c r="DG2" t="n">
        <v>11</v>
      </c>
      <c r="DH2" t="n">
        <v>12</v>
      </c>
      <c r="DI2" t="n">
        <v>13</v>
      </c>
      <c r="DJ2" t="n">
        <v>14</v>
      </c>
      <c r="DK2" t="n">
        <v>15</v>
      </c>
      <c r="DL2" t="n">
        <v>16</v>
      </c>
      <c r="DM2" t="n">
        <v>17</v>
      </c>
      <c r="DN2" t="n">
        <v>18</v>
      </c>
      <c r="DO2" t="n">
        <v>19</v>
      </c>
      <c r="DP2" t="n">
        <v>20</v>
      </c>
      <c r="DQ2" t="n">
        <v>21</v>
      </c>
      <c r="DR2" t="n">
        <v>22</v>
      </c>
      <c r="DS2" t="n">
        <v>23</v>
      </c>
      <c r="DT2" t="n">
        <v>24</v>
      </c>
      <c r="DU2" t="n">
        <v>25</v>
      </c>
      <c r="DV2" t="n">
        <v>26</v>
      </c>
      <c r="DW2" t="n">
        <v>27</v>
      </c>
      <c r="DX2" t="n">
        <v>28</v>
      </c>
      <c r="DY2" t="n">
        <v>29</v>
      </c>
      <c r="DZ2" t="n">
        <v>30</v>
      </c>
      <c r="EA2" t="n">
        <v>31</v>
      </c>
      <c r="EB2" t="n">
        <v>32</v>
      </c>
      <c r="EC2" t="n">
        <v>33</v>
      </c>
      <c r="ED2" t="n">
        <v>34</v>
      </c>
      <c r="EE2" t="n">
        <v>35</v>
      </c>
      <c r="EF2" t="n">
        <v>36</v>
      </c>
      <c r="EG2" t="n">
        <v>37</v>
      </c>
      <c r="EH2" t="n">
        <v>38</v>
      </c>
      <c r="EI2" t="n">
        <v>39</v>
      </c>
      <c r="EJ2" t="n">
        <v>40</v>
      </c>
      <c r="EK2" t="n">
        <v>41</v>
      </c>
      <c r="EL2" t="n">
        <v>42</v>
      </c>
      <c r="EM2" t="n">
        <v>43</v>
      </c>
      <c r="EN2" t="n">
        <v>44</v>
      </c>
      <c r="EO2" t="n">
        <v>45</v>
      </c>
      <c r="EP2" t="n">
        <v>46</v>
      </c>
      <c r="EQ2" t="n">
        <v>47</v>
      </c>
      <c r="ER2" t="n">
        <v>48</v>
      </c>
      <c r="ES2" t="n">
        <v>49</v>
      </c>
      <c r="ET2" t="n">
        <v>50</v>
      </c>
      <c r="EU2" t="n">
        <v>51</v>
      </c>
      <c r="EV2" t="n">
        <v>52</v>
      </c>
      <c r="EW2" t="n">
        <v>53</v>
      </c>
      <c r="EX2" t="n">
        <v>54</v>
      </c>
      <c r="EY2" t="n">
        <v>55</v>
      </c>
      <c r="EZ2" t="n">
        <v>56</v>
      </c>
      <c r="FA2" t="n">
        <v>57</v>
      </c>
      <c r="FB2" t="n">
        <v>58</v>
      </c>
      <c r="FC2" t="n">
        <v>59</v>
      </c>
      <c r="FD2" t="n">
        <v>60</v>
      </c>
      <c r="FE2" t="n">
        <v>61</v>
      </c>
      <c r="FF2" t="n">
        <v>62</v>
      </c>
      <c r="FG2" t="n">
        <v>63</v>
      </c>
      <c r="FH2" t="n">
        <v>64</v>
      </c>
      <c r="FI2" t="n">
        <v>65</v>
      </c>
      <c r="FJ2" t="n">
        <v>66</v>
      </c>
      <c r="FK2" t="n">
        <v>67</v>
      </c>
      <c r="FL2" t="n">
        <v>68</v>
      </c>
      <c r="FM2" t="n">
        <v>69</v>
      </c>
      <c r="FN2" t="n">
        <v>70</v>
      </c>
      <c r="FO2" t="n">
        <v>71</v>
      </c>
      <c r="FP2" t="n">
        <v>72</v>
      </c>
      <c r="FQ2" t="n">
        <v>73</v>
      </c>
      <c r="FR2" t="n">
        <v>74</v>
      </c>
      <c r="FS2" t="n">
        <v>75</v>
      </c>
      <c r="FT2" t="n">
        <v>76</v>
      </c>
      <c r="FU2" t="n">
        <v>77</v>
      </c>
      <c r="FV2" t="n">
        <v>78</v>
      </c>
      <c r="FW2" t="n">
        <v>79</v>
      </c>
      <c r="FX2" t="n">
        <v>80</v>
      </c>
      <c r="FY2" t="n">
        <v>81</v>
      </c>
      <c r="FZ2" t="n">
        <v>82</v>
      </c>
      <c r="GA2" t="n">
        <v>83</v>
      </c>
      <c r="GB2" t="n">
        <v>84</v>
      </c>
      <c r="GC2" t="n">
        <v>85</v>
      </c>
      <c r="GD2" t="n">
        <v>86</v>
      </c>
      <c r="GE2" t="n">
        <v>87</v>
      </c>
      <c r="GF2" t="n">
        <v>88</v>
      </c>
      <c r="GG2" t="n">
        <v>89</v>
      </c>
      <c r="GH2" t="n">
        <v>90</v>
      </c>
      <c r="GI2" t="n">
        <v>91</v>
      </c>
      <c r="GJ2" t="n">
        <v>92</v>
      </c>
      <c r="GK2" t="n">
        <v>93</v>
      </c>
      <c r="GL2" t="n">
        <v>94</v>
      </c>
      <c r="GM2" t="n">
        <v>95</v>
      </c>
      <c r="GN2" t="n">
        <v>96</v>
      </c>
      <c r="GO2" t="n">
        <v>97</v>
      </c>
      <c r="GP2" t="n">
        <v>98</v>
      </c>
      <c r="GQ2" t="n">
        <v>99</v>
      </c>
      <c r="GR2" t="n">
        <v>100</v>
      </c>
      <c r="GS2" t="n">
        <v>101</v>
      </c>
      <c r="GT2" t="n">
        <v>102</v>
      </c>
      <c r="GU2" t="n">
        <v>103</v>
      </c>
      <c r="GV2" t="n">
        <v>104</v>
      </c>
      <c r="GW2" t="n">
        <v>105</v>
      </c>
      <c r="GX2" t="n">
        <v>106</v>
      </c>
      <c r="GY2" t="n">
        <v>107</v>
      </c>
      <c r="GZ2" t="n">
        <v>108</v>
      </c>
      <c r="HA2" t="n">
        <v>109</v>
      </c>
      <c r="HB2" t="n">
        <v>110</v>
      </c>
      <c r="HC2" t="n">
        <v>111</v>
      </c>
      <c r="HD2" t="n">
        <v>112</v>
      </c>
      <c r="HE2" t="n">
        <v>113</v>
      </c>
      <c r="HF2" t="n">
        <v>114</v>
      </c>
      <c r="HG2" t="n">
        <v>115</v>
      </c>
      <c r="HH2" t="n">
        <v>116</v>
      </c>
      <c r="HI2" t="n">
        <v>117</v>
      </c>
      <c r="HJ2" t="n">
        <v>118</v>
      </c>
      <c r="HK2" t="n">
        <v>119</v>
      </c>
      <c r="HL2" t="n">
        <v>120</v>
      </c>
      <c r="HN2" t="n">
        <v>1</v>
      </c>
      <c r="HO2" t="n">
        <v>2</v>
      </c>
      <c r="HP2" t="n">
        <v>3</v>
      </c>
      <c r="HQ2" t="n">
        <v>4</v>
      </c>
      <c r="HR2" t="n">
        <v>5</v>
      </c>
      <c r="HS2" t="n">
        <v>6</v>
      </c>
      <c r="HT2" t="n">
        <v>7</v>
      </c>
      <c r="HU2" t="n">
        <v>8</v>
      </c>
      <c r="HV2" t="n">
        <v>9</v>
      </c>
      <c r="HW2" t="n">
        <v>10</v>
      </c>
      <c r="HX2" t="n">
        <v>11</v>
      </c>
      <c r="HY2" t="n">
        <v>12</v>
      </c>
      <c r="HZ2" t="n">
        <v>13</v>
      </c>
      <c r="IA2" t="n">
        <v>14</v>
      </c>
      <c r="IB2" t="n">
        <v>15</v>
      </c>
      <c r="IC2" t="n">
        <v>16</v>
      </c>
      <c r="ID2" t="n">
        <v>17</v>
      </c>
      <c r="IE2" t="n">
        <v>18</v>
      </c>
      <c r="IF2" t="n">
        <v>19</v>
      </c>
      <c r="IG2" t="n">
        <v>20</v>
      </c>
      <c r="IH2" t="n">
        <v>21</v>
      </c>
      <c r="II2" t="n">
        <v>22</v>
      </c>
      <c r="IJ2" t="n">
        <v>23</v>
      </c>
      <c r="IK2" t="n">
        <v>24</v>
      </c>
      <c r="IL2" t="n">
        <v>25</v>
      </c>
      <c r="IM2" t="n">
        <v>26</v>
      </c>
      <c r="IN2" t="n">
        <v>27</v>
      </c>
      <c r="IO2" t="n">
        <v>28</v>
      </c>
      <c r="IP2" t="n">
        <v>29</v>
      </c>
      <c r="IQ2" t="n">
        <v>30</v>
      </c>
      <c r="IR2" t="n">
        <v>31</v>
      </c>
      <c r="IS2" t="n">
        <v>32</v>
      </c>
      <c r="IT2" t="n">
        <v>33</v>
      </c>
      <c r="IU2" t="n">
        <v>34</v>
      </c>
      <c r="IV2" t="n">
        <v>35</v>
      </c>
      <c r="IW2" t="n">
        <v>36</v>
      </c>
      <c r="IX2" t="n">
        <v>37</v>
      </c>
      <c r="IY2" t="n">
        <v>38</v>
      </c>
      <c r="IZ2" t="n">
        <v>39</v>
      </c>
      <c r="JA2" t="n">
        <v>40</v>
      </c>
      <c r="JB2" t="n">
        <v>41</v>
      </c>
      <c r="JC2" t="n">
        <v>42</v>
      </c>
      <c r="JD2" t="n">
        <v>43</v>
      </c>
      <c r="JE2" t="n">
        <v>44</v>
      </c>
      <c r="JF2" t="n">
        <v>45</v>
      </c>
      <c r="JG2" t="n">
        <v>46</v>
      </c>
      <c r="JH2" t="n">
        <v>47</v>
      </c>
      <c r="JI2" t="n">
        <v>48</v>
      </c>
      <c r="JJ2" t="n">
        <v>49</v>
      </c>
      <c r="JK2" t="n">
        <v>50</v>
      </c>
      <c r="JL2" t="n">
        <v>51</v>
      </c>
      <c r="JM2" t="n">
        <v>52</v>
      </c>
      <c r="JN2" t="n">
        <v>53</v>
      </c>
      <c r="JO2" t="n">
        <v>54</v>
      </c>
      <c r="JP2" t="n">
        <v>55</v>
      </c>
      <c r="JQ2" t="n">
        <v>56</v>
      </c>
      <c r="JR2" t="n">
        <v>57</v>
      </c>
      <c r="JS2" t="n">
        <v>58</v>
      </c>
      <c r="JT2" t="n">
        <v>59</v>
      </c>
      <c r="JU2" t="n">
        <v>60</v>
      </c>
      <c r="JV2" t="n">
        <v>61</v>
      </c>
      <c r="JW2" t="n">
        <v>62</v>
      </c>
      <c r="JX2" t="n">
        <v>63</v>
      </c>
      <c r="JY2" t="n">
        <v>64</v>
      </c>
      <c r="JZ2" t="n">
        <v>65</v>
      </c>
      <c r="KA2" t="n">
        <v>66</v>
      </c>
      <c r="KB2" t="n">
        <v>67</v>
      </c>
      <c r="KC2" t="n">
        <v>68</v>
      </c>
      <c r="KD2" t="n">
        <v>69</v>
      </c>
      <c r="KE2" t="n">
        <v>70</v>
      </c>
      <c r="KF2" t="n">
        <v>71</v>
      </c>
      <c r="KG2" t="n">
        <v>72</v>
      </c>
      <c r="KH2" t="n">
        <v>73</v>
      </c>
      <c r="KI2" t="n">
        <v>74</v>
      </c>
      <c r="KJ2" t="n">
        <v>75</v>
      </c>
      <c r="KK2" t="n">
        <v>76</v>
      </c>
      <c r="KL2" t="n">
        <v>77</v>
      </c>
      <c r="KM2" t="n">
        <v>78</v>
      </c>
      <c r="KN2" t="n">
        <v>79</v>
      </c>
      <c r="KO2" t="n">
        <v>80</v>
      </c>
      <c r="KP2" t="n">
        <v>81</v>
      </c>
      <c r="KQ2" t="n">
        <v>82</v>
      </c>
      <c r="KR2" t="n">
        <v>83</v>
      </c>
      <c r="KS2" t="n">
        <v>84</v>
      </c>
      <c r="KT2" t="n">
        <v>85</v>
      </c>
      <c r="KU2" t="n">
        <v>86</v>
      </c>
      <c r="KV2" t="n">
        <v>87</v>
      </c>
      <c r="KW2" t="n">
        <v>88</v>
      </c>
      <c r="KX2" t="n">
        <v>89</v>
      </c>
      <c r="KY2" t="n">
        <v>90</v>
      </c>
      <c r="KZ2" t="n">
        <v>91</v>
      </c>
      <c r="LA2" t="n">
        <v>92</v>
      </c>
      <c r="LB2" t="n">
        <v>93</v>
      </c>
      <c r="LC2" t="n">
        <v>94</v>
      </c>
      <c r="LD2" t="n">
        <v>95</v>
      </c>
      <c r="LE2" t="n">
        <v>96</v>
      </c>
      <c r="LF2" t="n">
        <v>97</v>
      </c>
      <c r="LG2" t="n">
        <v>98</v>
      </c>
      <c r="LH2" t="n">
        <v>99</v>
      </c>
      <c r="LI2" t="n">
        <v>100</v>
      </c>
      <c r="LJ2" t="n">
        <v>101</v>
      </c>
      <c r="LK2" t="n">
        <v>102</v>
      </c>
      <c r="LL2" t="n">
        <v>103</v>
      </c>
      <c r="LM2" t="n">
        <v>104</v>
      </c>
      <c r="LN2" t="n">
        <v>105</v>
      </c>
      <c r="LO2" t="n">
        <v>106</v>
      </c>
      <c r="LP2" t="n">
        <v>107</v>
      </c>
      <c r="LQ2" t="n">
        <v>108</v>
      </c>
      <c r="LR2" t="n">
        <v>109</v>
      </c>
      <c r="LS2" t="n">
        <v>110</v>
      </c>
      <c r="LT2" t="n">
        <v>111</v>
      </c>
      <c r="LU2" t="n">
        <v>112</v>
      </c>
      <c r="LV2" t="n">
        <v>113</v>
      </c>
      <c r="LW2" t="n">
        <v>114</v>
      </c>
      <c r="LX2" t="n">
        <v>115</v>
      </c>
      <c r="LY2" t="n">
        <v>116</v>
      </c>
      <c r="LZ2" t="n">
        <v>117</v>
      </c>
      <c r="MA2" t="n">
        <v>118</v>
      </c>
      <c r="MB2" t="n">
        <v>119</v>
      </c>
      <c r="MC2" t="n">
        <v>120</v>
      </c>
      <c r="ME2" t="n">
        <v>1</v>
      </c>
      <c r="MF2" t="n">
        <v>2</v>
      </c>
      <c r="MG2" t="n">
        <v>3</v>
      </c>
      <c r="MH2" t="n">
        <v>4</v>
      </c>
      <c r="MI2" t="n">
        <v>5</v>
      </c>
      <c r="MJ2" t="n">
        <v>6</v>
      </c>
      <c r="MK2" t="n">
        <v>7</v>
      </c>
      <c r="ML2" t="n">
        <v>8</v>
      </c>
      <c r="MM2" t="n">
        <v>9</v>
      </c>
      <c r="MN2" t="n">
        <v>10</v>
      </c>
      <c r="MO2" t="n">
        <v>11</v>
      </c>
      <c r="MP2" t="n">
        <v>12</v>
      </c>
      <c r="MQ2" t="n">
        <v>13</v>
      </c>
      <c r="MR2" t="n">
        <v>14</v>
      </c>
      <c r="MS2" t="n">
        <v>15</v>
      </c>
      <c r="MT2" t="n">
        <v>16</v>
      </c>
      <c r="MU2" t="n">
        <v>17</v>
      </c>
      <c r="MV2" t="n">
        <v>18</v>
      </c>
      <c r="MW2" t="n">
        <v>19</v>
      </c>
      <c r="MX2" t="n">
        <v>20</v>
      </c>
      <c r="MY2" t="n">
        <v>21</v>
      </c>
      <c r="MZ2" t="n">
        <v>22</v>
      </c>
      <c r="NA2" t="n">
        <v>23</v>
      </c>
      <c r="NB2" t="n">
        <v>24</v>
      </c>
      <c r="NC2" t="n">
        <v>25</v>
      </c>
      <c r="ND2" t="n">
        <v>26</v>
      </c>
      <c r="NE2" t="n">
        <v>27</v>
      </c>
      <c r="NF2" t="n">
        <v>28</v>
      </c>
      <c r="NG2" t="n">
        <v>29</v>
      </c>
      <c r="NH2" t="n">
        <v>30</v>
      </c>
      <c r="NI2" t="n">
        <v>31</v>
      </c>
      <c r="NJ2" t="n">
        <v>32</v>
      </c>
      <c r="NK2" t="n">
        <v>33</v>
      </c>
      <c r="NL2" t="n">
        <v>34</v>
      </c>
      <c r="NM2" t="n">
        <v>35</v>
      </c>
      <c r="NN2" t="n">
        <v>36</v>
      </c>
      <c r="NO2" t="n">
        <v>37</v>
      </c>
      <c r="NP2" t="n">
        <v>38</v>
      </c>
      <c r="NQ2" t="n">
        <v>39</v>
      </c>
      <c r="NR2" t="n">
        <v>40</v>
      </c>
      <c r="NS2" t="n">
        <v>41</v>
      </c>
      <c r="NT2" t="n">
        <v>42</v>
      </c>
      <c r="NU2" t="n">
        <v>43</v>
      </c>
      <c r="NV2" t="n">
        <v>44</v>
      </c>
      <c r="NW2" t="n">
        <v>45</v>
      </c>
      <c r="NX2" t="n">
        <v>46</v>
      </c>
      <c r="NY2" t="n">
        <v>47</v>
      </c>
      <c r="NZ2" t="n">
        <v>48</v>
      </c>
      <c r="OA2" t="n">
        <v>49</v>
      </c>
      <c r="OB2" t="n">
        <v>50</v>
      </c>
      <c r="OC2" t="n">
        <v>51</v>
      </c>
      <c r="OD2" t="n">
        <v>52</v>
      </c>
      <c r="OE2" t="n">
        <v>53</v>
      </c>
      <c r="OF2" t="n">
        <v>54</v>
      </c>
      <c r="OG2" t="n">
        <v>55</v>
      </c>
      <c r="OH2" t="n">
        <v>56</v>
      </c>
      <c r="OI2" t="n">
        <v>57</v>
      </c>
      <c r="OJ2" t="n">
        <v>58</v>
      </c>
      <c r="OK2" t="n">
        <v>59</v>
      </c>
      <c r="OL2" t="n">
        <v>60</v>
      </c>
      <c r="OM2" t="n">
        <v>61</v>
      </c>
      <c r="ON2" t="n">
        <v>62</v>
      </c>
      <c r="OO2" t="n">
        <v>63</v>
      </c>
      <c r="OP2" t="n">
        <v>64</v>
      </c>
      <c r="OQ2" t="n">
        <v>65</v>
      </c>
      <c r="OR2" t="n">
        <v>66</v>
      </c>
      <c r="OS2" t="n">
        <v>67</v>
      </c>
      <c r="OT2" t="n">
        <v>68</v>
      </c>
      <c r="OU2" t="n">
        <v>69</v>
      </c>
      <c r="OV2" t="n">
        <v>70</v>
      </c>
      <c r="OW2" t="n">
        <v>71</v>
      </c>
      <c r="OX2" t="n">
        <v>72</v>
      </c>
      <c r="OY2" t="n">
        <v>73</v>
      </c>
      <c r="OZ2" t="n">
        <v>74</v>
      </c>
      <c r="PA2" t="n">
        <v>75</v>
      </c>
      <c r="PB2" t="n">
        <v>76</v>
      </c>
      <c r="PC2" t="n">
        <v>77</v>
      </c>
      <c r="PD2" t="n">
        <v>78</v>
      </c>
      <c r="PE2" t="n">
        <v>79</v>
      </c>
      <c r="PF2" t="n">
        <v>80</v>
      </c>
      <c r="PG2" t="n">
        <v>81</v>
      </c>
      <c r="PH2" t="n">
        <v>82</v>
      </c>
      <c r="PI2" t="n">
        <v>83</v>
      </c>
      <c r="PJ2" t="n">
        <v>84</v>
      </c>
      <c r="PK2" t="n">
        <v>85</v>
      </c>
      <c r="PL2" t="n">
        <v>86</v>
      </c>
      <c r="PM2" t="n">
        <v>87</v>
      </c>
      <c r="PN2" t="n">
        <v>88</v>
      </c>
      <c r="PO2" t="n">
        <v>89</v>
      </c>
      <c r="PP2" t="n">
        <v>90</v>
      </c>
      <c r="PQ2" t="n">
        <v>91</v>
      </c>
      <c r="PR2" t="n">
        <v>92</v>
      </c>
      <c r="PS2" t="n">
        <v>93</v>
      </c>
      <c r="PT2" t="n">
        <v>94</v>
      </c>
      <c r="PU2" t="n">
        <v>95</v>
      </c>
      <c r="PV2" t="n">
        <v>96</v>
      </c>
      <c r="PW2" t="n">
        <v>97</v>
      </c>
      <c r="PX2" t="n">
        <v>98</v>
      </c>
      <c r="PY2" t="n">
        <v>99</v>
      </c>
      <c r="PZ2" t="n">
        <v>100</v>
      </c>
      <c r="QA2" t="n">
        <v>101</v>
      </c>
      <c r="QB2" t="n">
        <v>102</v>
      </c>
      <c r="QC2" t="n">
        <v>103</v>
      </c>
      <c r="QD2" t="n">
        <v>104</v>
      </c>
      <c r="QE2" t="n">
        <v>105</v>
      </c>
      <c r="QF2" t="n">
        <v>106</v>
      </c>
      <c r="QG2" t="n">
        <v>107</v>
      </c>
      <c r="QH2" t="n">
        <v>108</v>
      </c>
      <c r="QI2" t="n">
        <v>109</v>
      </c>
      <c r="QJ2" t="n">
        <v>110</v>
      </c>
      <c r="QK2" t="n">
        <v>111</v>
      </c>
      <c r="QL2" t="n">
        <v>112</v>
      </c>
      <c r="QM2" t="n">
        <v>113</v>
      </c>
      <c r="QN2" t="n">
        <v>114</v>
      </c>
      <c r="QO2" t="n">
        <v>115</v>
      </c>
      <c r="QP2" t="n">
        <v>116</v>
      </c>
      <c r="QQ2" t="n">
        <v>117</v>
      </c>
      <c r="QR2" t="n">
        <v>118</v>
      </c>
      <c r="QS2" t="n">
        <v>119</v>
      </c>
      <c r="QT2" t="n">
        <v>120</v>
      </c>
    </row>
    <row r="3">
      <c r="A3" t="n">
        <v>1</v>
      </c>
      <c r="B3">
        <f>IF(MIN(BC3:CU3)&gt;=1000000,0,MATCH(MIN(BC3:CU3),BC3:CU3,0))</f>
        <v/>
      </c>
      <c r="C3">
        <f>IF(MIN(ME3:QT3)&gt;=1000000,0,MATCH(MIN(ME3:QT3),ME3:QT3,0))</f>
        <v/>
      </c>
      <c r="D3">
        <f>IF(C3&gt;0,INDEX('計算A'!$D$5:$DS$5,C3),0)</f>
        <v/>
      </c>
      <c r="E3">
        <f>IF(B3=0,0,INDEX('計算A'!$EA$10:$EA$54,B3))</f>
        <v/>
      </c>
      <c r="F3">
        <f>IF(B3=0,0,INDEX('計算A'!$DZ$10:$DZ$54,B3))</f>
        <v/>
      </c>
      <c r="G3">
        <f>IF(AND(C3&gt;0,E3&gt;0),IF(AND(INDEX('計算A'!$D$106:$DS$106,C3)=1,INDEX($HN3:$MC3,C3)=1),C3+1,0),0)</f>
        <v/>
      </c>
      <c r="I3">
        <f>1-'計算A'!C10</f>
        <v/>
      </c>
      <c r="J3">
        <f>1-'計算A'!C11</f>
        <v/>
      </c>
      <c r="K3">
        <f>1-'計算A'!C12</f>
        <v/>
      </c>
      <c r="L3">
        <f>1-'計算A'!C13</f>
        <v/>
      </c>
      <c r="M3">
        <f>1-'計算A'!C14</f>
        <v/>
      </c>
      <c r="N3">
        <f>1-'計算A'!C15</f>
        <v/>
      </c>
      <c r="O3">
        <f>1-'計算A'!C16</f>
        <v/>
      </c>
      <c r="P3">
        <f>1-'計算A'!C17</f>
        <v/>
      </c>
      <c r="Q3">
        <f>1-'計算A'!C18</f>
        <v/>
      </c>
      <c r="R3">
        <f>1-'計算A'!C19</f>
        <v/>
      </c>
      <c r="S3">
        <f>1-'計算A'!C20</f>
        <v/>
      </c>
      <c r="T3">
        <f>1-'計算A'!C21</f>
        <v/>
      </c>
      <c r="U3">
        <f>1-'計算A'!C22</f>
        <v/>
      </c>
      <c r="V3">
        <f>1-'計算A'!C23</f>
        <v/>
      </c>
      <c r="W3">
        <f>1-'計算A'!C24</f>
        <v/>
      </c>
      <c r="X3">
        <f>1-'計算A'!C25</f>
        <v/>
      </c>
      <c r="Y3">
        <f>1-'計算A'!C26</f>
        <v/>
      </c>
      <c r="Z3">
        <f>1-'計算A'!C27</f>
        <v/>
      </c>
      <c r="AA3">
        <f>1-'計算A'!C28</f>
        <v/>
      </c>
      <c r="AB3">
        <f>1-'計算A'!C29</f>
        <v/>
      </c>
      <c r="AC3">
        <f>1-'計算A'!C30</f>
        <v/>
      </c>
      <c r="AD3">
        <f>1-'計算A'!C31</f>
        <v/>
      </c>
      <c r="AE3">
        <f>1-'計算A'!C32</f>
        <v/>
      </c>
      <c r="AF3">
        <f>1-'計算A'!C33</f>
        <v/>
      </c>
      <c r="AG3">
        <f>1-'計算A'!C34</f>
        <v/>
      </c>
      <c r="AH3">
        <f>1-'計算A'!C35</f>
        <v/>
      </c>
      <c r="AI3">
        <f>1-'計算A'!C36</f>
        <v/>
      </c>
      <c r="AJ3">
        <f>1-'計算A'!C37</f>
        <v/>
      </c>
      <c r="AK3">
        <f>1-'計算A'!C38</f>
        <v/>
      </c>
      <c r="AL3">
        <f>1-'計算A'!C39</f>
        <v/>
      </c>
      <c r="AM3">
        <f>1-'計算A'!C40</f>
        <v/>
      </c>
      <c r="AN3">
        <f>1-'計算A'!C41</f>
        <v/>
      </c>
      <c r="AO3">
        <f>1-'計算A'!C42</f>
        <v/>
      </c>
      <c r="AP3">
        <f>1-'計算A'!C43</f>
        <v/>
      </c>
      <c r="AQ3">
        <f>1-'計算A'!C44</f>
        <v/>
      </c>
      <c r="AR3">
        <f>1-'計算A'!C45</f>
        <v/>
      </c>
      <c r="AS3">
        <f>1-'計算A'!C46</f>
        <v/>
      </c>
      <c r="AT3">
        <f>1-'計算A'!C47</f>
        <v/>
      </c>
      <c r="AU3">
        <f>1-'計算A'!C48</f>
        <v/>
      </c>
      <c r="AV3">
        <f>1-'計算A'!C49</f>
        <v/>
      </c>
      <c r="AW3">
        <f>1-'計算A'!C50</f>
        <v/>
      </c>
      <c r="AX3">
        <f>1-'計算A'!C51</f>
        <v/>
      </c>
      <c r="AY3">
        <f>1-'計算A'!C52</f>
        <v/>
      </c>
      <c r="AZ3">
        <f>1-'計算A'!C53</f>
        <v/>
      </c>
      <c r="BA3">
        <f>1-'計算A'!C54</f>
        <v/>
      </c>
      <c r="BC3">
        <f>IF(I3=1,1000000,IF('計算A'!$EA$10=2,SUMPRODUCT('計算A'!$D$60:$DS$60,$CW3:$HL3,$HN3:$MC3),SUMPRODUCT('計算A'!$D$60:$DS$60,$CW3:$HL3))*1000+1)</f>
        <v/>
      </c>
      <c r="BD3">
        <f>IF(J3=1,1000000,IF('計算A'!$EA$11=2,SUMPRODUCT('計算A'!$D$61:$DS$61,$CW3:$HL3,$HN3:$MC3),SUMPRODUCT('計算A'!$D$61:$DS$61,$CW3:$HL3))*1000+2)</f>
        <v/>
      </c>
      <c r="BE3">
        <f>IF(K3=1,1000000,IF('計算A'!$EA$12=2,SUMPRODUCT('計算A'!$D$62:$DS$62,$CW3:$HL3,$HN3:$MC3),SUMPRODUCT('計算A'!$D$62:$DS$62,$CW3:$HL3))*1000+3)</f>
        <v/>
      </c>
      <c r="BF3">
        <f>IF(L3=1,1000000,IF('計算A'!$EA$13=2,SUMPRODUCT('計算A'!$D$63:$DS$63,$CW3:$HL3,$HN3:$MC3),SUMPRODUCT('計算A'!$D$63:$DS$63,$CW3:$HL3))*1000+4)</f>
        <v/>
      </c>
      <c r="BG3">
        <f>IF(M3=1,1000000,IF('計算A'!$EA$14=2,SUMPRODUCT('計算A'!$D$64:$DS$64,$CW3:$HL3,$HN3:$MC3),SUMPRODUCT('計算A'!$D$64:$DS$64,$CW3:$HL3))*1000+5)</f>
        <v/>
      </c>
      <c r="BH3">
        <f>IF(N3=1,1000000,IF('計算A'!$EA$15=2,SUMPRODUCT('計算A'!$D$65:$DS$65,$CW3:$HL3,$HN3:$MC3),SUMPRODUCT('計算A'!$D$65:$DS$65,$CW3:$HL3))*1000+6)</f>
        <v/>
      </c>
      <c r="BI3">
        <f>IF(O3=1,1000000,IF('計算A'!$EA$16=2,SUMPRODUCT('計算A'!$D$66:$DS$66,$CW3:$HL3,$HN3:$MC3),SUMPRODUCT('計算A'!$D$66:$DS$66,$CW3:$HL3))*1000+7)</f>
        <v/>
      </c>
      <c r="BJ3">
        <f>IF(P3=1,1000000,IF('計算A'!$EA$17=2,SUMPRODUCT('計算A'!$D$67:$DS$67,$CW3:$HL3,$HN3:$MC3),SUMPRODUCT('計算A'!$D$67:$DS$67,$CW3:$HL3))*1000+8)</f>
        <v/>
      </c>
      <c r="BK3">
        <f>IF(Q3=1,1000000,IF('計算A'!$EA$18=2,SUMPRODUCT('計算A'!$D$68:$DS$68,$CW3:$HL3,$HN3:$MC3),SUMPRODUCT('計算A'!$D$68:$DS$68,$CW3:$HL3))*1000+9)</f>
        <v/>
      </c>
      <c r="BL3">
        <f>IF(R3=1,1000000,IF('計算A'!$EA$19=2,SUMPRODUCT('計算A'!$D$69:$DS$69,$CW3:$HL3,$HN3:$MC3),SUMPRODUCT('計算A'!$D$69:$DS$69,$CW3:$HL3))*1000+10)</f>
        <v/>
      </c>
      <c r="BM3">
        <f>IF(S3=1,1000000,IF('計算A'!$EA$20=2,SUMPRODUCT('計算A'!$D$70:$DS$70,$CW3:$HL3,$HN3:$MC3),SUMPRODUCT('計算A'!$D$70:$DS$70,$CW3:$HL3))*1000+11)</f>
        <v/>
      </c>
      <c r="BN3">
        <f>IF(T3=1,1000000,IF('計算A'!$EA$21=2,SUMPRODUCT('計算A'!$D$71:$DS$71,$CW3:$HL3,$HN3:$MC3),SUMPRODUCT('計算A'!$D$71:$DS$71,$CW3:$HL3))*1000+12)</f>
        <v/>
      </c>
      <c r="BO3">
        <f>IF(U3=1,1000000,IF('計算A'!$EA$22=2,SUMPRODUCT('計算A'!$D$72:$DS$72,$CW3:$HL3,$HN3:$MC3),SUMPRODUCT('計算A'!$D$72:$DS$72,$CW3:$HL3))*1000+13)</f>
        <v/>
      </c>
      <c r="BP3">
        <f>IF(V3=1,1000000,IF('計算A'!$EA$23=2,SUMPRODUCT('計算A'!$D$73:$DS$73,$CW3:$HL3,$HN3:$MC3),SUMPRODUCT('計算A'!$D$73:$DS$73,$CW3:$HL3))*1000+14)</f>
        <v/>
      </c>
      <c r="BQ3">
        <f>IF(W3=1,1000000,IF('計算A'!$EA$24=2,SUMPRODUCT('計算A'!$D$74:$DS$74,$CW3:$HL3,$HN3:$MC3),SUMPRODUCT('計算A'!$D$74:$DS$74,$CW3:$HL3))*1000+15)</f>
        <v/>
      </c>
      <c r="BR3">
        <f>IF(X3=1,1000000,IF('計算A'!$EA$25=2,SUMPRODUCT('計算A'!$D$75:$DS$75,$CW3:$HL3,$HN3:$MC3),SUMPRODUCT('計算A'!$D$75:$DS$75,$CW3:$HL3))*1000+16)</f>
        <v/>
      </c>
      <c r="BS3">
        <f>IF(Y3=1,1000000,IF('計算A'!$EA$26=2,SUMPRODUCT('計算A'!$D$76:$DS$76,$CW3:$HL3,$HN3:$MC3),SUMPRODUCT('計算A'!$D$76:$DS$76,$CW3:$HL3))*1000+17)</f>
        <v/>
      </c>
      <c r="BT3">
        <f>IF(Z3=1,1000000,IF('計算A'!$EA$27=2,SUMPRODUCT('計算A'!$D$77:$DS$77,$CW3:$HL3,$HN3:$MC3),SUMPRODUCT('計算A'!$D$77:$DS$77,$CW3:$HL3))*1000+18)</f>
        <v/>
      </c>
      <c r="BU3">
        <f>IF(AA3=1,1000000,IF('計算A'!$EA$28=2,SUMPRODUCT('計算A'!$D$78:$DS$78,$CW3:$HL3,$HN3:$MC3),SUMPRODUCT('計算A'!$D$78:$DS$78,$CW3:$HL3))*1000+19)</f>
        <v/>
      </c>
      <c r="BV3">
        <f>IF(AB3=1,1000000,IF('計算A'!$EA$29=2,SUMPRODUCT('計算A'!$D$79:$DS$79,$CW3:$HL3,$HN3:$MC3),SUMPRODUCT('計算A'!$D$79:$DS$79,$CW3:$HL3))*1000+20)</f>
        <v/>
      </c>
      <c r="BW3">
        <f>IF(AC3=1,1000000,IF('計算A'!$EA$30=2,SUMPRODUCT('計算A'!$D$80:$DS$80,$CW3:$HL3,$HN3:$MC3),SUMPRODUCT('計算A'!$D$80:$DS$80,$CW3:$HL3))*1000+21)</f>
        <v/>
      </c>
      <c r="BX3">
        <f>IF(AD3=1,1000000,IF('計算A'!$EA$31=2,SUMPRODUCT('計算A'!$D$81:$DS$81,$CW3:$HL3,$HN3:$MC3),SUMPRODUCT('計算A'!$D$81:$DS$81,$CW3:$HL3))*1000+22)</f>
        <v/>
      </c>
      <c r="BY3">
        <f>IF(AE3=1,1000000,IF('計算A'!$EA$32=2,SUMPRODUCT('計算A'!$D$82:$DS$82,$CW3:$HL3,$HN3:$MC3),SUMPRODUCT('計算A'!$D$82:$DS$82,$CW3:$HL3))*1000+23)</f>
        <v/>
      </c>
      <c r="BZ3">
        <f>IF(AF3=1,1000000,IF('計算A'!$EA$33=2,SUMPRODUCT('計算A'!$D$83:$DS$83,$CW3:$HL3,$HN3:$MC3),SUMPRODUCT('計算A'!$D$83:$DS$83,$CW3:$HL3))*1000+24)</f>
        <v/>
      </c>
      <c r="CA3">
        <f>IF(AG3=1,1000000,IF('計算A'!$EA$34=2,SUMPRODUCT('計算A'!$D$84:$DS$84,$CW3:$HL3,$HN3:$MC3),SUMPRODUCT('計算A'!$D$84:$DS$84,$CW3:$HL3))*1000+25)</f>
        <v/>
      </c>
      <c r="CB3">
        <f>IF(AH3=1,1000000,IF('計算A'!$EA$35=2,SUMPRODUCT('計算A'!$D$85:$DS$85,$CW3:$HL3,$HN3:$MC3),SUMPRODUCT('計算A'!$D$85:$DS$85,$CW3:$HL3))*1000+26)</f>
        <v/>
      </c>
      <c r="CC3">
        <f>IF(AI3=1,1000000,IF('計算A'!$EA$36=2,SUMPRODUCT('計算A'!$D$86:$DS$86,$CW3:$HL3,$HN3:$MC3),SUMPRODUCT('計算A'!$D$86:$DS$86,$CW3:$HL3))*1000+27)</f>
        <v/>
      </c>
      <c r="CD3">
        <f>IF(AJ3=1,1000000,IF('計算A'!$EA$37=2,SUMPRODUCT('計算A'!$D$87:$DS$87,$CW3:$HL3,$HN3:$MC3),SUMPRODUCT('計算A'!$D$87:$DS$87,$CW3:$HL3))*1000+28)</f>
        <v/>
      </c>
      <c r="CE3">
        <f>IF(AK3=1,1000000,IF('計算A'!$EA$38=2,SUMPRODUCT('計算A'!$D$88:$DS$88,$CW3:$HL3,$HN3:$MC3),SUMPRODUCT('計算A'!$D$88:$DS$88,$CW3:$HL3))*1000+29)</f>
        <v/>
      </c>
      <c r="CF3">
        <f>IF(AL3=1,1000000,IF('計算A'!$EA$39=2,SUMPRODUCT('計算A'!$D$89:$DS$89,$CW3:$HL3,$HN3:$MC3),SUMPRODUCT('計算A'!$D$89:$DS$89,$CW3:$HL3))*1000+30)</f>
        <v/>
      </c>
      <c r="CG3">
        <f>IF(AM3=1,1000000,IF('計算A'!$EA$40=2,SUMPRODUCT('計算A'!$D$90:$DS$90,$CW3:$HL3,$HN3:$MC3),SUMPRODUCT('計算A'!$D$90:$DS$90,$CW3:$HL3))*1000+31)</f>
        <v/>
      </c>
      <c r="CH3">
        <f>IF(AN3=1,1000000,IF('計算A'!$EA$41=2,SUMPRODUCT('計算A'!$D$91:$DS$91,$CW3:$HL3,$HN3:$MC3),SUMPRODUCT('計算A'!$D$91:$DS$91,$CW3:$HL3))*1000+32)</f>
        <v/>
      </c>
      <c r="CI3">
        <f>IF(AO3=1,1000000,IF('計算A'!$EA$42=2,SUMPRODUCT('計算A'!$D$92:$DS$92,$CW3:$HL3,$HN3:$MC3),SUMPRODUCT('計算A'!$D$92:$DS$92,$CW3:$HL3))*1000+33)</f>
        <v/>
      </c>
      <c r="CJ3">
        <f>IF(AP3=1,1000000,IF('計算A'!$EA$43=2,SUMPRODUCT('計算A'!$D$93:$DS$93,$CW3:$HL3,$HN3:$MC3),SUMPRODUCT('計算A'!$D$93:$DS$93,$CW3:$HL3))*1000+34)</f>
        <v/>
      </c>
      <c r="CK3">
        <f>IF(AQ3=1,1000000,IF('計算A'!$EA$44=2,SUMPRODUCT('計算A'!$D$94:$DS$94,$CW3:$HL3,$HN3:$MC3),SUMPRODUCT('計算A'!$D$94:$DS$94,$CW3:$HL3))*1000+35)</f>
        <v/>
      </c>
      <c r="CL3">
        <f>IF(AR3=1,1000000,IF('計算A'!$EA$45=2,SUMPRODUCT('計算A'!$D$95:$DS$95,$CW3:$HL3,$HN3:$MC3),SUMPRODUCT('計算A'!$D$95:$DS$95,$CW3:$HL3))*1000+36)</f>
        <v/>
      </c>
      <c r="CM3">
        <f>IF(AS3=1,1000000,IF('計算A'!$EA$46=2,SUMPRODUCT('計算A'!$D$96:$DS$96,$CW3:$HL3,$HN3:$MC3),SUMPRODUCT('計算A'!$D$96:$DS$96,$CW3:$HL3))*1000+37)</f>
        <v/>
      </c>
      <c r="CN3">
        <f>IF(AT3=1,1000000,IF('計算A'!$EA$47=2,SUMPRODUCT('計算A'!$D$97:$DS$97,$CW3:$HL3,$HN3:$MC3),SUMPRODUCT('計算A'!$D$97:$DS$97,$CW3:$HL3))*1000+38)</f>
        <v/>
      </c>
      <c r="CO3">
        <f>IF(AU3=1,1000000,IF('計算A'!$EA$48=2,SUMPRODUCT('計算A'!$D$98:$DS$98,$CW3:$HL3,$HN3:$MC3),SUMPRODUCT('計算A'!$D$98:$DS$98,$CW3:$HL3))*1000+39)</f>
        <v/>
      </c>
      <c r="CP3">
        <f>IF(AV3=1,1000000,IF('計算A'!$EA$49=2,SUMPRODUCT('計算A'!$D$99:$DS$99,$CW3:$HL3,$HN3:$MC3),SUMPRODUCT('計算A'!$D$99:$DS$99,$CW3:$HL3))*1000+40)</f>
        <v/>
      </c>
      <c r="CQ3">
        <f>IF(AW3=1,1000000,IF('計算A'!$EA$50=2,SUMPRODUCT('計算A'!$D$100:$DS$100,$CW3:$HL3,$HN3:$MC3),SUMPRODUCT('計算A'!$D$100:$DS$100,$CW3:$HL3))*1000+41)</f>
        <v/>
      </c>
      <c r="CR3">
        <f>IF(AX3=1,1000000,IF('計算A'!$EA$51=2,SUMPRODUCT('計算A'!$D$101:$DS$101,$CW3:$HL3,$HN3:$MC3),SUMPRODUCT('計算A'!$D$101:$DS$101,$CW3:$HL3))*1000+42)</f>
        <v/>
      </c>
      <c r="CS3">
        <f>IF(AY3=1,1000000,IF('計算A'!$EA$52=2,SUMPRODUCT('計算A'!$D$102:$DS$102,$CW3:$HL3,$HN3:$MC3),SUMPRODUCT('計算A'!$D$102:$DS$102,$CW3:$HL3))*1000+43)</f>
        <v/>
      </c>
      <c r="CT3">
        <f>IF(AZ3=1,1000000,IF('計算A'!$EA$53=2,SUMPRODUCT('計算A'!$D$103:$DS$103,$CW3:$HL3,$HN3:$MC3),SUMPRODUCT('計算A'!$D$103:$DS$103,$CW3:$HL3))*1000+44)</f>
        <v/>
      </c>
      <c r="CU3">
        <f>IF(BA3=1,1000000,IF('計算A'!$EA$54=2,SUMPRODUCT('計算A'!$D$104:$DS$104,$CW3:$HL3,$HN3:$MC3),SUMPRODUCT('計算A'!$D$104:$DS$104,$CW3:$HL3))*1000+45)</f>
        <v/>
      </c>
      <c r="CW3">
        <f>1-'計算A'!D$7</f>
        <v/>
      </c>
      <c r="CX3">
        <f>1-'計算A'!E$7</f>
        <v/>
      </c>
      <c r="CY3">
        <f>1-'計算A'!F$7</f>
        <v/>
      </c>
      <c r="CZ3">
        <f>1-'計算A'!G$7</f>
        <v/>
      </c>
      <c r="DA3">
        <f>1-'計算A'!H$7</f>
        <v/>
      </c>
      <c r="DB3">
        <f>1-'計算A'!I$7</f>
        <v/>
      </c>
      <c r="DC3">
        <f>1-'計算A'!J$7</f>
        <v/>
      </c>
      <c r="DD3">
        <f>1-'計算A'!K$7</f>
        <v/>
      </c>
      <c r="DE3">
        <f>1-'計算A'!L$7</f>
        <v/>
      </c>
      <c r="DF3">
        <f>1-'計算A'!M$7</f>
        <v/>
      </c>
      <c r="DG3">
        <f>1-'計算A'!N$7</f>
        <v/>
      </c>
      <c r="DH3">
        <f>1-'計算A'!O$7</f>
        <v/>
      </c>
      <c r="DI3">
        <f>1-'計算A'!P$7</f>
        <v/>
      </c>
      <c r="DJ3">
        <f>1-'計算A'!Q$7</f>
        <v/>
      </c>
      <c r="DK3">
        <f>1-'計算A'!R$7</f>
        <v/>
      </c>
      <c r="DL3">
        <f>1-'計算A'!S$7</f>
        <v/>
      </c>
      <c r="DM3">
        <f>1-'計算A'!T$7</f>
        <v/>
      </c>
      <c r="DN3">
        <f>1-'計算A'!U$7</f>
        <v/>
      </c>
      <c r="DO3">
        <f>1-'計算A'!V$7</f>
        <v/>
      </c>
      <c r="DP3">
        <f>1-'計算A'!W$7</f>
        <v/>
      </c>
      <c r="DQ3">
        <f>1-'計算A'!X$7</f>
        <v/>
      </c>
      <c r="DR3">
        <f>1-'計算A'!Y$7</f>
        <v/>
      </c>
      <c r="DS3">
        <f>1-'計算A'!Z$7</f>
        <v/>
      </c>
      <c r="DT3">
        <f>1-'計算A'!AA$7</f>
        <v/>
      </c>
      <c r="DU3">
        <f>1-'計算A'!AB$7</f>
        <v/>
      </c>
      <c r="DV3">
        <f>1-'計算A'!AC$7</f>
        <v/>
      </c>
      <c r="DW3">
        <f>1-'計算A'!AD$7</f>
        <v/>
      </c>
      <c r="DX3">
        <f>1-'計算A'!AE$7</f>
        <v/>
      </c>
      <c r="DY3">
        <f>1-'計算A'!AF$7</f>
        <v/>
      </c>
      <c r="DZ3">
        <f>1-'計算A'!AG$7</f>
        <v/>
      </c>
      <c r="EA3">
        <f>1-'計算A'!AH$7</f>
        <v/>
      </c>
      <c r="EB3">
        <f>1-'計算A'!AI$7</f>
        <v/>
      </c>
      <c r="EC3">
        <f>1-'計算A'!AJ$7</f>
        <v/>
      </c>
      <c r="ED3">
        <f>1-'計算A'!AK$7</f>
        <v/>
      </c>
      <c r="EE3">
        <f>1-'計算A'!AL$7</f>
        <v/>
      </c>
      <c r="EF3">
        <f>1-'計算A'!AM$7</f>
        <v/>
      </c>
      <c r="EG3">
        <f>1-'計算A'!AN$7</f>
        <v/>
      </c>
      <c r="EH3">
        <f>1-'計算A'!AO$7</f>
        <v/>
      </c>
      <c r="EI3">
        <f>1-'計算A'!AP$7</f>
        <v/>
      </c>
      <c r="EJ3">
        <f>1-'計算A'!AQ$7</f>
        <v/>
      </c>
      <c r="EK3">
        <f>1-'計算A'!AR$7</f>
        <v/>
      </c>
      <c r="EL3">
        <f>1-'計算A'!AS$7</f>
        <v/>
      </c>
      <c r="EM3">
        <f>1-'計算A'!AT$7</f>
        <v/>
      </c>
      <c r="EN3">
        <f>1-'計算A'!AU$7</f>
        <v/>
      </c>
      <c r="EO3">
        <f>1-'計算A'!AV$7</f>
        <v/>
      </c>
      <c r="EP3">
        <f>1-'計算A'!AW$7</f>
        <v/>
      </c>
      <c r="EQ3">
        <f>1-'計算A'!AX$7</f>
        <v/>
      </c>
      <c r="ER3">
        <f>1-'計算A'!AY$7</f>
        <v/>
      </c>
      <c r="ES3">
        <f>1-'計算A'!AZ$7</f>
        <v/>
      </c>
      <c r="ET3">
        <f>1-'計算A'!BA$7</f>
        <v/>
      </c>
      <c r="EU3">
        <f>1-'計算A'!BB$7</f>
        <v/>
      </c>
      <c r="EV3">
        <f>1-'計算A'!BC$7</f>
        <v/>
      </c>
      <c r="EW3">
        <f>1-'計算A'!BD$7</f>
        <v/>
      </c>
      <c r="EX3">
        <f>1-'計算A'!BE$7</f>
        <v/>
      </c>
      <c r="EY3">
        <f>1-'計算A'!BF$7</f>
        <v/>
      </c>
      <c r="EZ3">
        <f>1-'計算A'!BG$7</f>
        <v/>
      </c>
      <c r="FA3">
        <f>1-'計算A'!BH$7</f>
        <v/>
      </c>
      <c r="FB3">
        <f>1-'計算A'!BI$7</f>
        <v/>
      </c>
      <c r="FC3">
        <f>1-'計算A'!BJ$7</f>
        <v/>
      </c>
      <c r="FD3">
        <f>1-'計算A'!BK$7</f>
        <v/>
      </c>
      <c r="FE3">
        <f>1-'計算A'!BL$7</f>
        <v/>
      </c>
      <c r="FF3">
        <f>1-'計算A'!BM$7</f>
        <v/>
      </c>
      <c r="FG3">
        <f>1-'計算A'!BN$7</f>
        <v/>
      </c>
      <c r="FH3">
        <f>1-'計算A'!BO$7</f>
        <v/>
      </c>
      <c r="FI3">
        <f>1-'計算A'!BP$7</f>
        <v/>
      </c>
      <c r="FJ3">
        <f>1-'計算A'!BQ$7</f>
        <v/>
      </c>
      <c r="FK3">
        <f>1-'計算A'!BR$7</f>
        <v/>
      </c>
      <c r="FL3">
        <f>1-'計算A'!BS$7</f>
        <v/>
      </c>
      <c r="FM3">
        <f>1-'計算A'!BT$7</f>
        <v/>
      </c>
      <c r="FN3">
        <f>1-'計算A'!BU$7</f>
        <v/>
      </c>
      <c r="FO3">
        <f>1-'計算A'!BV$7</f>
        <v/>
      </c>
      <c r="FP3">
        <f>1-'計算A'!BW$7</f>
        <v/>
      </c>
      <c r="FQ3">
        <f>1-'計算A'!BX$7</f>
        <v/>
      </c>
      <c r="FR3">
        <f>1-'計算A'!BY$7</f>
        <v/>
      </c>
      <c r="FS3">
        <f>1-'計算A'!BZ$7</f>
        <v/>
      </c>
      <c r="FT3">
        <f>1-'計算A'!CA$7</f>
        <v/>
      </c>
      <c r="FU3">
        <f>1-'計算A'!CB$7</f>
        <v/>
      </c>
      <c r="FV3">
        <f>1-'計算A'!CC$7</f>
        <v/>
      </c>
      <c r="FW3">
        <f>1-'計算A'!CD$7</f>
        <v/>
      </c>
      <c r="FX3">
        <f>1-'計算A'!CE$7</f>
        <v/>
      </c>
      <c r="FY3">
        <f>1-'計算A'!CF$7</f>
        <v/>
      </c>
      <c r="FZ3">
        <f>1-'計算A'!CG$7</f>
        <v/>
      </c>
      <c r="GA3">
        <f>1-'計算A'!CH$7</f>
        <v/>
      </c>
      <c r="GB3">
        <f>1-'計算A'!CI$7</f>
        <v/>
      </c>
      <c r="GC3">
        <f>1-'計算A'!CJ$7</f>
        <v/>
      </c>
      <c r="GD3">
        <f>1-'計算A'!CK$7</f>
        <v/>
      </c>
      <c r="GE3">
        <f>1-'計算A'!CL$7</f>
        <v/>
      </c>
      <c r="GF3">
        <f>1-'計算A'!CM$7</f>
        <v/>
      </c>
      <c r="GG3">
        <f>1-'計算A'!CN$7</f>
        <v/>
      </c>
      <c r="GH3">
        <f>1-'計算A'!CO$7</f>
        <v/>
      </c>
      <c r="GI3">
        <f>1-'計算A'!CP$7</f>
        <v/>
      </c>
      <c r="GJ3">
        <f>1-'計算A'!CQ$7</f>
        <v/>
      </c>
      <c r="GK3">
        <f>1-'計算A'!CR$7</f>
        <v/>
      </c>
      <c r="GL3">
        <f>1-'計算A'!CS$7</f>
        <v/>
      </c>
      <c r="GM3">
        <f>1-'計算A'!CT$7</f>
        <v/>
      </c>
      <c r="GN3">
        <f>1-'計算A'!CU$7</f>
        <v/>
      </c>
      <c r="GO3">
        <f>1-'計算A'!CV$7</f>
        <v/>
      </c>
      <c r="GP3">
        <f>1-'計算A'!CW$7</f>
        <v/>
      </c>
      <c r="GQ3">
        <f>1-'計算A'!CX$7</f>
        <v/>
      </c>
      <c r="GR3">
        <f>1-'計算A'!CY$7</f>
        <v/>
      </c>
      <c r="GS3">
        <f>1-'計算A'!CZ$7</f>
        <v/>
      </c>
      <c r="GT3">
        <f>1-'計算A'!DA$7</f>
        <v/>
      </c>
      <c r="GU3">
        <f>1-'計算A'!DB$7</f>
        <v/>
      </c>
      <c r="GV3">
        <f>1-'計算A'!DC$7</f>
        <v/>
      </c>
      <c r="GW3">
        <f>1-'計算A'!DD$7</f>
        <v/>
      </c>
      <c r="GX3">
        <f>1-'計算A'!DE$7</f>
        <v/>
      </c>
      <c r="GY3">
        <f>1-'計算A'!DF$7</f>
        <v/>
      </c>
      <c r="GZ3">
        <f>1-'計算A'!DG$7</f>
        <v/>
      </c>
      <c r="HA3">
        <f>1-'計算A'!DH$7</f>
        <v/>
      </c>
      <c r="HB3">
        <f>1-'計算A'!DI$7</f>
        <v/>
      </c>
      <c r="HC3">
        <f>1-'計算A'!DJ$7</f>
        <v/>
      </c>
      <c r="HD3">
        <f>1-'計算A'!DK$7</f>
        <v/>
      </c>
      <c r="HE3">
        <f>1-'計算A'!DL$7</f>
        <v/>
      </c>
      <c r="HF3">
        <f>1-'計算A'!DM$7</f>
        <v/>
      </c>
      <c r="HG3">
        <f>1-'計算A'!DN$7</f>
        <v/>
      </c>
      <c r="HH3">
        <f>1-'計算A'!DO$7</f>
        <v/>
      </c>
      <c r="HI3">
        <f>1-'計算A'!DP$7</f>
        <v/>
      </c>
      <c r="HJ3">
        <f>1-'計算A'!DQ$7</f>
        <v/>
      </c>
      <c r="HK3">
        <f>1-'計算A'!DR$7</f>
        <v/>
      </c>
      <c r="HL3">
        <f>1-'計算A'!DS$7</f>
        <v/>
      </c>
      <c r="HN3">
        <f>IF('計算A'!D$106=1,CX3,1)</f>
        <v/>
      </c>
      <c r="HO3">
        <f>IF('計算A'!E$106=1,CY3,1)</f>
        <v/>
      </c>
      <c r="HP3">
        <f>IF('計算A'!F$106=1,CZ3,1)</f>
        <v/>
      </c>
      <c r="HQ3">
        <f>IF('計算A'!G$106=1,DA3,1)</f>
        <v/>
      </c>
      <c r="HR3">
        <f>IF('計算A'!H$106=1,DB3,1)</f>
        <v/>
      </c>
      <c r="HS3">
        <f>IF('計算A'!I$106=1,DC3,1)</f>
        <v/>
      </c>
      <c r="HT3">
        <f>IF('計算A'!J$106=1,DD3,1)</f>
        <v/>
      </c>
      <c r="HU3">
        <f>IF('計算A'!K$106=1,DE3,1)</f>
        <v/>
      </c>
      <c r="HV3">
        <f>IF('計算A'!L$106=1,DF3,1)</f>
        <v/>
      </c>
      <c r="HW3">
        <f>IF('計算A'!M$106=1,DG3,1)</f>
        <v/>
      </c>
      <c r="HX3">
        <f>IF('計算A'!N$106=1,DH3,1)</f>
        <v/>
      </c>
      <c r="HY3">
        <f>IF('計算A'!O$106=1,DI3,1)</f>
        <v/>
      </c>
      <c r="HZ3">
        <f>IF('計算A'!P$106=1,DJ3,1)</f>
        <v/>
      </c>
      <c r="IA3">
        <f>IF('計算A'!Q$106=1,DK3,1)</f>
        <v/>
      </c>
      <c r="IB3">
        <f>IF('計算A'!R$106=1,DL3,1)</f>
        <v/>
      </c>
      <c r="IC3">
        <f>IF('計算A'!S$106=1,DM3,1)</f>
        <v/>
      </c>
      <c r="ID3">
        <f>IF('計算A'!T$106=1,DN3,1)</f>
        <v/>
      </c>
      <c r="IE3">
        <f>IF('計算A'!U$106=1,DO3,1)</f>
        <v/>
      </c>
      <c r="IF3">
        <f>IF('計算A'!V$106=1,DP3,1)</f>
        <v/>
      </c>
      <c r="IG3">
        <f>IF('計算A'!W$106=1,DQ3,1)</f>
        <v/>
      </c>
      <c r="IH3">
        <f>IF('計算A'!X$106=1,DR3,1)</f>
        <v/>
      </c>
      <c r="II3">
        <f>IF('計算A'!Y$106=1,DS3,1)</f>
        <v/>
      </c>
      <c r="IJ3">
        <f>IF('計算A'!Z$106=1,DT3,1)</f>
        <v/>
      </c>
      <c r="IK3">
        <f>IF('計算A'!AA$106=1,DU3,1)</f>
        <v/>
      </c>
      <c r="IL3">
        <f>IF('計算A'!AB$106=1,DV3,1)</f>
        <v/>
      </c>
      <c r="IM3">
        <f>IF('計算A'!AC$106=1,DW3,1)</f>
        <v/>
      </c>
      <c r="IN3">
        <f>IF('計算A'!AD$106=1,DX3,1)</f>
        <v/>
      </c>
      <c r="IO3">
        <f>IF('計算A'!AE$106=1,DY3,1)</f>
        <v/>
      </c>
      <c r="IP3">
        <f>IF('計算A'!AF$106=1,DZ3,1)</f>
        <v/>
      </c>
      <c r="IQ3">
        <f>IF('計算A'!AG$106=1,EA3,1)</f>
        <v/>
      </c>
      <c r="IR3">
        <f>IF('計算A'!AH$106=1,EB3,1)</f>
        <v/>
      </c>
      <c r="IS3">
        <f>IF('計算A'!AI$106=1,EC3,1)</f>
        <v/>
      </c>
      <c r="IT3">
        <f>IF('計算A'!AJ$106=1,ED3,1)</f>
        <v/>
      </c>
      <c r="IU3">
        <f>IF('計算A'!AK$106=1,EE3,1)</f>
        <v/>
      </c>
      <c r="IV3">
        <f>IF('計算A'!AL$106=1,EF3,1)</f>
        <v/>
      </c>
      <c r="IW3">
        <f>IF('計算A'!AM$106=1,EG3,1)</f>
        <v/>
      </c>
      <c r="IX3">
        <f>IF('計算A'!AN$106=1,EH3,1)</f>
        <v/>
      </c>
      <c r="IY3">
        <f>IF('計算A'!AO$106=1,EI3,1)</f>
        <v/>
      </c>
      <c r="IZ3">
        <f>IF('計算A'!AP$106=1,EJ3,1)</f>
        <v/>
      </c>
      <c r="JA3">
        <f>IF('計算A'!AQ$106=1,EK3,1)</f>
        <v/>
      </c>
      <c r="JB3">
        <f>IF('計算A'!AR$106=1,EL3,1)</f>
        <v/>
      </c>
      <c r="JC3">
        <f>IF('計算A'!AS$106=1,EM3,1)</f>
        <v/>
      </c>
      <c r="JD3">
        <f>IF('計算A'!AT$106=1,EN3,1)</f>
        <v/>
      </c>
      <c r="JE3">
        <f>IF('計算A'!AU$106=1,EO3,1)</f>
        <v/>
      </c>
      <c r="JF3">
        <f>IF('計算A'!AV$106=1,EP3,1)</f>
        <v/>
      </c>
      <c r="JG3">
        <f>IF('計算A'!AW$106=1,EQ3,1)</f>
        <v/>
      </c>
      <c r="JH3">
        <f>IF('計算A'!AX$106=1,ER3,1)</f>
        <v/>
      </c>
      <c r="JI3">
        <f>IF('計算A'!AY$106=1,ES3,1)</f>
        <v/>
      </c>
      <c r="JJ3">
        <f>IF('計算A'!AZ$106=1,ET3,1)</f>
        <v/>
      </c>
      <c r="JK3">
        <f>IF('計算A'!BA$106=1,EU3,1)</f>
        <v/>
      </c>
      <c r="JL3">
        <f>IF('計算A'!BB$106=1,EV3,1)</f>
        <v/>
      </c>
      <c r="JM3">
        <f>IF('計算A'!BC$106=1,EW3,1)</f>
        <v/>
      </c>
      <c r="JN3">
        <f>IF('計算A'!BD$106=1,EX3,1)</f>
        <v/>
      </c>
      <c r="JO3">
        <f>IF('計算A'!BE$106=1,EY3,1)</f>
        <v/>
      </c>
      <c r="JP3">
        <f>IF('計算A'!BF$106=1,EZ3,1)</f>
        <v/>
      </c>
      <c r="JQ3">
        <f>IF('計算A'!BG$106=1,FA3,1)</f>
        <v/>
      </c>
      <c r="JR3">
        <f>IF('計算A'!BH$106=1,FB3,1)</f>
        <v/>
      </c>
      <c r="JS3">
        <f>IF('計算A'!BI$106=1,FC3,1)</f>
        <v/>
      </c>
      <c r="JT3">
        <f>IF('計算A'!BJ$106=1,FD3,1)</f>
        <v/>
      </c>
      <c r="JU3">
        <f>IF('計算A'!BK$106=1,FE3,1)</f>
        <v/>
      </c>
      <c r="JV3">
        <f>IF('計算A'!BL$106=1,FF3,1)</f>
        <v/>
      </c>
      <c r="JW3">
        <f>IF('計算A'!BM$106=1,FG3,1)</f>
        <v/>
      </c>
      <c r="JX3">
        <f>IF('計算A'!BN$106=1,FH3,1)</f>
        <v/>
      </c>
      <c r="JY3">
        <f>IF('計算A'!BO$106=1,FI3,1)</f>
        <v/>
      </c>
      <c r="JZ3">
        <f>IF('計算A'!BP$106=1,FJ3,1)</f>
        <v/>
      </c>
      <c r="KA3">
        <f>IF('計算A'!BQ$106=1,FK3,1)</f>
        <v/>
      </c>
      <c r="KB3">
        <f>IF('計算A'!BR$106=1,FL3,1)</f>
        <v/>
      </c>
      <c r="KC3">
        <f>IF('計算A'!BS$106=1,FM3,1)</f>
        <v/>
      </c>
      <c r="KD3">
        <f>IF('計算A'!BT$106=1,FN3,1)</f>
        <v/>
      </c>
      <c r="KE3">
        <f>IF('計算A'!BU$106=1,FO3,1)</f>
        <v/>
      </c>
      <c r="KF3">
        <f>IF('計算A'!BV$106=1,FP3,1)</f>
        <v/>
      </c>
      <c r="KG3">
        <f>IF('計算A'!BW$106=1,FQ3,1)</f>
        <v/>
      </c>
      <c r="KH3">
        <f>IF('計算A'!BX$106=1,FR3,1)</f>
        <v/>
      </c>
      <c r="KI3">
        <f>IF('計算A'!BY$106=1,FS3,1)</f>
        <v/>
      </c>
      <c r="KJ3">
        <f>IF('計算A'!BZ$106=1,FT3,1)</f>
        <v/>
      </c>
      <c r="KK3">
        <f>IF('計算A'!CA$106=1,FU3,1)</f>
        <v/>
      </c>
      <c r="KL3">
        <f>IF('計算A'!CB$106=1,FV3,1)</f>
        <v/>
      </c>
      <c r="KM3">
        <f>IF('計算A'!CC$106=1,FW3,1)</f>
        <v/>
      </c>
      <c r="KN3">
        <f>IF('計算A'!CD$106=1,FX3,1)</f>
        <v/>
      </c>
      <c r="KO3">
        <f>IF('計算A'!CE$106=1,FY3,1)</f>
        <v/>
      </c>
      <c r="KP3">
        <f>IF('計算A'!CF$106=1,FZ3,1)</f>
        <v/>
      </c>
      <c r="KQ3">
        <f>IF('計算A'!CG$106=1,GA3,1)</f>
        <v/>
      </c>
      <c r="KR3">
        <f>IF('計算A'!CH$106=1,GB3,1)</f>
        <v/>
      </c>
      <c r="KS3">
        <f>IF('計算A'!CI$106=1,GC3,1)</f>
        <v/>
      </c>
      <c r="KT3">
        <f>IF('計算A'!CJ$106=1,GD3,1)</f>
        <v/>
      </c>
      <c r="KU3">
        <f>IF('計算A'!CK$106=1,GE3,1)</f>
        <v/>
      </c>
      <c r="KV3">
        <f>IF('計算A'!CL$106=1,GF3,1)</f>
        <v/>
      </c>
      <c r="KW3">
        <f>IF('計算A'!CM$106=1,GG3,1)</f>
        <v/>
      </c>
      <c r="KX3">
        <f>IF('計算A'!CN$106=1,GH3,1)</f>
        <v/>
      </c>
      <c r="KY3">
        <f>IF('計算A'!CO$106=1,GI3,1)</f>
        <v/>
      </c>
      <c r="KZ3">
        <f>IF('計算A'!CP$106=1,GJ3,1)</f>
        <v/>
      </c>
      <c r="LA3">
        <f>IF('計算A'!CQ$106=1,GK3,1)</f>
        <v/>
      </c>
      <c r="LB3">
        <f>IF('計算A'!CR$106=1,GL3,1)</f>
        <v/>
      </c>
      <c r="LC3">
        <f>IF('計算A'!CS$106=1,GM3,1)</f>
        <v/>
      </c>
      <c r="LD3">
        <f>IF('計算A'!CT$106=1,GN3,1)</f>
        <v/>
      </c>
      <c r="LE3">
        <f>IF('計算A'!CU$106=1,GO3,1)</f>
        <v/>
      </c>
      <c r="LF3">
        <f>IF('計算A'!CV$106=1,GP3,1)</f>
        <v/>
      </c>
      <c r="LG3">
        <f>IF('計算A'!CW$106=1,GQ3,1)</f>
        <v/>
      </c>
      <c r="LH3">
        <f>IF('計算A'!CX$106=1,GR3,1)</f>
        <v/>
      </c>
      <c r="LI3">
        <f>IF('計算A'!CY$106=1,GS3,1)</f>
        <v/>
      </c>
      <c r="LJ3">
        <f>IF('計算A'!CZ$106=1,GT3,1)</f>
        <v/>
      </c>
      <c r="LK3">
        <f>IF('計算A'!DA$106=1,GU3,1)</f>
        <v/>
      </c>
      <c r="LL3">
        <f>IF('計算A'!DB$106=1,GV3,1)</f>
        <v/>
      </c>
      <c r="LM3">
        <f>IF('計算A'!DC$106=1,GW3,1)</f>
        <v/>
      </c>
      <c r="LN3">
        <f>IF('計算A'!DD$106=1,GX3,1)</f>
        <v/>
      </c>
      <c r="LO3">
        <f>IF('計算A'!DE$106=1,GY3,1)</f>
        <v/>
      </c>
      <c r="LP3">
        <f>IF('計算A'!DF$106=1,GZ3,1)</f>
        <v/>
      </c>
      <c r="LQ3">
        <f>IF('計算A'!DG$106=1,HA3,1)</f>
        <v/>
      </c>
      <c r="LR3">
        <f>IF('計算A'!DH$106=1,HB3,1)</f>
        <v/>
      </c>
      <c r="LS3">
        <f>IF('計算A'!DI$106=1,HC3,1)</f>
        <v/>
      </c>
      <c r="LT3">
        <f>IF('計算A'!DJ$106=1,HD3,1)</f>
        <v/>
      </c>
      <c r="LU3">
        <f>IF('計算A'!DK$106=1,HE3,1)</f>
        <v/>
      </c>
      <c r="LV3">
        <f>IF('計算A'!DL$106=1,HF3,1)</f>
        <v/>
      </c>
      <c r="LW3">
        <f>IF('計算A'!DM$106=1,HG3,1)</f>
        <v/>
      </c>
      <c r="LX3">
        <f>IF('計算A'!DN$106=1,HH3,1)</f>
        <v/>
      </c>
      <c r="LY3">
        <f>IF('計算A'!DO$106=1,HI3,1)</f>
        <v/>
      </c>
      <c r="LZ3">
        <f>IF('計算A'!DP$106=1,HJ3,1)</f>
        <v/>
      </c>
      <c r="MA3">
        <f>IF('計算A'!DQ$106=1,HK3,1)</f>
        <v/>
      </c>
      <c r="MB3">
        <f>IF('計算A'!DR$106=1,HL3,1)</f>
        <v/>
      </c>
      <c r="MC3" t="n">
        <v>1</v>
      </c>
      <c r="ME3">
        <f>IF($B3=0,1000000,IF(INDEX('計算A'!$D$60:$DS$104,$B3,1)*CW3=1,IF(AND($E3=2,HN3=0),1000000,INDEX('計算A'!D$110:D$114,$F3+1)+IF(AND($E3=1,HN3=0),1000,0)),1000000))</f>
        <v/>
      </c>
      <c r="MF3">
        <f>IF($B3=0,1000000,IF(INDEX('計算A'!$D$60:$DS$104,$B3,2)*CX3=1,IF(AND($E3=2,HO3=0),1000000,INDEX('計算A'!E$110:E$114,$F3+1)+IF(AND($E3=1,HO3=0),1000,0)),1000000))</f>
        <v/>
      </c>
      <c r="MG3">
        <f>IF($B3=0,1000000,IF(INDEX('計算A'!$D$60:$DS$104,$B3,3)*CY3=1,IF(AND($E3=2,HP3=0),1000000,INDEX('計算A'!F$110:F$114,$F3+1)+IF(AND($E3=1,HP3=0),1000,0)),1000000))</f>
        <v/>
      </c>
      <c r="MH3">
        <f>IF($B3=0,1000000,IF(INDEX('計算A'!$D$60:$DS$104,$B3,4)*CZ3=1,IF(AND($E3=2,HQ3=0),1000000,INDEX('計算A'!G$110:G$114,$F3+1)+IF(AND($E3=1,HQ3=0),1000,0)),1000000))</f>
        <v/>
      </c>
      <c r="MI3">
        <f>IF($B3=0,1000000,IF(INDEX('計算A'!$D$60:$DS$104,$B3,5)*DA3=1,IF(AND($E3=2,HR3=0),1000000,INDEX('計算A'!H$110:H$114,$F3+1)+IF(AND($E3=1,HR3=0),1000,0)),1000000))</f>
        <v/>
      </c>
      <c r="MJ3">
        <f>IF($B3=0,1000000,IF(INDEX('計算A'!$D$60:$DS$104,$B3,6)*DB3=1,IF(AND($E3=2,HS3=0),1000000,INDEX('計算A'!I$110:I$114,$F3+1)+IF(AND($E3=1,HS3=0),1000,0)),1000000))</f>
        <v/>
      </c>
      <c r="MK3">
        <f>IF($B3=0,1000000,IF(INDEX('計算A'!$D$60:$DS$104,$B3,7)*DC3=1,IF(AND($E3=2,HT3=0),1000000,INDEX('計算A'!J$110:J$114,$F3+1)+IF(AND($E3=1,HT3=0),1000,0)),1000000))</f>
        <v/>
      </c>
      <c r="ML3">
        <f>IF($B3=0,1000000,IF(INDEX('計算A'!$D$60:$DS$104,$B3,8)*DD3=1,IF(AND($E3=2,HU3=0),1000000,INDEX('計算A'!K$110:K$114,$F3+1)+IF(AND($E3=1,HU3=0),1000,0)),1000000))</f>
        <v/>
      </c>
      <c r="MM3">
        <f>IF($B3=0,1000000,IF(INDEX('計算A'!$D$60:$DS$104,$B3,9)*DE3=1,IF(AND($E3=2,HV3=0),1000000,INDEX('計算A'!L$110:L$114,$F3+1)+IF(AND($E3=1,HV3=0),1000,0)),1000000))</f>
        <v/>
      </c>
      <c r="MN3">
        <f>IF($B3=0,1000000,IF(INDEX('計算A'!$D$60:$DS$104,$B3,10)*DF3=1,IF(AND($E3=2,HW3=0),1000000,INDEX('計算A'!M$110:M$114,$F3+1)+IF(AND($E3=1,HW3=0),1000,0)),1000000))</f>
        <v/>
      </c>
      <c r="MO3">
        <f>IF($B3=0,1000000,IF(INDEX('計算A'!$D$60:$DS$104,$B3,11)*DG3=1,IF(AND($E3=2,HX3=0),1000000,INDEX('計算A'!N$110:N$114,$F3+1)+IF(AND($E3=1,HX3=0),1000,0)),1000000))</f>
        <v/>
      </c>
      <c r="MP3">
        <f>IF($B3=0,1000000,IF(INDEX('計算A'!$D$60:$DS$104,$B3,12)*DH3=1,IF(AND($E3=2,HY3=0),1000000,INDEX('計算A'!O$110:O$114,$F3+1)+IF(AND($E3=1,HY3=0),1000,0)),1000000))</f>
        <v/>
      </c>
      <c r="MQ3">
        <f>IF($B3=0,1000000,IF(INDEX('計算A'!$D$60:$DS$104,$B3,13)*DI3=1,IF(AND($E3=2,HZ3=0),1000000,INDEX('計算A'!P$110:P$114,$F3+1)+IF(AND($E3=1,HZ3=0),1000,0)),1000000))</f>
        <v/>
      </c>
      <c r="MR3">
        <f>IF($B3=0,1000000,IF(INDEX('計算A'!$D$60:$DS$104,$B3,14)*DJ3=1,IF(AND($E3=2,IA3=0),1000000,INDEX('計算A'!Q$110:Q$114,$F3+1)+IF(AND($E3=1,IA3=0),1000,0)),1000000))</f>
        <v/>
      </c>
      <c r="MS3">
        <f>IF($B3=0,1000000,IF(INDEX('計算A'!$D$60:$DS$104,$B3,15)*DK3=1,IF(AND($E3=2,IB3=0),1000000,INDEX('計算A'!R$110:R$114,$F3+1)+IF(AND($E3=1,IB3=0),1000,0)),1000000))</f>
        <v/>
      </c>
      <c r="MT3">
        <f>IF($B3=0,1000000,IF(INDEX('計算A'!$D$60:$DS$104,$B3,16)*DL3=1,IF(AND($E3=2,IC3=0),1000000,INDEX('計算A'!S$110:S$114,$F3+1)+IF(AND($E3=1,IC3=0),1000,0)),1000000))</f>
        <v/>
      </c>
      <c r="MU3">
        <f>IF($B3=0,1000000,IF(INDEX('計算A'!$D$60:$DS$104,$B3,17)*DM3=1,IF(AND($E3=2,ID3=0),1000000,INDEX('計算A'!T$110:T$114,$F3+1)+IF(AND($E3=1,ID3=0),1000,0)),1000000))</f>
        <v/>
      </c>
      <c r="MV3">
        <f>IF($B3=0,1000000,IF(INDEX('計算A'!$D$60:$DS$104,$B3,18)*DN3=1,IF(AND($E3=2,IE3=0),1000000,INDEX('計算A'!U$110:U$114,$F3+1)+IF(AND($E3=1,IE3=0),1000,0)),1000000))</f>
        <v/>
      </c>
      <c r="MW3">
        <f>IF($B3=0,1000000,IF(INDEX('計算A'!$D$60:$DS$104,$B3,19)*DO3=1,IF(AND($E3=2,IF3=0),1000000,INDEX('計算A'!V$110:V$114,$F3+1)+IF(AND($E3=1,IF3=0),1000,0)),1000000))</f>
        <v/>
      </c>
      <c r="MX3">
        <f>IF($B3=0,1000000,IF(INDEX('計算A'!$D$60:$DS$104,$B3,20)*DP3=1,IF(AND($E3=2,IG3=0),1000000,INDEX('計算A'!W$110:W$114,$F3+1)+IF(AND($E3=1,IG3=0),1000,0)),1000000))</f>
        <v/>
      </c>
      <c r="MY3">
        <f>IF($B3=0,1000000,IF(INDEX('計算A'!$D$60:$DS$104,$B3,21)*DQ3=1,IF(AND($E3=2,IH3=0),1000000,INDEX('計算A'!X$110:X$114,$F3+1)+IF(AND($E3=1,IH3=0),1000,0)),1000000))</f>
        <v/>
      </c>
      <c r="MZ3">
        <f>IF($B3=0,1000000,IF(INDEX('計算A'!$D$60:$DS$104,$B3,22)*DR3=1,IF(AND($E3=2,II3=0),1000000,INDEX('計算A'!Y$110:Y$114,$F3+1)+IF(AND($E3=1,II3=0),1000,0)),1000000))</f>
        <v/>
      </c>
      <c r="NA3">
        <f>IF($B3=0,1000000,IF(INDEX('計算A'!$D$60:$DS$104,$B3,23)*DS3=1,IF(AND($E3=2,IJ3=0),1000000,INDEX('計算A'!Z$110:Z$114,$F3+1)+IF(AND($E3=1,IJ3=0),1000,0)),1000000))</f>
        <v/>
      </c>
      <c r="NB3">
        <f>IF($B3=0,1000000,IF(INDEX('計算A'!$D$60:$DS$104,$B3,24)*DT3=1,IF(AND($E3=2,IK3=0),1000000,INDEX('計算A'!AA$110:AA$114,$F3+1)+IF(AND($E3=1,IK3=0),1000,0)),1000000))</f>
        <v/>
      </c>
      <c r="NC3">
        <f>IF($B3=0,1000000,IF(INDEX('計算A'!$D$60:$DS$104,$B3,25)*DU3=1,IF(AND($E3=2,IL3=0),1000000,INDEX('計算A'!AB$110:AB$114,$F3+1)+IF(AND($E3=1,IL3=0),1000,0)),1000000))</f>
        <v/>
      </c>
      <c r="ND3">
        <f>IF($B3=0,1000000,IF(INDEX('計算A'!$D$60:$DS$104,$B3,26)*DV3=1,IF(AND($E3=2,IM3=0),1000000,INDEX('計算A'!AC$110:AC$114,$F3+1)+IF(AND($E3=1,IM3=0),1000,0)),1000000))</f>
        <v/>
      </c>
      <c r="NE3">
        <f>IF($B3=0,1000000,IF(INDEX('計算A'!$D$60:$DS$104,$B3,27)*DW3=1,IF(AND($E3=2,IN3=0),1000000,INDEX('計算A'!AD$110:AD$114,$F3+1)+IF(AND($E3=1,IN3=0),1000,0)),1000000))</f>
        <v/>
      </c>
      <c r="NF3">
        <f>IF($B3=0,1000000,IF(INDEX('計算A'!$D$60:$DS$104,$B3,28)*DX3=1,IF(AND($E3=2,IO3=0),1000000,INDEX('計算A'!AE$110:AE$114,$F3+1)+IF(AND($E3=1,IO3=0),1000,0)),1000000))</f>
        <v/>
      </c>
      <c r="NG3">
        <f>IF($B3=0,1000000,IF(INDEX('計算A'!$D$60:$DS$104,$B3,29)*DY3=1,IF(AND($E3=2,IP3=0),1000000,INDEX('計算A'!AF$110:AF$114,$F3+1)+IF(AND($E3=1,IP3=0),1000,0)),1000000))</f>
        <v/>
      </c>
      <c r="NH3">
        <f>IF($B3=0,1000000,IF(INDEX('計算A'!$D$60:$DS$104,$B3,30)*DZ3=1,IF(AND($E3=2,IQ3=0),1000000,INDEX('計算A'!AG$110:AG$114,$F3+1)+IF(AND($E3=1,IQ3=0),1000,0)),1000000))</f>
        <v/>
      </c>
      <c r="NI3">
        <f>IF($B3=0,1000000,IF(INDEX('計算A'!$D$60:$DS$104,$B3,31)*EA3=1,IF(AND($E3=2,IR3=0),1000000,INDEX('計算A'!AH$110:AH$114,$F3+1)+IF(AND($E3=1,IR3=0),1000,0)),1000000))</f>
        <v/>
      </c>
      <c r="NJ3">
        <f>IF($B3=0,1000000,IF(INDEX('計算A'!$D$60:$DS$104,$B3,32)*EB3=1,IF(AND($E3=2,IS3=0),1000000,INDEX('計算A'!AI$110:AI$114,$F3+1)+IF(AND($E3=1,IS3=0),1000,0)),1000000))</f>
        <v/>
      </c>
      <c r="NK3">
        <f>IF($B3=0,1000000,IF(INDEX('計算A'!$D$60:$DS$104,$B3,33)*EC3=1,IF(AND($E3=2,IT3=0),1000000,INDEX('計算A'!AJ$110:AJ$114,$F3+1)+IF(AND($E3=1,IT3=0),1000,0)),1000000))</f>
        <v/>
      </c>
      <c r="NL3">
        <f>IF($B3=0,1000000,IF(INDEX('計算A'!$D$60:$DS$104,$B3,34)*ED3=1,IF(AND($E3=2,IU3=0),1000000,INDEX('計算A'!AK$110:AK$114,$F3+1)+IF(AND($E3=1,IU3=0),1000,0)),1000000))</f>
        <v/>
      </c>
      <c r="NM3">
        <f>IF($B3=0,1000000,IF(INDEX('計算A'!$D$60:$DS$104,$B3,35)*EE3=1,IF(AND($E3=2,IV3=0),1000000,INDEX('計算A'!AL$110:AL$114,$F3+1)+IF(AND($E3=1,IV3=0),1000,0)),1000000))</f>
        <v/>
      </c>
      <c r="NN3">
        <f>IF($B3=0,1000000,IF(INDEX('計算A'!$D$60:$DS$104,$B3,36)*EF3=1,IF(AND($E3=2,IW3=0),1000000,INDEX('計算A'!AM$110:AM$114,$F3+1)+IF(AND($E3=1,IW3=0),1000,0)),1000000))</f>
        <v/>
      </c>
      <c r="NO3">
        <f>IF($B3=0,1000000,IF(INDEX('計算A'!$D$60:$DS$104,$B3,37)*EG3=1,IF(AND($E3=2,IX3=0),1000000,INDEX('計算A'!AN$110:AN$114,$F3+1)+IF(AND($E3=1,IX3=0),1000,0)),1000000))</f>
        <v/>
      </c>
      <c r="NP3">
        <f>IF($B3=0,1000000,IF(INDEX('計算A'!$D$60:$DS$104,$B3,38)*EH3=1,IF(AND($E3=2,IY3=0),1000000,INDEX('計算A'!AO$110:AO$114,$F3+1)+IF(AND($E3=1,IY3=0),1000,0)),1000000))</f>
        <v/>
      </c>
      <c r="NQ3">
        <f>IF($B3=0,1000000,IF(INDEX('計算A'!$D$60:$DS$104,$B3,39)*EI3=1,IF(AND($E3=2,IZ3=0),1000000,INDEX('計算A'!AP$110:AP$114,$F3+1)+IF(AND($E3=1,IZ3=0),1000,0)),1000000))</f>
        <v/>
      </c>
      <c r="NR3">
        <f>IF($B3=0,1000000,IF(INDEX('計算A'!$D$60:$DS$104,$B3,40)*EJ3=1,IF(AND($E3=2,JA3=0),1000000,INDEX('計算A'!AQ$110:AQ$114,$F3+1)+IF(AND($E3=1,JA3=0),1000,0)),1000000))</f>
        <v/>
      </c>
      <c r="NS3">
        <f>IF($B3=0,1000000,IF(INDEX('計算A'!$D$60:$DS$104,$B3,41)*EK3=1,IF(AND($E3=2,JB3=0),1000000,INDEX('計算A'!AR$110:AR$114,$F3+1)+IF(AND($E3=1,JB3=0),1000,0)),1000000))</f>
        <v/>
      </c>
      <c r="NT3">
        <f>IF($B3=0,1000000,IF(INDEX('計算A'!$D$60:$DS$104,$B3,42)*EL3=1,IF(AND($E3=2,JC3=0),1000000,INDEX('計算A'!AS$110:AS$114,$F3+1)+IF(AND($E3=1,JC3=0),1000,0)),1000000))</f>
        <v/>
      </c>
      <c r="NU3">
        <f>IF($B3=0,1000000,IF(INDEX('計算A'!$D$60:$DS$104,$B3,43)*EM3=1,IF(AND($E3=2,JD3=0),1000000,INDEX('計算A'!AT$110:AT$114,$F3+1)+IF(AND($E3=1,JD3=0),1000,0)),1000000))</f>
        <v/>
      </c>
      <c r="NV3">
        <f>IF($B3=0,1000000,IF(INDEX('計算A'!$D$60:$DS$104,$B3,44)*EN3=1,IF(AND($E3=2,JE3=0),1000000,INDEX('計算A'!AU$110:AU$114,$F3+1)+IF(AND($E3=1,JE3=0),1000,0)),1000000))</f>
        <v/>
      </c>
      <c r="NW3">
        <f>IF($B3=0,1000000,IF(INDEX('計算A'!$D$60:$DS$104,$B3,45)*EO3=1,IF(AND($E3=2,JF3=0),1000000,INDEX('計算A'!AV$110:AV$114,$F3+1)+IF(AND($E3=1,JF3=0),1000,0)),1000000))</f>
        <v/>
      </c>
      <c r="NX3">
        <f>IF($B3=0,1000000,IF(INDEX('計算A'!$D$60:$DS$104,$B3,46)*EP3=1,IF(AND($E3=2,JG3=0),1000000,INDEX('計算A'!AW$110:AW$114,$F3+1)+IF(AND($E3=1,JG3=0),1000,0)),1000000))</f>
        <v/>
      </c>
      <c r="NY3">
        <f>IF($B3=0,1000000,IF(INDEX('計算A'!$D$60:$DS$104,$B3,47)*EQ3=1,IF(AND($E3=2,JH3=0),1000000,INDEX('計算A'!AX$110:AX$114,$F3+1)+IF(AND($E3=1,JH3=0),1000,0)),1000000))</f>
        <v/>
      </c>
      <c r="NZ3">
        <f>IF($B3=0,1000000,IF(INDEX('計算A'!$D$60:$DS$104,$B3,48)*ER3=1,IF(AND($E3=2,JI3=0),1000000,INDEX('計算A'!AY$110:AY$114,$F3+1)+IF(AND($E3=1,JI3=0),1000,0)),1000000))</f>
        <v/>
      </c>
      <c r="OA3">
        <f>IF($B3=0,1000000,IF(INDEX('計算A'!$D$60:$DS$104,$B3,49)*ES3=1,IF(AND($E3=2,JJ3=0),1000000,INDEX('計算A'!AZ$110:AZ$114,$F3+1)+IF(AND($E3=1,JJ3=0),1000,0)),1000000))</f>
        <v/>
      </c>
      <c r="OB3">
        <f>IF($B3=0,1000000,IF(INDEX('計算A'!$D$60:$DS$104,$B3,50)*ET3=1,IF(AND($E3=2,JK3=0),1000000,INDEX('計算A'!BA$110:BA$114,$F3+1)+IF(AND($E3=1,JK3=0),1000,0)),1000000))</f>
        <v/>
      </c>
      <c r="OC3">
        <f>IF($B3=0,1000000,IF(INDEX('計算A'!$D$60:$DS$104,$B3,51)*EU3=1,IF(AND($E3=2,JL3=0),1000000,INDEX('計算A'!BB$110:BB$114,$F3+1)+IF(AND($E3=1,JL3=0),1000,0)),1000000))</f>
        <v/>
      </c>
      <c r="OD3">
        <f>IF($B3=0,1000000,IF(INDEX('計算A'!$D$60:$DS$104,$B3,52)*EV3=1,IF(AND($E3=2,JM3=0),1000000,INDEX('計算A'!BC$110:BC$114,$F3+1)+IF(AND($E3=1,JM3=0),1000,0)),1000000))</f>
        <v/>
      </c>
      <c r="OE3">
        <f>IF($B3=0,1000000,IF(INDEX('計算A'!$D$60:$DS$104,$B3,53)*EW3=1,IF(AND($E3=2,JN3=0),1000000,INDEX('計算A'!BD$110:BD$114,$F3+1)+IF(AND($E3=1,JN3=0),1000,0)),1000000))</f>
        <v/>
      </c>
      <c r="OF3">
        <f>IF($B3=0,1000000,IF(INDEX('計算A'!$D$60:$DS$104,$B3,54)*EX3=1,IF(AND($E3=2,JO3=0),1000000,INDEX('計算A'!BE$110:BE$114,$F3+1)+IF(AND($E3=1,JO3=0),1000,0)),1000000))</f>
        <v/>
      </c>
      <c r="OG3">
        <f>IF($B3=0,1000000,IF(INDEX('計算A'!$D$60:$DS$104,$B3,55)*EY3=1,IF(AND($E3=2,JP3=0),1000000,INDEX('計算A'!BF$110:BF$114,$F3+1)+IF(AND($E3=1,JP3=0),1000,0)),1000000))</f>
        <v/>
      </c>
      <c r="OH3">
        <f>IF($B3=0,1000000,IF(INDEX('計算A'!$D$60:$DS$104,$B3,56)*EZ3=1,IF(AND($E3=2,JQ3=0),1000000,INDEX('計算A'!BG$110:BG$114,$F3+1)+IF(AND($E3=1,JQ3=0),1000,0)),1000000))</f>
        <v/>
      </c>
      <c r="OI3">
        <f>IF($B3=0,1000000,IF(INDEX('計算A'!$D$60:$DS$104,$B3,57)*FA3=1,IF(AND($E3=2,JR3=0),1000000,INDEX('計算A'!BH$110:BH$114,$F3+1)+IF(AND($E3=1,JR3=0),1000,0)),1000000))</f>
        <v/>
      </c>
      <c r="OJ3">
        <f>IF($B3=0,1000000,IF(INDEX('計算A'!$D$60:$DS$104,$B3,58)*FB3=1,IF(AND($E3=2,JS3=0),1000000,INDEX('計算A'!BI$110:BI$114,$F3+1)+IF(AND($E3=1,JS3=0),1000,0)),1000000))</f>
        <v/>
      </c>
      <c r="OK3">
        <f>IF($B3=0,1000000,IF(INDEX('計算A'!$D$60:$DS$104,$B3,59)*FC3=1,IF(AND($E3=2,JT3=0),1000000,INDEX('計算A'!BJ$110:BJ$114,$F3+1)+IF(AND($E3=1,JT3=0),1000,0)),1000000))</f>
        <v/>
      </c>
      <c r="OL3">
        <f>IF($B3=0,1000000,IF(INDEX('計算A'!$D$60:$DS$104,$B3,60)*FD3=1,IF(AND($E3=2,JU3=0),1000000,INDEX('計算A'!BK$110:BK$114,$F3+1)+IF(AND($E3=1,JU3=0),1000,0)),1000000))</f>
        <v/>
      </c>
      <c r="OM3">
        <f>IF($B3=0,1000000,IF(INDEX('計算A'!$D$60:$DS$104,$B3,61)*FE3=1,IF(AND($E3=2,JV3=0),1000000,INDEX('計算A'!BL$110:BL$114,$F3+1)+IF(AND($E3=1,JV3=0),1000,0)),1000000))</f>
        <v/>
      </c>
      <c r="ON3">
        <f>IF($B3=0,1000000,IF(INDEX('計算A'!$D$60:$DS$104,$B3,62)*FF3=1,IF(AND($E3=2,JW3=0),1000000,INDEX('計算A'!BM$110:BM$114,$F3+1)+IF(AND($E3=1,JW3=0),1000,0)),1000000))</f>
        <v/>
      </c>
      <c r="OO3">
        <f>IF($B3=0,1000000,IF(INDEX('計算A'!$D$60:$DS$104,$B3,63)*FG3=1,IF(AND($E3=2,JX3=0),1000000,INDEX('計算A'!BN$110:BN$114,$F3+1)+IF(AND($E3=1,JX3=0),1000,0)),1000000))</f>
        <v/>
      </c>
      <c r="OP3">
        <f>IF($B3=0,1000000,IF(INDEX('計算A'!$D$60:$DS$104,$B3,64)*FH3=1,IF(AND($E3=2,JY3=0),1000000,INDEX('計算A'!BO$110:BO$114,$F3+1)+IF(AND($E3=1,JY3=0),1000,0)),1000000))</f>
        <v/>
      </c>
      <c r="OQ3">
        <f>IF($B3=0,1000000,IF(INDEX('計算A'!$D$60:$DS$104,$B3,65)*FI3=1,IF(AND($E3=2,JZ3=0),1000000,INDEX('計算A'!BP$110:BP$114,$F3+1)+IF(AND($E3=1,JZ3=0),1000,0)),1000000))</f>
        <v/>
      </c>
      <c r="OR3">
        <f>IF($B3=0,1000000,IF(INDEX('計算A'!$D$60:$DS$104,$B3,66)*FJ3=1,IF(AND($E3=2,KA3=0),1000000,INDEX('計算A'!BQ$110:BQ$114,$F3+1)+IF(AND($E3=1,KA3=0),1000,0)),1000000))</f>
        <v/>
      </c>
      <c r="OS3">
        <f>IF($B3=0,1000000,IF(INDEX('計算A'!$D$60:$DS$104,$B3,67)*FK3=1,IF(AND($E3=2,KB3=0),1000000,INDEX('計算A'!BR$110:BR$114,$F3+1)+IF(AND($E3=1,KB3=0),1000,0)),1000000))</f>
        <v/>
      </c>
      <c r="OT3">
        <f>IF($B3=0,1000000,IF(INDEX('計算A'!$D$60:$DS$104,$B3,68)*FL3=1,IF(AND($E3=2,KC3=0),1000000,INDEX('計算A'!BS$110:BS$114,$F3+1)+IF(AND($E3=1,KC3=0),1000,0)),1000000))</f>
        <v/>
      </c>
      <c r="OU3">
        <f>IF($B3=0,1000000,IF(INDEX('計算A'!$D$60:$DS$104,$B3,69)*FM3=1,IF(AND($E3=2,KD3=0),1000000,INDEX('計算A'!BT$110:BT$114,$F3+1)+IF(AND($E3=1,KD3=0),1000,0)),1000000))</f>
        <v/>
      </c>
      <c r="OV3">
        <f>IF($B3=0,1000000,IF(INDEX('計算A'!$D$60:$DS$104,$B3,70)*FN3=1,IF(AND($E3=2,KE3=0),1000000,INDEX('計算A'!BU$110:BU$114,$F3+1)+IF(AND($E3=1,KE3=0),1000,0)),1000000))</f>
        <v/>
      </c>
      <c r="OW3">
        <f>IF($B3=0,1000000,IF(INDEX('計算A'!$D$60:$DS$104,$B3,71)*FO3=1,IF(AND($E3=2,KF3=0),1000000,INDEX('計算A'!BV$110:BV$114,$F3+1)+IF(AND($E3=1,KF3=0),1000,0)),1000000))</f>
        <v/>
      </c>
      <c r="OX3">
        <f>IF($B3=0,1000000,IF(INDEX('計算A'!$D$60:$DS$104,$B3,72)*FP3=1,IF(AND($E3=2,KG3=0),1000000,INDEX('計算A'!BW$110:BW$114,$F3+1)+IF(AND($E3=1,KG3=0),1000,0)),1000000))</f>
        <v/>
      </c>
      <c r="OY3">
        <f>IF($B3=0,1000000,IF(INDEX('計算A'!$D$60:$DS$104,$B3,73)*FQ3=1,IF(AND($E3=2,KH3=0),1000000,INDEX('計算A'!BX$110:BX$114,$F3+1)+IF(AND($E3=1,KH3=0),1000,0)),1000000))</f>
        <v/>
      </c>
      <c r="OZ3">
        <f>IF($B3=0,1000000,IF(INDEX('計算A'!$D$60:$DS$104,$B3,74)*FR3=1,IF(AND($E3=2,KI3=0),1000000,INDEX('計算A'!BY$110:BY$114,$F3+1)+IF(AND($E3=1,KI3=0),1000,0)),1000000))</f>
        <v/>
      </c>
      <c r="PA3">
        <f>IF($B3=0,1000000,IF(INDEX('計算A'!$D$60:$DS$104,$B3,75)*FS3=1,IF(AND($E3=2,KJ3=0),1000000,INDEX('計算A'!BZ$110:BZ$114,$F3+1)+IF(AND($E3=1,KJ3=0),1000,0)),1000000))</f>
        <v/>
      </c>
      <c r="PB3">
        <f>IF($B3=0,1000000,IF(INDEX('計算A'!$D$60:$DS$104,$B3,76)*FT3=1,IF(AND($E3=2,KK3=0),1000000,INDEX('計算A'!CA$110:CA$114,$F3+1)+IF(AND($E3=1,KK3=0),1000,0)),1000000))</f>
        <v/>
      </c>
      <c r="PC3">
        <f>IF($B3=0,1000000,IF(INDEX('計算A'!$D$60:$DS$104,$B3,77)*FU3=1,IF(AND($E3=2,KL3=0),1000000,INDEX('計算A'!CB$110:CB$114,$F3+1)+IF(AND($E3=1,KL3=0),1000,0)),1000000))</f>
        <v/>
      </c>
      <c r="PD3">
        <f>IF($B3=0,1000000,IF(INDEX('計算A'!$D$60:$DS$104,$B3,78)*FV3=1,IF(AND($E3=2,KM3=0),1000000,INDEX('計算A'!CC$110:CC$114,$F3+1)+IF(AND($E3=1,KM3=0),1000,0)),1000000))</f>
        <v/>
      </c>
      <c r="PE3">
        <f>IF($B3=0,1000000,IF(INDEX('計算A'!$D$60:$DS$104,$B3,79)*FW3=1,IF(AND($E3=2,KN3=0),1000000,INDEX('計算A'!CD$110:CD$114,$F3+1)+IF(AND($E3=1,KN3=0),1000,0)),1000000))</f>
        <v/>
      </c>
      <c r="PF3">
        <f>IF($B3=0,1000000,IF(INDEX('計算A'!$D$60:$DS$104,$B3,80)*FX3=1,IF(AND($E3=2,KO3=0),1000000,INDEX('計算A'!CE$110:CE$114,$F3+1)+IF(AND($E3=1,KO3=0),1000,0)),1000000))</f>
        <v/>
      </c>
      <c r="PG3">
        <f>IF($B3=0,1000000,IF(INDEX('計算A'!$D$60:$DS$104,$B3,81)*FY3=1,IF(AND($E3=2,KP3=0),1000000,INDEX('計算A'!CF$110:CF$114,$F3+1)+IF(AND($E3=1,KP3=0),1000,0)),1000000))</f>
        <v/>
      </c>
      <c r="PH3">
        <f>IF($B3=0,1000000,IF(INDEX('計算A'!$D$60:$DS$104,$B3,82)*FZ3=1,IF(AND($E3=2,KQ3=0),1000000,INDEX('計算A'!CG$110:CG$114,$F3+1)+IF(AND($E3=1,KQ3=0),1000,0)),1000000))</f>
        <v/>
      </c>
      <c r="PI3">
        <f>IF($B3=0,1000000,IF(INDEX('計算A'!$D$60:$DS$104,$B3,83)*GA3=1,IF(AND($E3=2,KR3=0),1000000,INDEX('計算A'!CH$110:CH$114,$F3+1)+IF(AND($E3=1,KR3=0),1000,0)),1000000))</f>
        <v/>
      </c>
      <c r="PJ3">
        <f>IF($B3=0,1000000,IF(INDEX('計算A'!$D$60:$DS$104,$B3,84)*GB3=1,IF(AND($E3=2,KS3=0),1000000,INDEX('計算A'!CI$110:CI$114,$F3+1)+IF(AND($E3=1,KS3=0),1000,0)),1000000))</f>
        <v/>
      </c>
      <c r="PK3">
        <f>IF($B3=0,1000000,IF(INDEX('計算A'!$D$60:$DS$104,$B3,85)*GC3=1,IF(AND($E3=2,KT3=0),1000000,INDEX('計算A'!CJ$110:CJ$114,$F3+1)+IF(AND($E3=1,KT3=0),1000,0)),1000000))</f>
        <v/>
      </c>
      <c r="PL3">
        <f>IF($B3=0,1000000,IF(INDEX('計算A'!$D$60:$DS$104,$B3,86)*GD3=1,IF(AND($E3=2,KU3=0),1000000,INDEX('計算A'!CK$110:CK$114,$F3+1)+IF(AND($E3=1,KU3=0),1000,0)),1000000))</f>
        <v/>
      </c>
      <c r="PM3">
        <f>IF($B3=0,1000000,IF(INDEX('計算A'!$D$60:$DS$104,$B3,87)*GE3=1,IF(AND($E3=2,KV3=0),1000000,INDEX('計算A'!CL$110:CL$114,$F3+1)+IF(AND($E3=1,KV3=0),1000,0)),1000000))</f>
        <v/>
      </c>
      <c r="PN3">
        <f>IF($B3=0,1000000,IF(INDEX('計算A'!$D$60:$DS$104,$B3,88)*GF3=1,IF(AND($E3=2,KW3=0),1000000,INDEX('計算A'!CM$110:CM$114,$F3+1)+IF(AND($E3=1,KW3=0),1000,0)),1000000))</f>
        <v/>
      </c>
      <c r="PO3">
        <f>IF($B3=0,1000000,IF(INDEX('計算A'!$D$60:$DS$104,$B3,89)*GG3=1,IF(AND($E3=2,KX3=0),1000000,INDEX('計算A'!CN$110:CN$114,$F3+1)+IF(AND($E3=1,KX3=0),1000,0)),1000000))</f>
        <v/>
      </c>
      <c r="PP3">
        <f>IF($B3=0,1000000,IF(INDEX('計算A'!$D$60:$DS$104,$B3,90)*GH3=1,IF(AND($E3=2,KY3=0),1000000,INDEX('計算A'!CO$110:CO$114,$F3+1)+IF(AND($E3=1,KY3=0),1000,0)),1000000))</f>
        <v/>
      </c>
      <c r="PQ3">
        <f>IF($B3=0,1000000,IF(INDEX('計算A'!$D$60:$DS$104,$B3,91)*GI3=1,IF(AND($E3=2,KZ3=0),1000000,INDEX('計算A'!CP$110:CP$114,$F3+1)+IF(AND($E3=1,KZ3=0),1000,0)),1000000))</f>
        <v/>
      </c>
      <c r="PR3">
        <f>IF($B3=0,1000000,IF(INDEX('計算A'!$D$60:$DS$104,$B3,92)*GJ3=1,IF(AND($E3=2,LA3=0),1000000,INDEX('計算A'!CQ$110:CQ$114,$F3+1)+IF(AND($E3=1,LA3=0),1000,0)),1000000))</f>
        <v/>
      </c>
      <c r="PS3">
        <f>IF($B3=0,1000000,IF(INDEX('計算A'!$D$60:$DS$104,$B3,93)*GK3=1,IF(AND($E3=2,LB3=0),1000000,INDEX('計算A'!CR$110:CR$114,$F3+1)+IF(AND($E3=1,LB3=0),1000,0)),1000000))</f>
        <v/>
      </c>
      <c r="PT3">
        <f>IF($B3=0,1000000,IF(INDEX('計算A'!$D$60:$DS$104,$B3,94)*GL3=1,IF(AND($E3=2,LC3=0),1000000,INDEX('計算A'!CS$110:CS$114,$F3+1)+IF(AND($E3=1,LC3=0),1000,0)),1000000))</f>
        <v/>
      </c>
      <c r="PU3">
        <f>IF($B3=0,1000000,IF(INDEX('計算A'!$D$60:$DS$104,$B3,95)*GM3=1,IF(AND($E3=2,LD3=0),1000000,INDEX('計算A'!CT$110:CT$114,$F3+1)+IF(AND($E3=1,LD3=0),1000,0)),1000000))</f>
        <v/>
      </c>
      <c r="PV3">
        <f>IF($B3=0,1000000,IF(INDEX('計算A'!$D$60:$DS$104,$B3,96)*GN3=1,IF(AND($E3=2,LE3=0),1000000,INDEX('計算A'!CU$110:CU$114,$F3+1)+IF(AND($E3=1,LE3=0),1000,0)),1000000))</f>
        <v/>
      </c>
      <c r="PW3">
        <f>IF($B3=0,1000000,IF(INDEX('計算A'!$D$60:$DS$104,$B3,97)*GO3=1,IF(AND($E3=2,LF3=0),1000000,INDEX('計算A'!CV$110:CV$114,$F3+1)+IF(AND($E3=1,LF3=0),1000,0)),1000000))</f>
        <v/>
      </c>
      <c r="PX3">
        <f>IF($B3=0,1000000,IF(INDEX('計算A'!$D$60:$DS$104,$B3,98)*GP3=1,IF(AND($E3=2,LG3=0),1000000,INDEX('計算A'!CW$110:CW$114,$F3+1)+IF(AND($E3=1,LG3=0),1000,0)),1000000))</f>
        <v/>
      </c>
      <c r="PY3">
        <f>IF($B3=0,1000000,IF(INDEX('計算A'!$D$60:$DS$104,$B3,99)*GQ3=1,IF(AND($E3=2,LH3=0),1000000,INDEX('計算A'!CX$110:CX$114,$F3+1)+IF(AND($E3=1,LH3=0),1000,0)),1000000))</f>
        <v/>
      </c>
      <c r="PZ3">
        <f>IF($B3=0,1000000,IF(INDEX('計算A'!$D$60:$DS$104,$B3,100)*GR3=1,IF(AND($E3=2,LI3=0),1000000,INDEX('計算A'!CY$110:CY$114,$F3+1)+IF(AND($E3=1,LI3=0),1000,0)),1000000))</f>
        <v/>
      </c>
      <c r="QA3">
        <f>IF($B3=0,1000000,IF(INDEX('計算A'!$D$60:$DS$104,$B3,101)*GS3=1,IF(AND($E3=2,LJ3=0),1000000,INDEX('計算A'!CZ$110:CZ$114,$F3+1)+IF(AND($E3=1,LJ3=0),1000,0)),1000000))</f>
        <v/>
      </c>
      <c r="QB3">
        <f>IF($B3=0,1000000,IF(INDEX('計算A'!$D$60:$DS$104,$B3,102)*GT3=1,IF(AND($E3=2,LK3=0),1000000,INDEX('計算A'!DA$110:DA$114,$F3+1)+IF(AND($E3=1,LK3=0),1000,0)),1000000))</f>
        <v/>
      </c>
      <c r="QC3">
        <f>IF($B3=0,1000000,IF(INDEX('計算A'!$D$60:$DS$104,$B3,103)*GU3=1,IF(AND($E3=2,LL3=0),1000000,INDEX('計算A'!DB$110:DB$114,$F3+1)+IF(AND($E3=1,LL3=0),1000,0)),1000000))</f>
        <v/>
      </c>
      <c r="QD3">
        <f>IF($B3=0,1000000,IF(INDEX('計算A'!$D$60:$DS$104,$B3,104)*GV3=1,IF(AND($E3=2,LM3=0),1000000,INDEX('計算A'!DC$110:DC$114,$F3+1)+IF(AND($E3=1,LM3=0),1000,0)),1000000))</f>
        <v/>
      </c>
      <c r="QE3">
        <f>IF($B3=0,1000000,IF(INDEX('計算A'!$D$60:$DS$104,$B3,105)*GW3=1,IF(AND($E3=2,LN3=0),1000000,INDEX('計算A'!DD$110:DD$114,$F3+1)+IF(AND($E3=1,LN3=0),1000,0)),1000000))</f>
        <v/>
      </c>
      <c r="QF3">
        <f>IF($B3=0,1000000,IF(INDEX('計算A'!$D$60:$DS$104,$B3,106)*GX3=1,IF(AND($E3=2,LO3=0),1000000,INDEX('計算A'!DE$110:DE$114,$F3+1)+IF(AND($E3=1,LO3=0),1000,0)),1000000))</f>
        <v/>
      </c>
      <c r="QG3">
        <f>IF($B3=0,1000000,IF(INDEX('計算A'!$D$60:$DS$104,$B3,107)*GY3=1,IF(AND($E3=2,LP3=0),1000000,INDEX('計算A'!DF$110:DF$114,$F3+1)+IF(AND($E3=1,LP3=0),1000,0)),1000000))</f>
        <v/>
      </c>
      <c r="QH3">
        <f>IF($B3=0,1000000,IF(INDEX('計算A'!$D$60:$DS$104,$B3,108)*GZ3=1,IF(AND($E3=2,LQ3=0),1000000,INDEX('計算A'!DG$110:DG$114,$F3+1)+IF(AND($E3=1,LQ3=0),1000,0)),1000000))</f>
        <v/>
      </c>
      <c r="QI3">
        <f>IF($B3=0,1000000,IF(INDEX('計算A'!$D$60:$DS$104,$B3,109)*HA3=1,IF(AND($E3=2,LR3=0),1000000,INDEX('計算A'!DH$110:DH$114,$F3+1)+IF(AND($E3=1,LR3=0),1000,0)),1000000))</f>
        <v/>
      </c>
      <c r="QJ3">
        <f>IF($B3=0,1000000,IF(INDEX('計算A'!$D$60:$DS$104,$B3,110)*HB3=1,IF(AND($E3=2,LS3=0),1000000,INDEX('計算A'!DI$110:DI$114,$F3+1)+IF(AND($E3=1,LS3=0),1000,0)),1000000))</f>
        <v/>
      </c>
      <c r="QK3">
        <f>IF($B3=0,1000000,IF(INDEX('計算A'!$D$60:$DS$104,$B3,111)*HC3=1,IF(AND($E3=2,LT3=0),1000000,INDEX('計算A'!DJ$110:DJ$114,$F3+1)+IF(AND($E3=1,LT3=0),1000,0)),1000000))</f>
        <v/>
      </c>
      <c r="QL3">
        <f>IF($B3=0,1000000,IF(INDEX('計算A'!$D$60:$DS$104,$B3,112)*HD3=1,IF(AND($E3=2,LU3=0),1000000,INDEX('計算A'!DK$110:DK$114,$F3+1)+IF(AND($E3=1,LU3=0),1000,0)),1000000))</f>
        <v/>
      </c>
      <c r="QM3">
        <f>IF($B3=0,1000000,IF(INDEX('計算A'!$D$60:$DS$104,$B3,113)*HE3=1,IF(AND($E3=2,LV3=0),1000000,INDEX('計算A'!DL$110:DL$114,$F3+1)+IF(AND($E3=1,LV3=0),1000,0)),1000000))</f>
        <v/>
      </c>
      <c r="QN3">
        <f>IF($B3=0,1000000,IF(INDEX('計算A'!$D$60:$DS$104,$B3,114)*HF3=1,IF(AND($E3=2,LW3=0),1000000,INDEX('計算A'!DM$110:DM$114,$F3+1)+IF(AND($E3=1,LW3=0),1000,0)),1000000))</f>
        <v/>
      </c>
      <c r="QO3">
        <f>IF($B3=0,1000000,IF(INDEX('計算A'!$D$60:$DS$104,$B3,115)*HG3=1,IF(AND($E3=2,LX3=0),1000000,INDEX('計算A'!DN$110:DN$114,$F3+1)+IF(AND($E3=1,LX3=0),1000,0)),1000000))</f>
        <v/>
      </c>
      <c r="QP3">
        <f>IF($B3=0,1000000,IF(INDEX('計算A'!$D$60:$DS$104,$B3,116)*HH3=1,IF(AND($E3=2,LY3=0),1000000,INDEX('計算A'!DO$110:DO$114,$F3+1)+IF(AND($E3=1,LY3=0),1000,0)),1000000))</f>
        <v/>
      </c>
      <c r="QQ3">
        <f>IF($B3=0,1000000,IF(INDEX('計算A'!$D$60:$DS$104,$B3,117)*HI3=1,IF(AND($E3=2,LZ3=0),1000000,INDEX('計算A'!DP$110:DP$114,$F3+1)+IF(AND($E3=1,LZ3=0),1000,0)),1000000))</f>
        <v/>
      </c>
      <c r="QR3">
        <f>IF($B3=0,1000000,IF(INDEX('計算A'!$D$60:$DS$104,$B3,118)*HJ3=1,IF(AND($E3=2,MA3=0),1000000,INDEX('計算A'!DQ$110:DQ$114,$F3+1)+IF(AND($E3=1,MA3=0),1000,0)),1000000))</f>
        <v/>
      </c>
      <c r="QS3">
        <f>IF($B3=0,1000000,IF(INDEX('計算A'!$D$60:$DS$104,$B3,119)*HK3=1,IF(AND($E3=2,MB3=0),1000000,INDEX('計算A'!DR$110:DR$114,$F3+1)+IF(AND($E3=1,MB3=0),1000,0)),1000000))</f>
        <v/>
      </c>
      <c r="QT3">
        <f>IF($B3=0,1000000,IF(INDEX('計算A'!$D$60:$DS$104,$B3,120)*HL3=1,IF(AND($E3=2,MC3=0),1000000,INDEX('計算A'!DS$110:DS$114,$F3+1)+IF(AND($E3=1,MC3=0),1000,0)),1000000))</f>
        <v/>
      </c>
    </row>
    <row r="4">
      <c r="A4" t="n">
        <v>2</v>
      </c>
      <c r="B4">
        <f>IF(MIN(BC4:CU4)&gt;=1000000,0,MATCH(MIN(BC4:CU4),BC4:CU4,0))</f>
        <v/>
      </c>
      <c r="C4">
        <f>IF(MIN(ME4:QT4)&gt;=1000000,0,MATCH(MIN(ME4:QT4),ME4:QT4,0))</f>
        <v/>
      </c>
      <c r="D4">
        <f>IF(C4&gt;0,INDEX('計算A'!$D$5:$DS$5,C4),0)</f>
        <v/>
      </c>
      <c r="E4">
        <f>IF(B4=0,0,INDEX('計算A'!$EA$10:$EA$54,B4))</f>
        <v/>
      </c>
      <c r="F4">
        <f>IF(B4=0,0,INDEX('計算A'!$DZ$10:$DZ$54,B4))</f>
        <v/>
      </c>
      <c r="G4">
        <f>IF(AND(C4&gt;0,E4&gt;0),IF(AND(INDEX('計算A'!$D$106:$DS$106,C4)=1,INDEX($HN4:$MC4,C4)=1),C4+1,0),0)</f>
        <v/>
      </c>
      <c r="I4">
        <f>MAX(I3,IF($B3=1,1,0))</f>
        <v/>
      </c>
      <c r="J4">
        <f>MAX(J3,IF($B3=2,1,0))</f>
        <v/>
      </c>
      <c r="K4">
        <f>MAX(K3,IF($B3=3,1,0))</f>
        <v/>
      </c>
      <c r="L4">
        <f>MAX(L3,IF($B3=4,1,0))</f>
        <v/>
      </c>
      <c r="M4">
        <f>MAX(M3,IF($B3=5,1,0))</f>
        <v/>
      </c>
      <c r="N4">
        <f>MAX(N3,IF($B3=6,1,0))</f>
        <v/>
      </c>
      <c r="O4">
        <f>MAX(O3,IF($B3=7,1,0))</f>
        <v/>
      </c>
      <c r="P4">
        <f>MAX(P3,IF($B3=8,1,0))</f>
        <v/>
      </c>
      <c r="Q4">
        <f>MAX(Q3,IF($B3=9,1,0))</f>
        <v/>
      </c>
      <c r="R4">
        <f>MAX(R3,IF($B3=10,1,0))</f>
        <v/>
      </c>
      <c r="S4">
        <f>MAX(S3,IF($B3=11,1,0))</f>
        <v/>
      </c>
      <c r="T4">
        <f>MAX(T3,IF($B3=12,1,0))</f>
        <v/>
      </c>
      <c r="U4">
        <f>MAX(U3,IF($B3=13,1,0))</f>
        <v/>
      </c>
      <c r="V4">
        <f>MAX(V3,IF($B3=14,1,0))</f>
        <v/>
      </c>
      <c r="W4">
        <f>MAX(W3,IF($B3=15,1,0))</f>
        <v/>
      </c>
      <c r="X4">
        <f>MAX(X3,IF($B3=16,1,0))</f>
        <v/>
      </c>
      <c r="Y4">
        <f>MAX(Y3,IF($B3=17,1,0))</f>
        <v/>
      </c>
      <c r="Z4">
        <f>MAX(Z3,IF($B3=18,1,0))</f>
        <v/>
      </c>
      <c r="AA4">
        <f>MAX(AA3,IF($B3=19,1,0))</f>
        <v/>
      </c>
      <c r="AB4">
        <f>MAX(AB3,IF($B3=20,1,0))</f>
        <v/>
      </c>
      <c r="AC4">
        <f>MAX(AC3,IF($B3=21,1,0))</f>
        <v/>
      </c>
      <c r="AD4">
        <f>MAX(AD3,IF($B3=22,1,0))</f>
        <v/>
      </c>
      <c r="AE4">
        <f>MAX(AE3,IF($B3=23,1,0))</f>
        <v/>
      </c>
      <c r="AF4">
        <f>MAX(AF3,IF($B3=24,1,0))</f>
        <v/>
      </c>
      <c r="AG4">
        <f>MAX(AG3,IF($B3=25,1,0))</f>
        <v/>
      </c>
      <c r="AH4">
        <f>MAX(AH3,IF($B3=26,1,0))</f>
        <v/>
      </c>
      <c r="AI4">
        <f>MAX(AI3,IF($B3=27,1,0))</f>
        <v/>
      </c>
      <c r="AJ4">
        <f>MAX(AJ3,IF($B3=28,1,0))</f>
        <v/>
      </c>
      <c r="AK4">
        <f>MAX(AK3,IF($B3=29,1,0))</f>
        <v/>
      </c>
      <c r="AL4">
        <f>MAX(AL3,IF($B3=30,1,0))</f>
        <v/>
      </c>
      <c r="AM4">
        <f>MAX(AM3,IF($B3=31,1,0))</f>
        <v/>
      </c>
      <c r="AN4">
        <f>MAX(AN3,IF($B3=32,1,0))</f>
        <v/>
      </c>
      <c r="AO4">
        <f>MAX(AO3,IF($B3=33,1,0))</f>
        <v/>
      </c>
      <c r="AP4">
        <f>MAX(AP3,IF($B3=34,1,0))</f>
        <v/>
      </c>
      <c r="AQ4">
        <f>MAX(AQ3,IF($B3=35,1,0))</f>
        <v/>
      </c>
      <c r="AR4">
        <f>MAX(AR3,IF($B3=36,1,0))</f>
        <v/>
      </c>
      <c r="AS4">
        <f>MAX(AS3,IF($B3=37,1,0))</f>
        <v/>
      </c>
      <c r="AT4">
        <f>MAX(AT3,IF($B3=38,1,0))</f>
        <v/>
      </c>
      <c r="AU4">
        <f>MAX(AU3,IF($B3=39,1,0))</f>
        <v/>
      </c>
      <c r="AV4">
        <f>MAX(AV3,IF($B3=40,1,0))</f>
        <v/>
      </c>
      <c r="AW4">
        <f>MAX(AW3,IF($B3=41,1,0))</f>
        <v/>
      </c>
      <c r="AX4">
        <f>MAX(AX3,IF($B3=42,1,0))</f>
        <v/>
      </c>
      <c r="AY4">
        <f>MAX(AY3,IF($B3=43,1,0))</f>
        <v/>
      </c>
      <c r="AZ4">
        <f>MAX(AZ3,IF($B3=44,1,0))</f>
        <v/>
      </c>
      <c r="BA4">
        <f>MAX(BA3,IF($B3=45,1,0))</f>
        <v/>
      </c>
      <c r="BC4">
        <f>IF(I4=1,1000000,IF('計算A'!$EA$10=2,SUMPRODUCT('計算A'!$D$60:$DS$60,$CW4:$HL4,$HN4:$MC4),SUMPRODUCT('計算A'!$D$60:$DS$60,$CW4:$HL4))*1000+1)</f>
        <v/>
      </c>
      <c r="BD4">
        <f>IF(J4=1,1000000,IF('計算A'!$EA$11=2,SUMPRODUCT('計算A'!$D$61:$DS$61,$CW4:$HL4,$HN4:$MC4),SUMPRODUCT('計算A'!$D$61:$DS$61,$CW4:$HL4))*1000+2)</f>
        <v/>
      </c>
      <c r="BE4">
        <f>IF(K4=1,1000000,IF('計算A'!$EA$12=2,SUMPRODUCT('計算A'!$D$62:$DS$62,$CW4:$HL4,$HN4:$MC4),SUMPRODUCT('計算A'!$D$62:$DS$62,$CW4:$HL4))*1000+3)</f>
        <v/>
      </c>
      <c r="BF4">
        <f>IF(L4=1,1000000,IF('計算A'!$EA$13=2,SUMPRODUCT('計算A'!$D$63:$DS$63,$CW4:$HL4,$HN4:$MC4),SUMPRODUCT('計算A'!$D$63:$DS$63,$CW4:$HL4))*1000+4)</f>
        <v/>
      </c>
      <c r="BG4">
        <f>IF(M4=1,1000000,IF('計算A'!$EA$14=2,SUMPRODUCT('計算A'!$D$64:$DS$64,$CW4:$HL4,$HN4:$MC4),SUMPRODUCT('計算A'!$D$64:$DS$64,$CW4:$HL4))*1000+5)</f>
        <v/>
      </c>
      <c r="BH4">
        <f>IF(N4=1,1000000,IF('計算A'!$EA$15=2,SUMPRODUCT('計算A'!$D$65:$DS$65,$CW4:$HL4,$HN4:$MC4),SUMPRODUCT('計算A'!$D$65:$DS$65,$CW4:$HL4))*1000+6)</f>
        <v/>
      </c>
      <c r="BI4">
        <f>IF(O4=1,1000000,IF('計算A'!$EA$16=2,SUMPRODUCT('計算A'!$D$66:$DS$66,$CW4:$HL4,$HN4:$MC4),SUMPRODUCT('計算A'!$D$66:$DS$66,$CW4:$HL4))*1000+7)</f>
        <v/>
      </c>
      <c r="BJ4">
        <f>IF(P4=1,1000000,IF('計算A'!$EA$17=2,SUMPRODUCT('計算A'!$D$67:$DS$67,$CW4:$HL4,$HN4:$MC4),SUMPRODUCT('計算A'!$D$67:$DS$67,$CW4:$HL4))*1000+8)</f>
        <v/>
      </c>
      <c r="BK4">
        <f>IF(Q4=1,1000000,IF('計算A'!$EA$18=2,SUMPRODUCT('計算A'!$D$68:$DS$68,$CW4:$HL4,$HN4:$MC4),SUMPRODUCT('計算A'!$D$68:$DS$68,$CW4:$HL4))*1000+9)</f>
        <v/>
      </c>
      <c r="BL4">
        <f>IF(R4=1,1000000,IF('計算A'!$EA$19=2,SUMPRODUCT('計算A'!$D$69:$DS$69,$CW4:$HL4,$HN4:$MC4),SUMPRODUCT('計算A'!$D$69:$DS$69,$CW4:$HL4))*1000+10)</f>
        <v/>
      </c>
      <c r="BM4">
        <f>IF(S4=1,1000000,IF('計算A'!$EA$20=2,SUMPRODUCT('計算A'!$D$70:$DS$70,$CW4:$HL4,$HN4:$MC4),SUMPRODUCT('計算A'!$D$70:$DS$70,$CW4:$HL4))*1000+11)</f>
        <v/>
      </c>
      <c r="BN4">
        <f>IF(T4=1,1000000,IF('計算A'!$EA$21=2,SUMPRODUCT('計算A'!$D$71:$DS$71,$CW4:$HL4,$HN4:$MC4),SUMPRODUCT('計算A'!$D$71:$DS$71,$CW4:$HL4))*1000+12)</f>
        <v/>
      </c>
      <c r="BO4">
        <f>IF(U4=1,1000000,IF('計算A'!$EA$22=2,SUMPRODUCT('計算A'!$D$72:$DS$72,$CW4:$HL4,$HN4:$MC4),SUMPRODUCT('計算A'!$D$72:$DS$72,$CW4:$HL4))*1000+13)</f>
        <v/>
      </c>
      <c r="BP4">
        <f>IF(V4=1,1000000,IF('計算A'!$EA$23=2,SUMPRODUCT('計算A'!$D$73:$DS$73,$CW4:$HL4,$HN4:$MC4),SUMPRODUCT('計算A'!$D$73:$DS$73,$CW4:$HL4))*1000+14)</f>
        <v/>
      </c>
      <c r="BQ4">
        <f>IF(W4=1,1000000,IF('計算A'!$EA$24=2,SUMPRODUCT('計算A'!$D$74:$DS$74,$CW4:$HL4,$HN4:$MC4),SUMPRODUCT('計算A'!$D$74:$DS$74,$CW4:$HL4))*1000+15)</f>
        <v/>
      </c>
      <c r="BR4">
        <f>IF(X4=1,1000000,IF('計算A'!$EA$25=2,SUMPRODUCT('計算A'!$D$75:$DS$75,$CW4:$HL4,$HN4:$MC4),SUMPRODUCT('計算A'!$D$75:$DS$75,$CW4:$HL4))*1000+16)</f>
        <v/>
      </c>
      <c r="BS4">
        <f>IF(Y4=1,1000000,IF('計算A'!$EA$26=2,SUMPRODUCT('計算A'!$D$76:$DS$76,$CW4:$HL4,$HN4:$MC4),SUMPRODUCT('計算A'!$D$76:$DS$76,$CW4:$HL4))*1000+17)</f>
        <v/>
      </c>
      <c r="BT4">
        <f>IF(Z4=1,1000000,IF('計算A'!$EA$27=2,SUMPRODUCT('計算A'!$D$77:$DS$77,$CW4:$HL4,$HN4:$MC4),SUMPRODUCT('計算A'!$D$77:$DS$77,$CW4:$HL4))*1000+18)</f>
        <v/>
      </c>
      <c r="BU4">
        <f>IF(AA4=1,1000000,IF('計算A'!$EA$28=2,SUMPRODUCT('計算A'!$D$78:$DS$78,$CW4:$HL4,$HN4:$MC4),SUMPRODUCT('計算A'!$D$78:$DS$78,$CW4:$HL4))*1000+19)</f>
        <v/>
      </c>
      <c r="BV4">
        <f>IF(AB4=1,1000000,IF('計算A'!$EA$29=2,SUMPRODUCT('計算A'!$D$79:$DS$79,$CW4:$HL4,$HN4:$MC4),SUMPRODUCT('計算A'!$D$79:$DS$79,$CW4:$HL4))*1000+20)</f>
        <v/>
      </c>
      <c r="BW4">
        <f>IF(AC4=1,1000000,IF('計算A'!$EA$30=2,SUMPRODUCT('計算A'!$D$80:$DS$80,$CW4:$HL4,$HN4:$MC4),SUMPRODUCT('計算A'!$D$80:$DS$80,$CW4:$HL4))*1000+21)</f>
        <v/>
      </c>
      <c r="BX4">
        <f>IF(AD4=1,1000000,IF('計算A'!$EA$31=2,SUMPRODUCT('計算A'!$D$81:$DS$81,$CW4:$HL4,$HN4:$MC4),SUMPRODUCT('計算A'!$D$81:$DS$81,$CW4:$HL4))*1000+22)</f>
        <v/>
      </c>
      <c r="BY4">
        <f>IF(AE4=1,1000000,IF('計算A'!$EA$32=2,SUMPRODUCT('計算A'!$D$82:$DS$82,$CW4:$HL4,$HN4:$MC4),SUMPRODUCT('計算A'!$D$82:$DS$82,$CW4:$HL4))*1000+23)</f>
        <v/>
      </c>
      <c r="BZ4">
        <f>IF(AF4=1,1000000,IF('計算A'!$EA$33=2,SUMPRODUCT('計算A'!$D$83:$DS$83,$CW4:$HL4,$HN4:$MC4),SUMPRODUCT('計算A'!$D$83:$DS$83,$CW4:$HL4))*1000+24)</f>
        <v/>
      </c>
      <c r="CA4">
        <f>IF(AG4=1,1000000,IF('計算A'!$EA$34=2,SUMPRODUCT('計算A'!$D$84:$DS$84,$CW4:$HL4,$HN4:$MC4),SUMPRODUCT('計算A'!$D$84:$DS$84,$CW4:$HL4))*1000+25)</f>
        <v/>
      </c>
      <c r="CB4">
        <f>IF(AH4=1,1000000,IF('計算A'!$EA$35=2,SUMPRODUCT('計算A'!$D$85:$DS$85,$CW4:$HL4,$HN4:$MC4),SUMPRODUCT('計算A'!$D$85:$DS$85,$CW4:$HL4))*1000+26)</f>
        <v/>
      </c>
      <c r="CC4">
        <f>IF(AI4=1,1000000,IF('計算A'!$EA$36=2,SUMPRODUCT('計算A'!$D$86:$DS$86,$CW4:$HL4,$HN4:$MC4),SUMPRODUCT('計算A'!$D$86:$DS$86,$CW4:$HL4))*1000+27)</f>
        <v/>
      </c>
      <c r="CD4">
        <f>IF(AJ4=1,1000000,IF('計算A'!$EA$37=2,SUMPRODUCT('計算A'!$D$87:$DS$87,$CW4:$HL4,$HN4:$MC4),SUMPRODUCT('計算A'!$D$87:$DS$87,$CW4:$HL4))*1000+28)</f>
        <v/>
      </c>
      <c r="CE4">
        <f>IF(AK4=1,1000000,IF('計算A'!$EA$38=2,SUMPRODUCT('計算A'!$D$88:$DS$88,$CW4:$HL4,$HN4:$MC4),SUMPRODUCT('計算A'!$D$88:$DS$88,$CW4:$HL4))*1000+29)</f>
        <v/>
      </c>
      <c r="CF4">
        <f>IF(AL4=1,1000000,IF('計算A'!$EA$39=2,SUMPRODUCT('計算A'!$D$89:$DS$89,$CW4:$HL4,$HN4:$MC4),SUMPRODUCT('計算A'!$D$89:$DS$89,$CW4:$HL4))*1000+30)</f>
        <v/>
      </c>
      <c r="CG4">
        <f>IF(AM4=1,1000000,IF('計算A'!$EA$40=2,SUMPRODUCT('計算A'!$D$90:$DS$90,$CW4:$HL4,$HN4:$MC4),SUMPRODUCT('計算A'!$D$90:$DS$90,$CW4:$HL4))*1000+31)</f>
        <v/>
      </c>
      <c r="CH4">
        <f>IF(AN4=1,1000000,IF('計算A'!$EA$41=2,SUMPRODUCT('計算A'!$D$91:$DS$91,$CW4:$HL4,$HN4:$MC4),SUMPRODUCT('計算A'!$D$91:$DS$91,$CW4:$HL4))*1000+32)</f>
        <v/>
      </c>
      <c r="CI4">
        <f>IF(AO4=1,1000000,IF('計算A'!$EA$42=2,SUMPRODUCT('計算A'!$D$92:$DS$92,$CW4:$HL4,$HN4:$MC4),SUMPRODUCT('計算A'!$D$92:$DS$92,$CW4:$HL4))*1000+33)</f>
        <v/>
      </c>
      <c r="CJ4">
        <f>IF(AP4=1,1000000,IF('計算A'!$EA$43=2,SUMPRODUCT('計算A'!$D$93:$DS$93,$CW4:$HL4,$HN4:$MC4),SUMPRODUCT('計算A'!$D$93:$DS$93,$CW4:$HL4))*1000+34)</f>
        <v/>
      </c>
      <c r="CK4">
        <f>IF(AQ4=1,1000000,IF('計算A'!$EA$44=2,SUMPRODUCT('計算A'!$D$94:$DS$94,$CW4:$HL4,$HN4:$MC4),SUMPRODUCT('計算A'!$D$94:$DS$94,$CW4:$HL4))*1000+35)</f>
        <v/>
      </c>
      <c r="CL4">
        <f>IF(AR4=1,1000000,IF('計算A'!$EA$45=2,SUMPRODUCT('計算A'!$D$95:$DS$95,$CW4:$HL4,$HN4:$MC4),SUMPRODUCT('計算A'!$D$95:$DS$95,$CW4:$HL4))*1000+36)</f>
        <v/>
      </c>
      <c r="CM4">
        <f>IF(AS4=1,1000000,IF('計算A'!$EA$46=2,SUMPRODUCT('計算A'!$D$96:$DS$96,$CW4:$HL4,$HN4:$MC4),SUMPRODUCT('計算A'!$D$96:$DS$96,$CW4:$HL4))*1000+37)</f>
        <v/>
      </c>
      <c r="CN4">
        <f>IF(AT4=1,1000000,IF('計算A'!$EA$47=2,SUMPRODUCT('計算A'!$D$97:$DS$97,$CW4:$HL4,$HN4:$MC4),SUMPRODUCT('計算A'!$D$97:$DS$97,$CW4:$HL4))*1000+38)</f>
        <v/>
      </c>
      <c r="CO4">
        <f>IF(AU4=1,1000000,IF('計算A'!$EA$48=2,SUMPRODUCT('計算A'!$D$98:$DS$98,$CW4:$HL4,$HN4:$MC4),SUMPRODUCT('計算A'!$D$98:$DS$98,$CW4:$HL4))*1000+39)</f>
        <v/>
      </c>
      <c r="CP4">
        <f>IF(AV4=1,1000000,IF('計算A'!$EA$49=2,SUMPRODUCT('計算A'!$D$99:$DS$99,$CW4:$HL4,$HN4:$MC4),SUMPRODUCT('計算A'!$D$99:$DS$99,$CW4:$HL4))*1000+40)</f>
        <v/>
      </c>
      <c r="CQ4">
        <f>IF(AW4=1,1000000,IF('計算A'!$EA$50=2,SUMPRODUCT('計算A'!$D$100:$DS$100,$CW4:$HL4,$HN4:$MC4),SUMPRODUCT('計算A'!$D$100:$DS$100,$CW4:$HL4))*1000+41)</f>
        <v/>
      </c>
      <c r="CR4">
        <f>IF(AX4=1,1000000,IF('計算A'!$EA$51=2,SUMPRODUCT('計算A'!$D$101:$DS$101,$CW4:$HL4,$HN4:$MC4),SUMPRODUCT('計算A'!$D$101:$DS$101,$CW4:$HL4))*1000+42)</f>
        <v/>
      </c>
      <c r="CS4">
        <f>IF(AY4=1,1000000,IF('計算A'!$EA$52=2,SUMPRODUCT('計算A'!$D$102:$DS$102,$CW4:$HL4,$HN4:$MC4),SUMPRODUCT('計算A'!$D$102:$DS$102,$CW4:$HL4))*1000+43)</f>
        <v/>
      </c>
      <c r="CT4">
        <f>IF(AZ4=1,1000000,IF('計算A'!$EA$53=2,SUMPRODUCT('計算A'!$D$103:$DS$103,$CW4:$HL4,$HN4:$MC4),SUMPRODUCT('計算A'!$D$103:$DS$103,$CW4:$HL4))*1000+44)</f>
        <v/>
      </c>
      <c r="CU4">
        <f>IF(BA4=1,1000000,IF('計算A'!$EA$54=2,SUMPRODUCT('計算A'!$D$104:$DS$104,$CW4:$HL4,$HN4:$MC4),SUMPRODUCT('計算A'!$D$104:$DS$104,$CW4:$HL4))*1000+45)</f>
        <v/>
      </c>
      <c r="CW4">
        <f>CW3*IF(OR($C3=1,$G3=1),0,1)</f>
        <v/>
      </c>
      <c r="CX4">
        <f>CX3*IF(OR($C3=2,$G3=2),0,1)</f>
        <v/>
      </c>
      <c r="CY4">
        <f>CY3*IF(OR($C3=3,$G3=3),0,1)</f>
        <v/>
      </c>
      <c r="CZ4">
        <f>CZ3*IF(OR($C3=4,$G3=4),0,1)</f>
        <v/>
      </c>
      <c r="DA4">
        <f>DA3*IF(OR($C3=5,$G3=5),0,1)</f>
        <v/>
      </c>
      <c r="DB4">
        <f>DB3*IF(OR($C3=6,$G3=6),0,1)</f>
        <v/>
      </c>
      <c r="DC4">
        <f>DC3*IF(OR($C3=7,$G3=7),0,1)</f>
        <v/>
      </c>
      <c r="DD4">
        <f>DD3*IF(OR($C3=8,$G3=8),0,1)</f>
        <v/>
      </c>
      <c r="DE4">
        <f>DE3*IF(OR($C3=9,$G3=9),0,1)</f>
        <v/>
      </c>
      <c r="DF4">
        <f>DF3*IF(OR($C3=10,$G3=10),0,1)</f>
        <v/>
      </c>
      <c r="DG4">
        <f>DG3*IF(OR($C3=11,$G3=11),0,1)</f>
        <v/>
      </c>
      <c r="DH4">
        <f>DH3*IF(OR($C3=12,$G3=12),0,1)</f>
        <v/>
      </c>
      <c r="DI4">
        <f>DI3*IF(OR($C3=13,$G3=13),0,1)</f>
        <v/>
      </c>
      <c r="DJ4">
        <f>DJ3*IF(OR($C3=14,$G3=14),0,1)</f>
        <v/>
      </c>
      <c r="DK4">
        <f>DK3*IF(OR($C3=15,$G3=15),0,1)</f>
        <v/>
      </c>
      <c r="DL4">
        <f>DL3*IF(OR($C3=16,$G3=16),0,1)</f>
        <v/>
      </c>
      <c r="DM4">
        <f>DM3*IF(OR($C3=17,$G3=17),0,1)</f>
        <v/>
      </c>
      <c r="DN4">
        <f>DN3*IF(OR($C3=18,$G3=18),0,1)</f>
        <v/>
      </c>
      <c r="DO4">
        <f>DO3*IF(OR($C3=19,$G3=19),0,1)</f>
        <v/>
      </c>
      <c r="DP4">
        <f>DP3*IF(OR($C3=20,$G3=20),0,1)</f>
        <v/>
      </c>
      <c r="DQ4">
        <f>DQ3*IF(OR($C3=21,$G3=21),0,1)</f>
        <v/>
      </c>
      <c r="DR4">
        <f>DR3*IF(OR($C3=22,$G3=22),0,1)</f>
        <v/>
      </c>
      <c r="DS4">
        <f>DS3*IF(OR($C3=23,$G3=23),0,1)</f>
        <v/>
      </c>
      <c r="DT4">
        <f>DT3*IF(OR($C3=24,$G3=24),0,1)</f>
        <v/>
      </c>
      <c r="DU4">
        <f>DU3*IF(OR($C3=25,$G3=25),0,1)</f>
        <v/>
      </c>
      <c r="DV4">
        <f>DV3*IF(OR($C3=26,$G3=26),0,1)</f>
        <v/>
      </c>
      <c r="DW4">
        <f>DW3*IF(OR($C3=27,$G3=27),0,1)</f>
        <v/>
      </c>
      <c r="DX4">
        <f>DX3*IF(OR($C3=28,$G3=28),0,1)</f>
        <v/>
      </c>
      <c r="DY4">
        <f>DY3*IF(OR($C3=29,$G3=29),0,1)</f>
        <v/>
      </c>
      <c r="DZ4">
        <f>DZ3*IF(OR($C3=30,$G3=30),0,1)</f>
        <v/>
      </c>
      <c r="EA4">
        <f>EA3*IF(OR($C3=31,$G3=31),0,1)</f>
        <v/>
      </c>
      <c r="EB4">
        <f>EB3*IF(OR($C3=32,$G3=32),0,1)</f>
        <v/>
      </c>
      <c r="EC4">
        <f>EC3*IF(OR($C3=33,$G3=33),0,1)</f>
        <v/>
      </c>
      <c r="ED4">
        <f>ED3*IF(OR($C3=34,$G3=34),0,1)</f>
        <v/>
      </c>
      <c r="EE4">
        <f>EE3*IF(OR($C3=35,$G3=35),0,1)</f>
        <v/>
      </c>
      <c r="EF4">
        <f>EF3*IF(OR($C3=36,$G3=36),0,1)</f>
        <v/>
      </c>
      <c r="EG4">
        <f>EG3*IF(OR($C3=37,$G3=37),0,1)</f>
        <v/>
      </c>
      <c r="EH4">
        <f>EH3*IF(OR($C3=38,$G3=38),0,1)</f>
        <v/>
      </c>
      <c r="EI4">
        <f>EI3*IF(OR($C3=39,$G3=39),0,1)</f>
        <v/>
      </c>
      <c r="EJ4">
        <f>EJ3*IF(OR($C3=40,$G3=40),0,1)</f>
        <v/>
      </c>
      <c r="EK4">
        <f>EK3*IF(OR($C3=41,$G3=41),0,1)</f>
        <v/>
      </c>
      <c r="EL4">
        <f>EL3*IF(OR($C3=42,$G3=42),0,1)</f>
        <v/>
      </c>
      <c r="EM4">
        <f>EM3*IF(OR($C3=43,$G3=43),0,1)</f>
        <v/>
      </c>
      <c r="EN4">
        <f>EN3*IF(OR($C3=44,$G3=44),0,1)</f>
        <v/>
      </c>
      <c r="EO4">
        <f>EO3*IF(OR($C3=45,$G3=45),0,1)</f>
        <v/>
      </c>
      <c r="EP4">
        <f>EP3*IF(OR($C3=46,$G3=46),0,1)</f>
        <v/>
      </c>
      <c r="EQ4">
        <f>EQ3*IF(OR($C3=47,$G3=47),0,1)</f>
        <v/>
      </c>
      <c r="ER4">
        <f>ER3*IF(OR($C3=48,$G3=48),0,1)</f>
        <v/>
      </c>
      <c r="ES4">
        <f>ES3*IF(OR($C3=49,$G3=49),0,1)</f>
        <v/>
      </c>
      <c r="ET4">
        <f>ET3*IF(OR($C3=50,$G3=50),0,1)</f>
        <v/>
      </c>
      <c r="EU4">
        <f>EU3*IF(OR($C3=51,$G3=51),0,1)</f>
        <v/>
      </c>
      <c r="EV4">
        <f>EV3*IF(OR($C3=52,$G3=52),0,1)</f>
        <v/>
      </c>
      <c r="EW4">
        <f>EW3*IF(OR($C3=53,$G3=53),0,1)</f>
        <v/>
      </c>
      <c r="EX4">
        <f>EX3*IF(OR($C3=54,$G3=54),0,1)</f>
        <v/>
      </c>
      <c r="EY4">
        <f>EY3*IF(OR($C3=55,$G3=55),0,1)</f>
        <v/>
      </c>
      <c r="EZ4">
        <f>EZ3*IF(OR($C3=56,$G3=56),0,1)</f>
        <v/>
      </c>
      <c r="FA4">
        <f>FA3*IF(OR($C3=57,$G3=57),0,1)</f>
        <v/>
      </c>
      <c r="FB4">
        <f>FB3*IF(OR($C3=58,$G3=58),0,1)</f>
        <v/>
      </c>
      <c r="FC4">
        <f>FC3*IF(OR($C3=59,$G3=59),0,1)</f>
        <v/>
      </c>
      <c r="FD4">
        <f>FD3*IF(OR($C3=60,$G3=60),0,1)</f>
        <v/>
      </c>
      <c r="FE4">
        <f>FE3*IF(OR($C3=61,$G3=61),0,1)</f>
        <v/>
      </c>
      <c r="FF4">
        <f>FF3*IF(OR($C3=62,$G3=62),0,1)</f>
        <v/>
      </c>
      <c r="FG4">
        <f>FG3*IF(OR($C3=63,$G3=63),0,1)</f>
        <v/>
      </c>
      <c r="FH4">
        <f>FH3*IF(OR($C3=64,$G3=64),0,1)</f>
        <v/>
      </c>
      <c r="FI4">
        <f>FI3*IF(OR($C3=65,$G3=65),0,1)</f>
        <v/>
      </c>
      <c r="FJ4">
        <f>FJ3*IF(OR($C3=66,$G3=66),0,1)</f>
        <v/>
      </c>
      <c r="FK4">
        <f>FK3*IF(OR($C3=67,$G3=67),0,1)</f>
        <v/>
      </c>
      <c r="FL4">
        <f>FL3*IF(OR($C3=68,$G3=68),0,1)</f>
        <v/>
      </c>
      <c r="FM4">
        <f>FM3*IF(OR($C3=69,$G3=69),0,1)</f>
        <v/>
      </c>
      <c r="FN4">
        <f>FN3*IF(OR($C3=70,$G3=70),0,1)</f>
        <v/>
      </c>
      <c r="FO4">
        <f>FO3*IF(OR($C3=71,$G3=71),0,1)</f>
        <v/>
      </c>
      <c r="FP4">
        <f>FP3*IF(OR($C3=72,$G3=72),0,1)</f>
        <v/>
      </c>
      <c r="FQ4">
        <f>FQ3*IF(OR($C3=73,$G3=73),0,1)</f>
        <v/>
      </c>
      <c r="FR4">
        <f>FR3*IF(OR($C3=74,$G3=74),0,1)</f>
        <v/>
      </c>
      <c r="FS4">
        <f>FS3*IF(OR($C3=75,$G3=75),0,1)</f>
        <v/>
      </c>
      <c r="FT4">
        <f>FT3*IF(OR($C3=76,$G3=76),0,1)</f>
        <v/>
      </c>
      <c r="FU4">
        <f>FU3*IF(OR($C3=77,$G3=77),0,1)</f>
        <v/>
      </c>
      <c r="FV4">
        <f>FV3*IF(OR($C3=78,$G3=78),0,1)</f>
        <v/>
      </c>
      <c r="FW4">
        <f>FW3*IF(OR($C3=79,$G3=79),0,1)</f>
        <v/>
      </c>
      <c r="FX4">
        <f>FX3*IF(OR($C3=80,$G3=80),0,1)</f>
        <v/>
      </c>
      <c r="FY4">
        <f>FY3*IF(OR($C3=81,$G3=81),0,1)</f>
        <v/>
      </c>
      <c r="FZ4">
        <f>FZ3*IF(OR($C3=82,$G3=82),0,1)</f>
        <v/>
      </c>
      <c r="GA4">
        <f>GA3*IF(OR($C3=83,$G3=83),0,1)</f>
        <v/>
      </c>
      <c r="GB4">
        <f>GB3*IF(OR($C3=84,$G3=84),0,1)</f>
        <v/>
      </c>
      <c r="GC4">
        <f>GC3*IF(OR($C3=85,$G3=85),0,1)</f>
        <v/>
      </c>
      <c r="GD4">
        <f>GD3*IF(OR($C3=86,$G3=86),0,1)</f>
        <v/>
      </c>
      <c r="GE4">
        <f>GE3*IF(OR($C3=87,$G3=87),0,1)</f>
        <v/>
      </c>
      <c r="GF4">
        <f>GF3*IF(OR($C3=88,$G3=88),0,1)</f>
        <v/>
      </c>
      <c r="GG4">
        <f>GG3*IF(OR($C3=89,$G3=89),0,1)</f>
        <v/>
      </c>
      <c r="GH4">
        <f>GH3*IF(OR($C3=90,$G3=90),0,1)</f>
        <v/>
      </c>
      <c r="GI4">
        <f>GI3*IF(OR($C3=91,$G3=91),0,1)</f>
        <v/>
      </c>
      <c r="GJ4">
        <f>GJ3*IF(OR($C3=92,$G3=92),0,1)</f>
        <v/>
      </c>
      <c r="GK4">
        <f>GK3*IF(OR($C3=93,$G3=93),0,1)</f>
        <v/>
      </c>
      <c r="GL4">
        <f>GL3*IF(OR($C3=94,$G3=94),0,1)</f>
        <v/>
      </c>
      <c r="GM4">
        <f>GM3*IF(OR($C3=95,$G3=95),0,1)</f>
        <v/>
      </c>
      <c r="GN4">
        <f>GN3*IF(OR($C3=96,$G3=96),0,1)</f>
        <v/>
      </c>
      <c r="GO4">
        <f>GO3*IF(OR($C3=97,$G3=97),0,1)</f>
        <v/>
      </c>
      <c r="GP4">
        <f>GP3*IF(OR($C3=98,$G3=98),0,1)</f>
        <v/>
      </c>
      <c r="GQ4">
        <f>GQ3*IF(OR($C3=99,$G3=99),0,1)</f>
        <v/>
      </c>
      <c r="GR4">
        <f>GR3*IF(OR($C3=100,$G3=100),0,1)</f>
        <v/>
      </c>
      <c r="GS4">
        <f>GS3*IF(OR($C3=101,$G3=101),0,1)</f>
        <v/>
      </c>
      <c r="GT4">
        <f>GT3*IF(OR($C3=102,$G3=102),0,1)</f>
        <v/>
      </c>
      <c r="GU4">
        <f>GU3*IF(OR($C3=103,$G3=103),0,1)</f>
        <v/>
      </c>
      <c r="GV4">
        <f>GV3*IF(OR($C3=104,$G3=104),0,1)</f>
        <v/>
      </c>
      <c r="GW4">
        <f>GW3*IF(OR($C3=105,$G3=105),0,1)</f>
        <v/>
      </c>
      <c r="GX4">
        <f>GX3*IF(OR($C3=106,$G3=106),0,1)</f>
        <v/>
      </c>
      <c r="GY4">
        <f>GY3*IF(OR($C3=107,$G3=107),0,1)</f>
        <v/>
      </c>
      <c r="GZ4">
        <f>GZ3*IF(OR($C3=108,$G3=108),0,1)</f>
        <v/>
      </c>
      <c r="HA4">
        <f>HA3*IF(OR($C3=109,$G3=109),0,1)</f>
        <v/>
      </c>
      <c r="HB4">
        <f>HB3*IF(OR($C3=110,$G3=110),0,1)</f>
        <v/>
      </c>
      <c r="HC4">
        <f>HC3*IF(OR($C3=111,$G3=111),0,1)</f>
        <v/>
      </c>
      <c r="HD4">
        <f>HD3*IF(OR($C3=112,$G3=112),0,1)</f>
        <v/>
      </c>
      <c r="HE4">
        <f>HE3*IF(OR($C3=113,$G3=113),0,1)</f>
        <v/>
      </c>
      <c r="HF4">
        <f>HF3*IF(OR($C3=114,$G3=114),0,1)</f>
        <v/>
      </c>
      <c r="HG4">
        <f>HG3*IF(OR($C3=115,$G3=115),0,1)</f>
        <v/>
      </c>
      <c r="HH4">
        <f>HH3*IF(OR($C3=116,$G3=116),0,1)</f>
        <v/>
      </c>
      <c r="HI4">
        <f>HI3*IF(OR($C3=117,$G3=117),0,1)</f>
        <v/>
      </c>
      <c r="HJ4">
        <f>HJ3*IF(OR($C3=118,$G3=118),0,1)</f>
        <v/>
      </c>
      <c r="HK4">
        <f>HK3*IF(OR($C3=119,$G3=119),0,1)</f>
        <v/>
      </c>
      <c r="HL4">
        <f>HL3*IF(OR($C3=120,$G3=120),0,1)</f>
        <v/>
      </c>
      <c r="HN4">
        <f>IF('計算A'!D$106=1,CX4,1)</f>
        <v/>
      </c>
      <c r="HO4">
        <f>IF('計算A'!E$106=1,CY4,1)</f>
        <v/>
      </c>
      <c r="HP4">
        <f>IF('計算A'!F$106=1,CZ4,1)</f>
        <v/>
      </c>
      <c r="HQ4">
        <f>IF('計算A'!G$106=1,DA4,1)</f>
        <v/>
      </c>
      <c r="HR4">
        <f>IF('計算A'!H$106=1,DB4,1)</f>
        <v/>
      </c>
      <c r="HS4">
        <f>IF('計算A'!I$106=1,DC4,1)</f>
        <v/>
      </c>
      <c r="HT4">
        <f>IF('計算A'!J$106=1,DD4,1)</f>
        <v/>
      </c>
      <c r="HU4">
        <f>IF('計算A'!K$106=1,DE4,1)</f>
        <v/>
      </c>
      <c r="HV4">
        <f>IF('計算A'!L$106=1,DF4,1)</f>
        <v/>
      </c>
      <c r="HW4">
        <f>IF('計算A'!M$106=1,DG4,1)</f>
        <v/>
      </c>
      <c r="HX4">
        <f>IF('計算A'!N$106=1,DH4,1)</f>
        <v/>
      </c>
      <c r="HY4">
        <f>IF('計算A'!O$106=1,DI4,1)</f>
        <v/>
      </c>
      <c r="HZ4">
        <f>IF('計算A'!P$106=1,DJ4,1)</f>
        <v/>
      </c>
      <c r="IA4">
        <f>IF('計算A'!Q$106=1,DK4,1)</f>
        <v/>
      </c>
      <c r="IB4">
        <f>IF('計算A'!R$106=1,DL4,1)</f>
        <v/>
      </c>
      <c r="IC4">
        <f>IF('計算A'!S$106=1,DM4,1)</f>
        <v/>
      </c>
      <c r="ID4">
        <f>IF('計算A'!T$106=1,DN4,1)</f>
        <v/>
      </c>
      <c r="IE4">
        <f>IF('計算A'!U$106=1,DO4,1)</f>
        <v/>
      </c>
      <c r="IF4">
        <f>IF('計算A'!V$106=1,DP4,1)</f>
        <v/>
      </c>
      <c r="IG4">
        <f>IF('計算A'!W$106=1,DQ4,1)</f>
        <v/>
      </c>
      <c r="IH4">
        <f>IF('計算A'!X$106=1,DR4,1)</f>
        <v/>
      </c>
      <c r="II4">
        <f>IF('計算A'!Y$106=1,DS4,1)</f>
        <v/>
      </c>
      <c r="IJ4">
        <f>IF('計算A'!Z$106=1,DT4,1)</f>
        <v/>
      </c>
      <c r="IK4">
        <f>IF('計算A'!AA$106=1,DU4,1)</f>
        <v/>
      </c>
      <c r="IL4">
        <f>IF('計算A'!AB$106=1,DV4,1)</f>
        <v/>
      </c>
      <c r="IM4">
        <f>IF('計算A'!AC$106=1,DW4,1)</f>
        <v/>
      </c>
      <c r="IN4">
        <f>IF('計算A'!AD$106=1,DX4,1)</f>
        <v/>
      </c>
      <c r="IO4">
        <f>IF('計算A'!AE$106=1,DY4,1)</f>
        <v/>
      </c>
      <c r="IP4">
        <f>IF('計算A'!AF$106=1,DZ4,1)</f>
        <v/>
      </c>
      <c r="IQ4">
        <f>IF('計算A'!AG$106=1,EA4,1)</f>
        <v/>
      </c>
      <c r="IR4">
        <f>IF('計算A'!AH$106=1,EB4,1)</f>
        <v/>
      </c>
      <c r="IS4">
        <f>IF('計算A'!AI$106=1,EC4,1)</f>
        <v/>
      </c>
      <c r="IT4">
        <f>IF('計算A'!AJ$106=1,ED4,1)</f>
        <v/>
      </c>
      <c r="IU4">
        <f>IF('計算A'!AK$106=1,EE4,1)</f>
        <v/>
      </c>
      <c r="IV4">
        <f>IF('計算A'!AL$106=1,EF4,1)</f>
        <v/>
      </c>
      <c r="IW4">
        <f>IF('計算A'!AM$106=1,EG4,1)</f>
        <v/>
      </c>
      <c r="IX4">
        <f>IF('計算A'!AN$106=1,EH4,1)</f>
        <v/>
      </c>
      <c r="IY4">
        <f>IF('計算A'!AO$106=1,EI4,1)</f>
        <v/>
      </c>
      <c r="IZ4">
        <f>IF('計算A'!AP$106=1,EJ4,1)</f>
        <v/>
      </c>
      <c r="JA4">
        <f>IF('計算A'!AQ$106=1,EK4,1)</f>
        <v/>
      </c>
      <c r="JB4">
        <f>IF('計算A'!AR$106=1,EL4,1)</f>
        <v/>
      </c>
      <c r="JC4">
        <f>IF('計算A'!AS$106=1,EM4,1)</f>
        <v/>
      </c>
      <c r="JD4">
        <f>IF('計算A'!AT$106=1,EN4,1)</f>
        <v/>
      </c>
      <c r="JE4">
        <f>IF('計算A'!AU$106=1,EO4,1)</f>
        <v/>
      </c>
      <c r="JF4">
        <f>IF('計算A'!AV$106=1,EP4,1)</f>
        <v/>
      </c>
      <c r="JG4">
        <f>IF('計算A'!AW$106=1,EQ4,1)</f>
        <v/>
      </c>
      <c r="JH4">
        <f>IF('計算A'!AX$106=1,ER4,1)</f>
        <v/>
      </c>
      <c r="JI4">
        <f>IF('計算A'!AY$106=1,ES4,1)</f>
        <v/>
      </c>
      <c r="JJ4">
        <f>IF('計算A'!AZ$106=1,ET4,1)</f>
        <v/>
      </c>
      <c r="JK4">
        <f>IF('計算A'!BA$106=1,EU4,1)</f>
        <v/>
      </c>
      <c r="JL4">
        <f>IF('計算A'!BB$106=1,EV4,1)</f>
        <v/>
      </c>
      <c r="JM4">
        <f>IF('計算A'!BC$106=1,EW4,1)</f>
        <v/>
      </c>
      <c r="JN4">
        <f>IF('計算A'!BD$106=1,EX4,1)</f>
        <v/>
      </c>
      <c r="JO4">
        <f>IF('計算A'!BE$106=1,EY4,1)</f>
        <v/>
      </c>
      <c r="JP4">
        <f>IF('計算A'!BF$106=1,EZ4,1)</f>
        <v/>
      </c>
      <c r="JQ4">
        <f>IF('計算A'!BG$106=1,FA4,1)</f>
        <v/>
      </c>
      <c r="JR4">
        <f>IF('計算A'!BH$106=1,FB4,1)</f>
        <v/>
      </c>
      <c r="JS4">
        <f>IF('計算A'!BI$106=1,FC4,1)</f>
        <v/>
      </c>
      <c r="JT4">
        <f>IF('計算A'!BJ$106=1,FD4,1)</f>
        <v/>
      </c>
      <c r="JU4">
        <f>IF('計算A'!BK$106=1,FE4,1)</f>
        <v/>
      </c>
      <c r="JV4">
        <f>IF('計算A'!BL$106=1,FF4,1)</f>
        <v/>
      </c>
      <c r="JW4">
        <f>IF('計算A'!BM$106=1,FG4,1)</f>
        <v/>
      </c>
      <c r="JX4">
        <f>IF('計算A'!BN$106=1,FH4,1)</f>
        <v/>
      </c>
      <c r="JY4">
        <f>IF('計算A'!BO$106=1,FI4,1)</f>
        <v/>
      </c>
      <c r="JZ4">
        <f>IF('計算A'!BP$106=1,FJ4,1)</f>
        <v/>
      </c>
      <c r="KA4">
        <f>IF('計算A'!BQ$106=1,FK4,1)</f>
        <v/>
      </c>
      <c r="KB4">
        <f>IF('計算A'!BR$106=1,FL4,1)</f>
        <v/>
      </c>
      <c r="KC4">
        <f>IF('計算A'!BS$106=1,FM4,1)</f>
        <v/>
      </c>
      <c r="KD4">
        <f>IF('計算A'!BT$106=1,FN4,1)</f>
        <v/>
      </c>
      <c r="KE4">
        <f>IF('計算A'!BU$106=1,FO4,1)</f>
        <v/>
      </c>
      <c r="KF4">
        <f>IF('計算A'!BV$106=1,FP4,1)</f>
        <v/>
      </c>
      <c r="KG4">
        <f>IF('計算A'!BW$106=1,FQ4,1)</f>
        <v/>
      </c>
      <c r="KH4">
        <f>IF('計算A'!BX$106=1,FR4,1)</f>
        <v/>
      </c>
      <c r="KI4">
        <f>IF('計算A'!BY$106=1,FS4,1)</f>
        <v/>
      </c>
      <c r="KJ4">
        <f>IF('計算A'!BZ$106=1,FT4,1)</f>
        <v/>
      </c>
      <c r="KK4">
        <f>IF('計算A'!CA$106=1,FU4,1)</f>
        <v/>
      </c>
      <c r="KL4">
        <f>IF('計算A'!CB$106=1,FV4,1)</f>
        <v/>
      </c>
      <c r="KM4">
        <f>IF('計算A'!CC$106=1,FW4,1)</f>
        <v/>
      </c>
      <c r="KN4">
        <f>IF('計算A'!CD$106=1,FX4,1)</f>
        <v/>
      </c>
      <c r="KO4">
        <f>IF('計算A'!CE$106=1,FY4,1)</f>
        <v/>
      </c>
      <c r="KP4">
        <f>IF('計算A'!CF$106=1,FZ4,1)</f>
        <v/>
      </c>
      <c r="KQ4">
        <f>IF('計算A'!CG$106=1,GA4,1)</f>
        <v/>
      </c>
      <c r="KR4">
        <f>IF('計算A'!CH$106=1,GB4,1)</f>
        <v/>
      </c>
      <c r="KS4">
        <f>IF('計算A'!CI$106=1,GC4,1)</f>
        <v/>
      </c>
      <c r="KT4">
        <f>IF('計算A'!CJ$106=1,GD4,1)</f>
        <v/>
      </c>
      <c r="KU4">
        <f>IF('計算A'!CK$106=1,GE4,1)</f>
        <v/>
      </c>
      <c r="KV4">
        <f>IF('計算A'!CL$106=1,GF4,1)</f>
        <v/>
      </c>
      <c r="KW4">
        <f>IF('計算A'!CM$106=1,GG4,1)</f>
        <v/>
      </c>
      <c r="KX4">
        <f>IF('計算A'!CN$106=1,GH4,1)</f>
        <v/>
      </c>
      <c r="KY4">
        <f>IF('計算A'!CO$106=1,GI4,1)</f>
        <v/>
      </c>
      <c r="KZ4">
        <f>IF('計算A'!CP$106=1,GJ4,1)</f>
        <v/>
      </c>
      <c r="LA4">
        <f>IF('計算A'!CQ$106=1,GK4,1)</f>
        <v/>
      </c>
      <c r="LB4">
        <f>IF('計算A'!CR$106=1,GL4,1)</f>
        <v/>
      </c>
      <c r="LC4">
        <f>IF('計算A'!CS$106=1,GM4,1)</f>
        <v/>
      </c>
      <c r="LD4">
        <f>IF('計算A'!CT$106=1,GN4,1)</f>
        <v/>
      </c>
      <c r="LE4">
        <f>IF('計算A'!CU$106=1,GO4,1)</f>
        <v/>
      </c>
      <c r="LF4">
        <f>IF('計算A'!CV$106=1,GP4,1)</f>
        <v/>
      </c>
      <c r="LG4">
        <f>IF('計算A'!CW$106=1,GQ4,1)</f>
        <v/>
      </c>
      <c r="LH4">
        <f>IF('計算A'!CX$106=1,GR4,1)</f>
        <v/>
      </c>
      <c r="LI4">
        <f>IF('計算A'!CY$106=1,GS4,1)</f>
        <v/>
      </c>
      <c r="LJ4">
        <f>IF('計算A'!CZ$106=1,GT4,1)</f>
        <v/>
      </c>
      <c r="LK4">
        <f>IF('計算A'!DA$106=1,GU4,1)</f>
        <v/>
      </c>
      <c r="LL4">
        <f>IF('計算A'!DB$106=1,GV4,1)</f>
        <v/>
      </c>
      <c r="LM4">
        <f>IF('計算A'!DC$106=1,GW4,1)</f>
        <v/>
      </c>
      <c r="LN4">
        <f>IF('計算A'!DD$106=1,GX4,1)</f>
        <v/>
      </c>
      <c r="LO4">
        <f>IF('計算A'!DE$106=1,GY4,1)</f>
        <v/>
      </c>
      <c r="LP4">
        <f>IF('計算A'!DF$106=1,GZ4,1)</f>
        <v/>
      </c>
      <c r="LQ4">
        <f>IF('計算A'!DG$106=1,HA4,1)</f>
        <v/>
      </c>
      <c r="LR4">
        <f>IF('計算A'!DH$106=1,HB4,1)</f>
        <v/>
      </c>
      <c r="LS4">
        <f>IF('計算A'!DI$106=1,HC4,1)</f>
        <v/>
      </c>
      <c r="LT4">
        <f>IF('計算A'!DJ$106=1,HD4,1)</f>
        <v/>
      </c>
      <c r="LU4">
        <f>IF('計算A'!DK$106=1,HE4,1)</f>
        <v/>
      </c>
      <c r="LV4">
        <f>IF('計算A'!DL$106=1,HF4,1)</f>
        <v/>
      </c>
      <c r="LW4">
        <f>IF('計算A'!DM$106=1,HG4,1)</f>
        <v/>
      </c>
      <c r="LX4">
        <f>IF('計算A'!DN$106=1,HH4,1)</f>
        <v/>
      </c>
      <c r="LY4">
        <f>IF('計算A'!DO$106=1,HI4,1)</f>
        <v/>
      </c>
      <c r="LZ4">
        <f>IF('計算A'!DP$106=1,HJ4,1)</f>
        <v/>
      </c>
      <c r="MA4">
        <f>IF('計算A'!DQ$106=1,HK4,1)</f>
        <v/>
      </c>
      <c r="MB4">
        <f>IF('計算A'!DR$106=1,HL4,1)</f>
        <v/>
      </c>
      <c r="MC4" t="n">
        <v>1</v>
      </c>
      <c r="ME4">
        <f>IF($B4=0,1000000,IF(INDEX('計算A'!$D$60:$DS$104,$B4,1)*CW4=1,IF(AND($E4=2,HN4=0),1000000,INDEX('計算A'!D$110:D$114,$F4+1)+IF(AND($E4=1,HN4=0),1000,0)),1000000))</f>
        <v/>
      </c>
      <c r="MF4">
        <f>IF($B4=0,1000000,IF(INDEX('計算A'!$D$60:$DS$104,$B4,2)*CX4=1,IF(AND($E4=2,HO4=0),1000000,INDEX('計算A'!E$110:E$114,$F4+1)+IF(AND($E4=1,HO4=0),1000,0)),1000000))</f>
        <v/>
      </c>
      <c r="MG4">
        <f>IF($B4=0,1000000,IF(INDEX('計算A'!$D$60:$DS$104,$B4,3)*CY4=1,IF(AND($E4=2,HP4=0),1000000,INDEX('計算A'!F$110:F$114,$F4+1)+IF(AND($E4=1,HP4=0),1000,0)),1000000))</f>
        <v/>
      </c>
      <c r="MH4">
        <f>IF($B4=0,1000000,IF(INDEX('計算A'!$D$60:$DS$104,$B4,4)*CZ4=1,IF(AND($E4=2,HQ4=0),1000000,INDEX('計算A'!G$110:G$114,$F4+1)+IF(AND($E4=1,HQ4=0),1000,0)),1000000))</f>
        <v/>
      </c>
      <c r="MI4">
        <f>IF($B4=0,1000000,IF(INDEX('計算A'!$D$60:$DS$104,$B4,5)*DA4=1,IF(AND($E4=2,HR4=0),1000000,INDEX('計算A'!H$110:H$114,$F4+1)+IF(AND($E4=1,HR4=0),1000,0)),1000000))</f>
        <v/>
      </c>
      <c r="MJ4">
        <f>IF($B4=0,1000000,IF(INDEX('計算A'!$D$60:$DS$104,$B4,6)*DB4=1,IF(AND($E4=2,HS4=0),1000000,INDEX('計算A'!I$110:I$114,$F4+1)+IF(AND($E4=1,HS4=0),1000,0)),1000000))</f>
        <v/>
      </c>
      <c r="MK4">
        <f>IF($B4=0,1000000,IF(INDEX('計算A'!$D$60:$DS$104,$B4,7)*DC4=1,IF(AND($E4=2,HT4=0),1000000,INDEX('計算A'!J$110:J$114,$F4+1)+IF(AND($E4=1,HT4=0),1000,0)),1000000))</f>
        <v/>
      </c>
      <c r="ML4">
        <f>IF($B4=0,1000000,IF(INDEX('計算A'!$D$60:$DS$104,$B4,8)*DD4=1,IF(AND($E4=2,HU4=0),1000000,INDEX('計算A'!K$110:K$114,$F4+1)+IF(AND($E4=1,HU4=0),1000,0)),1000000))</f>
        <v/>
      </c>
      <c r="MM4">
        <f>IF($B4=0,1000000,IF(INDEX('計算A'!$D$60:$DS$104,$B4,9)*DE4=1,IF(AND($E4=2,HV4=0),1000000,INDEX('計算A'!L$110:L$114,$F4+1)+IF(AND($E4=1,HV4=0),1000,0)),1000000))</f>
        <v/>
      </c>
      <c r="MN4">
        <f>IF($B4=0,1000000,IF(INDEX('計算A'!$D$60:$DS$104,$B4,10)*DF4=1,IF(AND($E4=2,HW4=0),1000000,INDEX('計算A'!M$110:M$114,$F4+1)+IF(AND($E4=1,HW4=0),1000,0)),1000000))</f>
        <v/>
      </c>
      <c r="MO4">
        <f>IF($B4=0,1000000,IF(INDEX('計算A'!$D$60:$DS$104,$B4,11)*DG4=1,IF(AND($E4=2,HX4=0),1000000,INDEX('計算A'!N$110:N$114,$F4+1)+IF(AND($E4=1,HX4=0),1000,0)),1000000))</f>
        <v/>
      </c>
      <c r="MP4">
        <f>IF($B4=0,1000000,IF(INDEX('計算A'!$D$60:$DS$104,$B4,12)*DH4=1,IF(AND($E4=2,HY4=0),1000000,INDEX('計算A'!O$110:O$114,$F4+1)+IF(AND($E4=1,HY4=0),1000,0)),1000000))</f>
        <v/>
      </c>
      <c r="MQ4">
        <f>IF($B4=0,1000000,IF(INDEX('計算A'!$D$60:$DS$104,$B4,13)*DI4=1,IF(AND($E4=2,HZ4=0),1000000,INDEX('計算A'!P$110:P$114,$F4+1)+IF(AND($E4=1,HZ4=0),1000,0)),1000000))</f>
        <v/>
      </c>
      <c r="MR4">
        <f>IF($B4=0,1000000,IF(INDEX('計算A'!$D$60:$DS$104,$B4,14)*DJ4=1,IF(AND($E4=2,IA4=0),1000000,INDEX('計算A'!Q$110:Q$114,$F4+1)+IF(AND($E4=1,IA4=0),1000,0)),1000000))</f>
        <v/>
      </c>
      <c r="MS4">
        <f>IF($B4=0,1000000,IF(INDEX('計算A'!$D$60:$DS$104,$B4,15)*DK4=1,IF(AND($E4=2,IB4=0),1000000,INDEX('計算A'!R$110:R$114,$F4+1)+IF(AND($E4=1,IB4=0),1000,0)),1000000))</f>
        <v/>
      </c>
      <c r="MT4">
        <f>IF($B4=0,1000000,IF(INDEX('計算A'!$D$60:$DS$104,$B4,16)*DL4=1,IF(AND($E4=2,IC4=0),1000000,INDEX('計算A'!S$110:S$114,$F4+1)+IF(AND($E4=1,IC4=0),1000,0)),1000000))</f>
        <v/>
      </c>
      <c r="MU4">
        <f>IF($B4=0,1000000,IF(INDEX('計算A'!$D$60:$DS$104,$B4,17)*DM4=1,IF(AND($E4=2,ID4=0),1000000,INDEX('計算A'!T$110:T$114,$F4+1)+IF(AND($E4=1,ID4=0),1000,0)),1000000))</f>
        <v/>
      </c>
      <c r="MV4">
        <f>IF($B4=0,1000000,IF(INDEX('計算A'!$D$60:$DS$104,$B4,18)*DN4=1,IF(AND($E4=2,IE4=0),1000000,INDEX('計算A'!U$110:U$114,$F4+1)+IF(AND($E4=1,IE4=0),1000,0)),1000000))</f>
        <v/>
      </c>
      <c r="MW4">
        <f>IF($B4=0,1000000,IF(INDEX('計算A'!$D$60:$DS$104,$B4,19)*DO4=1,IF(AND($E4=2,IF4=0),1000000,INDEX('計算A'!V$110:V$114,$F4+1)+IF(AND($E4=1,IF4=0),1000,0)),1000000))</f>
        <v/>
      </c>
      <c r="MX4">
        <f>IF($B4=0,1000000,IF(INDEX('計算A'!$D$60:$DS$104,$B4,20)*DP4=1,IF(AND($E4=2,IG4=0),1000000,INDEX('計算A'!W$110:W$114,$F4+1)+IF(AND($E4=1,IG4=0),1000,0)),1000000))</f>
        <v/>
      </c>
      <c r="MY4">
        <f>IF($B4=0,1000000,IF(INDEX('計算A'!$D$60:$DS$104,$B4,21)*DQ4=1,IF(AND($E4=2,IH4=0),1000000,INDEX('計算A'!X$110:X$114,$F4+1)+IF(AND($E4=1,IH4=0),1000,0)),1000000))</f>
        <v/>
      </c>
      <c r="MZ4">
        <f>IF($B4=0,1000000,IF(INDEX('計算A'!$D$60:$DS$104,$B4,22)*DR4=1,IF(AND($E4=2,II4=0),1000000,INDEX('計算A'!Y$110:Y$114,$F4+1)+IF(AND($E4=1,II4=0),1000,0)),1000000))</f>
        <v/>
      </c>
      <c r="NA4">
        <f>IF($B4=0,1000000,IF(INDEX('計算A'!$D$60:$DS$104,$B4,23)*DS4=1,IF(AND($E4=2,IJ4=0),1000000,INDEX('計算A'!Z$110:Z$114,$F4+1)+IF(AND($E4=1,IJ4=0),1000,0)),1000000))</f>
        <v/>
      </c>
      <c r="NB4">
        <f>IF($B4=0,1000000,IF(INDEX('計算A'!$D$60:$DS$104,$B4,24)*DT4=1,IF(AND($E4=2,IK4=0),1000000,INDEX('計算A'!AA$110:AA$114,$F4+1)+IF(AND($E4=1,IK4=0),1000,0)),1000000))</f>
        <v/>
      </c>
      <c r="NC4">
        <f>IF($B4=0,1000000,IF(INDEX('計算A'!$D$60:$DS$104,$B4,25)*DU4=1,IF(AND($E4=2,IL4=0),1000000,INDEX('計算A'!AB$110:AB$114,$F4+1)+IF(AND($E4=1,IL4=0),1000,0)),1000000))</f>
        <v/>
      </c>
      <c r="ND4">
        <f>IF($B4=0,1000000,IF(INDEX('計算A'!$D$60:$DS$104,$B4,26)*DV4=1,IF(AND($E4=2,IM4=0),1000000,INDEX('計算A'!AC$110:AC$114,$F4+1)+IF(AND($E4=1,IM4=0),1000,0)),1000000))</f>
        <v/>
      </c>
      <c r="NE4">
        <f>IF($B4=0,1000000,IF(INDEX('計算A'!$D$60:$DS$104,$B4,27)*DW4=1,IF(AND($E4=2,IN4=0),1000000,INDEX('計算A'!AD$110:AD$114,$F4+1)+IF(AND($E4=1,IN4=0),1000,0)),1000000))</f>
        <v/>
      </c>
      <c r="NF4">
        <f>IF($B4=0,1000000,IF(INDEX('計算A'!$D$60:$DS$104,$B4,28)*DX4=1,IF(AND($E4=2,IO4=0),1000000,INDEX('計算A'!AE$110:AE$114,$F4+1)+IF(AND($E4=1,IO4=0),1000,0)),1000000))</f>
        <v/>
      </c>
      <c r="NG4">
        <f>IF($B4=0,1000000,IF(INDEX('計算A'!$D$60:$DS$104,$B4,29)*DY4=1,IF(AND($E4=2,IP4=0),1000000,INDEX('計算A'!AF$110:AF$114,$F4+1)+IF(AND($E4=1,IP4=0),1000,0)),1000000))</f>
        <v/>
      </c>
      <c r="NH4">
        <f>IF($B4=0,1000000,IF(INDEX('計算A'!$D$60:$DS$104,$B4,30)*DZ4=1,IF(AND($E4=2,IQ4=0),1000000,INDEX('計算A'!AG$110:AG$114,$F4+1)+IF(AND($E4=1,IQ4=0),1000,0)),1000000))</f>
        <v/>
      </c>
      <c r="NI4">
        <f>IF($B4=0,1000000,IF(INDEX('計算A'!$D$60:$DS$104,$B4,31)*EA4=1,IF(AND($E4=2,IR4=0),1000000,INDEX('計算A'!AH$110:AH$114,$F4+1)+IF(AND($E4=1,IR4=0),1000,0)),1000000))</f>
        <v/>
      </c>
      <c r="NJ4">
        <f>IF($B4=0,1000000,IF(INDEX('計算A'!$D$60:$DS$104,$B4,32)*EB4=1,IF(AND($E4=2,IS4=0),1000000,INDEX('計算A'!AI$110:AI$114,$F4+1)+IF(AND($E4=1,IS4=0),1000,0)),1000000))</f>
        <v/>
      </c>
      <c r="NK4">
        <f>IF($B4=0,1000000,IF(INDEX('計算A'!$D$60:$DS$104,$B4,33)*EC4=1,IF(AND($E4=2,IT4=0),1000000,INDEX('計算A'!AJ$110:AJ$114,$F4+1)+IF(AND($E4=1,IT4=0),1000,0)),1000000))</f>
        <v/>
      </c>
      <c r="NL4">
        <f>IF($B4=0,1000000,IF(INDEX('計算A'!$D$60:$DS$104,$B4,34)*ED4=1,IF(AND($E4=2,IU4=0),1000000,INDEX('計算A'!AK$110:AK$114,$F4+1)+IF(AND($E4=1,IU4=0),1000,0)),1000000))</f>
        <v/>
      </c>
      <c r="NM4">
        <f>IF($B4=0,1000000,IF(INDEX('計算A'!$D$60:$DS$104,$B4,35)*EE4=1,IF(AND($E4=2,IV4=0),1000000,INDEX('計算A'!AL$110:AL$114,$F4+1)+IF(AND($E4=1,IV4=0),1000,0)),1000000))</f>
        <v/>
      </c>
      <c r="NN4">
        <f>IF($B4=0,1000000,IF(INDEX('計算A'!$D$60:$DS$104,$B4,36)*EF4=1,IF(AND($E4=2,IW4=0),1000000,INDEX('計算A'!AM$110:AM$114,$F4+1)+IF(AND($E4=1,IW4=0),1000,0)),1000000))</f>
        <v/>
      </c>
      <c r="NO4">
        <f>IF($B4=0,1000000,IF(INDEX('計算A'!$D$60:$DS$104,$B4,37)*EG4=1,IF(AND($E4=2,IX4=0),1000000,INDEX('計算A'!AN$110:AN$114,$F4+1)+IF(AND($E4=1,IX4=0),1000,0)),1000000))</f>
        <v/>
      </c>
      <c r="NP4">
        <f>IF($B4=0,1000000,IF(INDEX('計算A'!$D$60:$DS$104,$B4,38)*EH4=1,IF(AND($E4=2,IY4=0),1000000,INDEX('計算A'!AO$110:AO$114,$F4+1)+IF(AND($E4=1,IY4=0),1000,0)),1000000))</f>
        <v/>
      </c>
      <c r="NQ4">
        <f>IF($B4=0,1000000,IF(INDEX('計算A'!$D$60:$DS$104,$B4,39)*EI4=1,IF(AND($E4=2,IZ4=0),1000000,INDEX('計算A'!AP$110:AP$114,$F4+1)+IF(AND($E4=1,IZ4=0),1000,0)),1000000))</f>
        <v/>
      </c>
      <c r="NR4">
        <f>IF($B4=0,1000000,IF(INDEX('計算A'!$D$60:$DS$104,$B4,40)*EJ4=1,IF(AND($E4=2,JA4=0),1000000,INDEX('計算A'!AQ$110:AQ$114,$F4+1)+IF(AND($E4=1,JA4=0),1000,0)),1000000))</f>
        <v/>
      </c>
      <c r="NS4">
        <f>IF($B4=0,1000000,IF(INDEX('計算A'!$D$60:$DS$104,$B4,41)*EK4=1,IF(AND($E4=2,JB4=0),1000000,INDEX('計算A'!AR$110:AR$114,$F4+1)+IF(AND($E4=1,JB4=0),1000,0)),1000000))</f>
        <v/>
      </c>
      <c r="NT4">
        <f>IF($B4=0,1000000,IF(INDEX('計算A'!$D$60:$DS$104,$B4,42)*EL4=1,IF(AND($E4=2,JC4=0),1000000,INDEX('計算A'!AS$110:AS$114,$F4+1)+IF(AND($E4=1,JC4=0),1000,0)),1000000))</f>
        <v/>
      </c>
      <c r="NU4">
        <f>IF($B4=0,1000000,IF(INDEX('計算A'!$D$60:$DS$104,$B4,43)*EM4=1,IF(AND($E4=2,JD4=0),1000000,INDEX('計算A'!AT$110:AT$114,$F4+1)+IF(AND($E4=1,JD4=0),1000,0)),1000000))</f>
        <v/>
      </c>
      <c r="NV4">
        <f>IF($B4=0,1000000,IF(INDEX('計算A'!$D$60:$DS$104,$B4,44)*EN4=1,IF(AND($E4=2,JE4=0),1000000,INDEX('計算A'!AU$110:AU$114,$F4+1)+IF(AND($E4=1,JE4=0),1000,0)),1000000))</f>
        <v/>
      </c>
      <c r="NW4">
        <f>IF($B4=0,1000000,IF(INDEX('計算A'!$D$60:$DS$104,$B4,45)*EO4=1,IF(AND($E4=2,JF4=0),1000000,INDEX('計算A'!AV$110:AV$114,$F4+1)+IF(AND($E4=1,JF4=0),1000,0)),1000000))</f>
        <v/>
      </c>
      <c r="NX4">
        <f>IF($B4=0,1000000,IF(INDEX('計算A'!$D$60:$DS$104,$B4,46)*EP4=1,IF(AND($E4=2,JG4=0),1000000,INDEX('計算A'!AW$110:AW$114,$F4+1)+IF(AND($E4=1,JG4=0),1000,0)),1000000))</f>
        <v/>
      </c>
      <c r="NY4">
        <f>IF($B4=0,1000000,IF(INDEX('計算A'!$D$60:$DS$104,$B4,47)*EQ4=1,IF(AND($E4=2,JH4=0),1000000,INDEX('計算A'!AX$110:AX$114,$F4+1)+IF(AND($E4=1,JH4=0),1000,0)),1000000))</f>
        <v/>
      </c>
      <c r="NZ4">
        <f>IF($B4=0,1000000,IF(INDEX('計算A'!$D$60:$DS$104,$B4,48)*ER4=1,IF(AND($E4=2,JI4=0),1000000,INDEX('計算A'!AY$110:AY$114,$F4+1)+IF(AND($E4=1,JI4=0),1000,0)),1000000))</f>
        <v/>
      </c>
      <c r="OA4">
        <f>IF($B4=0,1000000,IF(INDEX('計算A'!$D$60:$DS$104,$B4,49)*ES4=1,IF(AND($E4=2,JJ4=0),1000000,INDEX('計算A'!AZ$110:AZ$114,$F4+1)+IF(AND($E4=1,JJ4=0),1000,0)),1000000))</f>
        <v/>
      </c>
      <c r="OB4">
        <f>IF($B4=0,1000000,IF(INDEX('計算A'!$D$60:$DS$104,$B4,50)*ET4=1,IF(AND($E4=2,JK4=0),1000000,INDEX('計算A'!BA$110:BA$114,$F4+1)+IF(AND($E4=1,JK4=0),1000,0)),1000000))</f>
        <v/>
      </c>
      <c r="OC4">
        <f>IF($B4=0,1000000,IF(INDEX('計算A'!$D$60:$DS$104,$B4,51)*EU4=1,IF(AND($E4=2,JL4=0),1000000,INDEX('計算A'!BB$110:BB$114,$F4+1)+IF(AND($E4=1,JL4=0),1000,0)),1000000))</f>
        <v/>
      </c>
      <c r="OD4">
        <f>IF($B4=0,1000000,IF(INDEX('計算A'!$D$60:$DS$104,$B4,52)*EV4=1,IF(AND($E4=2,JM4=0),1000000,INDEX('計算A'!BC$110:BC$114,$F4+1)+IF(AND($E4=1,JM4=0),1000,0)),1000000))</f>
        <v/>
      </c>
      <c r="OE4">
        <f>IF($B4=0,1000000,IF(INDEX('計算A'!$D$60:$DS$104,$B4,53)*EW4=1,IF(AND($E4=2,JN4=0),1000000,INDEX('計算A'!BD$110:BD$114,$F4+1)+IF(AND($E4=1,JN4=0),1000,0)),1000000))</f>
        <v/>
      </c>
      <c r="OF4">
        <f>IF($B4=0,1000000,IF(INDEX('計算A'!$D$60:$DS$104,$B4,54)*EX4=1,IF(AND($E4=2,JO4=0),1000000,INDEX('計算A'!BE$110:BE$114,$F4+1)+IF(AND($E4=1,JO4=0),1000,0)),1000000))</f>
        <v/>
      </c>
      <c r="OG4">
        <f>IF($B4=0,1000000,IF(INDEX('計算A'!$D$60:$DS$104,$B4,55)*EY4=1,IF(AND($E4=2,JP4=0),1000000,INDEX('計算A'!BF$110:BF$114,$F4+1)+IF(AND($E4=1,JP4=0),1000,0)),1000000))</f>
        <v/>
      </c>
      <c r="OH4">
        <f>IF($B4=0,1000000,IF(INDEX('計算A'!$D$60:$DS$104,$B4,56)*EZ4=1,IF(AND($E4=2,JQ4=0),1000000,INDEX('計算A'!BG$110:BG$114,$F4+1)+IF(AND($E4=1,JQ4=0),1000,0)),1000000))</f>
        <v/>
      </c>
      <c r="OI4">
        <f>IF($B4=0,1000000,IF(INDEX('計算A'!$D$60:$DS$104,$B4,57)*FA4=1,IF(AND($E4=2,JR4=0),1000000,INDEX('計算A'!BH$110:BH$114,$F4+1)+IF(AND($E4=1,JR4=0),1000,0)),1000000))</f>
        <v/>
      </c>
      <c r="OJ4">
        <f>IF($B4=0,1000000,IF(INDEX('計算A'!$D$60:$DS$104,$B4,58)*FB4=1,IF(AND($E4=2,JS4=0),1000000,INDEX('計算A'!BI$110:BI$114,$F4+1)+IF(AND($E4=1,JS4=0),1000,0)),1000000))</f>
        <v/>
      </c>
      <c r="OK4">
        <f>IF($B4=0,1000000,IF(INDEX('計算A'!$D$60:$DS$104,$B4,59)*FC4=1,IF(AND($E4=2,JT4=0),1000000,INDEX('計算A'!BJ$110:BJ$114,$F4+1)+IF(AND($E4=1,JT4=0),1000,0)),1000000))</f>
        <v/>
      </c>
      <c r="OL4">
        <f>IF($B4=0,1000000,IF(INDEX('計算A'!$D$60:$DS$104,$B4,60)*FD4=1,IF(AND($E4=2,JU4=0),1000000,INDEX('計算A'!BK$110:BK$114,$F4+1)+IF(AND($E4=1,JU4=0),1000,0)),1000000))</f>
        <v/>
      </c>
      <c r="OM4">
        <f>IF($B4=0,1000000,IF(INDEX('計算A'!$D$60:$DS$104,$B4,61)*FE4=1,IF(AND($E4=2,JV4=0),1000000,INDEX('計算A'!BL$110:BL$114,$F4+1)+IF(AND($E4=1,JV4=0),1000,0)),1000000))</f>
        <v/>
      </c>
      <c r="ON4">
        <f>IF($B4=0,1000000,IF(INDEX('計算A'!$D$60:$DS$104,$B4,62)*FF4=1,IF(AND($E4=2,JW4=0),1000000,INDEX('計算A'!BM$110:BM$114,$F4+1)+IF(AND($E4=1,JW4=0),1000,0)),1000000))</f>
        <v/>
      </c>
      <c r="OO4">
        <f>IF($B4=0,1000000,IF(INDEX('計算A'!$D$60:$DS$104,$B4,63)*FG4=1,IF(AND($E4=2,JX4=0),1000000,INDEX('計算A'!BN$110:BN$114,$F4+1)+IF(AND($E4=1,JX4=0),1000,0)),1000000))</f>
        <v/>
      </c>
      <c r="OP4">
        <f>IF($B4=0,1000000,IF(INDEX('計算A'!$D$60:$DS$104,$B4,64)*FH4=1,IF(AND($E4=2,JY4=0),1000000,INDEX('計算A'!BO$110:BO$114,$F4+1)+IF(AND($E4=1,JY4=0),1000,0)),1000000))</f>
        <v/>
      </c>
      <c r="OQ4">
        <f>IF($B4=0,1000000,IF(INDEX('計算A'!$D$60:$DS$104,$B4,65)*FI4=1,IF(AND($E4=2,JZ4=0),1000000,INDEX('計算A'!BP$110:BP$114,$F4+1)+IF(AND($E4=1,JZ4=0),1000,0)),1000000))</f>
        <v/>
      </c>
      <c r="OR4">
        <f>IF($B4=0,1000000,IF(INDEX('計算A'!$D$60:$DS$104,$B4,66)*FJ4=1,IF(AND($E4=2,KA4=0),1000000,INDEX('計算A'!BQ$110:BQ$114,$F4+1)+IF(AND($E4=1,KA4=0),1000,0)),1000000))</f>
        <v/>
      </c>
      <c r="OS4">
        <f>IF($B4=0,1000000,IF(INDEX('計算A'!$D$60:$DS$104,$B4,67)*FK4=1,IF(AND($E4=2,KB4=0),1000000,INDEX('計算A'!BR$110:BR$114,$F4+1)+IF(AND($E4=1,KB4=0),1000,0)),1000000))</f>
        <v/>
      </c>
      <c r="OT4">
        <f>IF($B4=0,1000000,IF(INDEX('計算A'!$D$60:$DS$104,$B4,68)*FL4=1,IF(AND($E4=2,KC4=0),1000000,INDEX('計算A'!BS$110:BS$114,$F4+1)+IF(AND($E4=1,KC4=0),1000,0)),1000000))</f>
        <v/>
      </c>
      <c r="OU4">
        <f>IF($B4=0,1000000,IF(INDEX('計算A'!$D$60:$DS$104,$B4,69)*FM4=1,IF(AND($E4=2,KD4=0),1000000,INDEX('計算A'!BT$110:BT$114,$F4+1)+IF(AND($E4=1,KD4=0),1000,0)),1000000))</f>
        <v/>
      </c>
      <c r="OV4">
        <f>IF($B4=0,1000000,IF(INDEX('計算A'!$D$60:$DS$104,$B4,70)*FN4=1,IF(AND($E4=2,KE4=0),1000000,INDEX('計算A'!BU$110:BU$114,$F4+1)+IF(AND($E4=1,KE4=0),1000,0)),1000000))</f>
        <v/>
      </c>
      <c r="OW4">
        <f>IF($B4=0,1000000,IF(INDEX('計算A'!$D$60:$DS$104,$B4,71)*FO4=1,IF(AND($E4=2,KF4=0),1000000,INDEX('計算A'!BV$110:BV$114,$F4+1)+IF(AND($E4=1,KF4=0),1000,0)),1000000))</f>
        <v/>
      </c>
      <c r="OX4">
        <f>IF($B4=0,1000000,IF(INDEX('計算A'!$D$60:$DS$104,$B4,72)*FP4=1,IF(AND($E4=2,KG4=0),1000000,INDEX('計算A'!BW$110:BW$114,$F4+1)+IF(AND($E4=1,KG4=0),1000,0)),1000000))</f>
        <v/>
      </c>
      <c r="OY4">
        <f>IF($B4=0,1000000,IF(INDEX('計算A'!$D$60:$DS$104,$B4,73)*FQ4=1,IF(AND($E4=2,KH4=0),1000000,INDEX('計算A'!BX$110:BX$114,$F4+1)+IF(AND($E4=1,KH4=0),1000,0)),1000000))</f>
        <v/>
      </c>
      <c r="OZ4">
        <f>IF($B4=0,1000000,IF(INDEX('計算A'!$D$60:$DS$104,$B4,74)*FR4=1,IF(AND($E4=2,KI4=0),1000000,INDEX('計算A'!BY$110:BY$114,$F4+1)+IF(AND($E4=1,KI4=0),1000,0)),1000000))</f>
        <v/>
      </c>
      <c r="PA4">
        <f>IF($B4=0,1000000,IF(INDEX('計算A'!$D$60:$DS$104,$B4,75)*FS4=1,IF(AND($E4=2,KJ4=0),1000000,INDEX('計算A'!BZ$110:BZ$114,$F4+1)+IF(AND($E4=1,KJ4=0),1000,0)),1000000))</f>
        <v/>
      </c>
      <c r="PB4">
        <f>IF($B4=0,1000000,IF(INDEX('計算A'!$D$60:$DS$104,$B4,76)*FT4=1,IF(AND($E4=2,KK4=0),1000000,INDEX('計算A'!CA$110:CA$114,$F4+1)+IF(AND($E4=1,KK4=0),1000,0)),1000000))</f>
        <v/>
      </c>
      <c r="PC4">
        <f>IF($B4=0,1000000,IF(INDEX('計算A'!$D$60:$DS$104,$B4,77)*FU4=1,IF(AND($E4=2,KL4=0),1000000,INDEX('計算A'!CB$110:CB$114,$F4+1)+IF(AND($E4=1,KL4=0),1000,0)),1000000))</f>
        <v/>
      </c>
      <c r="PD4">
        <f>IF($B4=0,1000000,IF(INDEX('計算A'!$D$60:$DS$104,$B4,78)*FV4=1,IF(AND($E4=2,KM4=0),1000000,INDEX('計算A'!CC$110:CC$114,$F4+1)+IF(AND($E4=1,KM4=0),1000,0)),1000000))</f>
        <v/>
      </c>
      <c r="PE4">
        <f>IF($B4=0,1000000,IF(INDEX('計算A'!$D$60:$DS$104,$B4,79)*FW4=1,IF(AND($E4=2,KN4=0),1000000,INDEX('計算A'!CD$110:CD$114,$F4+1)+IF(AND($E4=1,KN4=0),1000,0)),1000000))</f>
        <v/>
      </c>
      <c r="PF4">
        <f>IF($B4=0,1000000,IF(INDEX('計算A'!$D$60:$DS$104,$B4,80)*FX4=1,IF(AND($E4=2,KO4=0),1000000,INDEX('計算A'!CE$110:CE$114,$F4+1)+IF(AND($E4=1,KO4=0),1000,0)),1000000))</f>
        <v/>
      </c>
      <c r="PG4">
        <f>IF($B4=0,1000000,IF(INDEX('計算A'!$D$60:$DS$104,$B4,81)*FY4=1,IF(AND($E4=2,KP4=0),1000000,INDEX('計算A'!CF$110:CF$114,$F4+1)+IF(AND($E4=1,KP4=0),1000,0)),1000000))</f>
        <v/>
      </c>
      <c r="PH4">
        <f>IF($B4=0,1000000,IF(INDEX('計算A'!$D$60:$DS$104,$B4,82)*FZ4=1,IF(AND($E4=2,KQ4=0),1000000,INDEX('計算A'!CG$110:CG$114,$F4+1)+IF(AND($E4=1,KQ4=0),1000,0)),1000000))</f>
        <v/>
      </c>
      <c r="PI4">
        <f>IF($B4=0,1000000,IF(INDEX('計算A'!$D$60:$DS$104,$B4,83)*GA4=1,IF(AND($E4=2,KR4=0),1000000,INDEX('計算A'!CH$110:CH$114,$F4+1)+IF(AND($E4=1,KR4=0),1000,0)),1000000))</f>
        <v/>
      </c>
      <c r="PJ4">
        <f>IF($B4=0,1000000,IF(INDEX('計算A'!$D$60:$DS$104,$B4,84)*GB4=1,IF(AND($E4=2,KS4=0),1000000,INDEX('計算A'!CI$110:CI$114,$F4+1)+IF(AND($E4=1,KS4=0),1000,0)),1000000))</f>
        <v/>
      </c>
      <c r="PK4">
        <f>IF($B4=0,1000000,IF(INDEX('計算A'!$D$60:$DS$104,$B4,85)*GC4=1,IF(AND($E4=2,KT4=0),1000000,INDEX('計算A'!CJ$110:CJ$114,$F4+1)+IF(AND($E4=1,KT4=0),1000,0)),1000000))</f>
        <v/>
      </c>
      <c r="PL4">
        <f>IF($B4=0,1000000,IF(INDEX('計算A'!$D$60:$DS$104,$B4,86)*GD4=1,IF(AND($E4=2,KU4=0),1000000,INDEX('計算A'!CK$110:CK$114,$F4+1)+IF(AND($E4=1,KU4=0),1000,0)),1000000))</f>
        <v/>
      </c>
      <c r="PM4">
        <f>IF($B4=0,1000000,IF(INDEX('計算A'!$D$60:$DS$104,$B4,87)*GE4=1,IF(AND($E4=2,KV4=0),1000000,INDEX('計算A'!CL$110:CL$114,$F4+1)+IF(AND($E4=1,KV4=0),1000,0)),1000000))</f>
        <v/>
      </c>
      <c r="PN4">
        <f>IF($B4=0,1000000,IF(INDEX('計算A'!$D$60:$DS$104,$B4,88)*GF4=1,IF(AND($E4=2,KW4=0),1000000,INDEX('計算A'!CM$110:CM$114,$F4+1)+IF(AND($E4=1,KW4=0),1000,0)),1000000))</f>
        <v/>
      </c>
      <c r="PO4">
        <f>IF($B4=0,1000000,IF(INDEX('計算A'!$D$60:$DS$104,$B4,89)*GG4=1,IF(AND($E4=2,KX4=0),1000000,INDEX('計算A'!CN$110:CN$114,$F4+1)+IF(AND($E4=1,KX4=0),1000,0)),1000000))</f>
        <v/>
      </c>
      <c r="PP4">
        <f>IF($B4=0,1000000,IF(INDEX('計算A'!$D$60:$DS$104,$B4,90)*GH4=1,IF(AND($E4=2,KY4=0),1000000,INDEX('計算A'!CO$110:CO$114,$F4+1)+IF(AND($E4=1,KY4=0),1000,0)),1000000))</f>
        <v/>
      </c>
      <c r="PQ4">
        <f>IF($B4=0,1000000,IF(INDEX('計算A'!$D$60:$DS$104,$B4,91)*GI4=1,IF(AND($E4=2,KZ4=0),1000000,INDEX('計算A'!CP$110:CP$114,$F4+1)+IF(AND($E4=1,KZ4=0),1000,0)),1000000))</f>
        <v/>
      </c>
      <c r="PR4">
        <f>IF($B4=0,1000000,IF(INDEX('計算A'!$D$60:$DS$104,$B4,92)*GJ4=1,IF(AND($E4=2,LA4=0),1000000,INDEX('計算A'!CQ$110:CQ$114,$F4+1)+IF(AND($E4=1,LA4=0),1000,0)),1000000))</f>
        <v/>
      </c>
      <c r="PS4">
        <f>IF($B4=0,1000000,IF(INDEX('計算A'!$D$60:$DS$104,$B4,93)*GK4=1,IF(AND($E4=2,LB4=0),1000000,INDEX('計算A'!CR$110:CR$114,$F4+1)+IF(AND($E4=1,LB4=0),1000,0)),1000000))</f>
        <v/>
      </c>
      <c r="PT4">
        <f>IF($B4=0,1000000,IF(INDEX('計算A'!$D$60:$DS$104,$B4,94)*GL4=1,IF(AND($E4=2,LC4=0),1000000,INDEX('計算A'!CS$110:CS$114,$F4+1)+IF(AND($E4=1,LC4=0),1000,0)),1000000))</f>
        <v/>
      </c>
      <c r="PU4">
        <f>IF($B4=0,1000000,IF(INDEX('計算A'!$D$60:$DS$104,$B4,95)*GM4=1,IF(AND($E4=2,LD4=0),1000000,INDEX('計算A'!CT$110:CT$114,$F4+1)+IF(AND($E4=1,LD4=0),1000,0)),1000000))</f>
        <v/>
      </c>
      <c r="PV4">
        <f>IF($B4=0,1000000,IF(INDEX('計算A'!$D$60:$DS$104,$B4,96)*GN4=1,IF(AND($E4=2,LE4=0),1000000,INDEX('計算A'!CU$110:CU$114,$F4+1)+IF(AND($E4=1,LE4=0),1000,0)),1000000))</f>
        <v/>
      </c>
      <c r="PW4">
        <f>IF($B4=0,1000000,IF(INDEX('計算A'!$D$60:$DS$104,$B4,97)*GO4=1,IF(AND($E4=2,LF4=0),1000000,INDEX('計算A'!CV$110:CV$114,$F4+1)+IF(AND($E4=1,LF4=0),1000,0)),1000000))</f>
        <v/>
      </c>
      <c r="PX4">
        <f>IF($B4=0,1000000,IF(INDEX('計算A'!$D$60:$DS$104,$B4,98)*GP4=1,IF(AND($E4=2,LG4=0),1000000,INDEX('計算A'!CW$110:CW$114,$F4+1)+IF(AND($E4=1,LG4=0),1000,0)),1000000))</f>
        <v/>
      </c>
      <c r="PY4">
        <f>IF($B4=0,1000000,IF(INDEX('計算A'!$D$60:$DS$104,$B4,99)*GQ4=1,IF(AND($E4=2,LH4=0),1000000,INDEX('計算A'!CX$110:CX$114,$F4+1)+IF(AND($E4=1,LH4=0),1000,0)),1000000))</f>
        <v/>
      </c>
      <c r="PZ4">
        <f>IF($B4=0,1000000,IF(INDEX('計算A'!$D$60:$DS$104,$B4,100)*GR4=1,IF(AND($E4=2,LI4=0),1000000,INDEX('計算A'!CY$110:CY$114,$F4+1)+IF(AND($E4=1,LI4=0),1000,0)),1000000))</f>
        <v/>
      </c>
      <c r="QA4">
        <f>IF($B4=0,1000000,IF(INDEX('計算A'!$D$60:$DS$104,$B4,101)*GS4=1,IF(AND($E4=2,LJ4=0),1000000,INDEX('計算A'!CZ$110:CZ$114,$F4+1)+IF(AND($E4=1,LJ4=0),1000,0)),1000000))</f>
        <v/>
      </c>
      <c r="QB4">
        <f>IF($B4=0,1000000,IF(INDEX('計算A'!$D$60:$DS$104,$B4,102)*GT4=1,IF(AND($E4=2,LK4=0),1000000,INDEX('計算A'!DA$110:DA$114,$F4+1)+IF(AND($E4=1,LK4=0),1000,0)),1000000))</f>
        <v/>
      </c>
      <c r="QC4">
        <f>IF($B4=0,1000000,IF(INDEX('計算A'!$D$60:$DS$104,$B4,103)*GU4=1,IF(AND($E4=2,LL4=0),1000000,INDEX('計算A'!DB$110:DB$114,$F4+1)+IF(AND($E4=1,LL4=0),1000,0)),1000000))</f>
        <v/>
      </c>
      <c r="QD4">
        <f>IF($B4=0,1000000,IF(INDEX('計算A'!$D$60:$DS$104,$B4,104)*GV4=1,IF(AND($E4=2,LM4=0),1000000,INDEX('計算A'!DC$110:DC$114,$F4+1)+IF(AND($E4=1,LM4=0),1000,0)),1000000))</f>
        <v/>
      </c>
      <c r="QE4">
        <f>IF($B4=0,1000000,IF(INDEX('計算A'!$D$60:$DS$104,$B4,105)*GW4=1,IF(AND($E4=2,LN4=0),1000000,INDEX('計算A'!DD$110:DD$114,$F4+1)+IF(AND($E4=1,LN4=0),1000,0)),1000000))</f>
        <v/>
      </c>
      <c r="QF4">
        <f>IF($B4=0,1000000,IF(INDEX('計算A'!$D$60:$DS$104,$B4,106)*GX4=1,IF(AND($E4=2,LO4=0),1000000,INDEX('計算A'!DE$110:DE$114,$F4+1)+IF(AND($E4=1,LO4=0),1000,0)),1000000))</f>
        <v/>
      </c>
      <c r="QG4">
        <f>IF($B4=0,1000000,IF(INDEX('計算A'!$D$60:$DS$104,$B4,107)*GY4=1,IF(AND($E4=2,LP4=0),1000000,INDEX('計算A'!DF$110:DF$114,$F4+1)+IF(AND($E4=1,LP4=0),1000,0)),1000000))</f>
        <v/>
      </c>
      <c r="QH4">
        <f>IF($B4=0,1000000,IF(INDEX('計算A'!$D$60:$DS$104,$B4,108)*GZ4=1,IF(AND($E4=2,LQ4=0),1000000,INDEX('計算A'!DG$110:DG$114,$F4+1)+IF(AND($E4=1,LQ4=0),1000,0)),1000000))</f>
        <v/>
      </c>
      <c r="QI4">
        <f>IF($B4=0,1000000,IF(INDEX('計算A'!$D$60:$DS$104,$B4,109)*HA4=1,IF(AND($E4=2,LR4=0),1000000,INDEX('計算A'!DH$110:DH$114,$F4+1)+IF(AND($E4=1,LR4=0),1000,0)),1000000))</f>
        <v/>
      </c>
      <c r="QJ4">
        <f>IF($B4=0,1000000,IF(INDEX('計算A'!$D$60:$DS$104,$B4,110)*HB4=1,IF(AND($E4=2,LS4=0),1000000,INDEX('計算A'!DI$110:DI$114,$F4+1)+IF(AND($E4=1,LS4=0),1000,0)),1000000))</f>
        <v/>
      </c>
      <c r="QK4">
        <f>IF($B4=0,1000000,IF(INDEX('計算A'!$D$60:$DS$104,$B4,111)*HC4=1,IF(AND($E4=2,LT4=0),1000000,INDEX('計算A'!DJ$110:DJ$114,$F4+1)+IF(AND($E4=1,LT4=0),1000,0)),1000000))</f>
        <v/>
      </c>
      <c r="QL4">
        <f>IF($B4=0,1000000,IF(INDEX('計算A'!$D$60:$DS$104,$B4,112)*HD4=1,IF(AND($E4=2,LU4=0),1000000,INDEX('計算A'!DK$110:DK$114,$F4+1)+IF(AND($E4=1,LU4=0),1000,0)),1000000))</f>
        <v/>
      </c>
      <c r="QM4">
        <f>IF($B4=0,1000000,IF(INDEX('計算A'!$D$60:$DS$104,$B4,113)*HE4=1,IF(AND($E4=2,LV4=0),1000000,INDEX('計算A'!DL$110:DL$114,$F4+1)+IF(AND($E4=1,LV4=0),1000,0)),1000000))</f>
        <v/>
      </c>
      <c r="QN4">
        <f>IF($B4=0,1000000,IF(INDEX('計算A'!$D$60:$DS$104,$B4,114)*HF4=1,IF(AND($E4=2,LW4=0),1000000,INDEX('計算A'!DM$110:DM$114,$F4+1)+IF(AND($E4=1,LW4=0),1000,0)),1000000))</f>
        <v/>
      </c>
      <c r="QO4">
        <f>IF($B4=0,1000000,IF(INDEX('計算A'!$D$60:$DS$104,$B4,115)*HG4=1,IF(AND($E4=2,LX4=0),1000000,INDEX('計算A'!DN$110:DN$114,$F4+1)+IF(AND($E4=1,LX4=0),1000,0)),1000000))</f>
        <v/>
      </c>
      <c r="QP4">
        <f>IF($B4=0,1000000,IF(INDEX('計算A'!$D$60:$DS$104,$B4,116)*HH4=1,IF(AND($E4=2,LY4=0),1000000,INDEX('計算A'!DO$110:DO$114,$F4+1)+IF(AND($E4=1,LY4=0),1000,0)),1000000))</f>
        <v/>
      </c>
      <c r="QQ4">
        <f>IF($B4=0,1000000,IF(INDEX('計算A'!$D$60:$DS$104,$B4,117)*HI4=1,IF(AND($E4=2,LZ4=0),1000000,INDEX('計算A'!DP$110:DP$114,$F4+1)+IF(AND($E4=1,LZ4=0),1000,0)),1000000))</f>
        <v/>
      </c>
      <c r="QR4">
        <f>IF($B4=0,1000000,IF(INDEX('計算A'!$D$60:$DS$104,$B4,118)*HJ4=1,IF(AND($E4=2,MA4=0),1000000,INDEX('計算A'!DQ$110:DQ$114,$F4+1)+IF(AND($E4=1,MA4=0),1000,0)),1000000))</f>
        <v/>
      </c>
      <c r="QS4">
        <f>IF($B4=0,1000000,IF(INDEX('計算A'!$D$60:$DS$104,$B4,119)*HK4=1,IF(AND($E4=2,MB4=0),1000000,INDEX('計算A'!DR$110:DR$114,$F4+1)+IF(AND($E4=1,MB4=0),1000,0)),1000000))</f>
        <v/>
      </c>
      <c r="QT4">
        <f>IF($B4=0,1000000,IF(INDEX('計算A'!$D$60:$DS$104,$B4,120)*HL4=1,IF(AND($E4=2,MC4=0),1000000,INDEX('計算A'!DS$110:DS$114,$F4+1)+IF(AND($E4=1,MC4=0),1000,0)),1000000))</f>
        <v/>
      </c>
    </row>
    <row r="5">
      <c r="A5" t="n">
        <v>3</v>
      </c>
      <c r="B5">
        <f>IF(MIN(BC5:CU5)&gt;=1000000,0,MATCH(MIN(BC5:CU5),BC5:CU5,0))</f>
        <v/>
      </c>
      <c r="C5">
        <f>IF(MIN(ME5:QT5)&gt;=1000000,0,MATCH(MIN(ME5:QT5),ME5:QT5,0))</f>
        <v/>
      </c>
      <c r="D5">
        <f>IF(C5&gt;0,INDEX('計算A'!$D$5:$DS$5,C5),0)</f>
        <v/>
      </c>
      <c r="E5">
        <f>IF(B5=0,0,INDEX('計算A'!$EA$10:$EA$54,B5))</f>
        <v/>
      </c>
      <c r="F5">
        <f>IF(B5=0,0,INDEX('計算A'!$DZ$10:$DZ$54,B5))</f>
        <v/>
      </c>
      <c r="G5">
        <f>IF(AND(C5&gt;0,E5&gt;0),IF(AND(INDEX('計算A'!$D$106:$DS$106,C5)=1,INDEX($HN5:$MC5,C5)=1),C5+1,0),0)</f>
        <v/>
      </c>
      <c r="I5">
        <f>MAX(I4,IF($B4=1,1,0))</f>
        <v/>
      </c>
      <c r="J5">
        <f>MAX(J4,IF($B4=2,1,0))</f>
        <v/>
      </c>
      <c r="K5">
        <f>MAX(K4,IF($B4=3,1,0))</f>
        <v/>
      </c>
      <c r="L5">
        <f>MAX(L4,IF($B4=4,1,0))</f>
        <v/>
      </c>
      <c r="M5">
        <f>MAX(M4,IF($B4=5,1,0))</f>
        <v/>
      </c>
      <c r="N5">
        <f>MAX(N4,IF($B4=6,1,0))</f>
        <v/>
      </c>
      <c r="O5">
        <f>MAX(O4,IF($B4=7,1,0))</f>
        <v/>
      </c>
      <c r="P5">
        <f>MAX(P4,IF($B4=8,1,0))</f>
        <v/>
      </c>
      <c r="Q5">
        <f>MAX(Q4,IF($B4=9,1,0))</f>
        <v/>
      </c>
      <c r="R5">
        <f>MAX(R4,IF($B4=10,1,0))</f>
        <v/>
      </c>
      <c r="S5">
        <f>MAX(S4,IF($B4=11,1,0))</f>
        <v/>
      </c>
      <c r="T5">
        <f>MAX(T4,IF($B4=12,1,0))</f>
        <v/>
      </c>
      <c r="U5">
        <f>MAX(U4,IF($B4=13,1,0))</f>
        <v/>
      </c>
      <c r="V5">
        <f>MAX(V4,IF($B4=14,1,0))</f>
        <v/>
      </c>
      <c r="W5">
        <f>MAX(W4,IF($B4=15,1,0))</f>
        <v/>
      </c>
      <c r="X5">
        <f>MAX(X4,IF($B4=16,1,0))</f>
        <v/>
      </c>
      <c r="Y5">
        <f>MAX(Y4,IF($B4=17,1,0))</f>
        <v/>
      </c>
      <c r="Z5">
        <f>MAX(Z4,IF($B4=18,1,0))</f>
        <v/>
      </c>
      <c r="AA5">
        <f>MAX(AA4,IF($B4=19,1,0))</f>
        <v/>
      </c>
      <c r="AB5">
        <f>MAX(AB4,IF($B4=20,1,0))</f>
        <v/>
      </c>
      <c r="AC5">
        <f>MAX(AC4,IF($B4=21,1,0))</f>
        <v/>
      </c>
      <c r="AD5">
        <f>MAX(AD4,IF($B4=22,1,0))</f>
        <v/>
      </c>
      <c r="AE5">
        <f>MAX(AE4,IF($B4=23,1,0))</f>
        <v/>
      </c>
      <c r="AF5">
        <f>MAX(AF4,IF($B4=24,1,0))</f>
        <v/>
      </c>
      <c r="AG5">
        <f>MAX(AG4,IF($B4=25,1,0))</f>
        <v/>
      </c>
      <c r="AH5">
        <f>MAX(AH4,IF($B4=26,1,0))</f>
        <v/>
      </c>
      <c r="AI5">
        <f>MAX(AI4,IF($B4=27,1,0))</f>
        <v/>
      </c>
      <c r="AJ5">
        <f>MAX(AJ4,IF($B4=28,1,0))</f>
        <v/>
      </c>
      <c r="AK5">
        <f>MAX(AK4,IF($B4=29,1,0))</f>
        <v/>
      </c>
      <c r="AL5">
        <f>MAX(AL4,IF($B4=30,1,0))</f>
        <v/>
      </c>
      <c r="AM5">
        <f>MAX(AM4,IF($B4=31,1,0))</f>
        <v/>
      </c>
      <c r="AN5">
        <f>MAX(AN4,IF($B4=32,1,0))</f>
        <v/>
      </c>
      <c r="AO5">
        <f>MAX(AO4,IF($B4=33,1,0))</f>
        <v/>
      </c>
      <c r="AP5">
        <f>MAX(AP4,IF($B4=34,1,0))</f>
        <v/>
      </c>
      <c r="AQ5">
        <f>MAX(AQ4,IF($B4=35,1,0))</f>
        <v/>
      </c>
      <c r="AR5">
        <f>MAX(AR4,IF($B4=36,1,0))</f>
        <v/>
      </c>
      <c r="AS5">
        <f>MAX(AS4,IF($B4=37,1,0))</f>
        <v/>
      </c>
      <c r="AT5">
        <f>MAX(AT4,IF($B4=38,1,0))</f>
        <v/>
      </c>
      <c r="AU5">
        <f>MAX(AU4,IF($B4=39,1,0))</f>
        <v/>
      </c>
      <c r="AV5">
        <f>MAX(AV4,IF($B4=40,1,0))</f>
        <v/>
      </c>
      <c r="AW5">
        <f>MAX(AW4,IF($B4=41,1,0))</f>
        <v/>
      </c>
      <c r="AX5">
        <f>MAX(AX4,IF($B4=42,1,0))</f>
        <v/>
      </c>
      <c r="AY5">
        <f>MAX(AY4,IF($B4=43,1,0))</f>
        <v/>
      </c>
      <c r="AZ5">
        <f>MAX(AZ4,IF($B4=44,1,0))</f>
        <v/>
      </c>
      <c r="BA5">
        <f>MAX(BA4,IF($B4=45,1,0))</f>
        <v/>
      </c>
      <c r="BC5">
        <f>IF(I5=1,1000000,IF('計算A'!$EA$10=2,SUMPRODUCT('計算A'!$D$60:$DS$60,$CW5:$HL5,$HN5:$MC5),SUMPRODUCT('計算A'!$D$60:$DS$60,$CW5:$HL5))*1000+1)</f>
        <v/>
      </c>
      <c r="BD5">
        <f>IF(J5=1,1000000,IF('計算A'!$EA$11=2,SUMPRODUCT('計算A'!$D$61:$DS$61,$CW5:$HL5,$HN5:$MC5),SUMPRODUCT('計算A'!$D$61:$DS$61,$CW5:$HL5))*1000+2)</f>
        <v/>
      </c>
      <c r="BE5">
        <f>IF(K5=1,1000000,IF('計算A'!$EA$12=2,SUMPRODUCT('計算A'!$D$62:$DS$62,$CW5:$HL5,$HN5:$MC5),SUMPRODUCT('計算A'!$D$62:$DS$62,$CW5:$HL5))*1000+3)</f>
        <v/>
      </c>
      <c r="BF5">
        <f>IF(L5=1,1000000,IF('計算A'!$EA$13=2,SUMPRODUCT('計算A'!$D$63:$DS$63,$CW5:$HL5,$HN5:$MC5),SUMPRODUCT('計算A'!$D$63:$DS$63,$CW5:$HL5))*1000+4)</f>
        <v/>
      </c>
      <c r="BG5">
        <f>IF(M5=1,1000000,IF('計算A'!$EA$14=2,SUMPRODUCT('計算A'!$D$64:$DS$64,$CW5:$HL5,$HN5:$MC5),SUMPRODUCT('計算A'!$D$64:$DS$64,$CW5:$HL5))*1000+5)</f>
        <v/>
      </c>
      <c r="BH5">
        <f>IF(N5=1,1000000,IF('計算A'!$EA$15=2,SUMPRODUCT('計算A'!$D$65:$DS$65,$CW5:$HL5,$HN5:$MC5),SUMPRODUCT('計算A'!$D$65:$DS$65,$CW5:$HL5))*1000+6)</f>
        <v/>
      </c>
      <c r="BI5">
        <f>IF(O5=1,1000000,IF('計算A'!$EA$16=2,SUMPRODUCT('計算A'!$D$66:$DS$66,$CW5:$HL5,$HN5:$MC5),SUMPRODUCT('計算A'!$D$66:$DS$66,$CW5:$HL5))*1000+7)</f>
        <v/>
      </c>
      <c r="BJ5">
        <f>IF(P5=1,1000000,IF('計算A'!$EA$17=2,SUMPRODUCT('計算A'!$D$67:$DS$67,$CW5:$HL5,$HN5:$MC5),SUMPRODUCT('計算A'!$D$67:$DS$67,$CW5:$HL5))*1000+8)</f>
        <v/>
      </c>
      <c r="BK5">
        <f>IF(Q5=1,1000000,IF('計算A'!$EA$18=2,SUMPRODUCT('計算A'!$D$68:$DS$68,$CW5:$HL5,$HN5:$MC5),SUMPRODUCT('計算A'!$D$68:$DS$68,$CW5:$HL5))*1000+9)</f>
        <v/>
      </c>
      <c r="BL5">
        <f>IF(R5=1,1000000,IF('計算A'!$EA$19=2,SUMPRODUCT('計算A'!$D$69:$DS$69,$CW5:$HL5,$HN5:$MC5),SUMPRODUCT('計算A'!$D$69:$DS$69,$CW5:$HL5))*1000+10)</f>
        <v/>
      </c>
      <c r="BM5">
        <f>IF(S5=1,1000000,IF('計算A'!$EA$20=2,SUMPRODUCT('計算A'!$D$70:$DS$70,$CW5:$HL5,$HN5:$MC5),SUMPRODUCT('計算A'!$D$70:$DS$70,$CW5:$HL5))*1000+11)</f>
        <v/>
      </c>
      <c r="BN5">
        <f>IF(T5=1,1000000,IF('計算A'!$EA$21=2,SUMPRODUCT('計算A'!$D$71:$DS$71,$CW5:$HL5,$HN5:$MC5),SUMPRODUCT('計算A'!$D$71:$DS$71,$CW5:$HL5))*1000+12)</f>
        <v/>
      </c>
      <c r="BO5">
        <f>IF(U5=1,1000000,IF('計算A'!$EA$22=2,SUMPRODUCT('計算A'!$D$72:$DS$72,$CW5:$HL5,$HN5:$MC5),SUMPRODUCT('計算A'!$D$72:$DS$72,$CW5:$HL5))*1000+13)</f>
        <v/>
      </c>
      <c r="BP5">
        <f>IF(V5=1,1000000,IF('計算A'!$EA$23=2,SUMPRODUCT('計算A'!$D$73:$DS$73,$CW5:$HL5,$HN5:$MC5),SUMPRODUCT('計算A'!$D$73:$DS$73,$CW5:$HL5))*1000+14)</f>
        <v/>
      </c>
      <c r="BQ5">
        <f>IF(W5=1,1000000,IF('計算A'!$EA$24=2,SUMPRODUCT('計算A'!$D$74:$DS$74,$CW5:$HL5,$HN5:$MC5),SUMPRODUCT('計算A'!$D$74:$DS$74,$CW5:$HL5))*1000+15)</f>
        <v/>
      </c>
      <c r="BR5">
        <f>IF(X5=1,1000000,IF('計算A'!$EA$25=2,SUMPRODUCT('計算A'!$D$75:$DS$75,$CW5:$HL5,$HN5:$MC5),SUMPRODUCT('計算A'!$D$75:$DS$75,$CW5:$HL5))*1000+16)</f>
        <v/>
      </c>
      <c r="BS5">
        <f>IF(Y5=1,1000000,IF('計算A'!$EA$26=2,SUMPRODUCT('計算A'!$D$76:$DS$76,$CW5:$HL5,$HN5:$MC5),SUMPRODUCT('計算A'!$D$76:$DS$76,$CW5:$HL5))*1000+17)</f>
        <v/>
      </c>
      <c r="BT5">
        <f>IF(Z5=1,1000000,IF('計算A'!$EA$27=2,SUMPRODUCT('計算A'!$D$77:$DS$77,$CW5:$HL5,$HN5:$MC5),SUMPRODUCT('計算A'!$D$77:$DS$77,$CW5:$HL5))*1000+18)</f>
        <v/>
      </c>
      <c r="BU5">
        <f>IF(AA5=1,1000000,IF('計算A'!$EA$28=2,SUMPRODUCT('計算A'!$D$78:$DS$78,$CW5:$HL5,$HN5:$MC5),SUMPRODUCT('計算A'!$D$78:$DS$78,$CW5:$HL5))*1000+19)</f>
        <v/>
      </c>
      <c r="BV5">
        <f>IF(AB5=1,1000000,IF('計算A'!$EA$29=2,SUMPRODUCT('計算A'!$D$79:$DS$79,$CW5:$HL5,$HN5:$MC5),SUMPRODUCT('計算A'!$D$79:$DS$79,$CW5:$HL5))*1000+20)</f>
        <v/>
      </c>
      <c r="BW5">
        <f>IF(AC5=1,1000000,IF('計算A'!$EA$30=2,SUMPRODUCT('計算A'!$D$80:$DS$80,$CW5:$HL5,$HN5:$MC5),SUMPRODUCT('計算A'!$D$80:$DS$80,$CW5:$HL5))*1000+21)</f>
        <v/>
      </c>
      <c r="BX5">
        <f>IF(AD5=1,1000000,IF('計算A'!$EA$31=2,SUMPRODUCT('計算A'!$D$81:$DS$81,$CW5:$HL5,$HN5:$MC5),SUMPRODUCT('計算A'!$D$81:$DS$81,$CW5:$HL5))*1000+22)</f>
        <v/>
      </c>
      <c r="BY5">
        <f>IF(AE5=1,1000000,IF('計算A'!$EA$32=2,SUMPRODUCT('計算A'!$D$82:$DS$82,$CW5:$HL5,$HN5:$MC5),SUMPRODUCT('計算A'!$D$82:$DS$82,$CW5:$HL5))*1000+23)</f>
        <v/>
      </c>
      <c r="BZ5">
        <f>IF(AF5=1,1000000,IF('計算A'!$EA$33=2,SUMPRODUCT('計算A'!$D$83:$DS$83,$CW5:$HL5,$HN5:$MC5),SUMPRODUCT('計算A'!$D$83:$DS$83,$CW5:$HL5))*1000+24)</f>
        <v/>
      </c>
      <c r="CA5">
        <f>IF(AG5=1,1000000,IF('計算A'!$EA$34=2,SUMPRODUCT('計算A'!$D$84:$DS$84,$CW5:$HL5,$HN5:$MC5),SUMPRODUCT('計算A'!$D$84:$DS$84,$CW5:$HL5))*1000+25)</f>
        <v/>
      </c>
      <c r="CB5">
        <f>IF(AH5=1,1000000,IF('計算A'!$EA$35=2,SUMPRODUCT('計算A'!$D$85:$DS$85,$CW5:$HL5,$HN5:$MC5),SUMPRODUCT('計算A'!$D$85:$DS$85,$CW5:$HL5))*1000+26)</f>
        <v/>
      </c>
      <c r="CC5">
        <f>IF(AI5=1,1000000,IF('計算A'!$EA$36=2,SUMPRODUCT('計算A'!$D$86:$DS$86,$CW5:$HL5,$HN5:$MC5),SUMPRODUCT('計算A'!$D$86:$DS$86,$CW5:$HL5))*1000+27)</f>
        <v/>
      </c>
      <c r="CD5">
        <f>IF(AJ5=1,1000000,IF('計算A'!$EA$37=2,SUMPRODUCT('計算A'!$D$87:$DS$87,$CW5:$HL5,$HN5:$MC5),SUMPRODUCT('計算A'!$D$87:$DS$87,$CW5:$HL5))*1000+28)</f>
        <v/>
      </c>
      <c r="CE5">
        <f>IF(AK5=1,1000000,IF('計算A'!$EA$38=2,SUMPRODUCT('計算A'!$D$88:$DS$88,$CW5:$HL5,$HN5:$MC5),SUMPRODUCT('計算A'!$D$88:$DS$88,$CW5:$HL5))*1000+29)</f>
        <v/>
      </c>
      <c r="CF5">
        <f>IF(AL5=1,1000000,IF('計算A'!$EA$39=2,SUMPRODUCT('計算A'!$D$89:$DS$89,$CW5:$HL5,$HN5:$MC5),SUMPRODUCT('計算A'!$D$89:$DS$89,$CW5:$HL5))*1000+30)</f>
        <v/>
      </c>
      <c r="CG5">
        <f>IF(AM5=1,1000000,IF('計算A'!$EA$40=2,SUMPRODUCT('計算A'!$D$90:$DS$90,$CW5:$HL5,$HN5:$MC5),SUMPRODUCT('計算A'!$D$90:$DS$90,$CW5:$HL5))*1000+31)</f>
        <v/>
      </c>
      <c r="CH5">
        <f>IF(AN5=1,1000000,IF('計算A'!$EA$41=2,SUMPRODUCT('計算A'!$D$91:$DS$91,$CW5:$HL5,$HN5:$MC5),SUMPRODUCT('計算A'!$D$91:$DS$91,$CW5:$HL5))*1000+32)</f>
        <v/>
      </c>
      <c r="CI5">
        <f>IF(AO5=1,1000000,IF('計算A'!$EA$42=2,SUMPRODUCT('計算A'!$D$92:$DS$92,$CW5:$HL5,$HN5:$MC5),SUMPRODUCT('計算A'!$D$92:$DS$92,$CW5:$HL5))*1000+33)</f>
        <v/>
      </c>
      <c r="CJ5">
        <f>IF(AP5=1,1000000,IF('計算A'!$EA$43=2,SUMPRODUCT('計算A'!$D$93:$DS$93,$CW5:$HL5,$HN5:$MC5),SUMPRODUCT('計算A'!$D$93:$DS$93,$CW5:$HL5))*1000+34)</f>
        <v/>
      </c>
      <c r="CK5">
        <f>IF(AQ5=1,1000000,IF('計算A'!$EA$44=2,SUMPRODUCT('計算A'!$D$94:$DS$94,$CW5:$HL5,$HN5:$MC5),SUMPRODUCT('計算A'!$D$94:$DS$94,$CW5:$HL5))*1000+35)</f>
        <v/>
      </c>
      <c r="CL5">
        <f>IF(AR5=1,1000000,IF('計算A'!$EA$45=2,SUMPRODUCT('計算A'!$D$95:$DS$95,$CW5:$HL5,$HN5:$MC5),SUMPRODUCT('計算A'!$D$95:$DS$95,$CW5:$HL5))*1000+36)</f>
        <v/>
      </c>
      <c r="CM5">
        <f>IF(AS5=1,1000000,IF('計算A'!$EA$46=2,SUMPRODUCT('計算A'!$D$96:$DS$96,$CW5:$HL5,$HN5:$MC5),SUMPRODUCT('計算A'!$D$96:$DS$96,$CW5:$HL5))*1000+37)</f>
        <v/>
      </c>
      <c r="CN5">
        <f>IF(AT5=1,1000000,IF('計算A'!$EA$47=2,SUMPRODUCT('計算A'!$D$97:$DS$97,$CW5:$HL5,$HN5:$MC5),SUMPRODUCT('計算A'!$D$97:$DS$97,$CW5:$HL5))*1000+38)</f>
        <v/>
      </c>
      <c r="CO5">
        <f>IF(AU5=1,1000000,IF('計算A'!$EA$48=2,SUMPRODUCT('計算A'!$D$98:$DS$98,$CW5:$HL5,$HN5:$MC5),SUMPRODUCT('計算A'!$D$98:$DS$98,$CW5:$HL5))*1000+39)</f>
        <v/>
      </c>
      <c r="CP5">
        <f>IF(AV5=1,1000000,IF('計算A'!$EA$49=2,SUMPRODUCT('計算A'!$D$99:$DS$99,$CW5:$HL5,$HN5:$MC5),SUMPRODUCT('計算A'!$D$99:$DS$99,$CW5:$HL5))*1000+40)</f>
        <v/>
      </c>
      <c r="CQ5">
        <f>IF(AW5=1,1000000,IF('計算A'!$EA$50=2,SUMPRODUCT('計算A'!$D$100:$DS$100,$CW5:$HL5,$HN5:$MC5),SUMPRODUCT('計算A'!$D$100:$DS$100,$CW5:$HL5))*1000+41)</f>
        <v/>
      </c>
      <c r="CR5">
        <f>IF(AX5=1,1000000,IF('計算A'!$EA$51=2,SUMPRODUCT('計算A'!$D$101:$DS$101,$CW5:$HL5,$HN5:$MC5),SUMPRODUCT('計算A'!$D$101:$DS$101,$CW5:$HL5))*1000+42)</f>
        <v/>
      </c>
      <c r="CS5">
        <f>IF(AY5=1,1000000,IF('計算A'!$EA$52=2,SUMPRODUCT('計算A'!$D$102:$DS$102,$CW5:$HL5,$HN5:$MC5),SUMPRODUCT('計算A'!$D$102:$DS$102,$CW5:$HL5))*1000+43)</f>
        <v/>
      </c>
      <c r="CT5">
        <f>IF(AZ5=1,1000000,IF('計算A'!$EA$53=2,SUMPRODUCT('計算A'!$D$103:$DS$103,$CW5:$HL5,$HN5:$MC5),SUMPRODUCT('計算A'!$D$103:$DS$103,$CW5:$HL5))*1000+44)</f>
        <v/>
      </c>
      <c r="CU5">
        <f>IF(BA5=1,1000000,IF('計算A'!$EA$54=2,SUMPRODUCT('計算A'!$D$104:$DS$104,$CW5:$HL5,$HN5:$MC5),SUMPRODUCT('計算A'!$D$104:$DS$104,$CW5:$HL5))*1000+45)</f>
        <v/>
      </c>
      <c r="CW5">
        <f>CW4*IF(OR($C4=1,$G4=1),0,1)</f>
        <v/>
      </c>
      <c r="CX5">
        <f>CX4*IF(OR($C4=2,$G4=2),0,1)</f>
        <v/>
      </c>
      <c r="CY5">
        <f>CY4*IF(OR($C4=3,$G4=3),0,1)</f>
        <v/>
      </c>
      <c r="CZ5">
        <f>CZ4*IF(OR($C4=4,$G4=4),0,1)</f>
        <v/>
      </c>
      <c r="DA5">
        <f>DA4*IF(OR($C4=5,$G4=5),0,1)</f>
        <v/>
      </c>
      <c r="DB5">
        <f>DB4*IF(OR($C4=6,$G4=6),0,1)</f>
        <v/>
      </c>
      <c r="DC5">
        <f>DC4*IF(OR($C4=7,$G4=7),0,1)</f>
        <v/>
      </c>
      <c r="DD5">
        <f>DD4*IF(OR($C4=8,$G4=8),0,1)</f>
        <v/>
      </c>
      <c r="DE5">
        <f>DE4*IF(OR($C4=9,$G4=9),0,1)</f>
        <v/>
      </c>
      <c r="DF5">
        <f>DF4*IF(OR($C4=10,$G4=10),0,1)</f>
        <v/>
      </c>
      <c r="DG5">
        <f>DG4*IF(OR($C4=11,$G4=11),0,1)</f>
        <v/>
      </c>
      <c r="DH5">
        <f>DH4*IF(OR($C4=12,$G4=12),0,1)</f>
        <v/>
      </c>
      <c r="DI5">
        <f>DI4*IF(OR($C4=13,$G4=13),0,1)</f>
        <v/>
      </c>
      <c r="DJ5">
        <f>DJ4*IF(OR($C4=14,$G4=14),0,1)</f>
        <v/>
      </c>
      <c r="DK5">
        <f>DK4*IF(OR($C4=15,$G4=15),0,1)</f>
        <v/>
      </c>
      <c r="DL5">
        <f>DL4*IF(OR($C4=16,$G4=16),0,1)</f>
        <v/>
      </c>
      <c r="DM5">
        <f>DM4*IF(OR($C4=17,$G4=17),0,1)</f>
        <v/>
      </c>
      <c r="DN5">
        <f>DN4*IF(OR($C4=18,$G4=18),0,1)</f>
        <v/>
      </c>
      <c r="DO5">
        <f>DO4*IF(OR($C4=19,$G4=19),0,1)</f>
        <v/>
      </c>
      <c r="DP5">
        <f>DP4*IF(OR($C4=20,$G4=20),0,1)</f>
        <v/>
      </c>
      <c r="DQ5">
        <f>DQ4*IF(OR($C4=21,$G4=21),0,1)</f>
        <v/>
      </c>
      <c r="DR5">
        <f>DR4*IF(OR($C4=22,$G4=22),0,1)</f>
        <v/>
      </c>
      <c r="DS5">
        <f>DS4*IF(OR($C4=23,$G4=23),0,1)</f>
        <v/>
      </c>
      <c r="DT5">
        <f>DT4*IF(OR($C4=24,$G4=24),0,1)</f>
        <v/>
      </c>
      <c r="DU5">
        <f>DU4*IF(OR($C4=25,$G4=25),0,1)</f>
        <v/>
      </c>
      <c r="DV5">
        <f>DV4*IF(OR($C4=26,$G4=26),0,1)</f>
        <v/>
      </c>
      <c r="DW5">
        <f>DW4*IF(OR($C4=27,$G4=27),0,1)</f>
        <v/>
      </c>
      <c r="DX5">
        <f>DX4*IF(OR($C4=28,$G4=28),0,1)</f>
        <v/>
      </c>
      <c r="DY5">
        <f>DY4*IF(OR($C4=29,$G4=29),0,1)</f>
        <v/>
      </c>
      <c r="DZ5">
        <f>DZ4*IF(OR($C4=30,$G4=30),0,1)</f>
        <v/>
      </c>
      <c r="EA5">
        <f>EA4*IF(OR($C4=31,$G4=31),0,1)</f>
        <v/>
      </c>
      <c r="EB5">
        <f>EB4*IF(OR($C4=32,$G4=32),0,1)</f>
        <v/>
      </c>
      <c r="EC5">
        <f>EC4*IF(OR($C4=33,$G4=33),0,1)</f>
        <v/>
      </c>
      <c r="ED5">
        <f>ED4*IF(OR($C4=34,$G4=34),0,1)</f>
        <v/>
      </c>
      <c r="EE5">
        <f>EE4*IF(OR($C4=35,$G4=35),0,1)</f>
        <v/>
      </c>
      <c r="EF5">
        <f>EF4*IF(OR($C4=36,$G4=36),0,1)</f>
        <v/>
      </c>
      <c r="EG5">
        <f>EG4*IF(OR($C4=37,$G4=37),0,1)</f>
        <v/>
      </c>
      <c r="EH5">
        <f>EH4*IF(OR($C4=38,$G4=38),0,1)</f>
        <v/>
      </c>
      <c r="EI5">
        <f>EI4*IF(OR($C4=39,$G4=39),0,1)</f>
        <v/>
      </c>
      <c r="EJ5">
        <f>EJ4*IF(OR($C4=40,$G4=40),0,1)</f>
        <v/>
      </c>
      <c r="EK5">
        <f>EK4*IF(OR($C4=41,$G4=41),0,1)</f>
        <v/>
      </c>
      <c r="EL5">
        <f>EL4*IF(OR($C4=42,$G4=42),0,1)</f>
        <v/>
      </c>
      <c r="EM5">
        <f>EM4*IF(OR($C4=43,$G4=43),0,1)</f>
        <v/>
      </c>
      <c r="EN5">
        <f>EN4*IF(OR($C4=44,$G4=44),0,1)</f>
        <v/>
      </c>
      <c r="EO5">
        <f>EO4*IF(OR($C4=45,$G4=45),0,1)</f>
        <v/>
      </c>
      <c r="EP5">
        <f>EP4*IF(OR($C4=46,$G4=46),0,1)</f>
        <v/>
      </c>
      <c r="EQ5">
        <f>EQ4*IF(OR($C4=47,$G4=47),0,1)</f>
        <v/>
      </c>
      <c r="ER5">
        <f>ER4*IF(OR($C4=48,$G4=48),0,1)</f>
        <v/>
      </c>
      <c r="ES5">
        <f>ES4*IF(OR($C4=49,$G4=49),0,1)</f>
        <v/>
      </c>
      <c r="ET5">
        <f>ET4*IF(OR($C4=50,$G4=50),0,1)</f>
        <v/>
      </c>
      <c r="EU5">
        <f>EU4*IF(OR($C4=51,$G4=51),0,1)</f>
        <v/>
      </c>
      <c r="EV5">
        <f>EV4*IF(OR($C4=52,$G4=52),0,1)</f>
        <v/>
      </c>
      <c r="EW5">
        <f>EW4*IF(OR($C4=53,$G4=53),0,1)</f>
        <v/>
      </c>
      <c r="EX5">
        <f>EX4*IF(OR($C4=54,$G4=54),0,1)</f>
        <v/>
      </c>
      <c r="EY5">
        <f>EY4*IF(OR($C4=55,$G4=55),0,1)</f>
        <v/>
      </c>
      <c r="EZ5">
        <f>EZ4*IF(OR($C4=56,$G4=56),0,1)</f>
        <v/>
      </c>
      <c r="FA5">
        <f>FA4*IF(OR($C4=57,$G4=57),0,1)</f>
        <v/>
      </c>
      <c r="FB5">
        <f>FB4*IF(OR($C4=58,$G4=58),0,1)</f>
        <v/>
      </c>
      <c r="FC5">
        <f>FC4*IF(OR($C4=59,$G4=59),0,1)</f>
        <v/>
      </c>
      <c r="FD5">
        <f>FD4*IF(OR($C4=60,$G4=60),0,1)</f>
        <v/>
      </c>
      <c r="FE5">
        <f>FE4*IF(OR($C4=61,$G4=61),0,1)</f>
        <v/>
      </c>
      <c r="FF5">
        <f>FF4*IF(OR($C4=62,$G4=62),0,1)</f>
        <v/>
      </c>
      <c r="FG5">
        <f>FG4*IF(OR($C4=63,$G4=63),0,1)</f>
        <v/>
      </c>
      <c r="FH5">
        <f>FH4*IF(OR($C4=64,$G4=64),0,1)</f>
        <v/>
      </c>
      <c r="FI5">
        <f>FI4*IF(OR($C4=65,$G4=65),0,1)</f>
        <v/>
      </c>
      <c r="FJ5">
        <f>FJ4*IF(OR($C4=66,$G4=66),0,1)</f>
        <v/>
      </c>
      <c r="FK5">
        <f>FK4*IF(OR($C4=67,$G4=67),0,1)</f>
        <v/>
      </c>
      <c r="FL5">
        <f>FL4*IF(OR($C4=68,$G4=68),0,1)</f>
        <v/>
      </c>
      <c r="FM5">
        <f>FM4*IF(OR($C4=69,$G4=69),0,1)</f>
        <v/>
      </c>
      <c r="FN5">
        <f>FN4*IF(OR($C4=70,$G4=70),0,1)</f>
        <v/>
      </c>
      <c r="FO5">
        <f>FO4*IF(OR($C4=71,$G4=71),0,1)</f>
        <v/>
      </c>
      <c r="FP5">
        <f>FP4*IF(OR($C4=72,$G4=72),0,1)</f>
        <v/>
      </c>
      <c r="FQ5">
        <f>FQ4*IF(OR($C4=73,$G4=73),0,1)</f>
        <v/>
      </c>
      <c r="FR5">
        <f>FR4*IF(OR($C4=74,$G4=74),0,1)</f>
        <v/>
      </c>
      <c r="FS5">
        <f>FS4*IF(OR($C4=75,$G4=75),0,1)</f>
        <v/>
      </c>
      <c r="FT5">
        <f>FT4*IF(OR($C4=76,$G4=76),0,1)</f>
        <v/>
      </c>
      <c r="FU5">
        <f>FU4*IF(OR($C4=77,$G4=77),0,1)</f>
        <v/>
      </c>
      <c r="FV5">
        <f>FV4*IF(OR($C4=78,$G4=78),0,1)</f>
        <v/>
      </c>
      <c r="FW5">
        <f>FW4*IF(OR($C4=79,$G4=79),0,1)</f>
        <v/>
      </c>
      <c r="FX5">
        <f>FX4*IF(OR($C4=80,$G4=80),0,1)</f>
        <v/>
      </c>
      <c r="FY5">
        <f>FY4*IF(OR($C4=81,$G4=81),0,1)</f>
        <v/>
      </c>
      <c r="FZ5">
        <f>FZ4*IF(OR($C4=82,$G4=82),0,1)</f>
        <v/>
      </c>
      <c r="GA5">
        <f>GA4*IF(OR($C4=83,$G4=83),0,1)</f>
        <v/>
      </c>
      <c r="GB5">
        <f>GB4*IF(OR($C4=84,$G4=84),0,1)</f>
        <v/>
      </c>
      <c r="GC5">
        <f>GC4*IF(OR($C4=85,$G4=85),0,1)</f>
        <v/>
      </c>
      <c r="GD5">
        <f>GD4*IF(OR($C4=86,$G4=86),0,1)</f>
        <v/>
      </c>
      <c r="GE5">
        <f>GE4*IF(OR($C4=87,$G4=87),0,1)</f>
        <v/>
      </c>
      <c r="GF5">
        <f>GF4*IF(OR($C4=88,$G4=88),0,1)</f>
        <v/>
      </c>
      <c r="GG5">
        <f>GG4*IF(OR($C4=89,$G4=89),0,1)</f>
        <v/>
      </c>
      <c r="GH5">
        <f>GH4*IF(OR($C4=90,$G4=90),0,1)</f>
        <v/>
      </c>
      <c r="GI5">
        <f>GI4*IF(OR($C4=91,$G4=91),0,1)</f>
        <v/>
      </c>
      <c r="GJ5">
        <f>GJ4*IF(OR($C4=92,$G4=92),0,1)</f>
        <v/>
      </c>
      <c r="GK5">
        <f>GK4*IF(OR($C4=93,$G4=93),0,1)</f>
        <v/>
      </c>
      <c r="GL5">
        <f>GL4*IF(OR($C4=94,$G4=94),0,1)</f>
        <v/>
      </c>
      <c r="GM5">
        <f>GM4*IF(OR($C4=95,$G4=95),0,1)</f>
        <v/>
      </c>
      <c r="GN5">
        <f>GN4*IF(OR($C4=96,$G4=96),0,1)</f>
        <v/>
      </c>
      <c r="GO5">
        <f>GO4*IF(OR($C4=97,$G4=97),0,1)</f>
        <v/>
      </c>
      <c r="GP5">
        <f>GP4*IF(OR($C4=98,$G4=98),0,1)</f>
        <v/>
      </c>
      <c r="GQ5">
        <f>GQ4*IF(OR($C4=99,$G4=99),0,1)</f>
        <v/>
      </c>
      <c r="GR5">
        <f>GR4*IF(OR($C4=100,$G4=100),0,1)</f>
        <v/>
      </c>
      <c r="GS5">
        <f>GS4*IF(OR($C4=101,$G4=101),0,1)</f>
        <v/>
      </c>
      <c r="GT5">
        <f>GT4*IF(OR($C4=102,$G4=102),0,1)</f>
        <v/>
      </c>
      <c r="GU5">
        <f>GU4*IF(OR($C4=103,$G4=103),0,1)</f>
        <v/>
      </c>
      <c r="GV5">
        <f>GV4*IF(OR($C4=104,$G4=104),0,1)</f>
        <v/>
      </c>
      <c r="GW5">
        <f>GW4*IF(OR($C4=105,$G4=105),0,1)</f>
        <v/>
      </c>
      <c r="GX5">
        <f>GX4*IF(OR($C4=106,$G4=106),0,1)</f>
        <v/>
      </c>
      <c r="GY5">
        <f>GY4*IF(OR($C4=107,$G4=107),0,1)</f>
        <v/>
      </c>
      <c r="GZ5">
        <f>GZ4*IF(OR($C4=108,$G4=108),0,1)</f>
        <v/>
      </c>
      <c r="HA5">
        <f>HA4*IF(OR($C4=109,$G4=109),0,1)</f>
        <v/>
      </c>
      <c r="HB5">
        <f>HB4*IF(OR($C4=110,$G4=110),0,1)</f>
        <v/>
      </c>
      <c r="HC5">
        <f>HC4*IF(OR($C4=111,$G4=111),0,1)</f>
        <v/>
      </c>
      <c r="HD5">
        <f>HD4*IF(OR($C4=112,$G4=112),0,1)</f>
        <v/>
      </c>
      <c r="HE5">
        <f>HE4*IF(OR($C4=113,$G4=113),0,1)</f>
        <v/>
      </c>
      <c r="HF5">
        <f>HF4*IF(OR($C4=114,$G4=114),0,1)</f>
        <v/>
      </c>
      <c r="HG5">
        <f>HG4*IF(OR($C4=115,$G4=115),0,1)</f>
        <v/>
      </c>
      <c r="HH5">
        <f>HH4*IF(OR($C4=116,$G4=116),0,1)</f>
        <v/>
      </c>
      <c r="HI5">
        <f>HI4*IF(OR($C4=117,$G4=117),0,1)</f>
        <v/>
      </c>
      <c r="HJ5">
        <f>HJ4*IF(OR($C4=118,$G4=118),0,1)</f>
        <v/>
      </c>
      <c r="HK5">
        <f>HK4*IF(OR($C4=119,$G4=119),0,1)</f>
        <v/>
      </c>
      <c r="HL5">
        <f>HL4*IF(OR($C4=120,$G4=120),0,1)</f>
        <v/>
      </c>
      <c r="HN5">
        <f>IF('計算A'!D$106=1,CX5,1)</f>
        <v/>
      </c>
      <c r="HO5">
        <f>IF('計算A'!E$106=1,CY5,1)</f>
        <v/>
      </c>
      <c r="HP5">
        <f>IF('計算A'!F$106=1,CZ5,1)</f>
        <v/>
      </c>
      <c r="HQ5">
        <f>IF('計算A'!G$106=1,DA5,1)</f>
        <v/>
      </c>
      <c r="HR5">
        <f>IF('計算A'!H$106=1,DB5,1)</f>
        <v/>
      </c>
      <c r="HS5">
        <f>IF('計算A'!I$106=1,DC5,1)</f>
        <v/>
      </c>
      <c r="HT5">
        <f>IF('計算A'!J$106=1,DD5,1)</f>
        <v/>
      </c>
      <c r="HU5">
        <f>IF('計算A'!K$106=1,DE5,1)</f>
        <v/>
      </c>
      <c r="HV5">
        <f>IF('計算A'!L$106=1,DF5,1)</f>
        <v/>
      </c>
      <c r="HW5">
        <f>IF('計算A'!M$106=1,DG5,1)</f>
        <v/>
      </c>
      <c r="HX5">
        <f>IF('計算A'!N$106=1,DH5,1)</f>
        <v/>
      </c>
      <c r="HY5">
        <f>IF('計算A'!O$106=1,DI5,1)</f>
        <v/>
      </c>
      <c r="HZ5">
        <f>IF('計算A'!P$106=1,DJ5,1)</f>
        <v/>
      </c>
      <c r="IA5">
        <f>IF('計算A'!Q$106=1,DK5,1)</f>
        <v/>
      </c>
      <c r="IB5">
        <f>IF('計算A'!R$106=1,DL5,1)</f>
        <v/>
      </c>
      <c r="IC5">
        <f>IF('計算A'!S$106=1,DM5,1)</f>
        <v/>
      </c>
      <c r="ID5">
        <f>IF('計算A'!T$106=1,DN5,1)</f>
        <v/>
      </c>
      <c r="IE5">
        <f>IF('計算A'!U$106=1,DO5,1)</f>
        <v/>
      </c>
      <c r="IF5">
        <f>IF('計算A'!V$106=1,DP5,1)</f>
        <v/>
      </c>
      <c r="IG5">
        <f>IF('計算A'!W$106=1,DQ5,1)</f>
        <v/>
      </c>
      <c r="IH5">
        <f>IF('計算A'!X$106=1,DR5,1)</f>
        <v/>
      </c>
      <c r="II5">
        <f>IF('計算A'!Y$106=1,DS5,1)</f>
        <v/>
      </c>
      <c r="IJ5">
        <f>IF('計算A'!Z$106=1,DT5,1)</f>
        <v/>
      </c>
      <c r="IK5">
        <f>IF('計算A'!AA$106=1,DU5,1)</f>
        <v/>
      </c>
      <c r="IL5">
        <f>IF('計算A'!AB$106=1,DV5,1)</f>
        <v/>
      </c>
      <c r="IM5">
        <f>IF('計算A'!AC$106=1,DW5,1)</f>
        <v/>
      </c>
      <c r="IN5">
        <f>IF('計算A'!AD$106=1,DX5,1)</f>
        <v/>
      </c>
      <c r="IO5">
        <f>IF('計算A'!AE$106=1,DY5,1)</f>
        <v/>
      </c>
      <c r="IP5">
        <f>IF('計算A'!AF$106=1,DZ5,1)</f>
        <v/>
      </c>
      <c r="IQ5">
        <f>IF('計算A'!AG$106=1,EA5,1)</f>
        <v/>
      </c>
      <c r="IR5">
        <f>IF('計算A'!AH$106=1,EB5,1)</f>
        <v/>
      </c>
      <c r="IS5">
        <f>IF('計算A'!AI$106=1,EC5,1)</f>
        <v/>
      </c>
      <c r="IT5">
        <f>IF('計算A'!AJ$106=1,ED5,1)</f>
        <v/>
      </c>
      <c r="IU5">
        <f>IF('計算A'!AK$106=1,EE5,1)</f>
        <v/>
      </c>
      <c r="IV5">
        <f>IF('計算A'!AL$106=1,EF5,1)</f>
        <v/>
      </c>
      <c r="IW5">
        <f>IF('計算A'!AM$106=1,EG5,1)</f>
        <v/>
      </c>
      <c r="IX5">
        <f>IF('計算A'!AN$106=1,EH5,1)</f>
        <v/>
      </c>
      <c r="IY5">
        <f>IF('計算A'!AO$106=1,EI5,1)</f>
        <v/>
      </c>
      <c r="IZ5">
        <f>IF('計算A'!AP$106=1,EJ5,1)</f>
        <v/>
      </c>
      <c r="JA5">
        <f>IF('計算A'!AQ$106=1,EK5,1)</f>
        <v/>
      </c>
      <c r="JB5">
        <f>IF('計算A'!AR$106=1,EL5,1)</f>
        <v/>
      </c>
      <c r="JC5">
        <f>IF('計算A'!AS$106=1,EM5,1)</f>
        <v/>
      </c>
      <c r="JD5">
        <f>IF('計算A'!AT$106=1,EN5,1)</f>
        <v/>
      </c>
      <c r="JE5">
        <f>IF('計算A'!AU$106=1,EO5,1)</f>
        <v/>
      </c>
      <c r="JF5">
        <f>IF('計算A'!AV$106=1,EP5,1)</f>
        <v/>
      </c>
      <c r="JG5">
        <f>IF('計算A'!AW$106=1,EQ5,1)</f>
        <v/>
      </c>
      <c r="JH5">
        <f>IF('計算A'!AX$106=1,ER5,1)</f>
        <v/>
      </c>
      <c r="JI5">
        <f>IF('計算A'!AY$106=1,ES5,1)</f>
        <v/>
      </c>
      <c r="JJ5">
        <f>IF('計算A'!AZ$106=1,ET5,1)</f>
        <v/>
      </c>
      <c r="JK5">
        <f>IF('計算A'!BA$106=1,EU5,1)</f>
        <v/>
      </c>
      <c r="JL5">
        <f>IF('計算A'!BB$106=1,EV5,1)</f>
        <v/>
      </c>
      <c r="JM5">
        <f>IF('計算A'!BC$106=1,EW5,1)</f>
        <v/>
      </c>
      <c r="JN5">
        <f>IF('計算A'!BD$106=1,EX5,1)</f>
        <v/>
      </c>
      <c r="JO5">
        <f>IF('計算A'!BE$106=1,EY5,1)</f>
        <v/>
      </c>
      <c r="JP5">
        <f>IF('計算A'!BF$106=1,EZ5,1)</f>
        <v/>
      </c>
      <c r="JQ5">
        <f>IF('計算A'!BG$106=1,FA5,1)</f>
        <v/>
      </c>
      <c r="JR5">
        <f>IF('計算A'!BH$106=1,FB5,1)</f>
        <v/>
      </c>
      <c r="JS5">
        <f>IF('計算A'!BI$106=1,FC5,1)</f>
        <v/>
      </c>
      <c r="JT5">
        <f>IF('計算A'!BJ$106=1,FD5,1)</f>
        <v/>
      </c>
      <c r="JU5">
        <f>IF('計算A'!BK$106=1,FE5,1)</f>
        <v/>
      </c>
      <c r="JV5">
        <f>IF('計算A'!BL$106=1,FF5,1)</f>
        <v/>
      </c>
      <c r="JW5">
        <f>IF('計算A'!BM$106=1,FG5,1)</f>
        <v/>
      </c>
      <c r="JX5">
        <f>IF('計算A'!BN$106=1,FH5,1)</f>
        <v/>
      </c>
      <c r="JY5">
        <f>IF('計算A'!BO$106=1,FI5,1)</f>
        <v/>
      </c>
      <c r="JZ5">
        <f>IF('計算A'!BP$106=1,FJ5,1)</f>
        <v/>
      </c>
      <c r="KA5">
        <f>IF('計算A'!BQ$106=1,FK5,1)</f>
        <v/>
      </c>
      <c r="KB5">
        <f>IF('計算A'!BR$106=1,FL5,1)</f>
        <v/>
      </c>
      <c r="KC5">
        <f>IF('計算A'!BS$106=1,FM5,1)</f>
        <v/>
      </c>
      <c r="KD5">
        <f>IF('計算A'!BT$106=1,FN5,1)</f>
        <v/>
      </c>
      <c r="KE5">
        <f>IF('計算A'!BU$106=1,FO5,1)</f>
        <v/>
      </c>
      <c r="KF5">
        <f>IF('計算A'!BV$106=1,FP5,1)</f>
        <v/>
      </c>
      <c r="KG5">
        <f>IF('計算A'!BW$106=1,FQ5,1)</f>
        <v/>
      </c>
      <c r="KH5">
        <f>IF('計算A'!BX$106=1,FR5,1)</f>
        <v/>
      </c>
      <c r="KI5">
        <f>IF('計算A'!BY$106=1,FS5,1)</f>
        <v/>
      </c>
      <c r="KJ5">
        <f>IF('計算A'!BZ$106=1,FT5,1)</f>
        <v/>
      </c>
      <c r="KK5">
        <f>IF('計算A'!CA$106=1,FU5,1)</f>
        <v/>
      </c>
      <c r="KL5">
        <f>IF('計算A'!CB$106=1,FV5,1)</f>
        <v/>
      </c>
      <c r="KM5">
        <f>IF('計算A'!CC$106=1,FW5,1)</f>
        <v/>
      </c>
      <c r="KN5">
        <f>IF('計算A'!CD$106=1,FX5,1)</f>
        <v/>
      </c>
      <c r="KO5">
        <f>IF('計算A'!CE$106=1,FY5,1)</f>
        <v/>
      </c>
      <c r="KP5">
        <f>IF('計算A'!CF$106=1,FZ5,1)</f>
        <v/>
      </c>
      <c r="KQ5">
        <f>IF('計算A'!CG$106=1,GA5,1)</f>
        <v/>
      </c>
      <c r="KR5">
        <f>IF('計算A'!CH$106=1,GB5,1)</f>
        <v/>
      </c>
      <c r="KS5">
        <f>IF('計算A'!CI$106=1,GC5,1)</f>
        <v/>
      </c>
      <c r="KT5">
        <f>IF('計算A'!CJ$106=1,GD5,1)</f>
        <v/>
      </c>
      <c r="KU5">
        <f>IF('計算A'!CK$106=1,GE5,1)</f>
        <v/>
      </c>
      <c r="KV5">
        <f>IF('計算A'!CL$106=1,GF5,1)</f>
        <v/>
      </c>
      <c r="KW5">
        <f>IF('計算A'!CM$106=1,GG5,1)</f>
        <v/>
      </c>
      <c r="KX5">
        <f>IF('計算A'!CN$106=1,GH5,1)</f>
        <v/>
      </c>
      <c r="KY5">
        <f>IF('計算A'!CO$106=1,GI5,1)</f>
        <v/>
      </c>
      <c r="KZ5">
        <f>IF('計算A'!CP$106=1,GJ5,1)</f>
        <v/>
      </c>
      <c r="LA5">
        <f>IF('計算A'!CQ$106=1,GK5,1)</f>
        <v/>
      </c>
      <c r="LB5">
        <f>IF('計算A'!CR$106=1,GL5,1)</f>
        <v/>
      </c>
      <c r="LC5">
        <f>IF('計算A'!CS$106=1,GM5,1)</f>
        <v/>
      </c>
      <c r="LD5">
        <f>IF('計算A'!CT$106=1,GN5,1)</f>
        <v/>
      </c>
      <c r="LE5">
        <f>IF('計算A'!CU$106=1,GO5,1)</f>
        <v/>
      </c>
      <c r="LF5">
        <f>IF('計算A'!CV$106=1,GP5,1)</f>
        <v/>
      </c>
      <c r="LG5">
        <f>IF('計算A'!CW$106=1,GQ5,1)</f>
        <v/>
      </c>
      <c r="LH5">
        <f>IF('計算A'!CX$106=1,GR5,1)</f>
        <v/>
      </c>
      <c r="LI5">
        <f>IF('計算A'!CY$106=1,GS5,1)</f>
        <v/>
      </c>
      <c r="LJ5">
        <f>IF('計算A'!CZ$106=1,GT5,1)</f>
        <v/>
      </c>
      <c r="LK5">
        <f>IF('計算A'!DA$106=1,GU5,1)</f>
        <v/>
      </c>
      <c r="LL5">
        <f>IF('計算A'!DB$106=1,GV5,1)</f>
        <v/>
      </c>
      <c r="LM5">
        <f>IF('計算A'!DC$106=1,GW5,1)</f>
        <v/>
      </c>
      <c r="LN5">
        <f>IF('計算A'!DD$106=1,GX5,1)</f>
        <v/>
      </c>
      <c r="LO5">
        <f>IF('計算A'!DE$106=1,GY5,1)</f>
        <v/>
      </c>
      <c r="LP5">
        <f>IF('計算A'!DF$106=1,GZ5,1)</f>
        <v/>
      </c>
      <c r="LQ5">
        <f>IF('計算A'!DG$106=1,HA5,1)</f>
        <v/>
      </c>
      <c r="LR5">
        <f>IF('計算A'!DH$106=1,HB5,1)</f>
        <v/>
      </c>
      <c r="LS5">
        <f>IF('計算A'!DI$106=1,HC5,1)</f>
        <v/>
      </c>
      <c r="LT5">
        <f>IF('計算A'!DJ$106=1,HD5,1)</f>
        <v/>
      </c>
      <c r="LU5">
        <f>IF('計算A'!DK$106=1,HE5,1)</f>
        <v/>
      </c>
      <c r="LV5">
        <f>IF('計算A'!DL$106=1,HF5,1)</f>
        <v/>
      </c>
      <c r="LW5">
        <f>IF('計算A'!DM$106=1,HG5,1)</f>
        <v/>
      </c>
      <c r="LX5">
        <f>IF('計算A'!DN$106=1,HH5,1)</f>
        <v/>
      </c>
      <c r="LY5">
        <f>IF('計算A'!DO$106=1,HI5,1)</f>
        <v/>
      </c>
      <c r="LZ5">
        <f>IF('計算A'!DP$106=1,HJ5,1)</f>
        <v/>
      </c>
      <c r="MA5">
        <f>IF('計算A'!DQ$106=1,HK5,1)</f>
        <v/>
      </c>
      <c r="MB5">
        <f>IF('計算A'!DR$106=1,HL5,1)</f>
        <v/>
      </c>
      <c r="MC5" t="n">
        <v>1</v>
      </c>
      <c r="ME5">
        <f>IF($B5=0,1000000,IF(INDEX('計算A'!$D$60:$DS$104,$B5,1)*CW5=1,IF(AND($E5=2,HN5=0),1000000,INDEX('計算A'!D$110:D$114,$F5+1)+IF(AND($E5=1,HN5=0),1000,0)),1000000))</f>
        <v/>
      </c>
      <c r="MF5">
        <f>IF($B5=0,1000000,IF(INDEX('計算A'!$D$60:$DS$104,$B5,2)*CX5=1,IF(AND($E5=2,HO5=0),1000000,INDEX('計算A'!E$110:E$114,$F5+1)+IF(AND($E5=1,HO5=0),1000,0)),1000000))</f>
        <v/>
      </c>
      <c r="MG5">
        <f>IF($B5=0,1000000,IF(INDEX('計算A'!$D$60:$DS$104,$B5,3)*CY5=1,IF(AND($E5=2,HP5=0),1000000,INDEX('計算A'!F$110:F$114,$F5+1)+IF(AND($E5=1,HP5=0),1000,0)),1000000))</f>
        <v/>
      </c>
      <c r="MH5">
        <f>IF($B5=0,1000000,IF(INDEX('計算A'!$D$60:$DS$104,$B5,4)*CZ5=1,IF(AND($E5=2,HQ5=0),1000000,INDEX('計算A'!G$110:G$114,$F5+1)+IF(AND($E5=1,HQ5=0),1000,0)),1000000))</f>
        <v/>
      </c>
      <c r="MI5">
        <f>IF($B5=0,1000000,IF(INDEX('計算A'!$D$60:$DS$104,$B5,5)*DA5=1,IF(AND($E5=2,HR5=0),1000000,INDEX('計算A'!H$110:H$114,$F5+1)+IF(AND($E5=1,HR5=0),1000,0)),1000000))</f>
        <v/>
      </c>
      <c r="MJ5">
        <f>IF($B5=0,1000000,IF(INDEX('計算A'!$D$60:$DS$104,$B5,6)*DB5=1,IF(AND($E5=2,HS5=0),1000000,INDEX('計算A'!I$110:I$114,$F5+1)+IF(AND($E5=1,HS5=0),1000,0)),1000000))</f>
        <v/>
      </c>
      <c r="MK5">
        <f>IF($B5=0,1000000,IF(INDEX('計算A'!$D$60:$DS$104,$B5,7)*DC5=1,IF(AND($E5=2,HT5=0),1000000,INDEX('計算A'!J$110:J$114,$F5+1)+IF(AND($E5=1,HT5=0),1000,0)),1000000))</f>
        <v/>
      </c>
      <c r="ML5">
        <f>IF($B5=0,1000000,IF(INDEX('計算A'!$D$60:$DS$104,$B5,8)*DD5=1,IF(AND($E5=2,HU5=0),1000000,INDEX('計算A'!K$110:K$114,$F5+1)+IF(AND($E5=1,HU5=0),1000,0)),1000000))</f>
        <v/>
      </c>
      <c r="MM5">
        <f>IF($B5=0,1000000,IF(INDEX('計算A'!$D$60:$DS$104,$B5,9)*DE5=1,IF(AND($E5=2,HV5=0),1000000,INDEX('計算A'!L$110:L$114,$F5+1)+IF(AND($E5=1,HV5=0),1000,0)),1000000))</f>
        <v/>
      </c>
      <c r="MN5">
        <f>IF($B5=0,1000000,IF(INDEX('計算A'!$D$60:$DS$104,$B5,10)*DF5=1,IF(AND($E5=2,HW5=0),1000000,INDEX('計算A'!M$110:M$114,$F5+1)+IF(AND($E5=1,HW5=0),1000,0)),1000000))</f>
        <v/>
      </c>
      <c r="MO5">
        <f>IF($B5=0,1000000,IF(INDEX('計算A'!$D$60:$DS$104,$B5,11)*DG5=1,IF(AND($E5=2,HX5=0),1000000,INDEX('計算A'!N$110:N$114,$F5+1)+IF(AND($E5=1,HX5=0),1000,0)),1000000))</f>
        <v/>
      </c>
      <c r="MP5">
        <f>IF($B5=0,1000000,IF(INDEX('計算A'!$D$60:$DS$104,$B5,12)*DH5=1,IF(AND($E5=2,HY5=0),1000000,INDEX('計算A'!O$110:O$114,$F5+1)+IF(AND($E5=1,HY5=0),1000,0)),1000000))</f>
        <v/>
      </c>
      <c r="MQ5">
        <f>IF($B5=0,1000000,IF(INDEX('計算A'!$D$60:$DS$104,$B5,13)*DI5=1,IF(AND($E5=2,HZ5=0),1000000,INDEX('計算A'!P$110:P$114,$F5+1)+IF(AND($E5=1,HZ5=0),1000,0)),1000000))</f>
        <v/>
      </c>
      <c r="MR5">
        <f>IF($B5=0,1000000,IF(INDEX('計算A'!$D$60:$DS$104,$B5,14)*DJ5=1,IF(AND($E5=2,IA5=0),1000000,INDEX('計算A'!Q$110:Q$114,$F5+1)+IF(AND($E5=1,IA5=0),1000,0)),1000000))</f>
        <v/>
      </c>
      <c r="MS5">
        <f>IF($B5=0,1000000,IF(INDEX('計算A'!$D$60:$DS$104,$B5,15)*DK5=1,IF(AND($E5=2,IB5=0),1000000,INDEX('計算A'!R$110:R$114,$F5+1)+IF(AND($E5=1,IB5=0),1000,0)),1000000))</f>
        <v/>
      </c>
      <c r="MT5">
        <f>IF($B5=0,1000000,IF(INDEX('計算A'!$D$60:$DS$104,$B5,16)*DL5=1,IF(AND($E5=2,IC5=0),1000000,INDEX('計算A'!S$110:S$114,$F5+1)+IF(AND($E5=1,IC5=0),1000,0)),1000000))</f>
        <v/>
      </c>
      <c r="MU5">
        <f>IF($B5=0,1000000,IF(INDEX('計算A'!$D$60:$DS$104,$B5,17)*DM5=1,IF(AND($E5=2,ID5=0),1000000,INDEX('計算A'!T$110:T$114,$F5+1)+IF(AND($E5=1,ID5=0),1000,0)),1000000))</f>
        <v/>
      </c>
      <c r="MV5">
        <f>IF($B5=0,1000000,IF(INDEX('計算A'!$D$60:$DS$104,$B5,18)*DN5=1,IF(AND($E5=2,IE5=0),1000000,INDEX('計算A'!U$110:U$114,$F5+1)+IF(AND($E5=1,IE5=0),1000,0)),1000000))</f>
        <v/>
      </c>
      <c r="MW5">
        <f>IF($B5=0,1000000,IF(INDEX('計算A'!$D$60:$DS$104,$B5,19)*DO5=1,IF(AND($E5=2,IF5=0),1000000,INDEX('計算A'!V$110:V$114,$F5+1)+IF(AND($E5=1,IF5=0),1000,0)),1000000))</f>
        <v/>
      </c>
      <c r="MX5">
        <f>IF($B5=0,1000000,IF(INDEX('計算A'!$D$60:$DS$104,$B5,20)*DP5=1,IF(AND($E5=2,IG5=0),1000000,INDEX('計算A'!W$110:W$114,$F5+1)+IF(AND($E5=1,IG5=0),1000,0)),1000000))</f>
        <v/>
      </c>
      <c r="MY5">
        <f>IF($B5=0,1000000,IF(INDEX('計算A'!$D$60:$DS$104,$B5,21)*DQ5=1,IF(AND($E5=2,IH5=0),1000000,INDEX('計算A'!X$110:X$114,$F5+1)+IF(AND($E5=1,IH5=0),1000,0)),1000000))</f>
        <v/>
      </c>
      <c r="MZ5">
        <f>IF($B5=0,1000000,IF(INDEX('計算A'!$D$60:$DS$104,$B5,22)*DR5=1,IF(AND($E5=2,II5=0),1000000,INDEX('計算A'!Y$110:Y$114,$F5+1)+IF(AND($E5=1,II5=0),1000,0)),1000000))</f>
        <v/>
      </c>
      <c r="NA5">
        <f>IF($B5=0,1000000,IF(INDEX('計算A'!$D$60:$DS$104,$B5,23)*DS5=1,IF(AND($E5=2,IJ5=0),1000000,INDEX('計算A'!Z$110:Z$114,$F5+1)+IF(AND($E5=1,IJ5=0),1000,0)),1000000))</f>
        <v/>
      </c>
      <c r="NB5">
        <f>IF($B5=0,1000000,IF(INDEX('計算A'!$D$60:$DS$104,$B5,24)*DT5=1,IF(AND($E5=2,IK5=0),1000000,INDEX('計算A'!AA$110:AA$114,$F5+1)+IF(AND($E5=1,IK5=0),1000,0)),1000000))</f>
        <v/>
      </c>
      <c r="NC5">
        <f>IF($B5=0,1000000,IF(INDEX('計算A'!$D$60:$DS$104,$B5,25)*DU5=1,IF(AND($E5=2,IL5=0),1000000,INDEX('計算A'!AB$110:AB$114,$F5+1)+IF(AND($E5=1,IL5=0),1000,0)),1000000))</f>
        <v/>
      </c>
      <c r="ND5">
        <f>IF($B5=0,1000000,IF(INDEX('計算A'!$D$60:$DS$104,$B5,26)*DV5=1,IF(AND($E5=2,IM5=0),1000000,INDEX('計算A'!AC$110:AC$114,$F5+1)+IF(AND($E5=1,IM5=0),1000,0)),1000000))</f>
        <v/>
      </c>
      <c r="NE5">
        <f>IF($B5=0,1000000,IF(INDEX('計算A'!$D$60:$DS$104,$B5,27)*DW5=1,IF(AND($E5=2,IN5=0),1000000,INDEX('計算A'!AD$110:AD$114,$F5+1)+IF(AND($E5=1,IN5=0),1000,0)),1000000))</f>
        <v/>
      </c>
      <c r="NF5">
        <f>IF($B5=0,1000000,IF(INDEX('計算A'!$D$60:$DS$104,$B5,28)*DX5=1,IF(AND($E5=2,IO5=0),1000000,INDEX('計算A'!AE$110:AE$114,$F5+1)+IF(AND($E5=1,IO5=0),1000,0)),1000000))</f>
        <v/>
      </c>
      <c r="NG5">
        <f>IF($B5=0,1000000,IF(INDEX('計算A'!$D$60:$DS$104,$B5,29)*DY5=1,IF(AND($E5=2,IP5=0),1000000,INDEX('計算A'!AF$110:AF$114,$F5+1)+IF(AND($E5=1,IP5=0),1000,0)),1000000))</f>
        <v/>
      </c>
      <c r="NH5">
        <f>IF($B5=0,1000000,IF(INDEX('計算A'!$D$60:$DS$104,$B5,30)*DZ5=1,IF(AND($E5=2,IQ5=0),1000000,INDEX('計算A'!AG$110:AG$114,$F5+1)+IF(AND($E5=1,IQ5=0),1000,0)),1000000))</f>
        <v/>
      </c>
      <c r="NI5">
        <f>IF($B5=0,1000000,IF(INDEX('計算A'!$D$60:$DS$104,$B5,31)*EA5=1,IF(AND($E5=2,IR5=0),1000000,INDEX('計算A'!AH$110:AH$114,$F5+1)+IF(AND($E5=1,IR5=0),1000,0)),1000000))</f>
        <v/>
      </c>
      <c r="NJ5">
        <f>IF($B5=0,1000000,IF(INDEX('計算A'!$D$60:$DS$104,$B5,32)*EB5=1,IF(AND($E5=2,IS5=0),1000000,INDEX('計算A'!AI$110:AI$114,$F5+1)+IF(AND($E5=1,IS5=0),1000,0)),1000000))</f>
        <v/>
      </c>
      <c r="NK5">
        <f>IF($B5=0,1000000,IF(INDEX('計算A'!$D$60:$DS$104,$B5,33)*EC5=1,IF(AND($E5=2,IT5=0),1000000,INDEX('計算A'!AJ$110:AJ$114,$F5+1)+IF(AND($E5=1,IT5=0),1000,0)),1000000))</f>
        <v/>
      </c>
      <c r="NL5">
        <f>IF($B5=0,1000000,IF(INDEX('計算A'!$D$60:$DS$104,$B5,34)*ED5=1,IF(AND($E5=2,IU5=0),1000000,INDEX('計算A'!AK$110:AK$114,$F5+1)+IF(AND($E5=1,IU5=0),1000,0)),1000000))</f>
        <v/>
      </c>
      <c r="NM5">
        <f>IF($B5=0,1000000,IF(INDEX('計算A'!$D$60:$DS$104,$B5,35)*EE5=1,IF(AND($E5=2,IV5=0),1000000,INDEX('計算A'!AL$110:AL$114,$F5+1)+IF(AND($E5=1,IV5=0),1000,0)),1000000))</f>
        <v/>
      </c>
      <c r="NN5">
        <f>IF($B5=0,1000000,IF(INDEX('計算A'!$D$60:$DS$104,$B5,36)*EF5=1,IF(AND($E5=2,IW5=0),1000000,INDEX('計算A'!AM$110:AM$114,$F5+1)+IF(AND($E5=1,IW5=0),1000,0)),1000000))</f>
        <v/>
      </c>
      <c r="NO5">
        <f>IF($B5=0,1000000,IF(INDEX('計算A'!$D$60:$DS$104,$B5,37)*EG5=1,IF(AND($E5=2,IX5=0),1000000,INDEX('計算A'!AN$110:AN$114,$F5+1)+IF(AND($E5=1,IX5=0),1000,0)),1000000))</f>
        <v/>
      </c>
      <c r="NP5">
        <f>IF($B5=0,1000000,IF(INDEX('計算A'!$D$60:$DS$104,$B5,38)*EH5=1,IF(AND($E5=2,IY5=0),1000000,INDEX('計算A'!AO$110:AO$114,$F5+1)+IF(AND($E5=1,IY5=0),1000,0)),1000000))</f>
        <v/>
      </c>
      <c r="NQ5">
        <f>IF($B5=0,1000000,IF(INDEX('計算A'!$D$60:$DS$104,$B5,39)*EI5=1,IF(AND($E5=2,IZ5=0),1000000,INDEX('計算A'!AP$110:AP$114,$F5+1)+IF(AND($E5=1,IZ5=0),1000,0)),1000000))</f>
        <v/>
      </c>
      <c r="NR5">
        <f>IF($B5=0,1000000,IF(INDEX('計算A'!$D$60:$DS$104,$B5,40)*EJ5=1,IF(AND($E5=2,JA5=0),1000000,INDEX('計算A'!AQ$110:AQ$114,$F5+1)+IF(AND($E5=1,JA5=0),1000,0)),1000000))</f>
        <v/>
      </c>
      <c r="NS5">
        <f>IF($B5=0,1000000,IF(INDEX('計算A'!$D$60:$DS$104,$B5,41)*EK5=1,IF(AND($E5=2,JB5=0),1000000,INDEX('計算A'!AR$110:AR$114,$F5+1)+IF(AND($E5=1,JB5=0),1000,0)),1000000))</f>
        <v/>
      </c>
      <c r="NT5">
        <f>IF($B5=0,1000000,IF(INDEX('計算A'!$D$60:$DS$104,$B5,42)*EL5=1,IF(AND($E5=2,JC5=0),1000000,INDEX('計算A'!AS$110:AS$114,$F5+1)+IF(AND($E5=1,JC5=0),1000,0)),1000000))</f>
        <v/>
      </c>
      <c r="NU5">
        <f>IF($B5=0,1000000,IF(INDEX('計算A'!$D$60:$DS$104,$B5,43)*EM5=1,IF(AND($E5=2,JD5=0),1000000,INDEX('計算A'!AT$110:AT$114,$F5+1)+IF(AND($E5=1,JD5=0),1000,0)),1000000))</f>
        <v/>
      </c>
      <c r="NV5">
        <f>IF($B5=0,1000000,IF(INDEX('計算A'!$D$60:$DS$104,$B5,44)*EN5=1,IF(AND($E5=2,JE5=0),1000000,INDEX('計算A'!AU$110:AU$114,$F5+1)+IF(AND($E5=1,JE5=0),1000,0)),1000000))</f>
        <v/>
      </c>
      <c r="NW5">
        <f>IF($B5=0,1000000,IF(INDEX('計算A'!$D$60:$DS$104,$B5,45)*EO5=1,IF(AND($E5=2,JF5=0),1000000,INDEX('計算A'!AV$110:AV$114,$F5+1)+IF(AND($E5=1,JF5=0),1000,0)),1000000))</f>
        <v/>
      </c>
      <c r="NX5">
        <f>IF($B5=0,1000000,IF(INDEX('計算A'!$D$60:$DS$104,$B5,46)*EP5=1,IF(AND($E5=2,JG5=0),1000000,INDEX('計算A'!AW$110:AW$114,$F5+1)+IF(AND($E5=1,JG5=0),1000,0)),1000000))</f>
        <v/>
      </c>
      <c r="NY5">
        <f>IF($B5=0,1000000,IF(INDEX('計算A'!$D$60:$DS$104,$B5,47)*EQ5=1,IF(AND($E5=2,JH5=0),1000000,INDEX('計算A'!AX$110:AX$114,$F5+1)+IF(AND($E5=1,JH5=0),1000,0)),1000000))</f>
        <v/>
      </c>
      <c r="NZ5">
        <f>IF($B5=0,1000000,IF(INDEX('計算A'!$D$60:$DS$104,$B5,48)*ER5=1,IF(AND($E5=2,JI5=0),1000000,INDEX('計算A'!AY$110:AY$114,$F5+1)+IF(AND($E5=1,JI5=0),1000,0)),1000000))</f>
        <v/>
      </c>
      <c r="OA5">
        <f>IF($B5=0,1000000,IF(INDEX('計算A'!$D$60:$DS$104,$B5,49)*ES5=1,IF(AND($E5=2,JJ5=0),1000000,INDEX('計算A'!AZ$110:AZ$114,$F5+1)+IF(AND($E5=1,JJ5=0),1000,0)),1000000))</f>
        <v/>
      </c>
      <c r="OB5">
        <f>IF($B5=0,1000000,IF(INDEX('計算A'!$D$60:$DS$104,$B5,50)*ET5=1,IF(AND($E5=2,JK5=0),1000000,INDEX('計算A'!BA$110:BA$114,$F5+1)+IF(AND($E5=1,JK5=0),1000,0)),1000000))</f>
        <v/>
      </c>
      <c r="OC5">
        <f>IF($B5=0,1000000,IF(INDEX('計算A'!$D$60:$DS$104,$B5,51)*EU5=1,IF(AND($E5=2,JL5=0),1000000,INDEX('計算A'!BB$110:BB$114,$F5+1)+IF(AND($E5=1,JL5=0),1000,0)),1000000))</f>
        <v/>
      </c>
      <c r="OD5">
        <f>IF($B5=0,1000000,IF(INDEX('計算A'!$D$60:$DS$104,$B5,52)*EV5=1,IF(AND($E5=2,JM5=0),1000000,INDEX('計算A'!BC$110:BC$114,$F5+1)+IF(AND($E5=1,JM5=0),1000,0)),1000000))</f>
        <v/>
      </c>
      <c r="OE5">
        <f>IF($B5=0,1000000,IF(INDEX('計算A'!$D$60:$DS$104,$B5,53)*EW5=1,IF(AND($E5=2,JN5=0),1000000,INDEX('計算A'!BD$110:BD$114,$F5+1)+IF(AND($E5=1,JN5=0),1000,0)),1000000))</f>
        <v/>
      </c>
      <c r="OF5">
        <f>IF($B5=0,1000000,IF(INDEX('計算A'!$D$60:$DS$104,$B5,54)*EX5=1,IF(AND($E5=2,JO5=0),1000000,INDEX('計算A'!BE$110:BE$114,$F5+1)+IF(AND($E5=1,JO5=0),1000,0)),1000000))</f>
        <v/>
      </c>
      <c r="OG5">
        <f>IF($B5=0,1000000,IF(INDEX('計算A'!$D$60:$DS$104,$B5,55)*EY5=1,IF(AND($E5=2,JP5=0),1000000,INDEX('計算A'!BF$110:BF$114,$F5+1)+IF(AND($E5=1,JP5=0),1000,0)),1000000))</f>
        <v/>
      </c>
      <c r="OH5">
        <f>IF($B5=0,1000000,IF(INDEX('計算A'!$D$60:$DS$104,$B5,56)*EZ5=1,IF(AND($E5=2,JQ5=0),1000000,INDEX('計算A'!BG$110:BG$114,$F5+1)+IF(AND($E5=1,JQ5=0),1000,0)),1000000))</f>
        <v/>
      </c>
      <c r="OI5">
        <f>IF($B5=0,1000000,IF(INDEX('計算A'!$D$60:$DS$104,$B5,57)*FA5=1,IF(AND($E5=2,JR5=0),1000000,INDEX('計算A'!BH$110:BH$114,$F5+1)+IF(AND($E5=1,JR5=0),1000,0)),1000000))</f>
        <v/>
      </c>
      <c r="OJ5">
        <f>IF($B5=0,1000000,IF(INDEX('計算A'!$D$60:$DS$104,$B5,58)*FB5=1,IF(AND($E5=2,JS5=0),1000000,INDEX('計算A'!BI$110:BI$114,$F5+1)+IF(AND($E5=1,JS5=0),1000,0)),1000000))</f>
        <v/>
      </c>
      <c r="OK5">
        <f>IF($B5=0,1000000,IF(INDEX('計算A'!$D$60:$DS$104,$B5,59)*FC5=1,IF(AND($E5=2,JT5=0),1000000,INDEX('計算A'!BJ$110:BJ$114,$F5+1)+IF(AND($E5=1,JT5=0),1000,0)),1000000))</f>
        <v/>
      </c>
      <c r="OL5">
        <f>IF($B5=0,1000000,IF(INDEX('計算A'!$D$60:$DS$104,$B5,60)*FD5=1,IF(AND($E5=2,JU5=0),1000000,INDEX('計算A'!BK$110:BK$114,$F5+1)+IF(AND($E5=1,JU5=0),1000,0)),1000000))</f>
        <v/>
      </c>
      <c r="OM5">
        <f>IF($B5=0,1000000,IF(INDEX('計算A'!$D$60:$DS$104,$B5,61)*FE5=1,IF(AND($E5=2,JV5=0),1000000,INDEX('計算A'!BL$110:BL$114,$F5+1)+IF(AND($E5=1,JV5=0),1000,0)),1000000))</f>
        <v/>
      </c>
      <c r="ON5">
        <f>IF($B5=0,1000000,IF(INDEX('計算A'!$D$60:$DS$104,$B5,62)*FF5=1,IF(AND($E5=2,JW5=0),1000000,INDEX('計算A'!BM$110:BM$114,$F5+1)+IF(AND($E5=1,JW5=0),1000,0)),1000000))</f>
        <v/>
      </c>
      <c r="OO5">
        <f>IF($B5=0,1000000,IF(INDEX('計算A'!$D$60:$DS$104,$B5,63)*FG5=1,IF(AND($E5=2,JX5=0),1000000,INDEX('計算A'!BN$110:BN$114,$F5+1)+IF(AND($E5=1,JX5=0),1000,0)),1000000))</f>
        <v/>
      </c>
      <c r="OP5">
        <f>IF($B5=0,1000000,IF(INDEX('計算A'!$D$60:$DS$104,$B5,64)*FH5=1,IF(AND($E5=2,JY5=0),1000000,INDEX('計算A'!BO$110:BO$114,$F5+1)+IF(AND($E5=1,JY5=0),1000,0)),1000000))</f>
        <v/>
      </c>
      <c r="OQ5">
        <f>IF($B5=0,1000000,IF(INDEX('計算A'!$D$60:$DS$104,$B5,65)*FI5=1,IF(AND($E5=2,JZ5=0),1000000,INDEX('計算A'!BP$110:BP$114,$F5+1)+IF(AND($E5=1,JZ5=0),1000,0)),1000000))</f>
        <v/>
      </c>
      <c r="OR5">
        <f>IF($B5=0,1000000,IF(INDEX('計算A'!$D$60:$DS$104,$B5,66)*FJ5=1,IF(AND($E5=2,KA5=0),1000000,INDEX('計算A'!BQ$110:BQ$114,$F5+1)+IF(AND($E5=1,KA5=0),1000,0)),1000000))</f>
        <v/>
      </c>
      <c r="OS5">
        <f>IF($B5=0,1000000,IF(INDEX('計算A'!$D$60:$DS$104,$B5,67)*FK5=1,IF(AND($E5=2,KB5=0),1000000,INDEX('計算A'!BR$110:BR$114,$F5+1)+IF(AND($E5=1,KB5=0),1000,0)),1000000))</f>
        <v/>
      </c>
      <c r="OT5">
        <f>IF($B5=0,1000000,IF(INDEX('計算A'!$D$60:$DS$104,$B5,68)*FL5=1,IF(AND($E5=2,KC5=0),1000000,INDEX('計算A'!BS$110:BS$114,$F5+1)+IF(AND($E5=1,KC5=0),1000,0)),1000000))</f>
        <v/>
      </c>
      <c r="OU5">
        <f>IF($B5=0,1000000,IF(INDEX('計算A'!$D$60:$DS$104,$B5,69)*FM5=1,IF(AND($E5=2,KD5=0),1000000,INDEX('計算A'!BT$110:BT$114,$F5+1)+IF(AND($E5=1,KD5=0),1000,0)),1000000))</f>
        <v/>
      </c>
      <c r="OV5">
        <f>IF($B5=0,1000000,IF(INDEX('計算A'!$D$60:$DS$104,$B5,70)*FN5=1,IF(AND($E5=2,KE5=0),1000000,INDEX('計算A'!BU$110:BU$114,$F5+1)+IF(AND($E5=1,KE5=0),1000,0)),1000000))</f>
        <v/>
      </c>
      <c r="OW5">
        <f>IF($B5=0,1000000,IF(INDEX('計算A'!$D$60:$DS$104,$B5,71)*FO5=1,IF(AND($E5=2,KF5=0),1000000,INDEX('計算A'!BV$110:BV$114,$F5+1)+IF(AND($E5=1,KF5=0),1000,0)),1000000))</f>
        <v/>
      </c>
      <c r="OX5">
        <f>IF($B5=0,1000000,IF(INDEX('計算A'!$D$60:$DS$104,$B5,72)*FP5=1,IF(AND($E5=2,KG5=0),1000000,INDEX('計算A'!BW$110:BW$114,$F5+1)+IF(AND($E5=1,KG5=0),1000,0)),1000000))</f>
        <v/>
      </c>
      <c r="OY5">
        <f>IF($B5=0,1000000,IF(INDEX('計算A'!$D$60:$DS$104,$B5,73)*FQ5=1,IF(AND($E5=2,KH5=0),1000000,INDEX('計算A'!BX$110:BX$114,$F5+1)+IF(AND($E5=1,KH5=0),1000,0)),1000000))</f>
        <v/>
      </c>
      <c r="OZ5">
        <f>IF($B5=0,1000000,IF(INDEX('計算A'!$D$60:$DS$104,$B5,74)*FR5=1,IF(AND($E5=2,KI5=0),1000000,INDEX('計算A'!BY$110:BY$114,$F5+1)+IF(AND($E5=1,KI5=0),1000,0)),1000000))</f>
        <v/>
      </c>
      <c r="PA5">
        <f>IF($B5=0,1000000,IF(INDEX('計算A'!$D$60:$DS$104,$B5,75)*FS5=1,IF(AND($E5=2,KJ5=0),1000000,INDEX('計算A'!BZ$110:BZ$114,$F5+1)+IF(AND($E5=1,KJ5=0),1000,0)),1000000))</f>
        <v/>
      </c>
      <c r="PB5">
        <f>IF($B5=0,1000000,IF(INDEX('計算A'!$D$60:$DS$104,$B5,76)*FT5=1,IF(AND($E5=2,KK5=0),1000000,INDEX('計算A'!CA$110:CA$114,$F5+1)+IF(AND($E5=1,KK5=0),1000,0)),1000000))</f>
        <v/>
      </c>
      <c r="PC5">
        <f>IF($B5=0,1000000,IF(INDEX('計算A'!$D$60:$DS$104,$B5,77)*FU5=1,IF(AND($E5=2,KL5=0),1000000,INDEX('計算A'!CB$110:CB$114,$F5+1)+IF(AND($E5=1,KL5=0),1000,0)),1000000))</f>
        <v/>
      </c>
      <c r="PD5">
        <f>IF($B5=0,1000000,IF(INDEX('計算A'!$D$60:$DS$104,$B5,78)*FV5=1,IF(AND($E5=2,KM5=0),1000000,INDEX('計算A'!CC$110:CC$114,$F5+1)+IF(AND($E5=1,KM5=0),1000,0)),1000000))</f>
        <v/>
      </c>
      <c r="PE5">
        <f>IF($B5=0,1000000,IF(INDEX('計算A'!$D$60:$DS$104,$B5,79)*FW5=1,IF(AND($E5=2,KN5=0),1000000,INDEX('計算A'!CD$110:CD$114,$F5+1)+IF(AND($E5=1,KN5=0),1000,0)),1000000))</f>
        <v/>
      </c>
      <c r="PF5">
        <f>IF($B5=0,1000000,IF(INDEX('計算A'!$D$60:$DS$104,$B5,80)*FX5=1,IF(AND($E5=2,KO5=0),1000000,INDEX('計算A'!CE$110:CE$114,$F5+1)+IF(AND($E5=1,KO5=0),1000,0)),1000000))</f>
        <v/>
      </c>
      <c r="PG5">
        <f>IF($B5=0,1000000,IF(INDEX('計算A'!$D$60:$DS$104,$B5,81)*FY5=1,IF(AND($E5=2,KP5=0),1000000,INDEX('計算A'!CF$110:CF$114,$F5+1)+IF(AND($E5=1,KP5=0),1000,0)),1000000))</f>
        <v/>
      </c>
      <c r="PH5">
        <f>IF($B5=0,1000000,IF(INDEX('計算A'!$D$60:$DS$104,$B5,82)*FZ5=1,IF(AND($E5=2,KQ5=0),1000000,INDEX('計算A'!CG$110:CG$114,$F5+1)+IF(AND($E5=1,KQ5=0),1000,0)),1000000))</f>
        <v/>
      </c>
      <c r="PI5">
        <f>IF($B5=0,1000000,IF(INDEX('計算A'!$D$60:$DS$104,$B5,83)*GA5=1,IF(AND($E5=2,KR5=0),1000000,INDEX('計算A'!CH$110:CH$114,$F5+1)+IF(AND($E5=1,KR5=0),1000,0)),1000000))</f>
        <v/>
      </c>
      <c r="PJ5">
        <f>IF($B5=0,1000000,IF(INDEX('計算A'!$D$60:$DS$104,$B5,84)*GB5=1,IF(AND($E5=2,KS5=0),1000000,INDEX('計算A'!CI$110:CI$114,$F5+1)+IF(AND($E5=1,KS5=0),1000,0)),1000000))</f>
        <v/>
      </c>
      <c r="PK5">
        <f>IF($B5=0,1000000,IF(INDEX('計算A'!$D$60:$DS$104,$B5,85)*GC5=1,IF(AND($E5=2,KT5=0),1000000,INDEX('計算A'!CJ$110:CJ$114,$F5+1)+IF(AND($E5=1,KT5=0),1000,0)),1000000))</f>
        <v/>
      </c>
      <c r="PL5">
        <f>IF($B5=0,1000000,IF(INDEX('計算A'!$D$60:$DS$104,$B5,86)*GD5=1,IF(AND($E5=2,KU5=0),1000000,INDEX('計算A'!CK$110:CK$114,$F5+1)+IF(AND($E5=1,KU5=0),1000,0)),1000000))</f>
        <v/>
      </c>
      <c r="PM5">
        <f>IF($B5=0,1000000,IF(INDEX('計算A'!$D$60:$DS$104,$B5,87)*GE5=1,IF(AND($E5=2,KV5=0),1000000,INDEX('計算A'!CL$110:CL$114,$F5+1)+IF(AND($E5=1,KV5=0),1000,0)),1000000))</f>
        <v/>
      </c>
      <c r="PN5">
        <f>IF($B5=0,1000000,IF(INDEX('計算A'!$D$60:$DS$104,$B5,88)*GF5=1,IF(AND($E5=2,KW5=0),1000000,INDEX('計算A'!CM$110:CM$114,$F5+1)+IF(AND($E5=1,KW5=0),1000,0)),1000000))</f>
        <v/>
      </c>
      <c r="PO5">
        <f>IF($B5=0,1000000,IF(INDEX('計算A'!$D$60:$DS$104,$B5,89)*GG5=1,IF(AND($E5=2,KX5=0),1000000,INDEX('計算A'!CN$110:CN$114,$F5+1)+IF(AND($E5=1,KX5=0),1000,0)),1000000))</f>
        <v/>
      </c>
      <c r="PP5">
        <f>IF($B5=0,1000000,IF(INDEX('計算A'!$D$60:$DS$104,$B5,90)*GH5=1,IF(AND($E5=2,KY5=0),1000000,INDEX('計算A'!CO$110:CO$114,$F5+1)+IF(AND($E5=1,KY5=0),1000,0)),1000000))</f>
        <v/>
      </c>
      <c r="PQ5">
        <f>IF($B5=0,1000000,IF(INDEX('計算A'!$D$60:$DS$104,$B5,91)*GI5=1,IF(AND($E5=2,KZ5=0),1000000,INDEX('計算A'!CP$110:CP$114,$F5+1)+IF(AND($E5=1,KZ5=0),1000,0)),1000000))</f>
        <v/>
      </c>
      <c r="PR5">
        <f>IF($B5=0,1000000,IF(INDEX('計算A'!$D$60:$DS$104,$B5,92)*GJ5=1,IF(AND($E5=2,LA5=0),1000000,INDEX('計算A'!CQ$110:CQ$114,$F5+1)+IF(AND($E5=1,LA5=0),1000,0)),1000000))</f>
        <v/>
      </c>
      <c r="PS5">
        <f>IF($B5=0,1000000,IF(INDEX('計算A'!$D$60:$DS$104,$B5,93)*GK5=1,IF(AND($E5=2,LB5=0),1000000,INDEX('計算A'!CR$110:CR$114,$F5+1)+IF(AND($E5=1,LB5=0),1000,0)),1000000))</f>
        <v/>
      </c>
      <c r="PT5">
        <f>IF($B5=0,1000000,IF(INDEX('計算A'!$D$60:$DS$104,$B5,94)*GL5=1,IF(AND($E5=2,LC5=0),1000000,INDEX('計算A'!CS$110:CS$114,$F5+1)+IF(AND($E5=1,LC5=0),1000,0)),1000000))</f>
        <v/>
      </c>
      <c r="PU5">
        <f>IF($B5=0,1000000,IF(INDEX('計算A'!$D$60:$DS$104,$B5,95)*GM5=1,IF(AND($E5=2,LD5=0),1000000,INDEX('計算A'!CT$110:CT$114,$F5+1)+IF(AND($E5=1,LD5=0),1000,0)),1000000))</f>
        <v/>
      </c>
      <c r="PV5">
        <f>IF($B5=0,1000000,IF(INDEX('計算A'!$D$60:$DS$104,$B5,96)*GN5=1,IF(AND($E5=2,LE5=0),1000000,INDEX('計算A'!CU$110:CU$114,$F5+1)+IF(AND($E5=1,LE5=0),1000,0)),1000000))</f>
        <v/>
      </c>
      <c r="PW5">
        <f>IF($B5=0,1000000,IF(INDEX('計算A'!$D$60:$DS$104,$B5,97)*GO5=1,IF(AND($E5=2,LF5=0),1000000,INDEX('計算A'!CV$110:CV$114,$F5+1)+IF(AND($E5=1,LF5=0),1000,0)),1000000))</f>
        <v/>
      </c>
      <c r="PX5">
        <f>IF($B5=0,1000000,IF(INDEX('計算A'!$D$60:$DS$104,$B5,98)*GP5=1,IF(AND($E5=2,LG5=0),1000000,INDEX('計算A'!CW$110:CW$114,$F5+1)+IF(AND($E5=1,LG5=0),1000,0)),1000000))</f>
        <v/>
      </c>
      <c r="PY5">
        <f>IF($B5=0,1000000,IF(INDEX('計算A'!$D$60:$DS$104,$B5,99)*GQ5=1,IF(AND($E5=2,LH5=0),1000000,INDEX('計算A'!CX$110:CX$114,$F5+1)+IF(AND($E5=1,LH5=0),1000,0)),1000000))</f>
        <v/>
      </c>
      <c r="PZ5">
        <f>IF($B5=0,1000000,IF(INDEX('計算A'!$D$60:$DS$104,$B5,100)*GR5=1,IF(AND($E5=2,LI5=0),1000000,INDEX('計算A'!CY$110:CY$114,$F5+1)+IF(AND($E5=1,LI5=0),1000,0)),1000000))</f>
        <v/>
      </c>
      <c r="QA5">
        <f>IF($B5=0,1000000,IF(INDEX('計算A'!$D$60:$DS$104,$B5,101)*GS5=1,IF(AND($E5=2,LJ5=0),1000000,INDEX('計算A'!CZ$110:CZ$114,$F5+1)+IF(AND($E5=1,LJ5=0),1000,0)),1000000))</f>
        <v/>
      </c>
      <c r="QB5">
        <f>IF($B5=0,1000000,IF(INDEX('計算A'!$D$60:$DS$104,$B5,102)*GT5=1,IF(AND($E5=2,LK5=0),1000000,INDEX('計算A'!DA$110:DA$114,$F5+1)+IF(AND($E5=1,LK5=0),1000,0)),1000000))</f>
        <v/>
      </c>
      <c r="QC5">
        <f>IF($B5=0,1000000,IF(INDEX('計算A'!$D$60:$DS$104,$B5,103)*GU5=1,IF(AND($E5=2,LL5=0),1000000,INDEX('計算A'!DB$110:DB$114,$F5+1)+IF(AND($E5=1,LL5=0),1000,0)),1000000))</f>
        <v/>
      </c>
      <c r="QD5">
        <f>IF($B5=0,1000000,IF(INDEX('計算A'!$D$60:$DS$104,$B5,104)*GV5=1,IF(AND($E5=2,LM5=0),1000000,INDEX('計算A'!DC$110:DC$114,$F5+1)+IF(AND($E5=1,LM5=0),1000,0)),1000000))</f>
        <v/>
      </c>
      <c r="QE5">
        <f>IF($B5=0,1000000,IF(INDEX('計算A'!$D$60:$DS$104,$B5,105)*GW5=1,IF(AND($E5=2,LN5=0),1000000,INDEX('計算A'!DD$110:DD$114,$F5+1)+IF(AND($E5=1,LN5=0),1000,0)),1000000))</f>
        <v/>
      </c>
      <c r="QF5">
        <f>IF($B5=0,1000000,IF(INDEX('計算A'!$D$60:$DS$104,$B5,106)*GX5=1,IF(AND($E5=2,LO5=0),1000000,INDEX('計算A'!DE$110:DE$114,$F5+1)+IF(AND($E5=1,LO5=0),1000,0)),1000000))</f>
        <v/>
      </c>
      <c r="QG5">
        <f>IF($B5=0,1000000,IF(INDEX('計算A'!$D$60:$DS$104,$B5,107)*GY5=1,IF(AND($E5=2,LP5=0),1000000,INDEX('計算A'!DF$110:DF$114,$F5+1)+IF(AND($E5=1,LP5=0),1000,0)),1000000))</f>
        <v/>
      </c>
      <c r="QH5">
        <f>IF($B5=0,1000000,IF(INDEX('計算A'!$D$60:$DS$104,$B5,108)*GZ5=1,IF(AND($E5=2,LQ5=0),1000000,INDEX('計算A'!DG$110:DG$114,$F5+1)+IF(AND($E5=1,LQ5=0),1000,0)),1000000))</f>
        <v/>
      </c>
      <c r="QI5">
        <f>IF($B5=0,1000000,IF(INDEX('計算A'!$D$60:$DS$104,$B5,109)*HA5=1,IF(AND($E5=2,LR5=0),1000000,INDEX('計算A'!DH$110:DH$114,$F5+1)+IF(AND($E5=1,LR5=0),1000,0)),1000000))</f>
        <v/>
      </c>
      <c r="QJ5">
        <f>IF($B5=0,1000000,IF(INDEX('計算A'!$D$60:$DS$104,$B5,110)*HB5=1,IF(AND($E5=2,LS5=0),1000000,INDEX('計算A'!DI$110:DI$114,$F5+1)+IF(AND($E5=1,LS5=0),1000,0)),1000000))</f>
        <v/>
      </c>
      <c r="QK5">
        <f>IF($B5=0,1000000,IF(INDEX('計算A'!$D$60:$DS$104,$B5,111)*HC5=1,IF(AND($E5=2,LT5=0),1000000,INDEX('計算A'!DJ$110:DJ$114,$F5+1)+IF(AND($E5=1,LT5=0),1000,0)),1000000))</f>
        <v/>
      </c>
      <c r="QL5">
        <f>IF($B5=0,1000000,IF(INDEX('計算A'!$D$60:$DS$104,$B5,112)*HD5=1,IF(AND($E5=2,LU5=0),1000000,INDEX('計算A'!DK$110:DK$114,$F5+1)+IF(AND($E5=1,LU5=0),1000,0)),1000000))</f>
        <v/>
      </c>
      <c r="QM5">
        <f>IF($B5=0,1000000,IF(INDEX('計算A'!$D$60:$DS$104,$B5,113)*HE5=1,IF(AND($E5=2,LV5=0),1000000,INDEX('計算A'!DL$110:DL$114,$F5+1)+IF(AND($E5=1,LV5=0),1000,0)),1000000))</f>
        <v/>
      </c>
      <c r="QN5">
        <f>IF($B5=0,1000000,IF(INDEX('計算A'!$D$60:$DS$104,$B5,114)*HF5=1,IF(AND($E5=2,LW5=0),1000000,INDEX('計算A'!DM$110:DM$114,$F5+1)+IF(AND($E5=1,LW5=0),1000,0)),1000000))</f>
        <v/>
      </c>
      <c r="QO5">
        <f>IF($B5=0,1000000,IF(INDEX('計算A'!$D$60:$DS$104,$B5,115)*HG5=1,IF(AND($E5=2,LX5=0),1000000,INDEX('計算A'!DN$110:DN$114,$F5+1)+IF(AND($E5=1,LX5=0),1000,0)),1000000))</f>
        <v/>
      </c>
      <c r="QP5">
        <f>IF($B5=0,1000000,IF(INDEX('計算A'!$D$60:$DS$104,$B5,116)*HH5=1,IF(AND($E5=2,LY5=0),1000000,INDEX('計算A'!DO$110:DO$114,$F5+1)+IF(AND($E5=1,LY5=0),1000,0)),1000000))</f>
        <v/>
      </c>
      <c r="QQ5">
        <f>IF($B5=0,1000000,IF(INDEX('計算A'!$D$60:$DS$104,$B5,117)*HI5=1,IF(AND($E5=2,LZ5=0),1000000,INDEX('計算A'!DP$110:DP$114,$F5+1)+IF(AND($E5=1,LZ5=0),1000,0)),1000000))</f>
        <v/>
      </c>
      <c r="QR5">
        <f>IF($B5=0,1000000,IF(INDEX('計算A'!$D$60:$DS$104,$B5,118)*HJ5=1,IF(AND($E5=2,MA5=0),1000000,INDEX('計算A'!DQ$110:DQ$114,$F5+1)+IF(AND($E5=1,MA5=0),1000,0)),1000000))</f>
        <v/>
      </c>
      <c r="QS5">
        <f>IF($B5=0,1000000,IF(INDEX('計算A'!$D$60:$DS$104,$B5,119)*HK5=1,IF(AND($E5=2,MB5=0),1000000,INDEX('計算A'!DR$110:DR$114,$F5+1)+IF(AND($E5=1,MB5=0),1000,0)),1000000))</f>
        <v/>
      </c>
      <c r="QT5">
        <f>IF($B5=0,1000000,IF(INDEX('計算A'!$D$60:$DS$104,$B5,120)*HL5=1,IF(AND($E5=2,MC5=0),1000000,INDEX('計算A'!DS$110:DS$114,$F5+1)+IF(AND($E5=1,MC5=0),1000,0)),1000000))</f>
        <v/>
      </c>
    </row>
    <row r="6">
      <c r="A6" t="n">
        <v>4</v>
      </c>
      <c r="B6">
        <f>IF(MIN(BC6:CU6)&gt;=1000000,0,MATCH(MIN(BC6:CU6),BC6:CU6,0))</f>
        <v/>
      </c>
      <c r="C6">
        <f>IF(MIN(ME6:QT6)&gt;=1000000,0,MATCH(MIN(ME6:QT6),ME6:QT6,0))</f>
        <v/>
      </c>
      <c r="D6">
        <f>IF(C6&gt;0,INDEX('計算A'!$D$5:$DS$5,C6),0)</f>
        <v/>
      </c>
      <c r="E6">
        <f>IF(B6=0,0,INDEX('計算A'!$EA$10:$EA$54,B6))</f>
        <v/>
      </c>
      <c r="F6">
        <f>IF(B6=0,0,INDEX('計算A'!$DZ$10:$DZ$54,B6))</f>
        <v/>
      </c>
      <c r="G6">
        <f>IF(AND(C6&gt;0,E6&gt;0),IF(AND(INDEX('計算A'!$D$106:$DS$106,C6)=1,INDEX($HN6:$MC6,C6)=1),C6+1,0),0)</f>
        <v/>
      </c>
      <c r="I6">
        <f>MAX(I5,IF($B5=1,1,0))</f>
        <v/>
      </c>
      <c r="J6">
        <f>MAX(J5,IF($B5=2,1,0))</f>
        <v/>
      </c>
      <c r="K6">
        <f>MAX(K5,IF($B5=3,1,0))</f>
        <v/>
      </c>
      <c r="L6">
        <f>MAX(L5,IF($B5=4,1,0))</f>
        <v/>
      </c>
      <c r="M6">
        <f>MAX(M5,IF($B5=5,1,0))</f>
        <v/>
      </c>
      <c r="N6">
        <f>MAX(N5,IF($B5=6,1,0))</f>
        <v/>
      </c>
      <c r="O6">
        <f>MAX(O5,IF($B5=7,1,0))</f>
        <v/>
      </c>
      <c r="P6">
        <f>MAX(P5,IF($B5=8,1,0))</f>
        <v/>
      </c>
      <c r="Q6">
        <f>MAX(Q5,IF($B5=9,1,0))</f>
        <v/>
      </c>
      <c r="R6">
        <f>MAX(R5,IF($B5=10,1,0))</f>
        <v/>
      </c>
      <c r="S6">
        <f>MAX(S5,IF($B5=11,1,0))</f>
        <v/>
      </c>
      <c r="T6">
        <f>MAX(T5,IF($B5=12,1,0))</f>
        <v/>
      </c>
      <c r="U6">
        <f>MAX(U5,IF($B5=13,1,0))</f>
        <v/>
      </c>
      <c r="V6">
        <f>MAX(V5,IF($B5=14,1,0))</f>
        <v/>
      </c>
      <c r="W6">
        <f>MAX(W5,IF($B5=15,1,0))</f>
        <v/>
      </c>
      <c r="X6">
        <f>MAX(X5,IF($B5=16,1,0))</f>
        <v/>
      </c>
      <c r="Y6">
        <f>MAX(Y5,IF($B5=17,1,0))</f>
        <v/>
      </c>
      <c r="Z6">
        <f>MAX(Z5,IF($B5=18,1,0))</f>
        <v/>
      </c>
      <c r="AA6">
        <f>MAX(AA5,IF($B5=19,1,0))</f>
        <v/>
      </c>
      <c r="AB6">
        <f>MAX(AB5,IF($B5=20,1,0))</f>
        <v/>
      </c>
      <c r="AC6">
        <f>MAX(AC5,IF($B5=21,1,0))</f>
        <v/>
      </c>
      <c r="AD6">
        <f>MAX(AD5,IF($B5=22,1,0))</f>
        <v/>
      </c>
      <c r="AE6">
        <f>MAX(AE5,IF($B5=23,1,0))</f>
        <v/>
      </c>
      <c r="AF6">
        <f>MAX(AF5,IF($B5=24,1,0))</f>
        <v/>
      </c>
      <c r="AG6">
        <f>MAX(AG5,IF($B5=25,1,0))</f>
        <v/>
      </c>
      <c r="AH6">
        <f>MAX(AH5,IF($B5=26,1,0))</f>
        <v/>
      </c>
      <c r="AI6">
        <f>MAX(AI5,IF($B5=27,1,0))</f>
        <v/>
      </c>
      <c r="AJ6">
        <f>MAX(AJ5,IF($B5=28,1,0))</f>
        <v/>
      </c>
      <c r="AK6">
        <f>MAX(AK5,IF($B5=29,1,0))</f>
        <v/>
      </c>
      <c r="AL6">
        <f>MAX(AL5,IF($B5=30,1,0))</f>
        <v/>
      </c>
      <c r="AM6">
        <f>MAX(AM5,IF($B5=31,1,0))</f>
        <v/>
      </c>
      <c r="AN6">
        <f>MAX(AN5,IF($B5=32,1,0))</f>
        <v/>
      </c>
      <c r="AO6">
        <f>MAX(AO5,IF($B5=33,1,0))</f>
        <v/>
      </c>
      <c r="AP6">
        <f>MAX(AP5,IF($B5=34,1,0))</f>
        <v/>
      </c>
      <c r="AQ6">
        <f>MAX(AQ5,IF($B5=35,1,0))</f>
        <v/>
      </c>
      <c r="AR6">
        <f>MAX(AR5,IF($B5=36,1,0))</f>
        <v/>
      </c>
      <c r="AS6">
        <f>MAX(AS5,IF($B5=37,1,0))</f>
        <v/>
      </c>
      <c r="AT6">
        <f>MAX(AT5,IF($B5=38,1,0))</f>
        <v/>
      </c>
      <c r="AU6">
        <f>MAX(AU5,IF($B5=39,1,0))</f>
        <v/>
      </c>
      <c r="AV6">
        <f>MAX(AV5,IF($B5=40,1,0))</f>
        <v/>
      </c>
      <c r="AW6">
        <f>MAX(AW5,IF($B5=41,1,0))</f>
        <v/>
      </c>
      <c r="AX6">
        <f>MAX(AX5,IF($B5=42,1,0))</f>
        <v/>
      </c>
      <c r="AY6">
        <f>MAX(AY5,IF($B5=43,1,0))</f>
        <v/>
      </c>
      <c r="AZ6">
        <f>MAX(AZ5,IF($B5=44,1,0))</f>
        <v/>
      </c>
      <c r="BA6">
        <f>MAX(BA5,IF($B5=45,1,0))</f>
        <v/>
      </c>
      <c r="BC6">
        <f>IF(I6=1,1000000,IF('計算A'!$EA$10=2,SUMPRODUCT('計算A'!$D$60:$DS$60,$CW6:$HL6,$HN6:$MC6),SUMPRODUCT('計算A'!$D$60:$DS$60,$CW6:$HL6))*1000+1)</f>
        <v/>
      </c>
      <c r="BD6">
        <f>IF(J6=1,1000000,IF('計算A'!$EA$11=2,SUMPRODUCT('計算A'!$D$61:$DS$61,$CW6:$HL6,$HN6:$MC6),SUMPRODUCT('計算A'!$D$61:$DS$61,$CW6:$HL6))*1000+2)</f>
        <v/>
      </c>
      <c r="BE6">
        <f>IF(K6=1,1000000,IF('計算A'!$EA$12=2,SUMPRODUCT('計算A'!$D$62:$DS$62,$CW6:$HL6,$HN6:$MC6),SUMPRODUCT('計算A'!$D$62:$DS$62,$CW6:$HL6))*1000+3)</f>
        <v/>
      </c>
      <c r="BF6">
        <f>IF(L6=1,1000000,IF('計算A'!$EA$13=2,SUMPRODUCT('計算A'!$D$63:$DS$63,$CW6:$HL6,$HN6:$MC6),SUMPRODUCT('計算A'!$D$63:$DS$63,$CW6:$HL6))*1000+4)</f>
        <v/>
      </c>
      <c r="BG6">
        <f>IF(M6=1,1000000,IF('計算A'!$EA$14=2,SUMPRODUCT('計算A'!$D$64:$DS$64,$CW6:$HL6,$HN6:$MC6),SUMPRODUCT('計算A'!$D$64:$DS$64,$CW6:$HL6))*1000+5)</f>
        <v/>
      </c>
      <c r="BH6">
        <f>IF(N6=1,1000000,IF('計算A'!$EA$15=2,SUMPRODUCT('計算A'!$D$65:$DS$65,$CW6:$HL6,$HN6:$MC6),SUMPRODUCT('計算A'!$D$65:$DS$65,$CW6:$HL6))*1000+6)</f>
        <v/>
      </c>
      <c r="BI6">
        <f>IF(O6=1,1000000,IF('計算A'!$EA$16=2,SUMPRODUCT('計算A'!$D$66:$DS$66,$CW6:$HL6,$HN6:$MC6),SUMPRODUCT('計算A'!$D$66:$DS$66,$CW6:$HL6))*1000+7)</f>
        <v/>
      </c>
      <c r="BJ6">
        <f>IF(P6=1,1000000,IF('計算A'!$EA$17=2,SUMPRODUCT('計算A'!$D$67:$DS$67,$CW6:$HL6,$HN6:$MC6),SUMPRODUCT('計算A'!$D$67:$DS$67,$CW6:$HL6))*1000+8)</f>
        <v/>
      </c>
      <c r="BK6">
        <f>IF(Q6=1,1000000,IF('計算A'!$EA$18=2,SUMPRODUCT('計算A'!$D$68:$DS$68,$CW6:$HL6,$HN6:$MC6),SUMPRODUCT('計算A'!$D$68:$DS$68,$CW6:$HL6))*1000+9)</f>
        <v/>
      </c>
      <c r="BL6">
        <f>IF(R6=1,1000000,IF('計算A'!$EA$19=2,SUMPRODUCT('計算A'!$D$69:$DS$69,$CW6:$HL6,$HN6:$MC6),SUMPRODUCT('計算A'!$D$69:$DS$69,$CW6:$HL6))*1000+10)</f>
        <v/>
      </c>
      <c r="BM6">
        <f>IF(S6=1,1000000,IF('計算A'!$EA$20=2,SUMPRODUCT('計算A'!$D$70:$DS$70,$CW6:$HL6,$HN6:$MC6),SUMPRODUCT('計算A'!$D$70:$DS$70,$CW6:$HL6))*1000+11)</f>
        <v/>
      </c>
      <c r="BN6">
        <f>IF(T6=1,1000000,IF('計算A'!$EA$21=2,SUMPRODUCT('計算A'!$D$71:$DS$71,$CW6:$HL6,$HN6:$MC6),SUMPRODUCT('計算A'!$D$71:$DS$71,$CW6:$HL6))*1000+12)</f>
        <v/>
      </c>
      <c r="BO6">
        <f>IF(U6=1,1000000,IF('計算A'!$EA$22=2,SUMPRODUCT('計算A'!$D$72:$DS$72,$CW6:$HL6,$HN6:$MC6),SUMPRODUCT('計算A'!$D$72:$DS$72,$CW6:$HL6))*1000+13)</f>
        <v/>
      </c>
      <c r="BP6">
        <f>IF(V6=1,1000000,IF('計算A'!$EA$23=2,SUMPRODUCT('計算A'!$D$73:$DS$73,$CW6:$HL6,$HN6:$MC6),SUMPRODUCT('計算A'!$D$73:$DS$73,$CW6:$HL6))*1000+14)</f>
        <v/>
      </c>
      <c r="BQ6">
        <f>IF(W6=1,1000000,IF('計算A'!$EA$24=2,SUMPRODUCT('計算A'!$D$74:$DS$74,$CW6:$HL6,$HN6:$MC6),SUMPRODUCT('計算A'!$D$74:$DS$74,$CW6:$HL6))*1000+15)</f>
        <v/>
      </c>
      <c r="BR6">
        <f>IF(X6=1,1000000,IF('計算A'!$EA$25=2,SUMPRODUCT('計算A'!$D$75:$DS$75,$CW6:$HL6,$HN6:$MC6),SUMPRODUCT('計算A'!$D$75:$DS$75,$CW6:$HL6))*1000+16)</f>
        <v/>
      </c>
      <c r="BS6">
        <f>IF(Y6=1,1000000,IF('計算A'!$EA$26=2,SUMPRODUCT('計算A'!$D$76:$DS$76,$CW6:$HL6,$HN6:$MC6),SUMPRODUCT('計算A'!$D$76:$DS$76,$CW6:$HL6))*1000+17)</f>
        <v/>
      </c>
      <c r="BT6">
        <f>IF(Z6=1,1000000,IF('計算A'!$EA$27=2,SUMPRODUCT('計算A'!$D$77:$DS$77,$CW6:$HL6,$HN6:$MC6),SUMPRODUCT('計算A'!$D$77:$DS$77,$CW6:$HL6))*1000+18)</f>
        <v/>
      </c>
      <c r="BU6">
        <f>IF(AA6=1,1000000,IF('計算A'!$EA$28=2,SUMPRODUCT('計算A'!$D$78:$DS$78,$CW6:$HL6,$HN6:$MC6),SUMPRODUCT('計算A'!$D$78:$DS$78,$CW6:$HL6))*1000+19)</f>
        <v/>
      </c>
      <c r="BV6">
        <f>IF(AB6=1,1000000,IF('計算A'!$EA$29=2,SUMPRODUCT('計算A'!$D$79:$DS$79,$CW6:$HL6,$HN6:$MC6),SUMPRODUCT('計算A'!$D$79:$DS$79,$CW6:$HL6))*1000+20)</f>
        <v/>
      </c>
      <c r="BW6">
        <f>IF(AC6=1,1000000,IF('計算A'!$EA$30=2,SUMPRODUCT('計算A'!$D$80:$DS$80,$CW6:$HL6,$HN6:$MC6),SUMPRODUCT('計算A'!$D$80:$DS$80,$CW6:$HL6))*1000+21)</f>
        <v/>
      </c>
      <c r="BX6">
        <f>IF(AD6=1,1000000,IF('計算A'!$EA$31=2,SUMPRODUCT('計算A'!$D$81:$DS$81,$CW6:$HL6,$HN6:$MC6),SUMPRODUCT('計算A'!$D$81:$DS$81,$CW6:$HL6))*1000+22)</f>
        <v/>
      </c>
      <c r="BY6">
        <f>IF(AE6=1,1000000,IF('計算A'!$EA$32=2,SUMPRODUCT('計算A'!$D$82:$DS$82,$CW6:$HL6,$HN6:$MC6),SUMPRODUCT('計算A'!$D$82:$DS$82,$CW6:$HL6))*1000+23)</f>
        <v/>
      </c>
      <c r="BZ6">
        <f>IF(AF6=1,1000000,IF('計算A'!$EA$33=2,SUMPRODUCT('計算A'!$D$83:$DS$83,$CW6:$HL6,$HN6:$MC6),SUMPRODUCT('計算A'!$D$83:$DS$83,$CW6:$HL6))*1000+24)</f>
        <v/>
      </c>
      <c r="CA6">
        <f>IF(AG6=1,1000000,IF('計算A'!$EA$34=2,SUMPRODUCT('計算A'!$D$84:$DS$84,$CW6:$HL6,$HN6:$MC6),SUMPRODUCT('計算A'!$D$84:$DS$84,$CW6:$HL6))*1000+25)</f>
        <v/>
      </c>
      <c r="CB6">
        <f>IF(AH6=1,1000000,IF('計算A'!$EA$35=2,SUMPRODUCT('計算A'!$D$85:$DS$85,$CW6:$HL6,$HN6:$MC6),SUMPRODUCT('計算A'!$D$85:$DS$85,$CW6:$HL6))*1000+26)</f>
        <v/>
      </c>
      <c r="CC6">
        <f>IF(AI6=1,1000000,IF('計算A'!$EA$36=2,SUMPRODUCT('計算A'!$D$86:$DS$86,$CW6:$HL6,$HN6:$MC6),SUMPRODUCT('計算A'!$D$86:$DS$86,$CW6:$HL6))*1000+27)</f>
        <v/>
      </c>
      <c r="CD6">
        <f>IF(AJ6=1,1000000,IF('計算A'!$EA$37=2,SUMPRODUCT('計算A'!$D$87:$DS$87,$CW6:$HL6,$HN6:$MC6),SUMPRODUCT('計算A'!$D$87:$DS$87,$CW6:$HL6))*1000+28)</f>
        <v/>
      </c>
      <c r="CE6">
        <f>IF(AK6=1,1000000,IF('計算A'!$EA$38=2,SUMPRODUCT('計算A'!$D$88:$DS$88,$CW6:$HL6,$HN6:$MC6),SUMPRODUCT('計算A'!$D$88:$DS$88,$CW6:$HL6))*1000+29)</f>
        <v/>
      </c>
      <c r="CF6">
        <f>IF(AL6=1,1000000,IF('計算A'!$EA$39=2,SUMPRODUCT('計算A'!$D$89:$DS$89,$CW6:$HL6,$HN6:$MC6),SUMPRODUCT('計算A'!$D$89:$DS$89,$CW6:$HL6))*1000+30)</f>
        <v/>
      </c>
      <c r="CG6">
        <f>IF(AM6=1,1000000,IF('計算A'!$EA$40=2,SUMPRODUCT('計算A'!$D$90:$DS$90,$CW6:$HL6,$HN6:$MC6),SUMPRODUCT('計算A'!$D$90:$DS$90,$CW6:$HL6))*1000+31)</f>
        <v/>
      </c>
      <c r="CH6">
        <f>IF(AN6=1,1000000,IF('計算A'!$EA$41=2,SUMPRODUCT('計算A'!$D$91:$DS$91,$CW6:$HL6,$HN6:$MC6),SUMPRODUCT('計算A'!$D$91:$DS$91,$CW6:$HL6))*1000+32)</f>
        <v/>
      </c>
      <c r="CI6">
        <f>IF(AO6=1,1000000,IF('計算A'!$EA$42=2,SUMPRODUCT('計算A'!$D$92:$DS$92,$CW6:$HL6,$HN6:$MC6),SUMPRODUCT('計算A'!$D$92:$DS$92,$CW6:$HL6))*1000+33)</f>
        <v/>
      </c>
      <c r="CJ6">
        <f>IF(AP6=1,1000000,IF('計算A'!$EA$43=2,SUMPRODUCT('計算A'!$D$93:$DS$93,$CW6:$HL6,$HN6:$MC6),SUMPRODUCT('計算A'!$D$93:$DS$93,$CW6:$HL6))*1000+34)</f>
        <v/>
      </c>
      <c r="CK6">
        <f>IF(AQ6=1,1000000,IF('計算A'!$EA$44=2,SUMPRODUCT('計算A'!$D$94:$DS$94,$CW6:$HL6,$HN6:$MC6),SUMPRODUCT('計算A'!$D$94:$DS$94,$CW6:$HL6))*1000+35)</f>
        <v/>
      </c>
      <c r="CL6">
        <f>IF(AR6=1,1000000,IF('計算A'!$EA$45=2,SUMPRODUCT('計算A'!$D$95:$DS$95,$CW6:$HL6,$HN6:$MC6),SUMPRODUCT('計算A'!$D$95:$DS$95,$CW6:$HL6))*1000+36)</f>
        <v/>
      </c>
      <c r="CM6">
        <f>IF(AS6=1,1000000,IF('計算A'!$EA$46=2,SUMPRODUCT('計算A'!$D$96:$DS$96,$CW6:$HL6,$HN6:$MC6),SUMPRODUCT('計算A'!$D$96:$DS$96,$CW6:$HL6))*1000+37)</f>
        <v/>
      </c>
      <c r="CN6">
        <f>IF(AT6=1,1000000,IF('計算A'!$EA$47=2,SUMPRODUCT('計算A'!$D$97:$DS$97,$CW6:$HL6,$HN6:$MC6),SUMPRODUCT('計算A'!$D$97:$DS$97,$CW6:$HL6))*1000+38)</f>
        <v/>
      </c>
      <c r="CO6">
        <f>IF(AU6=1,1000000,IF('計算A'!$EA$48=2,SUMPRODUCT('計算A'!$D$98:$DS$98,$CW6:$HL6,$HN6:$MC6),SUMPRODUCT('計算A'!$D$98:$DS$98,$CW6:$HL6))*1000+39)</f>
        <v/>
      </c>
      <c r="CP6">
        <f>IF(AV6=1,1000000,IF('計算A'!$EA$49=2,SUMPRODUCT('計算A'!$D$99:$DS$99,$CW6:$HL6,$HN6:$MC6),SUMPRODUCT('計算A'!$D$99:$DS$99,$CW6:$HL6))*1000+40)</f>
        <v/>
      </c>
      <c r="CQ6">
        <f>IF(AW6=1,1000000,IF('計算A'!$EA$50=2,SUMPRODUCT('計算A'!$D$100:$DS$100,$CW6:$HL6,$HN6:$MC6),SUMPRODUCT('計算A'!$D$100:$DS$100,$CW6:$HL6))*1000+41)</f>
        <v/>
      </c>
      <c r="CR6">
        <f>IF(AX6=1,1000000,IF('計算A'!$EA$51=2,SUMPRODUCT('計算A'!$D$101:$DS$101,$CW6:$HL6,$HN6:$MC6),SUMPRODUCT('計算A'!$D$101:$DS$101,$CW6:$HL6))*1000+42)</f>
        <v/>
      </c>
      <c r="CS6">
        <f>IF(AY6=1,1000000,IF('計算A'!$EA$52=2,SUMPRODUCT('計算A'!$D$102:$DS$102,$CW6:$HL6,$HN6:$MC6),SUMPRODUCT('計算A'!$D$102:$DS$102,$CW6:$HL6))*1000+43)</f>
        <v/>
      </c>
      <c r="CT6">
        <f>IF(AZ6=1,1000000,IF('計算A'!$EA$53=2,SUMPRODUCT('計算A'!$D$103:$DS$103,$CW6:$HL6,$HN6:$MC6),SUMPRODUCT('計算A'!$D$103:$DS$103,$CW6:$HL6))*1000+44)</f>
        <v/>
      </c>
      <c r="CU6">
        <f>IF(BA6=1,1000000,IF('計算A'!$EA$54=2,SUMPRODUCT('計算A'!$D$104:$DS$104,$CW6:$HL6,$HN6:$MC6),SUMPRODUCT('計算A'!$D$104:$DS$104,$CW6:$HL6))*1000+45)</f>
        <v/>
      </c>
      <c r="CW6">
        <f>CW5*IF(OR($C5=1,$G5=1),0,1)</f>
        <v/>
      </c>
      <c r="CX6">
        <f>CX5*IF(OR($C5=2,$G5=2),0,1)</f>
        <v/>
      </c>
      <c r="CY6">
        <f>CY5*IF(OR($C5=3,$G5=3),0,1)</f>
        <v/>
      </c>
      <c r="CZ6">
        <f>CZ5*IF(OR($C5=4,$G5=4),0,1)</f>
        <v/>
      </c>
      <c r="DA6">
        <f>DA5*IF(OR($C5=5,$G5=5),0,1)</f>
        <v/>
      </c>
      <c r="DB6">
        <f>DB5*IF(OR($C5=6,$G5=6),0,1)</f>
        <v/>
      </c>
      <c r="DC6">
        <f>DC5*IF(OR($C5=7,$G5=7),0,1)</f>
        <v/>
      </c>
      <c r="DD6">
        <f>DD5*IF(OR($C5=8,$G5=8),0,1)</f>
        <v/>
      </c>
      <c r="DE6">
        <f>DE5*IF(OR($C5=9,$G5=9),0,1)</f>
        <v/>
      </c>
      <c r="DF6">
        <f>DF5*IF(OR($C5=10,$G5=10),0,1)</f>
        <v/>
      </c>
      <c r="DG6">
        <f>DG5*IF(OR($C5=11,$G5=11),0,1)</f>
        <v/>
      </c>
      <c r="DH6">
        <f>DH5*IF(OR($C5=12,$G5=12),0,1)</f>
        <v/>
      </c>
      <c r="DI6">
        <f>DI5*IF(OR($C5=13,$G5=13),0,1)</f>
        <v/>
      </c>
      <c r="DJ6">
        <f>DJ5*IF(OR($C5=14,$G5=14),0,1)</f>
        <v/>
      </c>
      <c r="DK6">
        <f>DK5*IF(OR($C5=15,$G5=15),0,1)</f>
        <v/>
      </c>
      <c r="DL6">
        <f>DL5*IF(OR($C5=16,$G5=16),0,1)</f>
        <v/>
      </c>
      <c r="DM6">
        <f>DM5*IF(OR($C5=17,$G5=17),0,1)</f>
        <v/>
      </c>
      <c r="DN6">
        <f>DN5*IF(OR($C5=18,$G5=18),0,1)</f>
        <v/>
      </c>
      <c r="DO6">
        <f>DO5*IF(OR($C5=19,$G5=19),0,1)</f>
        <v/>
      </c>
      <c r="DP6">
        <f>DP5*IF(OR($C5=20,$G5=20),0,1)</f>
        <v/>
      </c>
      <c r="DQ6">
        <f>DQ5*IF(OR($C5=21,$G5=21),0,1)</f>
        <v/>
      </c>
      <c r="DR6">
        <f>DR5*IF(OR($C5=22,$G5=22),0,1)</f>
        <v/>
      </c>
      <c r="DS6">
        <f>DS5*IF(OR($C5=23,$G5=23),0,1)</f>
        <v/>
      </c>
      <c r="DT6">
        <f>DT5*IF(OR($C5=24,$G5=24),0,1)</f>
        <v/>
      </c>
      <c r="DU6">
        <f>DU5*IF(OR($C5=25,$G5=25),0,1)</f>
        <v/>
      </c>
      <c r="DV6">
        <f>DV5*IF(OR($C5=26,$G5=26),0,1)</f>
        <v/>
      </c>
      <c r="DW6">
        <f>DW5*IF(OR($C5=27,$G5=27),0,1)</f>
        <v/>
      </c>
      <c r="DX6">
        <f>DX5*IF(OR($C5=28,$G5=28),0,1)</f>
        <v/>
      </c>
      <c r="DY6">
        <f>DY5*IF(OR($C5=29,$G5=29),0,1)</f>
        <v/>
      </c>
      <c r="DZ6">
        <f>DZ5*IF(OR($C5=30,$G5=30),0,1)</f>
        <v/>
      </c>
      <c r="EA6">
        <f>EA5*IF(OR($C5=31,$G5=31),0,1)</f>
        <v/>
      </c>
      <c r="EB6">
        <f>EB5*IF(OR($C5=32,$G5=32),0,1)</f>
        <v/>
      </c>
      <c r="EC6">
        <f>EC5*IF(OR($C5=33,$G5=33),0,1)</f>
        <v/>
      </c>
      <c r="ED6">
        <f>ED5*IF(OR($C5=34,$G5=34),0,1)</f>
        <v/>
      </c>
      <c r="EE6">
        <f>EE5*IF(OR($C5=35,$G5=35),0,1)</f>
        <v/>
      </c>
      <c r="EF6">
        <f>EF5*IF(OR($C5=36,$G5=36),0,1)</f>
        <v/>
      </c>
      <c r="EG6">
        <f>EG5*IF(OR($C5=37,$G5=37),0,1)</f>
        <v/>
      </c>
      <c r="EH6">
        <f>EH5*IF(OR($C5=38,$G5=38),0,1)</f>
        <v/>
      </c>
      <c r="EI6">
        <f>EI5*IF(OR($C5=39,$G5=39),0,1)</f>
        <v/>
      </c>
      <c r="EJ6">
        <f>EJ5*IF(OR($C5=40,$G5=40),0,1)</f>
        <v/>
      </c>
      <c r="EK6">
        <f>EK5*IF(OR($C5=41,$G5=41),0,1)</f>
        <v/>
      </c>
      <c r="EL6">
        <f>EL5*IF(OR($C5=42,$G5=42),0,1)</f>
        <v/>
      </c>
      <c r="EM6">
        <f>EM5*IF(OR($C5=43,$G5=43),0,1)</f>
        <v/>
      </c>
      <c r="EN6">
        <f>EN5*IF(OR($C5=44,$G5=44),0,1)</f>
        <v/>
      </c>
      <c r="EO6">
        <f>EO5*IF(OR($C5=45,$G5=45),0,1)</f>
        <v/>
      </c>
      <c r="EP6">
        <f>EP5*IF(OR($C5=46,$G5=46),0,1)</f>
        <v/>
      </c>
      <c r="EQ6">
        <f>EQ5*IF(OR($C5=47,$G5=47),0,1)</f>
        <v/>
      </c>
      <c r="ER6">
        <f>ER5*IF(OR($C5=48,$G5=48),0,1)</f>
        <v/>
      </c>
      <c r="ES6">
        <f>ES5*IF(OR($C5=49,$G5=49),0,1)</f>
        <v/>
      </c>
      <c r="ET6">
        <f>ET5*IF(OR($C5=50,$G5=50),0,1)</f>
        <v/>
      </c>
      <c r="EU6">
        <f>EU5*IF(OR($C5=51,$G5=51),0,1)</f>
        <v/>
      </c>
      <c r="EV6">
        <f>EV5*IF(OR($C5=52,$G5=52),0,1)</f>
        <v/>
      </c>
      <c r="EW6">
        <f>EW5*IF(OR($C5=53,$G5=53),0,1)</f>
        <v/>
      </c>
      <c r="EX6">
        <f>EX5*IF(OR($C5=54,$G5=54),0,1)</f>
        <v/>
      </c>
      <c r="EY6">
        <f>EY5*IF(OR($C5=55,$G5=55),0,1)</f>
        <v/>
      </c>
      <c r="EZ6">
        <f>EZ5*IF(OR($C5=56,$G5=56),0,1)</f>
        <v/>
      </c>
      <c r="FA6">
        <f>FA5*IF(OR($C5=57,$G5=57),0,1)</f>
        <v/>
      </c>
      <c r="FB6">
        <f>FB5*IF(OR($C5=58,$G5=58),0,1)</f>
        <v/>
      </c>
      <c r="FC6">
        <f>FC5*IF(OR($C5=59,$G5=59),0,1)</f>
        <v/>
      </c>
      <c r="FD6">
        <f>FD5*IF(OR($C5=60,$G5=60),0,1)</f>
        <v/>
      </c>
      <c r="FE6">
        <f>FE5*IF(OR($C5=61,$G5=61),0,1)</f>
        <v/>
      </c>
      <c r="FF6">
        <f>FF5*IF(OR($C5=62,$G5=62),0,1)</f>
        <v/>
      </c>
      <c r="FG6">
        <f>FG5*IF(OR($C5=63,$G5=63),0,1)</f>
        <v/>
      </c>
      <c r="FH6">
        <f>FH5*IF(OR($C5=64,$G5=64),0,1)</f>
        <v/>
      </c>
      <c r="FI6">
        <f>FI5*IF(OR($C5=65,$G5=65),0,1)</f>
        <v/>
      </c>
      <c r="FJ6">
        <f>FJ5*IF(OR($C5=66,$G5=66),0,1)</f>
        <v/>
      </c>
      <c r="FK6">
        <f>FK5*IF(OR($C5=67,$G5=67),0,1)</f>
        <v/>
      </c>
      <c r="FL6">
        <f>FL5*IF(OR($C5=68,$G5=68),0,1)</f>
        <v/>
      </c>
      <c r="FM6">
        <f>FM5*IF(OR($C5=69,$G5=69),0,1)</f>
        <v/>
      </c>
      <c r="FN6">
        <f>FN5*IF(OR($C5=70,$G5=70),0,1)</f>
        <v/>
      </c>
      <c r="FO6">
        <f>FO5*IF(OR($C5=71,$G5=71),0,1)</f>
        <v/>
      </c>
      <c r="FP6">
        <f>FP5*IF(OR($C5=72,$G5=72),0,1)</f>
        <v/>
      </c>
      <c r="FQ6">
        <f>FQ5*IF(OR($C5=73,$G5=73),0,1)</f>
        <v/>
      </c>
      <c r="FR6">
        <f>FR5*IF(OR($C5=74,$G5=74),0,1)</f>
        <v/>
      </c>
      <c r="FS6">
        <f>FS5*IF(OR($C5=75,$G5=75),0,1)</f>
        <v/>
      </c>
      <c r="FT6">
        <f>FT5*IF(OR($C5=76,$G5=76),0,1)</f>
        <v/>
      </c>
      <c r="FU6">
        <f>FU5*IF(OR($C5=77,$G5=77),0,1)</f>
        <v/>
      </c>
      <c r="FV6">
        <f>FV5*IF(OR($C5=78,$G5=78),0,1)</f>
        <v/>
      </c>
      <c r="FW6">
        <f>FW5*IF(OR($C5=79,$G5=79),0,1)</f>
        <v/>
      </c>
      <c r="FX6">
        <f>FX5*IF(OR($C5=80,$G5=80),0,1)</f>
        <v/>
      </c>
      <c r="FY6">
        <f>FY5*IF(OR($C5=81,$G5=81),0,1)</f>
        <v/>
      </c>
      <c r="FZ6">
        <f>FZ5*IF(OR($C5=82,$G5=82),0,1)</f>
        <v/>
      </c>
      <c r="GA6">
        <f>GA5*IF(OR($C5=83,$G5=83),0,1)</f>
        <v/>
      </c>
      <c r="GB6">
        <f>GB5*IF(OR($C5=84,$G5=84),0,1)</f>
        <v/>
      </c>
      <c r="GC6">
        <f>GC5*IF(OR($C5=85,$G5=85),0,1)</f>
        <v/>
      </c>
      <c r="GD6">
        <f>GD5*IF(OR($C5=86,$G5=86),0,1)</f>
        <v/>
      </c>
      <c r="GE6">
        <f>GE5*IF(OR($C5=87,$G5=87),0,1)</f>
        <v/>
      </c>
      <c r="GF6">
        <f>GF5*IF(OR($C5=88,$G5=88),0,1)</f>
        <v/>
      </c>
      <c r="GG6">
        <f>GG5*IF(OR($C5=89,$G5=89),0,1)</f>
        <v/>
      </c>
      <c r="GH6">
        <f>GH5*IF(OR($C5=90,$G5=90),0,1)</f>
        <v/>
      </c>
      <c r="GI6">
        <f>GI5*IF(OR($C5=91,$G5=91),0,1)</f>
        <v/>
      </c>
      <c r="GJ6">
        <f>GJ5*IF(OR($C5=92,$G5=92),0,1)</f>
        <v/>
      </c>
      <c r="GK6">
        <f>GK5*IF(OR($C5=93,$G5=93),0,1)</f>
        <v/>
      </c>
      <c r="GL6">
        <f>GL5*IF(OR($C5=94,$G5=94),0,1)</f>
        <v/>
      </c>
      <c r="GM6">
        <f>GM5*IF(OR($C5=95,$G5=95),0,1)</f>
        <v/>
      </c>
      <c r="GN6">
        <f>GN5*IF(OR($C5=96,$G5=96),0,1)</f>
        <v/>
      </c>
      <c r="GO6">
        <f>GO5*IF(OR($C5=97,$G5=97),0,1)</f>
        <v/>
      </c>
      <c r="GP6">
        <f>GP5*IF(OR($C5=98,$G5=98),0,1)</f>
        <v/>
      </c>
      <c r="GQ6">
        <f>GQ5*IF(OR($C5=99,$G5=99),0,1)</f>
        <v/>
      </c>
      <c r="GR6">
        <f>GR5*IF(OR($C5=100,$G5=100),0,1)</f>
        <v/>
      </c>
      <c r="GS6">
        <f>GS5*IF(OR($C5=101,$G5=101),0,1)</f>
        <v/>
      </c>
      <c r="GT6">
        <f>GT5*IF(OR($C5=102,$G5=102),0,1)</f>
        <v/>
      </c>
      <c r="GU6">
        <f>GU5*IF(OR($C5=103,$G5=103),0,1)</f>
        <v/>
      </c>
      <c r="GV6">
        <f>GV5*IF(OR($C5=104,$G5=104),0,1)</f>
        <v/>
      </c>
      <c r="GW6">
        <f>GW5*IF(OR($C5=105,$G5=105),0,1)</f>
        <v/>
      </c>
      <c r="GX6">
        <f>GX5*IF(OR($C5=106,$G5=106),0,1)</f>
        <v/>
      </c>
      <c r="GY6">
        <f>GY5*IF(OR($C5=107,$G5=107),0,1)</f>
        <v/>
      </c>
      <c r="GZ6">
        <f>GZ5*IF(OR($C5=108,$G5=108),0,1)</f>
        <v/>
      </c>
      <c r="HA6">
        <f>HA5*IF(OR($C5=109,$G5=109),0,1)</f>
        <v/>
      </c>
      <c r="HB6">
        <f>HB5*IF(OR($C5=110,$G5=110),0,1)</f>
        <v/>
      </c>
      <c r="HC6">
        <f>HC5*IF(OR($C5=111,$G5=111),0,1)</f>
        <v/>
      </c>
      <c r="HD6">
        <f>HD5*IF(OR($C5=112,$G5=112),0,1)</f>
        <v/>
      </c>
      <c r="HE6">
        <f>HE5*IF(OR($C5=113,$G5=113),0,1)</f>
        <v/>
      </c>
      <c r="HF6">
        <f>HF5*IF(OR($C5=114,$G5=114),0,1)</f>
        <v/>
      </c>
      <c r="HG6">
        <f>HG5*IF(OR($C5=115,$G5=115),0,1)</f>
        <v/>
      </c>
      <c r="HH6">
        <f>HH5*IF(OR($C5=116,$G5=116),0,1)</f>
        <v/>
      </c>
      <c r="HI6">
        <f>HI5*IF(OR($C5=117,$G5=117),0,1)</f>
        <v/>
      </c>
      <c r="HJ6">
        <f>HJ5*IF(OR($C5=118,$G5=118),0,1)</f>
        <v/>
      </c>
      <c r="HK6">
        <f>HK5*IF(OR($C5=119,$G5=119),0,1)</f>
        <v/>
      </c>
      <c r="HL6">
        <f>HL5*IF(OR($C5=120,$G5=120),0,1)</f>
        <v/>
      </c>
      <c r="HN6">
        <f>IF('計算A'!D$106=1,CX6,1)</f>
        <v/>
      </c>
      <c r="HO6">
        <f>IF('計算A'!E$106=1,CY6,1)</f>
        <v/>
      </c>
      <c r="HP6">
        <f>IF('計算A'!F$106=1,CZ6,1)</f>
        <v/>
      </c>
      <c r="HQ6">
        <f>IF('計算A'!G$106=1,DA6,1)</f>
        <v/>
      </c>
      <c r="HR6">
        <f>IF('計算A'!H$106=1,DB6,1)</f>
        <v/>
      </c>
      <c r="HS6">
        <f>IF('計算A'!I$106=1,DC6,1)</f>
        <v/>
      </c>
      <c r="HT6">
        <f>IF('計算A'!J$106=1,DD6,1)</f>
        <v/>
      </c>
      <c r="HU6">
        <f>IF('計算A'!K$106=1,DE6,1)</f>
        <v/>
      </c>
      <c r="HV6">
        <f>IF('計算A'!L$106=1,DF6,1)</f>
        <v/>
      </c>
      <c r="HW6">
        <f>IF('計算A'!M$106=1,DG6,1)</f>
        <v/>
      </c>
      <c r="HX6">
        <f>IF('計算A'!N$106=1,DH6,1)</f>
        <v/>
      </c>
      <c r="HY6">
        <f>IF('計算A'!O$106=1,DI6,1)</f>
        <v/>
      </c>
      <c r="HZ6">
        <f>IF('計算A'!P$106=1,DJ6,1)</f>
        <v/>
      </c>
      <c r="IA6">
        <f>IF('計算A'!Q$106=1,DK6,1)</f>
        <v/>
      </c>
      <c r="IB6">
        <f>IF('計算A'!R$106=1,DL6,1)</f>
        <v/>
      </c>
      <c r="IC6">
        <f>IF('計算A'!S$106=1,DM6,1)</f>
        <v/>
      </c>
      <c r="ID6">
        <f>IF('計算A'!T$106=1,DN6,1)</f>
        <v/>
      </c>
      <c r="IE6">
        <f>IF('計算A'!U$106=1,DO6,1)</f>
        <v/>
      </c>
      <c r="IF6">
        <f>IF('計算A'!V$106=1,DP6,1)</f>
        <v/>
      </c>
      <c r="IG6">
        <f>IF('計算A'!W$106=1,DQ6,1)</f>
        <v/>
      </c>
      <c r="IH6">
        <f>IF('計算A'!X$106=1,DR6,1)</f>
        <v/>
      </c>
      <c r="II6">
        <f>IF('計算A'!Y$106=1,DS6,1)</f>
        <v/>
      </c>
      <c r="IJ6">
        <f>IF('計算A'!Z$106=1,DT6,1)</f>
        <v/>
      </c>
      <c r="IK6">
        <f>IF('計算A'!AA$106=1,DU6,1)</f>
        <v/>
      </c>
      <c r="IL6">
        <f>IF('計算A'!AB$106=1,DV6,1)</f>
        <v/>
      </c>
      <c r="IM6">
        <f>IF('計算A'!AC$106=1,DW6,1)</f>
        <v/>
      </c>
      <c r="IN6">
        <f>IF('計算A'!AD$106=1,DX6,1)</f>
        <v/>
      </c>
      <c r="IO6">
        <f>IF('計算A'!AE$106=1,DY6,1)</f>
        <v/>
      </c>
      <c r="IP6">
        <f>IF('計算A'!AF$106=1,DZ6,1)</f>
        <v/>
      </c>
      <c r="IQ6">
        <f>IF('計算A'!AG$106=1,EA6,1)</f>
        <v/>
      </c>
      <c r="IR6">
        <f>IF('計算A'!AH$106=1,EB6,1)</f>
        <v/>
      </c>
      <c r="IS6">
        <f>IF('計算A'!AI$106=1,EC6,1)</f>
        <v/>
      </c>
      <c r="IT6">
        <f>IF('計算A'!AJ$106=1,ED6,1)</f>
        <v/>
      </c>
      <c r="IU6">
        <f>IF('計算A'!AK$106=1,EE6,1)</f>
        <v/>
      </c>
      <c r="IV6">
        <f>IF('計算A'!AL$106=1,EF6,1)</f>
        <v/>
      </c>
      <c r="IW6">
        <f>IF('計算A'!AM$106=1,EG6,1)</f>
        <v/>
      </c>
      <c r="IX6">
        <f>IF('計算A'!AN$106=1,EH6,1)</f>
        <v/>
      </c>
      <c r="IY6">
        <f>IF('計算A'!AO$106=1,EI6,1)</f>
        <v/>
      </c>
      <c r="IZ6">
        <f>IF('計算A'!AP$106=1,EJ6,1)</f>
        <v/>
      </c>
      <c r="JA6">
        <f>IF('計算A'!AQ$106=1,EK6,1)</f>
        <v/>
      </c>
      <c r="JB6">
        <f>IF('計算A'!AR$106=1,EL6,1)</f>
        <v/>
      </c>
      <c r="JC6">
        <f>IF('計算A'!AS$106=1,EM6,1)</f>
        <v/>
      </c>
      <c r="JD6">
        <f>IF('計算A'!AT$106=1,EN6,1)</f>
        <v/>
      </c>
      <c r="JE6">
        <f>IF('計算A'!AU$106=1,EO6,1)</f>
        <v/>
      </c>
      <c r="JF6">
        <f>IF('計算A'!AV$106=1,EP6,1)</f>
        <v/>
      </c>
      <c r="JG6">
        <f>IF('計算A'!AW$106=1,EQ6,1)</f>
        <v/>
      </c>
      <c r="JH6">
        <f>IF('計算A'!AX$106=1,ER6,1)</f>
        <v/>
      </c>
      <c r="JI6">
        <f>IF('計算A'!AY$106=1,ES6,1)</f>
        <v/>
      </c>
      <c r="JJ6">
        <f>IF('計算A'!AZ$106=1,ET6,1)</f>
        <v/>
      </c>
      <c r="JK6">
        <f>IF('計算A'!BA$106=1,EU6,1)</f>
        <v/>
      </c>
      <c r="JL6">
        <f>IF('計算A'!BB$106=1,EV6,1)</f>
        <v/>
      </c>
      <c r="JM6">
        <f>IF('計算A'!BC$106=1,EW6,1)</f>
        <v/>
      </c>
      <c r="JN6">
        <f>IF('計算A'!BD$106=1,EX6,1)</f>
        <v/>
      </c>
      <c r="JO6">
        <f>IF('計算A'!BE$106=1,EY6,1)</f>
        <v/>
      </c>
      <c r="JP6">
        <f>IF('計算A'!BF$106=1,EZ6,1)</f>
        <v/>
      </c>
      <c r="JQ6">
        <f>IF('計算A'!BG$106=1,FA6,1)</f>
        <v/>
      </c>
      <c r="JR6">
        <f>IF('計算A'!BH$106=1,FB6,1)</f>
        <v/>
      </c>
      <c r="JS6">
        <f>IF('計算A'!BI$106=1,FC6,1)</f>
        <v/>
      </c>
      <c r="JT6">
        <f>IF('計算A'!BJ$106=1,FD6,1)</f>
        <v/>
      </c>
      <c r="JU6">
        <f>IF('計算A'!BK$106=1,FE6,1)</f>
        <v/>
      </c>
      <c r="JV6">
        <f>IF('計算A'!BL$106=1,FF6,1)</f>
        <v/>
      </c>
      <c r="JW6">
        <f>IF('計算A'!BM$106=1,FG6,1)</f>
        <v/>
      </c>
      <c r="JX6">
        <f>IF('計算A'!BN$106=1,FH6,1)</f>
        <v/>
      </c>
      <c r="JY6">
        <f>IF('計算A'!BO$106=1,FI6,1)</f>
        <v/>
      </c>
      <c r="JZ6">
        <f>IF('計算A'!BP$106=1,FJ6,1)</f>
        <v/>
      </c>
      <c r="KA6">
        <f>IF('計算A'!BQ$106=1,FK6,1)</f>
        <v/>
      </c>
      <c r="KB6">
        <f>IF('計算A'!BR$106=1,FL6,1)</f>
        <v/>
      </c>
      <c r="KC6">
        <f>IF('計算A'!BS$106=1,FM6,1)</f>
        <v/>
      </c>
      <c r="KD6">
        <f>IF('計算A'!BT$106=1,FN6,1)</f>
        <v/>
      </c>
      <c r="KE6">
        <f>IF('計算A'!BU$106=1,FO6,1)</f>
        <v/>
      </c>
      <c r="KF6">
        <f>IF('計算A'!BV$106=1,FP6,1)</f>
        <v/>
      </c>
      <c r="KG6">
        <f>IF('計算A'!BW$106=1,FQ6,1)</f>
        <v/>
      </c>
      <c r="KH6">
        <f>IF('計算A'!BX$106=1,FR6,1)</f>
        <v/>
      </c>
      <c r="KI6">
        <f>IF('計算A'!BY$106=1,FS6,1)</f>
        <v/>
      </c>
      <c r="KJ6">
        <f>IF('計算A'!BZ$106=1,FT6,1)</f>
        <v/>
      </c>
      <c r="KK6">
        <f>IF('計算A'!CA$106=1,FU6,1)</f>
        <v/>
      </c>
      <c r="KL6">
        <f>IF('計算A'!CB$106=1,FV6,1)</f>
        <v/>
      </c>
      <c r="KM6">
        <f>IF('計算A'!CC$106=1,FW6,1)</f>
        <v/>
      </c>
      <c r="KN6">
        <f>IF('計算A'!CD$106=1,FX6,1)</f>
        <v/>
      </c>
      <c r="KO6">
        <f>IF('計算A'!CE$106=1,FY6,1)</f>
        <v/>
      </c>
      <c r="KP6">
        <f>IF('計算A'!CF$106=1,FZ6,1)</f>
        <v/>
      </c>
      <c r="KQ6">
        <f>IF('計算A'!CG$106=1,GA6,1)</f>
        <v/>
      </c>
      <c r="KR6">
        <f>IF('計算A'!CH$106=1,GB6,1)</f>
        <v/>
      </c>
      <c r="KS6">
        <f>IF('計算A'!CI$106=1,GC6,1)</f>
        <v/>
      </c>
      <c r="KT6">
        <f>IF('計算A'!CJ$106=1,GD6,1)</f>
        <v/>
      </c>
      <c r="KU6">
        <f>IF('計算A'!CK$106=1,GE6,1)</f>
        <v/>
      </c>
      <c r="KV6">
        <f>IF('計算A'!CL$106=1,GF6,1)</f>
        <v/>
      </c>
      <c r="KW6">
        <f>IF('計算A'!CM$106=1,GG6,1)</f>
        <v/>
      </c>
      <c r="KX6">
        <f>IF('計算A'!CN$106=1,GH6,1)</f>
        <v/>
      </c>
      <c r="KY6">
        <f>IF('計算A'!CO$106=1,GI6,1)</f>
        <v/>
      </c>
      <c r="KZ6">
        <f>IF('計算A'!CP$106=1,GJ6,1)</f>
        <v/>
      </c>
      <c r="LA6">
        <f>IF('計算A'!CQ$106=1,GK6,1)</f>
        <v/>
      </c>
      <c r="LB6">
        <f>IF('計算A'!CR$106=1,GL6,1)</f>
        <v/>
      </c>
      <c r="LC6">
        <f>IF('計算A'!CS$106=1,GM6,1)</f>
        <v/>
      </c>
      <c r="LD6">
        <f>IF('計算A'!CT$106=1,GN6,1)</f>
        <v/>
      </c>
      <c r="LE6">
        <f>IF('計算A'!CU$106=1,GO6,1)</f>
        <v/>
      </c>
      <c r="LF6">
        <f>IF('計算A'!CV$106=1,GP6,1)</f>
        <v/>
      </c>
      <c r="LG6">
        <f>IF('計算A'!CW$106=1,GQ6,1)</f>
        <v/>
      </c>
      <c r="LH6">
        <f>IF('計算A'!CX$106=1,GR6,1)</f>
        <v/>
      </c>
      <c r="LI6">
        <f>IF('計算A'!CY$106=1,GS6,1)</f>
        <v/>
      </c>
      <c r="LJ6">
        <f>IF('計算A'!CZ$106=1,GT6,1)</f>
        <v/>
      </c>
      <c r="LK6">
        <f>IF('計算A'!DA$106=1,GU6,1)</f>
        <v/>
      </c>
      <c r="LL6">
        <f>IF('計算A'!DB$106=1,GV6,1)</f>
        <v/>
      </c>
      <c r="LM6">
        <f>IF('計算A'!DC$106=1,GW6,1)</f>
        <v/>
      </c>
      <c r="LN6">
        <f>IF('計算A'!DD$106=1,GX6,1)</f>
        <v/>
      </c>
      <c r="LO6">
        <f>IF('計算A'!DE$106=1,GY6,1)</f>
        <v/>
      </c>
      <c r="LP6">
        <f>IF('計算A'!DF$106=1,GZ6,1)</f>
        <v/>
      </c>
      <c r="LQ6">
        <f>IF('計算A'!DG$106=1,HA6,1)</f>
        <v/>
      </c>
      <c r="LR6">
        <f>IF('計算A'!DH$106=1,HB6,1)</f>
        <v/>
      </c>
      <c r="LS6">
        <f>IF('計算A'!DI$106=1,HC6,1)</f>
        <v/>
      </c>
      <c r="LT6">
        <f>IF('計算A'!DJ$106=1,HD6,1)</f>
        <v/>
      </c>
      <c r="LU6">
        <f>IF('計算A'!DK$106=1,HE6,1)</f>
        <v/>
      </c>
      <c r="LV6">
        <f>IF('計算A'!DL$106=1,HF6,1)</f>
        <v/>
      </c>
      <c r="LW6">
        <f>IF('計算A'!DM$106=1,HG6,1)</f>
        <v/>
      </c>
      <c r="LX6">
        <f>IF('計算A'!DN$106=1,HH6,1)</f>
        <v/>
      </c>
      <c r="LY6">
        <f>IF('計算A'!DO$106=1,HI6,1)</f>
        <v/>
      </c>
      <c r="LZ6">
        <f>IF('計算A'!DP$106=1,HJ6,1)</f>
        <v/>
      </c>
      <c r="MA6">
        <f>IF('計算A'!DQ$106=1,HK6,1)</f>
        <v/>
      </c>
      <c r="MB6">
        <f>IF('計算A'!DR$106=1,HL6,1)</f>
        <v/>
      </c>
      <c r="MC6" t="n">
        <v>1</v>
      </c>
      <c r="ME6">
        <f>IF($B6=0,1000000,IF(INDEX('計算A'!$D$60:$DS$104,$B6,1)*CW6=1,IF(AND($E6=2,HN6=0),1000000,INDEX('計算A'!D$110:D$114,$F6+1)+IF(AND($E6=1,HN6=0),1000,0)),1000000))</f>
        <v/>
      </c>
      <c r="MF6">
        <f>IF($B6=0,1000000,IF(INDEX('計算A'!$D$60:$DS$104,$B6,2)*CX6=1,IF(AND($E6=2,HO6=0),1000000,INDEX('計算A'!E$110:E$114,$F6+1)+IF(AND($E6=1,HO6=0),1000,0)),1000000))</f>
        <v/>
      </c>
      <c r="MG6">
        <f>IF($B6=0,1000000,IF(INDEX('計算A'!$D$60:$DS$104,$B6,3)*CY6=1,IF(AND($E6=2,HP6=0),1000000,INDEX('計算A'!F$110:F$114,$F6+1)+IF(AND($E6=1,HP6=0),1000,0)),1000000))</f>
        <v/>
      </c>
      <c r="MH6">
        <f>IF($B6=0,1000000,IF(INDEX('計算A'!$D$60:$DS$104,$B6,4)*CZ6=1,IF(AND($E6=2,HQ6=0),1000000,INDEX('計算A'!G$110:G$114,$F6+1)+IF(AND($E6=1,HQ6=0),1000,0)),1000000))</f>
        <v/>
      </c>
      <c r="MI6">
        <f>IF($B6=0,1000000,IF(INDEX('計算A'!$D$60:$DS$104,$B6,5)*DA6=1,IF(AND($E6=2,HR6=0),1000000,INDEX('計算A'!H$110:H$114,$F6+1)+IF(AND($E6=1,HR6=0),1000,0)),1000000))</f>
        <v/>
      </c>
      <c r="MJ6">
        <f>IF($B6=0,1000000,IF(INDEX('計算A'!$D$60:$DS$104,$B6,6)*DB6=1,IF(AND($E6=2,HS6=0),1000000,INDEX('計算A'!I$110:I$114,$F6+1)+IF(AND($E6=1,HS6=0),1000,0)),1000000))</f>
        <v/>
      </c>
      <c r="MK6">
        <f>IF($B6=0,1000000,IF(INDEX('計算A'!$D$60:$DS$104,$B6,7)*DC6=1,IF(AND($E6=2,HT6=0),1000000,INDEX('計算A'!J$110:J$114,$F6+1)+IF(AND($E6=1,HT6=0),1000,0)),1000000))</f>
        <v/>
      </c>
      <c r="ML6">
        <f>IF($B6=0,1000000,IF(INDEX('計算A'!$D$60:$DS$104,$B6,8)*DD6=1,IF(AND($E6=2,HU6=0),1000000,INDEX('計算A'!K$110:K$114,$F6+1)+IF(AND($E6=1,HU6=0),1000,0)),1000000))</f>
        <v/>
      </c>
      <c r="MM6">
        <f>IF($B6=0,1000000,IF(INDEX('計算A'!$D$60:$DS$104,$B6,9)*DE6=1,IF(AND($E6=2,HV6=0),1000000,INDEX('計算A'!L$110:L$114,$F6+1)+IF(AND($E6=1,HV6=0),1000,0)),1000000))</f>
        <v/>
      </c>
      <c r="MN6">
        <f>IF($B6=0,1000000,IF(INDEX('計算A'!$D$60:$DS$104,$B6,10)*DF6=1,IF(AND($E6=2,HW6=0),1000000,INDEX('計算A'!M$110:M$114,$F6+1)+IF(AND($E6=1,HW6=0),1000,0)),1000000))</f>
        <v/>
      </c>
      <c r="MO6">
        <f>IF($B6=0,1000000,IF(INDEX('計算A'!$D$60:$DS$104,$B6,11)*DG6=1,IF(AND($E6=2,HX6=0),1000000,INDEX('計算A'!N$110:N$114,$F6+1)+IF(AND($E6=1,HX6=0),1000,0)),1000000))</f>
        <v/>
      </c>
      <c r="MP6">
        <f>IF($B6=0,1000000,IF(INDEX('計算A'!$D$60:$DS$104,$B6,12)*DH6=1,IF(AND($E6=2,HY6=0),1000000,INDEX('計算A'!O$110:O$114,$F6+1)+IF(AND($E6=1,HY6=0),1000,0)),1000000))</f>
        <v/>
      </c>
      <c r="MQ6">
        <f>IF($B6=0,1000000,IF(INDEX('計算A'!$D$60:$DS$104,$B6,13)*DI6=1,IF(AND($E6=2,HZ6=0),1000000,INDEX('計算A'!P$110:P$114,$F6+1)+IF(AND($E6=1,HZ6=0),1000,0)),1000000))</f>
        <v/>
      </c>
      <c r="MR6">
        <f>IF($B6=0,1000000,IF(INDEX('計算A'!$D$60:$DS$104,$B6,14)*DJ6=1,IF(AND($E6=2,IA6=0),1000000,INDEX('計算A'!Q$110:Q$114,$F6+1)+IF(AND($E6=1,IA6=0),1000,0)),1000000))</f>
        <v/>
      </c>
      <c r="MS6">
        <f>IF($B6=0,1000000,IF(INDEX('計算A'!$D$60:$DS$104,$B6,15)*DK6=1,IF(AND($E6=2,IB6=0),1000000,INDEX('計算A'!R$110:R$114,$F6+1)+IF(AND($E6=1,IB6=0),1000,0)),1000000))</f>
        <v/>
      </c>
      <c r="MT6">
        <f>IF($B6=0,1000000,IF(INDEX('計算A'!$D$60:$DS$104,$B6,16)*DL6=1,IF(AND($E6=2,IC6=0),1000000,INDEX('計算A'!S$110:S$114,$F6+1)+IF(AND($E6=1,IC6=0),1000,0)),1000000))</f>
        <v/>
      </c>
      <c r="MU6">
        <f>IF($B6=0,1000000,IF(INDEX('計算A'!$D$60:$DS$104,$B6,17)*DM6=1,IF(AND($E6=2,ID6=0),1000000,INDEX('計算A'!T$110:T$114,$F6+1)+IF(AND($E6=1,ID6=0),1000,0)),1000000))</f>
        <v/>
      </c>
      <c r="MV6">
        <f>IF($B6=0,1000000,IF(INDEX('計算A'!$D$60:$DS$104,$B6,18)*DN6=1,IF(AND($E6=2,IE6=0),1000000,INDEX('計算A'!U$110:U$114,$F6+1)+IF(AND($E6=1,IE6=0),1000,0)),1000000))</f>
        <v/>
      </c>
      <c r="MW6">
        <f>IF($B6=0,1000000,IF(INDEX('計算A'!$D$60:$DS$104,$B6,19)*DO6=1,IF(AND($E6=2,IF6=0),1000000,INDEX('計算A'!V$110:V$114,$F6+1)+IF(AND($E6=1,IF6=0),1000,0)),1000000))</f>
        <v/>
      </c>
      <c r="MX6">
        <f>IF($B6=0,1000000,IF(INDEX('計算A'!$D$60:$DS$104,$B6,20)*DP6=1,IF(AND($E6=2,IG6=0),1000000,INDEX('計算A'!W$110:W$114,$F6+1)+IF(AND($E6=1,IG6=0),1000,0)),1000000))</f>
        <v/>
      </c>
      <c r="MY6">
        <f>IF($B6=0,1000000,IF(INDEX('計算A'!$D$60:$DS$104,$B6,21)*DQ6=1,IF(AND($E6=2,IH6=0),1000000,INDEX('計算A'!X$110:X$114,$F6+1)+IF(AND($E6=1,IH6=0),1000,0)),1000000))</f>
        <v/>
      </c>
      <c r="MZ6">
        <f>IF($B6=0,1000000,IF(INDEX('計算A'!$D$60:$DS$104,$B6,22)*DR6=1,IF(AND($E6=2,II6=0),1000000,INDEX('計算A'!Y$110:Y$114,$F6+1)+IF(AND($E6=1,II6=0),1000,0)),1000000))</f>
        <v/>
      </c>
      <c r="NA6">
        <f>IF($B6=0,1000000,IF(INDEX('計算A'!$D$60:$DS$104,$B6,23)*DS6=1,IF(AND($E6=2,IJ6=0),1000000,INDEX('計算A'!Z$110:Z$114,$F6+1)+IF(AND($E6=1,IJ6=0),1000,0)),1000000))</f>
        <v/>
      </c>
      <c r="NB6">
        <f>IF($B6=0,1000000,IF(INDEX('計算A'!$D$60:$DS$104,$B6,24)*DT6=1,IF(AND($E6=2,IK6=0),1000000,INDEX('計算A'!AA$110:AA$114,$F6+1)+IF(AND($E6=1,IK6=0),1000,0)),1000000))</f>
        <v/>
      </c>
      <c r="NC6">
        <f>IF($B6=0,1000000,IF(INDEX('計算A'!$D$60:$DS$104,$B6,25)*DU6=1,IF(AND($E6=2,IL6=0),1000000,INDEX('計算A'!AB$110:AB$114,$F6+1)+IF(AND($E6=1,IL6=0),1000,0)),1000000))</f>
        <v/>
      </c>
      <c r="ND6">
        <f>IF($B6=0,1000000,IF(INDEX('計算A'!$D$60:$DS$104,$B6,26)*DV6=1,IF(AND($E6=2,IM6=0),1000000,INDEX('計算A'!AC$110:AC$114,$F6+1)+IF(AND($E6=1,IM6=0),1000,0)),1000000))</f>
        <v/>
      </c>
      <c r="NE6">
        <f>IF($B6=0,1000000,IF(INDEX('計算A'!$D$60:$DS$104,$B6,27)*DW6=1,IF(AND($E6=2,IN6=0),1000000,INDEX('計算A'!AD$110:AD$114,$F6+1)+IF(AND($E6=1,IN6=0),1000,0)),1000000))</f>
        <v/>
      </c>
      <c r="NF6">
        <f>IF($B6=0,1000000,IF(INDEX('計算A'!$D$60:$DS$104,$B6,28)*DX6=1,IF(AND($E6=2,IO6=0),1000000,INDEX('計算A'!AE$110:AE$114,$F6+1)+IF(AND($E6=1,IO6=0),1000,0)),1000000))</f>
        <v/>
      </c>
      <c r="NG6">
        <f>IF($B6=0,1000000,IF(INDEX('計算A'!$D$60:$DS$104,$B6,29)*DY6=1,IF(AND($E6=2,IP6=0),1000000,INDEX('計算A'!AF$110:AF$114,$F6+1)+IF(AND($E6=1,IP6=0),1000,0)),1000000))</f>
        <v/>
      </c>
      <c r="NH6">
        <f>IF($B6=0,1000000,IF(INDEX('計算A'!$D$60:$DS$104,$B6,30)*DZ6=1,IF(AND($E6=2,IQ6=0),1000000,INDEX('計算A'!AG$110:AG$114,$F6+1)+IF(AND($E6=1,IQ6=0),1000,0)),1000000))</f>
        <v/>
      </c>
      <c r="NI6">
        <f>IF($B6=0,1000000,IF(INDEX('計算A'!$D$60:$DS$104,$B6,31)*EA6=1,IF(AND($E6=2,IR6=0),1000000,INDEX('計算A'!AH$110:AH$114,$F6+1)+IF(AND($E6=1,IR6=0),1000,0)),1000000))</f>
        <v/>
      </c>
      <c r="NJ6">
        <f>IF($B6=0,1000000,IF(INDEX('計算A'!$D$60:$DS$104,$B6,32)*EB6=1,IF(AND($E6=2,IS6=0),1000000,INDEX('計算A'!AI$110:AI$114,$F6+1)+IF(AND($E6=1,IS6=0),1000,0)),1000000))</f>
        <v/>
      </c>
      <c r="NK6">
        <f>IF($B6=0,1000000,IF(INDEX('計算A'!$D$60:$DS$104,$B6,33)*EC6=1,IF(AND($E6=2,IT6=0),1000000,INDEX('計算A'!AJ$110:AJ$114,$F6+1)+IF(AND($E6=1,IT6=0),1000,0)),1000000))</f>
        <v/>
      </c>
      <c r="NL6">
        <f>IF($B6=0,1000000,IF(INDEX('計算A'!$D$60:$DS$104,$B6,34)*ED6=1,IF(AND($E6=2,IU6=0),1000000,INDEX('計算A'!AK$110:AK$114,$F6+1)+IF(AND($E6=1,IU6=0),1000,0)),1000000))</f>
        <v/>
      </c>
      <c r="NM6">
        <f>IF($B6=0,1000000,IF(INDEX('計算A'!$D$60:$DS$104,$B6,35)*EE6=1,IF(AND($E6=2,IV6=0),1000000,INDEX('計算A'!AL$110:AL$114,$F6+1)+IF(AND($E6=1,IV6=0),1000,0)),1000000))</f>
        <v/>
      </c>
      <c r="NN6">
        <f>IF($B6=0,1000000,IF(INDEX('計算A'!$D$60:$DS$104,$B6,36)*EF6=1,IF(AND($E6=2,IW6=0),1000000,INDEX('計算A'!AM$110:AM$114,$F6+1)+IF(AND($E6=1,IW6=0),1000,0)),1000000))</f>
        <v/>
      </c>
      <c r="NO6">
        <f>IF($B6=0,1000000,IF(INDEX('計算A'!$D$60:$DS$104,$B6,37)*EG6=1,IF(AND($E6=2,IX6=0),1000000,INDEX('計算A'!AN$110:AN$114,$F6+1)+IF(AND($E6=1,IX6=0),1000,0)),1000000))</f>
        <v/>
      </c>
      <c r="NP6">
        <f>IF($B6=0,1000000,IF(INDEX('計算A'!$D$60:$DS$104,$B6,38)*EH6=1,IF(AND($E6=2,IY6=0),1000000,INDEX('計算A'!AO$110:AO$114,$F6+1)+IF(AND($E6=1,IY6=0),1000,0)),1000000))</f>
        <v/>
      </c>
      <c r="NQ6">
        <f>IF($B6=0,1000000,IF(INDEX('計算A'!$D$60:$DS$104,$B6,39)*EI6=1,IF(AND($E6=2,IZ6=0),1000000,INDEX('計算A'!AP$110:AP$114,$F6+1)+IF(AND($E6=1,IZ6=0),1000,0)),1000000))</f>
        <v/>
      </c>
      <c r="NR6">
        <f>IF($B6=0,1000000,IF(INDEX('計算A'!$D$60:$DS$104,$B6,40)*EJ6=1,IF(AND($E6=2,JA6=0),1000000,INDEX('計算A'!AQ$110:AQ$114,$F6+1)+IF(AND($E6=1,JA6=0),1000,0)),1000000))</f>
        <v/>
      </c>
      <c r="NS6">
        <f>IF($B6=0,1000000,IF(INDEX('計算A'!$D$60:$DS$104,$B6,41)*EK6=1,IF(AND($E6=2,JB6=0),1000000,INDEX('計算A'!AR$110:AR$114,$F6+1)+IF(AND($E6=1,JB6=0),1000,0)),1000000))</f>
        <v/>
      </c>
      <c r="NT6">
        <f>IF($B6=0,1000000,IF(INDEX('計算A'!$D$60:$DS$104,$B6,42)*EL6=1,IF(AND($E6=2,JC6=0),1000000,INDEX('計算A'!AS$110:AS$114,$F6+1)+IF(AND($E6=1,JC6=0),1000,0)),1000000))</f>
        <v/>
      </c>
      <c r="NU6">
        <f>IF($B6=0,1000000,IF(INDEX('計算A'!$D$60:$DS$104,$B6,43)*EM6=1,IF(AND($E6=2,JD6=0),1000000,INDEX('計算A'!AT$110:AT$114,$F6+1)+IF(AND($E6=1,JD6=0),1000,0)),1000000))</f>
        <v/>
      </c>
      <c r="NV6">
        <f>IF($B6=0,1000000,IF(INDEX('計算A'!$D$60:$DS$104,$B6,44)*EN6=1,IF(AND($E6=2,JE6=0),1000000,INDEX('計算A'!AU$110:AU$114,$F6+1)+IF(AND($E6=1,JE6=0),1000,0)),1000000))</f>
        <v/>
      </c>
      <c r="NW6">
        <f>IF($B6=0,1000000,IF(INDEX('計算A'!$D$60:$DS$104,$B6,45)*EO6=1,IF(AND($E6=2,JF6=0),1000000,INDEX('計算A'!AV$110:AV$114,$F6+1)+IF(AND($E6=1,JF6=0),1000,0)),1000000))</f>
        <v/>
      </c>
      <c r="NX6">
        <f>IF($B6=0,1000000,IF(INDEX('計算A'!$D$60:$DS$104,$B6,46)*EP6=1,IF(AND($E6=2,JG6=0),1000000,INDEX('計算A'!AW$110:AW$114,$F6+1)+IF(AND($E6=1,JG6=0),1000,0)),1000000))</f>
        <v/>
      </c>
      <c r="NY6">
        <f>IF($B6=0,1000000,IF(INDEX('計算A'!$D$60:$DS$104,$B6,47)*EQ6=1,IF(AND($E6=2,JH6=0),1000000,INDEX('計算A'!AX$110:AX$114,$F6+1)+IF(AND($E6=1,JH6=0),1000,0)),1000000))</f>
        <v/>
      </c>
      <c r="NZ6">
        <f>IF($B6=0,1000000,IF(INDEX('計算A'!$D$60:$DS$104,$B6,48)*ER6=1,IF(AND($E6=2,JI6=0),1000000,INDEX('計算A'!AY$110:AY$114,$F6+1)+IF(AND($E6=1,JI6=0),1000,0)),1000000))</f>
        <v/>
      </c>
      <c r="OA6">
        <f>IF($B6=0,1000000,IF(INDEX('計算A'!$D$60:$DS$104,$B6,49)*ES6=1,IF(AND($E6=2,JJ6=0),1000000,INDEX('計算A'!AZ$110:AZ$114,$F6+1)+IF(AND($E6=1,JJ6=0),1000,0)),1000000))</f>
        <v/>
      </c>
      <c r="OB6">
        <f>IF($B6=0,1000000,IF(INDEX('計算A'!$D$60:$DS$104,$B6,50)*ET6=1,IF(AND($E6=2,JK6=0),1000000,INDEX('計算A'!BA$110:BA$114,$F6+1)+IF(AND($E6=1,JK6=0),1000,0)),1000000))</f>
        <v/>
      </c>
      <c r="OC6">
        <f>IF($B6=0,1000000,IF(INDEX('計算A'!$D$60:$DS$104,$B6,51)*EU6=1,IF(AND($E6=2,JL6=0),1000000,INDEX('計算A'!BB$110:BB$114,$F6+1)+IF(AND($E6=1,JL6=0),1000,0)),1000000))</f>
        <v/>
      </c>
      <c r="OD6">
        <f>IF($B6=0,1000000,IF(INDEX('計算A'!$D$60:$DS$104,$B6,52)*EV6=1,IF(AND($E6=2,JM6=0),1000000,INDEX('計算A'!BC$110:BC$114,$F6+1)+IF(AND($E6=1,JM6=0),1000,0)),1000000))</f>
        <v/>
      </c>
      <c r="OE6">
        <f>IF($B6=0,1000000,IF(INDEX('計算A'!$D$60:$DS$104,$B6,53)*EW6=1,IF(AND($E6=2,JN6=0),1000000,INDEX('計算A'!BD$110:BD$114,$F6+1)+IF(AND($E6=1,JN6=0),1000,0)),1000000))</f>
        <v/>
      </c>
      <c r="OF6">
        <f>IF($B6=0,1000000,IF(INDEX('計算A'!$D$60:$DS$104,$B6,54)*EX6=1,IF(AND($E6=2,JO6=0),1000000,INDEX('計算A'!BE$110:BE$114,$F6+1)+IF(AND($E6=1,JO6=0),1000,0)),1000000))</f>
        <v/>
      </c>
      <c r="OG6">
        <f>IF($B6=0,1000000,IF(INDEX('計算A'!$D$60:$DS$104,$B6,55)*EY6=1,IF(AND($E6=2,JP6=0),1000000,INDEX('計算A'!BF$110:BF$114,$F6+1)+IF(AND($E6=1,JP6=0),1000,0)),1000000))</f>
        <v/>
      </c>
      <c r="OH6">
        <f>IF($B6=0,1000000,IF(INDEX('計算A'!$D$60:$DS$104,$B6,56)*EZ6=1,IF(AND($E6=2,JQ6=0),1000000,INDEX('計算A'!BG$110:BG$114,$F6+1)+IF(AND($E6=1,JQ6=0),1000,0)),1000000))</f>
        <v/>
      </c>
      <c r="OI6">
        <f>IF($B6=0,1000000,IF(INDEX('計算A'!$D$60:$DS$104,$B6,57)*FA6=1,IF(AND($E6=2,JR6=0),1000000,INDEX('計算A'!BH$110:BH$114,$F6+1)+IF(AND($E6=1,JR6=0),1000,0)),1000000))</f>
        <v/>
      </c>
      <c r="OJ6">
        <f>IF($B6=0,1000000,IF(INDEX('計算A'!$D$60:$DS$104,$B6,58)*FB6=1,IF(AND($E6=2,JS6=0),1000000,INDEX('計算A'!BI$110:BI$114,$F6+1)+IF(AND($E6=1,JS6=0),1000,0)),1000000))</f>
        <v/>
      </c>
      <c r="OK6">
        <f>IF($B6=0,1000000,IF(INDEX('計算A'!$D$60:$DS$104,$B6,59)*FC6=1,IF(AND($E6=2,JT6=0),1000000,INDEX('計算A'!BJ$110:BJ$114,$F6+1)+IF(AND($E6=1,JT6=0),1000,0)),1000000))</f>
        <v/>
      </c>
      <c r="OL6">
        <f>IF($B6=0,1000000,IF(INDEX('計算A'!$D$60:$DS$104,$B6,60)*FD6=1,IF(AND($E6=2,JU6=0),1000000,INDEX('計算A'!BK$110:BK$114,$F6+1)+IF(AND($E6=1,JU6=0),1000,0)),1000000))</f>
        <v/>
      </c>
      <c r="OM6">
        <f>IF($B6=0,1000000,IF(INDEX('計算A'!$D$60:$DS$104,$B6,61)*FE6=1,IF(AND($E6=2,JV6=0),1000000,INDEX('計算A'!BL$110:BL$114,$F6+1)+IF(AND($E6=1,JV6=0),1000,0)),1000000))</f>
        <v/>
      </c>
      <c r="ON6">
        <f>IF($B6=0,1000000,IF(INDEX('計算A'!$D$60:$DS$104,$B6,62)*FF6=1,IF(AND($E6=2,JW6=0),1000000,INDEX('計算A'!BM$110:BM$114,$F6+1)+IF(AND($E6=1,JW6=0),1000,0)),1000000))</f>
        <v/>
      </c>
      <c r="OO6">
        <f>IF($B6=0,1000000,IF(INDEX('計算A'!$D$60:$DS$104,$B6,63)*FG6=1,IF(AND($E6=2,JX6=0),1000000,INDEX('計算A'!BN$110:BN$114,$F6+1)+IF(AND($E6=1,JX6=0),1000,0)),1000000))</f>
        <v/>
      </c>
      <c r="OP6">
        <f>IF($B6=0,1000000,IF(INDEX('計算A'!$D$60:$DS$104,$B6,64)*FH6=1,IF(AND($E6=2,JY6=0),1000000,INDEX('計算A'!BO$110:BO$114,$F6+1)+IF(AND($E6=1,JY6=0),1000,0)),1000000))</f>
        <v/>
      </c>
      <c r="OQ6">
        <f>IF($B6=0,1000000,IF(INDEX('計算A'!$D$60:$DS$104,$B6,65)*FI6=1,IF(AND($E6=2,JZ6=0),1000000,INDEX('計算A'!BP$110:BP$114,$F6+1)+IF(AND($E6=1,JZ6=0),1000,0)),1000000))</f>
        <v/>
      </c>
      <c r="OR6">
        <f>IF($B6=0,1000000,IF(INDEX('計算A'!$D$60:$DS$104,$B6,66)*FJ6=1,IF(AND($E6=2,KA6=0),1000000,INDEX('計算A'!BQ$110:BQ$114,$F6+1)+IF(AND($E6=1,KA6=0),1000,0)),1000000))</f>
        <v/>
      </c>
      <c r="OS6">
        <f>IF($B6=0,1000000,IF(INDEX('計算A'!$D$60:$DS$104,$B6,67)*FK6=1,IF(AND($E6=2,KB6=0),1000000,INDEX('計算A'!BR$110:BR$114,$F6+1)+IF(AND($E6=1,KB6=0),1000,0)),1000000))</f>
        <v/>
      </c>
      <c r="OT6">
        <f>IF($B6=0,1000000,IF(INDEX('計算A'!$D$60:$DS$104,$B6,68)*FL6=1,IF(AND($E6=2,KC6=0),1000000,INDEX('計算A'!BS$110:BS$114,$F6+1)+IF(AND($E6=1,KC6=0),1000,0)),1000000))</f>
        <v/>
      </c>
      <c r="OU6">
        <f>IF($B6=0,1000000,IF(INDEX('計算A'!$D$60:$DS$104,$B6,69)*FM6=1,IF(AND($E6=2,KD6=0),1000000,INDEX('計算A'!BT$110:BT$114,$F6+1)+IF(AND($E6=1,KD6=0),1000,0)),1000000))</f>
        <v/>
      </c>
      <c r="OV6">
        <f>IF($B6=0,1000000,IF(INDEX('計算A'!$D$60:$DS$104,$B6,70)*FN6=1,IF(AND($E6=2,KE6=0),1000000,INDEX('計算A'!BU$110:BU$114,$F6+1)+IF(AND($E6=1,KE6=0),1000,0)),1000000))</f>
        <v/>
      </c>
      <c r="OW6">
        <f>IF($B6=0,1000000,IF(INDEX('計算A'!$D$60:$DS$104,$B6,71)*FO6=1,IF(AND($E6=2,KF6=0),1000000,INDEX('計算A'!BV$110:BV$114,$F6+1)+IF(AND($E6=1,KF6=0),1000,0)),1000000))</f>
        <v/>
      </c>
      <c r="OX6">
        <f>IF($B6=0,1000000,IF(INDEX('計算A'!$D$60:$DS$104,$B6,72)*FP6=1,IF(AND($E6=2,KG6=0),1000000,INDEX('計算A'!BW$110:BW$114,$F6+1)+IF(AND($E6=1,KG6=0),1000,0)),1000000))</f>
        <v/>
      </c>
      <c r="OY6">
        <f>IF($B6=0,1000000,IF(INDEX('計算A'!$D$60:$DS$104,$B6,73)*FQ6=1,IF(AND($E6=2,KH6=0),1000000,INDEX('計算A'!BX$110:BX$114,$F6+1)+IF(AND($E6=1,KH6=0),1000,0)),1000000))</f>
        <v/>
      </c>
      <c r="OZ6">
        <f>IF($B6=0,1000000,IF(INDEX('計算A'!$D$60:$DS$104,$B6,74)*FR6=1,IF(AND($E6=2,KI6=0),1000000,INDEX('計算A'!BY$110:BY$114,$F6+1)+IF(AND($E6=1,KI6=0),1000,0)),1000000))</f>
        <v/>
      </c>
      <c r="PA6">
        <f>IF($B6=0,1000000,IF(INDEX('計算A'!$D$60:$DS$104,$B6,75)*FS6=1,IF(AND($E6=2,KJ6=0),1000000,INDEX('計算A'!BZ$110:BZ$114,$F6+1)+IF(AND($E6=1,KJ6=0),1000,0)),1000000))</f>
        <v/>
      </c>
      <c r="PB6">
        <f>IF($B6=0,1000000,IF(INDEX('計算A'!$D$60:$DS$104,$B6,76)*FT6=1,IF(AND($E6=2,KK6=0),1000000,INDEX('計算A'!CA$110:CA$114,$F6+1)+IF(AND($E6=1,KK6=0),1000,0)),1000000))</f>
        <v/>
      </c>
      <c r="PC6">
        <f>IF($B6=0,1000000,IF(INDEX('計算A'!$D$60:$DS$104,$B6,77)*FU6=1,IF(AND($E6=2,KL6=0),1000000,INDEX('計算A'!CB$110:CB$114,$F6+1)+IF(AND($E6=1,KL6=0),1000,0)),1000000))</f>
        <v/>
      </c>
      <c r="PD6">
        <f>IF($B6=0,1000000,IF(INDEX('計算A'!$D$60:$DS$104,$B6,78)*FV6=1,IF(AND($E6=2,KM6=0),1000000,INDEX('計算A'!CC$110:CC$114,$F6+1)+IF(AND($E6=1,KM6=0),1000,0)),1000000))</f>
        <v/>
      </c>
      <c r="PE6">
        <f>IF($B6=0,1000000,IF(INDEX('計算A'!$D$60:$DS$104,$B6,79)*FW6=1,IF(AND($E6=2,KN6=0),1000000,INDEX('計算A'!CD$110:CD$114,$F6+1)+IF(AND($E6=1,KN6=0),1000,0)),1000000))</f>
        <v/>
      </c>
      <c r="PF6">
        <f>IF($B6=0,1000000,IF(INDEX('計算A'!$D$60:$DS$104,$B6,80)*FX6=1,IF(AND($E6=2,KO6=0),1000000,INDEX('計算A'!CE$110:CE$114,$F6+1)+IF(AND($E6=1,KO6=0),1000,0)),1000000))</f>
        <v/>
      </c>
      <c r="PG6">
        <f>IF($B6=0,1000000,IF(INDEX('計算A'!$D$60:$DS$104,$B6,81)*FY6=1,IF(AND($E6=2,KP6=0),1000000,INDEX('計算A'!CF$110:CF$114,$F6+1)+IF(AND($E6=1,KP6=0),1000,0)),1000000))</f>
        <v/>
      </c>
      <c r="PH6">
        <f>IF($B6=0,1000000,IF(INDEX('計算A'!$D$60:$DS$104,$B6,82)*FZ6=1,IF(AND($E6=2,KQ6=0),1000000,INDEX('計算A'!CG$110:CG$114,$F6+1)+IF(AND($E6=1,KQ6=0),1000,0)),1000000))</f>
        <v/>
      </c>
      <c r="PI6">
        <f>IF($B6=0,1000000,IF(INDEX('計算A'!$D$60:$DS$104,$B6,83)*GA6=1,IF(AND($E6=2,KR6=0),1000000,INDEX('計算A'!CH$110:CH$114,$F6+1)+IF(AND($E6=1,KR6=0),1000,0)),1000000))</f>
        <v/>
      </c>
      <c r="PJ6">
        <f>IF($B6=0,1000000,IF(INDEX('計算A'!$D$60:$DS$104,$B6,84)*GB6=1,IF(AND($E6=2,KS6=0),1000000,INDEX('計算A'!CI$110:CI$114,$F6+1)+IF(AND($E6=1,KS6=0),1000,0)),1000000))</f>
        <v/>
      </c>
      <c r="PK6">
        <f>IF($B6=0,1000000,IF(INDEX('計算A'!$D$60:$DS$104,$B6,85)*GC6=1,IF(AND($E6=2,KT6=0),1000000,INDEX('計算A'!CJ$110:CJ$114,$F6+1)+IF(AND($E6=1,KT6=0),1000,0)),1000000))</f>
        <v/>
      </c>
      <c r="PL6">
        <f>IF($B6=0,1000000,IF(INDEX('計算A'!$D$60:$DS$104,$B6,86)*GD6=1,IF(AND($E6=2,KU6=0),1000000,INDEX('計算A'!CK$110:CK$114,$F6+1)+IF(AND($E6=1,KU6=0),1000,0)),1000000))</f>
        <v/>
      </c>
      <c r="PM6">
        <f>IF($B6=0,1000000,IF(INDEX('計算A'!$D$60:$DS$104,$B6,87)*GE6=1,IF(AND($E6=2,KV6=0),1000000,INDEX('計算A'!CL$110:CL$114,$F6+1)+IF(AND($E6=1,KV6=0),1000,0)),1000000))</f>
        <v/>
      </c>
      <c r="PN6">
        <f>IF($B6=0,1000000,IF(INDEX('計算A'!$D$60:$DS$104,$B6,88)*GF6=1,IF(AND($E6=2,KW6=0),1000000,INDEX('計算A'!CM$110:CM$114,$F6+1)+IF(AND($E6=1,KW6=0),1000,0)),1000000))</f>
        <v/>
      </c>
      <c r="PO6">
        <f>IF($B6=0,1000000,IF(INDEX('計算A'!$D$60:$DS$104,$B6,89)*GG6=1,IF(AND($E6=2,KX6=0),1000000,INDEX('計算A'!CN$110:CN$114,$F6+1)+IF(AND($E6=1,KX6=0),1000,0)),1000000))</f>
        <v/>
      </c>
      <c r="PP6">
        <f>IF($B6=0,1000000,IF(INDEX('計算A'!$D$60:$DS$104,$B6,90)*GH6=1,IF(AND($E6=2,KY6=0),1000000,INDEX('計算A'!CO$110:CO$114,$F6+1)+IF(AND($E6=1,KY6=0),1000,0)),1000000))</f>
        <v/>
      </c>
      <c r="PQ6">
        <f>IF($B6=0,1000000,IF(INDEX('計算A'!$D$60:$DS$104,$B6,91)*GI6=1,IF(AND($E6=2,KZ6=0),1000000,INDEX('計算A'!CP$110:CP$114,$F6+1)+IF(AND($E6=1,KZ6=0),1000,0)),1000000))</f>
        <v/>
      </c>
      <c r="PR6">
        <f>IF($B6=0,1000000,IF(INDEX('計算A'!$D$60:$DS$104,$B6,92)*GJ6=1,IF(AND($E6=2,LA6=0),1000000,INDEX('計算A'!CQ$110:CQ$114,$F6+1)+IF(AND($E6=1,LA6=0),1000,0)),1000000))</f>
        <v/>
      </c>
      <c r="PS6">
        <f>IF($B6=0,1000000,IF(INDEX('計算A'!$D$60:$DS$104,$B6,93)*GK6=1,IF(AND($E6=2,LB6=0),1000000,INDEX('計算A'!CR$110:CR$114,$F6+1)+IF(AND($E6=1,LB6=0),1000,0)),1000000))</f>
        <v/>
      </c>
      <c r="PT6">
        <f>IF($B6=0,1000000,IF(INDEX('計算A'!$D$60:$DS$104,$B6,94)*GL6=1,IF(AND($E6=2,LC6=0),1000000,INDEX('計算A'!CS$110:CS$114,$F6+1)+IF(AND($E6=1,LC6=0),1000,0)),1000000))</f>
        <v/>
      </c>
      <c r="PU6">
        <f>IF($B6=0,1000000,IF(INDEX('計算A'!$D$60:$DS$104,$B6,95)*GM6=1,IF(AND($E6=2,LD6=0),1000000,INDEX('計算A'!CT$110:CT$114,$F6+1)+IF(AND($E6=1,LD6=0),1000,0)),1000000))</f>
        <v/>
      </c>
      <c r="PV6">
        <f>IF($B6=0,1000000,IF(INDEX('計算A'!$D$60:$DS$104,$B6,96)*GN6=1,IF(AND($E6=2,LE6=0),1000000,INDEX('計算A'!CU$110:CU$114,$F6+1)+IF(AND($E6=1,LE6=0),1000,0)),1000000))</f>
        <v/>
      </c>
      <c r="PW6">
        <f>IF($B6=0,1000000,IF(INDEX('計算A'!$D$60:$DS$104,$B6,97)*GO6=1,IF(AND($E6=2,LF6=0),1000000,INDEX('計算A'!CV$110:CV$114,$F6+1)+IF(AND($E6=1,LF6=0),1000,0)),1000000))</f>
        <v/>
      </c>
      <c r="PX6">
        <f>IF($B6=0,1000000,IF(INDEX('計算A'!$D$60:$DS$104,$B6,98)*GP6=1,IF(AND($E6=2,LG6=0),1000000,INDEX('計算A'!CW$110:CW$114,$F6+1)+IF(AND($E6=1,LG6=0),1000,0)),1000000))</f>
        <v/>
      </c>
      <c r="PY6">
        <f>IF($B6=0,1000000,IF(INDEX('計算A'!$D$60:$DS$104,$B6,99)*GQ6=1,IF(AND($E6=2,LH6=0),1000000,INDEX('計算A'!CX$110:CX$114,$F6+1)+IF(AND($E6=1,LH6=0),1000,0)),1000000))</f>
        <v/>
      </c>
      <c r="PZ6">
        <f>IF($B6=0,1000000,IF(INDEX('計算A'!$D$60:$DS$104,$B6,100)*GR6=1,IF(AND($E6=2,LI6=0),1000000,INDEX('計算A'!CY$110:CY$114,$F6+1)+IF(AND($E6=1,LI6=0),1000,0)),1000000))</f>
        <v/>
      </c>
      <c r="QA6">
        <f>IF($B6=0,1000000,IF(INDEX('計算A'!$D$60:$DS$104,$B6,101)*GS6=1,IF(AND($E6=2,LJ6=0),1000000,INDEX('計算A'!CZ$110:CZ$114,$F6+1)+IF(AND($E6=1,LJ6=0),1000,0)),1000000))</f>
        <v/>
      </c>
      <c r="QB6">
        <f>IF($B6=0,1000000,IF(INDEX('計算A'!$D$60:$DS$104,$B6,102)*GT6=1,IF(AND($E6=2,LK6=0),1000000,INDEX('計算A'!DA$110:DA$114,$F6+1)+IF(AND($E6=1,LK6=0),1000,0)),1000000))</f>
        <v/>
      </c>
      <c r="QC6">
        <f>IF($B6=0,1000000,IF(INDEX('計算A'!$D$60:$DS$104,$B6,103)*GU6=1,IF(AND($E6=2,LL6=0),1000000,INDEX('計算A'!DB$110:DB$114,$F6+1)+IF(AND($E6=1,LL6=0),1000,0)),1000000))</f>
        <v/>
      </c>
      <c r="QD6">
        <f>IF($B6=0,1000000,IF(INDEX('計算A'!$D$60:$DS$104,$B6,104)*GV6=1,IF(AND($E6=2,LM6=0),1000000,INDEX('計算A'!DC$110:DC$114,$F6+1)+IF(AND($E6=1,LM6=0),1000,0)),1000000))</f>
        <v/>
      </c>
      <c r="QE6">
        <f>IF($B6=0,1000000,IF(INDEX('計算A'!$D$60:$DS$104,$B6,105)*GW6=1,IF(AND($E6=2,LN6=0),1000000,INDEX('計算A'!DD$110:DD$114,$F6+1)+IF(AND($E6=1,LN6=0),1000,0)),1000000))</f>
        <v/>
      </c>
      <c r="QF6">
        <f>IF($B6=0,1000000,IF(INDEX('計算A'!$D$60:$DS$104,$B6,106)*GX6=1,IF(AND($E6=2,LO6=0),1000000,INDEX('計算A'!DE$110:DE$114,$F6+1)+IF(AND($E6=1,LO6=0),1000,0)),1000000))</f>
        <v/>
      </c>
      <c r="QG6">
        <f>IF($B6=0,1000000,IF(INDEX('計算A'!$D$60:$DS$104,$B6,107)*GY6=1,IF(AND($E6=2,LP6=0),1000000,INDEX('計算A'!DF$110:DF$114,$F6+1)+IF(AND($E6=1,LP6=0),1000,0)),1000000))</f>
        <v/>
      </c>
      <c r="QH6">
        <f>IF($B6=0,1000000,IF(INDEX('計算A'!$D$60:$DS$104,$B6,108)*GZ6=1,IF(AND($E6=2,LQ6=0),1000000,INDEX('計算A'!DG$110:DG$114,$F6+1)+IF(AND($E6=1,LQ6=0),1000,0)),1000000))</f>
        <v/>
      </c>
      <c r="QI6">
        <f>IF($B6=0,1000000,IF(INDEX('計算A'!$D$60:$DS$104,$B6,109)*HA6=1,IF(AND($E6=2,LR6=0),1000000,INDEX('計算A'!DH$110:DH$114,$F6+1)+IF(AND($E6=1,LR6=0),1000,0)),1000000))</f>
        <v/>
      </c>
      <c r="QJ6">
        <f>IF($B6=0,1000000,IF(INDEX('計算A'!$D$60:$DS$104,$B6,110)*HB6=1,IF(AND($E6=2,LS6=0),1000000,INDEX('計算A'!DI$110:DI$114,$F6+1)+IF(AND($E6=1,LS6=0),1000,0)),1000000))</f>
        <v/>
      </c>
      <c r="QK6">
        <f>IF($B6=0,1000000,IF(INDEX('計算A'!$D$60:$DS$104,$B6,111)*HC6=1,IF(AND($E6=2,LT6=0),1000000,INDEX('計算A'!DJ$110:DJ$114,$F6+1)+IF(AND($E6=1,LT6=0),1000,0)),1000000))</f>
        <v/>
      </c>
      <c r="QL6">
        <f>IF($B6=0,1000000,IF(INDEX('計算A'!$D$60:$DS$104,$B6,112)*HD6=1,IF(AND($E6=2,LU6=0),1000000,INDEX('計算A'!DK$110:DK$114,$F6+1)+IF(AND($E6=1,LU6=0),1000,0)),1000000))</f>
        <v/>
      </c>
      <c r="QM6">
        <f>IF($B6=0,1000000,IF(INDEX('計算A'!$D$60:$DS$104,$B6,113)*HE6=1,IF(AND($E6=2,LV6=0),1000000,INDEX('計算A'!DL$110:DL$114,$F6+1)+IF(AND($E6=1,LV6=0),1000,0)),1000000))</f>
        <v/>
      </c>
      <c r="QN6">
        <f>IF($B6=0,1000000,IF(INDEX('計算A'!$D$60:$DS$104,$B6,114)*HF6=1,IF(AND($E6=2,LW6=0),1000000,INDEX('計算A'!DM$110:DM$114,$F6+1)+IF(AND($E6=1,LW6=0),1000,0)),1000000))</f>
        <v/>
      </c>
      <c r="QO6">
        <f>IF($B6=0,1000000,IF(INDEX('計算A'!$D$60:$DS$104,$B6,115)*HG6=1,IF(AND($E6=2,LX6=0),1000000,INDEX('計算A'!DN$110:DN$114,$F6+1)+IF(AND($E6=1,LX6=0),1000,0)),1000000))</f>
        <v/>
      </c>
      <c r="QP6">
        <f>IF($B6=0,1000000,IF(INDEX('計算A'!$D$60:$DS$104,$B6,116)*HH6=1,IF(AND($E6=2,LY6=0),1000000,INDEX('計算A'!DO$110:DO$114,$F6+1)+IF(AND($E6=1,LY6=0),1000,0)),1000000))</f>
        <v/>
      </c>
      <c r="QQ6">
        <f>IF($B6=0,1000000,IF(INDEX('計算A'!$D$60:$DS$104,$B6,117)*HI6=1,IF(AND($E6=2,LZ6=0),1000000,INDEX('計算A'!DP$110:DP$114,$F6+1)+IF(AND($E6=1,LZ6=0),1000,0)),1000000))</f>
        <v/>
      </c>
      <c r="QR6">
        <f>IF($B6=0,1000000,IF(INDEX('計算A'!$D$60:$DS$104,$B6,118)*HJ6=1,IF(AND($E6=2,MA6=0),1000000,INDEX('計算A'!DQ$110:DQ$114,$F6+1)+IF(AND($E6=1,MA6=0),1000,0)),1000000))</f>
        <v/>
      </c>
      <c r="QS6">
        <f>IF($B6=0,1000000,IF(INDEX('計算A'!$D$60:$DS$104,$B6,119)*HK6=1,IF(AND($E6=2,MB6=0),1000000,INDEX('計算A'!DR$110:DR$114,$F6+1)+IF(AND($E6=1,MB6=0),1000,0)),1000000))</f>
        <v/>
      </c>
      <c r="QT6">
        <f>IF($B6=0,1000000,IF(INDEX('計算A'!$D$60:$DS$104,$B6,120)*HL6=1,IF(AND($E6=2,MC6=0),1000000,INDEX('計算A'!DS$110:DS$114,$F6+1)+IF(AND($E6=1,MC6=0),1000,0)),1000000))</f>
        <v/>
      </c>
    </row>
    <row r="7">
      <c r="A7" t="n">
        <v>5</v>
      </c>
      <c r="B7">
        <f>IF(MIN(BC7:CU7)&gt;=1000000,0,MATCH(MIN(BC7:CU7),BC7:CU7,0))</f>
        <v/>
      </c>
      <c r="C7">
        <f>IF(MIN(ME7:QT7)&gt;=1000000,0,MATCH(MIN(ME7:QT7),ME7:QT7,0))</f>
        <v/>
      </c>
      <c r="D7">
        <f>IF(C7&gt;0,INDEX('計算A'!$D$5:$DS$5,C7),0)</f>
        <v/>
      </c>
      <c r="E7">
        <f>IF(B7=0,0,INDEX('計算A'!$EA$10:$EA$54,B7))</f>
        <v/>
      </c>
      <c r="F7">
        <f>IF(B7=0,0,INDEX('計算A'!$DZ$10:$DZ$54,B7))</f>
        <v/>
      </c>
      <c r="G7">
        <f>IF(AND(C7&gt;0,E7&gt;0),IF(AND(INDEX('計算A'!$D$106:$DS$106,C7)=1,INDEX($HN7:$MC7,C7)=1),C7+1,0),0)</f>
        <v/>
      </c>
      <c r="I7">
        <f>MAX(I6,IF($B6=1,1,0))</f>
        <v/>
      </c>
      <c r="J7">
        <f>MAX(J6,IF($B6=2,1,0))</f>
        <v/>
      </c>
      <c r="K7">
        <f>MAX(K6,IF($B6=3,1,0))</f>
        <v/>
      </c>
      <c r="L7">
        <f>MAX(L6,IF($B6=4,1,0))</f>
        <v/>
      </c>
      <c r="M7">
        <f>MAX(M6,IF($B6=5,1,0))</f>
        <v/>
      </c>
      <c r="N7">
        <f>MAX(N6,IF($B6=6,1,0))</f>
        <v/>
      </c>
      <c r="O7">
        <f>MAX(O6,IF($B6=7,1,0))</f>
        <v/>
      </c>
      <c r="P7">
        <f>MAX(P6,IF($B6=8,1,0))</f>
        <v/>
      </c>
      <c r="Q7">
        <f>MAX(Q6,IF($B6=9,1,0))</f>
        <v/>
      </c>
      <c r="R7">
        <f>MAX(R6,IF($B6=10,1,0))</f>
        <v/>
      </c>
      <c r="S7">
        <f>MAX(S6,IF($B6=11,1,0))</f>
        <v/>
      </c>
      <c r="T7">
        <f>MAX(T6,IF($B6=12,1,0))</f>
        <v/>
      </c>
      <c r="U7">
        <f>MAX(U6,IF($B6=13,1,0))</f>
        <v/>
      </c>
      <c r="V7">
        <f>MAX(V6,IF($B6=14,1,0))</f>
        <v/>
      </c>
      <c r="W7">
        <f>MAX(W6,IF($B6=15,1,0))</f>
        <v/>
      </c>
      <c r="X7">
        <f>MAX(X6,IF($B6=16,1,0))</f>
        <v/>
      </c>
      <c r="Y7">
        <f>MAX(Y6,IF($B6=17,1,0))</f>
        <v/>
      </c>
      <c r="Z7">
        <f>MAX(Z6,IF($B6=18,1,0))</f>
        <v/>
      </c>
      <c r="AA7">
        <f>MAX(AA6,IF($B6=19,1,0))</f>
        <v/>
      </c>
      <c r="AB7">
        <f>MAX(AB6,IF($B6=20,1,0))</f>
        <v/>
      </c>
      <c r="AC7">
        <f>MAX(AC6,IF($B6=21,1,0))</f>
        <v/>
      </c>
      <c r="AD7">
        <f>MAX(AD6,IF($B6=22,1,0))</f>
        <v/>
      </c>
      <c r="AE7">
        <f>MAX(AE6,IF($B6=23,1,0))</f>
        <v/>
      </c>
      <c r="AF7">
        <f>MAX(AF6,IF($B6=24,1,0))</f>
        <v/>
      </c>
      <c r="AG7">
        <f>MAX(AG6,IF($B6=25,1,0))</f>
        <v/>
      </c>
      <c r="AH7">
        <f>MAX(AH6,IF($B6=26,1,0))</f>
        <v/>
      </c>
      <c r="AI7">
        <f>MAX(AI6,IF($B6=27,1,0))</f>
        <v/>
      </c>
      <c r="AJ7">
        <f>MAX(AJ6,IF($B6=28,1,0))</f>
        <v/>
      </c>
      <c r="AK7">
        <f>MAX(AK6,IF($B6=29,1,0))</f>
        <v/>
      </c>
      <c r="AL7">
        <f>MAX(AL6,IF($B6=30,1,0))</f>
        <v/>
      </c>
      <c r="AM7">
        <f>MAX(AM6,IF($B6=31,1,0))</f>
        <v/>
      </c>
      <c r="AN7">
        <f>MAX(AN6,IF($B6=32,1,0))</f>
        <v/>
      </c>
      <c r="AO7">
        <f>MAX(AO6,IF($B6=33,1,0))</f>
        <v/>
      </c>
      <c r="AP7">
        <f>MAX(AP6,IF($B6=34,1,0))</f>
        <v/>
      </c>
      <c r="AQ7">
        <f>MAX(AQ6,IF($B6=35,1,0))</f>
        <v/>
      </c>
      <c r="AR7">
        <f>MAX(AR6,IF($B6=36,1,0))</f>
        <v/>
      </c>
      <c r="AS7">
        <f>MAX(AS6,IF($B6=37,1,0))</f>
        <v/>
      </c>
      <c r="AT7">
        <f>MAX(AT6,IF($B6=38,1,0))</f>
        <v/>
      </c>
      <c r="AU7">
        <f>MAX(AU6,IF($B6=39,1,0))</f>
        <v/>
      </c>
      <c r="AV7">
        <f>MAX(AV6,IF($B6=40,1,0))</f>
        <v/>
      </c>
      <c r="AW7">
        <f>MAX(AW6,IF($B6=41,1,0))</f>
        <v/>
      </c>
      <c r="AX7">
        <f>MAX(AX6,IF($B6=42,1,0))</f>
        <v/>
      </c>
      <c r="AY7">
        <f>MAX(AY6,IF($B6=43,1,0))</f>
        <v/>
      </c>
      <c r="AZ7">
        <f>MAX(AZ6,IF($B6=44,1,0))</f>
        <v/>
      </c>
      <c r="BA7">
        <f>MAX(BA6,IF($B6=45,1,0))</f>
        <v/>
      </c>
      <c r="BC7">
        <f>IF(I7=1,1000000,IF('計算A'!$EA$10=2,SUMPRODUCT('計算A'!$D$60:$DS$60,$CW7:$HL7,$HN7:$MC7),SUMPRODUCT('計算A'!$D$60:$DS$60,$CW7:$HL7))*1000+1)</f>
        <v/>
      </c>
      <c r="BD7">
        <f>IF(J7=1,1000000,IF('計算A'!$EA$11=2,SUMPRODUCT('計算A'!$D$61:$DS$61,$CW7:$HL7,$HN7:$MC7),SUMPRODUCT('計算A'!$D$61:$DS$61,$CW7:$HL7))*1000+2)</f>
        <v/>
      </c>
      <c r="BE7">
        <f>IF(K7=1,1000000,IF('計算A'!$EA$12=2,SUMPRODUCT('計算A'!$D$62:$DS$62,$CW7:$HL7,$HN7:$MC7),SUMPRODUCT('計算A'!$D$62:$DS$62,$CW7:$HL7))*1000+3)</f>
        <v/>
      </c>
      <c r="BF7">
        <f>IF(L7=1,1000000,IF('計算A'!$EA$13=2,SUMPRODUCT('計算A'!$D$63:$DS$63,$CW7:$HL7,$HN7:$MC7),SUMPRODUCT('計算A'!$D$63:$DS$63,$CW7:$HL7))*1000+4)</f>
        <v/>
      </c>
      <c r="BG7">
        <f>IF(M7=1,1000000,IF('計算A'!$EA$14=2,SUMPRODUCT('計算A'!$D$64:$DS$64,$CW7:$HL7,$HN7:$MC7),SUMPRODUCT('計算A'!$D$64:$DS$64,$CW7:$HL7))*1000+5)</f>
        <v/>
      </c>
      <c r="BH7">
        <f>IF(N7=1,1000000,IF('計算A'!$EA$15=2,SUMPRODUCT('計算A'!$D$65:$DS$65,$CW7:$HL7,$HN7:$MC7),SUMPRODUCT('計算A'!$D$65:$DS$65,$CW7:$HL7))*1000+6)</f>
        <v/>
      </c>
      <c r="BI7">
        <f>IF(O7=1,1000000,IF('計算A'!$EA$16=2,SUMPRODUCT('計算A'!$D$66:$DS$66,$CW7:$HL7,$HN7:$MC7),SUMPRODUCT('計算A'!$D$66:$DS$66,$CW7:$HL7))*1000+7)</f>
        <v/>
      </c>
      <c r="BJ7">
        <f>IF(P7=1,1000000,IF('計算A'!$EA$17=2,SUMPRODUCT('計算A'!$D$67:$DS$67,$CW7:$HL7,$HN7:$MC7),SUMPRODUCT('計算A'!$D$67:$DS$67,$CW7:$HL7))*1000+8)</f>
        <v/>
      </c>
      <c r="BK7">
        <f>IF(Q7=1,1000000,IF('計算A'!$EA$18=2,SUMPRODUCT('計算A'!$D$68:$DS$68,$CW7:$HL7,$HN7:$MC7),SUMPRODUCT('計算A'!$D$68:$DS$68,$CW7:$HL7))*1000+9)</f>
        <v/>
      </c>
      <c r="BL7">
        <f>IF(R7=1,1000000,IF('計算A'!$EA$19=2,SUMPRODUCT('計算A'!$D$69:$DS$69,$CW7:$HL7,$HN7:$MC7),SUMPRODUCT('計算A'!$D$69:$DS$69,$CW7:$HL7))*1000+10)</f>
        <v/>
      </c>
      <c r="BM7">
        <f>IF(S7=1,1000000,IF('計算A'!$EA$20=2,SUMPRODUCT('計算A'!$D$70:$DS$70,$CW7:$HL7,$HN7:$MC7),SUMPRODUCT('計算A'!$D$70:$DS$70,$CW7:$HL7))*1000+11)</f>
        <v/>
      </c>
      <c r="BN7">
        <f>IF(T7=1,1000000,IF('計算A'!$EA$21=2,SUMPRODUCT('計算A'!$D$71:$DS$71,$CW7:$HL7,$HN7:$MC7),SUMPRODUCT('計算A'!$D$71:$DS$71,$CW7:$HL7))*1000+12)</f>
        <v/>
      </c>
      <c r="BO7">
        <f>IF(U7=1,1000000,IF('計算A'!$EA$22=2,SUMPRODUCT('計算A'!$D$72:$DS$72,$CW7:$HL7,$HN7:$MC7),SUMPRODUCT('計算A'!$D$72:$DS$72,$CW7:$HL7))*1000+13)</f>
        <v/>
      </c>
      <c r="BP7">
        <f>IF(V7=1,1000000,IF('計算A'!$EA$23=2,SUMPRODUCT('計算A'!$D$73:$DS$73,$CW7:$HL7,$HN7:$MC7),SUMPRODUCT('計算A'!$D$73:$DS$73,$CW7:$HL7))*1000+14)</f>
        <v/>
      </c>
      <c r="BQ7">
        <f>IF(W7=1,1000000,IF('計算A'!$EA$24=2,SUMPRODUCT('計算A'!$D$74:$DS$74,$CW7:$HL7,$HN7:$MC7),SUMPRODUCT('計算A'!$D$74:$DS$74,$CW7:$HL7))*1000+15)</f>
        <v/>
      </c>
      <c r="BR7">
        <f>IF(X7=1,1000000,IF('計算A'!$EA$25=2,SUMPRODUCT('計算A'!$D$75:$DS$75,$CW7:$HL7,$HN7:$MC7),SUMPRODUCT('計算A'!$D$75:$DS$75,$CW7:$HL7))*1000+16)</f>
        <v/>
      </c>
      <c r="BS7">
        <f>IF(Y7=1,1000000,IF('計算A'!$EA$26=2,SUMPRODUCT('計算A'!$D$76:$DS$76,$CW7:$HL7,$HN7:$MC7),SUMPRODUCT('計算A'!$D$76:$DS$76,$CW7:$HL7))*1000+17)</f>
        <v/>
      </c>
      <c r="BT7">
        <f>IF(Z7=1,1000000,IF('計算A'!$EA$27=2,SUMPRODUCT('計算A'!$D$77:$DS$77,$CW7:$HL7,$HN7:$MC7),SUMPRODUCT('計算A'!$D$77:$DS$77,$CW7:$HL7))*1000+18)</f>
        <v/>
      </c>
      <c r="BU7">
        <f>IF(AA7=1,1000000,IF('計算A'!$EA$28=2,SUMPRODUCT('計算A'!$D$78:$DS$78,$CW7:$HL7,$HN7:$MC7),SUMPRODUCT('計算A'!$D$78:$DS$78,$CW7:$HL7))*1000+19)</f>
        <v/>
      </c>
      <c r="BV7">
        <f>IF(AB7=1,1000000,IF('計算A'!$EA$29=2,SUMPRODUCT('計算A'!$D$79:$DS$79,$CW7:$HL7,$HN7:$MC7),SUMPRODUCT('計算A'!$D$79:$DS$79,$CW7:$HL7))*1000+20)</f>
        <v/>
      </c>
      <c r="BW7">
        <f>IF(AC7=1,1000000,IF('計算A'!$EA$30=2,SUMPRODUCT('計算A'!$D$80:$DS$80,$CW7:$HL7,$HN7:$MC7),SUMPRODUCT('計算A'!$D$80:$DS$80,$CW7:$HL7))*1000+21)</f>
        <v/>
      </c>
      <c r="BX7">
        <f>IF(AD7=1,1000000,IF('計算A'!$EA$31=2,SUMPRODUCT('計算A'!$D$81:$DS$81,$CW7:$HL7,$HN7:$MC7),SUMPRODUCT('計算A'!$D$81:$DS$81,$CW7:$HL7))*1000+22)</f>
        <v/>
      </c>
      <c r="BY7">
        <f>IF(AE7=1,1000000,IF('計算A'!$EA$32=2,SUMPRODUCT('計算A'!$D$82:$DS$82,$CW7:$HL7,$HN7:$MC7),SUMPRODUCT('計算A'!$D$82:$DS$82,$CW7:$HL7))*1000+23)</f>
        <v/>
      </c>
      <c r="BZ7">
        <f>IF(AF7=1,1000000,IF('計算A'!$EA$33=2,SUMPRODUCT('計算A'!$D$83:$DS$83,$CW7:$HL7,$HN7:$MC7),SUMPRODUCT('計算A'!$D$83:$DS$83,$CW7:$HL7))*1000+24)</f>
        <v/>
      </c>
      <c r="CA7">
        <f>IF(AG7=1,1000000,IF('計算A'!$EA$34=2,SUMPRODUCT('計算A'!$D$84:$DS$84,$CW7:$HL7,$HN7:$MC7),SUMPRODUCT('計算A'!$D$84:$DS$84,$CW7:$HL7))*1000+25)</f>
        <v/>
      </c>
      <c r="CB7">
        <f>IF(AH7=1,1000000,IF('計算A'!$EA$35=2,SUMPRODUCT('計算A'!$D$85:$DS$85,$CW7:$HL7,$HN7:$MC7),SUMPRODUCT('計算A'!$D$85:$DS$85,$CW7:$HL7))*1000+26)</f>
        <v/>
      </c>
      <c r="CC7">
        <f>IF(AI7=1,1000000,IF('計算A'!$EA$36=2,SUMPRODUCT('計算A'!$D$86:$DS$86,$CW7:$HL7,$HN7:$MC7),SUMPRODUCT('計算A'!$D$86:$DS$86,$CW7:$HL7))*1000+27)</f>
        <v/>
      </c>
      <c r="CD7">
        <f>IF(AJ7=1,1000000,IF('計算A'!$EA$37=2,SUMPRODUCT('計算A'!$D$87:$DS$87,$CW7:$HL7,$HN7:$MC7),SUMPRODUCT('計算A'!$D$87:$DS$87,$CW7:$HL7))*1000+28)</f>
        <v/>
      </c>
      <c r="CE7">
        <f>IF(AK7=1,1000000,IF('計算A'!$EA$38=2,SUMPRODUCT('計算A'!$D$88:$DS$88,$CW7:$HL7,$HN7:$MC7),SUMPRODUCT('計算A'!$D$88:$DS$88,$CW7:$HL7))*1000+29)</f>
        <v/>
      </c>
      <c r="CF7">
        <f>IF(AL7=1,1000000,IF('計算A'!$EA$39=2,SUMPRODUCT('計算A'!$D$89:$DS$89,$CW7:$HL7,$HN7:$MC7),SUMPRODUCT('計算A'!$D$89:$DS$89,$CW7:$HL7))*1000+30)</f>
        <v/>
      </c>
      <c r="CG7">
        <f>IF(AM7=1,1000000,IF('計算A'!$EA$40=2,SUMPRODUCT('計算A'!$D$90:$DS$90,$CW7:$HL7,$HN7:$MC7),SUMPRODUCT('計算A'!$D$90:$DS$90,$CW7:$HL7))*1000+31)</f>
        <v/>
      </c>
      <c r="CH7">
        <f>IF(AN7=1,1000000,IF('計算A'!$EA$41=2,SUMPRODUCT('計算A'!$D$91:$DS$91,$CW7:$HL7,$HN7:$MC7),SUMPRODUCT('計算A'!$D$91:$DS$91,$CW7:$HL7))*1000+32)</f>
        <v/>
      </c>
      <c r="CI7">
        <f>IF(AO7=1,1000000,IF('計算A'!$EA$42=2,SUMPRODUCT('計算A'!$D$92:$DS$92,$CW7:$HL7,$HN7:$MC7),SUMPRODUCT('計算A'!$D$92:$DS$92,$CW7:$HL7))*1000+33)</f>
        <v/>
      </c>
      <c r="CJ7">
        <f>IF(AP7=1,1000000,IF('計算A'!$EA$43=2,SUMPRODUCT('計算A'!$D$93:$DS$93,$CW7:$HL7,$HN7:$MC7),SUMPRODUCT('計算A'!$D$93:$DS$93,$CW7:$HL7))*1000+34)</f>
        <v/>
      </c>
      <c r="CK7">
        <f>IF(AQ7=1,1000000,IF('計算A'!$EA$44=2,SUMPRODUCT('計算A'!$D$94:$DS$94,$CW7:$HL7,$HN7:$MC7),SUMPRODUCT('計算A'!$D$94:$DS$94,$CW7:$HL7))*1000+35)</f>
        <v/>
      </c>
      <c r="CL7">
        <f>IF(AR7=1,1000000,IF('計算A'!$EA$45=2,SUMPRODUCT('計算A'!$D$95:$DS$95,$CW7:$HL7,$HN7:$MC7),SUMPRODUCT('計算A'!$D$95:$DS$95,$CW7:$HL7))*1000+36)</f>
        <v/>
      </c>
      <c r="CM7">
        <f>IF(AS7=1,1000000,IF('計算A'!$EA$46=2,SUMPRODUCT('計算A'!$D$96:$DS$96,$CW7:$HL7,$HN7:$MC7),SUMPRODUCT('計算A'!$D$96:$DS$96,$CW7:$HL7))*1000+37)</f>
        <v/>
      </c>
      <c r="CN7">
        <f>IF(AT7=1,1000000,IF('計算A'!$EA$47=2,SUMPRODUCT('計算A'!$D$97:$DS$97,$CW7:$HL7,$HN7:$MC7),SUMPRODUCT('計算A'!$D$97:$DS$97,$CW7:$HL7))*1000+38)</f>
        <v/>
      </c>
      <c r="CO7">
        <f>IF(AU7=1,1000000,IF('計算A'!$EA$48=2,SUMPRODUCT('計算A'!$D$98:$DS$98,$CW7:$HL7,$HN7:$MC7),SUMPRODUCT('計算A'!$D$98:$DS$98,$CW7:$HL7))*1000+39)</f>
        <v/>
      </c>
      <c r="CP7">
        <f>IF(AV7=1,1000000,IF('計算A'!$EA$49=2,SUMPRODUCT('計算A'!$D$99:$DS$99,$CW7:$HL7,$HN7:$MC7),SUMPRODUCT('計算A'!$D$99:$DS$99,$CW7:$HL7))*1000+40)</f>
        <v/>
      </c>
      <c r="CQ7">
        <f>IF(AW7=1,1000000,IF('計算A'!$EA$50=2,SUMPRODUCT('計算A'!$D$100:$DS$100,$CW7:$HL7,$HN7:$MC7),SUMPRODUCT('計算A'!$D$100:$DS$100,$CW7:$HL7))*1000+41)</f>
        <v/>
      </c>
      <c r="CR7">
        <f>IF(AX7=1,1000000,IF('計算A'!$EA$51=2,SUMPRODUCT('計算A'!$D$101:$DS$101,$CW7:$HL7,$HN7:$MC7),SUMPRODUCT('計算A'!$D$101:$DS$101,$CW7:$HL7))*1000+42)</f>
        <v/>
      </c>
      <c r="CS7">
        <f>IF(AY7=1,1000000,IF('計算A'!$EA$52=2,SUMPRODUCT('計算A'!$D$102:$DS$102,$CW7:$HL7,$HN7:$MC7),SUMPRODUCT('計算A'!$D$102:$DS$102,$CW7:$HL7))*1000+43)</f>
        <v/>
      </c>
      <c r="CT7">
        <f>IF(AZ7=1,1000000,IF('計算A'!$EA$53=2,SUMPRODUCT('計算A'!$D$103:$DS$103,$CW7:$HL7,$HN7:$MC7),SUMPRODUCT('計算A'!$D$103:$DS$103,$CW7:$HL7))*1000+44)</f>
        <v/>
      </c>
      <c r="CU7">
        <f>IF(BA7=1,1000000,IF('計算A'!$EA$54=2,SUMPRODUCT('計算A'!$D$104:$DS$104,$CW7:$HL7,$HN7:$MC7),SUMPRODUCT('計算A'!$D$104:$DS$104,$CW7:$HL7))*1000+45)</f>
        <v/>
      </c>
      <c r="CW7">
        <f>CW6*IF(OR($C6=1,$G6=1),0,1)</f>
        <v/>
      </c>
      <c r="CX7">
        <f>CX6*IF(OR($C6=2,$G6=2),0,1)</f>
        <v/>
      </c>
      <c r="CY7">
        <f>CY6*IF(OR($C6=3,$G6=3),0,1)</f>
        <v/>
      </c>
      <c r="CZ7">
        <f>CZ6*IF(OR($C6=4,$G6=4),0,1)</f>
        <v/>
      </c>
      <c r="DA7">
        <f>DA6*IF(OR($C6=5,$G6=5),0,1)</f>
        <v/>
      </c>
      <c r="DB7">
        <f>DB6*IF(OR($C6=6,$G6=6),0,1)</f>
        <v/>
      </c>
      <c r="DC7">
        <f>DC6*IF(OR($C6=7,$G6=7),0,1)</f>
        <v/>
      </c>
      <c r="DD7">
        <f>DD6*IF(OR($C6=8,$G6=8),0,1)</f>
        <v/>
      </c>
      <c r="DE7">
        <f>DE6*IF(OR($C6=9,$G6=9),0,1)</f>
        <v/>
      </c>
      <c r="DF7">
        <f>DF6*IF(OR($C6=10,$G6=10),0,1)</f>
        <v/>
      </c>
      <c r="DG7">
        <f>DG6*IF(OR($C6=11,$G6=11),0,1)</f>
        <v/>
      </c>
      <c r="DH7">
        <f>DH6*IF(OR($C6=12,$G6=12),0,1)</f>
        <v/>
      </c>
      <c r="DI7">
        <f>DI6*IF(OR($C6=13,$G6=13),0,1)</f>
        <v/>
      </c>
      <c r="DJ7">
        <f>DJ6*IF(OR($C6=14,$G6=14),0,1)</f>
        <v/>
      </c>
      <c r="DK7">
        <f>DK6*IF(OR($C6=15,$G6=15),0,1)</f>
        <v/>
      </c>
      <c r="DL7">
        <f>DL6*IF(OR($C6=16,$G6=16),0,1)</f>
        <v/>
      </c>
      <c r="DM7">
        <f>DM6*IF(OR($C6=17,$G6=17),0,1)</f>
        <v/>
      </c>
      <c r="DN7">
        <f>DN6*IF(OR($C6=18,$G6=18),0,1)</f>
        <v/>
      </c>
      <c r="DO7">
        <f>DO6*IF(OR($C6=19,$G6=19),0,1)</f>
        <v/>
      </c>
      <c r="DP7">
        <f>DP6*IF(OR($C6=20,$G6=20),0,1)</f>
        <v/>
      </c>
      <c r="DQ7">
        <f>DQ6*IF(OR($C6=21,$G6=21),0,1)</f>
        <v/>
      </c>
      <c r="DR7">
        <f>DR6*IF(OR($C6=22,$G6=22),0,1)</f>
        <v/>
      </c>
      <c r="DS7">
        <f>DS6*IF(OR($C6=23,$G6=23),0,1)</f>
        <v/>
      </c>
      <c r="DT7">
        <f>DT6*IF(OR($C6=24,$G6=24),0,1)</f>
        <v/>
      </c>
      <c r="DU7">
        <f>DU6*IF(OR($C6=25,$G6=25),0,1)</f>
        <v/>
      </c>
      <c r="DV7">
        <f>DV6*IF(OR($C6=26,$G6=26),0,1)</f>
        <v/>
      </c>
      <c r="DW7">
        <f>DW6*IF(OR($C6=27,$G6=27),0,1)</f>
        <v/>
      </c>
      <c r="DX7">
        <f>DX6*IF(OR($C6=28,$G6=28),0,1)</f>
        <v/>
      </c>
      <c r="DY7">
        <f>DY6*IF(OR($C6=29,$G6=29),0,1)</f>
        <v/>
      </c>
      <c r="DZ7">
        <f>DZ6*IF(OR($C6=30,$G6=30),0,1)</f>
        <v/>
      </c>
      <c r="EA7">
        <f>EA6*IF(OR($C6=31,$G6=31),0,1)</f>
        <v/>
      </c>
      <c r="EB7">
        <f>EB6*IF(OR($C6=32,$G6=32),0,1)</f>
        <v/>
      </c>
      <c r="EC7">
        <f>EC6*IF(OR($C6=33,$G6=33),0,1)</f>
        <v/>
      </c>
      <c r="ED7">
        <f>ED6*IF(OR($C6=34,$G6=34),0,1)</f>
        <v/>
      </c>
      <c r="EE7">
        <f>EE6*IF(OR($C6=35,$G6=35),0,1)</f>
        <v/>
      </c>
      <c r="EF7">
        <f>EF6*IF(OR($C6=36,$G6=36),0,1)</f>
        <v/>
      </c>
      <c r="EG7">
        <f>EG6*IF(OR($C6=37,$G6=37),0,1)</f>
        <v/>
      </c>
      <c r="EH7">
        <f>EH6*IF(OR($C6=38,$G6=38),0,1)</f>
        <v/>
      </c>
      <c r="EI7">
        <f>EI6*IF(OR($C6=39,$G6=39),0,1)</f>
        <v/>
      </c>
      <c r="EJ7">
        <f>EJ6*IF(OR($C6=40,$G6=40),0,1)</f>
        <v/>
      </c>
      <c r="EK7">
        <f>EK6*IF(OR($C6=41,$G6=41),0,1)</f>
        <v/>
      </c>
      <c r="EL7">
        <f>EL6*IF(OR($C6=42,$G6=42),0,1)</f>
        <v/>
      </c>
      <c r="EM7">
        <f>EM6*IF(OR($C6=43,$G6=43),0,1)</f>
        <v/>
      </c>
      <c r="EN7">
        <f>EN6*IF(OR($C6=44,$G6=44),0,1)</f>
        <v/>
      </c>
      <c r="EO7">
        <f>EO6*IF(OR($C6=45,$G6=45),0,1)</f>
        <v/>
      </c>
      <c r="EP7">
        <f>EP6*IF(OR($C6=46,$G6=46),0,1)</f>
        <v/>
      </c>
      <c r="EQ7">
        <f>EQ6*IF(OR($C6=47,$G6=47),0,1)</f>
        <v/>
      </c>
      <c r="ER7">
        <f>ER6*IF(OR($C6=48,$G6=48),0,1)</f>
        <v/>
      </c>
      <c r="ES7">
        <f>ES6*IF(OR($C6=49,$G6=49),0,1)</f>
        <v/>
      </c>
      <c r="ET7">
        <f>ET6*IF(OR($C6=50,$G6=50),0,1)</f>
        <v/>
      </c>
      <c r="EU7">
        <f>EU6*IF(OR($C6=51,$G6=51),0,1)</f>
        <v/>
      </c>
      <c r="EV7">
        <f>EV6*IF(OR($C6=52,$G6=52),0,1)</f>
        <v/>
      </c>
      <c r="EW7">
        <f>EW6*IF(OR($C6=53,$G6=53),0,1)</f>
        <v/>
      </c>
      <c r="EX7">
        <f>EX6*IF(OR($C6=54,$G6=54),0,1)</f>
        <v/>
      </c>
      <c r="EY7">
        <f>EY6*IF(OR($C6=55,$G6=55),0,1)</f>
        <v/>
      </c>
      <c r="EZ7">
        <f>EZ6*IF(OR($C6=56,$G6=56),0,1)</f>
        <v/>
      </c>
      <c r="FA7">
        <f>FA6*IF(OR($C6=57,$G6=57),0,1)</f>
        <v/>
      </c>
      <c r="FB7">
        <f>FB6*IF(OR($C6=58,$G6=58),0,1)</f>
        <v/>
      </c>
      <c r="FC7">
        <f>FC6*IF(OR($C6=59,$G6=59),0,1)</f>
        <v/>
      </c>
      <c r="FD7">
        <f>FD6*IF(OR($C6=60,$G6=60),0,1)</f>
        <v/>
      </c>
      <c r="FE7">
        <f>FE6*IF(OR($C6=61,$G6=61),0,1)</f>
        <v/>
      </c>
      <c r="FF7">
        <f>FF6*IF(OR($C6=62,$G6=62),0,1)</f>
        <v/>
      </c>
      <c r="FG7">
        <f>FG6*IF(OR($C6=63,$G6=63),0,1)</f>
        <v/>
      </c>
      <c r="FH7">
        <f>FH6*IF(OR($C6=64,$G6=64),0,1)</f>
        <v/>
      </c>
      <c r="FI7">
        <f>FI6*IF(OR($C6=65,$G6=65),0,1)</f>
        <v/>
      </c>
      <c r="FJ7">
        <f>FJ6*IF(OR($C6=66,$G6=66),0,1)</f>
        <v/>
      </c>
      <c r="FK7">
        <f>FK6*IF(OR($C6=67,$G6=67),0,1)</f>
        <v/>
      </c>
      <c r="FL7">
        <f>FL6*IF(OR($C6=68,$G6=68),0,1)</f>
        <v/>
      </c>
      <c r="FM7">
        <f>FM6*IF(OR($C6=69,$G6=69),0,1)</f>
        <v/>
      </c>
      <c r="FN7">
        <f>FN6*IF(OR($C6=70,$G6=70),0,1)</f>
        <v/>
      </c>
      <c r="FO7">
        <f>FO6*IF(OR($C6=71,$G6=71),0,1)</f>
        <v/>
      </c>
      <c r="FP7">
        <f>FP6*IF(OR($C6=72,$G6=72),0,1)</f>
        <v/>
      </c>
      <c r="FQ7">
        <f>FQ6*IF(OR($C6=73,$G6=73),0,1)</f>
        <v/>
      </c>
      <c r="FR7">
        <f>FR6*IF(OR($C6=74,$G6=74),0,1)</f>
        <v/>
      </c>
      <c r="FS7">
        <f>FS6*IF(OR($C6=75,$G6=75),0,1)</f>
        <v/>
      </c>
      <c r="FT7">
        <f>FT6*IF(OR($C6=76,$G6=76),0,1)</f>
        <v/>
      </c>
      <c r="FU7">
        <f>FU6*IF(OR($C6=77,$G6=77),0,1)</f>
        <v/>
      </c>
      <c r="FV7">
        <f>FV6*IF(OR($C6=78,$G6=78),0,1)</f>
        <v/>
      </c>
      <c r="FW7">
        <f>FW6*IF(OR($C6=79,$G6=79),0,1)</f>
        <v/>
      </c>
      <c r="FX7">
        <f>FX6*IF(OR($C6=80,$G6=80),0,1)</f>
        <v/>
      </c>
      <c r="FY7">
        <f>FY6*IF(OR($C6=81,$G6=81),0,1)</f>
        <v/>
      </c>
      <c r="FZ7">
        <f>FZ6*IF(OR($C6=82,$G6=82),0,1)</f>
        <v/>
      </c>
      <c r="GA7">
        <f>GA6*IF(OR($C6=83,$G6=83),0,1)</f>
        <v/>
      </c>
      <c r="GB7">
        <f>GB6*IF(OR($C6=84,$G6=84),0,1)</f>
        <v/>
      </c>
      <c r="GC7">
        <f>GC6*IF(OR($C6=85,$G6=85),0,1)</f>
        <v/>
      </c>
      <c r="GD7">
        <f>GD6*IF(OR($C6=86,$G6=86),0,1)</f>
        <v/>
      </c>
      <c r="GE7">
        <f>GE6*IF(OR($C6=87,$G6=87),0,1)</f>
        <v/>
      </c>
      <c r="GF7">
        <f>GF6*IF(OR($C6=88,$G6=88),0,1)</f>
        <v/>
      </c>
      <c r="GG7">
        <f>GG6*IF(OR($C6=89,$G6=89),0,1)</f>
        <v/>
      </c>
      <c r="GH7">
        <f>GH6*IF(OR($C6=90,$G6=90),0,1)</f>
        <v/>
      </c>
      <c r="GI7">
        <f>GI6*IF(OR($C6=91,$G6=91),0,1)</f>
        <v/>
      </c>
      <c r="GJ7">
        <f>GJ6*IF(OR($C6=92,$G6=92),0,1)</f>
        <v/>
      </c>
      <c r="GK7">
        <f>GK6*IF(OR($C6=93,$G6=93),0,1)</f>
        <v/>
      </c>
      <c r="GL7">
        <f>GL6*IF(OR($C6=94,$G6=94),0,1)</f>
        <v/>
      </c>
      <c r="GM7">
        <f>GM6*IF(OR($C6=95,$G6=95),0,1)</f>
        <v/>
      </c>
      <c r="GN7">
        <f>GN6*IF(OR($C6=96,$G6=96),0,1)</f>
        <v/>
      </c>
      <c r="GO7">
        <f>GO6*IF(OR($C6=97,$G6=97),0,1)</f>
        <v/>
      </c>
      <c r="GP7">
        <f>GP6*IF(OR($C6=98,$G6=98),0,1)</f>
        <v/>
      </c>
      <c r="GQ7">
        <f>GQ6*IF(OR($C6=99,$G6=99),0,1)</f>
        <v/>
      </c>
      <c r="GR7">
        <f>GR6*IF(OR($C6=100,$G6=100),0,1)</f>
        <v/>
      </c>
      <c r="GS7">
        <f>GS6*IF(OR($C6=101,$G6=101),0,1)</f>
        <v/>
      </c>
      <c r="GT7">
        <f>GT6*IF(OR($C6=102,$G6=102),0,1)</f>
        <v/>
      </c>
      <c r="GU7">
        <f>GU6*IF(OR($C6=103,$G6=103),0,1)</f>
        <v/>
      </c>
      <c r="GV7">
        <f>GV6*IF(OR($C6=104,$G6=104),0,1)</f>
        <v/>
      </c>
      <c r="GW7">
        <f>GW6*IF(OR($C6=105,$G6=105),0,1)</f>
        <v/>
      </c>
      <c r="GX7">
        <f>GX6*IF(OR($C6=106,$G6=106),0,1)</f>
        <v/>
      </c>
      <c r="GY7">
        <f>GY6*IF(OR($C6=107,$G6=107),0,1)</f>
        <v/>
      </c>
      <c r="GZ7">
        <f>GZ6*IF(OR($C6=108,$G6=108),0,1)</f>
        <v/>
      </c>
      <c r="HA7">
        <f>HA6*IF(OR($C6=109,$G6=109),0,1)</f>
        <v/>
      </c>
      <c r="HB7">
        <f>HB6*IF(OR($C6=110,$G6=110),0,1)</f>
        <v/>
      </c>
      <c r="HC7">
        <f>HC6*IF(OR($C6=111,$G6=111),0,1)</f>
        <v/>
      </c>
      <c r="HD7">
        <f>HD6*IF(OR($C6=112,$G6=112),0,1)</f>
        <v/>
      </c>
      <c r="HE7">
        <f>HE6*IF(OR($C6=113,$G6=113),0,1)</f>
        <v/>
      </c>
      <c r="HF7">
        <f>HF6*IF(OR($C6=114,$G6=114),0,1)</f>
        <v/>
      </c>
      <c r="HG7">
        <f>HG6*IF(OR($C6=115,$G6=115),0,1)</f>
        <v/>
      </c>
      <c r="HH7">
        <f>HH6*IF(OR($C6=116,$G6=116),0,1)</f>
        <v/>
      </c>
      <c r="HI7">
        <f>HI6*IF(OR($C6=117,$G6=117),0,1)</f>
        <v/>
      </c>
      <c r="HJ7">
        <f>HJ6*IF(OR($C6=118,$G6=118),0,1)</f>
        <v/>
      </c>
      <c r="HK7">
        <f>HK6*IF(OR($C6=119,$G6=119),0,1)</f>
        <v/>
      </c>
      <c r="HL7">
        <f>HL6*IF(OR($C6=120,$G6=120),0,1)</f>
        <v/>
      </c>
      <c r="HN7">
        <f>IF('計算A'!D$106=1,CX7,1)</f>
        <v/>
      </c>
      <c r="HO7">
        <f>IF('計算A'!E$106=1,CY7,1)</f>
        <v/>
      </c>
      <c r="HP7">
        <f>IF('計算A'!F$106=1,CZ7,1)</f>
        <v/>
      </c>
      <c r="HQ7">
        <f>IF('計算A'!G$106=1,DA7,1)</f>
        <v/>
      </c>
      <c r="HR7">
        <f>IF('計算A'!H$106=1,DB7,1)</f>
        <v/>
      </c>
      <c r="HS7">
        <f>IF('計算A'!I$106=1,DC7,1)</f>
        <v/>
      </c>
      <c r="HT7">
        <f>IF('計算A'!J$106=1,DD7,1)</f>
        <v/>
      </c>
      <c r="HU7">
        <f>IF('計算A'!K$106=1,DE7,1)</f>
        <v/>
      </c>
      <c r="HV7">
        <f>IF('計算A'!L$106=1,DF7,1)</f>
        <v/>
      </c>
      <c r="HW7">
        <f>IF('計算A'!M$106=1,DG7,1)</f>
        <v/>
      </c>
      <c r="HX7">
        <f>IF('計算A'!N$106=1,DH7,1)</f>
        <v/>
      </c>
      <c r="HY7">
        <f>IF('計算A'!O$106=1,DI7,1)</f>
        <v/>
      </c>
      <c r="HZ7">
        <f>IF('計算A'!P$106=1,DJ7,1)</f>
        <v/>
      </c>
      <c r="IA7">
        <f>IF('計算A'!Q$106=1,DK7,1)</f>
        <v/>
      </c>
      <c r="IB7">
        <f>IF('計算A'!R$106=1,DL7,1)</f>
        <v/>
      </c>
      <c r="IC7">
        <f>IF('計算A'!S$106=1,DM7,1)</f>
        <v/>
      </c>
      <c r="ID7">
        <f>IF('計算A'!T$106=1,DN7,1)</f>
        <v/>
      </c>
      <c r="IE7">
        <f>IF('計算A'!U$106=1,DO7,1)</f>
        <v/>
      </c>
      <c r="IF7">
        <f>IF('計算A'!V$106=1,DP7,1)</f>
        <v/>
      </c>
      <c r="IG7">
        <f>IF('計算A'!W$106=1,DQ7,1)</f>
        <v/>
      </c>
      <c r="IH7">
        <f>IF('計算A'!X$106=1,DR7,1)</f>
        <v/>
      </c>
      <c r="II7">
        <f>IF('計算A'!Y$106=1,DS7,1)</f>
        <v/>
      </c>
      <c r="IJ7">
        <f>IF('計算A'!Z$106=1,DT7,1)</f>
        <v/>
      </c>
      <c r="IK7">
        <f>IF('計算A'!AA$106=1,DU7,1)</f>
        <v/>
      </c>
      <c r="IL7">
        <f>IF('計算A'!AB$106=1,DV7,1)</f>
        <v/>
      </c>
      <c r="IM7">
        <f>IF('計算A'!AC$106=1,DW7,1)</f>
        <v/>
      </c>
      <c r="IN7">
        <f>IF('計算A'!AD$106=1,DX7,1)</f>
        <v/>
      </c>
      <c r="IO7">
        <f>IF('計算A'!AE$106=1,DY7,1)</f>
        <v/>
      </c>
      <c r="IP7">
        <f>IF('計算A'!AF$106=1,DZ7,1)</f>
        <v/>
      </c>
      <c r="IQ7">
        <f>IF('計算A'!AG$106=1,EA7,1)</f>
        <v/>
      </c>
      <c r="IR7">
        <f>IF('計算A'!AH$106=1,EB7,1)</f>
        <v/>
      </c>
      <c r="IS7">
        <f>IF('計算A'!AI$106=1,EC7,1)</f>
        <v/>
      </c>
      <c r="IT7">
        <f>IF('計算A'!AJ$106=1,ED7,1)</f>
        <v/>
      </c>
      <c r="IU7">
        <f>IF('計算A'!AK$106=1,EE7,1)</f>
        <v/>
      </c>
      <c r="IV7">
        <f>IF('計算A'!AL$106=1,EF7,1)</f>
        <v/>
      </c>
      <c r="IW7">
        <f>IF('計算A'!AM$106=1,EG7,1)</f>
        <v/>
      </c>
      <c r="IX7">
        <f>IF('計算A'!AN$106=1,EH7,1)</f>
        <v/>
      </c>
      <c r="IY7">
        <f>IF('計算A'!AO$106=1,EI7,1)</f>
        <v/>
      </c>
      <c r="IZ7">
        <f>IF('計算A'!AP$106=1,EJ7,1)</f>
        <v/>
      </c>
      <c r="JA7">
        <f>IF('計算A'!AQ$106=1,EK7,1)</f>
        <v/>
      </c>
      <c r="JB7">
        <f>IF('計算A'!AR$106=1,EL7,1)</f>
        <v/>
      </c>
      <c r="JC7">
        <f>IF('計算A'!AS$106=1,EM7,1)</f>
        <v/>
      </c>
      <c r="JD7">
        <f>IF('計算A'!AT$106=1,EN7,1)</f>
        <v/>
      </c>
      <c r="JE7">
        <f>IF('計算A'!AU$106=1,EO7,1)</f>
        <v/>
      </c>
      <c r="JF7">
        <f>IF('計算A'!AV$106=1,EP7,1)</f>
        <v/>
      </c>
      <c r="JG7">
        <f>IF('計算A'!AW$106=1,EQ7,1)</f>
        <v/>
      </c>
      <c r="JH7">
        <f>IF('計算A'!AX$106=1,ER7,1)</f>
        <v/>
      </c>
      <c r="JI7">
        <f>IF('計算A'!AY$106=1,ES7,1)</f>
        <v/>
      </c>
      <c r="JJ7">
        <f>IF('計算A'!AZ$106=1,ET7,1)</f>
        <v/>
      </c>
      <c r="JK7">
        <f>IF('計算A'!BA$106=1,EU7,1)</f>
        <v/>
      </c>
      <c r="JL7">
        <f>IF('計算A'!BB$106=1,EV7,1)</f>
        <v/>
      </c>
      <c r="JM7">
        <f>IF('計算A'!BC$106=1,EW7,1)</f>
        <v/>
      </c>
      <c r="JN7">
        <f>IF('計算A'!BD$106=1,EX7,1)</f>
        <v/>
      </c>
      <c r="JO7">
        <f>IF('計算A'!BE$106=1,EY7,1)</f>
        <v/>
      </c>
      <c r="JP7">
        <f>IF('計算A'!BF$106=1,EZ7,1)</f>
        <v/>
      </c>
      <c r="JQ7">
        <f>IF('計算A'!BG$106=1,FA7,1)</f>
        <v/>
      </c>
      <c r="JR7">
        <f>IF('計算A'!BH$106=1,FB7,1)</f>
        <v/>
      </c>
      <c r="JS7">
        <f>IF('計算A'!BI$106=1,FC7,1)</f>
        <v/>
      </c>
      <c r="JT7">
        <f>IF('計算A'!BJ$106=1,FD7,1)</f>
        <v/>
      </c>
      <c r="JU7">
        <f>IF('計算A'!BK$106=1,FE7,1)</f>
        <v/>
      </c>
      <c r="JV7">
        <f>IF('計算A'!BL$106=1,FF7,1)</f>
        <v/>
      </c>
      <c r="JW7">
        <f>IF('計算A'!BM$106=1,FG7,1)</f>
        <v/>
      </c>
      <c r="JX7">
        <f>IF('計算A'!BN$106=1,FH7,1)</f>
        <v/>
      </c>
      <c r="JY7">
        <f>IF('計算A'!BO$106=1,FI7,1)</f>
        <v/>
      </c>
      <c r="JZ7">
        <f>IF('計算A'!BP$106=1,FJ7,1)</f>
        <v/>
      </c>
      <c r="KA7">
        <f>IF('計算A'!BQ$106=1,FK7,1)</f>
        <v/>
      </c>
      <c r="KB7">
        <f>IF('計算A'!BR$106=1,FL7,1)</f>
        <v/>
      </c>
      <c r="KC7">
        <f>IF('計算A'!BS$106=1,FM7,1)</f>
        <v/>
      </c>
      <c r="KD7">
        <f>IF('計算A'!BT$106=1,FN7,1)</f>
        <v/>
      </c>
      <c r="KE7">
        <f>IF('計算A'!BU$106=1,FO7,1)</f>
        <v/>
      </c>
      <c r="KF7">
        <f>IF('計算A'!BV$106=1,FP7,1)</f>
        <v/>
      </c>
      <c r="KG7">
        <f>IF('計算A'!BW$106=1,FQ7,1)</f>
        <v/>
      </c>
      <c r="KH7">
        <f>IF('計算A'!BX$106=1,FR7,1)</f>
        <v/>
      </c>
      <c r="KI7">
        <f>IF('計算A'!BY$106=1,FS7,1)</f>
        <v/>
      </c>
      <c r="KJ7">
        <f>IF('計算A'!BZ$106=1,FT7,1)</f>
        <v/>
      </c>
      <c r="KK7">
        <f>IF('計算A'!CA$106=1,FU7,1)</f>
        <v/>
      </c>
      <c r="KL7">
        <f>IF('計算A'!CB$106=1,FV7,1)</f>
        <v/>
      </c>
      <c r="KM7">
        <f>IF('計算A'!CC$106=1,FW7,1)</f>
        <v/>
      </c>
      <c r="KN7">
        <f>IF('計算A'!CD$106=1,FX7,1)</f>
        <v/>
      </c>
      <c r="KO7">
        <f>IF('計算A'!CE$106=1,FY7,1)</f>
        <v/>
      </c>
      <c r="KP7">
        <f>IF('計算A'!CF$106=1,FZ7,1)</f>
        <v/>
      </c>
      <c r="KQ7">
        <f>IF('計算A'!CG$106=1,GA7,1)</f>
        <v/>
      </c>
      <c r="KR7">
        <f>IF('計算A'!CH$106=1,GB7,1)</f>
        <v/>
      </c>
      <c r="KS7">
        <f>IF('計算A'!CI$106=1,GC7,1)</f>
        <v/>
      </c>
      <c r="KT7">
        <f>IF('計算A'!CJ$106=1,GD7,1)</f>
        <v/>
      </c>
      <c r="KU7">
        <f>IF('計算A'!CK$106=1,GE7,1)</f>
        <v/>
      </c>
      <c r="KV7">
        <f>IF('計算A'!CL$106=1,GF7,1)</f>
        <v/>
      </c>
      <c r="KW7">
        <f>IF('計算A'!CM$106=1,GG7,1)</f>
        <v/>
      </c>
      <c r="KX7">
        <f>IF('計算A'!CN$106=1,GH7,1)</f>
        <v/>
      </c>
      <c r="KY7">
        <f>IF('計算A'!CO$106=1,GI7,1)</f>
        <v/>
      </c>
      <c r="KZ7">
        <f>IF('計算A'!CP$106=1,GJ7,1)</f>
        <v/>
      </c>
      <c r="LA7">
        <f>IF('計算A'!CQ$106=1,GK7,1)</f>
        <v/>
      </c>
      <c r="LB7">
        <f>IF('計算A'!CR$106=1,GL7,1)</f>
        <v/>
      </c>
      <c r="LC7">
        <f>IF('計算A'!CS$106=1,GM7,1)</f>
        <v/>
      </c>
      <c r="LD7">
        <f>IF('計算A'!CT$106=1,GN7,1)</f>
        <v/>
      </c>
      <c r="LE7">
        <f>IF('計算A'!CU$106=1,GO7,1)</f>
        <v/>
      </c>
      <c r="LF7">
        <f>IF('計算A'!CV$106=1,GP7,1)</f>
        <v/>
      </c>
      <c r="LG7">
        <f>IF('計算A'!CW$106=1,GQ7,1)</f>
        <v/>
      </c>
      <c r="LH7">
        <f>IF('計算A'!CX$106=1,GR7,1)</f>
        <v/>
      </c>
      <c r="LI7">
        <f>IF('計算A'!CY$106=1,GS7,1)</f>
        <v/>
      </c>
      <c r="LJ7">
        <f>IF('計算A'!CZ$106=1,GT7,1)</f>
        <v/>
      </c>
      <c r="LK7">
        <f>IF('計算A'!DA$106=1,GU7,1)</f>
        <v/>
      </c>
      <c r="LL7">
        <f>IF('計算A'!DB$106=1,GV7,1)</f>
        <v/>
      </c>
      <c r="LM7">
        <f>IF('計算A'!DC$106=1,GW7,1)</f>
        <v/>
      </c>
      <c r="LN7">
        <f>IF('計算A'!DD$106=1,GX7,1)</f>
        <v/>
      </c>
      <c r="LO7">
        <f>IF('計算A'!DE$106=1,GY7,1)</f>
        <v/>
      </c>
      <c r="LP7">
        <f>IF('計算A'!DF$106=1,GZ7,1)</f>
        <v/>
      </c>
      <c r="LQ7">
        <f>IF('計算A'!DG$106=1,HA7,1)</f>
        <v/>
      </c>
      <c r="LR7">
        <f>IF('計算A'!DH$106=1,HB7,1)</f>
        <v/>
      </c>
      <c r="LS7">
        <f>IF('計算A'!DI$106=1,HC7,1)</f>
        <v/>
      </c>
      <c r="LT7">
        <f>IF('計算A'!DJ$106=1,HD7,1)</f>
        <v/>
      </c>
      <c r="LU7">
        <f>IF('計算A'!DK$106=1,HE7,1)</f>
        <v/>
      </c>
      <c r="LV7">
        <f>IF('計算A'!DL$106=1,HF7,1)</f>
        <v/>
      </c>
      <c r="LW7">
        <f>IF('計算A'!DM$106=1,HG7,1)</f>
        <v/>
      </c>
      <c r="LX7">
        <f>IF('計算A'!DN$106=1,HH7,1)</f>
        <v/>
      </c>
      <c r="LY7">
        <f>IF('計算A'!DO$106=1,HI7,1)</f>
        <v/>
      </c>
      <c r="LZ7">
        <f>IF('計算A'!DP$106=1,HJ7,1)</f>
        <v/>
      </c>
      <c r="MA7">
        <f>IF('計算A'!DQ$106=1,HK7,1)</f>
        <v/>
      </c>
      <c r="MB7">
        <f>IF('計算A'!DR$106=1,HL7,1)</f>
        <v/>
      </c>
      <c r="MC7" t="n">
        <v>1</v>
      </c>
      <c r="ME7">
        <f>IF($B7=0,1000000,IF(INDEX('計算A'!$D$60:$DS$104,$B7,1)*CW7=1,IF(AND($E7=2,HN7=0),1000000,INDEX('計算A'!D$110:D$114,$F7+1)+IF(AND($E7=1,HN7=0),1000,0)),1000000))</f>
        <v/>
      </c>
      <c r="MF7">
        <f>IF($B7=0,1000000,IF(INDEX('計算A'!$D$60:$DS$104,$B7,2)*CX7=1,IF(AND($E7=2,HO7=0),1000000,INDEX('計算A'!E$110:E$114,$F7+1)+IF(AND($E7=1,HO7=0),1000,0)),1000000))</f>
        <v/>
      </c>
      <c r="MG7">
        <f>IF($B7=0,1000000,IF(INDEX('計算A'!$D$60:$DS$104,$B7,3)*CY7=1,IF(AND($E7=2,HP7=0),1000000,INDEX('計算A'!F$110:F$114,$F7+1)+IF(AND($E7=1,HP7=0),1000,0)),1000000))</f>
        <v/>
      </c>
      <c r="MH7">
        <f>IF($B7=0,1000000,IF(INDEX('計算A'!$D$60:$DS$104,$B7,4)*CZ7=1,IF(AND($E7=2,HQ7=0),1000000,INDEX('計算A'!G$110:G$114,$F7+1)+IF(AND($E7=1,HQ7=0),1000,0)),1000000))</f>
        <v/>
      </c>
      <c r="MI7">
        <f>IF($B7=0,1000000,IF(INDEX('計算A'!$D$60:$DS$104,$B7,5)*DA7=1,IF(AND($E7=2,HR7=0),1000000,INDEX('計算A'!H$110:H$114,$F7+1)+IF(AND($E7=1,HR7=0),1000,0)),1000000))</f>
        <v/>
      </c>
      <c r="MJ7">
        <f>IF($B7=0,1000000,IF(INDEX('計算A'!$D$60:$DS$104,$B7,6)*DB7=1,IF(AND($E7=2,HS7=0),1000000,INDEX('計算A'!I$110:I$114,$F7+1)+IF(AND($E7=1,HS7=0),1000,0)),1000000))</f>
        <v/>
      </c>
      <c r="MK7">
        <f>IF($B7=0,1000000,IF(INDEX('計算A'!$D$60:$DS$104,$B7,7)*DC7=1,IF(AND($E7=2,HT7=0),1000000,INDEX('計算A'!J$110:J$114,$F7+1)+IF(AND($E7=1,HT7=0),1000,0)),1000000))</f>
        <v/>
      </c>
      <c r="ML7">
        <f>IF($B7=0,1000000,IF(INDEX('計算A'!$D$60:$DS$104,$B7,8)*DD7=1,IF(AND($E7=2,HU7=0),1000000,INDEX('計算A'!K$110:K$114,$F7+1)+IF(AND($E7=1,HU7=0),1000,0)),1000000))</f>
        <v/>
      </c>
      <c r="MM7">
        <f>IF($B7=0,1000000,IF(INDEX('計算A'!$D$60:$DS$104,$B7,9)*DE7=1,IF(AND($E7=2,HV7=0),1000000,INDEX('計算A'!L$110:L$114,$F7+1)+IF(AND($E7=1,HV7=0),1000,0)),1000000))</f>
        <v/>
      </c>
      <c r="MN7">
        <f>IF($B7=0,1000000,IF(INDEX('計算A'!$D$60:$DS$104,$B7,10)*DF7=1,IF(AND($E7=2,HW7=0),1000000,INDEX('計算A'!M$110:M$114,$F7+1)+IF(AND($E7=1,HW7=0),1000,0)),1000000))</f>
        <v/>
      </c>
      <c r="MO7">
        <f>IF($B7=0,1000000,IF(INDEX('計算A'!$D$60:$DS$104,$B7,11)*DG7=1,IF(AND($E7=2,HX7=0),1000000,INDEX('計算A'!N$110:N$114,$F7+1)+IF(AND($E7=1,HX7=0),1000,0)),1000000))</f>
        <v/>
      </c>
      <c r="MP7">
        <f>IF($B7=0,1000000,IF(INDEX('計算A'!$D$60:$DS$104,$B7,12)*DH7=1,IF(AND($E7=2,HY7=0),1000000,INDEX('計算A'!O$110:O$114,$F7+1)+IF(AND($E7=1,HY7=0),1000,0)),1000000))</f>
        <v/>
      </c>
      <c r="MQ7">
        <f>IF($B7=0,1000000,IF(INDEX('計算A'!$D$60:$DS$104,$B7,13)*DI7=1,IF(AND($E7=2,HZ7=0),1000000,INDEX('計算A'!P$110:P$114,$F7+1)+IF(AND($E7=1,HZ7=0),1000,0)),1000000))</f>
        <v/>
      </c>
      <c r="MR7">
        <f>IF($B7=0,1000000,IF(INDEX('計算A'!$D$60:$DS$104,$B7,14)*DJ7=1,IF(AND($E7=2,IA7=0),1000000,INDEX('計算A'!Q$110:Q$114,$F7+1)+IF(AND($E7=1,IA7=0),1000,0)),1000000))</f>
        <v/>
      </c>
      <c r="MS7">
        <f>IF($B7=0,1000000,IF(INDEX('計算A'!$D$60:$DS$104,$B7,15)*DK7=1,IF(AND($E7=2,IB7=0),1000000,INDEX('計算A'!R$110:R$114,$F7+1)+IF(AND($E7=1,IB7=0),1000,0)),1000000))</f>
        <v/>
      </c>
      <c r="MT7">
        <f>IF($B7=0,1000000,IF(INDEX('計算A'!$D$60:$DS$104,$B7,16)*DL7=1,IF(AND($E7=2,IC7=0),1000000,INDEX('計算A'!S$110:S$114,$F7+1)+IF(AND($E7=1,IC7=0),1000,0)),1000000))</f>
        <v/>
      </c>
      <c r="MU7">
        <f>IF($B7=0,1000000,IF(INDEX('計算A'!$D$60:$DS$104,$B7,17)*DM7=1,IF(AND($E7=2,ID7=0),1000000,INDEX('計算A'!T$110:T$114,$F7+1)+IF(AND($E7=1,ID7=0),1000,0)),1000000))</f>
        <v/>
      </c>
      <c r="MV7">
        <f>IF($B7=0,1000000,IF(INDEX('計算A'!$D$60:$DS$104,$B7,18)*DN7=1,IF(AND($E7=2,IE7=0),1000000,INDEX('計算A'!U$110:U$114,$F7+1)+IF(AND($E7=1,IE7=0),1000,0)),1000000))</f>
        <v/>
      </c>
      <c r="MW7">
        <f>IF($B7=0,1000000,IF(INDEX('計算A'!$D$60:$DS$104,$B7,19)*DO7=1,IF(AND($E7=2,IF7=0),1000000,INDEX('計算A'!V$110:V$114,$F7+1)+IF(AND($E7=1,IF7=0),1000,0)),1000000))</f>
        <v/>
      </c>
      <c r="MX7">
        <f>IF($B7=0,1000000,IF(INDEX('計算A'!$D$60:$DS$104,$B7,20)*DP7=1,IF(AND($E7=2,IG7=0),1000000,INDEX('計算A'!W$110:W$114,$F7+1)+IF(AND($E7=1,IG7=0),1000,0)),1000000))</f>
        <v/>
      </c>
      <c r="MY7">
        <f>IF($B7=0,1000000,IF(INDEX('計算A'!$D$60:$DS$104,$B7,21)*DQ7=1,IF(AND($E7=2,IH7=0),1000000,INDEX('計算A'!X$110:X$114,$F7+1)+IF(AND($E7=1,IH7=0),1000,0)),1000000))</f>
        <v/>
      </c>
      <c r="MZ7">
        <f>IF($B7=0,1000000,IF(INDEX('計算A'!$D$60:$DS$104,$B7,22)*DR7=1,IF(AND($E7=2,II7=0),1000000,INDEX('計算A'!Y$110:Y$114,$F7+1)+IF(AND($E7=1,II7=0),1000,0)),1000000))</f>
        <v/>
      </c>
      <c r="NA7">
        <f>IF($B7=0,1000000,IF(INDEX('計算A'!$D$60:$DS$104,$B7,23)*DS7=1,IF(AND($E7=2,IJ7=0),1000000,INDEX('計算A'!Z$110:Z$114,$F7+1)+IF(AND($E7=1,IJ7=0),1000,0)),1000000))</f>
        <v/>
      </c>
      <c r="NB7">
        <f>IF($B7=0,1000000,IF(INDEX('計算A'!$D$60:$DS$104,$B7,24)*DT7=1,IF(AND($E7=2,IK7=0),1000000,INDEX('計算A'!AA$110:AA$114,$F7+1)+IF(AND($E7=1,IK7=0),1000,0)),1000000))</f>
        <v/>
      </c>
      <c r="NC7">
        <f>IF($B7=0,1000000,IF(INDEX('計算A'!$D$60:$DS$104,$B7,25)*DU7=1,IF(AND($E7=2,IL7=0),1000000,INDEX('計算A'!AB$110:AB$114,$F7+1)+IF(AND($E7=1,IL7=0),1000,0)),1000000))</f>
        <v/>
      </c>
      <c r="ND7">
        <f>IF($B7=0,1000000,IF(INDEX('計算A'!$D$60:$DS$104,$B7,26)*DV7=1,IF(AND($E7=2,IM7=0),1000000,INDEX('計算A'!AC$110:AC$114,$F7+1)+IF(AND($E7=1,IM7=0),1000,0)),1000000))</f>
        <v/>
      </c>
      <c r="NE7">
        <f>IF($B7=0,1000000,IF(INDEX('計算A'!$D$60:$DS$104,$B7,27)*DW7=1,IF(AND($E7=2,IN7=0),1000000,INDEX('計算A'!AD$110:AD$114,$F7+1)+IF(AND($E7=1,IN7=0),1000,0)),1000000))</f>
        <v/>
      </c>
      <c r="NF7">
        <f>IF($B7=0,1000000,IF(INDEX('計算A'!$D$60:$DS$104,$B7,28)*DX7=1,IF(AND($E7=2,IO7=0),1000000,INDEX('計算A'!AE$110:AE$114,$F7+1)+IF(AND($E7=1,IO7=0),1000,0)),1000000))</f>
        <v/>
      </c>
      <c r="NG7">
        <f>IF($B7=0,1000000,IF(INDEX('計算A'!$D$60:$DS$104,$B7,29)*DY7=1,IF(AND($E7=2,IP7=0),1000000,INDEX('計算A'!AF$110:AF$114,$F7+1)+IF(AND($E7=1,IP7=0),1000,0)),1000000))</f>
        <v/>
      </c>
      <c r="NH7">
        <f>IF($B7=0,1000000,IF(INDEX('計算A'!$D$60:$DS$104,$B7,30)*DZ7=1,IF(AND($E7=2,IQ7=0),1000000,INDEX('計算A'!AG$110:AG$114,$F7+1)+IF(AND($E7=1,IQ7=0),1000,0)),1000000))</f>
        <v/>
      </c>
      <c r="NI7">
        <f>IF($B7=0,1000000,IF(INDEX('計算A'!$D$60:$DS$104,$B7,31)*EA7=1,IF(AND($E7=2,IR7=0),1000000,INDEX('計算A'!AH$110:AH$114,$F7+1)+IF(AND($E7=1,IR7=0),1000,0)),1000000))</f>
        <v/>
      </c>
      <c r="NJ7">
        <f>IF($B7=0,1000000,IF(INDEX('計算A'!$D$60:$DS$104,$B7,32)*EB7=1,IF(AND($E7=2,IS7=0),1000000,INDEX('計算A'!AI$110:AI$114,$F7+1)+IF(AND($E7=1,IS7=0),1000,0)),1000000))</f>
        <v/>
      </c>
      <c r="NK7">
        <f>IF($B7=0,1000000,IF(INDEX('計算A'!$D$60:$DS$104,$B7,33)*EC7=1,IF(AND($E7=2,IT7=0),1000000,INDEX('計算A'!AJ$110:AJ$114,$F7+1)+IF(AND($E7=1,IT7=0),1000,0)),1000000))</f>
        <v/>
      </c>
      <c r="NL7">
        <f>IF($B7=0,1000000,IF(INDEX('計算A'!$D$60:$DS$104,$B7,34)*ED7=1,IF(AND($E7=2,IU7=0),1000000,INDEX('計算A'!AK$110:AK$114,$F7+1)+IF(AND($E7=1,IU7=0),1000,0)),1000000))</f>
        <v/>
      </c>
      <c r="NM7">
        <f>IF($B7=0,1000000,IF(INDEX('計算A'!$D$60:$DS$104,$B7,35)*EE7=1,IF(AND($E7=2,IV7=0),1000000,INDEX('計算A'!AL$110:AL$114,$F7+1)+IF(AND($E7=1,IV7=0),1000,0)),1000000))</f>
        <v/>
      </c>
      <c r="NN7">
        <f>IF($B7=0,1000000,IF(INDEX('計算A'!$D$60:$DS$104,$B7,36)*EF7=1,IF(AND($E7=2,IW7=0),1000000,INDEX('計算A'!AM$110:AM$114,$F7+1)+IF(AND($E7=1,IW7=0),1000,0)),1000000))</f>
        <v/>
      </c>
      <c r="NO7">
        <f>IF($B7=0,1000000,IF(INDEX('計算A'!$D$60:$DS$104,$B7,37)*EG7=1,IF(AND($E7=2,IX7=0),1000000,INDEX('計算A'!AN$110:AN$114,$F7+1)+IF(AND($E7=1,IX7=0),1000,0)),1000000))</f>
        <v/>
      </c>
      <c r="NP7">
        <f>IF($B7=0,1000000,IF(INDEX('計算A'!$D$60:$DS$104,$B7,38)*EH7=1,IF(AND($E7=2,IY7=0),1000000,INDEX('計算A'!AO$110:AO$114,$F7+1)+IF(AND($E7=1,IY7=0),1000,0)),1000000))</f>
        <v/>
      </c>
      <c r="NQ7">
        <f>IF($B7=0,1000000,IF(INDEX('計算A'!$D$60:$DS$104,$B7,39)*EI7=1,IF(AND($E7=2,IZ7=0),1000000,INDEX('計算A'!AP$110:AP$114,$F7+1)+IF(AND($E7=1,IZ7=0),1000,0)),1000000))</f>
        <v/>
      </c>
      <c r="NR7">
        <f>IF($B7=0,1000000,IF(INDEX('計算A'!$D$60:$DS$104,$B7,40)*EJ7=1,IF(AND($E7=2,JA7=0),1000000,INDEX('計算A'!AQ$110:AQ$114,$F7+1)+IF(AND($E7=1,JA7=0),1000,0)),1000000))</f>
        <v/>
      </c>
      <c r="NS7">
        <f>IF($B7=0,1000000,IF(INDEX('計算A'!$D$60:$DS$104,$B7,41)*EK7=1,IF(AND($E7=2,JB7=0),1000000,INDEX('計算A'!AR$110:AR$114,$F7+1)+IF(AND($E7=1,JB7=0),1000,0)),1000000))</f>
        <v/>
      </c>
      <c r="NT7">
        <f>IF($B7=0,1000000,IF(INDEX('計算A'!$D$60:$DS$104,$B7,42)*EL7=1,IF(AND($E7=2,JC7=0),1000000,INDEX('計算A'!AS$110:AS$114,$F7+1)+IF(AND($E7=1,JC7=0),1000,0)),1000000))</f>
        <v/>
      </c>
      <c r="NU7">
        <f>IF($B7=0,1000000,IF(INDEX('計算A'!$D$60:$DS$104,$B7,43)*EM7=1,IF(AND($E7=2,JD7=0),1000000,INDEX('計算A'!AT$110:AT$114,$F7+1)+IF(AND($E7=1,JD7=0),1000,0)),1000000))</f>
        <v/>
      </c>
      <c r="NV7">
        <f>IF($B7=0,1000000,IF(INDEX('計算A'!$D$60:$DS$104,$B7,44)*EN7=1,IF(AND($E7=2,JE7=0),1000000,INDEX('計算A'!AU$110:AU$114,$F7+1)+IF(AND($E7=1,JE7=0),1000,0)),1000000))</f>
        <v/>
      </c>
      <c r="NW7">
        <f>IF($B7=0,1000000,IF(INDEX('計算A'!$D$60:$DS$104,$B7,45)*EO7=1,IF(AND($E7=2,JF7=0),1000000,INDEX('計算A'!AV$110:AV$114,$F7+1)+IF(AND($E7=1,JF7=0),1000,0)),1000000))</f>
        <v/>
      </c>
      <c r="NX7">
        <f>IF($B7=0,1000000,IF(INDEX('計算A'!$D$60:$DS$104,$B7,46)*EP7=1,IF(AND($E7=2,JG7=0),1000000,INDEX('計算A'!AW$110:AW$114,$F7+1)+IF(AND($E7=1,JG7=0),1000,0)),1000000))</f>
        <v/>
      </c>
      <c r="NY7">
        <f>IF($B7=0,1000000,IF(INDEX('計算A'!$D$60:$DS$104,$B7,47)*EQ7=1,IF(AND($E7=2,JH7=0),1000000,INDEX('計算A'!AX$110:AX$114,$F7+1)+IF(AND($E7=1,JH7=0),1000,0)),1000000))</f>
        <v/>
      </c>
      <c r="NZ7">
        <f>IF($B7=0,1000000,IF(INDEX('計算A'!$D$60:$DS$104,$B7,48)*ER7=1,IF(AND($E7=2,JI7=0),1000000,INDEX('計算A'!AY$110:AY$114,$F7+1)+IF(AND($E7=1,JI7=0),1000,0)),1000000))</f>
        <v/>
      </c>
      <c r="OA7">
        <f>IF($B7=0,1000000,IF(INDEX('計算A'!$D$60:$DS$104,$B7,49)*ES7=1,IF(AND($E7=2,JJ7=0),1000000,INDEX('計算A'!AZ$110:AZ$114,$F7+1)+IF(AND($E7=1,JJ7=0),1000,0)),1000000))</f>
        <v/>
      </c>
      <c r="OB7">
        <f>IF($B7=0,1000000,IF(INDEX('計算A'!$D$60:$DS$104,$B7,50)*ET7=1,IF(AND($E7=2,JK7=0),1000000,INDEX('計算A'!BA$110:BA$114,$F7+1)+IF(AND($E7=1,JK7=0),1000,0)),1000000))</f>
        <v/>
      </c>
      <c r="OC7">
        <f>IF($B7=0,1000000,IF(INDEX('計算A'!$D$60:$DS$104,$B7,51)*EU7=1,IF(AND($E7=2,JL7=0),1000000,INDEX('計算A'!BB$110:BB$114,$F7+1)+IF(AND($E7=1,JL7=0),1000,0)),1000000))</f>
        <v/>
      </c>
      <c r="OD7">
        <f>IF($B7=0,1000000,IF(INDEX('計算A'!$D$60:$DS$104,$B7,52)*EV7=1,IF(AND($E7=2,JM7=0),1000000,INDEX('計算A'!BC$110:BC$114,$F7+1)+IF(AND($E7=1,JM7=0),1000,0)),1000000))</f>
        <v/>
      </c>
      <c r="OE7">
        <f>IF($B7=0,1000000,IF(INDEX('計算A'!$D$60:$DS$104,$B7,53)*EW7=1,IF(AND($E7=2,JN7=0),1000000,INDEX('計算A'!BD$110:BD$114,$F7+1)+IF(AND($E7=1,JN7=0),1000,0)),1000000))</f>
        <v/>
      </c>
      <c r="OF7">
        <f>IF($B7=0,1000000,IF(INDEX('計算A'!$D$60:$DS$104,$B7,54)*EX7=1,IF(AND($E7=2,JO7=0),1000000,INDEX('計算A'!BE$110:BE$114,$F7+1)+IF(AND($E7=1,JO7=0),1000,0)),1000000))</f>
        <v/>
      </c>
      <c r="OG7">
        <f>IF($B7=0,1000000,IF(INDEX('計算A'!$D$60:$DS$104,$B7,55)*EY7=1,IF(AND($E7=2,JP7=0),1000000,INDEX('計算A'!BF$110:BF$114,$F7+1)+IF(AND($E7=1,JP7=0),1000,0)),1000000))</f>
        <v/>
      </c>
      <c r="OH7">
        <f>IF($B7=0,1000000,IF(INDEX('計算A'!$D$60:$DS$104,$B7,56)*EZ7=1,IF(AND($E7=2,JQ7=0),1000000,INDEX('計算A'!BG$110:BG$114,$F7+1)+IF(AND($E7=1,JQ7=0),1000,0)),1000000))</f>
        <v/>
      </c>
      <c r="OI7">
        <f>IF($B7=0,1000000,IF(INDEX('計算A'!$D$60:$DS$104,$B7,57)*FA7=1,IF(AND($E7=2,JR7=0),1000000,INDEX('計算A'!BH$110:BH$114,$F7+1)+IF(AND($E7=1,JR7=0),1000,0)),1000000))</f>
        <v/>
      </c>
      <c r="OJ7">
        <f>IF($B7=0,1000000,IF(INDEX('計算A'!$D$60:$DS$104,$B7,58)*FB7=1,IF(AND($E7=2,JS7=0),1000000,INDEX('計算A'!BI$110:BI$114,$F7+1)+IF(AND($E7=1,JS7=0),1000,0)),1000000))</f>
        <v/>
      </c>
      <c r="OK7">
        <f>IF($B7=0,1000000,IF(INDEX('計算A'!$D$60:$DS$104,$B7,59)*FC7=1,IF(AND($E7=2,JT7=0),1000000,INDEX('計算A'!BJ$110:BJ$114,$F7+1)+IF(AND($E7=1,JT7=0),1000,0)),1000000))</f>
        <v/>
      </c>
      <c r="OL7">
        <f>IF($B7=0,1000000,IF(INDEX('計算A'!$D$60:$DS$104,$B7,60)*FD7=1,IF(AND($E7=2,JU7=0),1000000,INDEX('計算A'!BK$110:BK$114,$F7+1)+IF(AND($E7=1,JU7=0),1000,0)),1000000))</f>
        <v/>
      </c>
      <c r="OM7">
        <f>IF($B7=0,1000000,IF(INDEX('計算A'!$D$60:$DS$104,$B7,61)*FE7=1,IF(AND($E7=2,JV7=0),1000000,INDEX('計算A'!BL$110:BL$114,$F7+1)+IF(AND($E7=1,JV7=0),1000,0)),1000000))</f>
        <v/>
      </c>
      <c r="ON7">
        <f>IF($B7=0,1000000,IF(INDEX('計算A'!$D$60:$DS$104,$B7,62)*FF7=1,IF(AND($E7=2,JW7=0),1000000,INDEX('計算A'!BM$110:BM$114,$F7+1)+IF(AND($E7=1,JW7=0),1000,0)),1000000))</f>
        <v/>
      </c>
      <c r="OO7">
        <f>IF($B7=0,1000000,IF(INDEX('計算A'!$D$60:$DS$104,$B7,63)*FG7=1,IF(AND($E7=2,JX7=0),1000000,INDEX('計算A'!BN$110:BN$114,$F7+1)+IF(AND($E7=1,JX7=0),1000,0)),1000000))</f>
        <v/>
      </c>
      <c r="OP7">
        <f>IF($B7=0,1000000,IF(INDEX('計算A'!$D$60:$DS$104,$B7,64)*FH7=1,IF(AND($E7=2,JY7=0),1000000,INDEX('計算A'!BO$110:BO$114,$F7+1)+IF(AND($E7=1,JY7=0),1000,0)),1000000))</f>
        <v/>
      </c>
      <c r="OQ7">
        <f>IF($B7=0,1000000,IF(INDEX('計算A'!$D$60:$DS$104,$B7,65)*FI7=1,IF(AND($E7=2,JZ7=0),1000000,INDEX('計算A'!BP$110:BP$114,$F7+1)+IF(AND($E7=1,JZ7=0),1000,0)),1000000))</f>
        <v/>
      </c>
      <c r="OR7">
        <f>IF($B7=0,1000000,IF(INDEX('計算A'!$D$60:$DS$104,$B7,66)*FJ7=1,IF(AND($E7=2,KA7=0),1000000,INDEX('計算A'!BQ$110:BQ$114,$F7+1)+IF(AND($E7=1,KA7=0),1000,0)),1000000))</f>
        <v/>
      </c>
      <c r="OS7">
        <f>IF($B7=0,1000000,IF(INDEX('計算A'!$D$60:$DS$104,$B7,67)*FK7=1,IF(AND($E7=2,KB7=0),1000000,INDEX('計算A'!BR$110:BR$114,$F7+1)+IF(AND($E7=1,KB7=0),1000,0)),1000000))</f>
        <v/>
      </c>
      <c r="OT7">
        <f>IF($B7=0,1000000,IF(INDEX('計算A'!$D$60:$DS$104,$B7,68)*FL7=1,IF(AND($E7=2,KC7=0),1000000,INDEX('計算A'!BS$110:BS$114,$F7+1)+IF(AND($E7=1,KC7=0),1000,0)),1000000))</f>
        <v/>
      </c>
      <c r="OU7">
        <f>IF($B7=0,1000000,IF(INDEX('計算A'!$D$60:$DS$104,$B7,69)*FM7=1,IF(AND($E7=2,KD7=0),1000000,INDEX('計算A'!BT$110:BT$114,$F7+1)+IF(AND($E7=1,KD7=0),1000,0)),1000000))</f>
        <v/>
      </c>
      <c r="OV7">
        <f>IF($B7=0,1000000,IF(INDEX('計算A'!$D$60:$DS$104,$B7,70)*FN7=1,IF(AND($E7=2,KE7=0),1000000,INDEX('計算A'!BU$110:BU$114,$F7+1)+IF(AND($E7=1,KE7=0),1000,0)),1000000))</f>
        <v/>
      </c>
      <c r="OW7">
        <f>IF($B7=0,1000000,IF(INDEX('計算A'!$D$60:$DS$104,$B7,71)*FO7=1,IF(AND($E7=2,KF7=0),1000000,INDEX('計算A'!BV$110:BV$114,$F7+1)+IF(AND($E7=1,KF7=0),1000,0)),1000000))</f>
        <v/>
      </c>
      <c r="OX7">
        <f>IF($B7=0,1000000,IF(INDEX('計算A'!$D$60:$DS$104,$B7,72)*FP7=1,IF(AND($E7=2,KG7=0),1000000,INDEX('計算A'!BW$110:BW$114,$F7+1)+IF(AND($E7=1,KG7=0),1000,0)),1000000))</f>
        <v/>
      </c>
      <c r="OY7">
        <f>IF($B7=0,1000000,IF(INDEX('計算A'!$D$60:$DS$104,$B7,73)*FQ7=1,IF(AND($E7=2,KH7=0),1000000,INDEX('計算A'!BX$110:BX$114,$F7+1)+IF(AND($E7=1,KH7=0),1000,0)),1000000))</f>
        <v/>
      </c>
      <c r="OZ7">
        <f>IF($B7=0,1000000,IF(INDEX('計算A'!$D$60:$DS$104,$B7,74)*FR7=1,IF(AND($E7=2,KI7=0),1000000,INDEX('計算A'!BY$110:BY$114,$F7+1)+IF(AND($E7=1,KI7=0),1000,0)),1000000))</f>
        <v/>
      </c>
      <c r="PA7">
        <f>IF($B7=0,1000000,IF(INDEX('計算A'!$D$60:$DS$104,$B7,75)*FS7=1,IF(AND($E7=2,KJ7=0),1000000,INDEX('計算A'!BZ$110:BZ$114,$F7+1)+IF(AND($E7=1,KJ7=0),1000,0)),1000000))</f>
        <v/>
      </c>
      <c r="PB7">
        <f>IF($B7=0,1000000,IF(INDEX('計算A'!$D$60:$DS$104,$B7,76)*FT7=1,IF(AND($E7=2,KK7=0),1000000,INDEX('計算A'!CA$110:CA$114,$F7+1)+IF(AND($E7=1,KK7=0),1000,0)),1000000))</f>
        <v/>
      </c>
      <c r="PC7">
        <f>IF($B7=0,1000000,IF(INDEX('計算A'!$D$60:$DS$104,$B7,77)*FU7=1,IF(AND($E7=2,KL7=0),1000000,INDEX('計算A'!CB$110:CB$114,$F7+1)+IF(AND($E7=1,KL7=0),1000,0)),1000000))</f>
        <v/>
      </c>
      <c r="PD7">
        <f>IF($B7=0,1000000,IF(INDEX('計算A'!$D$60:$DS$104,$B7,78)*FV7=1,IF(AND($E7=2,KM7=0),1000000,INDEX('計算A'!CC$110:CC$114,$F7+1)+IF(AND($E7=1,KM7=0),1000,0)),1000000))</f>
        <v/>
      </c>
      <c r="PE7">
        <f>IF($B7=0,1000000,IF(INDEX('計算A'!$D$60:$DS$104,$B7,79)*FW7=1,IF(AND($E7=2,KN7=0),1000000,INDEX('計算A'!CD$110:CD$114,$F7+1)+IF(AND($E7=1,KN7=0),1000,0)),1000000))</f>
        <v/>
      </c>
      <c r="PF7">
        <f>IF($B7=0,1000000,IF(INDEX('計算A'!$D$60:$DS$104,$B7,80)*FX7=1,IF(AND($E7=2,KO7=0),1000000,INDEX('計算A'!CE$110:CE$114,$F7+1)+IF(AND($E7=1,KO7=0),1000,0)),1000000))</f>
        <v/>
      </c>
      <c r="PG7">
        <f>IF($B7=0,1000000,IF(INDEX('計算A'!$D$60:$DS$104,$B7,81)*FY7=1,IF(AND($E7=2,KP7=0),1000000,INDEX('計算A'!CF$110:CF$114,$F7+1)+IF(AND($E7=1,KP7=0),1000,0)),1000000))</f>
        <v/>
      </c>
      <c r="PH7">
        <f>IF($B7=0,1000000,IF(INDEX('計算A'!$D$60:$DS$104,$B7,82)*FZ7=1,IF(AND($E7=2,KQ7=0),1000000,INDEX('計算A'!CG$110:CG$114,$F7+1)+IF(AND($E7=1,KQ7=0),1000,0)),1000000))</f>
        <v/>
      </c>
      <c r="PI7">
        <f>IF($B7=0,1000000,IF(INDEX('計算A'!$D$60:$DS$104,$B7,83)*GA7=1,IF(AND($E7=2,KR7=0),1000000,INDEX('計算A'!CH$110:CH$114,$F7+1)+IF(AND($E7=1,KR7=0),1000,0)),1000000))</f>
        <v/>
      </c>
      <c r="PJ7">
        <f>IF($B7=0,1000000,IF(INDEX('計算A'!$D$60:$DS$104,$B7,84)*GB7=1,IF(AND($E7=2,KS7=0),1000000,INDEX('計算A'!CI$110:CI$114,$F7+1)+IF(AND($E7=1,KS7=0),1000,0)),1000000))</f>
        <v/>
      </c>
      <c r="PK7">
        <f>IF($B7=0,1000000,IF(INDEX('計算A'!$D$60:$DS$104,$B7,85)*GC7=1,IF(AND($E7=2,KT7=0),1000000,INDEX('計算A'!CJ$110:CJ$114,$F7+1)+IF(AND($E7=1,KT7=0),1000,0)),1000000))</f>
        <v/>
      </c>
      <c r="PL7">
        <f>IF($B7=0,1000000,IF(INDEX('計算A'!$D$60:$DS$104,$B7,86)*GD7=1,IF(AND($E7=2,KU7=0),1000000,INDEX('計算A'!CK$110:CK$114,$F7+1)+IF(AND($E7=1,KU7=0),1000,0)),1000000))</f>
        <v/>
      </c>
      <c r="PM7">
        <f>IF($B7=0,1000000,IF(INDEX('計算A'!$D$60:$DS$104,$B7,87)*GE7=1,IF(AND($E7=2,KV7=0),1000000,INDEX('計算A'!CL$110:CL$114,$F7+1)+IF(AND($E7=1,KV7=0),1000,0)),1000000))</f>
        <v/>
      </c>
      <c r="PN7">
        <f>IF($B7=0,1000000,IF(INDEX('計算A'!$D$60:$DS$104,$B7,88)*GF7=1,IF(AND($E7=2,KW7=0),1000000,INDEX('計算A'!CM$110:CM$114,$F7+1)+IF(AND($E7=1,KW7=0),1000,0)),1000000))</f>
        <v/>
      </c>
      <c r="PO7">
        <f>IF($B7=0,1000000,IF(INDEX('計算A'!$D$60:$DS$104,$B7,89)*GG7=1,IF(AND($E7=2,KX7=0),1000000,INDEX('計算A'!CN$110:CN$114,$F7+1)+IF(AND($E7=1,KX7=0),1000,0)),1000000))</f>
        <v/>
      </c>
      <c r="PP7">
        <f>IF($B7=0,1000000,IF(INDEX('計算A'!$D$60:$DS$104,$B7,90)*GH7=1,IF(AND($E7=2,KY7=0),1000000,INDEX('計算A'!CO$110:CO$114,$F7+1)+IF(AND($E7=1,KY7=0),1000,0)),1000000))</f>
        <v/>
      </c>
      <c r="PQ7">
        <f>IF($B7=0,1000000,IF(INDEX('計算A'!$D$60:$DS$104,$B7,91)*GI7=1,IF(AND($E7=2,KZ7=0),1000000,INDEX('計算A'!CP$110:CP$114,$F7+1)+IF(AND($E7=1,KZ7=0),1000,0)),1000000))</f>
        <v/>
      </c>
      <c r="PR7">
        <f>IF($B7=0,1000000,IF(INDEX('計算A'!$D$60:$DS$104,$B7,92)*GJ7=1,IF(AND($E7=2,LA7=0),1000000,INDEX('計算A'!CQ$110:CQ$114,$F7+1)+IF(AND($E7=1,LA7=0),1000,0)),1000000))</f>
        <v/>
      </c>
      <c r="PS7">
        <f>IF($B7=0,1000000,IF(INDEX('計算A'!$D$60:$DS$104,$B7,93)*GK7=1,IF(AND($E7=2,LB7=0),1000000,INDEX('計算A'!CR$110:CR$114,$F7+1)+IF(AND($E7=1,LB7=0),1000,0)),1000000))</f>
        <v/>
      </c>
      <c r="PT7">
        <f>IF($B7=0,1000000,IF(INDEX('計算A'!$D$60:$DS$104,$B7,94)*GL7=1,IF(AND($E7=2,LC7=0),1000000,INDEX('計算A'!CS$110:CS$114,$F7+1)+IF(AND($E7=1,LC7=0),1000,0)),1000000))</f>
        <v/>
      </c>
      <c r="PU7">
        <f>IF($B7=0,1000000,IF(INDEX('計算A'!$D$60:$DS$104,$B7,95)*GM7=1,IF(AND($E7=2,LD7=0),1000000,INDEX('計算A'!CT$110:CT$114,$F7+1)+IF(AND($E7=1,LD7=0),1000,0)),1000000))</f>
        <v/>
      </c>
      <c r="PV7">
        <f>IF($B7=0,1000000,IF(INDEX('計算A'!$D$60:$DS$104,$B7,96)*GN7=1,IF(AND($E7=2,LE7=0),1000000,INDEX('計算A'!CU$110:CU$114,$F7+1)+IF(AND($E7=1,LE7=0),1000,0)),1000000))</f>
        <v/>
      </c>
      <c r="PW7">
        <f>IF($B7=0,1000000,IF(INDEX('計算A'!$D$60:$DS$104,$B7,97)*GO7=1,IF(AND($E7=2,LF7=0),1000000,INDEX('計算A'!CV$110:CV$114,$F7+1)+IF(AND($E7=1,LF7=0),1000,0)),1000000))</f>
        <v/>
      </c>
      <c r="PX7">
        <f>IF($B7=0,1000000,IF(INDEX('計算A'!$D$60:$DS$104,$B7,98)*GP7=1,IF(AND($E7=2,LG7=0),1000000,INDEX('計算A'!CW$110:CW$114,$F7+1)+IF(AND($E7=1,LG7=0),1000,0)),1000000))</f>
        <v/>
      </c>
      <c r="PY7">
        <f>IF($B7=0,1000000,IF(INDEX('計算A'!$D$60:$DS$104,$B7,99)*GQ7=1,IF(AND($E7=2,LH7=0),1000000,INDEX('計算A'!CX$110:CX$114,$F7+1)+IF(AND($E7=1,LH7=0),1000,0)),1000000))</f>
        <v/>
      </c>
      <c r="PZ7">
        <f>IF($B7=0,1000000,IF(INDEX('計算A'!$D$60:$DS$104,$B7,100)*GR7=1,IF(AND($E7=2,LI7=0),1000000,INDEX('計算A'!CY$110:CY$114,$F7+1)+IF(AND($E7=1,LI7=0),1000,0)),1000000))</f>
        <v/>
      </c>
      <c r="QA7">
        <f>IF($B7=0,1000000,IF(INDEX('計算A'!$D$60:$DS$104,$B7,101)*GS7=1,IF(AND($E7=2,LJ7=0),1000000,INDEX('計算A'!CZ$110:CZ$114,$F7+1)+IF(AND($E7=1,LJ7=0),1000,0)),1000000))</f>
        <v/>
      </c>
      <c r="QB7">
        <f>IF($B7=0,1000000,IF(INDEX('計算A'!$D$60:$DS$104,$B7,102)*GT7=1,IF(AND($E7=2,LK7=0),1000000,INDEX('計算A'!DA$110:DA$114,$F7+1)+IF(AND($E7=1,LK7=0),1000,0)),1000000))</f>
        <v/>
      </c>
      <c r="QC7">
        <f>IF($B7=0,1000000,IF(INDEX('計算A'!$D$60:$DS$104,$B7,103)*GU7=1,IF(AND($E7=2,LL7=0),1000000,INDEX('計算A'!DB$110:DB$114,$F7+1)+IF(AND($E7=1,LL7=0),1000,0)),1000000))</f>
        <v/>
      </c>
      <c r="QD7">
        <f>IF($B7=0,1000000,IF(INDEX('計算A'!$D$60:$DS$104,$B7,104)*GV7=1,IF(AND($E7=2,LM7=0),1000000,INDEX('計算A'!DC$110:DC$114,$F7+1)+IF(AND($E7=1,LM7=0),1000,0)),1000000))</f>
        <v/>
      </c>
      <c r="QE7">
        <f>IF($B7=0,1000000,IF(INDEX('計算A'!$D$60:$DS$104,$B7,105)*GW7=1,IF(AND($E7=2,LN7=0),1000000,INDEX('計算A'!DD$110:DD$114,$F7+1)+IF(AND($E7=1,LN7=0),1000,0)),1000000))</f>
        <v/>
      </c>
      <c r="QF7">
        <f>IF($B7=0,1000000,IF(INDEX('計算A'!$D$60:$DS$104,$B7,106)*GX7=1,IF(AND($E7=2,LO7=0),1000000,INDEX('計算A'!DE$110:DE$114,$F7+1)+IF(AND($E7=1,LO7=0),1000,0)),1000000))</f>
        <v/>
      </c>
      <c r="QG7">
        <f>IF($B7=0,1000000,IF(INDEX('計算A'!$D$60:$DS$104,$B7,107)*GY7=1,IF(AND($E7=2,LP7=0),1000000,INDEX('計算A'!DF$110:DF$114,$F7+1)+IF(AND($E7=1,LP7=0),1000,0)),1000000))</f>
        <v/>
      </c>
      <c r="QH7">
        <f>IF($B7=0,1000000,IF(INDEX('計算A'!$D$60:$DS$104,$B7,108)*GZ7=1,IF(AND($E7=2,LQ7=0),1000000,INDEX('計算A'!DG$110:DG$114,$F7+1)+IF(AND($E7=1,LQ7=0),1000,0)),1000000))</f>
        <v/>
      </c>
      <c r="QI7">
        <f>IF($B7=0,1000000,IF(INDEX('計算A'!$D$60:$DS$104,$B7,109)*HA7=1,IF(AND($E7=2,LR7=0),1000000,INDEX('計算A'!DH$110:DH$114,$F7+1)+IF(AND($E7=1,LR7=0),1000,0)),1000000))</f>
        <v/>
      </c>
      <c r="QJ7">
        <f>IF($B7=0,1000000,IF(INDEX('計算A'!$D$60:$DS$104,$B7,110)*HB7=1,IF(AND($E7=2,LS7=0),1000000,INDEX('計算A'!DI$110:DI$114,$F7+1)+IF(AND($E7=1,LS7=0),1000,0)),1000000))</f>
        <v/>
      </c>
      <c r="QK7">
        <f>IF($B7=0,1000000,IF(INDEX('計算A'!$D$60:$DS$104,$B7,111)*HC7=1,IF(AND($E7=2,LT7=0),1000000,INDEX('計算A'!DJ$110:DJ$114,$F7+1)+IF(AND($E7=1,LT7=0),1000,0)),1000000))</f>
        <v/>
      </c>
      <c r="QL7">
        <f>IF($B7=0,1000000,IF(INDEX('計算A'!$D$60:$DS$104,$B7,112)*HD7=1,IF(AND($E7=2,LU7=0),1000000,INDEX('計算A'!DK$110:DK$114,$F7+1)+IF(AND($E7=1,LU7=0),1000,0)),1000000))</f>
        <v/>
      </c>
      <c r="QM7">
        <f>IF($B7=0,1000000,IF(INDEX('計算A'!$D$60:$DS$104,$B7,113)*HE7=1,IF(AND($E7=2,LV7=0),1000000,INDEX('計算A'!DL$110:DL$114,$F7+1)+IF(AND($E7=1,LV7=0),1000,0)),1000000))</f>
        <v/>
      </c>
      <c r="QN7">
        <f>IF($B7=0,1000000,IF(INDEX('計算A'!$D$60:$DS$104,$B7,114)*HF7=1,IF(AND($E7=2,LW7=0),1000000,INDEX('計算A'!DM$110:DM$114,$F7+1)+IF(AND($E7=1,LW7=0),1000,0)),1000000))</f>
        <v/>
      </c>
      <c r="QO7">
        <f>IF($B7=0,1000000,IF(INDEX('計算A'!$D$60:$DS$104,$B7,115)*HG7=1,IF(AND($E7=2,LX7=0),1000000,INDEX('計算A'!DN$110:DN$114,$F7+1)+IF(AND($E7=1,LX7=0),1000,0)),1000000))</f>
        <v/>
      </c>
      <c r="QP7">
        <f>IF($B7=0,1000000,IF(INDEX('計算A'!$D$60:$DS$104,$B7,116)*HH7=1,IF(AND($E7=2,LY7=0),1000000,INDEX('計算A'!DO$110:DO$114,$F7+1)+IF(AND($E7=1,LY7=0),1000,0)),1000000))</f>
        <v/>
      </c>
      <c r="QQ7">
        <f>IF($B7=0,1000000,IF(INDEX('計算A'!$D$60:$DS$104,$B7,117)*HI7=1,IF(AND($E7=2,LZ7=0),1000000,INDEX('計算A'!DP$110:DP$114,$F7+1)+IF(AND($E7=1,LZ7=0),1000,0)),1000000))</f>
        <v/>
      </c>
      <c r="QR7">
        <f>IF($B7=0,1000000,IF(INDEX('計算A'!$D$60:$DS$104,$B7,118)*HJ7=1,IF(AND($E7=2,MA7=0),1000000,INDEX('計算A'!DQ$110:DQ$114,$F7+1)+IF(AND($E7=1,MA7=0),1000,0)),1000000))</f>
        <v/>
      </c>
      <c r="QS7">
        <f>IF($B7=0,1000000,IF(INDEX('計算A'!$D$60:$DS$104,$B7,119)*HK7=1,IF(AND($E7=2,MB7=0),1000000,INDEX('計算A'!DR$110:DR$114,$F7+1)+IF(AND($E7=1,MB7=0),1000,0)),1000000))</f>
        <v/>
      </c>
      <c r="QT7">
        <f>IF($B7=0,1000000,IF(INDEX('計算A'!$D$60:$DS$104,$B7,120)*HL7=1,IF(AND($E7=2,MC7=0),1000000,INDEX('計算A'!DS$110:DS$114,$F7+1)+IF(AND($E7=1,MC7=0),1000,0)),1000000))</f>
        <v/>
      </c>
    </row>
    <row r="8">
      <c r="A8" t="n">
        <v>6</v>
      </c>
      <c r="B8">
        <f>IF(MIN(BC8:CU8)&gt;=1000000,0,MATCH(MIN(BC8:CU8),BC8:CU8,0))</f>
        <v/>
      </c>
      <c r="C8">
        <f>IF(MIN(ME8:QT8)&gt;=1000000,0,MATCH(MIN(ME8:QT8),ME8:QT8,0))</f>
        <v/>
      </c>
      <c r="D8">
        <f>IF(C8&gt;0,INDEX('計算A'!$D$5:$DS$5,C8),0)</f>
        <v/>
      </c>
      <c r="E8">
        <f>IF(B8=0,0,INDEX('計算A'!$EA$10:$EA$54,B8))</f>
        <v/>
      </c>
      <c r="F8">
        <f>IF(B8=0,0,INDEX('計算A'!$DZ$10:$DZ$54,B8))</f>
        <v/>
      </c>
      <c r="G8">
        <f>IF(AND(C8&gt;0,E8&gt;0),IF(AND(INDEX('計算A'!$D$106:$DS$106,C8)=1,INDEX($HN8:$MC8,C8)=1),C8+1,0),0)</f>
        <v/>
      </c>
      <c r="I8">
        <f>MAX(I7,IF($B7=1,1,0))</f>
        <v/>
      </c>
      <c r="J8">
        <f>MAX(J7,IF($B7=2,1,0))</f>
        <v/>
      </c>
      <c r="K8">
        <f>MAX(K7,IF($B7=3,1,0))</f>
        <v/>
      </c>
      <c r="L8">
        <f>MAX(L7,IF($B7=4,1,0))</f>
        <v/>
      </c>
      <c r="M8">
        <f>MAX(M7,IF($B7=5,1,0))</f>
        <v/>
      </c>
      <c r="N8">
        <f>MAX(N7,IF($B7=6,1,0))</f>
        <v/>
      </c>
      <c r="O8">
        <f>MAX(O7,IF($B7=7,1,0))</f>
        <v/>
      </c>
      <c r="P8">
        <f>MAX(P7,IF($B7=8,1,0))</f>
        <v/>
      </c>
      <c r="Q8">
        <f>MAX(Q7,IF($B7=9,1,0))</f>
        <v/>
      </c>
      <c r="R8">
        <f>MAX(R7,IF($B7=10,1,0))</f>
        <v/>
      </c>
      <c r="S8">
        <f>MAX(S7,IF($B7=11,1,0))</f>
        <v/>
      </c>
      <c r="T8">
        <f>MAX(T7,IF($B7=12,1,0))</f>
        <v/>
      </c>
      <c r="U8">
        <f>MAX(U7,IF($B7=13,1,0))</f>
        <v/>
      </c>
      <c r="V8">
        <f>MAX(V7,IF($B7=14,1,0))</f>
        <v/>
      </c>
      <c r="W8">
        <f>MAX(W7,IF($B7=15,1,0))</f>
        <v/>
      </c>
      <c r="X8">
        <f>MAX(X7,IF($B7=16,1,0))</f>
        <v/>
      </c>
      <c r="Y8">
        <f>MAX(Y7,IF($B7=17,1,0))</f>
        <v/>
      </c>
      <c r="Z8">
        <f>MAX(Z7,IF($B7=18,1,0))</f>
        <v/>
      </c>
      <c r="AA8">
        <f>MAX(AA7,IF($B7=19,1,0))</f>
        <v/>
      </c>
      <c r="AB8">
        <f>MAX(AB7,IF($B7=20,1,0))</f>
        <v/>
      </c>
      <c r="AC8">
        <f>MAX(AC7,IF($B7=21,1,0))</f>
        <v/>
      </c>
      <c r="AD8">
        <f>MAX(AD7,IF($B7=22,1,0))</f>
        <v/>
      </c>
      <c r="AE8">
        <f>MAX(AE7,IF($B7=23,1,0))</f>
        <v/>
      </c>
      <c r="AF8">
        <f>MAX(AF7,IF($B7=24,1,0))</f>
        <v/>
      </c>
      <c r="AG8">
        <f>MAX(AG7,IF($B7=25,1,0))</f>
        <v/>
      </c>
      <c r="AH8">
        <f>MAX(AH7,IF($B7=26,1,0))</f>
        <v/>
      </c>
      <c r="AI8">
        <f>MAX(AI7,IF($B7=27,1,0))</f>
        <v/>
      </c>
      <c r="AJ8">
        <f>MAX(AJ7,IF($B7=28,1,0))</f>
        <v/>
      </c>
      <c r="AK8">
        <f>MAX(AK7,IF($B7=29,1,0))</f>
        <v/>
      </c>
      <c r="AL8">
        <f>MAX(AL7,IF($B7=30,1,0))</f>
        <v/>
      </c>
      <c r="AM8">
        <f>MAX(AM7,IF($B7=31,1,0))</f>
        <v/>
      </c>
      <c r="AN8">
        <f>MAX(AN7,IF($B7=32,1,0))</f>
        <v/>
      </c>
      <c r="AO8">
        <f>MAX(AO7,IF($B7=33,1,0))</f>
        <v/>
      </c>
      <c r="AP8">
        <f>MAX(AP7,IF($B7=34,1,0))</f>
        <v/>
      </c>
      <c r="AQ8">
        <f>MAX(AQ7,IF($B7=35,1,0))</f>
        <v/>
      </c>
      <c r="AR8">
        <f>MAX(AR7,IF($B7=36,1,0))</f>
        <v/>
      </c>
      <c r="AS8">
        <f>MAX(AS7,IF($B7=37,1,0))</f>
        <v/>
      </c>
      <c r="AT8">
        <f>MAX(AT7,IF($B7=38,1,0))</f>
        <v/>
      </c>
      <c r="AU8">
        <f>MAX(AU7,IF($B7=39,1,0))</f>
        <v/>
      </c>
      <c r="AV8">
        <f>MAX(AV7,IF($B7=40,1,0))</f>
        <v/>
      </c>
      <c r="AW8">
        <f>MAX(AW7,IF($B7=41,1,0))</f>
        <v/>
      </c>
      <c r="AX8">
        <f>MAX(AX7,IF($B7=42,1,0))</f>
        <v/>
      </c>
      <c r="AY8">
        <f>MAX(AY7,IF($B7=43,1,0))</f>
        <v/>
      </c>
      <c r="AZ8">
        <f>MAX(AZ7,IF($B7=44,1,0))</f>
        <v/>
      </c>
      <c r="BA8">
        <f>MAX(BA7,IF($B7=45,1,0))</f>
        <v/>
      </c>
      <c r="BC8">
        <f>IF(I8=1,1000000,IF('計算A'!$EA$10=2,SUMPRODUCT('計算A'!$D$60:$DS$60,$CW8:$HL8,$HN8:$MC8),SUMPRODUCT('計算A'!$D$60:$DS$60,$CW8:$HL8))*1000+1)</f>
        <v/>
      </c>
      <c r="BD8">
        <f>IF(J8=1,1000000,IF('計算A'!$EA$11=2,SUMPRODUCT('計算A'!$D$61:$DS$61,$CW8:$HL8,$HN8:$MC8),SUMPRODUCT('計算A'!$D$61:$DS$61,$CW8:$HL8))*1000+2)</f>
        <v/>
      </c>
      <c r="BE8">
        <f>IF(K8=1,1000000,IF('計算A'!$EA$12=2,SUMPRODUCT('計算A'!$D$62:$DS$62,$CW8:$HL8,$HN8:$MC8),SUMPRODUCT('計算A'!$D$62:$DS$62,$CW8:$HL8))*1000+3)</f>
        <v/>
      </c>
      <c r="BF8">
        <f>IF(L8=1,1000000,IF('計算A'!$EA$13=2,SUMPRODUCT('計算A'!$D$63:$DS$63,$CW8:$HL8,$HN8:$MC8),SUMPRODUCT('計算A'!$D$63:$DS$63,$CW8:$HL8))*1000+4)</f>
        <v/>
      </c>
      <c r="BG8">
        <f>IF(M8=1,1000000,IF('計算A'!$EA$14=2,SUMPRODUCT('計算A'!$D$64:$DS$64,$CW8:$HL8,$HN8:$MC8),SUMPRODUCT('計算A'!$D$64:$DS$64,$CW8:$HL8))*1000+5)</f>
        <v/>
      </c>
      <c r="BH8">
        <f>IF(N8=1,1000000,IF('計算A'!$EA$15=2,SUMPRODUCT('計算A'!$D$65:$DS$65,$CW8:$HL8,$HN8:$MC8),SUMPRODUCT('計算A'!$D$65:$DS$65,$CW8:$HL8))*1000+6)</f>
        <v/>
      </c>
      <c r="BI8">
        <f>IF(O8=1,1000000,IF('計算A'!$EA$16=2,SUMPRODUCT('計算A'!$D$66:$DS$66,$CW8:$HL8,$HN8:$MC8),SUMPRODUCT('計算A'!$D$66:$DS$66,$CW8:$HL8))*1000+7)</f>
        <v/>
      </c>
      <c r="BJ8">
        <f>IF(P8=1,1000000,IF('計算A'!$EA$17=2,SUMPRODUCT('計算A'!$D$67:$DS$67,$CW8:$HL8,$HN8:$MC8),SUMPRODUCT('計算A'!$D$67:$DS$67,$CW8:$HL8))*1000+8)</f>
        <v/>
      </c>
      <c r="BK8">
        <f>IF(Q8=1,1000000,IF('計算A'!$EA$18=2,SUMPRODUCT('計算A'!$D$68:$DS$68,$CW8:$HL8,$HN8:$MC8),SUMPRODUCT('計算A'!$D$68:$DS$68,$CW8:$HL8))*1000+9)</f>
        <v/>
      </c>
      <c r="BL8">
        <f>IF(R8=1,1000000,IF('計算A'!$EA$19=2,SUMPRODUCT('計算A'!$D$69:$DS$69,$CW8:$HL8,$HN8:$MC8),SUMPRODUCT('計算A'!$D$69:$DS$69,$CW8:$HL8))*1000+10)</f>
        <v/>
      </c>
      <c r="BM8">
        <f>IF(S8=1,1000000,IF('計算A'!$EA$20=2,SUMPRODUCT('計算A'!$D$70:$DS$70,$CW8:$HL8,$HN8:$MC8),SUMPRODUCT('計算A'!$D$70:$DS$70,$CW8:$HL8))*1000+11)</f>
        <v/>
      </c>
      <c r="BN8">
        <f>IF(T8=1,1000000,IF('計算A'!$EA$21=2,SUMPRODUCT('計算A'!$D$71:$DS$71,$CW8:$HL8,$HN8:$MC8),SUMPRODUCT('計算A'!$D$71:$DS$71,$CW8:$HL8))*1000+12)</f>
        <v/>
      </c>
      <c r="BO8">
        <f>IF(U8=1,1000000,IF('計算A'!$EA$22=2,SUMPRODUCT('計算A'!$D$72:$DS$72,$CW8:$HL8,$HN8:$MC8),SUMPRODUCT('計算A'!$D$72:$DS$72,$CW8:$HL8))*1000+13)</f>
        <v/>
      </c>
      <c r="BP8">
        <f>IF(V8=1,1000000,IF('計算A'!$EA$23=2,SUMPRODUCT('計算A'!$D$73:$DS$73,$CW8:$HL8,$HN8:$MC8),SUMPRODUCT('計算A'!$D$73:$DS$73,$CW8:$HL8))*1000+14)</f>
        <v/>
      </c>
      <c r="BQ8">
        <f>IF(W8=1,1000000,IF('計算A'!$EA$24=2,SUMPRODUCT('計算A'!$D$74:$DS$74,$CW8:$HL8,$HN8:$MC8),SUMPRODUCT('計算A'!$D$74:$DS$74,$CW8:$HL8))*1000+15)</f>
        <v/>
      </c>
      <c r="BR8">
        <f>IF(X8=1,1000000,IF('計算A'!$EA$25=2,SUMPRODUCT('計算A'!$D$75:$DS$75,$CW8:$HL8,$HN8:$MC8),SUMPRODUCT('計算A'!$D$75:$DS$75,$CW8:$HL8))*1000+16)</f>
        <v/>
      </c>
      <c r="BS8">
        <f>IF(Y8=1,1000000,IF('計算A'!$EA$26=2,SUMPRODUCT('計算A'!$D$76:$DS$76,$CW8:$HL8,$HN8:$MC8),SUMPRODUCT('計算A'!$D$76:$DS$76,$CW8:$HL8))*1000+17)</f>
        <v/>
      </c>
      <c r="BT8">
        <f>IF(Z8=1,1000000,IF('計算A'!$EA$27=2,SUMPRODUCT('計算A'!$D$77:$DS$77,$CW8:$HL8,$HN8:$MC8),SUMPRODUCT('計算A'!$D$77:$DS$77,$CW8:$HL8))*1000+18)</f>
        <v/>
      </c>
      <c r="BU8">
        <f>IF(AA8=1,1000000,IF('計算A'!$EA$28=2,SUMPRODUCT('計算A'!$D$78:$DS$78,$CW8:$HL8,$HN8:$MC8),SUMPRODUCT('計算A'!$D$78:$DS$78,$CW8:$HL8))*1000+19)</f>
        <v/>
      </c>
      <c r="BV8">
        <f>IF(AB8=1,1000000,IF('計算A'!$EA$29=2,SUMPRODUCT('計算A'!$D$79:$DS$79,$CW8:$HL8,$HN8:$MC8),SUMPRODUCT('計算A'!$D$79:$DS$79,$CW8:$HL8))*1000+20)</f>
        <v/>
      </c>
      <c r="BW8">
        <f>IF(AC8=1,1000000,IF('計算A'!$EA$30=2,SUMPRODUCT('計算A'!$D$80:$DS$80,$CW8:$HL8,$HN8:$MC8),SUMPRODUCT('計算A'!$D$80:$DS$80,$CW8:$HL8))*1000+21)</f>
        <v/>
      </c>
      <c r="BX8">
        <f>IF(AD8=1,1000000,IF('計算A'!$EA$31=2,SUMPRODUCT('計算A'!$D$81:$DS$81,$CW8:$HL8,$HN8:$MC8),SUMPRODUCT('計算A'!$D$81:$DS$81,$CW8:$HL8))*1000+22)</f>
        <v/>
      </c>
      <c r="BY8">
        <f>IF(AE8=1,1000000,IF('計算A'!$EA$32=2,SUMPRODUCT('計算A'!$D$82:$DS$82,$CW8:$HL8,$HN8:$MC8),SUMPRODUCT('計算A'!$D$82:$DS$82,$CW8:$HL8))*1000+23)</f>
        <v/>
      </c>
      <c r="BZ8">
        <f>IF(AF8=1,1000000,IF('計算A'!$EA$33=2,SUMPRODUCT('計算A'!$D$83:$DS$83,$CW8:$HL8,$HN8:$MC8),SUMPRODUCT('計算A'!$D$83:$DS$83,$CW8:$HL8))*1000+24)</f>
        <v/>
      </c>
      <c r="CA8">
        <f>IF(AG8=1,1000000,IF('計算A'!$EA$34=2,SUMPRODUCT('計算A'!$D$84:$DS$84,$CW8:$HL8,$HN8:$MC8),SUMPRODUCT('計算A'!$D$84:$DS$84,$CW8:$HL8))*1000+25)</f>
        <v/>
      </c>
      <c r="CB8">
        <f>IF(AH8=1,1000000,IF('計算A'!$EA$35=2,SUMPRODUCT('計算A'!$D$85:$DS$85,$CW8:$HL8,$HN8:$MC8),SUMPRODUCT('計算A'!$D$85:$DS$85,$CW8:$HL8))*1000+26)</f>
        <v/>
      </c>
      <c r="CC8">
        <f>IF(AI8=1,1000000,IF('計算A'!$EA$36=2,SUMPRODUCT('計算A'!$D$86:$DS$86,$CW8:$HL8,$HN8:$MC8),SUMPRODUCT('計算A'!$D$86:$DS$86,$CW8:$HL8))*1000+27)</f>
        <v/>
      </c>
      <c r="CD8">
        <f>IF(AJ8=1,1000000,IF('計算A'!$EA$37=2,SUMPRODUCT('計算A'!$D$87:$DS$87,$CW8:$HL8,$HN8:$MC8),SUMPRODUCT('計算A'!$D$87:$DS$87,$CW8:$HL8))*1000+28)</f>
        <v/>
      </c>
      <c r="CE8">
        <f>IF(AK8=1,1000000,IF('計算A'!$EA$38=2,SUMPRODUCT('計算A'!$D$88:$DS$88,$CW8:$HL8,$HN8:$MC8),SUMPRODUCT('計算A'!$D$88:$DS$88,$CW8:$HL8))*1000+29)</f>
        <v/>
      </c>
      <c r="CF8">
        <f>IF(AL8=1,1000000,IF('計算A'!$EA$39=2,SUMPRODUCT('計算A'!$D$89:$DS$89,$CW8:$HL8,$HN8:$MC8),SUMPRODUCT('計算A'!$D$89:$DS$89,$CW8:$HL8))*1000+30)</f>
        <v/>
      </c>
      <c r="CG8">
        <f>IF(AM8=1,1000000,IF('計算A'!$EA$40=2,SUMPRODUCT('計算A'!$D$90:$DS$90,$CW8:$HL8,$HN8:$MC8),SUMPRODUCT('計算A'!$D$90:$DS$90,$CW8:$HL8))*1000+31)</f>
        <v/>
      </c>
      <c r="CH8">
        <f>IF(AN8=1,1000000,IF('計算A'!$EA$41=2,SUMPRODUCT('計算A'!$D$91:$DS$91,$CW8:$HL8,$HN8:$MC8),SUMPRODUCT('計算A'!$D$91:$DS$91,$CW8:$HL8))*1000+32)</f>
        <v/>
      </c>
      <c r="CI8">
        <f>IF(AO8=1,1000000,IF('計算A'!$EA$42=2,SUMPRODUCT('計算A'!$D$92:$DS$92,$CW8:$HL8,$HN8:$MC8),SUMPRODUCT('計算A'!$D$92:$DS$92,$CW8:$HL8))*1000+33)</f>
        <v/>
      </c>
      <c r="CJ8">
        <f>IF(AP8=1,1000000,IF('計算A'!$EA$43=2,SUMPRODUCT('計算A'!$D$93:$DS$93,$CW8:$HL8,$HN8:$MC8),SUMPRODUCT('計算A'!$D$93:$DS$93,$CW8:$HL8))*1000+34)</f>
        <v/>
      </c>
      <c r="CK8">
        <f>IF(AQ8=1,1000000,IF('計算A'!$EA$44=2,SUMPRODUCT('計算A'!$D$94:$DS$94,$CW8:$HL8,$HN8:$MC8),SUMPRODUCT('計算A'!$D$94:$DS$94,$CW8:$HL8))*1000+35)</f>
        <v/>
      </c>
      <c r="CL8">
        <f>IF(AR8=1,1000000,IF('計算A'!$EA$45=2,SUMPRODUCT('計算A'!$D$95:$DS$95,$CW8:$HL8,$HN8:$MC8),SUMPRODUCT('計算A'!$D$95:$DS$95,$CW8:$HL8))*1000+36)</f>
        <v/>
      </c>
      <c r="CM8">
        <f>IF(AS8=1,1000000,IF('計算A'!$EA$46=2,SUMPRODUCT('計算A'!$D$96:$DS$96,$CW8:$HL8,$HN8:$MC8),SUMPRODUCT('計算A'!$D$96:$DS$96,$CW8:$HL8))*1000+37)</f>
        <v/>
      </c>
      <c r="CN8">
        <f>IF(AT8=1,1000000,IF('計算A'!$EA$47=2,SUMPRODUCT('計算A'!$D$97:$DS$97,$CW8:$HL8,$HN8:$MC8),SUMPRODUCT('計算A'!$D$97:$DS$97,$CW8:$HL8))*1000+38)</f>
        <v/>
      </c>
      <c r="CO8">
        <f>IF(AU8=1,1000000,IF('計算A'!$EA$48=2,SUMPRODUCT('計算A'!$D$98:$DS$98,$CW8:$HL8,$HN8:$MC8),SUMPRODUCT('計算A'!$D$98:$DS$98,$CW8:$HL8))*1000+39)</f>
        <v/>
      </c>
      <c r="CP8">
        <f>IF(AV8=1,1000000,IF('計算A'!$EA$49=2,SUMPRODUCT('計算A'!$D$99:$DS$99,$CW8:$HL8,$HN8:$MC8),SUMPRODUCT('計算A'!$D$99:$DS$99,$CW8:$HL8))*1000+40)</f>
        <v/>
      </c>
      <c r="CQ8">
        <f>IF(AW8=1,1000000,IF('計算A'!$EA$50=2,SUMPRODUCT('計算A'!$D$100:$DS$100,$CW8:$HL8,$HN8:$MC8),SUMPRODUCT('計算A'!$D$100:$DS$100,$CW8:$HL8))*1000+41)</f>
        <v/>
      </c>
      <c r="CR8">
        <f>IF(AX8=1,1000000,IF('計算A'!$EA$51=2,SUMPRODUCT('計算A'!$D$101:$DS$101,$CW8:$HL8,$HN8:$MC8),SUMPRODUCT('計算A'!$D$101:$DS$101,$CW8:$HL8))*1000+42)</f>
        <v/>
      </c>
      <c r="CS8">
        <f>IF(AY8=1,1000000,IF('計算A'!$EA$52=2,SUMPRODUCT('計算A'!$D$102:$DS$102,$CW8:$HL8,$HN8:$MC8),SUMPRODUCT('計算A'!$D$102:$DS$102,$CW8:$HL8))*1000+43)</f>
        <v/>
      </c>
      <c r="CT8">
        <f>IF(AZ8=1,1000000,IF('計算A'!$EA$53=2,SUMPRODUCT('計算A'!$D$103:$DS$103,$CW8:$HL8,$HN8:$MC8),SUMPRODUCT('計算A'!$D$103:$DS$103,$CW8:$HL8))*1000+44)</f>
        <v/>
      </c>
      <c r="CU8">
        <f>IF(BA8=1,1000000,IF('計算A'!$EA$54=2,SUMPRODUCT('計算A'!$D$104:$DS$104,$CW8:$HL8,$HN8:$MC8),SUMPRODUCT('計算A'!$D$104:$DS$104,$CW8:$HL8))*1000+45)</f>
        <v/>
      </c>
      <c r="CW8">
        <f>CW7*IF(OR($C7=1,$G7=1),0,1)</f>
        <v/>
      </c>
      <c r="CX8">
        <f>CX7*IF(OR($C7=2,$G7=2),0,1)</f>
        <v/>
      </c>
      <c r="CY8">
        <f>CY7*IF(OR($C7=3,$G7=3),0,1)</f>
        <v/>
      </c>
      <c r="CZ8">
        <f>CZ7*IF(OR($C7=4,$G7=4),0,1)</f>
        <v/>
      </c>
      <c r="DA8">
        <f>DA7*IF(OR($C7=5,$G7=5),0,1)</f>
        <v/>
      </c>
      <c r="DB8">
        <f>DB7*IF(OR($C7=6,$G7=6),0,1)</f>
        <v/>
      </c>
      <c r="DC8">
        <f>DC7*IF(OR($C7=7,$G7=7),0,1)</f>
        <v/>
      </c>
      <c r="DD8">
        <f>DD7*IF(OR($C7=8,$G7=8),0,1)</f>
        <v/>
      </c>
      <c r="DE8">
        <f>DE7*IF(OR($C7=9,$G7=9),0,1)</f>
        <v/>
      </c>
      <c r="DF8">
        <f>DF7*IF(OR($C7=10,$G7=10),0,1)</f>
        <v/>
      </c>
      <c r="DG8">
        <f>DG7*IF(OR($C7=11,$G7=11),0,1)</f>
        <v/>
      </c>
      <c r="DH8">
        <f>DH7*IF(OR($C7=12,$G7=12),0,1)</f>
        <v/>
      </c>
      <c r="DI8">
        <f>DI7*IF(OR($C7=13,$G7=13),0,1)</f>
        <v/>
      </c>
      <c r="DJ8">
        <f>DJ7*IF(OR($C7=14,$G7=14),0,1)</f>
        <v/>
      </c>
      <c r="DK8">
        <f>DK7*IF(OR($C7=15,$G7=15),0,1)</f>
        <v/>
      </c>
      <c r="DL8">
        <f>DL7*IF(OR($C7=16,$G7=16),0,1)</f>
        <v/>
      </c>
      <c r="DM8">
        <f>DM7*IF(OR($C7=17,$G7=17),0,1)</f>
        <v/>
      </c>
      <c r="DN8">
        <f>DN7*IF(OR($C7=18,$G7=18),0,1)</f>
        <v/>
      </c>
      <c r="DO8">
        <f>DO7*IF(OR($C7=19,$G7=19),0,1)</f>
        <v/>
      </c>
      <c r="DP8">
        <f>DP7*IF(OR($C7=20,$G7=20),0,1)</f>
        <v/>
      </c>
      <c r="DQ8">
        <f>DQ7*IF(OR($C7=21,$G7=21),0,1)</f>
        <v/>
      </c>
      <c r="DR8">
        <f>DR7*IF(OR($C7=22,$G7=22),0,1)</f>
        <v/>
      </c>
      <c r="DS8">
        <f>DS7*IF(OR($C7=23,$G7=23),0,1)</f>
        <v/>
      </c>
      <c r="DT8">
        <f>DT7*IF(OR($C7=24,$G7=24),0,1)</f>
        <v/>
      </c>
      <c r="DU8">
        <f>DU7*IF(OR($C7=25,$G7=25),0,1)</f>
        <v/>
      </c>
      <c r="DV8">
        <f>DV7*IF(OR($C7=26,$G7=26),0,1)</f>
        <v/>
      </c>
      <c r="DW8">
        <f>DW7*IF(OR($C7=27,$G7=27),0,1)</f>
        <v/>
      </c>
      <c r="DX8">
        <f>DX7*IF(OR($C7=28,$G7=28),0,1)</f>
        <v/>
      </c>
      <c r="DY8">
        <f>DY7*IF(OR($C7=29,$G7=29),0,1)</f>
        <v/>
      </c>
      <c r="DZ8">
        <f>DZ7*IF(OR($C7=30,$G7=30),0,1)</f>
        <v/>
      </c>
      <c r="EA8">
        <f>EA7*IF(OR($C7=31,$G7=31),0,1)</f>
        <v/>
      </c>
      <c r="EB8">
        <f>EB7*IF(OR($C7=32,$G7=32),0,1)</f>
        <v/>
      </c>
      <c r="EC8">
        <f>EC7*IF(OR($C7=33,$G7=33),0,1)</f>
        <v/>
      </c>
      <c r="ED8">
        <f>ED7*IF(OR($C7=34,$G7=34),0,1)</f>
        <v/>
      </c>
      <c r="EE8">
        <f>EE7*IF(OR($C7=35,$G7=35),0,1)</f>
        <v/>
      </c>
      <c r="EF8">
        <f>EF7*IF(OR($C7=36,$G7=36),0,1)</f>
        <v/>
      </c>
      <c r="EG8">
        <f>EG7*IF(OR($C7=37,$G7=37),0,1)</f>
        <v/>
      </c>
      <c r="EH8">
        <f>EH7*IF(OR($C7=38,$G7=38),0,1)</f>
        <v/>
      </c>
      <c r="EI8">
        <f>EI7*IF(OR($C7=39,$G7=39),0,1)</f>
        <v/>
      </c>
      <c r="EJ8">
        <f>EJ7*IF(OR($C7=40,$G7=40),0,1)</f>
        <v/>
      </c>
      <c r="EK8">
        <f>EK7*IF(OR($C7=41,$G7=41),0,1)</f>
        <v/>
      </c>
      <c r="EL8">
        <f>EL7*IF(OR($C7=42,$G7=42),0,1)</f>
        <v/>
      </c>
      <c r="EM8">
        <f>EM7*IF(OR($C7=43,$G7=43),0,1)</f>
        <v/>
      </c>
      <c r="EN8">
        <f>EN7*IF(OR($C7=44,$G7=44),0,1)</f>
        <v/>
      </c>
      <c r="EO8">
        <f>EO7*IF(OR($C7=45,$G7=45),0,1)</f>
        <v/>
      </c>
      <c r="EP8">
        <f>EP7*IF(OR($C7=46,$G7=46),0,1)</f>
        <v/>
      </c>
      <c r="EQ8">
        <f>EQ7*IF(OR($C7=47,$G7=47),0,1)</f>
        <v/>
      </c>
      <c r="ER8">
        <f>ER7*IF(OR($C7=48,$G7=48),0,1)</f>
        <v/>
      </c>
      <c r="ES8">
        <f>ES7*IF(OR($C7=49,$G7=49),0,1)</f>
        <v/>
      </c>
      <c r="ET8">
        <f>ET7*IF(OR($C7=50,$G7=50),0,1)</f>
        <v/>
      </c>
      <c r="EU8">
        <f>EU7*IF(OR($C7=51,$G7=51),0,1)</f>
        <v/>
      </c>
      <c r="EV8">
        <f>EV7*IF(OR($C7=52,$G7=52),0,1)</f>
        <v/>
      </c>
      <c r="EW8">
        <f>EW7*IF(OR($C7=53,$G7=53),0,1)</f>
        <v/>
      </c>
      <c r="EX8">
        <f>EX7*IF(OR($C7=54,$G7=54),0,1)</f>
        <v/>
      </c>
      <c r="EY8">
        <f>EY7*IF(OR($C7=55,$G7=55),0,1)</f>
        <v/>
      </c>
      <c r="EZ8">
        <f>EZ7*IF(OR($C7=56,$G7=56),0,1)</f>
        <v/>
      </c>
      <c r="FA8">
        <f>FA7*IF(OR($C7=57,$G7=57),0,1)</f>
        <v/>
      </c>
      <c r="FB8">
        <f>FB7*IF(OR($C7=58,$G7=58),0,1)</f>
        <v/>
      </c>
      <c r="FC8">
        <f>FC7*IF(OR($C7=59,$G7=59),0,1)</f>
        <v/>
      </c>
      <c r="FD8">
        <f>FD7*IF(OR($C7=60,$G7=60),0,1)</f>
        <v/>
      </c>
      <c r="FE8">
        <f>FE7*IF(OR($C7=61,$G7=61),0,1)</f>
        <v/>
      </c>
      <c r="FF8">
        <f>FF7*IF(OR($C7=62,$G7=62),0,1)</f>
        <v/>
      </c>
      <c r="FG8">
        <f>FG7*IF(OR($C7=63,$G7=63),0,1)</f>
        <v/>
      </c>
      <c r="FH8">
        <f>FH7*IF(OR($C7=64,$G7=64),0,1)</f>
        <v/>
      </c>
      <c r="FI8">
        <f>FI7*IF(OR($C7=65,$G7=65),0,1)</f>
        <v/>
      </c>
      <c r="FJ8">
        <f>FJ7*IF(OR($C7=66,$G7=66),0,1)</f>
        <v/>
      </c>
      <c r="FK8">
        <f>FK7*IF(OR($C7=67,$G7=67),0,1)</f>
        <v/>
      </c>
      <c r="FL8">
        <f>FL7*IF(OR($C7=68,$G7=68),0,1)</f>
        <v/>
      </c>
      <c r="FM8">
        <f>FM7*IF(OR($C7=69,$G7=69),0,1)</f>
        <v/>
      </c>
      <c r="FN8">
        <f>FN7*IF(OR($C7=70,$G7=70),0,1)</f>
        <v/>
      </c>
      <c r="FO8">
        <f>FO7*IF(OR($C7=71,$G7=71),0,1)</f>
        <v/>
      </c>
      <c r="FP8">
        <f>FP7*IF(OR($C7=72,$G7=72),0,1)</f>
        <v/>
      </c>
      <c r="FQ8">
        <f>FQ7*IF(OR($C7=73,$G7=73),0,1)</f>
        <v/>
      </c>
      <c r="FR8">
        <f>FR7*IF(OR($C7=74,$G7=74),0,1)</f>
        <v/>
      </c>
      <c r="FS8">
        <f>FS7*IF(OR($C7=75,$G7=75),0,1)</f>
        <v/>
      </c>
      <c r="FT8">
        <f>FT7*IF(OR($C7=76,$G7=76),0,1)</f>
        <v/>
      </c>
      <c r="FU8">
        <f>FU7*IF(OR($C7=77,$G7=77),0,1)</f>
        <v/>
      </c>
      <c r="FV8">
        <f>FV7*IF(OR($C7=78,$G7=78),0,1)</f>
        <v/>
      </c>
      <c r="FW8">
        <f>FW7*IF(OR($C7=79,$G7=79),0,1)</f>
        <v/>
      </c>
      <c r="FX8">
        <f>FX7*IF(OR($C7=80,$G7=80),0,1)</f>
        <v/>
      </c>
      <c r="FY8">
        <f>FY7*IF(OR($C7=81,$G7=81),0,1)</f>
        <v/>
      </c>
      <c r="FZ8">
        <f>FZ7*IF(OR($C7=82,$G7=82),0,1)</f>
        <v/>
      </c>
      <c r="GA8">
        <f>GA7*IF(OR($C7=83,$G7=83),0,1)</f>
        <v/>
      </c>
      <c r="GB8">
        <f>GB7*IF(OR($C7=84,$G7=84),0,1)</f>
        <v/>
      </c>
      <c r="GC8">
        <f>GC7*IF(OR($C7=85,$G7=85),0,1)</f>
        <v/>
      </c>
      <c r="GD8">
        <f>GD7*IF(OR($C7=86,$G7=86),0,1)</f>
        <v/>
      </c>
      <c r="GE8">
        <f>GE7*IF(OR($C7=87,$G7=87),0,1)</f>
        <v/>
      </c>
      <c r="GF8">
        <f>GF7*IF(OR($C7=88,$G7=88),0,1)</f>
        <v/>
      </c>
      <c r="GG8">
        <f>GG7*IF(OR($C7=89,$G7=89),0,1)</f>
        <v/>
      </c>
      <c r="GH8">
        <f>GH7*IF(OR($C7=90,$G7=90),0,1)</f>
        <v/>
      </c>
      <c r="GI8">
        <f>GI7*IF(OR($C7=91,$G7=91),0,1)</f>
        <v/>
      </c>
      <c r="GJ8">
        <f>GJ7*IF(OR($C7=92,$G7=92),0,1)</f>
        <v/>
      </c>
      <c r="GK8">
        <f>GK7*IF(OR($C7=93,$G7=93),0,1)</f>
        <v/>
      </c>
      <c r="GL8">
        <f>GL7*IF(OR($C7=94,$G7=94),0,1)</f>
        <v/>
      </c>
      <c r="GM8">
        <f>GM7*IF(OR($C7=95,$G7=95),0,1)</f>
        <v/>
      </c>
      <c r="GN8">
        <f>GN7*IF(OR($C7=96,$G7=96),0,1)</f>
        <v/>
      </c>
      <c r="GO8">
        <f>GO7*IF(OR($C7=97,$G7=97),0,1)</f>
        <v/>
      </c>
      <c r="GP8">
        <f>GP7*IF(OR($C7=98,$G7=98),0,1)</f>
        <v/>
      </c>
      <c r="GQ8">
        <f>GQ7*IF(OR($C7=99,$G7=99),0,1)</f>
        <v/>
      </c>
      <c r="GR8">
        <f>GR7*IF(OR($C7=100,$G7=100),0,1)</f>
        <v/>
      </c>
      <c r="GS8">
        <f>GS7*IF(OR($C7=101,$G7=101),0,1)</f>
        <v/>
      </c>
      <c r="GT8">
        <f>GT7*IF(OR($C7=102,$G7=102),0,1)</f>
        <v/>
      </c>
      <c r="GU8">
        <f>GU7*IF(OR($C7=103,$G7=103),0,1)</f>
        <v/>
      </c>
      <c r="GV8">
        <f>GV7*IF(OR($C7=104,$G7=104),0,1)</f>
        <v/>
      </c>
      <c r="GW8">
        <f>GW7*IF(OR($C7=105,$G7=105),0,1)</f>
        <v/>
      </c>
      <c r="GX8">
        <f>GX7*IF(OR($C7=106,$G7=106),0,1)</f>
        <v/>
      </c>
      <c r="GY8">
        <f>GY7*IF(OR($C7=107,$G7=107),0,1)</f>
        <v/>
      </c>
      <c r="GZ8">
        <f>GZ7*IF(OR($C7=108,$G7=108),0,1)</f>
        <v/>
      </c>
      <c r="HA8">
        <f>HA7*IF(OR($C7=109,$G7=109),0,1)</f>
        <v/>
      </c>
      <c r="HB8">
        <f>HB7*IF(OR($C7=110,$G7=110),0,1)</f>
        <v/>
      </c>
      <c r="HC8">
        <f>HC7*IF(OR($C7=111,$G7=111),0,1)</f>
        <v/>
      </c>
      <c r="HD8">
        <f>HD7*IF(OR($C7=112,$G7=112),0,1)</f>
        <v/>
      </c>
      <c r="HE8">
        <f>HE7*IF(OR($C7=113,$G7=113),0,1)</f>
        <v/>
      </c>
      <c r="HF8">
        <f>HF7*IF(OR($C7=114,$G7=114),0,1)</f>
        <v/>
      </c>
      <c r="HG8">
        <f>HG7*IF(OR($C7=115,$G7=115),0,1)</f>
        <v/>
      </c>
      <c r="HH8">
        <f>HH7*IF(OR($C7=116,$G7=116),0,1)</f>
        <v/>
      </c>
      <c r="HI8">
        <f>HI7*IF(OR($C7=117,$G7=117),0,1)</f>
        <v/>
      </c>
      <c r="HJ8">
        <f>HJ7*IF(OR($C7=118,$G7=118),0,1)</f>
        <v/>
      </c>
      <c r="HK8">
        <f>HK7*IF(OR($C7=119,$G7=119),0,1)</f>
        <v/>
      </c>
      <c r="HL8">
        <f>HL7*IF(OR($C7=120,$G7=120),0,1)</f>
        <v/>
      </c>
      <c r="HN8">
        <f>IF('計算A'!D$106=1,CX8,1)</f>
        <v/>
      </c>
      <c r="HO8">
        <f>IF('計算A'!E$106=1,CY8,1)</f>
        <v/>
      </c>
      <c r="HP8">
        <f>IF('計算A'!F$106=1,CZ8,1)</f>
        <v/>
      </c>
      <c r="HQ8">
        <f>IF('計算A'!G$106=1,DA8,1)</f>
        <v/>
      </c>
      <c r="HR8">
        <f>IF('計算A'!H$106=1,DB8,1)</f>
        <v/>
      </c>
      <c r="HS8">
        <f>IF('計算A'!I$106=1,DC8,1)</f>
        <v/>
      </c>
      <c r="HT8">
        <f>IF('計算A'!J$106=1,DD8,1)</f>
        <v/>
      </c>
      <c r="HU8">
        <f>IF('計算A'!K$106=1,DE8,1)</f>
        <v/>
      </c>
      <c r="HV8">
        <f>IF('計算A'!L$106=1,DF8,1)</f>
        <v/>
      </c>
      <c r="HW8">
        <f>IF('計算A'!M$106=1,DG8,1)</f>
        <v/>
      </c>
      <c r="HX8">
        <f>IF('計算A'!N$106=1,DH8,1)</f>
        <v/>
      </c>
      <c r="HY8">
        <f>IF('計算A'!O$106=1,DI8,1)</f>
        <v/>
      </c>
      <c r="HZ8">
        <f>IF('計算A'!P$106=1,DJ8,1)</f>
        <v/>
      </c>
      <c r="IA8">
        <f>IF('計算A'!Q$106=1,DK8,1)</f>
        <v/>
      </c>
      <c r="IB8">
        <f>IF('計算A'!R$106=1,DL8,1)</f>
        <v/>
      </c>
      <c r="IC8">
        <f>IF('計算A'!S$106=1,DM8,1)</f>
        <v/>
      </c>
      <c r="ID8">
        <f>IF('計算A'!T$106=1,DN8,1)</f>
        <v/>
      </c>
      <c r="IE8">
        <f>IF('計算A'!U$106=1,DO8,1)</f>
        <v/>
      </c>
      <c r="IF8">
        <f>IF('計算A'!V$106=1,DP8,1)</f>
        <v/>
      </c>
      <c r="IG8">
        <f>IF('計算A'!W$106=1,DQ8,1)</f>
        <v/>
      </c>
      <c r="IH8">
        <f>IF('計算A'!X$106=1,DR8,1)</f>
        <v/>
      </c>
      <c r="II8">
        <f>IF('計算A'!Y$106=1,DS8,1)</f>
        <v/>
      </c>
      <c r="IJ8">
        <f>IF('計算A'!Z$106=1,DT8,1)</f>
        <v/>
      </c>
      <c r="IK8">
        <f>IF('計算A'!AA$106=1,DU8,1)</f>
        <v/>
      </c>
      <c r="IL8">
        <f>IF('計算A'!AB$106=1,DV8,1)</f>
        <v/>
      </c>
      <c r="IM8">
        <f>IF('計算A'!AC$106=1,DW8,1)</f>
        <v/>
      </c>
      <c r="IN8">
        <f>IF('計算A'!AD$106=1,DX8,1)</f>
        <v/>
      </c>
      <c r="IO8">
        <f>IF('計算A'!AE$106=1,DY8,1)</f>
        <v/>
      </c>
      <c r="IP8">
        <f>IF('計算A'!AF$106=1,DZ8,1)</f>
        <v/>
      </c>
      <c r="IQ8">
        <f>IF('計算A'!AG$106=1,EA8,1)</f>
        <v/>
      </c>
      <c r="IR8">
        <f>IF('計算A'!AH$106=1,EB8,1)</f>
        <v/>
      </c>
      <c r="IS8">
        <f>IF('計算A'!AI$106=1,EC8,1)</f>
        <v/>
      </c>
      <c r="IT8">
        <f>IF('計算A'!AJ$106=1,ED8,1)</f>
        <v/>
      </c>
      <c r="IU8">
        <f>IF('計算A'!AK$106=1,EE8,1)</f>
        <v/>
      </c>
      <c r="IV8">
        <f>IF('計算A'!AL$106=1,EF8,1)</f>
        <v/>
      </c>
      <c r="IW8">
        <f>IF('計算A'!AM$106=1,EG8,1)</f>
        <v/>
      </c>
      <c r="IX8">
        <f>IF('計算A'!AN$106=1,EH8,1)</f>
        <v/>
      </c>
      <c r="IY8">
        <f>IF('計算A'!AO$106=1,EI8,1)</f>
        <v/>
      </c>
      <c r="IZ8">
        <f>IF('計算A'!AP$106=1,EJ8,1)</f>
        <v/>
      </c>
      <c r="JA8">
        <f>IF('計算A'!AQ$106=1,EK8,1)</f>
        <v/>
      </c>
      <c r="JB8">
        <f>IF('計算A'!AR$106=1,EL8,1)</f>
        <v/>
      </c>
      <c r="JC8">
        <f>IF('計算A'!AS$106=1,EM8,1)</f>
        <v/>
      </c>
      <c r="JD8">
        <f>IF('計算A'!AT$106=1,EN8,1)</f>
        <v/>
      </c>
      <c r="JE8">
        <f>IF('計算A'!AU$106=1,EO8,1)</f>
        <v/>
      </c>
      <c r="JF8">
        <f>IF('計算A'!AV$106=1,EP8,1)</f>
        <v/>
      </c>
      <c r="JG8">
        <f>IF('計算A'!AW$106=1,EQ8,1)</f>
        <v/>
      </c>
      <c r="JH8">
        <f>IF('計算A'!AX$106=1,ER8,1)</f>
        <v/>
      </c>
      <c r="JI8">
        <f>IF('計算A'!AY$106=1,ES8,1)</f>
        <v/>
      </c>
      <c r="JJ8">
        <f>IF('計算A'!AZ$106=1,ET8,1)</f>
        <v/>
      </c>
      <c r="JK8">
        <f>IF('計算A'!BA$106=1,EU8,1)</f>
        <v/>
      </c>
      <c r="JL8">
        <f>IF('計算A'!BB$106=1,EV8,1)</f>
        <v/>
      </c>
      <c r="JM8">
        <f>IF('計算A'!BC$106=1,EW8,1)</f>
        <v/>
      </c>
      <c r="JN8">
        <f>IF('計算A'!BD$106=1,EX8,1)</f>
        <v/>
      </c>
      <c r="JO8">
        <f>IF('計算A'!BE$106=1,EY8,1)</f>
        <v/>
      </c>
      <c r="JP8">
        <f>IF('計算A'!BF$106=1,EZ8,1)</f>
        <v/>
      </c>
      <c r="JQ8">
        <f>IF('計算A'!BG$106=1,FA8,1)</f>
        <v/>
      </c>
      <c r="JR8">
        <f>IF('計算A'!BH$106=1,FB8,1)</f>
        <v/>
      </c>
      <c r="JS8">
        <f>IF('計算A'!BI$106=1,FC8,1)</f>
        <v/>
      </c>
      <c r="JT8">
        <f>IF('計算A'!BJ$106=1,FD8,1)</f>
        <v/>
      </c>
      <c r="JU8">
        <f>IF('計算A'!BK$106=1,FE8,1)</f>
        <v/>
      </c>
      <c r="JV8">
        <f>IF('計算A'!BL$106=1,FF8,1)</f>
        <v/>
      </c>
      <c r="JW8">
        <f>IF('計算A'!BM$106=1,FG8,1)</f>
        <v/>
      </c>
      <c r="JX8">
        <f>IF('計算A'!BN$106=1,FH8,1)</f>
        <v/>
      </c>
      <c r="JY8">
        <f>IF('計算A'!BO$106=1,FI8,1)</f>
        <v/>
      </c>
      <c r="JZ8">
        <f>IF('計算A'!BP$106=1,FJ8,1)</f>
        <v/>
      </c>
      <c r="KA8">
        <f>IF('計算A'!BQ$106=1,FK8,1)</f>
        <v/>
      </c>
      <c r="KB8">
        <f>IF('計算A'!BR$106=1,FL8,1)</f>
        <v/>
      </c>
      <c r="KC8">
        <f>IF('計算A'!BS$106=1,FM8,1)</f>
        <v/>
      </c>
      <c r="KD8">
        <f>IF('計算A'!BT$106=1,FN8,1)</f>
        <v/>
      </c>
      <c r="KE8">
        <f>IF('計算A'!BU$106=1,FO8,1)</f>
        <v/>
      </c>
      <c r="KF8">
        <f>IF('計算A'!BV$106=1,FP8,1)</f>
        <v/>
      </c>
      <c r="KG8">
        <f>IF('計算A'!BW$106=1,FQ8,1)</f>
        <v/>
      </c>
      <c r="KH8">
        <f>IF('計算A'!BX$106=1,FR8,1)</f>
        <v/>
      </c>
      <c r="KI8">
        <f>IF('計算A'!BY$106=1,FS8,1)</f>
        <v/>
      </c>
      <c r="KJ8">
        <f>IF('計算A'!BZ$106=1,FT8,1)</f>
        <v/>
      </c>
      <c r="KK8">
        <f>IF('計算A'!CA$106=1,FU8,1)</f>
        <v/>
      </c>
      <c r="KL8">
        <f>IF('計算A'!CB$106=1,FV8,1)</f>
        <v/>
      </c>
      <c r="KM8">
        <f>IF('計算A'!CC$106=1,FW8,1)</f>
        <v/>
      </c>
      <c r="KN8">
        <f>IF('計算A'!CD$106=1,FX8,1)</f>
        <v/>
      </c>
      <c r="KO8">
        <f>IF('計算A'!CE$106=1,FY8,1)</f>
        <v/>
      </c>
      <c r="KP8">
        <f>IF('計算A'!CF$106=1,FZ8,1)</f>
        <v/>
      </c>
      <c r="KQ8">
        <f>IF('計算A'!CG$106=1,GA8,1)</f>
        <v/>
      </c>
      <c r="KR8">
        <f>IF('計算A'!CH$106=1,GB8,1)</f>
        <v/>
      </c>
      <c r="KS8">
        <f>IF('計算A'!CI$106=1,GC8,1)</f>
        <v/>
      </c>
      <c r="KT8">
        <f>IF('計算A'!CJ$106=1,GD8,1)</f>
        <v/>
      </c>
      <c r="KU8">
        <f>IF('計算A'!CK$106=1,GE8,1)</f>
        <v/>
      </c>
      <c r="KV8">
        <f>IF('計算A'!CL$106=1,GF8,1)</f>
        <v/>
      </c>
      <c r="KW8">
        <f>IF('計算A'!CM$106=1,GG8,1)</f>
        <v/>
      </c>
      <c r="KX8">
        <f>IF('計算A'!CN$106=1,GH8,1)</f>
        <v/>
      </c>
      <c r="KY8">
        <f>IF('計算A'!CO$106=1,GI8,1)</f>
        <v/>
      </c>
      <c r="KZ8">
        <f>IF('計算A'!CP$106=1,GJ8,1)</f>
        <v/>
      </c>
      <c r="LA8">
        <f>IF('計算A'!CQ$106=1,GK8,1)</f>
        <v/>
      </c>
      <c r="LB8">
        <f>IF('計算A'!CR$106=1,GL8,1)</f>
        <v/>
      </c>
      <c r="LC8">
        <f>IF('計算A'!CS$106=1,GM8,1)</f>
        <v/>
      </c>
      <c r="LD8">
        <f>IF('計算A'!CT$106=1,GN8,1)</f>
        <v/>
      </c>
      <c r="LE8">
        <f>IF('計算A'!CU$106=1,GO8,1)</f>
        <v/>
      </c>
      <c r="LF8">
        <f>IF('計算A'!CV$106=1,GP8,1)</f>
        <v/>
      </c>
      <c r="LG8">
        <f>IF('計算A'!CW$106=1,GQ8,1)</f>
        <v/>
      </c>
      <c r="LH8">
        <f>IF('計算A'!CX$106=1,GR8,1)</f>
        <v/>
      </c>
      <c r="LI8">
        <f>IF('計算A'!CY$106=1,GS8,1)</f>
        <v/>
      </c>
      <c r="LJ8">
        <f>IF('計算A'!CZ$106=1,GT8,1)</f>
        <v/>
      </c>
      <c r="LK8">
        <f>IF('計算A'!DA$106=1,GU8,1)</f>
        <v/>
      </c>
      <c r="LL8">
        <f>IF('計算A'!DB$106=1,GV8,1)</f>
        <v/>
      </c>
      <c r="LM8">
        <f>IF('計算A'!DC$106=1,GW8,1)</f>
        <v/>
      </c>
      <c r="LN8">
        <f>IF('計算A'!DD$106=1,GX8,1)</f>
        <v/>
      </c>
      <c r="LO8">
        <f>IF('計算A'!DE$106=1,GY8,1)</f>
        <v/>
      </c>
      <c r="LP8">
        <f>IF('計算A'!DF$106=1,GZ8,1)</f>
        <v/>
      </c>
      <c r="LQ8">
        <f>IF('計算A'!DG$106=1,HA8,1)</f>
        <v/>
      </c>
      <c r="LR8">
        <f>IF('計算A'!DH$106=1,HB8,1)</f>
        <v/>
      </c>
      <c r="LS8">
        <f>IF('計算A'!DI$106=1,HC8,1)</f>
        <v/>
      </c>
      <c r="LT8">
        <f>IF('計算A'!DJ$106=1,HD8,1)</f>
        <v/>
      </c>
      <c r="LU8">
        <f>IF('計算A'!DK$106=1,HE8,1)</f>
        <v/>
      </c>
      <c r="LV8">
        <f>IF('計算A'!DL$106=1,HF8,1)</f>
        <v/>
      </c>
      <c r="LW8">
        <f>IF('計算A'!DM$106=1,HG8,1)</f>
        <v/>
      </c>
      <c r="LX8">
        <f>IF('計算A'!DN$106=1,HH8,1)</f>
        <v/>
      </c>
      <c r="LY8">
        <f>IF('計算A'!DO$106=1,HI8,1)</f>
        <v/>
      </c>
      <c r="LZ8">
        <f>IF('計算A'!DP$106=1,HJ8,1)</f>
        <v/>
      </c>
      <c r="MA8">
        <f>IF('計算A'!DQ$106=1,HK8,1)</f>
        <v/>
      </c>
      <c r="MB8">
        <f>IF('計算A'!DR$106=1,HL8,1)</f>
        <v/>
      </c>
      <c r="MC8" t="n">
        <v>1</v>
      </c>
      <c r="ME8">
        <f>IF($B8=0,1000000,IF(INDEX('計算A'!$D$60:$DS$104,$B8,1)*CW8=1,IF(AND($E8=2,HN8=0),1000000,INDEX('計算A'!D$110:D$114,$F8+1)+IF(AND($E8=1,HN8=0),1000,0)),1000000))</f>
        <v/>
      </c>
      <c r="MF8">
        <f>IF($B8=0,1000000,IF(INDEX('計算A'!$D$60:$DS$104,$B8,2)*CX8=1,IF(AND($E8=2,HO8=0),1000000,INDEX('計算A'!E$110:E$114,$F8+1)+IF(AND($E8=1,HO8=0),1000,0)),1000000))</f>
        <v/>
      </c>
      <c r="MG8">
        <f>IF($B8=0,1000000,IF(INDEX('計算A'!$D$60:$DS$104,$B8,3)*CY8=1,IF(AND($E8=2,HP8=0),1000000,INDEX('計算A'!F$110:F$114,$F8+1)+IF(AND($E8=1,HP8=0),1000,0)),1000000))</f>
        <v/>
      </c>
      <c r="MH8">
        <f>IF($B8=0,1000000,IF(INDEX('計算A'!$D$60:$DS$104,$B8,4)*CZ8=1,IF(AND($E8=2,HQ8=0),1000000,INDEX('計算A'!G$110:G$114,$F8+1)+IF(AND($E8=1,HQ8=0),1000,0)),1000000))</f>
        <v/>
      </c>
      <c r="MI8">
        <f>IF($B8=0,1000000,IF(INDEX('計算A'!$D$60:$DS$104,$B8,5)*DA8=1,IF(AND($E8=2,HR8=0),1000000,INDEX('計算A'!H$110:H$114,$F8+1)+IF(AND($E8=1,HR8=0),1000,0)),1000000))</f>
        <v/>
      </c>
      <c r="MJ8">
        <f>IF($B8=0,1000000,IF(INDEX('計算A'!$D$60:$DS$104,$B8,6)*DB8=1,IF(AND($E8=2,HS8=0),1000000,INDEX('計算A'!I$110:I$114,$F8+1)+IF(AND($E8=1,HS8=0),1000,0)),1000000))</f>
        <v/>
      </c>
      <c r="MK8">
        <f>IF($B8=0,1000000,IF(INDEX('計算A'!$D$60:$DS$104,$B8,7)*DC8=1,IF(AND($E8=2,HT8=0),1000000,INDEX('計算A'!J$110:J$114,$F8+1)+IF(AND($E8=1,HT8=0),1000,0)),1000000))</f>
        <v/>
      </c>
      <c r="ML8">
        <f>IF($B8=0,1000000,IF(INDEX('計算A'!$D$60:$DS$104,$B8,8)*DD8=1,IF(AND($E8=2,HU8=0),1000000,INDEX('計算A'!K$110:K$114,$F8+1)+IF(AND($E8=1,HU8=0),1000,0)),1000000))</f>
        <v/>
      </c>
      <c r="MM8">
        <f>IF($B8=0,1000000,IF(INDEX('計算A'!$D$60:$DS$104,$B8,9)*DE8=1,IF(AND($E8=2,HV8=0),1000000,INDEX('計算A'!L$110:L$114,$F8+1)+IF(AND($E8=1,HV8=0),1000,0)),1000000))</f>
        <v/>
      </c>
      <c r="MN8">
        <f>IF($B8=0,1000000,IF(INDEX('計算A'!$D$60:$DS$104,$B8,10)*DF8=1,IF(AND($E8=2,HW8=0),1000000,INDEX('計算A'!M$110:M$114,$F8+1)+IF(AND($E8=1,HW8=0),1000,0)),1000000))</f>
        <v/>
      </c>
      <c r="MO8">
        <f>IF($B8=0,1000000,IF(INDEX('計算A'!$D$60:$DS$104,$B8,11)*DG8=1,IF(AND($E8=2,HX8=0),1000000,INDEX('計算A'!N$110:N$114,$F8+1)+IF(AND($E8=1,HX8=0),1000,0)),1000000))</f>
        <v/>
      </c>
      <c r="MP8">
        <f>IF($B8=0,1000000,IF(INDEX('計算A'!$D$60:$DS$104,$B8,12)*DH8=1,IF(AND($E8=2,HY8=0),1000000,INDEX('計算A'!O$110:O$114,$F8+1)+IF(AND($E8=1,HY8=0),1000,0)),1000000))</f>
        <v/>
      </c>
      <c r="MQ8">
        <f>IF($B8=0,1000000,IF(INDEX('計算A'!$D$60:$DS$104,$B8,13)*DI8=1,IF(AND($E8=2,HZ8=0),1000000,INDEX('計算A'!P$110:P$114,$F8+1)+IF(AND($E8=1,HZ8=0),1000,0)),1000000))</f>
        <v/>
      </c>
      <c r="MR8">
        <f>IF($B8=0,1000000,IF(INDEX('計算A'!$D$60:$DS$104,$B8,14)*DJ8=1,IF(AND($E8=2,IA8=0),1000000,INDEX('計算A'!Q$110:Q$114,$F8+1)+IF(AND($E8=1,IA8=0),1000,0)),1000000))</f>
        <v/>
      </c>
      <c r="MS8">
        <f>IF($B8=0,1000000,IF(INDEX('計算A'!$D$60:$DS$104,$B8,15)*DK8=1,IF(AND($E8=2,IB8=0),1000000,INDEX('計算A'!R$110:R$114,$F8+1)+IF(AND($E8=1,IB8=0),1000,0)),1000000))</f>
        <v/>
      </c>
      <c r="MT8">
        <f>IF($B8=0,1000000,IF(INDEX('計算A'!$D$60:$DS$104,$B8,16)*DL8=1,IF(AND($E8=2,IC8=0),1000000,INDEX('計算A'!S$110:S$114,$F8+1)+IF(AND($E8=1,IC8=0),1000,0)),1000000))</f>
        <v/>
      </c>
      <c r="MU8">
        <f>IF($B8=0,1000000,IF(INDEX('計算A'!$D$60:$DS$104,$B8,17)*DM8=1,IF(AND($E8=2,ID8=0),1000000,INDEX('計算A'!T$110:T$114,$F8+1)+IF(AND($E8=1,ID8=0),1000,0)),1000000))</f>
        <v/>
      </c>
      <c r="MV8">
        <f>IF($B8=0,1000000,IF(INDEX('計算A'!$D$60:$DS$104,$B8,18)*DN8=1,IF(AND($E8=2,IE8=0),1000000,INDEX('計算A'!U$110:U$114,$F8+1)+IF(AND($E8=1,IE8=0),1000,0)),1000000))</f>
        <v/>
      </c>
      <c r="MW8">
        <f>IF($B8=0,1000000,IF(INDEX('計算A'!$D$60:$DS$104,$B8,19)*DO8=1,IF(AND($E8=2,IF8=0),1000000,INDEX('計算A'!V$110:V$114,$F8+1)+IF(AND($E8=1,IF8=0),1000,0)),1000000))</f>
        <v/>
      </c>
      <c r="MX8">
        <f>IF($B8=0,1000000,IF(INDEX('計算A'!$D$60:$DS$104,$B8,20)*DP8=1,IF(AND($E8=2,IG8=0),1000000,INDEX('計算A'!W$110:W$114,$F8+1)+IF(AND($E8=1,IG8=0),1000,0)),1000000))</f>
        <v/>
      </c>
      <c r="MY8">
        <f>IF($B8=0,1000000,IF(INDEX('計算A'!$D$60:$DS$104,$B8,21)*DQ8=1,IF(AND($E8=2,IH8=0),1000000,INDEX('計算A'!X$110:X$114,$F8+1)+IF(AND($E8=1,IH8=0),1000,0)),1000000))</f>
        <v/>
      </c>
      <c r="MZ8">
        <f>IF($B8=0,1000000,IF(INDEX('計算A'!$D$60:$DS$104,$B8,22)*DR8=1,IF(AND($E8=2,II8=0),1000000,INDEX('計算A'!Y$110:Y$114,$F8+1)+IF(AND($E8=1,II8=0),1000,0)),1000000))</f>
        <v/>
      </c>
      <c r="NA8">
        <f>IF($B8=0,1000000,IF(INDEX('計算A'!$D$60:$DS$104,$B8,23)*DS8=1,IF(AND($E8=2,IJ8=0),1000000,INDEX('計算A'!Z$110:Z$114,$F8+1)+IF(AND($E8=1,IJ8=0),1000,0)),1000000))</f>
        <v/>
      </c>
      <c r="NB8">
        <f>IF($B8=0,1000000,IF(INDEX('計算A'!$D$60:$DS$104,$B8,24)*DT8=1,IF(AND($E8=2,IK8=0),1000000,INDEX('計算A'!AA$110:AA$114,$F8+1)+IF(AND($E8=1,IK8=0),1000,0)),1000000))</f>
        <v/>
      </c>
      <c r="NC8">
        <f>IF($B8=0,1000000,IF(INDEX('計算A'!$D$60:$DS$104,$B8,25)*DU8=1,IF(AND($E8=2,IL8=0),1000000,INDEX('計算A'!AB$110:AB$114,$F8+1)+IF(AND($E8=1,IL8=0),1000,0)),1000000))</f>
        <v/>
      </c>
      <c r="ND8">
        <f>IF($B8=0,1000000,IF(INDEX('計算A'!$D$60:$DS$104,$B8,26)*DV8=1,IF(AND($E8=2,IM8=0),1000000,INDEX('計算A'!AC$110:AC$114,$F8+1)+IF(AND($E8=1,IM8=0),1000,0)),1000000))</f>
        <v/>
      </c>
      <c r="NE8">
        <f>IF($B8=0,1000000,IF(INDEX('計算A'!$D$60:$DS$104,$B8,27)*DW8=1,IF(AND($E8=2,IN8=0),1000000,INDEX('計算A'!AD$110:AD$114,$F8+1)+IF(AND($E8=1,IN8=0),1000,0)),1000000))</f>
        <v/>
      </c>
      <c r="NF8">
        <f>IF($B8=0,1000000,IF(INDEX('計算A'!$D$60:$DS$104,$B8,28)*DX8=1,IF(AND($E8=2,IO8=0),1000000,INDEX('計算A'!AE$110:AE$114,$F8+1)+IF(AND($E8=1,IO8=0),1000,0)),1000000))</f>
        <v/>
      </c>
      <c r="NG8">
        <f>IF($B8=0,1000000,IF(INDEX('計算A'!$D$60:$DS$104,$B8,29)*DY8=1,IF(AND($E8=2,IP8=0),1000000,INDEX('計算A'!AF$110:AF$114,$F8+1)+IF(AND($E8=1,IP8=0),1000,0)),1000000))</f>
        <v/>
      </c>
      <c r="NH8">
        <f>IF($B8=0,1000000,IF(INDEX('計算A'!$D$60:$DS$104,$B8,30)*DZ8=1,IF(AND($E8=2,IQ8=0),1000000,INDEX('計算A'!AG$110:AG$114,$F8+1)+IF(AND($E8=1,IQ8=0),1000,0)),1000000))</f>
        <v/>
      </c>
      <c r="NI8">
        <f>IF($B8=0,1000000,IF(INDEX('計算A'!$D$60:$DS$104,$B8,31)*EA8=1,IF(AND($E8=2,IR8=0),1000000,INDEX('計算A'!AH$110:AH$114,$F8+1)+IF(AND($E8=1,IR8=0),1000,0)),1000000))</f>
        <v/>
      </c>
      <c r="NJ8">
        <f>IF($B8=0,1000000,IF(INDEX('計算A'!$D$60:$DS$104,$B8,32)*EB8=1,IF(AND($E8=2,IS8=0),1000000,INDEX('計算A'!AI$110:AI$114,$F8+1)+IF(AND($E8=1,IS8=0),1000,0)),1000000))</f>
        <v/>
      </c>
      <c r="NK8">
        <f>IF($B8=0,1000000,IF(INDEX('計算A'!$D$60:$DS$104,$B8,33)*EC8=1,IF(AND($E8=2,IT8=0),1000000,INDEX('計算A'!AJ$110:AJ$114,$F8+1)+IF(AND($E8=1,IT8=0),1000,0)),1000000))</f>
        <v/>
      </c>
      <c r="NL8">
        <f>IF($B8=0,1000000,IF(INDEX('計算A'!$D$60:$DS$104,$B8,34)*ED8=1,IF(AND($E8=2,IU8=0),1000000,INDEX('計算A'!AK$110:AK$114,$F8+1)+IF(AND($E8=1,IU8=0),1000,0)),1000000))</f>
        <v/>
      </c>
      <c r="NM8">
        <f>IF($B8=0,1000000,IF(INDEX('計算A'!$D$60:$DS$104,$B8,35)*EE8=1,IF(AND($E8=2,IV8=0),1000000,INDEX('計算A'!AL$110:AL$114,$F8+1)+IF(AND($E8=1,IV8=0),1000,0)),1000000))</f>
        <v/>
      </c>
      <c r="NN8">
        <f>IF($B8=0,1000000,IF(INDEX('計算A'!$D$60:$DS$104,$B8,36)*EF8=1,IF(AND($E8=2,IW8=0),1000000,INDEX('計算A'!AM$110:AM$114,$F8+1)+IF(AND($E8=1,IW8=0),1000,0)),1000000))</f>
        <v/>
      </c>
      <c r="NO8">
        <f>IF($B8=0,1000000,IF(INDEX('計算A'!$D$60:$DS$104,$B8,37)*EG8=1,IF(AND($E8=2,IX8=0),1000000,INDEX('計算A'!AN$110:AN$114,$F8+1)+IF(AND($E8=1,IX8=0),1000,0)),1000000))</f>
        <v/>
      </c>
      <c r="NP8">
        <f>IF($B8=0,1000000,IF(INDEX('計算A'!$D$60:$DS$104,$B8,38)*EH8=1,IF(AND($E8=2,IY8=0),1000000,INDEX('計算A'!AO$110:AO$114,$F8+1)+IF(AND($E8=1,IY8=0),1000,0)),1000000))</f>
        <v/>
      </c>
      <c r="NQ8">
        <f>IF($B8=0,1000000,IF(INDEX('計算A'!$D$60:$DS$104,$B8,39)*EI8=1,IF(AND($E8=2,IZ8=0),1000000,INDEX('計算A'!AP$110:AP$114,$F8+1)+IF(AND($E8=1,IZ8=0),1000,0)),1000000))</f>
        <v/>
      </c>
      <c r="NR8">
        <f>IF($B8=0,1000000,IF(INDEX('計算A'!$D$60:$DS$104,$B8,40)*EJ8=1,IF(AND($E8=2,JA8=0),1000000,INDEX('計算A'!AQ$110:AQ$114,$F8+1)+IF(AND($E8=1,JA8=0),1000,0)),1000000))</f>
        <v/>
      </c>
      <c r="NS8">
        <f>IF($B8=0,1000000,IF(INDEX('計算A'!$D$60:$DS$104,$B8,41)*EK8=1,IF(AND($E8=2,JB8=0),1000000,INDEX('計算A'!AR$110:AR$114,$F8+1)+IF(AND($E8=1,JB8=0),1000,0)),1000000))</f>
        <v/>
      </c>
      <c r="NT8">
        <f>IF($B8=0,1000000,IF(INDEX('計算A'!$D$60:$DS$104,$B8,42)*EL8=1,IF(AND($E8=2,JC8=0),1000000,INDEX('計算A'!AS$110:AS$114,$F8+1)+IF(AND($E8=1,JC8=0),1000,0)),1000000))</f>
        <v/>
      </c>
      <c r="NU8">
        <f>IF($B8=0,1000000,IF(INDEX('計算A'!$D$60:$DS$104,$B8,43)*EM8=1,IF(AND($E8=2,JD8=0),1000000,INDEX('計算A'!AT$110:AT$114,$F8+1)+IF(AND($E8=1,JD8=0),1000,0)),1000000))</f>
        <v/>
      </c>
      <c r="NV8">
        <f>IF($B8=0,1000000,IF(INDEX('計算A'!$D$60:$DS$104,$B8,44)*EN8=1,IF(AND($E8=2,JE8=0),1000000,INDEX('計算A'!AU$110:AU$114,$F8+1)+IF(AND($E8=1,JE8=0),1000,0)),1000000))</f>
        <v/>
      </c>
      <c r="NW8">
        <f>IF($B8=0,1000000,IF(INDEX('計算A'!$D$60:$DS$104,$B8,45)*EO8=1,IF(AND($E8=2,JF8=0),1000000,INDEX('計算A'!AV$110:AV$114,$F8+1)+IF(AND($E8=1,JF8=0),1000,0)),1000000))</f>
        <v/>
      </c>
      <c r="NX8">
        <f>IF($B8=0,1000000,IF(INDEX('計算A'!$D$60:$DS$104,$B8,46)*EP8=1,IF(AND($E8=2,JG8=0),1000000,INDEX('計算A'!AW$110:AW$114,$F8+1)+IF(AND($E8=1,JG8=0),1000,0)),1000000))</f>
        <v/>
      </c>
      <c r="NY8">
        <f>IF($B8=0,1000000,IF(INDEX('計算A'!$D$60:$DS$104,$B8,47)*EQ8=1,IF(AND($E8=2,JH8=0),1000000,INDEX('計算A'!AX$110:AX$114,$F8+1)+IF(AND($E8=1,JH8=0),1000,0)),1000000))</f>
        <v/>
      </c>
      <c r="NZ8">
        <f>IF($B8=0,1000000,IF(INDEX('計算A'!$D$60:$DS$104,$B8,48)*ER8=1,IF(AND($E8=2,JI8=0),1000000,INDEX('計算A'!AY$110:AY$114,$F8+1)+IF(AND($E8=1,JI8=0),1000,0)),1000000))</f>
        <v/>
      </c>
      <c r="OA8">
        <f>IF($B8=0,1000000,IF(INDEX('計算A'!$D$60:$DS$104,$B8,49)*ES8=1,IF(AND($E8=2,JJ8=0),1000000,INDEX('計算A'!AZ$110:AZ$114,$F8+1)+IF(AND($E8=1,JJ8=0),1000,0)),1000000))</f>
        <v/>
      </c>
      <c r="OB8">
        <f>IF($B8=0,1000000,IF(INDEX('計算A'!$D$60:$DS$104,$B8,50)*ET8=1,IF(AND($E8=2,JK8=0),1000000,INDEX('計算A'!BA$110:BA$114,$F8+1)+IF(AND($E8=1,JK8=0),1000,0)),1000000))</f>
        <v/>
      </c>
      <c r="OC8">
        <f>IF($B8=0,1000000,IF(INDEX('計算A'!$D$60:$DS$104,$B8,51)*EU8=1,IF(AND($E8=2,JL8=0),1000000,INDEX('計算A'!BB$110:BB$114,$F8+1)+IF(AND($E8=1,JL8=0),1000,0)),1000000))</f>
        <v/>
      </c>
      <c r="OD8">
        <f>IF($B8=0,1000000,IF(INDEX('計算A'!$D$60:$DS$104,$B8,52)*EV8=1,IF(AND($E8=2,JM8=0),1000000,INDEX('計算A'!BC$110:BC$114,$F8+1)+IF(AND($E8=1,JM8=0),1000,0)),1000000))</f>
        <v/>
      </c>
      <c r="OE8">
        <f>IF($B8=0,1000000,IF(INDEX('計算A'!$D$60:$DS$104,$B8,53)*EW8=1,IF(AND($E8=2,JN8=0),1000000,INDEX('計算A'!BD$110:BD$114,$F8+1)+IF(AND($E8=1,JN8=0),1000,0)),1000000))</f>
        <v/>
      </c>
      <c r="OF8">
        <f>IF($B8=0,1000000,IF(INDEX('計算A'!$D$60:$DS$104,$B8,54)*EX8=1,IF(AND($E8=2,JO8=0),1000000,INDEX('計算A'!BE$110:BE$114,$F8+1)+IF(AND($E8=1,JO8=0),1000,0)),1000000))</f>
        <v/>
      </c>
      <c r="OG8">
        <f>IF($B8=0,1000000,IF(INDEX('計算A'!$D$60:$DS$104,$B8,55)*EY8=1,IF(AND($E8=2,JP8=0),1000000,INDEX('計算A'!BF$110:BF$114,$F8+1)+IF(AND($E8=1,JP8=0),1000,0)),1000000))</f>
        <v/>
      </c>
      <c r="OH8">
        <f>IF($B8=0,1000000,IF(INDEX('計算A'!$D$60:$DS$104,$B8,56)*EZ8=1,IF(AND($E8=2,JQ8=0),1000000,INDEX('計算A'!BG$110:BG$114,$F8+1)+IF(AND($E8=1,JQ8=0),1000,0)),1000000))</f>
        <v/>
      </c>
      <c r="OI8">
        <f>IF($B8=0,1000000,IF(INDEX('計算A'!$D$60:$DS$104,$B8,57)*FA8=1,IF(AND($E8=2,JR8=0),1000000,INDEX('計算A'!BH$110:BH$114,$F8+1)+IF(AND($E8=1,JR8=0),1000,0)),1000000))</f>
        <v/>
      </c>
      <c r="OJ8">
        <f>IF($B8=0,1000000,IF(INDEX('計算A'!$D$60:$DS$104,$B8,58)*FB8=1,IF(AND($E8=2,JS8=0),1000000,INDEX('計算A'!BI$110:BI$114,$F8+1)+IF(AND($E8=1,JS8=0),1000,0)),1000000))</f>
        <v/>
      </c>
      <c r="OK8">
        <f>IF($B8=0,1000000,IF(INDEX('計算A'!$D$60:$DS$104,$B8,59)*FC8=1,IF(AND($E8=2,JT8=0),1000000,INDEX('計算A'!BJ$110:BJ$114,$F8+1)+IF(AND($E8=1,JT8=0),1000,0)),1000000))</f>
        <v/>
      </c>
      <c r="OL8">
        <f>IF($B8=0,1000000,IF(INDEX('計算A'!$D$60:$DS$104,$B8,60)*FD8=1,IF(AND($E8=2,JU8=0),1000000,INDEX('計算A'!BK$110:BK$114,$F8+1)+IF(AND($E8=1,JU8=0),1000,0)),1000000))</f>
        <v/>
      </c>
      <c r="OM8">
        <f>IF($B8=0,1000000,IF(INDEX('計算A'!$D$60:$DS$104,$B8,61)*FE8=1,IF(AND($E8=2,JV8=0),1000000,INDEX('計算A'!BL$110:BL$114,$F8+1)+IF(AND($E8=1,JV8=0),1000,0)),1000000))</f>
        <v/>
      </c>
      <c r="ON8">
        <f>IF($B8=0,1000000,IF(INDEX('計算A'!$D$60:$DS$104,$B8,62)*FF8=1,IF(AND($E8=2,JW8=0),1000000,INDEX('計算A'!BM$110:BM$114,$F8+1)+IF(AND($E8=1,JW8=0),1000,0)),1000000))</f>
        <v/>
      </c>
      <c r="OO8">
        <f>IF($B8=0,1000000,IF(INDEX('計算A'!$D$60:$DS$104,$B8,63)*FG8=1,IF(AND($E8=2,JX8=0),1000000,INDEX('計算A'!BN$110:BN$114,$F8+1)+IF(AND($E8=1,JX8=0),1000,0)),1000000))</f>
        <v/>
      </c>
      <c r="OP8">
        <f>IF($B8=0,1000000,IF(INDEX('計算A'!$D$60:$DS$104,$B8,64)*FH8=1,IF(AND($E8=2,JY8=0),1000000,INDEX('計算A'!BO$110:BO$114,$F8+1)+IF(AND($E8=1,JY8=0),1000,0)),1000000))</f>
        <v/>
      </c>
      <c r="OQ8">
        <f>IF($B8=0,1000000,IF(INDEX('計算A'!$D$60:$DS$104,$B8,65)*FI8=1,IF(AND($E8=2,JZ8=0),1000000,INDEX('計算A'!BP$110:BP$114,$F8+1)+IF(AND($E8=1,JZ8=0),1000,0)),1000000))</f>
        <v/>
      </c>
      <c r="OR8">
        <f>IF($B8=0,1000000,IF(INDEX('計算A'!$D$60:$DS$104,$B8,66)*FJ8=1,IF(AND($E8=2,KA8=0),1000000,INDEX('計算A'!BQ$110:BQ$114,$F8+1)+IF(AND($E8=1,KA8=0),1000,0)),1000000))</f>
        <v/>
      </c>
      <c r="OS8">
        <f>IF($B8=0,1000000,IF(INDEX('計算A'!$D$60:$DS$104,$B8,67)*FK8=1,IF(AND($E8=2,KB8=0),1000000,INDEX('計算A'!BR$110:BR$114,$F8+1)+IF(AND($E8=1,KB8=0),1000,0)),1000000))</f>
        <v/>
      </c>
      <c r="OT8">
        <f>IF($B8=0,1000000,IF(INDEX('計算A'!$D$60:$DS$104,$B8,68)*FL8=1,IF(AND($E8=2,KC8=0),1000000,INDEX('計算A'!BS$110:BS$114,$F8+1)+IF(AND($E8=1,KC8=0),1000,0)),1000000))</f>
        <v/>
      </c>
      <c r="OU8">
        <f>IF($B8=0,1000000,IF(INDEX('計算A'!$D$60:$DS$104,$B8,69)*FM8=1,IF(AND($E8=2,KD8=0),1000000,INDEX('計算A'!BT$110:BT$114,$F8+1)+IF(AND($E8=1,KD8=0),1000,0)),1000000))</f>
        <v/>
      </c>
      <c r="OV8">
        <f>IF($B8=0,1000000,IF(INDEX('計算A'!$D$60:$DS$104,$B8,70)*FN8=1,IF(AND($E8=2,KE8=0),1000000,INDEX('計算A'!BU$110:BU$114,$F8+1)+IF(AND($E8=1,KE8=0),1000,0)),1000000))</f>
        <v/>
      </c>
      <c r="OW8">
        <f>IF($B8=0,1000000,IF(INDEX('計算A'!$D$60:$DS$104,$B8,71)*FO8=1,IF(AND($E8=2,KF8=0),1000000,INDEX('計算A'!BV$110:BV$114,$F8+1)+IF(AND($E8=1,KF8=0),1000,0)),1000000))</f>
        <v/>
      </c>
      <c r="OX8">
        <f>IF($B8=0,1000000,IF(INDEX('計算A'!$D$60:$DS$104,$B8,72)*FP8=1,IF(AND($E8=2,KG8=0),1000000,INDEX('計算A'!BW$110:BW$114,$F8+1)+IF(AND($E8=1,KG8=0),1000,0)),1000000))</f>
        <v/>
      </c>
      <c r="OY8">
        <f>IF($B8=0,1000000,IF(INDEX('計算A'!$D$60:$DS$104,$B8,73)*FQ8=1,IF(AND($E8=2,KH8=0),1000000,INDEX('計算A'!BX$110:BX$114,$F8+1)+IF(AND($E8=1,KH8=0),1000,0)),1000000))</f>
        <v/>
      </c>
      <c r="OZ8">
        <f>IF($B8=0,1000000,IF(INDEX('計算A'!$D$60:$DS$104,$B8,74)*FR8=1,IF(AND($E8=2,KI8=0),1000000,INDEX('計算A'!BY$110:BY$114,$F8+1)+IF(AND($E8=1,KI8=0),1000,0)),1000000))</f>
        <v/>
      </c>
      <c r="PA8">
        <f>IF($B8=0,1000000,IF(INDEX('計算A'!$D$60:$DS$104,$B8,75)*FS8=1,IF(AND($E8=2,KJ8=0),1000000,INDEX('計算A'!BZ$110:BZ$114,$F8+1)+IF(AND($E8=1,KJ8=0),1000,0)),1000000))</f>
        <v/>
      </c>
      <c r="PB8">
        <f>IF($B8=0,1000000,IF(INDEX('計算A'!$D$60:$DS$104,$B8,76)*FT8=1,IF(AND($E8=2,KK8=0),1000000,INDEX('計算A'!CA$110:CA$114,$F8+1)+IF(AND($E8=1,KK8=0),1000,0)),1000000))</f>
        <v/>
      </c>
      <c r="PC8">
        <f>IF($B8=0,1000000,IF(INDEX('計算A'!$D$60:$DS$104,$B8,77)*FU8=1,IF(AND($E8=2,KL8=0),1000000,INDEX('計算A'!CB$110:CB$114,$F8+1)+IF(AND($E8=1,KL8=0),1000,0)),1000000))</f>
        <v/>
      </c>
      <c r="PD8">
        <f>IF($B8=0,1000000,IF(INDEX('計算A'!$D$60:$DS$104,$B8,78)*FV8=1,IF(AND($E8=2,KM8=0),1000000,INDEX('計算A'!CC$110:CC$114,$F8+1)+IF(AND($E8=1,KM8=0),1000,0)),1000000))</f>
        <v/>
      </c>
      <c r="PE8">
        <f>IF($B8=0,1000000,IF(INDEX('計算A'!$D$60:$DS$104,$B8,79)*FW8=1,IF(AND($E8=2,KN8=0),1000000,INDEX('計算A'!CD$110:CD$114,$F8+1)+IF(AND($E8=1,KN8=0),1000,0)),1000000))</f>
        <v/>
      </c>
      <c r="PF8">
        <f>IF($B8=0,1000000,IF(INDEX('計算A'!$D$60:$DS$104,$B8,80)*FX8=1,IF(AND($E8=2,KO8=0),1000000,INDEX('計算A'!CE$110:CE$114,$F8+1)+IF(AND($E8=1,KO8=0),1000,0)),1000000))</f>
        <v/>
      </c>
      <c r="PG8">
        <f>IF($B8=0,1000000,IF(INDEX('計算A'!$D$60:$DS$104,$B8,81)*FY8=1,IF(AND($E8=2,KP8=0),1000000,INDEX('計算A'!CF$110:CF$114,$F8+1)+IF(AND($E8=1,KP8=0),1000,0)),1000000))</f>
        <v/>
      </c>
      <c r="PH8">
        <f>IF($B8=0,1000000,IF(INDEX('計算A'!$D$60:$DS$104,$B8,82)*FZ8=1,IF(AND($E8=2,KQ8=0),1000000,INDEX('計算A'!CG$110:CG$114,$F8+1)+IF(AND($E8=1,KQ8=0),1000,0)),1000000))</f>
        <v/>
      </c>
      <c r="PI8">
        <f>IF($B8=0,1000000,IF(INDEX('計算A'!$D$60:$DS$104,$B8,83)*GA8=1,IF(AND($E8=2,KR8=0),1000000,INDEX('計算A'!CH$110:CH$114,$F8+1)+IF(AND($E8=1,KR8=0),1000,0)),1000000))</f>
        <v/>
      </c>
      <c r="PJ8">
        <f>IF($B8=0,1000000,IF(INDEX('計算A'!$D$60:$DS$104,$B8,84)*GB8=1,IF(AND($E8=2,KS8=0),1000000,INDEX('計算A'!CI$110:CI$114,$F8+1)+IF(AND($E8=1,KS8=0),1000,0)),1000000))</f>
        <v/>
      </c>
      <c r="PK8">
        <f>IF($B8=0,1000000,IF(INDEX('計算A'!$D$60:$DS$104,$B8,85)*GC8=1,IF(AND($E8=2,KT8=0),1000000,INDEX('計算A'!CJ$110:CJ$114,$F8+1)+IF(AND($E8=1,KT8=0),1000,0)),1000000))</f>
        <v/>
      </c>
      <c r="PL8">
        <f>IF($B8=0,1000000,IF(INDEX('計算A'!$D$60:$DS$104,$B8,86)*GD8=1,IF(AND($E8=2,KU8=0),1000000,INDEX('計算A'!CK$110:CK$114,$F8+1)+IF(AND($E8=1,KU8=0),1000,0)),1000000))</f>
        <v/>
      </c>
      <c r="PM8">
        <f>IF($B8=0,1000000,IF(INDEX('計算A'!$D$60:$DS$104,$B8,87)*GE8=1,IF(AND($E8=2,KV8=0),1000000,INDEX('計算A'!CL$110:CL$114,$F8+1)+IF(AND($E8=1,KV8=0),1000,0)),1000000))</f>
        <v/>
      </c>
      <c r="PN8">
        <f>IF($B8=0,1000000,IF(INDEX('計算A'!$D$60:$DS$104,$B8,88)*GF8=1,IF(AND($E8=2,KW8=0),1000000,INDEX('計算A'!CM$110:CM$114,$F8+1)+IF(AND($E8=1,KW8=0),1000,0)),1000000))</f>
        <v/>
      </c>
      <c r="PO8">
        <f>IF($B8=0,1000000,IF(INDEX('計算A'!$D$60:$DS$104,$B8,89)*GG8=1,IF(AND($E8=2,KX8=0),1000000,INDEX('計算A'!CN$110:CN$114,$F8+1)+IF(AND($E8=1,KX8=0),1000,0)),1000000))</f>
        <v/>
      </c>
      <c r="PP8">
        <f>IF($B8=0,1000000,IF(INDEX('計算A'!$D$60:$DS$104,$B8,90)*GH8=1,IF(AND($E8=2,KY8=0),1000000,INDEX('計算A'!CO$110:CO$114,$F8+1)+IF(AND($E8=1,KY8=0),1000,0)),1000000))</f>
        <v/>
      </c>
      <c r="PQ8">
        <f>IF($B8=0,1000000,IF(INDEX('計算A'!$D$60:$DS$104,$B8,91)*GI8=1,IF(AND($E8=2,KZ8=0),1000000,INDEX('計算A'!CP$110:CP$114,$F8+1)+IF(AND($E8=1,KZ8=0),1000,0)),1000000))</f>
        <v/>
      </c>
      <c r="PR8">
        <f>IF($B8=0,1000000,IF(INDEX('計算A'!$D$60:$DS$104,$B8,92)*GJ8=1,IF(AND($E8=2,LA8=0),1000000,INDEX('計算A'!CQ$110:CQ$114,$F8+1)+IF(AND($E8=1,LA8=0),1000,0)),1000000))</f>
        <v/>
      </c>
      <c r="PS8">
        <f>IF($B8=0,1000000,IF(INDEX('計算A'!$D$60:$DS$104,$B8,93)*GK8=1,IF(AND($E8=2,LB8=0),1000000,INDEX('計算A'!CR$110:CR$114,$F8+1)+IF(AND($E8=1,LB8=0),1000,0)),1000000))</f>
        <v/>
      </c>
      <c r="PT8">
        <f>IF($B8=0,1000000,IF(INDEX('計算A'!$D$60:$DS$104,$B8,94)*GL8=1,IF(AND($E8=2,LC8=0),1000000,INDEX('計算A'!CS$110:CS$114,$F8+1)+IF(AND($E8=1,LC8=0),1000,0)),1000000))</f>
        <v/>
      </c>
      <c r="PU8">
        <f>IF($B8=0,1000000,IF(INDEX('計算A'!$D$60:$DS$104,$B8,95)*GM8=1,IF(AND($E8=2,LD8=0),1000000,INDEX('計算A'!CT$110:CT$114,$F8+1)+IF(AND($E8=1,LD8=0),1000,0)),1000000))</f>
        <v/>
      </c>
      <c r="PV8">
        <f>IF($B8=0,1000000,IF(INDEX('計算A'!$D$60:$DS$104,$B8,96)*GN8=1,IF(AND($E8=2,LE8=0),1000000,INDEX('計算A'!CU$110:CU$114,$F8+1)+IF(AND($E8=1,LE8=0),1000,0)),1000000))</f>
        <v/>
      </c>
      <c r="PW8">
        <f>IF($B8=0,1000000,IF(INDEX('計算A'!$D$60:$DS$104,$B8,97)*GO8=1,IF(AND($E8=2,LF8=0),1000000,INDEX('計算A'!CV$110:CV$114,$F8+1)+IF(AND($E8=1,LF8=0),1000,0)),1000000))</f>
        <v/>
      </c>
      <c r="PX8">
        <f>IF($B8=0,1000000,IF(INDEX('計算A'!$D$60:$DS$104,$B8,98)*GP8=1,IF(AND($E8=2,LG8=0),1000000,INDEX('計算A'!CW$110:CW$114,$F8+1)+IF(AND($E8=1,LG8=0),1000,0)),1000000))</f>
        <v/>
      </c>
      <c r="PY8">
        <f>IF($B8=0,1000000,IF(INDEX('計算A'!$D$60:$DS$104,$B8,99)*GQ8=1,IF(AND($E8=2,LH8=0),1000000,INDEX('計算A'!CX$110:CX$114,$F8+1)+IF(AND($E8=1,LH8=0),1000,0)),1000000))</f>
        <v/>
      </c>
      <c r="PZ8">
        <f>IF($B8=0,1000000,IF(INDEX('計算A'!$D$60:$DS$104,$B8,100)*GR8=1,IF(AND($E8=2,LI8=0),1000000,INDEX('計算A'!CY$110:CY$114,$F8+1)+IF(AND($E8=1,LI8=0),1000,0)),1000000))</f>
        <v/>
      </c>
      <c r="QA8">
        <f>IF($B8=0,1000000,IF(INDEX('計算A'!$D$60:$DS$104,$B8,101)*GS8=1,IF(AND($E8=2,LJ8=0),1000000,INDEX('計算A'!CZ$110:CZ$114,$F8+1)+IF(AND($E8=1,LJ8=0),1000,0)),1000000))</f>
        <v/>
      </c>
      <c r="QB8">
        <f>IF($B8=0,1000000,IF(INDEX('計算A'!$D$60:$DS$104,$B8,102)*GT8=1,IF(AND($E8=2,LK8=0),1000000,INDEX('計算A'!DA$110:DA$114,$F8+1)+IF(AND($E8=1,LK8=0),1000,0)),1000000))</f>
        <v/>
      </c>
      <c r="QC8">
        <f>IF($B8=0,1000000,IF(INDEX('計算A'!$D$60:$DS$104,$B8,103)*GU8=1,IF(AND($E8=2,LL8=0),1000000,INDEX('計算A'!DB$110:DB$114,$F8+1)+IF(AND($E8=1,LL8=0),1000,0)),1000000))</f>
        <v/>
      </c>
      <c r="QD8">
        <f>IF($B8=0,1000000,IF(INDEX('計算A'!$D$60:$DS$104,$B8,104)*GV8=1,IF(AND($E8=2,LM8=0),1000000,INDEX('計算A'!DC$110:DC$114,$F8+1)+IF(AND($E8=1,LM8=0),1000,0)),1000000))</f>
        <v/>
      </c>
      <c r="QE8">
        <f>IF($B8=0,1000000,IF(INDEX('計算A'!$D$60:$DS$104,$B8,105)*GW8=1,IF(AND($E8=2,LN8=0),1000000,INDEX('計算A'!DD$110:DD$114,$F8+1)+IF(AND($E8=1,LN8=0),1000,0)),1000000))</f>
        <v/>
      </c>
      <c r="QF8">
        <f>IF($B8=0,1000000,IF(INDEX('計算A'!$D$60:$DS$104,$B8,106)*GX8=1,IF(AND($E8=2,LO8=0),1000000,INDEX('計算A'!DE$110:DE$114,$F8+1)+IF(AND($E8=1,LO8=0),1000,0)),1000000))</f>
        <v/>
      </c>
      <c r="QG8">
        <f>IF($B8=0,1000000,IF(INDEX('計算A'!$D$60:$DS$104,$B8,107)*GY8=1,IF(AND($E8=2,LP8=0),1000000,INDEX('計算A'!DF$110:DF$114,$F8+1)+IF(AND($E8=1,LP8=0),1000,0)),1000000))</f>
        <v/>
      </c>
      <c r="QH8">
        <f>IF($B8=0,1000000,IF(INDEX('計算A'!$D$60:$DS$104,$B8,108)*GZ8=1,IF(AND($E8=2,LQ8=0),1000000,INDEX('計算A'!DG$110:DG$114,$F8+1)+IF(AND($E8=1,LQ8=0),1000,0)),1000000))</f>
        <v/>
      </c>
      <c r="QI8">
        <f>IF($B8=0,1000000,IF(INDEX('計算A'!$D$60:$DS$104,$B8,109)*HA8=1,IF(AND($E8=2,LR8=0),1000000,INDEX('計算A'!DH$110:DH$114,$F8+1)+IF(AND($E8=1,LR8=0),1000,0)),1000000))</f>
        <v/>
      </c>
      <c r="QJ8">
        <f>IF($B8=0,1000000,IF(INDEX('計算A'!$D$60:$DS$104,$B8,110)*HB8=1,IF(AND($E8=2,LS8=0),1000000,INDEX('計算A'!DI$110:DI$114,$F8+1)+IF(AND($E8=1,LS8=0),1000,0)),1000000))</f>
        <v/>
      </c>
      <c r="QK8">
        <f>IF($B8=0,1000000,IF(INDEX('計算A'!$D$60:$DS$104,$B8,111)*HC8=1,IF(AND($E8=2,LT8=0),1000000,INDEX('計算A'!DJ$110:DJ$114,$F8+1)+IF(AND($E8=1,LT8=0),1000,0)),1000000))</f>
        <v/>
      </c>
      <c r="QL8">
        <f>IF($B8=0,1000000,IF(INDEX('計算A'!$D$60:$DS$104,$B8,112)*HD8=1,IF(AND($E8=2,LU8=0),1000000,INDEX('計算A'!DK$110:DK$114,$F8+1)+IF(AND($E8=1,LU8=0),1000,0)),1000000))</f>
        <v/>
      </c>
      <c r="QM8">
        <f>IF($B8=0,1000000,IF(INDEX('計算A'!$D$60:$DS$104,$B8,113)*HE8=1,IF(AND($E8=2,LV8=0),1000000,INDEX('計算A'!DL$110:DL$114,$F8+1)+IF(AND($E8=1,LV8=0),1000,0)),1000000))</f>
        <v/>
      </c>
      <c r="QN8">
        <f>IF($B8=0,1000000,IF(INDEX('計算A'!$D$60:$DS$104,$B8,114)*HF8=1,IF(AND($E8=2,LW8=0),1000000,INDEX('計算A'!DM$110:DM$114,$F8+1)+IF(AND($E8=1,LW8=0),1000,0)),1000000))</f>
        <v/>
      </c>
      <c r="QO8">
        <f>IF($B8=0,1000000,IF(INDEX('計算A'!$D$60:$DS$104,$B8,115)*HG8=1,IF(AND($E8=2,LX8=0),1000000,INDEX('計算A'!DN$110:DN$114,$F8+1)+IF(AND($E8=1,LX8=0),1000,0)),1000000))</f>
        <v/>
      </c>
      <c r="QP8">
        <f>IF($B8=0,1000000,IF(INDEX('計算A'!$D$60:$DS$104,$B8,116)*HH8=1,IF(AND($E8=2,LY8=0),1000000,INDEX('計算A'!DO$110:DO$114,$F8+1)+IF(AND($E8=1,LY8=0),1000,0)),1000000))</f>
        <v/>
      </c>
      <c r="QQ8">
        <f>IF($B8=0,1000000,IF(INDEX('計算A'!$D$60:$DS$104,$B8,117)*HI8=1,IF(AND($E8=2,LZ8=0),1000000,INDEX('計算A'!DP$110:DP$114,$F8+1)+IF(AND($E8=1,LZ8=0),1000,0)),1000000))</f>
        <v/>
      </c>
      <c r="QR8">
        <f>IF($B8=0,1000000,IF(INDEX('計算A'!$D$60:$DS$104,$B8,118)*HJ8=1,IF(AND($E8=2,MA8=0),1000000,INDEX('計算A'!DQ$110:DQ$114,$F8+1)+IF(AND($E8=1,MA8=0),1000,0)),1000000))</f>
        <v/>
      </c>
      <c r="QS8">
        <f>IF($B8=0,1000000,IF(INDEX('計算A'!$D$60:$DS$104,$B8,119)*HK8=1,IF(AND($E8=2,MB8=0),1000000,INDEX('計算A'!DR$110:DR$114,$F8+1)+IF(AND($E8=1,MB8=0),1000,0)),1000000))</f>
        <v/>
      </c>
      <c r="QT8">
        <f>IF($B8=0,1000000,IF(INDEX('計算A'!$D$60:$DS$104,$B8,120)*HL8=1,IF(AND($E8=2,MC8=0),1000000,INDEX('計算A'!DS$110:DS$114,$F8+1)+IF(AND($E8=1,MC8=0),1000,0)),1000000))</f>
        <v/>
      </c>
    </row>
    <row r="9">
      <c r="A9" t="n">
        <v>7</v>
      </c>
      <c r="B9">
        <f>IF(MIN(BC9:CU9)&gt;=1000000,0,MATCH(MIN(BC9:CU9),BC9:CU9,0))</f>
        <v/>
      </c>
      <c r="C9">
        <f>IF(MIN(ME9:QT9)&gt;=1000000,0,MATCH(MIN(ME9:QT9),ME9:QT9,0))</f>
        <v/>
      </c>
      <c r="D9">
        <f>IF(C9&gt;0,INDEX('計算A'!$D$5:$DS$5,C9),0)</f>
        <v/>
      </c>
      <c r="E9">
        <f>IF(B9=0,0,INDEX('計算A'!$EA$10:$EA$54,B9))</f>
        <v/>
      </c>
      <c r="F9">
        <f>IF(B9=0,0,INDEX('計算A'!$DZ$10:$DZ$54,B9))</f>
        <v/>
      </c>
      <c r="G9">
        <f>IF(AND(C9&gt;0,E9&gt;0),IF(AND(INDEX('計算A'!$D$106:$DS$106,C9)=1,INDEX($HN9:$MC9,C9)=1),C9+1,0),0)</f>
        <v/>
      </c>
      <c r="I9">
        <f>MAX(I8,IF($B8=1,1,0))</f>
        <v/>
      </c>
      <c r="J9">
        <f>MAX(J8,IF($B8=2,1,0))</f>
        <v/>
      </c>
      <c r="K9">
        <f>MAX(K8,IF($B8=3,1,0))</f>
        <v/>
      </c>
      <c r="L9">
        <f>MAX(L8,IF($B8=4,1,0))</f>
        <v/>
      </c>
      <c r="M9">
        <f>MAX(M8,IF($B8=5,1,0))</f>
        <v/>
      </c>
      <c r="N9">
        <f>MAX(N8,IF($B8=6,1,0))</f>
        <v/>
      </c>
      <c r="O9">
        <f>MAX(O8,IF($B8=7,1,0))</f>
        <v/>
      </c>
      <c r="P9">
        <f>MAX(P8,IF($B8=8,1,0))</f>
        <v/>
      </c>
      <c r="Q9">
        <f>MAX(Q8,IF($B8=9,1,0))</f>
        <v/>
      </c>
      <c r="R9">
        <f>MAX(R8,IF($B8=10,1,0))</f>
        <v/>
      </c>
      <c r="S9">
        <f>MAX(S8,IF($B8=11,1,0))</f>
        <v/>
      </c>
      <c r="T9">
        <f>MAX(T8,IF($B8=12,1,0))</f>
        <v/>
      </c>
      <c r="U9">
        <f>MAX(U8,IF($B8=13,1,0))</f>
        <v/>
      </c>
      <c r="V9">
        <f>MAX(V8,IF($B8=14,1,0))</f>
        <v/>
      </c>
      <c r="W9">
        <f>MAX(W8,IF($B8=15,1,0))</f>
        <v/>
      </c>
      <c r="X9">
        <f>MAX(X8,IF($B8=16,1,0))</f>
        <v/>
      </c>
      <c r="Y9">
        <f>MAX(Y8,IF($B8=17,1,0))</f>
        <v/>
      </c>
      <c r="Z9">
        <f>MAX(Z8,IF($B8=18,1,0))</f>
        <v/>
      </c>
      <c r="AA9">
        <f>MAX(AA8,IF($B8=19,1,0))</f>
        <v/>
      </c>
      <c r="AB9">
        <f>MAX(AB8,IF($B8=20,1,0))</f>
        <v/>
      </c>
      <c r="AC9">
        <f>MAX(AC8,IF($B8=21,1,0))</f>
        <v/>
      </c>
      <c r="AD9">
        <f>MAX(AD8,IF($B8=22,1,0))</f>
        <v/>
      </c>
      <c r="AE9">
        <f>MAX(AE8,IF($B8=23,1,0))</f>
        <v/>
      </c>
      <c r="AF9">
        <f>MAX(AF8,IF($B8=24,1,0))</f>
        <v/>
      </c>
      <c r="AG9">
        <f>MAX(AG8,IF($B8=25,1,0))</f>
        <v/>
      </c>
      <c r="AH9">
        <f>MAX(AH8,IF($B8=26,1,0))</f>
        <v/>
      </c>
      <c r="AI9">
        <f>MAX(AI8,IF($B8=27,1,0))</f>
        <v/>
      </c>
      <c r="AJ9">
        <f>MAX(AJ8,IF($B8=28,1,0))</f>
        <v/>
      </c>
      <c r="AK9">
        <f>MAX(AK8,IF($B8=29,1,0))</f>
        <v/>
      </c>
      <c r="AL9">
        <f>MAX(AL8,IF($B8=30,1,0))</f>
        <v/>
      </c>
      <c r="AM9">
        <f>MAX(AM8,IF($B8=31,1,0))</f>
        <v/>
      </c>
      <c r="AN9">
        <f>MAX(AN8,IF($B8=32,1,0))</f>
        <v/>
      </c>
      <c r="AO9">
        <f>MAX(AO8,IF($B8=33,1,0))</f>
        <v/>
      </c>
      <c r="AP9">
        <f>MAX(AP8,IF($B8=34,1,0))</f>
        <v/>
      </c>
      <c r="AQ9">
        <f>MAX(AQ8,IF($B8=35,1,0))</f>
        <v/>
      </c>
      <c r="AR9">
        <f>MAX(AR8,IF($B8=36,1,0))</f>
        <v/>
      </c>
      <c r="AS9">
        <f>MAX(AS8,IF($B8=37,1,0))</f>
        <v/>
      </c>
      <c r="AT9">
        <f>MAX(AT8,IF($B8=38,1,0))</f>
        <v/>
      </c>
      <c r="AU9">
        <f>MAX(AU8,IF($B8=39,1,0))</f>
        <v/>
      </c>
      <c r="AV9">
        <f>MAX(AV8,IF($B8=40,1,0))</f>
        <v/>
      </c>
      <c r="AW9">
        <f>MAX(AW8,IF($B8=41,1,0))</f>
        <v/>
      </c>
      <c r="AX9">
        <f>MAX(AX8,IF($B8=42,1,0))</f>
        <v/>
      </c>
      <c r="AY9">
        <f>MAX(AY8,IF($B8=43,1,0))</f>
        <v/>
      </c>
      <c r="AZ9">
        <f>MAX(AZ8,IF($B8=44,1,0))</f>
        <v/>
      </c>
      <c r="BA9">
        <f>MAX(BA8,IF($B8=45,1,0))</f>
        <v/>
      </c>
      <c r="BC9">
        <f>IF(I9=1,1000000,IF('計算A'!$EA$10=2,SUMPRODUCT('計算A'!$D$60:$DS$60,$CW9:$HL9,$HN9:$MC9),SUMPRODUCT('計算A'!$D$60:$DS$60,$CW9:$HL9))*1000+1)</f>
        <v/>
      </c>
      <c r="BD9">
        <f>IF(J9=1,1000000,IF('計算A'!$EA$11=2,SUMPRODUCT('計算A'!$D$61:$DS$61,$CW9:$HL9,$HN9:$MC9),SUMPRODUCT('計算A'!$D$61:$DS$61,$CW9:$HL9))*1000+2)</f>
        <v/>
      </c>
      <c r="BE9">
        <f>IF(K9=1,1000000,IF('計算A'!$EA$12=2,SUMPRODUCT('計算A'!$D$62:$DS$62,$CW9:$HL9,$HN9:$MC9),SUMPRODUCT('計算A'!$D$62:$DS$62,$CW9:$HL9))*1000+3)</f>
        <v/>
      </c>
      <c r="BF9">
        <f>IF(L9=1,1000000,IF('計算A'!$EA$13=2,SUMPRODUCT('計算A'!$D$63:$DS$63,$CW9:$HL9,$HN9:$MC9),SUMPRODUCT('計算A'!$D$63:$DS$63,$CW9:$HL9))*1000+4)</f>
        <v/>
      </c>
      <c r="BG9">
        <f>IF(M9=1,1000000,IF('計算A'!$EA$14=2,SUMPRODUCT('計算A'!$D$64:$DS$64,$CW9:$HL9,$HN9:$MC9),SUMPRODUCT('計算A'!$D$64:$DS$64,$CW9:$HL9))*1000+5)</f>
        <v/>
      </c>
      <c r="BH9">
        <f>IF(N9=1,1000000,IF('計算A'!$EA$15=2,SUMPRODUCT('計算A'!$D$65:$DS$65,$CW9:$HL9,$HN9:$MC9),SUMPRODUCT('計算A'!$D$65:$DS$65,$CW9:$HL9))*1000+6)</f>
        <v/>
      </c>
      <c r="BI9">
        <f>IF(O9=1,1000000,IF('計算A'!$EA$16=2,SUMPRODUCT('計算A'!$D$66:$DS$66,$CW9:$HL9,$HN9:$MC9),SUMPRODUCT('計算A'!$D$66:$DS$66,$CW9:$HL9))*1000+7)</f>
        <v/>
      </c>
      <c r="BJ9">
        <f>IF(P9=1,1000000,IF('計算A'!$EA$17=2,SUMPRODUCT('計算A'!$D$67:$DS$67,$CW9:$HL9,$HN9:$MC9),SUMPRODUCT('計算A'!$D$67:$DS$67,$CW9:$HL9))*1000+8)</f>
        <v/>
      </c>
      <c r="BK9">
        <f>IF(Q9=1,1000000,IF('計算A'!$EA$18=2,SUMPRODUCT('計算A'!$D$68:$DS$68,$CW9:$HL9,$HN9:$MC9),SUMPRODUCT('計算A'!$D$68:$DS$68,$CW9:$HL9))*1000+9)</f>
        <v/>
      </c>
      <c r="BL9">
        <f>IF(R9=1,1000000,IF('計算A'!$EA$19=2,SUMPRODUCT('計算A'!$D$69:$DS$69,$CW9:$HL9,$HN9:$MC9),SUMPRODUCT('計算A'!$D$69:$DS$69,$CW9:$HL9))*1000+10)</f>
        <v/>
      </c>
      <c r="BM9">
        <f>IF(S9=1,1000000,IF('計算A'!$EA$20=2,SUMPRODUCT('計算A'!$D$70:$DS$70,$CW9:$HL9,$HN9:$MC9),SUMPRODUCT('計算A'!$D$70:$DS$70,$CW9:$HL9))*1000+11)</f>
        <v/>
      </c>
      <c r="BN9">
        <f>IF(T9=1,1000000,IF('計算A'!$EA$21=2,SUMPRODUCT('計算A'!$D$71:$DS$71,$CW9:$HL9,$HN9:$MC9),SUMPRODUCT('計算A'!$D$71:$DS$71,$CW9:$HL9))*1000+12)</f>
        <v/>
      </c>
      <c r="BO9">
        <f>IF(U9=1,1000000,IF('計算A'!$EA$22=2,SUMPRODUCT('計算A'!$D$72:$DS$72,$CW9:$HL9,$HN9:$MC9),SUMPRODUCT('計算A'!$D$72:$DS$72,$CW9:$HL9))*1000+13)</f>
        <v/>
      </c>
      <c r="BP9">
        <f>IF(V9=1,1000000,IF('計算A'!$EA$23=2,SUMPRODUCT('計算A'!$D$73:$DS$73,$CW9:$HL9,$HN9:$MC9),SUMPRODUCT('計算A'!$D$73:$DS$73,$CW9:$HL9))*1000+14)</f>
        <v/>
      </c>
      <c r="BQ9">
        <f>IF(W9=1,1000000,IF('計算A'!$EA$24=2,SUMPRODUCT('計算A'!$D$74:$DS$74,$CW9:$HL9,$HN9:$MC9),SUMPRODUCT('計算A'!$D$74:$DS$74,$CW9:$HL9))*1000+15)</f>
        <v/>
      </c>
      <c r="BR9">
        <f>IF(X9=1,1000000,IF('計算A'!$EA$25=2,SUMPRODUCT('計算A'!$D$75:$DS$75,$CW9:$HL9,$HN9:$MC9),SUMPRODUCT('計算A'!$D$75:$DS$75,$CW9:$HL9))*1000+16)</f>
        <v/>
      </c>
      <c r="BS9">
        <f>IF(Y9=1,1000000,IF('計算A'!$EA$26=2,SUMPRODUCT('計算A'!$D$76:$DS$76,$CW9:$HL9,$HN9:$MC9),SUMPRODUCT('計算A'!$D$76:$DS$76,$CW9:$HL9))*1000+17)</f>
        <v/>
      </c>
      <c r="BT9">
        <f>IF(Z9=1,1000000,IF('計算A'!$EA$27=2,SUMPRODUCT('計算A'!$D$77:$DS$77,$CW9:$HL9,$HN9:$MC9),SUMPRODUCT('計算A'!$D$77:$DS$77,$CW9:$HL9))*1000+18)</f>
        <v/>
      </c>
      <c r="BU9">
        <f>IF(AA9=1,1000000,IF('計算A'!$EA$28=2,SUMPRODUCT('計算A'!$D$78:$DS$78,$CW9:$HL9,$HN9:$MC9),SUMPRODUCT('計算A'!$D$78:$DS$78,$CW9:$HL9))*1000+19)</f>
        <v/>
      </c>
      <c r="BV9">
        <f>IF(AB9=1,1000000,IF('計算A'!$EA$29=2,SUMPRODUCT('計算A'!$D$79:$DS$79,$CW9:$HL9,$HN9:$MC9),SUMPRODUCT('計算A'!$D$79:$DS$79,$CW9:$HL9))*1000+20)</f>
        <v/>
      </c>
      <c r="BW9">
        <f>IF(AC9=1,1000000,IF('計算A'!$EA$30=2,SUMPRODUCT('計算A'!$D$80:$DS$80,$CW9:$HL9,$HN9:$MC9),SUMPRODUCT('計算A'!$D$80:$DS$80,$CW9:$HL9))*1000+21)</f>
        <v/>
      </c>
      <c r="BX9">
        <f>IF(AD9=1,1000000,IF('計算A'!$EA$31=2,SUMPRODUCT('計算A'!$D$81:$DS$81,$CW9:$HL9,$HN9:$MC9),SUMPRODUCT('計算A'!$D$81:$DS$81,$CW9:$HL9))*1000+22)</f>
        <v/>
      </c>
      <c r="BY9">
        <f>IF(AE9=1,1000000,IF('計算A'!$EA$32=2,SUMPRODUCT('計算A'!$D$82:$DS$82,$CW9:$HL9,$HN9:$MC9),SUMPRODUCT('計算A'!$D$82:$DS$82,$CW9:$HL9))*1000+23)</f>
        <v/>
      </c>
      <c r="BZ9">
        <f>IF(AF9=1,1000000,IF('計算A'!$EA$33=2,SUMPRODUCT('計算A'!$D$83:$DS$83,$CW9:$HL9,$HN9:$MC9),SUMPRODUCT('計算A'!$D$83:$DS$83,$CW9:$HL9))*1000+24)</f>
        <v/>
      </c>
      <c r="CA9">
        <f>IF(AG9=1,1000000,IF('計算A'!$EA$34=2,SUMPRODUCT('計算A'!$D$84:$DS$84,$CW9:$HL9,$HN9:$MC9),SUMPRODUCT('計算A'!$D$84:$DS$84,$CW9:$HL9))*1000+25)</f>
        <v/>
      </c>
      <c r="CB9">
        <f>IF(AH9=1,1000000,IF('計算A'!$EA$35=2,SUMPRODUCT('計算A'!$D$85:$DS$85,$CW9:$HL9,$HN9:$MC9),SUMPRODUCT('計算A'!$D$85:$DS$85,$CW9:$HL9))*1000+26)</f>
        <v/>
      </c>
      <c r="CC9">
        <f>IF(AI9=1,1000000,IF('計算A'!$EA$36=2,SUMPRODUCT('計算A'!$D$86:$DS$86,$CW9:$HL9,$HN9:$MC9),SUMPRODUCT('計算A'!$D$86:$DS$86,$CW9:$HL9))*1000+27)</f>
        <v/>
      </c>
      <c r="CD9">
        <f>IF(AJ9=1,1000000,IF('計算A'!$EA$37=2,SUMPRODUCT('計算A'!$D$87:$DS$87,$CW9:$HL9,$HN9:$MC9),SUMPRODUCT('計算A'!$D$87:$DS$87,$CW9:$HL9))*1000+28)</f>
        <v/>
      </c>
      <c r="CE9">
        <f>IF(AK9=1,1000000,IF('計算A'!$EA$38=2,SUMPRODUCT('計算A'!$D$88:$DS$88,$CW9:$HL9,$HN9:$MC9),SUMPRODUCT('計算A'!$D$88:$DS$88,$CW9:$HL9))*1000+29)</f>
        <v/>
      </c>
      <c r="CF9">
        <f>IF(AL9=1,1000000,IF('計算A'!$EA$39=2,SUMPRODUCT('計算A'!$D$89:$DS$89,$CW9:$HL9,$HN9:$MC9),SUMPRODUCT('計算A'!$D$89:$DS$89,$CW9:$HL9))*1000+30)</f>
        <v/>
      </c>
      <c r="CG9">
        <f>IF(AM9=1,1000000,IF('計算A'!$EA$40=2,SUMPRODUCT('計算A'!$D$90:$DS$90,$CW9:$HL9,$HN9:$MC9),SUMPRODUCT('計算A'!$D$90:$DS$90,$CW9:$HL9))*1000+31)</f>
        <v/>
      </c>
      <c r="CH9">
        <f>IF(AN9=1,1000000,IF('計算A'!$EA$41=2,SUMPRODUCT('計算A'!$D$91:$DS$91,$CW9:$HL9,$HN9:$MC9),SUMPRODUCT('計算A'!$D$91:$DS$91,$CW9:$HL9))*1000+32)</f>
        <v/>
      </c>
      <c r="CI9">
        <f>IF(AO9=1,1000000,IF('計算A'!$EA$42=2,SUMPRODUCT('計算A'!$D$92:$DS$92,$CW9:$HL9,$HN9:$MC9),SUMPRODUCT('計算A'!$D$92:$DS$92,$CW9:$HL9))*1000+33)</f>
        <v/>
      </c>
      <c r="CJ9">
        <f>IF(AP9=1,1000000,IF('計算A'!$EA$43=2,SUMPRODUCT('計算A'!$D$93:$DS$93,$CW9:$HL9,$HN9:$MC9),SUMPRODUCT('計算A'!$D$93:$DS$93,$CW9:$HL9))*1000+34)</f>
        <v/>
      </c>
      <c r="CK9">
        <f>IF(AQ9=1,1000000,IF('計算A'!$EA$44=2,SUMPRODUCT('計算A'!$D$94:$DS$94,$CW9:$HL9,$HN9:$MC9),SUMPRODUCT('計算A'!$D$94:$DS$94,$CW9:$HL9))*1000+35)</f>
        <v/>
      </c>
      <c r="CL9">
        <f>IF(AR9=1,1000000,IF('計算A'!$EA$45=2,SUMPRODUCT('計算A'!$D$95:$DS$95,$CW9:$HL9,$HN9:$MC9),SUMPRODUCT('計算A'!$D$95:$DS$95,$CW9:$HL9))*1000+36)</f>
        <v/>
      </c>
      <c r="CM9">
        <f>IF(AS9=1,1000000,IF('計算A'!$EA$46=2,SUMPRODUCT('計算A'!$D$96:$DS$96,$CW9:$HL9,$HN9:$MC9),SUMPRODUCT('計算A'!$D$96:$DS$96,$CW9:$HL9))*1000+37)</f>
        <v/>
      </c>
      <c r="CN9">
        <f>IF(AT9=1,1000000,IF('計算A'!$EA$47=2,SUMPRODUCT('計算A'!$D$97:$DS$97,$CW9:$HL9,$HN9:$MC9),SUMPRODUCT('計算A'!$D$97:$DS$97,$CW9:$HL9))*1000+38)</f>
        <v/>
      </c>
      <c r="CO9">
        <f>IF(AU9=1,1000000,IF('計算A'!$EA$48=2,SUMPRODUCT('計算A'!$D$98:$DS$98,$CW9:$HL9,$HN9:$MC9),SUMPRODUCT('計算A'!$D$98:$DS$98,$CW9:$HL9))*1000+39)</f>
        <v/>
      </c>
      <c r="CP9">
        <f>IF(AV9=1,1000000,IF('計算A'!$EA$49=2,SUMPRODUCT('計算A'!$D$99:$DS$99,$CW9:$HL9,$HN9:$MC9),SUMPRODUCT('計算A'!$D$99:$DS$99,$CW9:$HL9))*1000+40)</f>
        <v/>
      </c>
      <c r="CQ9">
        <f>IF(AW9=1,1000000,IF('計算A'!$EA$50=2,SUMPRODUCT('計算A'!$D$100:$DS$100,$CW9:$HL9,$HN9:$MC9),SUMPRODUCT('計算A'!$D$100:$DS$100,$CW9:$HL9))*1000+41)</f>
        <v/>
      </c>
      <c r="CR9">
        <f>IF(AX9=1,1000000,IF('計算A'!$EA$51=2,SUMPRODUCT('計算A'!$D$101:$DS$101,$CW9:$HL9,$HN9:$MC9),SUMPRODUCT('計算A'!$D$101:$DS$101,$CW9:$HL9))*1000+42)</f>
        <v/>
      </c>
      <c r="CS9">
        <f>IF(AY9=1,1000000,IF('計算A'!$EA$52=2,SUMPRODUCT('計算A'!$D$102:$DS$102,$CW9:$HL9,$HN9:$MC9),SUMPRODUCT('計算A'!$D$102:$DS$102,$CW9:$HL9))*1000+43)</f>
        <v/>
      </c>
      <c r="CT9">
        <f>IF(AZ9=1,1000000,IF('計算A'!$EA$53=2,SUMPRODUCT('計算A'!$D$103:$DS$103,$CW9:$HL9,$HN9:$MC9),SUMPRODUCT('計算A'!$D$103:$DS$103,$CW9:$HL9))*1000+44)</f>
        <v/>
      </c>
      <c r="CU9">
        <f>IF(BA9=1,1000000,IF('計算A'!$EA$54=2,SUMPRODUCT('計算A'!$D$104:$DS$104,$CW9:$HL9,$HN9:$MC9),SUMPRODUCT('計算A'!$D$104:$DS$104,$CW9:$HL9))*1000+45)</f>
        <v/>
      </c>
      <c r="CW9">
        <f>CW8*IF(OR($C8=1,$G8=1),0,1)</f>
        <v/>
      </c>
      <c r="CX9">
        <f>CX8*IF(OR($C8=2,$G8=2),0,1)</f>
        <v/>
      </c>
      <c r="CY9">
        <f>CY8*IF(OR($C8=3,$G8=3),0,1)</f>
        <v/>
      </c>
      <c r="CZ9">
        <f>CZ8*IF(OR($C8=4,$G8=4),0,1)</f>
        <v/>
      </c>
      <c r="DA9">
        <f>DA8*IF(OR($C8=5,$G8=5),0,1)</f>
        <v/>
      </c>
      <c r="DB9">
        <f>DB8*IF(OR($C8=6,$G8=6),0,1)</f>
        <v/>
      </c>
      <c r="DC9">
        <f>DC8*IF(OR($C8=7,$G8=7),0,1)</f>
        <v/>
      </c>
      <c r="DD9">
        <f>DD8*IF(OR($C8=8,$G8=8),0,1)</f>
        <v/>
      </c>
      <c r="DE9">
        <f>DE8*IF(OR($C8=9,$G8=9),0,1)</f>
        <v/>
      </c>
      <c r="DF9">
        <f>DF8*IF(OR($C8=10,$G8=10),0,1)</f>
        <v/>
      </c>
      <c r="DG9">
        <f>DG8*IF(OR($C8=11,$G8=11),0,1)</f>
        <v/>
      </c>
      <c r="DH9">
        <f>DH8*IF(OR($C8=12,$G8=12),0,1)</f>
        <v/>
      </c>
      <c r="DI9">
        <f>DI8*IF(OR($C8=13,$G8=13),0,1)</f>
        <v/>
      </c>
      <c r="DJ9">
        <f>DJ8*IF(OR($C8=14,$G8=14),0,1)</f>
        <v/>
      </c>
      <c r="DK9">
        <f>DK8*IF(OR($C8=15,$G8=15),0,1)</f>
        <v/>
      </c>
      <c r="DL9">
        <f>DL8*IF(OR($C8=16,$G8=16),0,1)</f>
        <v/>
      </c>
      <c r="DM9">
        <f>DM8*IF(OR($C8=17,$G8=17),0,1)</f>
        <v/>
      </c>
      <c r="DN9">
        <f>DN8*IF(OR($C8=18,$G8=18),0,1)</f>
        <v/>
      </c>
      <c r="DO9">
        <f>DO8*IF(OR($C8=19,$G8=19),0,1)</f>
        <v/>
      </c>
      <c r="DP9">
        <f>DP8*IF(OR($C8=20,$G8=20),0,1)</f>
        <v/>
      </c>
      <c r="DQ9">
        <f>DQ8*IF(OR($C8=21,$G8=21),0,1)</f>
        <v/>
      </c>
      <c r="DR9">
        <f>DR8*IF(OR($C8=22,$G8=22),0,1)</f>
        <v/>
      </c>
      <c r="DS9">
        <f>DS8*IF(OR($C8=23,$G8=23),0,1)</f>
        <v/>
      </c>
      <c r="DT9">
        <f>DT8*IF(OR($C8=24,$G8=24),0,1)</f>
        <v/>
      </c>
      <c r="DU9">
        <f>DU8*IF(OR($C8=25,$G8=25),0,1)</f>
        <v/>
      </c>
      <c r="DV9">
        <f>DV8*IF(OR($C8=26,$G8=26),0,1)</f>
        <v/>
      </c>
      <c r="DW9">
        <f>DW8*IF(OR($C8=27,$G8=27),0,1)</f>
        <v/>
      </c>
      <c r="DX9">
        <f>DX8*IF(OR($C8=28,$G8=28),0,1)</f>
        <v/>
      </c>
      <c r="DY9">
        <f>DY8*IF(OR($C8=29,$G8=29),0,1)</f>
        <v/>
      </c>
      <c r="DZ9">
        <f>DZ8*IF(OR($C8=30,$G8=30),0,1)</f>
        <v/>
      </c>
      <c r="EA9">
        <f>EA8*IF(OR($C8=31,$G8=31),0,1)</f>
        <v/>
      </c>
      <c r="EB9">
        <f>EB8*IF(OR($C8=32,$G8=32),0,1)</f>
        <v/>
      </c>
      <c r="EC9">
        <f>EC8*IF(OR($C8=33,$G8=33),0,1)</f>
        <v/>
      </c>
      <c r="ED9">
        <f>ED8*IF(OR($C8=34,$G8=34),0,1)</f>
        <v/>
      </c>
      <c r="EE9">
        <f>EE8*IF(OR($C8=35,$G8=35),0,1)</f>
        <v/>
      </c>
      <c r="EF9">
        <f>EF8*IF(OR($C8=36,$G8=36),0,1)</f>
        <v/>
      </c>
      <c r="EG9">
        <f>EG8*IF(OR($C8=37,$G8=37),0,1)</f>
        <v/>
      </c>
      <c r="EH9">
        <f>EH8*IF(OR($C8=38,$G8=38),0,1)</f>
        <v/>
      </c>
      <c r="EI9">
        <f>EI8*IF(OR($C8=39,$G8=39),0,1)</f>
        <v/>
      </c>
      <c r="EJ9">
        <f>EJ8*IF(OR($C8=40,$G8=40),0,1)</f>
        <v/>
      </c>
      <c r="EK9">
        <f>EK8*IF(OR($C8=41,$G8=41),0,1)</f>
        <v/>
      </c>
      <c r="EL9">
        <f>EL8*IF(OR($C8=42,$G8=42),0,1)</f>
        <v/>
      </c>
      <c r="EM9">
        <f>EM8*IF(OR($C8=43,$G8=43),0,1)</f>
        <v/>
      </c>
      <c r="EN9">
        <f>EN8*IF(OR($C8=44,$G8=44),0,1)</f>
        <v/>
      </c>
      <c r="EO9">
        <f>EO8*IF(OR($C8=45,$G8=45),0,1)</f>
        <v/>
      </c>
      <c r="EP9">
        <f>EP8*IF(OR($C8=46,$G8=46),0,1)</f>
        <v/>
      </c>
      <c r="EQ9">
        <f>EQ8*IF(OR($C8=47,$G8=47),0,1)</f>
        <v/>
      </c>
      <c r="ER9">
        <f>ER8*IF(OR($C8=48,$G8=48),0,1)</f>
        <v/>
      </c>
      <c r="ES9">
        <f>ES8*IF(OR($C8=49,$G8=49),0,1)</f>
        <v/>
      </c>
      <c r="ET9">
        <f>ET8*IF(OR($C8=50,$G8=50),0,1)</f>
        <v/>
      </c>
      <c r="EU9">
        <f>EU8*IF(OR($C8=51,$G8=51),0,1)</f>
        <v/>
      </c>
      <c r="EV9">
        <f>EV8*IF(OR($C8=52,$G8=52),0,1)</f>
        <v/>
      </c>
      <c r="EW9">
        <f>EW8*IF(OR($C8=53,$G8=53),0,1)</f>
        <v/>
      </c>
      <c r="EX9">
        <f>EX8*IF(OR($C8=54,$G8=54),0,1)</f>
        <v/>
      </c>
      <c r="EY9">
        <f>EY8*IF(OR($C8=55,$G8=55),0,1)</f>
        <v/>
      </c>
      <c r="EZ9">
        <f>EZ8*IF(OR($C8=56,$G8=56),0,1)</f>
        <v/>
      </c>
      <c r="FA9">
        <f>FA8*IF(OR($C8=57,$G8=57),0,1)</f>
        <v/>
      </c>
      <c r="FB9">
        <f>FB8*IF(OR($C8=58,$G8=58),0,1)</f>
        <v/>
      </c>
      <c r="FC9">
        <f>FC8*IF(OR($C8=59,$G8=59),0,1)</f>
        <v/>
      </c>
      <c r="FD9">
        <f>FD8*IF(OR($C8=60,$G8=60),0,1)</f>
        <v/>
      </c>
      <c r="FE9">
        <f>FE8*IF(OR($C8=61,$G8=61),0,1)</f>
        <v/>
      </c>
      <c r="FF9">
        <f>FF8*IF(OR($C8=62,$G8=62),0,1)</f>
        <v/>
      </c>
      <c r="FG9">
        <f>FG8*IF(OR($C8=63,$G8=63),0,1)</f>
        <v/>
      </c>
      <c r="FH9">
        <f>FH8*IF(OR($C8=64,$G8=64),0,1)</f>
        <v/>
      </c>
      <c r="FI9">
        <f>FI8*IF(OR($C8=65,$G8=65),0,1)</f>
        <v/>
      </c>
      <c r="FJ9">
        <f>FJ8*IF(OR($C8=66,$G8=66),0,1)</f>
        <v/>
      </c>
      <c r="FK9">
        <f>FK8*IF(OR($C8=67,$G8=67),0,1)</f>
        <v/>
      </c>
      <c r="FL9">
        <f>FL8*IF(OR($C8=68,$G8=68),0,1)</f>
        <v/>
      </c>
      <c r="FM9">
        <f>FM8*IF(OR($C8=69,$G8=69),0,1)</f>
        <v/>
      </c>
      <c r="FN9">
        <f>FN8*IF(OR($C8=70,$G8=70),0,1)</f>
        <v/>
      </c>
      <c r="FO9">
        <f>FO8*IF(OR($C8=71,$G8=71),0,1)</f>
        <v/>
      </c>
      <c r="FP9">
        <f>FP8*IF(OR($C8=72,$G8=72),0,1)</f>
        <v/>
      </c>
      <c r="FQ9">
        <f>FQ8*IF(OR($C8=73,$G8=73),0,1)</f>
        <v/>
      </c>
      <c r="FR9">
        <f>FR8*IF(OR($C8=74,$G8=74),0,1)</f>
        <v/>
      </c>
      <c r="FS9">
        <f>FS8*IF(OR($C8=75,$G8=75),0,1)</f>
        <v/>
      </c>
      <c r="FT9">
        <f>FT8*IF(OR($C8=76,$G8=76),0,1)</f>
        <v/>
      </c>
      <c r="FU9">
        <f>FU8*IF(OR($C8=77,$G8=77),0,1)</f>
        <v/>
      </c>
      <c r="FV9">
        <f>FV8*IF(OR($C8=78,$G8=78),0,1)</f>
        <v/>
      </c>
      <c r="FW9">
        <f>FW8*IF(OR($C8=79,$G8=79),0,1)</f>
        <v/>
      </c>
      <c r="FX9">
        <f>FX8*IF(OR($C8=80,$G8=80),0,1)</f>
        <v/>
      </c>
      <c r="FY9">
        <f>FY8*IF(OR($C8=81,$G8=81),0,1)</f>
        <v/>
      </c>
      <c r="FZ9">
        <f>FZ8*IF(OR($C8=82,$G8=82),0,1)</f>
        <v/>
      </c>
      <c r="GA9">
        <f>GA8*IF(OR($C8=83,$G8=83),0,1)</f>
        <v/>
      </c>
      <c r="GB9">
        <f>GB8*IF(OR($C8=84,$G8=84),0,1)</f>
        <v/>
      </c>
      <c r="GC9">
        <f>GC8*IF(OR($C8=85,$G8=85),0,1)</f>
        <v/>
      </c>
      <c r="GD9">
        <f>GD8*IF(OR($C8=86,$G8=86),0,1)</f>
        <v/>
      </c>
      <c r="GE9">
        <f>GE8*IF(OR($C8=87,$G8=87),0,1)</f>
        <v/>
      </c>
      <c r="GF9">
        <f>GF8*IF(OR($C8=88,$G8=88),0,1)</f>
        <v/>
      </c>
      <c r="GG9">
        <f>GG8*IF(OR($C8=89,$G8=89),0,1)</f>
        <v/>
      </c>
      <c r="GH9">
        <f>GH8*IF(OR($C8=90,$G8=90),0,1)</f>
        <v/>
      </c>
      <c r="GI9">
        <f>GI8*IF(OR($C8=91,$G8=91),0,1)</f>
        <v/>
      </c>
      <c r="GJ9">
        <f>GJ8*IF(OR($C8=92,$G8=92),0,1)</f>
        <v/>
      </c>
      <c r="GK9">
        <f>GK8*IF(OR($C8=93,$G8=93),0,1)</f>
        <v/>
      </c>
      <c r="GL9">
        <f>GL8*IF(OR($C8=94,$G8=94),0,1)</f>
        <v/>
      </c>
      <c r="GM9">
        <f>GM8*IF(OR($C8=95,$G8=95),0,1)</f>
        <v/>
      </c>
      <c r="GN9">
        <f>GN8*IF(OR($C8=96,$G8=96),0,1)</f>
        <v/>
      </c>
      <c r="GO9">
        <f>GO8*IF(OR($C8=97,$G8=97),0,1)</f>
        <v/>
      </c>
      <c r="GP9">
        <f>GP8*IF(OR($C8=98,$G8=98),0,1)</f>
        <v/>
      </c>
      <c r="GQ9">
        <f>GQ8*IF(OR($C8=99,$G8=99),0,1)</f>
        <v/>
      </c>
      <c r="GR9">
        <f>GR8*IF(OR($C8=100,$G8=100),0,1)</f>
        <v/>
      </c>
      <c r="GS9">
        <f>GS8*IF(OR($C8=101,$G8=101),0,1)</f>
        <v/>
      </c>
      <c r="GT9">
        <f>GT8*IF(OR($C8=102,$G8=102),0,1)</f>
        <v/>
      </c>
      <c r="GU9">
        <f>GU8*IF(OR($C8=103,$G8=103),0,1)</f>
        <v/>
      </c>
      <c r="GV9">
        <f>GV8*IF(OR($C8=104,$G8=104),0,1)</f>
        <v/>
      </c>
      <c r="GW9">
        <f>GW8*IF(OR($C8=105,$G8=105),0,1)</f>
        <v/>
      </c>
      <c r="GX9">
        <f>GX8*IF(OR($C8=106,$G8=106),0,1)</f>
        <v/>
      </c>
      <c r="GY9">
        <f>GY8*IF(OR($C8=107,$G8=107),0,1)</f>
        <v/>
      </c>
      <c r="GZ9">
        <f>GZ8*IF(OR($C8=108,$G8=108),0,1)</f>
        <v/>
      </c>
      <c r="HA9">
        <f>HA8*IF(OR($C8=109,$G8=109),0,1)</f>
        <v/>
      </c>
      <c r="HB9">
        <f>HB8*IF(OR($C8=110,$G8=110),0,1)</f>
        <v/>
      </c>
      <c r="HC9">
        <f>HC8*IF(OR($C8=111,$G8=111),0,1)</f>
        <v/>
      </c>
      <c r="HD9">
        <f>HD8*IF(OR($C8=112,$G8=112),0,1)</f>
        <v/>
      </c>
      <c r="HE9">
        <f>HE8*IF(OR($C8=113,$G8=113),0,1)</f>
        <v/>
      </c>
      <c r="HF9">
        <f>HF8*IF(OR($C8=114,$G8=114),0,1)</f>
        <v/>
      </c>
      <c r="HG9">
        <f>HG8*IF(OR($C8=115,$G8=115),0,1)</f>
        <v/>
      </c>
      <c r="HH9">
        <f>HH8*IF(OR($C8=116,$G8=116),0,1)</f>
        <v/>
      </c>
      <c r="HI9">
        <f>HI8*IF(OR($C8=117,$G8=117),0,1)</f>
        <v/>
      </c>
      <c r="HJ9">
        <f>HJ8*IF(OR($C8=118,$G8=118),0,1)</f>
        <v/>
      </c>
      <c r="HK9">
        <f>HK8*IF(OR($C8=119,$G8=119),0,1)</f>
        <v/>
      </c>
      <c r="HL9">
        <f>HL8*IF(OR($C8=120,$G8=120),0,1)</f>
        <v/>
      </c>
      <c r="HN9">
        <f>IF('計算A'!D$106=1,CX9,1)</f>
        <v/>
      </c>
      <c r="HO9">
        <f>IF('計算A'!E$106=1,CY9,1)</f>
        <v/>
      </c>
      <c r="HP9">
        <f>IF('計算A'!F$106=1,CZ9,1)</f>
        <v/>
      </c>
      <c r="HQ9">
        <f>IF('計算A'!G$106=1,DA9,1)</f>
        <v/>
      </c>
      <c r="HR9">
        <f>IF('計算A'!H$106=1,DB9,1)</f>
        <v/>
      </c>
      <c r="HS9">
        <f>IF('計算A'!I$106=1,DC9,1)</f>
        <v/>
      </c>
      <c r="HT9">
        <f>IF('計算A'!J$106=1,DD9,1)</f>
        <v/>
      </c>
      <c r="HU9">
        <f>IF('計算A'!K$106=1,DE9,1)</f>
        <v/>
      </c>
      <c r="HV9">
        <f>IF('計算A'!L$106=1,DF9,1)</f>
        <v/>
      </c>
      <c r="HW9">
        <f>IF('計算A'!M$106=1,DG9,1)</f>
        <v/>
      </c>
      <c r="HX9">
        <f>IF('計算A'!N$106=1,DH9,1)</f>
        <v/>
      </c>
      <c r="HY9">
        <f>IF('計算A'!O$106=1,DI9,1)</f>
        <v/>
      </c>
      <c r="HZ9">
        <f>IF('計算A'!P$106=1,DJ9,1)</f>
        <v/>
      </c>
      <c r="IA9">
        <f>IF('計算A'!Q$106=1,DK9,1)</f>
        <v/>
      </c>
      <c r="IB9">
        <f>IF('計算A'!R$106=1,DL9,1)</f>
        <v/>
      </c>
      <c r="IC9">
        <f>IF('計算A'!S$106=1,DM9,1)</f>
        <v/>
      </c>
      <c r="ID9">
        <f>IF('計算A'!T$106=1,DN9,1)</f>
        <v/>
      </c>
      <c r="IE9">
        <f>IF('計算A'!U$106=1,DO9,1)</f>
        <v/>
      </c>
      <c r="IF9">
        <f>IF('計算A'!V$106=1,DP9,1)</f>
        <v/>
      </c>
      <c r="IG9">
        <f>IF('計算A'!W$106=1,DQ9,1)</f>
        <v/>
      </c>
      <c r="IH9">
        <f>IF('計算A'!X$106=1,DR9,1)</f>
        <v/>
      </c>
      <c r="II9">
        <f>IF('計算A'!Y$106=1,DS9,1)</f>
        <v/>
      </c>
      <c r="IJ9">
        <f>IF('計算A'!Z$106=1,DT9,1)</f>
        <v/>
      </c>
      <c r="IK9">
        <f>IF('計算A'!AA$106=1,DU9,1)</f>
        <v/>
      </c>
      <c r="IL9">
        <f>IF('計算A'!AB$106=1,DV9,1)</f>
        <v/>
      </c>
      <c r="IM9">
        <f>IF('計算A'!AC$106=1,DW9,1)</f>
        <v/>
      </c>
      <c r="IN9">
        <f>IF('計算A'!AD$106=1,DX9,1)</f>
        <v/>
      </c>
      <c r="IO9">
        <f>IF('計算A'!AE$106=1,DY9,1)</f>
        <v/>
      </c>
      <c r="IP9">
        <f>IF('計算A'!AF$106=1,DZ9,1)</f>
        <v/>
      </c>
      <c r="IQ9">
        <f>IF('計算A'!AG$106=1,EA9,1)</f>
        <v/>
      </c>
      <c r="IR9">
        <f>IF('計算A'!AH$106=1,EB9,1)</f>
        <v/>
      </c>
      <c r="IS9">
        <f>IF('計算A'!AI$106=1,EC9,1)</f>
        <v/>
      </c>
      <c r="IT9">
        <f>IF('計算A'!AJ$106=1,ED9,1)</f>
        <v/>
      </c>
      <c r="IU9">
        <f>IF('計算A'!AK$106=1,EE9,1)</f>
        <v/>
      </c>
      <c r="IV9">
        <f>IF('計算A'!AL$106=1,EF9,1)</f>
        <v/>
      </c>
      <c r="IW9">
        <f>IF('計算A'!AM$106=1,EG9,1)</f>
        <v/>
      </c>
      <c r="IX9">
        <f>IF('計算A'!AN$106=1,EH9,1)</f>
        <v/>
      </c>
      <c r="IY9">
        <f>IF('計算A'!AO$106=1,EI9,1)</f>
        <v/>
      </c>
      <c r="IZ9">
        <f>IF('計算A'!AP$106=1,EJ9,1)</f>
        <v/>
      </c>
      <c r="JA9">
        <f>IF('計算A'!AQ$106=1,EK9,1)</f>
        <v/>
      </c>
      <c r="JB9">
        <f>IF('計算A'!AR$106=1,EL9,1)</f>
        <v/>
      </c>
      <c r="JC9">
        <f>IF('計算A'!AS$106=1,EM9,1)</f>
        <v/>
      </c>
      <c r="JD9">
        <f>IF('計算A'!AT$106=1,EN9,1)</f>
        <v/>
      </c>
      <c r="JE9">
        <f>IF('計算A'!AU$106=1,EO9,1)</f>
        <v/>
      </c>
      <c r="JF9">
        <f>IF('計算A'!AV$106=1,EP9,1)</f>
        <v/>
      </c>
      <c r="JG9">
        <f>IF('計算A'!AW$106=1,EQ9,1)</f>
        <v/>
      </c>
      <c r="JH9">
        <f>IF('計算A'!AX$106=1,ER9,1)</f>
        <v/>
      </c>
      <c r="JI9">
        <f>IF('計算A'!AY$106=1,ES9,1)</f>
        <v/>
      </c>
      <c r="JJ9">
        <f>IF('計算A'!AZ$106=1,ET9,1)</f>
        <v/>
      </c>
      <c r="JK9">
        <f>IF('計算A'!BA$106=1,EU9,1)</f>
        <v/>
      </c>
      <c r="JL9">
        <f>IF('計算A'!BB$106=1,EV9,1)</f>
        <v/>
      </c>
      <c r="JM9">
        <f>IF('計算A'!BC$106=1,EW9,1)</f>
        <v/>
      </c>
      <c r="JN9">
        <f>IF('計算A'!BD$106=1,EX9,1)</f>
        <v/>
      </c>
      <c r="JO9">
        <f>IF('計算A'!BE$106=1,EY9,1)</f>
        <v/>
      </c>
      <c r="JP9">
        <f>IF('計算A'!BF$106=1,EZ9,1)</f>
        <v/>
      </c>
      <c r="JQ9">
        <f>IF('計算A'!BG$106=1,FA9,1)</f>
        <v/>
      </c>
      <c r="JR9">
        <f>IF('計算A'!BH$106=1,FB9,1)</f>
        <v/>
      </c>
      <c r="JS9">
        <f>IF('計算A'!BI$106=1,FC9,1)</f>
        <v/>
      </c>
      <c r="JT9">
        <f>IF('計算A'!BJ$106=1,FD9,1)</f>
        <v/>
      </c>
      <c r="JU9">
        <f>IF('計算A'!BK$106=1,FE9,1)</f>
        <v/>
      </c>
      <c r="JV9">
        <f>IF('計算A'!BL$106=1,FF9,1)</f>
        <v/>
      </c>
      <c r="JW9">
        <f>IF('計算A'!BM$106=1,FG9,1)</f>
        <v/>
      </c>
      <c r="JX9">
        <f>IF('計算A'!BN$106=1,FH9,1)</f>
        <v/>
      </c>
      <c r="JY9">
        <f>IF('計算A'!BO$106=1,FI9,1)</f>
        <v/>
      </c>
      <c r="JZ9">
        <f>IF('計算A'!BP$106=1,FJ9,1)</f>
        <v/>
      </c>
      <c r="KA9">
        <f>IF('計算A'!BQ$106=1,FK9,1)</f>
        <v/>
      </c>
      <c r="KB9">
        <f>IF('計算A'!BR$106=1,FL9,1)</f>
        <v/>
      </c>
      <c r="KC9">
        <f>IF('計算A'!BS$106=1,FM9,1)</f>
        <v/>
      </c>
      <c r="KD9">
        <f>IF('計算A'!BT$106=1,FN9,1)</f>
        <v/>
      </c>
      <c r="KE9">
        <f>IF('計算A'!BU$106=1,FO9,1)</f>
        <v/>
      </c>
      <c r="KF9">
        <f>IF('計算A'!BV$106=1,FP9,1)</f>
        <v/>
      </c>
      <c r="KG9">
        <f>IF('計算A'!BW$106=1,FQ9,1)</f>
        <v/>
      </c>
      <c r="KH9">
        <f>IF('計算A'!BX$106=1,FR9,1)</f>
        <v/>
      </c>
      <c r="KI9">
        <f>IF('計算A'!BY$106=1,FS9,1)</f>
        <v/>
      </c>
      <c r="KJ9">
        <f>IF('計算A'!BZ$106=1,FT9,1)</f>
        <v/>
      </c>
      <c r="KK9">
        <f>IF('計算A'!CA$106=1,FU9,1)</f>
        <v/>
      </c>
      <c r="KL9">
        <f>IF('計算A'!CB$106=1,FV9,1)</f>
        <v/>
      </c>
      <c r="KM9">
        <f>IF('計算A'!CC$106=1,FW9,1)</f>
        <v/>
      </c>
      <c r="KN9">
        <f>IF('計算A'!CD$106=1,FX9,1)</f>
        <v/>
      </c>
      <c r="KO9">
        <f>IF('計算A'!CE$106=1,FY9,1)</f>
        <v/>
      </c>
      <c r="KP9">
        <f>IF('計算A'!CF$106=1,FZ9,1)</f>
        <v/>
      </c>
      <c r="KQ9">
        <f>IF('計算A'!CG$106=1,GA9,1)</f>
        <v/>
      </c>
      <c r="KR9">
        <f>IF('計算A'!CH$106=1,GB9,1)</f>
        <v/>
      </c>
      <c r="KS9">
        <f>IF('計算A'!CI$106=1,GC9,1)</f>
        <v/>
      </c>
      <c r="KT9">
        <f>IF('計算A'!CJ$106=1,GD9,1)</f>
        <v/>
      </c>
      <c r="KU9">
        <f>IF('計算A'!CK$106=1,GE9,1)</f>
        <v/>
      </c>
      <c r="KV9">
        <f>IF('計算A'!CL$106=1,GF9,1)</f>
        <v/>
      </c>
      <c r="KW9">
        <f>IF('計算A'!CM$106=1,GG9,1)</f>
        <v/>
      </c>
      <c r="KX9">
        <f>IF('計算A'!CN$106=1,GH9,1)</f>
        <v/>
      </c>
      <c r="KY9">
        <f>IF('計算A'!CO$106=1,GI9,1)</f>
        <v/>
      </c>
      <c r="KZ9">
        <f>IF('計算A'!CP$106=1,GJ9,1)</f>
        <v/>
      </c>
      <c r="LA9">
        <f>IF('計算A'!CQ$106=1,GK9,1)</f>
        <v/>
      </c>
      <c r="LB9">
        <f>IF('計算A'!CR$106=1,GL9,1)</f>
        <v/>
      </c>
      <c r="LC9">
        <f>IF('計算A'!CS$106=1,GM9,1)</f>
        <v/>
      </c>
      <c r="LD9">
        <f>IF('計算A'!CT$106=1,GN9,1)</f>
        <v/>
      </c>
      <c r="LE9">
        <f>IF('計算A'!CU$106=1,GO9,1)</f>
        <v/>
      </c>
      <c r="LF9">
        <f>IF('計算A'!CV$106=1,GP9,1)</f>
        <v/>
      </c>
      <c r="LG9">
        <f>IF('計算A'!CW$106=1,GQ9,1)</f>
        <v/>
      </c>
      <c r="LH9">
        <f>IF('計算A'!CX$106=1,GR9,1)</f>
        <v/>
      </c>
      <c r="LI9">
        <f>IF('計算A'!CY$106=1,GS9,1)</f>
        <v/>
      </c>
      <c r="LJ9">
        <f>IF('計算A'!CZ$106=1,GT9,1)</f>
        <v/>
      </c>
      <c r="LK9">
        <f>IF('計算A'!DA$106=1,GU9,1)</f>
        <v/>
      </c>
      <c r="LL9">
        <f>IF('計算A'!DB$106=1,GV9,1)</f>
        <v/>
      </c>
      <c r="LM9">
        <f>IF('計算A'!DC$106=1,GW9,1)</f>
        <v/>
      </c>
      <c r="LN9">
        <f>IF('計算A'!DD$106=1,GX9,1)</f>
        <v/>
      </c>
      <c r="LO9">
        <f>IF('計算A'!DE$106=1,GY9,1)</f>
        <v/>
      </c>
      <c r="LP9">
        <f>IF('計算A'!DF$106=1,GZ9,1)</f>
        <v/>
      </c>
      <c r="LQ9">
        <f>IF('計算A'!DG$106=1,HA9,1)</f>
        <v/>
      </c>
      <c r="LR9">
        <f>IF('計算A'!DH$106=1,HB9,1)</f>
        <v/>
      </c>
      <c r="LS9">
        <f>IF('計算A'!DI$106=1,HC9,1)</f>
        <v/>
      </c>
      <c r="LT9">
        <f>IF('計算A'!DJ$106=1,HD9,1)</f>
        <v/>
      </c>
      <c r="LU9">
        <f>IF('計算A'!DK$106=1,HE9,1)</f>
        <v/>
      </c>
      <c r="LV9">
        <f>IF('計算A'!DL$106=1,HF9,1)</f>
        <v/>
      </c>
      <c r="LW9">
        <f>IF('計算A'!DM$106=1,HG9,1)</f>
        <v/>
      </c>
      <c r="LX9">
        <f>IF('計算A'!DN$106=1,HH9,1)</f>
        <v/>
      </c>
      <c r="LY9">
        <f>IF('計算A'!DO$106=1,HI9,1)</f>
        <v/>
      </c>
      <c r="LZ9">
        <f>IF('計算A'!DP$106=1,HJ9,1)</f>
        <v/>
      </c>
      <c r="MA9">
        <f>IF('計算A'!DQ$106=1,HK9,1)</f>
        <v/>
      </c>
      <c r="MB9">
        <f>IF('計算A'!DR$106=1,HL9,1)</f>
        <v/>
      </c>
      <c r="MC9" t="n">
        <v>1</v>
      </c>
      <c r="ME9">
        <f>IF($B9=0,1000000,IF(INDEX('計算A'!$D$60:$DS$104,$B9,1)*CW9=1,IF(AND($E9=2,HN9=0),1000000,INDEX('計算A'!D$110:D$114,$F9+1)+IF(AND($E9=1,HN9=0),1000,0)),1000000))</f>
        <v/>
      </c>
      <c r="MF9">
        <f>IF($B9=0,1000000,IF(INDEX('計算A'!$D$60:$DS$104,$B9,2)*CX9=1,IF(AND($E9=2,HO9=0),1000000,INDEX('計算A'!E$110:E$114,$F9+1)+IF(AND($E9=1,HO9=0),1000,0)),1000000))</f>
        <v/>
      </c>
      <c r="MG9">
        <f>IF($B9=0,1000000,IF(INDEX('計算A'!$D$60:$DS$104,$B9,3)*CY9=1,IF(AND($E9=2,HP9=0),1000000,INDEX('計算A'!F$110:F$114,$F9+1)+IF(AND($E9=1,HP9=0),1000,0)),1000000))</f>
        <v/>
      </c>
      <c r="MH9">
        <f>IF($B9=0,1000000,IF(INDEX('計算A'!$D$60:$DS$104,$B9,4)*CZ9=1,IF(AND($E9=2,HQ9=0),1000000,INDEX('計算A'!G$110:G$114,$F9+1)+IF(AND($E9=1,HQ9=0),1000,0)),1000000))</f>
        <v/>
      </c>
      <c r="MI9">
        <f>IF($B9=0,1000000,IF(INDEX('計算A'!$D$60:$DS$104,$B9,5)*DA9=1,IF(AND($E9=2,HR9=0),1000000,INDEX('計算A'!H$110:H$114,$F9+1)+IF(AND($E9=1,HR9=0),1000,0)),1000000))</f>
        <v/>
      </c>
      <c r="MJ9">
        <f>IF($B9=0,1000000,IF(INDEX('計算A'!$D$60:$DS$104,$B9,6)*DB9=1,IF(AND($E9=2,HS9=0),1000000,INDEX('計算A'!I$110:I$114,$F9+1)+IF(AND($E9=1,HS9=0),1000,0)),1000000))</f>
        <v/>
      </c>
      <c r="MK9">
        <f>IF($B9=0,1000000,IF(INDEX('計算A'!$D$60:$DS$104,$B9,7)*DC9=1,IF(AND($E9=2,HT9=0),1000000,INDEX('計算A'!J$110:J$114,$F9+1)+IF(AND($E9=1,HT9=0),1000,0)),1000000))</f>
        <v/>
      </c>
      <c r="ML9">
        <f>IF($B9=0,1000000,IF(INDEX('計算A'!$D$60:$DS$104,$B9,8)*DD9=1,IF(AND($E9=2,HU9=0),1000000,INDEX('計算A'!K$110:K$114,$F9+1)+IF(AND($E9=1,HU9=0),1000,0)),1000000))</f>
        <v/>
      </c>
      <c r="MM9">
        <f>IF($B9=0,1000000,IF(INDEX('計算A'!$D$60:$DS$104,$B9,9)*DE9=1,IF(AND($E9=2,HV9=0),1000000,INDEX('計算A'!L$110:L$114,$F9+1)+IF(AND($E9=1,HV9=0),1000,0)),1000000))</f>
        <v/>
      </c>
      <c r="MN9">
        <f>IF($B9=0,1000000,IF(INDEX('計算A'!$D$60:$DS$104,$B9,10)*DF9=1,IF(AND($E9=2,HW9=0),1000000,INDEX('計算A'!M$110:M$114,$F9+1)+IF(AND($E9=1,HW9=0),1000,0)),1000000))</f>
        <v/>
      </c>
      <c r="MO9">
        <f>IF($B9=0,1000000,IF(INDEX('計算A'!$D$60:$DS$104,$B9,11)*DG9=1,IF(AND($E9=2,HX9=0),1000000,INDEX('計算A'!N$110:N$114,$F9+1)+IF(AND($E9=1,HX9=0),1000,0)),1000000))</f>
        <v/>
      </c>
      <c r="MP9">
        <f>IF($B9=0,1000000,IF(INDEX('計算A'!$D$60:$DS$104,$B9,12)*DH9=1,IF(AND($E9=2,HY9=0),1000000,INDEX('計算A'!O$110:O$114,$F9+1)+IF(AND($E9=1,HY9=0),1000,0)),1000000))</f>
        <v/>
      </c>
      <c r="MQ9">
        <f>IF($B9=0,1000000,IF(INDEX('計算A'!$D$60:$DS$104,$B9,13)*DI9=1,IF(AND($E9=2,HZ9=0),1000000,INDEX('計算A'!P$110:P$114,$F9+1)+IF(AND($E9=1,HZ9=0),1000,0)),1000000))</f>
        <v/>
      </c>
      <c r="MR9">
        <f>IF($B9=0,1000000,IF(INDEX('計算A'!$D$60:$DS$104,$B9,14)*DJ9=1,IF(AND($E9=2,IA9=0),1000000,INDEX('計算A'!Q$110:Q$114,$F9+1)+IF(AND($E9=1,IA9=0),1000,0)),1000000))</f>
        <v/>
      </c>
      <c r="MS9">
        <f>IF($B9=0,1000000,IF(INDEX('計算A'!$D$60:$DS$104,$B9,15)*DK9=1,IF(AND($E9=2,IB9=0),1000000,INDEX('計算A'!R$110:R$114,$F9+1)+IF(AND($E9=1,IB9=0),1000,0)),1000000))</f>
        <v/>
      </c>
      <c r="MT9">
        <f>IF($B9=0,1000000,IF(INDEX('計算A'!$D$60:$DS$104,$B9,16)*DL9=1,IF(AND($E9=2,IC9=0),1000000,INDEX('計算A'!S$110:S$114,$F9+1)+IF(AND($E9=1,IC9=0),1000,0)),1000000))</f>
        <v/>
      </c>
      <c r="MU9">
        <f>IF($B9=0,1000000,IF(INDEX('計算A'!$D$60:$DS$104,$B9,17)*DM9=1,IF(AND($E9=2,ID9=0),1000000,INDEX('計算A'!T$110:T$114,$F9+1)+IF(AND($E9=1,ID9=0),1000,0)),1000000))</f>
        <v/>
      </c>
      <c r="MV9">
        <f>IF($B9=0,1000000,IF(INDEX('計算A'!$D$60:$DS$104,$B9,18)*DN9=1,IF(AND($E9=2,IE9=0),1000000,INDEX('計算A'!U$110:U$114,$F9+1)+IF(AND($E9=1,IE9=0),1000,0)),1000000))</f>
        <v/>
      </c>
      <c r="MW9">
        <f>IF($B9=0,1000000,IF(INDEX('計算A'!$D$60:$DS$104,$B9,19)*DO9=1,IF(AND($E9=2,IF9=0),1000000,INDEX('計算A'!V$110:V$114,$F9+1)+IF(AND($E9=1,IF9=0),1000,0)),1000000))</f>
        <v/>
      </c>
      <c r="MX9">
        <f>IF($B9=0,1000000,IF(INDEX('計算A'!$D$60:$DS$104,$B9,20)*DP9=1,IF(AND($E9=2,IG9=0),1000000,INDEX('計算A'!W$110:W$114,$F9+1)+IF(AND($E9=1,IG9=0),1000,0)),1000000))</f>
        <v/>
      </c>
      <c r="MY9">
        <f>IF($B9=0,1000000,IF(INDEX('計算A'!$D$60:$DS$104,$B9,21)*DQ9=1,IF(AND($E9=2,IH9=0),1000000,INDEX('計算A'!X$110:X$114,$F9+1)+IF(AND($E9=1,IH9=0),1000,0)),1000000))</f>
        <v/>
      </c>
      <c r="MZ9">
        <f>IF($B9=0,1000000,IF(INDEX('計算A'!$D$60:$DS$104,$B9,22)*DR9=1,IF(AND($E9=2,II9=0),1000000,INDEX('計算A'!Y$110:Y$114,$F9+1)+IF(AND($E9=1,II9=0),1000,0)),1000000))</f>
        <v/>
      </c>
      <c r="NA9">
        <f>IF($B9=0,1000000,IF(INDEX('計算A'!$D$60:$DS$104,$B9,23)*DS9=1,IF(AND($E9=2,IJ9=0),1000000,INDEX('計算A'!Z$110:Z$114,$F9+1)+IF(AND($E9=1,IJ9=0),1000,0)),1000000))</f>
        <v/>
      </c>
      <c r="NB9">
        <f>IF($B9=0,1000000,IF(INDEX('計算A'!$D$60:$DS$104,$B9,24)*DT9=1,IF(AND($E9=2,IK9=0),1000000,INDEX('計算A'!AA$110:AA$114,$F9+1)+IF(AND($E9=1,IK9=0),1000,0)),1000000))</f>
        <v/>
      </c>
      <c r="NC9">
        <f>IF($B9=0,1000000,IF(INDEX('計算A'!$D$60:$DS$104,$B9,25)*DU9=1,IF(AND($E9=2,IL9=0),1000000,INDEX('計算A'!AB$110:AB$114,$F9+1)+IF(AND($E9=1,IL9=0),1000,0)),1000000))</f>
        <v/>
      </c>
      <c r="ND9">
        <f>IF($B9=0,1000000,IF(INDEX('計算A'!$D$60:$DS$104,$B9,26)*DV9=1,IF(AND($E9=2,IM9=0),1000000,INDEX('計算A'!AC$110:AC$114,$F9+1)+IF(AND($E9=1,IM9=0),1000,0)),1000000))</f>
        <v/>
      </c>
      <c r="NE9">
        <f>IF($B9=0,1000000,IF(INDEX('計算A'!$D$60:$DS$104,$B9,27)*DW9=1,IF(AND($E9=2,IN9=0),1000000,INDEX('計算A'!AD$110:AD$114,$F9+1)+IF(AND($E9=1,IN9=0),1000,0)),1000000))</f>
        <v/>
      </c>
      <c r="NF9">
        <f>IF($B9=0,1000000,IF(INDEX('計算A'!$D$60:$DS$104,$B9,28)*DX9=1,IF(AND($E9=2,IO9=0),1000000,INDEX('計算A'!AE$110:AE$114,$F9+1)+IF(AND($E9=1,IO9=0),1000,0)),1000000))</f>
        <v/>
      </c>
      <c r="NG9">
        <f>IF($B9=0,1000000,IF(INDEX('計算A'!$D$60:$DS$104,$B9,29)*DY9=1,IF(AND($E9=2,IP9=0),1000000,INDEX('計算A'!AF$110:AF$114,$F9+1)+IF(AND($E9=1,IP9=0),1000,0)),1000000))</f>
        <v/>
      </c>
      <c r="NH9">
        <f>IF($B9=0,1000000,IF(INDEX('計算A'!$D$60:$DS$104,$B9,30)*DZ9=1,IF(AND($E9=2,IQ9=0),1000000,INDEX('計算A'!AG$110:AG$114,$F9+1)+IF(AND($E9=1,IQ9=0),1000,0)),1000000))</f>
        <v/>
      </c>
      <c r="NI9">
        <f>IF($B9=0,1000000,IF(INDEX('計算A'!$D$60:$DS$104,$B9,31)*EA9=1,IF(AND($E9=2,IR9=0),1000000,INDEX('計算A'!AH$110:AH$114,$F9+1)+IF(AND($E9=1,IR9=0),1000,0)),1000000))</f>
        <v/>
      </c>
      <c r="NJ9">
        <f>IF($B9=0,1000000,IF(INDEX('計算A'!$D$60:$DS$104,$B9,32)*EB9=1,IF(AND($E9=2,IS9=0),1000000,INDEX('計算A'!AI$110:AI$114,$F9+1)+IF(AND($E9=1,IS9=0),1000,0)),1000000))</f>
        <v/>
      </c>
      <c r="NK9">
        <f>IF($B9=0,1000000,IF(INDEX('計算A'!$D$60:$DS$104,$B9,33)*EC9=1,IF(AND($E9=2,IT9=0),1000000,INDEX('計算A'!AJ$110:AJ$114,$F9+1)+IF(AND($E9=1,IT9=0),1000,0)),1000000))</f>
        <v/>
      </c>
      <c r="NL9">
        <f>IF($B9=0,1000000,IF(INDEX('計算A'!$D$60:$DS$104,$B9,34)*ED9=1,IF(AND($E9=2,IU9=0),1000000,INDEX('計算A'!AK$110:AK$114,$F9+1)+IF(AND($E9=1,IU9=0),1000,0)),1000000))</f>
        <v/>
      </c>
      <c r="NM9">
        <f>IF($B9=0,1000000,IF(INDEX('計算A'!$D$60:$DS$104,$B9,35)*EE9=1,IF(AND($E9=2,IV9=0),1000000,INDEX('計算A'!AL$110:AL$114,$F9+1)+IF(AND($E9=1,IV9=0),1000,0)),1000000))</f>
        <v/>
      </c>
      <c r="NN9">
        <f>IF($B9=0,1000000,IF(INDEX('計算A'!$D$60:$DS$104,$B9,36)*EF9=1,IF(AND($E9=2,IW9=0),1000000,INDEX('計算A'!AM$110:AM$114,$F9+1)+IF(AND($E9=1,IW9=0),1000,0)),1000000))</f>
        <v/>
      </c>
      <c r="NO9">
        <f>IF($B9=0,1000000,IF(INDEX('計算A'!$D$60:$DS$104,$B9,37)*EG9=1,IF(AND($E9=2,IX9=0),1000000,INDEX('計算A'!AN$110:AN$114,$F9+1)+IF(AND($E9=1,IX9=0),1000,0)),1000000))</f>
        <v/>
      </c>
      <c r="NP9">
        <f>IF($B9=0,1000000,IF(INDEX('計算A'!$D$60:$DS$104,$B9,38)*EH9=1,IF(AND($E9=2,IY9=0),1000000,INDEX('計算A'!AO$110:AO$114,$F9+1)+IF(AND($E9=1,IY9=0),1000,0)),1000000))</f>
        <v/>
      </c>
      <c r="NQ9">
        <f>IF($B9=0,1000000,IF(INDEX('計算A'!$D$60:$DS$104,$B9,39)*EI9=1,IF(AND($E9=2,IZ9=0),1000000,INDEX('計算A'!AP$110:AP$114,$F9+1)+IF(AND($E9=1,IZ9=0),1000,0)),1000000))</f>
        <v/>
      </c>
      <c r="NR9">
        <f>IF($B9=0,1000000,IF(INDEX('計算A'!$D$60:$DS$104,$B9,40)*EJ9=1,IF(AND($E9=2,JA9=0),1000000,INDEX('計算A'!AQ$110:AQ$114,$F9+1)+IF(AND($E9=1,JA9=0),1000,0)),1000000))</f>
        <v/>
      </c>
      <c r="NS9">
        <f>IF($B9=0,1000000,IF(INDEX('計算A'!$D$60:$DS$104,$B9,41)*EK9=1,IF(AND($E9=2,JB9=0),1000000,INDEX('計算A'!AR$110:AR$114,$F9+1)+IF(AND($E9=1,JB9=0),1000,0)),1000000))</f>
        <v/>
      </c>
      <c r="NT9">
        <f>IF($B9=0,1000000,IF(INDEX('計算A'!$D$60:$DS$104,$B9,42)*EL9=1,IF(AND($E9=2,JC9=0),1000000,INDEX('計算A'!AS$110:AS$114,$F9+1)+IF(AND($E9=1,JC9=0),1000,0)),1000000))</f>
        <v/>
      </c>
      <c r="NU9">
        <f>IF($B9=0,1000000,IF(INDEX('計算A'!$D$60:$DS$104,$B9,43)*EM9=1,IF(AND($E9=2,JD9=0),1000000,INDEX('計算A'!AT$110:AT$114,$F9+1)+IF(AND($E9=1,JD9=0),1000,0)),1000000))</f>
        <v/>
      </c>
      <c r="NV9">
        <f>IF($B9=0,1000000,IF(INDEX('計算A'!$D$60:$DS$104,$B9,44)*EN9=1,IF(AND($E9=2,JE9=0),1000000,INDEX('計算A'!AU$110:AU$114,$F9+1)+IF(AND($E9=1,JE9=0),1000,0)),1000000))</f>
        <v/>
      </c>
      <c r="NW9">
        <f>IF($B9=0,1000000,IF(INDEX('計算A'!$D$60:$DS$104,$B9,45)*EO9=1,IF(AND($E9=2,JF9=0),1000000,INDEX('計算A'!AV$110:AV$114,$F9+1)+IF(AND($E9=1,JF9=0),1000,0)),1000000))</f>
        <v/>
      </c>
      <c r="NX9">
        <f>IF($B9=0,1000000,IF(INDEX('計算A'!$D$60:$DS$104,$B9,46)*EP9=1,IF(AND($E9=2,JG9=0),1000000,INDEX('計算A'!AW$110:AW$114,$F9+1)+IF(AND($E9=1,JG9=0),1000,0)),1000000))</f>
        <v/>
      </c>
      <c r="NY9">
        <f>IF($B9=0,1000000,IF(INDEX('計算A'!$D$60:$DS$104,$B9,47)*EQ9=1,IF(AND($E9=2,JH9=0),1000000,INDEX('計算A'!AX$110:AX$114,$F9+1)+IF(AND($E9=1,JH9=0),1000,0)),1000000))</f>
        <v/>
      </c>
      <c r="NZ9">
        <f>IF($B9=0,1000000,IF(INDEX('計算A'!$D$60:$DS$104,$B9,48)*ER9=1,IF(AND($E9=2,JI9=0),1000000,INDEX('計算A'!AY$110:AY$114,$F9+1)+IF(AND($E9=1,JI9=0),1000,0)),1000000))</f>
        <v/>
      </c>
      <c r="OA9">
        <f>IF($B9=0,1000000,IF(INDEX('計算A'!$D$60:$DS$104,$B9,49)*ES9=1,IF(AND($E9=2,JJ9=0),1000000,INDEX('計算A'!AZ$110:AZ$114,$F9+1)+IF(AND($E9=1,JJ9=0),1000,0)),1000000))</f>
        <v/>
      </c>
      <c r="OB9">
        <f>IF($B9=0,1000000,IF(INDEX('計算A'!$D$60:$DS$104,$B9,50)*ET9=1,IF(AND($E9=2,JK9=0),1000000,INDEX('計算A'!BA$110:BA$114,$F9+1)+IF(AND($E9=1,JK9=0),1000,0)),1000000))</f>
        <v/>
      </c>
      <c r="OC9">
        <f>IF($B9=0,1000000,IF(INDEX('計算A'!$D$60:$DS$104,$B9,51)*EU9=1,IF(AND($E9=2,JL9=0),1000000,INDEX('計算A'!BB$110:BB$114,$F9+1)+IF(AND($E9=1,JL9=0),1000,0)),1000000))</f>
        <v/>
      </c>
      <c r="OD9">
        <f>IF($B9=0,1000000,IF(INDEX('計算A'!$D$60:$DS$104,$B9,52)*EV9=1,IF(AND($E9=2,JM9=0),1000000,INDEX('計算A'!BC$110:BC$114,$F9+1)+IF(AND($E9=1,JM9=0),1000,0)),1000000))</f>
        <v/>
      </c>
      <c r="OE9">
        <f>IF($B9=0,1000000,IF(INDEX('計算A'!$D$60:$DS$104,$B9,53)*EW9=1,IF(AND($E9=2,JN9=0),1000000,INDEX('計算A'!BD$110:BD$114,$F9+1)+IF(AND($E9=1,JN9=0),1000,0)),1000000))</f>
        <v/>
      </c>
      <c r="OF9">
        <f>IF($B9=0,1000000,IF(INDEX('計算A'!$D$60:$DS$104,$B9,54)*EX9=1,IF(AND($E9=2,JO9=0),1000000,INDEX('計算A'!BE$110:BE$114,$F9+1)+IF(AND($E9=1,JO9=0),1000,0)),1000000))</f>
        <v/>
      </c>
      <c r="OG9">
        <f>IF($B9=0,1000000,IF(INDEX('計算A'!$D$60:$DS$104,$B9,55)*EY9=1,IF(AND($E9=2,JP9=0),1000000,INDEX('計算A'!BF$110:BF$114,$F9+1)+IF(AND($E9=1,JP9=0),1000,0)),1000000))</f>
        <v/>
      </c>
      <c r="OH9">
        <f>IF($B9=0,1000000,IF(INDEX('計算A'!$D$60:$DS$104,$B9,56)*EZ9=1,IF(AND($E9=2,JQ9=0),1000000,INDEX('計算A'!BG$110:BG$114,$F9+1)+IF(AND($E9=1,JQ9=0),1000,0)),1000000))</f>
        <v/>
      </c>
      <c r="OI9">
        <f>IF($B9=0,1000000,IF(INDEX('計算A'!$D$60:$DS$104,$B9,57)*FA9=1,IF(AND($E9=2,JR9=0),1000000,INDEX('計算A'!BH$110:BH$114,$F9+1)+IF(AND($E9=1,JR9=0),1000,0)),1000000))</f>
        <v/>
      </c>
      <c r="OJ9">
        <f>IF($B9=0,1000000,IF(INDEX('計算A'!$D$60:$DS$104,$B9,58)*FB9=1,IF(AND($E9=2,JS9=0),1000000,INDEX('計算A'!BI$110:BI$114,$F9+1)+IF(AND($E9=1,JS9=0),1000,0)),1000000))</f>
        <v/>
      </c>
      <c r="OK9">
        <f>IF($B9=0,1000000,IF(INDEX('計算A'!$D$60:$DS$104,$B9,59)*FC9=1,IF(AND($E9=2,JT9=0),1000000,INDEX('計算A'!BJ$110:BJ$114,$F9+1)+IF(AND($E9=1,JT9=0),1000,0)),1000000))</f>
        <v/>
      </c>
      <c r="OL9">
        <f>IF($B9=0,1000000,IF(INDEX('計算A'!$D$60:$DS$104,$B9,60)*FD9=1,IF(AND($E9=2,JU9=0),1000000,INDEX('計算A'!BK$110:BK$114,$F9+1)+IF(AND($E9=1,JU9=0),1000,0)),1000000))</f>
        <v/>
      </c>
      <c r="OM9">
        <f>IF($B9=0,1000000,IF(INDEX('計算A'!$D$60:$DS$104,$B9,61)*FE9=1,IF(AND($E9=2,JV9=0),1000000,INDEX('計算A'!BL$110:BL$114,$F9+1)+IF(AND($E9=1,JV9=0),1000,0)),1000000))</f>
        <v/>
      </c>
      <c r="ON9">
        <f>IF($B9=0,1000000,IF(INDEX('計算A'!$D$60:$DS$104,$B9,62)*FF9=1,IF(AND($E9=2,JW9=0),1000000,INDEX('計算A'!BM$110:BM$114,$F9+1)+IF(AND($E9=1,JW9=0),1000,0)),1000000))</f>
        <v/>
      </c>
      <c r="OO9">
        <f>IF($B9=0,1000000,IF(INDEX('計算A'!$D$60:$DS$104,$B9,63)*FG9=1,IF(AND($E9=2,JX9=0),1000000,INDEX('計算A'!BN$110:BN$114,$F9+1)+IF(AND($E9=1,JX9=0),1000,0)),1000000))</f>
        <v/>
      </c>
      <c r="OP9">
        <f>IF($B9=0,1000000,IF(INDEX('計算A'!$D$60:$DS$104,$B9,64)*FH9=1,IF(AND($E9=2,JY9=0),1000000,INDEX('計算A'!BO$110:BO$114,$F9+1)+IF(AND($E9=1,JY9=0),1000,0)),1000000))</f>
        <v/>
      </c>
      <c r="OQ9">
        <f>IF($B9=0,1000000,IF(INDEX('計算A'!$D$60:$DS$104,$B9,65)*FI9=1,IF(AND($E9=2,JZ9=0),1000000,INDEX('計算A'!BP$110:BP$114,$F9+1)+IF(AND($E9=1,JZ9=0),1000,0)),1000000))</f>
        <v/>
      </c>
      <c r="OR9">
        <f>IF($B9=0,1000000,IF(INDEX('計算A'!$D$60:$DS$104,$B9,66)*FJ9=1,IF(AND($E9=2,KA9=0),1000000,INDEX('計算A'!BQ$110:BQ$114,$F9+1)+IF(AND($E9=1,KA9=0),1000,0)),1000000))</f>
        <v/>
      </c>
      <c r="OS9">
        <f>IF($B9=0,1000000,IF(INDEX('計算A'!$D$60:$DS$104,$B9,67)*FK9=1,IF(AND($E9=2,KB9=0),1000000,INDEX('計算A'!BR$110:BR$114,$F9+1)+IF(AND($E9=1,KB9=0),1000,0)),1000000))</f>
        <v/>
      </c>
      <c r="OT9">
        <f>IF($B9=0,1000000,IF(INDEX('計算A'!$D$60:$DS$104,$B9,68)*FL9=1,IF(AND($E9=2,KC9=0),1000000,INDEX('計算A'!BS$110:BS$114,$F9+1)+IF(AND($E9=1,KC9=0),1000,0)),1000000))</f>
        <v/>
      </c>
      <c r="OU9">
        <f>IF($B9=0,1000000,IF(INDEX('計算A'!$D$60:$DS$104,$B9,69)*FM9=1,IF(AND($E9=2,KD9=0),1000000,INDEX('計算A'!BT$110:BT$114,$F9+1)+IF(AND($E9=1,KD9=0),1000,0)),1000000))</f>
        <v/>
      </c>
      <c r="OV9">
        <f>IF($B9=0,1000000,IF(INDEX('計算A'!$D$60:$DS$104,$B9,70)*FN9=1,IF(AND($E9=2,KE9=0),1000000,INDEX('計算A'!BU$110:BU$114,$F9+1)+IF(AND($E9=1,KE9=0),1000,0)),1000000))</f>
        <v/>
      </c>
      <c r="OW9">
        <f>IF($B9=0,1000000,IF(INDEX('計算A'!$D$60:$DS$104,$B9,71)*FO9=1,IF(AND($E9=2,KF9=0),1000000,INDEX('計算A'!BV$110:BV$114,$F9+1)+IF(AND($E9=1,KF9=0),1000,0)),1000000))</f>
        <v/>
      </c>
      <c r="OX9">
        <f>IF($B9=0,1000000,IF(INDEX('計算A'!$D$60:$DS$104,$B9,72)*FP9=1,IF(AND($E9=2,KG9=0),1000000,INDEX('計算A'!BW$110:BW$114,$F9+1)+IF(AND($E9=1,KG9=0),1000,0)),1000000))</f>
        <v/>
      </c>
      <c r="OY9">
        <f>IF($B9=0,1000000,IF(INDEX('計算A'!$D$60:$DS$104,$B9,73)*FQ9=1,IF(AND($E9=2,KH9=0),1000000,INDEX('計算A'!BX$110:BX$114,$F9+1)+IF(AND($E9=1,KH9=0),1000,0)),1000000))</f>
        <v/>
      </c>
      <c r="OZ9">
        <f>IF($B9=0,1000000,IF(INDEX('計算A'!$D$60:$DS$104,$B9,74)*FR9=1,IF(AND($E9=2,KI9=0),1000000,INDEX('計算A'!BY$110:BY$114,$F9+1)+IF(AND($E9=1,KI9=0),1000,0)),1000000))</f>
        <v/>
      </c>
      <c r="PA9">
        <f>IF($B9=0,1000000,IF(INDEX('計算A'!$D$60:$DS$104,$B9,75)*FS9=1,IF(AND($E9=2,KJ9=0),1000000,INDEX('計算A'!BZ$110:BZ$114,$F9+1)+IF(AND($E9=1,KJ9=0),1000,0)),1000000))</f>
        <v/>
      </c>
      <c r="PB9">
        <f>IF($B9=0,1000000,IF(INDEX('計算A'!$D$60:$DS$104,$B9,76)*FT9=1,IF(AND($E9=2,KK9=0),1000000,INDEX('計算A'!CA$110:CA$114,$F9+1)+IF(AND($E9=1,KK9=0),1000,0)),1000000))</f>
        <v/>
      </c>
      <c r="PC9">
        <f>IF($B9=0,1000000,IF(INDEX('計算A'!$D$60:$DS$104,$B9,77)*FU9=1,IF(AND($E9=2,KL9=0),1000000,INDEX('計算A'!CB$110:CB$114,$F9+1)+IF(AND($E9=1,KL9=0),1000,0)),1000000))</f>
        <v/>
      </c>
      <c r="PD9">
        <f>IF($B9=0,1000000,IF(INDEX('計算A'!$D$60:$DS$104,$B9,78)*FV9=1,IF(AND($E9=2,KM9=0),1000000,INDEX('計算A'!CC$110:CC$114,$F9+1)+IF(AND($E9=1,KM9=0),1000,0)),1000000))</f>
        <v/>
      </c>
      <c r="PE9">
        <f>IF($B9=0,1000000,IF(INDEX('計算A'!$D$60:$DS$104,$B9,79)*FW9=1,IF(AND($E9=2,KN9=0),1000000,INDEX('計算A'!CD$110:CD$114,$F9+1)+IF(AND($E9=1,KN9=0),1000,0)),1000000))</f>
        <v/>
      </c>
      <c r="PF9">
        <f>IF($B9=0,1000000,IF(INDEX('計算A'!$D$60:$DS$104,$B9,80)*FX9=1,IF(AND($E9=2,KO9=0),1000000,INDEX('計算A'!CE$110:CE$114,$F9+1)+IF(AND($E9=1,KO9=0),1000,0)),1000000))</f>
        <v/>
      </c>
      <c r="PG9">
        <f>IF($B9=0,1000000,IF(INDEX('計算A'!$D$60:$DS$104,$B9,81)*FY9=1,IF(AND($E9=2,KP9=0),1000000,INDEX('計算A'!CF$110:CF$114,$F9+1)+IF(AND($E9=1,KP9=0),1000,0)),1000000))</f>
        <v/>
      </c>
      <c r="PH9">
        <f>IF($B9=0,1000000,IF(INDEX('計算A'!$D$60:$DS$104,$B9,82)*FZ9=1,IF(AND($E9=2,KQ9=0),1000000,INDEX('計算A'!CG$110:CG$114,$F9+1)+IF(AND($E9=1,KQ9=0),1000,0)),1000000))</f>
        <v/>
      </c>
      <c r="PI9">
        <f>IF($B9=0,1000000,IF(INDEX('計算A'!$D$60:$DS$104,$B9,83)*GA9=1,IF(AND($E9=2,KR9=0),1000000,INDEX('計算A'!CH$110:CH$114,$F9+1)+IF(AND($E9=1,KR9=0),1000,0)),1000000))</f>
        <v/>
      </c>
      <c r="PJ9">
        <f>IF($B9=0,1000000,IF(INDEX('計算A'!$D$60:$DS$104,$B9,84)*GB9=1,IF(AND($E9=2,KS9=0),1000000,INDEX('計算A'!CI$110:CI$114,$F9+1)+IF(AND($E9=1,KS9=0),1000,0)),1000000))</f>
        <v/>
      </c>
      <c r="PK9">
        <f>IF($B9=0,1000000,IF(INDEX('計算A'!$D$60:$DS$104,$B9,85)*GC9=1,IF(AND($E9=2,KT9=0),1000000,INDEX('計算A'!CJ$110:CJ$114,$F9+1)+IF(AND($E9=1,KT9=0),1000,0)),1000000))</f>
        <v/>
      </c>
      <c r="PL9">
        <f>IF($B9=0,1000000,IF(INDEX('計算A'!$D$60:$DS$104,$B9,86)*GD9=1,IF(AND($E9=2,KU9=0),1000000,INDEX('計算A'!CK$110:CK$114,$F9+1)+IF(AND($E9=1,KU9=0),1000,0)),1000000))</f>
        <v/>
      </c>
      <c r="PM9">
        <f>IF($B9=0,1000000,IF(INDEX('計算A'!$D$60:$DS$104,$B9,87)*GE9=1,IF(AND($E9=2,KV9=0),1000000,INDEX('計算A'!CL$110:CL$114,$F9+1)+IF(AND($E9=1,KV9=0),1000,0)),1000000))</f>
        <v/>
      </c>
      <c r="PN9">
        <f>IF($B9=0,1000000,IF(INDEX('計算A'!$D$60:$DS$104,$B9,88)*GF9=1,IF(AND($E9=2,KW9=0),1000000,INDEX('計算A'!CM$110:CM$114,$F9+1)+IF(AND($E9=1,KW9=0),1000,0)),1000000))</f>
        <v/>
      </c>
      <c r="PO9">
        <f>IF($B9=0,1000000,IF(INDEX('計算A'!$D$60:$DS$104,$B9,89)*GG9=1,IF(AND($E9=2,KX9=0),1000000,INDEX('計算A'!CN$110:CN$114,$F9+1)+IF(AND($E9=1,KX9=0),1000,0)),1000000))</f>
        <v/>
      </c>
      <c r="PP9">
        <f>IF($B9=0,1000000,IF(INDEX('計算A'!$D$60:$DS$104,$B9,90)*GH9=1,IF(AND($E9=2,KY9=0),1000000,INDEX('計算A'!CO$110:CO$114,$F9+1)+IF(AND($E9=1,KY9=0),1000,0)),1000000))</f>
        <v/>
      </c>
      <c r="PQ9">
        <f>IF($B9=0,1000000,IF(INDEX('計算A'!$D$60:$DS$104,$B9,91)*GI9=1,IF(AND($E9=2,KZ9=0),1000000,INDEX('計算A'!CP$110:CP$114,$F9+1)+IF(AND($E9=1,KZ9=0),1000,0)),1000000))</f>
        <v/>
      </c>
      <c r="PR9">
        <f>IF($B9=0,1000000,IF(INDEX('計算A'!$D$60:$DS$104,$B9,92)*GJ9=1,IF(AND($E9=2,LA9=0),1000000,INDEX('計算A'!CQ$110:CQ$114,$F9+1)+IF(AND($E9=1,LA9=0),1000,0)),1000000))</f>
        <v/>
      </c>
      <c r="PS9">
        <f>IF($B9=0,1000000,IF(INDEX('計算A'!$D$60:$DS$104,$B9,93)*GK9=1,IF(AND($E9=2,LB9=0),1000000,INDEX('計算A'!CR$110:CR$114,$F9+1)+IF(AND($E9=1,LB9=0),1000,0)),1000000))</f>
        <v/>
      </c>
      <c r="PT9">
        <f>IF($B9=0,1000000,IF(INDEX('計算A'!$D$60:$DS$104,$B9,94)*GL9=1,IF(AND($E9=2,LC9=0),1000000,INDEX('計算A'!CS$110:CS$114,$F9+1)+IF(AND($E9=1,LC9=0),1000,0)),1000000))</f>
        <v/>
      </c>
      <c r="PU9">
        <f>IF($B9=0,1000000,IF(INDEX('計算A'!$D$60:$DS$104,$B9,95)*GM9=1,IF(AND($E9=2,LD9=0),1000000,INDEX('計算A'!CT$110:CT$114,$F9+1)+IF(AND($E9=1,LD9=0),1000,0)),1000000))</f>
        <v/>
      </c>
      <c r="PV9">
        <f>IF($B9=0,1000000,IF(INDEX('計算A'!$D$60:$DS$104,$B9,96)*GN9=1,IF(AND($E9=2,LE9=0),1000000,INDEX('計算A'!CU$110:CU$114,$F9+1)+IF(AND($E9=1,LE9=0),1000,0)),1000000))</f>
        <v/>
      </c>
      <c r="PW9">
        <f>IF($B9=0,1000000,IF(INDEX('計算A'!$D$60:$DS$104,$B9,97)*GO9=1,IF(AND($E9=2,LF9=0),1000000,INDEX('計算A'!CV$110:CV$114,$F9+1)+IF(AND($E9=1,LF9=0),1000,0)),1000000))</f>
        <v/>
      </c>
      <c r="PX9">
        <f>IF($B9=0,1000000,IF(INDEX('計算A'!$D$60:$DS$104,$B9,98)*GP9=1,IF(AND($E9=2,LG9=0),1000000,INDEX('計算A'!CW$110:CW$114,$F9+1)+IF(AND($E9=1,LG9=0),1000,0)),1000000))</f>
        <v/>
      </c>
      <c r="PY9">
        <f>IF($B9=0,1000000,IF(INDEX('計算A'!$D$60:$DS$104,$B9,99)*GQ9=1,IF(AND($E9=2,LH9=0),1000000,INDEX('計算A'!CX$110:CX$114,$F9+1)+IF(AND($E9=1,LH9=0),1000,0)),1000000))</f>
        <v/>
      </c>
      <c r="PZ9">
        <f>IF($B9=0,1000000,IF(INDEX('計算A'!$D$60:$DS$104,$B9,100)*GR9=1,IF(AND($E9=2,LI9=0),1000000,INDEX('計算A'!CY$110:CY$114,$F9+1)+IF(AND($E9=1,LI9=0),1000,0)),1000000))</f>
        <v/>
      </c>
      <c r="QA9">
        <f>IF($B9=0,1000000,IF(INDEX('計算A'!$D$60:$DS$104,$B9,101)*GS9=1,IF(AND($E9=2,LJ9=0),1000000,INDEX('計算A'!CZ$110:CZ$114,$F9+1)+IF(AND($E9=1,LJ9=0),1000,0)),1000000))</f>
        <v/>
      </c>
      <c r="QB9">
        <f>IF($B9=0,1000000,IF(INDEX('計算A'!$D$60:$DS$104,$B9,102)*GT9=1,IF(AND($E9=2,LK9=0),1000000,INDEX('計算A'!DA$110:DA$114,$F9+1)+IF(AND($E9=1,LK9=0),1000,0)),1000000))</f>
        <v/>
      </c>
      <c r="QC9">
        <f>IF($B9=0,1000000,IF(INDEX('計算A'!$D$60:$DS$104,$B9,103)*GU9=1,IF(AND($E9=2,LL9=0),1000000,INDEX('計算A'!DB$110:DB$114,$F9+1)+IF(AND($E9=1,LL9=0),1000,0)),1000000))</f>
        <v/>
      </c>
      <c r="QD9">
        <f>IF($B9=0,1000000,IF(INDEX('計算A'!$D$60:$DS$104,$B9,104)*GV9=1,IF(AND($E9=2,LM9=0),1000000,INDEX('計算A'!DC$110:DC$114,$F9+1)+IF(AND($E9=1,LM9=0),1000,0)),1000000))</f>
        <v/>
      </c>
      <c r="QE9">
        <f>IF($B9=0,1000000,IF(INDEX('計算A'!$D$60:$DS$104,$B9,105)*GW9=1,IF(AND($E9=2,LN9=0),1000000,INDEX('計算A'!DD$110:DD$114,$F9+1)+IF(AND($E9=1,LN9=0),1000,0)),1000000))</f>
        <v/>
      </c>
      <c r="QF9">
        <f>IF($B9=0,1000000,IF(INDEX('計算A'!$D$60:$DS$104,$B9,106)*GX9=1,IF(AND($E9=2,LO9=0),1000000,INDEX('計算A'!DE$110:DE$114,$F9+1)+IF(AND($E9=1,LO9=0),1000,0)),1000000))</f>
        <v/>
      </c>
      <c r="QG9">
        <f>IF($B9=0,1000000,IF(INDEX('計算A'!$D$60:$DS$104,$B9,107)*GY9=1,IF(AND($E9=2,LP9=0),1000000,INDEX('計算A'!DF$110:DF$114,$F9+1)+IF(AND($E9=1,LP9=0),1000,0)),1000000))</f>
        <v/>
      </c>
      <c r="QH9">
        <f>IF($B9=0,1000000,IF(INDEX('計算A'!$D$60:$DS$104,$B9,108)*GZ9=1,IF(AND($E9=2,LQ9=0),1000000,INDEX('計算A'!DG$110:DG$114,$F9+1)+IF(AND($E9=1,LQ9=0),1000,0)),1000000))</f>
        <v/>
      </c>
      <c r="QI9">
        <f>IF($B9=0,1000000,IF(INDEX('計算A'!$D$60:$DS$104,$B9,109)*HA9=1,IF(AND($E9=2,LR9=0),1000000,INDEX('計算A'!DH$110:DH$114,$F9+1)+IF(AND($E9=1,LR9=0),1000,0)),1000000))</f>
        <v/>
      </c>
      <c r="QJ9">
        <f>IF($B9=0,1000000,IF(INDEX('計算A'!$D$60:$DS$104,$B9,110)*HB9=1,IF(AND($E9=2,LS9=0),1000000,INDEX('計算A'!DI$110:DI$114,$F9+1)+IF(AND($E9=1,LS9=0),1000,0)),1000000))</f>
        <v/>
      </c>
      <c r="QK9">
        <f>IF($B9=0,1000000,IF(INDEX('計算A'!$D$60:$DS$104,$B9,111)*HC9=1,IF(AND($E9=2,LT9=0),1000000,INDEX('計算A'!DJ$110:DJ$114,$F9+1)+IF(AND($E9=1,LT9=0),1000,0)),1000000))</f>
        <v/>
      </c>
      <c r="QL9">
        <f>IF($B9=0,1000000,IF(INDEX('計算A'!$D$60:$DS$104,$B9,112)*HD9=1,IF(AND($E9=2,LU9=0),1000000,INDEX('計算A'!DK$110:DK$114,$F9+1)+IF(AND($E9=1,LU9=0),1000,0)),1000000))</f>
        <v/>
      </c>
      <c r="QM9">
        <f>IF($B9=0,1000000,IF(INDEX('計算A'!$D$60:$DS$104,$B9,113)*HE9=1,IF(AND($E9=2,LV9=0),1000000,INDEX('計算A'!DL$110:DL$114,$F9+1)+IF(AND($E9=1,LV9=0),1000,0)),1000000))</f>
        <v/>
      </c>
      <c r="QN9">
        <f>IF($B9=0,1000000,IF(INDEX('計算A'!$D$60:$DS$104,$B9,114)*HF9=1,IF(AND($E9=2,LW9=0),1000000,INDEX('計算A'!DM$110:DM$114,$F9+1)+IF(AND($E9=1,LW9=0),1000,0)),1000000))</f>
        <v/>
      </c>
      <c r="QO9">
        <f>IF($B9=0,1000000,IF(INDEX('計算A'!$D$60:$DS$104,$B9,115)*HG9=1,IF(AND($E9=2,LX9=0),1000000,INDEX('計算A'!DN$110:DN$114,$F9+1)+IF(AND($E9=1,LX9=0),1000,0)),1000000))</f>
        <v/>
      </c>
      <c r="QP9">
        <f>IF($B9=0,1000000,IF(INDEX('計算A'!$D$60:$DS$104,$B9,116)*HH9=1,IF(AND($E9=2,LY9=0),1000000,INDEX('計算A'!DO$110:DO$114,$F9+1)+IF(AND($E9=1,LY9=0),1000,0)),1000000))</f>
        <v/>
      </c>
      <c r="QQ9">
        <f>IF($B9=0,1000000,IF(INDEX('計算A'!$D$60:$DS$104,$B9,117)*HI9=1,IF(AND($E9=2,LZ9=0),1000000,INDEX('計算A'!DP$110:DP$114,$F9+1)+IF(AND($E9=1,LZ9=0),1000,0)),1000000))</f>
        <v/>
      </c>
      <c r="QR9">
        <f>IF($B9=0,1000000,IF(INDEX('計算A'!$D$60:$DS$104,$B9,118)*HJ9=1,IF(AND($E9=2,MA9=0),1000000,INDEX('計算A'!DQ$110:DQ$114,$F9+1)+IF(AND($E9=1,MA9=0),1000,0)),1000000))</f>
        <v/>
      </c>
      <c r="QS9">
        <f>IF($B9=0,1000000,IF(INDEX('計算A'!$D$60:$DS$104,$B9,119)*HK9=1,IF(AND($E9=2,MB9=0),1000000,INDEX('計算A'!DR$110:DR$114,$F9+1)+IF(AND($E9=1,MB9=0),1000,0)),1000000))</f>
        <v/>
      </c>
      <c r="QT9">
        <f>IF($B9=0,1000000,IF(INDEX('計算A'!$D$60:$DS$104,$B9,120)*HL9=1,IF(AND($E9=2,MC9=0),1000000,INDEX('計算A'!DS$110:DS$114,$F9+1)+IF(AND($E9=1,MC9=0),1000,0)),1000000))</f>
        <v/>
      </c>
    </row>
    <row r="10">
      <c r="A10" t="n">
        <v>8</v>
      </c>
      <c r="B10">
        <f>IF(MIN(BC10:CU10)&gt;=1000000,0,MATCH(MIN(BC10:CU10),BC10:CU10,0))</f>
        <v/>
      </c>
      <c r="C10">
        <f>IF(MIN(ME10:QT10)&gt;=1000000,0,MATCH(MIN(ME10:QT10),ME10:QT10,0))</f>
        <v/>
      </c>
      <c r="D10">
        <f>IF(C10&gt;0,INDEX('計算A'!$D$5:$DS$5,C10),0)</f>
        <v/>
      </c>
      <c r="E10">
        <f>IF(B10=0,0,INDEX('計算A'!$EA$10:$EA$54,B10))</f>
        <v/>
      </c>
      <c r="F10">
        <f>IF(B10=0,0,INDEX('計算A'!$DZ$10:$DZ$54,B10))</f>
        <v/>
      </c>
      <c r="G10">
        <f>IF(AND(C10&gt;0,E10&gt;0),IF(AND(INDEX('計算A'!$D$106:$DS$106,C10)=1,INDEX($HN10:$MC10,C10)=1),C10+1,0),0)</f>
        <v/>
      </c>
      <c r="I10">
        <f>MAX(I9,IF($B9=1,1,0))</f>
        <v/>
      </c>
      <c r="J10">
        <f>MAX(J9,IF($B9=2,1,0))</f>
        <v/>
      </c>
      <c r="K10">
        <f>MAX(K9,IF($B9=3,1,0))</f>
        <v/>
      </c>
      <c r="L10">
        <f>MAX(L9,IF($B9=4,1,0))</f>
        <v/>
      </c>
      <c r="M10">
        <f>MAX(M9,IF($B9=5,1,0))</f>
        <v/>
      </c>
      <c r="N10">
        <f>MAX(N9,IF($B9=6,1,0))</f>
        <v/>
      </c>
      <c r="O10">
        <f>MAX(O9,IF($B9=7,1,0))</f>
        <v/>
      </c>
      <c r="P10">
        <f>MAX(P9,IF($B9=8,1,0))</f>
        <v/>
      </c>
      <c r="Q10">
        <f>MAX(Q9,IF($B9=9,1,0))</f>
        <v/>
      </c>
      <c r="R10">
        <f>MAX(R9,IF($B9=10,1,0))</f>
        <v/>
      </c>
      <c r="S10">
        <f>MAX(S9,IF($B9=11,1,0))</f>
        <v/>
      </c>
      <c r="T10">
        <f>MAX(T9,IF($B9=12,1,0))</f>
        <v/>
      </c>
      <c r="U10">
        <f>MAX(U9,IF($B9=13,1,0))</f>
        <v/>
      </c>
      <c r="V10">
        <f>MAX(V9,IF($B9=14,1,0))</f>
        <v/>
      </c>
      <c r="W10">
        <f>MAX(W9,IF($B9=15,1,0))</f>
        <v/>
      </c>
      <c r="X10">
        <f>MAX(X9,IF($B9=16,1,0))</f>
        <v/>
      </c>
      <c r="Y10">
        <f>MAX(Y9,IF($B9=17,1,0))</f>
        <v/>
      </c>
      <c r="Z10">
        <f>MAX(Z9,IF($B9=18,1,0))</f>
        <v/>
      </c>
      <c r="AA10">
        <f>MAX(AA9,IF($B9=19,1,0))</f>
        <v/>
      </c>
      <c r="AB10">
        <f>MAX(AB9,IF($B9=20,1,0))</f>
        <v/>
      </c>
      <c r="AC10">
        <f>MAX(AC9,IF($B9=21,1,0))</f>
        <v/>
      </c>
      <c r="AD10">
        <f>MAX(AD9,IF($B9=22,1,0))</f>
        <v/>
      </c>
      <c r="AE10">
        <f>MAX(AE9,IF($B9=23,1,0))</f>
        <v/>
      </c>
      <c r="AF10">
        <f>MAX(AF9,IF($B9=24,1,0))</f>
        <v/>
      </c>
      <c r="AG10">
        <f>MAX(AG9,IF($B9=25,1,0))</f>
        <v/>
      </c>
      <c r="AH10">
        <f>MAX(AH9,IF($B9=26,1,0))</f>
        <v/>
      </c>
      <c r="AI10">
        <f>MAX(AI9,IF($B9=27,1,0))</f>
        <v/>
      </c>
      <c r="AJ10">
        <f>MAX(AJ9,IF($B9=28,1,0))</f>
        <v/>
      </c>
      <c r="AK10">
        <f>MAX(AK9,IF($B9=29,1,0))</f>
        <v/>
      </c>
      <c r="AL10">
        <f>MAX(AL9,IF($B9=30,1,0))</f>
        <v/>
      </c>
      <c r="AM10">
        <f>MAX(AM9,IF($B9=31,1,0))</f>
        <v/>
      </c>
      <c r="AN10">
        <f>MAX(AN9,IF($B9=32,1,0))</f>
        <v/>
      </c>
      <c r="AO10">
        <f>MAX(AO9,IF($B9=33,1,0))</f>
        <v/>
      </c>
      <c r="AP10">
        <f>MAX(AP9,IF($B9=34,1,0))</f>
        <v/>
      </c>
      <c r="AQ10">
        <f>MAX(AQ9,IF($B9=35,1,0))</f>
        <v/>
      </c>
      <c r="AR10">
        <f>MAX(AR9,IF($B9=36,1,0))</f>
        <v/>
      </c>
      <c r="AS10">
        <f>MAX(AS9,IF($B9=37,1,0))</f>
        <v/>
      </c>
      <c r="AT10">
        <f>MAX(AT9,IF($B9=38,1,0))</f>
        <v/>
      </c>
      <c r="AU10">
        <f>MAX(AU9,IF($B9=39,1,0))</f>
        <v/>
      </c>
      <c r="AV10">
        <f>MAX(AV9,IF($B9=40,1,0))</f>
        <v/>
      </c>
      <c r="AW10">
        <f>MAX(AW9,IF($B9=41,1,0))</f>
        <v/>
      </c>
      <c r="AX10">
        <f>MAX(AX9,IF($B9=42,1,0))</f>
        <v/>
      </c>
      <c r="AY10">
        <f>MAX(AY9,IF($B9=43,1,0))</f>
        <v/>
      </c>
      <c r="AZ10">
        <f>MAX(AZ9,IF($B9=44,1,0))</f>
        <v/>
      </c>
      <c r="BA10">
        <f>MAX(BA9,IF($B9=45,1,0))</f>
        <v/>
      </c>
      <c r="BC10">
        <f>IF(I10=1,1000000,IF('計算A'!$EA$10=2,SUMPRODUCT('計算A'!$D$60:$DS$60,$CW10:$HL10,$HN10:$MC10),SUMPRODUCT('計算A'!$D$60:$DS$60,$CW10:$HL10))*1000+1)</f>
        <v/>
      </c>
      <c r="BD10">
        <f>IF(J10=1,1000000,IF('計算A'!$EA$11=2,SUMPRODUCT('計算A'!$D$61:$DS$61,$CW10:$HL10,$HN10:$MC10),SUMPRODUCT('計算A'!$D$61:$DS$61,$CW10:$HL10))*1000+2)</f>
        <v/>
      </c>
      <c r="BE10">
        <f>IF(K10=1,1000000,IF('計算A'!$EA$12=2,SUMPRODUCT('計算A'!$D$62:$DS$62,$CW10:$HL10,$HN10:$MC10),SUMPRODUCT('計算A'!$D$62:$DS$62,$CW10:$HL10))*1000+3)</f>
        <v/>
      </c>
      <c r="BF10">
        <f>IF(L10=1,1000000,IF('計算A'!$EA$13=2,SUMPRODUCT('計算A'!$D$63:$DS$63,$CW10:$HL10,$HN10:$MC10),SUMPRODUCT('計算A'!$D$63:$DS$63,$CW10:$HL10))*1000+4)</f>
        <v/>
      </c>
      <c r="BG10">
        <f>IF(M10=1,1000000,IF('計算A'!$EA$14=2,SUMPRODUCT('計算A'!$D$64:$DS$64,$CW10:$HL10,$HN10:$MC10),SUMPRODUCT('計算A'!$D$64:$DS$64,$CW10:$HL10))*1000+5)</f>
        <v/>
      </c>
      <c r="BH10">
        <f>IF(N10=1,1000000,IF('計算A'!$EA$15=2,SUMPRODUCT('計算A'!$D$65:$DS$65,$CW10:$HL10,$HN10:$MC10),SUMPRODUCT('計算A'!$D$65:$DS$65,$CW10:$HL10))*1000+6)</f>
        <v/>
      </c>
      <c r="BI10">
        <f>IF(O10=1,1000000,IF('計算A'!$EA$16=2,SUMPRODUCT('計算A'!$D$66:$DS$66,$CW10:$HL10,$HN10:$MC10),SUMPRODUCT('計算A'!$D$66:$DS$66,$CW10:$HL10))*1000+7)</f>
        <v/>
      </c>
      <c r="BJ10">
        <f>IF(P10=1,1000000,IF('計算A'!$EA$17=2,SUMPRODUCT('計算A'!$D$67:$DS$67,$CW10:$HL10,$HN10:$MC10),SUMPRODUCT('計算A'!$D$67:$DS$67,$CW10:$HL10))*1000+8)</f>
        <v/>
      </c>
      <c r="BK10">
        <f>IF(Q10=1,1000000,IF('計算A'!$EA$18=2,SUMPRODUCT('計算A'!$D$68:$DS$68,$CW10:$HL10,$HN10:$MC10),SUMPRODUCT('計算A'!$D$68:$DS$68,$CW10:$HL10))*1000+9)</f>
        <v/>
      </c>
      <c r="BL10">
        <f>IF(R10=1,1000000,IF('計算A'!$EA$19=2,SUMPRODUCT('計算A'!$D$69:$DS$69,$CW10:$HL10,$HN10:$MC10),SUMPRODUCT('計算A'!$D$69:$DS$69,$CW10:$HL10))*1000+10)</f>
        <v/>
      </c>
      <c r="BM10">
        <f>IF(S10=1,1000000,IF('計算A'!$EA$20=2,SUMPRODUCT('計算A'!$D$70:$DS$70,$CW10:$HL10,$HN10:$MC10),SUMPRODUCT('計算A'!$D$70:$DS$70,$CW10:$HL10))*1000+11)</f>
        <v/>
      </c>
      <c r="BN10">
        <f>IF(T10=1,1000000,IF('計算A'!$EA$21=2,SUMPRODUCT('計算A'!$D$71:$DS$71,$CW10:$HL10,$HN10:$MC10),SUMPRODUCT('計算A'!$D$71:$DS$71,$CW10:$HL10))*1000+12)</f>
        <v/>
      </c>
      <c r="BO10">
        <f>IF(U10=1,1000000,IF('計算A'!$EA$22=2,SUMPRODUCT('計算A'!$D$72:$DS$72,$CW10:$HL10,$HN10:$MC10),SUMPRODUCT('計算A'!$D$72:$DS$72,$CW10:$HL10))*1000+13)</f>
        <v/>
      </c>
      <c r="BP10">
        <f>IF(V10=1,1000000,IF('計算A'!$EA$23=2,SUMPRODUCT('計算A'!$D$73:$DS$73,$CW10:$HL10,$HN10:$MC10),SUMPRODUCT('計算A'!$D$73:$DS$73,$CW10:$HL10))*1000+14)</f>
        <v/>
      </c>
      <c r="BQ10">
        <f>IF(W10=1,1000000,IF('計算A'!$EA$24=2,SUMPRODUCT('計算A'!$D$74:$DS$74,$CW10:$HL10,$HN10:$MC10),SUMPRODUCT('計算A'!$D$74:$DS$74,$CW10:$HL10))*1000+15)</f>
        <v/>
      </c>
      <c r="BR10">
        <f>IF(X10=1,1000000,IF('計算A'!$EA$25=2,SUMPRODUCT('計算A'!$D$75:$DS$75,$CW10:$HL10,$HN10:$MC10),SUMPRODUCT('計算A'!$D$75:$DS$75,$CW10:$HL10))*1000+16)</f>
        <v/>
      </c>
      <c r="BS10">
        <f>IF(Y10=1,1000000,IF('計算A'!$EA$26=2,SUMPRODUCT('計算A'!$D$76:$DS$76,$CW10:$HL10,$HN10:$MC10),SUMPRODUCT('計算A'!$D$76:$DS$76,$CW10:$HL10))*1000+17)</f>
        <v/>
      </c>
      <c r="BT10">
        <f>IF(Z10=1,1000000,IF('計算A'!$EA$27=2,SUMPRODUCT('計算A'!$D$77:$DS$77,$CW10:$HL10,$HN10:$MC10),SUMPRODUCT('計算A'!$D$77:$DS$77,$CW10:$HL10))*1000+18)</f>
        <v/>
      </c>
      <c r="BU10">
        <f>IF(AA10=1,1000000,IF('計算A'!$EA$28=2,SUMPRODUCT('計算A'!$D$78:$DS$78,$CW10:$HL10,$HN10:$MC10),SUMPRODUCT('計算A'!$D$78:$DS$78,$CW10:$HL10))*1000+19)</f>
        <v/>
      </c>
      <c r="BV10">
        <f>IF(AB10=1,1000000,IF('計算A'!$EA$29=2,SUMPRODUCT('計算A'!$D$79:$DS$79,$CW10:$HL10,$HN10:$MC10),SUMPRODUCT('計算A'!$D$79:$DS$79,$CW10:$HL10))*1000+20)</f>
        <v/>
      </c>
      <c r="BW10">
        <f>IF(AC10=1,1000000,IF('計算A'!$EA$30=2,SUMPRODUCT('計算A'!$D$80:$DS$80,$CW10:$HL10,$HN10:$MC10),SUMPRODUCT('計算A'!$D$80:$DS$80,$CW10:$HL10))*1000+21)</f>
        <v/>
      </c>
      <c r="BX10">
        <f>IF(AD10=1,1000000,IF('計算A'!$EA$31=2,SUMPRODUCT('計算A'!$D$81:$DS$81,$CW10:$HL10,$HN10:$MC10),SUMPRODUCT('計算A'!$D$81:$DS$81,$CW10:$HL10))*1000+22)</f>
        <v/>
      </c>
      <c r="BY10">
        <f>IF(AE10=1,1000000,IF('計算A'!$EA$32=2,SUMPRODUCT('計算A'!$D$82:$DS$82,$CW10:$HL10,$HN10:$MC10),SUMPRODUCT('計算A'!$D$82:$DS$82,$CW10:$HL10))*1000+23)</f>
        <v/>
      </c>
      <c r="BZ10">
        <f>IF(AF10=1,1000000,IF('計算A'!$EA$33=2,SUMPRODUCT('計算A'!$D$83:$DS$83,$CW10:$HL10,$HN10:$MC10),SUMPRODUCT('計算A'!$D$83:$DS$83,$CW10:$HL10))*1000+24)</f>
        <v/>
      </c>
      <c r="CA10">
        <f>IF(AG10=1,1000000,IF('計算A'!$EA$34=2,SUMPRODUCT('計算A'!$D$84:$DS$84,$CW10:$HL10,$HN10:$MC10),SUMPRODUCT('計算A'!$D$84:$DS$84,$CW10:$HL10))*1000+25)</f>
        <v/>
      </c>
      <c r="CB10">
        <f>IF(AH10=1,1000000,IF('計算A'!$EA$35=2,SUMPRODUCT('計算A'!$D$85:$DS$85,$CW10:$HL10,$HN10:$MC10),SUMPRODUCT('計算A'!$D$85:$DS$85,$CW10:$HL10))*1000+26)</f>
        <v/>
      </c>
      <c r="CC10">
        <f>IF(AI10=1,1000000,IF('計算A'!$EA$36=2,SUMPRODUCT('計算A'!$D$86:$DS$86,$CW10:$HL10,$HN10:$MC10),SUMPRODUCT('計算A'!$D$86:$DS$86,$CW10:$HL10))*1000+27)</f>
        <v/>
      </c>
      <c r="CD10">
        <f>IF(AJ10=1,1000000,IF('計算A'!$EA$37=2,SUMPRODUCT('計算A'!$D$87:$DS$87,$CW10:$HL10,$HN10:$MC10),SUMPRODUCT('計算A'!$D$87:$DS$87,$CW10:$HL10))*1000+28)</f>
        <v/>
      </c>
      <c r="CE10">
        <f>IF(AK10=1,1000000,IF('計算A'!$EA$38=2,SUMPRODUCT('計算A'!$D$88:$DS$88,$CW10:$HL10,$HN10:$MC10),SUMPRODUCT('計算A'!$D$88:$DS$88,$CW10:$HL10))*1000+29)</f>
        <v/>
      </c>
      <c r="CF10">
        <f>IF(AL10=1,1000000,IF('計算A'!$EA$39=2,SUMPRODUCT('計算A'!$D$89:$DS$89,$CW10:$HL10,$HN10:$MC10),SUMPRODUCT('計算A'!$D$89:$DS$89,$CW10:$HL10))*1000+30)</f>
        <v/>
      </c>
      <c r="CG10">
        <f>IF(AM10=1,1000000,IF('計算A'!$EA$40=2,SUMPRODUCT('計算A'!$D$90:$DS$90,$CW10:$HL10,$HN10:$MC10),SUMPRODUCT('計算A'!$D$90:$DS$90,$CW10:$HL10))*1000+31)</f>
        <v/>
      </c>
      <c r="CH10">
        <f>IF(AN10=1,1000000,IF('計算A'!$EA$41=2,SUMPRODUCT('計算A'!$D$91:$DS$91,$CW10:$HL10,$HN10:$MC10),SUMPRODUCT('計算A'!$D$91:$DS$91,$CW10:$HL10))*1000+32)</f>
        <v/>
      </c>
      <c r="CI10">
        <f>IF(AO10=1,1000000,IF('計算A'!$EA$42=2,SUMPRODUCT('計算A'!$D$92:$DS$92,$CW10:$HL10,$HN10:$MC10),SUMPRODUCT('計算A'!$D$92:$DS$92,$CW10:$HL10))*1000+33)</f>
        <v/>
      </c>
      <c r="CJ10">
        <f>IF(AP10=1,1000000,IF('計算A'!$EA$43=2,SUMPRODUCT('計算A'!$D$93:$DS$93,$CW10:$HL10,$HN10:$MC10),SUMPRODUCT('計算A'!$D$93:$DS$93,$CW10:$HL10))*1000+34)</f>
        <v/>
      </c>
      <c r="CK10">
        <f>IF(AQ10=1,1000000,IF('計算A'!$EA$44=2,SUMPRODUCT('計算A'!$D$94:$DS$94,$CW10:$HL10,$HN10:$MC10),SUMPRODUCT('計算A'!$D$94:$DS$94,$CW10:$HL10))*1000+35)</f>
        <v/>
      </c>
      <c r="CL10">
        <f>IF(AR10=1,1000000,IF('計算A'!$EA$45=2,SUMPRODUCT('計算A'!$D$95:$DS$95,$CW10:$HL10,$HN10:$MC10),SUMPRODUCT('計算A'!$D$95:$DS$95,$CW10:$HL10))*1000+36)</f>
        <v/>
      </c>
      <c r="CM10">
        <f>IF(AS10=1,1000000,IF('計算A'!$EA$46=2,SUMPRODUCT('計算A'!$D$96:$DS$96,$CW10:$HL10,$HN10:$MC10),SUMPRODUCT('計算A'!$D$96:$DS$96,$CW10:$HL10))*1000+37)</f>
        <v/>
      </c>
      <c r="CN10">
        <f>IF(AT10=1,1000000,IF('計算A'!$EA$47=2,SUMPRODUCT('計算A'!$D$97:$DS$97,$CW10:$HL10,$HN10:$MC10),SUMPRODUCT('計算A'!$D$97:$DS$97,$CW10:$HL10))*1000+38)</f>
        <v/>
      </c>
      <c r="CO10">
        <f>IF(AU10=1,1000000,IF('計算A'!$EA$48=2,SUMPRODUCT('計算A'!$D$98:$DS$98,$CW10:$HL10,$HN10:$MC10),SUMPRODUCT('計算A'!$D$98:$DS$98,$CW10:$HL10))*1000+39)</f>
        <v/>
      </c>
      <c r="CP10">
        <f>IF(AV10=1,1000000,IF('計算A'!$EA$49=2,SUMPRODUCT('計算A'!$D$99:$DS$99,$CW10:$HL10,$HN10:$MC10),SUMPRODUCT('計算A'!$D$99:$DS$99,$CW10:$HL10))*1000+40)</f>
        <v/>
      </c>
      <c r="CQ10">
        <f>IF(AW10=1,1000000,IF('計算A'!$EA$50=2,SUMPRODUCT('計算A'!$D$100:$DS$100,$CW10:$HL10,$HN10:$MC10),SUMPRODUCT('計算A'!$D$100:$DS$100,$CW10:$HL10))*1000+41)</f>
        <v/>
      </c>
      <c r="CR10">
        <f>IF(AX10=1,1000000,IF('計算A'!$EA$51=2,SUMPRODUCT('計算A'!$D$101:$DS$101,$CW10:$HL10,$HN10:$MC10),SUMPRODUCT('計算A'!$D$101:$DS$101,$CW10:$HL10))*1000+42)</f>
        <v/>
      </c>
      <c r="CS10">
        <f>IF(AY10=1,1000000,IF('計算A'!$EA$52=2,SUMPRODUCT('計算A'!$D$102:$DS$102,$CW10:$HL10,$HN10:$MC10),SUMPRODUCT('計算A'!$D$102:$DS$102,$CW10:$HL10))*1000+43)</f>
        <v/>
      </c>
      <c r="CT10">
        <f>IF(AZ10=1,1000000,IF('計算A'!$EA$53=2,SUMPRODUCT('計算A'!$D$103:$DS$103,$CW10:$HL10,$HN10:$MC10),SUMPRODUCT('計算A'!$D$103:$DS$103,$CW10:$HL10))*1000+44)</f>
        <v/>
      </c>
      <c r="CU10">
        <f>IF(BA10=1,1000000,IF('計算A'!$EA$54=2,SUMPRODUCT('計算A'!$D$104:$DS$104,$CW10:$HL10,$HN10:$MC10),SUMPRODUCT('計算A'!$D$104:$DS$104,$CW10:$HL10))*1000+45)</f>
        <v/>
      </c>
      <c r="CW10">
        <f>CW9*IF(OR($C9=1,$G9=1),0,1)</f>
        <v/>
      </c>
      <c r="CX10">
        <f>CX9*IF(OR($C9=2,$G9=2),0,1)</f>
        <v/>
      </c>
      <c r="CY10">
        <f>CY9*IF(OR($C9=3,$G9=3),0,1)</f>
        <v/>
      </c>
      <c r="CZ10">
        <f>CZ9*IF(OR($C9=4,$G9=4),0,1)</f>
        <v/>
      </c>
      <c r="DA10">
        <f>DA9*IF(OR($C9=5,$G9=5),0,1)</f>
        <v/>
      </c>
      <c r="DB10">
        <f>DB9*IF(OR($C9=6,$G9=6),0,1)</f>
        <v/>
      </c>
      <c r="DC10">
        <f>DC9*IF(OR($C9=7,$G9=7),0,1)</f>
        <v/>
      </c>
      <c r="DD10">
        <f>DD9*IF(OR($C9=8,$G9=8),0,1)</f>
        <v/>
      </c>
      <c r="DE10">
        <f>DE9*IF(OR($C9=9,$G9=9),0,1)</f>
        <v/>
      </c>
      <c r="DF10">
        <f>DF9*IF(OR($C9=10,$G9=10),0,1)</f>
        <v/>
      </c>
      <c r="DG10">
        <f>DG9*IF(OR($C9=11,$G9=11),0,1)</f>
        <v/>
      </c>
      <c r="DH10">
        <f>DH9*IF(OR($C9=12,$G9=12),0,1)</f>
        <v/>
      </c>
      <c r="DI10">
        <f>DI9*IF(OR($C9=13,$G9=13),0,1)</f>
        <v/>
      </c>
      <c r="DJ10">
        <f>DJ9*IF(OR($C9=14,$G9=14),0,1)</f>
        <v/>
      </c>
      <c r="DK10">
        <f>DK9*IF(OR($C9=15,$G9=15),0,1)</f>
        <v/>
      </c>
      <c r="DL10">
        <f>DL9*IF(OR($C9=16,$G9=16),0,1)</f>
        <v/>
      </c>
      <c r="DM10">
        <f>DM9*IF(OR($C9=17,$G9=17),0,1)</f>
        <v/>
      </c>
      <c r="DN10">
        <f>DN9*IF(OR($C9=18,$G9=18),0,1)</f>
        <v/>
      </c>
      <c r="DO10">
        <f>DO9*IF(OR($C9=19,$G9=19),0,1)</f>
        <v/>
      </c>
      <c r="DP10">
        <f>DP9*IF(OR($C9=20,$G9=20),0,1)</f>
        <v/>
      </c>
      <c r="DQ10">
        <f>DQ9*IF(OR($C9=21,$G9=21),0,1)</f>
        <v/>
      </c>
      <c r="DR10">
        <f>DR9*IF(OR($C9=22,$G9=22),0,1)</f>
        <v/>
      </c>
      <c r="DS10">
        <f>DS9*IF(OR($C9=23,$G9=23),0,1)</f>
        <v/>
      </c>
      <c r="DT10">
        <f>DT9*IF(OR($C9=24,$G9=24),0,1)</f>
        <v/>
      </c>
      <c r="DU10">
        <f>DU9*IF(OR($C9=25,$G9=25),0,1)</f>
        <v/>
      </c>
      <c r="DV10">
        <f>DV9*IF(OR($C9=26,$G9=26),0,1)</f>
        <v/>
      </c>
      <c r="DW10">
        <f>DW9*IF(OR($C9=27,$G9=27),0,1)</f>
        <v/>
      </c>
      <c r="DX10">
        <f>DX9*IF(OR($C9=28,$G9=28),0,1)</f>
        <v/>
      </c>
      <c r="DY10">
        <f>DY9*IF(OR($C9=29,$G9=29),0,1)</f>
        <v/>
      </c>
      <c r="DZ10">
        <f>DZ9*IF(OR($C9=30,$G9=30),0,1)</f>
        <v/>
      </c>
      <c r="EA10">
        <f>EA9*IF(OR($C9=31,$G9=31),0,1)</f>
        <v/>
      </c>
      <c r="EB10">
        <f>EB9*IF(OR($C9=32,$G9=32),0,1)</f>
        <v/>
      </c>
      <c r="EC10">
        <f>EC9*IF(OR($C9=33,$G9=33),0,1)</f>
        <v/>
      </c>
      <c r="ED10">
        <f>ED9*IF(OR($C9=34,$G9=34),0,1)</f>
        <v/>
      </c>
      <c r="EE10">
        <f>EE9*IF(OR($C9=35,$G9=35),0,1)</f>
        <v/>
      </c>
      <c r="EF10">
        <f>EF9*IF(OR($C9=36,$G9=36),0,1)</f>
        <v/>
      </c>
      <c r="EG10">
        <f>EG9*IF(OR($C9=37,$G9=37),0,1)</f>
        <v/>
      </c>
      <c r="EH10">
        <f>EH9*IF(OR($C9=38,$G9=38),0,1)</f>
        <v/>
      </c>
      <c r="EI10">
        <f>EI9*IF(OR($C9=39,$G9=39),0,1)</f>
        <v/>
      </c>
      <c r="EJ10">
        <f>EJ9*IF(OR($C9=40,$G9=40),0,1)</f>
        <v/>
      </c>
      <c r="EK10">
        <f>EK9*IF(OR($C9=41,$G9=41),0,1)</f>
        <v/>
      </c>
      <c r="EL10">
        <f>EL9*IF(OR($C9=42,$G9=42),0,1)</f>
        <v/>
      </c>
      <c r="EM10">
        <f>EM9*IF(OR($C9=43,$G9=43),0,1)</f>
        <v/>
      </c>
      <c r="EN10">
        <f>EN9*IF(OR($C9=44,$G9=44),0,1)</f>
        <v/>
      </c>
      <c r="EO10">
        <f>EO9*IF(OR($C9=45,$G9=45),0,1)</f>
        <v/>
      </c>
      <c r="EP10">
        <f>EP9*IF(OR($C9=46,$G9=46),0,1)</f>
        <v/>
      </c>
      <c r="EQ10">
        <f>EQ9*IF(OR($C9=47,$G9=47),0,1)</f>
        <v/>
      </c>
      <c r="ER10">
        <f>ER9*IF(OR($C9=48,$G9=48),0,1)</f>
        <v/>
      </c>
      <c r="ES10">
        <f>ES9*IF(OR($C9=49,$G9=49),0,1)</f>
        <v/>
      </c>
      <c r="ET10">
        <f>ET9*IF(OR($C9=50,$G9=50),0,1)</f>
        <v/>
      </c>
      <c r="EU10">
        <f>EU9*IF(OR($C9=51,$G9=51),0,1)</f>
        <v/>
      </c>
      <c r="EV10">
        <f>EV9*IF(OR($C9=52,$G9=52),0,1)</f>
        <v/>
      </c>
      <c r="EW10">
        <f>EW9*IF(OR($C9=53,$G9=53),0,1)</f>
        <v/>
      </c>
      <c r="EX10">
        <f>EX9*IF(OR($C9=54,$G9=54),0,1)</f>
        <v/>
      </c>
      <c r="EY10">
        <f>EY9*IF(OR($C9=55,$G9=55),0,1)</f>
        <v/>
      </c>
      <c r="EZ10">
        <f>EZ9*IF(OR($C9=56,$G9=56),0,1)</f>
        <v/>
      </c>
      <c r="FA10">
        <f>FA9*IF(OR($C9=57,$G9=57),0,1)</f>
        <v/>
      </c>
      <c r="FB10">
        <f>FB9*IF(OR($C9=58,$G9=58),0,1)</f>
        <v/>
      </c>
      <c r="FC10">
        <f>FC9*IF(OR($C9=59,$G9=59),0,1)</f>
        <v/>
      </c>
      <c r="FD10">
        <f>FD9*IF(OR($C9=60,$G9=60),0,1)</f>
        <v/>
      </c>
      <c r="FE10">
        <f>FE9*IF(OR($C9=61,$G9=61),0,1)</f>
        <v/>
      </c>
      <c r="FF10">
        <f>FF9*IF(OR($C9=62,$G9=62),0,1)</f>
        <v/>
      </c>
      <c r="FG10">
        <f>FG9*IF(OR($C9=63,$G9=63),0,1)</f>
        <v/>
      </c>
      <c r="FH10">
        <f>FH9*IF(OR($C9=64,$G9=64),0,1)</f>
        <v/>
      </c>
      <c r="FI10">
        <f>FI9*IF(OR($C9=65,$G9=65),0,1)</f>
        <v/>
      </c>
      <c r="FJ10">
        <f>FJ9*IF(OR($C9=66,$G9=66),0,1)</f>
        <v/>
      </c>
      <c r="FK10">
        <f>FK9*IF(OR($C9=67,$G9=67),0,1)</f>
        <v/>
      </c>
      <c r="FL10">
        <f>FL9*IF(OR($C9=68,$G9=68),0,1)</f>
        <v/>
      </c>
      <c r="FM10">
        <f>FM9*IF(OR($C9=69,$G9=69),0,1)</f>
        <v/>
      </c>
      <c r="FN10">
        <f>FN9*IF(OR($C9=70,$G9=70),0,1)</f>
        <v/>
      </c>
      <c r="FO10">
        <f>FO9*IF(OR($C9=71,$G9=71),0,1)</f>
        <v/>
      </c>
      <c r="FP10">
        <f>FP9*IF(OR($C9=72,$G9=72),0,1)</f>
        <v/>
      </c>
      <c r="FQ10">
        <f>FQ9*IF(OR($C9=73,$G9=73),0,1)</f>
        <v/>
      </c>
      <c r="FR10">
        <f>FR9*IF(OR($C9=74,$G9=74),0,1)</f>
        <v/>
      </c>
      <c r="FS10">
        <f>FS9*IF(OR($C9=75,$G9=75),0,1)</f>
        <v/>
      </c>
      <c r="FT10">
        <f>FT9*IF(OR($C9=76,$G9=76),0,1)</f>
        <v/>
      </c>
      <c r="FU10">
        <f>FU9*IF(OR($C9=77,$G9=77),0,1)</f>
        <v/>
      </c>
      <c r="FV10">
        <f>FV9*IF(OR($C9=78,$G9=78),0,1)</f>
        <v/>
      </c>
      <c r="FW10">
        <f>FW9*IF(OR($C9=79,$G9=79),0,1)</f>
        <v/>
      </c>
      <c r="FX10">
        <f>FX9*IF(OR($C9=80,$G9=80),0,1)</f>
        <v/>
      </c>
      <c r="FY10">
        <f>FY9*IF(OR($C9=81,$G9=81),0,1)</f>
        <v/>
      </c>
      <c r="FZ10">
        <f>FZ9*IF(OR($C9=82,$G9=82),0,1)</f>
        <v/>
      </c>
      <c r="GA10">
        <f>GA9*IF(OR($C9=83,$G9=83),0,1)</f>
        <v/>
      </c>
      <c r="GB10">
        <f>GB9*IF(OR($C9=84,$G9=84),0,1)</f>
        <v/>
      </c>
      <c r="GC10">
        <f>GC9*IF(OR($C9=85,$G9=85),0,1)</f>
        <v/>
      </c>
      <c r="GD10">
        <f>GD9*IF(OR($C9=86,$G9=86),0,1)</f>
        <v/>
      </c>
      <c r="GE10">
        <f>GE9*IF(OR($C9=87,$G9=87),0,1)</f>
        <v/>
      </c>
      <c r="GF10">
        <f>GF9*IF(OR($C9=88,$G9=88),0,1)</f>
        <v/>
      </c>
      <c r="GG10">
        <f>GG9*IF(OR($C9=89,$G9=89),0,1)</f>
        <v/>
      </c>
      <c r="GH10">
        <f>GH9*IF(OR($C9=90,$G9=90),0,1)</f>
        <v/>
      </c>
      <c r="GI10">
        <f>GI9*IF(OR($C9=91,$G9=91),0,1)</f>
        <v/>
      </c>
      <c r="GJ10">
        <f>GJ9*IF(OR($C9=92,$G9=92),0,1)</f>
        <v/>
      </c>
      <c r="GK10">
        <f>GK9*IF(OR($C9=93,$G9=93),0,1)</f>
        <v/>
      </c>
      <c r="GL10">
        <f>GL9*IF(OR($C9=94,$G9=94),0,1)</f>
        <v/>
      </c>
      <c r="GM10">
        <f>GM9*IF(OR($C9=95,$G9=95),0,1)</f>
        <v/>
      </c>
      <c r="GN10">
        <f>GN9*IF(OR($C9=96,$G9=96),0,1)</f>
        <v/>
      </c>
      <c r="GO10">
        <f>GO9*IF(OR($C9=97,$G9=97),0,1)</f>
        <v/>
      </c>
      <c r="GP10">
        <f>GP9*IF(OR($C9=98,$G9=98),0,1)</f>
        <v/>
      </c>
      <c r="GQ10">
        <f>GQ9*IF(OR($C9=99,$G9=99),0,1)</f>
        <v/>
      </c>
      <c r="GR10">
        <f>GR9*IF(OR($C9=100,$G9=100),0,1)</f>
        <v/>
      </c>
      <c r="GS10">
        <f>GS9*IF(OR($C9=101,$G9=101),0,1)</f>
        <v/>
      </c>
      <c r="GT10">
        <f>GT9*IF(OR($C9=102,$G9=102),0,1)</f>
        <v/>
      </c>
      <c r="GU10">
        <f>GU9*IF(OR($C9=103,$G9=103),0,1)</f>
        <v/>
      </c>
      <c r="GV10">
        <f>GV9*IF(OR($C9=104,$G9=104),0,1)</f>
        <v/>
      </c>
      <c r="GW10">
        <f>GW9*IF(OR($C9=105,$G9=105),0,1)</f>
        <v/>
      </c>
      <c r="GX10">
        <f>GX9*IF(OR($C9=106,$G9=106),0,1)</f>
        <v/>
      </c>
      <c r="GY10">
        <f>GY9*IF(OR($C9=107,$G9=107),0,1)</f>
        <v/>
      </c>
      <c r="GZ10">
        <f>GZ9*IF(OR($C9=108,$G9=108),0,1)</f>
        <v/>
      </c>
      <c r="HA10">
        <f>HA9*IF(OR($C9=109,$G9=109),0,1)</f>
        <v/>
      </c>
      <c r="HB10">
        <f>HB9*IF(OR($C9=110,$G9=110),0,1)</f>
        <v/>
      </c>
      <c r="HC10">
        <f>HC9*IF(OR($C9=111,$G9=111),0,1)</f>
        <v/>
      </c>
      <c r="HD10">
        <f>HD9*IF(OR($C9=112,$G9=112),0,1)</f>
        <v/>
      </c>
      <c r="HE10">
        <f>HE9*IF(OR($C9=113,$G9=113),0,1)</f>
        <v/>
      </c>
      <c r="HF10">
        <f>HF9*IF(OR($C9=114,$G9=114),0,1)</f>
        <v/>
      </c>
      <c r="HG10">
        <f>HG9*IF(OR($C9=115,$G9=115),0,1)</f>
        <v/>
      </c>
      <c r="HH10">
        <f>HH9*IF(OR($C9=116,$G9=116),0,1)</f>
        <v/>
      </c>
      <c r="HI10">
        <f>HI9*IF(OR($C9=117,$G9=117),0,1)</f>
        <v/>
      </c>
      <c r="HJ10">
        <f>HJ9*IF(OR($C9=118,$G9=118),0,1)</f>
        <v/>
      </c>
      <c r="HK10">
        <f>HK9*IF(OR($C9=119,$G9=119),0,1)</f>
        <v/>
      </c>
      <c r="HL10">
        <f>HL9*IF(OR($C9=120,$G9=120),0,1)</f>
        <v/>
      </c>
      <c r="HN10">
        <f>IF('計算A'!D$106=1,CX10,1)</f>
        <v/>
      </c>
      <c r="HO10">
        <f>IF('計算A'!E$106=1,CY10,1)</f>
        <v/>
      </c>
      <c r="HP10">
        <f>IF('計算A'!F$106=1,CZ10,1)</f>
        <v/>
      </c>
      <c r="HQ10">
        <f>IF('計算A'!G$106=1,DA10,1)</f>
        <v/>
      </c>
      <c r="HR10">
        <f>IF('計算A'!H$106=1,DB10,1)</f>
        <v/>
      </c>
      <c r="HS10">
        <f>IF('計算A'!I$106=1,DC10,1)</f>
        <v/>
      </c>
      <c r="HT10">
        <f>IF('計算A'!J$106=1,DD10,1)</f>
        <v/>
      </c>
      <c r="HU10">
        <f>IF('計算A'!K$106=1,DE10,1)</f>
        <v/>
      </c>
      <c r="HV10">
        <f>IF('計算A'!L$106=1,DF10,1)</f>
        <v/>
      </c>
      <c r="HW10">
        <f>IF('計算A'!M$106=1,DG10,1)</f>
        <v/>
      </c>
      <c r="HX10">
        <f>IF('計算A'!N$106=1,DH10,1)</f>
        <v/>
      </c>
      <c r="HY10">
        <f>IF('計算A'!O$106=1,DI10,1)</f>
        <v/>
      </c>
      <c r="HZ10">
        <f>IF('計算A'!P$106=1,DJ10,1)</f>
        <v/>
      </c>
      <c r="IA10">
        <f>IF('計算A'!Q$106=1,DK10,1)</f>
        <v/>
      </c>
      <c r="IB10">
        <f>IF('計算A'!R$106=1,DL10,1)</f>
        <v/>
      </c>
      <c r="IC10">
        <f>IF('計算A'!S$106=1,DM10,1)</f>
        <v/>
      </c>
      <c r="ID10">
        <f>IF('計算A'!T$106=1,DN10,1)</f>
        <v/>
      </c>
      <c r="IE10">
        <f>IF('計算A'!U$106=1,DO10,1)</f>
        <v/>
      </c>
      <c r="IF10">
        <f>IF('計算A'!V$106=1,DP10,1)</f>
        <v/>
      </c>
      <c r="IG10">
        <f>IF('計算A'!W$106=1,DQ10,1)</f>
        <v/>
      </c>
      <c r="IH10">
        <f>IF('計算A'!X$106=1,DR10,1)</f>
        <v/>
      </c>
      <c r="II10">
        <f>IF('計算A'!Y$106=1,DS10,1)</f>
        <v/>
      </c>
      <c r="IJ10">
        <f>IF('計算A'!Z$106=1,DT10,1)</f>
        <v/>
      </c>
      <c r="IK10">
        <f>IF('計算A'!AA$106=1,DU10,1)</f>
        <v/>
      </c>
      <c r="IL10">
        <f>IF('計算A'!AB$106=1,DV10,1)</f>
        <v/>
      </c>
      <c r="IM10">
        <f>IF('計算A'!AC$106=1,DW10,1)</f>
        <v/>
      </c>
      <c r="IN10">
        <f>IF('計算A'!AD$106=1,DX10,1)</f>
        <v/>
      </c>
      <c r="IO10">
        <f>IF('計算A'!AE$106=1,DY10,1)</f>
        <v/>
      </c>
      <c r="IP10">
        <f>IF('計算A'!AF$106=1,DZ10,1)</f>
        <v/>
      </c>
      <c r="IQ10">
        <f>IF('計算A'!AG$106=1,EA10,1)</f>
        <v/>
      </c>
      <c r="IR10">
        <f>IF('計算A'!AH$106=1,EB10,1)</f>
        <v/>
      </c>
      <c r="IS10">
        <f>IF('計算A'!AI$106=1,EC10,1)</f>
        <v/>
      </c>
      <c r="IT10">
        <f>IF('計算A'!AJ$106=1,ED10,1)</f>
        <v/>
      </c>
      <c r="IU10">
        <f>IF('計算A'!AK$106=1,EE10,1)</f>
        <v/>
      </c>
      <c r="IV10">
        <f>IF('計算A'!AL$106=1,EF10,1)</f>
        <v/>
      </c>
      <c r="IW10">
        <f>IF('計算A'!AM$106=1,EG10,1)</f>
        <v/>
      </c>
      <c r="IX10">
        <f>IF('計算A'!AN$106=1,EH10,1)</f>
        <v/>
      </c>
      <c r="IY10">
        <f>IF('計算A'!AO$106=1,EI10,1)</f>
        <v/>
      </c>
      <c r="IZ10">
        <f>IF('計算A'!AP$106=1,EJ10,1)</f>
        <v/>
      </c>
      <c r="JA10">
        <f>IF('計算A'!AQ$106=1,EK10,1)</f>
        <v/>
      </c>
      <c r="JB10">
        <f>IF('計算A'!AR$106=1,EL10,1)</f>
        <v/>
      </c>
      <c r="JC10">
        <f>IF('計算A'!AS$106=1,EM10,1)</f>
        <v/>
      </c>
      <c r="JD10">
        <f>IF('計算A'!AT$106=1,EN10,1)</f>
        <v/>
      </c>
      <c r="JE10">
        <f>IF('計算A'!AU$106=1,EO10,1)</f>
        <v/>
      </c>
      <c r="JF10">
        <f>IF('計算A'!AV$106=1,EP10,1)</f>
        <v/>
      </c>
      <c r="JG10">
        <f>IF('計算A'!AW$106=1,EQ10,1)</f>
        <v/>
      </c>
      <c r="JH10">
        <f>IF('計算A'!AX$106=1,ER10,1)</f>
        <v/>
      </c>
      <c r="JI10">
        <f>IF('計算A'!AY$106=1,ES10,1)</f>
        <v/>
      </c>
      <c r="JJ10">
        <f>IF('計算A'!AZ$106=1,ET10,1)</f>
        <v/>
      </c>
      <c r="JK10">
        <f>IF('計算A'!BA$106=1,EU10,1)</f>
        <v/>
      </c>
      <c r="JL10">
        <f>IF('計算A'!BB$106=1,EV10,1)</f>
        <v/>
      </c>
      <c r="JM10">
        <f>IF('計算A'!BC$106=1,EW10,1)</f>
        <v/>
      </c>
      <c r="JN10">
        <f>IF('計算A'!BD$106=1,EX10,1)</f>
        <v/>
      </c>
      <c r="JO10">
        <f>IF('計算A'!BE$106=1,EY10,1)</f>
        <v/>
      </c>
      <c r="JP10">
        <f>IF('計算A'!BF$106=1,EZ10,1)</f>
        <v/>
      </c>
      <c r="JQ10">
        <f>IF('計算A'!BG$106=1,FA10,1)</f>
        <v/>
      </c>
      <c r="JR10">
        <f>IF('計算A'!BH$106=1,FB10,1)</f>
        <v/>
      </c>
      <c r="JS10">
        <f>IF('計算A'!BI$106=1,FC10,1)</f>
        <v/>
      </c>
      <c r="JT10">
        <f>IF('計算A'!BJ$106=1,FD10,1)</f>
        <v/>
      </c>
      <c r="JU10">
        <f>IF('計算A'!BK$106=1,FE10,1)</f>
        <v/>
      </c>
      <c r="JV10">
        <f>IF('計算A'!BL$106=1,FF10,1)</f>
        <v/>
      </c>
      <c r="JW10">
        <f>IF('計算A'!BM$106=1,FG10,1)</f>
        <v/>
      </c>
      <c r="JX10">
        <f>IF('計算A'!BN$106=1,FH10,1)</f>
        <v/>
      </c>
      <c r="JY10">
        <f>IF('計算A'!BO$106=1,FI10,1)</f>
        <v/>
      </c>
      <c r="JZ10">
        <f>IF('計算A'!BP$106=1,FJ10,1)</f>
        <v/>
      </c>
      <c r="KA10">
        <f>IF('計算A'!BQ$106=1,FK10,1)</f>
        <v/>
      </c>
      <c r="KB10">
        <f>IF('計算A'!BR$106=1,FL10,1)</f>
        <v/>
      </c>
      <c r="KC10">
        <f>IF('計算A'!BS$106=1,FM10,1)</f>
        <v/>
      </c>
      <c r="KD10">
        <f>IF('計算A'!BT$106=1,FN10,1)</f>
        <v/>
      </c>
      <c r="KE10">
        <f>IF('計算A'!BU$106=1,FO10,1)</f>
        <v/>
      </c>
      <c r="KF10">
        <f>IF('計算A'!BV$106=1,FP10,1)</f>
        <v/>
      </c>
      <c r="KG10">
        <f>IF('計算A'!BW$106=1,FQ10,1)</f>
        <v/>
      </c>
      <c r="KH10">
        <f>IF('計算A'!BX$106=1,FR10,1)</f>
        <v/>
      </c>
      <c r="KI10">
        <f>IF('計算A'!BY$106=1,FS10,1)</f>
        <v/>
      </c>
      <c r="KJ10">
        <f>IF('計算A'!BZ$106=1,FT10,1)</f>
        <v/>
      </c>
      <c r="KK10">
        <f>IF('計算A'!CA$106=1,FU10,1)</f>
        <v/>
      </c>
      <c r="KL10">
        <f>IF('計算A'!CB$106=1,FV10,1)</f>
        <v/>
      </c>
      <c r="KM10">
        <f>IF('計算A'!CC$106=1,FW10,1)</f>
        <v/>
      </c>
      <c r="KN10">
        <f>IF('計算A'!CD$106=1,FX10,1)</f>
        <v/>
      </c>
      <c r="KO10">
        <f>IF('計算A'!CE$106=1,FY10,1)</f>
        <v/>
      </c>
      <c r="KP10">
        <f>IF('計算A'!CF$106=1,FZ10,1)</f>
        <v/>
      </c>
      <c r="KQ10">
        <f>IF('計算A'!CG$106=1,GA10,1)</f>
        <v/>
      </c>
      <c r="KR10">
        <f>IF('計算A'!CH$106=1,GB10,1)</f>
        <v/>
      </c>
      <c r="KS10">
        <f>IF('計算A'!CI$106=1,GC10,1)</f>
        <v/>
      </c>
      <c r="KT10">
        <f>IF('計算A'!CJ$106=1,GD10,1)</f>
        <v/>
      </c>
      <c r="KU10">
        <f>IF('計算A'!CK$106=1,GE10,1)</f>
        <v/>
      </c>
      <c r="KV10">
        <f>IF('計算A'!CL$106=1,GF10,1)</f>
        <v/>
      </c>
      <c r="KW10">
        <f>IF('計算A'!CM$106=1,GG10,1)</f>
        <v/>
      </c>
      <c r="KX10">
        <f>IF('計算A'!CN$106=1,GH10,1)</f>
        <v/>
      </c>
      <c r="KY10">
        <f>IF('計算A'!CO$106=1,GI10,1)</f>
        <v/>
      </c>
      <c r="KZ10">
        <f>IF('計算A'!CP$106=1,GJ10,1)</f>
        <v/>
      </c>
      <c r="LA10">
        <f>IF('計算A'!CQ$106=1,GK10,1)</f>
        <v/>
      </c>
      <c r="LB10">
        <f>IF('計算A'!CR$106=1,GL10,1)</f>
        <v/>
      </c>
      <c r="LC10">
        <f>IF('計算A'!CS$106=1,GM10,1)</f>
        <v/>
      </c>
      <c r="LD10">
        <f>IF('計算A'!CT$106=1,GN10,1)</f>
        <v/>
      </c>
      <c r="LE10">
        <f>IF('計算A'!CU$106=1,GO10,1)</f>
        <v/>
      </c>
      <c r="LF10">
        <f>IF('計算A'!CV$106=1,GP10,1)</f>
        <v/>
      </c>
      <c r="LG10">
        <f>IF('計算A'!CW$106=1,GQ10,1)</f>
        <v/>
      </c>
      <c r="LH10">
        <f>IF('計算A'!CX$106=1,GR10,1)</f>
        <v/>
      </c>
      <c r="LI10">
        <f>IF('計算A'!CY$106=1,GS10,1)</f>
        <v/>
      </c>
      <c r="LJ10">
        <f>IF('計算A'!CZ$106=1,GT10,1)</f>
        <v/>
      </c>
      <c r="LK10">
        <f>IF('計算A'!DA$106=1,GU10,1)</f>
        <v/>
      </c>
      <c r="LL10">
        <f>IF('計算A'!DB$106=1,GV10,1)</f>
        <v/>
      </c>
      <c r="LM10">
        <f>IF('計算A'!DC$106=1,GW10,1)</f>
        <v/>
      </c>
      <c r="LN10">
        <f>IF('計算A'!DD$106=1,GX10,1)</f>
        <v/>
      </c>
      <c r="LO10">
        <f>IF('計算A'!DE$106=1,GY10,1)</f>
        <v/>
      </c>
      <c r="LP10">
        <f>IF('計算A'!DF$106=1,GZ10,1)</f>
        <v/>
      </c>
      <c r="LQ10">
        <f>IF('計算A'!DG$106=1,HA10,1)</f>
        <v/>
      </c>
      <c r="LR10">
        <f>IF('計算A'!DH$106=1,HB10,1)</f>
        <v/>
      </c>
      <c r="LS10">
        <f>IF('計算A'!DI$106=1,HC10,1)</f>
        <v/>
      </c>
      <c r="LT10">
        <f>IF('計算A'!DJ$106=1,HD10,1)</f>
        <v/>
      </c>
      <c r="LU10">
        <f>IF('計算A'!DK$106=1,HE10,1)</f>
        <v/>
      </c>
      <c r="LV10">
        <f>IF('計算A'!DL$106=1,HF10,1)</f>
        <v/>
      </c>
      <c r="LW10">
        <f>IF('計算A'!DM$106=1,HG10,1)</f>
        <v/>
      </c>
      <c r="LX10">
        <f>IF('計算A'!DN$106=1,HH10,1)</f>
        <v/>
      </c>
      <c r="LY10">
        <f>IF('計算A'!DO$106=1,HI10,1)</f>
        <v/>
      </c>
      <c r="LZ10">
        <f>IF('計算A'!DP$106=1,HJ10,1)</f>
        <v/>
      </c>
      <c r="MA10">
        <f>IF('計算A'!DQ$106=1,HK10,1)</f>
        <v/>
      </c>
      <c r="MB10">
        <f>IF('計算A'!DR$106=1,HL10,1)</f>
        <v/>
      </c>
      <c r="MC10" t="n">
        <v>1</v>
      </c>
      <c r="ME10">
        <f>IF($B10=0,1000000,IF(INDEX('計算A'!$D$60:$DS$104,$B10,1)*CW10=1,IF(AND($E10=2,HN10=0),1000000,INDEX('計算A'!D$110:D$114,$F10+1)+IF(AND($E10=1,HN10=0),1000,0)),1000000))</f>
        <v/>
      </c>
      <c r="MF10">
        <f>IF($B10=0,1000000,IF(INDEX('計算A'!$D$60:$DS$104,$B10,2)*CX10=1,IF(AND($E10=2,HO10=0),1000000,INDEX('計算A'!E$110:E$114,$F10+1)+IF(AND($E10=1,HO10=0),1000,0)),1000000))</f>
        <v/>
      </c>
      <c r="MG10">
        <f>IF($B10=0,1000000,IF(INDEX('計算A'!$D$60:$DS$104,$B10,3)*CY10=1,IF(AND($E10=2,HP10=0),1000000,INDEX('計算A'!F$110:F$114,$F10+1)+IF(AND($E10=1,HP10=0),1000,0)),1000000))</f>
        <v/>
      </c>
      <c r="MH10">
        <f>IF($B10=0,1000000,IF(INDEX('計算A'!$D$60:$DS$104,$B10,4)*CZ10=1,IF(AND($E10=2,HQ10=0),1000000,INDEX('計算A'!G$110:G$114,$F10+1)+IF(AND($E10=1,HQ10=0),1000,0)),1000000))</f>
        <v/>
      </c>
      <c r="MI10">
        <f>IF($B10=0,1000000,IF(INDEX('計算A'!$D$60:$DS$104,$B10,5)*DA10=1,IF(AND($E10=2,HR10=0),1000000,INDEX('計算A'!H$110:H$114,$F10+1)+IF(AND($E10=1,HR10=0),1000,0)),1000000))</f>
        <v/>
      </c>
      <c r="MJ10">
        <f>IF($B10=0,1000000,IF(INDEX('計算A'!$D$60:$DS$104,$B10,6)*DB10=1,IF(AND($E10=2,HS10=0),1000000,INDEX('計算A'!I$110:I$114,$F10+1)+IF(AND($E10=1,HS10=0),1000,0)),1000000))</f>
        <v/>
      </c>
      <c r="MK10">
        <f>IF($B10=0,1000000,IF(INDEX('計算A'!$D$60:$DS$104,$B10,7)*DC10=1,IF(AND($E10=2,HT10=0),1000000,INDEX('計算A'!J$110:J$114,$F10+1)+IF(AND($E10=1,HT10=0),1000,0)),1000000))</f>
        <v/>
      </c>
      <c r="ML10">
        <f>IF($B10=0,1000000,IF(INDEX('計算A'!$D$60:$DS$104,$B10,8)*DD10=1,IF(AND($E10=2,HU10=0),1000000,INDEX('計算A'!K$110:K$114,$F10+1)+IF(AND($E10=1,HU10=0),1000,0)),1000000))</f>
        <v/>
      </c>
      <c r="MM10">
        <f>IF($B10=0,1000000,IF(INDEX('計算A'!$D$60:$DS$104,$B10,9)*DE10=1,IF(AND($E10=2,HV10=0),1000000,INDEX('計算A'!L$110:L$114,$F10+1)+IF(AND($E10=1,HV10=0),1000,0)),1000000))</f>
        <v/>
      </c>
      <c r="MN10">
        <f>IF($B10=0,1000000,IF(INDEX('計算A'!$D$60:$DS$104,$B10,10)*DF10=1,IF(AND($E10=2,HW10=0),1000000,INDEX('計算A'!M$110:M$114,$F10+1)+IF(AND($E10=1,HW10=0),1000,0)),1000000))</f>
        <v/>
      </c>
      <c r="MO10">
        <f>IF($B10=0,1000000,IF(INDEX('計算A'!$D$60:$DS$104,$B10,11)*DG10=1,IF(AND($E10=2,HX10=0),1000000,INDEX('計算A'!N$110:N$114,$F10+1)+IF(AND($E10=1,HX10=0),1000,0)),1000000))</f>
        <v/>
      </c>
      <c r="MP10">
        <f>IF($B10=0,1000000,IF(INDEX('計算A'!$D$60:$DS$104,$B10,12)*DH10=1,IF(AND($E10=2,HY10=0),1000000,INDEX('計算A'!O$110:O$114,$F10+1)+IF(AND($E10=1,HY10=0),1000,0)),1000000))</f>
        <v/>
      </c>
      <c r="MQ10">
        <f>IF($B10=0,1000000,IF(INDEX('計算A'!$D$60:$DS$104,$B10,13)*DI10=1,IF(AND($E10=2,HZ10=0),1000000,INDEX('計算A'!P$110:P$114,$F10+1)+IF(AND($E10=1,HZ10=0),1000,0)),1000000))</f>
        <v/>
      </c>
      <c r="MR10">
        <f>IF($B10=0,1000000,IF(INDEX('計算A'!$D$60:$DS$104,$B10,14)*DJ10=1,IF(AND($E10=2,IA10=0),1000000,INDEX('計算A'!Q$110:Q$114,$F10+1)+IF(AND($E10=1,IA10=0),1000,0)),1000000))</f>
        <v/>
      </c>
      <c r="MS10">
        <f>IF($B10=0,1000000,IF(INDEX('計算A'!$D$60:$DS$104,$B10,15)*DK10=1,IF(AND($E10=2,IB10=0),1000000,INDEX('計算A'!R$110:R$114,$F10+1)+IF(AND($E10=1,IB10=0),1000,0)),1000000))</f>
        <v/>
      </c>
      <c r="MT10">
        <f>IF($B10=0,1000000,IF(INDEX('計算A'!$D$60:$DS$104,$B10,16)*DL10=1,IF(AND($E10=2,IC10=0),1000000,INDEX('計算A'!S$110:S$114,$F10+1)+IF(AND($E10=1,IC10=0),1000,0)),1000000))</f>
        <v/>
      </c>
      <c r="MU10">
        <f>IF($B10=0,1000000,IF(INDEX('計算A'!$D$60:$DS$104,$B10,17)*DM10=1,IF(AND($E10=2,ID10=0),1000000,INDEX('計算A'!T$110:T$114,$F10+1)+IF(AND($E10=1,ID10=0),1000,0)),1000000))</f>
        <v/>
      </c>
      <c r="MV10">
        <f>IF($B10=0,1000000,IF(INDEX('計算A'!$D$60:$DS$104,$B10,18)*DN10=1,IF(AND($E10=2,IE10=0),1000000,INDEX('計算A'!U$110:U$114,$F10+1)+IF(AND($E10=1,IE10=0),1000,0)),1000000))</f>
        <v/>
      </c>
      <c r="MW10">
        <f>IF($B10=0,1000000,IF(INDEX('計算A'!$D$60:$DS$104,$B10,19)*DO10=1,IF(AND($E10=2,IF10=0),1000000,INDEX('計算A'!V$110:V$114,$F10+1)+IF(AND($E10=1,IF10=0),1000,0)),1000000))</f>
        <v/>
      </c>
      <c r="MX10">
        <f>IF($B10=0,1000000,IF(INDEX('計算A'!$D$60:$DS$104,$B10,20)*DP10=1,IF(AND($E10=2,IG10=0),1000000,INDEX('計算A'!W$110:W$114,$F10+1)+IF(AND($E10=1,IG10=0),1000,0)),1000000))</f>
        <v/>
      </c>
      <c r="MY10">
        <f>IF($B10=0,1000000,IF(INDEX('計算A'!$D$60:$DS$104,$B10,21)*DQ10=1,IF(AND($E10=2,IH10=0),1000000,INDEX('計算A'!X$110:X$114,$F10+1)+IF(AND($E10=1,IH10=0),1000,0)),1000000))</f>
        <v/>
      </c>
      <c r="MZ10">
        <f>IF($B10=0,1000000,IF(INDEX('計算A'!$D$60:$DS$104,$B10,22)*DR10=1,IF(AND($E10=2,II10=0),1000000,INDEX('計算A'!Y$110:Y$114,$F10+1)+IF(AND($E10=1,II10=0),1000,0)),1000000))</f>
        <v/>
      </c>
      <c r="NA10">
        <f>IF($B10=0,1000000,IF(INDEX('計算A'!$D$60:$DS$104,$B10,23)*DS10=1,IF(AND($E10=2,IJ10=0),1000000,INDEX('計算A'!Z$110:Z$114,$F10+1)+IF(AND($E10=1,IJ10=0),1000,0)),1000000))</f>
        <v/>
      </c>
      <c r="NB10">
        <f>IF($B10=0,1000000,IF(INDEX('計算A'!$D$60:$DS$104,$B10,24)*DT10=1,IF(AND($E10=2,IK10=0),1000000,INDEX('計算A'!AA$110:AA$114,$F10+1)+IF(AND($E10=1,IK10=0),1000,0)),1000000))</f>
        <v/>
      </c>
      <c r="NC10">
        <f>IF($B10=0,1000000,IF(INDEX('計算A'!$D$60:$DS$104,$B10,25)*DU10=1,IF(AND($E10=2,IL10=0),1000000,INDEX('計算A'!AB$110:AB$114,$F10+1)+IF(AND($E10=1,IL10=0),1000,0)),1000000))</f>
        <v/>
      </c>
      <c r="ND10">
        <f>IF($B10=0,1000000,IF(INDEX('計算A'!$D$60:$DS$104,$B10,26)*DV10=1,IF(AND($E10=2,IM10=0),1000000,INDEX('計算A'!AC$110:AC$114,$F10+1)+IF(AND($E10=1,IM10=0),1000,0)),1000000))</f>
        <v/>
      </c>
      <c r="NE10">
        <f>IF($B10=0,1000000,IF(INDEX('計算A'!$D$60:$DS$104,$B10,27)*DW10=1,IF(AND($E10=2,IN10=0),1000000,INDEX('計算A'!AD$110:AD$114,$F10+1)+IF(AND($E10=1,IN10=0),1000,0)),1000000))</f>
        <v/>
      </c>
      <c r="NF10">
        <f>IF($B10=0,1000000,IF(INDEX('計算A'!$D$60:$DS$104,$B10,28)*DX10=1,IF(AND($E10=2,IO10=0),1000000,INDEX('計算A'!AE$110:AE$114,$F10+1)+IF(AND($E10=1,IO10=0),1000,0)),1000000))</f>
        <v/>
      </c>
      <c r="NG10">
        <f>IF($B10=0,1000000,IF(INDEX('計算A'!$D$60:$DS$104,$B10,29)*DY10=1,IF(AND($E10=2,IP10=0),1000000,INDEX('計算A'!AF$110:AF$114,$F10+1)+IF(AND($E10=1,IP10=0),1000,0)),1000000))</f>
        <v/>
      </c>
      <c r="NH10">
        <f>IF($B10=0,1000000,IF(INDEX('計算A'!$D$60:$DS$104,$B10,30)*DZ10=1,IF(AND($E10=2,IQ10=0),1000000,INDEX('計算A'!AG$110:AG$114,$F10+1)+IF(AND($E10=1,IQ10=0),1000,0)),1000000))</f>
        <v/>
      </c>
      <c r="NI10">
        <f>IF($B10=0,1000000,IF(INDEX('計算A'!$D$60:$DS$104,$B10,31)*EA10=1,IF(AND($E10=2,IR10=0),1000000,INDEX('計算A'!AH$110:AH$114,$F10+1)+IF(AND($E10=1,IR10=0),1000,0)),1000000))</f>
        <v/>
      </c>
      <c r="NJ10">
        <f>IF($B10=0,1000000,IF(INDEX('計算A'!$D$60:$DS$104,$B10,32)*EB10=1,IF(AND($E10=2,IS10=0),1000000,INDEX('計算A'!AI$110:AI$114,$F10+1)+IF(AND($E10=1,IS10=0),1000,0)),1000000))</f>
        <v/>
      </c>
      <c r="NK10">
        <f>IF($B10=0,1000000,IF(INDEX('計算A'!$D$60:$DS$104,$B10,33)*EC10=1,IF(AND($E10=2,IT10=0),1000000,INDEX('計算A'!AJ$110:AJ$114,$F10+1)+IF(AND($E10=1,IT10=0),1000,0)),1000000))</f>
        <v/>
      </c>
      <c r="NL10">
        <f>IF($B10=0,1000000,IF(INDEX('計算A'!$D$60:$DS$104,$B10,34)*ED10=1,IF(AND($E10=2,IU10=0),1000000,INDEX('計算A'!AK$110:AK$114,$F10+1)+IF(AND($E10=1,IU10=0),1000,0)),1000000))</f>
        <v/>
      </c>
      <c r="NM10">
        <f>IF($B10=0,1000000,IF(INDEX('計算A'!$D$60:$DS$104,$B10,35)*EE10=1,IF(AND($E10=2,IV10=0),1000000,INDEX('計算A'!AL$110:AL$114,$F10+1)+IF(AND($E10=1,IV10=0),1000,0)),1000000))</f>
        <v/>
      </c>
      <c r="NN10">
        <f>IF($B10=0,1000000,IF(INDEX('計算A'!$D$60:$DS$104,$B10,36)*EF10=1,IF(AND($E10=2,IW10=0),1000000,INDEX('計算A'!AM$110:AM$114,$F10+1)+IF(AND($E10=1,IW10=0),1000,0)),1000000))</f>
        <v/>
      </c>
      <c r="NO10">
        <f>IF($B10=0,1000000,IF(INDEX('計算A'!$D$60:$DS$104,$B10,37)*EG10=1,IF(AND($E10=2,IX10=0),1000000,INDEX('計算A'!AN$110:AN$114,$F10+1)+IF(AND($E10=1,IX10=0),1000,0)),1000000))</f>
        <v/>
      </c>
      <c r="NP10">
        <f>IF($B10=0,1000000,IF(INDEX('計算A'!$D$60:$DS$104,$B10,38)*EH10=1,IF(AND($E10=2,IY10=0),1000000,INDEX('計算A'!AO$110:AO$114,$F10+1)+IF(AND($E10=1,IY10=0),1000,0)),1000000))</f>
        <v/>
      </c>
      <c r="NQ10">
        <f>IF($B10=0,1000000,IF(INDEX('計算A'!$D$60:$DS$104,$B10,39)*EI10=1,IF(AND($E10=2,IZ10=0),1000000,INDEX('計算A'!AP$110:AP$114,$F10+1)+IF(AND($E10=1,IZ10=0),1000,0)),1000000))</f>
        <v/>
      </c>
      <c r="NR10">
        <f>IF($B10=0,1000000,IF(INDEX('計算A'!$D$60:$DS$104,$B10,40)*EJ10=1,IF(AND($E10=2,JA10=0),1000000,INDEX('計算A'!AQ$110:AQ$114,$F10+1)+IF(AND($E10=1,JA10=0),1000,0)),1000000))</f>
        <v/>
      </c>
      <c r="NS10">
        <f>IF($B10=0,1000000,IF(INDEX('計算A'!$D$60:$DS$104,$B10,41)*EK10=1,IF(AND($E10=2,JB10=0),1000000,INDEX('計算A'!AR$110:AR$114,$F10+1)+IF(AND($E10=1,JB10=0),1000,0)),1000000))</f>
        <v/>
      </c>
      <c r="NT10">
        <f>IF($B10=0,1000000,IF(INDEX('計算A'!$D$60:$DS$104,$B10,42)*EL10=1,IF(AND($E10=2,JC10=0),1000000,INDEX('計算A'!AS$110:AS$114,$F10+1)+IF(AND($E10=1,JC10=0),1000,0)),1000000))</f>
        <v/>
      </c>
      <c r="NU10">
        <f>IF($B10=0,1000000,IF(INDEX('計算A'!$D$60:$DS$104,$B10,43)*EM10=1,IF(AND($E10=2,JD10=0),1000000,INDEX('計算A'!AT$110:AT$114,$F10+1)+IF(AND($E10=1,JD10=0),1000,0)),1000000))</f>
        <v/>
      </c>
      <c r="NV10">
        <f>IF($B10=0,1000000,IF(INDEX('計算A'!$D$60:$DS$104,$B10,44)*EN10=1,IF(AND($E10=2,JE10=0),1000000,INDEX('計算A'!AU$110:AU$114,$F10+1)+IF(AND($E10=1,JE10=0),1000,0)),1000000))</f>
        <v/>
      </c>
      <c r="NW10">
        <f>IF($B10=0,1000000,IF(INDEX('計算A'!$D$60:$DS$104,$B10,45)*EO10=1,IF(AND($E10=2,JF10=0),1000000,INDEX('計算A'!AV$110:AV$114,$F10+1)+IF(AND($E10=1,JF10=0),1000,0)),1000000))</f>
        <v/>
      </c>
      <c r="NX10">
        <f>IF($B10=0,1000000,IF(INDEX('計算A'!$D$60:$DS$104,$B10,46)*EP10=1,IF(AND($E10=2,JG10=0),1000000,INDEX('計算A'!AW$110:AW$114,$F10+1)+IF(AND($E10=1,JG10=0),1000,0)),1000000))</f>
        <v/>
      </c>
      <c r="NY10">
        <f>IF($B10=0,1000000,IF(INDEX('計算A'!$D$60:$DS$104,$B10,47)*EQ10=1,IF(AND($E10=2,JH10=0),1000000,INDEX('計算A'!AX$110:AX$114,$F10+1)+IF(AND($E10=1,JH10=0),1000,0)),1000000))</f>
        <v/>
      </c>
      <c r="NZ10">
        <f>IF($B10=0,1000000,IF(INDEX('計算A'!$D$60:$DS$104,$B10,48)*ER10=1,IF(AND($E10=2,JI10=0),1000000,INDEX('計算A'!AY$110:AY$114,$F10+1)+IF(AND($E10=1,JI10=0),1000,0)),1000000))</f>
        <v/>
      </c>
      <c r="OA10">
        <f>IF($B10=0,1000000,IF(INDEX('計算A'!$D$60:$DS$104,$B10,49)*ES10=1,IF(AND($E10=2,JJ10=0),1000000,INDEX('計算A'!AZ$110:AZ$114,$F10+1)+IF(AND($E10=1,JJ10=0),1000,0)),1000000))</f>
        <v/>
      </c>
      <c r="OB10">
        <f>IF($B10=0,1000000,IF(INDEX('計算A'!$D$60:$DS$104,$B10,50)*ET10=1,IF(AND($E10=2,JK10=0),1000000,INDEX('計算A'!BA$110:BA$114,$F10+1)+IF(AND($E10=1,JK10=0),1000,0)),1000000))</f>
        <v/>
      </c>
      <c r="OC10">
        <f>IF($B10=0,1000000,IF(INDEX('計算A'!$D$60:$DS$104,$B10,51)*EU10=1,IF(AND($E10=2,JL10=0),1000000,INDEX('計算A'!BB$110:BB$114,$F10+1)+IF(AND($E10=1,JL10=0),1000,0)),1000000))</f>
        <v/>
      </c>
      <c r="OD10">
        <f>IF($B10=0,1000000,IF(INDEX('計算A'!$D$60:$DS$104,$B10,52)*EV10=1,IF(AND($E10=2,JM10=0),1000000,INDEX('計算A'!BC$110:BC$114,$F10+1)+IF(AND($E10=1,JM10=0),1000,0)),1000000))</f>
        <v/>
      </c>
      <c r="OE10">
        <f>IF($B10=0,1000000,IF(INDEX('計算A'!$D$60:$DS$104,$B10,53)*EW10=1,IF(AND($E10=2,JN10=0),1000000,INDEX('計算A'!BD$110:BD$114,$F10+1)+IF(AND($E10=1,JN10=0),1000,0)),1000000))</f>
        <v/>
      </c>
      <c r="OF10">
        <f>IF($B10=0,1000000,IF(INDEX('計算A'!$D$60:$DS$104,$B10,54)*EX10=1,IF(AND($E10=2,JO10=0),1000000,INDEX('計算A'!BE$110:BE$114,$F10+1)+IF(AND($E10=1,JO10=0),1000,0)),1000000))</f>
        <v/>
      </c>
      <c r="OG10">
        <f>IF($B10=0,1000000,IF(INDEX('計算A'!$D$60:$DS$104,$B10,55)*EY10=1,IF(AND($E10=2,JP10=0),1000000,INDEX('計算A'!BF$110:BF$114,$F10+1)+IF(AND($E10=1,JP10=0),1000,0)),1000000))</f>
        <v/>
      </c>
      <c r="OH10">
        <f>IF($B10=0,1000000,IF(INDEX('計算A'!$D$60:$DS$104,$B10,56)*EZ10=1,IF(AND($E10=2,JQ10=0),1000000,INDEX('計算A'!BG$110:BG$114,$F10+1)+IF(AND($E10=1,JQ10=0),1000,0)),1000000))</f>
        <v/>
      </c>
      <c r="OI10">
        <f>IF($B10=0,1000000,IF(INDEX('計算A'!$D$60:$DS$104,$B10,57)*FA10=1,IF(AND($E10=2,JR10=0),1000000,INDEX('計算A'!BH$110:BH$114,$F10+1)+IF(AND($E10=1,JR10=0),1000,0)),1000000))</f>
        <v/>
      </c>
      <c r="OJ10">
        <f>IF($B10=0,1000000,IF(INDEX('計算A'!$D$60:$DS$104,$B10,58)*FB10=1,IF(AND($E10=2,JS10=0),1000000,INDEX('計算A'!BI$110:BI$114,$F10+1)+IF(AND($E10=1,JS10=0),1000,0)),1000000))</f>
        <v/>
      </c>
      <c r="OK10">
        <f>IF($B10=0,1000000,IF(INDEX('計算A'!$D$60:$DS$104,$B10,59)*FC10=1,IF(AND($E10=2,JT10=0),1000000,INDEX('計算A'!BJ$110:BJ$114,$F10+1)+IF(AND($E10=1,JT10=0),1000,0)),1000000))</f>
        <v/>
      </c>
      <c r="OL10">
        <f>IF($B10=0,1000000,IF(INDEX('計算A'!$D$60:$DS$104,$B10,60)*FD10=1,IF(AND($E10=2,JU10=0),1000000,INDEX('計算A'!BK$110:BK$114,$F10+1)+IF(AND($E10=1,JU10=0),1000,0)),1000000))</f>
        <v/>
      </c>
      <c r="OM10">
        <f>IF($B10=0,1000000,IF(INDEX('計算A'!$D$60:$DS$104,$B10,61)*FE10=1,IF(AND($E10=2,JV10=0),1000000,INDEX('計算A'!BL$110:BL$114,$F10+1)+IF(AND($E10=1,JV10=0),1000,0)),1000000))</f>
        <v/>
      </c>
      <c r="ON10">
        <f>IF($B10=0,1000000,IF(INDEX('計算A'!$D$60:$DS$104,$B10,62)*FF10=1,IF(AND($E10=2,JW10=0),1000000,INDEX('計算A'!BM$110:BM$114,$F10+1)+IF(AND($E10=1,JW10=0),1000,0)),1000000))</f>
        <v/>
      </c>
      <c r="OO10">
        <f>IF($B10=0,1000000,IF(INDEX('計算A'!$D$60:$DS$104,$B10,63)*FG10=1,IF(AND($E10=2,JX10=0),1000000,INDEX('計算A'!BN$110:BN$114,$F10+1)+IF(AND($E10=1,JX10=0),1000,0)),1000000))</f>
        <v/>
      </c>
      <c r="OP10">
        <f>IF($B10=0,1000000,IF(INDEX('計算A'!$D$60:$DS$104,$B10,64)*FH10=1,IF(AND($E10=2,JY10=0),1000000,INDEX('計算A'!BO$110:BO$114,$F10+1)+IF(AND($E10=1,JY10=0),1000,0)),1000000))</f>
        <v/>
      </c>
      <c r="OQ10">
        <f>IF($B10=0,1000000,IF(INDEX('計算A'!$D$60:$DS$104,$B10,65)*FI10=1,IF(AND($E10=2,JZ10=0),1000000,INDEX('計算A'!BP$110:BP$114,$F10+1)+IF(AND($E10=1,JZ10=0),1000,0)),1000000))</f>
        <v/>
      </c>
      <c r="OR10">
        <f>IF($B10=0,1000000,IF(INDEX('計算A'!$D$60:$DS$104,$B10,66)*FJ10=1,IF(AND($E10=2,KA10=0),1000000,INDEX('計算A'!BQ$110:BQ$114,$F10+1)+IF(AND($E10=1,KA10=0),1000,0)),1000000))</f>
        <v/>
      </c>
      <c r="OS10">
        <f>IF($B10=0,1000000,IF(INDEX('計算A'!$D$60:$DS$104,$B10,67)*FK10=1,IF(AND($E10=2,KB10=0),1000000,INDEX('計算A'!BR$110:BR$114,$F10+1)+IF(AND($E10=1,KB10=0),1000,0)),1000000))</f>
        <v/>
      </c>
      <c r="OT10">
        <f>IF($B10=0,1000000,IF(INDEX('計算A'!$D$60:$DS$104,$B10,68)*FL10=1,IF(AND($E10=2,KC10=0),1000000,INDEX('計算A'!BS$110:BS$114,$F10+1)+IF(AND($E10=1,KC10=0),1000,0)),1000000))</f>
        <v/>
      </c>
      <c r="OU10">
        <f>IF($B10=0,1000000,IF(INDEX('計算A'!$D$60:$DS$104,$B10,69)*FM10=1,IF(AND($E10=2,KD10=0),1000000,INDEX('計算A'!BT$110:BT$114,$F10+1)+IF(AND($E10=1,KD10=0),1000,0)),1000000))</f>
        <v/>
      </c>
      <c r="OV10">
        <f>IF($B10=0,1000000,IF(INDEX('計算A'!$D$60:$DS$104,$B10,70)*FN10=1,IF(AND($E10=2,KE10=0),1000000,INDEX('計算A'!BU$110:BU$114,$F10+1)+IF(AND($E10=1,KE10=0),1000,0)),1000000))</f>
        <v/>
      </c>
      <c r="OW10">
        <f>IF($B10=0,1000000,IF(INDEX('計算A'!$D$60:$DS$104,$B10,71)*FO10=1,IF(AND($E10=2,KF10=0),1000000,INDEX('計算A'!BV$110:BV$114,$F10+1)+IF(AND($E10=1,KF10=0),1000,0)),1000000))</f>
        <v/>
      </c>
      <c r="OX10">
        <f>IF($B10=0,1000000,IF(INDEX('計算A'!$D$60:$DS$104,$B10,72)*FP10=1,IF(AND($E10=2,KG10=0),1000000,INDEX('計算A'!BW$110:BW$114,$F10+1)+IF(AND($E10=1,KG10=0),1000,0)),1000000))</f>
        <v/>
      </c>
      <c r="OY10">
        <f>IF($B10=0,1000000,IF(INDEX('計算A'!$D$60:$DS$104,$B10,73)*FQ10=1,IF(AND($E10=2,KH10=0),1000000,INDEX('計算A'!BX$110:BX$114,$F10+1)+IF(AND($E10=1,KH10=0),1000,0)),1000000))</f>
        <v/>
      </c>
      <c r="OZ10">
        <f>IF($B10=0,1000000,IF(INDEX('計算A'!$D$60:$DS$104,$B10,74)*FR10=1,IF(AND($E10=2,KI10=0),1000000,INDEX('計算A'!BY$110:BY$114,$F10+1)+IF(AND($E10=1,KI10=0),1000,0)),1000000))</f>
        <v/>
      </c>
      <c r="PA10">
        <f>IF($B10=0,1000000,IF(INDEX('計算A'!$D$60:$DS$104,$B10,75)*FS10=1,IF(AND($E10=2,KJ10=0),1000000,INDEX('計算A'!BZ$110:BZ$114,$F10+1)+IF(AND($E10=1,KJ10=0),1000,0)),1000000))</f>
        <v/>
      </c>
      <c r="PB10">
        <f>IF($B10=0,1000000,IF(INDEX('計算A'!$D$60:$DS$104,$B10,76)*FT10=1,IF(AND($E10=2,KK10=0),1000000,INDEX('計算A'!CA$110:CA$114,$F10+1)+IF(AND($E10=1,KK10=0),1000,0)),1000000))</f>
        <v/>
      </c>
      <c r="PC10">
        <f>IF($B10=0,1000000,IF(INDEX('計算A'!$D$60:$DS$104,$B10,77)*FU10=1,IF(AND($E10=2,KL10=0),1000000,INDEX('計算A'!CB$110:CB$114,$F10+1)+IF(AND($E10=1,KL10=0),1000,0)),1000000))</f>
        <v/>
      </c>
      <c r="PD10">
        <f>IF($B10=0,1000000,IF(INDEX('計算A'!$D$60:$DS$104,$B10,78)*FV10=1,IF(AND($E10=2,KM10=0),1000000,INDEX('計算A'!CC$110:CC$114,$F10+1)+IF(AND($E10=1,KM10=0),1000,0)),1000000))</f>
        <v/>
      </c>
      <c r="PE10">
        <f>IF($B10=0,1000000,IF(INDEX('計算A'!$D$60:$DS$104,$B10,79)*FW10=1,IF(AND($E10=2,KN10=0),1000000,INDEX('計算A'!CD$110:CD$114,$F10+1)+IF(AND($E10=1,KN10=0),1000,0)),1000000))</f>
        <v/>
      </c>
      <c r="PF10">
        <f>IF($B10=0,1000000,IF(INDEX('計算A'!$D$60:$DS$104,$B10,80)*FX10=1,IF(AND($E10=2,KO10=0),1000000,INDEX('計算A'!CE$110:CE$114,$F10+1)+IF(AND($E10=1,KO10=0),1000,0)),1000000))</f>
        <v/>
      </c>
      <c r="PG10">
        <f>IF($B10=0,1000000,IF(INDEX('計算A'!$D$60:$DS$104,$B10,81)*FY10=1,IF(AND($E10=2,KP10=0),1000000,INDEX('計算A'!CF$110:CF$114,$F10+1)+IF(AND($E10=1,KP10=0),1000,0)),1000000))</f>
        <v/>
      </c>
      <c r="PH10">
        <f>IF($B10=0,1000000,IF(INDEX('計算A'!$D$60:$DS$104,$B10,82)*FZ10=1,IF(AND($E10=2,KQ10=0),1000000,INDEX('計算A'!CG$110:CG$114,$F10+1)+IF(AND($E10=1,KQ10=0),1000,0)),1000000))</f>
        <v/>
      </c>
      <c r="PI10">
        <f>IF($B10=0,1000000,IF(INDEX('計算A'!$D$60:$DS$104,$B10,83)*GA10=1,IF(AND($E10=2,KR10=0),1000000,INDEX('計算A'!CH$110:CH$114,$F10+1)+IF(AND($E10=1,KR10=0),1000,0)),1000000))</f>
        <v/>
      </c>
      <c r="PJ10">
        <f>IF($B10=0,1000000,IF(INDEX('計算A'!$D$60:$DS$104,$B10,84)*GB10=1,IF(AND($E10=2,KS10=0),1000000,INDEX('計算A'!CI$110:CI$114,$F10+1)+IF(AND($E10=1,KS10=0),1000,0)),1000000))</f>
        <v/>
      </c>
      <c r="PK10">
        <f>IF($B10=0,1000000,IF(INDEX('計算A'!$D$60:$DS$104,$B10,85)*GC10=1,IF(AND($E10=2,KT10=0),1000000,INDEX('計算A'!CJ$110:CJ$114,$F10+1)+IF(AND($E10=1,KT10=0),1000,0)),1000000))</f>
        <v/>
      </c>
      <c r="PL10">
        <f>IF($B10=0,1000000,IF(INDEX('計算A'!$D$60:$DS$104,$B10,86)*GD10=1,IF(AND($E10=2,KU10=0),1000000,INDEX('計算A'!CK$110:CK$114,$F10+1)+IF(AND($E10=1,KU10=0),1000,0)),1000000))</f>
        <v/>
      </c>
      <c r="PM10">
        <f>IF($B10=0,1000000,IF(INDEX('計算A'!$D$60:$DS$104,$B10,87)*GE10=1,IF(AND($E10=2,KV10=0),1000000,INDEX('計算A'!CL$110:CL$114,$F10+1)+IF(AND($E10=1,KV10=0),1000,0)),1000000))</f>
        <v/>
      </c>
      <c r="PN10">
        <f>IF($B10=0,1000000,IF(INDEX('計算A'!$D$60:$DS$104,$B10,88)*GF10=1,IF(AND($E10=2,KW10=0),1000000,INDEX('計算A'!CM$110:CM$114,$F10+1)+IF(AND($E10=1,KW10=0),1000,0)),1000000))</f>
        <v/>
      </c>
      <c r="PO10">
        <f>IF($B10=0,1000000,IF(INDEX('計算A'!$D$60:$DS$104,$B10,89)*GG10=1,IF(AND($E10=2,KX10=0),1000000,INDEX('計算A'!CN$110:CN$114,$F10+1)+IF(AND($E10=1,KX10=0),1000,0)),1000000))</f>
        <v/>
      </c>
      <c r="PP10">
        <f>IF($B10=0,1000000,IF(INDEX('計算A'!$D$60:$DS$104,$B10,90)*GH10=1,IF(AND($E10=2,KY10=0),1000000,INDEX('計算A'!CO$110:CO$114,$F10+1)+IF(AND($E10=1,KY10=0),1000,0)),1000000))</f>
        <v/>
      </c>
      <c r="PQ10">
        <f>IF($B10=0,1000000,IF(INDEX('計算A'!$D$60:$DS$104,$B10,91)*GI10=1,IF(AND($E10=2,KZ10=0),1000000,INDEX('計算A'!CP$110:CP$114,$F10+1)+IF(AND($E10=1,KZ10=0),1000,0)),1000000))</f>
        <v/>
      </c>
      <c r="PR10">
        <f>IF($B10=0,1000000,IF(INDEX('計算A'!$D$60:$DS$104,$B10,92)*GJ10=1,IF(AND($E10=2,LA10=0),1000000,INDEX('計算A'!CQ$110:CQ$114,$F10+1)+IF(AND($E10=1,LA10=0),1000,0)),1000000))</f>
        <v/>
      </c>
      <c r="PS10">
        <f>IF($B10=0,1000000,IF(INDEX('計算A'!$D$60:$DS$104,$B10,93)*GK10=1,IF(AND($E10=2,LB10=0),1000000,INDEX('計算A'!CR$110:CR$114,$F10+1)+IF(AND($E10=1,LB10=0),1000,0)),1000000))</f>
        <v/>
      </c>
      <c r="PT10">
        <f>IF($B10=0,1000000,IF(INDEX('計算A'!$D$60:$DS$104,$B10,94)*GL10=1,IF(AND($E10=2,LC10=0),1000000,INDEX('計算A'!CS$110:CS$114,$F10+1)+IF(AND($E10=1,LC10=0),1000,0)),1000000))</f>
        <v/>
      </c>
      <c r="PU10">
        <f>IF($B10=0,1000000,IF(INDEX('計算A'!$D$60:$DS$104,$B10,95)*GM10=1,IF(AND($E10=2,LD10=0),1000000,INDEX('計算A'!CT$110:CT$114,$F10+1)+IF(AND($E10=1,LD10=0),1000,0)),1000000))</f>
        <v/>
      </c>
      <c r="PV10">
        <f>IF($B10=0,1000000,IF(INDEX('計算A'!$D$60:$DS$104,$B10,96)*GN10=1,IF(AND($E10=2,LE10=0),1000000,INDEX('計算A'!CU$110:CU$114,$F10+1)+IF(AND($E10=1,LE10=0),1000,0)),1000000))</f>
        <v/>
      </c>
      <c r="PW10">
        <f>IF($B10=0,1000000,IF(INDEX('計算A'!$D$60:$DS$104,$B10,97)*GO10=1,IF(AND($E10=2,LF10=0),1000000,INDEX('計算A'!CV$110:CV$114,$F10+1)+IF(AND($E10=1,LF10=0),1000,0)),1000000))</f>
        <v/>
      </c>
      <c r="PX10">
        <f>IF($B10=0,1000000,IF(INDEX('計算A'!$D$60:$DS$104,$B10,98)*GP10=1,IF(AND($E10=2,LG10=0),1000000,INDEX('計算A'!CW$110:CW$114,$F10+1)+IF(AND($E10=1,LG10=0),1000,0)),1000000))</f>
        <v/>
      </c>
      <c r="PY10">
        <f>IF($B10=0,1000000,IF(INDEX('計算A'!$D$60:$DS$104,$B10,99)*GQ10=1,IF(AND($E10=2,LH10=0),1000000,INDEX('計算A'!CX$110:CX$114,$F10+1)+IF(AND($E10=1,LH10=0),1000,0)),1000000))</f>
        <v/>
      </c>
      <c r="PZ10">
        <f>IF($B10=0,1000000,IF(INDEX('計算A'!$D$60:$DS$104,$B10,100)*GR10=1,IF(AND($E10=2,LI10=0),1000000,INDEX('計算A'!CY$110:CY$114,$F10+1)+IF(AND($E10=1,LI10=0),1000,0)),1000000))</f>
        <v/>
      </c>
      <c r="QA10">
        <f>IF($B10=0,1000000,IF(INDEX('計算A'!$D$60:$DS$104,$B10,101)*GS10=1,IF(AND($E10=2,LJ10=0),1000000,INDEX('計算A'!CZ$110:CZ$114,$F10+1)+IF(AND($E10=1,LJ10=0),1000,0)),1000000))</f>
        <v/>
      </c>
      <c r="QB10">
        <f>IF($B10=0,1000000,IF(INDEX('計算A'!$D$60:$DS$104,$B10,102)*GT10=1,IF(AND($E10=2,LK10=0),1000000,INDEX('計算A'!DA$110:DA$114,$F10+1)+IF(AND($E10=1,LK10=0),1000,0)),1000000))</f>
        <v/>
      </c>
      <c r="QC10">
        <f>IF($B10=0,1000000,IF(INDEX('計算A'!$D$60:$DS$104,$B10,103)*GU10=1,IF(AND($E10=2,LL10=0),1000000,INDEX('計算A'!DB$110:DB$114,$F10+1)+IF(AND($E10=1,LL10=0),1000,0)),1000000))</f>
        <v/>
      </c>
      <c r="QD10">
        <f>IF($B10=0,1000000,IF(INDEX('計算A'!$D$60:$DS$104,$B10,104)*GV10=1,IF(AND($E10=2,LM10=0),1000000,INDEX('計算A'!DC$110:DC$114,$F10+1)+IF(AND($E10=1,LM10=0),1000,0)),1000000))</f>
        <v/>
      </c>
      <c r="QE10">
        <f>IF($B10=0,1000000,IF(INDEX('計算A'!$D$60:$DS$104,$B10,105)*GW10=1,IF(AND($E10=2,LN10=0),1000000,INDEX('計算A'!DD$110:DD$114,$F10+1)+IF(AND($E10=1,LN10=0),1000,0)),1000000))</f>
        <v/>
      </c>
      <c r="QF10">
        <f>IF($B10=0,1000000,IF(INDEX('計算A'!$D$60:$DS$104,$B10,106)*GX10=1,IF(AND($E10=2,LO10=0),1000000,INDEX('計算A'!DE$110:DE$114,$F10+1)+IF(AND($E10=1,LO10=0),1000,0)),1000000))</f>
        <v/>
      </c>
      <c r="QG10">
        <f>IF($B10=0,1000000,IF(INDEX('計算A'!$D$60:$DS$104,$B10,107)*GY10=1,IF(AND($E10=2,LP10=0),1000000,INDEX('計算A'!DF$110:DF$114,$F10+1)+IF(AND($E10=1,LP10=0),1000,0)),1000000))</f>
        <v/>
      </c>
      <c r="QH10">
        <f>IF($B10=0,1000000,IF(INDEX('計算A'!$D$60:$DS$104,$B10,108)*GZ10=1,IF(AND($E10=2,LQ10=0),1000000,INDEX('計算A'!DG$110:DG$114,$F10+1)+IF(AND($E10=1,LQ10=0),1000,0)),1000000))</f>
        <v/>
      </c>
      <c r="QI10">
        <f>IF($B10=0,1000000,IF(INDEX('計算A'!$D$60:$DS$104,$B10,109)*HA10=1,IF(AND($E10=2,LR10=0),1000000,INDEX('計算A'!DH$110:DH$114,$F10+1)+IF(AND($E10=1,LR10=0),1000,0)),1000000))</f>
        <v/>
      </c>
      <c r="QJ10">
        <f>IF($B10=0,1000000,IF(INDEX('計算A'!$D$60:$DS$104,$B10,110)*HB10=1,IF(AND($E10=2,LS10=0),1000000,INDEX('計算A'!DI$110:DI$114,$F10+1)+IF(AND($E10=1,LS10=0),1000,0)),1000000))</f>
        <v/>
      </c>
      <c r="QK10">
        <f>IF($B10=0,1000000,IF(INDEX('計算A'!$D$60:$DS$104,$B10,111)*HC10=1,IF(AND($E10=2,LT10=0),1000000,INDEX('計算A'!DJ$110:DJ$114,$F10+1)+IF(AND($E10=1,LT10=0),1000,0)),1000000))</f>
        <v/>
      </c>
      <c r="QL10">
        <f>IF($B10=0,1000000,IF(INDEX('計算A'!$D$60:$DS$104,$B10,112)*HD10=1,IF(AND($E10=2,LU10=0),1000000,INDEX('計算A'!DK$110:DK$114,$F10+1)+IF(AND($E10=1,LU10=0),1000,0)),1000000))</f>
        <v/>
      </c>
      <c r="QM10">
        <f>IF($B10=0,1000000,IF(INDEX('計算A'!$D$60:$DS$104,$B10,113)*HE10=1,IF(AND($E10=2,LV10=0),1000000,INDEX('計算A'!DL$110:DL$114,$F10+1)+IF(AND($E10=1,LV10=0),1000,0)),1000000))</f>
        <v/>
      </c>
      <c r="QN10">
        <f>IF($B10=0,1000000,IF(INDEX('計算A'!$D$60:$DS$104,$B10,114)*HF10=1,IF(AND($E10=2,LW10=0),1000000,INDEX('計算A'!DM$110:DM$114,$F10+1)+IF(AND($E10=1,LW10=0),1000,0)),1000000))</f>
        <v/>
      </c>
      <c r="QO10">
        <f>IF($B10=0,1000000,IF(INDEX('計算A'!$D$60:$DS$104,$B10,115)*HG10=1,IF(AND($E10=2,LX10=0),1000000,INDEX('計算A'!DN$110:DN$114,$F10+1)+IF(AND($E10=1,LX10=0),1000,0)),1000000))</f>
        <v/>
      </c>
      <c r="QP10">
        <f>IF($B10=0,1000000,IF(INDEX('計算A'!$D$60:$DS$104,$B10,116)*HH10=1,IF(AND($E10=2,LY10=0),1000000,INDEX('計算A'!DO$110:DO$114,$F10+1)+IF(AND($E10=1,LY10=0),1000,0)),1000000))</f>
        <v/>
      </c>
      <c r="QQ10">
        <f>IF($B10=0,1000000,IF(INDEX('計算A'!$D$60:$DS$104,$B10,117)*HI10=1,IF(AND($E10=2,LZ10=0),1000000,INDEX('計算A'!DP$110:DP$114,$F10+1)+IF(AND($E10=1,LZ10=0),1000,0)),1000000))</f>
        <v/>
      </c>
      <c r="QR10">
        <f>IF($B10=0,1000000,IF(INDEX('計算A'!$D$60:$DS$104,$B10,118)*HJ10=1,IF(AND($E10=2,MA10=0),1000000,INDEX('計算A'!DQ$110:DQ$114,$F10+1)+IF(AND($E10=1,MA10=0),1000,0)),1000000))</f>
        <v/>
      </c>
      <c r="QS10">
        <f>IF($B10=0,1000000,IF(INDEX('計算A'!$D$60:$DS$104,$B10,119)*HK10=1,IF(AND($E10=2,MB10=0),1000000,INDEX('計算A'!DR$110:DR$114,$F10+1)+IF(AND($E10=1,MB10=0),1000,0)),1000000))</f>
        <v/>
      </c>
      <c r="QT10">
        <f>IF($B10=0,1000000,IF(INDEX('計算A'!$D$60:$DS$104,$B10,120)*HL10=1,IF(AND($E10=2,MC10=0),1000000,INDEX('計算A'!DS$110:DS$114,$F10+1)+IF(AND($E10=1,MC10=0),1000,0)),1000000))</f>
        <v/>
      </c>
    </row>
    <row r="11">
      <c r="A11" t="n">
        <v>9</v>
      </c>
      <c r="B11">
        <f>IF(MIN(BC11:CU11)&gt;=1000000,0,MATCH(MIN(BC11:CU11),BC11:CU11,0))</f>
        <v/>
      </c>
      <c r="C11">
        <f>IF(MIN(ME11:QT11)&gt;=1000000,0,MATCH(MIN(ME11:QT11),ME11:QT11,0))</f>
        <v/>
      </c>
      <c r="D11">
        <f>IF(C11&gt;0,INDEX('計算A'!$D$5:$DS$5,C11),0)</f>
        <v/>
      </c>
      <c r="E11">
        <f>IF(B11=0,0,INDEX('計算A'!$EA$10:$EA$54,B11))</f>
        <v/>
      </c>
      <c r="F11">
        <f>IF(B11=0,0,INDEX('計算A'!$DZ$10:$DZ$54,B11))</f>
        <v/>
      </c>
      <c r="G11">
        <f>IF(AND(C11&gt;0,E11&gt;0),IF(AND(INDEX('計算A'!$D$106:$DS$106,C11)=1,INDEX($HN11:$MC11,C11)=1),C11+1,0),0)</f>
        <v/>
      </c>
      <c r="I11">
        <f>MAX(I10,IF($B10=1,1,0))</f>
        <v/>
      </c>
      <c r="J11">
        <f>MAX(J10,IF($B10=2,1,0))</f>
        <v/>
      </c>
      <c r="K11">
        <f>MAX(K10,IF($B10=3,1,0))</f>
        <v/>
      </c>
      <c r="L11">
        <f>MAX(L10,IF($B10=4,1,0))</f>
        <v/>
      </c>
      <c r="M11">
        <f>MAX(M10,IF($B10=5,1,0))</f>
        <v/>
      </c>
      <c r="N11">
        <f>MAX(N10,IF($B10=6,1,0))</f>
        <v/>
      </c>
      <c r="O11">
        <f>MAX(O10,IF($B10=7,1,0))</f>
        <v/>
      </c>
      <c r="P11">
        <f>MAX(P10,IF($B10=8,1,0))</f>
        <v/>
      </c>
      <c r="Q11">
        <f>MAX(Q10,IF($B10=9,1,0))</f>
        <v/>
      </c>
      <c r="R11">
        <f>MAX(R10,IF($B10=10,1,0))</f>
        <v/>
      </c>
      <c r="S11">
        <f>MAX(S10,IF($B10=11,1,0))</f>
        <v/>
      </c>
      <c r="T11">
        <f>MAX(T10,IF($B10=12,1,0))</f>
        <v/>
      </c>
      <c r="U11">
        <f>MAX(U10,IF($B10=13,1,0))</f>
        <v/>
      </c>
      <c r="V11">
        <f>MAX(V10,IF($B10=14,1,0))</f>
        <v/>
      </c>
      <c r="W11">
        <f>MAX(W10,IF($B10=15,1,0))</f>
        <v/>
      </c>
      <c r="X11">
        <f>MAX(X10,IF($B10=16,1,0))</f>
        <v/>
      </c>
      <c r="Y11">
        <f>MAX(Y10,IF($B10=17,1,0))</f>
        <v/>
      </c>
      <c r="Z11">
        <f>MAX(Z10,IF($B10=18,1,0))</f>
        <v/>
      </c>
      <c r="AA11">
        <f>MAX(AA10,IF($B10=19,1,0))</f>
        <v/>
      </c>
      <c r="AB11">
        <f>MAX(AB10,IF($B10=20,1,0))</f>
        <v/>
      </c>
      <c r="AC11">
        <f>MAX(AC10,IF($B10=21,1,0))</f>
        <v/>
      </c>
      <c r="AD11">
        <f>MAX(AD10,IF($B10=22,1,0))</f>
        <v/>
      </c>
      <c r="AE11">
        <f>MAX(AE10,IF($B10=23,1,0))</f>
        <v/>
      </c>
      <c r="AF11">
        <f>MAX(AF10,IF($B10=24,1,0))</f>
        <v/>
      </c>
      <c r="AG11">
        <f>MAX(AG10,IF($B10=25,1,0))</f>
        <v/>
      </c>
      <c r="AH11">
        <f>MAX(AH10,IF($B10=26,1,0))</f>
        <v/>
      </c>
      <c r="AI11">
        <f>MAX(AI10,IF($B10=27,1,0))</f>
        <v/>
      </c>
      <c r="AJ11">
        <f>MAX(AJ10,IF($B10=28,1,0))</f>
        <v/>
      </c>
      <c r="AK11">
        <f>MAX(AK10,IF($B10=29,1,0))</f>
        <v/>
      </c>
      <c r="AL11">
        <f>MAX(AL10,IF($B10=30,1,0))</f>
        <v/>
      </c>
      <c r="AM11">
        <f>MAX(AM10,IF($B10=31,1,0))</f>
        <v/>
      </c>
      <c r="AN11">
        <f>MAX(AN10,IF($B10=32,1,0))</f>
        <v/>
      </c>
      <c r="AO11">
        <f>MAX(AO10,IF($B10=33,1,0))</f>
        <v/>
      </c>
      <c r="AP11">
        <f>MAX(AP10,IF($B10=34,1,0))</f>
        <v/>
      </c>
      <c r="AQ11">
        <f>MAX(AQ10,IF($B10=35,1,0))</f>
        <v/>
      </c>
      <c r="AR11">
        <f>MAX(AR10,IF($B10=36,1,0))</f>
        <v/>
      </c>
      <c r="AS11">
        <f>MAX(AS10,IF($B10=37,1,0))</f>
        <v/>
      </c>
      <c r="AT11">
        <f>MAX(AT10,IF($B10=38,1,0))</f>
        <v/>
      </c>
      <c r="AU11">
        <f>MAX(AU10,IF($B10=39,1,0))</f>
        <v/>
      </c>
      <c r="AV11">
        <f>MAX(AV10,IF($B10=40,1,0))</f>
        <v/>
      </c>
      <c r="AW11">
        <f>MAX(AW10,IF($B10=41,1,0))</f>
        <v/>
      </c>
      <c r="AX11">
        <f>MAX(AX10,IF($B10=42,1,0))</f>
        <v/>
      </c>
      <c r="AY11">
        <f>MAX(AY10,IF($B10=43,1,0))</f>
        <v/>
      </c>
      <c r="AZ11">
        <f>MAX(AZ10,IF($B10=44,1,0))</f>
        <v/>
      </c>
      <c r="BA11">
        <f>MAX(BA10,IF($B10=45,1,0))</f>
        <v/>
      </c>
      <c r="BC11">
        <f>IF(I11=1,1000000,IF('計算A'!$EA$10=2,SUMPRODUCT('計算A'!$D$60:$DS$60,$CW11:$HL11,$HN11:$MC11),SUMPRODUCT('計算A'!$D$60:$DS$60,$CW11:$HL11))*1000+1)</f>
        <v/>
      </c>
      <c r="BD11">
        <f>IF(J11=1,1000000,IF('計算A'!$EA$11=2,SUMPRODUCT('計算A'!$D$61:$DS$61,$CW11:$HL11,$HN11:$MC11),SUMPRODUCT('計算A'!$D$61:$DS$61,$CW11:$HL11))*1000+2)</f>
        <v/>
      </c>
      <c r="BE11">
        <f>IF(K11=1,1000000,IF('計算A'!$EA$12=2,SUMPRODUCT('計算A'!$D$62:$DS$62,$CW11:$HL11,$HN11:$MC11),SUMPRODUCT('計算A'!$D$62:$DS$62,$CW11:$HL11))*1000+3)</f>
        <v/>
      </c>
      <c r="BF11">
        <f>IF(L11=1,1000000,IF('計算A'!$EA$13=2,SUMPRODUCT('計算A'!$D$63:$DS$63,$CW11:$HL11,$HN11:$MC11),SUMPRODUCT('計算A'!$D$63:$DS$63,$CW11:$HL11))*1000+4)</f>
        <v/>
      </c>
      <c r="BG11">
        <f>IF(M11=1,1000000,IF('計算A'!$EA$14=2,SUMPRODUCT('計算A'!$D$64:$DS$64,$CW11:$HL11,$HN11:$MC11),SUMPRODUCT('計算A'!$D$64:$DS$64,$CW11:$HL11))*1000+5)</f>
        <v/>
      </c>
      <c r="BH11">
        <f>IF(N11=1,1000000,IF('計算A'!$EA$15=2,SUMPRODUCT('計算A'!$D$65:$DS$65,$CW11:$HL11,$HN11:$MC11),SUMPRODUCT('計算A'!$D$65:$DS$65,$CW11:$HL11))*1000+6)</f>
        <v/>
      </c>
      <c r="BI11">
        <f>IF(O11=1,1000000,IF('計算A'!$EA$16=2,SUMPRODUCT('計算A'!$D$66:$DS$66,$CW11:$HL11,$HN11:$MC11),SUMPRODUCT('計算A'!$D$66:$DS$66,$CW11:$HL11))*1000+7)</f>
        <v/>
      </c>
      <c r="BJ11">
        <f>IF(P11=1,1000000,IF('計算A'!$EA$17=2,SUMPRODUCT('計算A'!$D$67:$DS$67,$CW11:$HL11,$HN11:$MC11),SUMPRODUCT('計算A'!$D$67:$DS$67,$CW11:$HL11))*1000+8)</f>
        <v/>
      </c>
      <c r="BK11">
        <f>IF(Q11=1,1000000,IF('計算A'!$EA$18=2,SUMPRODUCT('計算A'!$D$68:$DS$68,$CW11:$HL11,$HN11:$MC11),SUMPRODUCT('計算A'!$D$68:$DS$68,$CW11:$HL11))*1000+9)</f>
        <v/>
      </c>
      <c r="BL11">
        <f>IF(R11=1,1000000,IF('計算A'!$EA$19=2,SUMPRODUCT('計算A'!$D$69:$DS$69,$CW11:$HL11,$HN11:$MC11),SUMPRODUCT('計算A'!$D$69:$DS$69,$CW11:$HL11))*1000+10)</f>
        <v/>
      </c>
      <c r="BM11">
        <f>IF(S11=1,1000000,IF('計算A'!$EA$20=2,SUMPRODUCT('計算A'!$D$70:$DS$70,$CW11:$HL11,$HN11:$MC11),SUMPRODUCT('計算A'!$D$70:$DS$70,$CW11:$HL11))*1000+11)</f>
        <v/>
      </c>
      <c r="BN11">
        <f>IF(T11=1,1000000,IF('計算A'!$EA$21=2,SUMPRODUCT('計算A'!$D$71:$DS$71,$CW11:$HL11,$HN11:$MC11),SUMPRODUCT('計算A'!$D$71:$DS$71,$CW11:$HL11))*1000+12)</f>
        <v/>
      </c>
      <c r="BO11">
        <f>IF(U11=1,1000000,IF('計算A'!$EA$22=2,SUMPRODUCT('計算A'!$D$72:$DS$72,$CW11:$HL11,$HN11:$MC11),SUMPRODUCT('計算A'!$D$72:$DS$72,$CW11:$HL11))*1000+13)</f>
        <v/>
      </c>
      <c r="BP11">
        <f>IF(V11=1,1000000,IF('計算A'!$EA$23=2,SUMPRODUCT('計算A'!$D$73:$DS$73,$CW11:$HL11,$HN11:$MC11),SUMPRODUCT('計算A'!$D$73:$DS$73,$CW11:$HL11))*1000+14)</f>
        <v/>
      </c>
      <c r="BQ11">
        <f>IF(W11=1,1000000,IF('計算A'!$EA$24=2,SUMPRODUCT('計算A'!$D$74:$DS$74,$CW11:$HL11,$HN11:$MC11),SUMPRODUCT('計算A'!$D$74:$DS$74,$CW11:$HL11))*1000+15)</f>
        <v/>
      </c>
      <c r="BR11">
        <f>IF(X11=1,1000000,IF('計算A'!$EA$25=2,SUMPRODUCT('計算A'!$D$75:$DS$75,$CW11:$HL11,$HN11:$MC11),SUMPRODUCT('計算A'!$D$75:$DS$75,$CW11:$HL11))*1000+16)</f>
        <v/>
      </c>
      <c r="BS11">
        <f>IF(Y11=1,1000000,IF('計算A'!$EA$26=2,SUMPRODUCT('計算A'!$D$76:$DS$76,$CW11:$HL11,$HN11:$MC11),SUMPRODUCT('計算A'!$D$76:$DS$76,$CW11:$HL11))*1000+17)</f>
        <v/>
      </c>
      <c r="BT11">
        <f>IF(Z11=1,1000000,IF('計算A'!$EA$27=2,SUMPRODUCT('計算A'!$D$77:$DS$77,$CW11:$HL11,$HN11:$MC11),SUMPRODUCT('計算A'!$D$77:$DS$77,$CW11:$HL11))*1000+18)</f>
        <v/>
      </c>
      <c r="BU11">
        <f>IF(AA11=1,1000000,IF('計算A'!$EA$28=2,SUMPRODUCT('計算A'!$D$78:$DS$78,$CW11:$HL11,$HN11:$MC11),SUMPRODUCT('計算A'!$D$78:$DS$78,$CW11:$HL11))*1000+19)</f>
        <v/>
      </c>
      <c r="BV11">
        <f>IF(AB11=1,1000000,IF('計算A'!$EA$29=2,SUMPRODUCT('計算A'!$D$79:$DS$79,$CW11:$HL11,$HN11:$MC11),SUMPRODUCT('計算A'!$D$79:$DS$79,$CW11:$HL11))*1000+20)</f>
        <v/>
      </c>
      <c r="BW11">
        <f>IF(AC11=1,1000000,IF('計算A'!$EA$30=2,SUMPRODUCT('計算A'!$D$80:$DS$80,$CW11:$HL11,$HN11:$MC11),SUMPRODUCT('計算A'!$D$80:$DS$80,$CW11:$HL11))*1000+21)</f>
        <v/>
      </c>
      <c r="BX11">
        <f>IF(AD11=1,1000000,IF('計算A'!$EA$31=2,SUMPRODUCT('計算A'!$D$81:$DS$81,$CW11:$HL11,$HN11:$MC11),SUMPRODUCT('計算A'!$D$81:$DS$81,$CW11:$HL11))*1000+22)</f>
        <v/>
      </c>
      <c r="BY11">
        <f>IF(AE11=1,1000000,IF('計算A'!$EA$32=2,SUMPRODUCT('計算A'!$D$82:$DS$82,$CW11:$HL11,$HN11:$MC11),SUMPRODUCT('計算A'!$D$82:$DS$82,$CW11:$HL11))*1000+23)</f>
        <v/>
      </c>
      <c r="BZ11">
        <f>IF(AF11=1,1000000,IF('計算A'!$EA$33=2,SUMPRODUCT('計算A'!$D$83:$DS$83,$CW11:$HL11,$HN11:$MC11),SUMPRODUCT('計算A'!$D$83:$DS$83,$CW11:$HL11))*1000+24)</f>
        <v/>
      </c>
      <c r="CA11">
        <f>IF(AG11=1,1000000,IF('計算A'!$EA$34=2,SUMPRODUCT('計算A'!$D$84:$DS$84,$CW11:$HL11,$HN11:$MC11),SUMPRODUCT('計算A'!$D$84:$DS$84,$CW11:$HL11))*1000+25)</f>
        <v/>
      </c>
      <c r="CB11">
        <f>IF(AH11=1,1000000,IF('計算A'!$EA$35=2,SUMPRODUCT('計算A'!$D$85:$DS$85,$CW11:$HL11,$HN11:$MC11),SUMPRODUCT('計算A'!$D$85:$DS$85,$CW11:$HL11))*1000+26)</f>
        <v/>
      </c>
      <c r="CC11">
        <f>IF(AI11=1,1000000,IF('計算A'!$EA$36=2,SUMPRODUCT('計算A'!$D$86:$DS$86,$CW11:$HL11,$HN11:$MC11),SUMPRODUCT('計算A'!$D$86:$DS$86,$CW11:$HL11))*1000+27)</f>
        <v/>
      </c>
      <c r="CD11">
        <f>IF(AJ11=1,1000000,IF('計算A'!$EA$37=2,SUMPRODUCT('計算A'!$D$87:$DS$87,$CW11:$HL11,$HN11:$MC11),SUMPRODUCT('計算A'!$D$87:$DS$87,$CW11:$HL11))*1000+28)</f>
        <v/>
      </c>
      <c r="CE11">
        <f>IF(AK11=1,1000000,IF('計算A'!$EA$38=2,SUMPRODUCT('計算A'!$D$88:$DS$88,$CW11:$HL11,$HN11:$MC11),SUMPRODUCT('計算A'!$D$88:$DS$88,$CW11:$HL11))*1000+29)</f>
        <v/>
      </c>
      <c r="CF11">
        <f>IF(AL11=1,1000000,IF('計算A'!$EA$39=2,SUMPRODUCT('計算A'!$D$89:$DS$89,$CW11:$HL11,$HN11:$MC11),SUMPRODUCT('計算A'!$D$89:$DS$89,$CW11:$HL11))*1000+30)</f>
        <v/>
      </c>
      <c r="CG11">
        <f>IF(AM11=1,1000000,IF('計算A'!$EA$40=2,SUMPRODUCT('計算A'!$D$90:$DS$90,$CW11:$HL11,$HN11:$MC11),SUMPRODUCT('計算A'!$D$90:$DS$90,$CW11:$HL11))*1000+31)</f>
        <v/>
      </c>
      <c r="CH11">
        <f>IF(AN11=1,1000000,IF('計算A'!$EA$41=2,SUMPRODUCT('計算A'!$D$91:$DS$91,$CW11:$HL11,$HN11:$MC11),SUMPRODUCT('計算A'!$D$91:$DS$91,$CW11:$HL11))*1000+32)</f>
        <v/>
      </c>
      <c r="CI11">
        <f>IF(AO11=1,1000000,IF('計算A'!$EA$42=2,SUMPRODUCT('計算A'!$D$92:$DS$92,$CW11:$HL11,$HN11:$MC11),SUMPRODUCT('計算A'!$D$92:$DS$92,$CW11:$HL11))*1000+33)</f>
        <v/>
      </c>
      <c r="CJ11">
        <f>IF(AP11=1,1000000,IF('計算A'!$EA$43=2,SUMPRODUCT('計算A'!$D$93:$DS$93,$CW11:$HL11,$HN11:$MC11),SUMPRODUCT('計算A'!$D$93:$DS$93,$CW11:$HL11))*1000+34)</f>
        <v/>
      </c>
      <c r="CK11">
        <f>IF(AQ11=1,1000000,IF('計算A'!$EA$44=2,SUMPRODUCT('計算A'!$D$94:$DS$94,$CW11:$HL11,$HN11:$MC11),SUMPRODUCT('計算A'!$D$94:$DS$94,$CW11:$HL11))*1000+35)</f>
        <v/>
      </c>
      <c r="CL11">
        <f>IF(AR11=1,1000000,IF('計算A'!$EA$45=2,SUMPRODUCT('計算A'!$D$95:$DS$95,$CW11:$HL11,$HN11:$MC11),SUMPRODUCT('計算A'!$D$95:$DS$95,$CW11:$HL11))*1000+36)</f>
        <v/>
      </c>
      <c r="CM11">
        <f>IF(AS11=1,1000000,IF('計算A'!$EA$46=2,SUMPRODUCT('計算A'!$D$96:$DS$96,$CW11:$HL11,$HN11:$MC11),SUMPRODUCT('計算A'!$D$96:$DS$96,$CW11:$HL11))*1000+37)</f>
        <v/>
      </c>
      <c r="CN11">
        <f>IF(AT11=1,1000000,IF('計算A'!$EA$47=2,SUMPRODUCT('計算A'!$D$97:$DS$97,$CW11:$HL11,$HN11:$MC11),SUMPRODUCT('計算A'!$D$97:$DS$97,$CW11:$HL11))*1000+38)</f>
        <v/>
      </c>
      <c r="CO11">
        <f>IF(AU11=1,1000000,IF('計算A'!$EA$48=2,SUMPRODUCT('計算A'!$D$98:$DS$98,$CW11:$HL11,$HN11:$MC11),SUMPRODUCT('計算A'!$D$98:$DS$98,$CW11:$HL11))*1000+39)</f>
        <v/>
      </c>
      <c r="CP11">
        <f>IF(AV11=1,1000000,IF('計算A'!$EA$49=2,SUMPRODUCT('計算A'!$D$99:$DS$99,$CW11:$HL11,$HN11:$MC11),SUMPRODUCT('計算A'!$D$99:$DS$99,$CW11:$HL11))*1000+40)</f>
        <v/>
      </c>
      <c r="CQ11">
        <f>IF(AW11=1,1000000,IF('計算A'!$EA$50=2,SUMPRODUCT('計算A'!$D$100:$DS$100,$CW11:$HL11,$HN11:$MC11),SUMPRODUCT('計算A'!$D$100:$DS$100,$CW11:$HL11))*1000+41)</f>
        <v/>
      </c>
      <c r="CR11">
        <f>IF(AX11=1,1000000,IF('計算A'!$EA$51=2,SUMPRODUCT('計算A'!$D$101:$DS$101,$CW11:$HL11,$HN11:$MC11),SUMPRODUCT('計算A'!$D$101:$DS$101,$CW11:$HL11))*1000+42)</f>
        <v/>
      </c>
      <c r="CS11">
        <f>IF(AY11=1,1000000,IF('計算A'!$EA$52=2,SUMPRODUCT('計算A'!$D$102:$DS$102,$CW11:$HL11,$HN11:$MC11),SUMPRODUCT('計算A'!$D$102:$DS$102,$CW11:$HL11))*1000+43)</f>
        <v/>
      </c>
      <c r="CT11">
        <f>IF(AZ11=1,1000000,IF('計算A'!$EA$53=2,SUMPRODUCT('計算A'!$D$103:$DS$103,$CW11:$HL11,$HN11:$MC11),SUMPRODUCT('計算A'!$D$103:$DS$103,$CW11:$HL11))*1000+44)</f>
        <v/>
      </c>
      <c r="CU11">
        <f>IF(BA11=1,1000000,IF('計算A'!$EA$54=2,SUMPRODUCT('計算A'!$D$104:$DS$104,$CW11:$HL11,$HN11:$MC11),SUMPRODUCT('計算A'!$D$104:$DS$104,$CW11:$HL11))*1000+45)</f>
        <v/>
      </c>
      <c r="CW11">
        <f>CW10*IF(OR($C10=1,$G10=1),0,1)</f>
        <v/>
      </c>
      <c r="CX11">
        <f>CX10*IF(OR($C10=2,$G10=2),0,1)</f>
        <v/>
      </c>
      <c r="CY11">
        <f>CY10*IF(OR($C10=3,$G10=3),0,1)</f>
        <v/>
      </c>
      <c r="CZ11">
        <f>CZ10*IF(OR($C10=4,$G10=4),0,1)</f>
        <v/>
      </c>
      <c r="DA11">
        <f>DA10*IF(OR($C10=5,$G10=5),0,1)</f>
        <v/>
      </c>
      <c r="DB11">
        <f>DB10*IF(OR($C10=6,$G10=6),0,1)</f>
        <v/>
      </c>
      <c r="DC11">
        <f>DC10*IF(OR($C10=7,$G10=7),0,1)</f>
        <v/>
      </c>
      <c r="DD11">
        <f>DD10*IF(OR($C10=8,$G10=8),0,1)</f>
        <v/>
      </c>
      <c r="DE11">
        <f>DE10*IF(OR($C10=9,$G10=9),0,1)</f>
        <v/>
      </c>
      <c r="DF11">
        <f>DF10*IF(OR($C10=10,$G10=10),0,1)</f>
        <v/>
      </c>
      <c r="DG11">
        <f>DG10*IF(OR($C10=11,$G10=11),0,1)</f>
        <v/>
      </c>
      <c r="DH11">
        <f>DH10*IF(OR($C10=12,$G10=12),0,1)</f>
        <v/>
      </c>
      <c r="DI11">
        <f>DI10*IF(OR($C10=13,$G10=13),0,1)</f>
        <v/>
      </c>
      <c r="DJ11">
        <f>DJ10*IF(OR($C10=14,$G10=14),0,1)</f>
        <v/>
      </c>
      <c r="DK11">
        <f>DK10*IF(OR($C10=15,$G10=15),0,1)</f>
        <v/>
      </c>
      <c r="DL11">
        <f>DL10*IF(OR($C10=16,$G10=16),0,1)</f>
        <v/>
      </c>
      <c r="DM11">
        <f>DM10*IF(OR($C10=17,$G10=17),0,1)</f>
        <v/>
      </c>
      <c r="DN11">
        <f>DN10*IF(OR($C10=18,$G10=18),0,1)</f>
        <v/>
      </c>
      <c r="DO11">
        <f>DO10*IF(OR($C10=19,$G10=19),0,1)</f>
        <v/>
      </c>
      <c r="DP11">
        <f>DP10*IF(OR($C10=20,$G10=20),0,1)</f>
        <v/>
      </c>
      <c r="DQ11">
        <f>DQ10*IF(OR($C10=21,$G10=21),0,1)</f>
        <v/>
      </c>
      <c r="DR11">
        <f>DR10*IF(OR($C10=22,$G10=22),0,1)</f>
        <v/>
      </c>
      <c r="DS11">
        <f>DS10*IF(OR($C10=23,$G10=23),0,1)</f>
        <v/>
      </c>
      <c r="DT11">
        <f>DT10*IF(OR($C10=24,$G10=24),0,1)</f>
        <v/>
      </c>
      <c r="DU11">
        <f>DU10*IF(OR($C10=25,$G10=25),0,1)</f>
        <v/>
      </c>
      <c r="DV11">
        <f>DV10*IF(OR($C10=26,$G10=26),0,1)</f>
        <v/>
      </c>
      <c r="DW11">
        <f>DW10*IF(OR($C10=27,$G10=27),0,1)</f>
        <v/>
      </c>
      <c r="DX11">
        <f>DX10*IF(OR($C10=28,$G10=28),0,1)</f>
        <v/>
      </c>
      <c r="DY11">
        <f>DY10*IF(OR($C10=29,$G10=29),0,1)</f>
        <v/>
      </c>
      <c r="DZ11">
        <f>DZ10*IF(OR($C10=30,$G10=30),0,1)</f>
        <v/>
      </c>
      <c r="EA11">
        <f>EA10*IF(OR($C10=31,$G10=31),0,1)</f>
        <v/>
      </c>
      <c r="EB11">
        <f>EB10*IF(OR($C10=32,$G10=32),0,1)</f>
        <v/>
      </c>
      <c r="EC11">
        <f>EC10*IF(OR($C10=33,$G10=33),0,1)</f>
        <v/>
      </c>
      <c r="ED11">
        <f>ED10*IF(OR($C10=34,$G10=34),0,1)</f>
        <v/>
      </c>
      <c r="EE11">
        <f>EE10*IF(OR($C10=35,$G10=35),0,1)</f>
        <v/>
      </c>
      <c r="EF11">
        <f>EF10*IF(OR($C10=36,$G10=36),0,1)</f>
        <v/>
      </c>
      <c r="EG11">
        <f>EG10*IF(OR($C10=37,$G10=37),0,1)</f>
        <v/>
      </c>
      <c r="EH11">
        <f>EH10*IF(OR($C10=38,$G10=38),0,1)</f>
        <v/>
      </c>
      <c r="EI11">
        <f>EI10*IF(OR($C10=39,$G10=39),0,1)</f>
        <v/>
      </c>
      <c r="EJ11">
        <f>EJ10*IF(OR($C10=40,$G10=40),0,1)</f>
        <v/>
      </c>
      <c r="EK11">
        <f>EK10*IF(OR($C10=41,$G10=41),0,1)</f>
        <v/>
      </c>
      <c r="EL11">
        <f>EL10*IF(OR($C10=42,$G10=42),0,1)</f>
        <v/>
      </c>
      <c r="EM11">
        <f>EM10*IF(OR($C10=43,$G10=43),0,1)</f>
        <v/>
      </c>
      <c r="EN11">
        <f>EN10*IF(OR($C10=44,$G10=44),0,1)</f>
        <v/>
      </c>
      <c r="EO11">
        <f>EO10*IF(OR($C10=45,$G10=45),0,1)</f>
        <v/>
      </c>
      <c r="EP11">
        <f>EP10*IF(OR($C10=46,$G10=46),0,1)</f>
        <v/>
      </c>
      <c r="EQ11">
        <f>EQ10*IF(OR($C10=47,$G10=47),0,1)</f>
        <v/>
      </c>
      <c r="ER11">
        <f>ER10*IF(OR($C10=48,$G10=48),0,1)</f>
        <v/>
      </c>
      <c r="ES11">
        <f>ES10*IF(OR($C10=49,$G10=49),0,1)</f>
        <v/>
      </c>
      <c r="ET11">
        <f>ET10*IF(OR($C10=50,$G10=50),0,1)</f>
        <v/>
      </c>
      <c r="EU11">
        <f>EU10*IF(OR($C10=51,$G10=51),0,1)</f>
        <v/>
      </c>
      <c r="EV11">
        <f>EV10*IF(OR($C10=52,$G10=52),0,1)</f>
        <v/>
      </c>
      <c r="EW11">
        <f>EW10*IF(OR($C10=53,$G10=53),0,1)</f>
        <v/>
      </c>
      <c r="EX11">
        <f>EX10*IF(OR($C10=54,$G10=54),0,1)</f>
        <v/>
      </c>
      <c r="EY11">
        <f>EY10*IF(OR($C10=55,$G10=55),0,1)</f>
        <v/>
      </c>
      <c r="EZ11">
        <f>EZ10*IF(OR($C10=56,$G10=56),0,1)</f>
        <v/>
      </c>
      <c r="FA11">
        <f>FA10*IF(OR($C10=57,$G10=57),0,1)</f>
        <v/>
      </c>
      <c r="FB11">
        <f>FB10*IF(OR($C10=58,$G10=58),0,1)</f>
        <v/>
      </c>
      <c r="FC11">
        <f>FC10*IF(OR($C10=59,$G10=59),0,1)</f>
        <v/>
      </c>
      <c r="FD11">
        <f>FD10*IF(OR($C10=60,$G10=60),0,1)</f>
        <v/>
      </c>
      <c r="FE11">
        <f>FE10*IF(OR($C10=61,$G10=61),0,1)</f>
        <v/>
      </c>
      <c r="FF11">
        <f>FF10*IF(OR($C10=62,$G10=62),0,1)</f>
        <v/>
      </c>
      <c r="FG11">
        <f>FG10*IF(OR($C10=63,$G10=63),0,1)</f>
        <v/>
      </c>
      <c r="FH11">
        <f>FH10*IF(OR($C10=64,$G10=64),0,1)</f>
        <v/>
      </c>
      <c r="FI11">
        <f>FI10*IF(OR($C10=65,$G10=65),0,1)</f>
        <v/>
      </c>
      <c r="FJ11">
        <f>FJ10*IF(OR($C10=66,$G10=66),0,1)</f>
        <v/>
      </c>
      <c r="FK11">
        <f>FK10*IF(OR($C10=67,$G10=67),0,1)</f>
        <v/>
      </c>
      <c r="FL11">
        <f>FL10*IF(OR($C10=68,$G10=68),0,1)</f>
        <v/>
      </c>
      <c r="FM11">
        <f>FM10*IF(OR($C10=69,$G10=69),0,1)</f>
        <v/>
      </c>
      <c r="FN11">
        <f>FN10*IF(OR($C10=70,$G10=70),0,1)</f>
        <v/>
      </c>
      <c r="FO11">
        <f>FO10*IF(OR($C10=71,$G10=71),0,1)</f>
        <v/>
      </c>
      <c r="FP11">
        <f>FP10*IF(OR($C10=72,$G10=72),0,1)</f>
        <v/>
      </c>
      <c r="FQ11">
        <f>FQ10*IF(OR($C10=73,$G10=73),0,1)</f>
        <v/>
      </c>
      <c r="FR11">
        <f>FR10*IF(OR($C10=74,$G10=74),0,1)</f>
        <v/>
      </c>
      <c r="FS11">
        <f>FS10*IF(OR($C10=75,$G10=75),0,1)</f>
        <v/>
      </c>
      <c r="FT11">
        <f>FT10*IF(OR($C10=76,$G10=76),0,1)</f>
        <v/>
      </c>
      <c r="FU11">
        <f>FU10*IF(OR($C10=77,$G10=77),0,1)</f>
        <v/>
      </c>
      <c r="FV11">
        <f>FV10*IF(OR($C10=78,$G10=78),0,1)</f>
        <v/>
      </c>
      <c r="FW11">
        <f>FW10*IF(OR($C10=79,$G10=79),0,1)</f>
        <v/>
      </c>
      <c r="FX11">
        <f>FX10*IF(OR($C10=80,$G10=80),0,1)</f>
        <v/>
      </c>
      <c r="FY11">
        <f>FY10*IF(OR($C10=81,$G10=81),0,1)</f>
        <v/>
      </c>
      <c r="FZ11">
        <f>FZ10*IF(OR($C10=82,$G10=82),0,1)</f>
        <v/>
      </c>
      <c r="GA11">
        <f>GA10*IF(OR($C10=83,$G10=83),0,1)</f>
        <v/>
      </c>
      <c r="GB11">
        <f>GB10*IF(OR($C10=84,$G10=84),0,1)</f>
        <v/>
      </c>
      <c r="GC11">
        <f>GC10*IF(OR($C10=85,$G10=85),0,1)</f>
        <v/>
      </c>
      <c r="GD11">
        <f>GD10*IF(OR($C10=86,$G10=86),0,1)</f>
        <v/>
      </c>
      <c r="GE11">
        <f>GE10*IF(OR($C10=87,$G10=87),0,1)</f>
        <v/>
      </c>
      <c r="GF11">
        <f>GF10*IF(OR($C10=88,$G10=88),0,1)</f>
        <v/>
      </c>
      <c r="GG11">
        <f>GG10*IF(OR($C10=89,$G10=89),0,1)</f>
        <v/>
      </c>
      <c r="GH11">
        <f>GH10*IF(OR($C10=90,$G10=90),0,1)</f>
        <v/>
      </c>
      <c r="GI11">
        <f>GI10*IF(OR($C10=91,$G10=91),0,1)</f>
        <v/>
      </c>
      <c r="GJ11">
        <f>GJ10*IF(OR($C10=92,$G10=92),0,1)</f>
        <v/>
      </c>
      <c r="GK11">
        <f>GK10*IF(OR($C10=93,$G10=93),0,1)</f>
        <v/>
      </c>
      <c r="GL11">
        <f>GL10*IF(OR($C10=94,$G10=94),0,1)</f>
        <v/>
      </c>
      <c r="GM11">
        <f>GM10*IF(OR($C10=95,$G10=95),0,1)</f>
        <v/>
      </c>
      <c r="GN11">
        <f>GN10*IF(OR($C10=96,$G10=96),0,1)</f>
        <v/>
      </c>
      <c r="GO11">
        <f>GO10*IF(OR($C10=97,$G10=97),0,1)</f>
        <v/>
      </c>
      <c r="GP11">
        <f>GP10*IF(OR($C10=98,$G10=98),0,1)</f>
        <v/>
      </c>
      <c r="GQ11">
        <f>GQ10*IF(OR($C10=99,$G10=99),0,1)</f>
        <v/>
      </c>
      <c r="GR11">
        <f>GR10*IF(OR($C10=100,$G10=100),0,1)</f>
        <v/>
      </c>
      <c r="GS11">
        <f>GS10*IF(OR($C10=101,$G10=101),0,1)</f>
        <v/>
      </c>
      <c r="GT11">
        <f>GT10*IF(OR($C10=102,$G10=102),0,1)</f>
        <v/>
      </c>
      <c r="GU11">
        <f>GU10*IF(OR($C10=103,$G10=103),0,1)</f>
        <v/>
      </c>
      <c r="GV11">
        <f>GV10*IF(OR($C10=104,$G10=104),0,1)</f>
        <v/>
      </c>
      <c r="GW11">
        <f>GW10*IF(OR($C10=105,$G10=105),0,1)</f>
        <v/>
      </c>
      <c r="GX11">
        <f>GX10*IF(OR($C10=106,$G10=106),0,1)</f>
        <v/>
      </c>
      <c r="GY11">
        <f>GY10*IF(OR($C10=107,$G10=107),0,1)</f>
        <v/>
      </c>
      <c r="GZ11">
        <f>GZ10*IF(OR($C10=108,$G10=108),0,1)</f>
        <v/>
      </c>
      <c r="HA11">
        <f>HA10*IF(OR($C10=109,$G10=109),0,1)</f>
        <v/>
      </c>
      <c r="HB11">
        <f>HB10*IF(OR($C10=110,$G10=110),0,1)</f>
        <v/>
      </c>
      <c r="HC11">
        <f>HC10*IF(OR($C10=111,$G10=111),0,1)</f>
        <v/>
      </c>
      <c r="HD11">
        <f>HD10*IF(OR($C10=112,$G10=112),0,1)</f>
        <v/>
      </c>
      <c r="HE11">
        <f>HE10*IF(OR($C10=113,$G10=113),0,1)</f>
        <v/>
      </c>
      <c r="HF11">
        <f>HF10*IF(OR($C10=114,$G10=114),0,1)</f>
        <v/>
      </c>
      <c r="HG11">
        <f>HG10*IF(OR($C10=115,$G10=115),0,1)</f>
        <v/>
      </c>
      <c r="HH11">
        <f>HH10*IF(OR($C10=116,$G10=116),0,1)</f>
        <v/>
      </c>
      <c r="HI11">
        <f>HI10*IF(OR($C10=117,$G10=117),0,1)</f>
        <v/>
      </c>
      <c r="HJ11">
        <f>HJ10*IF(OR($C10=118,$G10=118),0,1)</f>
        <v/>
      </c>
      <c r="HK11">
        <f>HK10*IF(OR($C10=119,$G10=119),0,1)</f>
        <v/>
      </c>
      <c r="HL11">
        <f>HL10*IF(OR($C10=120,$G10=120),0,1)</f>
        <v/>
      </c>
      <c r="HN11">
        <f>IF('計算A'!D$106=1,CX11,1)</f>
        <v/>
      </c>
      <c r="HO11">
        <f>IF('計算A'!E$106=1,CY11,1)</f>
        <v/>
      </c>
      <c r="HP11">
        <f>IF('計算A'!F$106=1,CZ11,1)</f>
        <v/>
      </c>
      <c r="HQ11">
        <f>IF('計算A'!G$106=1,DA11,1)</f>
        <v/>
      </c>
      <c r="HR11">
        <f>IF('計算A'!H$106=1,DB11,1)</f>
        <v/>
      </c>
      <c r="HS11">
        <f>IF('計算A'!I$106=1,DC11,1)</f>
        <v/>
      </c>
      <c r="HT11">
        <f>IF('計算A'!J$106=1,DD11,1)</f>
        <v/>
      </c>
      <c r="HU11">
        <f>IF('計算A'!K$106=1,DE11,1)</f>
        <v/>
      </c>
      <c r="HV11">
        <f>IF('計算A'!L$106=1,DF11,1)</f>
        <v/>
      </c>
      <c r="HW11">
        <f>IF('計算A'!M$106=1,DG11,1)</f>
        <v/>
      </c>
      <c r="HX11">
        <f>IF('計算A'!N$106=1,DH11,1)</f>
        <v/>
      </c>
      <c r="HY11">
        <f>IF('計算A'!O$106=1,DI11,1)</f>
        <v/>
      </c>
      <c r="HZ11">
        <f>IF('計算A'!P$106=1,DJ11,1)</f>
        <v/>
      </c>
      <c r="IA11">
        <f>IF('計算A'!Q$106=1,DK11,1)</f>
        <v/>
      </c>
      <c r="IB11">
        <f>IF('計算A'!R$106=1,DL11,1)</f>
        <v/>
      </c>
      <c r="IC11">
        <f>IF('計算A'!S$106=1,DM11,1)</f>
        <v/>
      </c>
      <c r="ID11">
        <f>IF('計算A'!T$106=1,DN11,1)</f>
        <v/>
      </c>
      <c r="IE11">
        <f>IF('計算A'!U$106=1,DO11,1)</f>
        <v/>
      </c>
      <c r="IF11">
        <f>IF('計算A'!V$106=1,DP11,1)</f>
        <v/>
      </c>
      <c r="IG11">
        <f>IF('計算A'!W$106=1,DQ11,1)</f>
        <v/>
      </c>
      <c r="IH11">
        <f>IF('計算A'!X$106=1,DR11,1)</f>
        <v/>
      </c>
      <c r="II11">
        <f>IF('計算A'!Y$106=1,DS11,1)</f>
        <v/>
      </c>
      <c r="IJ11">
        <f>IF('計算A'!Z$106=1,DT11,1)</f>
        <v/>
      </c>
      <c r="IK11">
        <f>IF('計算A'!AA$106=1,DU11,1)</f>
        <v/>
      </c>
      <c r="IL11">
        <f>IF('計算A'!AB$106=1,DV11,1)</f>
        <v/>
      </c>
      <c r="IM11">
        <f>IF('計算A'!AC$106=1,DW11,1)</f>
        <v/>
      </c>
      <c r="IN11">
        <f>IF('計算A'!AD$106=1,DX11,1)</f>
        <v/>
      </c>
      <c r="IO11">
        <f>IF('計算A'!AE$106=1,DY11,1)</f>
        <v/>
      </c>
      <c r="IP11">
        <f>IF('計算A'!AF$106=1,DZ11,1)</f>
        <v/>
      </c>
      <c r="IQ11">
        <f>IF('計算A'!AG$106=1,EA11,1)</f>
        <v/>
      </c>
      <c r="IR11">
        <f>IF('計算A'!AH$106=1,EB11,1)</f>
        <v/>
      </c>
      <c r="IS11">
        <f>IF('計算A'!AI$106=1,EC11,1)</f>
        <v/>
      </c>
      <c r="IT11">
        <f>IF('計算A'!AJ$106=1,ED11,1)</f>
        <v/>
      </c>
      <c r="IU11">
        <f>IF('計算A'!AK$106=1,EE11,1)</f>
        <v/>
      </c>
      <c r="IV11">
        <f>IF('計算A'!AL$106=1,EF11,1)</f>
        <v/>
      </c>
      <c r="IW11">
        <f>IF('計算A'!AM$106=1,EG11,1)</f>
        <v/>
      </c>
      <c r="IX11">
        <f>IF('計算A'!AN$106=1,EH11,1)</f>
        <v/>
      </c>
      <c r="IY11">
        <f>IF('計算A'!AO$106=1,EI11,1)</f>
        <v/>
      </c>
      <c r="IZ11">
        <f>IF('計算A'!AP$106=1,EJ11,1)</f>
        <v/>
      </c>
      <c r="JA11">
        <f>IF('計算A'!AQ$106=1,EK11,1)</f>
        <v/>
      </c>
      <c r="JB11">
        <f>IF('計算A'!AR$106=1,EL11,1)</f>
        <v/>
      </c>
      <c r="JC11">
        <f>IF('計算A'!AS$106=1,EM11,1)</f>
        <v/>
      </c>
      <c r="JD11">
        <f>IF('計算A'!AT$106=1,EN11,1)</f>
        <v/>
      </c>
      <c r="JE11">
        <f>IF('計算A'!AU$106=1,EO11,1)</f>
        <v/>
      </c>
      <c r="JF11">
        <f>IF('計算A'!AV$106=1,EP11,1)</f>
        <v/>
      </c>
      <c r="JG11">
        <f>IF('計算A'!AW$106=1,EQ11,1)</f>
        <v/>
      </c>
      <c r="JH11">
        <f>IF('計算A'!AX$106=1,ER11,1)</f>
        <v/>
      </c>
      <c r="JI11">
        <f>IF('計算A'!AY$106=1,ES11,1)</f>
        <v/>
      </c>
      <c r="JJ11">
        <f>IF('計算A'!AZ$106=1,ET11,1)</f>
        <v/>
      </c>
      <c r="JK11">
        <f>IF('計算A'!BA$106=1,EU11,1)</f>
        <v/>
      </c>
      <c r="JL11">
        <f>IF('計算A'!BB$106=1,EV11,1)</f>
        <v/>
      </c>
      <c r="JM11">
        <f>IF('計算A'!BC$106=1,EW11,1)</f>
        <v/>
      </c>
      <c r="JN11">
        <f>IF('計算A'!BD$106=1,EX11,1)</f>
        <v/>
      </c>
      <c r="JO11">
        <f>IF('計算A'!BE$106=1,EY11,1)</f>
        <v/>
      </c>
      <c r="JP11">
        <f>IF('計算A'!BF$106=1,EZ11,1)</f>
        <v/>
      </c>
      <c r="JQ11">
        <f>IF('計算A'!BG$106=1,FA11,1)</f>
        <v/>
      </c>
      <c r="JR11">
        <f>IF('計算A'!BH$106=1,FB11,1)</f>
        <v/>
      </c>
      <c r="JS11">
        <f>IF('計算A'!BI$106=1,FC11,1)</f>
        <v/>
      </c>
      <c r="JT11">
        <f>IF('計算A'!BJ$106=1,FD11,1)</f>
        <v/>
      </c>
      <c r="JU11">
        <f>IF('計算A'!BK$106=1,FE11,1)</f>
        <v/>
      </c>
      <c r="JV11">
        <f>IF('計算A'!BL$106=1,FF11,1)</f>
        <v/>
      </c>
      <c r="JW11">
        <f>IF('計算A'!BM$106=1,FG11,1)</f>
        <v/>
      </c>
      <c r="JX11">
        <f>IF('計算A'!BN$106=1,FH11,1)</f>
        <v/>
      </c>
      <c r="JY11">
        <f>IF('計算A'!BO$106=1,FI11,1)</f>
        <v/>
      </c>
      <c r="JZ11">
        <f>IF('計算A'!BP$106=1,FJ11,1)</f>
        <v/>
      </c>
      <c r="KA11">
        <f>IF('計算A'!BQ$106=1,FK11,1)</f>
        <v/>
      </c>
      <c r="KB11">
        <f>IF('計算A'!BR$106=1,FL11,1)</f>
        <v/>
      </c>
      <c r="KC11">
        <f>IF('計算A'!BS$106=1,FM11,1)</f>
        <v/>
      </c>
      <c r="KD11">
        <f>IF('計算A'!BT$106=1,FN11,1)</f>
        <v/>
      </c>
      <c r="KE11">
        <f>IF('計算A'!BU$106=1,FO11,1)</f>
        <v/>
      </c>
      <c r="KF11">
        <f>IF('計算A'!BV$106=1,FP11,1)</f>
        <v/>
      </c>
      <c r="KG11">
        <f>IF('計算A'!BW$106=1,FQ11,1)</f>
        <v/>
      </c>
      <c r="KH11">
        <f>IF('計算A'!BX$106=1,FR11,1)</f>
        <v/>
      </c>
      <c r="KI11">
        <f>IF('計算A'!BY$106=1,FS11,1)</f>
        <v/>
      </c>
      <c r="KJ11">
        <f>IF('計算A'!BZ$106=1,FT11,1)</f>
        <v/>
      </c>
      <c r="KK11">
        <f>IF('計算A'!CA$106=1,FU11,1)</f>
        <v/>
      </c>
      <c r="KL11">
        <f>IF('計算A'!CB$106=1,FV11,1)</f>
        <v/>
      </c>
      <c r="KM11">
        <f>IF('計算A'!CC$106=1,FW11,1)</f>
        <v/>
      </c>
      <c r="KN11">
        <f>IF('計算A'!CD$106=1,FX11,1)</f>
        <v/>
      </c>
      <c r="KO11">
        <f>IF('計算A'!CE$106=1,FY11,1)</f>
        <v/>
      </c>
      <c r="KP11">
        <f>IF('計算A'!CF$106=1,FZ11,1)</f>
        <v/>
      </c>
      <c r="KQ11">
        <f>IF('計算A'!CG$106=1,GA11,1)</f>
        <v/>
      </c>
      <c r="KR11">
        <f>IF('計算A'!CH$106=1,GB11,1)</f>
        <v/>
      </c>
      <c r="KS11">
        <f>IF('計算A'!CI$106=1,GC11,1)</f>
        <v/>
      </c>
      <c r="KT11">
        <f>IF('計算A'!CJ$106=1,GD11,1)</f>
        <v/>
      </c>
      <c r="KU11">
        <f>IF('計算A'!CK$106=1,GE11,1)</f>
        <v/>
      </c>
      <c r="KV11">
        <f>IF('計算A'!CL$106=1,GF11,1)</f>
        <v/>
      </c>
      <c r="KW11">
        <f>IF('計算A'!CM$106=1,GG11,1)</f>
        <v/>
      </c>
      <c r="KX11">
        <f>IF('計算A'!CN$106=1,GH11,1)</f>
        <v/>
      </c>
      <c r="KY11">
        <f>IF('計算A'!CO$106=1,GI11,1)</f>
        <v/>
      </c>
      <c r="KZ11">
        <f>IF('計算A'!CP$106=1,GJ11,1)</f>
        <v/>
      </c>
      <c r="LA11">
        <f>IF('計算A'!CQ$106=1,GK11,1)</f>
        <v/>
      </c>
      <c r="LB11">
        <f>IF('計算A'!CR$106=1,GL11,1)</f>
        <v/>
      </c>
      <c r="LC11">
        <f>IF('計算A'!CS$106=1,GM11,1)</f>
        <v/>
      </c>
      <c r="LD11">
        <f>IF('計算A'!CT$106=1,GN11,1)</f>
        <v/>
      </c>
      <c r="LE11">
        <f>IF('計算A'!CU$106=1,GO11,1)</f>
        <v/>
      </c>
      <c r="LF11">
        <f>IF('計算A'!CV$106=1,GP11,1)</f>
        <v/>
      </c>
      <c r="LG11">
        <f>IF('計算A'!CW$106=1,GQ11,1)</f>
        <v/>
      </c>
      <c r="LH11">
        <f>IF('計算A'!CX$106=1,GR11,1)</f>
        <v/>
      </c>
      <c r="LI11">
        <f>IF('計算A'!CY$106=1,GS11,1)</f>
        <v/>
      </c>
      <c r="LJ11">
        <f>IF('計算A'!CZ$106=1,GT11,1)</f>
        <v/>
      </c>
      <c r="LK11">
        <f>IF('計算A'!DA$106=1,GU11,1)</f>
        <v/>
      </c>
      <c r="LL11">
        <f>IF('計算A'!DB$106=1,GV11,1)</f>
        <v/>
      </c>
      <c r="LM11">
        <f>IF('計算A'!DC$106=1,GW11,1)</f>
        <v/>
      </c>
      <c r="LN11">
        <f>IF('計算A'!DD$106=1,GX11,1)</f>
        <v/>
      </c>
      <c r="LO11">
        <f>IF('計算A'!DE$106=1,GY11,1)</f>
        <v/>
      </c>
      <c r="LP11">
        <f>IF('計算A'!DF$106=1,GZ11,1)</f>
        <v/>
      </c>
      <c r="LQ11">
        <f>IF('計算A'!DG$106=1,HA11,1)</f>
        <v/>
      </c>
      <c r="LR11">
        <f>IF('計算A'!DH$106=1,HB11,1)</f>
        <v/>
      </c>
      <c r="LS11">
        <f>IF('計算A'!DI$106=1,HC11,1)</f>
        <v/>
      </c>
      <c r="LT11">
        <f>IF('計算A'!DJ$106=1,HD11,1)</f>
        <v/>
      </c>
      <c r="LU11">
        <f>IF('計算A'!DK$106=1,HE11,1)</f>
        <v/>
      </c>
      <c r="LV11">
        <f>IF('計算A'!DL$106=1,HF11,1)</f>
        <v/>
      </c>
      <c r="LW11">
        <f>IF('計算A'!DM$106=1,HG11,1)</f>
        <v/>
      </c>
      <c r="LX11">
        <f>IF('計算A'!DN$106=1,HH11,1)</f>
        <v/>
      </c>
      <c r="LY11">
        <f>IF('計算A'!DO$106=1,HI11,1)</f>
        <v/>
      </c>
      <c r="LZ11">
        <f>IF('計算A'!DP$106=1,HJ11,1)</f>
        <v/>
      </c>
      <c r="MA11">
        <f>IF('計算A'!DQ$106=1,HK11,1)</f>
        <v/>
      </c>
      <c r="MB11">
        <f>IF('計算A'!DR$106=1,HL11,1)</f>
        <v/>
      </c>
      <c r="MC11" t="n">
        <v>1</v>
      </c>
      <c r="ME11">
        <f>IF($B11=0,1000000,IF(INDEX('計算A'!$D$60:$DS$104,$B11,1)*CW11=1,IF(AND($E11=2,HN11=0),1000000,INDEX('計算A'!D$110:D$114,$F11+1)+IF(AND($E11=1,HN11=0),1000,0)),1000000))</f>
        <v/>
      </c>
      <c r="MF11">
        <f>IF($B11=0,1000000,IF(INDEX('計算A'!$D$60:$DS$104,$B11,2)*CX11=1,IF(AND($E11=2,HO11=0),1000000,INDEX('計算A'!E$110:E$114,$F11+1)+IF(AND($E11=1,HO11=0),1000,0)),1000000))</f>
        <v/>
      </c>
      <c r="MG11">
        <f>IF($B11=0,1000000,IF(INDEX('計算A'!$D$60:$DS$104,$B11,3)*CY11=1,IF(AND($E11=2,HP11=0),1000000,INDEX('計算A'!F$110:F$114,$F11+1)+IF(AND($E11=1,HP11=0),1000,0)),1000000))</f>
        <v/>
      </c>
      <c r="MH11">
        <f>IF($B11=0,1000000,IF(INDEX('計算A'!$D$60:$DS$104,$B11,4)*CZ11=1,IF(AND($E11=2,HQ11=0),1000000,INDEX('計算A'!G$110:G$114,$F11+1)+IF(AND($E11=1,HQ11=0),1000,0)),1000000))</f>
        <v/>
      </c>
      <c r="MI11">
        <f>IF($B11=0,1000000,IF(INDEX('計算A'!$D$60:$DS$104,$B11,5)*DA11=1,IF(AND($E11=2,HR11=0),1000000,INDEX('計算A'!H$110:H$114,$F11+1)+IF(AND($E11=1,HR11=0),1000,0)),1000000))</f>
        <v/>
      </c>
      <c r="MJ11">
        <f>IF($B11=0,1000000,IF(INDEX('計算A'!$D$60:$DS$104,$B11,6)*DB11=1,IF(AND($E11=2,HS11=0),1000000,INDEX('計算A'!I$110:I$114,$F11+1)+IF(AND($E11=1,HS11=0),1000,0)),1000000))</f>
        <v/>
      </c>
      <c r="MK11">
        <f>IF($B11=0,1000000,IF(INDEX('計算A'!$D$60:$DS$104,$B11,7)*DC11=1,IF(AND($E11=2,HT11=0),1000000,INDEX('計算A'!J$110:J$114,$F11+1)+IF(AND($E11=1,HT11=0),1000,0)),1000000))</f>
        <v/>
      </c>
      <c r="ML11">
        <f>IF($B11=0,1000000,IF(INDEX('計算A'!$D$60:$DS$104,$B11,8)*DD11=1,IF(AND($E11=2,HU11=0),1000000,INDEX('計算A'!K$110:K$114,$F11+1)+IF(AND($E11=1,HU11=0),1000,0)),1000000))</f>
        <v/>
      </c>
      <c r="MM11">
        <f>IF($B11=0,1000000,IF(INDEX('計算A'!$D$60:$DS$104,$B11,9)*DE11=1,IF(AND($E11=2,HV11=0),1000000,INDEX('計算A'!L$110:L$114,$F11+1)+IF(AND($E11=1,HV11=0),1000,0)),1000000))</f>
        <v/>
      </c>
      <c r="MN11">
        <f>IF($B11=0,1000000,IF(INDEX('計算A'!$D$60:$DS$104,$B11,10)*DF11=1,IF(AND($E11=2,HW11=0),1000000,INDEX('計算A'!M$110:M$114,$F11+1)+IF(AND($E11=1,HW11=0),1000,0)),1000000))</f>
        <v/>
      </c>
      <c r="MO11">
        <f>IF($B11=0,1000000,IF(INDEX('計算A'!$D$60:$DS$104,$B11,11)*DG11=1,IF(AND($E11=2,HX11=0),1000000,INDEX('計算A'!N$110:N$114,$F11+1)+IF(AND($E11=1,HX11=0),1000,0)),1000000))</f>
        <v/>
      </c>
      <c r="MP11">
        <f>IF($B11=0,1000000,IF(INDEX('計算A'!$D$60:$DS$104,$B11,12)*DH11=1,IF(AND($E11=2,HY11=0),1000000,INDEX('計算A'!O$110:O$114,$F11+1)+IF(AND($E11=1,HY11=0),1000,0)),1000000))</f>
        <v/>
      </c>
      <c r="MQ11">
        <f>IF($B11=0,1000000,IF(INDEX('計算A'!$D$60:$DS$104,$B11,13)*DI11=1,IF(AND($E11=2,HZ11=0),1000000,INDEX('計算A'!P$110:P$114,$F11+1)+IF(AND($E11=1,HZ11=0),1000,0)),1000000))</f>
        <v/>
      </c>
      <c r="MR11">
        <f>IF($B11=0,1000000,IF(INDEX('計算A'!$D$60:$DS$104,$B11,14)*DJ11=1,IF(AND($E11=2,IA11=0),1000000,INDEX('計算A'!Q$110:Q$114,$F11+1)+IF(AND($E11=1,IA11=0),1000,0)),1000000))</f>
        <v/>
      </c>
      <c r="MS11">
        <f>IF($B11=0,1000000,IF(INDEX('計算A'!$D$60:$DS$104,$B11,15)*DK11=1,IF(AND($E11=2,IB11=0),1000000,INDEX('計算A'!R$110:R$114,$F11+1)+IF(AND($E11=1,IB11=0),1000,0)),1000000))</f>
        <v/>
      </c>
      <c r="MT11">
        <f>IF($B11=0,1000000,IF(INDEX('計算A'!$D$60:$DS$104,$B11,16)*DL11=1,IF(AND($E11=2,IC11=0),1000000,INDEX('計算A'!S$110:S$114,$F11+1)+IF(AND($E11=1,IC11=0),1000,0)),1000000))</f>
        <v/>
      </c>
      <c r="MU11">
        <f>IF($B11=0,1000000,IF(INDEX('計算A'!$D$60:$DS$104,$B11,17)*DM11=1,IF(AND($E11=2,ID11=0),1000000,INDEX('計算A'!T$110:T$114,$F11+1)+IF(AND($E11=1,ID11=0),1000,0)),1000000))</f>
        <v/>
      </c>
      <c r="MV11">
        <f>IF($B11=0,1000000,IF(INDEX('計算A'!$D$60:$DS$104,$B11,18)*DN11=1,IF(AND($E11=2,IE11=0),1000000,INDEX('計算A'!U$110:U$114,$F11+1)+IF(AND($E11=1,IE11=0),1000,0)),1000000))</f>
        <v/>
      </c>
      <c r="MW11">
        <f>IF($B11=0,1000000,IF(INDEX('計算A'!$D$60:$DS$104,$B11,19)*DO11=1,IF(AND($E11=2,IF11=0),1000000,INDEX('計算A'!V$110:V$114,$F11+1)+IF(AND($E11=1,IF11=0),1000,0)),1000000))</f>
        <v/>
      </c>
      <c r="MX11">
        <f>IF($B11=0,1000000,IF(INDEX('計算A'!$D$60:$DS$104,$B11,20)*DP11=1,IF(AND($E11=2,IG11=0),1000000,INDEX('計算A'!W$110:W$114,$F11+1)+IF(AND($E11=1,IG11=0),1000,0)),1000000))</f>
        <v/>
      </c>
      <c r="MY11">
        <f>IF($B11=0,1000000,IF(INDEX('計算A'!$D$60:$DS$104,$B11,21)*DQ11=1,IF(AND($E11=2,IH11=0),1000000,INDEX('計算A'!X$110:X$114,$F11+1)+IF(AND($E11=1,IH11=0),1000,0)),1000000))</f>
        <v/>
      </c>
      <c r="MZ11">
        <f>IF($B11=0,1000000,IF(INDEX('計算A'!$D$60:$DS$104,$B11,22)*DR11=1,IF(AND($E11=2,II11=0),1000000,INDEX('計算A'!Y$110:Y$114,$F11+1)+IF(AND($E11=1,II11=0),1000,0)),1000000))</f>
        <v/>
      </c>
      <c r="NA11">
        <f>IF($B11=0,1000000,IF(INDEX('計算A'!$D$60:$DS$104,$B11,23)*DS11=1,IF(AND($E11=2,IJ11=0),1000000,INDEX('計算A'!Z$110:Z$114,$F11+1)+IF(AND($E11=1,IJ11=0),1000,0)),1000000))</f>
        <v/>
      </c>
      <c r="NB11">
        <f>IF($B11=0,1000000,IF(INDEX('計算A'!$D$60:$DS$104,$B11,24)*DT11=1,IF(AND($E11=2,IK11=0),1000000,INDEX('計算A'!AA$110:AA$114,$F11+1)+IF(AND($E11=1,IK11=0),1000,0)),1000000))</f>
        <v/>
      </c>
      <c r="NC11">
        <f>IF($B11=0,1000000,IF(INDEX('計算A'!$D$60:$DS$104,$B11,25)*DU11=1,IF(AND($E11=2,IL11=0),1000000,INDEX('計算A'!AB$110:AB$114,$F11+1)+IF(AND($E11=1,IL11=0),1000,0)),1000000))</f>
        <v/>
      </c>
      <c r="ND11">
        <f>IF($B11=0,1000000,IF(INDEX('計算A'!$D$60:$DS$104,$B11,26)*DV11=1,IF(AND($E11=2,IM11=0),1000000,INDEX('計算A'!AC$110:AC$114,$F11+1)+IF(AND($E11=1,IM11=0),1000,0)),1000000))</f>
        <v/>
      </c>
      <c r="NE11">
        <f>IF($B11=0,1000000,IF(INDEX('計算A'!$D$60:$DS$104,$B11,27)*DW11=1,IF(AND($E11=2,IN11=0),1000000,INDEX('計算A'!AD$110:AD$114,$F11+1)+IF(AND($E11=1,IN11=0),1000,0)),1000000))</f>
        <v/>
      </c>
      <c r="NF11">
        <f>IF($B11=0,1000000,IF(INDEX('計算A'!$D$60:$DS$104,$B11,28)*DX11=1,IF(AND($E11=2,IO11=0),1000000,INDEX('計算A'!AE$110:AE$114,$F11+1)+IF(AND($E11=1,IO11=0),1000,0)),1000000))</f>
        <v/>
      </c>
      <c r="NG11">
        <f>IF($B11=0,1000000,IF(INDEX('計算A'!$D$60:$DS$104,$B11,29)*DY11=1,IF(AND($E11=2,IP11=0),1000000,INDEX('計算A'!AF$110:AF$114,$F11+1)+IF(AND($E11=1,IP11=0),1000,0)),1000000))</f>
        <v/>
      </c>
      <c r="NH11">
        <f>IF($B11=0,1000000,IF(INDEX('計算A'!$D$60:$DS$104,$B11,30)*DZ11=1,IF(AND($E11=2,IQ11=0),1000000,INDEX('計算A'!AG$110:AG$114,$F11+1)+IF(AND($E11=1,IQ11=0),1000,0)),1000000))</f>
        <v/>
      </c>
      <c r="NI11">
        <f>IF($B11=0,1000000,IF(INDEX('計算A'!$D$60:$DS$104,$B11,31)*EA11=1,IF(AND($E11=2,IR11=0),1000000,INDEX('計算A'!AH$110:AH$114,$F11+1)+IF(AND($E11=1,IR11=0),1000,0)),1000000))</f>
        <v/>
      </c>
      <c r="NJ11">
        <f>IF($B11=0,1000000,IF(INDEX('計算A'!$D$60:$DS$104,$B11,32)*EB11=1,IF(AND($E11=2,IS11=0),1000000,INDEX('計算A'!AI$110:AI$114,$F11+1)+IF(AND($E11=1,IS11=0),1000,0)),1000000))</f>
        <v/>
      </c>
      <c r="NK11">
        <f>IF($B11=0,1000000,IF(INDEX('計算A'!$D$60:$DS$104,$B11,33)*EC11=1,IF(AND($E11=2,IT11=0),1000000,INDEX('計算A'!AJ$110:AJ$114,$F11+1)+IF(AND($E11=1,IT11=0),1000,0)),1000000))</f>
        <v/>
      </c>
      <c r="NL11">
        <f>IF($B11=0,1000000,IF(INDEX('計算A'!$D$60:$DS$104,$B11,34)*ED11=1,IF(AND($E11=2,IU11=0),1000000,INDEX('計算A'!AK$110:AK$114,$F11+1)+IF(AND($E11=1,IU11=0),1000,0)),1000000))</f>
        <v/>
      </c>
      <c r="NM11">
        <f>IF($B11=0,1000000,IF(INDEX('計算A'!$D$60:$DS$104,$B11,35)*EE11=1,IF(AND($E11=2,IV11=0),1000000,INDEX('計算A'!AL$110:AL$114,$F11+1)+IF(AND($E11=1,IV11=0),1000,0)),1000000))</f>
        <v/>
      </c>
      <c r="NN11">
        <f>IF($B11=0,1000000,IF(INDEX('計算A'!$D$60:$DS$104,$B11,36)*EF11=1,IF(AND($E11=2,IW11=0),1000000,INDEX('計算A'!AM$110:AM$114,$F11+1)+IF(AND($E11=1,IW11=0),1000,0)),1000000))</f>
        <v/>
      </c>
      <c r="NO11">
        <f>IF($B11=0,1000000,IF(INDEX('計算A'!$D$60:$DS$104,$B11,37)*EG11=1,IF(AND($E11=2,IX11=0),1000000,INDEX('計算A'!AN$110:AN$114,$F11+1)+IF(AND($E11=1,IX11=0),1000,0)),1000000))</f>
        <v/>
      </c>
      <c r="NP11">
        <f>IF($B11=0,1000000,IF(INDEX('計算A'!$D$60:$DS$104,$B11,38)*EH11=1,IF(AND($E11=2,IY11=0),1000000,INDEX('計算A'!AO$110:AO$114,$F11+1)+IF(AND($E11=1,IY11=0),1000,0)),1000000))</f>
        <v/>
      </c>
      <c r="NQ11">
        <f>IF($B11=0,1000000,IF(INDEX('計算A'!$D$60:$DS$104,$B11,39)*EI11=1,IF(AND($E11=2,IZ11=0),1000000,INDEX('計算A'!AP$110:AP$114,$F11+1)+IF(AND($E11=1,IZ11=0),1000,0)),1000000))</f>
        <v/>
      </c>
      <c r="NR11">
        <f>IF($B11=0,1000000,IF(INDEX('計算A'!$D$60:$DS$104,$B11,40)*EJ11=1,IF(AND($E11=2,JA11=0),1000000,INDEX('計算A'!AQ$110:AQ$114,$F11+1)+IF(AND($E11=1,JA11=0),1000,0)),1000000))</f>
        <v/>
      </c>
      <c r="NS11">
        <f>IF($B11=0,1000000,IF(INDEX('計算A'!$D$60:$DS$104,$B11,41)*EK11=1,IF(AND($E11=2,JB11=0),1000000,INDEX('計算A'!AR$110:AR$114,$F11+1)+IF(AND($E11=1,JB11=0),1000,0)),1000000))</f>
        <v/>
      </c>
      <c r="NT11">
        <f>IF($B11=0,1000000,IF(INDEX('計算A'!$D$60:$DS$104,$B11,42)*EL11=1,IF(AND($E11=2,JC11=0),1000000,INDEX('計算A'!AS$110:AS$114,$F11+1)+IF(AND($E11=1,JC11=0),1000,0)),1000000))</f>
        <v/>
      </c>
      <c r="NU11">
        <f>IF($B11=0,1000000,IF(INDEX('計算A'!$D$60:$DS$104,$B11,43)*EM11=1,IF(AND($E11=2,JD11=0),1000000,INDEX('計算A'!AT$110:AT$114,$F11+1)+IF(AND($E11=1,JD11=0),1000,0)),1000000))</f>
        <v/>
      </c>
      <c r="NV11">
        <f>IF($B11=0,1000000,IF(INDEX('計算A'!$D$60:$DS$104,$B11,44)*EN11=1,IF(AND($E11=2,JE11=0),1000000,INDEX('計算A'!AU$110:AU$114,$F11+1)+IF(AND($E11=1,JE11=0),1000,0)),1000000))</f>
        <v/>
      </c>
      <c r="NW11">
        <f>IF($B11=0,1000000,IF(INDEX('計算A'!$D$60:$DS$104,$B11,45)*EO11=1,IF(AND($E11=2,JF11=0),1000000,INDEX('計算A'!AV$110:AV$114,$F11+1)+IF(AND($E11=1,JF11=0),1000,0)),1000000))</f>
        <v/>
      </c>
      <c r="NX11">
        <f>IF($B11=0,1000000,IF(INDEX('計算A'!$D$60:$DS$104,$B11,46)*EP11=1,IF(AND($E11=2,JG11=0),1000000,INDEX('計算A'!AW$110:AW$114,$F11+1)+IF(AND($E11=1,JG11=0),1000,0)),1000000))</f>
        <v/>
      </c>
      <c r="NY11">
        <f>IF($B11=0,1000000,IF(INDEX('計算A'!$D$60:$DS$104,$B11,47)*EQ11=1,IF(AND($E11=2,JH11=0),1000000,INDEX('計算A'!AX$110:AX$114,$F11+1)+IF(AND($E11=1,JH11=0),1000,0)),1000000))</f>
        <v/>
      </c>
      <c r="NZ11">
        <f>IF($B11=0,1000000,IF(INDEX('計算A'!$D$60:$DS$104,$B11,48)*ER11=1,IF(AND($E11=2,JI11=0),1000000,INDEX('計算A'!AY$110:AY$114,$F11+1)+IF(AND($E11=1,JI11=0),1000,0)),1000000))</f>
        <v/>
      </c>
      <c r="OA11">
        <f>IF($B11=0,1000000,IF(INDEX('計算A'!$D$60:$DS$104,$B11,49)*ES11=1,IF(AND($E11=2,JJ11=0),1000000,INDEX('計算A'!AZ$110:AZ$114,$F11+1)+IF(AND($E11=1,JJ11=0),1000,0)),1000000))</f>
        <v/>
      </c>
      <c r="OB11">
        <f>IF($B11=0,1000000,IF(INDEX('計算A'!$D$60:$DS$104,$B11,50)*ET11=1,IF(AND($E11=2,JK11=0),1000000,INDEX('計算A'!BA$110:BA$114,$F11+1)+IF(AND($E11=1,JK11=0),1000,0)),1000000))</f>
        <v/>
      </c>
      <c r="OC11">
        <f>IF($B11=0,1000000,IF(INDEX('計算A'!$D$60:$DS$104,$B11,51)*EU11=1,IF(AND($E11=2,JL11=0),1000000,INDEX('計算A'!BB$110:BB$114,$F11+1)+IF(AND($E11=1,JL11=0),1000,0)),1000000))</f>
        <v/>
      </c>
      <c r="OD11">
        <f>IF($B11=0,1000000,IF(INDEX('計算A'!$D$60:$DS$104,$B11,52)*EV11=1,IF(AND($E11=2,JM11=0),1000000,INDEX('計算A'!BC$110:BC$114,$F11+1)+IF(AND($E11=1,JM11=0),1000,0)),1000000))</f>
        <v/>
      </c>
      <c r="OE11">
        <f>IF($B11=0,1000000,IF(INDEX('計算A'!$D$60:$DS$104,$B11,53)*EW11=1,IF(AND($E11=2,JN11=0),1000000,INDEX('計算A'!BD$110:BD$114,$F11+1)+IF(AND($E11=1,JN11=0),1000,0)),1000000))</f>
        <v/>
      </c>
      <c r="OF11">
        <f>IF($B11=0,1000000,IF(INDEX('計算A'!$D$60:$DS$104,$B11,54)*EX11=1,IF(AND($E11=2,JO11=0),1000000,INDEX('計算A'!BE$110:BE$114,$F11+1)+IF(AND($E11=1,JO11=0),1000,0)),1000000))</f>
        <v/>
      </c>
      <c r="OG11">
        <f>IF($B11=0,1000000,IF(INDEX('計算A'!$D$60:$DS$104,$B11,55)*EY11=1,IF(AND($E11=2,JP11=0),1000000,INDEX('計算A'!BF$110:BF$114,$F11+1)+IF(AND($E11=1,JP11=0),1000,0)),1000000))</f>
        <v/>
      </c>
      <c r="OH11">
        <f>IF($B11=0,1000000,IF(INDEX('計算A'!$D$60:$DS$104,$B11,56)*EZ11=1,IF(AND($E11=2,JQ11=0),1000000,INDEX('計算A'!BG$110:BG$114,$F11+1)+IF(AND($E11=1,JQ11=0),1000,0)),1000000))</f>
        <v/>
      </c>
      <c r="OI11">
        <f>IF($B11=0,1000000,IF(INDEX('計算A'!$D$60:$DS$104,$B11,57)*FA11=1,IF(AND($E11=2,JR11=0),1000000,INDEX('計算A'!BH$110:BH$114,$F11+1)+IF(AND($E11=1,JR11=0),1000,0)),1000000))</f>
        <v/>
      </c>
      <c r="OJ11">
        <f>IF($B11=0,1000000,IF(INDEX('計算A'!$D$60:$DS$104,$B11,58)*FB11=1,IF(AND($E11=2,JS11=0),1000000,INDEX('計算A'!BI$110:BI$114,$F11+1)+IF(AND($E11=1,JS11=0),1000,0)),1000000))</f>
        <v/>
      </c>
      <c r="OK11">
        <f>IF($B11=0,1000000,IF(INDEX('計算A'!$D$60:$DS$104,$B11,59)*FC11=1,IF(AND($E11=2,JT11=0),1000000,INDEX('計算A'!BJ$110:BJ$114,$F11+1)+IF(AND($E11=1,JT11=0),1000,0)),1000000))</f>
        <v/>
      </c>
      <c r="OL11">
        <f>IF($B11=0,1000000,IF(INDEX('計算A'!$D$60:$DS$104,$B11,60)*FD11=1,IF(AND($E11=2,JU11=0),1000000,INDEX('計算A'!BK$110:BK$114,$F11+1)+IF(AND($E11=1,JU11=0),1000,0)),1000000))</f>
        <v/>
      </c>
      <c r="OM11">
        <f>IF($B11=0,1000000,IF(INDEX('計算A'!$D$60:$DS$104,$B11,61)*FE11=1,IF(AND($E11=2,JV11=0),1000000,INDEX('計算A'!BL$110:BL$114,$F11+1)+IF(AND($E11=1,JV11=0),1000,0)),1000000))</f>
        <v/>
      </c>
      <c r="ON11">
        <f>IF($B11=0,1000000,IF(INDEX('計算A'!$D$60:$DS$104,$B11,62)*FF11=1,IF(AND($E11=2,JW11=0),1000000,INDEX('計算A'!BM$110:BM$114,$F11+1)+IF(AND($E11=1,JW11=0),1000,0)),1000000))</f>
        <v/>
      </c>
      <c r="OO11">
        <f>IF($B11=0,1000000,IF(INDEX('計算A'!$D$60:$DS$104,$B11,63)*FG11=1,IF(AND($E11=2,JX11=0),1000000,INDEX('計算A'!BN$110:BN$114,$F11+1)+IF(AND($E11=1,JX11=0),1000,0)),1000000))</f>
        <v/>
      </c>
      <c r="OP11">
        <f>IF($B11=0,1000000,IF(INDEX('計算A'!$D$60:$DS$104,$B11,64)*FH11=1,IF(AND($E11=2,JY11=0),1000000,INDEX('計算A'!BO$110:BO$114,$F11+1)+IF(AND($E11=1,JY11=0),1000,0)),1000000))</f>
        <v/>
      </c>
      <c r="OQ11">
        <f>IF($B11=0,1000000,IF(INDEX('計算A'!$D$60:$DS$104,$B11,65)*FI11=1,IF(AND($E11=2,JZ11=0),1000000,INDEX('計算A'!BP$110:BP$114,$F11+1)+IF(AND($E11=1,JZ11=0),1000,0)),1000000))</f>
        <v/>
      </c>
      <c r="OR11">
        <f>IF($B11=0,1000000,IF(INDEX('計算A'!$D$60:$DS$104,$B11,66)*FJ11=1,IF(AND($E11=2,KA11=0),1000000,INDEX('計算A'!BQ$110:BQ$114,$F11+1)+IF(AND($E11=1,KA11=0),1000,0)),1000000))</f>
        <v/>
      </c>
      <c r="OS11">
        <f>IF($B11=0,1000000,IF(INDEX('計算A'!$D$60:$DS$104,$B11,67)*FK11=1,IF(AND($E11=2,KB11=0),1000000,INDEX('計算A'!BR$110:BR$114,$F11+1)+IF(AND($E11=1,KB11=0),1000,0)),1000000))</f>
        <v/>
      </c>
      <c r="OT11">
        <f>IF($B11=0,1000000,IF(INDEX('計算A'!$D$60:$DS$104,$B11,68)*FL11=1,IF(AND($E11=2,KC11=0),1000000,INDEX('計算A'!BS$110:BS$114,$F11+1)+IF(AND($E11=1,KC11=0),1000,0)),1000000))</f>
        <v/>
      </c>
      <c r="OU11">
        <f>IF($B11=0,1000000,IF(INDEX('計算A'!$D$60:$DS$104,$B11,69)*FM11=1,IF(AND($E11=2,KD11=0),1000000,INDEX('計算A'!BT$110:BT$114,$F11+1)+IF(AND($E11=1,KD11=0),1000,0)),1000000))</f>
        <v/>
      </c>
      <c r="OV11">
        <f>IF($B11=0,1000000,IF(INDEX('計算A'!$D$60:$DS$104,$B11,70)*FN11=1,IF(AND($E11=2,KE11=0),1000000,INDEX('計算A'!BU$110:BU$114,$F11+1)+IF(AND($E11=1,KE11=0),1000,0)),1000000))</f>
        <v/>
      </c>
      <c r="OW11">
        <f>IF($B11=0,1000000,IF(INDEX('計算A'!$D$60:$DS$104,$B11,71)*FO11=1,IF(AND($E11=2,KF11=0),1000000,INDEX('計算A'!BV$110:BV$114,$F11+1)+IF(AND($E11=1,KF11=0),1000,0)),1000000))</f>
        <v/>
      </c>
      <c r="OX11">
        <f>IF($B11=0,1000000,IF(INDEX('計算A'!$D$60:$DS$104,$B11,72)*FP11=1,IF(AND($E11=2,KG11=0),1000000,INDEX('計算A'!BW$110:BW$114,$F11+1)+IF(AND($E11=1,KG11=0),1000,0)),1000000))</f>
        <v/>
      </c>
      <c r="OY11">
        <f>IF($B11=0,1000000,IF(INDEX('計算A'!$D$60:$DS$104,$B11,73)*FQ11=1,IF(AND($E11=2,KH11=0),1000000,INDEX('計算A'!BX$110:BX$114,$F11+1)+IF(AND($E11=1,KH11=0),1000,0)),1000000))</f>
        <v/>
      </c>
      <c r="OZ11">
        <f>IF($B11=0,1000000,IF(INDEX('計算A'!$D$60:$DS$104,$B11,74)*FR11=1,IF(AND($E11=2,KI11=0),1000000,INDEX('計算A'!BY$110:BY$114,$F11+1)+IF(AND($E11=1,KI11=0),1000,0)),1000000))</f>
        <v/>
      </c>
      <c r="PA11">
        <f>IF($B11=0,1000000,IF(INDEX('計算A'!$D$60:$DS$104,$B11,75)*FS11=1,IF(AND($E11=2,KJ11=0),1000000,INDEX('計算A'!BZ$110:BZ$114,$F11+1)+IF(AND($E11=1,KJ11=0),1000,0)),1000000))</f>
        <v/>
      </c>
      <c r="PB11">
        <f>IF($B11=0,1000000,IF(INDEX('計算A'!$D$60:$DS$104,$B11,76)*FT11=1,IF(AND($E11=2,KK11=0),1000000,INDEX('計算A'!CA$110:CA$114,$F11+1)+IF(AND($E11=1,KK11=0),1000,0)),1000000))</f>
        <v/>
      </c>
      <c r="PC11">
        <f>IF($B11=0,1000000,IF(INDEX('計算A'!$D$60:$DS$104,$B11,77)*FU11=1,IF(AND($E11=2,KL11=0),1000000,INDEX('計算A'!CB$110:CB$114,$F11+1)+IF(AND($E11=1,KL11=0),1000,0)),1000000))</f>
        <v/>
      </c>
      <c r="PD11">
        <f>IF($B11=0,1000000,IF(INDEX('計算A'!$D$60:$DS$104,$B11,78)*FV11=1,IF(AND($E11=2,KM11=0),1000000,INDEX('計算A'!CC$110:CC$114,$F11+1)+IF(AND($E11=1,KM11=0),1000,0)),1000000))</f>
        <v/>
      </c>
      <c r="PE11">
        <f>IF($B11=0,1000000,IF(INDEX('計算A'!$D$60:$DS$104,$B11,79)*FW11=1,IF(AND($E11=2,KN11=0),1000000,INDEX('計算A'!CD$110:CD$114,$F11+1)+IF(AND($E11=1,KN11=0),1000,0)),1000000))</f>
        <v/>
      </c>
      <c r="PF11">
        <f>IF($B11=0,1000000,IF(INDEX('計算A'!$D$60:$DS$104,$B11,80)*FX11=1,IF(AND($E11=2,KO11=0),1000000,INDEX('計算A'!CE$110:CE$114,$F11+1)+IF(AND($E11=1,KO11=0),1000,0)),1000000))</f>
        <v/>
      </c>
      <c r="PG11">
        <f>IF($B11=0,1000000,IF(INDEX('計算A'!$D$60:$DS$104,$B11,81)*FY11=1,IF(AND($E11=2,KP11=0),1000000,INDEX('計算A'!CF$110:CF$114,$F11+1)+IF(AND($E11=1,KP11=0),1000,0)),1000000))</f>
        <v/>
      </c>
      <c r="PH11">
        <f>IF($B11=0,1000000,IF(INDEX('計算A'!$D$60:$DS$104,$B11,82)*FZ11=1,IF(AND($E11=2,KQ11=0),1000000,INDEX('計算A'!CG$110:CG$114,$F11+1)+IF(AND($E11=1,KQ11=0),1000,0)),1000000))</f>
        <v/>
      </c>
      <c r="PI11">
        <f>IF($B11=0,1000000,IF(INDEX('計算A'!$D$60:$DS$104,$B11,83)*GA11=1,IF(AND($E11=2,KR11=0),1000000,INDEX('計算A'!CH$110:CH$114,$F11+1)+IF(AND($E11=1,KR11=0),1000,0)),1000000))</f>
        <v/>
      </c>
      <c r="PJ11">
        <f>IF($B11=0,1000000,IF(INDEX('計算A'!$D$60:$DS$104,$B11,84)*GB11=1,IF(AND($E11=2,KS11=0),1000000,INDEX('計算A'!CI$110:CI$114,$F11+1)+IF(AND($E11=1,KS11=0),1000,0)),1000000))</f>
        <v/>
      </c>
      <c r="PK11">
        <f>IF($B11=0,1000000,IF(INDEX('計算A'!$D$60:$DS$104,$B11,85)*GC11=1,IF(AND($E11=2,KT11=0),1000000,INDEX('計算A'!CJ$110:CJ$114,$F11+1)+IF(AND($E11=1,KT11=0),1000,0)),1000000))</f>
        <v/>
      </c>
      <c r="PL11">
        <f>IF($B11=0,1000000,IF(INDEX('計算A'!$D$60:$DS$104,$B11,86)*GD11=1,IF(AND($E11=2,KU11=0),1000000,INDEX('計算A'!CK$110:CK$114,$F11+1)+IF(AND($E11=1,KU11=0),1000,0)),1000000))</f>
        <v/>
      </c>
      <c r="PM11">
        <f>IF($B11=0,1000000,IF(INDEX('計算A'!$D$60:$DS$104,$B11,87)*GE11=1,IF(AND($E11=2,KV11=0),1000000,INDEX('計算A'!CL$110:CL$114,$F11+1)+IF(AND($E11=1,KV11=0),1000,0)),1000000))</f>
        <v/>
      </c>
      <c r="PN11">
        <f>IF($B11=0,1000000,IF(INDEX('計算A'!$D$60:$DS$104,$B11,88)*GF11=1,IF(AND($E11=2,KW11=0),1000000,INDEX('計算A'!CM$110:CM$114,$F11+1)+IF(AND($E11=1,KW11=0),1000,0)),1000000))</f>
        <v/>
      </c>
      <c r="PO11">
        <f>IF($B11=0,1000000,IF(INDEX('計算A'!$D$60:$DS$104,$B11,89)*GG11=1,IF(AND($E11=2,KX11=0),1000000,INDEX('計算A'!CN$110:CN$114,$F11+1)+IF(AND($E11=1,KX11=0),1000,0)),1000000))</f>
        <v/>
      </c>
      <c r="PP11">
        <f>IF($B11=0,1000000,IF(INDEX('計算A'!$D$60:$DS$104,$B11,90)*GH11=1,IF(AND($E11=2,KY11=0),1000000,INDEX('計算A'!CO$110:CO$114,$F11+1)+IF(AND($E11=1,KY11=0),1000,0)),1000000))</f>
        <v/>
      </c>
      <c r="PQ11">
        <f>IF($B11=0,1000000,IF(INDEX('計算A'!$D$60:$DS$104,$B11,91)*GI11=1,IF(AND($E11=2,KZ11=0),1000000,INDEX('計算A'!CP$110:CP$114,$F11+1)+IF(AND($E11=1,KZ11=0),1000,0)),1000000))</f>
        <v/>
      </c>
      <c r="PR11">
        <f>IF($B11=0,1000000,IF(INDEX('計算A'!$D$60:$DS$104,$B11,92)*GJ11=1,IF(AND($E11=2,LA11=0),1000000,INDEX('計算A'!CQ$110:CQ$114,$F11+1)+IF(AND($E11=1,LA11=0),1000,0)),1000000))</f>
        <v/>
      </c>
      <c r="PS11">
        <f>IF($B11=0,1000000,IF(INDEX('計算A'!$D$60:$DS$104,$B11,93)*GK11=1,IF(AND($E11=2,LB11=0),1000000,INDEX('計算A'!CR$110:CR$114,$F11+1)+IF(AND($E11=1,LB11=0),1000,0)),1000000))</f>
        <v/>
      </c>
      <c r="PT11">
        <f>IF($B11=0,1000000,IF(INDEX('計算A'!$D$60:$DS$104,$B11,94)*GL11=1,IF(AND($E11=2,LC11=0),1000000,INDEX('計算A'!CS$110:CS$114,$F11+1)+IF(AND($E11=1,LC11=0),1000,0)),1000000))</f>
        <v/>
      </c>
      <c r="PU11">
        <f>IF($B11=0,1000000,IF(INDEX('計算A'!$D$60:$DS$104,$B11,95)*GM11=1,IF(AND($E11=2,LD11=0),1000000,INDEX('計算A'!CT$110:CT$114,$F11+1)+IF(AND($E11=1,LD11=0),1000,0)),1000000))</f>
        <v/>
      </c>
      <c r="PV11">
        <f>IF($B11=0,1000000,IF(INDEX('計算A'!$D$60:$DS$104,$B11,96)*GN11=1,IF(AND($E11=2,LE11=0),1000000,INDEX('計算A'!CU$110:CU$114,$F11+1)+IF(AND($E11=1,LE11=0),1000,0)),1000000))</f>
        <v/>
      </c>
      <c r="PW11">
        <f>IF($B11=0,1000000,IF(INDEX('計算A'!$D$60:$DS$104,$B11,97)*GO11=1,IF(AND($E11=2,LF11=0),1000000,INDEX('計算A'!CV$110:CV$114,$F11+1)+IF(AND($E11=1,LF11=0),1000,0)),1000000))</f>
        <v/>
      </c>
      <c r="PX11">
        <f>IF($B11=0,1000000,IF(INDEX('計算A'!$D$60:$DS$104,$B11,98)*GP11=1,IF(AND($E11=2,LG11=0),1000000,INDEX('計算A'!CW$110:CW$114,$F11+1)+IF(AND($E11=1,LG11=0),1000,0)),1000000))</f>
        <v/>
      </c>
      <c r="PY11">
        <f>IF($B11=0,1000000,IF(INDEX('計算A'!$D$60:$DS$104,$B11,99)*GQ11=1,IF(AND($E11=2,LH11=0),1000000,INDEX('計算A'!CX$110:CX$114,$F11+1)+IF(AND($E11=1,LH11=0),1000,0)),1000000))</f>
        <v/>
      </c>
      <c r="PZ11">
        <f>IF($B11=0,1000000,IF(INDEX('計算A'!$D$60:$DS$104,$B11,100)*GR11=1,IF(AND($E11=2,LI11=0),1000000,INDEX('計算A'!CY$110:CY$114,$F11+1)+IF(AND($E11=1,LI11=0),1000,0)),1000000))</f>
        <v/>
      </c>
      <c r="QA11">
        <f>IF($B11=0,1000000,IF(INDEX('計算A'!$D$60:$DS$104,$B11,101)*GS11=1,IF(AND($E11=2,LJ11=0),1000000,INDEX('計算A'!CZ$110:CZ$114,$F11+1)+IF(AND($E11=1,LJ11=0),1000,0)),1000000))</f>
        <v/>
      </c>
      <c r="QB11">
        <f>IF($B11=0,1000000,IF(INDEX('計算A'!$D$60:$DS$104,$B11,102)*GT11=1,IF(AND($E11=2,LK11=0),1000000,INDEX('計算A'!DA$110:DA$114,$F11+1)+IF(AND($E11=1,LK11=0),1000,0)),1000000))</f>
        <v/>
      </c>
      <c r="QC11">
        <f>IF($B11=0,1000000,IF(INDEX('計算A'!$D$60:$DS$104,$B11,103)*GU11=1,IF(AND($E11=2,LL11=0),1000000,INDEX('計算A'!DB$110:DB$114,$F11+1)+IF(AND($E11=1,LL11=0),1000,0)),1000000))</f>
        <v/>
      </c>
      <c r="QD11">
        <f>IF($B11=0,1000000,IF(INDEX('計算A'!$D$60:$DS$104,$B11,104)*GV11=1,IF(AND($E11=2,LM11=0),1000000,INDEX('計算A'!DC$110:DC$114,$F11+1)+IF(AND($E11=1,LM11=0),1000,0)),1000000))</f>
        <v/>
      </c>
      <c r="QE11">
        <f>IF($B11=0,1000000,IF(INDEX('計算A'!$D$60:$DS$104,$B11,105)*GW11=1,IF(AND($E11=2,LN11=0),1000000,INDEX('計算A'!DD$110:DD$114,$F11+1)+IF(AND($E11=1,LN11=0),1000,0)),1000000))</f>
        <v/>
      </c>
      <c r="QF11">
        <f>IF($B11=0,1000000,IF(INDEX('計算A'!$D$60:$DS$104,$B11,106)*GX11=1,IF(AND($E11=2,LO11=0),1000000,INDEX('計算A'!DE$110:DE$114,$F11+1)+IF(AND($E11=1,LO11=0),1000,0)),1000000))</f>
        <v/>
      </c>
      <c r="QG11">
        <f>IF($B11=0,1000000,IF(INDEX('計算A'!$D$60:$DS$104,$B11,107)*GY11=1,IF(AND($E11=2,LP11=0),1000000,INDEX('計算A'!DF$110:DF$114,$F11+1)+IF(AND($E11=1,LP11=0),1000,0)),1000000))</f>
        <v/>
      </c>
      <c r="QH11">
        <f>IF($B11=0,1000000,IF(INDEX('計算A'!$D$60:$DS$104,$B11,108)*GZ11=1,IF(AND($E11=2,LQ11=0),1000000,INDEX('計算A'!DG$110:DG$114,$F11+1)+IF(AND($E11=1,LQ11=0),1000,0)),1000000))</f>
        <v/>
      </c>
      <c r="QI11">
        <f>IF($B11=0,1000000,IF(INDEX('計算A'!$D$60:$DS$104,$B11,109)*HA11=1,IF(AND($E11=2,LR11=0),1000000,INDEX('計算A'!DH$110:DH$114,$F11+1)+IF(AND($E11=1,LR11=0),1000,0)),1000000))</f>
        <v/>
      </c>
      <c r="QJ11">
        <f>IF($B11=0,1000000,IF(INDEX('計算A'!$D$60:$DS$104,$B11,110)*HB11=1,IF(AND($E11=2,LS11=0),1000000,INDEX('計算A'!DI$110:DI$114,$F11+1)+IF(AND($E11=1,LS11=0),1000,0)),1000000))</f>
        <v/>
      </c>
      <c r="QK11">
        <f>IF($B11=0,1000000,IF(INDEX('計算A'!$D$60:$DS$104,$B11,111)*HC11=1,IF(AND($E11=2,LT11=0),1000000,INDEX('計算A'!DJ$110:DJ$114,$F11+1)+IF(AND($E11=1,LT11=0),1000,0)),1000000))</f>
        <v/>
      </c>
      <c r="QL11">
        <f>IF($B11=0,1000000,IF(INDEX('計算A'!$D$60:$DS$104,$B11,112)*HD11=1,IF(AND($E11=2,LU11=0),1000000,INDEX('計算A'!DK$110:DK$114,$F11+1)+IF(AND($E11=1,LU11=0),1000,0)),1000000))</f>
        <v/>
      </c>
      <c r="QM11">
        <f>IF($B11=0,1000000,IF(INDEX('計算A'!$D$60:$DS$104,$B11,113)*HE11=1,IF(AND($E11=2,LV11=0),1000000,INDEX('計算A'!DL$110:DL$114,$F11+1)+IF(AND($E11=1,LV11=0),1000,0)),1000000))</f>
        <v/>
      </c>
      <c r="QN11">
        <f>IF($B11=0,1000000,IF(INDEX('計算A'!$D$60:$DS$104,$B11,114)*HF11=1,IF(AND($E11=2,LW11=0),1000000,INDEX('計算A'!DM$110:DM$114,$F11+1)+IF(AND($E11=1,LW11=0),1000,0)),1000000))</f>
        <v/>
      </c>
      <c r="QO11">
        <f>IF($B11=0,1000000,IF(INDEX('計算A'!$D$60:$DS$104,$B11,115)*HG11=1,IF(AND($E11=2,LX11=0),1000000,INDEX('計算A'!DN$110:DN$114,$F11+1)+IF(AND($E11=1,LX11=0),1000,0)),1000000))</f>
        <v/>
      </c>
      <c r="QP11">
        <f>IF($B11=0,1000000,IF(INDEX('計算A'!$D$60:$DS$104,$B11,116)*HH11=1,IF(AND($E11=2,LY11=0),1000000,INDEX('計算A'!DO$110:DO$114,$F11+1)+IF(AND($E11=1,LY11=0),1000,0)),1000000))</f>
        <v/>
      </c>
      <c r="QQ11">
        <f>IF($B11=0,1000000,IF(INDEX('計算A'!$D$60:$DS$104,$B11,117)*HI11=1,IF(AND($E11=2,LZ11=0),1000000,INDEX('計算A'!DP$110:DP$114,$F11+1)+IF(AND($E11=1,LZ11=0),1000,0)),1000000))</f>
        <v/>
      </c>
      <c r="QR11">
        <f>IF($B11=0,1000000,IF(INDEX('計算A'!$D$60:$DS$104,$B11,118)*HJ11=1,IF(AND($E11=2,MA11=0),1000000,INDEX('計算A'!DQ$110:DQ$114,$F11+1)+IF(AND($E11=1,MA11=0),1000,0)),1000000))</f>
        <v/>
      </c>
      <c r="QS11">
        <f>IF($B11=0,1000000,IF(INDEX('計算A'!$D$60:$DS$104,$B11,119)*HK11=1,IF(AND($E11=2,MB11=0),1000000,INDEX('計算A'!DR$110:DR$114,$F11+1)+IF(AND($E11=1,MB11=0),1000,0)),1000000))</f>
        <v/>
      </c>
      <c r="QT11">
        <f>IF($B11=0,1000000,IF(INDEX('計算A'!$D$60:$DS$104,$B11,120)*HL11=1,IF(AND($E11=2,MC11=0),1000000,INDEX('計算A'!DS$110:DS$114,$F11+1)+IF(AND($E11=1,MC11=0),1000,0)),1000000))</f>
        <v/>
      </c>
    </row>
    <row r="12">
      <c r="A12" t="n">
        <v>10</v>
      </c>
      <c r="B12">
        <f>IF(MIN(BC12:CU12)&gt;=1000000,0,MATCH(MIN(BC12:CU12),BC12:CU12,0))</f>
        <v/>
      </c>
      <c r="C12">
        <f>IF(MIN(ME12:QT12)&gt;=1000000,0,MATCH(MIN(ME12:QT12),ME12:QT12,0))</f>
        <v/>
      </c>
      <c r="D12">
        <f>IF(C12&gt;0,INDEX('計算A'!$D$5:$DS$5,C12),0)</f>
        <v/>
      </c>
      <c r="E12">
        <f>IF(B12=0,0,INDEX('計算A'!$EA$10:$EA$54,B12))</f>
        <v/>
      </c>
      <c r="F12">
        <f>IF(B12=0,0,INDEX('計算A'!$DZ$10:$DZ$54,B12))</f>
        <v/>
      </c>
      <c r="G12">
        <f>IF(AND(C12&gt;0,E12&gt;0),IF(AND(INDEX('計算A'!$D$106:$DS$106,C12)=1,INDEX($HN12:$MC12,C12)=1),C12+1,0),0)</f>
        <v/>
      </c>
      <c r="I12">
        <f>MAX(I11,IF($B11=1,1,0))</f>
        <v/>
      </c>
      <c r="J12">
        <f>MAX(J11,IF($B11=2,1,0))</f>
        <v/>
      </c>
      <c r="K12">
        <f>MAX(K11,IF($B11=3,1,0))</f>
        <v/>
      </c>
      <c r="L12">
        <f>MAX(L11,IF($B11=4,1,0))</f>
        <v/>
      </c>
      <c r="M12">
        <f>MAX(M11,IF($B11=5,1,0))</f>
        <v/>
      </c>
      <c r="N12">
        <f>MAX(N11,IF($B11=6,1,0))</f>
        <v/>
      </c>
      <c r="O12">
        <f>MAX(O11,IF($B11=7,1,0))</f>
        <v/>
      </c>
      <c r="P12">
        <f>MAX(P11,IF($B11=8,1,0))</f>
        <v/>
      </c>
      <c r="Q12">
        <f>MAX(Q11,IF($B11=9,1,0))</f>
        <v/>
      </c>
      <c r="R12">
        <f>MAX(R11,IF($B11=10,1,0))</f>
        <v/>
      </c>
      <c r="S12">
        <f>MAX(S11,IF($B11=11,1,0))</f>
        <v/>
      </c>
      <c r="T12">
        <f>MAX(T11,IF($B11=12,1,0))</f>
        <v/>
      </c>
      <c r="U12">
        <f>MAX(U11,IF($B11=13,1,0))</f>
        <v/>
      </c>
      <c r="V12">
        <f>MAX(V11,IF($B11=14,1,0))</f>
        <v/>
      </c>
      <c r="W12">
        <f>MAX(W11,IF($B11=15,1,0))</f>
        <v/>
      </c>
      <c r="X12">
        <f>MAX(X11,IF($B11=16,1,0))</f>
        <v/>
      </c>
      <c r="Y12">
        <f>MAX(Y11,IF($B11=17,1,0))</f>
        <v/>
      </c>
      <c r="Z12">
        <f>MAX(Z11,IF($B11=18,1,0))</f>
        <v/>
      </c>
      <c r="AA12">
        <f>MAX(AA11,IF($B11=19,1,0))</f>
        <v/>
      </c>
      <c r="AB12">
        <f>MAX(AB11,IF($B11=20,1,0))</f>
        <v/>
      </c>
      <c r="AC12">
        <f>MAX(AC11,IF($B11=21,1,0))</f>
        <v/>
      </c>
      <c r="AD12">
        <f>MAX(AD11,IF($B11=22,1,0))</f>
        <v/>
      </c>
      <c r="AE12">
        <f>MAX(AE11,IF($B11=23,1,0))</f>
        <v/>
      </c>
      <c r="AF12">
        <f>MAX(AF11,IF($B11=24,1,0))</f>
        <v/>
      </c>
      <c r="AG12">
        <f>MAX(AG11,IF($B11=25,1,0))</f>
        <v/>
      </c>
      <c r="AH12">
        <f>MAX(AH11,IF($B11=26,1,0))</f>
        <v/>
      </c>
      <c r="AI12">
        <f>MAX(AI11,IF($B11=27,1,0))</f>
        <v/>
      </c>
      <c r="AJ12">
        <f>MAX(AJ11,IF($B11=28,1,0))</f>
        <v/>
      </c>
      <c r="AK12">
        <f>MAX(AK11,IF($B11=29,1,0))</f>
        <v/>
      </c>
      <c r="AL12">
        <f>MAX(AL11,IF($B11=30,1,0))</f>
        <v/>
      </c>
      <c r="AM12">
        <f>MAX(AM11,IF($B11=31,1,0))</f>
        <v/>
      </c>
      <c r="AN12">
        <f>MAX(AN11,IF($B11=32,1,0))</f>
        <v/>
      </c>
      <c r="AO12">
        <f>MAX(AO11,IF($B11=33,1,0))</f>
        <v/>
      </c>
      <c r="AP12">
        <f>MAX(AP11,IF($B11=34,1,0))</f>
        <v/>
      </c>
      <c r="AQ12">
        <f>MAX(AQ11,IF($B11=35,1,0))</f>
        <v/>
      </c>
      <c r="AR12">
        <f>MAX(AR11,IF($B11=36,1,0))</f>
        <v/>
      </c>
      <c r="AS12">
        <f>MAX(AS11,IF($B11=37,1,0))</f>
        <v/>
      </c>
      <c r="AT12">
        <f>MAX(AT11,IF($B11=38,1,0))</f>
        <v/>
      </c>
      <c r="AU12">
        <f>MAX(AU11,IF($B11=39,1,0))</f>
        <v/>
      </c>
      <c r="AV12">
        <f>MAX(AV11,IF($B11=40,1,0))</f>
        <v/>
      </c>
      <c r="AW12">
        <f>MAX(AW11,IF($B11=41,1,0))</f>
        <v/>
      </c>
      <c r="AX12">
        <f>MAX(AX11,IF($B11=42,1,0))</f>
        <v/>
      </c>
      <c r="AY12">
        <f>MAX(AY11,IF($B11=43,1,0))</f>
        <v/>
      </c>
      <c r="AZ12">
        <f>MAX(AZ11,IF($B11=44,1,0))</f>
        <v/>
      </c>
      <c r="BA12">
        <f>MAX(BA11,IF($B11=45,1,0))</f>
        <v/>
      </c>
      <c r="BC12">
        <f>IF(I12=1,1000000,IF('計算A'!$EA$10=2,SUMPRODUCT('計算A'!$D$60:$DS$60,$CW12:$HL12,$HN12:$MC12),SUMPRODUCT('計算A'!$D$60:$DS$60,$CW12:$HL12))*1000+1)</f>
        <v/>
      </c>
      <c r="BD12">
        <f>IF(J12=1,1000000,IF('計算A'!$EA$11=2,SUMPRODUCT('計算A'!$D$61:$DS$61,$CW12:$HL12,$HN12:$MC12),SUMPRODUCT('計算A'!$D$61:$DS$61,$CW12:$HL12))*1000+2)</f>
        <v/>
      </c>
      <c r="BE12">
        <f>IF(K12=1,1000000,IF('計算A'!$EA$12=2,SUMPRODUCT('計算A'!$D$62:$DS$62,$CW12:$HL12,$HN12:$MC12),SUMPRODUCT('計算A'!$D$62:$DS$62,$CW12:$HL12))*1000+3)</f>
        <v/>
      </c>
      <c r="BF12">
        <f>IF(L12=1,1000000,IF('計算A'!$EA$13=2,SUMPRODUCT('計算A'!$D$63:$DS$63,$CW12:$HL12,$HN12:$MC12),SUMPRODUCT('計算A'!$D$63:$DS$63,$CW12:$HL12))*1000+4)</f>
        <v/>
      </c>
      <c r="BG12">
        <f>IF(M12=1,1000000,IF('計算A'!$EA$14=2,SUMPRODUCT('計算A'!$D$64:$DS$64,$CW12:$HL12,$HN12:$MC12),SUMPRODUCT('計算A'!$D$64:$DS$64,$CW12:$HL12))*1000+5)</f>
        <v/>
      </c>
      <c r="BH12">
        <f>IF(N12=1,1000000,IF('計算A'!$EA$15=2,SUMPRODUCT('計算A'!$D$65:$DS$65,$CW12:$HL12,$HN12:$MC12),SUMPRODUCT('計算A'!$D$65:$DS$65,$CW12:$HL12))*1000+6)</f>
        <v/>
      </c>
      <c r="BI12">
        <f>IF(O12=1,1000000,IF('計算A'!$EA$16=2,SUMPRODUCT('計算A'!$D$66:$DS$66,$CW12:$HL12,$HN12:$MC12),SUMPRODUCT('計算A'!$D$66:$DS$66,$CW12:$HL12))*1000+7)</f>
        <v/>
      </c>
      <c r="BJ12">
        <f>IF(P12=1,1000000,IF('計算A'!$EA$17=2,SUMPRODUCT('計算A'!$D$67:$DS$67,$CW12:$HL12,$HN12:$MC12),SUMPRODUCT('計算A'!$D$67:$DS$67,$CW12:$HL12))*1000+8)</f>
        <v/>
      </c>
      <c r="BK12">
        <f>IF(Q12=1,1000000,IF('計算A'!$EA$18=2,SUMPRODUCT('計算A'!$D$68:$DS$68,$CW12:$HL12,$HN12:$MC12),SUMPRODUCT('計算A'!$D$68:$DS$68,$CW12:$HL12))*1000+9)</f>
        <v/>
      </c>
      <c r="BL12">
        <f>IF(R12=1,1000000,IF('計算A'!$EA$19=2,SUMPRODUCT('計算A'!$D$69:$DS$69,$CW12:$HL12,$HN12:$MC12),SUMPRODUCT('計算A'!$D$69:$DS$69,$CW12:$HL12))*1000+10)</f>
        <v/>
      </c>
      <c r="BM12">
        <f>IF(S12=1,1000000,IF('計算A'!$EA$20=2,SUMPRODUCT('計算A'!$D$70:$DS$70,$CW12:$HL12,$HN12:$MC12),SUMPRODUCT('計算A'!$D$70:$DS$70,$CW12:$HL12))*1000+11)</f>
        <v/>
      </c>
      <c r="BN12">
        <f>IF(T12=1,1000000,IF('計算A'!$EA$21=2,SUMPRODUCT('計算A'!$D$71:$DS$71,$CW12:$HL12,$HN12:$MC12),SUMPRODUCT('計算A'!$D$71:$DS$71,$CW12:$HL12))*1000+12)</f>
        <v/>
      </c>
      <c r="BO12">
        <f>IF(U12=1,1000000,IF('計算A'!$EA$22=2,SUMPRODUCT('計算A'!$D$72:$DS$72,$CW12:$HL12,$HN12:$MC12),SUMPRODUCT('計算A'!$D$72:$DS$72,$CW12:$HL12))*1000+13)</f>
        <v/>
      </c>
      <c r="BP12">
        <f>IF(V12=1,1000000,IF('計算A'!$EA$23=2,SUMPRODUCT('計算A'!$D$73:$DS$73,$CW12:$HL12,$HN12:$MC12),SUMPRODUCT('計算A'!$D$73:$DS$73,$CW12:$HL12))*1000+14)</f>
        <v/>
      </c>
      <c r="BQ12">
        <f>IF(W12=1,1000000,IF('計算A'!$EA$24=2,SUMPRODUCT('計算A'!$D$74:$DS$74,$CW12:$HL12,$HN12:$MC12),SUMPRODUCT('計算A'!$D$74:$DS$74,$CW12:$HL12))*1000+15)</f>
        <v/>
      </c>
      <c r="BR12">
        <f>IF(X12=1,1000000,IF('計算A'!$EA$25=2,SUMPRODUCT('計算A'!$D$75:$DS$75,$CW12:$HL12,$HN12:$MC12),SUMPRODUCT('計算A'!$D$75:$DS$75,$CW12:$HL12))*1000+16)</f>
        <v/>
      </c>
      <c r="BS12">
        <f>IF(Y12=1,1000000,IF('計算A'!$EA$26=2,SUMPRODUCT('計算A'!$D$76:$DS$76,$CW12:$HL12,$HN12:$MC12),SUMPRODUCT('計算A'!$D$76:$DS$76,$CW12:$HL12))*1000+17)</f>
        <v/>
      </c>
      <c r="BT12">
        <f>IF(Z12=1,1000000,IF('計算A'!$EA$27=2,SUMPRODUCT('計算A'!$D$77:$DS$77,$CW12:$HL12,$HN12:$MC12),SUMPRODUCT('計算A'!$D$77:$DS$77,$CW12:$HL12))*1000+18)</f>
        <v/>
      </c>
      <c r="BU12">
        <f>IF(AA12=1,1000000,IF('計算A'!$EA$28=2,SUMPRODUCT('計算A'!$D$78:$DS$78,$CW12:$HL12,$HN12:$MC12),SUMPRODUCT('計算A'!$D$78:$DS$78,$CW12:$HL12))*1000+19)</f>
        <v/>
      </c>
      <c r="BV12">
        <f>IF(AB12=1,1000000,IF('計算A'!$EA$29=2,SUMPRODUCT('計算A'!$D$79:$DS$79,$CW12:$HL12,$HN12:$MC12),SUMPRODUCT('計算A'!$D$79:$DS$79,$CW12:$HL12))*1000+20)</f>
        <v/>
      </c>
      <c r="BW12">
        <f>IF(AC12=1,1000000,IF('計算A'!$EA$30=2,SUMPRODUCT('計算A'!$D$80:$DS$80,$CW12:$HL12,$HN12:$MC12),SUMPRODUCT('計算A'!$D$80:$DS$80,$CW12:$HL12))*1000+21)</f>
        <v/>
      </c>
      <c r="BX12">
        <f>IF(AD12=1,1000000,IF('計算A'!$EA$31=2,SUMPRODUCT('計算A'!$D$81:$DS$81,$CW12:$HL12,$HN12:$MC12),SUMPRODUCT('計算A'!$D$81:$DS$81,$CW12:$HL12))*1000+22)</f>
        <v/>
      </c>
      <c r="BY12">
        <f>IF(AE12=1,1000000,IF('計算A'!$EA$32=2,SUMPRODUCT('計算A'!$D$82:$DS$82,$CW12:$HL12,$HN12:$MC12),SUMPRODUCT('計算A'!$D$82:$DS$82,$CW12:$HL12))*1000+23)</f>
        <v/>
      </c>
      <c r="BZ12">
        <f>IF(AF12=1,1000000,IF('計算A'!$EA$33=2,SUMPRODUCT('計算A'!$D$83:$DS$83,$CW12:$HL12,$HN12:$MC12),SUMPRODUCT('計算A'!$D$83:$DS$83,$CW12:$HL12))*1000+24)</f>
        <v/>
      </c>
      <c r="CA12">
        <f>IF(AG12=1,1000000,IF('計算A'!$EA$34=2,SUMPRODUCT('計算A'!$D$84:$DS$84,$CW12:$HL12,$HN12:$MC12),SUMPRODUCT('計算A'!$D$84:$DS$84,$CW12:$HL12))*1000+25)</f>
        <v/>
      </c>
      <c r="CB12">
        <f>IF(AH12=1,1000000,IF('計算A'!$EA$35=2,SUMPRODUCT('計算A'!$D$85:$DS$85,$CW12:$HL12,$HN12:$MC12),SUMPRODUCT('計算A'!$D$85:$DS$85,$CW12:$HL12))*1000+26)</f>
        <v/>
      </c>
      <c r="CC12">
        <f>IF(AI12=1,1000000,IF('計算A'!$EA$36=2,SUMPRODUCT('計算A'!$D$86:$DS$86,$CW12:$HL12,$HN12:$MC12),SUMPRODUCT('計算A'!$D$86:$DS$86,$CW12:$HL12))*1000+27)</f>
        <v/>
      </c>
      <c r="CD12">
        <f>IF(AJ12=1,1000000,IF('計算A'!$EA$37=2,SUMPRODUCT('計算A'!$D$87:$DS$87,$CW12:$HL12,$HN12:$MC12),SUMPRODUCT('計算A'!$D$87:$DS$87,$CW12:$HL12))*1000+28)</f>
        <v/>
      </c>
      <c r="CE12">
        <f>IF(AK12=1,1000000,IF('計算A'!$EA$38=2,SUMPRODUCT('計算A'!$D$88:$DS$88,$CW12:$HL12,$HN12:$MC12),SUMPRODUCT('計算A'!$D$88:$DS$88,$CW12:$HL12))*1000+29)</f>
        <v/>
      </c>
      <c r="CF12">
        <f>IF(AL12=1,1000000,IF('計算A'!$EA$39=2,SUMPRODUCT('計算A'!$D$89:$DS$89,$CW12:$HL12,$HN12:$MC12),SUMPRODUCT('計算A'!$D$89:$DS$89,$CW12:$HL12))*1000+30)</f>
        <v/>
      </c>
      <c r="CG12">
        <f>IF(AM12=1,1000000,IF('計算A'!$EA$40=2,SUMPRODUCT('計算A'!$D$90:$DS$90,$CW12:$HL12,$HN12:$MC12),SUMPRODUCT('計算A'!$D$90:$DS$90,$CW12:$HL12))*1000+31)</f>
        <v/>
      </c>
      <c r="CH12">
        <f>IF(AN12=1,1000000,IF('計算A'!$EA$41=2,SUMPRODUCT('計算A'!$D$91:$DS$91,$CW12:$HL12,$HN12:$MC12),SUMPRODUCT('計算A'!$D$91:$DS$91,$CW12:$HL12))*1000+32)</f>
        <v/>
      </c>
      <c r="CI12">
        <f>IF(AO12=1,1000000,IF('計算A'!$EA$42=2,SUMPRODUCT('計算A'!$D$92:$DS$92,$CW12:$HL12,$HN12:$MC12),SUMPRODUCT('計算A'!$D$92:$DS$92,$CW12:$HL12))*1000+33)</f>
        <v/>
      </c>
      <c r="CJ12">
        <f>IF(AP12=1,1000000,IF('計算A'!$EA$43=2,SUMPRODUCT('計算A'!$D$93:$DS$93,$CW12:$HL12,$HN12:$MC12),SUMPRODUCT('計算A'!$D$93:$DS$93,$CW12:$HL12))*1000+34)</f>
        <v/>
      </c>
      <c r="CK12">
        <f>IF(AQ12=1,1000000,IF('計算A'!$EA$44=2,SUMPRODUCT('計算A'!$D$94:$DS$94,$CW12:$HL12,$HN12:$MC12),SUMPRODUCT('計算A'!$D$94:$DS$94,$CW12:$HL12))*1000+35)</f>
        <v/>
      </c>
      <c r="CL12">
        <f>IF(AR12=1,1000000,IF('計算A'!$EA$45=2,SUMPRODUCT('計算A'!$D$95:$DS$95,$CW12:$HL12,$HN12:$MC12),SUMPRODUCT('計算A'!$D$95:$DS$95,$CW12:$HL12))*1000+36)</f>
        <v/>
      </c>
      <c r="CM12">
        <f>IF(AS12=1,1000000,IF('計算A'!$EA$46=2,SUMPRODUCT('計算A'!$D$96:$DS$96,$CW12:$HL12,$HN12:$MC12),SUMPRODUCT('計算A'!$D$96:$DS$96,$CW12:$HL12))*1000+37)</f>
        <v/>
      </c>
      <c r="CN12">
        <f>IF(AT12=1,1000000,IF('計算A'!$EA$47=2,SUMPRODUCT('計算A'!$D$97:$DS$97,$CW12:$HL12,$HN12:$MC12),SUMPRODUCT('計算A'!$D$97:$DS$97,$CW12:$HL12))*1000+38)</f>
        <v/>
      </c>
      <c r="CO12">
        <f>IF(AU12=1,1000000,IF('計算A'!$EA$48=2,SUMPRODUCT('計算A'!$D$98:$DS$98,$CW12:$HL12,$HN12:$MC12),SUMPRODUCT('計算A'!$D$98:$DS$98,$CW12:$HL12))*1000+39)</f>
        <v/>
      </c>
      <c r="CP12">
        <f>IF(AV12=1,1000000,IF('計算A'!$EA$49=2,SUMPRODUCT('計算A'!$D$99:$DS$99,$CW12:$HL12,$HN12:$MC12),SUMPRODUCT('計算A'!$D$99:$DS$99,$CW12:$HL12))*1000+40)</f>
        <v/>
      </c>
      <c r="CQ12">
        <f>IF(AW12=1,1000000,IF('計算A'!$EA$50=2,SUMPRODUCT('計算A'!$D$100:$DS$100,$CW12:$HL12,$HN12:$MC12),SUMPRODUCT('計算A'!$D$100:$DS$100,$CW12:$HL12))*1000+41)</f>
        <v/>
      </c>
      <c r="CR12">
        <f>IF(AX12=1,1000000,IF('計算A'!$EA$51=2,SUMPRODUCT('計算A'!$D$101:$DS$101,$CW12:$HL12,$HN12:$MC12),SUMPRODUCT('計算A'!$D$101:$DS$101,$CW12:$HL12))*1000+42)</f>
        <v/>
      </c>
      <c r="CS12">
        <f>IF(AY12=1,1000000,IF('計算A'!$EA$52=2,SUMPRODUCT('計算A'!$D$102:$DS$102,$CW12:$HL12,$HN12:$MC12),SUMPRODUCT('計算A'!$D$102:$DS$102,$CW12:$HL12))*1000+43)</f>
        <v/>
      </c>
      <c r="CT12">
        <f>IF(AZ12=1,1000000,IF('計算A'!$EA$53=2,SUMPRODUCT('計算A'!$D$103:$DS$103,$CW12:$HL12,$HN12:$MC12),SUMPRODUCT('計算A'!$D$103:$DS$103,$CW12:$HL12))*1000+44)</f>
        <v/>
      </c>
      <c r="CU12">
        <f>IF(BA12=1,1000000,IF('計算A'!$EA$54=2,SUMPRODUCT('計算A'!$D$104:$DS$104,$CW12:$HL12,$HN12:$MC12),SUMPRODUCT('計算A'!$D$104:$DS$104,$CW12:$HL12))*1000+45)</f>
        <v/>
      </c>
      <c r="CW12">
        <f>CW11*IF(OR($C11=1,$G11=1),0,1)</f>
        <v/>
      </c>
      <c r="CX12">
        <f>CX11*IF(OR($C11=2,$G11=2),0,1)</f>
        <v/>
      </c>
      <c r="CY12">
        <f>CY11*IF(OR($C11=3,$G11=3),0,1)</f>
        <v/>
      </c>
      <c r="CZ12">
        <f>CZ11*IF(OR($C11=4,$G11=4),0,1)</f>
        <v/>
      </c>
      <c r="DA12">
        <f>DA11*IF(OR($C11=5,$G11=5),0,1)</f>
        <v/>
      </c>
      <c r="DB12">
        <f>DB11*IF(OR($C11=6,$G11=6),0,1)</f>
        <v/>
      </c>
      <c r="DC12">
        <f>DC11*IF(OR($C11=7,$G11=7),0,1)</f>
        <v/>
      </c>
      <c r="DD12">
        <f>DD11*IF(OR($C11=8,$G11=8),0,1)</f>
        <v/>
      </c>
      <c r="DE12">
        <f>DE11*IF(OR($C11=9,$G11=9),0,1)</f>
        <v/>
      </c>
      <c r="DF12">
        <f>DF11*IF(OR($C11=10,$G11=10),0,1)</f>
        <v/>
      </c>
      <c r="DG12">
        <f>DG11*IF(OR($C11=11,$G11=11),0,1)</f>
        <v/>
      </c>
      <c r="DH12">
        <f>DH11*IF(OR($C11=12,$G11=12),0,1)</f>
        <v/>
      </c>
      <c r="DI12">
        <f>DI11*IF(OR($C11=13,$G11=13),0,1)</f>
        <v/>
      </c>
      <c r="DJ12">
        <f>DJ11*IF(OR($C11=14,$G11=14),0,1)</f>
        <v/>
      </c>
      <c r="DK12">
        <f>DK11*IF(OR($C11=15,$G11=15),0,1)</f>
        <v/>
      </c>
      <c r="DL12">
        <f>DL11*IF(OR($C11=16,$G11=16),0,1)</f>
        <v/>
      </c>
      <c r="DM12">
        <f>DM11*IF(OR($C11=17,$G11=17),0,1)</f>
        <v/>
      </c>
      <c r="DN12">
        <f>DN11*IF(OR($C11=18,$G11=18),0,1)</f>
        <v/>
      </c>
      <c r="DO12">
        <f>DO11*IF(OR($C11=19,$G11=19),0,1)</f>
        <v/>
      </c>
      <c r="DP12">
        <f>DP11*IF(OR($C11=20,$G11=20),0,1)</f>
        <v/>
      </c>
      <c r="DQ12">
        <f>DQ11*IF(OR($C11=21,$G11=21),0,1)</f>
        <v/>
      </c>
      <c r="DR12">
        <f>DR11*IF(OR($C11=22,$G11=22),0,1)</f>
        <v/>
      </c>
      <c r="DS12">
        <f>DS11*IF(OR($C11=23,$G11=23),0,1)</f>
        <v/>
      </c>
      <c r="DT12">
        <f>DT11*IF(OR($C11=24,$G11=24),0,1)</f>
        <v/>
      </c>
      <c r="DU12">
        <f>DU11*IF(OR($C11=25,$G11=25),0,1)</f>
        <v/>
      </c>
      <c r="DV12">
        <f>DV11*IF(OR($C11=26,$G11=26),0,1)</f>
        <v/>
      </c>
      <c r="DW12">
        <f>DW11*IF(OR($C11=27,$G11=27),0,1)</f>
        <v/>
      </c>
      <c r="DX12">
        <f>DX11*IF(OR($C11=28,$G11=28),0,1)</f>
        <v/>
      </c>
      <c r="DY12">
        <f>DY11*IF(OR($C11=29,$G11=29),0,1)</f>
        <v/>
      </c>
      <c r="DZ12">
        <f>DZ11*IF(OR($C11=30,$G11=30),0,1)</f>
        <v/>
      </c>
      <c r="EA12">
        <f>EA11*IF(OR($C11=31,$G11=31),0,1)</f>
        <v/>
      </c>
      <c r="EB12">
        <f>EB11*IF(OR($C11=32,$G11=32),0,1)</f>
        <v/>
      </c>
      <c r="EC12">
        <f>EC11*IF(OR($C11=33,$G11=33),0,1)</f>
        <v/>
      </c>
      <c r="ED12">
        <f>ED11*IF(OR($C11=34,$G11=34),0,1)</f>
        <v/>
      </c>
      <c r="EE12">
        <f>EE11*IF(OR($C11=35,$G11=35),0,1)</f>
        <v/>
      </c>
      <c r="EF12">
        <f>EF11*IF(OR($C11=36,$G11=36),0,1)</f>
        <v/>
      </c>
      <c r="EG12">
        <f>EG11*IF(OR($C11=37,$G11=37),0,1)</f>
        <v/>
      </c>
      <c r="EH12">
        <f>EH11*IF(OR($C11=38,$G11=38),0,1)</f>
        <v/>
      </c>
      <c r="EI12">
        <f>EI11*IF(OR($C11=39,$G11=39),0,1)</f>
        <v/>
      </c>
      <c r="EJ12">
        <f>EJ11*IF(OR($C11=40,$G11=40),0,1)</f>
        <v/>
      </c>
      <c r="EK12">
        <f>EK11*IF(OR($C11=41,$G11=41),0,1)</f>
        <v/>
      </c>
      <c r="EL12">
        <f>EL11*IF(OR($C11=42,$G11=42),0,1)</f>
        <v/>
      </c>
      <c r="EM12">
        <f>EM11*IF(OR($C11=43,$G11=43),0,1)</f>
        <v/>
      </c>
      <c r="EN12">
        <f>EN11*IF(OR($C11=44,$G11=44),0,1)</f>
        <v/>
      </c>
      <c r="EO12">
        <f>EO11*IF(OR($C11=45,$G11=45),0,1)</f>
        <v/>
      </c>
      <c r="EP12">
        <f>EP11*IF(OR($C11=46,$G11=46),0,1)</f>
        <v/>
      </c>
      <c r="EQ12">
        <f>EQ11*IF(OR($C11=47,$G11=47),0,1)</f>
        <v/>
      </c>
      <c r="ER12">
        <f>ER11*IF(OR($C11=48,$G11=48),0,1)</f>
        <v/>
      </c>
      <c r="ES12">
        <f>ES11*IF(OR($C11=49,$G11=49),0,1)</f>
        <v/>
      </c>
      <c r="ET12">
        <f>ET11*IF(OR($C11=50,$G11=50),0,1)</f>
        <v/>
      </c>
      <c r="EU12">
        <f>EU11*IF(OR($C11=51,$G11=51),0,1)</f>
        <v/>
      </c>
      <c r="EV12">
        <f>EV11*IF(OR($C11=52,$G11=52),0,1)</f>
        <v/>
      </c>
      <c r="EW12">
        <f>EW11*IF(OR($C11=53,$G11=53),0,1)</f>
        <v/>
      </c>
      <c r="EX12">
        <f>EX11*IF(OR($C11=54,$G11=54),0,1)</f>
        <v/>
      </c>
      <c r="EY12">
        <f>EY11*IF(OR($C11=55,$G11=55),0,1)</f>
        <v/>
      </c>
      <c r="EZ12">
        <f>EZ11*IF(OR($C11=56,$G11=56),0,1)</f>
        <v/>
      </c>
      <c r="FA12">
        <f>FA11*IF(OR($C11=57,$G11=57),0,1)</f>
        <v/>
      </c>
      <c r="FB12">
        <f>FB11*IF(OR($C11=58,$G11=58),0,1)</f>
        <v/>
      </c>
      <c r="FC12">
        <f>FC11*IF(OR($C11=59,$G11=59),0,1)</f>
        <v/>
      </c>
      <c r="FD12">
        <f>FD11*IF(OR($C11=60,$G11=60),0,1)</f>
        <v/>
      </c>
      <c r="FE12">
        <f>FE11*IF(OR($C11=61,$G11=61),0,1)</f>
        <v/>
      </c>
      <c r="FF12">
        <f>FF11*IF(OR($C11=62,$G11=62),0,1)</f>
        <v/>
      </c>
      <c r="FG12">
        <f>FG11*IF(OR($C11=63,$G11=63),0,1)</f>
        <v/>
      </c>
      <c r="FH12">
        <f>FH11*IF(OR($C11=64,$G11=64),0,1)</f>
        <v/>
      </c>
      <c r="FI12">
        <f>FI11*IF(OR($C11=65,$G11=65),0,1)</f>
        <v/>
      </c>
      <c r="FJ12">
        <f>FJ11*IF(OR($C11=66,$G11=66),0,1)</f>
        <v/>
      </c>
      <c r="FK12">
        <f>FK11*IF(OR($C11=67,$G11=67),0,1)</f>
        <v/>
      </c>
      <c r="FL12">
        <f>FL11*IF(OR($C11=68,$G11=68),0,1)</f>
        <v/>
      </c>
      <c r="FM12">
        <f>FM11*IF(OR($C11=69,$G11=69),0,1)</f>
        <v/>
      </c>
      <c r="FN12">
        <f>FN11*IF(OR($C11=70,$G11=70),0,1)</f>
        <v/>
      </c>
      <c r="FO12">
        <f>FO11*IF(OR($C11=71,$G11=71),0,1)</f>
        <v/>
      </c>
      <c r="FP12">
        <f>FP11*IF(OR($C11=72,$G11=72),0,1)</f>
        <v/>
      </c>
      <c r="FQ12">
        <f>FQ11*IF(OR($C11=73,$G11=73),0,1)</f>
        <v/>
      </c>
      <c r="FR12">
        <f>FR11*IF(OR($C11=74,$G11=74),0,1)</f>
        <v/>
      </c>
      <c r="FS12">
        <f>FS11*IF(OR($C11=75,$G11=75),0,1)</f>
        <v/>
      </c>
      <c r="FT12">
        <f>FT11*IF(OR($C11=76,$G11=76),0,1)</f>
        <v/>
      </c>
      <c r="FU12">
        <f>FU11*IF(OR($C11=77,$G11=77),0,1)</f>
        <v/>
      </c>
      <c r="FV12">
        <f>FV11*IF(OR($C11=78,$G11=78),0,1)</f>
        <v/>
      </c>
      <c r="FW12">
        <f>FW11*IF(OR($C11=79,$G11=79),0,1)</f>
        <v/>
      </c>
      <c r="FX12">
        <f>FX11*IF(OR($C11=80,$G11=80),0,1)</f>
        <v/>
      </c>
      <c r="FY12">
        <f>FY11*IF(OR($C11=81,$G11=81),0,1)</f>
        <v/>
      </c>
      <c r="FZ12">
        <f>FZ11*IF(OR($C11=82,$G11=82),0,1)</f>
        <v/>
      </c>
      <c r="GA12">
        <f>GA11*IF(OR($C11=83,$G11=83),0,1)</f>
        <v/>
      </c>
      <c r="GB12">
        <f>GB11*IF(OR($C11=84,$G11=84),0,1)</f>
        <v/>
      </c>
      <c r="GC12">
        <f>GC11*IF(OR($C11=85,$G11=85),0,1)</f>
        <v/>
      </c>
      <c r="GD12">
        <f>GD11*IF(OR($C11=86,$G11=86),0,1)</f>
        <v/>
      </c>
      <c r="GE12">
        <f>GE11*IF(OR($C11=87,$G11=87),0,1)</f>
        <v/>
      </c>
      <c r="GF12">
        <f>GF11*IF(OR($C11=88,$G11=88),0,1)</f>
        <v/>
      </c>
      <c r="GG12">
        <f>GG11*IF(OR($C11=89,$G11=89),0,1)</f>
        <v/>
      </c>
      <c r="GH12">
        <f>GH11*IF(OR($C11=90,$G11=90),0,1)</f>
        <v/>
      </c>
      <c r="GI12">
        <f>GI11*IF(OR($C11=91,$G11=91),0,1)</f>
        <v/>
      </c>
      <c r="GJ12">
        <f>GJ11*IF(OR($C11=92,$G11=92),0,1)</f>
        <v/>
      </c>
      <c r="GK12">
        <f>GK11*IF(OR($C11=93,$G11=93),0,1)</f>
        <v/>
      </c>
      <c r="GL12">
        <f>GL11*IF(OR($C11=94,$G11=94),0,1)</f>
        <v/>
      </c>
      <c r="GM12">
        <f>GM11*IF(OR($C11=95,$G11=95),0,1)</f>
        <v/>
      </c>
      <c r="GN12">
        <f>GN11*IF(OR($C11=96,$G11=96),0,1)</f>
        <v/>
      </c>
      <c r="GO12">
        <f>GO11*IF(OR($C11=97,$G11=97),0,1)</f>
        <v/>
      </c>
      <c r="GP12">
        <f>GP11*IF(OR($C11=98,$G11=98),0,1)</f>
        <v/>
      </c>
      <c r="GQ12">
        <f>GQ11*IF(OR($C11=99,$G11=99),0,1)</f>
        <v/>
      </c>
      <c r="GR12">
        <f>GR11*IF(OR($C11=100,$G11=100),0,1)</f>
        <v/>
      </c>
      <c r="GS12">
        <f>GS11*IF(OR($C11=101,$G11=101),0,1)</f>
        <v/>
      </c>
      <c r="GT12">
        <f>GT11*IF(OR($C11=102,$G11=102),0,1)</f>
        <v/>
      </c>
      <c r="GU12">
        <f>GU11*IF(OR($C11=103,$G11=103),0,1)</f>
        <v/>
      </c>
      <c r="GV12">
        <f>GV11*IF(OR($C11=104,$G11=104),0,1)</f>
        <v/>
      </c>
      <c r="GW12">
        <f>GW11*IF(OR($C11=105,$G11=105),0,1)</f>
        <v/>
      </c>
      <c r="GX12">
        <f>GX11*IF(OR($C11=106,$G11=106),0,1)</f>
        <v/>
      </c>
      <c r="GY12">
        <f>GY11*IF(OR($C11=107,$G11=107),0,1)</f>
        <v/>
      </c>
      <c r="GZ12">
        <f>GZ11*IF(OR($C11=108,$G11=108),0,1)</f>
        <v/>
      </c>
      <c r="HA12">
        <f>HA11*IF(OR($C11=109,$G11=109),0,1)</f>
        <v/>
      </c>
      <c r="HB12">
        <f>HB11*IF(OR($C11=110,$G11=110),0,1)</f>
        <v/>
      </c>
      <c r="HC12">
        <f>HC11*IF(OR($C11=111,$G11=111),0,1)</f>
        <v/>
      </c>
      <c r="HD12">
        <f>HD11*IF(OR($C11=112,$G11=112),0,1)</f>
        <v/>
      </c>
      <c r="HE12">
        <f>HE11*IF(OR($C11=113,$G11=113),0,1)</f>
        <v/>
      </c>
      <c r="HF12">
        <f>HF11*IF(OR($C11=114,$G11=114),0,1)</f>
        <v/>
      </c>
      <c r="HG12">
        <f>HG11*IF(OR($C11=115,$G11=115),0,1)</f>
        <v/>
      </c>
      <c r="HH12">
        <f>HH11*IF(OR($C11=116,$G11=116),0,1)</f>
        <v/>
      </c>
      <c r="HI12">
        <f>HI11*IF(OR($C11=117,$G11=117),0,1)</f>
        <v/>
      </c>
      <c r="HJ12">
        <f>HJ11*IF(OR($C11=118,$G11=118),0,1)</f>
        <v/>
      </c>
      <c r="HK12">
        <f>HK11*IF(OR($C11=119,$G11=119),0,1)</f>
        <v/>
      </c>
      <c r="HL12">
        <f>HL11*IF(OR($C11=120,$G11=120),0,1)</f>
        <v/>
      </c>
      <c r="HN12">
        <f>IF('計算A'!D$106=1,CX12,1)</f>
        <v/>
      </c>
      <c r="HO12">
        <f>IF('計算A'!E$106=1,CY12,1)</f>
        <v/>
      </c>
      <c r="HP12">
        <f>IF('計算A'!F$106=1,CZ12,1)</f>
        <v/>
      </c>
      <c r="HQ12">
        <f>IF('計算A'!G$106=1,DA12,1)</f>
        <v/>
      </c>
      <c r="HR12">
        <f>IF('計算A'!H$106=1,DB12,1)</f>
        <v/>
      </c>
      <c r="HS12">
        <f>IF('計算A'!I$106=1,DC12,1)</f>
        <v/>
      </c>
      <c r="HT12">
        <f>IF('計算A'!J$106=1,DD12,1)</f>
        <v/>
      </c>
      <c r="HU12">
        <f>IF('計算A'!K$106=1,DE12,1)</f>
        <v/>
      </c>
      <c r="HV12">
        <f>IF('計算A'!L$106=1,DF12,1)</f>
        <v/>
      </c>
      <c r="HW12">
        <f>IF('計算A'!M$106=1,DG12,1)</f>
        <v/>
      </c>
      <c r="HX12">
        <f>IF('計算A'!N$106=1,DH12,1)</f>
        <v/>
      </c>
      <c r="HY12">
        <f>IF('計算A'!O$106=1,DI12,1)</f>
        <v/>
      </c>
      <c r="HZ12">
        <f>IF('計算A'!P$106=1,DJ12,1)</f>
        <v/>
      </c>
      <c r="IA12">
        <f>IF('計算A'!Q$106=1,DK12,1)</f>
        <v/>
      </c>
      <c r="IB12">
        <f>IF('計算A'!R$106=1,DL12,1)</f>
        <v/>
      </c>
      <c r="IC12">
        <f>IF('計算A'!S$106=1,DM12,1)</f>
        <v/>
      </c>
      <c r="ID12">
        <f>IF('計算A'!T$106=1,DN12,1)</f>
        <v/>
      </c>
      <c r="IE12">
        <f>IF('計算A'!U$106=1,DO12,1)</f>
        <v/>
      </c>
      <c r="IF12">
        <f>IF('計算A'!V$106=1,DP12,1)</f>
        <v/>
      </c>
      <c r="IG12">
        <f>IF('計算A'!W$106=1,DQ12,1)</f>
        <v/>
      </c>
      <c r="IH12">
        <f>IF('計算A'!X$106=1,DR12,1)</f>
        <v/>
      </c>
      <c r="II12">
        <f>IF('計算A'!Y$106=1,DS12,1)</f>
        <v/>
      </c>
      <c r="IJ12">
        <f>IF('計算A'!Z$106=1,DT12,1)</f>
        <v/>
      </c>
      <c r="IK12">
        <f>IF('計算A'!AA$106=1,DU12,1)</f>
        <v/>
      </c>
      <c r="IL12">
        <f>IF('計算A'!AB$106=1,DV12,1)</f>
        <v/>
      </c>
      <c r="IM12">
        <f>IF('計算A'!AC$106=1,DW12,1)</f>
        <v/>
      </c>
      <c r="IN12">
        <f>IF('計算A'!AD$106=1,DX12,1)</f>
        <v/>
      </c>
      <c r="IO12">
        <f>IF('計算A'!AE$106=1,DY12,1)</f>
        <v/>
      </c>
      <c r="IP12">
        <f>IF('計算A'!AF$106=1,DZ12,1)</f>
        <v/>
      </c>
      <c r="IQ12">
        <f>IF('計算A'!AG$106=1,EA12,1)</f>
        <v/>
      </c>
      <c r="IR12">
        <f>IF('計算A'!AH$106=1,EB12,1)</f>
        <v/>
      </c>
      <c r="IS12">
        <f>IF('計算A'!AI$106=1,EC12,1)</f>
        <v/>
      </c>
      <c r="IT12">
        <f>IF('計算A'!AJ$106=1,ED12,1)</f>
        <v/>
      </c>
      <c r="IU12">
        <f>IF('計算A'!AK$106=1,EE12,1)</f>
        <v/>
      </c>
      <c r="IV12">
        <f>IF('計算A'!AL$106=1,EF12,1)</f>
        <v/>
      </c>
      <c r="IW12">
        <f>IF('計算A'!AM$106=1,EG12,1)</f>
        <v/>
      </c>
      <c r="IX12">
        <f>IF('計算A'!AN$106=1,EH12,1)</f>
        <v/>
      </c>
      <c r="IY12">
        <f>IF('計算A'!AO$106=1,EI12,1)</f>
        <v/>
      </c>
      <c r="IZ12">
        <f>IF('計算A'!AP$106=1,EJ12,1)</f>
        <v/>
      </c>
      <c r="JA12">
        <f>IF('計算A'!AQ$106=1,EK12,1)</f>
        <v/>
      </c>
      <c r="JB12">
        <f>IF('計算A'!AR$106=1,EL12,1)</f>
        <v/>
      </c>
      <c r="JC12">
        <f>IF('計算A'!AS$106=1,EM12,1)</f>
        <v/>
      </c>
      <c r="JD12">
        <f>IF('計算A'!AT$106=1,EN12,1)</f>
        <v/>
      </c>
      <c r="JE12">
        <f>IF('計算A'!AU$106=1,EO12,1)</f>
        <v/>
      </c>
      <c r="JF12">
        <f>IF('計算A'!AV$106=1,EP12,1)</f>
        <v/>
      </c>
      <c r="JG12">
        <f>IF('計算A'!AW$106=1,EQ12,1)</f>
        <v/>
      </c>
      <c r="JH12">
        <f>IF('計算A'!AX$106=1,ER12,1)</f>
        <v/>
      </c>
      <c r="JI12">
        <f>IF('計算A'!AY$106=1,ES12,1)</f>
        <v/>
      </c>
      <c r="JJ12">
        <f>IF('計算A'!AZ$106=1,ET12,1)</f>
        <v/>
      </c>
      <c r="JK12">
        <f>IF('計算A'!BA$106=1,EU12,1)</f>
        <v/>
      </c>
      <c r="JL12">
        <f>IF('計算A'!BB$106=1,EV12,1)</f>
        <v/>
      </c>
      <c r="JM12">
        <f>IF('計算A'!BC$106=1,EW12,1)</f>
        <v/>
      </c>
      <c r="JN12">
        <f>IF('計算A'!BD$106=1,EX12,1)</f>
        <v/>
      </c>
      <c r="JO12">
        <f>IF('計算A'!BE$106=1,EY12,1)</f>
        <v/>
      </c>
      <c r="JP12">
        <f>IF('計算A'!BF$106=1,EZ12,1)</f>
        <v/>
      </c>
      <c r="JQ12">
        <f>IF('計算A'!BG$106=1,FA12,1)</f>
        <v/>
      </c>
      <c r="JR12">
        <f>IF('計算A'!BH$106=1,FB12,1)</f>
        <v/>
      </c>
      <c r="JS12">
        <f>IF('計算A'!BI$106=1,FC12,1)</f>
        <v/>
      </c>
      <c r="JT12">
        <f>IF('計算A'!BJ$106=1,FD12,1)</f>
        <v/>
      </c>
      <c r="JU12">
        <f>IF('計算A'!BK$106=1,FE12,1)</f>
        <v/>
      </c>
      <c r="JV12">
        <f>IF('計算A'!BL$106=1,FF12,1)</f>
        <v/>
      </c>
      <c r="JW12">
        <f>IF('計算A'!BM$106=1,FG12,1)</f>
        <v/>
      </c>
      <c r="JX12">
        <f>IF('計算A'!BN$106=1,FH12,1)</f>
        <v/>
      </c>
      <c r="JY12">
        <f>IF('計算A'!BO$106=1,FI12,1)</f>
        <v/>
      </c>
      <c r="JZ12">
        <f>IF('計算A'!BP$106=1,FJ12,1)</f>
        <v/>
      </c>
      <c r="KA12">
        <f>IF('計算A'!BQ$106=1,FK12,1)</f>
        <v/>
      </c>
      <c r="KB12">
        <f>IF('計算A'!BR$106=1,FL12,1)</f>
        <v/>
      </c>
      <c r="KC12">
        <f>IF('計算A'!BS$106=1,FM12,1)</f>
        <v/>
      </c>
      <c r="KD12">
        <f>IF('計算A'!BT$106=1,FN12,1)</f>
        <v/>
      </c>
      <c r="KE12">
        <f>IF('計算A'!BU$106=1,FO12,1)</f>
        <v/>
      </c>
      <c r="KF12">
        <f>IF('計算A'!BV$106=1,FP12,1)</f>
        <v/>
      </c>
      <c r="KG12">
        <f>IF('計算A'!BW$106=1,FQ12,1)</f>
        <v/>
      </c>
      <c r="KH12">
        <f>IF('計算A'!BX$106=1,FR12,1)</f>
        <v/>
      </c>
      <c r="KI12">
        <f>IF('計算A'!BY$106=1,FS12,1)</f>
        <v/>
      </c>
      <c r="KJ12">
        <f>IF('計算A'!BZ$106=1,FT12,1)</f>
        <v/>
      </c>
      <c r="KK12">
        <f>IF('計算A'!CA$106=1,FU12,1)</f>
        <v/>
      </c>
      <c r="KL12">
        <f>IF('計算A'!CB$106=1,FV12,1)</f>
        <v/>
      </c>
      <c r="KM12">
        <f>IF('計算A'!CC$106=1,FW12,1)</f>
        <v/>
      </c>
      <c r="KN12">
        <f>IF('計算A'!CD$106=1,FX12,1)</f>
        <v/>
      </c>
      <c r="KO12">
        <f>IF('計算A'!CE$106=1,FY12,1)</f>
        <v/>
      </c>
      <c r="KP12">
        <f>IF('計算A'!CF$106=1,FZ12,1)</f>
        <v/>
      </c>
      <c r="KQ12">
        <f>IF('計算A'!CG$106=1,GA12,1)</f>
        <v/>
      </c>
      <c r="KR12">
        <f>IF('計算A'!CH$106=1,GB12,1)</f>
        <v/>
      </c>
      <c r="KS12">
        <f>IF('計算A'!CI$106=1,GC12,1)</f>
        <v/>
      </c>
      <c r="KT12">
        <f>IF('計算A'!CJ$106=1,GD12,1)</f>
        <v/>
      </c>
      <c r="KU12">
        <f>IF('計算A'!CK$106=1,GE12,1)</f>
        <v/>
      </c>
      <c r="KV12">
        <f>IF('計算A'!CL$106=1,GF12,1)</f>
        <v/>
      </c>
      <c r="KW12">
        <f>IF('計算A'!CM$106=1,GG12,1)</f>
        <v/>
      </c>
      <c r="KX12">
        <f>IF('計算A'!CN$106=1,GH12,1)</f>
        <v/>
      </c>
      <c r="KY12">
        <f>IF('計算A'!CO$106=1,GI12,1)</f>
        <v/>
      </c>
      <c r="KZ12">
        <f>IF('計算A'!CP$106=1,GJ12,1)</f>
        <v/>
      </c>
      <c r="LA12">
        <f>IF('計算A'!CQ$106=1,GK12,1)</f>
        <v/>
      </c>
      <c r="LB12">
        <f>IF('計算A'!CR$106=1,GL12,1)</f>
        <v/>
      </c>
      <c r="LC12">
        <f>IF('計算A'!CS$106=1,GM12,1)</f>
        <v/>
      </c>
      <c r="LD12">
        <f>IF('計算A'!CT$106=1,GN12,1)</f>
        <v/>
      </c>
      <c r="LE12">
        <f>IF('計算A'!CU$106=1,GO12,1)</f>
        <v/>
      </c>
      <c r="LF12">
        <f>IF('計算A'!CV$106=1,GP12,1)</f>
        <v/>
      </c>
      <c r="LG12">
        <f>IF('計算A'!CW$106=1,GQ12,1)</f>
        <v/>
      </c>
      <c r="LH12">
        <f>IF('計算A'!CX$106=1,GR12,1)</f>
        <v/>
      </c>
      <c r="LI12">
        <f>IF('計算A'!CY$106=1,GS12,1)</f>
        <v/>
      </c>
      <c r="LJ12">
        <f>IF('計算A'!CZ$106=1,GT12,1)</f>
        <v/>
      </c>
      <c r="LK12">
        <f>IF('計算A'!DA$106=1,GU12,1)</f>
        <v/>
      </c>
      <c r="LL12">
        <f>IF('計算A'!DB$106=1,GV12,1)</f>
        <v/>
      </c>
      <c r="LM12">
        <f>IF('計算A'!DC$106=1,GW12,1)</f>
        <v/>
      </c>
      <c r="LN12">
        <f>IF('計算A'!DD$106=1,GX12,1)</f>
        <v/>
      </c>
      <c r="LO12">
        <f>IF('計算A'!DE$106=1,GY12,1)</f>
        <v/>
      </c>
      <c r="LP12">
        <f>IF('計算A'!DF$106=1,GZ12,1)</f>
        <v/>
      </c>
      <c r="LQ12">
        <f>IF('計算A'!DG$106=1,HA12,1)</f>
        <v/>
      </c>
      <c r="LR12">
        <f>IF('計算A'!DH$106=1,HB12,1)</f>
        <v/>
      </c>
      <c r="LS12">
        <f>IF('計算A'!DI$106=1,HC12,1)</f>
        <v/>
      </c>
      <c r="LT12">
        <f>IF('計算A'!DJ$106=1,HD12,1)</f>
        <v/>
      </c>
      <c r="LU12">
        <f>IF('計算A'!DK$106=1,HE12,1)</f>
        <v/>
      </c>
      <c r="LV12">
        <f>IF('計算A'!DL$106=1,HF12,1)</f>
        <v/>
      </c>
      <c r="LW12">
        <f>IF('計算A'!DM$106=1,HG12,1)</f>
        <v/>
      </c>
      <c r="LX12">
        <f>IF('計算A'!DN$106=1,HH12,1)</f>
        <v/>
      </c>
      <c r="LY12">
        <f>IF('計算A'!DO$106=1,HI12,1)</f>
        <v/>
      </c>
      <c r="LZ12">
        <f>IF('計算A'!DP$106=1,HJ12,1)</f>
        <v/>
      </c>
      <c r="MA12">
        <f>IF('計算A'!DQ$106=1,HK12,1)</f>
        <v/>
      </c>
      <c r="MB12">
        <f>IF('計算A'!DR$106=1,HL12,1)</f>
        <v/>
      </c>
      <c r="MC12" t="n">
        <v>1</v>
      </c>
      <c r="ME12">
        <f>IF($B12=0,1000000,IF(INDEX('計算A'!$D$60:$DS$104,$B12,1)*CW12=1,IF(AND($E12=2,HN12=0),1000000,INDEX('計算A'!D$110:D$114,$F12+1)+IF(AND($E12=1,HN12=0),1000,0)),1000000))</f>
        <v/>
      </c>
      <c r="MF12">
        <f>IF($B12=0,1000000,IF(INDEX('計算A'!$D$60:$DS$104,$B12,2)*CX12=1,IF(AND($E12=2,HO12=0),1000000,INDEX('計算A'!E$110:E$114,$F12+1)+IF(AND($E12=1,HO12=0),1000,0)),1000000))</f>
        <v/>
      </c>
      <c r="MG12">
        <f>IF($B12=0,1000000,IF(INDEX('計算A'!$D$60:$DS$104,$B12,3)*CY12=1,IF(AND($E12=2,HP12=0),1000000,INDEX('計算A'!F$110:F$114,$F12+1)+IF(AND($E12=1,HP12=0),1000,0)),1000000))</f>
        <v/>
      </c>
      <c r="MH12">
        <f>IF($B12=0,1000000,IF(INDEX('計算A'!$D$60:$DS$104,$B12,4)*CZ12=1,IF(AND($E12=2,HQ12=0),1000000,INDEX('計算A'!G$110:G$114,$F12+1)+IF(AND($E12=1,HQ12=0),1000,0)),1000000))</f>
        <v/>
      </c>
      <c r="MI12">
        <f>IF($B12=0,1000000,IF(INDEX('計算A'!$D$60:$DS$104,$B12,5)*DA12=1,IF(AND($E12=2,HR12=0),1000000,INDEX('計算A'!H$110:H$114,$F12+1)+IF(AND($E12=1,HR12=0),1000,0)),1000000))</f>
        <v/>
      </c>
      <c r="MJ12">
        <f>IF($B12=0,1000000,IF(INDEX('計算A'!$D$60:$DS$104,$B12,6)*DB12=1,IF(AND($E12=2,HS12=0),1000000,INDEX('計算A'!I$110:I$114,$F12+1)+IF(AND($E12=1,HS12=0),1000,0)),1000000))</f>
        <v/>
      </c>
      <c r="MK12">
        <f>IF($B12=0,1000000,IF(INDEX('計算A'!$D$60:$DS$104,$B12,7)*DC12=1,IF(AND($E12=2,HT12=0),1000000,INDEX('計算A'!J$110:J$114,$F12+1)+IF(AND($E12=1,HT12=0),1000,0)),1000000))</f>
        <v/>
      </c>
      <c r="ML12">
        <f>IF($B12=0,1000000,IF(INDEX('計算A'!$D$60:$DS$104,$B12,8)*DD12=1,IF(AND($E12=2,HU12=0),1000000,INDEX('計算A'!K$110:K$114,$F12+1)+IF(AND($E12=1,HU12=0),1000,0)),1000000))</f>
        <v/>
      </c>
      <c r="MM12">
        <f>IF($B12=0,1000000,IF(INDEX('計算A'!$D$60:$DS$104,$B12,9)*DE12=1,IF(AND($E12=2,HV12=0),1000000,INDEX('計算A'!L$110:L$114,$F12+1)+IF(AND($E12=1,HV12=0),1000,0)),1000000))</f>
        <v/>
      </c>
      <c r="MN12">
        <f>IF($B12=0,1000000,IF(INDEX('計算A'!$D$60:$DS$104,$B12,10)*DF12=1,IF(AND($E12=2,HW12=0),1000000,INDEX('計算A'!M$110:M$114,$F12+1)+IF(AND($E12=1,HW12=0),1000,0)),1000000))</f>
        <v/>
      </c>
      <c r="MO12">
        <f>IF($B12=0,1000000,IF(INDEX('計算A'!$D$60:$DS$104,$B12,11)*DG12=1,IF(AND($E12=2,HX12=0),1000000,INDEX('計算A'!N$110:N$114,$F12+1)+IF(AND($E12=1,HX12=0),1000,0)),1000000))</f>
        <v/>
      </c>
      <c r="MP12">
        <f>IF($B12=0,1000000,IF(INDEX('計算A'!$D$60:$DS$104,$B12,12)*DH12=1,IF(AND($E12=2,HY12=0),1000000,INDEX('計算A'!O$110:O$114,$F12+1)+IF(AND($E12=1,HY12=0),1000,0)),1000000))</f>
        <v/>
      </c>
      <c r="MQ12">
        <f>IF($B12=0,1000000,IF(INDEX('計算A'!$D$60:$DS$104,$B12,13)*DI12=1,IF(AND($E12=2,HZ12=0),1000000,INDEX('計算A'!P$110:P$114,$F12+1)+IF(AND($E12=1,HZ12=0),1000,0)),1000000))</f>
        <v/>
      </c>
      <c r="MR12">
        <f>IF($B12=0,1000000,IF(INDEX('計算A'!$D$60:$DS$104,$B12,14)*DJ12=1,IF(AND($E12=2,IA12=0),1000000,INDEX('計算A'!Q$110:Q$114,$F12+1)+IF(AND($E12=1,IA12=0),1000,0)),1000000))</f>
        <v/>
      </c>
      <c r="MS12">
        <f>IF($B12=0,1000000,IF(INDEX('計算A'!$D$60:$DS$104,$B12,15)*DK12=1,IF(AND($E12=2,IB12=0),1000000,INDEX('計算A'!R$110:R$114,$F12+1)+IF(AND($E12=1,IB12=0),1000,0)),1000000))</f>
        <v/>
      </c>
      <c r="MT12">
        <f>IF($B12=0,1000000,IF(INDEX('計算A'!$D$60:$DS$104,$B12,16)*DL12=1,IF(AND($E12=2,IC12=0),1000000,INDEX('計算A'!S$110:S$114,$F12+1)+IF(AND($E12=1,IC12=0),1000,0)),1000000))</f>
        <v/>
      </c>
      <c r="MU12">
        <f>IF($B12=0,1000000,IF(INDEX('計算A'!$D$60:$DS$104,$B12,17)*DM12=1,IF(AND($E12=2,ID12=0),1000000,INDEX('計算A'!T$110:T$114,$F12+1)+IF(AND($E12=1,ID12=0),1000,0)),1000000))</f>
        <v/>
      </c>
      <c r="MV12">
        <f>IF($B12=0,1000000,IF(INDEX('計算A'!$D$60:$DS$104,$B12,18)*DN12=1,IF(AND($E12=2,IE12=0),1000000,INDEX('計算A'!U$110:U$114,$F12+1)+IF(AND($E12=1,IE12=0),1000,0)),1000000))</f>
        <v/>
      </c>
      <c r="MW12">
        <f>IF($B12=0,1000000,IF(INDEX('計算A'!$D$60:$DS$104,$B12,19)*DO12=1,IF(AND($E12=2,IF12=0),1000000,INDEX('計算A'!V$110:V$114,$F12+1)+IF(AND($E12=1,IF12=0),1000,0)),1000000))</f>
        <v/>
      </c>
      <c r="MX12">
        <f>IF($B12=0,1000000,IF(INDEX('計算A'!$D$60:$DS$104,$B12,20)*DP12=1,IF(AND($E12=2,IG12=0),1000000,INDEX('計算A'!W$110:W$114,$F12+1)+IF(AND($E12=1,IG12=0),1000,0)),1000000))</f>
        <v/>
      </c>
      <c r="MY12">
        <f>IF($B12=0,1000000,IF(INDEX('計算A'!$D$60:$DS$104,$B12,21)*DQ12=1,IF(AND($E12=2,IH12=0),1000000,INDEX('計算A'!X$110:X$114,$F12+1)+IF(AND($E12=1,IH12=0),1000,0)),1000000))</f>
        <v/>
      </c>
      <c r="MZ12">
        <f>IF($B12=0,1000000,IF(INDEX('計算A'!$D$60:$DS$104,$B12,22)*DR12=1,IF(AND($E12=2,II12=0),1000000,INDEX('計算A'!Y$110:Y$114,$F12+1)+IF(AND($E12=1,II12=0),1000,0)),1000000))</f>
        <v/>
      </c>
      <c r="NA12">
        <f>IF($B12=0,1000000,IF(INDEX('計算A'!$D$60:$DS$104,$B12,23)*DS12=1,IF(AND($E12=2,IJ12=0),1000000,INDEX('計算A'!Z$110:Z$114,$F12+1)+IF(AND($E12=1,IJ12=0),1000,0)),1000000))</f>
        <v/>
      </c>
      <c r="NB12">
        <f>IF($B12=0,1000000,IF(INDEX('計算A'!$D$60:$DS$104,$B12,24)*DT12=1,IF(AND($E12=2,IK12=0),1000000,INDEX('計算A'!AA$110:AA$114,$F12+1)+IF(AND($E12=1,IK12=0),1000,0)),1000000))</f>
        <v/>
      </c>
      <c r="NC12">
        <f>IF($B12=0,1000000,IF(INDEX('計算A'!$D$60:$DS$104,$B12,25)*DU12=1,IF(AND($E12=2,IL12=0),1000000,INDEX('計算A'!AB$110:AB$114,$F12+1)+IF(AND($E12=1,IL12=0),1000,0)),1000000))</f>
        <v/>
      </c>
      <c r="ND12">
        <f>IF($B12=0,1000000,IF(INDEX('計算A'!$D$60:$DS$104,$B12,26)*DV12=1,IF(AND($E12=2,IM12=0),1000000,INDEX('計算A'!AC$110:AC$114,$F12+1)+IF(AND($E12=1,IM12=0),1000,0)),1000000))</f>
        <v/>
      </c>
      <c r="NE12">
        <f>IF($B12=0,1000000,IF(INDEX('計算A'!$D$60:$DS$104,$B12,27)*DW12=1,IF(AND($E12=2,IN12=0),1000000,INDEX('計算A'!AD$110:AD$114,$F12+1)+IF(AND($E12=1,IN12=0),1000,0)),1000000))</f>
        <v/>
      </c>
      <c r="NF12">
        <f>IF($B12=0,1000000,IF(INDEX('計算A'!$D$60:$DS$104,$B12,28)*DX12=1,IF(AND($E12=2,IO12=0),1000000,INDEX('計算A'!AE$110:AE$114,$F12+1)+IF(AND($E12=1,IO12=0),1000,0)),1000000))</f>
        <v/>
      </c>
      <c r="NG12">
        <f>IF($B12=0,1000000,IF(INDEX('計算A'!$D$60:$DS$104,$B12,29)*DY12=1,IF(AND($E12=2,IP12=0),1000000,INDEX('計算A'!AF$110:AF$114,$F12+1)+IF(AND($E12=1,IP12=0),1000,0)),1000000))</f>
        <v/>
      </c>
      <c r="NH12">
        <f>IF($B12=0,1000000,IF(INDEX('計算A'!$D$60:$DS$104,$B12,30)*DZ12=1,IF(AND($E12=2,IQ12=0),1000000,INDEX('計算A'!AG$110:AG$114,$F12+1)+IF(AND($E12=1,IQ12=0),1000,0)),1000000))</f>
        <v/>
      </c>
      <c r="NI12">
        <f>IF($B12=0,1000000,IF(INDEX('計算A'!$D$60:$DS$104,$B12,31)*EA12=1,IF(AND($E12=2,IR12=0),1000000,INDEX('計算A'!AH$110:AH$114,$F12+1)+IF(AND($E12=1,IR12=0),1000,0)),1000000))</f>
        <v/>
      </c>
      <c r="NJ12">
        <f>IF($B12=0,1000000,IF(INDEX('計算A'!$D$60:$DS$104,$B12,32)*EB12=1,IF(AND($E12=2,IS12=0),1000000,INDEX('計算A'!AI$110:AI$114,$F12+1)+IF(AND($E12=1,IS12=0),1000,0)),1000000))</f>
        <v/>
      </c>
      <c r="NK12">
        <f>IF($B12=0,1000000,IF(INDEX('計算A'!$D$60:$DS$104,$B12,33)*EC12=1,IF(AND($E12=2,IT12=0),1000000,INDEX('計算A'!AJ$110:AJ$114,$F12+1)+IF(AND($E12=1,IT12=0),1000,0)),1000000))</f>
        <v/>
      </c>
      <c r="NL12">
        <f>IF($B12=0,1000000,IF(INDEX('計算A'!$D$60:$DS$104,$B12,34)*ED12=1,IF(AND($E12=2,IU12=0),1000000,INDEX('計算A'!AK$110:AK$114,$F12+1)+IF(AND($E12=1,IU12=0),1000,0)),1000000))</f>
        <v/>
      </c>
      <c r="NM12">
        <f>IF($B12=0,1000000,IF(INDEX('計算A'!$D$60:$DS$104,$B12,35)*EE12=1,IF(AND($E12=2,IV12=0),1000000,INDEX('計算A'!AL$110:AL$114,$F12+1)+IF(AND($E12=1,IV12=0),1000,0)),1000000))</f>
        <v/>
      </c>
      <c r="NN12">
        <f>IF($B12=0,1000000,IF(INDEX('計算A'!$D$60:$DS$104,$B12,36)*EF12=1,IF(AND($E12=2,IW12=0),1000000,INDEX('計算A'!AM$110:AM$114,$F12+1)+IF(AND($E12=1,IW12=0),1000,0)),1000000))</f>
        <v/>
      </c>
      <c r="NO12">
        <f>IF($B12=0,1000000,IF(INDEX('計算A'!$D$60:$DS$104,$B12,37)*EG12=1,IF(AND($E12=2,IX12=0),1000000,INDEX('計算A'!AN$110:AN$114,$F12+1)+IF(AND($E12=1,IX12=0),1000,0)),1000000))</f>
        <v/>
      </c>
      <c r="NP12">
        <f>IF($B12=0,1000000,IF(INDEX('計算A'!$D$60:$DS$104,$B12,38)*EH12=1,IF(AND($E12=2,IY12=0),1000000,INDEX('計算A'!AO$110:AO$114,$F12+1)+IF(AND($E12=1,IY12=0),1000,0)),1000000))</f>
        <v/>
      </c>
      <c r="NQ12">
        <f>IF($B12=0,1000000,IF(INDEX('計算A'!$D$60:$DS$104,$B12,39)*EI12=1,IF(AND($E12=2,IZ12=0),1000000,INDEX('計算A'!AP$110:AP$114,$F12+1)+IF(AND($E12=1,IZ12=0),1000,0)),1000000))</f>
        <v/>
      </c>
      <c r="NR12">
        <f>IF($B12=0,1000000,IF(INDEX('計算A'!$D$60:$DS$104,$B12,40)*EJ12=1,IF(AND($E12=2,JA12=0),1000000,INDEX('計算A'!AQ$110:AQ$114,$F12+1)+IF(AND($E12=1,JA12=0),1000,0)),1000000))</f>
        <v/>
      </c>
      <c r="NS12">
        <f>IF($B12=0,1000000,IF(INDEX('計算A'!$D$60:$DS$104,$B12,41)*EK12=1,IF(AND($E12=2,JB12=0),1000000,INDEX('計算A'!AR$110:AR$114,$F12+1)+IF(AND($E12=1,JB12=0),1000,0)),1000000))</f>
        <v/>
      </c>
      <c r="NT12">
        <f>IF($B12=0,1000000,IF(INDEX('計算A'!$D$60:$DS$104,$B12,42)*EL12=1,IF(AND($E12=2,JC12=0),1000000,INDEX('計算A'!AS$110:AS$114,$F12+1)+IF(AND($E12=1,JC12=0),1000,0)),1000000))</f>
        <v/>
      </c>
      <c r="NU12">
        <f>IF($B12=0,1000000,IF(INDEX('計算A'!$D$60:$DS$104,$B12,43)*EM12=1,IF(AND($E12=2,JD12=0),1000000,INDEX('計算A'!AT$110:AT$114,$F12+1)+IF(AND($E12=1,JD12=0),1000,0)),1000000))</f>
        <v/>
      </c>
      <c r="NV12">
        <f>IF($B12=0,1000000,IF(INDEX('計算A'!$D$60:$DS$104,$B12,44)*EN12=1,IF(AND($E12=2,JE12=0),1000000,INDEX('計算A'!AU$110:AU$114,$F12+1)+IF(AND($E12=1,JE12=0),1000,0)),1000000))</f>
        <v/>
      </c>
      <c r="NW12">
        <f>IF($B12=0,1000000,IF(INDEX('計算A'!$D$60:$DS$104,$B12,45)*EO12=1,IF(AND($E12=2,JF12=0),1000000,INDEX('計算A'!AV$110:AV$114,$F12+1)+IF(AND($E12=1,JF12=0),1000,0)),1000000))</f>
        <v/>
      </c>
      <c r="NX12">
        <f>IF($B12=0,1000000,IF(INDEX('計算A'!$D$60:$DS$104,$B12,46)*EP12=1,IF(AND($E12=2,JG12=0),1000000,INDEX('計算A'!AW$110:AW$114,$F12+1)+IF(AND($E12=1,JG12=0),1000,0)),1000000))</f>
        <v/>
      </c>
      <c r="NY12">
        <f>IF($B12=0,1000000,IF(INDEX('計算A'!$D$60:$DS$104,$B12,47)*EQ12=1,IF(AND($E12=2,JH12=0),1000000,INDEX('計算A'!AX$110:AX$114,$F12+1)+IF(AND($E12=1,JH12=0),1000,0)),1000000))</f>
        <v/>
      </c>
      <c r="NZ12">
        <f>IF($B12=0,1000000,IF(INDEX('計算A'!$D$60:$DS$104,$B12,48)*ER12=1,IF(AND($E12=2,JI12=0),1000000,INDEX('計算A'!AY$110:AY$114,$F12+1)+IF(AND($E12=1,JI12=0),1000,0)),1000000))</f>
        <v/>
      </c>
      <c r="OA12">
        <f>IF($B12=0,1000000,IF(INDEX('計算A'!$D$60:$DS$104,$B12,49)*ES12=1,IF(AND($E12=2,JJ12=0),1000000,INDEX('計算A'!AZ$110:AZ$114,$F12+1)+IF(AND($E12=1,JJ12=0),1000,0)),1000000))</f>
        <v/>
      </c>
      <c r="OB12">
        <f>IF($B12=0,1000000,IF(INDEX('計算A'!$D$60:$DS$104,$B12,50)*ET12=1,IF(AND($E12=2,JK12=0),1000000,INDEX('計算A'!BA$110:BA$114,$F12+1)+IF(AND($E12=1,JK12=0),1000,0)),1000000))</f>
        <v/>
      </c>
      <c r="OC12">
        <f>IF($B12=0,1000000,IF(INDEX('計算A'!$D$60:$DS$104,$B12,51)*EU12=1,IF(AND($E12=2,JL12=0),1000000,INDEX('計算A'!BB$110:BB$114,$F12+1)+IF(AND($E12=1,JL12=0),1000,0)),1000000))</f>
        <v/>
      </c>
      <c r="OD12">
        <f>IF($B12=0,1000000,IF(INDEX('計算A'!$D$60:$DS$104,$B12,52)*EV12=1,IF(AND($E12=2,JM12=0),1000000,INDEX('計算A'!BC$110:BC$114,$F12+1)+IF(AND($E12=1,JM12=0),1000,0)),1000000))</f>
        <v/>
      </c>
      <c r="OE12">
        <f>IF($B12=0,1000000,IF(INDEX('計算A'!$D$60:$DS$104,$B12,53)*EW12=1,IF(AND($E12=2,JN12=0),1000000,INDEX('計算A'!BD$110:BD$114,$F12+1)+IF(AND($E12=1,JN12=0),1000,0)),1000000))</f>
        <v/>
      </c>
      <c r="OF12">
        <f>IF($B12=0,1000000,IF(INDEX('計算A'!$D$60:$DS$104,$B12,54)*EX12=1,IF(AND($E12=2,JO12=0),1000000,INDEX('計算A'!BE$110:BE$114,$F12+1)+IF(AND($E12=1,JO12=0),1000,0)),1000000))</f>
        <v/>
      </c>
      <c r="OG12">
        <f>IF($B12=0,1000000,IF(INDEX('計算A'!$D$60:$DS$104,$B12,55)*EY12=1,IF(AND($E12=2,JP12=0),1000000,INDEX('計算A'!BF$110:BF$114,$F12+1)+IF(AND($E12=1,JP12=0),1000,0)),1000000))</f>
        <v/>
      </c>
      <c r="OH12">
        <f>IF($B12=0,1000000,IF(INDEX('計算A'!$D$60:$DS$104,$B12,56)*EZ12=1,IF(AND($E12=2,JQ12=0),1000000,INDEX('計算A'!BG$110:BG$114,$F12+1)+IF(AND($E12=1,JQ12=0),1000,0)),1000000))</f>
        <v/>
      </c>
      <c r="OI12">
        <f>IF($B12=0,1000000,IF(INDEX('計算A'!$D$60:$DS$104,$B12,57)*FA12=1,IF(AND($E12=2,JR12=0),1000000,INDEX('計算A'!BH$110:BH$114,$F12+1)+IF(AND($E12=1,JR12=0),1000,0)),1000000))</f>
        <v/>
      </c>
      <c r="OJ12">
        <f>IF($B12=0,1000000,IF(INDEX('計算A'!$D$60:$DS$104,$B12,58)*FB12=1,IF(AND($E12=2,JS12=0),1000000,INDEX('計算A'!BI$110:BI$114,$F12+1)+IF(AND($E12=1,JS12=0),1000,0)),1000000))</f>
        <v/>
      </c>
      <c r="OK12">
        <f>IF($B12=0,1000000,IF(INDEX('計算A'!$D$60:$DS$104,$B12,59)*FC12=1,IF(AND($E12=2,JT12=0),1000000,INDEX('計算A'!BJ$110:BJ$114,$F12+1)+IF(AND($E12=1,JT12=0),1000,0)),1000000))</f>
        <v/>
      </c>
      <c r="OL12">
        <f>IF($B12=0,1000000,IF(INDEX('計算A'!$D$60:$DS$104,$B12,60)*FD12=1,IF(AND($E12=2,JU12=0),1000000,INDEX('計算A'!BK$110:BK$114,$F12+1)+IF(AND($E12=1,JU12=0),1000,0)),1000000))</f>
        <v/>
      </c>
      <c r="OM12">
        <f>IF($B12=0,1000000,IF(INDEX('計算A'!$D$60:$DS$104,$B12,61)*FE12=1,IF(AND($E12=2,JV12=0),1000000,INDEX('計算A'!BL$110:BL$114,$F12+1)+IF(AND($E12=1,JV12=0),1000,0)),1000000))</f>
        <v/>
      </c>
      <c r="ON12">
        <f>IF($B12=0,1000000,IF(INDEX('計算A'!$D$60:$DS$104,$B12,62)*FF12=1,IF(AND($E12=2,JW12=0),1000000,INDEX('計算A'!BM$110:BM$114,$F12+1)+IF(AND($E12=1,JW12=0),1000,0)),1000000))</f>
        <v/>
      </c>
      <c r="OO12">
        <f>IF($B12=0,1000000,IF(INDEX('計算A'!$D$60:$DS$104,$B12,63)*FG12=1,IF(AND($E12=2,JX12=0),1000000,INDEX('計算A'!BN$110:BN$114,$F12+1)+IF(AND($E12=1,JX12=0),1000,0)),1000000))</f>
        <v/>
      </c>
      <c r="OP12">
        <f>IF($B12=0,1000000,IF(INDEX('計算A'!$D$60:$DS$104,$B12,64)*FH12=1,IF(AND($E12=2,JY12=0),1000000,INDEX('計算A'!BO$110:BO$114,$F12+1)+IF(AND($E12=1,JY12=0),1000,0)),1000000))</f>
        <v/>
      </c>
      <c r="OQ12">
        <f>IF($B12=0,1000000,IF(INDEX('計算A'!$D$60:$DS$104,$B12,65)*FI12=1,IF(AND($E12=2,JZ12=0),1000000,INDEX('計算A'!BP$110:BP$114,$F12+1)+IF(AND($E12=1,JZ12=0),1000,0)),1000000))</f>
        <v/>
      </c>
      <c r="OR12">
        <f>IF($B12=0,1000000,IF(INDEX('計算A'!$D$60:$DS$104,$B12,66)*FJ12=1,IF(AND($E12=2,KA12=0),1000000,INDEX('計算A'!BQ$110:BQ$114,$F12+1)+IF(AND($E12=1,KA12=0),1000,0)),1000000))</f>
        <v/>
      </c>
      <c r="OS12">
        <f>IF($B12=0,1000000,IF(INDEX('計算A'!$D$60:$DS$104,$B12,67)*FK12=1,IF(AND($E12=2,KB12=0),1000000,INDEX('計算A'!BR$110:BR$114,$F12+1)+IF(AND($E12=1,KB12=0),1000,0)),1000000))</f>
        <v/>
      </c>
      <c r="OT12">
        <f>IF($B12=0,1000000,IF(INDEX('計算A'!$D$60:$DS$104,$B12,68)*FL12=1,IF(AND($E12=2,KC12=0),1000000,INDEX('計算A'!BS$110:BS$114,$F12+1)+IF(AND($E12=1,KC12=0),1000,0)),1000000))</f>
        <v/>
      </c>
      <c r="OU12">
        <f>IF($B12=0,1000000,IF(INDEX('計算A'!$D$60:$DS$104,$B12,69)*FM12=1,IF(AND($E12=2,KD12=0),1000000,INDEX('計算A'!BT$110:BT$114,$F12+1)+IF(AND($E12=1,KD12=0),1000,0)),1000000))</f>
        <v/>
      </c>
      <c r="OV12">
        <f>IF($B12=0,1000000,IF(INDEX('計算A'!$D$60:$DS$104,$B12,70)*FN12=1,IF(AND($E12=2,KE12=0),1000000,INDEX('計算A'!BU$110:BU$114,$F12+1)+IF(AND($E12=1,KE12=0),1000,0)),1000000))</f>
        <v/>
      </c>
      <c r="OW12">
        <f>IF($B12=0,1000000,IF(INDEX('計算A'!$D$60:$DS$104,$B12,71)*FO12=1,IF(AND($E12=2,KF12=0),1000000,INDEX('計算A'!BV$110:BV$114,$F12+1)+IF(AND($E12=1,KF12=0),1000,0)),1000000))</f>
        <v/>
      </c>
      <c r="OX12">
        <f>IF($B12=0,1000000,IF(INDEX('計算A'!$D$60:$DS$104,$B12,72)*FP12=1,IF(AND($E12=2,KG12=0),1000000,INDEX('計算A'!BW$110:BW$114,$F12+1)+IF(AND($E12=1,KG12=0),1000,0)),1000000))</f>
        <v/>
      </c>
      <c r="OY12">
        <f>IF($B12=0,1000000,IF(INDEX('計算A'!$D$60:$DS$104,$B12,73)*FQ12=1,IF(AND($E12=2,KH12=0),1000000,INDEX('計算A'!BX$110:BX$114,$F12+1)+IF(AND($E12=1,KH12=0),1000,0)),1000000))</f>
        <v/>
      </c>
      <c r="OZ12">
        <f>IF($B12=0,1000000,IF(INDEX('計算A'!$D$60:$DS$104,$B12,74)*FR12=1,IF(AND($E12=2,KI12=0),1000000,INDEX('計算A'!BY$110:BY$114,$F12+1)+IF(AND($E12=1,KI12=0),1000,0)),1000000))</f>
        <v/>
      </c>
      <c r="PA12">
        <f>IF($B12=0,1000000,IF(INDEX('計算A'!$D$60:$DS$104,$B12,75)*FS12=1,IF(AND($E12=2,KJ12=0),1000000,INDEX('計算A'!BZ$110:BZ$114,$F12+1)+IF(AND($E12=1,KJ12=0),1000,0)),1000000))</f>
        <v/>
      </c>
      <c r="PB12">
        <f>IF($B12=0,1000000,IF(INDEX('計算A'!$D$60:$DS$104,$B12,76)*FT12=1,IF(AND($E12=2,KK12=0),1000000,INDEX('計算A'!CA$110:CA$114,$F12+1)+IF(AND($E12=1,KK12=0),1000,0)),1000000))</f>
        <v/>
      </c>
      <c r="PC12">
        <f>IF($B12=0,1000000,IF(INDEX('計算A'!$D$60:$DS$104,$B12,77)*FU12=1,IF(AND($E12=2,KL12=0),1000000,INDEX('計算A'!CB$110:CB$114,$F12+1)+IF(AND($E12=1,KL12=0),1000,0)),1000000))</f>
        <v/>
      </c>
      <c r="PD12">
        <f>IF($B12=0,1000000,IF(INDEX('計算A'!$D$60:$DS$104,$B12,78)*FV12=1,IF(AND($E12=2,KM12=0),1000000,INDEX('計算A'!CC$110:CC$114,$F12+1)+IF(AND($E12=1,KM12=0),1000,0)),1000000))</f>
        <v/>
      </c>
      <c r="PE12">
        <f>IF($B12=0,1000000,IF(INDEX('計算A'!$D$60:$DS$104,$B12,79)*FW12=1,IF(AND($E12=2,KN12=0),1000000,INDEX('計算A'!CD$110:CD$114,$F12+1)+IF(AND($E12=1,KN12=0),1000,0)),1000000))</f>
        <v/>
      </c>
      <c r="PF12">
        <f>IF($B12=0,1000000,IF(INDEX('計算A'!$D$60:$DS$104,$B12,80)*FX12=1,IF(AND($E12=2,KO12=0),1000000,INDEX('計算A'!CE$110:CE$114,$F12+1)+IF(AND($E12=1,KO12=0),1000,0)),1000000))</f>
        <v/>
      </c>
      <c r="PG12">
        <f>IF($B12=0,1000000,IF(INDEX('計算A'!$D$60:$DS$104,$B12,81)*FY12=1,IF(AND($E12=2,KP12=0),1000000,INDEX('計算A'!CF$110:CF$114,$F12+1)+IF(AND($E12=1,KP12=0),1000,0)),1000000))</f>
        <v/>
      </c>
      <c r="PH12">
        <f>IF($B12=0,1000000,IF(INDEX('計算A'!$D$60:$DS$104,$B12,82)*FZ12=1,IF(AND($E12=2,KQ12=0),1000000,INDEX('計算A'!CG$110:CG$114,$F12+1)+IF(AND($E12=1,KQ12=0),1000,0)),1000000))</f>
        <v/>
      </c>
      <c r="PI12">
        <f>IF($B12=0,1000000,IF(INDEX('計算A'!$D$60:$DS$104,$B12,83)*GA12=1,IF(AND($E12=2,KR12=0),1000000,INDEX('計算A'!CH$110:CH$114,$F12+1)+IF(AND($E12=1,KR12=0),1000,0)),1000000))</f>
        <v/>
      </c>
      <c r="PJ12">
        <f>IF($B12=0,1000000,IF(INDEX('計算A'!$D$60:$DS$104,$B12,84)*GB12=1,IF(AND($E12=2,KS12=0),1000000,INDEX('計算A'!CI$110:CI$114,$F12+1)+IF(AND($E12=1,KS12=0),1000,0)),1000000))</f>
        <v/>
      </c>
      <c r="PK12">
        <f>IF($B12=0,1000000,IF(INDEX('計算A'!$D$60:$DS$104,$B12,85)*GC12=1,IF(AND($E12=2,KT12=0),1000000,INDEX('計算A'!CJ$110:CJ$114,$F12+1)+IF(AND($E12=1,KT12=0),1000,0)),1000000))</f>
        <v/>
      </c>
      <c r="PL12">
        <f>IF($B12=0,1000000,IF(INDEX('計算A'!$D$60:$DS$104,$B12,86)*GD12=1,IF(AND($E12=2,KU12=0),1000000,INDEX('計算A'!CK$110:CK$114,$F12+1)+IF(AND($E12=1,KU12=0),1000,0)),1000000))</f>
        <v/>
      </c>
      <c r="PM12">
        <f>IF($B12=0,1000000,IF(INDEX('計算A'!$D$60:$DS$104,$B12,87)*GE12=1,IF(AND($E12=2,KV12=0),1000000,INDEX('計算A'!CL$110:CL$114,$F12+1)+IF(AND($E12=1,KV12=0),1000,0)),1000000))</f>
        <v/>
      </c>
      <c r="PN12">
        <f>IF($B12=0,1000000,IF(INDEX('計算A'!$D$60:$DS$104,$B12,88)*GF12=1,IF(AND($E12=2,KW12=0),1000000,INDEX('計算A'!CM$110:CM$114,$F12+1)+IF(AND($E12=1,KW12=0),1000,0)),1000000))</f>
        <v/>
      </c>
      <c r="PO12">
        <f>IF($B12=0,1000000,IF(INDEX('計算A'!$D$60:$DS$104,$B12,89)*GG12=1,IF(AND($E12=2,KX12=0),1000000,INDEX('計算A'!CN$110:CN$114,$F12+1)+IF(AND($E12=1,KX12=0),1000,0)),1000000))</f>
        <v/>
      </c>
      <c r="PP12">
        <f>IF($B12=0,1000000,IF(INDEX('計算A'!$D$60:$DS$104,$B12,90)*GH12=1,IF(AND($E12=2,KY12=0),1000000,INDEX('計算A'!CO$110:CO$114,$F12+1)+IF(AND($E12=1,KY12=0),1000,0)),1000000))</f>
        <v/>
      </c>
      <c r="PQ12">
        <f>IF($B12=0,1000000,IF(INDEX('計算A'!$D$60:$DS$104,$B12,91)*GI12=1,IF(AND($E12=2,KZ12=0),1000000,INDEX('計算A'!CP$110:CP$114,$F12+1)+IF(AND($E12=1,KZ12=0),1000,0)),1000000))</f>
        <v/>
      </c>
      <c r="PR12">
        <f>IF($B12=0,1000000,IF(INDEX('計算A'!$D$60:$DS$104,$B12,92)*GJ12=1,IF(AND($E12=2,LA12=0),1000000,INDEX('計算A'!CQ$110:CQ$114,$F12+1)+IF(AND($E12=1,LA12=0),1000,0)),1000000))</f>
        <v/>
      </c>
      <c r="PS12">
        <f>IF($B12=0,1000000,IF(INDEX('計算A'!$D$60:$DS$104,$B12,93)*GK12=1,IF(AND($E12=2,LB12=0),1000000,INDEX('計算A'!CR$110:CR$114,$F12+1)+IF(AND($E12=1,LB12=0),1000,0)),1000000))</f>
        <v/>
      </c>
      <c r="PT12">
        <f>IF($B12=0,1000000,IF(INDEX('計算A'!$D$60:$DS$104,$B12,94)*GL12=1,IF(AND($E12=2,LC12=0),1000000,INDEX('計算A'!CS$110:CS$114,$F12+1)+IF(AND($E12=1,LC12=0),1000,0)),1000000))</f>
        <v/>
      </c>
      <c r="PU12">
        <f>IF($B12=0,1000000,IF(INDEX('計算A'!$D$60:$DS$104,$B12,95)*GM12=1,IF(AND($E12=2,LD12=0),1000000,INDEX('計算A'!CT$110:CT$114,$F12+1)+IF(AND($E12=1,LD12=0),1000,0)),1000000))</f>
        <v/>
      </c>
      <c r="PV12">
        <f>IF($B12=0,1000000,IF(INDEX('計算A'!$D$60:$DS$104,$B12,96)*GN12=1,IF(AND($E12=2,LE12=0),1000000,INDEX('計算A'!CU$110:CU$114,$F12+1)+IF(AND($E12=1,LE12=0),1000,0)),1000000))</f>
        <v/>
      </c>
      <c r="PW12">
        <f>IF($B12=0,1000000,IF(INDEX('計算A'!$D$60:$DS$104,$B12,97)*GO12=1,IF(AND($E12=2,LF12=0),1000000,INDEX('計算A'!CV$110:CV$114,$F12+1)+IF(AND($E12=1,LF12=0),1000,0)),1000000))</f>
        <v/>
      </c>
      <c r="PX12">
        <f>IF($B12=0,1000000,IF(INDEX('計算A'!$D$60:$DS$104,$B12,98)*GP12=1,IF(AND($E12=2,LG12=0),1000000,INDEX('計算A'!CW$110:CW$114,$F12+1)+IF(AND($E12=1,LG12=0),1000,0)),1000000))</f>
        <v/>
      </c>
      <c r="PY12">
        <f>IF($B12=0,1000000,IF(INDEX('計算A'!$D$60:$DS$104,$B12,99)*GQ12=1,IF(AND($E12=2,LH12=0),1000000,INDEX('計算A'!CX$110:CX$114,$F12+1)+IF(AND($E12=1,LH12=0),1000,0)),1000000))</f>
        <v/>
      </c>
      <c r="PZ12">
        <f>IF($B12=0,1000000,IF(INDEX('計算A'!$D$60:$DS$104,$B12,100)*GR12=1,IF(AND($E12=2,LI12=0),1000000,INDEX('計算A'!CY$110:CY$114,$F12+1)+IF(AND($E12=1,LI12=0),1000,0)),1000000))</f>
        <v/>
      </c>
      <c r="QA12">
        <f>IF($B12=0,1000000,IF(INDEX('計算A'!$D$60:$DS$104,$B12,101)*GS12=1,IF(AND($E12=2,LJ12=0),1000000,INDEX('計算A'!CZ$110:CZ$114,$F12+1)+IF(AND($E12=1,LJ12=0),1000,0)),1000000))</f>
        <v/>
      </c>
      <c r="QB12">
        <f>IF($B12=0,1000000,IF(INDEX('計算A'!$D$60:$DS$104,$B12,102)*GT12=1,IF(AND($E12=2,LK12=0),1000000,INDEX('計算A'!DA$110:DA$114,$F12+1)+IF(AND($E12=1,LK12=0),1000,0)),1000000))</f>
        <v/>
      </c>
      <c r="QC12">
        <f>IF($B12=0,1000000,IF(INDEX('計算A'!$D$60:$DS$104,$B12,103)*GU12=1,IF(AND($E12=2,LL12=0),1000000,INDEX('計算A'!DB$110:DB$114,$F12+1)+IF(AND($E12=1,LL12=0),1000,0)),1000000))</f>
        <v/>
      </c>
      <c r="QD12">
        <f>IF($B12=0,1000000,IF(INDEX('計算A'!$D$60:$DS$104,$B12,104)*GV12=1,IF(AND($E12=2,LM12=0),1000000,INDEX('計算A'!DC$110:DC$114,$F12+1)+IF(AND($E12=1,LM12=0),1000,0)),1000000))</f>
        <v/>
      </c>
      <c r="QE12">
        <f>IF($B12=0,1000000,IF(INDEX('計算A'!$D$60:$DS$104,$B12,105)*GW12=1,IF(AND($E12=2,LN12=0),1000000,INDEX('計算A'!DD$110:DD$114,$F12+1)+IF(AND($E12=1,LN12=0),1000,0)),1000000))</f>
        <v/>
      </c>
      <c r="QF12">
        <f>IF($B12=0,1000000,IF(INDEX('計算A'!$D$60:$DS$104,$B12,106)*GX12=1,IF(AND($E12=2,LO12=0),1000000,INDEX('計算A'!DE$110:DE$114,$F12+1)+IF(AND($E12=1,LO12=0),1000,0)),1000000))</f>
        <v/>
      </c>
      <c r="QG12">
        <f>IF($B12=0,1000000,IF(INDEX('計算A'!$D$60:$DS$104,$B12,107)*GY12=1,IF(AND($E12=2,LP12=0),1000000,INDEX('計算A'!DF$110:DF$114,$F12+1)+IF(AND($E12=1,LP12=0),1000,0)),1000000))</f>
        <v/>
      </c>
      <c r="QH12">
        <f>IF($B12=0,1000000,IF(INDEX('計算A'!$D$60:$DS$104,$B12,108)*GZ12=1,IF(AND($E12=2,LQ12=0),1000000,INDEX('計算A'!DG$110:DG$114,$F12+1)+IF(AND($E12=1,LQ12=0),1000,0)),1000000))</f>
        <v/>
      </c>
      <c r="QI12">
        <f>IF($B12=0,1000000,IF(INDEX('計算A'!$D$60:$DS$104,$B12,109)*HA12=1,IF(AND($E12=2,LR12=0),1000000,INDEX('計算A'!DH$110:DH$114,$F12+1)+IF(AND($E12=1,LR12=0),1000,0)),1000000))</f>
        <v/>
      </c>
      <c r="QJ12">
        <f>IF($B12=0,1000000,IF(INDEX('計算A'!$D$60:$DS$104,$B12,110)*HB12=1,IF(AND($E12=2,LS12=0),1000000,INDEX('計算A'!DI$110:DI$114,$F12+1)+IF(AND($E12=1,LS12=0),1000,0)),1000000))</f>
        <v/>
      </c>
      <c r="QK12">
        <f>IF($B12=0,1000000,IF(INDEX('計算A'!$D$60:$DS$104,$B12,111)*HC12=1,IF(AND($E12=2,LT12=0),1000000,INDEX('計算A'!DJ$110:DJ$114,$F12+1)+IF(AND($E12=1,LT12=0),1000,0)),1000000))</f>
        <v/>
      </c>
      <c r="QL12">
        <f>IF($B12=0,1000000,IF(INDEX('計算A'!$D$60:$DS$104,$B12,112)*HD12=1,IF(AND($E12=2,LU12=0),1000000,INDEX('計算A'!DK$110:DK$114,$F12+1)+IF(AND($E12=1,LU12=0),1000,0)),1000000))</f>
        <v/>
      </c>
      <c r="QM12">
        <f>IF($B12=0,1000000,IF(INDEX('計算A'!$D$60:$DS$104,$B12,113)*HE12=1,IF(AND($E12=2,LV12=0),1000000,INDEX('計算A'!DL$110:DL$114,$F12+1)+IF(AND($E12=1,LV12=0),1000,0)),1000000))</f>
        <v/>
      </c>
      <c r="QN12">
        <f>IF($B12=0,1000000,IF(INDEX('計算A'!$D$60:$DS$104,$B12,114)*HF12=1,IF(AND($E12=2,LW12=0),1000000,INDEX('計算A'!DM$110:DM$114,$F12+1)+IF(AND($E12=1,LW12=0),1000,0)),1000000))</f>
        <v/>
      </c>
      <c r="QO12">
        <f>IF($B12=0,1000000,IF(INDEX('計算A'!$D$60:$DS$104,$B12,115)*HG12=1,IF(AND($E12=2,LX12=0),1000000,INDEX('計算A'!DN$110:DN$114,$F12+1)+IF(AND($E12=1,LX12=0),1000,0)),1000000))</f>
        <v/>
      </c>
      <c r="QP12">
        <f>IF($B12=0,1000000,IF(INDEX('計算A'!$D$60:$DS$104,$B12,116)*HH12=1,IF(AND($E12=2,LY12=0),1000000,INDEX('計算A'!DO$110:DO$114,$F12+1)+IF(AND($E12=1,LY12=0),1000,0)),1000000))</f>
        <v/>
      </c>
      <c r="QQ12">
        <f>IF($B12=0,1000000,IF(INDEX('計算A'!$D$60:$DS$104,$B12,117)*HI12=1,IF(AND($E12=2,LZ12=0),1000000,INDEX('計算A'!DP$110:DP$114,$F12+1)+IF(AND($E12=1,LZ12=0),1000,0)),1000000))</f>
        <v/>
      </c>
      <c r="QR12">
        <f>IF($B12=0,1000000,IF(INDEX('計算A'!$D$60:$DS$104,$B12,118)*HJ12=1,IF(AND($E12=2,MA12=0),1000000,INDEX('計算A'!DQ$110:DQ$114,$F12+1)+IF(AND($E12=1,MA12=0),1000,0)),1000000))</f>
        <v/>
      </c>
      <c r="QS12">
        <f>IF($B12=0,1000000,IF(INDEX('計算A'!$D$60:$DS$104,$B12,119)*HK12=1,IF(AND($E12=2,MB12=0),1000000,INDEX('計算A'!DR$110:DR$114,$F12+1)+IF(AND($E12=1,MB12=0),1000,0)),1000000))</f>
        <v/>
      </c>
      <c r="QT12">
        <f>IF($B12=0,1000000,IF(INDEX('計算A'!$D$60:$DS$104,$B12,120)*HL12=1,IF(AND($E12=2,MC12=0),1000000,INDEX('計算A'!DS$110:DS$114,$F12+1)+IF(AND($E12=1,MC12=0),1000,0)),1000000))</f>
        <v/>
      </c>
    </row>
    <row r="13">
      <c r="A13" t="n">
        <v>11</v>
      </c>
      <c r="B13">
        <f>IF(MIN(BC13:CU13)&gt;=1000000,0,MATCH(MIN(BC13:CU13),BC13:CU13,0))</f>
        <v/>
      </c>
      <c r="C13">
        <f>IF(MIN(ME13:QT13)&gt;=1000000,0,MATCH(MIN(ME13:QT13),ME13:QT13,0))</f>
        <v/>
      </c>
      <c r="D13">
        <f>IF(C13&gt;0,INDEX('計算A'!$D$5:$DS$5,C13),0)</f>
        <v/>
      </c>
      <c r="E13">
        <f>IF(B13=0,0,INDEX('計算A'!$EA$10:$EA$54,B13))</f>
        <v/>
      </c>
      <c r="F13">
        <f>IF(B13=0,0,INDEX('計算A'!$DZ$10:$DZ$54,B13))</f>
        <v/>
      </c>
      <c r="G13">
        <f>IF(AND(C13&gt;0,E13&gt;0),IF(AND(INDEX('計算A'!$D$106:$DS$106,C13)=1,INDEX($HN13:$MC13,C13)=1),C13+1,0),0)</f>
        <v/>
      </c>
      <c r="I13">
        <f>MAX(I12,IF($B12=1,1,0))</f>
        <v/>
      </c>
      <c r="J13">
        <f>MAX(J12,IF($B12=2,1,0))</f>
        <v/>
      </c>
      <c r="K13">
        <f>MAX(K12,IF($B12=3,1,0))</f>
        <v/>
      </c>
      <c r="L13">
        <f>MAX(L12,IF($B12=4,1,0))</f>
        <v/>
      </c>
      <c r="M13">
        <f>MAX(M12,IF($B12=5,1,0))</f>
        <v/>
      </c>
      <c r="N13">
        <f>MAX(N12,IF($B12=6,1,0))</f>
        <v/>
      </c>
      <c r="O13">
        <f>MAX(O12,IF($B12=7,1,0))</f>
        <v/>
      </c>
      <c r="P13">
        <f>MAX(P12,IF($B12=8,1,0))</f>
        <v/>
      </c>
      <c r="Q13">
        <f>MAX(Q12,IF($B12=9,1,0))</f>
        <v/>
      </c>
      <c r="R13">
        <f>MAX(R12,IF($B12=10,1,0))</f>
        <v/>
      </c>
      <c r="S13">
        <f>MAX(S12,IF($B12=11,1,0))</f>
        <v/>
      </c>
      <c r="T13">
        <f>MAX(T12,IF($B12=12,1,0))</f>
        <v/>
      </c>
      <c r="U13">
        <f>MAX(U12,IF($B12=13,1,0))</f>
        <v/>
      </c>
      <c r="V13">
        <f>MAX(V12,IF($B12=14,1,0))</f>
        <v/>
      </c>
      <c r="W13">
        <f>MAX(W12,IF($B12=15,1,0))</f>
        <v/>
      </c>
      <c r="X13">
        <f>MAX(X12,IF($B12=16,1,0))</f>
        <v/>
      </c>
      <c r="Y13">
        <f>MAX(Y12,IF($B12=17,1,0))</f>
        <v/>
      </c>
      <c r="Z13">
        <f>MAX(Z12,IF($B12=18,1,0))</f>
        <v/>
      </c>
      <c r="AA13">
        <f>MAX(AA12,IF($B12=19,1,0))</f>
        <v/>
      </c>
      <c r="AB13">
        <f>MAX(AB12,IF($B12=20,1,0))</f>
        <v/>
      </c>
      <c r="AC13">
        <f>MAX(AC12,IF($B12=21,1,0))</f>
        <v/>
      </c>
      <c r="AD13">
        <f>MAX(AD12,IF($B12=22,1,0))</f>
        <v/>
      </c>
      <c r="AE13">
        <f>MAX(AE12,IF($B12=23,1,0))</f>
        <v/>
      </c>
      <c r="AF13">
        <f>MAX(AF12,IF($B12=24,1,0))</f>
        <v/>
      </c>
      <c r="AG13">
        <f>MAX(AG12,IF($B12=25,1,0))</f>
        <v/>
      </c>
      <c r="AH13">
        <f>MAX(AH12,IF($B12=26,1,0))</f>
        <v/>
      </c>
      <c r="AI13">
        <f>MAX(AI12,IF($B12=27,1,0))</f>
        <v/>
      </c>
      <c r="AJ13">
        <f>MAX(AJ12,IF($B12=28,1,0))</f>
        <v/>
      </c>
      <c r="AK13">
        <f>MAX(AK12,IF($B12=29,1,0))</f>
        <v/>
      </c>
      <c r="AL13">
        <f>MAX(AL12,IF($B12=30,1,0))</f>
        <v/>
      </c>
      <c r="AM13">
        <f>MAX(AM12,IF($B12=31,1,0))</f>
        <v/>
      </c>
      <c r="AN13">
        <f>MAX(AN12,IF($B12=32,1,0))</f>
        <v/>
      </c>
      <c r="AO13">
        <f>MAX(AO12,IF($B12=33,1,0))</f>
        <v/>
      </c>
      <c r="AP13">
        <f>MAX(AP12,IF($B12=34,1,0))</f>
        <v/>
      </c>
      <c r="AQ13">
        <f>MAX(AQ12,IF($B12=35,1,0))</f>
        <v/>
      </c>
      <c r="AR13">
        <f>MAX(AR12,IF($B12=36,1,0))</f>
        <v/>
      </c>
      <c r="AS13">
        <f>MAX(AS12,IF($B12=37,1,0))</f>
        <v/>
      </c>
      <c r="AT13">
        <f>MAX(AT12,IF($B12=38,1,0))</f>
        <v/>
      </c>
      <c r="AU13">
        <f>MAX(AU12,IF($B12=39,1,0))</f>
        <v/>
      </c>
      <c r="AV13">
        <f>MAX(AV12,IF($B12=40,1,0))</f>
        <v/>
      </c>
      <c r="AW13">
        <f>MAX(AW12,IF($B12=41,1,0))</f>
        <v/>
      </c>
      <c r="AX13">
        <f>MAX(AX12,IF($B12=42,1,0))</f>
        <v/>
      </c>
      <c r="AY13">
        <f>MAX(AY12,IF($B12=43,1,0))</f>
        <v/>
      </c>
      <c r="AZ13">
        <f>MAX(AZ12,IF($B12=44,1,0))</f>
        <v/>
      </c>
      <c r="BA13">
        <f>MAX(BA12,IF($B12=45,1,0))</f>
        <v/>
      </c>
      <c r="BC13">
        <f>IF(I13=1,1000000,IF('計算A'!$EA$10=2,SUMPRODUCT('計算A'!$D$60:$DS$60,$CW13:$HL13,$HN13:$MC13),SUMPRODUCT('計算A'!$D$60:$DS$60,$CW13:$HL13))*1000+1)</f>
        <v/>
      </c>
      <c r="BD13">
        <f>IF(J13=1,1000000,IF('計算A'!$EA$11=2,SUMPRODUCT('計算A'!$D$61:$DS$61,$CW13:$HL13,$HN13:$MC13),SUMPRODUCT('計算A'!$D$61:$DS$61,$CW13:$HL13))*1000+2)</f>
        <v/>
      </c>
      <c r="BE13">
        <f>IF(K13=1,1000000,IF('計算A'!$EA$12=2,SUMPRODUCT('計算A'!$D$62:$DS$62,$CW13:$HL13,$HN13:$MC13),SUMPRODUCT('計算A'!$D$62:$DS$62,$CW13:$HL13))*1000+3)</f>
        <v/>
      </c>
      <c r="BF13">
        <f>IF(L13=1,1000000,IF('計算A'!$EA$13=2,SUMPRODUCT('計算A'!$D$63:$DS$63,$CW13:$HL13,$HN13:$MC13),SUMPRODUCT('計算A'!$D$63:$DS$63,$CW13:$HL13))*1000+4)</f>
        <v/>
      </c>
      <c r="BG13">
        <f>IF(M13=1,1000000,IF('計算A'!$EA$14=2,SUMPRODUCT('計算A'!$D$64:$DS$64,$CW13:$HL13,$HN13:$MC13),SUMPRODUCT('計算A'!$D$64:$DS$64,$CW13:$HL13))*1000+5)</f>
        <v/>
      </c>
      <c r="BH13">
        <f>IF(N13=1,1000000,IF('計算A'!$EA$15=2,SUMPRODUCT('計算A'!$D$65:$DS$65,$CW13:$HL13,$HN13:$MC13),SUMPRODUCT('計算A'!$D$65:$DS$65,$CW13:$HL13))*1000+6)</f>
        <v/>
      </c>
      <c r="BI13">
        <f>IF(O13=1,1000000,IF('計算A'!$EA$16=2,SUMPRODUCT('計算A'!$D$66:$DS$66,$CW13:$HL13,$HN13:$MC13),SUMPRODUCT('計算A'!$D$66:$DS$66,$CW13:$HL13))*1000+7)</f>
        <v/>
      </c>
      <c r="BJ13">
        <f>IF(P13=1,1000000,IF('計算A'!$EA$17=2,SUMPRODUCT('計算A'!$D$67:$DS$67,$CW13:$HL13,$HN13:$MC13),SUMPRODUCT('計算A'!$D$67:$DS$67,$CW13:$HL13))*1000+8)</f>
        <v/>
      </c>
      <c r="BK13">
        <f>IF(Q13=1,1000000,IF('計算A'!$EA$18=2,SUMPRODUCT('計算A'!$D$68:$DS$68,$CW13:$HL13,$HN13:$MC13),SUMPRODUCT('計算A'!$D$68:$DS$68,$CW13:$HL13))*1000+9)</f>
        <v/>
      </c>
      <c r="BL13">
        <f>IF(R13=1,1000000,IF('計算A'!$EA$19=2,SUMPRODUCT('計算A'!$D$69:$DS$69,$CW13:$HL13,$HN13:$MC13),SUMPRODUCT('計算A'!$D$69:$DS$69,$CW13:$HL13))*1000+10)</f>
        <v/>
      </c>
      <c r="BM13">
        <f>IF(S13=1,1000000,IF('計算A'!$EA$20=2,SUMPRODUCT('計算A'!$D$70:$DS$70,$CW13:$HL13,$HN13:$MC13),SUMPRODUCT('計算A'!$D$70:$DS$70,$CW13:$HL13))*1000+11)</f>
        <v/>
      </c>
      <c r="BN13">
        <f>IF(T13=1,1000000,IF('計算A'!$EA$21=2,SUMPRODUCT('計算A'!$D$71:$DS$71,$CW13:$HL13,$HN13:$MC13),SUMPRODUCT('計算A'!$D$71:$DS$71,$CW13:$HL13))*1000+12)</f>
        <v/>
      </c>
      <c r="BO13">
        <f>IF(U13=1,1000000,IF('計算A'!$EA$22=2,SUMPRODUCT('計算A'!$D$72:$DS$72,$CW13:$HL13,$HN13:$MC13),SUMPRODUCT('計算A'!$D$72:$DS$72,$CW13:$HL13))*1000+13)</f>
        <v/>
      </c>
      <c r="BP13">
        <f>IF(V13=1,1000000,IF('計算A'!$EA$23=2,SUMPRODUCT('計算A'!$D$73:$DS$73,$CW13:$HL13,$HN13:$MC13),SUMPRODUCT('計算A'!$D$73:$DS$73,$CW13:$HL13))*1000+14)</f>
        <v/>
      </c>
      <c r="BQ13">
        <f>IF(W13=1,1000000,IF('計算A'!$EA$24=2,SUMPRODUCT('計算A'!$D$74:$DS$74,$CW13:$HL13,$HN13:$MC13),SUMPRODUCT('計算A'!$D$74:$DS$74,$CW13:$HL13))*1000+15)</f>
        <v/>
      </c>
      <c r="BR13">
        <f>IF(X13=1,1000000,IF('計算A'!$EA$25=2,SUMPRODUCT('計算A'!$D$75:$DS$75,$CW13:$HL13,$HN13:$MC13),SUMPRODUCT('計算A'!$D$75:$DS$75,$CW13:$HL13))*1000+16)</f>
        <v/>
      </c>
      <c r="BS13">
        <f>IF(Y13=1,1000000,IF('計算A'!$EA$26=2,SUMPRODUCT('計算A'!$D$76:$DS$76,$CW13:$HL13,$HN13:$MC13),SUMPRODUCT('計算A'!$D$76:$DS$76,$CW13:$HL13))*1000+17)</f>
        <v/>
      </c>
      <c r="BT13">
        <f>IF(Z13=1,1000000,IF('計算A'!$EA$27=2,SUMPRODUCT('計算A'!$D$77:$DS$77,$CW13:$HL13,$HN13:$MC13),SUMPRODUCT('計算A'!$D$77:$DS$77,$CW13:$HL13))*1000+18)</f>
        <v/>
      </c>
      <c r="BU13">
        <f>IF(AA13=1,1000000,IF('計算A'!$EA$28=2,SUMPRODUCT('計算A'!$D$78:$DS$78,$CW13:$HL13,$HN13:$MC13),SUMPRODUCT('計算A'!$D$78:$DS$78,$CW13:$HL13))*1000+19)</f>
        <v/>
      </c>
      <c r="BV13">
        <f>IF(AB13=1,1000000,IF('計算A'!$EA$29=2,SUMPRODUCT('計算A'!$D$79:$DS$79,$CW13:$HL13,$HN13:$MC13),SUMPRODUCT('計算A'!$D$79:$DS$79,$CW13:$HL13))*1000+20)</f>
        <v/>
      </c>
      <c r="BW13">
        <f>IF(AC13=1,1000000,IF('計算A'!$EA$30=2,SUMPRODUCT('計算A'!$D$80:$DS$80,$CW13:$HL13,$HN13:$MC13),SUMPRODUCT('計算A'!$D$80:$DS$80,$CW13:$HL13))*1000+21)</f>
        <v/>
      </c>
      <c r="BX13">
        <f>IF(AD13=1,1000000,IF('計算A'!$EA$31=2,SUMPRODUCT('計算A'!$D$81:$DS$81,$CW13:$HL13,$HN13:$MC13),SUMPRODUCT('計算A'!$D$81:$DS$81,$CW13:$HL13))*1000+22)</f>
        <v/>
      </c>
      <c r="BY13">
        <f>IF(AE13=1,1000000,IF('計算A'!$EA$32=2,SUMPRODUCT('計算A'!$D$82:$DS$82,$CW13:$HL13,$HN13:$MC13),SUMPRODUCT('計算A'!$D$82:$DS$82,$CW13:$HL13))*1000+23)</f>
        <v/>
      </c>
      <c r="BZ13">
        <f>IF(AF13=1,1000000,IF('計算A'!$EA$33=2,SUMPRODUCT('計算A'!$D$83:$DS$83,$CW13:$HL13,$HN13:$MC13),SUMPRODUCT('計算A'!$D$83:$DS$83,$CW13:$HL13))*1000+24)</f>
        <v/>
      </c>
      <c r="CA13">
        <f>IF(AG13=1,1000000,IF('計算A'!$EA$34=2,SUMPRODUCT('計算A'!$D$84:$DS$84,$CW13:$HL13,$HN13:$MC13),SUMPRODUCT('計算A'!$D$84:$DS$84,$CW13:$HL13))*1000+25)</f>
        <v/>
      </c>
      <c r="CB13">
        <f>IF(AH13=1,1000000,IF('計算A'!$EA$35=2,SUMPRODUCT('計算A'!$D$85:$DS$85,$CW13:$HL13,$HN13:$MC13),SUMPRODUCT('計算A'!$D$85:$DS$85,$CW13:$HL13))*1000+26)</f>
        <v/>
      </c>
      <c r="CC13">
        <f>IF(AI13=1,1000000,IF('計算A'!$EA$36=2,SUMPRODUCT('計算A'!$D$86:$DS$86,$CW13:$HL13,$HN13:$MC13),SUMPRODUCT('計算A'!$D$86:$DS$86,$CW13:$HL13))*1000+27)</f>
        <v/>
      </c>
      <c r="CD13">
        <f>IF(AJ13=1,1000000,IF('計算A'!$EA$37=2,SUMPRODUCT('計算A'!$D$87:$DS$87,$CW13:$HL13,$HN13:$MC13),SUMPRODUCT('計算A'!$D$87:$DS$87,$CW13:$HL13))*1000+28)</f>
        <v/>
      </c>
      <c r="CE13">
        <f>IF(AK13=1,1000000,IF('計算A'!$EA$38=2,SUMPRODUCT('計算A'!$D$88:$DS$88,$CW13:$HL13,$HN13:$MC13),SUMPRODUCT('計算A'!$D$88:$DS$88,$CW13:$HL13))*1000+29)</f>
        <v/>
      </c>
      <c r="CF13">
        <f>IF(AL13=1,1000000,IF('計算A'!$EA$39=2,SUMPRODUCT('計算A'!$D$89:$DS$89,$CW13:$HL13,$HN13:$MC13),SUMPRODUCT('計算A'!$D$89:$DS$89,$CW13:$HL13))*1000+30)</f>
        <v/>
      </c>
      <c r="CG13">
        <f>IF(AM13=1,1000000,IF('計算A'!$EA$40=2,SUMPRODUCT('計算A'!$D$90:$DS$90,$CW13:$HL13,$HN13:$MC13),SUMPRODUCT('計算A'!$D$90:$DS$90,$CW13:$HL13))*1000+31)</f>
        <v/>
      </c>
      <c r="CH13">
        <f>IF(AN13=1,1000000,IF('計算A'!$EA$41=2,SUMPRODUCT('計算A'!$D$91:$DS$91,$CW13:$HL13,$HN13:$MC13),SUMPRODUCT('計算A'!$D$91:$DS$91,$CW13:$HL13))*1000+32)</f>
        <v/>
      </c>
      <c r="CI13">
        <f>IF(AO13=1,1000000,IF('計算A'!$EA$42=2,SUMPRODUCT('計算A'!$D$92:$DS$92,$CW13:$HL13,$HN13:$MC13),SUMPRODUCT('計算A'!$D$92:$DS$92,$CW13:$HL13))*1000+33)</f>
        <v/>
      </c>
      <c r="CJ13">
        <f>IF(AP13=1,1000000,IF('計算A'!$EA$43=2,SUMPRODUCT('計算A'!$D$93:$DS$93,$CW13:$HL13,$HN13:$MC13),SUMPRODUCT('計算A'!$D$93:$DS$93,$CW13:$HL13))*1000+34)</f>
        <v/>
      </c>
      <c r="CK13">
        <f>IF(AQ13=1,1000000,IF('計算A'!$EA$44=2,SUMPRODUCT('計算A'!$D$94:$DS$94,$CW13:$HL13,$HN13:$MC13),SUMPRODUCT('計算A'!$D$94:$DS$94,$CW13:$HL13))*1000+35)</f>
        <v/>
      </c>
      <c r="CL13">
        <f>IF(AR13=1,1000000,IF('計算A'!$EA$45=2,SUMPRODUCT('計算A'!$D$95:$DS$95,$CW13:$HL13,$HN13:$MC13),SUMPRODUCT('計算A'!$D$95:$DS$95,$CW13:$HL13))*1000+36)</f>
        <v/>
      </c>
      <c r="CM13">
        <f>IF(AS13=1,1000000,IF('計算A'!$EA$46=2,SUMPRODUCT('計算A'!$D$96:$DS$96,$CW13:$HL13,$HN13:$MC13),SUMPRODUCT('計算A'!$D$96:$DS$96,$CW13:$HL13))*1000+37)</f>
        <v/>
      </c>
      <c r="CN13">
        <f>IF(AT13=1,1000000,IF('計算A'!$EA$47=2,SUMPRODUCT('計算A'!$D$97:$DS$97,$CW13:$HL13,$HN13:$MC13),SUMPRODUCT('計算A'!$D$97:$DS$97,$CW13:$HL13))*1000+38)</f>
        <v/>
      </c>
      <c r="CO13">
        <f>IF(AU13=1,1000000,IF('計算A'!$EA$48=2,SUMPRODUCT('計算A'!$D$98:$DS$98,$CW13:$HL13,$HN13:$MC13),SUMPRODUCT('計算A'!$D$98:$DS$98,$CW13:$HL13))*1000+39)</f>
        <v/>
      </c>
      <c r="CP13">
        <f>IF(AV13=1,1000000,IF('計算A'!$EA$49=2,SUMPRODUCT('計算A'!$D$99:$DS$99,$CW13:$HL13,$HN13:$MC13),SUMPRODUCT('計算A'!$D$99:$DS$99,$CW13:$HL13))*1000+40)</f>
        <v/>
      </c>
      <c r="CQ13">
        <f>IF(AW13=1,1000000,IF('計算A'!$EA$50=2,SUMPRODUCT('計算A'!$D$100:$DS$100,$CW13:$HL13,$HN13:$MC13),SUMPRODUCT('計算A'!$D$100:$DS$100,$CW13:$HL13))*1000+41)</f>
        <v/>
      </c>
      <c r="CR13">
        <f>IF(AX13=1,1000000,IF('計算A'!$EA$51=2,SUMPRODUCT('計算A'!$D$101:$DS$101,$CW13:$HL13,$HN13:$MC13),SUMPRODUCT('計算A'!$D$101:$DS$101,$CW13:$HL13))*1000+42)</f>
        <v/>
      </c>
      <c r="CS13">
        <f>IF(AY13=1,1000000,IF('計算A'!$EA$52=2,SUMPRODUCT('計算A'!$D$102:$DS$102,$CW13:$HL13,$HN13:$MC13),SUMPRODUCT('計算A'!$D$102:$DS$102,$CW13:$HL13))*1000+43)</f>
        <v/>
      </c>
      <c r="CT13">
        <f>IF(AZ13=1,1000000,IF('計算A'!$EA$53=2,SUMPRODUCT('計算A'!$D$103:$DS$103,$CW13:$HL13,$HN13:$MC13),SUMPRODUCT('計算A'!$D$103:$DS$103,$CW13:$HL13))*1000+44)</f>
        <v/>
      </c>
      <c r="CU13">
        <f>IF(BA13=1,1000000,IF('計算A'!$EA$54=2,SUMPRODUCT('計算A'!$D$104:$DS$104,$CW13:$HL13,$HN13:$MC13),SUMPRODUCT('計算A'!$D$104:$DS$104,$CW13:$HL13))*1000+45)</f>
        <v/>
      </c>
      <c r="CW13">
        <f>CW12*IF(OR($C12=1,$G12=1),0,1)</f>
        <v/>
      </c>
      <c r="CX13">
        <f>CX12*IF(OR($C12=2,$G12=2),0,1)</f>
        <v/>
      </c>
      <c r="CY13">
        <f>CY12*IF(OR($C12=3,$G12=3),0,1)</f>
        <v/>
      </c>
      <c r="CZ13">
        <f>CZ12*IF(OR($C12=4,$G12=4),0,1)</f>
        <v/>
      </c>
      <c r="DA13">
        <f>DA12*IF(OR($C12=5,$G12=5),0,1)</f>
        <v/>
      </c>
      <c r="DB13">
        <f>DB12*IF(OR($C12=6,$G12=6),0,1)</f>
        <v/>
      </c>
      <c r="DC13">
        <f>DC12*IF(OR($C12=7,$G12=7),0,1)</f>
        <v/>
      </c>
      <c r="DD13">
        <f>DD12*IF(OR($C12=8,$G12=8),0,1)</f>
        <v/>
      </c>
      <c r="DE13">
        <f>DE12*IF(OR($C12=9,$G12=9),0,1)</f>
        <v/>
      </c>
      <c r="DF13">
        <f>DF12*IF(OR($C12=10,$G12=10),0,1)</f>
        <v/>
      </c>
      <c r="DG13">
        <f>DG12*IF(OR($C12=11,$G12=11),0,1)</f>
        <v/>
      </c>
      <c r="DH13">
        <f>DH12*IF(OR($C12=12,$G12=12),0,1)</f>
        <v/>
      </c>
      <c r="DI13">
        <f>DI12*IF(OR($C12=13,$G12=13),0,1)</f>
        <v/>
      </c>
      <c r="DJ13">
        <f>DJ12*IF(OR($C12=14,$G12=14),0,1)</f>
        <v/>
      </c>
      <c r="DK13">
        <f>DK12*IF(OR($C12=15,$G12=15),0,1)</f>
        <v/>
      </c>
      <c r="DL13">
        <f>DL12*IF(OR($C12=16,$G12=16),0,1)</f>
        <v/>
      </c>
      <c r="DM13">
        <f>DM12*IF(OR($C12=17,$G12=17),0,1)</f>
        <v/>
      </c>
      <c r="DN13">
        <f>DN12*IF(OR($C12=18,$G12=18),0,1)</f>
        <v/>
      </c>
      <c r="DO13">
        <f>DO12*IF(OR($C12=19,$G12=19),0,1)</f>
        <v/>
      </c>
      <c r="DP13">
        <f>DP12*IF(OR($C12=20,$G12=20),0,1)</f>
        <v/>
      </c>
      <c r="DQ13">
        <f>DQ12*IF(OR($C12=21,$G12=21),0,1)</f>
        <v/>
      </c>
      <c r="DR13">
        <f>DR12*IF(OR($C12=22,$G12=22),0,1)</f>
        <v/>
      </c>
      <c r="DS13">
        <f>DS12*IF(OR($C12=23,$G12=23),0,1)</f>
        <v/>
      </c>
      <c r="DT13">
        <f>DT12*IF(OR($C12=24,$G12=24),0,1)</f>
        <v/>
      </c>
      <c r="DU13">
        <f>DU12*IF(OR($C12=25,$G12=25),0,1)</f>
        <v/>
      </c>
      <c r="DV13">
        <f>DV12*IF(OR($C12=26,$G12=26),0,1)</f>
        <v/>
      </c>
      <c r="DW13">
        <f>DW12*IF(OR($C12=27,$G12=27),0,1)</f>
        <v/>
      </c>
      <c r="DX13">
        <f>DX12*IF(OR($C12=28,$G12=28),0,1)</f>
        <v/>
      </c>
      <c r="DY13">
        <f>DY12*IF(OR($C12=29,$G12=29),0,1)</f>
        <v/>
      </c>
      <c r="DZ13">
        <f>DZ12*IF(OR($C12=30,$G12=30),0,1)</f>
        <v/>
      </c>
      <c r="EA13">
        <f>EA12*IF(OR($C12=31,$G12=31),0,1)</f>
        <v/>
      </c>
      <c r="EB13">
        <f>EB12*IF(OR($C12=32,$G12=32),0,1)</f>
        <v/>
      </c>
      <c r="EC13">
        <f>EC12*IF(OR($C12=33,$G12=33),0,1)</f>
        <v/>
      </c>
      <c r="ED13">
        <f>ED12*IF(OR($C12=34,$G12=34),0,1)</f>
        <v/>
      </c>
      <c r="EE13">
        <f>EE12*IF(OR($C12=35,$G12=35),0,1)</f>
        <v/>
      </c>
      <c r="EF13">
        <f>EF12*IF(OR($C12=36,$G12=36),0,1)</f>
        <v/>
      </c>
      <c r="EG13">
        <f>EG12*IF(OR($C12=37,$G12=37),0,1)</f>
        <v/>
      </c>
      <c r="EH13">
        <f>EH12*IF(OR($C12=38,$G12=38),0,1)</f>
        <v/>
      </c>
      <c r="EI13">
        <f>EI12*IF(OR($C12=39,$G12=39),0,1)</f>
        <v/>
      </c>
      <c r="EJ13">
        <f>EJ12*IF(OR($C12=40,$G12=40),0,1)</f>
        <v/>
      </c>
      <c r="EK13">
        <f>EK12*IF(OR($C12=41,$G12=41),0,1)</f>
        <v/>
      </c>
      <c r="EL13">
        <f>EL12*IF(OR($C12=42,$G12=42),0,1)</f>
        <v/>
      </c>
      <c r="EM13">
        <f>EM12*IF(OR($C12=43,$G12=43),0,1)</f>
        <v/>
      </c>
      <c r="EN13">
        <f>EN12*IF(OR($C12=44,$G12=44),0,1)</f>
        <v/>
      </c>
      <c r="EO13">
        <f>EO12*IF(OR($C12=45,$G12=45),0,1)</f>
        <v/>
      </c>
      <c r="EP13">
        <f>EP12*IF(OR($C12=46,$G12=46),0,1)</f>
        <v/>
      </c>
      <c r="EQ13">
        <f>EQ12*IF(OR($C12=47,$G12=47),0,1)</f>
        <v/>
      </c>
      <c r="ER13">
        <f>ER12*IF(OR($C12=48,$G12=48),0,1)</f>
        <v/>
      </c>
      <c r="ES13">
        <f>ES12*IF(OR($C12=49,$G12=49),0,1)</f>
        <v/>
      </c>
      <c r="ET13">
        <f>ET12*IF(OR($C12=50,$G12=50),0,1)</f>
        <v/>
      </c>
      <c r="EU13">
        <f>EU12*IF(OR($C12=51,$G12=51),0,1)</f>
        <v/>
      </c>
      <c r="EV13">
        <f>EV12*IF(OR($C12=52,$G12=52),0,1)</f>
        <v/>
      </c>
      <c r="EW13">
        <f>EW12*IF(OR($C12=53,$G12=53),0,1)</f>
        <v/>
      </c>
      <c r="EX13">
        <f>EX12*IF(OR($C12=54,$G12=54),0,1)</f>
        <v/>
      </c>
      <c r="EY13">
        <f>EY12*IF(OR($C12=55,$G12=55),0,1)</f>
        <v/>
      </c>
      <c r="EZ13">
        <f>EZ12*IF(OR($C12=56,$G12=56),0,1)</f>
        <v/>
      </c>
      <c r="FA13">
        <f>FA12*IF(OR($C12=57,$G12=57),0,1)</f>
        <v/>
      </c>
      <c r="FB13">
        <f>FB12*IF(OR($C12=58,$G12=58),0,1)</f>
        <v/>
      </c>
      <c r="FC13">
        <f>FC12*IF(OR($C12=59,$G12=59),0,1)</f>
        <v/>
      </c>
      <c r="FD13">
        <f>FD12*IF(OR($C12=60,$G12=60),0,1)</f>
        <v/>
      </c>
      <c r="FE13">
        <f>FE12*IF(OR($C12=61,$G12=61),0,1)</f>
        <v/>
      </c>
      <c r="FF13">
        <f>FF12*IF(OR($C12=62,$G12=62),0,1)</f>
        <v/>
      </c>
      <c r="FG13">
        <f>FG12*IF(OR($C12=63,$G12=63),0,1)</f>
        <v/>
      </c>
      <c r="FH13">
        <f>FH12*IF(OR($C12=64,$G12=64),0,1)</f>
        <v/>
      </c>
      <c r="FI13">
        <f>FI12*IF(OR($C12=65,$G12=65),0,1)</f>
        <v/>
      </c>
      <c r="FJ13">
        <f>FJ12*IF(OR($C12=66,$G12=66),0,1)</f>
        <v/>
      </c>
      <c r="FK13">
        <f>FK12*IF(OR($C12=67,$G12=67),0,1)</f>
        <v/>
      </c>
      <c r="FL13">
        <f>FL12*IF(OR($C12=68,$G12=68),0,1)</f>
        <v/>
      </c>
      <c r="FM13">
        <f>FM12*IF(OR($C12=69,$G12=69),0,1)</f>
        <v/>
      </c>
      <c r="FN13">
        <f>FN12*IF(OR($C12=70,$G12=70),0,1)</f>
        <v/>
      </c>
      <c r="FO13">
        <f>FO12*IF(OR($C12=71,$G12=71),0,1)</f>
        <v/>
      </c>
      <c r="FP13">
        <f>FP12*IF(OR($C12=72,$G12=72),0,1)</f>
        <v/>
      </c>
      <c r="FQ13">
        <f>FQ12*IF(OR($C12=73,$G12=73),0,1)</f>
        <v/>
      </c>
      <c r="FR13">
        <f>FR12*IF(OR($C12=74,$G12=74),0,1)</f>
        <v/>
      </c>
      <c r="FS13">
        <f>FS12*IF(OR($C12=75,$G12=75),0,1)</f>
        <v/>
      </c>
      <c r="FT13">
        <f>FT12*IF(OR($C12=76,$G12=76),0,1)</f>
        <v/>
      </c>
      <c r="FU13">
        <f>FU12*IF(OR($C12=77,$G12=77),0,1)</f>
        <v/>
      </c>
      <c r="FV13">
        <f>FV12*IF(OR($C12=78,$G12=78),0,1)</f>
        <v/>
      </c>
      <c r="FW13">
        <f>FW12*IF(OR($C12=79,$G12=79),0,1)</f>
        <v/>
      </c>
      <c r="FX13">
        <f>FX12*IF(OR($C12=80,$G12=80),0,1)</f>
        <v/>
      </c>
      <c r="FY13">
        <f>FY12*IF(OR($C12=81,$G12=81),0,1)</f>
        <v/>
      </c>
      <c r="FZ13">
        <f>FZ12*IF(OR($C12=82,$G12=82),0,1)</f>
        <v/>
      </c>
      <c r="GA13">
        <f>GA12*IF(OR($C12=83,$G12=83),0,1)</f>
        <v/>
      </c>
      <c r="GB13">
        <f>GB12*IF(OR($C12=84,$G12=84),0,1)</f>
        <v/>
      </c>
      <c r="GC13">
        <f>GC12*IF(OR($C12=85,$G12=85),0,1)</f>
        <v/>
      </c>
      <c r="GD13">
        <f>GD12*IF(OR($C12=86,$G12=86),0,1)</f>
        <v/>
      </c>
      <c r="GE13">
        <f>GE12*IF(OR($C12=87,$G12=87),0,1)</f>
        <v/>
      </c>
      <c r="GF13">
        <f>GF12*IF(OR($C12=88,$G12=88),0,1)</f>
        <v/>
      </c>
      <c r="GG13">
        <f>GG12*IF(OR($C12=89,$G12=89),0,1)</f>
        <v/>
      </c>
      <c r="GH13">
        <f>GH12*IF(OR($C12=90,$G12=90),0,1)</f>
        <v/>
      </c>
      <c r="GI13">
        <f>GI12*IF(OR($C12=91,$G12=91),0,1)</f>
        <v/>
      </c>
      <c r="GJ13">
        <f>GJ12*IF(OR($C12=92,$G12=92),0,1)</f>
        <v/>
      </c>
      <c r="GK13">
        <f>GK12*IF(OR($C12=93,$G12=93),0,1)</f>
        <v/>
      </c>
      <c r="GL13">
        <f>GL12*IF(OR($C12=94,$G12=94),0,1)</f>
        <v/>
      </c>
      <c r="GM13">
        <f>GM12*IF(OR($C12=95,$G12=95),0,1)</f>
        <v/>
      </c>
      <c r="GN13">
        <f>GN12*IF(OR($C12=96,$G12=96),0,1)</f>
        <v/>
      </c>
      <c r="GO13">
        <f>GO12*IF(OR($C12=97,$G12=97),0,1)</f>
        <v/>
      </c>
      <c r="GP13">
        <f>GP12*IF(OR($C12=98,$G12=98),0,1)</f>
        <v/>
      </c>
      <c r="GQ13">
        <f>GQ12*IF(OR($C12=99,$G12=99),0,1)</f>
        <v/>
      </c>
      <c r="GR13">
        <f>GR12*IF(OR($C12=100,$G12=100),0,1)</f>
        <v/>
      </c>
      <c r="GS13">
        <f>GS12*IF(OR($C12=101,$G12=101),0,1)</f>
        <v/>
      </c>
      <c r="GT13">
        <f>GT12*IF(OR($C12=102,$G12=102),0,1)</f>
        <v/>
      </c>
      <c r="GU13">
        <f>GU12*IF(OR($C12=103,$G12=103),0,1)</f>
        <v/>
      </c>
      <c r="GV13">
        <f>GV12*IF(OR($C12=104,$G12=104),0,1)</f>
        <v/>
      </c>
      <c r="GW13">
        <f>GW12*IF(OR($C12=105,$G12=105),0,1)</f>
        <v/>
      </c>
      <c r="GX13">
        <f>GX12*IF(OR($C12=106,$G12=106),0,1)</f>
        <v/>
      </c>
      <c r="GY13">
        <f>GY12*IF(OR($C12=107,$G12=107),0,1)</f>
        <v/>
      </c>
      <c r="GZ13">
        <f>GZ12*IF(OR($C12=108,$G12=108),0,1)</f>
        <v/>
      </c>
      <c r="HA13">
        <f>HA12*IF(OR($C12=109,$G12=109),0,1)</f>
        <v/>
      </c>
      <c r="HB13">
        <f>HB12*IF(OR($C12=110,$G12=110),0,1)</f>
        <v/>
      </c>
      <c r="HC13">
        <f>HC12*IF(OR($C12=111,$G12=111),0,1)</f>
        <v/>
      </c>
      <c r="HD13">
        <f>HD12*IF(OR($C12=112,$G12=112),0,1)</f>
        <v/>
      </c>
      <c r="HE13">
        <f>HE12*IF(OR($C12=113,$G12=113),0,1)</f>
        <v/>
      </c>
      <c r="HF13">
        <f>HF12*IF(OR($C12=114,$G12=114),0,1)</f>
        <v/>
      </c>
      <c r="HG13">
        <f>HG12*IF(OR($C12=115,$G12=115),0,1)</f>
        <v/>
      </c>
      <c r="HH13">
        <f>HH12*IF(OR($C12=116,$G12=116),0,1)</f>
        <v/>
      </c>
      <c r="HI13">
        <f>HI12*IF(OR($C12=117,$G12=117),0,1)</f>
        <v/>
      </c>
      <c r="HJ13">
        <f>HJ12*IF(OR($C12=118,$G12=118),0,1)</f>
        <v/>
      </c>
      <c r="HK13">
        <f>HK12*IF(OR($C12=119,$G12=119),0,1)</f>
        <v/>
      </c>
      <c r="HL13">
        <f>HL12*IF(OR($C12=120,$G12=120),0,1)</f>
        <v/>
      </c>
      <c r="HN13">
        <f>IF('計算A'!D$106=1,CX13,1)</f>
        <v/>
      </c>
      <c r="HO13">
        <f>IF('計算A'!E$106=1,CY13,1)</f>
        <v/>
      </c>
      <c r="HP13">
        <f>IF('計算A'!F$106=1,CZ13,1)</f>
        <v/>
      </c>
      <c r="HQ13">
        <f>IF('計算A'!G$106=1,DA13,1)</f>
        <v/>
      </c>
      <c r="HR13">
        <f>IF('計算A'!H$106=1,DB13,1)</f>
        <v/>
      </c>
      <c r="HS13">
        <f>IF('計算A'!I$106=1,DC13,1)</f>
        <v/>
      </c>
      <c r="HT13">
        <f>IF('計算A'!J$106=1,DD13,1)</f>
        <v/>
      </c>
      <c r="HU13">
        <f>IF('計算A'!K$106=1,DE13,1)</f>
        <v/>
      </c>
      <c r="HV13">
        <f>IF('計算A'!L$106=1,DF13,1)</f>
        <v/>
      </c>
      <c r="HW13">
        <f>IF('計算A'!M$106=1,DG13,1)</f>
        <v/>
      </c>
      <c r="HX13">
        <f>IF('計算A'!N$106=1,DH13,1)</f>
        <v/>
      </c>
      <c r="HY13">
        <f>IF('計算A'!O$106=1,DI13,1)</f>
        <v/>
      </c>
      <c r="HZ13">
        <f>IF('計算A'!P$106=1,DJ13,1)</f>
        <v/>
      </c>
      <c r="IA13">
        <f>IF('計算A'!Q$106=1,DK13,1)</f>
        <v/>
      </c>
      <c r="IB13">
        <f>IF('計算A'!R$106=1,DL13,1)</f>
        <v/>
      </c>
      <c r="IC13">
        <f>IF('計算A'!S$106=1,DM13,1)</f>
        <v/>
      </c>
      <c r="ID13">
        <f>IF('計算A'!T$106=1,DN13,1)</f>
        <v/>
      </c>
      <c r="IE13">
        <f>IF('計算A'!U$106=1,DO13,1)</f>
        <v/>
      </c>
      <c r="IF13">
        <f>IF('計算A'!V$106=1,DP13,1)</f>
        <v/>
      </c>
      <c r="IG13">
        <f>IF('計算A'!W$106=1,DQ13,1)</f>
        <v/>
      </c>
      <c r="IH13">
        <f>IF('計算A'!X$106=1,DR13,1)</f>
        <v/>
      </c>
      <c r="II13">
        <f>IF('計算A'!Y$106=1,DS13,1)</f>
        <v/>
      </c>
      <c r="IJ13">
        <f>IF('計算A'!Z$106=1,DT13,1)</f>
        <v/>
      </c>
      <c r="IK13">
        <f>IF('計算A'!AA$106=1,DU13,1)</f>
        <v/>
      </c>
      <c r="IL13">
        <f>IF('計算A'!AB$106=1,DV13,1)</f>
        <v/>
      </c>
      <c r="IM13">
        <f>IF('計算A'!AC$106=1,DW13,1)</f>
        <v/>
      </c>
      <c r="IN13">
        <f>IF('計算A'!AD$106=1,DX13,1)</f>
        <v/>
      </c>
      <c r="IO13">
        <f>IF('計算A'!AE$106=1,DY13,1)</f>
        <v/>
      </c>
      <c r="IP13">
        <f>IF('計算A'!AF$106=1,DZ13,1)</f>
        <v/>
      </c>
      <c r="IQ13">
        <f>IF('計算A'!AG$106=1,EA13,1)</f>
        <v/>
      </c>
      <c r="IR13">
        <f>IF('計算A'!AH$106=1,EB13,1)</f>
        <v/>
      </c>
      <c r="IS13">
        <f>IF('計算A'!AI$106=1,EC13,1)</f>
        <v/>
      </c>
      <c r="IT13">
        <f>IF('計算A'!AJ$106=1,ED13,1)</f>
        <v/>
      </c>
      <c r="IU13">
        <f>IF('計算A'!AK$106=1,EE13,1)</f>
        <v/>
      </c>
      <c r="IV13">
        <f>IF('計算A'!AL$106=1,EF13,1)</f>
        <v/>
      </c>
      <c r="IW13">
        <f>IF('計算A'!AM$106=1,EG13,1)</f>
        <v/>
      </c>
      <c r="IX13">
        <f>IF('計算A'!AN$106=1,EH13,1)</f>
        <v/>
      </c>
      <c r="IY13">
        <f>IF('計算A'!AO$106=1,EI13,1)</f>
        <v/>
      </c>
      <c r="IZ13">
        <f>IF('計算A'!AP$106=1,EJ13,1)</f>
        <v/>
      </c>
      <c r="JA13">
        <f>IF('計算A'!AQ$106=1,EK13,1)</f>
        <v/>
      </c>
      <c r="JB13">
        <f>IF('計算A'!AR$106=1,EL13,1)</f>
        <v/>
      </c>
      <c r="JC13">
        <f>IF('計算A'!AS$106=1,EM13,1)</f>
        <v/>
      </c>
      <c r="JD13">
        <f>IF('計算A'!AT$106=1,EN13,1)</f>
        <v/>
      </c>
      <c r="JE13">
        <f>IF('計算A'!AU$106=1,EO13,1)</f>
        <v/>
      </c>
      <c r="JF13">
        <f>IF('計算A'!AV$106=1,EP13,1)</f>
        <v/>
      </c>
      <c r="JG13">
        <f>IF('計算A'!AW$106=1,EQ13,1)</f>
        <v/>
      </c>
      <c r="JH13">
        <f>IF('計算A'!AX$106=1,ER13,1)</f>
        <v/>
      </c>
      <c r="JI13">
        <f>IF('計算A'!AY$106=1,ES13,1)</f>
        <v/>
      </c>
      <c r="JJ13">
        <f>IF('計算A'!AZ$106=1,ET13,1)</f>
        <v/>
      </c>
      <c r="JK13">
        <f>IF('計算A'!BA$106=1,EU13,1)</f>
        <v/>
      </c>
      <c r="JL13">
        <f>IF('計算A'!BB$106=1,EV13,1)</f>
        <v/>
      </c>
      <c r="JM13">
        <f>IF('計算A'!BC$106=1,EW13,1)</f>
        <v/>
      </c>
      <c r="JN13">
        <f>IF('計算A'!BD$106=1,EX13,1)</f>
        <v/>
      </c>
      <c r="JO13">
        <f>IF('計算A'!BE$106=1,EY13,1)</f>
        <v/>
      </c>
      <c r="JP13">
        <f>IF('計算A'!BF$106=1,EZ13,1)</f>
        <v/>
      </c>
      <c r="JQ13">
        <f>IF('計算A'!BG$106=1,FA13,1)</f>
        <v/>
      </c>
      <c r="JR13">
        <f>IF('計算A'!BH$106=1,FB13,1)</f>
        <v/>
      </c>
      <c r="JS13">
        <f>IF('計算A'!BI$106=1,FC13,1)</f>
        <v/>
      </c>
      <c r="JT13">
        <f>IF('計算A'!BJ$106=1,FD13,1)</f>
        <v/>
      </c>
      <c r="JU13">
        <f>IF('計算A'!BK$106=1,FE13,1)</f>
        <v/>
      </c>
      <c r="JV13">
        <f>IF('計算A'!BL$106=1,FF13,1)</f>
        <v/>
      </c>
      <c r="JW13">
        <f>IF('計算A'!BM$106=1,FG13,1)</f>
        <v/>
      </c>
      <c r="JX13">
        <f>IF('計算A'!BN$106=1,FH13,1)</f>
        <v/>
      </c>
      <c r="JY13">
        <f>IF('計算A'!BO$106=1,FI13,1)</f>
        <v/>
      </c>
      <c r="JZ13">
        <f>IF('計算A'!BP$106=1,FJ13,1)</f>
        <v/>
      </c>
      <c r="KA13">
        <f>IF('計算A'!BQ$106=1,FK13,1)</f>
        <v/>
      </c>
      <c r="KB13">
        <f>IF('計算A'!BR$106=1,FL13,1)</f>
        <v/>
      </c>
      <c r="KC13">
        <f>IF('計算A'!BS$106=1,FM13,1)</f>
        <v/>
      </c>
      <c r="KD13">
        <f>IF('計算A'!BT$106=1,FN13,1)</f>
        <v/>
      </c>
      <c r="KE13">
        <f>IF('計算A'!BU$106=1,FO13,1)</f>
        <v/>
      </c>
      <c r="KF13">
        <f>IF('計算A'!BV$106=1,FP13,1)</f>
        <v/>
      </c>
      <c r="KG13">
        <f>IF('計算A'!BW$106=1,FQ13,1)</f>
        <v/>
      </c>
      <c r="KH13">
        <f>IF('計算A'!BX$106=1,FR13,1)</f>
        <v/>
      </c>
      <c r="KI13">
        <f>IF('計算A'!BY$106=1,FS13,1)</f>
        <v/>
      </c>
      <c r="KJ13">
        <f>IF('計算A'!BZ$106=1,FT13,1)</f>
        <v/>
      </c>
      <c r="KK13">
        <f>IF('計算A'!CA$106=1,FU13,1)</f>
        <v/>
      </c>
      <c r="KL13">
        <f>IF('計算A'!CB$106=1,FV13,1)</f>
        <v/>
      </c>
      <c r="KM13">
        <f>IF('計算A'!CC$106=1,FW13,1)</f>
        <v/>
      </c>
      <c r="KN13">
        <f>IF('計算A'!CD$106=1,FX13,1)</f>
        <v/>
      </c>
      <c r="KO13">
        <f>IF('計算A'!CE$106=1,FY13,1)</f>
        <v/>
      </c>
      <c r="KP13">
        <f>IF('計算A'!CF$106=1,FZ13,1)</f>
        <v/>
      </c>
      <c r="KQ13">
        <f>IF('計算A'!CG$106=1,GA13,1)</f>
        <v/>
      </c>
      <c r="KR13">
        <f>IF('計算A'!CH$106=1,GB13,1)</f>
        <v/>
      </c>
      <c r="KS13">
        <f>IF('計算A'!CI$106=1,GC13,1)</f>
        <v/>
      </c>
      <c r="KT13">
        <f>IF('計算A'!CJ$106=1,GD13,1)</f>
        <v/>
      </c>
      <c r="KU13">
        <f>IF('計算A'!CK$106=1,GE13,1)</f>
        <v/>
      </c>
      <c r="KV13">
        <f>IF('計算A'!CL$106=1,GF13,1)</f>
        <v/>
      </c>
      <c r="KW13">
        <f>IF('計算A'!CM$106=1,GG13,1)</f>
        <v/>
      </c>
      <c r="KX13">
        <f>IF('計算A'!CN$106=1,GH13,1)</f>
        <v/>
      </c>
      <c r="KY13">
        <f>IF('計算A'!CO$106=1,GI13,1)</f>
        <v/>
      </c>
      <c r="KZ13">
        <f>IF('計算A'!CP$106=1,GJ13,1)</f>
        <v/>
      </c>
      <c r="LA13">
        <f>IF('計算A'!CQ$106=1,GK13,1)</f>
        <v/>
      </c>
      <c r="LB13">
        <f>IF('計算A'!CR$106=1,GL13,1)</f>
        <v/>
      </c>
      <c r="LC13">
        <f>IF('計算A'!CS$106=1,GM13,1)</f>
        <v/>
      </c>
      <c r="LD13">
        <f>IF('計算A'!CT$106=1,GN13,1)</f>
        <v/>
      </c>
      <c r="LE13">
        <f>IF('計算A'!CU$106=1,GO13,1)</f>
        <v/>
      </c>
      <c r="LF13">
        <f>IF('計算A'!CV$106=1,GP13,1)</f>
        <v/>
      </c>
      <c r="LG13">
        <f>IF('計算A'!CW$106=1,GQ13,1)</f>
        <v/>
      </c>
      <c r="LH13">
        <f>IF('計算A'!CX$106=1,GR13,1)</f>
        <v/>
      </c>
      <c r="LI13">
        <f>IF('計算A'!CY$106=1,GS13,1)</f>
        <v/>
      </c>
      <c r="LJ13">
        <f>IF('計算A'!CZ$106=1,GT13,1)</f>
        <v/>
      </c>
      <c r="LK13">
        <f>IF('計算A'!DA$106=1,GU13,1)</f>
        <v/>
      </c>
      <c r="LL13">
        <f>IF('計算A'!DB$106=1,GV13,1)</f>
        <v/>
      </c>
      <c r="LM13">
        <f>IF('計算A'!DC$106=1,GW13,1)</f>
        <v/>
      </c>
      <c r="LN13">
        <f>IF('計算A'!DD$106=1,GX13,1)</f>
        <v/>
      </c>
      <c r="LO13">
        <f>IF('計算A'!DE$106=1,GY13,1)</f>
        <v/>
      </c>
      <c r="LP13">
        <f>IF('計算A'!DF$106=1,GZ13,1)</f>
        <v/>
      </c>
      <c r="LQ13">
        <f>IF('計算A'!DG$106=1,HA13,1)</f>
        <v/>
      </c>
      <c r="LR13">
        <f>IF('計算A'!DH$106=1,HB13,1)</f>
        <v/>
      </c>
      <c r="LS13">
        <f>IF('計算A'!DI$106=1,HC13,1)</f>
        <v/>
      </c>
      <c r="LT13">
        <f>IF('計算A'!DJ$106=1,HD13,1)</f>
        <v/>
      </c>
      <c r="LU13">
        <f>IF('計算A'!DK$106=1,HE13,1)</f>
        <v/>
      </c>
      <c r="LV13">
        <f>IF('計算A'!DL$106=1,HF13,1)</f>
        <v/>
      </c>
      <c r="LW13">
        <f>IF('計算A'!DM$106=1,HG13,1)</f>
        <v/>
      </c>
      <c r="LX13">
        <f>IF('計算A'!DN$106=1,HH13,1)</f>
        <v/>
      </c>
      <c r="LY13">
        <f>IF('計算A'!DO$106=1,HI13,1)</f>
        <v/>
      </c>
      <c r="LZ13">
        <f>IF('計算A'!DP$106=1,HJ13,1)</f>
        <v/>
      </c>
      <c r="MA13">
        <f>IF('計算A'!DQ$106=1,HK13,1)</f>
        <v/>
      </c>
      <c r="MB13">
        <f>IF('計算A'!DR$106=1,HL13,1)</f>
        <v/>
      </c>
      <c r="MC13" t="n">
        <v>1</v>
      </c>
      <c r="ME13">
        <f>IF($B13=0,1000000,IF(INDEX('計算A'!$D$60:$DS$104,$B13,1)*CW13=1,IF(AND($E13=2,HN13=0),1000000,INDEX('計算A'!D$110:D$114,$F13+1)+IF(AND($E13=1,HN13=0),1000,0)),1000000))</f>
        <v/>
      </c>
      <c r="MF13">
        <f>IF($B13=0,1000000,IF(INDEX('計算A'!$D$60:$DS$104,$B13,2)*CX13=1,IF(AND($E13=2,HO13=0),1000000,INDEX('計算A'!E$110:E$114,$F13+1)+IF(AND($E13=1,HO13=0),1000,0)),1000000))</f>
        <v/>
      </c>
      <c r="MG13">
        <f>IF($B13=0,1000000,IF(INDEX('計算A'!$D$60:$DS$104,$B13,3)*CY13=1,IF(AND($E13=2,HP13=0),1000000,INDEX('計算A'!F$110:F$114,$F13+1)+IF(AND($E13=1,HP13=0),1000,0)),1000000))</f>
        <v/>
      </c>
      <c r="MH13">
        <f>IF($B13=0,1000000,IF(INDEX('計算A'!$D$60:$DS$104,$B13,4)*CZ13=1,IF(AND($E13=2,HQ13=0),1000000,INDEX('計算A'!G$110:G$114,$F13+1)+IF(AND($E13=1,HQ13=0),1000,0)),1000000))</f>
        <v/>
      </c>
      <c r="MI13">
        <f>IF($B13=0,1000000,IF(INDEX('計算A'!$D$60:$DS$104,$B13,5)*DA13=1,IF(AND($E13=2,HR13=0),1000000,INDEX('計算A'!H$110:H$114,$F13+1)+IF(AND($E13=1,HR13=0),1000,0)),1000000))</f>
        <v/>
      </c>
      <c r="MJ13">
        <f>IF($B13=0,1000000,IF(INDEX('計算A'!$D$60:$DS$104,$B13,6)*DB13=1,IF(AND($E13=2,HS13=0),1000000,INDEX('計算A'!I$110:I$114,$F13+1)+IF(AND($E13=1,HS13=0),1000,0)),1000000))</f>
        <v/>
      </c>
      <c r="MK13">
        <f>IF($B13=0,1000000,IF(INDEX('計算A'!$D$60:$DS$104,$B13,7)*DC13=1,IF(AND($E13=2,HT13=0),1000000,INDEX('計算A'!J$110:J$114,$F13+1)+IF(AND($E13=1,HT13=0),1000,0)),1000000))</f>
        <v/>
      </c>
      <c r="ML13">
        <f>IF($B13=0,1000000,IF(INDEX('計算A'!$D$60:$DS$104,$B13,8)*DD13=1,IF(AND($E13=2,HU13=0),1000000,INDEX('計算A'!K$110:K$114,$F13+1)+IF(AND($E13=1,HU13=0),1000,0)),1000000))</f>
        <v/>
      </c>
      <c r="MM13">
        <f>IF($B13=0,1000000,IF(INDEX('計算A'!$D$60:$DS$104,$B13,9)*DE13=1,IF(AND($E13=2,HV13=0),1000000,INDEX('計算A'!L$110:L$114,$F13+1)+IF(AND($E13=1,HV13=0),1000,0)),1000000))</f>
        <v/>
      </c>
      <c r="MN13">
        <f>IF($B13=0,1000000,IF(INDEX('計算A'!$D$60:$DS$104,$B13,10)*DF13=1,IF(AND($E13=2,HW13=0),1000000,INDEX('計算A'!M$110:M$114,$F13+1)+IF(AND($E13=1,HW13=0),1000,0)),1000000))</f>
        <v/>
      </c>
      <c r="MO13">
        <f>IF($B13=0,1000000,IF(INDEX('計算A'!$D$60:$DS$104,$B13,11)*DG13=1,IF(AND($E13=2,HX13=0),1000000,INDEX('計算A'!N$110:N$114,$F13+1)+IF(AND($E13=1,HX13=0),1000,0)),1000000))</f>
        <v/>
      </c>
      <c r="MP13">
        <f>IF($B13=0,1000000,IF(INDEX('計算A'!$D$60:$DS$104,$B13,12)*DH13=1,IF(AND($E13=2,HY13=0),1000000,INDEX('計算A'!O$110:O$114,$F13+1)+IF(AND($E13=1,HY13=0),1000,0)),1000000))</f>
        <v/>
      </c>
      <c r="MQ13">
        <f>IF($B13=0,1000000,IF(INDEX('計算A'!$D$60:$DS$104,$B13,13)*DI13=1,IF(AND($E13=2,HZ13=0),1000000,INDEX('計算A'!P$110:P$114,$F13+1)+IF(AND($E13=1,HZ13=0),1000,0)),1000000))</f>
        <v/>
      </c>
      <c r="MR13">
        <f>IF($B13=0,1000000,IF(INDEX('計算A'!$D$60:$DS$104,$B13,14)*DJ13=1,IF(AND($E13=2,IA13=0),1000000,INDEX('計算A'!Q$110:Q$114,$F13+1)+IF(AND($E13=1,IA13=0),1000,0)),1000000))</f>
        <v/>
      </c>
      <c r="MS13">
        <f>IF($B13=0,1000000,IF(INDEX('計算A'!$D$60:$DS$104,$B13,15)*DK13=1,IF(AND($E13=2,IB13=0),1000000,INDEX('計算A'!R$110:R$114,$F13+1)+IF(AND($E13=1,IB13=0),1000,0)),1000000))</f>
        <v/>
      </c>
      <c r="MT13">
        <f>IF($B13=0,1000000,IF(INDEX('計算A'!$D$60:$DS$104,$B13,16)*DL13=1,IF(AND($E13=2,IC13=0),1000000,INDEX('計算A'!S$110:S$114,$F13+1)+IF(AND($E13=1,IC13=0),1000,0)),1000000))</f>
        <v/>
      </c>
      <c r="MU13">
        <f>IF($B13=0,1000000,IF(INDEX('計算A'!$D$60:$DS$104,$B13,17)*DM13=1,IF(AND($E13=2,ID13=0),1000000,INDEX('計算A'!T$110:T$114,$F13+1)+IF(AND($E13=1,ID13=0),1000,0)),1000000))</f>
        <v/>
      </c>
      <c r="MV13">
        <f>IF($B13=0,1000000,IF(INDEX('計算A'!$D$60:$DS$104,$B13,18)*DN13=1,IF(AND($E13=2,IE13=0),1000000,INDEX('計算A'!U$110:U$114,$F13+1)+IF(AND($E13=1,IE13=0),1000,0)),1000000))</f>
        <v/>
      </c>
      <c r="MW13">
        <f>IF($B13=0,1000000,IF(INDEX('計算A'!$D$60:$DS$104,$B13,19)*DO13=1,IF(AND($E13=2,IF13=0),1000000,INDEX('計算A'!V$110:V$114,$F13+1)+IF(AND($E13=1,IF13=0),1000,0)),1000000))</f>
        <v/>
      </c>
      <c r="MX13">
        <f>IF($B13=0,1000000,IF(INDEX('計算A'!$D$60:$DS$104,$B13,20)*DP13=1,IF(AND($E13=2,IG13=0),1000000,INDEX('計算A'!W$110:W$114,$F13+1)+IF(AND($E13=1,IG13=0),1000,0)),1000000))</f>
        <v/>
      </c>
      <c r="MY13">
        <f>IF($B13=0,1000000,IF(INDEX('計算A'!$D$60:$DS$104,$B13,21)*DQ13=1,IF(AND($E13=2,IH13=0),1000000,INDEX('計算A'!X$110:X$114,$F13+1)+IF(AND($E13=1,IH13=0),1000,0)),1000000))</f>
        <v/>
      </c>
      <c r="MZ13">
        <f>IF($B13=0,1000000,IF(INDEX('計算A'!$D$60:$DS$104,$B13,22)*DR13=1,IF(AND($E13=2,II13=0),1000000,INDEX('計算A'!Y$110:Y$114,$F13+1)+IF(AND($E13=1,II13=0),1000,0)),1000000))</f>
        <v/>
      </c>
      <c r="NA13">
        <f>IF($B13=0,1000000,IF(INDEX('計算A'!$D$60:$DS$104,$B13,23)*DS13=1,IF(AND($E13=2,IJ13=0),1000000,INDEX('計算A'!Z$110:Z$114,$F13+1)+IF(AND($E13=1,IJ13=0),1000,0)),1000000))</f>
        <v/>
      </c>
      <c r="NB13">
        <f>IF($B13=0,1000000,IF(INDEX('計算A'!$D$60:$DS$104,$B13,24)*DT13=1,IF(AND($E13=2,IK13=0),1000000,INDEX('計算A'!AA$110:AA$114,$F13+1)+IF(AND($E13=1,IK13=0),1000,0)),1000000))</f>
        <v/>
      </c>
      <c r="NC13">
        <f>IF($B13=0,1000000,IF(INDEX('計算A'!$D$60:$DS$104,$B13,25)*DU13=1,IF(AND($E13=2,IL13=0),1000000,INDEX('計算A'!AB$110:AB$114,$F13+1)+IF(AND($E13=1,IL13=0),1000,0)),1000000))</f>
        <v/>
      </c>
      <c r="ND13">
        <f>IF($B13=0,1000000,IF(INDEX('計算A'!$D$60:$DS$104,$B13,26)*DV13=1,IF(AND($E13=2,IM13=0),1000000,INDEX('計算A'!AC$110:AC$114,$F13+1)+IF(AND($E13=1,IM13=0),1000,0)),1000000))</f>
        <v/>
      </c>
      <c r="NE13">
        <f>IF($B13=0,1000000,IF(INDEX('計算A'!$D$60:$DS$104,$B13,27)*DW13=1,IF(AND($E13=2,IN13=0),1000000,INDEX('計算A'!AD$110:AD$114,$F13+1)+IF(AND($E13=1,IN13=0),1000,0)),1000000))</f>
        <v/>
      </c>
      <c r="NF13">
        <f>IF($B13=0,1000000,IF(INDEX('計算A'!$D$60:$DS$104,$B13,28)*DX13=1,IF(AND($E13=2,IO13=0),1000000,INDEX('計算A'!AE$110:AE$114,$F13+1)+IF(AND($E13=1,IO13=0),1000,0)),1000000))</f>
        <v/>
      </c>
      <c r="NG13">
        <f>IF($B13=0,1000000,IF(INDEX('計算A'!$D$60:$DS$104,$B13,29)*DY13=1,IF(AND($E13=2,IP13=0),1000000,INDEX('計算A'!AF$110:AF$114,$F13+1)+IF(AND($E13=1,IP13=0),1000,0)),1000000))</f>
        <v/>
      </c>
      <c r="NH13">
        <f>IF($B13=0,1000000,IF(INDEX('計算A'!$D$60:$DS$104,$B13,30)*DZ13=1,IF(AND($E13=2,IQ13=0),1000000,INDEX('計算A'!AG$110:AG$114,$F13+1)+IF(AND($E13=1,IQ13=0),1000,0)),1000000))</f>
        <v/>
      </c>
      <c r="NI13">
        <f>IF($B13=0,1000000,IF(INDEX('計算A'!$D$60:$DS$104,$B13,31)*EA13=1,IF(AND($E13=2,IR13=0),1000000,INDEX('計算A'!AH$110:AH$114,$F13+1)+IF(AND($E13=1,IR13=0),1000,0)),1000000))</f>
        <v/>
      </c>
      <c r="NJ13">
        <f>IF($B13=0,1000000,IF(INDEX('計算A'!$D$60:$DS$104,$B13,32)*EB13=1,IF(AND($E13=2,IS13=0),1000000,INDEX('計算A'!AI$110:AI$114,$F13+1)+IF(AND($E13=1,IS13=0),1000,0)),1000000))</f>
        <v/>
      </c>
      <c r="NK13">
        <f>IF($B13=0,1000000,IF(INDEX('計算A'!$D$60:$DS$104,$B13,33)*EC13=1,IF(AND($E13=2,IT13=0),1000000,INDEX('計算A'!AJ$110:AJ$114,$F13+1)+IF(AND($E13=1,IT13=0),1000,0)),1000000))</f>
        <v/>
      </c>
      <c r="NL13">
        <f>IF($B13=0,1000000,IF(INDEX('計算A'!$D$60:$DS$104,$B13,34)*ED13=1,IF(AND($E13=2,IU13=0),1000000,INDEX('計算A'!AK$110:AK$114,$F13+1)+IF(AND($E13=1,IU13=0),1000,0)),1000000))</f>
        <v/>
      </c>
      <c r="NM13">
        <f>IF($B13=0,1000000,IF(INDEX('計算A'!$D$60:$DS$104,$B13,35)*EE13=1,IF(AND($E13=2,IV13=0),1000000,INDEX('計算A'!AL$110:AL$114,$F13+1)+IF(AND($E13=1,IV13=0),1000,0)),1000000))</f>
        <v/>
      </c>
      <c r="NN13">
        <f>IF($B13=0,1000000,IF(INDEX('計算A'!$D$60:$DS$104,$B13,36)*EF13=1,IF(AND($E13=2,IW13=0),1000000,INDEX('計算A'!AM$110:AM$114,$F13+1)+IF(AND($E13=1,IW13=0),1000,0)),1000000))</f>
        <v/>
      </c>
      <c r="NO13">
        <f>IF($B13=0,1000000,IF(INDEX('計算A'!$D$60:$DS$104,$B13,37)*EG13=1,IF(AND($E13=2,IX13=0),1000000,INDEX('計算A'!AN$110:AN$114,$F13+1)+IF(AND($E13=1,IX13=0),1000,0)),1000000))</f>
        <v/>
      </c>
      <c r="NP13">
        <f>IF($B13=0,1000000,IF(INDEX('計算A'!$D$60:$DS$104,$B13,38)*EH13=1,IF(AND($E13=2,IY13=0),1000000,INDEX('計算A'!AO$110:AO$114,$F13+1)+IF(AND($E13=1,IY13=0),1000,0)),1000000))</f>
        <v/>
      </c>
      <c r="NQ13">
        <f>IF($B13=0,1000000,IF(INDEX('計算A'!$D$60:$DS$104,$B13,39)*EI13=1,IF(AND($E13=2,IZ13=0),1000000,INDEX('計算A'!AP$110:AP$114,$F13+1)+IF(AND($E13=1,IZ13=0),1000,0)),1000000))</f>
        <v/>
      </c>
      <c r="NR13">
        <f>IF($B13=0,1000000,IF(INDEX('計算A'!$D$60:$DS$104,$B13,40)*EJ13=1,IF(AND($E13=2,JA13=0),1000000,INDEX('計算A'!AQ$110:AQ$114,$F13+1)+IF(AND($E13=1,JA13=0),1000,0)),1000000))</f>
        <v/>
      </c>
      <c r="NS13">
        <f>IF($B13=0,1000000,IF(INDEX('計算A'!$D$60:$DS$104,$B13,41)*EK13=1,IF(AND($E13=2,JB13=0),1000000,INDEX('計算A'!AR$110:AR$114,$F13+1)+IF(AND($E13=1,JB13=0),1000,0)),1000000))</f>
        <v/>
      </c>
      <c r="NT13">
        <f>IF($B13=0,1000000,IF(INDEX('計算A'!$D$60:$DS$104,$B13,42)*EL13=1,IF(AND($E13=2,JC13=0),1000000,INDEX('計算A'!AS$110:AS$114,$F13+1)+IF(AND($E13=1,JC13=0),1000,0)),1000000))</f>
        <v/>
      </c>
      <c r="NU13">
        <f>IF($B13=0,1000000,IF(INDEX('計算A'!$D$60:$DS$104,$B13,43)*EM13=1,IF(AND($E13=2,JD13=0),1000000,INDEX('計算A'!AT$110:AT$114,$F13+1)+IF(AND($E13=1,JD13=0),1000,0)),1000000))</f>
        <v/>
      </c>
      <c r="NV13">
        <f>IF($B13=0,1000000,IF(INDEX('計算A'!$D$60:$DS$104,$B13,44)*EN13=1,IF(AND($E13=2,JE13=0),1000000,INDEX('計算A'!AU$110:AU$114,$F13+1)+IF(AND($E13=1,JE13=0),1000,0)),1000000))</f>
        <v/>
      </c>
      <c r="NW13">
        <f>IF($B13=0,1000000,IF(INDEX('計算A'!$D$60:$DS$104,$B13,45)*EO13=1,IF(AND($E13=2,JF13=0),1000000,INDEX('計算A'!AV$110:AV$114,$F13+1)+IF(AND($E13=1,JF13=0),1000,0)),1000000))</f>
        <v/>
      </c>
      <c r="NX13">
        <f>IF($B13=0,1000000,IF(INDEX('計算A'!$D$60:$DS$104,$B13,46)*EP13=1,IF(AND($E13=2,JG13=0),1000000,INDEX('計算A'!AW$110:AW$114,$F13+1)+IF(AND($E13=1,JG13=0),1000,0)),1000000))</f>
        <v/>
      </c>
      <c r="NY13">
        <f>IF($B13=0,1000000,IF(INDEX('計算A'!$D$60:$DS$104,$B13,47)*EQ13=1,IF(AND($E13=2,JH13=0),1000000,INDEX('計算A'!AX$110:AX$114,$F13+1)+IF(AND($E13=1,JH13=0),1000,0)),1000000))</f>
        <v/>
      </c>
      <c r="NZ13">
        <f>IF($B13=0,1000000,IF(INDEX('計算A'!$D$60:$DS$104,$B13,48)*ER13=1,IF(AND($E13=2,JI13=0),1000000,INDEX('計算A'!AY$110:AY$114,$F13+1)+IF(AND($E13=1,JI13=0),1000,0)),1000000))</f>
        <v/>
      </c>
      <c r="OA13">
        <f>IF($B13=0,1000000,IF(INDEX('計算A'!$D$60:$DS$104,$B13,49)*ES13=1,IF(AND($E13=2,JJ13=0),1000000,INDEX('計算A'!AZ$110:AZ$114,$F13+1)+IF(AND($E13=1,JJ13=0),1000,0)),1000000))</f>
        <v/>
      </c>
      <c r="OB13">
        <f>IF($B13=0,1000000,IF(INDEX('計算A'!$D$60:$DS$104,$B13,50)*ET13=1,IF(AND($E13=2,JK13=0),1000000,INDEX('計算A'!BA$110:BA$114,$F13+1)+IF(AND($E13=1,JK13=0),1000,0)),1000000))</f>
        <v/>
      </c>
      <c r="OC13">
        <f>IF($B13=0,1000000,IF(INDEX('計算A'!$D$60:$DS$104,$B13,51)*EU13=1,IF(AND($E13=2,JL13=0),1000000,INDEX('計算A'!BB$110:BB$114,$F13+1)+IF(AND($E13=1,JL13=0),1000,0)),1000000))</f>
        <v/>
      </c>
      <c r="OD13">
        <f>IF($B13=0,1000000,IF(INDEX('計算A'!$D$60:$DS$104,$B13,52)*EV13=1,IF(AND($E13=2,JM13=0),1000000,INDEX('計算A'!BC$110:BC$114,$F13+1)+IF(AND($E13=1,JM13=0),1000,0)),1000000))</f>
        <v/>
      </c>
      <c r="OE13">
        <f>IF($B13=0,1000000,IF(INDEX('計算A'!$D$60:$DS$104,$B13,53)*EW13=1,IF(AND($E13=2,JN13=0),1000000,INDEX('計算A'!BD$110:BD$114,$F13+1)+IF(AND($E13=1,JN13=0),1000,0)),1000000))</f>
        <v/>
      </c>
      <c r="OF13">
        <f>IF($B13=0,1000000,IF(INDEX('計算A'!$D$60:$DS$104,$B13,54)*EX13=1,IF(AND($E13=2,JO13=0),1000000,INDEX('計算A'!BE$110:BE$114,$F13+1)+IF(AND($E13=1,JO13=0),1000,0)),1000000))</f>
        <v/>
      </c>
      <c r="OG13">
        <f>IF($B13=0,1000000,IF(INDEX('計算A'!$D$60:$DS$104,$B13,55)*EY13=1,IF(AND($E13=2,JP13=0),1000000,INDEX('計算A'!BF$110:BF$114,$F13+1)+IF(AND($E13=1,JP13=0),1000,0)),1000000))</f>
        <v/>
      </c>
      <c r="OH13">
        <f>IF($B13=0,1000000,IF(INDEX('計算A'!$D$60:$DS$104,$B13,56)*EZ13=1,IF(AND($E13=2,JQ13=0),1000000,INDEX('計算A'!BG$110:BG$114,$F13+1)+IF(AND($E13=1,JQ13=0),1000,0)),1000000))</f>
        <v/>
      </c>
      <c r="OI13">
        <f>IF($B13=0,1000000,IF(INDEX('計算A'!$D$60:$DS$104,$B13,57)*FA13=1,IF(AND($E13=2,JR13=0),1000000,INDEX('計算A'!BH$110:BH$114,$F13+1)+IF(AND($E13=1,JR13=0),1000,0)),1000000))</f>
        <v/>
      </c>
      <c r="OJ13">
        <f>IF($B13=0,1000000,IF(INDEX('計算A'!$D$60:$DS$104,$B13,58)*FB13=1,IF(AND($E13=2,JS13=0),1000000,INDEX('計算A'!BI$110:BI$114,$F13+1)+IF(AND($E13=1,JS13=0),1000,0)),1000000))</f>
        <v/>
      </c>
      <c r="OK13">
        <f>IF($B13=0,1000000,IF(INDEX('計算A'!$D$60:$DS$104,$B13,59)*FC13=1,IF(AND($E13=2,JT13=0),1000000,INDEX('計算A'!BJ$110:BJ$114,$F13+1)+IF(AND($E13=1,JT13=0),1000,0)),1000000))</f>
        <v/>
      </c>
      <c r="OL13">
        <f>IF($B13=0,1000000,IF(INDEX('計算A'!$D$60:$DS$104,$B13,60)*FD13=1,IF(AND($E13=2,JU13=0),1000000,INDEX('計算A'!BK$110:BK$114,$F13+1)+IF(AND($E13=1,JU13=0),1000,0)),1000000))</f>
        <v/>
      </c>
      <c r="OM13">
        <f>IF($B13=0,1000000,IF(INDEX('計算A'!$D$60:$DS$104,$B13,61)*FE13=1,IF(AND($E13=2,JV13=0),1000000,INDEX('計算A'!BL$110:BL$114,$F13+1)+IF(AND($E13=1,JV13=0),1000,0)),1000000))</f>
        <v/>
      </c>
      <c r="ON13">
        <f>IF($B13=0,1000000,IF(INDEX('計算A'!$D$60:$DS$104,$B13,62)*FF13=1,IF(AND($E13=2,JW13=0),1000000,INDEX('計算A'!BM$110:BM$114,$F13+1)+IF(AND($E13=1,JW13=0),1000,0)),1000000))</f>
        <v/>
      </c>
      <c r="OO13">
        <f>IF($B13=0,1000000,IF(INDEX('計算A'!$D$60:$DS$104,$B13,63)*FG13=1,IF(AND($E13=2,JX13=0),1000000,INDEX('計算A'!BN$110:BN$114,$F13+1)+IF(AND($E13=1,JX13=0),1000,0)),1000000))</f>
        <v/>
      </c>
      <c r="OP13">
        <f>IF($B13=0,1000000,IF(INDEX('計算A'!$D$60:$DS$104,$B13,64)*FH13=1,IF(AND($E13=2,JY13=0),1000000,INDEX('計算A'!BO$110:BO$114,$F13+1)+IF(AND($E13=1,JY13=0),1000,0)),1000000))</f>
        <v/>
      </c>
      <c r="OQ13">
        <f>IF($B13=0,1000000,IF(INDEX('計算A'!$D$60:$DS$104,$B13,65)*FI13=1,IF(AND($E13=2,JZ13=0),1000000,INDEX('計算A'!BP$110:BP$114,$F13+1)+IF(AND($E13=1,JZ13=0),1000,0)),1000000))</f>
        <v/>
      </c>
      <c r="OR13">
        <f>IF($B13=0,1000000,IF(INDEX('計算A'!$D$60:$DS$104,$B13,66)*FJ13=1,IF(AND($E13=2,KA13=0),1000000,INDEX('計算A'!BQ$110:BQ$114,$F13+1)+IF(AND($E13=1,KA13=0),1000,0)),1000000))</f>
        <v/>
      </c>
      <c r="OS13">
        <f>IF($B13=0,1000000,IF(INDEX('計算A'!$D$60:$DS$104,$B13,67)*FK13=1,IF(AND($E13=2,KB13=0),1000000,INDEX('計算A'!BR$110:BR$114,$F13+1)+IF(AND($E13=1,KB13=0),1000,0)),1000000))</f>
        <v/>
      </c>
      <c r="OT13">
        <f>IF($B13=0,1000000,IF(INDEX('計算A'!$D$60:$DS$104,$B13,68)*FL13=1,IF(AND($E13=2,KC13=0),1000000,INDEX('計算A'!BS$110:BS$114,$F13+1)+IF(AND($E13=1,KC13=0),1000,0)),1000000))</f>
        <v/>
      </c>
      <c r="OU13">
        <f>IF($B13=0,1000000,IF(INDEX('計算A'!$D$60:$DS$104,$B13,69)*FM13=1,IF(AND($E13=2,KD13=0),1000000,INDEX('計算A'!BT$110:BT$114,$F13+1)+IF(AND($E13=1,KD13=0),1000,0)),1000000))</f>
        <v/>
      </c>
      <c r="OV13">
        <f>IF($B13=0,1000000,IF(INDEX('計算A'!$D$60:$DS$104,$B13,70)*FN13=1,IF(AND($E13=2,KE13=0),1000000,INDEX('計算A'!BU$110:BU$114,$F13+1)+IF(AND($E13=1,KE13=0),1000,0)),1000000))</f>
        <v/>
      </c>
      <c r="OW13">
        <f>IF($B13=0,1000000,IF(INDEX('計算A'!$D$60:$DS$104,$B13,71)*FO13=1,IF(AND($E13=2,KF13=0),1000000,INDEX('計算A'!BV$110:BV$114,$F13+1)+IF(AND($E13=1,KF13=0),1000,0)),1000000))</f>
        <v/>
      </c>
      <c r="OX13">
        <f>IF($B13=0,1000000,IF(INDEX('計算A'!$D$60:$DS$104,$B13,72)*FP13=1,IF(AND($E13=2,KG13=0),1000000,INDEX('計算A'!BW$110:BW$114,$F13+1)+IF(AND($E13=1,KG13=0),1000,0)),1000000))</f>
        <v/>
      </c>
      <c r="OY13">
        <f>IF($B13=0,1000000,IF(INDEX('計算A'!$D$60:$DS$104,$B13,73)*FQ13=1,IF(AND($E13=2,KH13=0),1000000,INDEX('計算A'!BX$110:BX$114,$F13+1)+IF(AND($E13=1,KH13=0),1000,0)),1000000))</f>
        <v/>
      </c>
      <c r="OZ13">
        <f>IF($B13=0,1000000,IF(INDEX('計算A'!$D$60:$DS$104,$B13,74)*FR13=1,IF(AND($E13=2,KI13=0),1000000,INDEX('計算A'!BY$110:BY$114,$F13+1)+IF(AND($E13=1,KI13=0),1000,0)),1000000))</f>
        <v/>
      </c>
      <c r="PA13">
        <f>IF($B13=0,1000000,IF(INDEX('計算A'!$D$60:$DS$104,$B13,75)*FS13=1,IF(AND($E13=2,KJ13=0),1000000,INDEX('計算A'!BZ$110:BZ$114,$F13+1)+IF(AND($E13=1,KJ13=0),1000,0)),1000000))</f>
        <v/>
      </c>
      <c r="PB13">
        <f>IF($B13=0,1000000,IF(INDEX('計算A'!$D$60:$DS$104,$B13,76)*FT13=1,IF(AND($E13=2,KK13=0),1000000,INDEX('計算A'!CA$110:CA$114,$F13+1)+IF(AND($E13=1,KK13=0),1000,0)),1000000))</f>
        <v/>
      </c>
      <c r="PC13">
        <f>IF($B13=0,1000000,IF(INDEX('計算A'!$D$60:$DS$104,$B13,77)*FU13=1,IF(AND($E13=2,KL13=0),1000000,INDEX('計算A'!CB$110:CB$114,$F13+1)+IF(AND($E13=1,KL13=0),1000,0)),1000000))</f>
        <v/>
      </c>
      <c r="PD13">
        <f>IF($B13=0,1000000,IF(INDEX('計算A'!$D$60:$DS$104,$B13,78)*FV13=1,IF(AND($E13=2,KM13=0),1000000,INDEX('計算A'!CC$110:CC$114,$F13+1)+IF(AND($E13=1,KM13=0),1000,0)),1000000))</f>
        <v/>
      </c>
      <c r="PE13">
        <f>IF($B13=0,1000000,IF(INDEX('計算A'!$D$60:$DS$104,$B13,79)*FW13=1,IF(AND($E13=2,KN13=0),1000000,INDEX('計算A'!CD$110:CD$114,$F13+1)+IF(AND($E13=1,KN13=0),1000,0)),1000000))</f>
        <v/>
      </c>
      <c r="PF13">
        <f>IF($B13=0,1000000,IF(INDEX('計算A'!$D$60:$DS$104,$B13,80)*FX13=1,IF(AND($E13=2,KO13=0),1000000,INDEX('計算A'!CE$110:CE$114,$F13+1)+IF(AND($E13=1,KO13=0),1000,0)),1000000))</f>
        <v/>
      </c>
      <c r="PG13">
        <f>IF($B13=0,1000000,IF(INDEX('計算A'!$D$60:$DS$104,$B13,81)*FY13=1,IF(AND($E13=2,KP13=0),1000000,INDEX('計算A'!CF$110:CF$114,$F13+1)+IF(AND($E13=1,KP13=0),1000,0)),1000000))</f>
        <v/>
      </c>
      <c r="PH13">
        <f>IF($B13=0,1000000,IF(INDEX('計算A'!$D$60:$DS$104,$B13,82)*FZ13=1,IF(AND($E13=2,KQ13=0),1000000,INDEX('計算A'!CG$110:CG$114,$F13+1)+IF(AND($E13=1,KQ13=0),1000,0)),1000000))</f>
        <v/>
      </c>
      <c r="PI13">
        <f>IF($B13=0,1000000,IF(INDEX('計算A'!$D$60:$DS$104,$B13,83)*GA13=1,IF(AND($E13=2,KR13=0),1000000,INDEX('計算A'!CH$110:CH$114,$F13+1)+IF(AND($E13=1,KR13=0),1000,0)),1000000))</f>
        <v/>
      </c>
      <c r="PJ13">
        <f>IF($B13=0,1000000,IF(INDEX('計算A'!$D$60:$DS$104,$B13,84)*GB13=1,IF(AND($E13=2,KS13=0),1000000,INDEX('計算A'!CI$110:CI$114,$F13+1)+IF(AND($E13=1,KS13=0),1000,0)),1000000))</f>
        <v/>
      </c>
      <c r="PK13">
        <f>IF($B13=0,1000000,IF(INDEX('計算A'!$D$60:$DS$104,$B13,85)*GC13=1,IF(AND($E13=2,KT13=0),1000000,INDEX('計算A'!CJ$110:CJ$114,$F13+1)+IF(AND($E13=1,KT13=0),1000,0)),1000000))</f>
        <v/>
      </c>
      <c r="PL13">
        <f>IF($B13=0,1000000,IF(INDEX('計算A'!$D$60:$DS$104,$B13,86)*GD13=1,IF(AND($E13=2,KU13=0),1000000,INDEX('計算A'!CK$110:CK$114,$F13+1)+IF(AND($E13=1,KU13=0),1000,0)),1000000))</f>
        <v/>
      </c>
      <c r="PM13">
        <f>IF($B13=0,1000000,IF(INDEX('計算A'!$D$60:$DS$104,$B13,87)*GE13=1,IF(AND($E13=2,KV13=0),1000000,INDEX('計算A'!CL$110:CL$114,$F13+1)+IF(AND($E13=1,KV13=0),1000,0)),1000000))</f>
        <v/>
      </c>
      <c r="PN13">
        <f>IF($B13=0,1000000,IF(INDEX('計算A'!$D$60:$DS$104,$B13,88)*GF13=1,IF(AND($E13=2,KW13=0),1000000,INDEX('計算A'!CM$110:CM$114,$F13+1)+IF(AND($E13=1,KW13=0),1000,0)),1000000))</f>
        <v/>
      </c>
      <c r="PO13">
        <f>IF($B13=0,1000000,IF(INDEX('計算A'!$D$60:$DS$104,$B13,89)*GG13=1,IF(AND($E13=2,KX13=0),1000000,INDEX('計算A'!CN$110:CN$114,$F13+1)+IF(AND($E13=1,KX13=0),1000,0)),1000000))</f>
        <v/>
      </c>
      <c r="PP13">
        <f>IF($B13=0,1000000,IF(INDEX('計算A'!$D$60:$DS$104,$B13,90)*GH13=1,IF(AND($E13=2,KY13=0),1000000,INDEX('計算A'!CO$110:CO$114,$F13+1)+IF(AND($E13=1,KY13=0),1000,0)),1000000))</f>
        <v/>
      </c>
      <c r="PQ13">
        <f>IF($B13=0,1000000,IF(INDEX('計算A'!$D$60:$DS$104,$B13,91)*GI13=1,IF(AND($E13=2,KZ13=0),1000000,INDEX('計算A'!CP$110:CP$114,$F13+1)+IF(AND($E13=1,KZ13=0),1000,0)),1000000))</f>
        <v/>
      </c>
      <c r="PR13">
        <f>IF($B13=0,1000000,IF(INDEX('計算A'!$D$60:$DS$104,$B13,92)*GJ13=1,IF(AND($E13=2,LA13=0),1000000,INDEX('計算A'!CQ$110:CQ$114,$F13+1)+IF(AND($E13=1,LA13=0),1000,0)),1000000))</f>
        <v/>
      </c>
      <c r="PS13">
        <f>IF($B13=0,1000000,IF(INDEX('計算A'!$D$60:$DS$104,$B13,93)*GK13=1,IF(AND($E13=2,LB13=0),1000000,INDEX('計算A'!CR$110:CR$114,$F13+1)+IF(AND($E13=1,LB13=0),1000,0)),1000000))</f>
        <v/>
      </c>
      <c r="PT13">
        <f>IF($B13=0,1000000,IF(INDEX('計算A'!$D$60:$DS$104,$B13,94)*GL13=1,IF(AND($E13=2,LC13=0),1000000,INDEX('計算A'!CS$110:CS$114,$F13+1)+IF(AND($E13=1,LC13=0),1000,0)),1000000))</f>
        <v/>
      </c>
      <c r="PU13">
        <f>IF($B13=0,1000000,IF(INDEX('計算A'!$D$60:$DS$104,$B13,95)*GM13=1,IF(AND($E13=2,LD13=0),1000000,INDEX('計算A'!CT$110:CT$114,$F13+1)+IF(AND($E13=1,LD13=0),1000,0)),1000000))</f>
        <v/>
      </c>
      <c r="PV13">
        <f>IF($B13=0,1000000,IF(INDEX('計算A'!$D$60:$DS$104,$B13,96)*GN13=1,IF(AND($E13=2,LE13=0),1000000,INDEX('計算A'!CU$110:CU$114,$F13+1)+IF(AND($E13=1,LE13=0),1000,0)),1000000))</f>
        <v/>
      </c>
      <c r="PW13">
        <f>IF($B13=0,1000000,IF(INDEX('計算A'!$D$60:$DS$104,$B13,97)*GO13=1,IF(AND($E13=2,LF13=0),1000000,INDEX('計算A'!CV$110:CV$114,$F13+1)+IF(AND($E13=1,LF13=0),1000,0)),1000000))</f>
        <v/>
      </c>
      <c r="PX13">
        <f>IF($B13=0,1000000,IF(INDEX('計算A'!$D$60:$DS$104,$B13,98)*GP13=1,IF(AND($E13=2,LG13=0),1000000,INDEX('計算A'!CW$110:CW$114,$F13+1)+IF(AND($E13=1,LG13=0),1000,0)),1000000))</f>
        <v/>
      </c>
      <c r="PY13">
        <f>IF($B13=0,1000000,IF(INDEX('計算A'!$D$60:$DS$104,$B13,99)*GQ13=1,IF(AND($E13=2,LH13=0),1000000,INDEX('計算A'!CX$110:CX$114,$F13+1)+IF(AND($E13=1,LH13=0),1000,0)),1000000))</f>
        <v/>
      </c>
      <c r="PZ13">
        <f>IF($B13=0,1000000,IF(INDEX('計算A'!$D$60:$DS$104,$B13,100)*GR13=1,IF(AND($E13=2,LI13=0),1000000,INDEX('計算A'!CY$110:CY$114,$F13+1)+IF(AND($E13=1,LI13=0),1000,0)),1000000))</f>
        <v/>
      </c>
      <c r="QA13">
        <f>IF($B13=0,1000000,IF(INDEX('計算A'!$D$60:$DS$104,$B13,101)*GS13=1,IF(AND($E13=2,LJ13=0),1000000,INDEX('計算A'!CZ$110:CZ$114,$F13+1)+IF(AND($E13=1,LJ13=0),1000,0)),1000000))</f>
        <v/>
      </c>
      <c r="QB13">
        <f>IF($B13=0,1000000,IF(INDEX('計算A'!$D$60:$DS$104,$B13,102)*GT13=1,IF(AND($E13=2,LK13=0),1000000,INDEX('計算A'!DA$110:DA$114,$F13+1)+IF(AND($E13=1,LK13=0),1000,0)),1000000))</f>
        <v/>
      </c>
      <c r="QC13">
        <f>IF($B13=0,1000000,IF(INDEX('計算A'!$D$60:$DS$104,$B13,103)*GU13=1,IF(AND($E13=2,LL13=0),1000000,INDEX('計算A'!DB$110:DB$114,$F13+1)+IF(AND($E13=1,LL13=0),1000,0)),1000000))</f>
        <v/>
      </c>
      <c r="QD13">
        <f>IF($B13=0,1000000,IF(INDEX('計算A'!$D$60:$DS$104,$B13,104)*GV13=1,IF(AND($E13=2,LM13=0),1000000,INDEX('計算A'!DC$110:DC$114,$F13+1)+IF(AND($E13=1,LM13=0),1000,0)),1000000))</f>
        <v/>
      </c>
      <c r="QE13">
        <f>IF($B13=0,1000000,IF(INDEX('計算A'!$D$60:$DS$104,$B13,105)*GW13=1,IF(AND($E13=2,LN13=0),1000000,INDEX('計算A'!DD$110:DD$114,$F13+1)+IF(AND($E13=1,LN13=0),1000,0)),1000000))</f>
        <v/>
      </c>
      <c r="QF13">
        <f>IF($B13=0,1000000,IF(INDEX('計算A'!$D$60:$DS$104,$B13,106)*GX13=1,IF(AND($E13=2,LO13=0),1000000,INDEX('計算A'!DE$110:DE$114,$F13+1)+IF(AND($E13=1,LO13=0),1000,0)),1000000))</f>
        <v/>
      </c>
      <c r="QG13">
        <f>IF($B13=0,1000000,IF(INDEX('計算A'!$D$60:$DS$104,$B13,107)*GY13=1,IF(AND($E13=2,LP13=0),1000000,INDEX('計算A'!DF$110:DF$114,$F13+1)+IF(AND($E13=1,LP13=0),1000,0)),1000000))</f>
        <v/>
      </c>
      <c r="QH13">
        <f>IF($B13=0,1000000,IF(INDEX('計算A'!$D$60:$DS$104,$B13,108)*GZ13=1,IF(AND($E13=2,LQ13=0),1000000,INDEX('計算A'!DG$110:DG$114,$F13+1)+IF(AND($E13=1,LQ13=0),1000,0)),1000000))</f>
        <v/>
      </c>
      <c r="QI13">
        <f>IF($B13=0,1000000,IF(INDEX('計算A'!$D$60:$DS$104,$B13,109)*HA13=1,IF(AND($E13=2,LR13=0),1000000,INDEX('計算A'!DH$110:DH$114,$F13+1)+IF(AND($E13=1,LR13=0),1000,0)),1000000))</f>
        <v/>
      </c>
      <c r="QJ13">
        <f>IF($B13=0,1000000,IF(INDEX('計算A'!$D$60:$DS$104,$B13,110)*HB13=1,IF(AND($E13=2,LS13=0),1000000,INDEX('計算A'!DI$110:DI$114,$F13+1)+IF(AND($E13=1,LS13=0),1000,0)),1000000))</f>
        <v/>
      </c>
      <c r="QK13">
        <f>IF($B13=0,1000000,IF(INDEX('計算A'!$D$60:$DS$104,$B13,111)*HC13=1,IF(AND($E13=2,LT13=0),1000000,INDEX('計算A'!DJ$110:DJ$114,$F13+1)+IF(AND($E13=1,LT13=0),1000,0)),1000000))</f>
        <v/>
      </c>
      <c r="QL13">
        <f>IF($B13=0,1000000,IF(INDEX('計算A'!$D$60:$DS$104,$B13,112)*HD13=1,IF(AND($E13=2,LU13=0),1000000,INDEX('計算A'!DK$110:DK$114,$F13+1)+IF(AND($E13=1,LU13=0),1000,0)),1000000))</f>
        <v/>
      </c>
      <c r="QM13">
        <f>IF($B13=0,1000000,IF(INDEX('計算A'!$D$60:$DS$104,$B13,113)*HE13=1,IF(AND($E13=2,LV13=0),1000000,INDEX('計算A'!DL$110:DL$114,$F13+1)+IF(AND($E13=1,LV13=0),1000,0)),1000000))</f>
        <v/>
      </c>
      <c r="QN13">
        <f>IF($B13=0,1000000,IF(INDEX('計算A'!$D$60:$DS$104,$B13,114)*HF13=1,IF(AND($E13=2,LW13=0),1000000,INDEX('計算A'!DM$110:DM$114,$F13+1)+IF(AND($E13=1,LW13=0),1000,0)),1000000))</f>
        <v/>
      </c>
      <c r="QO13">
        <f>IF($B13=0,1000000,IF(INDEX('計算A'!$D$60:$DS$104,$B13,115)*HG13=1,IF(AND($E13=2,LX13=0),1000000,INDEX('計算A'!DN$110:DN$114,$F13+1)+IF(AND($E13=1,LX13=0),1000,0)),1000000))</f>
        <v/>
      </c>
      <c r="QP13">
        <f>IF($B13=0,1000000,IF(INDEX('計算A'!$D$60:$DS$104,$B13,116)*HH13=1,IF(AND($E13=2,LY13=0),1000000,INDEX('計算A'!DO$110:DO$114,$F13+1)+IF(AND($E13=1,LY13=0),1000,0)),1000000))</f>
        <v/>
      </c>
      <c r="QQ13">
        <f>IF($B13=0,1000000,IF(INDEX('計算A'!$D$60:$DS$104,$B13,117)*HI13=1,IF(AND($E13=2,LZ13=0),1000000,INDEX('計算A'!DP$110:DP$114,$F13+1)+IF(AND($E13=1,LZ13=0),1000,0)),1000000))</f>
        <v/>
      </c>
      <c r="QR13">
        <f>IF($B13=0,1000000,IF(INDEX('計算A'!$D$60:$DS$104,$B13,118)*HJ13=1,IF(AND($E13=2,MA13=0),1000000,INDEX('計算A'!DQ$110:DQ$114,$F13+1)+IF(AND($E13=1,MA13=0),1000,0)),1000000))</f>
        <v/>
      </c>
      <c r="QS13">
        <f>IF($B13=0,1000000,IF(INDEX('計算A'!$D$60:$DS$104,$B13,119)*HK13=1,IF(AND($E13=2,MB13=0),1000000,INDEX('計算A'!DR$110:DR$114,$F13+1)+IF(AND($E13=1,MB13=0),1000,0)),1000000))</f>
        <v/>
      </c>
      <c r="QT13">
        <f>IF($B13=0,1000000,IF(INDEX('計算A'!$D$60:$DS$104,$B13,120)*HL13=1,IF(AND($E13=2,MC13=0),1000000,INDEX('計算A'!DS$110:DS$114,$F13+1)+IF(AND($E13=1,MC13=0),1000,0)),1000000))</f>
        <v/>
      </c>
    </row>
    <row r="14">
      <c r="A14" t="n">
        <v>12</v>
      </c>
      <c r="B14">
        <f>IF(MIN(BC14:CU14)&gt;=1000000,0,MATCH(MIN(BC14:CU14),BC14:CU14,0))</f>
        <v/>
      </c>
      <c r="C14">
        <f>IF(MIN(ME14:QT14)&gt;=1000000,0,MATCH(MIN(ME14:QT14),ME14:QT14,0))</f>
        <v/>
      </c>
      <c r="D14">
        <f>IF(C14&gt;0,INDEX('計算A'!$D$5:$DS$5,C14),0)</f>
        <v/>
      </c>
      <c r="E14">
        <f>IF(B14=0,0,INDEX('計算A'!$EA$10:$EA$54,B14))</f>
        <v/>
      </c>
      <c r="F14">
        <f>IF(B14=0,0,INDEX('計算A'!$DZ$10:$DZ$54,B14))</f>
        <v/>
      </c>
      <c r="G14">
        <f>IF(AND(C14&gt;0,E14&gt;0),IF(AND(INDEX('計算A'!$D$106:$DS$106,C14)=1,INDEX($HN14:$MC14,C14)=1),C14+1,0),0)</f>
        <v/>
      </c>
      <c r="I14">
        <f>MAX(I13,IF($B13=1,1,0))</f>
        <v/>
      </c>
      <c r="J14">
        <f>MAX(J13,IF($B13=2,1,0))</f>
        <v/>
      </c>
      <c r="K14">
        <f>MAX(K13,IF($B13=3,1,0))</f>
        <v/>
      </c>
      <c r="L14">
        <f>MAX(L13,IF($B13=4,1,0))</f>
        <v/>
      </c>
      <c r="M14">
        <f>MAX(M13,IF($B13=5,1,0))</f>
        <v/>
      </c>
      <c r="N14">
        <f>MAX(N13,IF($B13=6,1,0))</f>
        <v/>
      </c>
      <c r="O14">
        <f>MAX(O13,IF($B13=7,1,0))</f>
        <v/>
      </c>
      <c r="P14">
        <f>MAX(P13,IF($B13=8,1,0))</f>
        <v/>
      </c>
      <c r="Q14">
        <f>MAX(Q13,IF($B13=9,1,0))</f>
        <v/>
      </c>
      <c r="R14">
        <f>MAX(R13,IF($B13=10,1,0))</f>
        <v/>
      </c>
      <c r="S14">
        <f>MAX(S13,IF($B13=11,1,0))</f>
        <v/>
      </c>
      <c r="T14">
        <f>MAX(T13,IF($B13=12,1,0))</f>
        <v/>
      </c>
      <c r="U14">
        <f>MAX(U13,IF($B13=13,1,0))</f>
        <v/>
      </c>
      <c r="V14">
        <f>MAX(V13,IF($B13=14,1,0))</f>
        <v/>
      </c>
      <c r="W14">
        <f>MAX(W13,IF($B13=15,1,0))</f>
        <v/>
      </c>
      <c r="X14">
        <f>MAX(X13,IF($B13=16,1,0))</f>
        <v/>
      </c>
      <c r="Y14">
        <f>MAX(Y13,IF($B13=17,1,0))</f>
        <v/>
      </c>
      <c r="Z14">
        <f>MAX(Z13,IF($B13=18,1,0))</f>
        <v/>
      </c>
      <c r="AA14">
        <f>MAX(AA13,IF($B13=19,1,0))</f>
        <v/>
      </c>
      <c r="AB14">
        <f>MAX(AB13,IF($B13=20,1,0))</f>
        <v/>
      </c>
      <c r="AC14">
        <f>MAX(AC13,IF($B13=21,1,0))</f>
        <v/>
      </c>
      <c r="AD14">
        <f>MAX(AD13,IF($B13=22,1,0))</f>
        <v/>
      </c>
      <c r="AE14">
        <f>MAX(AE13,IF($B13=23,1,0))</f>
        <v/>
      </c>
      <c r="AF14">
        <f>MAX(AF13,IF($B13=24,1,0))</f>
        <v/>
      </c>
      <c r="AG14">
        <f>MAX(AG13,IF($B13=25,1,0))</f>
        <v/>
      </c>
      <c r="AH14">
        <f>MAX(AH13,IF($B13=26,1,0))</f>
        <v/>
      </c>
      <c r="AI14">
        <f>MAX(AI13,IF($B13=27,1,0))</f>
        <v/>
      </c>
      <c r="AJ14">
        <f>MAX(AJ13,IF($B13=28,1,0))</f>
        <v/>
      </c>
      <c r="AK14">
        <f>MAX(AK13,IF($B13=29,1,0))</f>
        <v/>
      </c>
      <c r="AL14">
        <f>MAX(AL13,IF($B13=30,1,0))</f>
        <v/>
      </c>
      <c r="AM14">
        <f>MAX(AM13,IF($B13=31,1,0))</f>
        <v/>
      </c>
      <c r="AN14">
        <f>MAX(AN13,IF($B13=32,1,0))</f>
        <v/>
      </c>
      <c r="AO14">
        <f>MAX(AO13,IF($B13=33,1,0))</f>
        <v/>
      </c>
      <c r="AP14">
        <f>MAX(AP13,IF($B13=34,1,0))</f>
        <v/>
      </c>
      <c r="AQ14">
        <f>MAX(AQ13,IF($B13=35,1,0))</f>
        <v/>
      </c>
      <c r="AR14">
        <f>MAX(AR13,IF($B13=36,1,0))</f>
        <v/>
      </c>
      <c r="AS14">
        <f>MAX(AS13,IF($B13=37,1,0))</f>
        <v/>
      </c>
      <c r="AT14">
        <f>MAX(AT13,IF($B13=38,1,0))</f>
        <v/>
      </c>
      <c r="AU14">
        <f>MAX(AU13,IF($B13=39,1,0))</f>
        <v/>
      </c>
      <c r="AV14">
        <f>MAX(AV13,IF($B13=40,1,0))</f>
        <v/>
      </c>
      <c r="AW14">
        <f>MAX(AW13,IF($B13=41,1,0))</f>
        <v/>
      </c>
      <c r="AX14">
        <f>MAX(AX13,IF($B13=42,1,0))</f>
        <v/>
      </c>
      <c r="AY14">
        <f>MAX(AY13,IF($B13=43,1,0))</f>
        <v/>
      </c>
      <c r="AZ14">
        <f>MAX(AZ13,IF($B13=44,1,0))</f>
        <v/>
      </c>
      <c r="BA14">
        <f>MAX(BA13,IF($B13=45,1,0))</f>
        <v/>
      </c>
      <c r="BC14">
        <f>IF(I14=1,1000000,IF('計算A'!$EA$10=2,SUMPRODUCT('計算A'!$D$60:$DS$60,$CW14:$HL14,$HN14:$MC14),SUMPRODUCT('計算A'!$D$60:$DS$60,$CW14:$HL14))*1000+1)</f>
        <v/>
      </c>
      <c r="BD14">
        <f>IF(J14=1,1000000,IF('計算A'!$EA$11=2,SUMPRODUCT('計算A'!$D$61:$DS$61,$CW14:$HL14,$HN14:$MC14),SUMPRODUCT('計算A'!$D$61:$DS$61,$CW14:$HL14))*1000+2)</f>
        <v/>
      </c>
      <c r="BE14">
        <f>IF(K14=1,1000000,IF('計算A'!$EA$12=2,SUMPRODUCT('計算A'!$D$62:$DS$62,$CW14:$HL14,$HN14:$MC14),SUMPRODUCT('計算A'!$D$62:$DS$62,$CW14:$HL14))*1000+3)</f>
        <v/>
      </c>
      <c r="BF14">
        <f>IF(L14=1,1000000,IF('計算A'!$EA$13=2,SUMPRODUCT('計算A'!$D$63:$DS$63,$CW14:$HL14,$HN14:$MC14),SUMPRODUCT('計算A'!$D$63:$DS$63,$CW14:$HL14))*1000+4)</f>
        <v/>
      </c>
      <c r="BG14">
        <f>IF(M14=1,1000000,IF('計算A'!$EA$14=2,SUMPRODUCT('計算A'!$D$64:$DS$64,$CW14:$HL14,$HN14:$MC14),SUMPRODUCT('計算A'!$D$64:$DS$64,$CW14:$HL14))*1000+5)</f>
        <v/>
      </c>
      <c r="BH14">
        <f>IF(N14=1,1000000,IF('計算A'!$EA$15=2,SUMPRODUCT('計算A'!$D$65:$DS$65,$CW14:$HL14,$HN14:$MC14),SUMPRODUCT('計算A'!$D$65:$DS$65,$CW14:$HL14))*1000+6)</f>
        <v/>
      </c>
      <c r="BI14">
        <f>IF(O14=1,1000000,IF('計算A'!$EA$16=2,SUMPRODUCT('計算A'!$D$66:$DS$66,$CW14:$HL14,$HN14:$MC14),SUMPRODUCT('計算A'!$D$66:$DS$66,$CW14:$HL14))*1000+7)</f>
        <v/>
      </c>
      <c r="BJ14">
        <f>IF(P14=1,1000000,IF('計算A'!$EA$17=2,SUMPRODUCT('計算A'!$D$67:$DS$67,$CW14:$HL14,$HN14:$MC14),SUMPRODUCT('計算A'!$D$67:$DS$67,$CW14:$HL14))*1000+8)</f>
        <v/>
      </c>
      <c r="BK14">
        <f>IF(Q14=1,1000000,IF('計算A'!$EA$18=2,SUMPRODUCT('計算A'!$D$68:$DS$68,$CW14:$HL14,$HN14:$MC14),SUMPRODUCT('計算A'!$D$68:$DS$68,$CW14:$HL14))*1000+9)</f>
        <v/>
      </c>
      <c r="BL14">
        <f>IF(R14=1,1000000,IF('計算A'!$EA$19=2,SUMPRODUCT('計算A'!$D$69:$DS$69,$CW14:$HL14,$HN14:$MC14),SUMPRODUCT('計算A'!$D$69:$DS$69,$CW14:$HL14))*1000+10)</f>
        <v/>
      </c>
      <c r="BM14">
        <f>IF(S14=1,1000000,IF('計算A'!$EA$20=2,SUMPRODUCT('計算A'!$D$70:$DS$70,$CW14:$HL14,$HN14:$MC14),SUMPRODUCT('計算A'!$D$70:$DS$70,$CW14:$HL14))*1000+11)</f>
        <v/>
      </c>
      <c r="BN14">
        <f>IF(T14=1,1000000,IF('計算A'!$EA$21=2,SUMPRODUCT('計算A'!$D$71:$DS$71,$CW14:$HL14,$HN14:$MC14),SUMPRODUCT('計算A'!$D$71:$DS$71,$CW14:$HL14))*1000+12)</f>
        <v/>
      </c>
      <c r="BO14">
        <f>IF(U14=1,1000000,IF('計算A'!$EA$22=2,SUMPRODUCT('計算A'!$D$72:$DS$72,$CW14:$HL14,$HN14:$MC14),SUMPRODUCT('計算A'!$D$72:$DS$72,$CW14:$HL14))*1000+13)</f>
        <v/>
      </c>
      <c r="BP14">
        <f>IF(V14=1,1000000,IF('計算A'!$EA$23=2,SUMPRODUCT('計算A'!$D$73:$DS$73,$CW14:$HL14,$HN14:$MC14),SUMPRODUCT('計算A'!$D$73:$DS$73,$CW14:$HL14))*1000+14)</f>
        <v/>
      </c>
      <c r="BQ14">
        <f>IF(W14=1,1000000,IF('計算A'!$EA$24=2,SUMPRODUCT('計算A'!$D$74:$DS$74,$CW14:$HL14,$HN14:$MC14),SUMPRODUCT('計算A'!$D$74:$DS$74,$CW14:$HL14))*1000+15)</f>
        <v/>
      </c>
      <c r="BR14">
        <f>IF(X14=1,1000000,IF('計算A'!$EA$25=2,SUMPRODUCT('計算A'!$D$75:$DS$75,$CW14:$HL14,$HN14:$MC14),SUMPRODUCT('計算A'!$D$75:$DS$75,$CW14:$HL14))*1000+16)</f>
        <v/>
      </c>
      <c r="BS14">
        <f>IF(Y14=1,1000000,IF('計算A'!$EA$26=2,SUMPRODUCT('計算A'!$D$76:$DS$76,$CW14:$HL14,$HN14:$MC14),SUMPRODUCT('計算A'!$D$76:$DS$76,$CW14:$HL14))*1000+17)</f>
        <v/>
      </c>
      <c r="BT14">
        <f>IF(Z14=1,1000000,IF('計算A'!$EA$27=2,SUMPRODUCT('計算A'!$D$77:$DS$77,$CW14:$HL14,$HN14:$MC14),SUMPRODUCT('計算A'!$D$77:$DS$77,$CW14:$HL14))*1000+18)</f>
        <v/>
      </c>
      <c r="BU14">
        <f>IF(AA14=1,1000000,IF('計算A'!$EA$28=2,SUMPRODUCT('計算A'!$D$78:$DS$78,$CW14:$HL14,$HN14:$MC14),SUMPRODUCT('計算A'!$D$78:$DS$78,$CW14:$HL14))*1000+19)</f>
        <v/>
      </c>
      <c r="BV14">
        <f>IF(AB14=1,1000000,IF('計算A'!$EA$29=2,SUMPRODUCT('計算A'!$D$79:$DS$79,$CW14:$HL14,$HN14:$MC14),SUMPRODUCT('計算A'!$D$79:$DS$79,$CW14:$HL14))*1000+20)</f>
        <v/>
      </c>
      <c r="BW14">
        <f>IF(AC14=1,1000000,IF('計算A'!$EA$30=2,SUMPRODUCT('計算A'!$D$80:$DS$80,$CW14:$HL14,$HN14:$MC14),SUMPRODUCT('計算A'!$D$80:$DS$80,$CW14:$HL14))*1000+21)</f>
        <v/>
      </c>
      <c r="BX14">
        <f>IF(AD14=1,1000000,IF('計算A'!$EA$31=2,SUMPRODUCT('計算A'!$D$81:$DS$81,$CW14:$HL14,$HN14:$MC14),SUMPRODUCT('計算A'!$D$81:$DS$81,$CW14:$HL14))*1000+22)</f>
        <v/>
      </c>
      <c r="BY14">
        <f>IF(AE14=1,1000000,IF('計算A'!$EA$32=2,SUMPRODUCT('計算A'!$D$82:$DS$82,$CW14:$HL14,$HN14:$MC14),SUMPRODUCT('計算A'!$D$82:$DS$82,$CW14:$HL14))*1000+23)</f>
        <v/>
      </c>
      <c r="BZ14">
        <f>IF(AF14=1,1000000,IF('計算A'!$EA$33=2,SUMPRODUCT('計算A'!$D$83:$DS$83,$CW14:$HL14,$HN14:$MC14),SUMPRODUCT('計算A'!$D$83:$DS$83,$CW14:$HL14))*1000+24)</f>
        <v/>
      </c>
      <c r="CA14">
        <f>IF(AG14=1,1000000,IF('計算A'!$EA$34=2,SUMPRODUCT('計算A'!$D$84:$DS$84,$CW14:$HL14,$HN14:$MC14),SUMPRODUCT('計算A'!$D$84:$DS$84,$CW14:$HL14))*1000+25)</f>
        <v/>
      </c>
      <c r="CB14">
        <f>IF(AH14=1,1000000,IF('計算A'!$EA$35=2,SUMPRODUCT('計算A'!$D$85:$DS$85,$CW14:$HL14,$HN14:$MC14),SUMPRODUCT('計算A'!$D$85:$DS$85,$CW14:$HL14))*1000+26)</f>
        <v/>
      </c>
      <c r="CC14">
        <f>IF(AI14=1,1000000,IF('計算A'!$EA$36=2,SUMPRODUCT('計算A'!$D$86:$DS$86,$CW14:$HL14,$HN14:$MC14),SUMPRODUCT('計算A'!$D$86:$DS$86,$CW14:$HL14))*1000+27)</f>
        <v/>
      </c>
      <c r="CD14">
        <f>IF(AJ14=1,1000000,IF('計算A'!$EA$37=2,SUMPRODUCT('計算A'!$D$87:$DS$87,$CW14:$HL14,$HN14:$MC14),SUMPRODUCT('計算A'!$D$87:$DS$87,$CW14:$HL14))*1000+28)</f>
        <v/>
      </c>
      <c r="CE14">
        <f>IF(AK14=1,1000000,IF('計算A'!$EA$38=2,SUMPRODUCT('計算A'!$D$88:$DS$88,$CW14:$HL14,$HN14:$MC14),SUMPRODUCT('計算A'!$D$88:$DS$88,$CW14:$HL14))*1000+29)</f>
        <v/>
      </c>
      <c r="CF14">
        <f>IF(AL14=1,1000000,IF('計算A'!$EA$39=2,SUMPRODUCT('計算A'!$D$89:$DS$89,$CW14:$HL14,$HN14:$MC14),SUMPRODUCT('計算A'!$D$89:$DS$89,$CW14:$HL14))*1000+30)</f>
        <v/>
      </c>
      <c r="CG14">
        <f>IF(AM14=1,1000000,IF('計算A'!$EA$40=2,SUMPRODUCT('計算A'!$D$90:$DS$90,$CW14:$HL14,$HN14:$MC14),SUMPRODUCT('計算A'!$D$90:$DS$90,$CW14:$HL14))*1000+31)</f>
        <v/>
      </c>
      <c r="CH14">
        <f>IF(AN14=1,1000000,IF('計算A'!$EA$41=2,SUMPRODUCT('計算A'!$D$91:$DS$91,$CW14:$HL14,$HN14:$MC14),SUMPRODUCT('計算A'!$D$91:$DS$91,$CW14:$HL14))*1000+32)</f>
        <v/>
      </c>
      <c r="CI14">
        <f>IF(AO14=1,1000000,IF('計算A'!$EA$42=2,SUMPRODUCT('計算A'!$D$92:$DS$92,$CW14:$HL14,$HN14:$MC14),SUMPRODUCT('計算A'!$D$92:$DS$92,$CW14:$HL14))*1000+33)</f>
        <v/>
      </c>
      <c r="CJ14">
        <f>IF(AP14=1,1000000,IF('計算A'!$EA$43=2,SUMPRODUCT('計算A'!$D$93:$DS$93,$CW14:$HL14,$HN14:$MC14),SUMPRODUCT('計算A'!$D$93:$DS$93,$CW14:$HL14))*1000+34)</f>
        <v/>
      </c>
      <c r="CK14">
        <f>IF(AQ14=1,1000000,IF('計算A'!$EA$44=2,SUMPRODUCT('計算A'!$D$94:$DS$94,$CW14:$HL14,$HN14:$MC14),SUMPRODUCT('計算A'!$D$94:$DS$94,$CW14:$HL14))*1000+35)</f>
        <v/>
      </c>
      <c r="CL14">
        <f>IF(AR14=1,1000000,IF('計算A'!$EA$45=2,SUMPRODUCT('計算A'!$D$95:$DS$95,$CW14:$HL14,$HN14:$MC14),SUMPRODUCT('計算A'!$D$95:$DS$95,$CW14:$HL14))*1000+36)</f>
        <v/>
      </c>
      <c r="CM14">
        <f>IF(AS14=1,1000000,IF('計算A'!$EA$46=2,SUMPRODUCT('計算A'!$D$96:$DS$96,$CW14:$HL14,$HN14:$MC14),SUMPRODUCT('計算A'!$D$96:$DS$96,$CW14:$HL14))*1000+37)</f>
        <v/>
      </c>
      <c r="CN14">
        <f>IF(AT14=1,1000000,IF('計算A'!$EA$47=2,SUMPRODUCT('計算A'!$D$97:$DS$97,$CW14:$HL14,$HN14:$MC14),SUMPRODUCT('計算A'!$D$97:$DS$97,$CW14:$HL14))*1000+38)</f>
        <v/>
      </c>
      <c r="CO14">
        <f>IF(AU14=1,1000000,IF('計算A'!$EA$48=2,SUMPRODUCT('計算A'!$D$98:$DS$98,$CW14:$HL14,$HN14:$MC14),SUMPRODUCT('計算A'!$D$98:$DS$98,$CW14:$HL14))*1000+39)</f>
        <v/>
      </c>
      <c r="CP14">
        <f>IF(AV14=1,1000000,IF('計算A'!$EA$49=2,SUMPRODUCT('計算A'!$D$99:$DS$99,$CW14:$HL14,$HN14:$MC14),SUMPRODUCT('計算A'!$D$99:$DS$99,$CW14:$HL14))*1000+40)</f>
        <v/>
      </c>
      <c r="CQ14">
        <f>IF(AW14=1,1000000,IF('計算A'!$EA$50=2,SUMPRODUCT('計算A'!$D$100:$DS$100,$CW14:$HL14,$HN14:$MC14),SUMPRODUCT('計算A'!$D$100:$DS$100,$CW14:$HL14))*1000+41)</f>
        <v/>
      </c>
      <c r="CR14">
        <f>IF(AX14=1,1000000,IF('計算A'!$EA$51=2,SUMPRODUCT('計算A'!$D$101:$DS$101,$CW14:$HL14,$HN14:$MC14),SUMPRODUCT('計算A'!$D$101:$DS$101,$CW14:$HL14))*1000+42)</f>
        <v/>
      </c>
      <c r="CS14">
        <f>IF(AY14=1,1000000,IF('計算A'!$EA$52=2,SUMPRODUCT('計算A'!$D$102:$DS$102,$CW14:$HL14,$HN14:$MC14),SUMPRODUCT('計算A'!$D$102:$DS$102,$CW14:$HL14))*1000+43)</f>
        <v/>
      </c>
      <c r="CT14">
        <f>IF(AZ14=1,1000000,IF('計算A'!$EA$53=2,SUMPRODUCT('計算A'!$D$103:$DS$103,$CW14:$HL14,$HN14:$MC14),SUMPRODUCT('計算A'!$D$103:$DS$103,$CW14:$HL14))*1000+44)</f>
        <v/>
      </c>
      <c r="CU14">
        <f>IF(BA14=1,1000000,IF('計算A'!$EA$54=2,SUMPRODUCT('計算A'!$D$104:$DS$104,$CW14:$HL14,$HN14:$MC14),SUMPRODUCT('計算A'!$D$104:$DS$104,$CW14:$HL14))*1000+45)</f>
        <v/>
      </c>
      <c r="CW14">
        <f>CW13*IF(OR($C13=1,$G13=1),0,1)</f>
        <v/>
      </c>
      <c r="CX14">
        <f>CX13*IF(OR($C13=2,$G13=2),0,1)</f>
        <v/>
      </c>
      <c r="CY14">
        <f>CY13*IF(OR($C13=3,$G13=3),0,1)</f>
        <v/>
      </c>
      <c r="CZ14">
        <f>CZ13*IF(OR($C13=4,$G13=4),0,1)</f>
        <v/>
      </c>
      <c r="DA14">
        <f>DA13*IF(OR($C13=5,$G13=5),0,1)</f>
        <v/>
      </c>
      <c r="DB14">
        <f>DB13*IF(OR($C13=6,$G13=6),0,1)</f>
        <v/>
      </c>
      <c r="DC14">
        <f>DC13*IF(OR($C13=7,$G13=7),0,1)</f>
        <v/>
      </c>
      <c r="DD14">
        <f>DD13*IF(OR($C13=8,$G13=8),0,1)</f>
        <v/>
      </c>
      <c r="DE14">
        <f>DE13*IF(OR($C13=9,$G13=9),0,1)</f>
        <v/>
      </c>
      <c r="DF14">
        <f>DF13*IF(OR($C13=10,$G13=10),0,1)</f>
        <v/>
      </c>
      <c r="DG14">
        <f>DG13*IF(OR($C13=11,$G13=11),0,1)</f>
        <v/>
      </c>
      <c r="DH14">
        <f>DH13*IF(OR($C13=12,$G13=12),0,1)</f>
        <v/>
      </c>
      <c r="DI14">
        <f>DI13*IF(OR($C13=13,$G13=13),0,1)</f>
        <v/>
      </c>
      <c r="DJ14">
        <f>DJ13*IF(OR($C13=14,$G13=14),0,1)</f>
        <v/>
      </c>
      <c r="DK14">
        <f>DK13*IF(OR($C13=15,$G13=15),0,1)</f>
        <v/>
      </c>
      <c r="DL14">
        <f>DL13*IF(OR($C13=16,$G13=16),0,1)</f>
        <v/>
      </c>
      <c r="DM14">
        <f>DM13*IF(OR($C13=17,$G13=17),0,1)</f>
        <v/>
      </c>
      <c r="DN14">
        <f>DN13*IF(OR($C13=18,$G13=18),0,1)</f>
        <v/>
      </c>
      <c r="DO14">
        <f>DO13*IF(OR($C13=19,$G13=19),0,1)</f>
        <v/>
      </c>
      <c r="DP14">
        <f>DP13*IF(OR($C13=20,$G13=20),0,1)</f>
        <v/>
      </c>
      <c r="DQ14">
        <f>DQ13*IF(OR($C13=21,$G13=21),0,1)</f>
        <v/>
      </c>
      <c r="DR14">
        <f>DR13*IF(OR($C13=22,$G13=22),0,1)</f>
        <v/>
      </c>
      <c r="DS14">
        <f>DS13*IF(OR($C13=23,$G13=23),0,1)</f>
        <v/>
      </c>
      <c r="DT14">
        <f>DT13*IF(OR($C13=24,$G13=24),0,1)</f>
        <v/>
      </c>
      <c r="DU14">
        <f>DU13*IF(OR($C13=25,$G13=25),0,1)</f>
        <v/>
      </c>
      <c r="DV14">
        <f>DV13*IF(OR($C13=26,$G13=26),0,1)</f>
        <v/>
      </c>
      <c r="DW14">
        <f>DW13*IF(OR($C13=27,$G13=27),0,1)</f>
        <v/>
      </c>
      <c r="DX14">
        <f>DX13*IF(OR($C13=28,$G13=28),0,1)</f>
        <v/>
      </c>
      <c r="DY14">
        <f>DY13*IF(OR($C13=29,$G13=29),0,1)</f>
        <v/>
      </c>
      <c r="DZ14">
        <f>DZ13*IF(OR($C13=30,$G13=30),0,1)</f>
        <v/>
      </c>
      <c r="EA14">
        <f>EA13*IF(OR($C13=31,$G13=31),0,1)</f>
        <v/>
      </c>
      <c r="EB14">
        <f>EB13*IF(OR($C13=32,$G13=32),0,1)</f>
        <v/>
      </c>
      <c r="EC14">
        <f>EC13*IF(OR($C13=33,$G13=33),0,1)</f>
        <v/>
      </c>
      <c r="ED14">
        <f>ED13*IF(OR($C13=34,$G13=34),0,1)</f>
        <v/>
      </c>
      <c r="EE14">
        <f>EE13*IF(OR($C13=35,$G13=35),0,1)</f>
        <v/>
      </c>
      <c r="EF14">
        <f>EF13*IF(OR($C13=36,$G13=36),0,1)</f>
        <v/>
      </c>
      <c r="EG14">
        <f>EG13*IF(OR($C13=37,$G13=37),0,1)</f>
        <v/>
      </c>
      <c r="EH14">
        <f>EH13*IF(OR($C13=38,$G13=38),0,1)</f>
        <v/>
      </c>
      <c r="EI14">
        <f>EI13*IF(OR($C13=39,$G13=39),0,1)</f>
        <v/>
      </c>
      <c r="EJ14">
        <f>EJ13*IF(OR($C13=40,$G13=40),0,1)</f>
        <v/>
      </c>
      <c r="EK14">
        <f>EK13*IF(OR($C13=41,$G13=41),0,1)</f>
        <v/>
      </c>
      <c r="EL14">
        <f>EL13*IF(OR($C13=42,$G13=42),0,1)</f>
        <v/>
      </c>
      <c r="EM14">
        <f>EM13*IF(OR($C13=43,$G13=43),0,1)</f>
        <v/>
      </c>
      <c r="EN14">
        <f>EN13*IF(OR($C13=44,$G13=44),0,1)</f>
        <v/>
      </c>
      <c r="EO14">
        <f>EO13*IF(OR($C13=45,$G13=45),0,1)</f>
        <v/>
      </c>
      <c r="EP14">
        <f>EP13*IF(OR($C13=46,$G13=46),0,1)</f>
        <v/>
      </c>
      <c r="EQ14">
        <f>EQ13*IF(OR($C13=47,$G13=47),0,1)</f>
        <v/>
      </c>
      <c r="ER14">
        <f>ER13*IF(OR($C13=48,$G13=48),0,1)</f>
        <v/>
      </c>
      <c r="ES14">
        <f>ES13*IF(OR($C13=49,$G13=49),0,1)</f>
        <v/>
      </c>
      <c r="ET14">
        <f>ET13*IF(OR($C13=50,$G13=50),0,1)</f>
        <v/>
      </c>
      <c r="EU14">
        <f>EU13*IF(OR($C13=51,$G13=51),0,1)</f>
        <v/>
      </c>
      <c r="EV14">
        <f>EV13*IF(OR($C13=52,$G13=52),0,1)</f>
        <v/>
      </c>
      <c r="EW14">
        <f>EW13*IF(OR($C13=53,$G13=53),0,1)</f>
        <v/>
      </c>
      <c r="EX14">
        <f>EX13*IF(OR($C13=54,$G13=54),0,1)</f>
        <v/>
      </c>
      <c r="EY14">
        <f>EY13*IF(OR($C13=55,$G13=55),0,1)</f>
        <v/>
      </c>
      <c r="EZ14">
        <f>EZ13*IF(OR($C13=56,$G13=56),0,1)</f>
        <v/>
      </c>
      <c r="FA14">
        <f>FA13*IF(OR($C13=57,$G13=57),0,1)</f>
        <v/>
      </c>
      <c r="FB14">
        <f>FB13*IF(OR($C13=58,$G13=58),0,1)</f>
        <v/>
      </c>
      <c r="FC14">
        <f>FC13*IF(OR($C13=59,$G13=59),0,1)</f>
        <v/>
      </c>
      <c r="FD14">
        <f>FD13*IF(OR($C13=60,$G13=60),0,1)</f>
        <v/>
      </c>
      <c r="FE14">
        <f>FE13*IF(OR($C13=61,$G13=61),0,1)</f>
        <v/>
      </c>
      <c r="FF14">
        <f>FF13*IF(OR($C13=62,$G13=62),0,1)</f>
        <v/>
      </c>
      <c r="FG14">
        <f>FG13*IF(OR($C13=63,$G13=63),0,1)</f>
        <v/>
      </c>
      <c r="FH14">
        <f>FH13*IF(OR($C13=64,$G13=64),0,1)</f>
        <v/>
      </c>
      <c r="FI14">
        <f>FI13*IF(OR($C13=65,$G13=65),0,1)</f>
        <v/>
      </c>
      <c r="FJ14">
        <f>FJ13*IF(OR($C13=66,$G13=66),0,1)</f>
        <v/>
      </c>
      <c r="FK14">
        <f>FK13*IF(OR($C13=67,$G13=67),0,1)</f>
        <v/>
      </c>
      <c r="FL14">
        <f>FL13*IF(OR($C13=68,$G13=68),0,1)</f>
        <v/>
      </c>
      <c r="FM14">
        <f>FM13*IF(OR($C13=69,$G13=69),0,1)</f>
        <v/>
      </c>
      <c r="FN14">
        <f>FN13*IF(OR($C13=70,$G13=70),0,1)</f>
        <v/>
      </c>
      <c r="FO14">
        <f>FO13*IF(OR($C13=71,$G13=71),0,1)</f>
        <v/>
      </c>
      <c r="FP14">
        <f>FP13*IF(OR($C13=72,$G13=72),0,1)</f>
        <v/>
      </c>
      <c r="FQ14">
        <f>FQ13*IF(OR($C13=73,$G13=73),0,1)</f>
        <v/>
      </c>
      <c r="FR14">
        <f>FR13*IF(OR($C13=74,$G13=74),0,1)</f>
        <v/>
      </c>
      <c r="FS14">
        <f>FS13*IF(OR($C13=75,$G13=75),0,1)</f>
        <v/>
      </c>
      <c r="FT14">
        <f>FT13*IF(OR($C13=76,$G13=76),0,1)</f>
        <v/>
      </c>
      <c r="FU14">
        <f>FU13*IF(OR($C13=77,$G13=77),0,1)</f>
        <v/>
      </c>
      <c r="FV14">
        <f>FV13*IF(OR($C13=78,$G13=78),0,1)</f>
        <v/>
      </c>
      <c r="FW14">
        <f>FW13*IF(OR($C13=79,$G13=79),0,1)</f>
        <v/>
      </c>
      <c r="FX14">
        <f>FX13*IF(OR($C13=80,$G13=80),0,1)</f>
        <v/>
      </c>
      <c r="FY14">
        <f>FY13*IF(OR($C13=81,$G13=81),0,1)</f>
        <v/>
      </c>
      <c r="FZ14">
        <f>FZ13*IF(OR($C13=82,$G13=82),0,1)</f>
        <v/>
      </c>
      <c r="GA14">
        <f>GA13*IF(OR($C13=83,$G13=83),0,1)</f>
        <v/>
      </c>
      <c r="GB14">
        <f>GB13*IF(OR($C13=84,$G13=84),0,1)</f>
        <v/>
      </c>
      <c r="GC14">
        <f>GC13*IF(OR($C13=85,$G13=85),0,1)</f>
        <v/>
      </c>
      <c r="GD14">
        <f>GD13*IF(OR($C13=86,$G13=86),0,1)</f>
        <v/>
      </c>
      <c r="GE14">
        <f>GE13*IF(OR($C13=87,$G13=87),0,1)</f>
        <v/>
      </c>
      <c r="GF14">
        <f>GF13*IF(OR($C13=88,$G13=88),0,1)</f>
        <v/>
      </c>
      <c r="GG14">
        <f>GG13*IF(OR($C13=89,$G13=89),0,1)</f>
        <v/>
      </c>
      <c r="GH14">
        <f>GH13*IF(OR($C13=90,$G13=90),0,1)</f>
        <v/>
      </c>
      <c r="GI14">
        <f>GI13*IF(OR($C13=91,$G13=91),0,1)</f>
        <v/>
      </c>
      <c r="GJ14">
        <f>GJ13*IF(OR($C13=92,$G13=92),0,1)</f>
        <v/>
      </c>
      <c r="GK14">
        <f>GK13*IF(OR($C13=93,$G13=93),0,1)</f>
        <v/>
      </c>
      <c r="GL14">
        <f>GL13*IF(OR($C13=94,$G13=94),0,1)</f>
        <v/>
      </c>
      <c r="GM14">
        <f>GM13*IF(OR($C13=95,$G13=95),0,1)</f>
        <v/>
      </c>
      <c r="GN14">
        <f>GN13*IF(OR($C13=96,$G13=96),0,1)</f>
        <v/>
      </c>
      <c r="GO14">
        <f>GO13*IF(OR($C13=97,$G13=97),0,1)</f>
        <v/>
      </c>
      <c r="GP14">
        <f>GP13*IF(OR($C13=98,$G13=98),0,1)</f>
        <v/>
      </c>
      <c r="GQ14">
        <f>GQ13*IF(OR($C13=99,$G13=99),0,1)</f>
        <v/>
      </c>
      <c r="GR14">
        <f>GR13*IF(OR($C13=100,$G13=100),0,1)</f>
        <v/>
      </c>
      <c r="GS14">
        <f>GS13*IF(OR($C13=101,$G13=101),0,1)</f>
        <v/>
      </c>
      <c r="GT14">
        <f>GT13*IF(OR($C13=102,$G13=102),0,1)</f>
        <v/>
      </c>
      <c r="GU14">
        <f>GU13*IF(OR($C13=103,$G13=103),0,1)</f>
        <v/>
      </c>
      <c r="GV14">
        <f>GV13*IF(OR($C13=104,$G13=104),0,1)</f>
        <v/>
      </c>
      <c r="GW14">
        <f>GW13*IF(OR($C13=105,$G13=105),0,1)</f>
        <v/>
      </c>
      <c r="GX14">
        <f>GX13*IF(OR($C13=106,$G13=106),0,1)</f>
        <v/>
      </c>
      <c r="GY14">
        <f>GY13*IF(OR($C13=107,$G13=107),0,1)</f>
        <v/>
      </c>
      <c r="GZ14">
        <f>GZ13*IF(OR($C13=108,$G13=108),0,1)</f>
        <v/>
      </c>
      <c r="HA14">
        <f>HA13*IF(OR($C13=109,$G13=109),0,1)</f>
        <v/>
      </c>
      <c r="HB14">
        <f>HB13*IF(OR($C13=110,$G13=110),0,1)</f>
        <v/>
      </c>
      <c r="HC14">
        <f>HC13*IF(OR($C13=111,$G13=111),0,1)</f>
        <v/>
      </c>
      <c r="HD14">
        <f>HD13*IF(OR($C13=112,$G13=112),0,1)</f>
        <v/>
      </c>
      <c r="HE14">
        <f>HE13*IF(OR($C13=113,$G13=113),0,1)</f>
        <v/>
      </c>
      <c r="HF14">
        <f>HF13*IF(OR($C13=114,$G13=114),0,1)</f>
        <v/>
      </c>
      <c r="HG14">
        <f>HG13*IF(OR($C13=115,$G13=115),0,1)</f>
        <v/>
      </c>
      <c r="HH14">
        <f>HH13*IF(OR($C13=116,$G13=116),0,1)</f>
        <v/>
      </c>
      <c r="HI14">
        <f>HI13*IF(OR($C13=117,$G13=117),0,1)</f>
        <v/>
      </c>
      <c r="HJ14">
        <f>HJ13*IF(OR($C13=118,$G13=118),0,1)</f>
        <v/>
      </c>
      <c r="HK14">
        <f>HK13*IF(OR($C13=119,$G13=119),0,1)</f>
        <v/>
      </c>
      <c r="HL14">
        <f>HL13*IF(OR($C13=120,$G13=120),0,1)</f>
        <v/>
      </c>
      <c r="HN14">
        <f>IF('計算A'!D$106=1,CX14,1)</f>
        <v/>
      </c>
      <c r="HO14">
        <f>IF('計算A'!E$106=1,CY14,1)</f>
        <v/>
      </c>
      <c r="HP14">
        <f>IF('計算A'!F$106=1,CZ14,1)</f>
        <v/>
      </c>
      <c r="HQ14">
        <f>IF('計算A'!G$106=1,DA14,1)</f>
        <v/>
      </c>
      <c r="HR14">
        <f>IF('計算A'!H$106=1,DB14,1)</f>
        <v/>
      </c>
      <c r="HS14">
        <f>IF('計算A'!I$106=1,DC14,1)</f>
        <v/>
      </c>
      <c r="HT14">
        <f>IF('計算A'!J$106=1,DD14,1)</f>
        <v/>
      </c>
      <c r="HU14">
        <f>IF('計算A'!K$106=1,DE14,1)</f>
        <v/>
      </c>
      <c r="HV14">
        <f>IF('計算A'!L$106=1,DF14,1)</f>
        <v/>
      </c>
      <c r="HW14">
        <f>IF('計算A'!M$106=1,DG14,1)</f>
        <v/>
      </c>
      <c r="HX14">
        <f>IF('計算A'!N$106=1,DH14,1)</f>
        <v/>
      </c>
      <c r="HY14">
        <f>IF('計算A'!O$106=1,DI14,1)</f>
        <v/>
      </c>
      <c r="HZ14">
        <f>IF('計算A'!P$106=1,DJ14,1)</f>
        <v/>
      </c>
      <c r="IA14">
        <f>IF('計算A'!Q$106=1,DK14,1)</f>
        <v/>
      </c>
      <c r="IB14">
        <f>IF('計算A'!R$106=1,DL14,1)</f>
        <v/>
      </c>
      <c r="IC14">
        <f>IF('計算A'!S$106=1,DM14,1)</f>
        <v/>
      </c>
      <c r="ID14">
        <f>IF('計算A'!T$106=1,DN14,1)</f>
        <v/>
      </c>
      <c r="IE14">
        <f>IF('計算A'!U$106=1,DO14,1)</f>
        <v/>
      </c>
      <c r="IF14">
        <f>IF('計算A'!V$106=1,DP14,1)</f>
        <v/>
      </c>
      <c r="IG14">
        <f>IF('計算A'!W$106=1,DQ14,1)</f>
        <v/>
      </c>
      <c r="IH14">
        <f>IF('計算A'!X$106=1,DR14,1)</f>
        <v/>
      </c>
      <c r="II14">
        <f>IF('計算A'!Y$106=1,DS14,1)</f>
        <v/>
      </c>
      <c r="IJ14">
        <f>IF('計算A'!Z$106=1,DT14,1)</f>
        <v/>
      </c>
      <c r="IK14">
        <f>IF('計算A'!AA$106=1,DU14,1)</f>
        <v/>
      </c>
      <c r="IL14">
        <f>IF('計算A'!AB$106=1,DV14,1)</f>
        <v/>
      </c>
      <c r="IM14">
        <f>IF('計算A'!AC$106=1,DW14,1)</f>
        <v/>
      </c>
      <c r="IN14">
        <f>IF('計算A'!AD$106=1,DX14,1)</f>
        <v/>
      </c>
      <c r="IO14">
        <f>IF('計算A'!AE$106=1,DY14,1)</f>
        <v/>
      </c>
      <c r="IP14">
        <f>IF('計算A'!AF$106=1,DZ14,1)</f>
        <v/>
      </c>
      <c r="IQ14">
        <f>IF('計算A'!AG$106=1,EA14,1)</f>
        <v/>
      </c>
      <c r="IR14">
        <f>IF('計算A'!AH$106=1,EB14,1)</f>
        <v/>
      </c>
      <c r="IS14">
        <f>IF('計算A'!AI$106=1,EC14,1)</f>
        <v/>
      </c>
      <c r="IT14">
        <f>IF('計算A'!AJ$106=1,ED14,1)</f>
        <v/>
      </c>
      <c r="IU14">
        <f>IF('計算A'!AK$106=1,EE14,1)</f>
        <v/>
      </c>
      <c r="IV14">
        <f>IF('計算A'!AL$106=1,EF14,1)</f>
        <v/>
      </c>
      <c r="IW14">
        <f>IF('計算A'!AM$106=1,EG14,1)</f>
        <v/>
      </c>
      <c r="IX14">
        <f>IF('計算A'!AN$106=1,EH14,1)</f>
        <v/>
      </c>
      <c r="IY14">
        <f>IF('計算A'!AO$106=1,EI14,1)</f>
        <v/>
      </c>
      <c r="IZ14">
        <f>IF('計算A'!AP$106=1,EJ14,1)</f>
        <v/>
      </c>
      <c r="JA14">
        <f>IF('計算A'!AQ$106=1,EK14,1)</f>
        <v/>
      </c>
      <c r="JB14">
        <f>IF('計算A'!AR$106=1,EL14,1)</f>
        <v/>
      </c>
      <c r="JC14">
        <f>IF('計算A'!AS$106=1,EM14,1)</f>
        <v/>
      </c>
      <c r="JD14">
        <f>IF('計算A'!AT$106=1,EN14,1)</f>
        <v/>
      </c>
      <c r="JE14">
        <f>IF('計算A'!AU$106=1,EO14,1)</f>
        <v/>
      </c>
      <c r="JF14">
        <f>IF('計算A'!AV$106=1,EP14,1)</f>
        <v/>
      </c>
      <c r="JG14">
        <f>IF('計算A'!AW$106=1,EQ14,1)</f>
        <v/>
      </c>
      <c r="JH14">
        <f>IF('計算A'!AX$106=1,ER14,1)</f>
        <v/>
      </c>
      <c r="JI14">
        <f>IF('計算A'!AY$106=1,ES14,1)</f>
        <v/>
      </c>
      <c r="JJ14">
        <f>IF('計算A'!AZ$106=1,ET14,1)</f>
        <v/>
      </c>
      <c r="JK14">
        <f>IF('計算A'!BA$106=1,EU14,1)</f>
        <v/>
      </c>
      <c r="JL14">
        <f>IF('計算A'!BB$106=1,EV14,1)</f>
        <v/>
      </c>
      <c r="JM14">
        <f>IF('計算A'!BC$106=1,EW14,1)</f>
        <v/>
      </c>
      <c r="JN14">
        <f>IF('計算A'!BD$106=1,EX14,1)</f>
        <v/>
      </c>
      <c r="JO14">
        <f>IF('計算A'!BE$106=1,EY14,1)</f>
        <v/>
      </c>
      <c r="JP14">
        <f>IF('計算A'!BF$106=1,EZ14,1)</f>
        <v/>
      </c>
      <c r="JQ14">
        <f>IF('計算A'!BG$106=1,FA14,1)</f>
        <v/>
      </c>
      <c r="JR14">
        <f>IF('計算A'!BH$106=1,FB14,1)</f>
        <v/>
      </c>
      <c r="JS14">
        <f>IF('計算A'!BI$106=1,FC14,1)</f>
        <v/>
      </c>
      <c r="JT14">
        <f>IF('計算A'!BJ$106=1,FD14,1)</f>
        <v/>
      </c>
      <c r="JU14">
        <f>IF('計算A'!BK$106=1,FE14,1)</f>
        <v/>
      </c>
      <c r="JV14">
        <f>IF('計算A'!BL$106=1,FF14,1)</f>
        <v/>
      </c>
      <c r="JW14">
        <f>IF('計算A'!BM$106=1,FG14,1)</f>
        <v/>
      </c>
      <c r="JX14">
        <f>IF('計算A'!BN$106=1,FH14,1)</f>
        <v/>
      </c>
      <c r="JY14">
        <f>IF('計算A'!BO$106=1,FI14,1)</f>
        <v/>
      </c>
      <c r="JZ14">
        <f>IF('計算A'!BP$106=1,FJ14,1)</f>
        <v/>
      </c>
      <c r="KA14">
        <f>IF('計算A'!BQ$106=1,FK14,1)</f>
        <v/>
      </c>
      <c r="KB14">
        <f>IF('計算A'!BR$106=1,FL14,1)</f>
        <v/>
      </c>
      <c r="KC14">
        <f>IF('計算A'!BS$106=1,FM14,1)</f>
        <v/>
      </c>
      <c r="KD14">
        <f>IF('計算A'!BT$106=1,FN14,1)</f>
        <v/>
      </c>
      <c r="KE14">
        <f>IF('計算A'!BU$106=1,FO14,1)</f>
        <v/>
      </c>
      <c r="KF14">
        <f>IF('計算A'!BV$106=1,FP14,1)</f>
        <v/>
      </c>
      <c r="KG14">
        <f>IF('計算A'!BW$106=1,FQ14,1)</f>
        <v/>
      </c>
      <c r="KH14">
        <f>IF('計算A'!BX$106=1,FR14,1)</f>
        <v/>
      </c>
      <c r="KI14">
        <f>IF('計算A'!BY$106=1,FS14,1)</f>
        <v/>
      </c>
      <c r="KJ14">
        <f>IF('計算A'!BZ$106=1,FT14,1)</f>
        <v/>
      </c>
      <c r="KK14">
        <f>IF('計算A'!CA$106=1,FU14,1)</f>
        <v/>
      </c>
      <c r="KL14">
        <f>IF('計算A'!CB$106=1,FV14,1)</f>
        <v/>
      </c>
      <c r="KM14">
        <f>IF('計算A'!CC$106=1,FW14,1)</f>
        <v/>
      </c>
      <c r="KN14">
        <f>IF('計算A'!CD$106=1,FX14,1)</f>
        <v/>
      </c>
      <c r="KO14">
        <f>IF('計算A'!CE$106=1,FY14,1)</f>
        <v/>
      </c>
      <c r="KP14">
        <f>IF('計算A'!CF$106=1,FZ14,1)</f>
        <v/>
      </c>
      <c r="KQ14">
        <f>IF('計算A'!CG$106=1,GA14,1)</f>
        <v/>
      </c>
      <c r="KR14">
        <f>IF('計算A'!CH$106=1,GB14,1)</f>
        <v/>
      </c>
      <c r="KS14">
        <f>IF('計算A'!CI$106=1,GC14,1)</f>
        <v/>
      </c>
      <c r="KT14">
        <f>IF('計算A'!CJ$106=1,GD14,1)</f>
        <v/>
      </c>
      <c r="KU14">
        <f>IF('計算A'!CK$106=1,GE14,1)</f>
        <v/>
      </c>
      <c r="KV14">
        <f>IF('計算A'!CL$106=1,GF14,1)</f>
        <v/>
      </c>
      <c r="KW14">
        <f>IF('計算A'!CM$106=1,GG14,1)</f>
        <v/>
      </c>
      <c r="KX14">
        <f>IF('計算A'!CN$106=1,GH14,1)</f>
        <v/>
      </c>
      <c r="KY14">
        <f>IF('計算A'!CO$106=1,GI14,1)</f>
        <v/>
      </c>
      <c r="KZ14">
        <f>IF('計算A'!CP$106=1,GJ14,1)</f>
        <v/>
      </c>
      <c r="LA14">
        <f>IF('計算A'!CQ$106=1,GK14,1)</f>
        <v/>
      </c>
      <c r="LB14">
        <f>IF('計算A'!CR$106=1,GL14,1)</f>
        <v/>
      </c>
      <c r="LC14">
        <f>IF('計算A'!CS$106=1,GM14,1)</f>
        <v/>
      </c>
      <c r="LD14">
        <f>IF('計算A'!CT$106=1,GN14,1)</f>
        <v/>
      </c>
      <c r="LE14">
        <f>IF('計算A'!CU$106=1,GO14,1)</f>
        <v/>
      </c>
      <c r="LF14">
        <f>IF('計算A'!CV$106=1,GP14,1)</f>
        <v/>
      </c>
      <c r="LG14">
        <f>IF('計算A'!CW$106=1,GQ14,1)</f>
        <v/>
      </c>
      <c r="LH14">
        <f>IF('計算A'!CX$106=1,GR14,1)</f>
        <v/>
      </c>
      <c r="LI14">
        <f>IF('計算A'!CY$106=1,GS14,1)</f>
        <v/>
      </c>
      <c r="LJ14">
        <f>IF('計算A'!CZ$106=1,GT14,1)</f>
        <v/>
      </c>
      <c r="LK14">
        <f>IF('計算A'!DA$106=1,GU14,1)</f>
        <v/>
      </c>
      <c r="LL14">
        <f>IF('計算A'!DB$106=1,GV14,1)</f>
        <v/>
      </c>
      <c r="LM14">
        <f>IF('計算A'!DC$106=1,GW14,1)</f>
        <v/>
      </c>
      <c r="LN14">
        <f>IF('計算A'!DD$106=1,GX14,1)</f>
        <v/>
      </c>
      <c r="LO14">
        <f>IF('計算A'!DE$106=1,GY14,1)</f>
        <v/>
      </c>
      <c r="LP14">
        <f>IF('計算A'!DF$106=1,GZ14,1)</f>
        <v/>
      </c>
      <c r="LQ14">
        <f>IF('計算A'!DG$106=1,HA14,1)</f>
        <v/>
      </c>
      <c r="LR14">
        <f>IF('計算A'!DH$106=1,HB14,1)</f>
        <v/>
      </c>
      <c r="LS14">
        <f>IF('計算A'!DI$106=1,HC14,1)</f>
        <v/>
      </c>
      <c r="LT14">
        <f>IF('計算A'!DJ$106=1,HD14,1)</f>
        <v/>
      </c>
      <c r="LU14">
        <f>IF('計算A'!DK$106=1,HE14,1)</f>
        <v/>
      </c>
      <c r="LV14">
        <f>IF('計算A'!DL$106=1,HF14,1)</f>
        <v/>
      </c>
      <c r="LW14">
        <f>IF('計算A'!DM$106=1,HG14,1)</f>
        <v/>
      </c>
      <c r="LX14">
        <f>IF('計算A'!DN$106=1,HH14,1)</f>
        <v/>
      </c>
      <c r="LY14">
        <f>IF('計算A'!DO$106=1,HI14,1)</f>
        <v/>
      </c>
      <c r="LZ14">
        <f>IF('計算A'!DP$106=1,HJ14,1)</f>
        <v/>
      </c>
      <c r="MA14">
        <f>IF('計算A'!DQ$106=1,HK14,1)</f>
        <v/>
      </c>
      <c r="MB14">
        <f>IF('計算A'!DR$106=1,HL14,1)</f>
        <v/>
      </c>
      <c r="MC14" t="n">
        <v>1</v>
      </c>
      <c r="ME14">
        <f>IF($B14=0,1000000,IF(INDEX('計算A'!$D$60:$DS$104,$B14,1)*CW14=1,IF(AND($E14=2,HN14=0),1000000,INDEX('計算A'!D$110:D$114,$F14+1)+IF(AND($E14=1,HN14=0),1000,0)),1000000))</f>
        <v/>
      </c>
      <c r="MF14">
        <f>IF($B14=0,1000000,IF(INDEX('計算A'!$D$60:$DS$104,$B14,2)*CX14=1,IF(AND($E14=2,HO14=0),1000000,INDEX('計算A'!E$110:E$114,$F14+1)+IF(AND($E14=1,HO14=0),1000,0)),1000000))</f>
        <v/>
      </c>
      <c r="MG14">
        <f>IF($B14=0,1000000,IF(INDEX('計算A'!$D$60:$DS$104,$B14,3)*CY14=1,IF(AND($E14=2,HP14=0),1000000,INDEX('計算A'!F$110:F$114,$F14+1)+IF(AND($E14=1,HP14=0),1000,0)),1000000))</f>
        <v/>
      </c>
      <c r="MH14">
        <f>IF($B14=0,1000000,IF(INDEX('計算A'!$D$60:$DS$104,$B14,4)*CZ14=1,IF(AND($E14=2,HQ14=0),1000000,INDEX('計算A'!G$110:G$114,$F14+1)+IF(AND($E14=1,HQ14=0),1000,0)),1000000))</f>
        <v/>
      </c>
      <c r="MI14">
        <f>IF($B14=0,1000000,IF(INDEX('計算A'!$D$60:$DS$104,$B14,5)*DA14=1,IF(AND($E14=2,HR14=0),1000000,INDEX('計算A'!H$110:H$114,$F14+1)+IF(AND($E14=1,HR14=0),1000,0)),1000000))</f>
        <v/>
      </c>
      <c r="MJ14">
        <f>IF($B14=0,1000000,IF(INDEX('計算A'!$D$60:$DS$104,$B14,6)*DB14=1,IF(AND($E14=2,HS14=0),1000000,INDEX('計算A'!I$110:I$114,$F14+1)+IF(AND($E14=1,HS14=0),1000,0)),1000000))</f>
        <v/>
      </c>
      <c r="MK14">
        <f>IF($B14=0,1000000,IF(INDEX('計算A'!$D$60:$DS$104,$B14,7)*DC14=1,IF(AND($E14=2,HT14=0),1000000,INDEX('計算A'!J$110:J$114,$F14+1)+IF(AND($E14=1,HT14=0),1000,0)),1000000))</f>
        <v/>
      </c>
      <c r="ML14">
        <f>IF($B14=0,1000000,IF(INDEX('計算A'!$D$60:$DS$104,$B14,8)*DD14=1,IF(AND($E14=2,HU14=0),1000000,INDEX('計算A'!K$110:K$114,$F14+1)+IF(AND($E14=1,HU14=0),1000,0)),1000000))</f>
        <v/>
      </c>
      <c r="MM14">
        <f>IF($B14=0,1000000,IF(INDEX('計算A'!$D$60:$DS$104,$B14,9)*DE14=1,IF(AND($E14=2,HV14=0),1000000,INDEX('計算A'!L$110:L$114,$F14+1)+IF(AND($E14=1,HV14=0),1000,0)),1000000))</f>
        <v/>
      </c>
      <c r="MN14">
        <f>IF($B14=0,1000000,IF(INDEX('計算A'!$D$60:$DS$104,$B14,10)*DF14=1,IF(AND($E14=2,HW14=0),1000000,INDEX('計算A'!M$110:M$114,$F14+1)+IF(AND($E14=1,HW14=0),1000,0)),1000000))</f>
        <v/>
      </c>
      <c r="MO14">
        <f>IF($B14=0,1000000,IF(INDEX('計算A'!$D$60:$DS$104,$B14,11)*DG14=1,IF(AND($E14=2,HX14=0),1000000,INDEX('計算A'!N$110:N$114,$F14+1)+IF(AND($E14=1,HX14=0),1000,0)),1000000))</f>
        <v/>
      </c>
      <c r="MP14">
        <f>IF($B14=0,1000000,IF(INDEX('計算A'!$D$60:$DS$104,$B14,12)*DH14=1,IF(AND($E14=2,HY14=0),1000000,INDEX('計算A'!O$110:O$114,$F14+1)+IF(AND($E14=1,HY14=0),1000,0)),1000000))</f>
        <v/>
      </c>
      <c r="MQ14">
        <f>IF($B14=0,1000000,IF(INDEX('計算A'!$D$60:$DS$104,$B14,13)*DI14=1,IF(AND($E14=2,HZ14=0),1000000,INDEX('計算A'!P$110:P$114,$F14+1)+IF(AND($E14=1,HZ14=0),1000,0)),1000000))</f>
        <v/>
      </c>
      <c r="MR14">
        <f>IF($B14=0,1000000,IF(INDEX('計算A'!$D$60:$DS$104,$B14,14)*DJ14=1,IF(AND($E14=2,IA14=0),1000000,INDEX('計算A'!Q$110:Q$114,$F14+1)+IF(AND($E14=1,IA14=0),1000,0)),1000000))</f>
        <v/>
      </c>
      <c r="MS14">
        <f>IF($B14=0,1000000,IF(INDEX('計算A'!$D$60:$DS$104,$B14,15)*DK14=1,IF(AND($E14=2,IB14=0),1000000,INDEX('計算A'!R$110:R$114,$F14+1)+IF(AND($E14=1,IB14=0),1000,0)),1000000))</f>
        <v/>
      </c>
      <c r="MT14">
        <f>IF($B14=0,1000000,IF(INDEX('計算A'!$D$60:$DS$104,$B14,16)*DL14=1,IF(AND($E14=2,IC14=0),1000000,INDEX('計算A'!S$110:S$114,$F14+1)+IF(AND($E14=1,IC14=0),1000,0)),1000000))</f>
        <v/>
      </c>
      <c r="MU14">
        <f>IF($B14=0,1000000,IF(INDEX('計算A'!$D$60:$DS$104,$B14,17)*DM14=1,IF(AND($E14=2,ID14=0),1000000,INDEX('計算A'!T$110:T$114,$F14+1)+IF(AND($E14=1,ID14=0),1000,0)),1000000))</f>
        <v/>
      </c>
      <c r="MV14">
        <f>IF($B14=0,1000000,IF(INDEX('計算A'!$D$60:$DS$104,$B14,18)*DN14=1,IF(AND($E14=2,IE14=0),1000000,INDEX('計算A'!U$110:U$114,$F14+1)+IF(AND($E14=1,IE14=0),1000,0)),1000000))</f>
        <v/>
      </c>
      <c r="MW14">
        <f>IF($B14=0,1000000,IF(INDEX('計算A'!$D$60:$DS$104,$B14,19)*DO14=1,IF(AND($E14=2,IF14=0),1000000,INDEX('計算A'!V$110:V$114,$F14+1)+IF(AND($E14=1,IF14=0),1000,0)),1000000))</f>
        <v/>
      </c>
      <c r="MX14">
        <f>IF($B14=0,1000000,IF(INDEX('計算A'!$D$60:$DS$104,$B14,20)*DP14=1,IF(AND($E14=2,IG14=0),1000000,INDEX('計算A'!W$110:W$114,$F14+1)+IF(AND($E14=1,IG14=0),1000,0)),1000000))</f>
        <v/>
      </c>
      <c r="MY14">
        <f>IF($B14=0,1000000,IF(INDEX('計算A'!$D$60:$DS$104,$B14,21)*DQ14=1,IF(AND($E14=2,IH14=0),1000000,INDEX('計算A'!X$110:X$114,$F14+1)+IF(AND($E14=1,IH14=0),1000,0)),1000000))</f>
        <v/>
      </c>
      <c r="MZ14">
        <f>IF($B14=0,1000000,IF(INDEX('計算A'!$D$60:$DS$104,$B14,22)*DR14=1,IF(AND($E14=2,II14=0),1000000,INDEX('計算A'!Y$110:Y$114,$F14+1)+IF(AND($E14=1,II14=0),1000,0)),1000000))</f>
        <v/>
      </c>
      <c r="NA14">
        <f>IF($B14=0,1000000,IF(INDEX('計算A'!$D$60:$DS$104,$B14,23)*DS14=1,IF(AND($E14=2,IJ14=0),1000000,INDEX('計算A'!Z$110:Z$114,$F14+1)+IF(AND($E14=1,IJ14=0),1000,0)),1000000))</f>
        <v/>
      </c>
      <c r="NB14">
        <f>IF($B14=0,1000000,IF(INDEX('計算A'!$D$60:$DS$104,$B14,24)*DT14=1,IF(AND($E14=2,IK14=0),1000000,INDEX('計算A'!AA$110:AA$114,$F14+1)+IF(AND($E14=1,IK14=0),1000,0)),1000000))</f>
        <v/>
      </c>
      <c r="NC14">
        <f>IF($B14=0,1000000,IF(INDEX('計算A'!$D$60:$DS$104,$B14,25)*DU14=1,IF(AND($E14=2,IL14=0),1000000,INDEX('計算A'!AB$110:AB$114,$F14+1)+IF(AND($E14=1,IL14=0),1000,0)),1000000))</f>
        <v/>
      </c>
      <c r="ND14">
        <f>IF($B14=0,1000000,IF(INDEX('計算A'!$D$60:$DS$104,$B14,26)*DV14=1,IF(AND($E14=2,IM14=0),1000000,INDEX('計算A'!AC$110:AC$114,$F14+1)+IF(AND($E14=1,IM14=0),1000,0)),1000000))</f>
        <v/>
      </c>
      <c r="NE14">
        <f>IF($B14=0,1000000,IF(INDEX('計算A'!$D$60:$DS$104,$B14,27)*DW14=1,IF(AND($E14=2,IN14=0),1000000,INDEX('計算A'!AD$110:AD$114,$F14+1)+IF(AND($E14=1,IN14=0),1000,0)),1000000))</f>
        <v/>
      </c>
      <c r="NF14">
        <f>IF($B14=0,1000000,IF(INDEX('計算A'!$D$60:$DS$104,$B14,28)*DX14=1,IF(AND($E14=2,IO14=0),1000000,INDEX('計算A'!AE$110:AE$114,$F14+1)+IF(AND($E14=1,IO14=0),1000,0)),1000000))</f>
        <v/>
      </c>
      <c r="NG14">
        <f>IF($B14=0,1000000,IF(INDEX('計算A'!$D$60:$DS$104,$B14,29)*DY14=1,IF(AND($E14=2,IP14=0),1000000,INDEX('計算A'!AF$110:AF$114,$F14+1)+IF(AND($E14=1,IP14=0),1000,0)),1000000))</f>
        <v/>
      </c>
      <c r="NH14">
        <f>IF($B14=0,1000000,IF(INDEX('計算A'!$D$60:$DS$104,$B14,30)*DZ14=1,IF(AND($E14=2,IQ14=0),1000000,INDEX('計算A'!AG$110:AG$114,$F14+1)+IF(AND($E14=1,IQ14=0),1000,0)),1000000))</f>
        <v/>
      </c>
      <c r="NI14">
        <f>IF($B14=0,1000000,IF(INDEX('計算A'!$D$60:$DS$104,$B14,31)*EA14=1,IF(AND($E14=2,IR14=0),1000000,INDEX('計算A'!AH$110:AH$114,$F14+1)+IF(AND($E14=1,IR14=0),1000,0)),1000000))</f>
        <v/>
      </c>
      <c r="NJ14">
        <f>IF($B14=0,1000000,IF(INDEX('計算A'!$D$60:$DS$104,$B14,32)*EB14=1,IF(AND($E14=2,IS14=0),1000000,INDEX('計算A'!AI$110:AI$114,$F14+1)+IF(AND($E14=1,IS14=0),1000,0)),1000000))</f>
        <v/>
      </c>
      <c r="NK14">
        <f>IF($B14=0,1000000,IF(INDEX('計算A'!$D$60:$DS$104,$B14,33)*EC14=1,IF(AND($E14=2,IT14=0),1000000,INDEX('計算A'!AJ$110:AJ$114,$F14+1)+IF(AND($E14=1,IT14=0),1000,0)),1000000))</f>
        <v/>
      </c>
      <c r="NL14">
        <f>IF($B14=0,1000000,IF(INDEX('計算A'!$D$60:$DS$104,$B14,34)*ED14=1,IF(AND($E14=2,IU14=0),1000000,INDEX('計算A'!AK$110:AK$114,$F14+1)+IF(AND($E14=1,IU14=0),1000,0)),1000000))</f>
        <v/>
      </c>
      <c r="NM14">
        <f>IF($B14=0,1000000,IF(INDEX('計算A'!$D$60:$DS$104,$B14,35)*EE14=1,IF(AND($E14=2,IV14=0),1000000,INDEX('計算A'!AL$110:AL$114,$F14+1)+IF(AND($E14=1,IV14=0),1000,0)),1000000))</f>
        <v/>
      </c>
      <c r="NN14">
        <f>IF($B14=0,1000000,IF(INDEX('計算A'!$D$60:$DS$104,$B14,36)*EF14=1,IF(AND($E14=2,IW14=0),1000000,INDEX('計算A'!AM$110:AM$114,$F14+1)+IF(AND($E14=1,IW14=0),1000,0)),1000000))</f>
        <v/>
      </c>
      <c r="NO14">
        <f>IF($B14=0,1000000,IF(INDEX('計算A'!$D$60:$DS$104,$B14,37)*EG14=1,IF(AND($E14=2,IX14=0),1000000,INDEX('計算A'!AN$110:AN$114,$F14+1)+IF(AND($E14=1,IX14=0),1000,0)),1000000))</f>
        <v/>
      </c>
      <c r="NP14">
        <f>IF($B14=0,1000000,IF(INDEX('計算A'!$D$60:$DS$104,$B14,38)*EH14=1,IF(AND($E14=2,IY14=0),1000000,INDEX('計算A'!AO$110:AO$114,$F14+1)+IF(AND($E14=1,IY14=0),1000,0)),1000000))</f>
        <v/>
      </c>
      <c r="NQ14">
        <f>IF($B14=0,1000000,IF(INDEX('計算A'!$D$60:$DS$104,$B14,39)*EI14=1,IF(AND($E14=2,IZ14=0),1000000,INDEX('計算A'!AP$110:AP$114,$F14+1)+IF(AND($E14=1,IZ14=0),1000,0)),1000000))</f>
        <v/>
      </c>
      <c r="NR14">
        <f>IF($B14=0,1000000,IF(INDEX('計算A'!$D$60:$DS$104,$B14,40)*EJ14=1,IF(AND($E14=2,JA14=0),1000000,INDEX('計算A'!AQ$110:AQ$114,$F14+1)+IF(AND($E14=1,JA14=0),1000,0)),1000000))</f>
        <v/>
      </c>
      <c r="NS14">
        <f>IF($B14=0,1000000,IF(INDEX('計算A'!$D$60:$DS$104,$B14,41)*EK14=1,IF(AND($E14=2,JB14=0),1000000,INDEX('計算A'!AR$110:AR$114,$F14+1)+IF(AND($E14=1,JB14=0),1000,0)),1000000))</f>
        <v/>
      </c>
      <c r="NT14">
        <f>IF($B14=0,1000000,IF(INDEX('計算A'!$D$60:$DS$104,$B14,42)*EL14=1,IF(AND($E14=2,JC14=0),1000000,INDEX('計算A'!AS$110:AS$114,$F14+1)+IF(AND($E14=1,JC14=0),1000,0)),1000000))</f>
        <v/>
      </c>
      <c r="NU14">
        <f>IF($B14=0,1000000,IF(INDEX('計算A'!$D$60:$DS$104,$B14,43)*EM14=1,IF(AND($E14=2,JD14=0),1000000,INDEX('計算A'!AT$110:AT$114,$F14+1)+IF(AND($E14=1,JD14=0),1000,0)),1000000))</f>
        <v/>
      </c>
      <c r="NV14">
        <f>IF($B14=0,1000000,IF(INDEX('計算A'!$D$60:$DS$104,$B14,44)*EN14=1,IF(AND($E14=2,JE14=0),1000000,INDEX('計算A'!AU$110:AU$114,$F14+1)+IF(AND($E14=1,JE14=0),1000,0)),1000000))</f>
        <v/>
      </c>
      <c r="NW14">
        <f>IF($B14=0,1000000,IF(INDEX('計算A'!$D$60:$DS$104,$B14,45)*EO14=1,IF(AND($E14=2,JF14=0),1000000,INDEX('計算A'!AV$110:AV$114,$F14+1)+IF(AND($E14=1,JF14=0),1000,0)),1000000))</f>
        <v/>
      </c>
      <c r="NX14">
        <f>IF($B14=0,1000000,IF(INDEX('計算A'!$D$60:$DS$104,$B14,46)*EP14=1,IF(AND($E14=2,JG14=0),1000000,INDEX('計算A'!AW$110:AW$114,$F14+1)+IF(AND($E14=1,JG14=0),1000,0)),1000000))</f>
        <v/>
      </c>
      <c r="NY14">
        <f>IF($B14=0,1000000,IF(INDEX('計算A'!$D$60:$DS$104,$B14,47)*EQ14=1,IF(AND($E14=2,JH14=0),1000000,INDEX('計算A'!AX$110:AX$114,$F14+1)+IF(AND($E14=1,JH14=0),1000,0)),1000000))</f>
        <v/>
      </c>
      <c r="NZ14">
        <f>IF($B14=0,1000000,IF(INDEX('計算A'!$D$60:$DS$104,$B14,48)*ER14=1,IF(AND($E14=2,JI14=0),1000000,INDEX('計算A'!AY$110:AY$114,$F14+1)+IF(AND($E14=1,JI14=0),1000,0)),1000000))</f>
        <v/>
      </c>
      <c r="OA14">
        <f>IF($B14=0,1000000,IF(INDEX('計算A'!$D$60:$DS$104,$B14,49)*ES14=1,IF(AND($E14=2,JJ14=0),1000000,INDEX('計算A'!AZ$110:AZ$114,$F14+1)+IF(AND($E14=1,JJ14=0),1000,0)),1000000))</f>
        <v/>
      </c>
      <c r="OB14">
        <f>IF($B14=0,1000000,IF(INDEX('計算A'!$D$60:$DS$104,$B14,50)*ET14=1,IF(AND($E14=2,JK14=0),1000000,INDEX('計算A'!BA$110:BA$114,$F14+1)+IF(AND($E14=1,JK14=0),1000,0)),1000000))</f>
        <v/>
      </c>
      <c r="OC14">
        <f>IF($B14=0,1000000,IF(INDEX('計算A'!$D$60:$DS$104,$B14,51)*EU14=1,IF(AND($E14=2,JL14=0),1000000,INDEX('計算A'!BB$110:BB$114,$F14+1)+IF(AND($E14=1,JL14=0),1000,0)),1000000))</f>
        <v/>
      </c>
      <c r="OD14">
        <f>IF($B14=0,1000000,IF(INDEX('計算A'!$D$60:$DS$104,$B14,52)*EV14=1,IF(AND($E14=2,JM14=0),1000000,INDEX('計算A'!BC$110:BC$114,$F14+1)+IF(AND($E14=1,JM14=0),1000,0)),1000000))</f>
        <v/>
      </c>
      <c r="OE14">
        <f>IF($B14=0,1000000,IF(INDEX('計算A'!$D$60:$DS$104,$B14,53)*EW14=1,IF(AND($E14=2,JN14=0),1000000,INDEX('計算A'!BD$110:BD$114,$F14+1)+IF(AND($E14=1,JN14=0),1000,0)),1000000))</f>
        <v/>
      </c>
      <c r="OF14">
        <f>IF($B14=0,1000000,IF(INDEX('計算A'!$D$60:$DS$104,$B14,54)*EX14=1,IF(AND($E14=2,JO14=0),1000000,INDEX('計算A'!BE$110:BE$114,$F14+1)+IF(AND($E14=1,JO14=0),1000,0)),1000000))</f>
        <v/>
      </c>
      <c r="OG14">
        <f>IF($B14=0,1000000,IF(INDEX('計算A'!$D$60:$DS$104,$B14,55)*EY14=1,IF(AND($E14=2,JP14=0),1000000,INDEX('計算A'!BF$110:BF$114,$F14+1)+IF(AND($E14=1,JP14=0),1000,0)),1000000))</f>
        <v/>
      </c>
      <c r="OH14">
        <f>IF($B14=0,1000000,IF(INDEX('計算A'!$D$60:$DS$104,$B14,56)*EZ14=1,IF(AND($E14=2,JQ14=0),1000000,INDEX('計算A'!BG$110:BG$114,$F14+1)+IF(AND($E14=1,JQ14=0),1000,0)),1000000))</f>
        <v/>
      </c>
      <c r="OI14">
        <f>IF($B14=0,1000000,IF(INDEX('計算A'!$D$60:$DS$104,$B14,57)*FA14=1,IF(AND($E14=2,JR14=0),1000000,INDEX('計算A'!BH$110:BH$114,$F14+1)+IF(AND($E14=1,JR14=0),1000,0)),1000000))</f>
        <v/>
      </c>
      <c r="OJ14">
        <f>IF($B14=0,1000000,IF(INDEX('計算A'!$D$60:$DS$104,$B14,58)*FB14=1,IF(AND($E14=2,JS14=0),1000000,INDEX('計算A'!BI$110:BI$114,$F14+1)+IF(AND($E14=1,JS14=0),1000,0)),1000000))</f>
        <v/>
      </c>
      <c r="OK14">
        <f>IF($B14=0,1000000,IF(INDEX('計算A'!$D$60:$DS$104,$B14,59)*FC14=1,IF(AND($E14=2,JT14=0),1000000,INDEX('計算A'!BJ$110:BJ$114,$F14+1)+IF(AND($E14=1,JT14=0),1000,0)),1000000))</f>
        <v/>
      </c>
      <c r="OL14">
        <f>IF($B14=0,1000000,IF(INDEX('計算A'!$D$60:$DS$104,$B14,60)*FD14=1,IF(AND($E14=2,JU14=0),1000000,INDEX('計算A'!BK$110:BK$114,$F14+1)+IF(AND($E14=1,JU14=0),1000,0)),1000000))</f>
        <v/>
      </c>
      <c r="OM14">
        <f>IF($B14=0,1000000,IF(INDEX('計算A'!$D$60:$DS$104,$B14,61)*FE14=1,IF(AND($E14=2,JV14=0),1000000,INDEX('計算A'!BL$110:BL$114,$F14+1)+IF(AND($E14=1,JV14=0),1000,0)),1000000))</f>
        <v/>
      </c>
      <c r="ON14">
        <f>IF($B14=0,1000000,IF(INDEX('計算A'!$D$60:$DS$104,$B14,62)*FF14=1,IF(AND($E14=2,JW14=0),1000000,INDEX('計算A'!BM$110:BM$114,$F14+1)+IF(AND($E14=1,JW14=0),1000,0)),1000000))</f>
        <v/>
      </c>
      <c r="OO14">
        <f>IF($B14=0,1000000,IF(INDEX('計算A'!$D$60:$DS$104,$B14,63)*FG14=1,IF(AND($E14=2,JX14=0),1000000,INDEX('計算A'!BN$110:BN$114,$F14+1)+IF(AND($E14=1,JX14=0),1000,0)),1000000))</f>
        <v/>
      </c>
      <c r="OP14">
        <f>IF($B14=0,1000000,IF(INDEX('計算A'!$D$60:$DS$104,$B14,64)*FH14=1,IF(AND($E14=2,JY14=0),1000000,INDEX('計算A'!BO$110:BO$114,$F14+1)+IF(AND($E14=1,JY14=0),1000,0)),1000000))</f>
        <v/>
      </c>
      <c r="OQ14">
        <f>IF($B14=0,1000000,IF(INDEX('計算A'!$D$60:$DS$104,$B14,65)*FI14=1,IF(AND($E14=2,JZ14=0),1000000,INDEX('計算A'!BP$110:BP$114,$F14+1)+IF(AND($E14=1,JZ14=0),1000,0)),1000000))</f>
        <v/>
      </c>
      <c r="OR14">
        <f>IF($B14=0,1000000,IF(INDEX('計算A'!$D$60:$DS$104,$B14,66)*FJ14=1,IF(AND($E14=2,KA14=0),1000000,INDEX('計算A'!BQ$110:BQ$114,$F14+1)+IF(AND($E14=1,KA14=0),1000,0)),1000000))</f>
        <v/>
      </c>
      <c r="OS14">
        <f>IF($B14=0,1000000,IF(INDEX('計算A'!$D$60:$DS$104,$B14,67)*FK14=1,IF(AND($E14=2,KB14=0),1000000,INDEX('計算A'!BR$110:BR$114,$F14+1)+IF(AND($E14=1,KB14=0),1000,0)),1000000))</f>
        <v/>
      </c>
      <c r="OT14">
        <f>IF($B14=0,1000000,IF(INDEX('計算A'!$D$60:$DS$104,$B14,68)*FL14=1,IF(AND($E14=2,KC14=0),1000000,INDEX('計算A'!BS$110:BS$114,$F14+1)+IF(AND($E14=1,KC14=0),1000,0)),1000000))</f>
        <v/>
      </c>
      <c r="OU14">
        <f>IF($B14=0,1000000,IF(INDEX('計算A'!$D$60:$DS$104,$B14,69)*FM14=1,IF(AND($E14=2,KD14=0),1000000,INDEX('計算A'!BT$110:BT$114,$F14+1)+IF(AND($E14=1,KD14=0),1000,0)),1000000))</f>
        <v/>
      </c>
      <c r="OV14">
        <f>IF($B14=0,1000000,IF(INDEX('計算A'!$D$60:$DS$104,$B14,70)*FN14=1,IF(AND($E14=2,KE14=0),1000000,INDEX('計算A'!BU$110:BU$114,$F14+1)+IF(AND($E14=1,KE14=0),1000,0)),1000000))</f>
        <v/>
      </c>
      <c r="OW14">
        <f>IF($B14=0,1000000,IF(INDEX('計算A'!$D$60:$DS$104,$B14,71)*FO14=1,IF(AND($E14=2,KF14=0),1000000,INDEX('計算A'!BV$110:BV$114,$F14+1)+IF(AND($E14=1,KF14=0),1000,0)),1000000))</f>
        <v/>
      </c>
      <c r="OX14">
        <f>IF($B14=0,1000000,IF(INDEX('計算A'!$D$60:$DS$104,$B14,72)*FP14=1,IF(AND($E14=2,KG14=0),1000000,INDEX('計算A'!BW$110:BW$114,$F14+1)+IF(AND($E14=1,KG14=0),1000,0)),1000000))</f>
        <v/>
      </c>
      <c r="OY14">
        <f>IF($B14=0,1000000,IF(INDEX('計算A'!$D$60:$DS$104,$B14,73)*FQ14=1,IF(AND($E14=2,KH14=0),1000000,INDEX('計算A'!BX$110:BX$114,$F14+1)+IF(AND($E14=1,KH14=0),1000,0)),1000000))</f>
        <v/>
      </c>
      <c r="OZ14">
        <f>IF($B14=0,1000000,IF(INDEX('計算A'!$D$60:$DS$104,$B14,74)*FR14=1,IF(AND($E14=2,KI14=0),1000000,INDEX('計算A'!BY$110:BY$114,$F14+1)+IF(AND($E14=1,KI14=0),1000,0)),1000000))</f>
        <v/>
      </c>
      <c r="PA14">
        <f>IF($B14=0,1000000,IF(INDEX('計算A'!$D$60:$DS$104,$B14,75)*FS14=1,IF(AND($E14=2,KJ14=0),1000000,INDEX('計算A'!BZ$110:BZ$114,$F14+1)+IF(AND($E14=1,KJ14=0),1000,0)),1000000))</f>
        <v/>
      </c>
      <c r="PB14">
        <f>IF($B14=0,1000000,IF(INDEX('計算A'!$D$60:$DS$104,$B14,76)*FT14=1,IF(AND($E14=2,KK14=0),1000000,INDEX('計算A'!CA$110:CA$114,$F14+1)+IF(AND($E14=1,KK14=0),1000,0)),1000000))</f>
        <v/>
      </c>
      <c r="PC14">
        <f>IF($B14=0,1000000,IF(INDEX('計算A'!$D$60:$DS$104,$B14,77)*FU14=1,IF(AND($E14=2,KL14=0),1000000,INDEX('計算A'!CB$110:CB$114,$F14+1)+IF(AND($E14=1,KL14=0),1000,0)),1000000))</f>
        <v/>
      </c>
      <c r="PD14">
        <f>IF($B14=0,1000000,IF(INDEX('計算A'!$D$60:$DS$104,$B14,78)*FV14=1,IF(AND($E14=2,KM14=0),1000000,INDEX('計算A'!CC$110:CC$114,$F14+1)+IF(AND($E14=1,KM14=0),1000,0)),1000000))</f>
        <v/>
      </c>
      <c r="PE14">
        <f>IF($B14=0,1000000,IF(INDEX('計算A'!$D$60:$DS$104,$B14,79)*FW14=1,IF(AND($E14=2,KN14=0),1000000,INDEX('計算A'!CD$110:CD$114,$F14+1)+IF(AND($E14=1,KN14=0),1000,0)),1000000))</f>
        <v/>
      </c>
      <c r="PF14">
        <f>IF($B14=0,1000000,IF(INDEX('計算A'!$D$60:$DS$104,$B14,80)*FX14=1,IF(AND($E14=2,KO14=0),1000000,INDEX('計算A'!CE$110:CE$114,$F14+1)+IF(AND($E14=1,KO14=0),1000,0)),1000000))</f>
        <v/>
      </c>
      <c r="PG14">
        <f>IF($B14=0,1000000,IF(INDEX('計算A'!$D$60:$DS$104,$B14,81)*FY14=1,IF(AND($E14=2,KP14=0),1000000,INDEX('計算A'!CF$110:CF$114,$F14+1)+IF(AND($E14=1,KP14=0),1000,0)),1000000))</f>
        <v/>
      </c>
      <c r="PH14">
        <f>IF($B14=0,1000000,IF(INDEX('計算A'!$D$60:$DS$104,$B14,82)*FZ14=1,IF(AND($E14=2,KQ14=0),1000000,INDEX('計算A'!CG$110:CG$114,$F14+1)+IF(AND($E14=1,KQ14=0),1000,0)),1000000))</f>
        <v/>
      </c>
      <c r="PI14">
        <f>IF($B14=0,1000000,IF(INDEX('計算A'!$D$60:$DS$104,$B14,83)*GA14=1,IF(AND($E14=2,KR14=0),1000000,INDEX('計算A'!CH$110:CH$114,$F14+1)+IF(AND($E14=1,KR14=0),1000,0)),1000000))</f>
        <v/>
      </c>
      <c r="PJ14">
        <f>IF($B14=0,1000000,IF(INDEX('計算A'!$D$60:$DS$104,$B14,84)*GB14=1,IF(AND($E14=2,KS14=0),1000000,INDEX('計算A'!CI$110:CI$114,$F14+1)+IF(AND($E14=1,KS14=0),1000,0)),1000000))</f>
        <v/>
      </c>
      <c r="PK14">
        <f>IF($B14=0,1000000,IF(INDEX('計算A'!$D$60:$DS$104,$B14,85)*GC14=1,IF(AND($E14=2,KT14=0),1000000,INDEX('計算A'!CJ$110:CJ$114,$F14+1)+IF(AND($E14=1,KT14=0),1000,0)),1000000))</f>
        <v/>
      </c>
      <c r="PL14">
        <f>IF($B14=0,1000000,IF(INDEX('計算A'!$D$60:$DS$104,$B14,86)*GD14=1,IF(AND($E14=2,KU14=0),1000000,INDEX('計算A'!CK$110:CK$114,$F14+1)+IF(AND($E14=1,KU14=0),1000,0)),1000000))</f>
        <v/>
      </c>
      <c r="PM14">
        <f>IF($B14=0,1000000,IF(INDEX('計算A'!$D$60:$DS$104,$B14,87)*GE14=1,IF(AND($E14=2,KV14=0),1000000,INDEX('計算A'!CL$110:CL$114,$F14+1)+IF(AND($E14=1,KV14=0),1000,0)),1000000))</f>
        <v/>
      </c>
      <c r="PN14">
        <f>IF($B14=0,1000000,IF(INDEX('計算A'!$D$60:$DS$104,$B14,88)*GF14=1,IF(AND($E14=2,KW14=0),1000000,INDEX('計算A'!CM$110:CM$114,$F14+1)+IF(AND($E14=1,KW14=0),1000,0)),1000000))</f>
        <v/>
      </c>
      <c r="PO14">
        <f>IF($B14=0,1000000,IF(INDEX('計算A'!$D$60:$DS$104,$B14,89)*GG14=1,IF(AND($E14=2,KX14=0),1000000,INDEX('計算A'!CN$110:CN$114,$F14+1)+IF(AND($E14=1,KX14=0),1000,0)),1000000))</f>
        <v/>
      </c>
      <c r="PP14">
        <f>IF($B14=0,1000000,IF(INDEX('計算A'!$D$60:$DS$104,$B14,90)*GH14=1,IF(AND($E14=2,KY14=0),1000000,INDEX('計算A'!CO$110:CO$114,$F14+1)+IF(AND($E14=1,KY14=0),1000,0)),1000000))</f>
        <v/>
      </c>
      <c r="PQ14">
        <f>IF($B14=0,1000000,IF(INDEX('計算A'!$D$60:$DS$104,$B14,91)*GI14=1,IF(AND($E14=2,KZ14=0),1000000,INDEX('計算A'!CP$110:CP$114,$F14+1)+IF(AND($E14=1,KZ14=0),1000,0)),1000000))</f>
        <v/>
      </c>
      <c r="PR14">
        <f>IF($B14=0,1000000,IF(INDEX('計算A'!$D$60:$DS$104,$B14,92)*GJ14=1,IF(AND($E14=2,LA14=0),1000000,INDEX('計算A'!CQ$110:CQ$114,$F14+1)+IF(AND($E14=1,LA14=0),1000,0)),1000000))</f>
        <v/>
      </c>
      <c r="PS14">
        <f>IF($B14=0,1000000,IF(INDEX('計算A'!$D$60:$DS$104,$B14,93)*GK14=1,IF(AND($E14=2,LB14=0),1000000,INDEX('計算A'!CR$110:CR$114,$F14+1)+IF(AND($E14=1,LB14=0),1000,0)),1000000))</f>
        <v/>
      </c>
      <c r="PT14">
        <f>IF($B14=0,1000000,IF(INDEX('計算A'!$D$60:$DS$104,$B14,94)*GL14=1,IF(AND($E14=2,LC14=0),1000000,INDEX('計算A'!CS$110:CS$114,$F14+1)+IF(AND($E14=1,LC14=0),1000,0)),1000000))</f>
        <v/>
      </c>
      <c r="PU14">
        <f>IF($B14=0,1000000,IF(INDEX('計算A'!$D$60:$DS$104,$B14,95)*GM14=1,IF(AND($E14=2,LD14=0),1000000,INDEX('計算A'!CT$110:CT$114,$F14+1)+IF(AND($E14=1,LD14=0),1000,0)),1000000))</f>
        <v/>
      </c>
      <c r="PV14">
        <f>IF($B14=0,1000000,IF(INDEX('計算A'!$D$60:$DS$104,$B14,96)*GN14=1,IF(AND($E14=2,LE14=0),1000000,INDEX('計算A'!CU$110:CU$114,$F14+1)+IF(AND($E14=1,LE14=0),1000,0)),1000000))</f>
        <v/>
      </c>
      <c r="PW14">
        <f>IF($B14=0,1000000,IF(INDEX('計算A'!$D$60:$DS$104,$B14,97)*GO14=1,IF(AND($E14=2,LF14=0),1000000,INDEX('計算A'!CV$110:CV$114,$F14+1)+IF(AND($E14=1,LF14=0),1000,0)),1000000))</f>
        <v/>
      </c>
      <c r="PX14">
        <f>IF($B14=0,1000000,IF(INDEX('計算A'!$D$60:$DS$104,$B14,98)*GP14=1,IF(AND($E14=2,LG14=0),1000000,INDEX('計算A'!CW$110:CW$114,$F14+1)+IF(AND($E14=1,LG14=0),1000,0)),1000000))</f>
        <v/>
      </c>
      <c r="PY14">
        <f>IF($B14=0,1000000,IF(INDEX('計算A'!$D$60:$DS$104,$B14,99)*GQ14=1,IF(AND($E14=2,LH14=0),1000000,INDEX('計算A'!CX$110:CX$114,$F14+1)+IF(AND($E14=1,LH14=0),1000,0)),1000000))</f>
        <v/>
      </c>
      <c r="PZ14">
        <f>IF($B14=0,1000000,IF(INDEX('計算A'!$D$60:$DS$104,$B14,100)*GR14=1,IF(AND($E14=2,LI14=0),1000000,INDEX('計算A'!CY$110:CY$114,$F14+1)+IF(AND($E14=1,LI14=0),1000,0)),1000000))</f>
        <v/>
      </c>
      <c r="QA14">
        <f>IF($B14=0,1000000,IF(INDEX('計算A'!$D$60:$DS$104,$B14,101)*GS14=1,IF(AND($E14=2,LJ14=0),1000000,INDEX('計算A'!CZ$110:CZ$114,$F14+1)+IF(AND($E14=1,LJ14=0),1000,0)),1000000))</f>
        <v/>
      </c>
      <c r="QB14">
        <f>IF($B14=0,1000000,IF(INDEX('計算A'!$D$60:$DS$104,$B14,102)*GT14=1,IF(AND($E14=2,LK14=0),1000000,INDEX('計算A'!DA$110:DA$114,$F14+1)+IF(AND($E14=1,LK14=0),1000,0)),1000000))</f>
        <v/>
      </c>
      <c r="QC14">
        <f>IF($B14=0,1000000,IF(INDEX('計算A'!$D$60:$DS$104,$B14,103)*GU14=1,IF(AND($E14=2,LL14=0),1000000,INDEX('計算A'!DB$110:DB$114,$F14+1)+IF(AND($E14=1,LL14=0),1000,0)),1000000))</f>
        <v/>
      </c>
      <c r="QD14">
        <f>IF($B14=0,1000000,IF(INDEX('計算A'!$D$60:$DS$104,$B14,104)*GV14=1,IF(AND($E14=2,LM14=0),1000000,INDEX('計算A'!DC$110:DC$114,$F14+1)+IF(AND($E14=1,LM14=0),1000,0)),1000000))</f>
        <v/>
      </c>
      <c r="QE14">
        <f>IF($B14=0,1000000,IF(INDEX('計算A'!$D$60:$DS$104,$B14,105)*GW14=1,IF(AND($E14=2,LN14=0),1000000,INDEX('計算A'!DD$110:DD$114,$F14+1)+IF(AND($E14=1,LN14=0),1000,0)),1000000))</f>
        <v/>
      </c>
      <c r="QF14">
        <f>IF($B14=0,1000000,IF(INDEX('計算A'!$D$60:$DS$104,$B14,106)*GX14=1,IF(AND($E14=2,LO14=0),1000000,INDEX('計算A'!DE$110:DE$114,$F14+1)+IF(AND($E14=1,LO14=0),1000,0)),1000000))</f>
        <v/>
      </c>
      <c r="QG14">
        <f>IF($B14=0,1000000,IF(INDEX('計算A'!$D$60:$DS$104,$B14,107)*GY14=1,IF(AND($E14=2,LP14=0),1000000,INDEX('計算A'!DF$110:DF$114,$F14+1)+IF(AND($E14=1,LP14=0),1000,0)),1000000))</f>
        <v/>
      </c>
      <c r="QH14">
        <f>IF($B14=0,1000000,IF(INDEX('計算A'!$D$60:$DS$104,$B14,108)*GZ14=1,IF(AND($E14=2,LQ14=0),1000000,INDEX('計算A'!DG$110:DG$114,$F14+1)+IF(AND($E14=1,LQ14=0),1000,0)),1000000))</f>
        <v/>
      </c>
      <c r="QI14">
        <f>IF($B14=0,1000000,IF(INDEX('計算A'!$D$60:$DS$104,$B14,109)*HA14=1,IF(AND($E14=2,LR14=0),1000000,INDEX('計算A'!DH$110:DH$114,$F14+1)+IF(AND($E14=1,LR14=0),1000,0)),1000000))</f>
        <v/>
      </c>
      <c r="QJ14">
        <f>IF($B14=0,1000000,IF(INDEX('計算A'!$D$60:$DS$104,$B14,110)*HB14=1,IF(AND($E14=2,LS14=0),1000000,INDEX('計算A'!DI$110:DI$114,$F14+1)+IF(AND($E14=1,LS14=0),1000,0)),1000000))</f>
        <v/>
      </c>
      <c r="QK14">
        <f>IF($B14=0,1000000,IF(INDEX('計算A'!$D$60:$DS$104,$B14,111)*HC14=1,IF(AND($E14=2,LT14=0),1000000,INDEX('計算A'!DJ$110:DJ$114,$F14+1)+IF(AND($E14=1,LT14=0),1000,0)),1000000))</f>
        <v/>
      </c>
      <c r="QL14">
        <f>IF($B14=0,1000000,IF(INDEX('計算A'!$D$60:$DS$104,$B14,112)*HD14=1,IF(AND($E14=2,LU14=0),1000000,INDEX('計算A'!DK$110:DK$114,$F14+1)+IF(AND($E14=1,LU14=0),1000,0)),1000000))</f>
        <v/>
      </c>
      <c r="QM14">
        <f>IF($B14=0,1000000,IF(INDEX('計算A'!$D$60:$DS$104,$B14,113)*HE14=1,IF(AND($E14=2,LV14=0),1000000,INDEX('計算A'!DL$110:DL$114,$F14+1)+IF(AND($E14=1,LV14=0),1000,0)),1000000))</f>
        <v/>
      </c>
      <c r="QN14">
        <f>IF($B14=0,1000000,IF(INDEX('計算A'!$D$60:$DS$104,$B14,114)*HF14=1,IF(AND($E14=2,LW14=0),1000000,INDEX('計算A'!DM$110:DM$114,$F14+1)+IF(AND($E14=1,LW14=0),1000,0)),1000000))</f>
        <v/>
      </c>
      <c r="QO14">
        <f>IF($B14=0,1000000,IF(INDEX('計算A'!$D$60:$DS$104,$B14,115)*HG14=1,IF(AND($E14=2,LX14=0),1000000,INDEX('計算A'!DN$110:DN$114,$F14+1)+IF(AND($E14=1,LX14=0),1000,0)),1000000))</f>
        <v/>
      </c>
      <c r="QP14">
        <f>IF($B14=0,1000000,IF(INDEX('計算A'!$D$60:$DS$104,$B14,116)*HH14=1,IF(AND($E14=2,LY14=0),1000000,INDEX('計算A'!DO$110:DO$114,$F14+1)+IF(AND($E14=1,LY14=0),1000,0)),1000000))</f>
        <v/>
      </c>
      <c r="QQ14">
        <f>IF($B14=0,1000000,IF(INDEX('計算A'!$D$60:$DS$104,$B14,117)*HI14=1,IF(AND($E14=2,LZ14=0),1000000,INDEX('計算A'!DP$110:DP$114,$F14+1)+IF(AND($E14=1,LZ14=0),1000,0)),1000000))</f>
        <v/>
      </c>
      <c r="QR14">
        <f>IF($B14=0,1000000,IF(INDEX('計算A'!$D$60:$DS$104,$B14,118)*HJ14=1,IF(AND($E14=2,MA14=0),1000000,INDEX('計算A'!DQ$110:DQ$114,$F14+1)+IF(AND($E14=1,MA14=0),1000,0)),1000000))</f>
        <v/>
      </c>
      <c r="QS14">
        <f>IF($B14=0,1000000,IF(INDEX('計算A'!$D$60:$DS$104,$B14,119)*HK14=1,IF(AND($E14=2,MB14=0),1000000,INDEX('計算A'!DR$110:DR$114,$F14+1)+IF(AND($E14=1,MB14=0),1000,0)),1000000))</f>
        <v/>
      </c>
      <c r="QT14">
        <f>IF($B14=0,1000000,IF(INDEX('計算A'!$D$60:$DS$104,$B14,120)*HL14=1,IF(AND($E14=2,MC14=0),1000000,INDEX('計算A'!DS$110:DS$114,$F14+1)+IF(AND($E14=1,MC14=0),1000,0)),1000000))</f>
        <v/>
      </c>
    </row>
    <row r="15">
      <c r="A15" t="n">
        <v>13</v>
      </c>
      <c r="B15">
        <f>IF(MIN(BC15:CU15)&gt;=1000000,0,MATCH(MIN(BC15:CU15),BC15:CU15,0))</f>
        <v/>
      </c>
      <c r="C15">
        <f>IF(MIN(ME15:QT15)&gt;=1000000,0,MATCH(MIN(ME15:QT15),ME15:QT15,0))</f>
        <v/>
      </c>
      <c r="D15">
        <f>IF(C15&gt;0,INDEX('計算A'!$D$5:$DS$5,C15),0)</f>
        <v/>
      </c>
      <c r="E15">
        <f>IF(B15=0,0,INDEX('計算A'!$EA$10:$EA$54,B15))</f>
        <v/>
      </c>
      <c r="F15">
        <f>IF(B15=0,0,INDEX('計算A'!$DZ$10:$DZ$54,B15))</f>
        <v/>
      </c>
      <c r="G15">
        <f>IF(AND(C15&gt;0,E15&gt;0),IF(AND(INDEX('計算A'!$D$106:$DS$106,C15)=1,INDEX($HN15:$MC15,C15)=1),C15+1,0),0)</f>
        <v/>
      </c>
      <c r="I15">
        <f>MAX(I14,IF($B14=1,1,0))</f>
        <v/>
      </c>
      <c r="J15">
        <f>MAX(J14,IF($B14=2,1,0))</f>
        <v/>
      </c>
      <c r="K15">
        <f>MAX(K14,IF($B14=3,1,0))</f>
        <v/>
      </c>
      <c r="L15">
        <f>MAX(L14,IF($B14=4,1,0))</f>
        <v/>
      </c>
      <c r="M15">
        <f>MAX(M14,IF($B14=5,1,0))</f>
        <v/>
      </c>
      <c r="N15">
        <f>MAX(N14,IF($B14=6,1,0))</f>
        <v/>
      </c>
      <c r="O15">
        <f>MAX(O14,IF($B14=7,1,0))</f>
        <v/>
      </c>
      <c r="P15">
        <f>MAX(P14,IF($B14=8,1,0))</f>
        <v/>
      </c>
      <c r="Q15">
        <f>MAX(Q14,IF($B14=9,1,0))</f>
        <v/>
      </c>
      <c r="R15">
        <f>MAX(R14,IF($B14=10,1,0))</f>
        <v/>
      </c>
      <c r="S15">
        <f>MAX(S14,IF($B14=11,1,0))</f>
        <v/>
      </c>
      <c r="T15">
        <f>MAX(T14,IF($B14=12,1,0))</f>
        <v/>
      </c>
      <c r="U15">
        <f>MAX(U14,IF($B14=13,1,0))</f>
        <v/>
      </c>
      <c r="V15">
        <f>MAX(V14,IF($B14=14,1,0))</f>
        <v/>
      </c>
      <c r="W15">
        <f>MAX(W14,IF($B14=15,1,0))</f>
        <v/>
      </c>
      <c r="X15">
        <f>MAX(X14,IF($B14=16,1,0))</f>
        <v/>
      </c>
      <c r="Y15">
        <f>MAX(Y14,IF($B14=17,1,0))</f>
        <v/>
      </c>
      <c r="Z15">
        <f>MAX(Z14,IF($B14=18,1,0))</f>
        <v/>
      </c>
      <c r="AA15">
        <f>MAX(AA14,IF($B14=19,1,0))</f>
        <v/>
      </c>
      <c r="AB15">
        <f>MAX(AB14,IF($B14=20,1,0))</f>
        <v/>
      </c>
      <c r="AC15">
        <f>MAX(AC14,IF($B14=21,1,0))</f>
        <v/>
      </c>
      <c r="AD15">
        <f>MAX(AD14,IF($B14=22,1,0))</f>
        <v/>
      </c>
      <c r="AE15">
        <f>MAX(AE14,IF($B14=23,1,0))</f>
        <v/>
      </c>
      <c r="AF15">
        <f>MAX(AF14,IF($B14=24,1,0))</f>
        <v/>
      </c>
      <c r="AG15">
        <f>MAX(AG14,IF($B14=25,1,0))</f>
        <v/>
      </c>
      <c r="AH15">
        <f>MAX(AH14,IF($B14=26,1,0))</f>
        <v/>
      </c>
      <c r="AI15">
        <f>MAX(AI14,IF($B14=27,1,0))</f>
        <v/>
      </c>
      <c r="AJ15">
        <f>MAX(AJ14,IF($B14=28,1,0))</f>
        <v/>
      </c>
      <c r="AK15">
        <f>MAX(AK14,IF($B14=29,1,0))</f>
        <v/>
      </c>
      <c r="AL15">
        <f>MAX(AL14,IF($B14=30,1,0))</f>
        <v/>
      </c>
      <c r="AM15">
        <f>MAX(AM14,IF($B14=31,1,0))</f>
        <v/>
      </c>
      <c r="AN15">
        <f>MAX(AN14,IF($B14=32,1,0))</f>
        <v/>
      </c>
      <c r="AO15">
        <f>MAX(AO14,IF($B14=33,1,0))</f>
        <v/>
      </c>
      <c r="AP15">
        <f>MAX(AP14,IF($B14=34,1,0))</f>
        <v/>
      </c>
      <c r="AQ15">
        <f>MAX(AQ14,IF($B14=35,1,0))</f>
        <v/>
      </c>
      <c r="AR15">
        <f>MAX(AR14,IF($B14=36,1,0))</f>
        <v/>
      </c>
      <c r="AS15">
        <f>MAX(AS14,IF($B14=37,1,0))</f>
        <v/>
      </c>
      <c r="AT15">
        <f>MAX(AT14,IF($B14=38,1,0))</f>
        <v/>
      </c>
      <c r="AU15">
        <f>MAX(AU14,IF($B14=39,1,0))</f>
        <v/>
      </c>
      <c r="AV15">
        <f>MAX(AV14,IF($B14=40,1,0))</f>
        <v/>
      </c>
      <c r="AW15">
        <f>MAX(AW14,IF($B14=41,1,0))</f>
        <v/>
      </c>
      <c r="AX15">
        <f>MAX(AX14,IF($B14=42,1,0))</f>
        <v/>
      </c>
      <c r="AY15">
        <f>MAX(AY14,IF($B14=43,1,0))</f>
        <v/>
      </c>
      <c r="AZ15">
        <f>MAX(AZ14,IF($B14=44,1,0))</f>
        <v/>
      </c>
      <c r="BA15">
        <f>MAX(BA14,IF($B14=45,1,0))</f>
        <v/>
      </c>
      <c r="BC15">
        <f>IF(I15=1,1000000,IF('計算A'!$EA$10=2,SUMPRODUCT('計算A'!$D$60:$DS$60,$CW15:$HL15,$HN15:$MC15),SUMPRODUCT('計算A'!$D$60:$DS$60,$CW15:$HL15))*1000+1)</f>
        <v/>
      </c>
      <c r="BD15">
        <f>IF(J15=1,1000000,IF('計算A'!$EA$11=2,SUMPRODUCT('計算A'!$D$61:$DS$61,$CW15:$HL15,$HN15:$MC15),SUMPRODUCT('計算A'!$D$61:$DS$61,$CW15:$HL15))*1000+2)</f>
        <v/>
      </c>
      <c r="BE15">
        <f>IF(K15=1,1000000,IF('計算A'!$EA$12=2,SUMPRODUCT('計算A'!$D$62:$DS$62,$CW15:$HL15,$HN15:$MC15),SUMPRODUCT('計算A'!$D$62:$DS$62,$CW15:$HL15))*1000+3)</f>
        <v/>
      </c>
      <c r="BF15">
        <f>IF(L15=1,1000000,IF('計算A'!$EA$13=2,SUMPRODUCT('計算A'!$D$63:$DS$63,$CW15:$HL15,$HN15:$MC15),SUMPRODUCT('計算A'!$D$63:$DS$63,$CW15:$HL15))*1000+4)</f>
        <v/>
      </c>
      <c r="BG15">
        <f>IF(M15=1,1000000,IF('計算A'!$EA$14=2,SUMPRODUCT('計算A'!$D$64:$DS$64,$CW15:$HL15,$HN15:$MC15),SUMPRODUCT('計算A'!$D$64:$DS$64,$CW15:$HL15))*1000+5)</f>
        <v/>
      </c>
      <c r="BH15">
        <f>IF(N15=1,1000000,IF('計算A'!$EA$15=2,SUMPRODUCT('計算A'!$D$65:$DS$65,$CW15:$HL15,$HN15:$MC15),SUMPRODUCT('計算A'!$D$65:$DS$65,$CW15:$HL15))*1000+6)</f>
        <v/>
      </c>
      <c r="BI15">
        <f>IF(O15=1,1000000,IF('計算A'!$EA$16=2,SUMPRODUCT('計算A'!$D$66:$DS$66,$CW15:$HL15,$HN15:$MC15),SUMPRODUCT('計算A'!$D$66:$DS$66,$CW15:$HL15))*1000+7)</f>
        <v/>
      </c>
      <c r="BJ15">
        <f>IF(P15=1,1000000,IF('計算A'!$EA$17=2,SUMPRODUCT('計算A'!$D$67:$DS$67,$CW15:$HL15,$HN15:$MC15),SUMPRODUCT('計算A'!$D$67:$DS$67,$CW15:$HL15))*1000+8)</f>
        <v/>
      </c>
      <c r="BK15">
        <f>IF(Q15=1,1000000,IF('計算A'!$EA$18=2,SUMPRODUCT('計算A'!$D$68:$DS$68,$CW15:$HL15,$HN15:$MC15),SUMPRODUCT('計算A'!$D$68:$DS$68,$CW15:$HL15))*1000+9)</f>
        <v/>
      </c>
      <c r="BL15">
        <f>IF(R15=1,1000000,IF('計算A'!$EA$19=2,SUMPRODUCT('計算A'!$D$69:$DS$69,$CW15:$HL15,$HN15:$MC15),SUMPRODUCT('計算A'!$D$69:$DS$69,$CW15:$HL15))*1000+10)</f>
        <v/>
      </c>
      <c r="BM15">
        <f>IF(S15=1,1000000,IF('計算A'!$EA$20=2,SUMPRODUCT('計算A'!$D$70:$DS$70,$CW15:$HL15,$HN15:$MC15),SUMPRODUCT('計算A'!$D$70:$DS$70,$CW15:$HL15))*1000+11)</f>
        <v/>
      </c>
      <c r="BN15">
        <f>IF(T15=1,1000000,IF('計算A'!$EA$21=2,SUMPRODUCT('計算A'!$D$71:$DS$71,$CW15:$HL15,$HN15:$MC15),SUMPRODUCT('計算A'!$D$71:$DS$71,$CW15:$HL15))*1000+12)</f>
        <v/>
      </c>
      <c r="BO15">
        <f>IF(U15=1,1000000,IF('計算A'!$EA$22=2,SUMPRODUCT('計算A'!$D$72:$DS$72,$CW15:$HL15,$HN15:$MC15),SUMPRODUCT('計算A'!$D$72:$DS$72,$CW15:$HL15))*1000+13)</f>
        <v/>
      </c>
      <c r="BP15">
        <f>IF(V15=1,1000000,IF('計算A'!$EA$23=2,SUMPRODUCT('計算A'!$D$73:$DS$73,$CW15:$HL15,$HN15:$MC15),SUMPRODUCT('計算A'!$D$73:$DS$73,$CW15:$HL15))*1000+14)</f>
        <v/>
      </c>
      <c r="BQ15">
        <f>IF(W15=1,1000000,IF('計算A'!$EA$24=2,SUMPRODUCT('計算A'!$D$74:$DS$74,$CW15:$HL15,$HN15:$MC15),SUMPRODUCT('計算A'!$D$74:$DS$74,$CW15:$HL15))*1000+15)</f>
        <v/>
      </c>
      <c r="BR15">
        <f>IF(X15=1,1000000,IF('計算A'!$EA$25=2,SUMPRODUCT('計算A'!$D$75:$DS$75,$CW15:$HL15,$HN15:$MC15),SUMPRODUCT('計算A'!$D$75:$DS$75,$CW15:$HL15))*1000+16)</f>
        <v/>
      </c>
      <c r="BS15">
        <f>IF(Y15=1,1000000,IF('計算A'!$EA$26=2,SUMPRODUCT('計算A'!$D$76:$DS$76,$CW15:$HL15,$HN15:$MC15),SUMPRODUCT('計算A'!$D$76:$DS$76,$CW15:$HL15))*1000+17)</f>
        <v/>
      </c>
      <c r="BT15">
        <f>IF(Z15=1,1000000,IF('計算A'!$EA$27=2,SUMPRODUCT('計算A'!$D$77:$DS$77,$CW15:$HL15,$HN15:$MC15),SUMPRODUCT('計算A'!$D$77:$DS$77,$CW15:$HL15))*1000+18)</f>
        <v/>
      </c>
      <c r="BU15">
        <f>IF(AA15=1,1000000,IF('計算A'!$EA$28=2,SUMPRODUCT('計算A'!$D$78:$DS$78,$CW15:$HL15,$HN15:$MC15),SUMPRODUCT('計算A'!$D$78:$DS$78,$CW15:$HL15))*1000+19)</f>
        <v/>
      </c>
      <c r="BV15">
        <f>IF(AB15=1,1000000,IF('計算A'!$EA$29=2,SUMPRODUCT('計算A'!$D$79:$DS$79,$CW15:$HL15,$HN15:$MC15),SUMPRODUCT('計算A'!$D$79:$DS$79,$CW15:$HL15))*1000+20)</f>
        <v/>
      </c>
      <c r="BW15">
        <f>IF(AC15=1,1000000,IF('計算A'!$EA$30=2,SUMPRODUCT('計算A'!$D$80:$DS$80,$CW15:$HL15,$HN15:$MC15),SUMPRODUCT('計算A'!$D$80:$DS$80,$CW15:$HL15))*1000+21)</f>
        <v/>
      </c>
      <c r="BX15">
        <f>IF(AD15=1,1000000,IF('計算A'!$EA$31=2,SUMPRODUCT('計算A'!$D$81:$DS$81,$CW15:$HL15,$HN15:$MC15),SUMPRODUCT('計算A'!$D$81:$DS$81,$CW15:$HL15))*1000+22)</f>
        <v/>
      </c>
      <c r="BY15">
        <f>IF(AE15=1,1000000,IF('計算A'!$EA$32=2,SUMPRODUCT('計算A'!$D$82:$DS$82,$CW15:$HL15,$HN15:$MC15),SUMPRODUCT('計算A'!$D$82:$DS$82,$CW15:$HL15))*1000+23)</f>
        <v/>
      </c>
      <c r="BZ15">
        <f>IF(AF15=1,1000000,IF('計算A'!$EA$33=2,SUMPRODUCT('計算A'!$D$83:$DS$83,$CW15:$HL15,$HN15:$MC15),SUMPRODUCT('計算A'!$D$83:$DS$83,$CW15:$HL15))*1000+24)</f>
        <v/>
      </c>
      <c r="CA15">
        <f>IF(AG15=1,1000000,IF('計算A'!$EA$34=2,SUMPRODUCT('計算A'!$D$84:$DS$84,$CW15:$HL15,$HN15:$MC15),SUMPRODUCT('計算A'!$D$84:$DS$84,$CW15:$HL15))*1000+25)</f>
        <v/>
      </c>
      <c r="CB15">
        <f>IF(AH15=1,1000000,IF('計算A'!$EA$35=2,SUMPRODUCT('計算A'!$D$85:$DS$85,$CW15:$HL15,$HN15:$MC15),SUMPRODUCT('計算A'!$D$85:$DS$85,$CW15:$HL15))*1000+26)</f>
        <v/>
      </c>
      <c r="CC15">
        <f>IF(AI15=1,1000000,IF('計算A'!$EA$36=2,SUMPRODUCT('計算A'!$D$86:$DS$86,$CW15:$HL15,$HN15:$MC15),SUMPRODUCT('計算A'!$D$86:$DS$86,$CW15:$HL15))*1000+27)</f>
        <v/>
      </c>
      <c r="CD15">
        <f>IF(AJ15=1,1000000,IF('計算A'!$EA$37=2,SUMPRODUCT('計算A'!$D$87:$DS$87,$CW15:$HL15,$HN15:$MC15),SUMPRODUCT('計算A'!$D$87:$DS$87,$CW15:$HL15))*1000+28)</f>
        <v/>
      </c>
      <c r="CE15">
        <f>IF(AK15=1,1000000,IF('計算A'!$EA$38=2,SUMPRODUCT('計算A'!$D$88:$DS$88,$CW15:$HL15,$HN15:$MC15),SUMPRODUCT('計算A'!$D$88:$DS$88,$CW15:$HL15))*1000+29)</f>
        <v/>
      </c>
      <c r="CF15">
        <f>IF(AL15=1,1000000,IF('計算A'!$EA$39=2,SUMPRODUCT('計算A'!$D$89:$DS$89,$CW15:$HL15,$HN15:$MC15),SUMPRODUCT('計算A'!$D$89:$DS$89,$CW15:$HL15))*1000+30)</f>
        <v/>
      </c>
      <c r="CG15">
        <f>IF(AM15=1,1000000,IF('計算A'!$EA$40=2,SUMPRODUCT('計算A'!$D$90:$DS$90,$CW15:$HL15,$HN15:$MC15),SUMPRODUCT('計算A'!$D$90:$DS$90,$CW15:$HL15))*1000+31)</f>
        <v/>
      </c>
      <c r="CH15">
        <f>IF(AN15=1,1000000,IF('計算A'!$EA$41=2,SUMPRODUCT('計算A'!$D$91:$DS$91,$CW15:$HL15,$HN15:$MC15),SUMPRODUCT('計算A'!$D$91:$DS$91,$CW15:$HL15))*1000+32)</f>
        <v/>
      </c>
      <c r="CI15">
        <f>IF(AO15=1,1000000,IF('計算A'!$EA$42=2,SUMPRODUCT('計算A'!$D$92:$DS$92,$CW15:$HL15,$HN15:$MC15),SUMPRODUCT('計算A'!$D$92:$DS$92,$CW15:$HL15))*1000+33)</f>
        <v/>
      </c>
      <c r="CJ15">
        <f>IF(AP15=1,1000000,IF('計算A'!$EA$43=2,SUMPRODUCT('計算A'!$D$93:$DS$93,$CW15:$HL15,$HN15:$MC15),SUMPRODUCT('計算A'!$D$93:$DS$93,$CW15:$HL15))*1000+34)</f>
        <v/>
      </c>
      <c r="CK15">
        <f>IF(AQ15=1,1000000,IF('計算A'!$EA$44=2,SUMPRODUCT('計算A'!$D$94:$DS$94,$CW15:$HL15,$HN15:$MC15),SUMPRODUCT('計算A'!$D$94:$DS$94,$CW15:$HL15))*1000+35)</f>
        <v/>
      </c>
      <c r="CL15">
        <f>IF(AR15=1,1000000,IF('計算A'!$EA$45=2,SUMPRODUCT('計算A'!$D$95:$DS$95,$CW15:$HL15,$HN15:$MC15),SUMPRODUCT('計算A'!$D$95:$DS$95,$CW15:$HL15))*1000+36)</f>
        <v/>
      </c>
      <c r="CM15">
        <f>IF(AS15=1,1000000,IF('計算A'!$EA$46=2,SUMPRODUCT('計算A'!$D$96:$DS$96,$CW15:$HL15,$HN15:$MC15),SUMPRODUCT('計算A'!$D$96:$DS$96,$CW15:$HL15))*1000+37)</f>
        <v/>
      </c>
      <c r="CN15">
        <f>IF(AT15=1,1000000,IF('計算A'!$EA$47=2,SUMPRODUCT('計算A'!$D$97:$DS$97,$CW15:$HL15,$HN15:$MC15),SUMPRODUCT('計算A'!$D$97:$DS$97,$CW15:$HL15))*1000+38)</f>
        <v/>
      </c>
      <c r="CO15">
        <f>IF(AU15=1,1000000,IF('計算A'!$EA$48=2,SUMPRODUCT('計算A'!$D$98:$DS$98,$CW15:$HL15,$HN15:$MC15),SUMPRODUCT('計算A'!$D$98:$DS$98,$CW15:$HL15))*1000+39)</f>
        <v/>
      </c>
      <c r="CP15">
        <f>IF(AV15=1,1000000,IF('計算A'!$EA$49=2,SUMPRODUCT('計算A'!$D$99:$DS$99,$CW15:$HL15,$HN15:$MC15),SUMPRODUCT('計算A'!$D$99:$DS$99,$CW15:$HL15))*1000+40)</f>
        <v/>
      </c>
      <c r="CQ15">
        <f>IF(AW15=1,1000000,IF('計算A'!$EA$50=2,SUMPRODUCT('計算A'!$D$100:$DS$100,$CW15:$HL15,$HN15:$MC15),SUMPRODUCT('計算A'!$D$100:$DS$100,$CW15:$HL15))*1000+41)</f>
        <v/>
      </c>
      <c r="CR15">
        <f>IF(AX15=1,1000000,IF('計算A'!$EA$51=2,SUMPRODUCT('計算A'!$D$101:$DS$101,$CW15:$HL15,$HN15:$MC15),SUMPRODUCT('計算A'!$D$101:$DS$101,$CW15:$HL15))*1000+42)</f>
        <v/>
      </c>
      <c r="CS15">
        <f>IF(AY15=1,1000000,IF('計算A'!$EA$52=2,SUMPRODUCT('計算A'!$D$102:$DS$102,$CW15:$HL15,$HN15:$MC15),SUMPRODUCT('計算A'!$D$102:$DS$102,$CW15:$HL15))*1000+43)</f>
        <v/>
      </c>
      <c r="CT15">
        <f>IF(AZ15=1,1000000,IF('計算A'!$EA$53=2,SUMPRODUCT('計算A'!$D$103:$DS$103,$CW15:$HL15,$HN15:$MC15),SUMPRODUCT('計算A'!$D$103:$DS$103,$CW15:$HL15))*1000+44)</f>
        <v/>
      </c>
      <c r="CU15">
        <f>IF(BA15=1,1000000,IF('計算A'!$EA$54=2,SUMPRODUCT('計算A'!$D$104:$DS$104,$CW15:$HL15,$HN15:$MC15),SUMPRODUCT('計算A'!$D$104:$DS$104,$CW15:$HL15))*1000+45)</f>
        <v/>
      </c>
      <c r="CW15">
        <f>CW14*IF(OR($C14=1,$G14=1),0,1)</f>
        <v/>
      </c>
      <c r="CX15">
        <f>CX14*IF(OR($C14=2,$G14=2),0,1)</f>
        <v/>
      </c>
      <c r="CY15">
        <f>CY14*IF(OR($C14=3,$G14=3),0,1)</f>
        <v/>
      </c>
      <c r="CZ15">
        <f>CZ14*IF(OR($C14=4,$G14=4),0,1)</f>
        <v/>
      </c>
      <c r="DA15">
        <f>DA14*IF(OR($C14=5,$G14=5),0,1)</f>
        <v/>
      </c>
      <c r="DB15">
        <f>DB14*IF(OR($C14=6,$G14=6),0,1)</f>
        <v/>
      </c>
      <c r="DC15">
        <f>DC14*IF(OR($C14=7,$G14=7),0,1)</f>
        <v/>
      </c>
      <c r="DD15">
        <f>DD14*IF(OR($C14=8,$G14=8),0,1)</f>
        <v/>
      </c>
      <c r="DE15">
        <f>DE14*IF(OR($C14=9,$G14=9),0,1)</f>
        <v/>
      </c>
      <c r="DF15">
        <f>DF14*IF(OR($C14=10,$G14=10),0,1)</f>
        <v/>
      </c>
      <c r="DG15">
        <f>DG14*IF(OR($C14=11,$G14=11),0,1)</f>
        <v/>
      </c>
      <c r="DH15">
        <f>DH14*IF(OR($C14=12,$G14=12),0,1)</f>
        <v/>
      </c>
      <c r="DI15">
        <f>DI14*IF(OR($C14=13,$G14=13),0,1)</f>
        <v/>
      </c>
      <c r="DJ15">
        <f>DJ14*IF(OR($C14=14,$G14=14),0,1)</f>
        <v/>
      </c>
      <c r="DK15">
        <f>DK14*IF(OR($C14=15,$G14=15),0,1)</f>
        <v/>
      </c>
      <c r="DL15">
        <f>DL14*IF(OR($C14=16,$G14=16),0,1)</f>
        <v/>
      </c>
      <c r="DM15">
        <f>DM14*IF(OR($C14=17,$G14=17),0,1)</f>
        <v/>
      </c>
      <c r="DN15">
        <f>DN14*IF(OR($C14=18,$G14=18),0,1)</f>
        <v/>
      </c>
      <c r="DO15">
        <f>DO14*IF(OR($C14=19,$G14=19),0,1)</f>
        <v/>
      </c>
      <c r="DP15">
        <f>DP14*IF(OR($C14=20,$G14=20),0,1)</f>
        <v/>
      </c>
      <c r="DQ15">
        <f>DQ14*IF(OR($C14=21,$G14=21),0,1)</f>
        <v/>
      </c>
      <c r="DR15">
        <f>DR14*IF(OR($C14=22,$G14=22),0,1)</f>
        <v/>
      </c>
      <c r="DS15">
        <f>DS14*IF(OR($C14=23,$G14=23),0,1)</f>
        <v/>
      </c>
      <c r="DT15">
        <f>DT14*IF(OR($C14=24,$G14=24),0,1)</f>
        <v/>
      </c>
      <c r="DU15">
        <f>DU14*IF(OR($C14=25,$G14=25),0,1)</f>
        <v/>
      </c>
      <c r="DV15">
        <f>DV14*IF(OR($C14=26,$G14=26),0,1)</f>
        <v/>
      </c>
      <c r="DW15">
        <f>DW14*IF(OR($C14=27,$G14=27),0,1)</f>
        <v/>
      </c>
      <c r="DX15">
        <f>DX14*IF(OR($C14=28,$G14=28),0,1)</f>
        <v/>
      </c>
      <c r="DY15">
        <f>DY14*IF(OR($C14=29,$G14=29),0,1)</f>
        <v/>
      </c>
      <c r="DZ15">
        <f>DZ14*IF(OR($C14=30,$G14=30),0,1)</f>
        <v/>
      </c>
      <c r="EA15">
        <f>EA14*IF(OR($C14=31,$G14=31),0,1)</f>
        <v/>
      </c>
      <c r="EB15">
        <f>EB14*IF(OR($C14=32,$G14=32),0,1)</f>
        <v/>
      </c>
      <c r="EC15">
        <f>EC14*IF(OR($C14=33,$G14=33),0,1)</f>
        <v/>
      </c>
      <c r="ED15">
        <f>ED14*IF(OR($C14=34,$G14=34),0,1)</f>
        <v/>
      </c>
      <c r="EE15">
        <f>EE14*IF(OR($C14=35,$G14=35),0,1)</f>
        <v/>
      </c>
      <c r="EF15">
        <f>EF14*IF(OR($C14=36,$G14=36),0,1)</f>
        <v/>
      </c>
      <c r="EG15">
        <f>EG14*IF(OR($C14=37,$G14=37),0,1)</f>
        <v/>
      </c>
      <c r="EH15">
        <f>EH14*IF(OR($C14=38,$G14=38),0,1)</f>
        <v/>
      </c>
      <c r="EI15">
        <f>EI14*IF(OR($C14=39,$G14=39),0,1)</f>
        <v/>
      </c>
      <c r="EJ15">
        <f>EJ14*IF(OR($C14=40,$G14=40),0,1)</f>
        <v/>
      </c>
      <c r="EK15">
        <f>EK14*IF(OR($C14=41,$G14=41),0,1)</f>
        <v/>
      </c>
      <c r="EL15">
        <f>EL14*IF(OR($C14=42,$G14=42),0,1)</f>
        <v/>
      </c>
      <c r="EM15">
        <f>EM14*IF(OR($C14=43,$G14=43),0,1)</f>
        <v/>
      </c>
      <c r="EN15">
        <f>EN14*IF(OR($C14=44,$G14=44),0,1)</f>
        <v/>
      </c>
      <c r="EO15">
        <f>EO14*IF(OR($C14=45,$G14=45),0,1)</f>
        <v/>
      </c>
      <c r="EP15">
        <f>EP14*IF(OR($C14=46,$G14=46),0,1)</f>
        <v/>
      </c>
      <c r="EQ15">
        <f>EQ14*IF(OR($C14=47,$G14=47),0,1)</f>
        <v/>
      </c>
      <c r="ER15">
        <f>ER14*IF(OR($C14=48,$G14=48),0,1)</f>
        <v/>
      </c>
      <c r="ES15">
        <f>ES14*IF(OR($C14=49,$G14=49),0,1)</f>
        <v/>
      </c>
      <c r="ET15">
        <f>ET14*IF(OR($C14=50,$G14=50),0,1)</f>
        <v/>
      </c>
      <c r="EU15">
        <f>EU14*IF(OR($C14=51,$G14=51),0,1)</f>
        <v/>
      </c>
      <c r="EV15">
        <f>EV14*IF(OR($C14=52,$G14=52),0,1)</f>
        <v/>
      </c>
      <c r="EW15">
        <f>EW14*IF(OR($C14=53,$G14=53),0,1)</f>
        <v/>
      </c>
      <c r="EX15">
        <f>EX14*IF(OR($C14=54,$G14=54),0,1)</f>
        <v/>
      </c>
      <c r="EY15">
        <f>EY14*IF(OR($C14=55,$G14=55),0,1)</f>
        <v/>
      </c>
      <c r="EZ15">
        <f>EZ14*IF(OR($C14=56,$G14=56),0,1)</f>
        <v/>
      </c>
      <c r="FA15">
        <f>FA14*IF(OR($C14=57,$G14=57),0,1)</f>
        <v/>
      </c>
      <c r="FB15">
        <f>FB14*IF(OR($C14=58,$G14=58),0,1)</f>
        <v/>
      </c>
      <c r="FC15">
        <f>FC14*IF(OR($C14=59,$G14=59),0,1)</f>
        <v/>
      </c>
      <c r="FD15">
        <f>FD14*IF(OR($C14=60,$G14=60),0,1)</f>
        <v/>
      </c>
      <c r="FE15">
        <f>FE14*IF(OR($C14=61,$G14=61),0,1)</f>
        <v/>
      </c>
      <c r="FF15">
        <f>FF14*IF(OR($C14=62,$G14=62),0,1)</f>
        <v/>
      </c>
      <c r="FG15">
        <f>FG14*IF(OR($C14=63,$G14=63),0,1)</f>
        <v/>
      </c>
      <c r="FH15">
        <f>FH14*IF(OR($C14=64,$G14=64),0,1)</f>
        <v/>
      </c>
      <c r="FI15">
        <f>FI14*IF(OR($C14=65,$G14=65),0,1)</f>
        <v/>
      </c>
      <c r="FJ15">
        <f>FJ14*IF(OR($C14=66,$G14=66),0,1)</f>
        <v/>
      </c>
      <c r="FK15">
        <f>FK14*IF(OR($C14=67,$G14=67),0,1)</f>
        <v/>
      </c>
      <c r="FL15">
        <f>FL14*IF(OR($C14=68,$G14=68),0,1)</f>
        <v/>
      </c>
      <c r="FM15">
        <f>FM14*IF(OR($C14=69,$G14=69),0,1)</f>
        <v/>
      </c>
      <c r="FN15">
        <f>FN14*IF(OR($C14=70,$G14=70),0,1)</f>
        <v/>
      </c>
      <c r="FO15">
        <f>FO14*IF(OR($C14=71,$G14=71),0,1)</f>
        <v/>
      </c>
      <c r="FP15">
        <f>FP14*IF(OR($C14=72,$G14=72),0,1)</f>
        <v/>
      </c>
      <c r="FQ15">
        <f>FQ14*IF(OR($C14=73,$G14=73),0,1)</f>
        <v/>
      </c>
      <c r="FR15">
        <f>FR14*IF(OR($C14=74,$G14=74),0,1)</f>
        <v/>
      </c>
      <c r="FS15">
        <f>FS14*IF(OR($C14=75,$G14=75),0,1)</f>
        <v/>
      </c>
      <c r="FT15">
        <f>FT14*IF(OR($C14=76,$G14=76),0,1)</f>
        <v/>
      </c>
      <c r="FU15">
        <f>FU14*IF(OR($C14=77,$G14=77),0,1)</f>
        <v/>
      </c>
      <c r="FV15">
        <f>FV14*IF(OR($C14=78,$G14=78),0,1)</f>
        <v/>
      </c>
      <c r="FW15">
        <f>FW14*IF(OR($C14=79,$G14=79),0,1)</f>
        <v/>
      </c>
      <c r="FX15">
        <f>FX14*IF(OR($C14=80,$G14=80),0,1)</f>
        <v/>
      </c>
      <c r="FY15">
        <f>FY14*IF(OR($C14=81,$G14=81),0,1)</f>
        <v/>
      </c>
      <c r="FZ15">
        <f>FZ14*IF(OR($C14=82,$G14=82),0,1)</f>
        <v/>
      </c>
      <c r="GA15">
        <f>GA14*IF(OR($C14=83,$G14=83),0,1)</f>
        <v/>
      </c>
      <c r="GB15">
        <f>GB14*IF(OR($C14=84,$G14=84),0,1)</f>
        <v/>
      </c>
      <c r="GC15">
        <f>GC14*IF(OR($C14=85,$G14=85),0,1)</f>
        <v/>
      </c>
      <c r="GD15">
        <f>GD14*IF(OR($C14=86,$G14=86),0,1)</f>
        <v/>
      </c>
      <c r="GE15">
        <f>GE14*IF(OR($C14=87,$G14=87),0,1)</f>
        <v/>
      </c>
      <c r="GF15">
        <f>GF14*IF(OR($C14=88,$G14=88),0,1)</f>
        <v/>
      </c>
      <c r="GG15">
        <f>GG14*IF(OR($C14=89,$G14=89),0,1)</f>
        <v/>
      </c>
      <c r="GH15">
        <f>GH14*IF(OR($C14=90,$G14=90),0,1)</f>
        <v/>
      </c>
      <c r="GI15">
        <f>GI14*IF(OR($C14=91,$G14=91),0,1)</f>
        <v/>
      </c>
      <c r="GJ15">
        <f>GJ14*IF(OR($C14=92,$G14=92),0,1)</f>
        <v/>
      </c>
      <c r="GK15">
        <f>GK14*IF(OR($C14=93,$G14=93),0,1)</f>
        <v/>
      </c>
      <c r="GL15">
        <f>GL14*IF(OR($C14=94,$G14=94),0,1)</f>
        <v/>
      </c>
      <c r="GM15">
        <f>GM14*IF(OR($C14=95,$G14=95),0,1)</f>
        <v/>
      </c>
      <c r="GN15">
        <f>GN14*IF(OR($C14=96,$G14=96),0,1)</f>
        <v/>
      </c>
      <c r="GO15">
        <f>GO14*IF(OR($C14=97,$G14=97),0,1)</f>
        <v/>
      </c>
      <c r="GP15">
        <f>GP14*IF(OR($C14=98,$G14=98),0,1)</f>
        <v/>
      </c>
      <c r="GQ15">
        <f>GQ14*IF(OR($C14=99,$G14=99),0,1)</f>
        <v/>
      </c>
      <c r="GR15">
        <f>GR14*IF(OR($C14=100,$G14=100),0,1)</f>
        <v/>
      </c>
      <c r="GS15">
        <f>GS14*IF(OR($C14=101,$G14=101),0,1)</f>
        <v/>
      </c>
      <c r="GT15">
        <f>GT14*IF(OR($C14=102,$G14=102),0,1)</f>
        <v/>
      </c>
      <c r="GU15">
        <f>GU14*IF(OR($C14=103,$G14=103),0,1)</f>
        <v/>
      </c>
      <c r="GV15">
        <f>GV14*IF(OR($C14=104,$G14=104),0,1)</f>
        <v/>
      </c>
      <c r="GW15">
        <f>GW14*IF(OR($C14=105,$G14=105),0,1)</f>
        <v/>
      </c>
      <c r="GX15">
        <f>GX14*IF(OR($C14=106,$G14=106),0,1)</f>
        <v/>
      </c>
      <c r="GY15">
        <f>GY14*IF(OR($C14=107,$G14=107),0,1)</f>
        <v/>
      </c>
      <c r="GZ15">
        <f>GZ14*IF(OR($C14=108,$G14=108),0,1)</f>
        <v/>
      </c>
      <c r="HA15">
        <f>HA14*IF(OR($C14=109,$G14=109),0,1)</f>
        <v/>
      </c>
      <c r="HB15">
        <f>HB14*IF(OR($C14=110,$G14=110),0,1)</f>
        <v/>
      </c>
      <c r="HC15">
        <f>HC14*IF(OR($C14=111,$G14=111),0,1)</f>
        <v/>
      </c>
      <c r="HD15">
        <f>HD14*IF(OR($C14=112,$G14=112),0,1)</f>
        <v/>
      </c>
      <c r="HE15">
        <f>HE14*IF(OR($C14=113,$G14=113),0,1)</f>
        <v/>
      </c>
      <c r="HF15">
        <f>HF14*IF(OR($C14=114,$G14=114),0,1)</f>
        <v/>
      </c>
      <c r="HG15">
        <f>HG14*IF(OR($C14=115,$G14=115),0,1)</f>
        <v/>
      </c>
      <c r="HH15">
        <f>HH14*IF(OR($C14=116,$G14=116),0,1)</f>
        <v/>
      </c>
      <c r="HI15">
        <f>HI14*IF(OR($C14=117,$G14=117),0,1)</f>
        <v/>
      </c>
      <c r="HJ15">
        <f>HJ14*IF(OR($C14=118,$G14=118),0,1)</f>
        <v/>
      </c>
      <c r="HK15">
        <f>HK14*IF(OR($C14=119,$G14=119),0,1)</f>
        <v/>
      </c>
      <c r="HL15">
        <f>HL14*IF(OR($C14=120,$G14=120),0,1)</f>
        <v/>
      </c>
      <c r="HN15">
        <f>IF('計算A'!D$106=1,CX15,1)</f>
        <v/>
      </c>
      <c r="HO15">
        <f>IF('計算A'!E$106=1,CY15,1)</f>
        <v/>
      </c>
      <c r="HP15">
        <f>IF('計算A'!F$106=1,CZ15,1)</f>
        <v/>
      </c>
      <c r="HQ15">
        <f>IF('計算A'!G$106=1,DA15,1)</f>
        <v/>
      </c>
      <c r="HR15">
        <f>IF('計算A'!H$106=1,DB15,1)</f>
        <v/>
      </c>
      <c r="HS15">
        <f>IF('計算A'!I$106=1,DC15,1)</f>
        <v/>
      </c>
      <c r="HT15">
        <f>IF('計算A'!J$106=1,DD15,1)</f>
        <v/>
      </c>
      <c r="HU15">
        <f>IF('計算A'!K$106=1,DE15,1)</f>
        <v/>
      </c>
      <c r="HV15">
        <f>IF('計算A'!L$106=1,DF15,1)</f>
        <v/>
      </c>
      <c r="HW15">
        <f>IF('計算A'!M$106=1,DG15,1)</f>
        <v/>
      </c>
      <c r="HX15">
        <f>IF('計算A'!N$106=1,DH15,1)</f>
        <v/>
      </c>
      <c r="HY15">
        <f>IF('計算A'!O$106=1,DI15,1)</f>
        <v/>
      </c>
      <c r="HZ15">
        <f>IF('計算A'!P$106=1,DJ15,1)</f>
        <v/>
      </c>
      <c r="IA15">
        <f>IF('計算A'!Q$106=1,DK15,1)</f>
        <v/>
      </c>
      <c r="IB15">
        <f>IF('計算A'!R$106=1,DL15,1)</f>
        <v/>
      </c>
      <c r="IC15">
        <f>IF('計算A'!S$106=1,DM15,1)</f>
        <v/>
      </c>
      <c r="ID15">
        <f>IF('計算A'!T$106=1,DN15,1)</f>
        <v/>
      </c>
      <c r="IE15">
        <f>IF('計算A'!U$106=1,DO15,1)</f>
        <v/>
      </c>
      <c r="IF15">
        <f>IF('計算A'!V$106=1,DP15,1)</f>
        <v/>
      </c>
      <c r="IG15">
        <f>IF('計算A'!W$106=1,DQ15,1)</f>
        <v/>
      </c>
      <c r="IH15">
        <f>IF('計算A'!X$106=1,DR15,1)</f>
        <v/>
      </c>
      <c r="II15">
        <f>IF('計算A'!Y$106=1,DS15,1)</f>
        <v/>
      </c>
      <c r="IJ15">
        <f>IF('計算A'!Z$106=1,DT15,1)</f>
        <v/>
      </c>
      <c r="IK15">
        <f>IF('計算A'!AA$106=1,DU15,1)</f>
        <v/>
      </c>
      <c r="IL15">
        <f>IF('計算A'!AB$106=1,DV15,1)</f>
        <v/>
      </c>
      <c r="IM15">
        <f>IF('計算A'!AC$106=1,DW15,1)</f>
        <v/>
      </c>
      <c r="IN15">
        <f>IF('計算A'!AD$106=1,DX15,1)</f>
        <v/>
      </c>
      <c r="IO15">
        <f>IF('計算A'!AE$106=1,DY15,1)</f>
        <v/>
      </c>
      <c r="IP15">
        <f>IF('計算A'!AF$106=1,DZ15,1)</f>
        <v/>
      </c>
      <c r="IQ15">
        <f>IF('計算A'!AG$106=1,EA15,1)</f>
        <v/>
      </c>
      <c r="IR15">
        <f>IF('計算A'!AH$106=1,EB15,1)</f>
        <v/>
      </c>
      <c r="IS15">
        <f>IF('計算A'!AI$106=1,EC15,1)</f>
        <v/>
      </c>
      <c r="IT15">
        <f>IF('計算A'!AJ$106=1,ED15,1)</f>
        <v/>
      </c>
      <c r="IU15">
        <f>IF('計算A'!AK$106=1,EE15,1)</f>
        <v/>
      </c>
      <c r="IV15">
        <f>IF('計算A'!AL$106=1,EF15,1)</f>
        <v/>
      </c>
      <c r="IW15">
        <f>IF('計算A'!AM$106=1,EG15,1)</f>
        <v/>
      </c>
      <c r="IX15">
        <f>IF('計算A'!AN$106=1,EH15,1)</f>
        <v/>
      </c>
      <c r="IY15">
        <f>IF('計算A'!AO$106=1,EI15,1)</f>
        <v/>
      </c>
      <c r="IZ15">
        <f>IF('計算A'!AP$106=1,EJ15,1)</f>
        <v/>
      </c>
      <c r="JA15">
        <f>IF('計算A'!AQ$106=1,EK15,1)</f>
        <v/>
      </c>
      <c r="JB15">
        <f>IF('計算A'!AR$106=1,EL15,1)</f>
        <v/>
      </c>
      <c r="JC15">
        <f>IF('計算A'!AS$106=1,EM15,1)</f>
        <v/>
      </c>
      <c r="JD15">
        <f>IF('計算A'!AT$106=1,EN15,1)</f>
        <v/>
      </c>
      <c r="JE15">
        <f>IF('計算A'!AU$106=1,EO15,1)</f>
        <v/>
      </c>
      <c r="JF15">
        <f>IF('計算A'!AV$106=1,EP15,1)</f>
        <v/>
      </c>
      <c r="JG15">
        <f>IF('計算A'!AW$106=1,EQ15,1)</f>
        <v/>
      </c>
      <c r="JH15">
        <f>IF('計算A'!AX$106=1,ER15,1)</f>
        <v/>
      </c>
      <c r="JI15">
        <f>IF('計算A'!AY$106=1,ES15,1)</f>
        <v/>
      </c>
      <c r="JJ15">
        <f>IF('計算A'!AZ$106=1,ET15,1)</f>
        <v/>
      </c>
      <c r="JK15">
        <f>IF('計算A'!BA$106=1,EU15,1)</f>
        <v/>
      </c>
      <c r="JL15">
        <f>IF('計算A'!BB$106=1,EV15,1)</f>
        <v/>
      </c>
      <c r="JM15">
        <f>IF('計算A'!BC$106=1,EW15,1)</f>
        <v/>
      </c>
      <c r="JN15">
        <f>IF('計算A'!BD$106=1,EX15,1)</f>
        <v/>
      </c>
      <c r="JO15">
        <f>IF('計算A'!BE$106=1,EY15,1)</f>
        <v/>
      </c>
      <c r="JP15">
        <f>IF('計算A'!BF$106=1,EZ15,1)</f>
        <v/>
      </c>
      <c r="JQ15">
        <f>IF('計算A'!BG$106=1,FA15,1)</f>
        <v/>
      </c>
      <c r="JR15">
        <f>IF('計算A'!BH$106=1,FB15,1)</f>
        <v/>
      </c>
      <c r="JS15">
        <f>IF('計算A'!BI$106=1,FC15,1)</f>
        <v/>
      </c>
      <c r="JT15">
        <f>IF('計算A'!BJ$106=1,FD15,1)</f>
        <v/>
      </c>
      <c r="JU15">
        <f>IF('計算A'!BK$106=1,FE15,1)</f>
        <v/>
      </c>
      <c r="JV15">
        <f>IF('計算A'!BL$106=1,FF15,1)</f>
        <v/>
      </c>
      <c r="JW15">
        <f>IF('計算A'!BM$106=1,FG15,1)</f>
        <v/>
      </c>
      <c r="JX15">
        <f>IF('計算A'!BN$106=1,FH15,1)</f>
        <v/>
      </c>
      <c r="JY15">
        <f>IF('計算A'!BO$106=1,FI15,1)</f>
        <v/>
      </c>
      <c r="JZ15">
        <f>IF('計算A'!BP$106=1,FJ15,1)</f>
        <v/>
      </c>
      <c r="KA15">
        <f>IF('計算A'!BQ$106=1,FK15,1)</f>
        <v/>
      </c>
      <c r="KB15">
        <f>IF('計算A'!BR$106=1,FL15,1)</f>
        <v/>
      </c>
      <c r="KC15">
        <f>IF('計算A'!BS$106=1,FM15,1)</f>
        <v/>
      </c>
      <c r="KD15">
        <f>IF('計算A'!BT$106=1,FN15,1)</f>
        <v/>
      </c>
      <c r="KE15">
        <f>IF('計算A'!BU$106=1,FO15,1)</f>
        <v/>
      </c>
      <c r="KF15">
        <f>IF('計算A'!BV$106=1,FP15,1)</f>
        <v/>
      </c>
      <c r="KG15">
        <f>IF('計算A'!BW$106=1,FQ15,1)</f>
        <v/>
      </c>
      <c r="KH15">
        <f>IF('計算A'!BX$106=1,FR15,1)</f>
        <v/>
      </c>
      <c r="KI15">
        <f>IF('計算A'!BY$106=1,FS15,1)</f>
        <v/>
      </c>
      <c r="KJ15">
        <f>IF('計算A'!BZ$106=1,FT15,1)</f>
        <v/>
      </c>
      <c r="KK15">
        <f>IF('計算A'!CA$106=1,FU15,1)</f>
        <v/>
      </c>
      <c r="KL15">
        <f>IF('計算A'!CB$106=1,FV15,1)</f>
        <v/>
      </c>
      <c r="KM15">
        <f>IF('計算A'!CC$106=1,FW15,1)</f>
        <v/>
      </c>
      <c r="KN15">
        <f>IF('計算A'!CD$106=1,FX15,1)</f>
        <v/>
      </c>
      <c r="KO15">
        <f>IF('計算A'!CE$106=1,FY15,1)</f>
        <v/>
      </c>
      <c r="KP15">
        <f>IF('計算A'!CF$106=1,FZ15,1)</f>
        <v/>
      </c>
      <c r="KQ15">
        <f>IF('計算A'!CG$106=1,GA15,1)</f>
        <v/>
      </c>
      <c r="KR15">
        <f>IF('計算A'!CH$106=1,GB15,1)</f>
        <v/>
      </c>
      <c r="KS15">
        <f>IF('計算A'!CI$106=1,GC15,1)</f>
        <v/>
      </c>
      <c r="KT15">
        <f>IF('計算A'!CJ$106=1,GD15,1)</f>
        <v/>
      </c>
      <c r="KU15">
        <f>IF('計算A'!CK$106=1,GE15,1)</f>
        <v/>
      </c>
      <c r="KV15">
        <f>IF('計算A'!CL$106=1,GF15,1)</f>
        <v/>
      </c>
      <c r="KW15">
        <f>IF('計算A'!CM$106=1,GG15,1)</f>
        <v/>
      </c>
      <c r="KX15">
        <f>IF('計算A'!CN$106=1,GH15,1)</f>
        <v/>
      </c>
      <c r="KY15">
        <f>IF('計算A'!CO$106=1,GI15,1)</f>
        <v/>
      </c>
      <c r="KZ15">
        <f>IF('計算A'!CP$106=1,GJ15,1)</f>
        <v/>
      </c>
      <c r="LA15">
        <f>IF('計算A'!CQ$106=1,GK15,1)</f>
        <v/>
      </c>
      <c r="LB15">
        <f>IF('計算A'!CR$106=1,GL15,1)</f>
        <v/>
      </c>
      <c r="LC15">
        <f>IF('計算A'!CS$106=1,GM15,1)</f>
        <v/>
      </c>
      <c r="LD15">
        <f>IF('計算A'!CT$106=1,GN15,1)</f>
        <v/>
      </c>
      <c r="LE15">
        <f>IF('計算A'!CU$106=1,GO15,1)</f>
        <v/>
      </c>
      <c r="LF15">
        <f>IF('計算A'!CV$106=1,GP15,1)</f>
        <v/>
      </c>
      <c r="LG15">
        <f>IF('計算A'!CW$106=1,GQ15,1)</f>
        <v/>
      </c>
      <c r="LH15">
        <f>IF('計算A'!CX$106=1,GR15,1)</f>
        <v/>
      </c>
      <c r="LI15">
        <f>IF('計算A'!CY$106=1,GS15,1)</f>
        <v/>
      </c>
      <c r="LJ15">
        <f>IF('計算A'!CZ$106=1,GT15,1)</f>
        <v/>
      </c>
      <c r="LK15">
        <f>IF('計算A'!DA$106=1,GU15,1)</f>
        <v/>
      </c>
      <c r="LL15">
        <f>IF('計算A'!DB$106=1,GV15,1)</f>
        <v/>
      </c>
      <c r="LM15">
        <f>IF('計算A'!DC$106=1,GW15,1)</f>
        <v/>
      </c>
      <c r="LN15">
        <f>IF('計算A'!DD$106=1,GX15,1)</f>
        <v/>
      </c>
      <c r="LO15">
        <f>IF('計算A'!DE$106=1,GY15,1)</f>
        <v/>
      </c>
      <c r="LP15">
        <f>IF('計算A'!DF$106=1,GZ15,1)</f>
        <v/>
      </c>
      <c r="LQ15">
        <f>IF('計算A'!DG$106=1,HA15,1)</f>
        <v/>
      </c>
      <c r="LR15">
        <f>IF('計算A'!DH$106=1,HB15,1)</f>
        <v/>
      </c>
      <c r="LS15">
        <f>IF('計算A'!DI$106=1,HC15,1)</f>
        <v/>
      </c>
      <c r="LT15">
        <f>IF('計算A'!DJ$106=1,HD15,1)</f>
        <v/>
      </c>
      <c r="LU15">
        <f>IF('計算A'!DK$106=1,HE15,1)</f>
        <v/>
      </c>
      <c r="LV15">
        <f>IF('計算A'!DL$106=1,HF15,1)</f>
        <v/>
      </c>
      <c r="LW15">
        <f>IF('計算A'!DM$106=1,HG15,1)</f>
        <v/>
      </c>
      <c r="LX15">
        <f>IF('計算A'!DN$106=1,HH15,1)</f>
        <v/>
      </c>
      <c r="LY15">
        <f>IF('計算A'!DO$106=1,HI15,1)</f>
        <v/>
      </c>
      <c r="LZ15">
        <f>IF('計算A'!DP$106=1,HJ15,1)</f>
        <v/>
      </c>
      <c r="MA15">
        <f>IF('計算A'!DQ$106=1,HK15,1)</f>
        <v/>
      </c>
      <c r="MB15">
        <f>IF('計算A'!DR$106=1,HL15,1)</f>
        <v/>
      </c>
      <c r="MC15" t="n">
        <v>1</v>
      </c>
      <c r="ME15">
        <f>IF($B15=0,1000000,IF(INDEX('計算A'!$D$60:$DS$104,$B15,1)*CW15=1,IF(AND($E15=2,HN15=0),1000000,INDEX('計算A'!D$110:D$114,$F15+1)+IF(AND($E15=1,HN15=0),1000,0)),1000000))</f>
        <v/>
      </c>
      <c r="MF15">
        <f>IF($B15=0,1000000,IF(INDEX('計算A'!$D$60:$DS$104,$B15,2)*CX15=1,IF(AND($E15=2,HO15=0),1000000,INDEX('計算A'!E$110:E$114,$F15+1)+IF(AND($E15=1,HO15=0),1000,0)),1000000))</f>
        <v/>
      </c>
      <c r="MG15">
        <f>IF($B15=0,1000000,IF(INDEX('計算A'!$D$60:$DS$104,$B15,3)*CY15=1,IF(AND($E15=2,HP15=0),1000000,INDEX('計算A'!F$110:F$114,$F15+1)+IF(AND($E15=1,HP15=0),1000,0)),1000000))</f>
        <v/>
      </c>
      <c r="MH15">
        <f>IF($B15=0,1000000,IF(INDEX('計算A'!$D$60:$DS$104,$B15,4)*CZ15=1,IF(AND($E15=2,HQ15=0),1000000,INDEX('計算A'!G$110:G$114,$F15+1)+IF(AND($E15=1,HQ15=0),1000,0)),1000000))</f>
        <v/>
      </c>
      <c r="MI15">
        <f>IF($B15=0,1000000,IF(INDEX('計算A'!$D$60:$DS$104,$B15,5)*DA15=1,IF(AND($E15=2,HR15=0),1000000,INDEX('計算A'!H$110:H$114,$F15+1)+IF(AND($E15=1,HR15=0),1000,0)),1000000))</f>
        <v/>
      </c>
      <c r="MJ15">
        <f>IF($B15=0,1000000,IF(INDEX('計算A'!$D$60:$DS$104,$B15,6)*DB15=1,IF(AND($E15=2,HS15=0),1000000,INDEX('計算A'!I$110:I$114,$F15+1)+IF(AND($E15=1,HS15=0),1000,0)),1000000))</f>
        <v/>
      </c>
      <c r="MK15">
        <f>IF($B15=0,1000000,IF(INDEX('計算A'!$D$60:$DS$104,$B15,7)*DC15=1,IF(AND($E15=2,HT15=0),1000000,INDEX('計算A'!J$110:J$114,$F15+1)+IF(AND($E15=1,HT15=0),1000,0)),1000000))</f>
        <v/>
      </c>
      <c r="ML15">
        <f>IF($B15=0,1000000,IF(INDEX('計算A'!$D$60:$DS$104,$B15,8)*DD15=1,IF(AND($E15=2,HU15=0),1000000,INDEX('計算A'!K$110:K$114,$F15+1)+IF(AND($E15=1,HU15=0),1000,0)),1000000))</f>
        <v/>
      </c>
      <c r="MM15">
        <f>IF($B15=0,1000000,IF(INDEX('計算A'!$D$60:$DS$104,$B15,9)*DE15=1,IF(AND($E15=2,HV15=0),1000000,INDEX('計算A'!L$110:L$114,$F15+1)+IF(AND($E15=1,HV15=0),1000,0)),1000000))</f>
        <v/>
      </c>
      <c r="MN15">
        <f>IF($B15=0,1000000,IF(INDEX('計算A'!$D$60:$DS$104,$B15,10)*DF15=1,IF(AND($E15=2,HW15=0),1000000,INDEX('計算A'!M$110:M$114,$F15+1)+IF(AND($E15=1,HW15=0),1000,0)),1000000))</f>
        <v/>
      </c>
      <c r="MO15">
        <f>IF($B15=0,1000000,IF(INDEX('計算A'!$D$60:$DS$104,$B15,11)*DG15=1,IF(AND($E15=2,HX15=0),1000000,INDEX('計算A'!N$110:N$114,$F15+1)+IF(AND($E15=1,HX15=0),1000,0)),1000000))</f>
        <v/>
      </c>
      <c r="MP15">
        <f>IF($B15=0,1000000,IF(INDEX('計算A'!$D$60:$DS$104,$B15,12)*DH15=1,IF(AND($E15=2,HY15=0),1000000,INDEX('計算A'!O$110:O$114,$F15+1)+IF(AND($E15=1,HY15=0),1000,0)),1000000))</f>
        <v/>
      </c>
      <c r="MQ15">
        <f>IF($B15=0,1000000,IF(INDEX('計算A'!$D$60:$DS$104,$B15,13)*DI15=1,IF(AND($E15=2,HZ15=0),1000000,INDEX('計算A'!P$110:P$114,$F15+1)+IF(AND($E15=1,HZ15=0),1000,0)),1000000))</f>
        <v/>
      </c>
      <c r="MR15">
        <f>IF($B15=0,1000000,IF(INDEX('計算A'!$D$60:$DS$104,$B15,14)*DJ15=1,IF(AND($E15=2,IA15=0),1000000,INDEX('計算A'!Q$110:Q$114,$F15+1)+IF(AND($E15=1,IA15=0),1000,0)),1000000))</f>
        <v/>
      </c>
      <c r="MS15">
        <f>IF($B15=0,1000000,IF(INDEX('計算A'!$D$60:$DS$104,$B15,15)*DK15=1,IF(AND($E15=2,IB15=0),1000000,INDEX('計算A'!R$110:R$114,$F15+1)+IF(AND($E15=1,IB15=0),1000,0)),1000000))</f>
        <v/>
      </c>
      <c r="MT15">
        <f>IF($B15=0,1000000,IF(INDEX('計算A'!$D$60:$DS$104,$B15,16)*DL15=1,IF(AND($E15=2,IC15=0),1000000,INDEX('計算A'!S$110:S$114,$F15+1)+IF(AND($E15=1,IC15=0),1000,0)),1000000))</f>
        <v/>
      </c>
      <c r="MU15">
        <f>IF($B15=0,1000000,IF(INDEX('計算A'!$D$60:$DS$104,$B15,17)*DM15=1,IF(AND($E15=2,ID15=0),1000000,INDEX('計算A'!T$110:T$114,$F15+1)+IF(AND($E15=1,ID15=0),1000,0)),1000000))</f>
        <v/>
      </c>
      <c r="MV15">
        <f>IF($B15=0,1000000,IF(INDEX('計算A'!$D$60:$DS$104,$B15,18)*DN15=1,IF(AND($E15=2,IE15=0),1000000,INDEX('計算A'!U$110:U$114,$F15+1)+IF(AND($E15=1,IE15=0),1000,0)),1000000))</f>
        <v/>
      </c>
      <c r="MW15">
        <f>IF($B15=0,1000000,IF(INDEX('計算A'!$D$60:$DS$104,$B15,19)*DO15=1,IF(AND($E15=2,IF15=0),1000000,INDEX('計算A'!V$110:V$114,$F15+1)+IF(AND($E15=1,IF15=0),1000,0)),1000000))</f>
        <v/>
      </c>
      <c r="MX15">
        <f>IF($B15=0,1000000,IF(INDEX('計算A'!$D$60:$DS$104,$B15,20)*DP15=1,IF(AND($E15=2,IG15=0),1000000,INDEX('計算A'!W$110:W$114,$F15+1)+IF(AND($E15=1,IG15=0),1000,0)),1000000))</f>
        <v/>
      </c>
      <c r="MY15">
        <f>IF($B15=0,1000000,IF(INDEX('計算A'!$D$60:$DS$104,$B15,21)*DQ15=1,IF(AND($E15=2,IH15=0),1000000,INDEX('計算A'!X$110:X$114,$F15+1)+IF(AND($E15=1,IH15=0),1000,0)),1000000))</f>
        <v/>
      </c>
      <c r="MZ15">
        <f>IF($B15=0,1000000,IF(INDEX('計算A'!$D$60:$DS$104,$B15,22)*DR15=1,IF(AND($E15=2,II15=0),1000000,INDEX('計算A'!Y$110:Y$114,$F15+1)+IF(AND($E15=1,II15=0),1000,0)),1000000))</f>
        <v/>
      </c>
      <c r="NA15">
        <f>IF($B15=0,1000000,IF(INDEX('計算A'!$D$60:$DS$104,$B15,23)*DS15=1,IF(AND($E15=2,IJ15=0),1000000,INDEX('計算A'!Z$110:Z$114,$F15+1)+IF(AND($E15=1,IJ15=0),1000,0)),1000000))</f>
        <v/>
      </c>
      <c r="NB15">
        <f>IF($B15=0,1000000,IF(INDEX('計算A'!$D$60:$DS$104,$B15,24)*DT15=1,IF(AND($E15=2,IK15=0),1000000,INDEX('計算A'!AA$110:AA$114,$F15+1)+IF(AND($E15=1,IK15=0),1000,0)),1000000))</f>
        <v/>
      </c>
      <c r="NC15">
        <f>IF($B15=0,1000000,IF(INDEX('計算A'!$D$60:$DS$104,$B15,25)*DU15=1,IF(AND($E15=2,IL15=0),1000000,INDEX('計算A'!AB$110:AB$114,$F15+1)+IF(AND($E15=1,IL15=0),1000,0)),1000000))</f>
        <v/>
      </c>
      <c r="ND15">
        <f>IF($B15=0,1000000,IF(INDEX('計算A'!$D$60:$DS$104,$B15,26)*DV15=1,IF(AND($E15=2,IM15=0),1000000,INDEX('計算A'!AC$110:AC$114,$F15+1)+IF(AND($E15=1,IM15=0),1000,0)),1000000))</f>
        <v/>
      </c>
      <c r="NE15">
        <f>IF($B15=0,1000000,IF(INDEX('計算A'!$D$60:$DS$104,$B15,27)*DW15=1,IF(AND($E15=2,IN15=0),1000000,INDEX('計算A'!AD$110:AD$114,$F15+1)+IF(AND($E15=1,IN15=0),1000,0)),1000000))</f>
        <v/>
      </c>
      <c r="NF15">
        <f>IF($B15=0,1000000,IF(INDEX('計算A'!$D$60:$DS$104,$B15,28)*DX15=1,IF(AND($E15=2,IO15=0),1000000,INDEX('計算A'!AE$110:AE$114,$F15+1)+IF(AND($E15=1,IO15=0),1000,0)),1000000))</f>
        <v/>
      </c>
      <c r="NG15">
        <f>IF($B15=0,1000000,IF(INDEX('計算A'!$D$60:$DS$104,$B15,29)*DY15=1,IF(AND($E15=2,IP15=0),1000000,INDEX('計算A'!AF$110:AF$114,$F15+1)+IF(AND($E15=1,IP15=0),1000,0)),1000000))</f>
        <v/>
      </c>
      <c r="NH15">
        <f>IF($B15=0,1000000,IF(INDEX('計算A'!$D$60:$DS$104,$B15,30)*DZ15=1,IF(AND($E15=2,IQ15=0),1000000,INDEX('計算A'!AG$110:AG$114,$F15+1)+IF(AND($E15=1,IQ15=0),1000,0)),1000000))</f>
        <v/>
      </c>
      <c r="NI15">
        <f>IF($B15=0,1000000,IF(INDEX('計算A'!$D$60:$DS$104,$B15,31)*EA15=1,IF(AND($E15=2,IR15=0),1000000,INDEX('計算A'!AH$110:AH$114,$F15+1)+IF(AND($E15=1,IR15=0),1000,0)),1000000))</f>
        <v/>
      </c>
      <c r="NJ15">
        <f>IF($B15=0,1000000,IF(INDEX('計算A'!$D$60:$DS$104,$B15,32)*EB15=1,IF(AND($E15=2,IS15=0),1000000,INDEX('計算A'!AI$110:AI$114,$F15+1)+IF(AND($E15=1,IS15=0),1000,0)),1000000))</f>
        <v/>
      </c>
      <c r="NK15">
        <f>IF($B15=0,1000000,IF(INDEX('計算A'!$D$60:$DS$104,$B15,33)*EC15=1,IF(AND($E15=2,IT15=0),1000000,INDEX('計算A'!AJ$110:AJ$114,$F15+1)+IF(AND($E15=1,IT15=0),1000,0)),1000000))</f>
        <v/>
      </c>
      <c r="NL15">
        <f>IF($B15=0,1000000,IF(INDEX('計算A'!$D$60:$DS$104,$B15,34)*ED15=1,IF(AND($E15=2,IU15=0),1000000,INDEX('計算A'!AK$110:AK$114,$F15+1)+IF(AND($E15=1,IU15=0),1000,0)),1000000))</f>
        <v/>
      </c>
      <c r="NM15">
        <f>IF($B15=0,1000000,IF(INDEX('計算A'!$D$60:$DS$104,$B15,35)*EE15=1,IF(AND($E15=2,IV15=0),1000000,INDEX('計算A'!AL$110:AL$114,$F15+1)+IF(AND($E15=1,IV15=0),1000,0)),1000000))</f>
        <v/>
      </c>
      <c r="NN15">
        <f>IF($B15=0,1000000,IF(INDEX('計算A'!$D$60:$DS$104,$B15,36)*EF15=1,IF(AND($E15=2,IW15=0),1000000,INDEX('計算A'!AM$110:AM$114,$F15+1)+IF(AND($E15=1,IW15=0),1000,0)),1000000))</f>
        <v/>
      </c>
      <c r="NO15">
        <f>IF($B15=0,1000000,IF(INDEX('計算A'!$D$60:$DS$104,$B15,37)*EG15=1,IF(AND($E15=2,IX15=0),1000000,INDEX('計算A'!AN$110:AN$114,$F15+1)+IF(AND($E15=1,IX15=0),1000,0)),1000000))</f>
        <v/>
      </c>
      <c r="NP15">
        <f>IF($B15=0,1000000,IF(INDEX('計算A'!$D$60:$DS$104,$B15,38)*EH15=1,IF(AND($E15=2,IY15=0),1000000,INDEX('計算A'!AO$110:AO$114,$F15+1)+IF(AND($E15=1,IY15=0),1000,0)),1000000))</f>
        <v/>
      </c>
      <c r="NQ15">
        <f>IF($B15=0,1000000,IF(INDEX('計算A'!$D$60:$DS$104,$B15,39)*EI15=1,IF(AND($E15=2,IZ15=0),1000000,INDEX('計算A'!AP$110:AP$114,$F15+1)+IF(AND($E15=1,IZ15=0),1000,0)),1000000))</f>
        <v/>
      </c>
      <c r="NR15">
        <f>IF($B15=0,1000000,IF(INDEX('計算A'!$D$60:$DS$104,$B15,40)*EJ15=1,IF(AND($E15=2,JA15=0),1000000,INDEX('計算A'!AQ$110:AQ$114,$F15+1)+IF(AND($E15=1,JA15=0),1000,0)),1000000))</f>
        <v/>
      </c>
      <c r="NS15">
        <f>IF($B15=0,1000000,IF(INDEX('計算A'!$D$60:$DS$104,$B15,41)*EK15=1,IF(AND($E15=2,JB15=0),1000000,INDEX('計算A'!AR$110:AR$114,$F15+1)+IF(AND($E15=1,JB15=0),1000,0)),1000000))</f>
        <v/>
      </c>
      <c r="NT15">
        <f>IF($B15=0,1000000,IF(INDEX('計算A'!$D$60:$DS$104,$B15,42)*EL15=1,IF(AND($E15=2,JC15=0),1000000,INDEX('計算A'!AS$110:AS$114,$F15+1)+IF(AND($E15=1,JC15=0),1000,0)),1000000))</f>
        <v/>
      </c>
      <c r="NU15">
        <f>IF($B15=0,1000000,IF(INDEX('計算A'!$D$60:$DS$104,$B15,43)*EM15=1,IF(AND($E15=2,JD15=0),1000000,INDEX('計算A'!AT$110:AT$114,$F15+1)+IF(AND($E15=1,JD15=0),1000,0)),1000000))</f>
        <v/>
      </c>
      <c r="NV15">
        <f>IF($B15=0,1000000,IF(INDEX('計算A'!$D$60:$DS$104,$B15,44)*EN15=1,IF(AND($E15=2,JE15=0),1000000,INDEX('計算A'!AU$110:AU$114,$F15+1)+IF(AND($E15=1,JE15=0),1000,0)),1000000))</f>
        <v/>
      </c>
      <c r="NW15">
        <f>IF($B15=0,1000000,IF(INDEX('計算A'!$D$60:$DS$104,$B15,45)*EO15=1,IF(AND($E15=2,JF15=0),1000000,INDEX('計算A'!AV$110:AV$114,$F15+1)+IF(AND($E15=1,JF15=0),1000,0)),1000000))</f>
        <v/>
      </c>
      <c r="NX15">
        <f>IF($B15=0,1000000,IF(INDEX('計算A'!$D$60:$DS$104,$B15,46)*EP15=1,IF(AND($E15=2,JG15=0),1000000,INDEX('計算A'!AW$110:AW$114,$F15+1)+IF(AND($E15=1,JG15=0),1000,0)),1000000))</f>
        <v/>
      </c>
      <c r="NY15">
        <f>IF($B15=0,1000000,IF(INDEX('計算A'!$D$60:$DS$104,$B15,47)*EQ15=1,IF(AND($E15=2,JH15=0),1000000,INDEX('計算A'!AX$110:AX$114,$F15+1)+IF(AND($E15=1,JH15=0),1000,0)),1000000))</f>
        <v/>
      </c>
      <c r="NZ15">
        <f>IF($B15=0,1000000,IF(INDEX('計算A'!$D$60:$DS$104,$B15,48)*ER15=1,IF(AND($E15=2,JI15=0),1000000,INDEX('計算A'!AY$110:AY$114,$F15+1)+IF(AND($E15=1,JI15=0),1000,0)),1000000))</f>
        <v/>
      </c>
      <c r="OA15">
        <f>IF($B15=0,1000000,IF(INDEX('計算A'!$D$60:$DS$104,$B15,49)*ES15=1,IF(AND($E15=2,JJ15=0),1000000,INDEX('計算A'!AZ$110:AZ$114,$F15+1)+IF(AND($E15=1,JJ15=0),1000,0)),1000000))</f>
        <v/>
      </c>
      <c r="OB15">
        <f>IF($B15=0,1000000,IF(INDEX('計算A'!$D$60:$DS$104,$B15,50)*ET15=1,IF(AND($E15=2,JK15=0),1000000,INDEX('計算A'!BA$110:BA$114,$F15+1)+IF(AND($E15=1,JK15=0),1000,0)),1000000))</f>
        <v/>
      </c>
      <c r="OC15">
        <f>IF($B15=0,1000000,IF(INDEX('計算A'!$D$60:$DS$104,$B15,51)*EU15=1,IF(AND($E15=2,JL15=0),1000000,INDEX('計算A'!BB$110:BB$114,$F15+1)+IF(AND($E15=1,JL15=0),1000,0)),1000000))</f>
        <v/>
      </c>
      <c r="OD15">
        <f>IF($B15=0,1000000,IF(INDEX('計算A'!$D$60:$DS$104,$B15,52)*EV15=1,IF(AND($E15=2,JM15=0),1000000,INDEX('計算A'!BC$110:BC$114,$F15+1)+IF(AND($E15=1,JM15=0),1000,0)),1000000))</f>
        <v/>
      </c>
      <c r="OE15">
        <f>IF($B15=0,1000000,IF(INDEX('計算A'!$D$60:$DS$104,$B15,53)*EW15=1,IF(AND($E15=2,JN15=0),1000000,INDEX('計算A'!BD$110:BD$114,$F15+1)+IF(AND($E15=1,JN15=0),1000,0)),1000000))</f>
        <v/>
      </c>
      <c r="OF15">
        <f>IF($B15=0,1000000,IF(INDEX('計算A'!$D$60:$DS$104,$B15,54)*EX15=1,IF(AND($E15=2,JO15=0),1000000,INDEX('計算A'!BE$110:BE$114,$F15+1)+IF(AND($E15=1,JO15=0),1000,0)),1000000))</f>
        <v/>
      </c>
      <c r="OG15">
        <f>IF($B15=0,1000000,IF(INDEX('計算A'!$D$60:$DS$104,$B15,55)*EY15=1,IF(AND($E15=2,JP15=0),1000000,INDEX('計算A'!BF$110:BF$114,$F15+1)+IF(AND($E15=1,JP15=0),1000,0)),1000000))</f>
        <v/>
      </c>
      <c r="OH15">
        <f>IF($B15=0,1000000,IF(INDEX('計算A'!$D$60:$DS$104,$B15,56)*EZ15=1,IF(AND($E15=2,JQ15=0),1000000,INDEX('計算A'!BG$110:BG$114,$F15+1)+IF(AND($E15=1,JQ15=0),1000,0)),1000000))</f>
        <v/>
      </c>
      <c r="OI15">
        <f>IF($B15=0,1000000,IF(INDEX('計算A'!$D$60:$DS$104,$B15,57)*FA15=1,IF(AND($E15=2,JR15=0),1000000,INDEX('計算A'!BH$110:BH$114,$F15+1)+IF(AND($E15=1,JR15=0),1000,0)),1000000))</f>
        <v/>
      </c>
      <c r="OJ15">
        <f>IF($B15=0,1000000,IF(INDEX('計算A'!$D$60:$DS$104,$B15,58)*FB15=1,IF(AND($E15=2,JS15=0),1000000,INDEX('計算A'!BI$110:BI$114,$F15+1)+IF(AND($E15=1,JS15=0),1000,0)),1000000))</f>
        <v/>
      </c>
      <c r="OK15">
        <f>IF($B15=0,1000000,IF(INDEX('計算A'!$D$60:$DS$104,$B15,59)*FC15=1,IF(AND($E15=2,JT15=0),1000000,INDEX('計算A'!BJ$110:BJ$114,$F15+1)+IF(AND($E15=1,JT15=0),1000,0)),1000000))</f>
        <v/>
      </c>
      <c r="OL15">
        <f>IF($B15=0,1000000,IF(INDEX('計算A'!$D$60:$DS$104,$B15,60)*FD15=1,IF(AND($E15=2,JU15=0),1000000,INDEX('計算A'!BK$110:BK$114,$F15+1)+IF(AND($E15=1,JU15=0),1000,0)),1000000))</f>
        <v/>
      </c>
      <c r="OM15">
        <f>IF($B15=0,1000000,IF(INDEX('計算A'!$D$60:$DS$104,$B15,61)*FE15=1,IF(AND($E15=2,JV15=0),1000000,INDEX('計算A'!BL$110:BL$114,$F15+1)+IF(AND($E15=1,JV15=0),1000,0)),1000000))</f>
        <v/>
      </c>
      <c r="ON15">
        <f>IF($B15=0,1000000,IF(INDEX('計算A'!$D$60:$DS$104,$B15,62)*FF15=1,IF(AND($E15=2,JW15=0),1000000,INDEX('計算A'!BM$110:BM$114,$F15+1)+IF(AND($E15=1,JW15=0),1000,0)),1000000))</f>
        <v/>
      </c>
      <c r="OO15">
        <f>IF($B15=0,1000000,IF(INDEX('計算A'!$D$60:$DS$104,$B15,63)*FG15=1,IF(AND($E15=2,JX15=0),1000000,INDEX('計算A'!BN$110:BN$114,$F15+1)+IF(AND($E15=1,JX15=0),1000,0)),1000000))</f>
        <v/>
      </c>
      <c r="OP15">
        <f>IF($B15=0,1000000,IF(INDEX('計算A'!$D$60:$DS$104,$B15,64)*FH15=1,IF(AND($E15=2,JY15=0),1000000,INDEX('計算A'!BO$110:BO$114,$F15+1)+IF(AND($E15=1,JY15=0),1000,0)),1000000))</f>
        <v/>
      </c>
      <c r="OQ15">
        <f>IF($B15=0,1000000,IF(INDEX('計算A'!$D$60:$DS$104,$B15,65)*FI15=1,IF(AND($E15=2,JZ15=0),1000000,INDEX('計算A'!BP$110:BP$114,$F15+1)+IF(AND($E15=1,JZ15=0),1000,0)),1000000))</f>
        <v/>
      </c>
      <c r="OR15">
        <f>IF($B15=0,1000000,IF(INDEX('計算A'!$D$60:$DS$104,$B15,66)*FJ15=1,IF(AND($E15=2,KA15=0),1000000,INDEX('計算A'!BQ$110:BQ$114,$F15+1)+IF(AND($E15=1,KA15=0),1000,0)),1000000))</f>
        <v/>
      </c>
      <c r="OS15">
        <f>IF($B15=0,1000000,IF(INDEX('計算A'!$D$60:$DS$104,$B15,67)*FK15=1,IF(AND($E15=2,KB15=0),1000000,INDEX('計算A'!BR$110:BR$114,$F15+1)+IF(AND($E15=1,KB15=0),1000,0)),1000000))</f>
        <v/>
      </c>
      <c r="OT15">
        <f>IF($B15=0,1000000,IF(INDEX('計算A'!$D$60:$DS$104,$B15,68)*FL15=1,IF(AND($E15=2,KC15=0),1000000,INDEX('計算A'!BS$110:BS$114,$F15+1)+IF(AND($E15=1,KC15=0),1000,0)),1000000))</f>
        <v/>
      </c>
      <c r="OU15">
        <f>IF($B15=0,1000000,IF(INDEX('計算A'!$D$60:$DS$104,$B15,69)*FM15=1,IF(AND($E15=2,KD15=0),1000000,INDEX('計算A'!BT$110:BT$114,$F15+1)+IF(AND($E15=1,KD15=0),1000,0)),1000000))</f>
        <v/>
      </c>
      <c r="OV15">
        <f>IF($B15=0,1000000,IF(INDEX('計算A'!$D$60:$DS$104,$B15,70)*FN15=1,IF(AND($E15=2,KE15=0),1000000,INDEX('計算A'!BU$110:BU$114,$F15+1)+IF(AND($E15=1,KE15=0),1000,0)),1000000))</f>
        <v/>
      </c>
      <c r="OW15">
        <f>IF($B15=0,1000000,IF(INDEX('計算A'!$D$60:$DS$104,$B15,71)*FO15=1,IF(AND($E15=2,KF15=0),1000000,INDEX('計算A'!BV$110:BV$114,$F15+1)+IF(AND($E15=1,KF15=0),1000,0)),1000000))</f>
        <v/>
      </c>
      <c r="OX15">
        <f>IF($B15=0,1000000,IF(INDEX('計算A'!$D$60:$DS$104,$B15,72)*FP15=1,IF(AND($E15=2,KG15=0),1000000,INDEX('計算A'!BW$110:BW$114,$F15+1)+IF(AND($E15=1,KG15=0),1000,0)),1000000))</f>
        <v/>
      </c>
      <c r="OY15">
        <f>IF($B15=0,1000000,IF(INDEX('計算A'!$D$60:$DS$104,$B15,73)*FQ15=1,IF(AND($E15=2,KH15=0),1000000,INDEX('計算A'!BX$110:BX$114,$F15+1)+IF(AND($E15=1,KH15=0),1000,0)),1000000))</f>
        <v/>
      </c>
      <c r="OZ15">
        <f>IF($B15=0,1000000,IF(INDEX('計算A'!$D$60:$DS$104,$B15,74)*FR15=1,IF(AND($E15=2,KI15=0),1000000,INDEX('計算A'!BY$110:BY$114,$F15+1)+IF(AND($E15=1,KI15=0),1000,0)),1000000))</f>
        <v/>
      </c>
      <c r="PA15">
        <f>IF($B15=0,1000000,IF(INDEX('計算A'!$D$60:$DS$104,$B15,75)*FS15=1,IF(AND($E15=2,KJ15=0),1000000,INDEX('計算A'!BZ$110:BZ$114,$F15+1)+IF(AND($E15=1,KJ15=0),1000,0)),1000000))</f>
        <v/>
      </c>
      <c r="PB15">
        <f>IF($B15=0,1000000,IF(INDEX('計算A'!$D$60:$DS$104,$B15,76)*FT15=1,IF(AND($E15=2,KK15=0),1000000,INDEX('計算A'!CA$110:CA$114,$F15+1)+IF(AND($E15=1,KK15=0),1000,0)),1000000))</f>
        <v/>
      </c>
      <c r="PC15">
        <f>IF($B15=0,1000000,IF(INDEX('計算A'!$D$60:$DS$104,$B15,77)*FU15=1,IF(AND($E15=2,KL15=0),1000000,INDEX('計算A'!CB$110:CB$114,$F15+1)+IF(AND($E15=1,KL15=0),1000,0)),1000000))</f>
        <v/>
      </c>
      <c r="PD15">
        <f>IF($B15=0,1000000,IF(INDEX('計算A'!$D$60:$DS$104,$B15,78)*FV15=1,IF(AND($E15=2,KM15=0),1000000,INDEX('計算A'!CC$110:CC$114,$F15+1)+IF(AND($E15=1,KM15=0),1000,0)),1000000))</f>
        <v/>
      </c>
      <c r="PE15">
        <f>IF($B15=0,1000000,IF(INDEX('計算A'!$D$60:$DS$104,$B15,79)*FW15=1,IF(AND($E15=2,KN15=0),1000000,INDEX('計算A'!CD$110:CD$114,$F15+1)+IF(AND($E15=1,KN15=0),1000,0)),1000000))</f>
        <v/>
      </c>
      <c r="PF15">
        <f>IF($B15=0,1000000,IF(INDEX('計算A'!$D$60:$DS$104,$B15,80)*FX15=1,IF(AND($E15=2,KO15=0),1000000,INDEX('計算A'!CE$110:CE$114,$F15+1)+IF(AND($E15=1,KO15=0),1000,0)),1000000))</f>
        <v/>
      </c>
      <c r="PG15">
        <f>IF($B15=0,1000000,IF(INDEX('計算A'!$D$60:$DS$104,$B15,81)*FY15=1,IF(AND($E15=2,KP15=0),1000000,INDEX('計算A'!CF$110:CF$114,$F15+1)+IF(AND($E15=1,KP15=0),1000,0)),1000000))</f>
        <v/>
      </c>
      <c r="PH15">
        <f>IF($B15=0,1000000,IF(INDEX('計算A'!$D$60:$DS$104,$B15,82)*FZ15=1,IF(AND($E15=2,KQ15=0),1000000,INDEX('計算A'!CG$110:CG$114,$F15+1)+IF(AND($E15=1,KQ15=0),1000,0)),1000000))</f>
        <v/>
      </c>
      <c r="PI15">
        <f>IF($B15=0,1000000,IF(INDEX('計算A'!$D$60:$DS$104,$B15,83)*GA15=1,IF(AND($E15=2,KR15=0),1000000,INDEX('計算A'!CH$110:CH$114,$F15+1)+IF(AND($E15=1,KR15=0),1000,0)),1000000))</f>
        <v/>
      </c>
      <c r="PJ15">
        <f>IF($B15=0,1000000,IF(INDEX('計算A'!$D$60:$DS$104,$B15,84)*GB15=1,IF(AND($E15=2,KS15=0),1000000,INDEX('計算A'!CI$110:CI$114,$F15+1)+IF(AND($E15=1,KS15=0),1000,0)),1000000))</f>
        <v/>
      </c>
      <c r="PK15">
        <f>IF($B15=0,1000000,IF(INDEX('計算A'!$D$60:$DS$104,$B15,85)*GC15=1,IF(AND($E15=2,KT15=0),1000000,INDEX('計算A'!CJ$110:CJ$114,$F15+1)+IF(AND($E15=1,KT15=0),1000,0)),1000000))</f>
        <v/>
      </c>
      <c r="PL15">
        <f>IF($B15=0,1000000,IF(INDEX('計算A'!$D$60:$DS$104,$B15,86)*GD15=1,IF(AND($E15=2,KU15=0),1000000,INDEX('計算A'!CK$110:CK$114,$F15+1)+IF(AND($E15=1,KU15=0),1000,0)),1000000))</f>
        <v/>
      </c>
      <c r="PM15">
        <f>IF($B15=0,1000000,IF(INDEX('計算A'!$D$60:$DS$104,$B15,87)*GE15=1,IF(AND($E15=2,KV15=0),1000000,INDEX('計算A'!CL$110:CL$114,$F15+1)+IF(AND($E15=1,KV15=0),1000,0)),1000000))</f>
        <v/>
      </c>
      <c r="PN15">
        <f>IF($B15=0,1000000,IF(INDEX('計算A'!$D$60:$DS$104,$B15,88)*GF15=1,IF(AND($E15=2,KW15=0),1000000,INDEX('計算A'!CM$110:CM$114,$F15+1)+IF(AND($E15=1,KW15=0),1000,0)),1000000))</f>
        <v/>
      </c>
      <c r="PO15">
        <f>IF($B15=0,1000000,IF(INDEX('計算A'!$D$60:$DS$104,$B15,89)*GG15=1,IF(AND($E15=2,KX15=0),1000000,INDEX('計算A'!CN$110:CN$114,$F15+1)+IF(AND($E15=1,KX15=0),1000,0)),1000000))</f>
        <v/>
      </c>
      <c r="PP15">
        <f>IF($B15=0,1000000,IF(INDEX('計算A'!$D$60:$DS$104,$B15,90)*GH15=1,IF(AND($E15=2,KY15=0),1000000,INDEX('計算A'!CO$110:CO$114,$F15+1)+IF(AND($E15=1,KY15=0),1000,0)),1000000))</f>
        <v/>
      </c>
      <c r="PQ15">
        <f>IF($B15=0,1000000,IF(INDEX('計算A'!$D$60:$DS$104,$B15,91)*GI15=1,IF(AND($E15=2,KZ15=0),1000000,INDEX('計算A'!CP$110:CP$114,$F15+1)+IF(AND($E15=1,KZ15=0),1000,0)),1000000))</f>
        <v/>
      </c>
      <c r="PR15">
        <f>IF($B15=0,1000000,IF(INDEX('計算A'!$D$60:$DS$104,$B15,92)*GJ15=1,IF(AND($E15=2,LA15=0),1000000,INDEX('計算A'!CQ$110:CQ$114,$F15+1)+IF(AND($E15=1,LA15=0),1000,0)),1000000))</f>
        <v/>
      </c>
      <c r="PS15">
        <f>IF($B15=0,1000000,IF(INDEX('計算A'!$D$60:$DS$104,$B15,93)*GK15=1,IF(AND($E15=2,LB15=0),1000000,INDEX('計算A'!CR$110:CR$114,$F15+1)+IF(AND($E15=1,LB15=0),1000,0)),1000000))</f>
        <v/>
      </c>
      <c r="PT15">
        <f>IF($B15=0,1000000,IF(INDEX('計算A'!$D$60:$DS$104,$B15,94)*GL15=1,IF(AND($E15=2,LC15=0),1000000,INDEX('計算A'!CS$110:CS$114,$F15+1)+IF(AND($E15=1,LC15=0),1000,0)),1000000))</f>
        <v/>
      </c>
      <c r="PU15">
        <f>IF($B15=0,1000000,IF(INDEX('計算A'!$D$60:$DS$104,$B15,95)*GM15=1,IF(AND($E15=2,LD15=0),1000000,INDEX('計算A'!CT$110:CT$114,$F15+1)+IF(AND($E15=1,LD15=0),1000,0)),1000000))</f>
        <v/>
      </c>
      <c r="PV15">
        <f>IF($B15=0,1000000,IF(INDEX('計算A'!$D$60:$DS$104,$B15,96)*GN15=1,IF(AND($E15=2,LE15=0),1000000,INDEX('計算A'!CU$110:CU$114,$F15+1)+IF(AND($E15=1,LE15=0),1000,0)),1000000))</f>
        <v/>
      </c>
      <c r="PW15">
        <f>IF($B15=0,1000000,IF(INDEX('計算A'!$D$60:$DS$104,$B15,97)*GO15=1,IF(AND($E15=2,LF15=0),1000000,INDEX('計算A'!CV$110:CV$114,$F15+1)+IF(AND($E15=1,LF15=0),1000,0)),1000000))</f>
        <v/>
      </c>
      <c r="PX15">
        <f>IF($B15=0,1000000,IF(INDEX('計算A'!$D$60:$DS$104,$B15,98)*GP15=1,IF(AND($E15=2,LG15=0),1000000,INDEX('計算A'!CW$110:CW$114,$F15+1)+IF(AND($E15=1,LG15=0),1000,0)),1000000))</f>
        <v/>
      </c>
      <c r="PY15">
        <f>IF($B15=0,1000000,IF(INDEX('計算A'!$D$60:$DS$104,$B15,99)*GQ15=1,IF(AND($E15=2,LH15=0),1000000,INDEX('計算A'!CX$110:CX$114,$F15+1)+IF(AND($E15=1,LH15=0),1000,0)),1000000))</f>
        <v/>
      </c>
      <c r="PZ15">
        <f>IF($B15=0,1000000,IF(INDEX('計算A'!$D$60:$DS$104,$B15,100)*GR15=1,IF(AND($E15=2,LI15=0),1000000,INDEX('計算A'!CY$110:CY$114,$F15+1)+IF(AND($E15=1,LI15=0),1000,0)),1000000))</f>
        <v/>
      </c>
      <c r="QA15">
        <f>IF($B15=0,1000000,IF(INDEX('計算A'!$D$60:$DS$104,$B15,101)*GS15=1,IF(AND($E15=2,LJ15=0),1000000,INDEX('計算A'!CZ$110:CZ$114,$F15+1)+IF(AND($E15=1,LJ15=0),1000,0)),1000000))</f>
        <v/>
      </c>
      <c r="QB15">
        <f>IF($B15=0,1000000,IF(INDEX('計算A'!$D$60:$DS$104,$B15,102)*GT15=1,IF(AND($E15=2,LK15=0),1000000,INDEX('計算A'!DA$110:DA$114,$F15+1)+IF(AND($E15=1,LK15=0),1000,0)),1000000))</f>
        <v/>
      </c>
      <c r="QC15">
        <f>IF($B15=0,1000000,IF(INDEX('計算A'!$D$60:$DS$104,$B15,103)*GU15=1,IF(AND($E15=2,LL15=0),1000000,INDEX('計算A'!DB$110:DB$114,$F15+1)+IF(AND($E15=1,LL15=0),1000,0)),1000000))</f>
        <v/>
      </c>
      <c r="QD15">
        <f>IF($B15=0,1000000,IF(INDEX('計算A'!$D$60:$DS$104,$B15,104)*GV15=1,IF(AND($E15=2,LM15=0),1000000,INDEX('計算A'!DC$110:DC$114,$F15+1)+IF(AND($E15=1,LM15=0),1000,0)),1000000))</f>
        <v/>
      </c>
      <c r="QE15">
        <f>IF($B15=0,1000000,IF(INDEX('計算A'!$D$60:$DS$104,$B15,105)*GW15=1,IF(AND($E15=2,LN15=0),1000000,INDEX('計算A'!DD$110:DD$114,$F15+1)+IF(AND($E15=1,LN15=0),1000,0)),1000000))</f>
        <v/>
      </c>
      <c r="QF15">
        <f>IF($B15=0,1000000,IF(INDEX('計算A'!$D$60:$DS$104,$B15,106)*GX15=1,IF(AND($E15=2,LO15=0),1000000,INDEX('計算A'!DE$110:DE$114,$F15+1)+IF(AND($E15=1,LO15=0),1000,0)),1000000))</f>
        <v/>
      </c>
      <c r="QG15">
        <f>IF($B15=0,1000000,IF(INDEX('計算A'!$D$60:$DS$104,$B15,107)*GY15=1,IF(AND($E15=2,LP15=0),1000000,INDEX('計算A'!DF$110:DF$114,$F15+1)+IF(AND($E15=1,LP15=0),1000,0)),1000000))</f>
        <v/>
      </c>
      <c r="QH15">
        <f>IF($B15=0,1000000,IF(INDEX('計算A'!$D$60:$DS$104,$B15,108)*GZ15=1,IF(AND($E15=2,LQ15=0),1000000,INDEX('計算A'!DG$110:DG$114,$F15+1)+IF(AND($E15=1,LQ15=0),1000,0)),1000000))</f>
        <v/>
      </c>
      <c r="QI15">
        <f>IF($B15=0,1000000,IF(INDEX('計算A'!$D$60:$DS$104,$B15,109)*HA15=1,IF(AND($E15=2,LR15=0),1000000,INDEX('計算A'!DH$110:DH$114,$F15+1)+IF(AND($E15=1,LR15=0),1000,0)),1000000))</f>
        <v/>
      </c>
      <c r="QJ15">
        <f>IF($B15=0,1000000,IF(INDEX('計算A'!$D$60:$DS$104,$B15,110)*HB15=1,IF(AND($E15=2,LS15=0),1000000,INDEX('計算A'!DI$110:DI$114,$F15+1)+IF(AND($E15=1,LS15=0),1000,0)),1000000))</f>
        <v/>
      </c>
      <c r="QK15">
        <f>IF($B15=0,1000000,IF(INDEX('計算A'!$D$60:$DS$104,$B15,111)*HC15=1,IF(AND($E15=2,LT15=0),1000000,INDEX('計算A'!DJ$110:DJ$114,$F15+1)+IF(AND($E15=1,LT15=0),1000,0)),1000000))</f>
        <v/>
      </c>
      <c r="QL15">
        <f>IF($B15=0,1000000,IF(INDEX('計算A'!$D$60:$DS$104,$B15,112)*HD15=1,IF(AND($E15=2,LU15=0),1000000,INDEX('計算A'!DK$110:DK$114,$F15+1)+IF(AND($E15=1,LU15=0),1000,0)),1000000))</f>
        <v/>
      </c>
      <c r="QM15">
        <f>IF($B15=0,1000000,IF(INDEX('計算A'!$D$60:$DS$104,$B15,113)*HE15=1,IF(AND($E15=2,LV15=0),1000000,INDEX('計算A'!DL$110:DL$114,$F15+1)+IF(AND($E15=1,LV15=0),1000,0)),1000000))</f>
        <v/>
      </c>
      <c r="QN15">
        <f>IF($B15=0,1000000,IF(INDEX('計算A'!$D$60:$DS$104,$B15,114)*HF15=1,IF(AND($E15=2,LW15=0),1000000,INDEX('計算A'!DM$110:DM$114,$F15+1)+IF(AND($E15=1,LW15=0),1000,0)),1000000))</f>
        <v/>
      </c>
      <c r="QO15">
        <f>IF($B15=0,1000000,IF(INDEX('計算A'!$D$60:$DS$104,$B15,115)*HG15=1,IF(AND($E15=2,LX15=0),1000000,INDEX('計算A'!DN$110:DN$114,$F15+1)+IF(AND($E15=1,LX15=0),1000,0)),1000000))</f>
        <v/>
      </c>
      <c r="QP15">
        <f>IF($B15=0,1000000,IF(INDEX('計算A'!$D$60:$DS$104,$B15,116)*HH15=1,IF(AND($E15=2,LY15=0),1000000,INDEX('計算A'!DO$110:DO$114,$F15+1)+IF(AND($E15=1,LY15=0),1000,0)),1000000))</f>
        <v/>
      </c>
      <c r="QQ15">
        <f>IF($B15=0,1000000,IF(INDEX('計算A'!$D$60:$DS$104,$B15,117)*HI15=1,IF(AND($E15=2,LZ15=0),1000000,INDEX('計算A'!DP$110:DP$114,$F15+1)+IF(AND($E15=1,LZ15=0),1000,0)),1000000))</f>
        <v/>
      </c>
      <c r="QR15">
        <f>IF($B15=0,1000000,IF(INDEX('計算A'!$D$60:$DS$104,$B15,118)*HJ15=1,IF(AND($E15=2,MA15=0),1000000,INDEX('計算A'!DQ$110:DQ$114,$F15+1)+IF(AND($E15=1,MA15=0),1000,0)),1000000))</f>
        <v/>
      </c>
      <c r="QS15">
        <f>IF($B15=0,1000000,IF(INDEX('計算A'!$D$60:$DS$104,$B15,119)*HK15=1,IF(AND($E15=2,MB15=0),1000000,INDEX('計算A'!DR$110:DR$114,$F15+1)+IF(AND($E15=1,MB15=0),1000,0)),1000000))</f>
        <v/>
      </c>
      <c r="QT15">
        <f>IF($B15=0,1000000,IF(INDEX('計算A'!$D$60:$DS$104,$B15,120)*HL15=1,IF(AND($E15=2,MC15=0),1000000,INDEX('計算A'!DS$110:DS$114,$F15+1)+IF(AND($E15=1,MC15=0),1000,0)),1000000))</f>
        <v/>
      </c>
    </row>
    <row r="16">
      <c r="A16" t="n">
        <v>14</v>
      </c>
      <c r="B16">
        <f>IF(MIN(BC16:CU16)&gt;=1000000,0,MATCH(MIN(BC16:CU16),BC16:CU16,0))</f>
        <v/>
      </c>
      <c r="C16">
        <f>IF(MIN(ME16:QT16)&gt;=1000000,0,MATCH(MIN(ME16:QT16),ME16:QT16,0))</f>
        <v/>
      </c>
      <c r="D16">
        <f>IF(C16&gt;0,INDEX('計算A'!$D$5:$DS$5,C16),0)</f>
        <v/>
      </c>
      <c r="E16">
        <f>IF(B16=0,0,INDEX('計算A'!$EA$10:$EA$54,B16))</f>
        <v/>
      </c>
      <c r="F16">
        <f>IF(B16=0,0,INDEX('計算A'!$DZ$10:$DZ$54,B16))</f>
        <v/>
      </c>
      <c r="G16">
        <f>IF(AND(C16&gt;0,E16&gt;0),IF(AND(INDEX('計算A'!$D$106:$DS$106,C16)=1,INDEX($HN16:$MC16,C16)=1),C16+1,0),0)</f>
        <v/>
      </c>
      <c r="I16">
        <f>MAX(I15,IF($B15=1,1,0))</f>
        <v/>
      </c>
      <c r="J16">
        <f>MAX(J15,IF($B15=2,1,0))</f>
        <v/>
      </c>
      <c r="K16">
        <f>MAX(K15,IF($B15=3,1,0))</f>
        <v/>
      </c>
      <c r="L16">
        <f>MAX(L15,IF($B15=4,1,0))</f>
        <v/>
      </c>
      <c r="M16">
        <f>MAX(M15,IF($B15=5,1,0))</f>
        <v/>
      </c>
      <c r="N16">
        <f>MAX(N15,IF($B15=6,1,0))</f>
        <v/>
      </c>
      <c r="O16">
        <f>MAX(O15,IF($B15=7,1,0))</f>
        <v/>
      </c>
      <c r="P16">
        <f>MAX(P15,IF($B15=8,1,0))</f>
        <v/>
      </c>
      <c r="Q16">
        <f>MAX(Q15,IF($B15=9,1,0))</f>
        <v/>
      </c>
      <c r="R16">
        <f>MAX(R15,IF($B15=10,1,0))</f>
        <v/>
      </c>
      <c r="S16">
        <f>MAX(S15,IF($B15=11,1,0))</f>
        <v/>
      </c>
      <c r="T16">
        <f>MAX(T15,IF($B15=12,1,0))</f>
        <v/>
      </c>
      <c r="U16">
        <f>MAX(U15,IF($B15=13,1,0))</f>
        <v/>
      </c>
      <c r="V16">
        <f>MAX(V15,IF($B15=14,1,0))</f>
        <v/>
      </c>
      <c r="W16">
        <f>MAX(W15,IF($B15=15,1,0))</f>
        <v/>
      </c>
      <c r="X16">
        <f>MAX(X15,IF($B15=16,1,0))</f>
        <v/>
      </c>
      <c r="Y16">
        <f>MAX(Y15,IF($B15=17,1,0))</f>
        <v/>
      </c>
      <c r="Z16">
        <f>MAX(Z15,IF($B15=18,1,0))</f>
        <v/>
      </c>
      <c r="AA16">
        <f>MAX(AA15,IF($B15=19,1,0))</f>
        <v/>
      </c>
      <c r="AB16">
        <f>MAX(AB15,IF($B15=20,1,0))</f>
        <v/>
      </c>
      <c r="AC16">
        <f>MAX(AC15,IF($B15=21,1,0))</f>
        <v/>
      </c>
      <c r="AD16">
        <f>MAX(AD15,IF($B15=22,1,0))</f>
        <v/>
      </c>
      <c r="AE16">
        <f>MAX(AE15,IF($B15=23,1,0))</f>
        <v/>
      </c>
      <c r="AF16">
        <f>MAX(AF15,IF($B15=24,1,0))</f>
        <v/>
      </c>
      <c r="AG16">
        <f>MAX(AG15,IF($B15=25,1,0))</f>
        <v/>
      </c>
      <c r="AH16">
        <f>MAX(AH15,IF($B15=26,1,0))</f>
        <v/>
      </c>
      <c r="AI16">
        <f>MAX(AI15,IF($B15=27,1,0))</f>
        <v/>
      </c>
      <c r="AJ16">
        <f>MAX(AJ15,IF($B15=28,1,0))</f>
        <v/>
      </c>
      <c r="AK16">
        <f>MAX(AK15,IF($B15=29,1,0))</f>
        <v/>
      </c>
      <c r="AL16">
        <f>MAX(AL15,IF($B15=30,1,0))</f>
        <v/>
      </c>
      <c r="AM16">
        <f>MAX(AM15,IF($B15=31,1,0))</f>
        <v/>
      </c>
      <c r="AN16">
        <f>MAX(AN15,IF($B15=32,1,0))</f>
        <v/>
      </c>
      <c r="AO16">
        <f>MAX(AO15,IF($B15=33,1,0))</f>
        <v/>
      </c>
      <c r="AP16">
        <f>MAX(AP15,IF($B15=34,1,0))</f>
        <v/>
      </c>
      <c r="AQ16">
        <f>MAX(AQ15,IF($B15=35,1,0))</f>
        <v/>
      </c>
      <c r="AR16">
        <f>MAX(AR15,IF($B15=36,1,0))</f>
        <v/>
      </c>
      <c r="AS16">
        <f>MAX(AS15,IF($B15=37,1,0))</f>
        <v/>
      </c>
      <c r="AT16">
        <f>MAX(AT15,IF($B15=38,1,0))</f>
        <v/>
      </c>
      <c r="AU16">
        <f>MAX(AU15,IF($B15=39,1,0))</f>
        <v/>
      </c>
      <c r="AV16">
        <f>MAX(AV15,IF($B15=40,1,0))</f>
        <v/>
      </c>
      <c r="AW16">
        <f>MAX(AW15,IF($B15=41,1,0))</f>
        <v/>
      </c>
      <c r="AX16">
        <f>MAX(AX15,IF($B15=42,1,0))</f>
        <v/>
      </c>
      <c r="AY16">
        <f>MAX(AY15,IF($B15=43,1,0))</f>
        <v/>
      </c>
      <c r="AZ16">
        <f>MAX(AZ15,IF($B15=44,1,0))</f>
        <v/>
      </c>
      <c r="BA16">
        <f>MAX(BA15,IF($B15=45,1,0))</f>
        <v/>
      </c>
      <c r="BC16">
        <f>IF(I16=1,1000000,IF('計算A'!$EA$10=2,SUMPRODUCT('計算A'!$D$60:$DS$60,$CW16:$HL16,$HN16:$MC16),SUMPRODUCT('計算A'!$D$60:$DS$60,$CW16:$HL16))*1000+1)</f>
        <v/>
      </c>
      <c r="BD16">
        <f>IF(J16=1,1000000,IF('計算A'!$EA$11=2,SUMPRODUCT('計算A'!$D$61:$DS$61,$CW16:$HL16,$HN16:$MC16),SUMPRODUCT('計算A'!$D$61:$DS$61,$CW16:$HL16))*1000+2)</f>
        <v/>
      </c>
      <c r="BE16">
        <f>IF(K16=1,1000000,IF('計算A'!$EA$12=2,SUMPRODUCT('計算A'!$D$62:$DS$62,$CW16:$HL16,$HN16:$MC16),SUMPRODUCT('計算A'!$D$62:$DS$62,$CW16:$HL16))*1000+3)</f>
        <v/>
      </c>
      <c r="BF16">
        <f>IF(L16=1,1000000,IF('計算A'!$EA$13=2,SUMPRODUCT('計算A'!$D$63:$DS$63,$CW16:$HL16,$HN16:$MC16),SUMPRODUCT('計算A'!$D$63:$DS$63,$CW16:$HL16))*1000+4)</f>
        <v/>
      </c>
      <c r="BG16">
        <f>IF(M16=1,1000000,IF('計算A'!$EA$14=2,SUMPRODUCT('計算A'!$D$64:$DS$64,$CW16:$HL16,$HN16:$MC16),SUMPRODUCT('計算A'!$D$64:$DS$64,$CW16:$HL16))*1000+5)</f>
        <v/>
      </c>
      <c r="BH16">
        <f>IF(N16=1,1000000,IF('計算A'!$EA$15=2,SUMPRODUCT('計算A'!$D$65:$DS$65,$CW16:$HL16,$HN16:$MC16),SUMPRODUCT('計算A'!$D$65:$DS$65,$CW16:$HL16))*1000+6)</f>
        <v/>
      </c>
      <c r="BI16">
        <f>IF(O16=1,1000000,IF('計算A'!$EA$16=2,SUMPRODUCT('計算A'!$D$66:$DS$66,$CW16:$HL16,$HN16:$MC16),SUMPRODUCT('計算A'!$D$66:$DS$66,$CW16:$HL16))*1000+7)</f>
        <v/>
      </c>
      <c r="BJ16">
        <f>IF(P16=1,1000000,IF('計算A'!$EA$17=2,SUMPRODUCT('計算A'!$D$67:$DS$67,$CW16:$HL16,$HN16:$MC16),SUMPRODUCT('計算A'!$D$67:$DS$67,$CW16:$HL16))*1000+8)</f>
        <v/>
      </c>
      <c r="BK16">
        <f>IF(Q16=1,1000000,IF('計算A'!$EA$18=2,SUMPRODUCT('計算A'!$D$68:$DS$68,$CW16:$HL16,$HN16:$MC16),SUMPRODUCT('計算A'!$D$68:$DS$68,$CW16:$HL16))*1000+9)</f>
        <v/>
      </c>
      <c r="BL16">
        <f>IF(R16=1,1000000,IF('計算A'!$EA$19=2,SUMPRODUCT('計算A'!$D$69:$DS$69,$CW16:$HL16,$HN16:$MC16),SUMPRODUCT('計算A'!$D$69:$DS$69,$CW16:$HL16))*1000+10)</f>
        <v/>
      </c>
      <c r="BM16">
        <f>IF(S16=1,1000000,IF('計算A'!$EA$20=2,SUMPRODUCT('計算A'!$D$70:$DS$70,$CW16:$HL16,$HN16:$MC16),SUMPRODUCT('計算A'!$D$70:$DS$70,$CW16:$HL16))*1000+11)</f>
        <v/>
      </c>
      <c r="BN16">
        <f>IF(T16=1,1000000,IF('計算A'!$EA$21=2,SUMPRODUCT('計算A'!$D$71:$DS$71,$CW16:$HL16,$HN16:$MC16),SUMPRODUCT('計算A'!$D$71:$DS$71,$CW16:$HL16))*1000+12)</f>
        <v/>
      </c>
      <c r="BO16">
        <f>IF(U16=1,1000000,IF('計算A'!$EA$22=2,SUMPRODUCT('計算A'!$D$72:$DS$72,$CW16:$HL16,$HN16:$MC16),SUMPRODUCT('計算A'!$D$72:$DS$72,$CW16:$HL16))*1000+13)</f>
        <v/>
      </c>
      <c r="BP16">
        <f>IF(V16=1,1000000,IF('計算A'!$EA$23=2,SUMPRODUCT('計算A'!$D$73:$DS$73,$CW16:$HL16,$HN16:$MC16),SUMPRODUCT('計算A'!$D$73:$DS$73,$CW16:$HL16))*1000+14)</f>
        <v/>
      </c>
      <c r="BQ16">
        <f>IF(W16=1,1000000,IF('計算A'!$EA$24=2,SUMPRODUCT('計算A'!$D$74:$DS$74,$CW16:$HL16,$HN16:$MC16),SUMPRODUCT('計算A'!$D$74:$DS$74,$CW16:$HL16))*1000+15)</f>
        <v/>
      </c>
      <c r="BR16">
        <f>IF(X16=1,1000000,IF('計算A'!$EA$25=2,SUMPRODUCT('計算A'!$D$75:$DS$75,$CW16:$HL16,$HN16:$MC16),SUMPRODUCT('計算A'!$D$75:$DS$75,$CW16:$HL16))*1000+16)</f>
        <v/>
      </c>
      <c r="BS16">
        <f>IF(Y16=1,1000000,IF('計算A'!$EA$26=2,SUMPRODUCT('計算A'!$D$76:$DS$76,$CW16:$HL16,$HN16:$MC16),SUMPRODUCT('計算A'!$D$76:$DS$76,$CW16:$HL16))*1000+17)</f>
        <v/>
      </c>
      <c r="BT16">
        <f>IF(Z16=1,1000000,IF('計算A'!$EA$27=2,SUMPRODUCT('計算A'!$D$77:$DS$77,$CW16:$HL16,$HN16:$MC16),SUMPRODUCT('計算A'!$D$77:$DS$77,$CW16:$HL16))*1000+18)</f>
        <v/>
      </c>
      <c r="BU16">
        <f>IF(AA16=1,1000000,IF('計算A'!$EA$28=2,SUMPRODUCT('計算A'!$D$78:$DS$78,$CW16:$HL16,$HN16:$MC16),SUMPRODUCT('計算A'!$D$78:$DS$78,$CW16:$HL16))*1000+19)</f>
        <v/>
      </c>
      <c r="BV16">
        <f>IF(AB16=1,1000000,IF('計算A'!$EA$29=2,SUMPRODUCT('計算A'!$D$79:$DS$79,$CW16:$HL16,$HN16:$MC16),SUMPRODUCT('計算A'!$D$79:$DS$79,$CW16:$HL16))*1000+20)</f>
        <v/>
      </c>
      <c r="BW16">
        <f>IF(AC16=1,1000000,IF('計算A'!$EA$30=2,SUMPRODUCT('計算A'!$D$80:$DS$80,$CW16:$HL16,$HN16:$MC16),SUMPRODUCT('計算A'!$D$80:$DS$80,$CW16:$HL16))*1000+21)</f>
        <v/>
      </c>
      <c r="BX16">
        <f>IF(AD16=1,1000000,IF('計算A'!$EA$31=2,SUMPRODUCT('計算A'!$D$81:$DS$81,$CW16:$HL16,$HN16:$MC16),SUMPRODUCT('計算A'!$D$81:$DS$81,$CW16:$HL16))*1000+22)</f>
        <v/>
      </c>
      <c r="BY16">
        <f>IF(AE16=1,1000000,IF('計算A'!$EA$32=2,SUMPRODUCT('計算A'!$D$82:$DS$82,$CW16:$HL16,$HN16:$MC16),SUMPRODUCT('計算A'!$D$82:$DS$82,$CW16:$HL16))*1000+23)</f>
        <v/>
      </c>
      <c r="BZ16">
        <f>IF(AF16=1,1000000,IF('計算A'!$EA$33=2,SUMPRODUCT('計算A'!$D$83:$DS$83,$CW16:$HL16,$HN16:$MC16),SUMPRODUCT('計算A'!$D$83:$DS$83,$CW16:$HL16))*1000+24)</f>
        <v/>
      </c>
      <c r="CA16">
        <f>IF(AG16=1,1000000,IF('計算A'!$EA$34=2,SUMPRODUCT('計算A'!$D$84:$DS$84,$CW16:$HL16,$HN16:$MC16),SUMPRODUCT('計算A'!$D$84:$DS$84,$CW16:$HL16))*1000+25)</f>
        <v/>
      </c>
      <c r="CB16">
        <f>IF(AH16=1,1000000,IF('計算A'!$EA$35=2,SUMPRODUCT('計算A'!$D$85:$DS$85,$CW16:$HL16,$HN16:$MC16),SUMPRODUCT('計算A'!$D$85:$DS$85,$CW16:$HL16))*1000+26)</f>
        <v/>
      </c>
      <c r="CC16">
        <f>IF(AI16=1,1000000,IF('計算A'!$EA$36=2,SUMPRODUCT('計算A'!$D$86:$DS$86,$CW16:$HL16,$HN16:$MC16),SUMPRODUCT('計算A'!$D$86:$DS$86,$CW16:$HL16))*1000+27)</f>
        <v/>
      </c>
      <c r="CD16">
        <f>IF(AJ16=1,1000000,IF('計算A'!$EA$37=2,SUMPRODUCT('計算A'!$D$87:$DS$87,$CW16:$HL16,$HN16:$MC16),SUMPRODUCT('計算A'!$D$87:$DS$87,$CW16:$HL16))*1000+28)</f>
        <v/>
      </c>
      <c r="CE16">
        <f>IF(AK16=1,1000000,IF('計算A'!$EA$38=2,SUMPRODUCT('計算A'!$D$88:$DS$88,$CW16:$HL16,$HN16:$MC16),SUMPRODUCT('計算A'!$D$88:$DS$88,$CW16:$HL16))*1000+29)</f>
        <v/>
      </c>
      <c r="CF16">
        <f>IF(AL16=1,1000000,IF('計算A'!$EA$39=2,SUMPRODUCT('計算A'!$D$89:$DS$89,$CW16:$HL16,$HN16:$MC16),SUMPRODUCT('計算A'!$D$89:$DS$89,$CW16:$HL16))*1000+30)</f>
        <v/>
      </c>
      <c r="CG16">
        <f>IF(AM16=1,1000000,IF('計算A'!$EA$40=2,SUMPRODUCT('計算A'!$D$90:$DS$90,$CW16:$HL16,$HN16:$MC16),SUMPRODUCT('計算A'!$D$90:$DS$90,$CW16:$HL16))*1000+31)</f>
        <v/>
      </c>
      <c r="CH16">
        <f>IF(AN16=1,1000000,IF('計算A'!$EA$41=2,SUMPRODUCT('計算A'!$D$91:$DS$91,$CW16:$HL16,$HN16:$MC16),SUMPRODUCT('計算A'!$D$91:$DS$91,$CW16:$HL16))*1000+32)</f>
        <v/>
      </c>
      <c r="CI16">
        <f>IF(AO16=1,1000000,IF('計算A'!$EA$42=2,SUMPRODUCT('計算A'!$D$92:$DS$92,$CW16:$HL16,$HN16:$MC16),SUMPRODUCT('計算A'!$D$92:$DS$92,$CW16:$HL16))*1000+33)</f>
        <v/>
      </c>
      <c r="CJ16">
        <f>IF(AP16=1,1000000,IF('計算A'!$EA$43=2,SUMPRODUCT('計算A'!$D$93:$DS$93,$CW16:$HL16,$HN16:$MC16),SUMPRODUCT('計算A'!$D$93:$DS$93,$CW16:$HL16))*1000+34)</f>
        <v/>
      </c>
      <c r="CK16">
        <f>IF(AQ16=1,1000000,IF('計算A'!$EA$44=2,SUMPRODUCT('計算A'!$D$94:$DS$94,$CW16:$HL16,$HN16:$MC16),SUMPRODUCT('計算A'!$D$94:$DS$94,$CW16:$HL16))*1000+35)</f>
        <v/>
      </c>
      <c r="CL16">
        <f>IF(AR16=1,1000000,IF('計算A'!$EA$45=2,SUMPRODUCT('計算A'!$D$95:$DS$95,$CW16:$HL16,$HN16:$MC16),SUMPRODUCT('計算A'!$D$95:$DS$95,$CW16:$HL16))*1000+36)</f>
        <v/>
      </c>
      <c r="CM16">
        <f>IF(AS16=1,1000000,IF('計算A'!$EA$46=2,SUMPRODUCT('計算A'!$D$96:$DS$96,$CW16:$HL16,$HN16:$MC16),SUMPRODUCT('計算A'!$D$96:$DS$96,$CW16:$HL16))*1000+37)</f>
        <v/>
      </c>
      <c r="CN16">
        <f>IF(AT16=1,1000000,IF('計算A'!$EA$47=2,SUMPRODUCT('計算A'!$D$97:$DS$97,$CW16:$HL16,$HN16:$MC16),SUMPRODUCT('計算A'!$D$97:$DS$97,$CW16:$HL16))*1000+38)</f>
        <v/>
      </c>
      <c r="CO16">
        <f>IF(AU16=1,1000000,IF('計算A'!$EA$48=2,SUMPRODUCT('計算A'!$D$98:$DS$98,$CW16:$HL16,$HN16:$MC16),SUMPRODUCT('計算A'!$D$98:$DS$98,$CW16:$HL16))*1000+39)</f>
        <v/>
      </c>
      <c r="CP16">
        <f>IF(AV16=1,1000000,IF('計算A'!$EA$49=2,SUMPRODUCT('計算A'!$D$99:$DS$99,$CW16:$HL16,$HN16:$MC16),SUMPRODUCT('計算A'!$D$99:$DS$99,$CW16:$HL16))*1000+40)</f>
        <v/>
      </c>
      <c r="CQ16">
        <f>IF(AW16=1,1000000,IF('計算A'!$EA$50=2,SUMPRODUCT('計算A'!$D$100:$DS$100,$CW16:$HL16,$HN16:$MC16),SUMPRODUCT('計算A'!$D$100:$DS$100,$CW16:$HL16))*1000+41)</f>
        <v/>
      </c>
      <c r="CR16">
        <f>IF(AX16=1,1000000,IF('計算A'!$EA$51=2,SUMPRODUCT('計算A'!$D$101:$DS$101,$CW16:$HL16,$HN16:$MC16),SUMPRODUCT('計算A'!$D$101:$DS$101,$CW16:$HL16))*1000+42)</f>
        <v/>
      </c>
      <c r="CS16">
        <f>IF(AY16=1,1000000,IF('計算A'!$EA$52=2,SUMPRODUCT('計算A'!$D$102:$DS$102,$CW16:$HL16,$HN16:$MC16),SUMPRODUCT('計算A'!$D$102:$DS$102,$CW16:$HL16))*1000+43)</f>
        <v/>
      </c>
      <c r="CT16">
        <f>IF(AZ16=1,1000000,IF('計算A'!$EA$53=2,SUMPRODUCT('計算A'!$D$103:$DS$103,$CW16:$HL16,$HN16:$MC16),SUMPRODUCT('計算A'!$D$103:$DS$103,$CW16:$HL16))*1000+44)</f>
        <v/>
      </c>
      <c r="CU16">
        <f>IF(BA16=1,1000000,IF('計算A'!$EA$54=2,SUMPRODUCT('計算A'!$D$104:$DS$104,$CW16:$HL16,$HN16:$MC16),SUMPRODUCT('計算A'!$D$104:$DS$104,$CW16:$HL16))*1000+45)</f>
        <v/>
      </c>
      <c r="CW16">
        <f>CW15*IF(OR($C15=1,$G15=1),0,1)</f>
        <v/>
      </c>
      <c r="CX16">
        <f>CX15*IF(OR($C15=2,$G15=2),0,1)</f>
        <v/>
      </c>
      <c r="CY16">
        <f>CY15*IF(OR($C15=3,$G15=3),0,1)</f>
        <v/>
      </c>
      <c r="CZ16">
        <f>CZ15*IF(OR($C15=4,$G15=4),0,1)</f>
        <v/>
      </c>
      <c r="DA16">
        <f>DA15*IF(OR($C15=5,$G15=5),0,1)</f>
        <v/>
      </c>
      <c r="DB16">
        <f>DB15*IF(OR($C15=6,$G15=6),0,1)</f>
        <v/>
      </c>
      <c r="DC16">
        <f>DC15*IF(OR($C15=7,$G15=7),0,1)</f>
        <v/>
      </c>
      <c r="DD16">
        <f>DD15*IF(OR($C15=8,$G15=8),0,1)</f>
        <v/>
      </c>
      <c r="DE16">
        <f>DE15*IF(OR($C15=9,$G15=9),0,1)</f>
        <v/>
      </c>
      <c r="DF16">
        <f>DF15*IF(OR($C15=10,$G15=10),0,1)</f>
        <v/>
      </c>
      <c r="DG16">
        <f>DG15*IF(OR($C15=11,$G15=11),0,1)</f>
        <v/>
      </c>
      <c r="DH16">
        <f>DH15*IF(OR($C15=12,$G15=12),0,1)</f>
        <v/>
      </c>
      <c r="DI16">
        <f>DI15*IF(OR($C15=13,$G15=13),0,1)</f>
        <v/>
      </c>
      <c r="DJ16">
        <f>DJ15*IF(OR($C15=14,$G15=14),0,1)</f>
        <v/>
      </c>
      <c r="DK16">
        <f>DK15*IF(OR($C15=15,$G15=15),0,1)</f>
        <v/>
      </c>
      <c r="DL16">
        <f>DL15*IF(OR($C15=16,$G15=16),0,1)</f>
        <v/>
      </c>
      <c r="DM16">
        <f>DM15*IF(OR($C15=17,$G15=17),0,1)</f>
        <v/>
      </c>
      <c r="DN16">
        <f>DN15*IF(OR($C15=18,$G15=18),0,1)</f>
        <v/>
      </c>
      <c r="DO16">
        <f>DO15*IF(OR($C15=19,$G15=19),0,1)</f>
        <v/>
      </c>
      <c r="DP16">
        <f>DP15*IF(OR($C15=20,$G15=20),0,1)</f>
        <v/>
      </c>
      <c r="DQ16">
        <f>DQ15*IF(OR($C15=21,$G15=21),0,1)</f>
        <v/>
      </c>
      <c r="DR16">
        <f>DR15*IF(OR($C15=22,$G15=22),0,1)</f>
        <v/>
      </c>
      <c r="DS16">
        <f>DS15*IF(OR($C15=23,$G15=23),0,1)</f>
        <v/>
      </c>
      <c r="DT16">
        <f>DT15*IF(OR($C15=24,$G15=24),0,1)</f>
        <v/>
      </c>
      <c r="DU16">
        <f>DU15*IF(OR($C15=25,$G15=25),0,1)</f>
        <v/>
      </c>
      <c r="DV16">
        <f>DV15*IF(OR($C15=26,$G15=26),0,1)</f>
        <v/>
      </c>
      <c r="DW16">
        <f>DW15*IF(OR($C15=27,$G15=27),0,1)</f>
        <v/>
      </c>
      <c r="DX16">
        <f>DX15*IF(OR($C15=28,$G15=28),0,1)</f>
        <v/>
      </c>
      <c r="DY16">
        <f>DY15*IF(OR($C15=29,$G15=29),0,1)</f>
        <v/>
      </c>
      <c r="DZ16">
        <f>DZ15*IF(OR($C15=30,$G15=30),0,1)</f>
        <v/>
      </c>
      <c r="EA16">
        <f>EA15*IF(OR($C15=31,$G15=31),0,1)</f>
        <v/>
      </c>
      <c r="EB16">
        <f>EB15*IF(OR($C15=32,$G15=32),0,1)</f>
        <v/>
      </c>
      <c r="EC16">
        <f>EC15*IF(OR($C15=33,$G15=33),0,1)</f>
        <v/>
      </c>
      <c r="ED16">
        <f>ED15*IF(OR($C15=34,$G15=34),0,1)</f>
        <v/>
      </c>
      <c r="EE16">
        <f>EE15*IF(OR($C15=35,$G15=35),0,1)</f>
        <v/>
      </c>
      <c r="EF16">
        <f>EF15*IF(OR($C15=36,$G15=36),0,1)</f>
        <v/>
      </c>
      <c r="EG16">
        <f>EG15*IF(OR($C15=37,$G15=37),0,1)</f>
        <v/>
      </c>
      <c r="EH16">
        <f>EH15*IF(OR($C15=38,$G15=38),0,1)</f>
        <v/>
      </c>
      <c r="EI16">
        <f>EI15*IF(OR($C15=39,$G15=39),0,1)</f>
        <v/>
      </c>
      <c r="EJ16">
        <f>EJ15*IF(OR($C15=40,$G15=40),0,1)</f>
        <v/>
      </c>
      <c r="EK16">
        <f>EK15*IF(OR($C15=41,$G15=41),0,1)</f>
        <v/>
      </c>
      <c r="EL16">
        <f>EL15*IF(OR($C15=42,$G15=42),0,1)</f>
        <v/>
      </c>
      <c r="EM16">
        <f>EM15*IF(OR($C15=43,$G15=43),0,1)</f>
        <v/>
      </c>
      <c r="EN16">
        <f>EN15*IF(OR($C15=44,$G15=44),0,1)</f>
        <v/>
      </c>
      <c r="EO16">
        <f>EO15*IF(OR($C15=45,$G15=45),0,1)</f>
        <v/>
      </c>
      <c r="EP16">
        <f>EP15*IF(OR($C15=46,$G15=46),0,1)</f>
        <v/>
      </c>
      <c r="EQ16">
        <f>EQ15*IF(OR($C15=47,$G15=47),0,1)</f>
        <v/>
      </c>
      <c r="ER16">
        <f>ER15*IF(OR($C15=48,$G15=48),0,1)</f>
        <v/>
      </c>
      <c r="ES16">
        <f>ES15*IF(OR($C15=49,$G15=49),0,1)</f>
        <v/>
      </c>
      <c r="ET16">
        <f>ET15*IF(OR($C15=50,$G15=50),0,1)</f>
        <v/>
      </c>
      <c r="EU16">
        <f>EU15*IF(OR($C15=51,$G15=51),0,1)</f>
        <v/>
      </c>
      <c r="EV16">
        <f>EV15*IF(OR($C15=52,$G15=52),0,1)</f>
        <v/>
      </c>
      <c r="EW16">
        <f>EW15*IF(OR($C15=53,$G15=53),0,1)</f>
        <v/>
      </c>
      <c r="EX16">
        <f>EX15*IF(OR($C15=54,$G15=54),0,1)</f>
        <v/>
      </c>
      <c r="EY16">
        <f>EY15*IF(OR($C15=55,$G15=55),0,1)</f>
        <v/>
      </c>
      <c r="EZ16">
        <f>EZ15*IF(OR($C15=56,$G15=56),0,1)</f>
        <v/>
      </c>
      <c r="FA16">
        <f>FA15*IF(OR($C15=57,$G15=57),0,1)</f>
        <v/>
      </c>
      <c r="FB16">
        <f>FB15*IF(OR($C15=58,$G15=58),0,1)</f>
        <v/>
      </c>
      <c r="FC16">
        <f>FC15*IF(OR($C15=59,$G15=59),0,1)</f>
        <v/>
      </c>
      <c r="FD16">
        <f>FD15*IF(OR($C15=60,$G15=60),0,1)</f>
        <v/>
      </c>
      <c r="FE16">
        <f>FE15*IF(OR($C15=61,$G15=61),0,1)</f>
        <v/>
      </c>
      <c r="FF16">
        <f>FF15*IF(OR($C15=62,$G15=62),0,1)</f>
        <v/>
      </c>
      <c r="FG16">
        <f>FG15*IF(OR($C15=63,$G15=63),0,1)</f>
        <v/>
      </c>
      <c r="FH16">
        <f>FH15*IF(OR($C15=64,$G15=64),0,1)</f>
        <v/>
      </c>
      <c r="FI16">
        <f>FI15*IF(OR($C15=65,$G15=65),0,1)</f>
        <v/>
      </c>
      <c r="FJ16">
        <f>FJ15*IF(OR($C15=66,$G15=66),0,1)</f>
        <v/>
      </c>
      <c r="FK16">
        <f>FK15*IF(OR($C15=67,$G15=67),0,1)</f>
        <v/>
      </c>
      <c r="FL16">
        <f>FL15*IF(OR($C15=68,$G15=68),0,1)</f>
        <v/>
      </c>
      <c r="FM16">
        <f>FM15*IF(OR($C15=69,$G15=69),0,1)</f>
        <v/>
      </c>
      <c r="FN16">
        <f>FN15*IF(OR($C15=70,$G15=70),0,1)</f>
        <v/>
      </c>
      <c r="FO16">
        <f>FO15*IF(OR($C15=71,$G15=71),0,1)</f>
        <v/>
      </c>
      <c r="FP16">
        <f>FP15*IF(OR($C15=72,$G15=72),0,1)</f>
        <v/>
      </c>
      <c r="FQ16">
        <f>FQ15*IF(OR($C15=73,$G15=73),0,1)</f>
        <v/>
      </c>
      <c r="FR16">
        <f>FR15*IF(OR($C15=74,$G15=74),0,1)</f>
        <v/>
      </c>
      <c r="FS16">
        <f>FS15*IF(OR($C15=75,$G15=75),0,1)</f>
        <v/>
      </c>
      <c r="FT16">
        <f>FT15*IF(OR($C15=76,$G15=76),0,1)</f>
        <v/>
      </c>
      <c r="FU16">
        <f>FU15*IF(OR($C15=77,$G15=77),0,1)</f>
        <v/>
      </c>
      <c r="FV16">
        <f>FV15*IF(OR($C15=78,$G15=78),0,1)</f>
        <v/>
      </c>
      <c r="FW16">
        <f>FW15*IF(OR($C15=79,$G15=79),0,1)</f>
        <v/>
      </c>
      <c r="FX16">
        <f>FX15*IF(OR($C15=80,$G15=80),0,1)</f>
        <v/>
      </c>
      <c r="FY16">
        <f>FY15*IF(OR($C15=81,$G15=81),0,1)</f>
        <v/>
      </c>
      <c r="FZ16">
        <f>FZ15*IF(OR($C15=82,$G15=82),0,1)</f>
        <v/>
      </c>
      <c r="GA16">
        <f>GA15*IF(OR($C15=83,$G15=83),0,1)</f>
        <v/>
      </c>
      <c r="GB16">
        <f>GB15*IF(OR($C15=84,$G15=84),0,1)</f>
        <v/>
      </c>
      <c r="GC16">
        <f>GC15*IF(OR($C15=85,$G15=85),0,1)</f>
        <v/>
      </c>
      <c r="GD16">
        <f>GD15*IF(OR($C15=86,$G15=86),0,1)</f>
        <v/>
      </c>
      <c r="GE16">
        <f>GE15*IF(OR($C15=87,$G15=87),0,1)</f>
        <v/>
      </c>
      <c r="GF16">
        <f>GF15*IF(OR($C15=88,$G15=88),0,1)</f>
        <v/>
      </c>
      <c r="GG16">
        <f>GG15*IF(OR($C15=89,$G15=89),0,1)</f>
        <v/>
      </c>
      <c r="GH16">
        <f>GH15*IF(OR($C15=90,$G15=90),0,1)</f>
        <v/>
      </c>
      <c r="GI16">
        <f>GI15*IF(OR($C15=91,$G15=91),0,1)</f>
        <v/>
      </c>
      <c r="GJ16">
        <f>GJ15*IF(OR($C15=92,$G15=92),0,1)</f>
        <v/>
      </c>
      <c r="GK16">
        <f>GK15*IF(OR($C15=93,$G15=93),0,1)</f>
        <v/>
      </c>
      <c r="GL16">
        <f>GL15*IF(OR($C15=94,$G15=94),0,1)</f>
        <v/>
      </c>
      <c r="GM16">
        <f>GM15*IF(OR($C15=95,$G15=95),0,1)</f>
        <v/>
      </c>
      <c r="GN16">
        <f>GN15*IF(OR($C15=96,$G15=96),0,1)</f>
        <v/>
      </c>
      <c r="GO16">
        <f>GO15*IF(OR($C15=97,$G15=97),0,1)</f>
        <v/>
      </c>
      <c r="GP16">
        <f>GP15*IF(OR($C15=98,$G15=98),0,1)</f>
        <v/>
      </c>
      <c r="GQ16">
        <f>GQ15*IF(OR($C15=99,$G15=99),0,1)</f>
        <v/>
      </c>
      <c r="GR16">
        <f>GR15*IF(OR($C15=100,$G15=100),0,1)</f>
        <v/>
      </c>
      <c r="GS16">
        <f>GS15*IF(OR($C15=101,$G15=101),0,1)</f>
        <v/>
      </c>
      <c r="GT16">
        <f>GT15*IF(OR($C15=102,$G15=102),0,1)</f>
        <v/>
      </c>
      <c r="GU16">
        <f>GU15*IF(OR($C15=103,$G15=103),0,1)</f>
        <v/>
      </c>
      <c r="GV16">
        <f>GV15*IF(OR($C15=104,$G15=104),0,1)</f>
        <v/>
      </c>
      <c r="GW16">
        <f>GW15*IF(OR($C15=105,$G15=105),0,1)</f>
        <v/>
      </c>
      <c r="GX16">
        <f>GX15*IF(OR($C15=106,$G15=106),0,1)</f>
        <v/>
      </c>
      <c r="GY16">
        <f>GY15*IF(OR($C15=107,$G15=107),0,1)</f>
        <v/>
      </c>
      <c r="GZ16">
        <f>GZ15*IF(OR($C15=108,$G15=108),0,1)</f>
        <v/>
      </c>
      <c r="HA16">
        <f>HA15*IF(OR($C15=109,$G15=109),0,1)</f>
        <v/>
      </c>
      <c r="HB16">
        <f>HB15*IF(OR($C15=110,$G15=110),0,1)</f>
        <v/>
      </c>
      <c r="HC16">
        <f>HC15*IF(OR($C15=111,$G15=111),0,1)</f>
        <v/>
      </c>
      <c r="HD16">
        <f>HD15*IF(OR($C15=112,$G15=112),0,1)</f>
        <v/>
      </c>
      <c r="HE16">
        <f>HE15*IF(OR($C15=113,$G15=113),0,1)</f>
        <v/>
      </c>
      <c r="HF16">
        <f>HF15*IF(OR($C15=114,$G15=114),0,1)</f>
        <v/>
      </c>
      <c r="HG16">
        <f>HG15*IF(OR($C15=115,$G15=115),0,1)</f>
        <v/>
      </c>
      <c r="HH16">
        <f>HH15*IF(OR($C15=116,$G15=116),0,1)</f>
        <v/>
      </c>
      <c r="HI16">
        <f>HI15*IF(OR($C15=117,$G15=117),0,1)</f>
        <v/>
      </c>
      <c r="HJ16">
        <f>HJ15*IF(OR($C15=118,$G15=118),0,1)</f>
        <v/>
      </c>
      <c r="HK16">
        <f>HK15*IF(OR($C15=119,$G15=119),0,1)</f>
        <v/>
      </c>
      <c r="HL16">
        <f>HL15*IF(OR($C15=120,$G15=120),0,1)</f>
        <v/>
      </c>
      <c r="HN16">
        <f>IF('計算A'!D$106=1,CX16,1)</f>
        <v/>
      </c>
      <c r="HO16">
        <f>IF('計算A'!E$106=1,CY16,1)</f>
        <v/>
      </c>
      <c r="HP16">
        <f>IF('計算A'!F$106=1,CZ16,1)</f>
        <v/>
      </c>
      <c r="HQ16">
        <f>IF('計算A'!G$106=1,DA16,1)</f>
        <v/>
      </c>
      <c r="HR16">
        <f>IF('計算A'!H$106=1,DB16,1)</f>
        <v/>
      </c>
      <c r="HS16">
        <f>IF('計算A'!I$106=1,DC16,1)</f>
        <v/>
      </c>
      <c r="HT16">
        <f>IF('計算A'!J$106=1,DD16,1)</f>
        <v/>
      </c>
      <c r="HU16">
        <f>IF('計算A'!K$106=1,DE16,1)</f>
        <v/>
      </c>
      <c r="HV16">
        <f>IF('計算A'!L$106=1,DF16,1)</f>
        <v/>
      </c>
      <c r="HW16">
        <f>IF('計算A'!M$106=1,DG16,1)</f>
        <v/>
      </c>
      <c r="HX16">
        <f>IF('計算A'!N$106=1,DH16,1)</f>
        <v/>
      </c>
      <c r="HY16">
        <f>IF('計算A'!O$106=1,DI16,1)</f>
        <v/>
      </c>
      <c r="HZ16">
        <f>IF('計算A'!P$106=1,DJ16,1)</f>
        <v/>
      </c>
      <c r="IA16">
        <f>IF('計算A'!Q$106=1,DK16,1)</f>
        <v/>
      </c>
      <c r="IB16">
        <f>IF('計算A'!R$106=1,DL16,1)</f>
        <v/>
      </c>
      <c r="IC16">
        <f>IF('計算A'!S$106=1,DM16,1)</f>
        <v/>
      </c>
      <c r="ID16">
        <f>IF('計算A'!T$106=1,DN16,1)</f>
        <v/>
      </c>
      <c r="IE16">
        <f>IF('計算A'!U$106=1,DO16,1)</f>
        <v/>
      </c>
      <c r="IF16">
        <f>IF('計算A'!V$106=1,DP16,1)</f>
        <v/>
      </c>
      <c r="IG16">
        <f>IF('計算A'!W$106=1,DQ16,1)</f>
        <v/>
      </c>
      <c r="IH16">
        <f>IF('計算A'!X$106=1,DR16,1)</f>
        <v/>
      </c>
      <c r="II16">
        <f>IF('計算A'!Y$106=1,DS16,1)</f>
        <v/>
      </c>
      <c r="IJ16">
        <f>IF('計算A'!Z$106=1,DT16,1)</f>
        <v/>
      </c>
      <c r="IK16">
        <f>IF('計算A'!AA$106=1,DU16,1)</f>
        <v/>
      </c>
      <c r="IL16">
        <f>IF('計算A'!AB$106=1,DV16,1)</f>
        <v/>
      </c>
      <c r="IM16">
        <f>IF('計算A'!AC$106=1,DW16,1)</f>
        <v/>
      </c>
      <c r="IN16">
        <f>IF('計算A'!AD$106=1,DX16,1)</f>
        <v/>
      </c>
      <c r="IO16">
        <f>IF('計算A'!AE$106=1,DY16,1)</f>
        <v/>
      </c>
      <c r="IP16">
        <f>IF('計算A'!AF$106=1,DZ16,1)</f>
        <v/>
      </c>
      <c r="IQ16">
        <f>IF('計算A'!AG$106=1,EA16,1)</f>
        <v/>
      </c>
      <c r="IR16">
        <f>IF('計算A'!AH$106=1,EB16,1)</f>
        <v/>
      </c>
      <c r="IS16">
        <f>IF('計算A'!AI$106=1,EC16,1)</f>
        <v/>
      </c>
      <c r="IT16">
        <f>IF('計算A'!AJ$106=1,ED16,1)</f>
        <v/>
      </c>
      <c r="IU16">
        <f>IF('計算A'!AK$106=1,EE16,1)</f>
        <v/>
      </c>
      <c r="IV16">
        <f>IF('計算A'!AL$106=1,EF16,1)</f>
        <v/>
      </c>
      <c r="IW16">
        <f>IF('計算A'!AM$106=1,EG16,1)</f>
        <v/>
      </c>
      <c r="IX16">
        <f>IF('計算A'!AN$106=1,EH16,1)</f>
        <v/>
      </c>
      <c r="IY16">
        <f>IF('計算A'!AO$106=1,EI16,1)</f>
        <v/>
      </c>
      <c r="IZ16">
        <f>IF('計算A'!AP$106=1,EJ16,1)</f>
        <v/>
      </c>
      <c r="JA16">
        <f>IF('計算A'!AQ$106=1,EK16,1)</f>
        <v/>
      </c>
      <c r="JB16">
        <f>IF('計算A'!AR$106=1,EL16,1)</f>
        <v/>
      </c>
      <c r="JC16">
        <f>IF('計算A'!AS$106=1,EM16,1)</f>
        <v/>
      </c>
      <c r="JD16">
        <f>IF('計算A'!AT$106=1,EN16,1)</f>
        <v/>
      </c>
      <c r="JE16">
        <f>IF('計算A'!AU$106=1,EO16,1)</f>
        <v/>
      </c>
      <c r="JF16">
        <f>IF('計算A'!AV$106=1,EP16,1)</f>
        <v/>
      </c>
      <c r="JG16">
        <f>IF('計算A'!AW$106=1,EQ16,1)</f>
        <v/>
      </c>
      <c r="JH16">
        <f>IF('計算A'!AX$106=1,ER16,1)</f>
        <v/>
      </c>
      <c r="JI16">
        <f>IF('計算A'!AY$106=1,ES16,1)</f>
        <v/>
      </c>
      <c r="JJ16">
        <f>IF('計算A'!AZ$106=1,ET16,1)</f>
        <v/>
      </c>
      <c r="JK16">
        <f>IF('計算A'!BA$106=1,EU16,1)</f>
        <v/>
      </c>
      <c r="JL16">
        <f>IF('計算A'!BB$106=1,EV16,1)</f>
        <v/>
      </c>
      <c r="JM16">
        <f>IF('計算A'!BC$106=1,EW16,1)</f>
        <v/>
      </c>
      <c r="JN16">
        <f>IF('計算A'!BD$106=1,EX16,1)</f>
        <v/>
      </c>
      <c r="JO16">
        <f>IF('計算A'!BE$106=1,EY16,1)</f>
        <v/>
      </c>
      <c r="JP16">
        <f>IF('計算A'!BF$106=1,EZ16,1)</f>
        <v/>
      </c>
      <c r="JQ16">
        <f>IF('計算A'!BG$106=1,FA16,1)</f>
        <v/>
      </c>
      <c r="JR16">
        <f>IF('計算A'!BH$106=1,FB16,1)</f>
        <v/>
      </c>
      <c r="JS16">
        <f>IF('計算A'!BI$106=1,FC16,1)</f>
        <v/>
      </c>
      <c r="JT16">
        <f>IF('計算A'!BJ$106=1,FD16,1)</f>
        <v/>
      </c>
      <c r="JU16">
        <f>IF('計算A'!BK$106=1,FE16,1)</f>
        <v/>
      </c>
      <c r="JV16">
        <f>IF('計算A'!BL$106=1,FF16,1)</f>
        <v/>
      </c>
      <c r="JW16">
        <f>IF('計算A'!BM$106=1,FG16,1)</f>
        <v/>
      </c>
      <c r="JX16">
        <f>IF('計算A'!BN$106=1,FH16,1)</f>
        <v/>
      </c>
      <c r="JY16">
        <f>IF('計算A'!BO$106=1,FI16,1)</f>
        <v/>
      </c>
      <c r="JZ16">
        <f>IF('計算A'!BP$106=1,FJ16,1)</f>
        <v/>
      </c>
      <c r="KA16">
        <f>IF('計算A'!BQ$106=1,FK16,1)</f>
        <v/>
      </c>
      <c r="KB16">
        <f>IF('計算A'!BR$106=1,FL16,1)</f>
        <v/>
      </c>
      <c r="KC16">
        <f>IF('計算A'!BS$106=1,FM16,1)</f>
        <v/>
      </c>
      <c r="KD16">
        <f>IF('計算A'!BT$106=1,FN16,1)</f>
        <v/>
      </c>
      <c r="KE16">
        <f>IF('計算A'!BU$106=1,FO16,1)</f>
        <v/>
      </c>
      <c r="KF16">
        <f>IF('計算A'!BV$106=1,FP16,1)</f>
        <v/>
      </c>
      <c r="KG16">
        <f>IF('計算A'!BW$106=1,FQ16,1)</f>
        <v/>
      </c>
      <c r="KH16">
        <f>IF('計算A'!BX$106=1,FR16,1)</f>
        <v/>
      </c>
      <c r="KI16">
        <f>IF('計算A'!BY$106=1,FS16,1)</f>
        <v/>
      </c>
      <c r="KJ16">
        <f>IF('計算A'!BZ$106=1,FT16,1)</f>
        <v/>
      </c>
      <c r="KK16">
        <f>IF('計算A'!CA$106=1,FU16,1)</f>
        <v/>
      </c>
      <c r="KL16">
        <f>IF('計算A'!CB$106=1,FV16,1)</f>
        <v/>
      </c>
      <c r="KM16">
        <f>IF('計算A'!CC$106=1,FW16,1)</f>
        <v/>
      </c>
      <c r="KN16">
        <f>IF('計算A'!CD$106=1,FX16,1)</f>
        <v/>
      </c>
      <c r="KO16">
        <f>IF('計算A'!CE$106=1,FY16,1)</f>
        <v/>
      </c>
      <c r="KP16">
        <f>IF('計算A'!CF$106=1,FZ16,1)</f>
        <v/>
      </c>
      <c r="KQ16">
        <f>IF('計算A'!CG$106=1,GA16,1)</f>
        <v/>
      </c>
      <c r="KR16">
        <f>IF('計算A'!CH$106=1,GB16,1)</f>
        <v/>
      </c>
      <c r="KS16">
        <f>IF('計算A'!CI$106=1,GC16,1)</f>
        <v/>
      </c>
      <c r="KT16">
        <f>IF('計算A'!CJ$106=1,GD16,1)</f>
        <v/>
      </c>
      <c r="KU16">
        <f>IF('計算A'!CK$106=1,GE16,1)</f>
        <v/>
      </c>
      <c r="KV16">
        <f>IF('計算A'!CL$106=1,GF16,1)</f>
        <v/>
      </c>
      <c r="KW16">
        <f>IF('計算A'!CM$106=1,GG16,1)</f>
        <v/>
      </c>
      <c r="KX16">
        <f>IF('計算A'!CN$106=1,GH16,1)</f>
        <v/>
      </c>
      <c r="KY16">
        <f>IF('計算A'!CO$106=1,GI16,1)</f>
        <v/>
      </c>
      <c r="KZ16">
        <f>IF('計算A'!CP$106=1,GJ16,1)</f>
        <v/>
      </c>
      <c r="LA16">
        <f>IF('計算A'!CQ$106=1,GK16,1)</f>
        <v/>
      </c>
      <c r="LB16">
        <f>IF('計算A'!CR$106=1,GL16,1)</f>
        <v/>
      </c>
      <c r="LC16">
        <f>IF('計算A'!CS$106=1,GM16,1)</f>
        <v/>
      </c>
      <c r="LD16">
        <f>IF('計算A'!CT$106=1,GN16,1)</f>
        <v/>
      </c>
      <c r="LE16">
        <f>IF('計算A'!CU$106=1,GO16,1)</f>
        <v/>
      </c>
      <c r="LF16">
        <f>IF('計算A'!CV$106=1,GP16,1)</f>
        <v/>
      </c>
      <c r="LG16">
        <f>IF('計算A'!CW$106=1,GQ16,1)</f>
        <v/>
      </c>
      <c r="LH16">
        <f>IF('計算A'!CX$106=1,GR16,1)</f>
        <v/>
      </c>
      <c r="LI16">
        <f>IF('計算A'!CY$106=1,GS16,1)</f>
        <v/>
      </c>
      <c r="LJ16">
        <f>IF('計算A'!CZ$106=1,GT16,1)</f>
        <v/>
      </c>
      <c r="LK16">
        <f>IF('計算A'!DA$106=1,GU16,1)</f>
        <v/>
      </c>
      <c r="LL16">
        <f>IF('計算A'!DB$106=1,GV16,1)</f>
        <v/>
      </c>
      <c r="LM16">
        <f>IF('計算A'!DC$106=1,GW16,1)</f>
        <v/>
      </c>
      <c r="LN16">
        <f>IF('計算A'!DD$106=1,GX16,1)</f>
        <v/>
      </c>
      <c r="LO16">
        <f>IF('計算A'!DE$106=1,GY16,1)</f>
        <v/>
      </c>
      <c r="LP16">
        <f>IF('計算A'!DF$106=1,GZ16,1)</f>
        <v/>
      </c>
      <c r="LQ16">
        <f>IF('計算A'!DG$106=1,HA16,1)</f>
        <v/>
      </c>
      <c r="LR16">
        <f>IF('計算A'!DH$106=1,HB16,1)</f>
        <v/>
      </c>
      <c r="LS16">
        <f>IF('計算A'!DI$106=1,HC16,1)</f>
        <v/>
      </c>
      <c r="LT16">
        <f>IF('計算A'!DJ$106=1,HD16,1)</f>
        <v/>
      </c>
      <c r="LU16">
        <f>IF('計算A'!DK$106=1,HE16,1)</f>
        <v/>
      </c>
      <c r="LV16">
        <f>IF('計算A'!DL$106=1,HF16,1)</f>
        <v/>
      </c>
      <c r="LW16">
        <f>IF('計算A'!DM$106=1,HG16,1)</f>
        <v/>
      </c>
      <c r="LX16">
        <f>IF('計算A'!DN$106=1,HH16,1)</f>
        <v/>
      </c>
      <c r="LY16">
        <f>IF('計算A'!DO$106=1,HI16,1)</f>
        <v/>
      </c>
      <c r="LZ16">
        <f>IF('計算A'!DP$106=1,HJ16,1)</f>
        <v/>
      </c>
      <c r="MA16">
        <f>IF('計算A'!DQ$106=1,HK16,1)</f>
        <v/>
      </c>
      <c r="MB16">
        <f>IF('計算A'!DR$106=1,HL16,1)</f>
        <v/>
      </c>
      <c r="MC16" t="n">
        <v>1</v>
      </c>
      <c r="ME16">
        <f>IF($B16=0,1000000,IF(INDEX('計算A'!$D$60:$DS$104,$B16,1)*CW16=1,IF(AND($E16=2,HN16=0),1000000,INDEX('計算A'!D$110:D$114,$F16+1)+IF(AND($E16=1,HN16=0),1000,0)),1000000))</f>
        <v/>
      </c>
      <c r="MF16">
        <f>IF($B16=0,1000000,IF(INDEX('計算A'!$D$60:$DS$104,$B16,2)*CX16=1,IF(AND($E16=2,HO16=0),1000000,INDEX('計算A'!E$110:E$114,$F16+1)+IF(AND($E16=1,HO16=0),1000,0)),1000000))</f>
        <v/>
      </c>
      <c r="MG16">
        <f>IF($B16=0,1000000,IF(INDEX('計算A'!$D$60:$DS$104,$B16,3)*CY16=1,IF(AND($E16=2,HP16=0),1000000,INDEX('計算A'!F$110:F$114,$F16+1)+IF(AND($E16=1,HP16=0),1000,0)),1000000))</f>
        <v/>
      </c>
      <c r="MH16">
        <f>IF($B16=0,1000000,IF(INDEX('計算A'!$D$60:$DS$104,$B16,4)*CZ16=1,IF(AND($E16=2,HQ16=0),1000000,INDEX('計算A'!G$110:G$114,$F16+1)+IF(AND($E16=1,HQ16=0),1000,0)),1000000))</f>
        <v/>
      </c>
      <c r="MI16">
        <f>IF($B16=0,1000000,IF(INDEX('計算A'!$D$60:$DS$104,$B16,5)*DA16=1,IF(AND($E16=2,HR16=0),1000000,INDEX('計算A'!H$110:H$114,$F16+1)+IF(AND($E16=1,HR16=0),1000,0)),1000000))</f>
        <v/>
      </c>
      <c r="MJ16">
        <f>IF($B16=0,1000000,IF(INDEX('計算A'!$D$60:$DS$104,$B16,6)*DB16=1,IF(AND($E16=2,HS16=0),1000000,INDEX('計算A'!I$110:I$114,$F16+1)+IF(AND($E16=1,HS16=0),1000,0)),1000000))</f>
        <v/>
      </c>
      <c r="MK16">
        <f>IF($B16=0,1000000,IF(INDEX('計算A'!$D$60:$DS$104,$B16,7)*DC16=1,IF(AND($E16=2,HT16=0),1000000,INDEX('計算A'!J$110:J$114,$F16+1)+IF(AND($E16=1,HT16=0),1000,0)),1000000))</f>
        <v/>
      </c>
      <c r="ML16">
        <f>IF($B16=0,1000000,IF(INDEX('計算A'!$D$60:$DS$104,$B16,8)*DD16=1,IF(AND($E16=2,HU16=0),1000000,INDEX('計算A'!K$110:K$114,$F16+1)+IF(AND($E16=1,HU16=0),1000,0)),1000000))</f>
        <v/>
      </c>
      <c r="MM16">
        <f>IF($B16=0,1000000,IF(INDEX('計算A'!$D$60:$DS$104,$B16,9)*DE16=1,IF(AND($E16=2,HV16=0),1000000,INDEX('計算A'!L$110:L$114,$F16+1)+IF(AND($E16=1,HV16=0),1000,0)),1000000))</f>
        <v/>
      </c>
      <c r="MN16">
        <f>IF($B16=0,1000000,IF(INDEX('計算A'!$D$60:$DS$104,$B16,10)*DF16=1,IF(AND($E16=2,HW16=0),1000000,INDEX('計算A'!M$110:M$114,$F16+1)+IF(AND($E16=1,HW16=0),1000,0)),1000000))</f>
        <v/>
      </c>
      <c r="MO16">
        <f>IF($B16=0,1000000,IF(INDEX('計算A'!$D$60:$DS$104,$B16,11)*DG16=1,IF(AND($E16=2,HX16=0),1000000,INDEX('計算A'!N$110:N$114,$F16+1)+IF(AND($E16=1,HX16=0),1000,0)),1000000))</f>
        <v/>
      </c>
      <c r="MP16">
        <f>IF($B16=0,1000000,IF(INDEX('計算A'!$D$60:$DS$104,$B16,12)*DH16=1,IF(AND($E16=2,HY16=0),1000000,INDEX('計算A'!O$110:O$114,$F16+1)+IF(AND($E16=1,HY16=0),1000,0)),1000000))</f>
        <v/>
      </c>
      <c r="MQ16">
        <f>IF($B16=0,1000000,IF(INDEX('計算A'!$D$60:$DS$104,$B16,13)*DI16=1,IF(AND($E16=2,HZ16=0),1000000,INDEX('計算A'!P$110:P$114,$F16+1)+IF(AND($E16=1,HZ16=0),1000,0)),1000000))</f>
        <v/>
      </c>
      <c r="MR16">
        <f>IF($B16=0,1000000,IF(INDEX('計算A'!$D$60:$DS$104,$B16,14)*DJ16=1,IF(AND($E16=2,IA16=0),1000000,INDEX('計算A'!Q$110:Q$114,$F16+1)+IF(AND($E16=1,IA16=0),1000,0)),1000000))</f>
        <v/>
      </c>
      <c r="MS16">
        <f>IF($B16=0,1000000,IF(INDEX('計算A'!$D$60:$DS$104,$B16,15)*DK16=1,IF(AND($E16=2,IB16=0),1000000,INDEX('計算A'!R$110:R$114,$F16+1)+IF(AND($E16=1,IB16=0),1000,0)),1000000))</f>
        <v/>
      </c>
      <c r="MT16">
        <f>IF($B16=0,1000000,IF(INDEX('計算A'!$D$60:$DS$104,$B16,16)*DL16=1,IF(AND($E16=2,IC16=0),1000000,INDEX('計算A'!S$110:S$114,$F16+1)+IF(AND($E16=1,IC16=0),1000,0)),1000000))</f>
        <v/>
      </c>
      <c r="MU16">
        <f>IF($B16=0,1000000,IF(INDEX('計算A'!$D$60:$DS$104,$B16,17)*DM16=1,IF(AND($E16=2,ID16=0),1000000,INDEX('計算A'!T$110:T$114,$F16+1)+IF(AND($E16=1,ID16=0),1000,0)),1000000))</f>
        <v/>
      </c>
      <c r="MV16">
        <f>IF($B16=0,1000000,IF(INDEX('計算A'!$D$60:$DS$104,$B16,18)*DN16=1,IF(AND($E16=2,IE16=0),1000000,INDEX('計算A'!U$110:U$114,$F16+1)+IF(AND($E16=1,IE16=0),1000,0)),1000000))</f>
        <v/>
      </c>
      <c r="MW16">
        <f>IF($B16=0,1000000,IF(INDEX('計算A'!$D$60:$DS$104,$B16,19)*DO16=1,IF(AND($E16=2,IF16=0),1000000,INDEX('計算A'!V$110:V$114,$F16+1)+IF(AND($E16=1,IF16=0),1000,0)),1000000))</f>
        <v/>
      </c>
      <c r="MX16">
        <f>IF($B16=0,1000000,IF(INDEX('計算A'!$D$60:$DS$104,$B16,20)*DP16=1,IF(AND($E16=2,IG16=0),1000000,INDEX('計算A'!W$110:W$114,$F16+1)+IF(AND($E16=1,IG16=0),1000,0)),1000000))</f>
        <v/>
      </c>
      <c r="MY16">
        <f>IF($B16=0,1000000,IF(INDEX('計算A'!$D$60:$DS$104,$B16,21)*DQ16=1,IF(AND($E16=2,IH16=0),1000000,INDEX('計算A'!X$110:X$114,$F16+1)+IF(AND($E16=1,IH16=0),1000,0)),1000000))</f>
        <v/>
      </c>
      <c r="MZ16">
        <f>IF($B16=0,1000000,IF(INDEX('計算A'!$D$60:$DS$104,$B16,22)*DR16=1,IF(AND($E16=2,II16=0),1000000,INDEX('計算A'!Y$110:Y$114,$F16+1)+IF(AND($E16=1,II16=0),1000,0)),1000000))</f>
        <v/>
      </c>
      <c r="NA16">
        <f>IF($B16=0,1000000,IF(INDEX('計算A'!$D$60:$DS$104,$B16,23)*DS16=1,IF(AND($E16=2,IJ16=0),1000000,INDEX('計算A'!Z$110:Z$114,$F16+1)+IF(AND($E16=1,IJ16=0),1000,0)),1000000))</f>
        <v/>
      </c>
      <c r="NB16">
        <f>IF($B16=0,1000000,IF(INDEX('計算A'!$D$60:$DS$104,$B16,24)*DT16=1,IF(AND($E16=2,IK16=0),1000000,INDEX('計算A'!AA$110:AA$114,$F16+1)+IF(AND($E16=1,IK16=0),1000,0)),1000000))</f>
        <v/>
      </c>
      <c r="NC16">
        <f>IF($B16=0,1000000,IF(INDEX('計算A'!$D$60:$DS$104,$B16,25)*DU16=1,IF(AND($E16=2,IL16=0),1000000,INDEX('計算A'!AB$110:AB$114,$F16+1)+IF(AND($E16=1,IL16=0),1000,0)),1000000))</f>
        <v/>
      </c>
      <c r="ND16">
        <f>IF($B16=0,1000000,IF(INDEX('計算A'!$D$60:$DS$104,$B16,26)*DV16=1,IF(AND($E16=2,IM16=0),1000000,INDEX('計算A'!AC$110:AC$114,$F16+1)+IF(AND($E16=1,IM16=0),1000,0)),1000000))</f>
        <v/>
      </c>
      <c r="NE16">
        <f>IF($B16=0,1000000,IF(INDEX('計算A'!$D$60:$DS$104,$B16,27)*DW16=1,IF(AND($E16=2,IN16=0),1000000,INDEX('計算A'!AD$110:AD$114,$F16+1)+IF(AND($E16=1,IN16=0),1000,0)),1000000))</f>
        <v/>
      </c>
      <c r="NF16">
        <f>IF($B16=0,1000000,IF(INDEX('計算A'!$D$60:$DS$104,$B16,28)*DX16=1,IF(AND($E16=2,IO16=0),1000000,INDEX('計算A'!AE$110:AE$114,$F16+1)+IF(AND($E16=1,IO16=0),1000,0)),1000000))</f>
        <v/>
      </c>
      <c r="NG16">
        <f>IF($B16=0,1000000,IF(INDEX('計算A'!$D$60:$DS$104,$B16,29)*DY16=1,IF(AND($E16=2,IP16=0),1000000,INDEX('計算A'!AF$110:AF$114,$F16+1)+IF(AND($E16=1,IP16=0),1000,0)),1000000))</f>
        <v/>
      </c>
      <c r="NH16">
        <f>IF($B16=0,1000000,IF(INDEX('計算A'!$D$60:$DS$104,$B16,30)*DZ16=1,IF(AND($E16=2,IQ16=0),1000000,INDEX('計算A'!AG$110:AG$114,$F16+1)+IF(AND($E16=1,IQ16=0),1000,0)),1000000))</f>
        <v/>
      </c>
      <c r="NI16">
        <f>IF($B16=0,1000000,IF(INDEX('計算A'!$D$60:$DS$104,$B16,31)*EA16=1,IF(AND($E16=2,IR16=0),1000000,INDEX('計算A'!AH$110:AH$114,$F16+1)+IF(AND($E16=1,IR16=0),1000,0)),1000000))</f>
        <v/>
      </c>
      <c r="NJ16">
        <f>IF($B16=0,1000000,IF(INDEX('計算A'!$D$60:$DS$104,$B16,32)*EB16=1,IF(AND($E16=2,IS16=0),1000000,INDEX('計算A'!AI$110:AI$114,$F16+1)+IF(AND($E16=1,IS16=0),1000,0)),1000000))</f>
        <v/>
      </c>
      <c r="NK16">
        <f>IF($B16=0,1000000,IF(INDEX('計算A'!$D$60:$DS$104,$B16,33)*EC16=1,IF(AND($E16=2,IT16=0),1000000,INDEX('計算A'!AJ$110:AJ$114,$F16+1)+IF(AND($E16=1,IT16=0),1000,0)),1000000))</f>
        <v/>
      </c>
      <c r="NL16">
        <f>IF($B16=0,1000000,IF(INDEX('計算A'!$D$60:$DS$104,$B16,34)*ED16=1,IF(AND($E16=2,IU16=0),1000000,INDEX('計算A'!AK$110:AK$114,$F16+1)+IF(AND($E16=1,IU16=0),1000,0)),1000000))</f>
        <v/>
      </c>
      <c r="NM16">
        <f>IF($B16=0,1000000,IF(INDEX('計算A'!$D$60:$DS$104,$B16,35)*EE16=1,IF(AND($E16=2,IV16=0),1000000,INDEX('計算A'!AL$110:AL$114,$F16+1)+IF(AND($E16=1,IV16=0),1000,0)),1000000))</f>
        <v/>
      </c>
      <c r="NN16">
        <f>IF($B16=0,1000000,IF(INDEX('計算A'!$D$60:$DS$104,$B16,36)*EF16=1,IF(AND($E16=2,IW16=0),1000000,INDEX('計算A'!AM$110:AM$114,$F16+1)+IF(AND($E16=1,IW16=0),1000,0)),1000000))</f>
        <v/>
      </c>
      <c r="NO16">
        <f>IF($B16=0,1000000,IF(INDEX('計算A'!$D$60:$DS$104,$B16,37)*EG16=1,IF(AND($E16=2,IX16=0),1000000,INDEX('計算A'!AN$110:AN$114,$F16+1)+IF(AND($E16=1,IX16=0),1000,0)),1000000))</f>
        <v/>
      </c>
      <c r="NP16">
        <f>IF($B16=0,1000000,IF(INDEX('計算A'!$D$60:$DS$104,$B16,38)*EH16=1,IF(AND($E16=2,IY16=0),1000000,INDEX('計算A'!AO$110:AO$114,$F16+1)+IF(AND($E16=1,IY16=0),1000,0)),1000000))</f>
        <v/>
      </c>
      <c r="NQ16">
        <f>IF($B16=0,1000000,IF(INDEX('計算A'!$D$60:$DS$104,$B16,39)*EI16=1,IF(AND($E16=2,IZ16=0),1000000,INDEX('計算A'!AP$110:AP$114,$F16+1)+IF(AND($E16=1,IZ16=0),1000,0)),1000000))</f>
        <v/>
      </c>
      <c r="NR16">
        <f>IF($B16=0,1000000,IF(INDEX('計算A'!$D$60:$DS$104,$B16,40)*EJ16=1,IF(AND($E16=2,JA16=0),1000000,INDEX('計算A'!AQ$110:AQ$114,$F16+1)+IF(AND($E16=1,JA16=0),1000,0)),1000000))</f>
        <v/>
      </c>
      <c r="NS16">
        <f>IF($B16=0,1000000,IF(INDEX('計算A'!$D$60:$DS$104,$B16,41)*EK16=1,IF(AND($E16=2,JB16=0),1000000,INDEX('計算A'!AR$110:AR$114,$F16+1)+IF(AND($E16=1,JB16=0),1000,0)),1000000))</f>
        <v/>
      </c>
      <c r="NT16">
        <f>IF($B16=0,1000000,IF(INDEX('計算A'!$D$60:$DS$104,$B16,42)*EL16=1,IF(AND($E16=2,JC16=0),1000000,INDEX('計算A'!AS$110:AS$114,$F16+1)+IF(AND($E16=1,JC16=0),1000,0)),1000000))</f>
        <v/>
      </c>
      <c r="NU16">
        <f>IF($B16=0,1000000,IF(INDEX('計算A'!$D$60:$DS$104,$B16,43)*EM16=1,IF(AND($E16=2,JD16=0),1000000,INDEX('計算A'!AT$110:AT$114,$F16+1)+IF(AND($E16=1,JD16=0),1000,0)),1000000))</f>
        <v/>
      </c>
      <c r="NV16">
        <f>IF($B16=0,1000000,IF(INDEX('計算A'!$D$60:$DS$104,$B16,44)*EN16=1,IF(AND($E16=2,JE16=0),1000000,INDEX('計算A'!AU$110:AU$114,$F16+1)+IF(AND($E16=1,JE16=0),1000,0)),1000000))</f>
        <v/>
      </c>
      <c r="NW16">
        <f>IF($B16=0,1000000,IF(INDEX('計算A'!$D$60:$DS$104,$B16,45)*EO16=1,IF(AND($E16=2,JF16=0),1000000,INDEX('計算A'!AV$110:AV$114,$F16+1)+IF(AND($E16=1,JF16=0),1000,0)),1000000))</f>
        <v/>
      </c>
      <c r="NX16">
        <f>IF($B16=0,1000000,IF(INDEX('計算A'!$D$60:$DS$104,$B16,46)*EP16=1,IF(AND($E16=2,JG16=0),1000000,INDEX('計算A'!AW$110:AW$114,$F16+1)+IF(AND($E16=1,JG16=0),1000,0)),1000000))</f>
        <v/>
      </c>
      <c r="NY16">
        <f>IF($B16=0,1000000,IF(INDEX('計算A'!$D$60:$DS$104,$B16,47)*EQ16=1,IF(AND($E16=2,JH16=0),1000000,INDEX('計算A'!AX$110:AX$114,$F16+1)+IF(AND($E16=1,JH16=0),1000,0)),1000000))</f>
        <v/>
      </c>
      <c r="NZ16">
        <f>IF($B16=0,1000000,IF(INDEX('計算A'!$D$60:$DS$104,$B16,48)*ER16=1,IF(AND($E16=2,JI16=0),1000000,INDEX('計算A'!AY$110:AY$114,$F16+1)+IF(AND($E16=1,JI16=0),1000,0)),1000000))</f>
        <v/>
      </c>
      <c r="OA16">
        <f>IF($B16=0,1000000,IF(INDEX('計算A'!$D$60:$DS$104,$B16,49)*ES16=1,IF(AND($E16=2,JJ16=0),1000000,INDEX('計算A'!AZ$110:AZ$114,$F16+1)+IF(AND($E16=1,JJ16=0),1000,0)),1000000))</f>
        <v/>
      </c>
      <c r="OB16">
        <f>IF($B16=0,1000000,IF(INDEX('計算A'!$D$60:$DS$104,$B16,50)*ET16=1,IF(AND($E16=2,JK16=0),1000000,INDEX('計算A'!BA$110:BA$114,$F16+1)+IF(AND($E16=1,JK16=0),1000,0)),1000000))</f>
        <v/>
      </c>
      <c r="OC16">
        <f>IF($B16=0,1000000,IF(INDEX('計算A'!$D$60:$DS$104,$B16,51)*EU16=1,IF(AND($E16=2,JL16=0),1000000,INDEX('計算A'!BB$110:BB$114,$F16+1)+IF(AND($E16=1,JL16=0),1000,0)),1000000))</f>
        <v/>
      </c>
      <c r="OD16">
        <f>IF($B16=0,1000000,IF(INDEX('計算A'!$D$60:$DS$104,$B16,52)*EV16=1,IF(AND($E16=2,JM16=0),1000000,INDEX('計算A'!BC$110:BC$114,$F16+1)+IF(AND($E16=1,JM16=0),1000,0)),1000000))</f>
        <v/>
      </c>
      <c r="OE16">
        <f>IF($B16=0,1000000,IF(INDEX('計算A'!$D$60:$DS$104,$B16,53)*EW16=1,IF(AND($E16=2,JN16=0),1000000,INDEX('計算A'!BD$110:BD$114,$F16+1)+IF(AND($E16=1,JN16=0),1000,0)),1000000))</f>
        <v/>
      </c>
      <c r="OF16">
        <f>IF($B16=0,1000000,IF(INDEX('計算A'!$D$60:$DS$104,$B16,54)*EX16=1,IF(AND($E16=2,JO16=0),1000000,INDEX('計算A'!BE$110:BE$114,$F16+1)+IF(AND($E16=1,JO16=0),1000,0)),1000000))</f>
        <v/>
      </c>
      <c r="OG16">
        <f>IF($B16=0,1000000,IF(INDEX('計算A'!$D$60:$DS$104,$B16,55)*EY16=1,IF(AND($E16=2,JP16=0),1000000,INDEX('計算A'!BF$110:BF$114,$F16+1)+IF(AND($E16=1,JP16=0),1000,0)),1000000))</f>
        <v/>
      </c>
      <c r="OH16">
        <f>IF($B16=0,1000000,IF(INDEX('計算A'!$D$60:$DS$104,$B16,56)*EZ16=1,IF(AND($E16=2,JQ16=0),1000000,INDEX('計算A'!BG$110:BG$114,$F16+1)+IF(AND($E16=1,JQ16=0),1000,0)),1000000))</f>
        <v/>
      </c>
      <c r="OI16">
        <f>IF($B16=0,1000000,IF(INDEX('計算A'!$D$60:$DS$104,$B16,57)*FA16=1,IF(AND($E16=2,JR16=0),1000000,INDEX('計算A'!BH$110:BH$114,$F16+1)+IF(AND($E16=1,JR16=0),1000,0)),1000000))</f>
        <v/>
      </c>
      <c r="OJ16">
        <f>IF($B16=0,1000000,IF(INDEX('計算A'!$D$60:$DS$104,$B16,58)*FB16=1,IF(AND($E16=2,JS16=0),1000000,INDEX('計算A'!BI$110:BI$114,$F16+1)+IF(AND($E16=1,JS16=0),1000,0)),1000000))</f>
        <v/>
      </c>
      <c r="OK16">
        <f>IF($B16=0,1000000,IF(INDEX('計算A'!$D$60:$DS$104,$B16,59)*FC16=1,IF(AND($E16=2,JT16=0),1000000,INDEX('計算A'!BJ$110:BJ$114,$F16+1)+IF(AND($E16=1,JT16=0),1000,0)),1000000))</f>
        <v/>
      </c>
      <c r="OL16">
        <f>IF($B16=0,1000000,IF(INDEX('計算A'!$D$60:$DS$104,$B16,60)*FD16=1,IF(AND($E16=2,JU16=0),1000000,INDEX('計算A'!BK$110:BK$114,$F16+1)+IF(AND($E16=1,JU16=0),1000,0)),1000000))</f>
        <v/>
      </c>
      <c r="OM16">
        <f>IF($B16=0,1000000,IF(INDEX('計算A'!$D$60:$DS$104,$B16,61)*FE16=1,IF(AND($E16=2,JV16=0),1000000,INDEX('計算A'!BL$110:BL$114,$F16+1)+IF(AND($E16=1,JV16=0),1000,0)),1000000))</f>
        <v/>
      </c>
      <c r="ON16">
        <f>IF($B16=0,1000000,IF(INDEX('計算A'!$D$60:$DS$104,$B16,62)*FF16=1,IF(AND($E16=2,JW16=0),1000000,INDEX('計算A'!BM$110:BM$114,$F16+1)+IF(AND($E16=1,JW16=0),1000,0)),1000000))</f>
        <v/>
      </c>
      <c r="OO16">
        <f>IF($B16=0,1000000,IF(INDEX('計算A'!$D$60:$DS$104,$B16,63)*FG16=1,IF(AND($E16=2,JX16=0),1000000,INDEX('計算A'!BN$110:BN$114,$F16+1)+IF(AND($E16=1,JX16=0),1000,0)),1000000))</f>
        <v/>
      </c>
      <c r="OP16">
        <f>IF($B16=0,1000000,IF(INDEX('計算A'!$D$60:$DS$104,$B16,64)*FH16=1,IF(AND($E16=2,JY16=0),1000000,INDEX('計算A'!BO$110:BO$114,$F16+1)+IF(AND($E16=1,JY16=0),1000,0)),1000000))</f>
        <v/>
      </c>
      <c r="OQ16">
        <f>IF($B16=0,1000000,IF(INDEX('計算A'!$D$60:$DS$104,$B16,65)*FI16=1,IF(AND($E16=2,JZ16=0),1000000,INDEX('計算A'!BP$110:BP$114,$F16+1)+IF(AND($E16=1,JZ16=0),1000,0)),1000000))</f>
        <v/>
      </c>
      <c r="OR16">
        <f>IF($B16=0,1000000,IF(INDEX('計算A'!$D$60:$DS$104,$B16,66)*FJ16=1,IF(AND($E16=2,KA16=0),1000000,INDEX('計算A'!BQ$110:BQ$114,$F16+1)+IF(AND($E16=1,KA16=0),1000,0)),1000000))</f>
        <v/>
      </c>
      <c r="OS16">
        <f>IF($B16=0,1000000,IF(INDEX('計算A'!$D$60:$DS$104,$B16,67)*FK16=1,IF(AND($E16=2,KB16=0),1000000,INDEX('計算A'!BR$110:BR$114,$F16+1)+IF(AND($E16=1,KB16=0),1000,0)),1000000))</f>
        <v/>
      </c>
      <c r="OT16">
        <f>IF($B16=0,1000000,IF(INDEX('計算A'!$D$60:$DS$104,$B16,68)*FL16=1,IF(AND($E16=2,KC16=0),1000000,INDEX('計算A'!BS$110:BS$114,$F16+1)+IF(AND($E16=1,KC16=0),1000,0)),1000000))</f>
        <v/>
      </c>
      <c r="OU16">
        <f>IF($B16=0,1000000,IF(INDEX('計算A'!$D$60:$DS$104,$B16,69)*FM16=1,IF(AND($E16=2,KD16=0),1000000,INDEX('計算A'!BT$110:BT$114,$F16+1)+IF(AND($E16=1,KD16=0),1000,0)),1000000))</f>
        <v/>
      </c>
      <c r="OV16">
        <f>IF($B16=0,1000000,IF(INDEX('計算A'!$D$60:$DS$104,$B16,70)*FN16=1,IF(AND($E16=2,KE16=0),1000000,INDEX('計算A'!BU$110:BU$114,$F16+1)+IF(AND($E16=1,KE16=0),1000,0)),1000000))</f>
        <v/>
      </c>
      <c r="OW16">
        <f>IF($B16=0,1000000,IF(INDEX('計算A'!$D$60:$DS$104,$B16,71)*FO16=1,IF(AND($E16=2,KF16=0),1000000,INDEX('計算A'!BV$110:BV$114,$F16+1)+IF(AND($E16=1,KF16=0),1000,0)),1000000))</f>
        <v/>
      </c>
      <c r="OX16">
        <f>IF($B16=0,1000000,IF(INDEX('計算A'!$D$60:$DS$104,$B16,72)*FP16=1,IF(AND($E16=2,KG16=0),1000000,INDEX('計算A'!BW$110:BW$114,$F16+1)+IF(AND($E16=1,KG16=0),1000,0)),1000000))</f>
        <v/>
      </c>
      <c r="OY16">
        <f>IF($B16=0,1000000,IF(INDEX('計算A'!$D$60:$DS$104,$B16,73)*FQ16=1,IF(AND($E16=2,KH16=0),1000000,INDEX('計算A'!BX$110:BX$114,$F16+1)+IF(AND($E16=1,KH16=0),1000,0)),1000000))</f>
        <v/>
      </c>
      <c r="OZ16">
        <f>IF($B16=0,1000000,IF(INDEX('計算A'!$D$60:$DS$104,$B16,74)*FR16=1,IF(AND($E16=2,KI16=0),1000000,INDEX('計算A'!BY$110:BY$114,$F16+1)+IF(AND($E16=1,KI16=0),1000,0)),1000000))</f>
        <v/>
      </c>
      <c r="PA16">
        <f>IF($B16=0,1000000,IF(INDEX('計算A'!$D$60:$DS$104,$B16,75)*FS16=1,IF(AND($E16=2,KJ16=0),1000000,INDEX('計算A'!BZ$110:BZ$114,$F16+1)+IF(AND($E16=1,KJ16=0),1000,0)),1000000))</f>
        <v/>
      </c>
      <c r="PB16">
        <f>IF($B16=0,1000000,IF(INDEX('計算A'!$D$60:$DS$104,$B16,76)*FT16=1,IF(AND($E16=2,KK16=0),1000000,INDEX('計算A'!CA$110:CA$114,$F16+1)+IF(AND($E16=1,KK16=0),1000,0)),1000000))</f>
        <v/>
      </c>
      <c r="PC16">
        <f>IF($B16=0,1000000,IF(INDEX('計算A'!$D$60:$DS$104,$B16,77)*FU16=1,IF(AND($E16=2,KL16=0),1000000,INDEX('計算A'!CB$110:CB$114,$F16+1)+IF(AND($E16=1,KL16=0),1000,0)),1000000))</f>
        <v/>
      </c>
      <c r="PD16">
        <f>IF($B16=0,1000000,IF(INDEX('計算A'!$D$60:$DS$104,$B16,78)*FV16=1,IF(AND($E16=2,KM16=0),1000000,INDEX('計算A'!CC$110:CC$114,$F16+1)+IF(AND($E16=1,KM16=0),1000,0)),1000000))</f>
        <v/>
      </c>
      <c r="PE16">
        <f>IF($B16=0,1000000,IF(INDEX('計算A'!$D$60:$DS$104,$B16,79)*FW16=1,IF(AND($E16=2,KN16=0),1000000,INDEX('計算A'!CD$110:CD$114,$F16+1)+IF(AND($E16=1,KN16=0),1000,0)),1000000))</f>
        <v/>
      </c>
      <c r="PF16">
        <f>IF($B16=0,1000000,IF(INDEX('計算A'!$D$60:$DS$104,$B16,80)*FX16=1,IF(AND($E16=2,KO16=0),1000000,INDEX('計算A'!CE$110:CE$114,$F16+1)+IF(AND($E16=1,KO16=0),1000,0)),1000000))</f>
        <v/>
      </c>
      <c r="PG16">
        <f>IF($B16=0,1000000,IF(INDEX('計算A'!$D$60:$DS$104,$B16,81)*FY16=1,IF(AND($E16=2,KP16=0),1000000,INDEX('計算A'!CF$110:CF$114,$F16+1)+IF(AND($E16=1,KP16=0),1000,0)),1000000))</f>
        <v/>
      </c>
      <c r="PH16">
        <f>IF($B16=0,1000000,IF(INDEX('計算A'!$D$60:$DS$104,$B16,82)*FZ16=1,IF(AND($E16=2,KQ16=0),1000000,INDEX('計算A'!CG$110:CG$114,$F16+1)+IF(AND($E16=1,KQ16=0),1000,0)),1000000))</f>
        <v/>
      </c>
      <c r="PI16">
        <f>IF($B16=0,1000000,IF(INDEX('計算A'!$D$60:$DS$104,$B16,83)*GA16=1,IF(AND($E16=2,KR16=0),1000000,INDEX('計算A'!CH$110:CH$114,$F16+1)+IF(AND($E16=1,KR16=0),1000,0)),1000000))</f>
        <v/>
      </c>
      <c r="PJ16">
        <f>IF($B16=0,1000000,IF(INDEX('計算A'!$D$60:$DS$104,$B16,84)*GB16=1,IF(AND($E16=2,KS16=0),1000000,INDEX('計算A'!CI$110:CI$114,$F16+1)+IF(AND($E16=1,KS16=0),1000,0)),1000000))</f>
        <v/>
      </c>
      <c r="PK16">
        <f>IF($B16=0,1000000,IF(INDEX('計算A'!$D$60:$DS$104,$B16,85)*GC16=1,IF(AND($E16=2,KT16=0),1000000,INDEX('計算A'!CJ$110:CJ$114,$F16+1)+IF(AND($E16=1,KT16=0),1000,0)),1000000))</f>
        <v/>
      </c>
      <c r="PL16">
        <f>IF($B16=0,1000000,IF(INDEX('計算A'!$D$60:$DS$104,$B16,86)*GD16=1,IF(AND($E16=2,KU16=0),1000000,INDEX('計算A'!CK$110:CK$114,$F16+1)+IF(AND($E16=1,KU16=0),1000,0)),1000000))</f>
        <v/>
      </c>
      <c r="PM16">
        <f>IF($B16=0,1000000,IF(INDEX('計算A'!$D$60:$DS$104,$B16,87)*GE16=1,IF(AND($E16=2,KV16=0),1000000,INDEX('計算A'!CL$110:CL$114,$F16+1)+IF(AND($E16=1,KV16=0),1000,0)),1000000))</f>
        <v/>
      </c>
      <c r="PN16">
        <f>IF($B16=0,1000000,IF(INDEX('計算A'!$D$60:$DS$104,$B16,88)*GF16=1,IF(AND($E16=2,KW16=0),1000000,INDEX('計算A'!CM$110:CM$114,$F16+1)+IF(AND($E16=1,KW16=0),1000,0)),1000000))</f>
        <v/>
      </c>
      <c r="PO16">
        <f>IF($B16=0,1000000,IF(INDEX('計算A'!$D$60:$DS$104,$B16,89)*GG16=1,IF(AND($E16=2,KX16=0),1000000,INDEX('計算A'!CN$110:CN$114,$F16+1)+IF(AND($E16=1,KX16=0),1000,0)),1000000))</f>
        <v/>
      </c>
      <c r="PP16">
        <f>IF($B16=0,1000000,IF(INDEX('計算A'!$D$60:$DS$104,$B16,90)*GH16=1,IF(AND($E16=2,KY16=0),1000000,INDEX('計算A'!CO$110:CO$114,$F16+1)+IF(AND($E16=1,KY16=0),1000,0)),1000000))</f>
        <v/>
      </c>
      <c r="PQ16">
        <f>IF($B16=0,1000000,IF(INDEX('計算A'!$D$60:$DS$104,$B16,91)*GI16=1,IF(AND($E16=2,KZ16=0),1000000,INDEX('計算A'!CP$110:CP$114,$F16+1)+IF(AND($E16=1,KZ16=0),1000,0)),1000000))</f>
        <v/>
      </c>
      <c r="PR16">
        <f>IF($B16=0,1000000,IF(INDEX('計算A'!$D$60:$DS$104,$B16,92)*GJ16=1,IF(AND($E16=2,LA16=0),1000000,INDEX('計算A'!CQ$110:CQ$114,$F16+1)+IF(AND($E16=1,LA16=0),1000,0)),1000000))</f>
        <v/>
      </c>
      <c r="PS16">
        <f>IF($B16=0,1000000,IF(INDEX('計算A'!$D$60:$DS$104,$B16,93)*GK16=1,IF(AND($E16=2,LB16=0),1000000,INDEX('計算A'!CR$110:CR$114,$F16+1)+IF(AND($E16=1,LB16=0),1000,0)),1000000))</f>
        <v/>
      </c>
      <c r="PT16">
        <f>IF($B16=0,1000000,IF(INDEX('計算A'!$D$60:$DS$104,$B16,94)*GL16=1,IF(AND($E16=2,LC16=0),1000000,INDEX('計算A'!CS$110:CS$114,$F16+1)+IF(AND($E16=1,LC16=0),1000,0)),1000000))</f>
        <v/>
      </c>
      <c r="PU16">
        <f>IF($B16=0,1000000,IF(INDEX('計算A'!$D$60:$DS$104,$B16,95)*GM16=1,IF(AND($E16=2,LD16=0),1000000,INDEX('計算A'!CT$110:CT$114,$F16+1)+IF(AND($E16=1,LD16=0),1000,0)),1000000))</f>
        <v/>
      </c>
      <c r="PV16">
        <f>IF($B16=0,1000000,IF(INDEX('計算A'!$D$60:$DS$104,$B16,96)*GN16=1,IF(AND($E16=2,LE16=0),1000000,INDEX('計算A'!CU$110:CU$114,$F16+1)+IF(AND($E16=1,LE16=0),1000,0)),1000000))</f>
        <v/>
      </c>
      <c r="PW16">
        <f>IF($B16=0,1000000,IF(INDEX('計算A'!$D$60:$DS$104,$B16,97)*GO16=1,IF(AND($E16=2,LF16=0),1000000,INDEX('計算A'!CV$110:CV$114,$F16+1)+IF(AND($E16=1,LF16=0),1000,0)),1000000))</f>
        <v/>
      </c>
      <c r="PX16">
        <f>IF($B16=0,1000000,IF(INDEX('計算A'!$D$60:$DS$104,$B16,98)*GP16=1,IF(AND($E16=2,LG16=0),1000000,INDEX('計算A'!CW$110:CW$114,$F16+1)+IF(AND($E16=1,LG16=0),1000,0)),1000000))</f>
        <v/>
      </c>
      <c r="PY16">
        <f>IF($B16=0,1000000,IF(INDEX('計算A'!$D$60:$DS$104,$B16,99)*GQ16=1,IF(AND($E16=2,LH16=0),1000000,INDEX('計算A'!CX$110:CX$114,$F16+1)+IF(AND($E16=1,LH16=0),1000,0)),1000000))</f>
        <v/>
      </c>
      <c r="PZ16">
        <f>IF($B16=0,1000000,IF(INDEX('計算A'!$D$60:$DS$104,$B16,100)*GR16=1,IF(AND($E16=2,LI16=0),1000000,INDEX('計算A'!CY$110:CY$114,$F16+1)+IF(AND($E16=1,LI16=0),1000,0)),1000000))</f>
        <v/>
      </c>
      <c r="QA16">
        <f>IF($B16=0,1000000,IF(INDEX('計算A'!$D$60:$DS$104,$B16,101)*GS16=1,IF(AND($E16=2,LJ16=0),1000000,INDEX('計算A'!CZ$110:CZ$114,$F16+1)+IF(AND($E16=1,LJ16=0),1000,0)),1000000))</f>
        <v/>
      </c>
      <c r="QB16">
        <f>IF($B16=0,1000000,IF(INDEX('計算A'!$D$60:$DS$104,$B16,102)*GT16=1,IF(AND($E16=2,LK16=0),1000000,INDEX('計算A'!DA$110:DA$114,$F16+1)+IF(AND($E16=1,LK16=0),1000,0)),1000000))</f>
        <v/>
      </c>
      <c r="QC16">
        <f>IF($B16=0,1000000,IF(INDEX('計算A'!$D$60:$DS$104,$B16,103)*GU16=1,IF(AND($E16=2,LL16=0),1000000,INDEX('計算A'!DB$110:DB$114,$F16+1)+IF(AND($E16=1,LL16=0),1000,0)),1000000))</f>
        <v/>
      </c>
      <c r="QD16">
        <f>IF($B16=0,1000000,IF(INDEX('計算A'!$D$60:$DS$104,$B16,104)*GV16=1,IF(AND($E16=2,LM16=0),1000000,INDEX('計算A'!DC$110:DC$114,$F16+1)+IF(AND($E16=1,LM16=0),1000,0)),1000000))</f>
        <v/>
      </c>
      <c r="QE16">
        <f>IF($B16=0,1000000,IF(INDEX('計算A'!$D$60:$DS$104,$B16,105)*GW16=1,IF(AND($E16=2,LN16=0),1000000,INDEX('計算A'!DD$110:DD$114,$F16+1)+IF(AND($E16=1,LN16=0),1000,0)),1000000))</f>
        <v/>
      </c>
      <c r="QF16">
        <f>IF($B16=0,1000000,IF(INDEX('計算A'!$D$60:$DS$104,$B16,106)*GX16=1,IF(AND($E16=2,LO16=0),1000000,INDEX('計算A'!DE$110:DE$114,$F16+1)+IF(AND($E16=1,LO16=0),1000,0)),1000000))</f>
        <v/>
      </c>
      <c r="QG16">
        <f>IF($B16=0,1000000,IF(INDEX('計算A'!$D$60:$DS$104,$B16,107)*GY16=1,IF(AND($E16=2,LP16=0),1000000,INDEX('計算A'!DF$110:DF$114,$F16+1)+IF(AND($E16=1,LP16=0),1000,0)),1000000))</f>
        <v/>
      </c>
      <c r="QH16">
        <f>IF($B16=0,1000000,IF(INDEX('計算A'!$D$60:$DS$104,$B16,108)*GZ16=1,IF(AND($E16=2,LQ16=0),1000000,INDEX('計算A'!DG$110:DG$114,$F16+1)+IF(AND($E16=1,LQ16=0),1000,0)),1000000))</f>
        <v/>
      </c>
      <c r="QI16">
        <f>IF($B16=0,1000000,IF(INDEX('計算A'!$D$60:$DS$104,$B16,109)*HA16=1,IF(AND($E16=2,LR16=0),1000000,INDEX('計算A'!DH$110:DH$114,$F16+1)+IF(AND($E16=1,LR16=0),1000,0)),1000000))</f>
        <v/>
      </c>
      <c r="QJ16">
        <f>IF($B16=0,1000000,IF(INDEX('計算A'!$D$60:$DS$104,$B16,110)*HB16=1,IF(AND($E16=2,LS16=0),1000000,INDEX('計算A'!DI$110:DI$114,$F16+1)+IF(AND($E16=1,LS16=0),1000,0)),1000000))</f>
        <v/>
      </c>
      <c r="QK16">
        <f>IF($B16=0,1000000,IF(INDEX('計算A'!$D$60:$DS$104,$B16,111)*HC16=1,IF(AND($E16=2,LT16=0),1000000,INDEX('計算A'!DJ$110:DJ$114,$F16+1)+IF(AND($E16=1,LT16=0),1000,0)),1000000))</f>
        <v/>
      </c>
      <c r="QL16">
        <f>IF($B16=0,1000000,IF(INDEX('計算A'!$D$60:$DS$104,$B16,112)*HD16=1,IF(AND($E16=2,LU16=0),1000000,INDEX('計算A'!DK$110:DK$114,$F16+1)+IF(AND($E16=1,LU16=0),1000,0)),1000000))</f>
        <v/>
      </c>
      <c r="QM16">
        <f>IF($B16=0,1000000,IF(INDEX('計算A'!$D$60:$DS$104,$B16,113)*HE16=1,IF(AND($E16=2,LV16=0),1000000,INDEX('計算A'!DL$110:DL$114,$F16+1)+IF(AND($E16=1,LV16=0),1000,0)),1000000))</f>
        <v/>
      </c>
      <c r="QN16">
        <f>IF($B16=0,1000000,IF(INDEX('計算A'!$D$60:$DS$104,$B16,114)*HF16=1,IF(AND($E16=2,LW16=0),1000000,INDEX('計算A'!DM$110:DM$114,$F16+1)+IF(AND($E16=1,LW16=0),1000,0)),1000000))</f>
        <v/>
      </c>
      <c r="QO16">
        <f>IF($B16=0,1000000,IF(INDEX('計算A'!$D$60:$DS$104,$B16,115)*HG16=1,IF(AND($E16=2,LX16=0),1000000,INDEX('計算A'!DN$110:DN$114,$F16+1)+IF(AND($E16=1,LX16=0),1000,0)),1000000))</f>
        <v/>
      </c>
      <c r="QP16">
        <f>IF($B16=0,1000000,IF(INDEX('計算A'!$D$60:$DS$104,$B16,116)*HH16=1,IF(AND($E16=2,LY16=0),1000000,INDEX('計算A'!DO$110:DO$114,$F16+1)+IF(AND($E16=1,LY16=0),1000,0)),1000000))</f>
        <v/>
      </c>
      <c r="QQ16">
        <f>IF($B16=0,1000000,IF(INDEX('計算A'!$D$60:$DS$104,$B16,117)*HI16=1,IF(AND($E16=2,LZ16=0),1000000,INDEX('計算A'!DP$110:DP$114,$F16+1)+IF(AND($E16=1,LZ16=0),1000,0)),1000000))</f>
        <v/>
      </c>
      <c r="QR16">
        <f>IF($B16=0,1000000,IF(INDEX('計算A'!$D$60:$DS$104,$B16,118)*HJ16=1,IF(AND($E16=2,MA16=0),1000000,INDEX('計算A'!DQ$110:DQ$114,$F16+1)+IF(AND($E16=1,MA16=0),1000,0)),1000000))</f>
        <v/>
      </c>
      <c r="QS16">
        <f>IF($B16=0,1000000,IF(INDEX('計算A'!$D$60:$DS$104,$B16,119)*HK16=1,IF(AND($E16=2,MB16=0),1000000,INDEX('計算A'!DR$110:DR$114,$F16+1)+IF(AND($E16=1,MB16=0),1000,0)),1000000))</f>
        <v/>
      </c>
      <c r="QT16">
        <f>IF($B16=0,1000000,IF(INDEX('計算A'!$D$60:$DS$104,$B16,120)*HL16=1,IF(AND($E16=2,MC16=0),1000000,INDEX('計算A'!DS$110:DS$114,$F16+1)+IF(AND($E16=1,MC16=0),1000,0)),1000000))</f>
        <v/>
      </c>
    </row>
    <row r="17">
      <c r="A17" t="n">
        <v>15</v>
      </c>
      <c r="B17">
        <f>IF(MIN(BC17:CU17)&gt;=1000000,0,MATCH(MIN(BC17:CU17),BC17:CU17,0))</f>
        <v/>
      </c>
      <c r="C17">
        <f>IF(MIN(ME17:QT17)&gt;=1000000,0,MATCH(MIN(ME17:QT17),ME17:QT17,0))</f>
        <v/>
      </c>
      <c r="D17">
        <f>IF(C17&gt;0,INDEX('計算A'!$D$5:$DS$5,C17),0)</f>
        <v/>
      </c>
      <c r="E17">
        <f>IF(B17=0,0,INDEX('計算A'!$EA$10:$EA$54,B17))</f>
        <v/>
      </c>
      <c r="F17">
        <f>IF(B17=0,0,INDEX('計算A'!$DZ$10:$DZ$54,B17))</f>
        <v/>
      </c>
      <c r="G17">
        <f>IF(AND(C17&gt;0,E17&gt;0),IF(AND(INDEX('計算A'!$D$106:$DS$106,C17)=1,INDEX($HN17:$MC17,C17)=1),C17+1,0),0)</f>
        <v/>
      </c>
      <c r="I17">
        <f>MAX(I16,IF($B16=1,1,0))</f>
        <v/>
      </c>
      <c r="J17">
        <f>MAX(J16,IF($B16=2,1,0))</f>
        <v/>
      </c>
      <c r="K17">
        <f>MAX(K16,IF($B16=3,1,0))</f>
        <v/>
      </c>
      <c r="L17">
        <f>MAX(L16,IF($B16=4,1,0))</f>
        <v/>
      </c>
      <c r="M17">
        <f>MAX(M16,IF($B16=5,1,0))</f>
        <v/>
      </c>
      <c r="N17">
        <f>MAX(N16,IF($B16=6,1,0))</f>
        <v/>
      </c>
      <c r="O17">
        <f>MAX(O16,IF($B16=7,1,0))</f>
        <v/>
      </c>
      <c r="P17">
        <f>MAX(P16,IF($B16=8,1,0))</f>
        <v/>
      </c>
      <c r="Q17">
        <f>MAX(Q16,IF($B16=9,1,0))</f>
        <v/>
      </c>
      <c r="R17">
        <f>MAX(R16,IF($B16=10,1,0))</f>
        <v/>
      </c>
      <c r="S17">
        <f>MAX(S16,IF($B16=11,1,0))</f>
        <v/>
      </c>
      <c r="T17">
        <f>MAX(T16,IF($B16=12,1,0))</f>
        <v/>
      </c>
      <c r="U17">
        <f>MAX(U16,IF($B16=13,1,0))</f>
        <v/>
      </c>
      <c r="V17">
        <f>MAX(V16,IF($B16=14,1,0))</f>
        <v/>
      </c>
      <c r="W17">
        <f>MAX(W16,IF($B16=15,1,0))</f>
        <v/>
      </c>
      <c r="X17">
        <f>MAX(X16,IF($B16=16,1,0))</f>
        <v/>
      </c>
      <c r="Y17">
        <f>MAX(Y16,IF($B16=17,1,0))</f>
        <v/>
      </c>
      <c r="Z17">
        <f>MAX(Z16,IF($B16=18,1,0))</f>
        <v/>
      </c>
      <c r="AA17">
        <f>MAX(AA16,IF($B16=19,1,0))</f>
        <v/>
      </c>
      <c r="AB17">
        <f>MAX(AB16,IF($B16=20,1,0))</f>
        <v/>
      </c>
      <c r="AC17">
        <f>MAX(AC16,IF($B16=21,1,0))</f>
        <v/>
      </c>
      <c r="AD17">
        <f>MAX(AD16,IF($B16=22,1,0))</f>
        <v/>
      </c>
      <c r="AE17">
        <f>MAX(AE16,IF($B16=23,1,0))</f>
        <v/>
      </c>
      <c r="AF17">
        <f>MAX(AF16,IF($B16=24,1,0))</f>
        <v/>
      </c>
      <c r="AG17">
        <f>MAX(AG16,IF($B16=25,1,0))</f>
        <v/>
      </c>
      <c r="AH17">
        <f>MAX(AH16,IF($B16=26,1,0))</f>
        <v/>
      </c>
      <c r="AI17">
        <f>MAX(AI16,IF($B16=27,1,0))</f>
        <v/>
      </c>
      <c r="AJ17">
        <f>MAX(AJ16,IF($B16=28,1,0))</f>
        <v/>
      </c>
      <c r="AK17">
        <f>MAX(AK16,IF($B16=29,1,0))</f>
        <v/>
      </c>
      <c r="AL17">
        <f>MAX(AL16,IF($B16=30,1,0))</f>
        <v/>
      </c>
      <c r="AM17">
        <f>MAX(AM16,IF($B16=31,1,0))</f>
        <v/>
      </c>
      <c r="AN17">
        <f>MAX(AN16,IF($B16=32,1,0))</f>
        <v/>
      </c>
      <c r="AO17">
        <f>MAX(AO16,IF($B16=33,1,0))</f>
        <v/>
      </c>
      <c r="AP17">
        <f>MAX(AP16,IF($B16=34,1,0))</f>
        <v/>
      </c>
      <c r="AQ17">
        <f>MAX(AQ16,IF($B16=35,1,0))</f>
        <v/>
      </c>
      <c r="AR17">
        <f>MAX(AR16,IF($B16=36,1,0))</f>
        <v/>
      </c>
      <c r="AS17">
        <f>MAX(AS16,IF($B16=37,1,0))</f>
        <v/>
      </c>
      <c r="AT17">
        <f>MAX(AT16,IF($B16=38,1,0))</f>
        <v/>
      </c>
      <c r="AU17">
        <f>MAX(AU16,IF($B16=39,1,0))</f>
        <v/>
      </c>
      <c r="AV17">
        <f>MAX(AV16,IF($B16=40,1,0))</f>
        <v/>
      </c>
      <c r="AW17">
        <f>MAX(AW16,IF($B16=41,1,0))</f>
        <v/>
      </c>
      <c r="AX17">
        <f>MAX(AX16,IF($B16=42,1,0))</f>
        <v/>
      </c>
      <c r="AY17">
        <f>MAX(AY16,IF($B16=43,1,0))</f>
        <v/>
      </c>
      <c r="AZ17">
        <f>MAX(AZ16,IF($B16=44,1,0))</f>
        <v/>
      </c>
      <c r="BA17">
        <f>MAX(BA16,IF($B16=45,1,0))</f>
        <v/>
      </c>
      <c r="BC17">
        <f>IF(I17=1,1000000,IF('計算A'!$EA$10=2,SUMPRODUCT('計算A'!$D$60:$DS$60,$CW17:$HL17,$HN17:$MC17),SUMPRODUCT('計算A'!$D$60:$DS$60,$CW17:$HL17))*1000+1)</f>
        <v/>
      </c>
      <c r="BD17">
        <f>IF(J17=1,1000000,IF('計算A'!$EA$11=2,SUMPRODUCT('計算A'!$D$61:$DS$61,$CW17:$HL17,$HN17:$MC17),SUMPRODUCT('計算A'!$D$61:$DS$61,$CW17:$HL17))*1000+2)</f>
        <v/>
      </c>
      <c r="BE17">
        <f>IF(K17=1,1000000,IF('計算A'!$EA$12=2,SUMPRODUCT('計算A'!$D$62:$DS$62,$CW17:$HL17,$HN17:$MC17),SUMPRODUCT('計算A'!$D$62:$DS$62,$CW17:$HL17))*1000+3)</f>
        <v/>
      </c>
      <c r="BF17">
        <f>IF(L17=1,1000000,IF('計算A'!$EA$13=2,SUMPRODUCT('計算A'!$D$63:$DS$63,$CW17:$HL17,$HN17:$MC17),SUMPRODUCT('計算A'!$D$63:$DS$63,$CW17:$HL17))*1000+4)</f>
        <v/>
      </c>
      <c r="BG17">
        <f>IF(M17=1,1000000,IF('計算A'!$EA$14=2,SUMPRODUCT('計算A'!$D$64:$DS$64,$CW17:$HL17,$HN17:$MC17),SUMPRODUCT('計算A'!$D$64:$DS$64,$CW17:$HL17))*1000+5)</f>
        <v/>
      </c>
      <c r="BH17">
        <f>IF(N17=1,1000000,IF('計算A'!$EA$15=2,SUMPRODUCT('計算A'!$D$65:$DS$65,$CW17:$HL17,$HN17:$MC17),SUMPRODUCT('計算A'!$D$65:$DS$65,$CW17:$HL17))*1000+6)</f>
        <v/>
      </c>
      <c r="BI17">
        <f>IF(O17=1,1000000,IF('計算A'!$EA$16=2,SUMPRODUCT('計算A'!$D$66:$DS$66,$CW17:$HL17,$HN17:$MC17),SUMPRODUCT('計算A'!$D$66:$DS$66,$CW17:$HL17))*1000+7)</f>
        <v/>
      </c>
      <c r="BJ17">
        <f>IF(P17=1,1000000,IF('計算A'!$EA$17=2,SUMPRODUCT('計算A'!$D$67:$DS$67,$CW17:$HL17,$HN17:$MC17),SUMPRODUCT('計算A'!$D$67:$DS$67,$CW17:$HL17))*1000+8)</f>
        <v/>
      </c>
      <c r="BK17">
        <f>IF(Q17=1,1000000,IF('計算A'!$EA$18=2,SUMPRODUCT('計算A'!$D$68:$DS$68,$CW17:$HL17,$HN17:$MC17),SUMPRODUCT('計算A'!$D$68:$DS$68,$CW17:$HL17))*1000+9)</f>
        <v/>
      </c>
      <c r="BL17">
        <f>IF(R17=1,1000000,IF('計算A'!$EA$19=2,SUMPRODUCT('計算A'!$D$69:$DS$69,$CW17:$HL17,$HN17:$MC17),SUMPRODUCT('計算A'!$D$69:$DS$69,$CW17:$HL17))*1000+10)</f>
        <v/>
      </c>
      <c r="BM17">
        <f>IF(S17=1,1000000,IF('計算A'!$EA$20=2,SUMPRODUCT('計算A'!$D$70:$DS$70,$CW17:$HL17,$HN17:$MC17),SUMPRODUCT('計算A'!$D$70:$DS$70,$CW17:$HL17))*1000+11)</f>
        <v/>
      </c>
      <c r="BN17">
        <f>IF(T17=1,1000000,IF('計算A'!$EA$21=2,SUMPRODUCT('計算A'!$D$71:$DS$71,$CW17:$HL17,$HN17:$MC17),SUMPRODUCT('計算A'!$D$71:$DS$71,$CW17:$HL17))*1000+12)</f>
        <v/>
      </c>
      <c r="BO17">
        <f>IF(U17=1,1000000,IF('計算A'!$EA$22=2,SUMPRODUCT('計算A'!$D$72:$DS$72,$CW17:$HL17,$HN17:$MC17),SUMPRODUCT('計算A'!$D$72:$DS$72,$CW17:$HL17))*1000+13)</f>
        <v/>
      </c>
      <c r="BP17">
        <f>IF(V17=1,1000000,IF('計算A'!$EA$23=2,SUMPRODUCT('計算A'!$D$73:$DS$73,$CW17:$HL17,$HN17:$MC17),SUMPRODUCT('計算A'!$D$73:$DS$73,$CW17:$HL17))*1000+14)</f>
        <v/>
      </c>
      <c r="BQ17">
        <f>IF(W17=1,1000000,IF('計算A'!$EA$24=2,SUMPRODUCT('計算A'!$D$74:$DS$74,$CW17:$HL17,$HN17:$MC17),SUMPRODUCT('計算A'!$D$74:$DS$74,$CW17:$HL17))*1000+15)</f>
        <v/>
      </c>
      <c r="BR17">
        <f>IF(X17=1,1000000,IF('計算A'!$EA$25=2,SUMPRODUCT('計算A'!$D$75:$DS$75,$CW17:$HL17,$HN17:$MC17),SUMPRODUCT('計算A'!$D$75:$DS$75,$CW17:$HL17))*1000+16)</f>
        <v/>
      </c>
      <c r="BS17">
        <f>IF(Y17=1,1000000,IF('計算A'!$EA$26=2,SUMPRODUCT('計算A'!$D$76:$DS$76,$CW17:$HL17,$HN17:$MC17),SUMPRODUCT('計算A'!$D$76:$DS$76,$CW17:$HL17))*1000+17)</f>
        <v/>
      </c>
      <c r="BT17">
        <f>IF(Z17=1,1000000,IF('計算A'!$EA$27=2,SUMPRODUCT('計算A'!$D$77:$DS$77,$CW17:$HL17,$HN17:$MC17),SUMPRODUCT('計算A'!$D$77:$DS$77,$CW17:$HL17))*1000+18)</f>
        <v/>
      </c>
      <c r="BU17">
        <f>IF(AA17=1,1000000,IF('計算A'!$EA$28=2,SUMPRODUCT('計算A'!$D$78:$DS$78,$CW17:$HL17,$HN17:$MC17),SUMPRODUCT('計算A'!$D$78:$DS$78,$CW17:$HL17))*1000+19)</f>
        <v/>
      </c>
      <c r="BV17">
        <f>IF(AB17=1,1000000,IF('計算A'!$EA$29=2,SUMPRODUCT('計算A'!$D$79:$DS$79,$CW17:$HL17,$HN17:$MC17),SUMPRODUCT('計算A'!$D$79:$DS$79,$CW17:$HL17))*1000+20)</f>
        <v/>
      </c>
      <c r="BW17">
        <f>IF(AC17=1,1000000,IF('計算A'!$EA$30=2,SUMPRODUCT('計算A'!$D$80:$DS$80,$CW17:$HL17,$HN17:$MC17),SUMPRODUCT('計算A'!$D$80:$DS$80,$CW17:$HL17))*1000+21)</f>
        <v/>
      </c>
      <c r="BX17">
        <f>IF(AD17=1,1000000,IF('計算A'!$EA$31=2,SUMPRODUCT('計算A'!$D$81:$DS$81,$CW17:$HL17,$HN17:$MC17),SUMPRODUCT('計算A'!$D$81:$DS$81,$CW17:$HL17))*1000+22)</f>
        <v/>
      </c>
      <c r="BY17">
        <f>IF(AE17=1,1000000,IF('計算A'!$EA$32=2,SUMPRODUCT('計算A'!$D$82:$DS$82,$CW17:$HL17,$HN17:$MC17),SUMPRODUCT('計算A'!$D$82:$DS$82,$CW17:$HL17))*1000+23)</f>
        <v/>
      </c>
      <c r="BZ17">
        <f>IF(AF17=1,1000000,IF('計算A'!$EA$33=2,SUMPRODUCT('計算A'!$D$83:$DS$83,$CW17:$HL17,$HN17:$MC17),SUMPRODUCT('計算A'!$D$83:$DS$83,$CW17:$HL17))*1000+24)</f>
        <v/>
      </c>
      <c r="CA17">
        <f>IF(AG17=1,1000000,IF('計算A'!$EA$34=2,SUMPRODUCT('計算A'!$D$84:$DS$84,$CW17:$HL17,$HN17:$MC17),SUMPRODUCT('計算A'!$D$84:$DS$84,$CW17:$HL17))*1000+25)</f>
        <v/>
      </c>
      <c r="CB17">
        <f>IF(AH17=1,1000000,IF('計算A'!$EA$35=2,SUMPRODUCT('計算A'!$D$85:$DS$85,$CW17:$HL17,$HN17:$MC17),SUMPRODUCT('計算A'!$D$85:$DS$85,$CW17:$HL17))*1000+26)</f>
        <v/>
      </c>
      <c r="CC17">
        <f>IF(AI17=1,1000000,IF('計算A'!$EA$36=2,SUMPRODUCT('計算A'!$D$86:$DS$86,$CW17:$HL17,$HN17:$MC17),SUMPRODUCT('計算A'!$D$86:$DS$86,$CW17:$HL17))*1000+27)</f>
        <v/>
      </c>
      <c r="CD17">
        <f>IF(AJ17=1,1000000,IF('計算A'!$EA$37=2,SUMPRODUCT('計算A'!$D$87:$DS$87,$CW17:$HL17,$HN17:$MC17),SUMPRODUCT('計算A'!$D$87:$DS$87,$CW17:$HL17))*1000+28)</f>
        <v/>
      </c>
      <c r="CE17">
        <f>IF(AK17=1,1000000,IF('計算A'!$EA$38=2,SUMPRODUCT('計算A'!$D$88:$DS$88,$CW17:$HL17,$HN17:$MC17),SUMPRODUCT('計算A'!$D$88:$DS$88,$CW17:$HL17))*1000+29)</f>
        <v/>
      </c>
      <c r="CF17">
        <f>IF(AL17=1,1000000,IF('計算A'!$EA$39=2,SUMPRODUCT('計算A'!$D$89:$DS$89,$CW17:$HL17,$HN17:$MC17),SUMPRODUCT('計算A'!$D$89:$DS$89,$CW17:$HL17))*1000+30)</f>
        <v/>
      </c>
      <c r="CG17">
        <f>IF(AM17=1,1000000,IF('計算A'!$EA$40=2,SUMPRODUCT('計算A'!$D$90:$DS$90,$CW17:$HL17,$HN17:$MC17),SUMPRODUCT('計算A'!$D$90:$DS$90,$CW17:$HL17))*1000+31)</f>
        <v/>
      </c>
      <c r="CH17">
        <f>IF(AN17=1,1000000,IF('計算A'!$EA$41=2,SUMPRODUCT('計算A'!$D$91:$DS$91,$CW17:$HL17,$HN17:$MC17),SUMPRODUCT('計算A'!$D$91:$DS$91,$CW17:$HL17))*1000+32)</f>
        <v/>
      </c>
      <c r="CI17">
        <f>IF(AO17=1,1000000,IF('計算A'!$EA$42=2,SUMPRODUCT('計算A'!$D$92:$DS$92,$CW17:$HL17,$HN17:$MC17),SUMPRODUCT('計算A'!$D$92:$DS$92,$CW17:$HL17))*1000+33)</f>
        <v/>
      </c>
      <c r="CJ17">
        <f>IF(AP17=1,1000000,IF('計算A'!$EA$43=2,SUMPRODUCT('計算A'!$D$93:$DS$93,$CW17:$HL17,$HN17:$MC17),SUMPRODUCT('計算A'!$D$93:$DS$93,$CW17:$HL17))*1000+34)</f>
        <v/>
      </c>
      <c r="CK17">
        <f>IF(AQ17=1,1000000,IF('計算A'!$EA$44=2,SUMPRODUCT('計算A'!$D$94:$DS$94,$CW17:$HL17,$HN17:$MC17),SUMPRODUCT('計算A'!$D$94:$DS$94,$CW17:$HL17))*1000+35)</f>
        <v/>
      </c>
      <c r="CL17">
        <f>IF(AR17=1,1000000,IF('計算A'!$EA$45=2,SUMPRODUCT('計算A'!$D$95:$DS$95,$CW17:$HL17,$HN17:$MC17),SUMPRODUCT('計算A'!$D$95:$DS$95,$CW17:$HL17))*1000+36)</f>
        <v/>
      </c>
      <c r="CM17">
        <f>IF(AS17=1,1000000,IF('計算A'!$EA$46=2,SUMPRODUCT('計算A'!$D$96:$DS$96,$CW17:$HL17,$HN17:$MC17),SUMPRODUCT('計算A'!$D$96:$DS$96,$CW17:$HL17))*1000+37)</f>
        <v/>
      </c>
      <c r="CN17">
        <f>IF(AT17=1,1000000,IF('計算A'!$EA$47=2,SUMPRODUCT('計算A'!$D$97:$DS$97,$CW17:$HL17,$HN17:$MC17),SUMPRODUCT('計算A'!$D$97:$DS$97,$CW17:$HL17))*1000+38)</f>
        <v/>
      </c>
      <c r="CO17">
        <f>IF(AU17=1,1000000,IF('計算A'!$EA$48=2,SUMPRODUCT('計算A'!$D$98:$DS$98,$CW17:$HL17,$HN17:$MC17),SUMPRODUCT('計算A'!$D$98:$DS$98,$CW17:$HL17))*1000+39)</f>
        <v/>
      </c>
      <c r="CP17">
        <f>IF(AV17=1,1000000,IF('計算A'!$EA$49=2,SUMPRODUCT('計算A'!$D$99:$DS$99,$CW17:$HL17,$HN17:$MC17),SUMPRODUCT('計算A'!$D$99:$DS$99,$CW17:$HL17))*1000+40)</f>
        <v/>
      </c>
      <c r="CQ17">
        <f>IF(AW17=1,1000000,IF('計算A'!$EA$50=2,SUMPRODUCT('計算A'!$D$100:$DS$100,$CW17:$HL17,$HN17:$MC17),SUMPRODUCT('計算A'!$D$100:$DS$100,$CW17:$HL17))*1000+41)</f>
        <v/>
      </c>
      <c r="CR17">
        <f>IF(AX17=1,1000000,IF('計算A'!$EA$51=2,SUMPRODUCT('計算A'!$D$101:$DS$101,$CW17:$HL17,$HN17:$MC17),SUMPRODUCT('計算A'!$D$101:$DS$101,$CW17:$HL17))*1000+42)</f>
        <v/>
      </c>
      <c r="CS17">
        <f>IF(AY17=1,1000000,IF('計算A'!$EA$52=2,SUMPRODUCT('計算A'!$D$102:$DS$102,$CW17:$HL17,$HN17:$MC17),SUMPRODUCT('計算A'!$D$102:$DS$102,$CW17:$HL17))*1000+43)</f>
        <v/>
      </c>
      <c r="CT17">
        <f>IF(AZ17=1,1000000,IF('計算A'!$EA$53=2,SUMPRODUCT('計算A'!$D$103:$DS$103,$CW17:$HL17,$HN17:$MC17),SUMPRODUCT('計算A'!$D$103:$DS$103,$CW17:$HL17))*1000+44)</f>
        <v/>
      </c>
      <c r="CU17">
        <f>IF(BA17=1,1000000,IF('計算A'!$EA$54=2,SUMPRODUCT('計算A'!$D$104:$DS$104,$CW17:$HL17,$HN17:$MC17),SUMPRODUCT('計算A'!$D$104:$DS$104,$CW17:$HL17))*1000+45)</f>
        <v/>
      </c>
      <c r="CW17">
        <f>CW16*IF(OR($C16=1,$G16=1),0,1)</f>
        <v/>
      </c>
      <c r="CX17">
        <f>CX16*IF(OR($C16=2,$G16=2),0,1)</f>
        <v/>
      </c>
      <c r="CY17">
        <f>CY16*IF(OR($C16=3,$G16=3),0,1)</f>
        <v/>
      </c>
      <c r="CZ17">
        <f>CZ16*IF(OR($C16=4,$G16=4),0,1)</f>
        <v/>
      </c>
      <c r="DA17">
        <f>DA16*IF(OR($C16=5,$G16=5),0,1)</f>
        <v/>
      </c>
      <c r="DB17">
        <f>DB16*IF(OR($C16=6,$G16=6),0,1)</f>
        <v/>
      </c>
      <c r="DC17">
        <f>DC16*IF(OR($C16=7,$G16=7),0,1)</f>
        <v/>
      </c>
      <c r="DD17">
        <f>DD16*IF(OR($C16=8,$G16=8),0,1)</f>
        <v/>
      </c>
      <c r="DE17">
        <f>DE16*IF(OR($C16=9,$G16=9),0,1)</f>
        <v/>
      </c>
      <c r="DF17">
        <f>DF16*IF(OR($C16=10,$G16=10),0,1)</f>
        <v/>
      </c>
      <c r="DG17">
        <f>DG16*IF(OR($C16=11,$G16=11),0,1)</f>
        <v/>
      </c>
      <c r="DH17">
        <f>DH16*IF(OR($C16=12,$G16=12),0,1)</f>
        <v/>
      </c>
      <c r="DI17">
        <f>DI16*IF(OR($C16=13,$G16=13),0,1)</f>
        <v/>
      </c>
      <c r="DJ17">
        <f>DJ16*IF(OR($C16=14,$G16=14),0,1)</f>
        <v/>
      </c>
      <c r="DK17">
        <f>DK16*IF(OR($C16=15,$G16=15),0,1)</f>
        <v/>
      </c>
      <c r="DL17">
        <f>DL16*IF(OR($C16=16,$G16=16),0,1)</f>
        <v/>
      </c>
      <c r="DM17">
        <f>DM16*IF(OR($C16=17,$G16=17),0,1)</f>
        <v/>
      </c>
      <c r="DN17">
        <f>DN16*IF(OR($C16=18,$G16=18),0,1)</f>
        <v/>
      </c>
      <c r="DO17">
        <f>DO16*IF(OR($C16=19,$G16=19),0,1)</f>
        <v/>
      </c>
      <c r="DP17">
        <f>DP16*IF(OR($C16=20,$G16=20),0,1)</f>
        <v/>
      </c>
      <c r="DQ17">
        <f>DQ16*IF(OR($C16=21,$G16=21),0,1)</f>
        <v/>
      </c>
      <c r="DR17">
        <f>DR16*IF(OR($C16=22,$G16=22),0,1)</f>
        <v/>
      </c>
      <c r="DS17">
        <f>DS16*IF(OR($C16=23,$G16=23),0,1)</f>
        <v/>
      </c>
      <c r="DT17">
        <f>DT16*IF(OR($C16=24,$G16=24),0,1)</f>
        <v/>
      </c>
      <c r="DU17">
        <f>DU16*IF(OR($C16=25,$G16=25),0,1)</f>
        <v/>
      </c>
      <c r="DV17">
        <f>DV16*IF(OR($C16=26,$G16=26),0,1)</f>
        <v/>
      </c>
      <c r="DW17">
        <f>DW16*IF(OR($C16=27,$G16=27),0,1)</f>
        <v/>
      </c>
      <c r="DX17">
        <f>DX16*IF(OR($C16=28,$G16=28),0,1)</f>
        <v/>
      </c>
      <c r="DY17">
        <f>DY16*IF(OR($C16=29,$G16=29),0,1)</f>
        <v/>
      </c>
      <c r="DZ17">
        <f>DZ16*IF(OR($C16=30,$G16=30),0,1)</f>
        <v/>
      </c>
      <c r="EA17">
        <f>EA16*IF(OR($C16=31,$G16=31),0,1)</f>
        <v/>
      </c>
      <c r="EB17">
        <f>EB16*IF(OR($C16=32,$G16=32),0,1)</f>
        <v/>
      </c>
      <c r="EC17">
        <f>EC16*IF(OR($C16=33,$G16=33),0,1)</f>
        <v/>
      </c>
      <c r="ED17">
        <f>ED16*IF(OR($C16=34,$G16=34),0,1)</f>
        <v/>
      </c>
      <c r="EE17">
        <f>EE16*IF(OR($C16=35,$G16=35),0,1)</f>
        <v/>
      </c>
      <c r="EF17">
        <f>EF16*IF(OR($C16=36,$G16=36),0,1)</f>
        <v/>
      </c>
      <c r="EG17">
        <f>EG16*IF(OR($C16=37,$G16=37),0,1)</f>
        <v/>
      </c>
      <c r="EH17">
        <f>EH16*IF(OR($C16=38,$G16=38),0,1)</f>
        <v/>
      </c>
      <c r="EI17">
        <f>EI16*IF(OR($C16=39,$G16=39),0,1)</f>
        <v/>
      </c>
      <c r="EJ17">
        <f>EJ16*IF(OR($C16=40,$G16=40),0,1)</f>
        <v/>
      </c>
      <c r="EK17">
        <f>EK16*IF(OR($C16=41,$G16=41),0,1)</f>
        <v/>
      </c>
      <c r="EL17">
        <f>EL16*IF(OR($C16=42,$G16=42),0,1)</f>
        <v/>
      </c>
      <c r="EM17">
        <f>EM16*IF(OR($C16=43,$G16=43),0,1)</f>
        <v/>
      </c>
      <c r="EN17">
        <f>EN16*IF(OR($C16=44,$G16=44),0,1)</f>
        <v/>
      </c>
      <c r="EO17">
        <f>EO16*IF(OR($C16=45,$G16=45),0,1)</f>
        <v/>
      </c>
      <c r="EP17">
        <f>EP16*IF(OR($C16=46,$G16=46),0,1)</f>
        <v/>
      </c>
      <c r="EQ17">
        <f>EQ16*IF(OR($C16=47,$G16=47),0,1)</f>
        <v/>
      </c>
      <c r="ER17">
        <f>ER16*IF(OR($C16=48,$G16=48),0,1)</f>
        <v/>
      </c>
      <c r="ES17">
        <f>ES16*IF(OR($C16=49,$G16=49),0,1)</f>
        <v/>
      </c>
      <c r="ET17">
        <f>ET16*IF(OR($C16=50,$G16=50),0,1)</f>
        <v/>
      </c>
      <c r="EU17">
        <f>EU16*IF(OR($C16=51,$G16=51),0,1)</f>
        <v/>
      </c>
      <c r="EV17">
        <f>EV16*IF(OR($C16=52,$G16=52),0,1)</f>
        <v/>
      </c>
      <c r="EW17">
        <f>EW16*IF(OR($C16=53,$G16=53),0,1)</f>
        <v/>
      </c>
      <c r="EX17">
        <f>EX16*IF(OR($C16=54,$G16=54),0,1)</f>
        <v/>
      </c>
      <c r="EY17">
        <f>EY16*IF(OR($C16=55,$G16=55),0,1)</f>
        <v/>
      </c>
      <c r="EZ17">
        <f>EZ16*IF(OR($C16=56,$G16=56),0,1)</f>
        <v/>
      </c>
      <c r="FA17">
        <f>FA16*IF(OR($C16=57,$G16=57),0,1)</f>
        <v/>
      </c>
      <c r="FB17">
        <f>FB16*IF(OR($C16=58,$G16=58),0,1)</f>
        <v/>
      </c>
      <c r="FC17">
        <f>FC16*IF(OR($C16=59,$G16=59),0,1)</f>
        <v/>
      </c>
      <c r="FD17">
        <f>FD16*IF(OR($C16=60,$G16=60),0,1)</f>
        <v/>
      </c>
      <c r="FE17">
        <f>FE16*IF(OR($C16=61,$G16=61),0,1)</f>
        <v/>
      </c>
      <c r="FF17">
        <f>FF16*IF(OR($C16=62,$G16=62),0,1)</f>
        <v/>
      </c>
      <c r="FG17">
        <f>FG16*IF(OR($C16=63,$G16=63),0,1)</f>
        <v/>
      </c>
      <c r="FH17">
        <f>FH16*IF(OR($C16=64,$G16=64),0,1)</f>
        <v/>
      </c>
      <c r="FI17">
        <f>FI16*IF(OR($C16=65,$G16=65),0,1)</f>
        <v/>
      </c>
      <c r="FJ17">
        <f>FJ16*IF(OR($C16=66,$G16=66),0,1)</f>
        <v/>
      </c>
      <c r="FK17">
        <f>FK16*IF(OR($C16=67,$G16=67),0,1)</f>
        <v/>
      </c>
      <c r="FL17">
        <f>FL16*IF(OR($C16=68,$G16=68),0,1)</f>
        <v/>
      </c>
      <c r="FM17">
        <f>FM16*IF(OR($C16=69,$G16=69),0,1)</f>
        <v/>
      </c>
      <c r="FN17">
        <f>FN16*IF(OR($C16=70,$G16=70),0,1)</f>
        <v/>
      </c>
      <c r="FO17">
        <f>FO16*IF(OR($C16=71,$G16=71),0,1)</f>
        <v/>
      </c>
      <c r="FP17">
        <f>FP16*IF(OR($C16=72,$G16=72),0,1)</f>
        <v/>
      </c>
      <c r="FQ17">
        <f>FQ16*IF(OR($C16=73,$G16=73),0,1)</f>
        <v/>
      </c>
      <c r="FR17">
        <f>FR16*IF(OR($C16=74,$G16=74),0,1)</f>
        <v/>
      </c>
      <c r="FS17">
        <f>FS16*IF(OR($C16=75,$G16=75),0,1)</f>
        <v/>
      </c>
      <c r="FT17">
        <f>FT16*IF(OR($C16=76,$G16=76),0,1)</f>
        <v/>
      </c>
      <c r="FU17">
        <f>FU16*IF(OR($C16=77,$G16=77),0,1)</f>
        <v/>
      </c>
      <c r="FV17">
        <f>FV16*IF(OR($C16=78,$G16=78),0,1)</f>
        <v/>
      </c>
      <c r="FW17">
        <f>FW16*IF(OR($C16=79,$G16=79),0,1)</f>
        <v/>
      </c>
      <c r="FX17">
        <f>FX16*IF(OR($C16=80,$G16=80),0,1)</f>
        <v/>
      </c>
      <c r="FY17">
        <f>FY16*IF(OR($C16=81,$G16=81),0,1)</f>
        <v/>
      </c>
      <c r="FZ17">
        <f>FZ16*IF(OR($C16=82,$G16=82),0,1)</f>
        <v/>
      </c>
      <c r="GA17">
        <f>GA16*IF(OR($C16=83,$G16=83),0,1)</f>
        <v/>
      </c>
      <c r="GB17">
        <f>GB16*IF(OR($C16=84,$G16=84),0,1)</f>
        <v/>
      </c>
      <c r="GC17">
        <f>GC16*IF(OR($C16=85,$G16=85),0,1)</f>
        <v/>
      </c>
      <c r="GD17">
        <f>GD16*IF(OR($C16=86,$G16=86),0,1)</f>
        <v/>
      </c>
      <c r="GE17">
        <f>GE16*IF(OR($C16=87,$G16=87),0,1)</f>
        <v/>
      </c>
      <c r="GF17">
        <f>GF16*IF(OR($C16=88,$G16=88),0,1)</f>
        <v/>
      </c>
      <c r="GG17">
        <f>GG16*IF(OR($C16=89,$G16=89),0,1)</f>
        <v/>
      </c>
      <c r="GH17">
        <f>GH16*IF(OR($C16=90,$G16=90),0,1)</f>
        <v/>
      </c>
      <c r="GI17">
        <f>GI16*IF(OR($C16=91,$G16=91),0,1)</f>
        <v/>
      </c>
      <c r="GJ17">
        <f>GJ16*IF(OR($C16=92,$G16=92),0,1)</f>
        <v/>
      </c>
      <c r="GK17">
        <f>GK16*IF(OR($C16=93,$G16=93),0,1)</f>
        <v/>
      </c>
      <c r="GL17">
        <f>GL16*IF(OR($C16=94,$G16=94),0,1)</f>
        <v/>
      </c>
      <c r="GM17">
        <f>GM16*IF(OR($C16=95,$G16=95),0,1)</f>
        <v/>
      </c>
      <c r="GN17">
        <f>GN16*IF(OR($C16=96,$G16=96),0,1)</f>
        <v/>
      </c>
      <c r="GO17">
        <f>GO16*IF(OR($C16=97,$G16=97),0,1)</f>
        <v/>
      </c>
      <c r="GP17">
        <f>GP16*IF(OR($C16=98,$G16=98),0,1)</f>
        <v/>
      </c>
      <c r="GQ17">
        <f>GQ16*IF(OR($C16=99,$G16=99),0,1)</f>
        <v/>
      </c>
      <c r="GR17">
        <f>GR16*IF(OR($C16=100,$G16=100),0,1)</f>
        <v/>
      </c>
      <c r="GS17">
        <f>GS16*IF(OR($C16=101,$G16=101),0,1)</f>
        <v/>
      </c>
      <c r="GT17">
        <f>GT16*IF(OR($C16=102,$G16=102),0,1)</f>
        <v/>
      </c>
      <c r="GU17">
        <f>GU16*IF(OR($C16=103,$G16=103),0,1)</f>
        <v/>
      </c>
      <c r="GV17">
        <f>GV16*IF(OR($C16=104,$G16=104),0,1)</f>
        <v/>
      </c>
      <c r="GW17">
        <f>GW16*IF(OR($C16=105,$G16=105),0,1)</f>
        <v/>
      </c>
      <c r="GX17">
        <f>GX16*IF(OR($C16=106,$G16=106),0,1)</f>
        <v/>
      </c>
      <c r="GY17">
        <f>GY16*IF(OR($C16=107,$G16=107),0,1)</f>
        <v/>
      </c>
      <c r="GZ17">
        <f>GZ16*IF(OR($C16=108,$G16=108),0,1)</f>
        <v/>
      </c>
      <c r="HA17">
        <f>HA16*IF(OR($C16=109,$G16=109),0,1)</f>
        <v/>
      </c>
      <c r="HB17">
        <f>HB16*IF(OR($C16=110,$G16=110),0,1)</f>
        <v/>
      </c>
      <c r="HC17">
        <f>HC16*IF(OR($C16=111,$G16=111),0,1)</f>
        <v/>
      </c>
      <c r="HD17">
        <f>HD16*IF(OR($C16=112,$G16=112),0,1)</f>
        <v/>
      </c>
      <c r="HE17">
        <f>HE16*IF(OR($C16=113,$G16=113),0,1)</f>
        <v/>
      </c>
      <c r="HF17">
        <f>HF16*IF(OR($C16=114,$G16=114),0,1)</f>
        <v/>
      </c>
      <c r="HG17">
        <f>HG16*IF(OR($C16=115,$G16=115),0,1)</f>
        <v/>
      </c>
      <c r="HH17">
        <f>HH16*IF(OR($C16=116,$G16=116),0,1)</f>
        <v/>
      </c>
      <c r="HI17">
        <f>HI16*IF(OR($C16=117,$G16=117),0,1)</f>
        <v/>
      </c>
      <c r="HJ17">
        <f>HJ16*IF(OR($C16=118,$G16=118),0,1)</f>
        <v/>
      </c>
      <c r="HK17">
        <f>HK16*IF(OR($C16=119,$G16=119),0,1)</f>
        <v/>
      </c>
      <c r="HL17">
        <f>HL16*IF(OR($C16=120,$G16=120),0,1)</f>
        <v/>
      </c>
      <c r="HN17">
        <f>IF('計算A'!D$106=1,CX17,1)</f>
        <v/>
      </c>
      <c r="HO17">
        <f>IF('計算A'!E$106=1,CY17,1)</f>
        <v/>
      </c>
      <c r="HP17">
        <f>IF('計算A'!F$106=1,CZ17,1)</f>
        <v/>
      </c>
      <c r="HQ17">
        <f>IF('計算A'!G$106=1,DA17,1)</f>
        <v/>
      </c>
      <c r="HR17">
        <f>IF('計算A'!H$106=1,DB17,1)</f>
        <v/>
      </c>
      <c r="HS17">
        <f>IF('計算A'!I$106=1,DC17,1)</f>
        <v/>
      </c>
      <c r="HT17">
        <f>IF('計算A'!J$106=1,DD17,1)</f>
        <v/>
      </c>
      <c r="HU17">
        <f>IF('計算A'!K$106=1,DE17,1)</f>
        <v/>
      </c>
      <c r="HV17">
        <f>IF('計算A'!L$106=1,DF17,1)</f>
        <v/>
      </c>
      <c r="HW17">
        <f>IF('計算A'!M$106=1,DG17,1)</f>
        <v/>
      </c>
      <c r="HX17">
        <f>IF('計算A'!N$106=1,DH17,1)</f>
        <v/>
      </c>
      <c r="HY17">
        <f>IF('計算A'!O$106=1,DI17,1)</f>
        <v/>
      </c>
      <c r="HZ17">
        <f>IF('計算A'!P$106=1,DJ17,1)</f>
        <v/>
      </c>
      <c r="IA17">
        <f>IF('計算A'!Q$106=1,DK17,1)</f>
        <v/>
      </c>
      <c r="IB17">
        <f>IF('計算A'!R$106=1,DL17,1)</f>
        <v/>
      </c>
      <c r="IC17">
        <f>IF('計算A'!S$106=1,DM17,1)</f>
        <v/>
      </c>
      <c r="ID17">
        <f>IF('計算A'!T$106=1,DN17,1)</f>
        <v/>
      </c>
      <c r="IE17">
        <f>IF('計算A'!U$106=1,DO17,1)</f>
        <v/>
      </c>
      <c r="IF17">
        <f>IF('計算A'!V$106=1,DP17,1)</f>
        <v/>
      </c>
      <c r="IG17">
        <f>IF('計算A'!W$106=1,DQ17,1)</f>
        <v/>
      </c>
      <c r="IH17">
        <f>IF('計算A'!X$106=1,DR17,1)</f>
        <v/>
      </c>
      <c r="II17">
        <f>IF('計算A'!Y$106=1,DS17,1)</f>
        <v/>
      </c>
      <c r="IJ17">
        <f>IF('計算A'!Z$106=1,DT17,1)</f>
        <v/>
      </c>
      <c r="IK17">
        <f>IF('計算A'!AA$106=1,DU17,1)</f>
        <v/>
      </c>
      <c r="IL17">
        <f>IF('計算A'!AB$106=1,DV17,1)</f>
        <v/>
      </c>
      <c r="IM17">
        <f>IF('計算A'!AC$106=1,DW17,1)</f>
        <v/>
      </c>
      <c r="IN17">
        <f>IF('計算A'!AD$106=1,DX17,1)</f>
        <v/>
      </c>
      <c r="IO17">
        <f>IF('計算A'!AE$106=1,DY17,1)</f>
        <v/>
      </c>
      <c r="IP17">
        <f>IF('計算A'!AF$106=1,DZ17,1)</f>
        <v/>
      </c>
      <c r="IQ17">
        <f>IF('計算A'!AG$106=1,EA17,1)</f>
        <v/>
      </c>
      <c r="IR17">
        <f>IF('計算A'!AH$106=1,EB17,1)</f>
        <v/>
      </c>
      <c r="IS17">
        <f>IF('計算A'!AI$106=1,EC17,1)</f>
        <v/>
      </c>
      <c r="IT17">
        <f>IF('計算A'!AJ$106=1,ED17,1)</f>
        <v/>
      </c>
      <c r="IU17">
        <f>IF('計算A'!AK$106=1,EE17,1)</f>
        <v/>
      </c>
      <c r="IV17">
        <f>IF('計算A'!AL$106=1,EF17,1)</f>
        <v/>
      </c>
      <c r="IW17">
        <f>IF('計算A'!AM$106=1,EG17,1)</f>
        <v/>
      </c>
      <c r="IX17">
        <f>IF('計算A'!AN$106=1,EH17,1)</f>
        <v/>
      </c>
      <c r="IY17">
        <f>IF('計算A'!AO$106=1,EI17,1)</f>
        <v/>
      </c>
      <c r="IZ17">
        <f>IF('計算A'!AP$106=1,EJ17,1)</f>
        <v/>
      </c>
      <c r="JA17">
        <f>IF('計算A'!AQ$106=1,EK17,1)</f>
        <v/>
      </c>
      <c r="JB17">
        <f>IF('計算A'!AR$106=1,EL17,1)</f>
        <v/>
      </c>
      <c r="JC17">
        <f>IF('計算A'!AS$106=1,EM17,1)</f>
        <v/>
      </c>
      <c r="JD17">
        <f>IF('計算A'!AT$106=1,EN17,1)</f>
        <v/>
      </c>
      <c r="JE17">
        <f>IF('計算A'!AU$106=1,EO17,1)</f>
        <v/>
      </c>
      <c r="JF17">
        <f>IF('計算A'!AV$106=1,EP17,1)</f>
        <v/>
      </c>
      <c r="JG17">
        <f>IF('計算A'!AW$106=1,EQ17,1)</f>
        <v/>
      </c>
      <c r="JH17">
        <f>IF('計算A'!AX$106=1,ER17,1)</f>
        <v/>
      </c>
      <c r="JI17">
        <f>IF('計算A'!AY$106=1,ES17,1)</f>
        <v/>
      </c>
      <c r="JJ17">
        <f>IF('計算A'!AZ$106=1,ET17,1)</f>
        <v/>
      </c>
      <c r="JK17">
        <f>IF('計算A'!BA$106=1,EU17,1)</f>
        <v/>
      </c>
      <c r="JL17">
        <f>IF('計算A'!BB$106=1,EV17,1)</f>
        <v/>
      </c>
      <c r="JM17">
        <f>IF('計算A'!BC$106=1,EW17,1)</f>
        <v/>
      </c>
      <c r="JN17">
        <f>IF('計算A'!BD$106=1,EX17,1)</f>
        <v/>
      </c>
      <c r="JO17">
        <f>IF('計算A'!BE$106=1,EY17,1)</f>
        <v/>
      </c>
      <c r="JP17">
        <f>IF('計算A'!BF$106=1,EZ17,1)</f>
        <v/>
      </c>
      <c r="JQ17">
        <f>IF('計算A'!BG$106=1,FA17,1)</f>
        <v/>
      </c>
      <c r="JR17">
        <f>IF('計算A'!BH$106=1,FB17,1)</f>
        <v/>
      </c>
      <c r="JS17">
        <f>IF('計算A'!BI$106=1,FC17,1)</f>
        <v/>
      </c>
      <c r="JT17">
        <f>IF('計算A'!BJ$106=1,FD17,1)</f>
        <v/>
      </c>
      <c r="JU17">
        <f>IF('計算A'!BK$106=1,FE17,1)</f>
        <v/>
      </c>
      <c r="JV17">
        <f>IF('計算A'!BL$106=1,FF17,1)</f>
        <v/>
      </c>
      <c r="JW17">
        <f>IF('計算A'!BM$106=1,FG17,1)</f>
        <v/>
      </c>
      <c r="JX17">
        <f>IF('計算A'!BN$106=1,FH17,1)</f>
        <v/>
      </c>
      <c r="JY17">
        <f>IF('計算A'!BO$106=1,FI17,1)</f>
        <v/>
      </c>
      <c r="JZ17">
        <f>IF('計算A'!BP$106=1,FJ17,1)</f>
        <v/>
      </c>
      <c r="KA17">
        <f>IF('計算A'!BQ$106=1,FK17,1)</f>
        <v/>
      </c>
      <c r="KB17">
        <f>IF('計算A'!BR$106=1,FL17,1)</f>
        <v/>
      </c>
      <c r="KC17">
        <f>IF('計算A'!BS$106=1,FM17,1)</f>
        <v/>
      </c>
      <c r="KD17">
        <f>IF('計算A'!BT$106=1,FN17,1)</f>
        <v/>
      </c>
      <c r="KE17">
        <f>IF('計算A'!BU$106=1,FO17,1)</f>
        <v/>
      </c>
      <c r="KF17">
        <f>IF('計算A'!BV$106=1,FP17,1)</f>
        <v/>
      </c>
      <c r="KG17">
        <f>IF('計算A'!BW$106=1,FQ17,1)</f>
        <v/>
      </c>
      <c r="KH17">
        <f>IF('計算A'!BX$106=1,FR17,1)</f>
        <v/>
      </c>
      <c r="KI17">
        <f>IF('計算A'!BY$106=1,FS17,1)</f>
        <v/>
      </c>
      <c r="KJ17">
        <f>IF('計算A'!BZ$106=1,FT17,1)</f>
        <v/>
      </c>
      <c r="KK17">
        <f>IF('計算A'!CA$106=1,FU17,1)</f>
        <v/>
      </c>
      <c r="KL17">
        <f>IF('計算A'!CB$106=1,FV17,1)</f>
        <v/>
      </c>
      <c r="KM17">
        <f>IF('計算A'!CC$106=1,FW17,1)</f>
        <v/>
      </c>
      <c r="KN17">
        <f>IF('計算A'!CD$106=1,FX17,1)</f>
        <v/>
      </c>
      <c r="KO17">
        <f>IF('計算A'!CE$106=1,FY17,1)</f>
        <v/>
      </c>
      <c r="KP17">
        <f>IF('計算A'!CF$106=1,FZ17,1)</f>
        <v/>
      </c>
      <c r="KQ17">
        <f>IF('計算A'!CG$106=1,GA17,1)</f>
        <v/>
      </c>
      <c r="KR17">
        <f>IF('計算A'!CH$106=1,GB17,1)</f>
        <v/>
      </c>
      <c r="KS17">
        <f>IF('計算A'!CI$106=1,GC17,1)</f>
        <v/>
      </c>
      <c r="KT17">
        <f>IF('計算A'!CJ$106=1,GD17,1)</f>
        <v/>
      </c>
      <c r="KU17">
        <f>IF('計算A'!CK$106=1,GE17,1)</f>
        <v/>
      </c>
      <c r="KV17">
        <f>IF('計算A'!CL$106=1,GF17,1)</f>
        <v/>
      </c>
      <c r="KW17">
        <f>IF('計算A'!CM$106=1,GG17,1)</f>
        <v/>
      </c>
      <c r="KX17">
        <f>IF('計算A'!CN$106=1,GH17,1)</f>
        <v/>
      </c>
      <c r="KY17">
        <f>IF('計算A'!CO$106=1,GI17,1)</f>
        <v/>
      </c>
      <c r="KZ17">
        <f>IF('計算A'!CP$106=1,GJ17,1)</f>
        <v/>
      </c>
      <c r="LA17">
        <f>IF('計算A'!CQ$106=1,GK17,1)</f>
        <v/>
      </c>
      <c r="LB17">
        <f>IF('計算A'!CR$106=1,GL17,1)</f>
        <v/>
      </c>
      <c r="LC17">
        <f>IF('計算A'!CS$106=1,GM17,1)</f>
        <v/>
      </c>
      <c r="LD17">
        <f>IF('計算A'!CT$106=1,GN17,1)</f>
        <v/>
      </c>
      <c r="LE17">
        <f>IF('計算A'!CU$106=1,GO17,1)</f>
        <v/>
      </c>
      <c r="LF17">
        <f>IF('計算A'!CV$106=1,GP17,1)</f>
        <v/>
      </c>
      <c r="LG17">
        <f>IF('計算A'!CW$106=1,GQ17,1)</f>
        <v/>
      </c>
      <c r="LH17">
        <f>IF('計算A'!CX$106=1,GR17,1)</f>
        <v/>
      </c>
      <c r="LI17">
        <f>IF('計算A'!CY$106=1,GS17,1)</f>
        <v/>
      </c>
      <c r="LJ17">
        <f>IF('計算A'!CZ$106=1,GT17,1)</f>
        <v/>
      </c>
      <c r="LK17">
        <f>IF('計算A'!DA$106=1,GU17,1)</f>
        <v/>
      </c>
      <c r="LL17">
        <f>IF('計算A'!DB$106=1,GV17,1)</f>
        <v/>
      </c>
      <c r="LM17">
        <f>IF('計算A'!DC$106=1,GW17,1)</f>
        <v/>
      </c>
      <c r="LN17">
        <f>IF('計算A'!DD$106=1,GX17,1)</f>
        <v/>
      </c>
      <c r="LO17">
        <f>IF('計算A'!DE$106=1,GY17,1)</f>
        <v/>
      </c>
      <c r="LP17">
        <f>IF('計算A'!DF$106=1,GZ17,1)</f>
        <v/>
      </c>
      <c r="LQ17">
        <f>IF('計算A'!DG$106=1,HA17,1)</f>
        <v/>
      </c>
      <c r="LR17">
        <f>IF('計算A'!DH$106=1,HB17,1)</f>
        <v/>
      </c>
      <c r="LS17">
        <f>IF('計算A'!DI$106=1,HC17,1)</f>
        <v/>
      </c>
      <c r="LT17">
        <f>IF('計算A'!DJ$106=1,HD17,1)</f>
        <v/>
      </c>
      <c r="LU17">
        <f>IF('計算A'!DK$106=1,HE17,1)</f>
        <v/>
      </c>
      <c r="LV17">
        <f>IF('計算A'!DL$106=1,HF17,1)</f>
        <v/>
      </c>
      <c r="LW17">
        <f>IF('計算A'!DM$106=1,HG17,1)</f>
        <v/>
      </c>
      <c r="LX17">
        <f>IF('計算A'!DN$106=1,HH17,1)</f>
        <v/>
      </c>
      <c r="LY17">
        <f>IF('計算A'!DO$106=1,HI17,1)</f>
        <v/>
      </c>
      <c r="LZ17">
        <f>IF('計算A'!DP$106=1,HJ17,1)</f>
        <v/>
      </c>
      <c r="MA17">
        <f>IF('計算A'!DQ$106=1,HK17,1)</f>
        <v/>
      </c>
      <c r="MB17">
        <f>IF('計算A'!DR$106=1,HL17,1)</f>
        <v/>
      </c>
      <c r="MC17" t="n">
        <v>1</v>
      </c>
      <c r="ME17">
        <f>IF($B17=0,1000000,IF(INDEX('計算A'!$D$60:$DS$104,$B17,1)*CW17=1,IF(AND($E17=2,HN17=0),1000000,INDEX('計算A'!D$110:D$114,$F17+1)+IF(AND($E17=1,HN17=0),1000,0)),1000000))</f>
        <v/>
      </c>
      <c r="MF17">
        <f>IF($B17=0,1000000,IF(INDEX('計算A'!$D$60:$DS$104,$B17,2)*CX17=1,IF(AND($E17=2,HO17=0),1000000,INDEX('計算A'!E$110:E$114,$F17+1)+IF(AND($E17=1,HO17=0),1000,0)),1000000))</f>
        <v/>
      </c>
      <c r="MG17">
        <f>IF($B17=0,1000000,IF(INDEX('計算A'!$D$60:$DS$104,$B17,3)*CY17=1,IF(AND($E17=2,HP17=0),1000000,INDEX('計算A'!F$110:F$114,$F17+1)+IF(AND($E17=1,HP17=0),1000,0)),1000000))</f>
        <v/>
      </c>
      <c r="MH17">
        <f>IF($B17=0,1000000,IF(INDEX('計算A'!$D$60:$DS$104,$B17,4)*CZ17=1,IF(AND($E17=2,HQ17=0),1000000,INDEX('計算A'!G$110:G$114,$F17+1)+IF(AND($E17=1,HQ17=0),1000,0)),1000000))</f>
        <v/>
      </c>
      <c r="MI17">
        <f>IF($B17=0,1000000,IF(INDEX('計算A'!$D$60:$DS$104,$B17,5)*DA17=1,IF(AND($E17=2,HR17=0),1000000,INDEX('計算A'!H$110:H$114,$F17+1)+IF(AND($E17=1,HR17=0),1000,0)),1000000))</f>
        <v/>
      </c>
      <c r="MJ17">
        <f>IF($B17=0,1000000,IF(INDEX('計算A'!$D$60:$DS$104,$B17,6)*DB17=1,IF(AND($E17=2,HS17=0),1000000,INDEX('計算A'!I$110:I$114,$F17+1)+IF(AND($E17=1,HS17=0),1000,0)),1000000))</f>
        <v/>
      </c>
      <c r="MK17">
        <f>IF($B17=0,1000000,IF(INDEX('計算A'!$D$60:$DS$104,$B17,7)*DC17=1,IF(AND($E17=2,HT17=0),1000000,INDEX('計算A'!J$110:J$114,$F17+1)+IF(AND($E17=1,HT17=0),1000,0)),1000000))</f>
        <v/>
      </c>
      <c r="ML17">
        <f>IF($B17=0,1000000,IF(INDEX('計算A'!$D$60:$DS$104,$B17,8)*DD17=1,IF(AND($E17=2,HU17=0),1000000,INDEX('計算A'!K$110:K$114,$F17+1)+IF(AND($E17=1,HU17=0),1000,0)),1000000))</f>
        <v/>
      </c>
      <c r="MM17">
        <f>IF($B17=0,1000000,IF(INDEX('計算A'!$D$60:$DS$104,$B17,9)*DE17=1,IF(AND($E17=2,HV17=0),1000000,INDEX('計算A'!L$110:L$114,$F17+1)+IF(AND($E17=1,HV17=0),1000,0)),1000000))</f>
        <v/>
      </c>
      <c r="MN17">
        <f>IF($B17=0,1000000,IF(INDEX('計算A'!$D$60:$DS$104,$B17,10)*DF17=1,IF(AND($E17=2,HW17=0),1000000,INDEX('計算A'!M$110:M$114,$F17+1)+IF(AND($E17=1,HW17=0),1000,0)),1000000))</f>
        <v/>
      </c>
      <c r="MO17">
        <f>IF($B17=0,1000000,IF(INDEX('計算A'!$D$60:$DS$104,$B17,11)*DG17=1,IF(AND($E17=2,HX17=0),1000000,INDEX('計算A'!N$110:N$114,$F17+1)+IF(AND($E17=1,HX17=0),1000,0)),1000000))</f>
        <v/>
      </c>
      <c r="MP17">
        <f>IF($B17=0,1000000,IF(INDEX('計算A'!$D$60:$DS$104,$B17,12)*DH17=1,IF(AND($E17=2,HY17=0),1000000,INDEX('計算A'!O$110:O$114,$F17+1)+IF(AND($E17=1,HY17=0),1000,0)),1000000))</f>
        <v/>
      </c>
      <c r="MQ17">
        <f>IF($B17=0,1000000,IF(INDEX('計算A'!$D$60:$DS$104,$B17,13)*DI17=1,IF(AND($E17=2,HZ17=0),1000000,INDEX('計算A'!P$110:P$114,$F17+1)+IF(AND($E17=1,HZ17=0),1000,0)),1000000))</f>
        <v/>
      </c>
      <c r="MR17">
        <f>IF($B17=0,1000000,IF(INDEX('計算A'!$D$60:$DS$104,$B17,14)*DJ17=1,IF(AND($E17=2,IA17=0),1000000,INDEX('計算A'!Q$110:Q$114,$F17+1)+IF(AND($E17=1,IA17=0),1000,0)),1000000))</f>
        <v/>
      </c>
      <c r="MS17">
        <f>IF($B17=0,1000000,IF(INDEX('計算A'!$D$60:$DS$104,$B17,15)*DK17=1,IF(AND($E17=2,IB17=0),1000000,INDEX('計算A'!R$110:R$114,$F17+1)+IF(AND($E17=1,IB17=0),1000,0)),1000000))</f>
        <v/>
      </c>
      <c r="MT17">
        <f>IF($B17=0,1000000,IF(INDEX('計算A'!$D$60:$DS$104,$B17,16)*DL17=1,IF(AND($E17=2,IC17=0),1000000,INDEX('計算A'!S$110:S$114,$F17+1)+IF(AND($E17=1,IC17=0),1000,0)),1000000))</f>
        <v/>
      </c>
      <c r="MU17">
        <f>IF($B17=0,1000000,IF(INDEX('計算A'!$D$60:$DS$104,$B17,17)*DM17=1,IF(AND($E17=2,ID17=0),1000000,INDEX('計算A'!T$110:T$114,$F17+1)+IF(AND($E17=1,ID17=0),1000,0)),1000000))</f>
        <v/>
      </c>
      <c r="MV17">
        <f>IF($B17=0,1000000,IF(INDEX('計算A'!$D$60:$DS$104,$B17,18)*DN17=1,IF(AND($E17=2,IE17=0),1000000,INDEX('計算A'!U$110:U$114,$F17+1)+IF(AND($E17=1,IE17=0),1000,0)),1000000))</f>
        <v/>
      </c>
      <c r="MW17">
        <f>IF($B17=0,1000000,IF(INDEX('計算A'!$D$60:$DS$104,$B17,19)*DO17=1,IF(AND($E17=2,IF17=0),1000000,INDEX('計算A'!V$110:V$114,$F17+1)+IF(AND($E17=1,IF17=0),1000,0)),1000000))</f>
        <v/>
      </c>
      <c r="MX17">
        <f>IF($B17=0,1000000,IF(INDEX('計算A'!$D$60:$DS$104,$B17,20)*DP17=1,IF(AND($E17=2,IG17=0),1000000,INDEX('計算A'!W$110:W$114,$F17+1)+IF(AND($E17=1,IG17=0),1000,0)),1000000))</f>
        <v/>
      </c>
      <c r="MY17">
        <f>IF($B17=0,1000000,IF(INDEX('計算A'!$D$60:$DS$104,$B17,21)*DQ17=1,IF(AND($E17=2,IH17=0),1000000,INDEX('計算A'!X$110:X$114,$F17+1)+IF(AND($E17=1,IH17=0),1000,0)),1000000))</f>
        <v/>
      </c>
      <c r="MZ17">
        <f>IF($B17=0,1000000,IF(INDEX('計算A'!$D$60:$DS$104,$B17,22)*DR17=1,IF(AND($E17=2,II17=0),1000000,INDEX('計算A'!Y$110:Y$114,$F17+1)+IF(AND($E17=1,II17=0),1000,0)),1000000))</f>
        <v/>
      </c>
      <c r="NA17">
        <f>IF($B17=0,1000000,IF(INDEX('計算A'!$D$60:$DS$104,$B17,23)*DS17=1,IF(AND($E17=2,IJ17=0),1000000,INDEX('計算A'!Z$110:Z$114,$F17+1)+IF(AND($E17=1,IJ17=0),1000,0)),1000000))</f>
        <v/>
      </c>
      <c r="NB17">
        <f>IF($B17=0,1000000,IF(INDEX('計算A'!$D$60:$DS$104,$B17,24)*DT17=1,IF(AND($E17=2,IK17=0),1000000,INDEX('計算A'!AA$110:AA$114,$F17+1)+IF(AND($E17=1,IK17=0),1000,0)),1000000))</f>
        <v/>
      </c>
      <c r="NC17">
        <f>IF($B17=0,1000000,IF(INDEX('計算A'!$D$60:$DS$104,$B17,25)*DU17=1,IF(AND($E17=2,IL17=0),1000000,INDEX('計算A'!AB$110:AB$114,$F17+1)+IF(AND($E17=1,IL17=0),1000,0)),1000000))</f>
        <v/>
      </c>
      <c r="ND17">
        <f>IF($B17=0,1000000,IF(INDEX('計算A'!$D$60:$DS$104,$B17,26)*DV17=1,IF(AND($E17=2,IM17=0),1000000,INDEX('計算A'!AC$110:AC$114,$F17+1)+IF(AND($E17=1,IM17=0),1000,0)),1000000))</f>
        <v/>
      </c>
      <c r="NE17">
        <f>IF($B17=0,1000000,IF(INDEX('計算A'!$D$60:$DS$104,$B17,27)*DW17=1,IF(AND($E17=2,IN17=0),1000000,INDEX('計算A'!AD$110:AD$114,$F17+1)+IF(AND($E17=1,IN17=0),1000,0)),1000000))</f>
        <v/>
      </c>
      <c r="NF17">
        <f>IF($B17=0,1000000,IF(INDEX('計算A'!$D$60:$DS$104,$B17,28)*DX17=1,IF(AND($E17=2,IO17=0),1000000,INDEX('計算A'!AE$110:AE$114,$F17+1)+IF(AND($E17=1,IO17=0),1000,0)),1000000))</f>
        <v/>
      </c>
      <c r="NG17">
        <f>IF($B17=0,1000000,IF(INDEX('計算A'!$D$60:$DS$104,$B17,29)*DY17=1,IF(AND($E17=2,IP17=0),1000000,INDEX('計算A'!AF$110:AF$114,$F17+1)+IF(AND($E17=1,IP17=0),1000,0)),1000000))</f>
        <v/>
      </c>
      <c r="NH17">
        <f>IF($B17=0,1000000,IF(INDEX('計算A'!$D$60:$DS$104,$B17,30)*DZ17=1,IF(AND($E17=2,IQ17=0),1000000,INDEX('計算A'!AG$110:AG$114,$F17+1)+IF(AND($E17=1,IQ17=0),1000,0)),1000000))</f>
        <v/>
      </c>
      <c r="NI17">
        <f>IF($B17=0,1000000,IF(INDEX('計算A'!$D$60:$DS$104,$B17,31)*EA17=1,IF(AND($E17=2,IR17=0),1000000,INDEX('計算A'!AH$110:AH$114,$F17+1)+IF(AND($E17=1,IR17=0),1000,0)),1000000))</f>
        <v/>
      </c>
      <c r="NJ17">
        <f>IF($B17=0,1000000,IF(INDEX('計算A'!$D$60:$DS$104,$B17,32)*EB17=1,IF(AND($E17=2,IS17=0),1000000,INDEX('計算A'!AI$110:AI$114,$F17+1)+IF(AND($E17=1,IS17=0),1000,0)),1000000))</f>
        <v/>
      </c>
      <c r="NK17">
        <f>IF($B17=0,1000000,IF(INDEX('計算A'!$D$60:$DS$104,$B17,33)*EC17=1,IF(AND($E17=2,IT17=0),1000000,INDEX('計算A'!AJ$110:AJ$114,$F17+1)+IF(AND($E17=1,IT17=0),1000,0)),1000000))</f>
        <v/>
      </c>
      <c r="NL17">
        <f>IF($B17=0,1000000,IF(INDEX('計算A'!$D$60:$DS$104,$B17,34)*ED17=1,IF(AND($E17=2,IU17=0),1000000,INDEX('計算A'!AK$110:AK$114,$F17+1)+IF(AND($E17=1,IU17=0),1000,0)),1000000))</f>
        <v/>
      </c>
      <c r="NM17">
        <f>IF($B17=0,1000000,IF(INDEX('計算A'!$D$60:$DS$104,$B17,35)*EE17=1,IF(AND($E17=2,IV17=0),1000000,INDEX('計算A'!AL$110:AL$114,$F17+1)+IF(AND($E17=1,IV17=0),1000,0)),1000000))</f>
        <v/>
      </c>
      <c r="NN17">
        <f>IF($B17=0,1000000,IF(INDEX('計算A'!$D$60:$DS$104,$B17,36)*EF17=1,IF(AND($E17=2,IW17=0),1000000,INDEX('計算A'!AM$110:AM$114,$F17+1)+IF(AND($E17=1,IW17=0),1000,0)),1000000))</f>
        <v/>
      </c>
      <c r="NO17">
        <f>IF($B17=0,1000000,IF(INDEX('計算A'!$D$60:$DS$104,$B17,37)*EG17=1,IF(AND($E17=2,IX17=0),1000000,INDEX('計算A'!AN$110:AN$114,$F17+1)+IF(AND($E17=1,IX17=0),1000,0)),1000000))</f>
        <v/>
      </c>
      <c r="NP17">
        <f>IF($B17=0,1000000,IF(INDEX('計算A'!$D$60:$DS$104,$B17,38)*EH17=1,IF(AND($E17=2,IY17=0),1000000,INDEX('計算A'!AO$110:AO$114,$F17+1)+IF(AND($E17=1,IY17=0),1000,0)),1000000))</f>
        <v/>
      </c>
      <c r="NQ17">
        <f>IF($B17=0,1000000,IF(INDEX('計算A'!$D$60:$DS$104,$B17,39)*EI17=1,IF(AND($E17=2,IZ17=0),1000000,INDEX('計算A'!AP$110:AP$114,$F17+1)+IF(AND($E17=1,IZ17=0),1000,0)),1000000))</f>
        <v/>
      </c>
      <c r="NR17">
        <f>IF($B17=0,1000000,IF(INDEX('計算A'!$D$60:$DS$104,$B17,40)*EJ17=1,IF(AND($E17=2,JA17=0),1000000,INDEX('計算A'!AQ$110:AQ$114,$F17+1)+IF(AND($E17=1,JA17=0),1000,0)),1000000))</f>
        <v/>
      </c>
      <c r="NS17">
        <f>IF($B17=0,1000000,IF(INDEX('計算A'!$D$60:$DS$104,$B17,41)*EK17=1,IF(AND($E17=2,JB17=0),1000000,INDEX('計算A'!AR$110:AR$114,$F17+1)+IF(AND($E17=1,JB17=0),1000,0)),1000000))</f>
        <v/>
      </c>
      <c r="NT17">
        <f>IF($B17=0,1000000,IF(INDEX('計算A'!$D$60:$DS$104,$B17,42)*EL17=1,IF(AND($E17=2,JC17=0),1000000,INDEX('計算A'!AS$110:AS$114,$F17+1)+IF(AND($E17=1,JC17=0),1000,0)),1000000))</f>
        <v/>
      </c>
      <c r="NU17">
        <f>IF($B17=0,1000000,IF(INDEX('計算A'!$D$60:$DS$104,$B17,43)*EM17=1,IF(AND($E17=2,JD17=0),1000000,INDEX('計算A'!AT$110:AT$114,$F17+1)+IF(AND($E17=1,JD17=0),1000,0)),1000000))</f>
        <v/>
      </c>
      <c r="NV17">
        <f>IF($B17=0,1000000,IF(INDEX('計算A'!$D$60:$DS$104,$B17,44)*EN17=1,IF(AND($E17=2,JE17=0),1000000,INDEX('計算A'!AU$110:AU$114,$F17+1)+IF(AND($E17=1,JE17=0),1000,0)),1000000))</f>
        <v/>
      </c>
      <c r="NW17">
        <f>IF($B17=0,1000000,IF(INDEX('計算A'!$D$60:$DS$104,$B17,45)*EO17=1,IF(AND($E17=2,JF17=0),1000000,INDEX('計算A'!AV$110:AV$114,$F17+1)+IF(AND($E17=1,JF17=0),1000,0)),1000000))</f>
        <v/>
      </c>
      <c r="NX17">
        <f>IF($B17=0,1000000,IF(INDEX('計算A'!$D$60:$DS$104,$B17,46)*EP17=1,IF(AND($E17=2,JG17=0),1000000,INDEX('計算A'!AW$110:AW$114,$F17+1)+IF(AND($E17=1,JG17=0),1000,0)),1000000))</f>
        <v/>
      </c>
      <c r="NY17">
        <f>IF($B17=0,1000000,IF(INDEX('計算A'!$D$60:$DS$104,$B17,47)*EQ17=1,IF(AND($E17=2,JH17=0),1000000,INDEX('計算A'!AX$110:AX$114,$F17+1)+IF(AND($E17=1,JH17=0),1000,0)),1000000))</f>
        <v/>
      </c>
      <c r="NZ17">
        <f>IF($B17=0,1000000,IF(INDEX('計算A'!$D$60:$DS$104,$B17,48)*ER17=1,IF(AND($E17=2,JI17=0),1000000,INDEX('計算A'!AY$110:AY$114,$F17+1)+IF(AND($E17=1,JI17=0),1000,0)),1000000))</f>
        <v/>
      </c>
      <c r="OA17">
        <f>IF($B17=0,1000000,IF(INDEX('計算A'!$D$60:$DS$104,$B17,49)*ES17=1,IF(AND($E17=2,JJ17=0),1000000,INDEX('計算A'!AZ$110:AZ$114,$F17+1)+IF(AND($E17=1,JJ17=0),1000,0)),1000000))</f>
        <v/>
      </c>
      <c r="OB17">
        <f>IF($B17=0,1000000,IF(INDEX('計算A'!$D$60:$DS$104,$B17,50)*ET17=1,IF(AND($E17=2,JK17=0),1000000,INDEX('計算A'!BA$110:BA$114,$F17+1)+IF(AND($E17=1,JK17=0),1000,0)),1000000))</f>
        <v/>
      </c>
      <c r="OC17">
        <f>IF($B17=0,1000000,IF(INDEX('計算A'!$D$60:$DS$104,$B17,51)*EU17=1,IF(AND($E17=2,JL17=0),1000000,INDEX('計算A'!BB$110:BB$114,$F17+1)+IF(AND($E17=1,JL17=0),1000,0)),1000000))</f>
        <v/>
      </c>
      <c r="OD17">
        <f>IF($B17=0,1000000,IF(INDEX('計算A'!$D$60:$DS$104,$B17,52)*EV17=1,IF(AND($E17=2,JM17=0),1000000,INDEX('計算A'!BC$110:BC$114,$F17+1)+IF(AND($E17=1,JM17=0),1000,0)),1000000))</f>
        <v/>
      </c>
      <c r="OE17">
        <f>IF($B17=0,1000000,IF(INDEX('計算A'!$D$60:$DS$104,$B17,53)*EW17=1,IF(AND($E17=2,JN17=0),1000000,INDEX('計算A'!BD$110:BD$114,$F17+1)+IF(AND($E17=1,JN17=0),1000,0)),1000000))</f>
        <v/>
      </c>
      <c r="OF17">
        <f>IF($B17=0,1000000,IF(INDEX('計算A'!$D$60:$DS$104,$B17,54)*EX17=1,IF(AND($E17=2,JO17=0),1000000,INDEX('計算A'!BE$110:BE$114,$F17+1)+IF(AND($E17=1,JO17=0),1000,0)),1000000))</f>
        <v/>
      </c>
      <c r="OG17">
        <f>IF($B17=0,1000000,IF(INDEX('計算A'!$D$60:$DS$104,$B17,55)*EY17=1,IF(AND($E17=2,JP17=0),1000000,INDEX('計算A'!BF$110:BF$114,$F17+1)+IF(AND($E17=1,JP17=0),1000,0)),1000000))</f>
        <v/>
      </c>
      <c r="OH17">
        <f>IF($B17=0,1000000,IF(INDEX('計算A'!$D$60:$DS$104,$B17,56)*EZ17=1,IF(AND($E17=2,JQ17=0),1000000,INDEX('計算A'!BG$110:BG$114,$F17+1)+IF(AND($E17=1,JQ17=0),1000,0)),1000000))</f>
        <v/>
      </c>
      <c r="OI17">
        <f>IF($B17=0,1000000,IF(INDEX('計算A'!$D$60:$DS$104,$B17,57)*FA17=1,IF(AND($E17=2,JR17=0),1000000,INDEX('計算A'!BH$110:BH$114,$F17+1)+IF(AND($E17=1,JR17=0),1000,0)),1000000))</f>
        <v/>
      </c>
      <c r="OJ17">
        <f>IF($B17=0,1000000,IF(INDEX('計算A'!$D$60:$DS$104,$B17,58)*FB17=1,IF(AND($E17=2,JS17=0),1000000,INDEX('計算A'!BI$110:BI$114,$F17+1)+IF(AND($E17=1,JS17=0),1000,0)),1000000))</f>
        <v/>
      </c>
      <c r="OK17">
        <f>IF($B17=0,1000000,IF(INDEX('計算A'!$D$60:$DS$104,$B17,59)*FC17=1,IF(AND($E17=2,JT17=0),1000000,INDEX('計算A'!BJ$110:BJ$114,$F17+1)+IF(AND($E17=1,JT17=0),1000,0)),1000000))</f>
        <v/>
      </c>
      <c r="OL17">
        <f>IF($B17=0,1000000,IF(INDEX('計算A'!$D$60:$DS$104,$B17,60)*FD17=1,IF(AND($E17=2,JU17=0),1000000,INDEX('計算A'!BK$110:BK$114,$F17+1)+IF(AND($E17=1,JU17=0),1000,0)),1000000))</f>
        <v/>
      </c>
      <c r="OM17">
        <f>IF($B17=0,1000000,IF(INDEX('計算A'!$D$60:$DS$104,$B17,61)*FE17=1,IF(AND($E17=2,JV17=0),1000000,INDEX('計算A'!BL$110:BL$114,$F17+1)+IF(AND($E17=1,JV17=0),1000,0)),1000000))</f>
        <v/>
      </c>
      <c r="ON17">
        <f>IF($B17=0,1000000,IF(INDEX('計算A'!$D$60:$DS$104,$B17,62)*FF17=1,IF(AND($E17=2,JW17=0),1000000,INDEX('計算A'!BM$110:BM$114,$F17+1)+IF(AND($E17=1,JW17=0),1000,0)),1000000))</f>
        <v/>
      </c>
      <c r="OO17">
        <f>IF($B17=0,1000000,IF(INDEX('計算A'!$D$60:$DS$104,$B17,63)*FG17=1,IF(AND($E17=2,JX17=0),1000000,INDEX('計算A'!BN$110:BN$114,$F17+1)+IF(AND($E17=1,JX17=0),1000,0)),1000000))</f>
        <v/>
      </c>
      <c r="OP17">
        <f>IF($B17=0,1000000,IF(INDEX('計算A'!$D$60:$DS$104,$B17,64)*FH17=1,IF(AND($E17=2,JY17=0),1000000,INDEX('計算A'!BO$110:BO$114,$F17+1)+IF(AND($E17=1,JY17=0),1000,0)),1000000))</f>
        <v/>
      </c>
      <c r="OQ17">
        <f>IF($B17=0,1000000,IF(INDEX('計算A'!$D$60:$DS$104,$B17,65)*FI17=1,IF(AND($E17=2,JZ17=0),1000000,INDEX('計算A'!BP$110:BP$114,$F17+1)+IF(AND($E17=1,JZ17=0),1000,0)),1000000))</f>
        <v/>
      </c>
      <c r="OR17">
        <f>IF($B17=0,1000000,IF(INDEX('計算A'!$D$60:$DS$104,$B17,66)*FJ17=1,IF(AND($E17=2,KA17=0),1000000,INDEX('計算A'!BQ$110:BQ$114,$F17+1)+IF(AND($E17=1,KA17=0),1000,0)),1000000))</f>
        <v/>
      </c>
      <c r="OS17">
        <f>IF($B17=0,1000000,IF(INDEX('計算A'!$D$60:$DS$104,$B17,67)*FK17=1,IF(AND($E17=2,KB17=0),1000000,INDEX('計算A'!BR$110:BR$114,$F17+1)+IF(AND($E17=1,KB17=0),1000,0)),1000000))</f>
        <v/>
      </c>
      <c r="OT17">
        <f>IF($B17=0,1000000,IF(INDEX('計算A'!$D$60:$DS$104,$B17,68)*FL17=1,IF(AND($E17=2,KC17=0),1000000,INDEX('計算A'!BS$110:BS$114,$F17+1)+IF(AND($E17=1,KC17=0),1000,0)),1000000))</f>
        <v/>
      </c>
      <c r="OU17">
        <f>IF($B17=0,1000000,IF(INDEX('計算A'!$D$60:$DS$104,$B17,69)*FM17=1,IF(AND($E17=2,KD17=0),1000000,INDEX('計算A'!BT$110:BT$114,$F17+1)+IF(AND($E17=1,KD17=0),1000,0)),1000000))</f>
        <v/>
      </c>
      <c r="OV17">
        <f>IF($B17=0,1000000,IF(INDEX('計算A'!$D$60:$DS$104,$B17,70)*FN17=1,IF(AND($E17=2,KE17=0),1000000,INDEX('計算A'!BU$110:BU$114,$F17+1)+IF(AND($E17=1,KE17=0),1000,0)),1000000))</f>
        <v/>
      </c>
      <c r="OW17">
        <f>IF($B17=0,1000000,IF(INDEX('計算A'!$D$60:$DS$104,$B17,71)*FO17=1,IF(AND($E17=2,KF17=0),1000000,INDEX('計算A'!BV$110:BV$114,$F17+1)+IF(AND($E17=1,KF17=0),1000,0)),1000000))</f>
        <v/>
      </c>
      <c r="OX17">
        <f>IF($B17=0,1000000,IF(INDEX('計算A'!$D$60:$DS$104,$B17,72)*FP17=1,IF(AND($E17=2,KG17=0),1000000,INDEX('計算A'!BW$110:BW$114,$F17+1)+IF(AND($E17=1,KG17=0),1000,0)),1000000))</f>
        <v/>
      </c>
      <c r="OY17">
        <f>IF($B17=0,1000000,IF(INDEX('計算A'!$D$60:$DS$104,$B17,73)*FQ17=1,IF(AND($E17=2,KH17=0),1000000,INDEX('計算A'!BX$110:BX$114,$F17+1)+IF(AND($E17=1,KH17=0),1000,0)),1000000))</f>
        <v/>
      </c>
      <c r="OZ17">
        <f>IF($B17=0,1000000,IF(INDEX('計算A'!$D$60:$DS$104,$B17,74)*FR17=1,IF(AND($E17=2,KI17=0),1000000,INDEX('計算A'!BY$110:BY$114,$F17+1)+IF(AND($E17=1,KI17=0),1000,0)),1000000))</f>
        <v/>
      </c>
      <c r="PA17">
        <f>IF($B17=0,1000000,IF(INDEX('計算A'!$D$60:$DS$104,$B17,75)*FS17=1,IF(AND($E17=2,KJ17=0),1000000,INDEX('計算A'!BZ$110:BZ$114,$F17+1)+IF(AND($E17=1,KJ17=0),1000,0)),1000000))</f>
        <v/>
      </c>
      <c r="PB17">
        <f>IF($B17=0,1000000,IF(INDEX('計算A'!$D$60:$DS$104,$B17,76)*FT17=1,IF(AND($E17=2,KK17=0),1000000,INDEX('計算A'!CA$110:CA$114,$F17+1)+IF(AND($E17=1,KK17=0),1000,0)),1000000))</f>
        <v/>
      </c>
      <c r="PC17">
        <f>IF($B17=0,1000000,IF(INDEX('計算A'!$D$60:$DS$104,$B17,77)*FU17=1,IF(AND($E17=2,KL17=0),1000000,INDEX('計算A'!CB$110:CB$114,$F17+1)+IF(AND($E17=1,KL17=0),1000,0)),1000000))</f>
        <v/>
      </c>
      <c r="PD17">
        <f>IF($B17=0,1000000,IF(INDEX('計算A'!$D$60:$DS$104,$B17,78)*FV17=1,IF(AND($E17=2,KM17=0),1000000,INDEX('計算A'!CC$110:CC$114,$F17+1)+IF(AND($E17=1,KM17=0),1000,0)),1000000))</f>
        <v/>
      </c>
      <c r="PE17">
        <f>IF($B17=0,1000000,IF(INDEX('計算A'!$D$60:$DS$104,$B17,79)*FW17=1,IF(AND($E17=2,KN17=0),1000000,INDEX('計算A'!CD$110:CD$114,$F17+1)+IF(AND($E17=1,KN17=0),1000,0)),1000000))</f>
        <v/>
      </c>
      <c r="PF17">
        <f>IF($B17=0,1000000,IF(INDEX('計算A'!$D$60:$DS$104,$B17,80)*FX17=1,IF(AND($E17=2,KO17=0),1000000,INDEX('計算A'!CE$110:CE$114,$F17+1)+IF(AND($E17=1,KO17=0),1000,0)),1000000))</f>
        <v/>
      </c>
      <c r="PG17">
        <f>IF($B17=0,1000000,IF(INDEX('計算A'!$D$60:$DS$104,$B17,81)*FY17=1,IF(AND($E17=2,KP17=0),1000000,INDEX('計算A'!CF$110:CF$114,$F17+1)+IF(AND($E17=1,KP17=0),1000,0)),1000000))</f>
        <v/>
      </c>
      <c r="PH17">
        <f>IF($B17=0,1000000,IF(INDEX('計算A'!$D$60:$DS$104,$B17,82)*FZ17=1,IF(AND($E17=2,KQ17=0),1000000,INDEX('計算A'!CG$110:CG$114,$F17+1)+IF(AND($E17=1,KQ17=0),1000,0)),1000000))</f>
        <v/>
      </c>
      <c r="PI17">
        <f>IF($B17=0,1000000,IF(INDEX('計算A'!$D$60:$DS$104,$B17,83)*GA17=1,IF(AND($E17=2,KR17=0),1000000,INDEX('計算A'!CH$110:CH$114,$F17+1)+IF(AND($E17=1,KR17=0),1000,0)),1000000))</f>
        <v/>
      </c>
      <c r="PJ17">
        <f>IF($B17=0,1000000,IF(INDEX('計算A'!$D$60:$DS$104,$B17,84)*GB17=1,IF(AND($E17=2,KS17=0),1000000,INDEX('計算A'!CI$110:CI$114,$F17+1)+IF(AND($E17=1,KS17=0),1000,0)),1000000))</f>
        <v/>
      </c>
      <c r="PK17">
        <f>IF($B17=0,1000000,IF(INDEX('計算A'!$D$60:$DS$104,$B17,85)*GC17=1,IF(AND($E17=2,KT17=0),1000000,INDEX('計算A'!CJ$110:CJ$114,$F17+1)+IF(AND($E17=1,KT17=0),1000,0)),1000000))</f>
        <v/>
      </c>
      <c r="PL17">
        <f>IF($B17=0,1000000,IF(INDEX('計算A'!$D$60:$DS$104,$B17,86)*GD17=1,IF(AND($E17=2,KU17=0),1000000,INDEX('計算A'!CK$110:CK$114,$F17+1)+IF(AND($E17=1,KU17=0),1000,0)),1000000))</f>
        <v/>
      </c>
      <c r="PM17">
        <f>IF($B17=0,1000000,IF(INDEX('計算A'!$D$60:$DS$104,$B17,87)*GE17=1,IF(AND($E17=2,KV17=0),1000000,INDEX('計算A'!CL$110:CL$114,$F17+1)+IF(AND($E17=1,KV17=0),1000,0)),1000000))</f>
        <v/>
      </c>
      <c r="PN17">
        <f>IF($B17=0,1000000,IF(INDEX('計算A'!$D$60:$DS$104,$B17,88)*GF17=1,IF(AND($E17=2,KW17=0),1000000,INDEX('計算A'!CM$110:CM$114,$F17+1)+IF(AND($E17=1,KW17=0),1000,0)),1000000))</f>
        <v/>
      </c>
      <c r="PO17">
        <f>IF($B17=0,1000000,IF(INDEX('計算A'!$D$60:$DS$104,$B17,89)*GG17=1,IF(AND($E17=2,KX17=0),1000000,INDEX('計算A'!CN$110:CN$114,$F17+1)+IF(AND($E17=1,KX17=0),1000,0)),1000000))</f>
        <v/>
      </c>
      <c r="PP17">
        <f>IF($B17=0,1000000,IF(INDEX('計算A'!$D$60:$DS$104,$B17,90)*GH17=1,IF(AND($E17=2,KY17=0),1000000,INDEX('計算A'!CO$110:CO$114,$F17+1)+IF(AND($E17=1,KY17=0),1000,0)),1000000))</f>
        <v/>
      </c>
      <c r="PQ17">
        <f>IF($B17=0,1000000,IF(INDEX('計算A'!$D$60:$DS$104,$B17,91)*GI17=1,IF(AND($E17=2,KZ17=0),1000000,INDEX('計算A'!CP$110:CP$114,$F17+1)+IF(AND($E17=1,KZ17=0),1000,0)),1000000))</f>
        <v/>
      </c>
      <c r="PR17">
        <f>IF($B17=0,1000000,IF(INDEX('計算A'!$D$60:$DS$104,$B17,92)*GJ17=1,IF(AND($E17=2,LA17=0),1000000,INDEX('計算A'!CQ$110:CQ$114,$F17+1)+IF(AND($E17=1,LA17=0),1000,0)),1000000))</f>
        <v/>
      </c>
      <c r="PS17">
        <f>IF($B17=0,1000000,IF(INDEX('計算A'!$D$60:$DS$104,$B17,93)*GK17=1,IF(AND($E17=2,LB17=0),1000000,INDEX('計算A'!CR$110:CR$114,$F17+1)+IF(AND($E17=1,LB17=0),1000,0)),1000000))</f>
        <v/>
      </c>
      <c r="PT17">
        <f>IF($B17=0,1000000,IF(INDEX('計算A'!$D$60:$DS$104,$B17,94)*GL17=1,IF(AND($E17=2,LC17=0),1000000,INDEX('計算A'!CS$110:CS$114,$F17+1)+IF(AND($E17=1,LC17=0),1000,0)),1000000))</f>
        <v/>
      </c>
      <c r="PU17">
        <f>IF($B17=0,1000000,IF(INDEX('計算A'!$D$60:$DS$104,$B17,95)*GM17=1,IF(AND($E17=2,LD17=0),1000000,INDEX('計算A'!CT$110:CT$114,$F17+1)+IF(AND($E17=1,LD17=0),1000,0)),1000000))</f>
        <v/>
      </c>
      <c r="PV17">
        <f>IF($B17=0,1000000,IF(INDEX('計算A'!$D$60:$DS$104,$B17,96)*GN17=1,IF(AND($E17=2,LE17=0),1000000,INDEX('計算A'!CU$110:CU$114,$F17+1)+IF(AND($E17=1,LE17=0),1000,0)),1000000))</f>
        <v/>
      </c>
      <c r="PW17">
        <f>IF($B17=0,1000000,IF(INDEX('計算A'!$D$60:$DS$104,$B17,97)*GO17=1,IF(AND($E17=2,LF17=0),1000000,INDEX('計算A'!CV$110:CV$114,$F17+1)+IF(AND($E17=1,LF17=0),1000,0)),1000000))</f>
        <v/>
      </c>
      <c r="PX17">
        <f>IF($B17=0,1000000,IF(INDEX('計算A'!$D$60:$DS$104,$B17,98)*GP17=1,IF(AND($E17=2,LG17=0),1000000,INDEX('計算A'!CW$110:CW$114,$F17+1)+IF(AND($E17=1,LG17=0),1000,0)),1000000))</f>
        <v/>
      </c>
      <c r="PY17">
        <f>IF($B17=0,1000000,IF(INDEX('計算A'!$D$60:$DS$104,$B17,99)*GQ17=1,IF(AND($E17=2,LH17=0),1000000,INDEX('計算A'!CX$110:CX$114,$F17+1)+IF(AND($E17=1,LH17=0),1000,0)),1000000))</f>
        <v/>
      </c>
      <c r="PZ17">
        <f>IF($B17=0,1000000,IF(INDEX('計算A'!$D$60:$DS$104,$B17,100)*GR17=1,IF(AND($E17=2,LI17=0),1000000,INDEX('計算A'!CY$110:CY$114,$F17+1)+IF(AND($E17=1,LI17=0),1000,0)),1000000))</f>
        <v/>
      </c>
      <c r="QA17">
        <f>IF($B17=0,1000000,IF(INDEX('計算A'!$D$60:$DS$104,$B17,101)*GS17=1,IF(AND($E17=2,LJ17=0),1000000,INDEX('計算A'!CZ$110:CZ$114,$F17+1)+IF(AND($E17=1,LJ17=0),1000,0)),1000000))</f>
        <v/>
      </c>
      <c r="QB17">
        <f>IF($B17=0,1000000,IF(INDEX('計算A'!$D$60:$DS$104,$B17,102)*GT17=1,IF(AND($E17=2,LK17=0),1000000,INDEX('計算A'!DA$110:DA$114,$F17+1)+IF(AND($E17=1,LK17=0),1000,0)),1000000))</f>
        <v/>
      </c>
      <c r="QC17">
        <f>IF($B17=0,1000000,IF(INDEX('計算A'!$D$60:$DS$104,$B17,103)*GU17=1,IF(AND($E17=2,LL17=0),1000000,INDEX('計算A'!DB$110:DB$114,$F17+1)+IF(AND($E17=1,LL17=0),1000,0)),1000000))</f>
        <v/>
      </c>
      <c r="QD17">
        <f>IF($B17=0,1000000,IF(INDEX('計算A'!$D$60:$DS$104,$B17,104)*GV17=1,IF(AND($E17=2,LM17=0),1000000,INDEX('計算A'!DC$110:DC$114,$F17+1)+IF(AND($E17=1,LM17=0),1000,0)),1000000))</f>
        <v/>
      </c>
      <c r="QE17">
        <f>IF($B17=0,1000000,IF(INDEX('計算A'!$D$60:$DS$104,$B17,105)*GW17=1,IF(AND($E17=2,LN17=0),1000000,INDEX('計算A'!DD$110:DD$114,$F17+1)+IF(AND($E17=1,LN17=0),1000,0)),1000000))</f>
        <v/>
      </c>
      <c r="QF17">
        <f>IF($B17=0,1000000,IF(INDEX('計算A'!$D$60:$DS$104,$B17,106)*GX17=1,IF(AND($E17=2,LO17=0),1000000,INDEX('計算A'!DE$110:DE$114,$F17+1)+IF(AND($E17=1,LO17=0),1000,0)),1000000))</f>
        <v/>
      </c>
      <c r="QG17">
        <f>IF($B17=0,1000000,IF(INDEX('計算A'!$D$60:$DS$104,$B17,107)*GY17=1,IF(AND($E17=2,LP17=0),1000000,INDEX('計算A'!DF$110:DF$114,$F17+1)+IF(AND($E17=1,LP17=0),1000,0)),1000000))</f>
        <v/>
      </c>
      <c r="QH17">
        <f>IF($B17=0,1000000,IF(INDEX('計算A'!$D$60:$DS$104,$B17,108)*GZ17=1,IF(AND($E17=2,LQ17=0),1000000,INDEX('計算A'!DG$110:DG$114,$F17+1)+IF(AND($E17=1,LQ17=0),1000,0)),1000000))</f>
        <v/>
      </c>
      <c r="QI17">
        <f>IF($B17=0,1000000,IF(INDEX('計算A'!$D$60:$DS$104,$B17,109)*HA17=1,IF(AND($E17=2,LR17=0),1000000,INDEX('計算A'!DH$110:DH$114,$F17+1)+IF(AND($E17=1,LR17=0),1000,0)),1000000))</f>
        <v/>
      </c>
      <c r="QJ17">
        <f>IF($B17=0,1000000,IF(INDEX('計算A'!$D$60:$DS$104,$B17,110)*HB17=1,IF(AND($E17=2,LS17=0),1000000,INDEX('計算A'!DI$110:DI$114,$F17+1)+IF(AND($E17=1,LS17=0),1000,0)),1000000))</f>
        <v/>
      </c>
      <c r="QK17">
        <f>IF($B17=0,1000000,IF(INDEX('計算A'!$D$60:$DS$104,$B17,111)*HC17=1,IF(AND($E17=2,LT17=0),1000000,INDEX('計算A'!DJ$110:DJ$114,$F17+1)+IF(AND($E17=1,LT17=0),1000,0)),1000000))</f>
        <v/>
      </c>
      <c r="QL17">
        <f>IF($B17=0,1000000,IF(INDEX('計算A'!$D$60:$DS$104,$B17,112)*HD17=1,IF(AND($E17=2,LU17=0),1000000,INDEX('計算A'!DK$110:DK$114,$F17+1)+IF(AND($E17=1,LU17=0),1000,0)),1000000))</f>
        <v/>
      </c>
      <c r="QM17">
        <f>IF($B17=0,1000000,IF(INDEX('計算A'!$D$60:$DS$104,$B17,113)*HE17=1,IF(AND($E17=2,LV17=0),1000000,INDEX('計算A'!DL$110:DL$114,$F17+1)+IF(AND($E17=1,LV17=0),1000,0)),1000000))</f>
        <v/>
      </c>
      <c r="QN17">
        <f>IF($B17=0,1000000,IF(INDEX('計算A'!$D$60:$DS$104,$B17,114)*HF17=1,IF(AND($E17=2,LW17=0),1000000,INDEX('計算A'!DM$110:DM$114,$F17+1)+IF(AND($E17=1,LW17=0),1000,0)),1000000))</f>
        <v/>
      </c>
      <c r="QO17">
        <f>IF($B17=0,1000000,IF(INDEX('計算A'!$D$60:$DS$104,$B17,115)*HG17=1,IF(AND($E17=2,LX17=0),1000000,INDEX('計算A'!DN$110:DN$114,$F17+1)+IF(AND($E17=1,LX17=0),1000,0)),1000000))</f>
        <v/>
      </c>
      <c r="QP17">
        <f>IF($B17=0,1000000,IF(INDEX('計算A'!$D$60:$DS$104,$B17,116)*HH17=1,IF(AND($E17=2,LY17=0),1000000,INDEX('計算A'!DO$110:DO$114,$F17+1)+IF(AND($E17=1,LY17=0),1000,0)),1000000))</f>
        <v/>
      </c>
      <c r="QQ17">
        <f>IF($B17=0,1000000,IF(INDEX('計算A'!$D$60:$DS$104,$B17,117)*HI17=1,IF(AND($E17=2,LZ17=0),1000000,INDEX('計算A'!DP$110:DP$114,$F17+1)+IF(AND($E17=1,LZ17=0),1000,0)),1000000))</f>
        <v/>
      </c>
      <c r="QR17">
        <f>IF($B17=0,1000000,IF(INDEX('計算A'!$D$60:$DS$104,$B17,118)*HJ17=1,IF(AND($E17=2,MA17=0),1000000,INDEX('計算A'!DQ$110:DQ$114,$F17+1)+IF(AND($E17=1,MA17=0),1000,0)),1000000))</f>
        <v/>
      </c>
      <c r="QS17">
        <f>IF($B17=0,1000000,IF(INDEX('計算A'!$D$60:$DS$104,$B17,119)*HK17=1,IF(AND($E17=2,MB17=0),1000000,INDEX('計算A'!DR$110:DR$114,$F17+1)+IF(AND($E17=1,MB17=0),1000,0)),1000000))</f>
        <v/>
      </c>
      <c r="QT17">
        <f>IF($B17=0,1000000,IF(INDEX('計算A'!$D$60:$DS$104,$B17,120)*HL17=1,IF(AND($E17=2,MC17=0),1000000,INDEX('計算A'!DS$110:DS$114,$F17+1)+IF(AND($E17=1,MC17=0),1000,0)),1000000))</f>
        <v/>
      </c>
    </row>
    <row r="18">
      <c r="A18" t="n">
        <v>16</v>
      </c>
      <c r="B18">
        <f>IF(MIN(BC18:CU18)&gt;=1000000,0,MATCH(MIN(BC18:CU18),BC18:CU18,0))</f>
        <v/>
      </c>
      <c r="C18">
        <f>IF(MIN(ME18:QT18)&gt;=1000000,0,MATCH(MIN(ME18:QT18),ME18:QT18,0))</f>
        <v/>
      </c>
      <c r="D18">
        <f>IF(C18&gt;0,INDEX('計算A'!$D$5:$DS$5,C18),0)</f>
        <v/>
      </c>
      <c r="E18">
        <f>IF(B18=0,0,INDEX('計算A'!$EA$10:$EA$54,B18))</f>
        <v/>
      </c>
      <c r="F18">
        <f>IF(B18=0,0,INDEX('計算A'!$DZ$10:$DZ$54,B18))</f>
        <v/>
      </c>
      <c r="G18">
        <f>IF(AND(C18&gt;0,E18&gt;0),IF(AND(INDEX('計算A'!$D$106:$DS$106,C18)=1,INDEX($HN18:$MC18,C18)=1),C18+1,0),0)</f>
        <v/>
      </c>
      <c r="I18">
        <f>MAX(I17,IF($B17=1,1,0))</f>
        <v/>
      </c>
      <c r="J18">
        <f>MAX(J17,IF($B17=2,1,0))</f>
        <v/>
      </c>
      <c r="K18">
        <f>MAX(K17,IF($B17=3,1,0))</f>
        <v/>
      </c>
      <c r="L18">
        <f>MAX(L17,IF($B17=4,1,0))</f>
        <v/>
      </c>
      <c r="M18">
        <f>MAX(M17,IF($B17=5,1,0))</f>
        <v/>
      </c>
      <c r="N18">
        <f>MAX(N17,IF($B17=6,1,0))</f>
        <v/>
      </c>
      <c r="O18">
        <f>MAX(O17,IF($B17=7,1,0))</f>
        <v/>
      </c>
      <c r="P18">
        <f>MAX(P17,IF($B17=8,1,0))</f>
        <v/>
      </c>
      <c r="Q18">
        <f>MAX(Q17,IF($B17=9,1,0))</f>
        <v/>
      </c>
      <c r="R18">
        <f>MAX(R17,IF($B17=10,1,0))</f>
        <v/>
      </c>
      <c r="S18">
        <f>MAX(S17,IF($B17=11,1,0))</f>
        <v/>
      </c>
      <c r="T18">
        <f>MAX(T17,IF($B17=12,1,0))</f>
        <v/>
      </c>
      <c r="U18">
        <f>MAX(U17,IF($B17=13,1,0))</f>
        <v/>
      </c>
      <c r="V18">
        <f>MAX(V17,IF($B17=14,1,0))</f>
        <v/>
      </c>
      <c r="W18">
        <f>MAX(W17,IF($B17=15,1,0))</f>
        <v/>
      </c>
      <c r="X18">
        <f>MAX(X17,IF($B17=16,1,0))</f>
        <v/>
      </c>
      <c r="Y18">
        <f>MAX(Y17,IF($B17=17,1,0))</f>
        <v/>
      </c>
      <c r="Z18">
        <f>MAX(Z17,IF($B17=18,1,0))</f>
        <v/>
      </c>
      <c r="AA18">
        <f>MAX(AA17,IF($B17=19,1,0))</f>
        <v/>
      </c>
      <c r="AB18">
        <f>MAX(AB17,IF($B17=20,1,0))</f>
        <v/>
      </c>
      <c r="AC18">
        <f>MAX(AC17,IF($B17=21,1,0))</f>
        <v/>
      </c>
      <c r="AD18">
        <f>MAX(AD17,IF($B17=22,1,0))</f>
        <v/>
      </c>
      <c r="AE18">
        <f>MAX(AE17,IF($B17=23,1,0))</f>
        <v/>
      </c>
      <c r="AF18">
        <f>MAX(AF17,IF($B17=24,1,0))</f>
        <v/>
      </c>
      <c r="AG18">
        <f>MAX(AG17,IF($B17=25,1,0))</f>
        <v/>
      </c>
      <c r="AH18">
        <f>MAX(AH17,IF($B17=26,1,0))</f>
        <v/>
      </c>
      <c r="AI18">
        <f>MAX(AI17,IF($B17=27,1,0))</f>
        <v/>
      </c>
      <c r="AJ18">
        <f>MAX(AJ17,IF($B17=28,1,0))</f>
        <v/>
      </c>
      <c r="AK18">
        <f>MAX(AK17,IF($B17=29,1,0))</f>
        <v/>
      </c>
      <c r="AL18">
        <f>MAX(AL17,IF($B17=30,1,0))</f>
        <v/>
      </c>
      <c r="AM18">
        <f>MAX(AM17,IF($B17=31,1,0))</f>
        <v/>
      </c>
      <c r="AN18">
        <f>MAX(AN17,IF($B17=32,1,0))</f>
        <v/>
      </c>
      <c r="AO18">
        <f>MAX(AO17,IF($B17=33,1,0))</f>
        <v/>
      </c>
      <c r="AP18">
        <f>MAX(AP17,IF($B17=34,1,0))</f>
        <v/>
      </c>
      <c r="AQ18">
        <f>MAX(AQ17,IF($B17=35,1,0))</f>
        <v/>
      </c>
      <c r="AR18">
        <f>MAX(AR17,IF($B17=36,1,0))</f>
        <v/>
      </c>
      <c r="AS18">
        <f>MAX(AS17,IF($B17=37,1,0))</f>
        <v/>
      </c>
      <c r="AT18">
        <f>MAX(AT17,IF($B17=38,1,0))</f>
        <v/>
      </c>
      <c r="AU18">
        <f>MAX(AU17,IF($B17=39,1,0))</f>
        <v/>
      </c>
      <c r="AV18">
        <f>MAX(AV17,IF($B17=40,1,0))</f>
        <v/>
      </c>
      <c r="AW18">
        <f>MAX(AW17,IF($B17=41,1,0))</f>
        <v/>
      </c>
      <c r="AX18">
        <f>MAX(AX17,IF($B17=42,1,0))</f>
        <v/>
      </c>
      <c r="AY18">
        <f>MAX(AY17,IF($B17=43,1,0))</f>
        <v/>
      </c>
      <c r="AZ18">
        <f>MAX(AZ17,IF($B17=44,1,0))</f>
        <v/>
      </c>
      <c r="BA18">
        <f>MAX(BA17,IF($B17=45,1,0))</f>
        <v/>
      </c>
      <c r="BC18">
        <f>IF(I18=1,1000000,IF('計算A'!$EA$10=2,SUMPRODUCT('計算A'!$D$60:$DS$60,$CW18:$HL18,$HN18:$MC18),SUMPRODUCT('計算A'!$D$60:$DS$60,$CW18:$HL18))*1000+1)</f>
        <v/>
      </c>
      <c r="BD18">
        <f>IF(J18=1,1000000,IF('計算A'!$EA$11=2,SUMPRODUCT('計算A'!$D$61:$DS$61,$CW18:$HL18,$HN18:$MC18),SUMPRODUCT('計算A'!$D$61:$DS$61,$CW18:$HL18))*1000+2)</f>
        <v/>
      </c>
      <c r="BE18">
        <f>IF(K18=1,1000000,IF('計算A'!$EA$12=2,SUMPRODUCT('計算A'!$D$62:$DS$62,$CW18:$HL18,$HN18:$MC18),SUMPRODUCT('計算A'!$D$62:$DS$62,$CW18:$HL18))*1000+3)</f>
        <v/>
      </c>
      <c r="BF18">
        <f>IF(L18=1,1000000,IF('計算A'!$EA$13=2,SUMPRODUCT('計算A'!$D$63:$DS$63,$CW18:$HL18,$HN18:$MC18),SUMPRODUCT('計算A'!$D$63:$DS$63,$CW18:$HL18))*1000+4)</f>
        <v/>
      </c>
      <c r="BG18">
        <f>IF(M18=1,1000000,IF('計算A'!$EA$14=2,SUMPRODUCT('計算A'!$D$64:$DS$64,$CW18:$HL18,$HN18:$MC18),SUMPRODUCT('計算A'!$D$64:$DS$64,$CW18:$HL18))*1000+5)</f>
        <v/>
      </c>
      <c r="BH18">
        <f>IF(N18=1,1000000,IF('計算A'!$EA$15=2,SUMPRODUCT('計算A'!$D$65:$DS$65,$CW18:$HL18,$HN18:$MC18),SUMPRODUCT('計算A'!$D$65:$DS$65,$CW18:$HL18))*1000+6)</f>
        <v/>
      </c>
      <c r="BI18">
        <f>IF(O18=1,1000000,IF('計算A'!$EA$16=2,SUMPRODUCT('計算A'!$D$66:$DS$66,$CW18:$HL18,$HN18:$MC18),SUMPRODUCT('計算A'!$D$66:$DS$66,$CW18:$HL18))*1000+7)</f>
        <v/>
      </c>
      <c r="BJ18">
        <f>IF(P18=1,1000000,IF('計算A'!$EA$17=2,SUMPRODUCT('計算A'!$D$67:$DS$67,$CW18:$HL18,$HN18:$MC18),SUMPRODUCT('計算A'!$D$67:$DS$67,$CW18:$HL18))*1000+8)</f>
        <v/>
      </c>
      <c r="BK18">
        <f>IF(Q18=1,1000000,IF('計算A'!$EA$18=2,SUMPRODUCT('計算A'!$D$68:$DS$68,$CW18:$HL18,$HN18:$MC18),SUMPRODUCT('計算A'!$D$68:$DS$68,$CW18:$HL18))*1000+9)</f>
        <v/>
      </c>
      <c r="BL18">
        <f>IF(R18=1,1000000,IF('計算A'!$EA$19=2,SUMPRODUCT('計算A'!$D$69:$DS$69,$CW18:$HL18,$HN18:$MC18),SUMPRODUCT('計算A'!$D$69:$DS$69,$CW18:$HL18))*1000+10)</f>
        <v/>
      </c>
      <c r="BM18">
        <f>IF(S18=1,1000000,IF('計算A'!$EA$20=2,SUMPRODUCT('計算A'!$D$70:$DS$70,$CW18:$HL18,$HN18:$MC18),SUMPRODUCT('計算A'!$D$70:$DS$70,$CW18:$HL18))*1000+11)</f>
        <v/>
      </c>
      <c r="BN18">
        <f>IF(T18=1,1000000,IF('計算A'!$EA$21=2,SUMPRODUCT('計算A'!$D$71:$DS$71,$CW18:$HL18,$HN18:$MC18),SUMPRODUCT('計算A'!$D$71:$DS$71,$CW18:$HL18))*1000+12)</f>
        <v/>
      </c>
      <c r="BO18">
        <f>IF(U18=1,1000000,IF('計算A'!$EA$22=2,SUMPRODUCT('計算A'!$D$72:$DS$72,$CW18:$HL18,$HN18:$MC18),SUMPRODUCT('計算A'!$D$72:$DS$72,$CW18:$HL18))*1000+13)</f>
        <v/>
      </c>
      <c r="BP18">
        <f>IF(V18=1,1000000,IF('計算A'!$EA$23=2,SUMPRODUCT('計算A'!$D$73:$DS$73,$CW18:$HL18,$HN18:$MC18),SUMPRODUCT('計算A'!$D$73:$DS$73,$CW18:$HL18))*1000+14)</f>
        <v/>
      </c>
      <c r="BQ18">
        <f>IF(W18=1,1000000,IF('計算A'!$EA$24=2,SUMPRODUCT('計算A'!$D$74:$DS$74,$CW18:$HL18,$HN18:$MC18),SUMPRODUCT('計算A'!$D$74:$DS$74,$CW18:$HL18))*1000+15)</f>
        <v/>
      </c>
      <c r="BR18">
        <f>IF(X18=1,1000000,IF('計算A'!$EA$25=2,SUMPRODUCT('計算A'!$D$75:$DS$75,$CW18:$HL18,$HN18:$MC18),SUMPRODUCT('計算A'!$D$75:$DS$75,$CW18:$HL18))*1000+16)</f>
        <v/>
      </c>
      <c r="BS18">
        <f>IF(Y18=1,1000000,IF('計算A'!$EA$26=2,SUMPRODUCT('計算A'!$D$76:$DS$76,$CW18:$HL18,$HN18:$MC18),SUMPRODUCT('計算A'!$D$76:$DS$76,$CW18:$HL18))*1000+17)</f>
        <v/>
      </c>
      <c r="BT18">
        <f>IF(Z18=1,1000000,IF('計算A'!$EA$27=2,SUMPRODUCT('計算A'!$D$77:$DS$77,$CW18:$HL18,$HN18:$MC18),SUMPRODUCT('計算A'!$D$77:$DS$77,$CW18:$HL18))*1000+18)</f>
        <v/>
      </c>
      <c r="BU18">
        <f>IF(AA18=1,1000000,IF('計算A'!$EA$28=2,SUMPRODUCT('計算A'!$D$78:$DS$78,$CW18:$HL18,$HN18:$MC18),SUMPRODUCT('計算A'!$D$78:$DS$78,$CW18:$HL18))*1000+19)</f>
        <v/>
      </c>
      <c r="BV18">
        <f>IF(AB18=1,1000000,IF('計算A'!$EA$29=2,SUMPRODUCT('計算A'!$D$79:$DS$79,$CW18:$HL18,$HN18:$MC18),SUMPRODUCT('計算A'!$D$79:$DS$79,$CW18:$HL18))*1000+20)</f>
        <v/>
      </c>
      <c r="BW18">
        <f>IF(AC18=1,1000000,IF('計算A'!$EA$30=2,SUMPRODUCT('計算A'!$D$80:$DS$80,$CW18:$HL18,$HN18:$MC18),SUMPRODUCT('計算A'!$D$80:$DS$80,$CW18:$HL18))*1000+21)</f>
        <v/>
      </c>
      <c r="BX18">
        <f>IF(AD18=1,1000000,IF('計算A'!$EA$31=2,SUMPRODUCT('計算A'!$D$81:$DS$81,$CW18:$HL18,$HN18:$MC18),SUMPRODUCT('計算A'!$D$81:$DS$81,$CW18:$HL18))*1000+22)</f>
        <v/>
      </c>
      <c r="BY18">
        <f>IF(AE18=1,1000000,IF('計算A'!$EA$32=2,SUMPRODUCT('計算A'!$D$82:$DS$82,$CW18:$HL18,$HN18:$MC18),SUMPRODUCT('計算A'!$D$82:$DS$82,$CW18:$HL18))*1000+23)</f>
        <v/>
      </c>
      <c r="BZ18">
        <f>IF(AF18=1,1000000,IF('計算A'!$EA$33=2,SUMPRODUCT('計算A'!$D$83:$DS$83,$CW18:$HL18,$HN18:$MC18),SUMPRODUCT('計算A'!$D$83:$DS$83,$CW18:$HL18))*1000+24)</f>
        <v/>
      </c>
      <c r="CA18">
        <f>IF(AG18=1,1000000,IF('計算A'!$EA$34=2,SUMPRODUCT('計算A'!$D$84:$DS$84,$CW18:$HL18,$HN18:$MC18),SUMPRODUCT('計算A'!$D$84:$DS$84,$CW18:$HL18))*1000+25)</f>
        <v/>
      </c>
      <c r="CB18">
        <f>IF(AH18=1,1000000,IF('計算A'!$EA$35=2,SUMPRODUCT('計算A'!$D$85:$DS$85,$CW18:$HL18,$HN18:$MC18),SUMPRODUCT('計算A'!$D$85:$DS$85,$CW18:$HL18))*1000+26)</f>
        <v/>
      </c>
      <c r="CC18">
        <f>IF(AI18=1,1000000,IF('計算A'!$EA$36=2,SUMPRODUCT('計算A'!$D$86:$DS$86,$CW18:$HL18,$HN18:$MC18),SUMPRODUCT('計算A'!$D$86:$DS$86,$CW18:$HL18))*1000+27)</f>
        <v/>
      </c>
      <c r="CD18">
        <f>IF(AJ18=1,1000000,IF('計算A'!$EA$37=2,SUMPRODUCT('計算A'!$D$87:$DS$87,$CW18:$HL18,$HN18:$MC18),SUMPRODUCT('計算A'!$D$87:$DS$87,$CW18:$HL18))*1000+28)</f>
        <v/>
      </c>
      <c r="CE18">
        <f>IF(AK18=1,1000000,IF('計算A'!$EA$38=2,SUMPRODUCT('計算A'!$D$88:$DS$88,$CW18:$HL18,$HN18:$MC18),SUMPRODUCT('計算A'!$D$88:$DS$88,$CW18:$HL18))*1000+29)</f>
        <v/>
      </c>
      <c r="CF18">
        <f>IF(AL18=1,1000000,IF('計算A'!$EA$39=2,SUMPRODUCT('計算A'!$D$89:$DS$89,$CW18:$HL18,$HN18:$MC18),SUMPRODUCT('計算A'!$D$89:$DS$89,$CW18:$HL18))*1000+30)</f>
        <v/>
      </c>
      <c r="CG18">
        <f>IF(AM18=1,1000000,IF('計算A'!$EA$40=2,SUMPRODUCT('計算A'!$D$90:$DS$90,$CW18:$HL18,$HN18:$MC18),SUMPRODUCT('計算A'!$D$90:$DS$90,$CW18:$HL18))*1000+31)</f>
        <v/>
      </c>
      <c r="CH18">
        <f>IF(AN18=1,1000000,IF('計算A'!$EA$41=2,SUMPRODUCT('計算A'!$D$91:$DS$91,$CW18:$HL18,$HN18:$MC18),SUMPRODUCT('計算A'!$D$91:$DS$91,$CW18:$HL18))*1000+32)</f>
        <v/>
      </c>
      <c r="CI18">
        <f>IF(AO18=1,1000000,IF('計算A'!$EA$42=2,SUMPRODUCT('計算A'!$D$92:$DS$92,$CW18:$HL18,$HN18:$MC18),SUMPRODUCT('計算A'!$D$92:$DS$92,$CW18:$HL18))*1000+33)</f>
        <v/>
      </c>
      <c r="CJ18">
        <f>IF(AP18=1,1000000,IF('計算A'!$EA$43=2,SUMPRODUCT('計算A'!$D$93:$DS$93,$CW18:$HL18,$HN18:$MC18),SUMPRODUCT('計算A'!$D$93:$DS$93,$CW18:$HL18))*1000+34)</f>
        <v/>
      </c>
      <c r="CK18">
        <f>IF(AQ18=1,1000000,IF('計算A'!$EA$44=2,SUMPRODUCT('計算A'!$D$94:$DS$94,$CW18:$HL18,$HN18:$MC18),SUMPRODUCT('計算A'!$D$94:$DS$94,$CW18:$HL18))*1000+35)</f>
        <v/>
      </c>
      <c r="CL18">
        <f>IF(AR18=1,1000000,IF('計算A'!$EA$45=2,SUMPRODUCT('計算A'!$D$95:$DS$95,$CW18:$HL18,$HN18:$MC18),SUMPRODUCT('計算A'!$D$95:$DS$95,$CW18:$HL18))*1000+36)</f>
        <v/>
      </c>
      <c r="CM18">
        <f>IF(AS18=1,1000000,IF('計算A'!$EA$46=2,SUMPRODUCT('計算A'!$D$96:$DS$96,$CW18:$HL18,$HN18:$MC18),SUMPRODUCT('計算A'!$D$96:$DS$96,$CW18:$HL18))*1000+37)</f>
        <v/>
      </c>
      <c r="CN18">
        <f>IF(AT18=1,1000000,IF('計算A'!$EA$47=2,SUMPRODUCT('計算A'!$D$97:$DS$97,$CW18:$HL18,$HN18:$MC18),SUMPRODUCT('計算A'!$D$97:$DS$97,$CW18:$HL18))*1000+38)</f>
        <v/>
      </c>
      <c r="CO18">
        <f>IF(AU18=1,1000000,IF('計算A'!$EA$48=2,SUMPRODUCT('計算A'!$D$98:$DS$98,$CW18:$HL18,$HN18:$MC18),SUMPRODUCT('計算A'!$D$98:$DS$98,$CW18:$HL18))*1000+39)</f>
        <v/>
      </c>
      <c r="CP18">
        <f>IF(AV18=1,1000000,IF('計算A'!$EA$49=2,SUMPRODUCT('計算A'!$D$99:$DS$99,$CW18:$HL18,$HN18:$MC18),SUMPRODUCT('計算A'!$D$99:$DS$99,$CW18:$HL18))*1000+40)</f>
        <v/>
      </c>
      <c r="CQ18">
        <f>IF(AW18=1,1000000,IF('計算A'!$EA$50=2,SUMPRODUCT('計算A'!$D$100:$DS$100,$CW18:$HL18,$HN18:$MC18),SUMPRODUCT('計算A'!$D$100:$DS$100,$CW18:$HL18))*1000+41)</f>
        <v/>
      </c>
      <c r="CR18">
        <f>IF(AX18=1,1000000,IF('計算A'!$EA$51=2,SUMPRODUCT('計算A'!$D$101:$DS$101,$CW18:$HL18,$HN18:$MC18),SUMPRODUCT('計算A'!$D$101:$DS$101,$CW18:$HL18))*1000+42)</f>
        <v/>
      </c>
      <c r="CS18">
        <f>IF(AY18=1,1000000,IF('計算A'!$EA$52=2,SUMPRODUCT('計算A'!$D$102:$DS$102,$CW18:$HL18,$HN18:$MC18),SUMPRODUCT('計算A'!$D$102:$DS$102,$CW18:$HL18))*1000+43)</f>
        <v/>
      </c>
      <c r="CT18">
        <f>IF(AZ18=1,1000000,IF('計算A'!$EA$53=2,SUMPRODUCT('計算A'!$D$103:$DS$103,$CW18:$HL18,$HN18:$MC18),SUMPRODUCT('計算A'!$D$103:$DS$103,$CW18:$HL18))*1000+44)</f>
        <v/>
      </c>
      <c r="CU18">
        <f>IF(BA18=1,1000000,IF('計算A'!$EA$54=2,SUMPRODUCT('計算A'!$D$104:$DS$104,$CW18:$HL18,$HN18:$MC18),SUMPRODUCT('計算A'!$D$104:$DS$104,$CW18:$HL18))*1000+45)</f>
        <v/>
      </c>
      <c r="CW18">
        <f>CW17*IF(OR($C17=1,$G17=1),0,1)</f>
        <v/>
      </c>
      <c r="CX18">
        <f>CX17*IF(OR($C17=2,$G17=2),0,1)</f>
        <v/>
      </c>
      <c r="CY18">
        <f>CY17*IF(OR($C17=3,$G17=3),0,1)</f>
        <v/>
      </c>
      <c r="CZ18">
        <f>CZ17*IF(OR($C17=4,$G17=4),0,1)</f>
        <v/>
      </c>
      <c r="DA18">
        <f>DA17*IF(OR($C17=5,$G17=5),0,1)</f>
        <v/>
      </c>
      <c r="DB18">
        <f>DB17*IF(OR($C17=6,$G17=6),0,1)</f>
        <v/>
      </c>
      <c r="DC18">
        <f>DC17*IF(OR($C17=7,$G17=7),0,1)</f>
        <v/>
      </c>
      <c r="DD18">
        <f>DD17*IF(OR($C17=8,$G17=8),0,1)</f>
        <v/>
      </c>
      <c r="DE18">
        <f>DE17*IF(OR($C17=9,$G17=9),0,1)</f>
        <v/>
      </c>
      <c r="DF18">
        <f>DF17*IF(OR($C17=10,$G17=10),0,1)</f>
        <v/>
      </c>
      <c r="DG18">
        <f>DG17*IF(OR($C17=11,$G17=11),0,1)</f>
        <v/>
      </c>
      <c r="DH18">
        <f>DH17*IF(OR($C17=12,$G17=12),0,1)</f>
        <v/>
      </c>
      <c r="DI18">
        <f>DI17*IF(OR($C17=13,$G17=13),0,1)</f>
        <v/>
      </c>
      <c r="DJ18">
        <f>DJ17*IF(OR($C17=14,$G17=14),0,1)</f>
        <v/>
      </c>
      <c r="DK18">
        <f>DK17*IF(OR($C17=15,$G17=15),0,1)</f>
        <v/>
      </c>
      <c r="DL18">
        <f>DL17*IF(OR($C17=16,$G17=16),0,1)</f>
        <v/>
      </c>
      <c r="DM18">
        <f>DM17*IF(OR($C17=17,$G17=17),0,1)</f>
        <v/>
      </c>
      <c r="DN18">
        <f>DN17*IF(OR($C17=18,$G17=18),0,1)</f>
        <v/>
      </c>
      <c r="DO18">
        <f>DO17*IF(OR($C17=19,$G17=19),0,1)</f>
        <v/>
      </c>
      <c r="DP18">
        <f>DP17*IF(OR($C17=20,$G17=20),0,1)</f>
        <v/>
      </c>
      <c r="DQ18">
        <f>DQ17*IF(OR($C17=21,$G17=21),0,1)</f>
        <v/>
      </c>
      <c r="DR18">
        <f>DR17*IF(OR($C17=22,$G17=22),0,1)</f>
        <v/>
      </c>
      <c r="DS18">
        <f>DS17*IF(OR($C17=23,$G17=23),0,1)</f>
        <v/>
      </c>
      <c r="DT18">
        <f>DT17*IF(OR($C17=24,$G17=24),0,1)</f>
        <v/>
      </c>
      <c r="DU18">
        <f>DU17*IF(OR($C17=25,$G17=25),0,1)</f>
        <v/>
      </c>
      <c r="DV18">
        <f>DV17*IF(OR($C17=26,$G17=26),0,1)</f>
        <v/>
      </c>
      <c r="DW18">
        <f>DW17*IF(OR($C17=27,$G17=27),0,1)</f>
        <v/>
      </c>
      <c r="DX18">
        <f>DX17*IF(OR($C17=28,$G17=28),0,1)</f>
        <v/>
      </c>
      <c r="DY18">
        <f>DY17*IF(OR($C17=29,$G17=29),0,1)</f>
        <v/>
      </c>
      <c r="DZ18">
        <f>DZ17*IF(OR($C17=30,$G17=30),0,1)</f>
        <v/>
      </c>
      <c r="EA18">
        <f>EA17*IF(OR($C17=31,$G17=31),0,1)</f>
        <v/>
      </c>
      <c r="EB18">
        <f>EB17*IF(OR($C17=32,$G17=32),0,1)</f>
        <v/>
      </c>
      <c r="EC18">
        <f>EC17*IF(OR($C17=33,$G17=33),0,1)</f>
        <v/>
      </c>
      <c r="ED18">
        <f>ED17*IF(OR($C17=34,$G17=34),0,1)</f>
        <v/>
      </c>
      <c r="EE18">
        <f>EE17*IF(OR($C17=35,$G17=35),0,1)</f>
        <v/>
      </c>
      <c r="EF18">
        <f>EF17*IF(OR($C17=36,$G17=36),0,1)</f>
        <v/>
      </c>
      <c r="EG18">
        <f>EG17*IF(OR($C17=37,$G17=37),0,1)</f>
        <v/>
      </c>
      <c r="EH18">
        <f>EH17*IF(OR($C17=38,$G17=38),0,1)</f>
        <v/>
      </c>
      <c r="EI18">
        <f>EI17*IF(OR($C17=39,$G17=39),0,1)</f>
        <v/>
      </c>
      <c r="EJ18">
        <f>EJ17*IF(OR($C17=40,$G17=40),0,1)</f>
        <v/>
      </c>
      <c r="EK18">
        <f>EK17*IF(OR($C17=41,$G17=41),0,1)</f>
        <v/>
      </c>
      <c r="EL18">
        <f>EL17*IF(OR($C17=42,$G17=42),0,1)</f>
        <v/>
      </c>
      <c r="EM18">
        <f>EM17*IF(OR($C17=43,$G17=43),0,1)</f>
        <v/>
      </c>
      <c r="EN18">
        <f>EN17*IF(OR($C17=44,$G17=44),0,1)</f>
        <v/>
      </c>
      <c r="EO18">
        <f>EO17*IF(OR($C17=45,$G17=45),0,1)</f>
        <v/>
      </c>
      <c r="EP18">
        <f>EP17*IF(OR($C17=46,$G17=46),0,1)</f>
        <v/>
      </c>
      <c r="EQ18">
        <f>EQ17*IF(OR($C17=47,$G17=47),0,1)</f>
        <v/>
      </c>
      <c r="ER18">
        <f>ER17*IF(OR($C17=48,$G17=48),0,1)</f>
        <v/>
      </c>
      <c r="ES18">
        <f>ES17*IF(OR($C17=49,$G17=49),0,1)</f>
        <v/>
      </c>
      <c r="ET18">
        <f>ET17*IF(OR($C17=50,$G17=50),0,1)</f>
        <v/>
      </c>
      <c r="EU18">
        <f>EU17*IF(OR($C17=51,$G17=51),0,1)</f>
        <v/>
      </c>
      <c r="EV18">
        <f>EV17*IF(OR($C17=52,$G17=52),0,1)</f>
        <v/>
      </c>
      <c r="EW18">
        <f>EW17*IF(OR($C17=53,$G17=53),0,1)</f>
        <v/>
      </c>
      <c r="EX18">
        <f>EX17*IF(OR($C17=54,$G17=54),0,1)</f>
        <v/>
      </c>
      <c r="EY18">
        <f>EY17*IF(OR($C17=55,$G17=55),0,1)</f>
        <v/>
      </c>
      <c r="EZ18">
        <f>EZ17*IF(OR($C17=56,$G17=56),0,1)</f>
        <v/>
      </c>
      <c r="FA18">
        <f>FA17*IF(OR($C17=57,$G17=57),0,1)</f>
        <v/>
      </c>
      <c r="FB18">
        <f>FB17*IF(OR($C17=58,$G17=58),0,1)</f>
        <v/>
      </c>
      <c r="FC18">
        <f>FC17*IF(OR($C17=59,$G17=59),0,1)</f>
        <v/>
      </c>
      <c r="FD18">
        <f>FD17*IF(OR($C17=60,$G17=60),0,1)</f>
        <v/>
      </c>
      <c r="FE18">
        <f>FE17*IF(OR($C17=61,$G17=61),0,1)</f>
        <v/>
      </c>
      <c r="FF18">
        <f>FF17*IF(OR($C17=62,$G17=62),0,1)</f>
        <v/>
      </c>
      <c r="FG18">
        <f>FG17*IF(OR($C17=63,$G17=63),0,1)</f>
        <v/>
      </c>
      <c r="FH18">
        <f>FH17*IF(OR($C17=64,$G17=64),0,1)</f>
        <v/>
      </c>
      <c r="FI18">
        <f>FI17*IF(OR($C17=65,$G17=65),0,1)</f>
        <v/>
      </c>
      <c r="FJ18">
        <f>FJ17*IF(OR($C17=66,$G17=66),0,1)</f>
        <v/>
      </c>
      <c r="FK18">
        <f>FK17*IF(OR($C17=67,$G17=67),0,1)</f>
        <v/>
      </c>
      <c r="FL18">
        <f>FL17*IF(OR($C17=68,$G17=68),0,1)</f>
        <v/>
      </c>
      <c r="FM18">
        <f>FM17*IF(OR($C17=69,$G17=69),0,1)</f>
        <v/>
      </c>
      <c r="FN18">
        <f>FN17*IF(OR($C17=70,$G17=70),0,1)</f>
        <v/>
      </c>
      <c r="FO18">
        <f>FO17*IF(OR($C17=71,$G17=71),0,1)</f>
        <v/>
      </c>
      <c r="FP18">
        <f>FP17*IF(OR($C17=72,$G17=72),0,1)</f>
        <v/>
      </c>
      <c r="FQ18">
        <f>FQ17*IF(OR($C17=73,$G17=73),0,1)</f>
        <v/>
      </c>
      <c r="FR18">
        <f>FR17*IF(OR($C17=74,$G17=74),0,1)</f>
        <v/>
      </c>
      <c r="FS18">
        <f>FS17*IF(OR($C17=75,$G17=75),0,1)</f>
        <v/>
      </c>
      <c r="FT18">
        <f>FT17*IF(OR($C17=76,$G17=76),0,1)</f>
        <v/>
      </c>
      <c r="FU18">
        <f>FU17*IF(OR($C17=77,$G17=77),0,1)</f>
        <v/>
      </c>
      <c r="FV18">
        <f>FV17*IF(OR($C17=78,$G17=78),0,1)</f>
        <v/>
      </c>
      <c r="FW18">
        <f>FW17*IF(OR($C17=79,$G17=79),0,1)</f>
        <v/>
      </c>
      <c r="FX18">
        <f>FX17*IF(OR($C17=80,$G17=80),0,1)</f>
        <v/>
      </c>
      <c r="FY18">
        <f>FY17*IF(OR($C17=81,$G17=81),0,1)</f>
        <v/>
      </c>
      <c r="FZ18">
        <f>FZ17*IF(OR($C17=82,$G17=82),0,1)</f>
        <v/>
      </c>
      <c r="GA18">
        <f>GA17*IF(OR($C17=83,$G17=83),0,1)</f>
        <v/>
      </c>
      <c r="GB18">
        <f>GB17*IF(OR($C17=84,$G17=84),0,1)</f>
        <v/>
      </c>
      <c r="GC18">
        <f>GC17*IF(OR($C17=85,$G17=85),0,1)</f>
        <v/>
      </c>
      <c r="GD18">
        <f>GD17*IF(OR($C17=86,$G17=86),0,1)</f>
        <v/>
      </c>
      <c r="GE18">
        <f>GE17*IF(OR($C17=87,$G17=87),0,1)</f>
        <v/>
      </c>
      <c r="GF18">
        <f>GF17*IF(OR($C17=88,$G17=88),0,1)</f>
        <v/>
      </c>
      <c r="GG18">
        <f>GG17*IF(OR($C17=89,$G17=89),0,1)</f>
        <v/>
      </c>
      <c r="GH18">
        <f>GH17*IF(OR($C17=90,$G17=90),0,1)</f>
        <v/>
      </c>
      <c r="GI18">
        <f>GI17*IF(OR($C17=91,$G17=91),0,1)</f>
        <v/>
      </c>
      <c r="GJ18">
        <f>GJ17*IF(OR($C17=92,$G17=92),0,1)</f>
        <v/>
      </c>
      <c r="GK18">
        <f>GK17*IF(OR($C17=93,$G17=93),0,1)</f>
        <v/>
      </c>
      <c r="GL18">
        <f>GL17*IF(OR($C17=94,$G17=94),0,1)</f>
        <v/>
      </c>
      <c r="GM18">
        <f>GM17*IF(OR($C17=95,$G17=95),0,1)</f>
        <v/>
      </c>
      <c r="GN18">
        <f>GN17*IF(OR($C17=96,$G17=96),0,1)</f>
        <v/>
      </c>
      <c r="GO18">
        <f>GO17*IF(OR($C17=97,$G17=97),0,1)</f>
        <v/>
      </c>
      <c r="GP18">
        <f>GP17*IF(OR($C17=98,$G17=98),0,1)</f>
        <v/>
      </c>
      <c r="GQ18">
        <f>GQ17*IF(OR($C17=99,$G17=99),0,1)</f>
        <v/>
      </c>
      <c r="GR18">
        <f>GR17*IF(OR($C17=100,$G17=100),0,1)</f>
        <v/>
      </c>
      <c r="GS18">
        <f>GS17*IF(OR($C17=101,$G17=101),0,1)</f>
        <v/>
      </c>
      <c r="GT18">
        <f>GT17*IF(OR($C17=102,$G17=102),0,1)</f>
        <v/>
      </c>
      <c r="GU18">
        <f>GU17*IF(OR($C17=103,$G17=103),0,1)</f>
        <v/>
      </c>
      <c r="GV18">
        <f>GV17*IF(OR($C17=104,$G17=104),0,1)</f>
        <v/>
      </c>
      <c r="GW18">
        <f>GW17*IF(OR($C17=105,$G17=105),0,1)</f>
        <v/>
      </c>
      <c r="GX18">
        <f>GX17*IF(OR($C17=106,$G17=106),0,1)</f>
        <v/>
      </c>
      <c r="GY18">
        <f>GY17*IF(OR($C17=107,$G17=107),0,1)</f>
        <v/>
      </c>
      <c r="GZ18">
        <f>GZ17*IF(OR($C17=108,$G17=108),0,1)</f>
        <v/>
      </c>
      <c r="HA18">
        <f>HA17*IF(OR($C17=109,$G17=109),0,1)</f>
        <v/>
      </c>
      <c r="HB18">
        <f>HB17*IF(OR($C17=110,$G17=110),0,1)</f>
        <v/>
      </c>
      <c r="HC18">
        <f>HC17*IF(OR($C17=111,$G17=111),0,1)</f>
        <v/>
      </c>
      <c r="HD18">
        <f>HD17*IF(OR($C17=112,$G17=112),0,1)</f>
        <v/>
      </c>
      <c r="HE18">
        <f>HE17*IF(OR($C17=113,$G17=113),0,1)</f>
        <v/>
      </c>
      <c r="HF18">
        <f>HF17*IF(OR($C17=114,$G17=114),0,1)</f>
        <v/>
      </c>
      <c r="HG18">
        <f>HG17*IF(OR($C17=115,$G17=115),0,1)</f>
        <v/>
      </c>
      <c r="HH18">
        <f>HH17*IF(OR($C17=116,$G17=116),0,1)</f>
        <v/>
      </c>
      <c r="HI18">
        <f>HI17*IF(OR($C17=117,$G17=117),0,1)</f>
        <v/>
      </c>
      <c r="HJ18">
        <f>HJ17*IF(OR($C17=118,$G17=118),0,1)</f>
        <v/>
      </c>
      <c r="HK18">
        <f>HK17*IF(OR($C17=119,$G17=119),0,1)</f>
        <v/>
      </c>
      <c r="HL18">
        <f>HL17*IF(OR($C17=120,$G17=120),0,1)</f>
        <v/>
      </c>
      <c r="HN18">
        <f>IF('計算A'!D$106=1,CX18,1)</f>
        <v/>
      </c>
      <c r="HO18">
        <f>IF('計算A'!E$106=1,CY18,1)</f>
        <v/>
      </c>
      <c r="HP18">
        <f>IF('計算A'!F$106=1,CZ18,1)</f>
        <v/>
      </c>
      <c r="HQ18">
        <f>IF('計算A'!G$106=1,DA18,1)</f>
        <v/>
      </c>
      <c r="HR18">
        <f>IF('計算A'!H$106=1,DB18,1)</f>
        <v/>
      </c>
      <c r="HS18">
        <f>IF('計算A'!I$106=1,DC18,1)</f>
        <v/>
      </c>
      <c r="HT18">
        <f>IF('計算A'!J$106=1,DD18,1)</f>
        <v/>
      </c>
      <c r="HU18">
        <f>IF('計算A'!K$106=1,DE18,1)</f>
        <v/>
      </c>
      <c r="HV18">
        <f>IF('計算A'!L$106=1,DF18,1)</f>
        <v/>
      </c>
      <c r="HW18">
        <f>IF('計算A'!M$106=1,DG18,1)</f>
        <v/>
      </c>
      <c r="HX18">
        <f>IF('計算A'!N$106=1,DH18,1)</f>
        <v/>
      </c>
      <c r="HY18">
        <f>IF('計算A'!O$106=1,DI18,1)</f>
        <v/>
      </c>
      <c r="HZ18">
        <f>IF('計算A'!P$106=1,DJ18,1)</f>
        <v/>
      </c>
      <c r="IA18">
        <f>IF('計算A'!Q$106=1,DK18,1)</f>
        <v/>
      </c>
      <c r="IB18">
        <f>IF('計算A'!R$106=1,DL18,1)</f>
        <v/>
      </c>
      <c r="IC18">
        <f>IF('計算A'!S$106=1,DM18,1)</f>
        <v/>
      </c>
      <c r="ID18">
        <f>IF('計算A'!T$106=1,DN18,1)</f>
        <v/>
      </c>
      <c r="IE18">
        <f>IF('計算A'!U$106=1,DO18,1)</f>
        <v/>
      </c>
      <c r="IF18">
        <f>IF('計算A'!V$106=1,DP18,1)</f>
        <v/>
      </c>
      <c r="IG18">
        <f>IF('計算A'!W$106=1,DQ18,1)</f>
        <v/>
      </c>
      <c r="IH18">
        <f>IF('計算A'!X$106=1,DR18,1)</f>
        <v/>
      </c>
      <c r="II18">
        <f>IF('計算A'!Y$106=1,DS18,1)</f>
        <v/>
      </c>
      <c r="IJ18">
        <f>IF('計算A'!Z$106=1,DT18,1)</f>
        <v/>
      </c>
      <c r="IK18">
        <f>IF('計算A'!AA$106=1,DU18,1)</f>
        <v/>
      </c>
      <c r="IL18">
        <f>IF('計算A'!AB$106=1,DV18,1)</f>
        <v/>
      </c>
      <c r="IM18">
        <f>IF('計算A'!AC$106=1,DW18,1)</f>
        <v/>
      </c>
      <c r="IN18">
        <f>IF('計算A'!AD$106=1,DX18,1)</f>
        <v/>
      </c>
      <c r="IO18">
        <f>IF('計算A'!AE$106=1,DY18,1)</f>
        <v/>
      </c>
      <c r="IP18">
        <f>IF('計算A'!AF$106=1,DZ18,1)</f>
        <v/>
      </c>
      <c r="IQ18">
        <f>IF('計算A'!AG$106=1,EA18,1)</f>
        <v/>
      </c>
      <c r="IR18">
        <f>IF('計算A'!AH$106=1,EB18,1)</f>
        <v/>
      </c>
      <c r="IS18">
        <f>IF('計算A'!AI$106=1,EC18,1)</f>
        <v/>
      </c>
      <c r="IT18">
        <f>IF('計算A'!AJ$106=1,ED18,1)</f>
        <v/>
      </c>
      <c r="IU18">
        <f>IF('計算A'!AK$106=1,EE18,1)</f>
        <v/>
      </c>
      <c r="IV18">
        <f>IF('計算A'!AL$106=1,EF18,1)</f>
        <v/>
      </c>
      <c r="IW18">
        <f>IF('計算A'!AM$106=1,EG18,1)</f>
        <v/>
      </c>
      <c r="IX18">
        <f>IF('計算A'!AN$106=1,EH18,1)</f>
        <v/>
      </c>
      <c r="IY18">
        <f>IF('計算A'!AO$106=1,EI18,1)</f>
        <v/>
      </c>
      <c r="IZ18">
        <f>IF('計算A'!AP$106=1,EJ18,1)</f>
        <v/>
      </c>
      <c r="JA18">
        <f>IF('計算A'!AQ$106=1,EK18,1)</f>
        <v/>
      </c>
      <c r="JB18">
        <f>IF('計算A'!AR$106=1,EL18,1)</f>
        <v/>
      </c>
      <c r="JC18">
        <f>IF('計算A'!AS$106=1,EM18,1)</f>
        <v/>
      </c>
      <c r="JD18">
        <f>IF('計算A'!AT$106=1,EN18,1)</f>
        <v/>
      </c>
      <c r="JE18">
        <f>IF('計算A'!AU$106=1,EO18,1)</f>
        <v/>
      </c>
      <c r="JF18">
        <f>IF('計算A'!AV$106=1,EP18,1)</f>
        <v/>
      </c>
      <c r="JG18">
        <f>IF('計算A'!AW$106=1,EQ18,1)</f>
        <v/>
      </c>
      <c r="JH18">
        <f>IF('計算A'!AX$106=1,ER18,1)</f>
        <v/>
      </c>
      <c r="JI18">
        <f>IF('計算A'!AY$106=1,ES18,1)</f>
        <v/>
      </c>
      <c r="JJ18">
        <f>IF('計算A'!AZ$106=1,ET18,1)</f>
        <v/>
      </c>
      <c r="JK18">
        <f>IF('計算A'!BA$106=1,EU18,1)</f>
        <v/>
      </c>
      <c r="JL18">
        <f>IF('計算A'!BB$106=1,EV18,1)</f>
        <v/>
      </c>
      <c r="JM18">
        <f>IF('計算A'!BC$106=1,EW18,1)</f>
        <v/>
      </c>
      <c r="JN18">
        <f>IF('計算A'!BD$106=1,EX18,1)</f>
        <v/>
      </c>
      <c r="JO18">
        <f>IF('計算A'!BE$106=1,EY18,1)</f>
        <v/>
      </c>
      <c r="JP18">
        <f>IF('計算A'!BF$106=1,EZ18,1)</f>
        <v/>
      </c>
      <c r="JQ18">
        <f>IF('計算A'!BG$106=1,FA18,1)</f>
        <v/>
      </c>
      <c r="JR18">
        <f>IF('計算A'!BH$106=1,FB18,1)</f>
        <v/>
      </c>
      <c r="JS18">
        <f>IF('計算A'!BI$106=1,FC18,1)</f>
        <v/>
      </c>
      <c r="JT18">
        <f>IF('計算A'!BJ$106=1,FD18,1)</f>
        <v/>
      </c>
      <c r="JU18">
        <f>IF('計算A'!BK$106=1,FE18,1)</f>
        <v/>
      </c>
      <c r="JV18">
        <f>IF('計算A'!BL$106=1,FF18,1)</f>
        <v/>
      </c>
      <c r="JW18">
        <f>IF('計算A'!BM$106=1,FG18,1)</f>
        <v/>
      </c>
      <c r="JX18">
        <f>IF('計算A'!BN$106=1,FH18,1)</f>
        <v/>
      </c>
      <c r="JY18">
        <f>IF('計算A'!BO$106=1,FI18,1)</f>
        <v/>
      </c>
      <c r="JZ18">
        <f>IF('計算A'!BP$106=1,FJ18,1)</f>
        <v/>
      </c>
      <c r="KA18">
        <f>IF('計算A'!BQ$106=1,FK18,1)</f>
        <v/>
      </c>
      <c r="KB18">
        <f>IF('計算A'!BR$106=1,FL18,1)</f>
        <v/>
      </c>
      <c r="KC18">
        <f>IF('計算A'!BS$106=1,FM18,1)</f>
        <v/>
      </c>
      <c r="KD18">
        <f>IF('計算A'!BT$106=1,FN18,1)</f>
        <v/>
      </c>
      <c r="KE18">
        <f>IF('計算A'!BU$106=1,FO18,1)</f>
        <v/>
      </c>
      <c r="KF18">
        <f>IF('計算A'!BV$106=1,FP18,1)</f>
        <v/>
      </c>
      <c r="KG18">
        <f>IF('計算A'!BW$106=1,FQ18,1)</f>
        <v/>
      </c>
      <c r="KH18">
        <f>IF('計算A'!BX$106=1,FR18,1)</f>
        <v/>
      </c>
      <c r="KI18">
        <f>IF('計算A'!BY$106=1,FS18,1)</f>
        <v/>
      </c>
      <c r="KJ18">
        <f>IF('計算A'!BZ$106=1,FT18,1)</f>
        <v/>
      </c>
      <c r="KK18">
        <f>IF('計算A'!CA$106=1,FU18,1)</f>
        <v/>
      </c>
      <c r="KL18">
        <f>IF('計算A'!CB$106=1,FV18,1)</f>
        <v/>
      </c>
      <c r="KM18">
        <f>IF('計算A'!CC$106=1,FW18,1)</f>
        <v/>
      </c>
      <c r="KN18">
        <f>IF('計算A'!CD$106=1,FX18,1)</f>
        <v/>
      </c>
      <c r="KO18">
        <f>IF('計算A'!CE$106=1,FY18,1)</f>
        <v/>
      </c>
      <c r="KP18">
        <f>IF('計算A'!CF$106=1,FZ18,1)</f>
        <v/>
      </c>
      <c r="KQ18">
        <f>IF('計算A'!CG$106=1,GA18,1)</f>
        <v/>
      </c>
      <c r="KR18">
        <f>IF('計算A'!CH$106=1,GB18,1)</f>
        <v/>
      </c>
      <c r="KS18">
        <f>IF('計算A'!CI$106=1,GC18,1)</f>
        <v/>
      </c>
      <c r="KT18">
        <f>IF('計算A'!CJ$106=1,GD18,1)</f>
        <v/>
      </c>
      <c r="KU18">
        <f>IF('計算A'!CK$106=1,GE18,1)</f>
        <v/>
      </c>
      <c r="KV18">
        <f>IF('計算A'!CL$106=1,GF18,1)</f>
        <v/>
      </c>
      <c r="KW18">
        <f>IF('計算A'!CM$106=1,GG18,1)</f>
        <v/>
      </c>
      <c r="KX18">
        <f>IF('計算A'!CN$106=1,GH18,1)</f>
        <v/>
      </c>
      <c r="KY18">
        <f>IF('計算A'!CO$106=1,GI18,1)</f>
        <v/>
      </c>
      <c r="KZ18">
        <f>IF('計算A'!CP$106=1,GJ18,1)</f>
        <v/>
      </c>
      <c r="LA18">
        <f>IF('計算A'!CQ$106=1,GK18,1)</f>
        <v/>
      </c>
      <c r="LB18">
        <f>IF('計算A'!CR$106=1,GL18,1)</f>
        <v/>
      </c>
      <c r="LC18">
        <f>IF('計算A'!CS$106=1,GM18,1)</f>
        <v/>
      </c>
      <c r="LD18">
        <f>IF('計算A'!CT$106=1,GN18,1)</f>
        <v/>
      </c>
      <c r="LE18">
        <f>IF('計算A'!CU$106=1,GO18,1)</f>
        <v/>
      </c>
      <c r="LF18">
        <f>IF('計算A'!CV$106=1,GP18,1)</f>
        <v/>
      </c>
      <c r="LG18">
        <f>IF('計算A'!CW$106=1,GQ18,1)</f>
        <v/>
      </c>
      <c r="LH18">
        <f>IF('計算A'!CX$106=1,GR18,1)</f>
        <v/>
      </c>
      <c r="LI18">
        <f>IF('計算A'!CY$106=1,GS18,1)</f>
        <v/>
      </c>
      <c r="LJ18">
        <f>IF('計算A'!CZ$106=1,GT18,1)</f>
        <v/>
      </c>
      <c r="LK18">
        <f>IF('計算A'!DA$106=1,GU18,1)</f>
        <v/>
      </c>
      <c r="LL18">
        <f>IF('計算A'!DB$106=1,GV18,1)</f>
        <v/>
      </c>
      <c r="LM18">
        <f>IF('計算A'!DC$106=1,GW18,1)</f>
        <v/>
      </c>
      <c r="LN18">
        <f>IF('計算A'!DD$106=1,GX18,1)</f>
        <v/>
      </c>
      <c r="LO18">
        <f>IF('計算A'!DE$106=1,GY18,1)</f>
        <v/>
      </c>
      <c r="LP18">
        <f>IF('計算A'!DF$106=1,GZ18,1)</f>
        <v/>
      </c>
      <c r="LQ18">
        <f>IF('計算A'!DG$106=1,HA18,1)</f>
        <v/>
      </c>
      <c r="LR18">
        <f>IF('計算A'!DH$106=1,HB18,1)</f>
        <v/>
      </c>
      <c r="LS18">
        <f>IF('計算A'!DI$106=1,HC18,1)</f>
        <v/>
      </c>
      <c r="LT18">
        <f>IF('計算A'!DJ$106=1,HD18,1)</f>
        <v/>
      </c>
      <c r="LU18">
        <f>IF('計算A'!DK$106=1,HE18,1)</f>
        <v/>
      </c>
      <c r="LV18">
        <f>IF('計算A'!DL$106=1,HF18,1)</f>
        <v/>
      </c>
      <c r="LW18">
        <f>IF('計算A'!DM$106=1,HG18,1)</f>
        <v/>
      </c>
      <c r="LX18">
        <f>IF('計算A'!DN$106=1,HH18,1)</f>
        <v/>
      </c>
      <c r="LY18">
        <f>IF('計算A'!DO$106=1,HI18,1)</f>
        <v/>
      </c>
      <c r="LZ18">
        <f>IF('計算A'!DP$106=1,HJ18,1)</f>
        <v/>
      </c>
      <c r="MA18">
        <f>IF('計算A'!DQ$106=1,HK18,1)</f>
        <v/>
      </c>
      <c r="MB18">
        <f>IF('計算A'!DR$106=1,HL18,1)</f>
        <v/>
      </c>
      <c r="MC18" t="n">
        <v>1</v>
      </c>
      <c r="ME18">
        <f>IF($B18=0,1000000,IF(INDEX('計算A'!$D$60:$DS$104,$B18,1)*CW18=1,IF(AND($E18=2,HN18=0),1000000,INDEX('計算A'!D$110:D$114,$F18+1)+IF(AND($E18=1,HN18=0),1000,0)),1000000))</f>
        <v/>
      </c>
      <c r="MF18">
        <f>IF($B18=0,1000000,IF(INDEX('計算A'!$D$60:$DS$104,$B18,2)*CX18=1,IF(AND($E18=2,HO18=0),1000000,INDEX('計算A'!E$110:E$114,$F18+1)+IF(AND($E18=1,HO18=0),1000,0)),1000000))</f>
        <v/>
      </c>
      <c r="MG18">
        <f>IF($B18=0,1000000,IF(INDEX('計算A'!$D$60:$DS$104,$B18,3)*CY18=1,IF(AND($E18=2,HP18=0),1000000,INDEX('計算A'!F$110:F$114,$F18+1)+IF(AND($E18=1,HP18=0),1000,0)),1000000))</f>
        <v/>
      </c>
      <c r="MH18">
        <f>IF($B18=0,1000000,IF(INDEX('計算A'!$D$60:$DS$104,$B18,4)*CZ18=1,IF(AND($E18=2,HQ18=0),1000000,INDEX('計算A'!G$110:G$114,$F18+1)+IF(AND($E18=1,HQ18=0),1000,0)),1000000))</f>
        <v/>
      </c>
      <c r="MI18">
        <f>IF($B18=0,1000000,IF(INDEX('計算A'!$D$60:$DS$104,$B18,5)*DA18=1,IF(AND($E18=2,HR18=0),1000000,INDEX('計算A'!H$110:H$114,$F18+1)+IF(AND($E18=1,HR18=0),1000,0)),1000000))</f>
        <v/>
      </c>
      <c r="MJ18">
        <f>IF($B18=0,1000000,IF(INDEX('計算A'!$D$60:$DS$104,$B18,6)*DB18=1,IF(AND($E18=2,HS18=0),1000000,INDEX('計算A'!I$110:I$114,$F18+1)+IF(AND($E18=1,HS18=0),1000,0)),1000000))</f>
        <v/>
      </c>
      <c r="MK18">
        <f>IF($B18=0,1000000,IF(INDEX('計算A'!$D$60:$DS$104,$B18,7)*DC18=1,IF(AND($E18=2,HT18=0),1000000,INDEX('計算A'!J$110:J$114,$F18+1)+IF(AND($E18=1,HT18=0),1000,0)),1000000))</f>
        <v/>
      </c>
      <c r="ML18">
        <f>IF($B18=0,1000000,IF(INDEX('計算A'!$D$60:$DS$104,$B18,8)*DD18=1,IF(AND($E18=2,HU18=0),1000000,INDEX('計算A'!K$110:K$114,$F18+1)+IF(AND($E18=1,HU18=0),1000,0)),1000000))</f>
        <v/>
      </c>
      <c r="MM18">
        <f>IF($B18=0,1000000,IF(INDEX('計算A'!$D$60:$DS$104,$B18,9)*DE18=1,IF(AND($E18=2,HV18=0),1000000,INDEX('計算A'!L$110:L$114,$F18+1)+IF(AND($E18=1,HV18=0),1000,0)),1000000))</f>
        <v/>
      </c>
      <c r="MN18">
        <f>IF($B18=0,1000000,IF(INDEX('計算A'!$D$60:$DS$104,$B18,10)*DF18=1,IF(AND($E18=2,HW18=0),1000000,INDEX('計算A'!M$110:M$114,$F18+1)+IF(AND($E18=1,HW18=0),1000,0)),1000000))</f>
        <v/>
      </c>
      <c r="MO18">
        <f>IF($B18=0,1000000,IF(INDEX('計算A'!$D$60:$DS$104,$B18,11)*DG18=1,IF(AND($E18=2,HX18=0),1000000,INDEX('計算A'!N$110:N$114,$F18+1)+IF(AND($E18=1,HX18=0),1000,0)),1000000))</f>
        <v/>
      </c>
      <c r="MP18">
        <f>IF($B18=0,1000000,IF(INDEX('計算A'!$D$60:$DS$104,$B18,12)*DH18=1,IF(AND($E18=2,HY18=0),1000000,INDEX('計算A'!O$110:O$114,$F18+1)+IF(AND($E18=1,HY18=0),1000,0)),1000000))</f>
        <v/>
      </c>
      <c r="MQ18">
        <f>IF($B18=0,1000000,IF(INDEX('計算A'!$D$60:$DS$104,$B18,13)*DI18=1,IF(AND($E18=2,HZ18=0),1000000,INDEX('計算A'!P$110:P$114,$F18+1)+IF(AND($E18=1,HZ18=0),1000,0)),1000000))</f>
        <v/>
      </c>
      <c r="MR18">
        <f>IF($B18=0,1000000,IF(INDEX('計算A'!$D$60:$DS$104,$B18,14)*DJ18=1,IF(AND($E18=2,IA18=0),1000000,INDEX('計算A'!Q$110:Q$114,$F18+1)+IF(AND($E18=1,IA18=0),1000,0)),1000000))</f>
        <v/>
      </c>
      <c r="MS18">
        <f>IF($B18=0,1000000,IF(INDEX('計算A'!$D$60:$DS$104,$B18,15)*DK18=1,IF(AND($E18=2,IB18=0),1000000,INDEX('計算A'!R$110:R$114,$F18+1)+IF(AND($E18=1,IB18=0),1000,0)),1000000))</f>
        <v/>
      </c>
      <c r="MT18">
        <f>IF($B18=0,1000000,IF(INDEX('計算A'!$D$60:$DS$104,$B18,16)*DL18=1,IF(AND($E18=2,IC18=0),1000000,INDEX('計算A'!S$110:S$114,$F18+1)+IF(AND($E18=1,IC18=0),1000,0)),1000000))</f>
        <v/>
      </c>
      <c r="MU18">
        <f>IF($B18=0,1000000,IF(INDEX('計算A'!$D$60:$DS$104,$B18,17)*DM18=1,IF(AND($E18=2,ID18=0),1000000,INDEX('計算A'!T$110:T$114,$F18+1)+IF(AND($E18=1,ID18=0),1000,0)),1000000))</f>
        <v/>
      </c>
      <c r="MV18">
        <f>IF($B18=0,1000000,IF(INDEX('計算A'!$D$60:$DS$104,$B18,18)*DN18=1,IF(AND($E18=2,IE18=0),1000000,INDEX('計算A'!U$110:U$114,$F18+1)+IF(AND($E18=1,IE18=0),1000,0)),1000000))</f>
        <v/>
      </c>
      <c r="MW18">
        <f>IF($B18=0,1000000,IF(INDEX('計算A'!$D$60:$DS$104,$B18,19)*DO18=1,IF(AND($E18=2,IF18=0),1000000,INDEX('計算A'!V$110:V$114,$F18+1)+IF(AND($E18=1,IF18=0),1000,0)),1000000))</f>
        <v/>
      </c>
      <c r="MX18">
        <f>IF($B18=0,1000000,IF(INDEX('計算A'!$D$60:$DS$104,$B18,20)*DP18=1,IF(AND($E18=2,IG18=0),1000000,INDEX('計算A'!W$110:W$114,$F18+1)+IF(AND($E18=1,IG18=0),1000,0)),1000000))</f>
        <v/>
      </c>
      <c r="MY18">
        <f>IF($B18=0,1000000,IF(INDEX('計算A'!$D$60:$DS$104,$B18,21)*DQ18=1,IF(AND($E18=2,IH18=0),1000000,INDEX('計算A'!X$110:X$114,$F18+1)+IF(AND($E18=1,IH18=0),1000,0)),1000000))</f>
        <v/>
      </c>
      <c r="MZ18">
        <f>IF($B18=0,1000000,IF(INDEX('計算A'!$D$60:$DS$104,$B18,22)*DR18=1,IF(AND($E18=2,II18=0),1000000,INDEX('計算A'!Y$110:Y$114,$F18+1)+IF(AND($E18=1,II18=0),1000,0)),1000000))</f>
        <v/>
      </c>
      <c r="NA18">
        <f>IF($B18=0,1000000,IF(INDEX('計算A'!$D$60:$DS$104,$B18,23)*DS18=1,IF(AND($E18=2,IJ18=0),1000000,INDEX('計算A'!Z$110:Z$114,$F18+1)+IF(AND($E18=1,IJ18=0),1000,0)),1000000))</f>
        <v/>
      </c>
      <c r="NB18">
        <f>IF($B18=0,1000000,IF(INDEX('計算A'!$D$60:$DS$104,$B18,24)*DT18=1,IF(AND($E18=2,IK18=0),1000000,INDEX('計算A'!AA$110:AA$114,$F18+1)+IF(AND($E18=1,IK18=0),1000,0)),1000000))</f>
        <v/>
      </c>
      <c r="NC18">
        <f>IF($B18=0,1000000,IF(INDEX('計算A'!$D$60:$DS$104,$B18,25)*DU18=1,IF(AND($E18=2,IL18=0),1000000,INDEX('計算A'!AB$110:AB$114,$F18+1)+IF(AND($E18=1,IL18=0),1000,0)),1000000))</f>
        <v/>
      </c>
      <c r="ND18">
        <f>IF($B18=0,1000000,IF(INDEX('計算A'!$D$60:$DS$104,$B18,26)*DV18=1,IF(AND($E18=2,IM18=0),1000000,INDEX('計算A'!AC$110:AC$114,$F18+1)+IF(AND($E18=1,IM18=0),1000,0)),1000000))</f>
        <v/>
      </c>
      <c r="NE18">
        <f>IF($B18=0,1000000,IF(INDEX('計算A'!$D$60:$DS$104,$B18,27)*DW18=1,IF(AND($E18=2,IN18=0),1000000,INDEX('計算A'!AD$110:AD$114,$F18+1)+IF(AND($E18=1,IN18=0),1000,0)),1000000))</f>
        <v/>
      </c>
      <c r="NF18">
        <f>IF($B18=0,1000000,IF(INDEX('計算A'!$D$60:$DS$104,$B18,28)*DX18=1,IF(AND($E18=2,IO18=0),1000000,INDEX('計算A'!AE$110:AE$114,$F18+1)+IF(AND($E18=1,IO18=0),1000,0)),1000000))</f>
        <v/>
      </c>
      <c r="NG18">
        <f>IF($B18=0,1000000,IF(INDEX('計算A'!$D$60:$DS$104,$B18,29)*DY18=1,IF(AND($E18=2,IP18=0),1000000,INDEX('計算A'!AF$110:AF$114,$F18+1)+IF(AND($E18=1,IP18=0),1000,0)),1000000))</f>
        <v/>
      </c>
      <c r="NH18">
        <f>IF($B18=0,1000000,IF(INDEX('計算A'!$D$60:$DS$104,$B18,30)*DZ18=1,IF(AND($E18=2,IQ18=0),1000000,INDEX('計算A'!AG$110:AG$114,$F18+1)+IF(AND($E18=1,IQ18=0),1000,0)),1000000))</f>
        <v/>
      </c>
      <c r="NI18">
        <f>IF($B18=0,1000000,IF(INDEX('計算A'!$D$60:$DS$104,$B18,31)*EA18=1,IF(AND($E18=2,IR18=0),1000000,INDEX('計算A'!AH$110:AH$114,$F18+1)+IF(AND($E18=1,IR18=0),1000,0)),1000000))</f>
        <v/>
      </c>
      <c r="NJ18">
        <f>IF($B18=0,1000000,IF(INDEX('計算A'!$D$60:$DS$104,$B18,32)*EB18=1,IF(AND($E18=2,IS18=0),1000000,INDEX('計算A'!AI$110:AI$114,$F18+1)+IF(AND($E18=1,IS18=0),1000,0)),1000000))</f>
        <v/>
      </c>
      <c r="NK18">
        <f>IF($B18=0,1000000,IF(INDEX('計算A'!$D$60:$DS$104,$B18,33)*EC18=1,IF(AND($E18=2,IT18=0),1000000,INDEX('計算A'!AJ$110:AJ$114,$F18+1)+IF(AND($E18=1,IT18=0),1000,0)),1000000))</f>
        <v/>
      </c>
      <c r="NL18">
        <f>IF($B18=0,1000000,IF(INDEX('計算A'!$D$60:$DS$104,$B18,34)*ED18=1,IF(AND($E18=2,IU18=0),1000000,INDEX('計算A'!AK$110:AK$114,$F18+1)+IF(AND($E18=1,IU18=0),1000,0)),1000000))</f>
        <v/>
      </c>
      <c r="NM18">
        <f>IF($B18=0,1000000,IF(INDEX('計算A'!$D$60:$DS$104,$B18,35)*EE18=1,IF(AND($E18=2,IV18=0),1000000,INDEX('計算A'!AL$110:AL$114,$F18+1)+IF(AND($E18=1,IV18=0),1000,0)),1000000))</f>
        <v/>
      </c>
      <c r="NN18">
        <f>IF($B18=0,1000000,IF(INDEX('計算A'!$D$60:$DS$104,$B18,36)*EF18=1,IF(AND($E18=2,IW18=0),1000000,INDEX('計算A'!AM$110:AM$114,$F18+1)+IF(AND($E18=1,IW18=0),1000,0)),1000000))</f>
        <v/>
      </c>
      <c r="NO18">
        <f>IF($B18=0,1000000,IF(INDEX('計算A'!$D$60:$DS$104,$B18,37)*EG18=1,IF(AND($E18=2,IX18=0),1000000,INDEX('計算A'!AN$110:AN$114,$F18+1)+IF(AND($E18=1,IX18=0),1000,0)),1000000))</f>
        <v/>
      </c>
      <c r="NP18">
        <f>IF($B18=0,1000000,IF(INDEX('計算A'!$D$60:$DS$104,$B18,38)*EH18=1,IF(AND($E18=2,IY18=0),1000000,INDEX('計算A'!AO$110:AO$114,$F18+1)+IF(AND($E18=1,IY18=0),1000,0)),1000000))</f>
        <v/>
      </c>
      <c r="NQ18">
        <f>IF($B18=0,1000000,IF(INDEX('計算A'!$D$60:$DS$104,$B18,39)*EI18=1,IF(AND($E18=2,IZ18=0),1000000,INDEX('計算A'!AP$110:AP$114,$F18+1)+IF(AND($E18=1,IZ18=0),1000,0)),1000000))</f>
        <v/>
      </c>
      <c r="NR18">
        <f>IF($B18=0,1000000,IF(INDEX('計算A'!$D$60:$DS$104,$B18,40)*EJ18=1,IF(AND($E18=2,JA18=0),1000000,INDEX('計算A'!AQ$110:AQ$114,$F18+1)+IF(AND($E18=1,JA18=0),1000,0)),1000000))</f>
        <v/>
      </c>
      <c r="NS18">
        <f>IF($B18=0,1000000,IF(INDEX('計算A'!$D$60:$DS$104,$B18,41)*EK18=1,IF(AND($E18=2,JB18=0),1000000,INDEX('計算A'!AR$110:AR$114,$F18+1)+IF(AND($E18=1,JB18=0),1000,0)),1000000))</f>
        <v/>
      </c>
      <c r="NT18">
        <f>IF($B18=0,1000000,IF(INDEX('計算A'!$D$60:$DS$104,$B18,42)*EL18=1,IF(AND($E18=2,JC18=0),1000000,INDEX('計算A'!AS$110:AS$114,$F18+1)+IF(AND($E18=1,JC18=0),1000,0)),1000000))</f>
        <v/>
      </c>
      <c r="NU18">
        <f>IF($B18=0,1000000,IF(INDEX('計算A'!$D$60:$DS$104,$B18,43)*EM18=1,IF(AND($E18=2,JD18=0),1000000,INDEX('計算A'!AT$110:AT$114,$F18+1)+IF(AND($E18=1,JD18=0),1000,0)),1000000))</f>
        <v/>
      </c>
      <c r="NV18">
        <f>IF($B18=0,1000000,IF(INDEX('計算A'!$D$60:$DS$104,$B18,44)*EN18=1,IF(AND($E18=2,JE18=0),1000000,INDEX('計算A'!AU$110:AU$114,$F18+1)+IF(AND($E18=1,JE18=0),1000,0)),1000000))</f>
        <v/>
      </c>
      <c r="NW18">
        <f>IF($B18=0,1000000,IF(INDEX('計算A'!$D$60:$DS$104,$B18,45)*EO18=1,IF(AND($E18=2,JF18=0),1000000,INDEX('計算A'!AV$110:AV$114,$F18+1)+IF(AND($E18=1,JF18=0),1000,0)),1000000))</f>
        <v/>
      </c>
      <c r="NX18">
        <f>IF($B18=0,1000000,IF(INDEX('計算A'!$D$60:$DS$104,$B18,46)*EP18=1,IF(AND($E18=2,JG18=0),1000000,INDEX('計算A'!AW$110:AW$114,$F18+1)+IF(AND($E18=1,JG18=0),1000,0)),1000000))</f>
        <v/>
      </c>
      <c r="NY18">
        <f>IF($B18=0,1000000,IF(INDEX('計算A'!$D$60:$DS$104,$B18,47)*EQ18=1,IF(AND($E18=2,JH18=0),1000000,INDEX('計算A'!AX$110:AX$114,$F18+1)+IF(AND($E18=1,JH18=0),1000,0)),1000000))</f>
        <v/>
      </c>
      <c r="NZ18">
        <f>IF($B18=0,1000000,IF(INDEX('計算A'!$D$60:$DS$104,$B18,48)*ER18=1,IF(AND($E18=2,JI18=0),1000000,INDEX('計算A'!AY$110:AY$114,$F18+1)+IF(AND($E18=1,JI18=0),1000,0)),1000000))</f>
        <v/>
      </c>
      <c r="OA18">
        <f>IF($B18=0,1000000,IF(INDEX('計算A'!$D$60:$DS$104,$B18,49)*ES18=1,IF(AND($E18=2,JJ18=0),1000000,INDEX('計算A'!AZ$110:AZ$114,$F18+1)+IF(AND($E18=1,JJ18=0),1000,0)),1000000))</f>
        <v/>
      </c>
      <c r="OB18">
        <f>IF($B18=0,1000000,IF(INDEX('計算A'!$D$60:$DS$104,$B18,50)*ET18=1,IF(AND($E18=2,JK18=0),1000000,INDEX('計算A'!BA$110:BA$114,$F18+1)+IF(AND($E18=1,JK18=0),1000,0)),1000000))</f>
        <v/>
      </c>
      <c r="OC18">
        <f>IF($B18=0,1000000,IF(INDEX('計算A'!$D$60:$DS$104,$B18,51)*EU18=1,IF(AND($E18=2,JL18=0),1000000,INDEX('計算A'!BB$110:BB$114,$F18+1)+IF(AND($E18=1,JL18=0),1000,0)),1000000))</f>
        <v/>
      </c>
      <c r="OD18">
        <f>IF($B18=0,1000000,IF(INDEX('計算A'!$D$60:$DS$104,$B18,52)*EV18=1,IF(AND($E18=2,JM18=0),1000000,INDEX('計算A'!BC$110:BC$114,$F18+1)+IF(AND($E18=1,JM18=0),1000,0)),1000000))</f>
        <v/>
      </c>
      <c r="OE18">
        <f>IF($B18=0,1000000,IF(INDEX('計算A'!$D$60:$DS$104,$B18,53)*EW18=1,IF(AND($E18=2,JN18=0),1000000,INDEX('計算A'!BD$110:BD$114,$F18+1)+IF(AND($E18=1,JN18=0),1000,0)),1000000))</f>
        <v/>
      </c>
      <c r="OF18">
        <f>IF($B18=0,1000000,IF(INDEX('計算A'!$D$60:$DS$104,$B18,54)*EX18=1,IF(AND($E18=2,JO18=0),1000000,INDEX('計算A'!BE$110:BE$114,$F18+1)+IF(AND($E18=1,JO18=0),1000,0)),1000000))</f>
        <v/>
      </c>
      <c r="OG18">
        <f>IF($B18=0,1000000,IF(INDEX('計算A'!$D$60:$DS$104,$B18,55)*EY18=1,IF(AND($E18=2,JP18=0),1000000,INDEX('計算A'!BF$110:BF$114,$F18+1)+IF(AND($E18=1,JP18=0),1000,0)),1000000))</f>
        <v/>
      </c>
      <c r="OH18">
        <f>IF($B18=0,1000000,IF(INDEX('計算A'!$D$60:$DS$104,$B18,56)*EZ18=1,IF(AND($E18=2,JQ18=0),1000000,INDEX('計算A'!BG$110:BG$114,$F18+1)+IF(AND($E18=1,JQ18=0),1000,0)),1000000))</f>
        <v/>
      </c>
      <c r="OI18">
        <f>IF($B18=0,1000000,IF(INDEX('計算A'!$D$60:$DS$104,$B18,57)*FA18=1,IF(AND($E18=2,JR18=0),1000000,INDEX('計算A'!BH$110:BH$114,$F18+1)+IF(AND($E18=1,JR18=0),1000,0)),1000000))</f>
        <v/>
      </c>
      <c r="OJ18">
        <f>IF($B18=0,1000000,IF(INDEX('計算A'!$D$60:$DS$104,$B18,58)*FB18=1,IF(AND($E18=2,JS18=0),1000000,INDEX('計算A'!BI$110:BI$114,$F18+1)+IF(AND($E18=1,JS18=0),1000,0)),1000000))</f>
        <v/>
      </c>
      <c r="OK18">
        <f>IF($B18=0,1000000,IF(INDEX('計算A'!$D$60:$DS$104,$B18,59)*FC18=1,IF(AND($E18=2,JT18=0),1000000,INDEX('計算A'!BJ$110:BJ$114,$F18+1)+IF(AND($E18=1,JT18=0),1000,0)),1000000))</f>
        <v/>
      </c>
      <c r="OL18">
        <f>IF($B18=0,1000000,IF(INDEX('計算A'!$D$60:$DS$104,$B18,60)*FD18=1,IF(AND($E18=2,JU18=0),1000000,INDEX('計算A'!BK$110:BK$114,$F18+1)+IF(AND($E18=1,JU18=0),1000,0)),1000000))</f>
        <v/>
      </c>
      <c r="OM18">
        <f>IF($B18=0,1000000,IF(INDEX('計算A'!$D$60:$DS$104,$B18,61)*FE18=1,IF(AND($E18=2,JV18=0),1000000,INDEX('計算A'!BL$110:BL$114,$F18+1)+IF(AND($E18=1,JV18=0),1000,0)),1000000))</f>
        <v/>
      </c>
      <c r="ON18">
        <f>IF($B18=0,1000000,IF(INDEX('計算A'!$D$60:$DS$104,$B18,62)*FF18=1,IF(AND($E18=2,JW18=0),1000000,INDEX('計算A'!BM$110:BM$114,$F18+1)+IF(AND($E18=1,JW18=0),1000,0)),1000000))</f>
        <v/>
      </c>
      <c r="OO18">
        <f>IF($B18=0,1000000,IF(INDEX('計算A'!$D$60:$DS$104,$B18,63)*FG18=1,IF(AND($E18=2,JX18=0),1000000,INDEX('計算A'!BN$110:BN$114,$F18+1)+IF(AND($E18=1,JX18=0),1000,0)),1000000))</f>
        <v/>
      </c>
      <c r="OP18">
        <f>IF($B18=0,1000000,IF(INDEX('計算A'!$D$60:$DS$104,$B18,64)*FH18=1,IF(AND($E18=2,JY18=0),1000000,INDEX('計算A'!BO$110:BO$114,$F18+1)+IF(AND($E18=1,JY18=0),1000,0)),1000000))</f>
        <v/>
      </c>
      <c r="OQ18">
        <f>IF($B18=0,1000000,IF(INDEX('計算A'!$D$60:$DS$104,$B18,65)*FI18=1,IF(AND($E18=2,JZ18=0),1000000,INDEX('計算A'!BP$110:BP$114,$F18+1)+IF(AND($E18=1,JZ18=0),1000,0)),1000000))</f>
        <v/>
      </c>
      <c r="OR18">
        <f>IF($B18=0,1000000,IF(INDEX('計算A'!$D$60:$DS$104,$B18,66)*FJ18=1,IF(AND($E18=2,KA18=0),1000000,INDEX('計算A'!BQ$110:BQ$114,$F18+1)+IF(AND($E18=1,KA18=0),1000,0)),1000000))</f>
        <v/>
      </c>
      <c r="OS18">
        <f>IF($B18=0,1000000,IF(INDEX('計算A'!$D$60:$DS$104,$B18,67)*FK18=1,IF(AND($E18=2,KB18=0),1000000,INDEX('計算A'!BR$110:BR$114,$F18+1)+IF(AND($E18=1,KB18=0),1000,0)),1000000))</f>
        <v/>
      </c>
      <c r="OT18">
        <f>IF($B18=0,1000000,IF(INDEX('計算A'!$D$60:$DS$104,$B18,68)*FL18=1,IF(AND($E18=2,KC18=0),1000000,INDEX('計算A'!BS$110:BS$114,$F18+1)+IF(AND($E18=1,KC18=0),1000,0)),1000000))</f>
        <v/>
      </c>
      <c r="OU18">
        <f>IF($B18=0,1000000,IF(INDEX('計算A'!$D$60:$DS$104,$B18,69)*FM18=1,IF(AND($E18=2,KD18=0),1000000,INDEX('計算A'!BT$110:BT$114,$F18+1)+IF(AND($E18=1,KD18=0),1000,0)),1000000))</f>
        <v/>
      </c>
      <c r="OV18">
        <f>IF($B18=0,1000000,IF(INDEX('計算A'!$D$60:$DS$104,$B18,70)*FN18=1,IF(AND($E18=2,KE18=0),1000000,INDEX('計算A'!BU$110:BU$114,$F18+1)+IF(AND($E18=1,KE18=0),1000,0)),1000000))</f>
        <v/>
      </c>
      <c r="OW18">
        <f>IF($B18=0,1000000,IF(INDEX('計算A'!$D$60:$DS$104,$B18,71)*FO18=1,IF(AND($E18=2,KF18=0),1000000,INDEX('計算A'!BV$110:BV$114,$F18+1)+IF(AND($E18=1,KF18=0),1000,0)),1000000))</f>
        <v/>
      </c>
      <c r="OX18">
        <f>IF($B18=0,1000000,IF(INDEX('計算A'!$D$60:$DS$104,$B18,72)*FP18=1,IF(AND($E18=2,KG18=0),1000000,INDEX('計算A'!BW$110:BW$114,$F18+1)+IF(AND($E18=1,KG18=0),1000,0)),1000000))</f>
        <v/>
      </c>
      <c r="OY18">
        <f>IF($B18=0,1000000,IF(INDEX('計算A'!$D$60:$DS$104,$B18,73)*FQ18=1,IF(AND($E18=2,KH18=0),1000000,INDEX('計算A'!BX$110:BX$114,$F18+1)+IF(AND($E18=1,KH18=0),1000,0)),1000000))</f>
        <v/>
      </c>
      <c r="OZ18">
        <f>IF($B18=0,1000000,IF(INDEX('計算A'!$D$60:$DS$104,$B18,74)*FR18=1,IF(AND($E18=2,KI18=0),1000000,INDEX('計算A'!BY$110:BY$114,$F18+1)+IF(AND($E18=1,KI18=0),1000,0)),1000000))</f>
        <v/>
      </c>
      <c r="PA18">
        <f>IF($B18=0,1000000,IF(INDEX('計算A'!$D$60:$DS$104,$B18,75)*FS18=1,IF(AND($E18=2,KJ18=0),1000000,INDEX('計算A'!BZ$110:BZ$114,$F18+1)+IF(AND($E18=1,KJ18=0),1000,0)),1000000))</f>
        <v/>
      </c>
      <c r="PB18">
        <f>IF($B18=0,1000000,IF(INDEX('計算A'!$D$60:$DS$104,$B18,76)*FT18=1,IF(AND($E18=2,KK18=0),1000000,INDEX('計算A'!CA$110:CA$114,$F18+1)+IF(AND($E18=1,KK18=0),1000,0)),1000000))</f>
        <v/>
      </c>
      <c r="PC18">
        <f>IF($B18=0,1000000,IF(INDEX('計算A'!$D$60:$DS$104,$B18,77)*FU18=1,IF(AND($E18=2,KL18=0),1000000,INDEX('計算A'!CB$110:CB$114,$F18+1)+IF(AND($E18=1,KL18=0),1000,0)),1000000))</f>
        <v/>
      </c>
      <c r="PD18">
        <f>IF($B18=0,1000000,IF(INDEX('計算A'!$D$60:$DS$104,$B18,78)*FV18=1,IF(AND($E18=2,KM18=0),1000000,INDEX('計算A'!CC$110:CC$114,$F18+1)+IF(AND($E18=1,KM18=0),1000,0)),1000000))</f>
        <v/>
      </c>
      <c r="PE18">
        <f>IF($B18=0,1000000,IF(INDEX('計算A'!$D$60:$DS$104,$B18,79)*FW18=1,IF(AND($E18=2,KN18=0),1000000,INDEX('計算A'!CD$110:CD$114,$F18+1)+IF(AND($E18=1,KN18=0),1000,0)),1000000))</f>
        <v/>
      </c>
      <c r="PF18">
        <f>IF($B18=0,1000000,IF(INDEX('計算A'!$D$60:$DS$104,$B18,80)*FX18=1,IF(AND($E18=2,KO18=0),1000000,INDEX('計算A'!CE$110:CE$114,$F18+1)+IF(AND($E18=1,KO18=0),1000,0)),1000000))</f>
        <v/>
      </c>
      <c r="PG18">
        <f>IF($B18=0,1000000,IF(INDEX('計算A'!$D$60:$DS$104,$B18,81)*FY18=1,IF(AND($E18=2,KP18=0),1000000,INDEX('計算A'!CF$110:CF$114,$F18+1)+IF(AND($E18=1,KP18=0),1000,0)),1000000))</f>
        <v/>
      </c>
      <c r="PH18">
        <f>IF($B18=0,1000000,IF(INDEX('計算A'!$D$60:$DS$104,$B18,82)*FZ18=1,IF(AND($E18=2,KQ18=0),1000000,INDEX('計算A'!CG$110:CG$114,$F18+1)+IF(AND($E18=1,KQ18=0),1000,0)),1000000))</f>
        <v/>
      </c>
      <c r="PI18">
        <f>IF($B18=0,1000000,IF(INDEX('計算A'!$D$60:$DS$104,$B18,83)*GA18=1,IF(AND($E18=2,KR18=0),1000000,INDEX('計算A'!CH$110:CH$114,$F18+1)+IF(AND($E18=1,KR18=0),1000,0)),1000000))</f>
        <v/>
      </c>
      <c r="PJ18">
        <f>IF($B18=0,1000000,IF(INDEX('計算A'!$D$60:$DS$104,$B18,84)*GB18=1,IF(AND($E18=2,KS18=0),1000000,INDEX('計算A'!CI$110:CI$114,$F18+1)+IF(AND($E18=1,KS18=0),1000,0)),1000000))</f>
        <v/>
      </c>
      <c r="PK18">
        <f>IF($B18=0,1000000,IF(INDEX('計算A'!$D$60:$DS$104,$B18,85)*GC18=1,IF(AND($E18=2,KT18=0),1000000,INDEX('計算A'!CJ$110:CJ$114,$F18+1)+IF(AND($E18=1,KT18=0),1000,0)),1000000))</f>
        <v/>
      </c>
      <c r="PL18">
        <f>IF($B18=0,1000000,IF(INDEX('計算A'!$D$60:$DS$104,$B18,86)*GD18=1,IF(AND($E18=2,KU18=0),1000000,INDEX('計算A'!CK$110:CK$114,$F18+1)+IF(AND($E18=1,KU18=0),1000,0)),1000000))</f>
        <v/>
      </c>
      <c r="PM18">
        <f>IF($B18=0,1000000,IF(INDEX('計算A'!$D$60:$DS$104,$B18,87)*GE18=1,IF(AND($E18=2,KV18=0),1000000,INDEX('計算A'!CL$110:CL$114,$F18+1)+IF(AND($E18=1,KV18=0),1000,0)),1000000))</f>
        <v/>
      </c>
      <c r="PN18">
        <f>IF($B18=0,1000000,IF(INDEX('計算A'!$D$60:$DS$104,$B18,88)*GF18=1,IF(AND($E18=2,KW18=0),1000000,INDEX('計算A'!CM$110:CM$114,$F18+1)+IF(AND($E18=1,KW18=0),1000,0)),1000000))</f>
        <v/>
      </c>
      <c r="PO18">
        <f>IF($B18=0,1000000,IF(INDEX('計算A'!$D$60:$DS$104,$B18,89)*GG18=1,IF(AND($E18=2,KX18=0),1000000,INDEX('計算A'!CN$110:CN$114,$F18+1)+IF(AND($E18=1,KX18=0),1000,0)),1000000))</f>
        <v/>
      </c>
      <c r="PP18">
        <f>IF($B18=0,1000000,IF(INDEX('計算A'!$D$60:$DS$104,$B18,90)*GH18=1,IF(AND($E18=2,KY18=0),1000000,INDEX('計算A'!CO$110:CO$114,$F18+1)+IF(AND($E18=1,KY18=0),1000,0)),1000000))</f>
        <v/>
      </c>
      <c r="PQ18">
        <f>IF($B18=0,1000000,IF(INDEX('計算A'!$D$60:$DS$104,$B18,91)*GI18=1,IF(AND($E18=2,KZ18=0),1000000,INDEX('計算A'!CP$110:CP$114,$F18+1)+IF(AND($E18=1,KZ18=0),1000,0)),1000000))</f>
        <v/>
      </c>
      <c r="PR18">
        <f>IF($B18=0,1000000,IF(INDEX('計算A'!$D$60:$DS$104,$B18,92)*GJ18=1,IF(AND($E18=2,LA18=0),1000000,INDEX('計算A'!CQ$110:CQ$114,$F18+1)+IF(AND($E18=1,LA18=0),1000,0)),1000000))</f>
        <v/>
      </c>
      <c r="PS18">
        <f>IF($B18=0,1000000,IF(INDEX('計算A'!$D$60:$DS$104,$B18,93)*GK18=1,IF(AND($E18=2,LB18=0),1000000,INDEX('計算A'!CR$110:CR$114,$F18+1)+IF(AND($E18=1,LB18=0),1000,0)),1000000))</f>
        <v/>
      </c>
      <c r="PT18">
        <f>IF($B18=0,1000000,IF(INDEX('計算A'!$D$60:$DS$104,$B18,94)*GL18=1,IF(AND($E18=2,LC18=0),1000000,INDEX('計算A'!CS$110:CS$114,$F18+1)+IF(AND($E18=1,LC18=0),1000,0)),1000000))</f>
        <v/>
      </c>
      <c r="PU18">
        <f>IF($B18=0,1000000,IF(INDEX('計算A'!$D$60:$DS$104,$B18,95)*GM18=1,IF(AND($E18=2,LD18=0),1000000,INDEX('計算A'!CT$110:CT$114,$F18+1)+IF(AND($E18=1,LD18=0),1000,0)),1000000))</f>
        <v/>
      </c>
      <c r="PV18">
        <f>IF($B18=0,1000000,IF(INDEX('計算A'!$D$60:$DS$104,$B18,96)*GN18=1,IF(AND($E18=2,LE18=0),1000000,INDEX('計算A'!CU$110:CU$114,$F18+1)+IF(AND($E18=1,LE18=0),1000,0)),1000000))</f>
        <v/>
      </c>
      <c r="PW18">
        <f>IF($B18=0,1000000,IF(INDEX('計算A'!$D$60:$DS$104,$B18,97)*GO18=1,IF(AND($E18=2,LF18=0),1000000,INDEX('計算A'!CV$110:CV$114,$F18+1)+IF(AND($E18=1,LF18=0),1000,0)),1000000))</f>
        <v/>
      </c>
      <c r="PX18">
        <f>IF($B18=0,1000000,IF(INDEX('計算A'!$D$60:$DS$104,$B18,98)*GP18=1,IF(AND($E18=2,LG18=0),1000000,INDEX('計算A'!CW$110:CW$114,$F18+1)+IF(AND($E18=1,LG18=0),1000,0)),1000000))</f>
        <v/>
      </c>
      <c r="PY18">
        <f>IF($B18=0,1000000,IF(INDEX('計算A'!$D$60:$DS$104,$B18,99)*GQ18=1,IF(AND($E18=2,LH18=0),1000000,INDEX('計算A'!CX$110:CX$114,$F18+1)+IF(AND($E18=1,LH18=0),1000,0)),1000000))</f>
        <v/>
      </c>
      <c r="PZ18">
        <f>IF($B18=0,1000000,IF(INDEX('計算A'!$D$60:$DS$104,$B18,100)*GR18=1,IF(AND($E18=2,LI18=0),1000000,INDEX('計算A'!CY$110:CY$114,$F18+1)+IF(AND($E18=1,LI18=0),1000,0)),1000000))</f>
        <v/>
      </c>
      <c r="QA18">
        <f>IF($B18=0,1000000,IF(INDEX('計算A'!$D$60:$DS$104,$B18,101)*GS18=1,IF(AND($E18=2,LJ18=0),1000000,INDEX('計算A'!CZ$110:CZ$114,$F18+1)+IF(AND($E18=1,LJ18=0),1000,0)),1000000))</f>
        <v/>
      </c>
      <c r="QB18">
        <f>IF($B18=0,1000000,IF(INDEX('計算A'!$D$60:$DS$104,$B18,102)*GT18=1,IF(AND($E18=2,LK18=0),1000000,INDEX('計算A'!DA$110:DA$114,$F18+1)+IF(AND($E18=1,LK18=0),1000,0)),1000000))</f>
        <v/>
      </c>
      <c r="QC18">
        <f>IF($B18=0,1000000,IF(INDEX('計算A'!$D$60:$DS$104,$B18,103)*GU18=1,IF(AND($E18=2,LL18=0),1000000,INDEX('計算A'!DB$110:DB$114,$F18+1)+IF(AND($E18=1,LL18=0),1000,0)),1000000))</f>
        <v/>
      </c>
      <c r="QD18">
        <f>IF($B18=0,1000000,IF(INDEX('計算A'!$D$60:$DS$104,$B18,104)*GV18=1,IF(AND($E18=2,LM18=0),1000000,INDEX('計算A'!DC$110:DC$114,$F18+1)+IF(AND($E18=1,LM18=0),1000,0)),1000000))</f>
        <v/>
      </c>
      <c r="QE18">
        <f>IF($B18=0,1000000,IF(INDEX('計算A'!$D$60:$DS$104,$B18,105)*GW18=1,IF(AND($E18=2,LN18=0),1000000,INDEX('計算A'!DD$110:DD$114,$F18+1)+IF(AND($E18=1,LN18=0),1000,0)),1000000))</f>
        <v/>
      </c>
      <c r="QF18">
        <f>IF($B18=0,1000000,IF(INDEX('計算A'!$D$60:$DS$104,$B18,106)*GX18=1,IF(AND($E18=2,LO18=0),1000000,INDEX('計算A'!DE$110:DE$114,$F18+1)+IF(AND($E18=1,LO18=0),1000,0)),1000000))</f>
        <v/>
      </c>
      <c r="QG18">
        <f>IF($B18=0,1000000,IF(INDEX('計算A'!$D$60:$DS$104,$B18,107)*GY18=1,IF(AND($E18=2,LP18=0),1000000,INDEX('計算A'!DF$110:DF$114,$F18+1)+IF(AND($E18=1,LP18=0),1000,0)),1000000))</f>
        <v/>
      </c>
      <c r="QH18">
        <f>IF($B18=0,1000000,IF(INDEX('計算A'!$D$60:$DS$104,$B18,108)*GZ18=1,IF(AND($E18=2,LQ18=0),1000000,INDEX('計算A'!DG$110:DG$114,$F18+1)+IF(AND($E18=1,LQ18=0),1000,0)),1000000))</f>
        <v/>
      </c>
      <c r="QI18">
        <f>IF($B18=0,1000000,IF(INDEX('計算A'!$D$60:$DS$104,$B18,109)*HA18=1,IF(AND($E18=2,LR18=0),1000000,INDEX('計算A'!DH$110:DH$114,$F18+1)+IF(AND($E18=1,LR18=0),1000,0)),1000000))</f>
        <v/>
      </c>
      <c r="QJ18">
        <f>IF($B18=0,1000000,IF(INDEX('計算A'!$D$60:$DS$104,$B18,110)*HB18=1,IF(AND($E18=2,LS18=0),1000000,INDEX('計算A'!DI$110:DI$114,$F18+1)+IF(AND($E18=1,LS18=0),1000,0)),1000000))</f>
        <v/>
      </c>
      <c r="QK18">
        <f>IF($B18=0,1000000,IF(INDEX('計算A'!$D$60:$DS$104,$B18,111)*HC18=1,IF(AND($E18=2,LT18=0),1000000,INDEX('計算A'!DJ$110:DJ$114,$F18+1)+IF(AND($E18=1,LT18=0),1000,0)),1000000))</f>
        <v/>
      </c>
      <c r="QL18">
        <f>IF($B18=0,1000000,IF(INDEX('計算A'!$D$60:$DS$104,$B18,112)*HD18=1,IF(AND($E18=2,LU18=0),1000000,INDEX('計算A'!DK$110:DK$114,$F18+1)+IF(AND($E18=1,LU18=0),1000,0)),1000000))</f>
        <v/>
      </c>
      <c r="QM18">
        <f>IF($B18=0,1000000,IF(INDEX('計算A'!$D$60:$DS$104,$B18,113)*HE18=1,IF(AND($E18=2,LV18=0),1000000,INDEX('計算A'!DL$110:DL$114,$F18+1)+IF(AND($E18=1,LV18=0),1000,0)),1000000))</f>
        <v/>
      </c>
      <c r="QN18">
        <f>IF($B18=0,1000000,IF(INDEX('計算A'!$D$60:$DS$104,$B18,114)*HF18=1,IF(AND($E18=2,LW18=0),1000000,INDEX('計算A'!DM$110:DM$114,$F18+1)+IF(AND($E18=1,LW18=0),1000,0)),1000000))</f>
        <v/>
      </c>
      <c r="QO18">
        <f>IF($B18=0,1000000,IF(INDEX('計算A'!$D$60:$DS$104,$B18,115)*HG18=1,IF(AND($E18=2,LX18=0),1000000,INDEX('計算A'!DN$110:DN$114,$F18+1)+IF(AND($E18=1,LX18=0),1000,0)),1000000))</f>
        <v/>
      </c>
      <c r="QP18">
        <f>IF($B18=0,1000000,IF(INDEX('計算A'!$D$60:$DS$104,$B18,116)*HH18=1,IF(AND($E18=2,LY18=0),1000000,INDEX('計算A'!DO$110:DO$114,$F18+1)+IF(AND($E18=1,LY18=0),1000,0)),1000000))</f>
        <v/>
      </c>
      <c r="QQ18">
        <f>IF($B18=0,1000000,IF(INDEX('計算A'!$D$60:$DS$104,$B18,117)*HI18=1,IF(AND($E18=2,LZ18=0),1000000,INDEX('計算A'!DP$110:DP$114,$F18+1)+IF(AND($E18=1,LZ18=0),1000,0)),1000000))</f>
        <v/>
      </c>
      <c r="QR18">
        <f>IF($B18=0,1000000,IF(INDEX('計算A'!$D$60:$DS$104,$B18,118)*HJ18=1,IF(AND($E18=2,MA18=0),1000000,INDEX('計算A'!DQ$110:DQ$114,$F18+1)+IF(AND($E18=1,MA18=0),1000,0)),1000000))</f>
        <v/>
      </c>
      <c r="QS18">
        <f>IF($B18=0,1000000,IF(INDEX('計算A'!$D$60:$DS$104,$B18,119)*HK18=1,IF(AND($E18=2,MB18=0),1000000,INDEX('計算A'!DR$110:DR$114,$F18+1)+IF(AND($E18=1,MB18=0),1000,0)),1000000))</f>
        <v/>
      </c>
      <c r="QT18">
        <f>IF($B18=0,1000000,IF(INDEX('計算A'!$D$60:$DS$104,$B18,120)*HL18=1,IF(AND($E18=2,MC18=0),1000000,INDEX('計算A'!DS$110:DS$114,$F18+1)+IF(AND($E18=1,MC18=0),1000,0)),1000000))</f>
        <v/>
      </c>
    </row>
    <row r="19">
      <c r="A19" t="n">
        <v>17</v>
      </c>
      <c r="B19">
        <f>IF(MIN(BC19:CU19)&gt;=1000000,0,MATCH(MIN(BC19:CU19),BC19:CU19,0))</f>
        <v/>
      </c>
      <c r="C19">
        <f>IF(MIN(ME19:QT19)&gt;=1000000,0,MATCH(MIN(ME19:QT19),ME19:QT19,0))</f>
        <v/>
      </c>
      <c r="D19">
        <f>IF(C19&gt;0,INDEX('計算A'!$D$5:$DS$5,C19),0)</f>
        <v/>
      </c>
      <c r="E19">
        <f>IF(B19=0,0,INDEX('計算A'!$EA$10:$EA$54,B19))</f>
        <v/>
      </c>
      <c r="F19">
        <f>IF(B19=0,0,INDEX('計算A'!$DZ$10:$DZ$54,B19))</f>
        <v/>
      </c>
      <c r="G19">
        <f>IF(AND(C19&gt;0,E19&gt;0),IF(AND(INDEX('計算A'!$D$106:$DS$106,C19)=1,INDEX($HN19:$MC19,C19)=1),C19+1,0),0)</f>
        <v/>
      </c>
      <c r="I19">
        <f>MAX(I18,IF($B18=1,1,0))</f>
        <v/>
      </c>
      <c r="J19">
        <f>MAX(J18,IF($B18=2,1,0))</f>
        <v/>
      </c>
      <c r="K19">
        <f>MAX(K18,IF($B18=3,1,0))</f>
        <v/>
      </c>
      <c r="L19">
        <f>MAX(L18,IF($B18=4,1,0))</f>
        <v/>
      </c>
      <c r="M19">
        <f>MAX(M18,IF($B18=5,1,0))</f>
        <v/>
      </c>
      <c r="N19">
        <f>MAX(N18,IF($B18=6,1,0))</f>
        <v/>
      </c>
      <c r="O19">
        <f>MAX(O18,IF($B18=7,1,0))</f>
        <v/>
      </c>
      <c r="P19">
        <f>MAX(P18,IF($B18=8,1,0))</f>
        <v/>
      </c>
      <c r="Q19">
        <f>MAX(Q18,IF($B18=9,1,0))</f>
        <v/>
      </c>
      <c r="R19">
        <f>MAX(R18,IF($B18=10,1,0))</f>
        <v/>
      </c>
      <c r="S19">
        <f>MAX(S18,IF($B18=11,1,0))</f>
        <v/>
      </c>
      <c r="T19">
        <f>MAX(T18,IF($B18=12,1,0))</f>
        <v/>
      </c>
      <c r="U19">
        <f>MAX(U18,IF($B18=13,1,0))</f>
        <v/>
      </c>
      <c r="V19">
        <f>MAX(V18,IF($B18=14,1,0))</f>
        <v/>
      </c>
      <c r="W19">
        <f>MAX(W18,IF($B18=15,1,0))</f>
        <v/>
      </c>
      <c r="X19">
        <f>MAX(X18,IF($B18=16,1,0))</f>
        <v/>
      </c>
      <c r="Y19">
        <f>MAX(Y18,IF($B18=17,1,0))</f>
        <v/>
      </c>
      <c r="Z19">
        <f>MAX(Z18,IF($B18=18,1,0))</f>
        <v/>
      </c>
      <c r="AA19">
        <f>MAX(AA18,IF($B18=19,1,0))</f>
        <v/>
      </c>
      <c r="AB19">
        <f>MAX(AB18,IF($B18=20,1,0))</f>
        <v/>
      </c>
      <c r="AC19">
        <f>MAX(AC18,IF($B18=21,1,0))</f>
        <v/>
      </c>
      <c r="AD19">
        <f>MAX(AD18,IF($B18=22,1,0))</f>
        <v/>
      </c>
      <c r="AE19">
        <f>MAX(AE18,IF($B18=23,1,0))</f>
        <v/>
      </c>
      <c r="AF19">
        <f>MAX(AF18,IF($B18=24,1,0))</f>
        <v/>
      </c>
      <c r="AG19">
        <f>MAX(AG18,IF($B18=25,1,0))</f>
        <v/>
      </c>
      <c r="AH19">
        <f>MAX(AH18,IF($B18=26,1,0))</f>
        <v/>
      </c>
      <c r="AI19">
        <f>MAX(AI18,IF($B18=27,1,0))</f>
        <v/>
      </c>
      <c r="AJ19">
        <f>MAX(AJ18,IF($B18=28,1,0))</f>
        <v/>
      </c>
      <c r="AK19">
        <f>MAX(AK18,IF($B18=29,1,0))</f>
        <v/>
      </c>
      <c r="AL19">
        <f>MAX(AL18,IF($B18=30,1,0))</f>
        <v/>
      </c>
      <c r="AM19">
        <f>MAX(AM18,IF($B18=31,1,0))</f>
        <v/>
      </c>
      <c r="AN19">
        <f>MAX(AN18,IF($B18=32,1,0))</f>
        <v/>
      </c>
      <c r="AO19">
        <f>MAX(AO18,IF($B18=33,1,0))</f>
        <v/>
      </c>
      <c r="AP19">
        <f>MAX(AP18,IF($B18=34,1,0))</f>
        <v/>
      </c>
      <c r="AQ19">
        <f>MAX(AQ18,IF($B18=35,1,0))</f>
        <v/>
      </c>
      <c r="AR19">
        <f>MAX(AR18,IF($B18=36,1,0))</f>
        <v/>
      </c>
      <c r="AS19">
        <f>MAX(AS18,IF($B18=37,1,0))</f>
        <v/>
      </c>
      <c r="AT19">
        <f>MAX(AT18,IF($B18=38,1,0))</f>
        <v/>
      </c>
      <c r="AU19">
        <f>MAX(AU18,IF($B18=39,1,0))</f>
        <v/>
      </c>
      <c r="AV19">
        <f>MAX(AV18,IF($B18=40,1,0))</f>
        <v/>
      </c>
      <c r="AW19">
        <f>MAX(AW18,IF($B18=41,1,0))</f>
        <v/>
      </c>
      <c r="AX19">
        <f>MAX(AX18,IF($B18=42,1,0))</f>
        <v/>
      </c>
      <c r="AY19">
        <f>MAX(AY18,IF($B18=43,1,0))</f>
        <v/>
      </c>
      <c r="AZ19">
        <f>MAX(AZ18,IF($B18=44,1,0))</f>
        <v/>
      </c>
      <c r="BA19">
        <f>MAX(BA18,IF($B18=45,1,0))</f>
        <v/>
      </c>
      <c r="BC19">
        <f>IF(I19=1,1000000,IF('計算A'!$EA$10=2,SUMPRODUCT('計算A'!$D$60:$DS$60,$CW19:$HL19,$HN19:$MC19),SUMPRODUCT('計算A'!$D$60:$DS$60,$CW19:$HL19))*1000+1)</f>
        <v/>
      </c>
      <c r="BD19">
        <f>IF(J19=1,1000000,IF('計算A'!$EA$11=2,SUMPRODUCT('計算A'!$D$61:$DS$61,$CW19:$HL19,$HN19:$MC19),SUMPRODUCT('計算A'!$D$61:$DS$61,$CW19:$HL19))*1000+2)</f>
        <v/>
      </c>
      <c r="BE19">
        <f>IF(K19=1,1000000,IF('計算A'!$EA$12=2,SUMPRODUCT('計算A'!$D$62:$DS$62,$CW19:$HL19,$HN19:$MC19),SUMPRODUCT('計算A'!$D$62:$DS$62,$CW19:$HL19))*1000+3)</f>
        <v/>
      </c>
      <c r="BF19">
        <f>IF(L19=1,1000000,IF('計算A'!$EA$13=2,SUMPRODUCT('計算A'!$D$63:$DS$63,$CW19:$HL19,$HN19:$MC19),SUMPRODUCT('計算A'!$D$63:$DS$63,$CW19:$HL19))*1000+4)</f>
        <v/>
      </c>
      <c r="BG19">
        <f>IF(M19=1,1000000,IF('計算A'!$EA$14=2,SUMPRODUCT('計算A'!$D$64:$DS$64,$CW19:$HL19,$HN19:$MC19),SUMPRODUCT('計算A'!$D$64:$DS$64,$CW19:$HL19))*1000+5)</f>
        <v/>
      </c>
      <c r="BH19">
        <f>IF(N19=1,1000000,IF('計算A'!$EA$15=2,SUMPRODUCT('計算A'!$D$65:$DS$65,$CW19:$HL19,$HN19:$MC19),SUMPRODUCT('計算A'!$D$65:$DS$65,$CW19:$HL19))*1000+6)</f>
        <v/>
      </c>
      <c r="BI19">
        <f>IF(O19=1,1000000,IF('計算A'!$EA$16=2,SUMPRODUCT('計算A'!$D$66:$DS$66,$CW19:$HL19,$HN19:$MC19),SUMPRODUCT('計算A'!$D$66:$DS$66,$CW19:$HL19))*1000+7)</f>
        <v/>
      </c>
      <c r="BJ19">
        <f>IF(P19=1,1000000,IF('計算A'!$EA$17=2,SUMPRODUCT('計算A'!$D$67:$DS$67,$CW19:$HL19,$HN19:$MC19),SUMPRODUCT('計算A'!$D$67:$DS$67,$CW19:$HL19))*1000+8)</f>
        <v/>
      </c>
      <c r="BK19">
        <f>IF(Q19=1,1000000,IF('計算A'!$EA$18=2,SUMPRODUCT('計算A'!$D$68:$DS$68,$CW19:$HL19,$HN19:$MC19),SUMPRODUCT('計算A'!$D$68:$DS$68,$CW19:$HL19))*1000+9)</f>
        <v/>
      </c>
      <c r="BL19">
        <f>IF(R19=1,1000000,IF('計算A'!$EA$19=2,SUMPRODUCT('計算A'!$D$69:$DS$69,$CW19:$HL19,$HN19:$MC19),SUMPRODUCT('計算A'!$D$69:$DS$69,$CW19:$HL19))*1000+10)</f>
        <v/>
      </c>
      <c r="BM19">
        <f>IF(S19=1,1000000,IF('計算A'!$EA$20=2,SUMPRODUCT('計算A'!$D$70:$DS$70,$CW19:$HL19,$HN19:$MC19),SUMPRODUCT('計算A'!$D$70:$DS$70,$CW19:$HL19))*1000+11)</f>
        <v/>
      </c>
      <c r="BN19">
        <f>IF(T19=1,1000000,IF('計算A'!$EA$21=2,SUMPRODUCT('計算A'!$D$71:$DS$71,$CW19:$HL19,$HN19:$MC19),SUMPRODUCT('計算A'!$D$71:$DS$71,$CW19:$HL19))*1000+12)</f>
        <v/>
      </c>
      <c r="BO19">
        <f>IF(U19=1,1000000,IF('計算A'!$EA$22=2,SUMPRODUCT('計算A'!$D$72:$DS$72,$CW19:$HL19,$HN19:$MC19),SUMPRODUCT('計算A'!$D$72:$DS$72,$CW19:$HL19))*1000+13)</f>
        <v/>
      </c>
      <c r="BP19">
        <f>IF(V19=1,1000000,IF('計算A'!$EA$23=2,SUMPRODUCT('計算A'!$D$73:$DS$73,$CW19:$HL19,$HN19:$MC19),SUMPRODUCT('計算A'!$D$73:$DS$73,$CW19:$HL19))*1000+14)</f>
        <v/>
      </c>
      <c r="BQ19">
        <f>IF(W19=1,1000000,IF('計算A'!$EA$24=2,SUMPRODUCT('計算A'!$D$74:$DS$74,$CW19:$HL19,$HN19:$MC19),SUMPRODUCT('計算A'!$D$74:$DS$74,$CW19:$HL19))*1000+15)</f>
        <v/>
      </c>
      <c r="BR19">
        <f>IF(X19=1,1000000,IF('計算A'!$EA$25=2,SUMPRODUCT('計算A'!$D$75:$DS$75,$CW19:$HL19,$HN19:$MC19),SUMPRODUCT('計算A'!$D$75:$DS$75,$CW19:$HL19))*1000+16)</f>
        <v/>
      </c>
      <c r="BS19">
        <f>IF(Y19=1,1000000,IF('計算A'!$EA$26=2,SUMPRODUCT('計算A'!$D$76:$DS$76,$CW19:$HL19,$HN19:$MC19),SUMPRODUCT('計算A'!$D$76:$DS$76,$CW19:$HL19))*1000+17)</f>
        <v/>
      </c>
      <c r="BT19">
        <f>IF(Z19=1,1000000,IF('計算A'!$EA$27=2,SUMPRODUCT('計算A'!$D$77:$DS$77,$CW19:$HL19,$HN19:$MC19),SUMPRODUCT('計算A'!$D$77:$DS$77,$CW19:$HL19))*1000+18)</f>
        <v/>
      </c>
      <c r="BU19">
        <f>IF(AA19=1,1000000,IF('計算A'!$EA$28=2,SUMPRODUCT('計算A'!$D$78:$DS$78,$CW19:$HL19,$HN19:$MC19),SUMPRODUCT('計算A'!$D$78:$DS$78,$CW19:$HL19))*1000+19)</f>
        <v/>
      </c>
      <c r="BV19">
        <f>IF(AB19=1,1000000,IF('計算A'!$EA$29=2,SUMPRODUCT('計算A'!$D$79:$DS$79,$CW19:$HL19,$HN19:$MC19),SUMPRODUCT('計算A'!$D$79:$DS$79,$CW19:$HL19))*1000+20)</f>
        <v/>
      </c>
      <c r="BW19">
        <f>IF(AC19=1,1000000,IF('計算A'!$EA$30=2,SUMPRODUCT('計算A'!$D$80:$DS$80,$CW19:$HL19,$HN19:$MC19),SUMPRODUCT('計算A'!$D$80:$DS$80,$CW19:$HL19))*1000+21)</f>
        <v/>
      </c>
      <c r="BX19">
        <f>IF(AD19=1,1000000,IF('計算A'!$EA$31=2,SUMPRODUCT('計算A'!$D$81:$DS$81,$CW19:$HL19,$HN19:$MC19),SUMPRODUCT('計算A'!$D$81:$DS$81,$CW19:$HL19))*1000+22)</f>
        <v/>
      </c>
      <c r="BY19">
        <f>IF(AE19=1,1000000,IF('計算A'!$EA$32=2,SUMPRODUCT('計算A'!$D$82:$DS$82,$CW19:$HL19,$HN19:$MC19),SUMPRODUCT('計算A'!$D$82:$DS$82,$CW19:$HL19))*1000+23)</f>
        <v/>
      </c>
      <c r="BZ19">
        <f>IF(AF19=1,1000000,IF('計算A'!$EA$33=2,SUMPRODUCT('計算A'!$D$83:$DS$83,$CW19:$HL19,$HN19:$MC19),SUMPRODUCT('計算A'!$D$83:$DS$83,$CW19:$HL19))*1000+24)</f>
        <v/>
      </c>
      <c r="CA19">
        <f>IF(AG19=1,1000000,IF('計算A'!$EA$34=2,SUMPRODUCT('計算A'!$D$84:$DS$84,$CW19:$HL19,$HN19:$MC19),SUMPRODUCT('計算A'!$D$84:$DS$84,$CW19:$HL19))*1000+25)</f>
        <v/>
      </c>
      <c r="CB19">
        <f>IF(AH19=1,1000000,IF('計算A'!$EA$35=2,SUMPRODUCT('計算A'!$D$85:$DS$85,$CW19:$HL19,$HN19:$MC19),SUMPRODUCT('計算A'!$D$85:$DS$85,$CW19:$HL19))*1000+26)</f>
        <v/>
      </c>
      <c r="CC19">
        <f>IF(AI19=1,1000000,IF('計算A'!$EA$36=2,SUMPRODUCT('計算A'!$D$86:$DS$86,$CW19:$HL19,$HN19:$MC19),SUMPRODUCT('計算A'!$D$86:$DS$86,$CW19:$HL19))*1000+27)</f>
        <v/>
      </c>
      <c r="CD19">
        <f>IF(AJ19=1,1000000,IF('計算A'!$EA$37=2,SUMPRODUCT('計算A'!$D$87:$DS$87,$CW19:$HL19,$HN19:$MC19),SUMPRODUCT('計算A'!$D$87:$DS$87,$CW19:$HL19))*1000+28)</f>
        <v/>
      </c>
      <c r="CE19">
        <f>IF(AK19=1,1000000,IF('計算A'!$EA$38=2,SUMPRODUCT('計算A'!$D$88:$DS$88,$CW19:$HL19,$HN19:$MC19),SUMPRODUCT('計算A'!$D$88:$DS$88,$CW19:$HL19))*1000+29)</f>
        <v/>
      </c>
      <c r="CF19">
        <f>IF(AL19=1,1000000,IF('計算A'!$EA$39=2,SUMPRODUCT('計算A'!$D$89:$DS$89,$CW19:$HL19,$HN19:$MC19),SUMPRODUCT('計算A'!$D$89:$DS$89,$CW19:$HL19))*1000+30)</f>
        <v/>
      </c>
      <c r="CG19">
        <f>IF(AM19=1,1000000,IF('計算A'!$EA$40=2,SUMPRODUCT('計算A'!$D$90:$DS$90,$CW19:$HL19,$HN19:$MC19),SUMPRODUCT('計算A'!$D$90:$DS$90,$CW19:$HL19))*1000+31)</f>
        <v/>
      </c>
      <c r="CH19">
        <f>IF(AN19=1,1000000,IF('計算A'!$EA$41=2,SUMPRODUCT('計算A'!$D$91:$DS$91,$CW19:$HL19,$HN19:$MC19),SUMPRODUCT('計算A'!$D$91:$DS$91,$CW19:$HL19))*1000+32)</f>
        <v/>
      </c>
      <c r="CI19">
        <f>IF(AO19=1,1000000,IF('計算A'!$EA$42=2,SUMPRODUCT('計算A'!$D$92:$DS$92,$CW19:$HL19,$HN19:$MC19),SUMPRODUCT('計算A'!$D$92:$DS$92,$CW19:$HL19))*1000+33)</f>
        <v/>
      </c>
      <c r="CJ19">
        <f>IF(AP19=1,1000000,IF('計算A'!$EA$43=2,SUMPRODUCT('計算A'!$D$93:$DS$93,$CW19:$HL19,$HN19:$MC19),SUMPRODUCT('計算A'!$D$93:$DS$93,$CW19:$HL19))*1000+34)</f>
        <v/>
      </c>
      <c r="CK19">
        <f>IF(AQ19=1,1000000,IF('計算A'!$EA$44=2,SUMPRODUCT('計算A'!$D$94:$DS$94,$CW19:$HL19,$HN19:$MC19),SUMPRODUCT('計算A'!$D$94:$DS$94,$CW19:$HL19))*1000+35)</f>
        <v/>
      </c>
      <c r="CL19">
        <f>IF(AR19=1,1000000,IF('計算A'!$EA$45=2,SUMPRODUCT('計算A'!$D$95:$DS$95,$CW19:$HL19,$HN19:$MC19),SUMPRODUCT('計算A'!$D$95:$DS$95,$CW19:$HL19))*1000+36)</f>
        <v/>
      </c>
      <c r="CM19">
        <f>IF(AS19=1,1000000,IF('計算A'!$EA$46=2,SUMPRODUCT('計算A'!$D$96:$DS$96,$CW19:$HL19,$HN19:$MC19),SUMPRODUCT('計算A'!$D$96:$DS$96,$CW19:$HL19))*1000+37)</f>
        <v/>
      </c>
      <c r="CN19">
        <f>IF(AT19=1,1000000,IF('計算A'!$EA$47=2,SUMPRODUCT('計算A'!$D$97:$DS$97,$CW19:$HL19,$HN19:$MC19),SUMPRODUCT('計算A'!$D$97:$DS$97,$CW19:$HL19))*1000+38)</f>
        <v/>
      </c>
      <c r="CO19">
        <f>IF(AU19=1,1000000,IF('計算A'!$EA$48=2,SUMPRODUCT('計算A'!$D$98:$DS$98,$CW19:$HL19,$HN19:$MC19),SUMPRODUCT('計算A'!$D$98:$DS$98,$CW19:$HL19))*1000+39)</f>
        <v/>
      </c>
      <c r="CP19">
        <f>IF(AV19=1,1000000,IF('計算A'!$EA$49=2,SUMPRODUCT('計算A'!$D$99:$DS$99,$CW19:$HL19,$HN19:$MC19),SUMPRODUCT('計算A'!$D$99:$DS$99,$CW19:$HL19))*1000+40)</f>
        <v/>
      </c>
      <c r="CQ19">
        <f>IF(AW19=1,1000000,IF('計算A'!$EA$50=2,SUMPRODUCT('計算A'!$D$100:$DS$100,$CW19:$HL19,$HN19:$MC19),SUMPRODUCT('計算A'!$D$100:$DS$100,$CW19:$HL19))*1000+41)</f>
        <v/>
      </c>
      <c r="CR19">
        <f>IF(AX19=1,1000000,IF('計算A'!$EA$51=2,SUMPRODUCT('計算A'!$D$101:$DS$101,$CW19:$HL19,$HN19:$MC19),SUMPRODUCT('計算A'!$D$101:$DS$101,$CW19:$HL19))*1000+42)</f>
        <v/>
      </c>
      <c r="CS19">
        <f>IF(AY19=1,1000000,IF('計算A'!$EA$52=2,SUMPRODUCT('計算A'!$D$102:$DS$102,$CW19:$HL19,$HN19:$MC19),SUMPRODUCT('計算A'!$D$102:$DS$102,$CW19:$HL19))*1000+43)</f>
        <v/>
      </c>
      <c r="CT19">
        <f>IF(AZ19=1,1000000,IF('計算A'!$EA$53=2,SUMPRODUCT('計算A'!$D$103:$DS$103,$CW19:$HL19,$HN19:$MC19),SUMPRODUCT('計算A'!$D$103:$DS$103,$CW19:$HL19))*1000+44)</f>
        <v/>
      </c>
      <c r="CU19">
        <f>IF(BA19=1,1000000,IF('計算A'!$EA$54=2,SUMPRODUCT('計算A'!$D$104:$DS$104,$CW19:$HL19,$HN19:$MC19),SUMPRODUCT('計算A'!$D$104:$DS$104,$CW19:$HL19))*1000+45)</f>
        <v/>
      </c>
      <c r="CW19">
        <f>CW18*IF(OR($C18=1,$G18=1),0,1)</f>
        <v/>
      </c>
      <c r="CX19">
        <f>CX18*IF(OR($C18=2,$G18=2),0,1)</f>
        <v/>
      </c>
      <c r="CY19">
        <f>CY18*IF(OR($C18=3,$G18=3),0,1)</f>
        <v/>
      </c>
      <c r="CZ19">
        <f>CZ18*IF(OR($C18=4,$G18=4),0,1)</f>
        <v/>
      </c>
      <c r="DA19">
        <f>DA18*IF(OR($C18=5,$G18=5),0,1)</f>
        <v/>
      </c>
      <c r="DB19">
        <f>DB18*IF(OR($C18=6,$G18=6),0,1)</f>
        <v/>
      </c>
      <c r="DC19">
        <f>DC18*IF(OR($C18=7,$G18=7),0,1)</f>
        <v/>
      </c>
      <c r="DD19">
        <f>DD18*IF(OR($C18=8,$G18=8),0,1)</f>
        <v/>
      </c>
      <c r="DE19">
        <f>DE18*IF(OR($C18=9,$G18=9),0,1)</f>
        <v/>
      </c>
      <c r="DF19">
        <f>DF18*IF(OR($C18=10,$G18=10),0,1)</f>
        <v/>
      </c>
      <c r="DG19">
        <f>DG18*IF(OR($C18=11,$G18=11),0,1)</f>
        <v/>
      </c>
      <c r="DH19">
        <f>DH18*IF(OR($C18=12,$G18=12),0,1)</f>
        <v/>
      </c>
      <c r="DI19">
        <f>DI18*IF(OR($C18=13,$G18=13),0,1)</f>
        <v/>
      </c>
      <c r="DJ19">
        <f>DJ18*IF(OR($C18=14,$G18=14),0,1)</f>
        <v/>
      </c>
      <c r="DK19">
        <f>DK18*IF(OR($C18=15,$G18=15),0,1)</f>
        <v/>
      </c>
      <c r="DL19">
        <f>DL18*IF(OR($C18=16,$G18=16),0,1)</f>
        <v/>
      </c>
      <c r="DM19">
        <f>DM18*IF(OR($C18=17,$G18=17),0,1)</f>
        <v/>
      </c>
      <c r="DN19">
        <f>DN18*IF(OR($C18=18,$G18=18),0,1)</f>
        <v/>
      </c>
      <c r="DO19">
        <f>DO18*IF(OR($C18=19,$G18=19),0,1)</f>
        <v/>
      </c>
      <c r="DP19">
        <f>DP18*IF(OR($C18=20,$G18=20),0,1)</f>
        <v/>
      </c>
      <c r="DQ19">
        <f>DQ18*IF(OR($C18=21,$G18=21),0,1)</f>
        <v/>
      </c>
      <c r="DR19">
        <f>DR18*IF(OR($C18=22,$G18=22),0,1)</f>
        <v/>
      </c>
      <c r="DS19">
        <f>DS18*IF(OR($C18=23,$G18=23),0,1)</f>
        <v/>
      </c>
      <c r="DT19">
        <f>DT18*IF(OR($C18=24,$G18=24),0,1)</f>
        <v/>
      </c>
      <c r="DU19">
        <f>DU18*IF(OR($C18=25,$G18=25),0,1)</f>
        <v/>
      </c>
      <c r="DV19">
        <f>DV18*IF(OR($C18=26,$G18=26),0,1)</f>
        <v/>
      </c>
      <c r="DW19">
        <f>DW18*IF(OR($C18=27,$G18=27),0,1)</f>
        <v/>
      </c>
      <c r="DX19">
        <f>DX18*IF(OR($C18=28,$G18=28),0,1)</f>
        <v/>
      </c>
      <c r="DY19">
        <f>DY18*IF(OR($C18=29,$G18=29),0,1)</f>
        <v/>
      </c>
      <c r="DZ19">
        <f>DZ18*IF(OR($C18=30,$G18=30),0,1)</f>
        <v/>
      </c>
      <c r="EA19">
        <f>EA18*IF(OR($C18=31,$G18=31),0,1)</f>
        <v/>
      </c>
      <c r="EB19">
        <f>EB18*IF(OR($C18=32,$G18=32),0,1)</f>
        <v/>
      </c>
      <c r="EC19">
        <f>EC18*IF(OR($C18=33,$G18=33),0,1)</f>
        <v/>
      </c>
      <c r="ED19">
        <f>ED18*IF(OR($C18=34,$G18=34),0,1)</f>
        <v/>
      </c>
      <c r="EE19">
        <f>EE18*IF(OR($C18=35,$G18=35),0,1)</f>
        <v/>
      </c>
      <c r="EF19">
        <f>EF18*IF(OR($C18=36,$G18=36),0,1)</f>
        <v/>
      </c>
      <c r="EG19">
        <f>EG18*IF(OR($C18=37,$G18=37),0,1)</f>
        <v/>
      </c>
      <c r="EH19">
        <f>EH18*IF(OR($C18=38,$G18=38),0,1)</f>
        <v/>
      </c>
      <c r="EI19">
        <f>EI18*IF(OR($C18=39,$G18=39),0,1)</f>
        <v/>
      </c>
      <c r="EJ19">
        <f>EJ18*IF(OR($C18=40,$G18=40),0,1)</f>
        <v/>
      </c>
      <c r="EK19">
        <f>EK18*IF(OR($C18=41,$G18=41),0,1)</f>
        <v/>
      </c>
      <c r="EL19">
        <f>EL18*IF(OR($C18=42,$G18=42),0,1)</f>
        <v/>
      </c>
      <c r="EM19">
        <f>EM18*IF(OR($C18=43,$G18=43),0,1)</f>
        <v/>
      </c>
      <c r="EN19">
        <f>EN18*IF(OR($C18=44,$G18=44),0,1)</f>
        <v/>
      </c>
      <c r="EO19">
        <f>EO18*IF(OR($C18=45,$G18=45),0,1)</f>
        <v/>
      </c>
      <c r="EP19">
        <f>EP18*IF(OR($C18=46,$G18=46),0,1)</f>
        <v/>
      </c>
      <c r="EQ19">
        <f>EQ18*IF(OR($C18=47,$G18=47),0,1)</f>
        <v/>
      </c>
      <c r="ER19">
        <f>ER18*IF(OR($C18=48,$G18=48),0,1)</f>
        <v/>
      </c>
      <c r="ES19">
        <f>ES18*IF(OR($C18=49,$G18=49),0,1)</f>
        <v/>
      </c>
      <c r="ET19">
        <f>ET18*IF(OR($C18=50,$G18=50),0,1)</f>
        <v/>
      </c>
      <c r="EU19">
        <f>EU18*IF(OR($C18=51,$G18=51),0,1)</f>
        <v/>
      </c>
      <c r="EV19">
        <f>EV18*IF(OR($C18=52,$G18=52),0,1)</f>
        <v/>
      </c>
      <c r="EW19">
        <f>EW18*IF(OR($C18=53,$G18=53),0,1)</f>
        <v/>
      </c>
      <c r="EX19">
        <f>EX18*IF(OR($C18=54,$G18=54),0,1)</f>
        <v/>
      </c>
      <c r="EY19">
        <f>EY18*IF(OR($C18=55,$G18=55),0,1)</f>
        <v/>
      </c>
      <c r="EZ19">
        <f>EZ18*IF(OR($C18=56,$G18=56),0,1)</f>
        <v/>
      </c>
      <c r="FA19">
        <f>FA18*IF(OR($C18=57,$G18=57),0,1)</f>
        <v/>
      </c>
      <c r="FB19">
        <f>FB18*IF(OR($C18=58,$G18=58),0,1)</f>
        <v/>
      </c>
      <c r="FC19">
        <f>FC18*IF(OR($C18=59,$G18=59),0,1)</f>
        <v/>
      </c>
      <c r="FD19">
        <f>FD18*IF(OR($C18=60,$G18=60),0,1)</f>
        <v/>
      </c>
      <c r="FE19">
        <f>FE18*IF(OR($C18=61,$G18=61),0,1)</f>
        <v/>
      </c>
      <c r="FF19">
        <f>FF18*IF(OR($C18=62,$G18=62),0,1)</f>
        <v/>
      </c>
      <c r="FG19">
        <f>FG18*IF(OR($C18=63,$G18=63),0,1)</f>
        <v/>
      </c>
      <c r="FH19">
        <f>FH18*IF(OR($C18=64,$G18=64),0,1)</f>
        <v/>
      </c>
      <c r="FI19">
        <f>FI18*IF(OR($C18=65,$G18=65),0,1)</f>
        <v/>
      </c>
      <c r="FJ19">
        <f>FJ18*IF(OR($C18=66,$G18=66),0,1)</f>
        <v/>
      </c>
      <c r="FK19">
        <f>FK18*IF(OR($C18=67,$G18=67),0,1)</f>
        <v/>
      </c>
      <c r="FL19">
        <f>FL18*IF(OR($C18=68,$G18=68),0,1)</f>
        <v/>
      </c>
      <c r="FM19">
        <f>FM18*IF(OR($C18=69,$G18=69),0,1)</f>
        <v/>
      </c>
      <c r="FN19">
        <f>FN18*IF(OR($C18=70,$G18=70),0,1)</f>
        <v/>
      </c>
      <c r="FO19">
        <f>FO18*IF(OR($C18=71,$G18=71),0,1)</f>
        <v/>
      </c>
      <c r="FP19">
        <f>FP18*IF(OR($C18=72,$G18=72),0,1)</f>
        <v/>
      </c>
      <c r="FQ19">
        <f>FQ18*IF(OR($C18=73,$G18=73),0,1)</f>
        <v/>
      </c>
      <c r="FR19">
        <f>FR18*IF(OR($C18=74,$G18=74),0,1)</f>
        <v/>
      </c>
      <c r="FS19">
        <f>FS18*IF(OR($C18=75,$G18=75),0,1)</f>
        <v/>
      </c>
      <c r="FT19">
        <f>FT18*IF(OR($C18=76,$G18=76),0,1)</f>
        <v/>
      </c>
      <c r="FU19">
        <f>FU18*IF(OR($C18=77,$G18=77),0,1)</f>
        <v/>
      </c>
      <c r="FV19">
        <f>FV18*IF(OR($C18=78,$G18=78),0,1)</f>
        <v/>
      </c>
      <c r="FW19">
        <f>FW18*IF(OR($C18=79,$G18=79),0,1)</f>
        <v/>
      </c>
      <c r="FX19">
        <f>FX18*IF(OR($C18=80,$G18=80),0,1)</f>
        <v/>
      </c>
      <c r="FY19">
        <f>FY18*IF(OR($C18=81,$G18=81),0,1)</f>
        <v/>
      </c>
      <c r="FZ19">
        <f>FZ18*IF(OR($C18=82,$G18=82),0,1)</f>
        <v/>
      </c>
      <c r="GA19">
        <f>GA18*IF(OR($C18=83,$G18=83),0,1)</f>
        <v/>
      </c>
      <c r="GB19">
        <f>GB18*IF(OR($C18=84,$G18=84),0,1)</f>
        <v/>
      </c>
      <c r="GC19">
        <f>GC18*IF(OR($C18=85,$G18=85),0,1)</f>
        <v/>
      </c>
      <c r="GD19">
        <f>GD18*IF(OR($C18=86,$G18=86),0,1)</f>
        <v/>
      </c>
      <c r="GE19">
        <f>GE18*IF(OR($C18=87,$G18=87),0,1)</f>
        <v/>
      </c>
      <c r="GF19">
        <f>GF18*IF(OR($C18=88,$G18=88),0,1)</f>
        <v/>
      </c>
      <c r="GG19">
        <f>GG18*IF(OR($C18=89,$G18=89),0,1)</f>
        <v/>
      </c>
      <c r="GH19">
        <f>GH18*IF(OR($C18=90,$G18=90),0,1)</f>
        <v/>
      </c>
      <c r="GI19">
        <f>GI18*IF(OR($C18=91,$G18=91),0,1)</f>
        <v/>
      </c>
      <c r="GJ19">
        <f>GJ18*IF(OR($C18=92,$G18=92),0,1)</f>
        <v/>
      </c>
      <c r="GK19">
        <f>GK18*IF(OR($C18=93,$G18=93),0,1)</f>
        <v/>
      </c>
      <c r="GL19">
        <f>GL18*IF(OR($C18=94,$G18=94),0,1)</f>
        <v/>
      </c>
      <c r="GM19">
        <f>GM18*IF(OR($C18=95,$G18=95),0,1)</f>
        <v/>
      </c>
      <c r="GN19">
        <f>GN18*IF(OR($C18=96,$G18=96),0,1)</f>
        <v/>
      </c>
      <c r="GO19">
        <f>GO18*IF(OR($C18=97,$G18=97),0,1)</f>
        <v/>
      </c>
      <c r="GP19">
        <f>GP18*IF(OR($C18=98,$G18=98),0,1)</f>
        <v/>
      </c>
      <c r="GQ19">
        <f>GQ18*IF(OR($C18=99,$G18=99),0,1)</f>
        <v/>
      </c>
      <c r="GR19">
        <f>GR18*IF(OR($C18=100,$G18=100),0,1)</f>
        <v/>
      </c>
      <c r="GS19">
        <f>GS18*IF(OR($C18=101,$G18=101),0,1)</f>
        <v/>
      </c>
      <c r="GT19">
        <f>GT18*IF(OR($C18=102,$G18=102),0,1)</f>
        <v/>
      </c>
      <c r="GU19">
        <f>GU18*IF(OR($C18=103,$G18=103),0,1)</f>
        <v/>
      </c>
      <c r="GV19">
        <f>GV18*IF(OR($C18=104,$G18=104),0,1)</f>
        <v/>
      </c>
      <c r="GW19">
        <f>GW18*IF(OR($C18=105,$G18=105),0,1)</f>
        <v/>
      </c>
      <c r="GX19">
        <f>GX18*IF(OR($C18=106,$G18=106),0,1)</f>
        <v/>
      </c>
      <c r="GY19">
        <f>GY18*IF(OR($C18=107,$G18=107),0,1)</f>
        <v/>
      </c>
      <c r="GZ19">
        <f>GZ18*IF(OR($C18=108,$G18=108),0,1)</f>
        <v/>
      </c>
      <c r="HA19">
        <f>HA18*IF(OR($C18=109,$G18=109),0,1)</f>
        <v/>
      </c>
      <c r="HB19">
        <f>HB18*IF(OR($C18=110,$G18=110),0,1)</f>
        <v/>
      </c>
      <c r="HC19">
        <f>HC18*IF(OR($C18=111,$G18=111),0,1)</f>
        <v/>
      </c>
      <c r="HD19">
        <f>HD18*IF(OR($C18=112,$G18=112),0,1)</f>
        <v/>
      </c>
      <c r="HE19">
        <f>HE18*IF(OR($C18=113,$G18=113),0,1)</f>
        <v/>
      </c>
      <c r="HF19">
        <f>HF18*IF(OR($C18=114,$G18=114),0,1)</f>
        <v/>
      </c>
      <c r="HG19">
        <f>HG18*IF(OR($C18=115,$G18=115),0,1)</f>
        <v/>
      </c>
      <c r="HH19">
        <f>HH18*IF(OR($C18=116,$G18=116),0,1)</f>
        <v/>
      </c>
      <c r="HI19">
        <f>HI18*IF(OR($C18=117,$G18=117),0,1)</f>
        <v/>
      </c>
      <c r="HJ19">
        <f>HJ18*IF(OR($C18=118,$G18=118),0,1)</f>
        <v/>
      </c>
      <c r="HK19">
        <f>HK18*IF(OR($C18=119,$G18=119),0,1)</f>
        <v/>
      </c>
      <c r="HL19">
        <f>HL18*IF(OR($C18=120,$G18=120),0,1)</f>
        <v/>
      </c>
      <c r="HN19">
        <f>IF('計算A'!D$106=1,CX19,1)</f>
        <v/>
      </c>
      <c r="HO19">
        <f>IF('計算A'!E$106=1,CY19,1)</f>
        <v/>
      </c>
      <c r="HP19">
        <f>IF('計算A'!F$106=1,CZ19,1)</f>
        <v/>
      </c>
      <c r="HQ19">
        <f>IF('計算A'!G$106=1,DA19,1)</f>
        <v/>
      </c>
      <c r="HR19">
        <f>IF('計算A'!H$106=1,DB19,1)</f>
        <v/>
      </c>
      <c r="HS19">
        <f>IF('計算A'!I$106=1,DC19,1)</f>
        <v/>
      </c>
      <c r="HT19">
        <f>IF('計算A'!J$106=1,DD19,1)</f>
        <v/>
      </c>
      <c r="HU19">
        <f>IF('計算A'!K$106=1,DE19,1)</f>
        <v/>
      </c>
      <c r="HV19">
        <f>IF('計算A'!L$106=1,DF19,1)</f>
        <v/>
      </c>
      <c r="HW19">
        <f>IF('計算A'!M$106=1,DG19,1)</f>
        <v/>
      </c>
      <c r="HX19">
        <f>IF('計算A'!N$106=1,DH19,1)</f>
        <v/>
      </c>
      <c r="HY19">
        <f>IF('計算A'!O$106=1,DI19,1)</f>
        <v/>
      </c>
      <c r="HZ19">
        <f>IF('計算A'!P$106=1,DJ19,1)</f>
        <v/>
      </c>
      <c r="IA19">
        <f>IF('計算A'!Q$106=1,DK19,1)</f>
        <v/>
      </c>
      <c r="IB19">
        <f>IF('計算A'!R$106=1,DL19,1)</f>
        <v/>
      </c>
      <c r="IC19">
        <f>IF('計算A'!S$106=1,DM19,1)</f>
        <v/>
      </c>
      <c r="ID19">
        <f>IF('計算A'!T$106=1,DN19,1)</f>
        <v/>
      </c>
      <c r="IE19">
        <f>IF('計算A'!U$106=1,DO19,1)</f>
        <v/>
      </c>
      <c r="IF19">
        <f>IF('計算A'!V$106=1,DP19,1)</f>
        <v/>
      </c>
      <c r="IG19">
        <f>IF('計算A'!W$106=1,DQ19,1)</f>
        <v/>
      </c>
      <c r="IH19">
        <f>IF('計算A'!X$106=1,DR19,1)</f>
        <v/>
      </c>
      <c r="II19">
        <f>IF('計算A'!Y$106=1,DS19,1)</f>
        <v/>
      </c>
      <c r="IJ19">
        <f>IF('計算A'!Z$106=1,DT19,1)</f>
        <v/>
      </c>
      <c r="IK19">
        <f>IF('計算A'!AA$106=1,DU19,1)</f>
        <v/>
      </c>
      <c r="IL19">
        <f>IF('計算A'!AB$106=1,DV19,1)</f>
        <v/>
      </c>
      <c r="IM19">
        <f>IF('計算A'!AC$106=1,DW19,1)</f>
        <v/>
      </c>
      <c r="IN19">
        <f>IF('計算A'!AD$106=1,DX19,1)</f>
        <v/>
      </c>
      <c r="IO19">
        <f>IF('計算A'!AE$106=1,DY19,1)</f>
        <v/>
      </c>
      <c r="IP19">
        <f>IF('計算A'!AF$106=1,DZ19,1)</f>
        <v/>
      </c>
      <c r="IQ19">
        <f>IF('計算A'!AG$106=1,EA19,1)</f>
        <v/>
      </c>
      <c r="IR19">
        <f>IF('計算A'!AH$106=1,EB19,1)</f>
        <v/>
      </c>
      <c r="IS19">
        <f>IF('計算A'!AI$106=1,EC19,1)</f>
        <v/>
      </c>
      <c r="IT19">
        <f>IF('計算A'!AJ$106=1,ED19,1)</f>
        <v/>
      </c>
      <c r="IU19">
        <f>IF('計算A'!AK$106=1,EE19,1)</f>
        <v/>
      </c>
      <c r="IV19">
        <f>IF('計算A'!AL$106=1,EF19,1)</f>
        <v/>
      </c>
      <c r="IW19">
        <f>IF('計算A'!AM$106=1,EG19,1)</f>
        <v/>
      </c>
      <c r="IX19">
        <f>IF('計算A'!AN$106=1,EH19,1)</f>
        <v/>
      </c>
      <c r="IY19">
        <f>IF('計算A'!AO$106=1,EI19,1)</f>
        <v/>
      </c>
      <c r="IZ19">
        <f>IF('計算A'!AP$106=1,EJ19,1)</f>
        <v/>
      </c>
      <c r="JA19">
        <f>IF('計算A'!AQ$106=1,EK19,1)</f>
        <v/>
      </c>
      <c r="JB19">
        <f>IF('計算A'!AR$106=1,EL19,1)</f>
        <v/>
      </c>
      <c r="JC19">
        <f>IF('計算A'!AS$106=1,EM19,1)</f>
        <v/>
      </c>
      <c r="JD19">
        <f>IF('計算A'!AT$106=1,EN19,1)</f>
        <v/>
      </c>
      <c r="JE19">
        <f>IF('計算A'!AU$106=1,EO19,1)</f>
        <v/>
      </c>
      <c r="JF19">
        <f>IF('計算A'!AV$106=1,EP19,1)</f>
        <v/>
      </c>
      <c r="JG19">
        <f>IF('計算A'!AW$106=1,EQ19,1)</f>
        <v/>
      </c>
      <c r="JH19">
        <f>IF('計算A'!AX$106=1,ER19,1)</f>
        <v/>
      </c>
      <c r="JI19">
        <f>IF('計算A'!AY$106=1,ES19,1)</f>
        <v/>
      </c>
      <c r="JJ19">
        <f>IF('計算A'!AZ$106=1,ET19,1)</f>
        <v/>
      </c>
      <c r="JK19">
        <f>IF('計算A'!BA$106=1,EU19,1)</f>
        <v/>
      </c>
      <c r="JL19">
        <f>IF('計算A'!BB$106=1,EV19,1)</f>
        <v/>
      </c>
      <c r="JM19">
        <f>IF('計算A'!BC$106=1,EW19,1)</f>
        <v/>
      </c>
      <c r="JN19">
        <f>IF('計算A'!BD$106=1,EX19,1)</f>
        <v/>
      </c>
      <c r="JO19">
        <f>IF('計算A'!BE$106=1,EY19,1)</f>
        <v/>
      </c>
      <c r="JP19">
        <f>IF('計算A'!BF$106=1,EZ19,1)</f>
        <v/>
      </c>
      <c r="JQ19">
        <f>IF('計算A'!BG$106=1,FA19,1)</f>
        <v/>
      </c>
      <c r="JR19">
        <f>IF('計算A'!BH$106=1,FB19,1)</f>
        <v/>
      </c>
      <c r="JS19">
        <f>IF('計算A'!BI$106=1,FC19,1)</f>
        <v/>
      </c>
      <c r="JT19">
        <f>IF('計算A'!BJ$106=1,FD19,1)</f>
        <v/>
      </c>
      <c r="JU19">
        <f>IF('計算A'!BK$106=1,FE19,1)</f>
        <v/>
      </c>
      <c r="JV19">
        <f>IF('計算A'!BL$106=1,FF19,1)</f>
        <v/>
      </c>
      <c r="JW19">
        <f>IF('計算A'!BM$106=1,FG19,1)</f>
        <v/>
      </c>
      <c r="JX19">
        <f>IF('計算A'!BN$106=1,FH19,1)</f>
        <v/>
      </c>
      <c r="JY19">
        <f>IF('計算A'!BO$106=1,FI19,1)</f>
        <v/>
      </c>
      <c r="JZ19">
        <f>IF('計算A'!BP$106=1,FJ19,1)</f>
        <v/>
      </c>
      <c r="KA19">
        <f>IF('計算A'!BQ$106=1,FK19,1)</f>
        <v/>
      </c>
      <c r="KB19">
        <f>IF('計算A'!BR$106=1,FL19,1)</f>
        <v/>
      </c>
      <c r="KC19">
        <f>IF('計算A'!BS$106=1,FM19,1)</f>
        <v/>
      </c>
      <c r="KD19">
        <f>IF('計算A'!BT$106=1,FN19,1)</f>
        <v/>
      </c>
      <c r="KE19">
        <f>IF('計算A'!BU$106=1,FO19,1)</f>
        <v/>
      </c>
      <c r="KF19">
        <f>IF('計算A'!BV$106=1,FP19,1)</f>
        <v/>
      </c>
      <c r="KG19">
        <f>IF('計算A'!BW$106=1,FQ19,1)</f>
        <v/>
      </c>
      <c r="KH19">
        <f>IF('計算A'!BX$106=1,FR19,1)</f>
        <v/>
      </c>
      <c r="KI19">
        <f>IF('計算A'!BY$106=1,FS19,1)</f>
        <v/>
      </c>
      <c r="KJ19">
        <f>IF('計算A'!BZ$106=1,FT19,1)</f>
        <v/>
      </c>
      <c r="KK19">
        <f>IF('計算A'!CA$106=1,FU19,1)</f>
        <v/>
      </c>
      <c r="KL19">
        <f>IF('計算A'!CB$106=1,FV19,1)</f>
        <v/>
      </c>
      <c r="KM19">
        <f>IF('計算A'!CC$106=1,FW19,1)</f>
        <v/>
      </c>
      <c r="KN19">
        <f>IF('計算A'!CD$106=1,FX19,1)</f>
        <v/>
      </c>
      <c r="KO19">
        <f>IF('計算A'!CE$106=1,FY19,1)</f>
        <v/>
      </c>
      <c r="KP19">
        <f>IF('計算A'!CF$106=1,FZ19,1)</f>
        <v/>
      </c>
      <c r="KQ19">
        <f>IF('計算A'!CG$106=1,GA19,1)</f>
        <v/>
      </c>
      <c r="KR19">
        <f>IF('計算A'!CH$106=1,GB19,1)</f>
        <v/>
      </c>
      <c r="KS19">
        <f>IF('計算A'!CI$106=1,GC19,1)</f>
        <v/>
      </c>
      <c r="KT19">
        <f>IF('計算A'!CJ$106=1,GD19,1)</f>
        <v/>
      </c>
      <c r="KU19">
        <f>IF('計算A'!CK$106=1,GE19,1)</f>
        <v/>
      </c>
      <c r="KV19">
        <f>IF('計算A'!CL$106=1,GF19,1)</f>
        <v/>
      </c>
      <c r="KW19">
        <f>IF('計算A'!CM$106=1,GG19,1)</f>
        <v/>
      </c>
      <c r="KX19">
        <f>IF('計算A'!CN$106=1,GH19,1)</f>
        <v/>
      </c>
      <c r="KY19">
        <f>IF('計算A'!CO$106=1,GI19,1)</f>
        <v/>
      </c>
      <c r="KZ19">
        <f>IF('計算A'!CP$106=1,GJ19,1)</f>
        <v/>
      </c>
      <c r="LA19">
        <f>IF('計算A'!CQ$106=1,GK19,1)</f>
        <v/>
      </c>
      <c r="LB19">
        <f>IF('計算A'!CR$106=1,GL19,1)</f>
        <v/>
      </c>
      <c r="LC19">
        <f>IF('計算A'!CS$106=1,GM19,1)</f>
        <v/>
      </c>
      <c r="LD19">
        <f>IF('計算A'!CT$106=1,GN19,1)</f>
        <v/>
      </c>
      <c r="LE19">
        <f>IF('計算A'!CU$106=1,GO19,1)</f>
        <v/>
      </c>
      <c r="LF19">
        <f>IF('計算A'!CV$106=1,GP19,1)</f>
        <v/>
      </c>
      <c r="LG19">
        <f>IF('計算A'!CW$106=1,GQ19,1)</f>
        <v/>
      </c>
      <c r="LH19">
        <f>IF('計算A'!CX$106=1,GR19,1)</f>
        <v/>
      </c>
      <c r="LI19">
        <f>IF('計算A'!CY$106=1,GS19,1)</f>
        <v/>
      </c>
      <c r="LJ19">
        <f>IF('計算A'!CZ$106=1,GT19,1)</f>
        <v/>
      </c>
      <c r="LK19">
        <f>IF('計算A'!DA$106=1,GU19,1)</f>
        <v/>
      </c>
      <c r="LL19">
        <f>IF('計算A'!DB$106=1,GV19,1)</f>
        <v/>
      </c>
      <c r="LM19">
        <f>IF('計算A'!DC$106=1,GW19,1)</f>
        <v/>
      </c>
      <c r="LN19">
        <f>IF('計算A'!DD$106=1,GX19,1)</f>
        <v/>
      </c>
      <c r="LO19">
        <f>IF('計算A'!DE$106=1,GY19,1)</f>
        <v/>
      </c>
      <c r="LP19">
        <f>IF('計算A'!DF$106=1,GZ19,1)</f>
        <v/>
      </c>
      <c r="LQ19">
        <f>IF('計算A'!DG$106=1,HA19,1)</f>
        <v/>
      </c>
      <c r="LR19">
        <f>IF('計算A'!DH$106=1,HB19,1)</f>
        <v/>
      </c>
      <c r="LS19">
        <f>IF('計算A'!DI$106=1,HC19,1)</f>
        <v/>
      </c>
      <c r="LT19">
        <f>IF('計算A'!DJ$106=1,HD19,1)</f>
        <v/>
      </c>
      <c r="LU19">
        <f>IF('計算A'!DK$106=1,HE19,1)</f>
        <v/>
      </c>
      <c r="LV19">
        <f>IF('計算A'!DL$106=1,HF19,1)</f>
        <v/>
      </c>
      <c r="LW19">
        <f>IF('計算A'!DM$106=1,HG19,1)</f>
        <v/>
      </c>
      <c r="LX19">
        <f>IF('計算A'!DN$106=1,HH19,1)</f>
        <v/>
      </c>
      <c r="LY19">
        <f>IF('計算A'!DO$106=1,HI19,1)</f>
        <v/>
      </c>
      <c r="LZ19">
        <f>IF('計算A'!DP$106=1,HJ19,1)</f>
        <v/>
      </c>
      <c r="MA19">
        <f>IF('計算A'!DQ$106=1,HK19,1)</f>
        <v/>
      </c>
      <c r="MB19">
        <f>IF('計算A'!DR$106=1,HL19,1)</f>
        <v/>
      </c>
      <c r="MC19" t="n">
        <v>1</v>
      </c>
      <c r="ME19">
        <f>IF($B19=0,1000000,IF(INDEX('計算A'!$D$60:$DS$104,$B19,1)*CW19=1,IF(AND($E19=2,HN19=0),1000000,INDEX('計算A'!D$110:D$114,$F19+1)+IF(AND($E19=1,HN19=0),1000,0)),1000000))</f>
        <v/>
      </c>
      <c r="MF19">
        <f>IF($B19=0,1000000,IF(INDEX('計算A'!$D$60:$DS$104,$B19,2)*CX19=1,IF(AND($E19=2,HO19=0),1000000,INDEX('計算A'!E$110:E$114,$F19+1)+IF(AND($E19=1,HO19=0),1000,0)),1000000))</f>
        <v/>
      </c>
      <c r="MG19">
        <f>IF($B19=0,1000000,IF(INDEX('計算A'!$D$60:$DS$104,$B19,3)*CY19=1,IF(AND($E19=2,HP19=0),1000000,INDEX('計算A'!F$110:F$114,$F19+1)+IF(AND($E19=1,HP19=0),1000,0)),1000000))</f>
        <v/>
      </c>
      <c r="MH19">
        <f>IF($B19=0,1000000,IF(INDEX('計算A'!$D$60:$DS$104,$B19,4)*CZ19=1,IF(AND($E19=2,HQ19=0),1000000,INDEX('計算A'!G$110:G$114,$F19+1)+IF(AND($E19=1,HQ19=0),1000,0)),1000000))</f>
        <v/>
      </c>
      <c r="MI19">
        <f>IF($B19=0,1000000,IF(INDEX('計算A'!$D$60:$DS$104,$B19,5)*DA19=1,IF(AND($E19=2,HR19=0),1000000,INDEX('計算A'!H$110:H$114,$F19+1)+IF(AND($E19=1,HR19=0),1000,0)),1000000))</f>
        <v/>
      </c>
      <c r="MJ19">
        <f>IF($B19=0,1000000,IF(INDEX('計算A'!$D$60:$DS$104,$B19,6)*DB19=1,IF(AND($E19=2,HS19=0),1000000,INDEX('計算A'!I$110:I$114,$F19+1)+IF(AND($E19=1,HS19=0),1000,0)),1000000))</f>
        <v/>
      </c>
      <c r="MK19">
        <f>IF($B19=0,1000000,IF(INDEX('計算A'!$D$60:$DS$104,$B19,7)*DC19=1,IF(AND($E19=2,HT19=0),1000000,INDEX('計算A'!J$110:J$114,$F19+1)+IF(AND($E19=1,HT19=0),1000,0)),1000000))</f>
        <v/>
      </c>
      <c r="ML19">
        <f>IF($B19=0,1000000,IF(INDEX('計算A'!$D$60:$DS$104,$B19,8)*DD19=1,IF(AND($E19=2,HU19=0),1000000,INDEX('計算A'!K$110:K$114,$F19+1)+IF(AND($E19=1,HU19=0),1000,0)),1000000))</f>
        <v/>
      </c>
      <c r="MM19">
        <f>IF($B19=0,1000000,IF(INDEX('計算A'!$D$60:$DS$104,$B19,9)*DE19=1,IF(AND($E19=2,HV19=0),1000000,INDEX('計算A'!L$110:L$114,$F19+1)+IF(AND($E19=1,HV19=0),1000,0)),1000000))</f>
        <v/>
      </c>
      <c r="MN19">
        <f>IF($B19=0,1000000,IF(INDEX('計算A'!$D$60:$DS$104,$B19,10)*DF19=1,IF(AND($E19=2,HW19=0),1000000,INDEX('計算A'!M$110:M$114,$F19+1)+IF(AND($E19=1,HW19=0),1000,0)),1000000))</f>
        <v/>
      </c>
      <c r="MO19">
        <f>IF($B19=0,1000000,IF(INDEX('計算A'!$D$60:$DS$104,$B19,11)*DG19=1,IF(AND($E19=2,HX19=0),1000000,INDEX('計算A'!N$110:N$114,$F19+1)+IF(AND($E19=1,HX19=0),1000,0)),1000000))</f>
        <v/>
      </c>
      <c r="MP19">
        <f>IF($B19=0,1000000,IF(INDEX('計算A'!$D$60:$DS$104,$B19,12)*DH19=1,IF(AND($E19=2,HY19=0),1000000,INDEX('計算A'!O$110:O$114,$F19+1)+IF(AND($E19=1,HY19=0),1000,0)),1000000))</f>
        <v/>
      </c>
      <c r="MQ19">
        <f>IF($B19=0,1000000,IF(INDEX('計算A'!$D$60:$DS$104,$B19,13)*DI19=1,IF(AND($E19=2,HZ19=0),1000000,INDEX('計算A'!P$110:P$114,$F19+1)+IF(AND($E19=1,HZ19=0),1000,0)),1000000))</f>
        <v/>
      </c>
      <c r="MR19">
        <f>IF($B19=0,1000000,IF(INDEX('計算A'!$D$60:$DS$104,$B19,14)*DJ19=1,IF(AND($E19=2,IA19=0),1000000,INDEX('計算A'!Q$110:Q$114,$F19+1)+IF(AND($E19=1,IA19=0),1000,0)),1000000))</f>
        <v/>
      </c>
      <c r="MS19">
        <f>IF($B19=0,1000000,IF(INDEX('計算A'!$D$60:$DS$104,$B19,15)*DK19=1,IF(AND($E19=2,IB19=0),1000000,INDEX('計算A'!R$110:R$114,$F19+1)+IF(AND($E19=1,IB19=0),1000,0)),1000000))</f>
        <v/>
      </c>
      <c r="MT19">
        <f>IF($B19=0,1000000,IF(INDEX('計算A'!$D$60:$DS$104,$B19,16)*DL19=1,IF(AND($E19=2,IC19=0),1000000,INDEX('計算A'!S$110:S$114,$F19+1)+IF(AND($E19=1,IC19=0),1000,0)),1000000))</f>
        <v/>
      </c>
      <c r="MU19">
        <f>IF($B19=0,1000000,IF(INDEX('計算A'!$D$60:$DS$104,$B19,17)*DM19=1,IF(AND($E19=2,ID19=0),1000000,INDEX('計算A'!T$110:T$114,$F19+1)+IF(AND($E19=1,ID19=0),1000,0)),1000000))</f>
        <v/>
      </c>
      <c r="MV19">
        <f>IF($B19=0,1000000,IF(INDEX('計算A'!$D$60:$DS$104,$B19,18)*DN19=1,IF(AND($E19=2,IE19=0),1000000,INDEX('計算A'!U$110:U$114,$F19+1)+IF(AND($E19=1,IE19=0),1000,0)),1000000))</f>
        <v/>
      </c>
      <c r="MW19">
        <f>IF($B19=0,1000000,IF(INDEX('計算A'!$D$60:$DS$104,$B19,19)*DO19=1,IF(AND($E19=2,IF19=0),1000000,INDEX('計算A'!V$110:V$114,$F19+1)+IF(AND($E19=1,IF19=0),1000,0)),1000000))</f>
        <v/>
      </c>
      <c r="MX19">
        <f>IF($B19=0,1000000,IF(INDEX('計算A'!$D$60:$DS$104,$B19,20)*DP19=1,IF(AND($E19=2,IG19=0),1000000,INDEX('計算A'!W$110:W$114,$F19+1)+IF(AND($E19=1,IG19=0),1000,0)),1000000))</f>
        <v/>
      </c>
      <c r="MY19">
        <f>IF($B19=0,1000000,IF(INDEX('計算A'!$D$60:$DS$104,$B19,21)*DQ19=1,IF(AND($E19=2,IH19=0),1000000,INDEX('計算A'!X$110:X$114,$F19+1)+IF(AND($E19=1,IH19=0),1000,0)),1000000))</f>
        <v/>
      </c>
      <c r="MZ19">
        <f>IF($B19=0,1000000,IF(INDEX('計算A'!$D$60:$DS$104,$B19,22)*DR19=1,IF(AND($E19=2,II19=0),1000000,INDEX('計算A'!Y$110:Y$114,$F19+1)+IF(AND($E19=1,II19=0),1000,0)),1000000))</f>
        <v/>
      </c>
      <c r="NA19">
        <f>IF($B19=0,1000000,IF(INDEX('計算A'!$D$60:$DS$104,$B19,23)*DS19=1,IF(AND($E19=2,IJ19=0),1000000,INDEX('計算A'!Z$110:Z$114,$F19+1)+IF(AND($E19=1,IJ19=0),1000,0)),1000000))</f>
        <v/>
      </c>
      <c r="NB19">
        <f>IF($B19=0,1000000,IF(INDEX('計算A'!$D$60:$DS$104,$B19,24)*DT19=1,IF(AND($E19=2,IK19=0),1000000,INDEX('計算A'!AA$110:AA$114,$F19+1)+IF(AND($E19=1,IK19=0),1000,0)),1000000))</f>
        <v/>
      </c>
      <c r="NC19">
        <f>IF($B19=0,1000000,IF(INDEX('計算A'!$D$60:$DS$104,$B19,25)*DU19=1,IF(AND($E19=2,IL19=0),1000000,INDEX('計算A'!AB$110:AB$114,$F19+1)+IF(AND($E19=1,IL19=0),1000,0)),1000000))</f>
        <v/>
      </c>
      <c r="ND19">
        <f>IF($B19=0,1000000,IF(INDEX('計算A'!$D$60:$DS$104,$B19,26)*DV19=1,IF(AND($E19=2,IM19=0),1000000,INDEX('計算A'!AC$110:AC$114,$F19+1)+IF(AND($E19=1,IM19=0),1000,0)),1000000))</f>
        <v/>
      </c>
      <c r="NE19">
        <f>IF($B19=0,1000000,IF(INDEX('計算A'!$D$60:$DS$104,$B19,27)*DW19=1,IF(AND($E19=2,IN19=0),1000000,INDEX('計算A'!AD$110:AD$114,$F19+1)+IF(AND($E19=1,IN19=0),1000,0)),1000000))</f>
        <v/>
      </c>
      <c r="NF19">
        <f>IF($B19=0,1000000,IF(INDEX('計算A'!$D$60:$DS$104,$B19,28)*DX19=1,IF(AND($E19=2,IO19=0),1000000,INDEX('計算A'!AE$110:AE$114,$F19+1)+IF(AND($E19=1,IO19=0),1000,0)),1000000))</f>
        <v/>
      </c>
      <c r="NG19">
        <f>IF($B19=0,1000000,IF(INDEX('計算A'!$D$60:$DS$104,$B19,29)*DY19=1,IF(AND($E19=2,IP19=0),1000000,INDEX('計算A'!AF$110:AF$114,$F19+1)+IF(AND($E19=1,IP19=0),1000,0)),1000000))</f>
        <v/>
      </c>
      <c r="NH19">
        <f>IF($B19=0,1000000,IF(INDEX('計算A'!$D$60:$DS$104,$B19,30)*DZ19=1,IF(AND($E19=2,IQ19=0),1000000,INDEX('計算A'!AG$110:AG$114,$F19+1)+IF(AND($E19=1,IQ19=0),1000,0)),1000000))</f>
        <v/>
      </c>
      <c r="NI19">
        <f>IF($B19=0,1000000,IF(INDEX('計算A'!$D$60:$DS$104,$B19,31)*EA19=1,IF(AND($E19=2,IR19=0),1000000,INDEX('計算A'!AH$110:AH$114,$F19+1)+IF(AND($E19=1,IR19=0),1000,0)),1000000))</f>
        <v/>
      </c>
      <c r="NJ19">
        <f>IF($B19=0,1000000,IF(INDEX('計算A'!$D$60:$DS$104,$B19,32)*EB19=1,IF(AND($E19=2,IS19=0),1000000,INDEX('計算A'!AI$110:AI$114,$F19+1)+IF(AND($E19=1,IS19=0),1000,0)),1000000))</f>
        <v/>
      </c>
      <c r="NK19">
        <f>IF($B19=0,1000000,IF(INDEX('計算A'!$D$60:$DS$104,$B19,33)*EC19=1,IF(AND($E19=2,IT19=0),1000000,INDEX('計算A'!AJ$110:AJ$114,$F19+1)+IF(AND($E19=1,IT19=0),1000,0)),1000000))</f>
        <v/>
      </c>
      <c r="NL19">
        <f>IF($B19=0,1000000,IF(INDEX('計算A'!$D$60:$DS$104,$B19,34)*ED19=1,IF(AND($E19=2,IU19=0),1000000,INDEX('計算A'!AK$110:AK$114,$F19+1)+IF(AND($E19=1,IU19=0),1000,0)),1000000))</f>
        <v/>
      </c>
      <c r="NM19">
        <f>IF($B19=0,1000000,IF(INDEX('計算A'!$D$60:$DS$104,$B19,35)*EE19=1,IF(AND($E19=2,IV19=0),1000000,INDEX('計算A'!AL$110:AL$114,$F19+1)+IF(AND($E19=1,IV19=0),1000,0)),1000000))</f>
        <v/>
      </c>
      <c r="NN19">
        <f>IF($B19=0,1000000,IF(INDEX('計算A'!$D$60:$DS$104,$B19,36)*EF19=1,IF(AND($E19=2,IW19=0),1000000,INDEX('計算A'!AM$110:AM$114,$F19+1)+IF(AND($E19=1,IW19=0),1000,0)),1000000))</f>
        <v/>
      </c>
      <c r="NO19">
        <f>IF($B19=0,1000000,IF(INDEX('計算A'!$D$60:$DS$104,$B19,37)*EG19=1,IF(AND($E19=2,IX19=0),1000000,INDEX('計算A'!AN$110:AN$114,$F19+1)+IF(AND($E19=1,IX19=0),1000,0)),1000000))</f>
        <v/>
      </c>
      <c r="NP19">
        <f>IF($B19=0,1000000,IF(INDEX('計算A'!$D$60:$DS$104,$B19,38)*EH19=1,IF(AND($E19=2,IY19=0),1000000,INDEX('計算A'!AO$110:AO$114,$F19+1)+IF(AND($E19=1,IY19=0),1000,0)),1000000))</f>
        <v/>
      </c>
      <c r="NQ19">
        <f>IF($B19=0,1000000,IF(INDEX('計算A'!$D$60:$DS$104,$B19,39)*EI19=1,IF(AND($E19=2,IZ19=0),1000000,INDEX('計算A'!AP$110:AP$114,$F19+1)+IF(AND($E19=1,IZ19=0),1000,0)),1000000))</f>
        <v/>
      </c>
      <c r="NR19">
        <f>IF($B19=0,1000000,IF(INDEX('計算A'!$D$60:$DS$104,$B19,40)*EJ19=1,IF(AND($E19=2,JA19=0),1000000,INDEX('計算A'!AQ$110:AQ$114,$F19+1)+IF(AND($E19=1,JA19=0),1000,0)),1000000))</f>
        <v/>
      </c>
      <c r="NS19">
        <f>IF($B19=0,1000000,IF(INDEX('計算A'!$D$60:$DS$104,$B19,41)*EK19=1,IF(AND($E19=2,JB19=0),1000000,INDEX('計算A'!AR$110:AR$114,$F19+1)+IF(AND($E19=1,JB19=0),1000,0)),1000000))</f>
        <v/>
      </c>
      <c r="NT19">
        <f>IF($B19=0,1000000,IF(INDEX('計算A'!$D$60:$DS$104,$B19,42)*EL19=1,IF(AND($E19=2,JC19=0),1000000,INDEX('計算A'!AS$110:AS$114,$F19+1)+IF(AND($E19=1,JC19=0),1000,0)),1000000))</f>
        <v/>
      </c>
      <c r="NU19">
        <f>IF($B19=0,1000000,IF(INDEX('計算A'!$D$60:$DS$104,$B19,43)*EM19=1,IF(AND($E19=2,JD19=0),1000000,INDEX('計算A'!AT$110:AT$114,$F19+1)+IF(AND($E19=1,JD19=0),1000,0)),1000000))</f>
        <v/>
      </c>
      <c r="NV19">
        <f>IF($B19=0,1000000,IF(INDEX('計算A'!$D$60:$DS$104,$B19,44)*EN19=1,IF(AND($E19=2,JE19=0),1000000,INDEX('計算A'!AU$110:AU$114,$F19+1)+IF(AND($E19=1,JE19=0),1000,0)),1000000))</f>
        <v/>
      </c>
      <c r="NW19">
        <f>IF($B19=0,1000000,IF(INDEX('計算A'!$D$60:$DS$104,$B19,45)*EO19=1,IF(AND($E19=2,JF19=0),1000000,INDEX('計算A'!AV$110:AV$114,$F19+1)+IF(AND($E19=1,JF19=0),1000,0)),1000000))</f>
        <v/>
      </c>
      <c r="NX19">
        <f>IF($B19=0,1000000,IF(INDEX('計算A'!$D$60:$DS$104,$B19,46)*EP19=1,IF(AND($E19=2,JG19=0),1000000,INDEX('計算A'!AW$110:AW$114,$F19+1)+IF(AND($E19=1,JG19=0),1000,0)),1000000))</f>
        <v/>
      </c>
      <c r="NY19">
        <f>IF($B19=0,1000000,IF(INDEX('計算A'!$D$60:$DS$104,$B19,47)*EQ19=1,IF(AND($E19=2,JH19=0),1000000,INDEX('計算A'!AX$110:AX$114,$F19+1)+IF(AND($E19=1,JH19=0),1000,0)),1000000))</f>
        <v/>
      </c>
      <c r="NZ19">
        <f>IF($B19=0,1000000,IF(INDEX('計算A'!$D$60:$DS$104,$B19,48)*ER19=1,IF(AND($E19=2,JI19=0),1000000,INDEX('計算A'!AY$110:AY$114,$F19+1)+IF(AND($E19=1,JI19=0),1000,0)),1000000))</f>
        <v/>
      </c>
      <c r="OA19">
        <f>IF($B19=0,1000000,IF(INDEX('計算A'!$D$60:$DS$104,$B19,49)*ES19=1,IF(AND($E19=2,JJ19=0),1000000,INDEX('計算A'!AZ$110:AZ$114,$F19+1)+IF(AND($E19=1,JJ19=0),1000,0)),1000000))</f>
        <v/>
      </c>
      <c r="OB19">
        <f>IF($B19=0,1000000,IF(INDEX('計算A'!$D$60:$DS$104,$B19,50)*ET19=1,IF(AND($E19=2,JK19=0),1000000,INDEX('計算A'!BA$110:BA$114,$F19+1)+IF(AND($E19=1,JK19=0),1000,0)),1000000))</f>
        <v/>
      </c>
      <c r="OC19">
        <f>IF($B19=0,1000000,IF(INDEX('計算A'!$D$60:$DS$104,$B19,51)*EU19=1,IF(AND($E19=2,JL19=0),1000000,INDEX('計算A'!BB$110:BB$114,$F19+1)+IF(AND($E19=1,JL19=0),1000,0)),1000000))</f>
        <v/>
      </c>
      <c r="OD19">
        <f>IF($B19=0,1000000,IF(INDEX('計算A'!$D$60:$DS$104,$B19,52)*EV19=1,IF(AND($E19=2,JM19=0),1000000,INDEX('計算A'!BC$110:BC$114,$F19+1)+IF(AND($E19=1,JM19=0),1000,0)),1000000))</f>
        <v/>
      </c>
      <c r="OE19">
        <f>IF($B19=0,1000000,IF(INDEX('計算A'!$D$60:$DS$104,$B19,53)*EW19=1,IF(AND($E19=2,JN19=0),1000000,INDEX('計算A'!BD$110:BD$114,$F19+1)+IF(AND($E19=1,JN19=0),1000,0)),1000000))</f>
        <v/>
      </c>
      <c r="OF19">
        <f>IF($B19=0,1000000,IF(INDEX('計算A'!$D$60:$DS$104,$B19,54)*EX19=1,IF(AND($E19=2,JO19=0),1000000,INDEX('計算A'!BE$110:BE$114,$F19+1)+IF(AND($E19=1,JO19=0),1000,0)),1000000))</f>
        <v/>
      </c>
      <c r="OG19">
        <f>IF($B19=0,1000000,IF(INDEX('計算A'!$D$60:$DS$104,$B19,55)*EY19=1,IF(AND($E19=2,JP19=0),1000000,INDEX('計算A'!BF$110:BF$114,$F19+1)+IF(AND($E19=1,JP19=0),1000,0)),1000000))</f>
        <v/>
      </c>
      <c r="OH19">
        <f>IF($B19=0,1000000,IF(INDEX('計算A'!$D$60:$DS$104,$B19,56)*EZ19=1,IF(AND($E19=2,JQ19=0),1000000,INDEX('計算A'!BG$110:BG$114,$F19+1)+IF(AND($E19=1,JQ19=0),1000,0)),1000000))</f>
        <v/>
      </c>
      <c r="OI19">
        <f>IF($B19=0,1000000,IF(INDEX('計算A'!$D$60:$DS$104,$B19,57)*FA19=1,IF(AND($E19=2,JR19=0),1000000,INDEX('計算A'!BH$110:BH$114,$F19+1)+IF(AND($E19=1,JR19=0),1000,0)),1000000))</f>
        <v/>
      </c>
      <c r="OJ19">
        <f>IF($B19=0,1000000,IF(INDEX('計算A'!$D$60:$DS$104,$B19,58)*FB19=1,IF(AND($E19=2,JS19=0),1000000,INDEX('計算A'!BI$110:BI$114,$F19+1)+IF(AND($E19=1,JS19=0),1000,0)),1000000))</f>
        <v/>
      </c>
      <c r="OK19">
        <f>IF($B19=0,1000000,IF(INDEX('計算A'!$D$60:$DS$104,$B19,59)*FC19=1,IF(AND($E19=2,JT19=0),1000000,INDEX('計算A'!BJ$110:BJ$114,$F19+1)+IF(AND($E19=1,JT19=0),1000,0)),1000000))</f>
        <v/>
      </c>
      <c r="OL19">
        <f>IF($B19=0,1000000,IF(INDEX('計算A'!$D$60:$DS$104,$B19,60)*FD19=1,IF(AND($E19=2,JU19=0),1000000,INDEX('計算A'!BK$110:BK$114,$F19+1)+IF(AND($E19=1,JU19=0),1000,0)),1000000))</f>
        <v/>
      </c>
      <c r="OM19">
        <f>IF($B19=0,1000000,IF(INDEX('計算A'!$D$60:$DS$104,$B19,61)*FE19=1,IF(AND($E19=2,JV19=0),1000000,INDEX('計算A'!BL$110:BL$114,$F19+1)+IF(AND($E19=1,JV19=0),1000,0)),1000000))</f>
        <v/>
      </c>
      <c r="ON19">
        <f>IF($B19=0,1000000,IF(INDEX('計算A'!$D$60:$DS$104,$B19,62)*FF19=1,IF(AND($E19=2,JW19=0),1000000,INDEX('計算A'!BM$110:BM$114,$F19+1)+IF(AND($E19=1,JW19=0),1000,0)),1000000))</f>
        <v/>
      </c>
      <c r="OO19">
        <f>IF($B19=0,1000000,IF(INDEX('計算A'!$D$60:$DS$104,$B19,63)*FG19=1,IF(AND($E19=2,JX19=0),1000000,INDEX('計算A'!BN$110:BN$114,$F19+1)+IF(AND($E19=1,JX19=0),1000,0)),1000000))</f>
        <v/>
      </c>
      <c r="OP19">
        <f>IF($B19=0,1000000,IF(INDEX('計算A'!$D$60:$DS$104,$B19,64)*FH19=1,IF(AND($E19=2,JY19=0),1000000,INDEX('計算A'!BO$110:BO$114,$F19+1)+IF(AND($E19=1,JY19=0),1000,0)),1000000))</f>
        <v/>
      </c>
      <c r="OQ19">
        <f>IF($B19=0,1000000,IF(INDEX('計算A'!$D$60:$DS$104,$B19,65)*FI19=1,IF(AND($E19=2,JZ19=0),1000000,INDEX('計算A'!BP$110:BP$114,$F19+1)+IF(AND($E19=1,JZ19=0),1000,0)),1000000))</f>
        <v/>
      </c>
      <c r="OR19">
        <f>IF($B19=0,1000000,IF(INDEX('計算A'!$D$60:$DS$104,$B19,66)*FJ19=1,IF(AND($E19=2,KA19=0),1000000,INDEX('計算A'!BQ$110:BQ$114,$F19+1)+IF(AND($E19=1,KA19=0),1000,0)),1000000))</f>
        <v/>
      </c>
      <c r="OS19">
        <f>IF($B19=0,1000000,IF(INDEX('計算A'!$D$60:$DS$104,$B19,67)*FK19=1,IF(AND($E19=2,KB19=0),1000000,INDEX('計算A'!BR$110:BR$114,$F19+1)+IF(AND($E19=1,KB19=0),1000,0)),1000000))</f>
        <v/>
      </c>
      <c r="OT19">
        <f>IF($B19=0,1000000,IF(INDEX('計算A'!$D$60:$DS$104,$B19,68)*FL19=1,IF(AND($E19=2,KC19=0),1000000,INDEX('計算A'!BS$110:BS$114,$F19+1)+IF(AND($E19=1,KC19=0),1000,0)),1000000))</f>
        <v/>
      </c>
      <c r="OU19">
        <f>IF($B19=0,1000000,IF(INDEX('計算A'!$D$60:$DS$104,$B19,69)*FM19=1,IF(AND($E19=2,KD19=0),1000000,INDEX('計算A'!BT$110:BT$114,$F19+1)+IF(AND($E19=1,KD19=0),1000,0)),1000000))</f>
        <v/>
      </c>
      <c r="OV19">
        <f>IF($B19=0,1000000,IF(INDEX('計算A'!$D$60:$DS$104,$B19,70)*FN19=1,IF(AND($E19=2,KE19=0),1000000,INDEX('計算A'!BU$110:BU$114,$F19+1)+IF(AND($E19=1,KE19=0),1000,0)),1000000))</f>
        <v/>
      </c>
      <c r="OW19">
        <f>IF($B19=0,1000000,IF(INDEX('計算A'!$D$60:$DS$104,$B19,71)*FO19=1,IF(AND($E19=2,KF19=0),1000000,INDEX('計算A'!BV$110:BV$114,$F19+1)+IF(AND($E19=1,KF19=0),1000,0)),1000000))</f>
        <v/>
      </c>
      <c r="OX19">
        <f>IF($B19=0,1000000,IF(INDEX('計算A'!$D$60:$DS$104,$B19,72)*FP19=1,IF(AND($E19=2,KG19=0),1000000,INDEX('計算A'!BW$110:BW$114,$F19+1)+IF(AND($E19=1,KG19=0),1000,0)),1000000))</f>
        <v/>
      </c>
      <c r="OY19">
        <f>IF($B19=0,1000000,IF(INDEX('計算A'!$D$60:$DS$104,$B19,73)*FQ19=1,IF(AND($E19=2,KH19=0),1000000,INDEX('計算A'!BX$110:BX$114,$F19+1)+IF(AND($E19=1,KH19=0),1000,0)),1000000))</f>
        <v/>
      </c>
      <c r="OZ19">
        <f>IF($B19=0,1000000,IF(INDEX('計算A'!$D$60:$DS$104,$B19,74)*FR19=1,IF(AND($E19=2,KI19=0),1000000,INDEX('計算A'!BY$110:BY$114,$F19+1)+IF(AND($E19=1,KI19=0),1000,0)),1000000))</f>
        <v/>
      </c>
      <c r="PA19">
        <f>IF($B19=0,1000000,IF(INDEX('計算A'!$D$60:$DS$104,$B19,75)*FS19=1,IF(AND($E19=2,KJ19=0),1000000,INDEX('計算A'!BZ$110:BZ$114,$F19+1)+IF(AND($E19=1,KJ19=0),1000,0)),1000000))</f>
        <v/>
      </c>
      <c r="PB19">
        <f>IF($B19=0,1000000,IF(INDEX('計算A'!$D$60:$DS$104,$B19,76)*FT19=1,IF(AND($E19=2,KK19=0),1000000,INDEX('計算A'!CA$110:CA$114,$F19+1)+IF(AND($E19=1,KK19=0),1000,0)),1000000))</f>
        <v/>
      </c>
      <c r="PC19">
        <f>IF($B19=0,1000000,IF(INDEX('計算A'!$D$60:$DS$104,$B19,77)*FU19=1,IF(AND($E19=2,KL19=0),1000000,INDEX('計算A'!CB$110:CB$114,$F19+1)+IF(AND($E19=1,KL19=0),1000,0)),1000000))</f>
        <v/>
      </c>
      <c r="PD19">
        <f>IF($B19=0,1000000,IF(INDEX('計算A'!$D$60:$DS$104,$B19,78)*FV19=1,IF(AND($E19=2,KM19=0),1000000,INDEX('計算A'!CC$110:CC$114,$F19+1)+IF(AND($E19=1,KM19=0),1000,0)),1000000))</f>
        <v/>
      </c>
      <c r="PE19">
        <f>IF($B19=0,1000000,IF(INDEX('計算A'!$D$60:$DS$104,$B19,79)*FW19=1,IF(AND($E19=2,KN19=0),1000000,INDEX('計算A'!CD$110:CD$114,$F19+1)+IF(AND($E19=1,KN19=0),1000,0)),1000000))</f>
        <v/>
      </c>
      <c r="PF19">
        <f>IF($B19=0,1000000,IF(INDEX('計算A'!$D$60:$DS$104,$B19,80)*FX19=1,IF(AND($E19=2,KO19=0),1000000,INDEX('計算A'!CE$110:CE$114,$F19+1)+IF(AND($E19=1,KO19=0),1000,0)),1000000))</f>
        <v/>
      </c>
      <c r="PG19">
        <f>IF($B19=0,1000000,IF(INDEX('計算A'!$D$60:$DS$104,$B19,81)*FY19=1,IF(AND($E19=2,KP19=0),1000000,INDEX('計算A'!CF$110:CF$114,$F19+1)+IF(AND($E19=1,KP19=0),1000,0)),1000000))</f>
        <v/>
      </c>
      <c r="PH19">
        <f>IF($B19=0,1000000,IF(INDEX('計算A'!$D$60:$DS$104,$B19,82)*FZ19=1,IF(AND($E19=2,KQ19=0),1000000,INDEX('計算A'!CG$110:CG$114,$F19+1)+IF(AND($E19=1,KQ19=0),1000,0)),1000000))</f>
        <v/>
      </c>
      <c r="PI19">
        <f>IF($B19=0,1000000,IF(INDEX('計算A'!$D$60:$DS$104,$B19,83)*GA19=1,IF(AND($E19=2,KR19=0),1000000,INDEX('計算A'!CH$110:CH$114,$F19+1)+IF(AND($E19=1,KR19=0),1000,0)),1000000))</f>
        <v/>
      </c>
      <c r="PJ19">
        <f>IF($B19=0,1000000,IF(INDEX('計算A'!$D$60:$DS$104,$B19,84)*GB19=1,IF(AND($E19=2,KS19=0),1000000,INDEX('計算A'!CI$110:CI$114,$F19+1)+IF(AND($E19=1,KS19=0),1000,0)),1000000))</f>
        <v/>
      </c>
      <c r="PK19">
        <f>IF($B19=0,1000000,IF(INDEX('計算A'!$D$60:$DS$104,$B19,85)*GC19=1,IF(AND($E19=2,KT19=0),1000000,INDEX('計算A'!CJ$110:CJ$114,$F19+1)+IF(AND($E19=1,KT19=0),1000,0)),1000000))</f>
        <v/>
      </c>
      <c r="PL19">
        <f>IF($B19=0,1000000,IF(INDEX('計算A'!$D$60:$DS$104,$B19,86)*GD19=1,IF(AND($E19=2,KU19=0),1000000,INDEX('計算A'!CK$110:CK$114,$F19+1)+IF(AND($E19=1,KU19=0),1000,0)),1000000))</f>
        <v/>
      </c>
      <c r="PM19">
        <f>IF($B19=0,1000000,IF(INDEX('計算A'!$D$60:$DS$104,$B19,87)*GE19=1,IF(AND($E19=2,KV19=0),1000000,INDEX('計算A'!CL$110:CL$114,$F19+1)+IF(AND($E19=1,KV19=0),1000,0)),1000000))</f>
        <v/>
      </c>
      <c r="PN19">
        <f>IF($B19=0,1000000,IF(INDEX('計算A'!$D$60:$DS$104,$B19,88)*GF19=1,IF(AND($E19=2,KW19=0),1000000,INDEX('計算A'!CM$110:CM$114,$F19+1)+IF(AND($E19=1,KW19=0),1000,0)),1000000))</f>
        <v/>
      </c>
      <c r="PO19">
        <f>IF($B19=0,1000000,IF(INDEX('計算A'!$D$60:$DS$104,$B19,89)*GG19=1,IF(AND($E19=2,KX19=0),1000000,INDEX('計算A'!CN$110:CN$114,$F19+1)+IF(AND($E19=1,KX19=0),1000,0)),1000000))</f>
        <v/>
      </c>
      <c r="PP19">
        <f>IF($B19=0,1000000,IF(INDEX('計算A'!$D$60:$DS$104,$B19,90)*GH19=1,IF(AND($E19=2,KY19=0),1000000,INDEX('計算A'!CO$110:CO$114,$F19+1)+IF(AND($E19=1,KY19=0),1000,0)),1000000))</f>
        <v/>
      </c>
      <c r="PQ19">
        <f>IF($B19=0,1000000,IF(INDEX('計算A'!$D$60:$DS$104,$B19,91)*GI19=1,IF(AND($E19=2,KZ19=0),1000000,INDEX('計算A'!CP$110:CP$114,$F19+1)+IF(AND($E19=1,KZ19=0),1000,0)),1000000))</f>
        <v/>
      </c>
      <c r="PR19">
        <f>IF($B19=0,1000000,IF(INDEX('計算A'!$D$60:$DS$104,$B19,92)*GJ19=1,IF(AND($E19=2,LA19=0),1000000,INDEX('計算A'!CQ$110:CQ$114,$F19+1)+IF(AND($E19=1,LA19=0),1000,0)),1000000))</f>
        <v/>
      </c>
      <c r="PS19">
        <f>IF($B19=0,1000000,IF(INDEX('計算A'!$D$60:$DS$104,$B19,93)*GK19=1,IF(AND($E19=2,LB19=0),1000000,INDEX('計算A'!CR$110:CR$114,$F19+1)+IF(AND($E19=1,LB19=0),1000,0)),1000000))</f>
        <v/>
      </c>
      <c r="PT19">
        <f>IF($B19=0,1000000,IF(INDEX('計算A'!$D$60:$DS$104,$B19,94)*GL19=1,IF(AND($E19=2,LC19=0),1000000,INDEX('計算A'!CS$110:CS$114,$F19+1)+IF(AND($E19=1,LC19=0),1000,0)),1000000))</f>
        <v/>
      </c>
      <c r="PU19">
        <f>IF($B19=0,1000000,IF(INDEX('計算A'!$D$60:$DS$104,$B19,95)*GM19=1,IF(AND($E19=2,LD19=0),1000000,INDEX('計算A'!CT$110:CT$114,$F19+1)+IF(AND($E19=1,LD19=0),1000,0)),1000000))</f>
        <v/>
      </c>
      <c r="PV19">
        <f>IF($B19=0,1000000,IF(INDEX('計算A'!$D$60:$DS$104,$B19,96)*GN19=1,IF(AND($E19=2,LE19=0),1000000,INDEX('計算A'!CU$110:CU$114,$F19+1)+IF(AND($E19=1,LE19=0),1000,0)),1000000))</f>
        <v/>
      </c>
      <c r="PW19">
        <f>IF($B19=0,1000000,IF(INDEX('計算A'!$D$60:$DS$104,$B19,97)*GO19=1,IF(AND($E19=2,LF19=0),1000000,INDEX('計算A'!CV$110:CV$114,$F19+1)+IF(AND($E19=1,LF19=0),1000,0)),1000000))</f>
        <v/>
      </c>
      <c r="PX19">
        <f>IF($B19=0,1000000,IF(INDEX('計算A'!$D$60:$DS$104,$B19,98)*GP19=1,IF(AND($E19=2,LG19=0),1000000,INDEX('計算A'!CW$110:CW$114,$F19+1)+IF(AND($E19=1,LG19=0),1000,0)),1000000))</f>
        <v/>
      </c>
      <c r="PY19">
        <f>IF($B19=0,1000000,IF(INDEX('計算A'!$D$60:$DS$104,$B19,99)*GQ19=1,IF(AND($E19=2,LH19=0),1000000,INDEX('計算A'!CX$110:CX$114,$F19+1)+IF(AND($E19=1,LH19=0),1000,0)),1000000))</f>
        <v/>
      </c>
      <c r="PZ19">
        <f>IF($B19=0,1000000,IF(INDEX('計算A'!$D$60:$DS$104,$B19,100)*GR19=1,IF(AND($E19=2,LI19=0),1000000,INDEX('計算A'!CY$110:CY$114,$F19+1)+IF(AND($E19=1,LI19=0),1000,0)),1000000))</f>
        <v/>
      </c>
      <c r="QA19">
        <f>IF($B19=0,1000000,IF(INDEX('計算A'!$D$60:$DS$104,$B19,101)*GS19=1,IF(AND($E19=2,LJ19=0),1000000,INDEX('計算A'!CZ$110:CZ$114,$F19+1)+IF(AND($E19=1,LJ19=0),1000,0)),1000000))</f>
        <v/>
      </c>
      <c r="QB19">
        <f>IF($B19=0,1000000,IF(INDEX('計算A'!$D$60:$DS$104,$B19,102)*GT19=1,IF(AND($E19=2,LK19=0),1000000,INDEX('計算A'!DA$110:DA$114,$F19+1)+IF(AND($E19=1,LK19=0),1000,0)),1000000))</f>
        <v/>
      </c>
      <c r="QC19">
        <f>IF($B19=0,1000000,IF(INDEX('計算A'!$D$60:$DS$104,$B19,103)*GU19=1,IF(AND($E19=2,LL19=0),1000000,INDEX('計算A'!DB$110:DB$114,$F19+1)+IF(AND($E19=1,LL19=0),1000,0)),1000000))</f>
        <v/>
      </c>
      <c r="QD19">
        <f>IF($B19=0,1000000,IF(INDEX('計算A'!$D$60:$DS$104,$B19,104)*GV19=1,IF(AND($E19=2,LM19=0),1000000,INDEX('計算A'!DC$110:DC$114,$F19+1)+IF(AND($E19=1,LM19=0),1000,0)),1000000))</f>
        <v/>
      </c>
      <c r="QE19">
        <f>IF($B19=0,1000000,IF(INDEX('計算A'!$D$60:$DS$104,$B19,105)*GW19=1,IF(AND($E19=2,LN19=0),1000000,INDEX('計算A'!DD$110:DD$114,$F19+1)+IF(AND($E19=1,LN19=0),1000,0)),1000000))</f>
        <v/>
      </c>
      <c r="QF19">
        <f>IF($B19=0,1000000,IF(INDEX('計算A'!$D$60:$DS$104,$B19,106)*GX19=1,IF(AND($E19=2,LO19=0),1000000,INDEX('計算A'!DE$110:DE$114,$F19+1)+IF(AND($E19=1,LO19=0),1000,0)),1000000))</f>
        <v/>
      </c>
      <c r="QG19">
        <f>IF($B19=0,1000000,IF(INDEX('計算A'!$D$60:$DS$104,$B19,107)*GY19=1,IF(AND($E19=2,LP19=0),1000000,INDEX('計算A'!DF$110:DF$114,$F19+1)+IF(AND($E19=1,LP19=0),1000,0)),1000000))</f>
        <v/>
      </c>
      <c r="QH19">
        <f>IF($B19=0,1000000,IF(INDEX('計算A'!$D$60:$DS$104,$B19,108)*GZ19=1,IF(AND($E19=2,LQ19=0),1000000,INDEX('計算A'!DG$110:DG$114,$F19+1)+IF(AND($E19=1,LQ19=0),1000,0)),1000000))</f>
        <v/>
      </c>
      <c r="QI19">
        <f>IF($B19=0,1000000,IF(INDEX('計算A'!$D$60:$DS$104,$B19,109)*HA19=1,IF(AND($E19=2,LR19=0),1000000,INDEX('計算A'!DH$110:DH$114,$F19+1)+IF(AND($E19=1,LR19=0),1000,0)),1000000))</f>
        <v/>
      </c>
      <c r="QJ19">
        <f>IF($B19=0,1000000,IF(INDEX('計算A'!$D$60:$DS$104,$B19,110)*HB19=1,IF(AND($E19=2,LS19=0),1000000,INDEX('計算A'!DI$110:DI$114,$F19+1)+IF(AND($E19=1,LS19=0),1000,0)),1000000))</f>
        <v/>
      </c>
      <c r="QK19">
        <f>IF($B19=0,1000000,IF(INDEX('計算A'!$D$60:$DS$104,$B19,111)*HC19=1,IF(AND($E19=2,LT19=0),1000000,INDEX('計算A'!DJ$110:DJ$114,$F19+1)+IF(AND($E19=1,LT19=0),1000,0)),1000000))</f>
        <v/>
      </c>
      <c r="QL19">
        <f>IF($B19=0,1000000,IF(INDEX('計算A'!$D$60:$DS$104,$B19,112)*HD19=1,IF(AND($E19=2,LU19=0),1000000,INDEX('計算A'!DK$110:DK$114,$F19+1)+IF(AND($E19=1,LU19=0),1000,0)),1000000))</f>
        <v/>
      </c>
      <c r="QM19">
        <f>IF($B19=0,1000000,IF(INDEX('計算A'!$D$60:$DS$104,$B19,113)*HE19=1,IF(AND($E19=2,LV19=0),1000000,INDEX('計算A'!DL$110:DL$114,$F19+1)+IF(AND($E19=1,LV19=0),1000,0)),1000000))</f>
        <v/>
      </c>
      <c r="QN19">
        <f>IF($B19=0,1000000,IF(INDEX('計算A'!$D$60:$DS$104,$B19,114)*HF19=1,IF(AND($E19=2,LW19=0),1000000,INDEX('計算A'!DM$110:DM$114,$F19+1)+IF(AND($E19=1,LW19=0),1000,0)),1000000))</f>
        <v/>
      </c>
      <c r="QO19">
        <f>IF($B19=0,1000000,IF(INDEX('計算A'!$D$60:$DS$104,$B19,115)*HG19=1,IF(AND($E19=2,LX19=0),1000000,INDEX('計算A'!DN$110:DN$114,$F19+1)+IF(AND($E19=1,LX19=0),1000,0)),1000000))</f>
        <v/>
      </c>
      <c r="QP19">
        <f>IF($B19=0,1000000,IF(INDEX('計算A'!$D$60:$DS$104,$B19,116)*HH19=1,IF(AND($E19=2,LY19=0),1000000,INDEX('計算A'!DO$110:DO$114,$F19+1)+IF(AND($E19=1,LY19=0),1000,0)),1000000))</f>
        <v/>
      </c>
      <c r="QQ19">
        <f>IF($B19=0,1000000,IF(INDEX('計算A'!$D$60:$DS$104,$B19,117)*HI19=1,IF(AND($E19=2,LZ19=0),1000000,INDEX('計算A'!DP$110:DP$114,$F19+1)+IF(AND($E19=1,LZ19=0),1000,0)),1000000))</f>
        <v/>
      </c>
      <c r="QR19">
        <f>IF($B19=0,1000000,IF(INDEX('計算A'!$D$60:$DS$104,$B19,118)*HJ19=1,IF(AND($E19=2,MA19=0),1000000,INDEX('計算A'!DQ$110:DQ$114,$F19+1)+IF(AND($E19=1,MA19=0),1000,0)),1000000))</f>
        <v/>
      </c>
      <c r="QS19">
        <f>IF($B19=0,1000000,IF(INDEX('計算A'!$D$60:$DS$104,$B19,119)*HK19=1,IF(AND($E19=2,MB19=0),1000000,INDEX('計算A'!DR$110:DR$114,$F19+1)+IF(AND($E19=1,MB19=0),1000,0)),1000000))</f>
        <v/>
      </c>
      <c r="QT19">
        <f>IF($B19=0,1000000,IF(INDEX('計算A'!$D$60:$DS$104,$B19,120)*HL19=1,IF(AND($E19=2,MC19=0),1000000,INDEX('計算A'!DS$110:DS$114,$F19+1)+IF(AND($E19=1,MC19=0),1000,0)),1000000))</f>
        <v/>
      </c>
    </row>
    <row r="20">
      <c r="A20" t="n">
        <v>18</v>
      </c>
      <c r="B20">
        <f>IF(MIN(BC20:CU20)&gt;=1000000,0,MATCH(MIN(BC20:CU20),BC20:CU20,0))</f>
        <v/>
      </c>
      <c r="C20">
        <f>IF(MIN(ME20:QT20)&gt;=1000000,0,MATCH(MIN(ME20:QT20),ME20:QT20,0))</f>
        <v/>
      </c>
      <c r="D20">
        <f>IF(C20&gt;0,INDEX('計算A'!$D$5:$DS$5,C20),0)</f>
        <v/>
      </c>
      <c r="E20">
        <f>IF(B20=0,0,INDEX('計算A'!$EA$10:$EA$54,B20))</f>
        <v/>
      </c>
      <c r="F20">
        <f>IF(B20=0,0,INDEX('計算A'!$DZ$10:$DZ$54,B20))</f>
        <v/>
      </c>
      <c r="G20">
        <f>IF(AND(C20&gt;0,E20&gt;0),IF(AND(INDEX('計算A'!$D$106:$DS$106,C20)=1,INDEX($HN20:$MC20,C20)=1),C20+1,0),0)</f>
        <v/>
      </c>
      <c r="I20">
        <f>MAX(I19,IF($B19=1,1,0))</f>
        <v/>
      </c>
      <c r="J20">
        <f>MAX(J19,IF($B19=2,1,0))</f>
        <v/>
      </c>
      <c r="K20">
        <f>MAX(K19,IF($B19=3,1,0))</f>
        <v/>
      </c>
      <c r="L20">
        <f>MAX(L19,IF($B19=4,1,0))</f>
        <v/>
      </c>
      <c r="M20">
        <f>MAX(M19,IF($B19=5,1,0))</f>
        <v/>
      </c>
      <c r="N20">
        <f>MAX(N19,IF($B19=6,1,0))</f>
        <v/>
      </c>
      <c r="O20">
        <f>MAX(O19,IF($B19=7,1,0))</f>
        <v/>
      </c>
      <c r="P20">
        <f>MAX(P19,IF($B19=8,1,0))</f>
        <v/>
      </c>
      <c r="Q20">
        <f>MAX(Q19,IF($B19=9,1,0))</f>
        <v/>
      </c>
      <c r="R20">
        <f>MAX(R19,IF($B19=10,1,0))</f>
        <v/>
      </c>
      <c r="S20">
        <f>MAX(S19,IF($B19=11,1,0))</f>
        <v/>
      </c>
      <c r="T20">
        <f>MAX(T19,IF($B19=12,1,0))</f>
        <v/>
      </c>
      <c r="U20">
        <f>MAX(U19,IF($B19=13,1,0))</f>
        <v/>
      </c>
      <c r="V20">
        <f>MAX(V19,IF($B19=14,1,0))</f>
        <v/>
      </c>
      <c r="W20">
        <f>MAX(W19,IF($B19=15,1,0))</f>
        <v/>
      </c>
      <c r="X20">
        <f>MAX(X19,IF($B19=16,1,0))</f>
        <v/>
      </c>
      <c r="Y20">
        <f>MAX(Y19,IF($B19=17,1,0))</f>
        <v/>
      </c>
      <c r="Z20">
        <f>MAX(Z19,IF($B19=18,1,0))</f>
        <v/>
      </c>
      <c r="AA20">
        <f>MAX(AA19,IF($B19=19,1,0))</f>
        <v/>
      </c>
      <c r="AB20">
        <f>MAX(AB19,IF($B19=20,1,0))</f>
        <v/>
      </c>
      <c r="AC20">
        <f>MAX(AC19,IF($B19=21,1,0))</f>
        <v/>
      </c>
      <c r="AD20">
        <f>MAX(AD19,IF($B19=22,1,0))</f>
        <v/>
      </c>
      <c r="AE20">
        <f>MAX(AE19,IF($B19=23,1,0))</f>
        <v/>
      </c>
      <c r="AF20">
        <f>MAX(AF19,IF($B19=24,1,0))</f>
        <v/>
      </c>
      <c r="AG20">
        <f>MAX(AG19,IF($B19=25,1,0))</f>
        <v/>
      </c>
      <c r="AH20">
        <f>MAX(AH19,IF($B19=26,1,0))</f>
        <v/>
      </c>
      <c r="AI20">
        <f>MAX(AI19,IF($B19=27,1,0))</f>
        <v/>
      </c>
      <c r="AJ20">
        <f>MAX(AJ19,IF($B19=28,1,0))</f>
        <v/>
      </c>
      <c r="AK20">
        <f>MAX(AK19,IF($B19=29,1,0))</f>
        <v/>
      </c>
      <c r="AL20">
        <f>MAX(AL19,IF($B19=30,1,0))</f>
        <v/>
      </c>
      <c r="AM20">
        <f>MAX(AM19,IF($B19=31,1,0))</f>
        <v/>
      </c>
      <c r="AN20">
        <f>MAX(AN19,IF($B19=32,1,0))</f>
        <v/>
      </c>
      <c r="AO20">
        <f>MAX(AO19,IF($B19=33,1,0))</f>
        <v/>
      </c>
      <c r="AP20">
        <f>MAX(AP19,IF($B19=34,1,0))</f>
        <v/>
      </c>
      <c r="AQ20">
        <f>MAX(AQ19,IF($B19=35,1,0))</f>
        <v/>
      </c>
      <c r="AR20">
        <f>MAX(AR19,IF($B19=36,1,0))</f>
        <v/>
      </c>
      <c r="AS20">
        <f>MAX(AS19,IF($B19=37,1,0))</f>
        <v/>
      </c>
      <c r="AT20">
        <f>MAX(AT19,IF($B19=38,1,0))</f>
        <v/>
      </c>
      <c r="AU20">
        <f>MAX(AU19,IF($B19=39,1,0))</f>
        <v/>
      </c>
      <c r="AV20">
        <f>MAX(AV19,IF($B19=40,1,0))</f>
        <v/>
      </c>
      <c r="AW20">
        <f>MAX(AW19,IF($B19=41,1,0))</f>
        <v/>
      </c>
      <c r="AX20">
        <f>MAX(AX19,IF($B19=42,1,0))</f>
        <v/>
      </c>
      <c r="AY20">
        <f>MAX(AY19,IF($B19=43,1,0))</f>
        <v/>
      </c>
      <c r="AZ20">
        <f>MAX(AZ19,IF($B19=44,1,0))</f>
        <v/>
      </c>
      <c r="BA20">
        <f>MAX(BA19,IF($B19=45,1,0))</f>
        <v/>
      </c>
      <c r="BC20">
        <f>IF(I20=1,1000000,IF('計算A'!$EA$10=2,SUMPRODUCT('計算A'!$D$60:$DS$60,$CW20:$HL20,$HN20:$MC20),SUMPRODUCT('計算A'!$D$60:$DS$60,$CW20:$HL20))*1000+1)</f>
        <v/>
      </c>
      <c r="BD20">
        <f>IF(J20=1,1000000,IF('計算A'!$EA$11=2,SUMPRODUCT('計算A'!$D$61:$DS$61,$CW20:$HL20,$HN20:$MC20),SUMPRODUCT('計算A'!$D$61:$DS$61,$CW20:$HL20))*1000+2)</f>
        <v/>
      </c>
      <c r="BE20">
        <f>IF(K20=1,1000000,IF('計算A'!$EA$12=2,SUMPRODUCT('計算A'!$D$62:$DS$62,$CW20:$HL20,$HN20:$MC20),SUMPRODUCT('計算A'!$D$62:$DS$62,$CW20:$HL20))*1000+3)</f>
        <v/>
      </c>
      <c r="BF20">
        <f>IF(L20=1,1000000,IF('計算A'!$EA$13=2,SUMPRODUCT('計算A'!$D$63:$DS$63,$CW20:$HL20,$HN20:$MC20),SUMPRODUCT('計算A'!$D$63:$DS$63,$CW20:$HL20))*1000+4)</f>
        <v/>
      </c>
      <c r="BG20">
        <f>IF(M20=1,1000000,IF('計算A'!$EA$14=2,SUMPRODUCT('計算A'!$D$64:$DS$64,$CW20:$HL20,$HN20:$MC20),SUMPRODUCT('計算A'!$D$64:$DS$64,$CW20:$HL20))*1000+5)</f>
        <v/>
      </c>
      <c r="BH20">
        <f>IF(N20=1,1000000,IF('計算A'!$EA$15=2,SUMPRODUCT('計算A'!$D$65:$DS$65,$CW20:$HL20,$HN20:$MC20),SUMPRODUCT('計算A'!$D$65:$DS$65,$CW20:$HL20))*1000+6)</f>
        <v/>
      </c>
      <c r="BI20">
        <f>IF(O20=1,1000000,IF('計算A'!$EA$16=2,SUMPRODUCT('計算A'!$D$66:$DS$66,$CW20:$HL20,$HN20:$MC20),SUMPRODUCT('計算A'!$D$66:$DS$66,$CW20:$HL20))*1000+7)</f>
        <v/>
      </c>
      <c r="BJ20">
        <f>IF(P20=1,1000000,IF('計算A'!$EA$17=2,SUMPRODUCT('計算A'!$D$67:$DS$67,$CW20:$HL20,$HN20:$MC20),SUMPRODUCT('計算A'!$D$67:$DS$67,$CW20:$HL20))*1000+8)</f>
        <v/>
      </c>
      <c r="BK20">
        <f>IF(Q20=1,1000000,IF('計算A'!$EA$18=2,SUMPRODUCT('計算A'!$D$68:$DS$68,$CW20:$HL20,$HN20:$MC20),SUMPRODUCT('計算A'!$D$68:$DS$68,$CW20:$HL20))*1000+9)</f>
        <v/>
      </c>
      <c r="BL20">
        <f>IF(R20=1,1000000,IF('計算A'!$EA$19=2,SUMPRODUCT('計算A'!$D$69:$DS$69,$CW20:$HL20,$HN20:$MC20),SUMPRODUCT('計算A'!$D$69:$DS$69,$CW20:$HL20))*1000+10)</f>
        <v/>
      </c>
      <c r="BM20">
        <f>IF(S20=1,1000000,IF('計算A'!$EA$20=2,SUMPRODUCT('計算A'!$D$70:$DS$70,$CW20:$HL20,$HN20:$MC20),SUMPRODUCT('計算A'!$D$70:$DS$70,$CW20:$HL20))*1000+11)</f>
        <v/>
      </c>
      <c r="BN20">
        <f>IF(T20=1,1000000,IF('計算A'!$EA$21=2,SUMPRODUCT('計算A'!$D$71:$DS$71,$CW20:$HL20,$HN20:$MC20),SUMPRODUCT('計算A'!$D$71:$DS$71,$CW20:$HL20))*1000+12)</f>
        <v/>
      </c>
      <c r="BO20">
        <f>IF(U20=1,1000000,IF('計算A'!$EA$22=2,SUMPRODUCT('計算A'!$D$72:$DS$72,$CW20:$HL20,$HN20:$MC20),SUMPRODUCT('計算A'!$D$72:$DS$72,$CW20:$HL20))*1000+13)</f>
        <v/>
      </c>
      <c r="BP20">
        <f>IF(V20=1,1000000,IF('計算A'!$EA$23=2,SUMPRODUCT('計算A'!$D$73:$DS$73,$CW20:$HL20,$HN20:$MC20),SUMPRODUCT('計算A'!$D$73:$DS$73,$CW20:$HL20))*1000+14)</f>
        <v/>
      </c>
      <c r="BQ20">
        <f>IF(W20=1,1000000,IF('計算A'!$EA$24=2,SUMPRODUCT('計算A'!$D$74:$DS$74,$CW20:$HL20,$HN20:$MC20),SUMPRODUCT('計算A'!$D$74:$DS$74,$CW20:$HL20))*1000+15)</f>
        <v/>
      </c>
      <c r="BR20">
        <f>IF(X20=1,1000000,IF('計算A'!$EA$25=2,SUMPRODUCT('計算A'!$D$75:$DS$75,$CW20:$HL20,$HN20:$MC20),SUMPRODUCT('計算A'!$D$75:$DS$75,$CW20:$HL20))*1000+16)</f>
        <v/>
      </c>
      <c r="BS20">
        <f>IF(Y20=1,1000000,IF('計算A'!$EA$26=2,SUMPRODUCT('計算A'!$D$76:$DS$76,$CW20:$HL20,$HN20:$MC20),SUMPRODUCT('計算A'!$D$76:$DS$76,$CW20:$HL20))*1000+17)</f>
        <v/>
      </c>
      <c r="BT20">
        <f>IF(Z20=1,1000000,IF('計算A'!$EA$27=2,SUMPRODUCT('計算A'!$D$77:$DS$77,$CW20:$HL20,$HN20:$MC20),SUMPRODUCT('計算A'!$D$77:$DS$77,$CW20:$HL20))*1000+18)</f>
        <v/>
      </c>
      <c r="BU20">
        <f>IF(AA20=1,1000000,IF('計算A'!$EA$28=2,SUMPRODUCT('計算A'!$D$78:$DS$78,$CW20:$HL20,$HN20:$MC20),SUMPRODUCT('計算A'!$D$78:$DS$78,$CW20:$HL20))*1000+19)</f>
        <v/>
      </c>
      <c r="BV20">
        <f>IF(AB20=1,1000000,IF('計算A'!$EA$29=2,SUMPRODUCT('計算A'!$D$79:$DS$79,$CW20:$HL20,$HN20:$MC20),SUMPRODUCT('計算A'!$D$79:$DS$79,$CW20:$HL20))*1000+20)</f>
        <v/>
      </c>
      <c r="BW20">
        <f>IF(AC20=1,1000000,IF('計算A'!$EA$30=2,SUMPRODUCT('計算A'!$D$80:$DS$80,$CW20:$HL20,$HN20:$MC20),SUMPRODUCT('計算A'!$D$80:$DS$80,$CW20:$HL20))*1000+21)</f>
        <v/>
      </c>
      <c r="BX20">
        <f>IF(AD20=1,1000000,IF('計算A'!$EA$31=2,SUMPRODUCT('計算A'!$D$81:$DS$81,$CW20:$HL20,$HN20:$MC20),SUMPRODUCT('計算A'!$D$81:$DS$81,$CW20:$HL20))*1000+22)</f>
        <v/>
      </c>
      <c r="BY20">
        <f>IF(AE20=1,1000000,IF('計算A'!$EA$32=2,SUMPRODUCT('計算A'!$D$82:$DS$82,$CW20:$HL20,$HN20:$MC20),SUMPRODUCT('計算A'!$D$82:$DS$82,$CW20:$HL20))*1000+23)</f>
        <v/>
      </c>
      <c r="BZ20">
        <f>IF(AF20=1,1000000,IF('計算A'!$EA$33=2,SUMPRODUCT('計算A'!$D$83:$DS$83,$CW20:$HL20,$HN20:$MC20),SUMPRODUCT('計算A'!$D$83:$DS$83,$CW20:$HL20))*1000+24)</f>
        <v/>
      </c>
      <c r="CA20">
        <f>IF(AG20=1,1000000,IF('計算A'!$EA$34=2,SUMPRODUCT('計算A'!$D$84:$DS$84,$CW20:$HL20,$HN20:$MC20),SUMPRODUCT('計算A'!$D$84:$DS$84,$CW20:$HL20))*1000+25)</f>
        <v/>
      </c>
      <c r="CB20">
        <f>IF(AH20=1,1000000,IF('計算A'!$EA$35=2,SUMPRODUCT('計算A'!$D$85:$DS$85,$CW20:$HL20,$HN20:$MC20),SUMPRODUCT('計算A'!$D$85:$DS$85,$CW20:$HL20))*1000+26)</f>
        <v/>
      </c>
      <c r="CC20">
        <f>IF(AI20=1,1000000,IF('計算A'!$EA$36=2,SUMPRODUCT('計算A'!$D$86:$DS$86,$CW20:$HL20,$HN20:$MC20),SUMPRODUCT('計算A'!$D$86:$DS$86,$CW20:$HL20))*1000+27)</f>
        <v/>
      </c>
      <c r="CD20">
        <f>IF(AJ20=1,1000000,IF('計算A'!$EA$37=2,SUMPRODUCT('計算A'!$D$87:$DS$87,$CW20:$HL20,$HN20:$MC20),SUMPRODUCT('計算A'!$D$87:$DS$87,$CW20:$HL20))*1000+28)</f>
        <v/>
      </c>
      <c r="CE20">
        <f>IF(AK20=1,1000000,IF('計算A'!$EA$38=2,SUMPRODUCT('計算A'!$D$88:$DS$88,$CW20:$HL20,$HN20:$MC20),SUMPRODUCT('計算A'!$D$88:$DS$88,$CW20:$HL20))*1000+29)</f>
        <v/>
      </c>
      <c r="CF20">
        <f>IF(AL20=1,1000000,IF('計算A'!$EA$39=2,SUMPRODUCT('計算A'!$D$89:$DS$89,$CW20:$HL20,$HN20:$MC20),SUMPRODUCT('計算A'!$D$89:$DS$89,$CW20:$HL20))*1000+30)</f>
        <v/>
      </c>
      <c r="CG20">
        <f>IF(AM20=1,1000000,IF('計算A'!$EA$40=2,SUMPRODUCT('計算A'!$D$90:$DS$90,$CW20:$HL20,$HN20:$MC20),SUMPRODUCT('計算A'!$D$90:$DS$90,$CW20:$HL20))*1000+31)</f>
        <v/>
      </c>
      <c r="CH20">
        <f>IF(AN20=1,1000000,IF('計算A'!$EA$41=2,SUMPRODUCT('計算A'!$D$91:$DS$91,$CW20:$HL20,$HN20:$MC20),SUMPRODUCT('計算A'!$D$91:$DS$91,$CW20:$HL20))*1000+32)</f>
        <v/>
      </c>
      <c r="CI20">
        <f>IF(AO20=1,1000000,IF('計算A'!$EA$42=2,SUMPRODUCT('計算A'!$D$92:$DS$92,$CW20:$HL20,$HN20:$MC20),SUMPRODUCT('計算A'!$D$92:$DS$92,$CW20:$HL20))*1000+33)</f>
        <v/>
      </c>
      <c r="CJ20">
        <f>IF(AP20=1,1000000,IF('計算A'!$EA$43=2,SUMPRODUCT('計算A'!$D$93:$DS$93,$CW20:$HL20,$HN20:$MC20),SUMPRODUCT('計算A'!$D$93:$DS$93,$CW20:$HL20))*1000+34)</f>
        <v/>
      </c>
      <c r="CK20">
        <f>IF(AQ20=1,1000000,IF('計算A'!$EA$44=2,SUMPRODUCT('計算A'!$D$94:$DS$94,$CW20:$HL20,$HN20:$MC20),SUMPRODUCT('計算A'!$D$94:$DS$94,$CW20:$HL20))*1000+35)</f>
        <v/>
      </c>
      <c r="CL20">
        <f>IF(AR20=1,1000000,IF('計算A'!$EA$45=2,SUMPRODUCT('計算A'!$D$95:$DS$95,$CW20:$HL20,$HN20:$MC20),SUMPRODUCT('計算A'!$D$95:$DS$95,$CW20:$HL20))*1000+36)</f>
        <v/>
      </c>
      <c r="CM20">
        <f>IF(AS20=1,1000000,IF('計算A'!$EA$46=2,SUMPRODUCT('計算A'!$D$96:$DS$96,$CW20:$HL20,$HN20:$MC20),SUMPRODUCT('計算A'!$D$96:$DS$96,$CW20:$HL20))*1000+37)</f>
        <v/>
      </c>
      <c r="CN20">
        <f>IF(AT20=1,1000000,IF('計算A'!$EA$47=2,SUMPRODUCT('計算A'!$D$97:$DS$97,$CW20:$HL20,$HN20:$MC20),SUMPRODUCT('計算A'!$D$97:$DS$97,$CW20:$HL20))*1000+38)</f>
        <v/>
      </c>
      <c r="CO20">
        <f>IF(AU20=1,1000000,IF('計算A'!$EA$48=2,SUMPRODUCT('計算A'!$D$98:$DS$98,$CW20:$HL20,$HN20:$MC20),SUMPRODUCT('計算A'!$D$98:$DS$98,$CW20:$HL20))*1000+39)</f>
        <v/>
      </c>
      <c r="CP20">
        <f>IF(AV20=1,1000000,IF('計算A'!$EA$49=2,SUMPRODUCT('計算A'!$D$99:$DS$99,$CW20:$HL20,$HN20:$MC20),SUMPRODUCT('計算A'!$D$99:$DS$99,$CW20:$HL20))*1000+40)</f>
        <v/>
      </c>
      <c r="CQ20">
        <f>IF(AW20=1,1000000,IF('計算A'!$EA$50=2,SUMPRODUCT('計算A'!$D$100:$DS$100,$CW20:$HL20,$HN20:$MC20),SUMPRODUCT('計算A'!$D$100:$DS$100,$CW20:$HL20))*1000+41)</f>
        <v/>
      </c>
      <c r="CR20">
        <f>IF(AX20=1,1000000,IF('計算A'!$EA$51=2,SUMPRODUCT('計算A'!$D$101:$DS$101,$CW20:$HL20,$HN20:$MC20),SUMPRODUCT('計算A'!$D$101:$DS$101,$CW20:$HL20))*1000+42)</f>
        <v/>
      </c>
      <c r="CS20">
        <f>IF(AY20=1,1000000,IF('計算A'!$EA$52=2,SUMPRODUCT('計算A'!$D$102:$DS$102,$CW20:$HL20,$HN20:$MC20),SUMPRODUCT('計算A'!$D$102:$DS$102,$CW20:$HL20))*1000+43)</f>
        <v/>
      </c>
      <c r="CT20">
        <f>IF(AZ20=1,1000000,IF('計算A'!$EA$53=2,SUMPRODUCT('計算A'!$D$103:$DS$103,$CW20:$HL20,$HN20:$MC20),SUMPRODUCT('計算A'!$D$103:$DS$103,$CW20:$HL20))*1000+44)</f>
        <v/>
      </c>
      <c r="CU20">
        <f>IF(BA20=1,1000000,IF('計算A'!$EA$54=2,SUMPRODUCT('計算A'!$D$104:$DS$104,$CW20:$HL20,$HN20:$MC20),SUMPRODUCT('計算A'!$D$104:$DS$104,$CW20:$HL20))*1000+45)</f>
        <v/>
      </c>
      <c r="CW20">
        <f>CW19*IF(OR($C19=1,$G19=1),0,1)</f>
        <v/>
      </c>
      <c r="CX20">
        <f>CX19*IF(OR($C19=2,$G19=2),0,1)</f>
        <v/>
      </c>
      <c r="CY20">
        <f>CY19*IF(OR($C19=3,$G19=3),0,1)</f>
        <v/>
      </c>
      <c r="CZ20">
        <f>CZ19*IF(OR($C19=4,$G19=4),0,1)</f>
        <v/>
      </c>
      <c r="DA20">
        <f>DA19*IF(OR($C19=5,$G19=5),0,1)</f>
        <v/>
      </c>
      <c r="DB20">
        <f>DB19*IF(OR($C19=6,$G19=6),0,1)</f>
        <v/>
      </c>
      <c r="DC20">
        <f>DC19*IF(OR($C19=7,$G19=7),0,1)</f>
        <v/>
      </c>
      <c r="DD20">
        <f>DD19*IF(OR($C19=8,$G19=8),0,1)</f>
        <v/>
      </c>
      <c r="DE20">
        <f>DE19*IF(OR($C19=9,$G19=9),0,1)</f>
        <v/>
      </c>
      <c r="DF20">
        <f>DF19*IF(OR($C19=10,$G19=10),0,1)</f>
        <v/>
      </c>
      <c r="DG20">
        <f>DG19*IF(OR($C19=11,$G19=11),0,1)</f>
        <v/>
      </c>
      <c r="DH20">
        <f>DH19*IF(OR($C19=12,$G19=12),0,1)</f>
        <v/>
      </c>
      <c r="DI20">
        <f>DI19*IF(OR($C19=13,$G19=13),0,1)</f>
        <v/>
      </c>
      <c r="DJ20">
        <f>DJ19*IF(OR($C19=14,$G19=14),0,1)</f>
        <v/>
      </c>
      <c r="DK20">
        <f>DK19*IF(OR($C19=15,$G19=15),0,1)</f>
        <v/>
      </c>
      <c r="DL20">
        <f>DL19*IF(OR($C19=16,$G19=16),0,1)</f>
        <v/>
      </c>
      <c r="DM20">
        <f>DM19*IF(OR($C19=17,$G19=17),0,1)</f>
        <v/>
      </c>
      <c r="DN20">
        <f>DN19*IF(OR($C19=18,$G19=18),0,1)</f>
        <v/>
      </c>
      <c r="DO20">
        <f>DO19*IF(OR($C19=19,$G19=19),0,1)</f>
        <v/>
      </c>
      <c r="DP20">
        <f>DP19*IF(OR($C19=20,$G19=20),0,1)</f>
        <v/>
      </c>
      <c r="DQ20">
        <f>DQ19*IF(OR($C19=21,$G19=21),0,1)</f>
        <v/>
      </c>
      <c r="DR20">
        <f>DR19*IF(OR($C19=22,$G19=22),0,1)</f>
        <v/>
      </c>
      <c r="DS20">
        <f>DS19*IF(OR($C19=23,$G19=23),0,1)</f>
        <v/>
      </c>
      <c r="DT20">
        <f>DT19*IF(OR($C19=24,$G19=24),0,1)</f>
        <v/>
      </c>
      <c r="DU20">
        <f>DU19*IF(OR($C19=25,$G19=25),0,1)</f>
        <v/>
      </c>
      <c r="DV20">
        <f>DV19*IF(OR($C19=26,$G19=26),0,1)</f>
        <v/>
      </c>
      <c r="DW20">
        <f>DW19*IF(OR($C19=27,$G19=27),0,1)</f>
        <v/>
      </c>
      <c r="DX20">
        <f>DX19*IF(OR($C19=28,$G19=28),0,1)</f>
        <v/>
      </c>
      <c r="DY20">
        <f>DY19*IF(OR($C19=29,$G19=29),0,1)</f>
        <v/>
      </c>
      <c r="DZ20">
        <f>DZ19*IF(OR($C19=30,$G19=30),0,1)</f>
        <v/>
      </c>
      <c r="EA20">
        <f>EA19*IF(OR($C19=31,$G19=31),0,1)</f>
        <v/>
      </c>
      <c r="EB20">
        <f>EB19*IF(OR($C19=32,$G19=32),0,1)</f>
        <v/>
      </c>
      <c r="EC20">
        <f>EC19*IF(OR($C19=33,$G19=33),0,1)</f>
        <v/>
      </c>
      <c r="ED20">
        <f>ED19*IF(OR($C19=34,$G19=34),0,1)</f>
        <v/>
      </c>
      <c r="EE20">
        <f>EE19*IF(OR($C19=35,$G19=35),0,1)</f>
        <v/>
      </c>
      <c r="EF20">
        <f>EF19*IF(OR($C19=36,$G19=36),0,1)</f>
        <v/>
      </c>
      <c r="EG20">
        <f>EG19*IF(OR($C19=37,$G19=37),0,1)</f>
        <v/>
      </c>
      <c r="EH20">
        <f>EH19*IF(OR($C19=38,$G19=38),0,1)</f>
        <v/>
      </c>
      <c r="EI20">
        <f>EI19*IF(OR($C19=39,$G19=39),0,1)</f>
        <v/>
      </c>
      <c r="EJ20">
        <f>EJ19*IF(OR($C19=40,$G19=40),0,1)</f>
        <v/>
      </c>
      <c r="EK20">
        <f>EK19*IF(OR($C19=41,$G19=41),0,1)</f>
        <v/>
      </c>
      <c r="EL20">
        <f>EL19*IF(OR($C19=42,$G19=42),0,1)</f>
        <v/>
      </c>
      <c r="EM20">
        <f>EM19*IF(OR($C19=43,$G19=43),0,1)</f>
        <v/>
      </c>
      <c r="EN20">
        <f>EN19*IF(OR($C19=44,$G19=44),0,1)</f>
        <v/>
      </c>
      <c r="EO20">
        <f>EO19*IF(OR($C19=45,$G19=45),0,1)</f>
        <v/>
      </c>
      <c r="EP20">
        <f>EP19*IF(OR($C19=46,$G19=46),0,1)</f>
        <v/>
      </c>
      <c r="EQ20">
        <f>EQ19*IF(OR($C19=47,$G19=47),0,1)</f>
        <v/>
      </c>
      <c r="ER20">
        <f>ER19*IF(OR($C19=48,$G19=48),0,1)</f>
        <v/>
      </c>
      <c r="ES20">
        <f>ES19*IF(OR($C19=49,$G19=49),0,1)</f>
        <v/>
      </c>
      <c r="ET20">
        <f>ET19*IF(OR($C19=50,$G19=50),0,1)</f>
        <v/>
      </c>
      <c r="EU20">
        <f>EU19*IF(OR($C19=51,$G19=51),0,1)</f>
        <v/>
      </c>
      <c r="EV20">
        <f>EV19*IF(OR($C19=52,$G19=52),0,1)</f>
        <v/>
      </c>
      <c r="EW20">
        <f>EW19*IF(OR($C19=53,$G19=53),0,1)</f>
        <v/>
      </c>
      <c r="EX20">
        <f>EX19*IF(OR($C19=54,$G19=54),0,1)</f>
        <v/>
      </c>
      <c r="EY20">
        <f>EY19*IF(OR($C19=55,$G19=55),0,1)</f>
        <v/>
      </c>
      <c r="EZ20">
        <f>EZ19*IF(OR($C19=56,$G19=56),0,1)</f>
        <v/>
      </c>
      <c r="FA20">
        <f>FA19*IF(OR($C19=57,$G19=57),0,1)</f>
        <v/>
      </c>
      <c r="FB20">
        <f>FB19*IF(OR($C19=58,$G19=58),0,1)</f>
        <v/>
      </c>
      <c r="FC20">
        <f>FC19*IF(OR($C19=59,$G19=59),0,1)</f>
        <v/>
      </c>
      <c r="FD20">
        <f>FD19*IF(OR($C19=60,$G19=60),0,1)</f>
        <v/>
      </c>
      <c r="FE20">
        <f>FE19*IF(OR($C19=61,$G19=61),0,1)</f>
        <v/>
      </c>
      <c r="FF20">
        <f>FF19*IF(OR($C19=62,$G19=62),0,1)</f>
        <v/>
      </c>
      <c r="FG20">
        <f>FG19*IF(OR($C19=63,$G19=63),0,1)</f>
        <v/>
      </c>
      <c r="FH20">
        <f>FH19*IF(OR($C19=64,$G19=64),0,1)</f>
        <v/>
      </c>
      <c r="FI20">
        <f>FI19*IF(OR($C19=65,$G19=65),0,1)</f>
        <v/>
      </c>
      <c r="FJ20">
        <f>FJ19*IF(OR($C19=66,$G19=66),0,1)</f>
        <v/>
      </c>
      <c r="FK20">
        <f>FK19*IF(OR($C19=67,$G19=67),0,1)</f>
        <v/>
      </c>
      <c r="FL20">
        <f>FL19*IF(OR($C19=68,$G19=68),0,1)</f>
        <v/>
      </c>
      <c r="FM20">
        <f>FM19*IF(OR($C19=69,$G19=69),0,1)</f>
        <v/>
      </c>
      <c r="FN20">
        <f>FN19*IF(OR($C19=70,$G19=70),0,1)</f>
        <v/>
      </c>
      <c r="FO20">
        <f>FO19*IF(OR($C19=71,$G19=71),0,1)</f>
        <v/>
      </c>
      <c r="FP20">
        <f>FP19*IF(OR($C19=72,$G19=72),0,1)</f>
        <v/>
      </c>
      <c r="FQ20">
        <f>FQ19*IF(OR($C19=73,$G19=73),0,1)</f>
        <v/>
      </c>
      <c r="FR20">
        <f>FR19*IF(OR($C19=74,$G19=74),0,1)</f>
        <v/>
      </c>
      <c r="FS20">
        <f>FS19*IF(OR($C19=75,$G19=75),0,1)</f>
        <v/>
      </c>
      <c r="FT20">
        <f>FT19*IF(OR($C19=76,$G19=76),0,1)</f>
        <v/>
      </c>
      <c r="FU20">
        <f>FU19*IF(OR($C19=77,$G19=77),0,1)</f>
        <v/>
      </c>
      <c r="FV20">
        <f>FV19*IF(OR($C19=78,$G19=78),0,1)</f>
        <v/>
      </c>
      <c r="FW20">
        <f>FW19*IF(OR($C19=79,$G19=79),0,1)</f>
        <v/>
      </c>
      <c r="FX20">
        <f>FX19*IF(OR($C19=80,$G19=80),0,1)</f>
        <v/>
      </c>
      <c r="FY20">
        <f>FY19*IF(OR($C19=81,$G19=81),0,1)</f>
        <v/>
      </c>
      <c r="FZ20">
        <f>FZ19*IF(OR($C19=82,$G19=82),0,1)</f>
        <v/>
      </c>
      <c r="GA20">
        <f>GA19*IF(OR($C19=83,$G19=83),0,1)</f>
        <v/>
      </c>
      <c r="GB20">
        <f>GB19*IF(OR($C19=84,$G19=84),0,1)</f>
        <v/>
      </c>
      <c r="GC20">
        <f>GC19*IF(OR($C19=85,$G19=85),0,1)</f>
        <v/>
      </c>
      <c r="GD20">
        <f>GD19*IF(OR($C19=86,$G19=86),0,1)</f>
        <v/>
      </c>
      <c r="GE20">
        <f>GE19*IF(OR($C19=87,$G19=87),0,1)</f>
        <v/>
      </c>
      <c r="GF20">
        <f>GF19*IF(OR($C19=88,$G19=88),0,1)</f>
        <v/>
      </c>
      <c r="GG20">
        <f>GG19*IF(OR($C19=89,$G19=89),0,1)</f>
        <v/>
      </c>
      <c r="GH20">
        <f>GH19*IF(OR($C19=90,$G19=90),0,1)</f>
        <v/>
      </c>
      <c r="GI20">
        <f>GI19*IF(OR($C19=91,$G19=91),0,1)</f>
        <v/>
      </c>
      <c r="GJ20">
        <f>GJ19*IF(OR($C19=92,$G19=92),0,1)</f>
        <v/>
      </c>
      <c r="GK20">
        <f>GK19*IF(OR($C19=93,$G19=93),0,1)</f>
        <v/>
      </c>
      <c r="GL20">
        <f>GL19*IF(OR($C19=94,$G19=94),0,1)</f>
        <v/>
      </c>
      <c r="GM20">
        <f>GM19*IF(OR($C19=95,$G19=95),0,1)</f>
        <v/>
      </c>
      <c r="GN20">
        <f>GN19*IF(OR($C19=96,$G19=96),0,1)</f>
        <v/>
      </c>
      <c r="GO20">
        <f>GO19*IF(OR($C19=97,$G19=97),0,1)</f>
        <v/>
      </c>
      <c r="GP20">
        <f>GP19*IF(OR($C19=98,$G19=98),0,1)</f>
        <v/>
      </c>
      <c r="GQ20">
        <f>GQ19*IF(OR($C19=99,$G19=99),0,1)</f>
        <v/>
      </c>
      <c r="GR20">
        <f>GR19*IF(OR($C19=100,$G19=100),0,1)</f>
        <v/>
      </c>
      <c r="GS20">
        <f>GS19*IF(OR($C19=101,$G19=101),0,1)</f>
        <v/>
      </c>
      <c r="GT20">
        <f>GT19*IF(OR($C19=102,$G19=102),0,1)</f>
        <v/>
      </c>
      <c r="GU20">
        <f>GU19*IF(OR($C19=103,$G19=103),0,1)</f>
        <v/>
      </c>
      <c r="GV20">
        <f>GV19*IF(OR($C19=104,$G19=104),0,1)</f>
        <v/>
      </c>
      <c r="GW20">
        <f>GW19*IF(OR($C19=105,$G19=105),0,1)</f>
        <v/>
      </c>
      <c r="GX20">
        <f>GX19*IF(OR($C19=106,$G19=106),0,1)</f>
        <v/>
      </c>
      <c r="GY20">
        <f>GY19*IF(OR($C19=107,$G19=107),0,1)</f>
        <v/>
      </c>
      <c r="GZ20">
        <f>GZ19*IF(OR($C19=108,$G19=108),0,1)</f>
        <v/>
      </c>
      <c r="HA20">
        <f>HA19*IF(OR($C19=109,$G19=109),0,1)</f>
        <v/>
      </c>
      <c r="HB20">
        <f>HB19*IF(OR($C19=110,$G19=110),0,1)</f>
        <v/>
      </c>
      <c r="HC20">
        <f>HC19*IF(OR($C19=111,$G19=111),0,1)</f>
        <v/>
      </c>
      <c r="HD20">
        <f>HD19*IF(OR($C19=112,$G19=112),0,1)</f>
        <v/>
      </c>
      <c r="HE20">
        <f>HE19*IF(OR($C19=113,$G19=113),0,1)</f>
        <v/>
      </c>
      <c r="HF20">
        <f>HF19*IF(OR($C19=114,$G19=114),0,1)</f>
        <v/>
      </c>
      <c r="HG20">
        <f>HG19*IF(OR($C19=115,$G19=115),0,1)</f>
        <v/>
      </c>
      <c r="HH20">
        <f>HH19*IF(OR($C19=116,$G19=116),0,1)</f>
        <v/>
      </c>
      <c r="HI20">
        <f>HI19*IF(OR($C19=117,$G19=117),0,1)</f>
        <v/>
      </c>
      <c r="HJ20">
        <f>HJ19*IF(OR($C19=118,$G19=118),0,1)</f>
        <v/>
      </c>
      <c r="HK20">
        <f>HK19*IF(OR($C19=119,$G19=119),0,1)</f>
        <v/>
      </c>
      <c r="HL20">
        <f>HL19*IF(OR($C19=120,$G19=120),0,1)</f>
        <v/>
      </c>
      <c r="HN20">
        <f>IF('計算A'!D$106=1,CX20,1)</f>
        <v/>
      </c>
      <c r="HO20">
        <f>IF('計算A'!E$106=1,CY20,1)</f>
        <v/>
      </c>
      <c r="HP20">
        <f>IF('計算A'!F$106=1,CZ20,1)</f>
        <v/>
      </c>
      <c r="HQ20">
        <f>IF('計算A'!G$106=1,DA20,1)</f>
        <v/>
      </c>
      <c r="HR20">
        <f>IF('計算A'!H$106=1,DB20,1)</f>
        <v/>
      </c>
      <c r="HS20">
        <f>IF('計算A'!I$106=1,DC20,1)</f>
        <v/>
      </c>
      <c r="HT20">
        <f>IF('計算A'!J$106=1,DD20,1)</f>
        <v/>
      </c>
      <c r="HU20">
        <f>IF('計算A'!K$106=1,DE20,1)</f>
        <v/>
      </c>
      <c r="HV20">
        <f>IF('計算A'!L$106=1,DF20,1)</f>
        <v/>
      </c>
      <c r="HW20">
        <f>IF('計算A'!M$106=1,DG20,1)</f>
        <v/>
      </c>
      <c r="HX20">
        <f>IF('計算A'!N$106=1,DH20,1)</f>
        <v/>
      </c>
      <c r="HY20">
        <f>IF('計算A'!O$106=1,DI20,1)</f>
        <v/>
      </c>
      <c r="HZ20">
        <f>IF('計算A'!P$106=1,DJ20,1)</f>
        <v/>
      </c>
      <c r="IA20">
        <f>IF('計算A'!Q$106=1,DK20,1)</f>
        <v/>
      </c>
      <c r="IB20">
        <f>IF('計算A'!R$106=1,DL20,1)</f>
        <v/>
      </c>
      <c r="IC20">
        <f>IF('計算A'!S$106=1,DM20,1)</f>
        <v/>
      </c>
      <c r="ID20">
        <f>IF('計算A'!T$106=1,DN20,1)</f>
        <v/>
      </c>
      <c r="IE20">
        <f>IF('計算A'!U$106=1,DO20,1)</f>
        <v/>
      </c>
      <c r="IF20">
        <f>IF('計算A'!V$106=1,DP20,1)</f>
        <v/>
      </c>
      <c r="IG20">
        <f>IF('計算A'!W$106=1,DQ20,1)</f>
        <v/>
      </c>
      <c r="IH20">
        <f>IF('計算A'!X$106=1,DR20,1)</f>
        <v/>
      </c>
      <c r="II20">
        <f>IF('計算A'!Y$106=1,DS20,1)</f>
        <v/>
      </c>
      <c r="IJ20">
        <f>IF('計算A'!Z$106=1,DT20,1)</f>
        <v/>
      </c>
      <c r="IK20">
        <f>IF('計算A'!AA$106=1,DU20,1)</f>
        <v/>
      </c>
      <c r="IL20">
        <f>IF('計算A'!AB$106=1,DV20,1)</f>
        <v/>
      </c>
      <c r="IM20">
        <f>IF('計算A'!AC$106=1,DW20,1)</f>
        <v/>
      </c>
      <c r="IN20">
        <f>IF('計算A'!AD$106=1,DX20,1)</f>
        <v/>
      </c>
      <c r="IO20">
        <f>IF('計算A'!AE$106=1,DY20,1)</f>
        <v/>
      </c>
      <c r="IP20">
        <f>IF('計算A'!AF$106=1,DZ20,1)</f>
        <v/>
      </c>
      <c r="IQ20">
        <f>IF('計算A'!AG$106=1,EA20,1)</f>
        <v/>
      </c>
      <c r="IR20">
        <f>IF('計算A'!AH$106=1,EB20,1)</f>
        <v/>
      </c>
      <c r="IS20">
        <f>IF('計算A'!AI$106=1,EC20,1)</f>
        <v/>
      </c>
      <c r="IT20">
        <f>IF('計算A'!AJ$106=1,ED20,1)</f>
        <v/>
      </c>
      <c r="IU20">
        <f>IF('計算A'!AK$106=1,EE20,1)</f>
        <v/>
      </c>
      <c r="IV20">
        <f>IF('計算A'!AL$106=1,EF20,1)</f>
        <v/>
      </c>
      <c r="IW20">
        <f>IF('計算A'!AM$106=1,EG20,1)</f>
        <v/>
      </c>
      <c r="IX20">
        <f>IF('計算A'!AN$106=1,EH20,1)</f>
        <v/>
      </c>
      <c r="IY20">
        <f>IF('計算A'!AO$106=1,EI20,1)</f>
        <v/>
      </c>
      <c r="IZ20">
        <f>IF('計算A'!AP$106=1,EJ20,1)</f>
        <v/>
      </c>
      <c r="JA20">
        <f>IF('計算A'!AQ$106=1,EK20,1)</f>
        <v/>
      </c>
      <c r="JB20">
        <f>IF('計算A'!AR$106=1,EL20,1)</f>
        <v/>
      </c>
      <c r="JC20">
        <f>IF('計算A'!AS$106=1,EM20,1)</f>
        <v/>
      </c>
      <c r="JD20">
        <f>IF('計算A'!AT$106=1,EN20,1)</f>
        <v/>
      </c>
      <c r="JE20">
        <f>IF('計算A'!AU$106=1,EO20,1)</f>
        <v/>
      </c>
      <c r="JF20">
        <f>IF('計算A'!AV$106=1,EP20,1)</f>
        <v/>
      </c>
      <c r="JG20">
        <f>IF('計算A'!AW$106=1,EQ20,1)</f>
        <v/>
      </c>
      <c r="JH20">
        <f>IF('計算A'!AX$106=1,ER20,1)</f>
        <v/>
      </c>
      <c r="JI20">
        <f>IF('計算A'!AY$106=1,ES20,1)</f>
        <v/>
      </c>
      <c r="JJ20">
        <f>IF('計算A'!AZ$106=1,ET20,1)</f>
        <v/>
      </c>
      <c r="JK20">
        <f>IF('計算A'!BA$106=1,EU20,1)</f>
        <v/>
      </c>
      <c r="JL20">
        <f>IF('計算A'!BB$106=1,EV20,1)</f>
        <v/>
      </c>
      <c r="JM20">
        <f>IF('計算A'!BC$106=1,EW20,1)</f>
        <v/>
      </c>
      <c r="JN20">
        <f>IF('計算A'!BD$106=1,EX20,1)</f>
        <v/>
      </c>
      <c r="JO20">
        <f>IF('計算A'!BE$106=1,EY20,1)</f>
        <v/>
      </c>
      <c r="JP20">
        <f>IF('計算A'!BF$106=1,EZ20,1)</f>
        <v/>
      </c>
      <c r="JQ20">
        <f>IF('計算A'!BG$106=1,FA20,1)</f>
        <v/>
      </c>
      <c r="JR20">
        <f>IF('計算A'!BH$106=1,FB20,1)</f>
        <v/>
      </c>
      <c r="JS20">
        <f>IF('計算A'!BI$106=1,FC20,1)</f>
        <v/>
      </c>
      <c r="JT20">
        <f>IF('計算A'!BJ$106=1,FD20,1)</f>
        <v/>
      </c>
      <c r="JU20">
        <f>IF('計算A'!BK$106=1,FE20,1)</f>
        <v/>
      </c>
      <c r="JV20">
        <f>IF('計算A'!BL$106=1,FF20,1)</f>
        <v/>
      </c>
      <c r="JW20">
        <f>IF('計算A'!BM$106=1,FG20,1)</f>
        <v/>
      </c>
      <c r="JX20">
        <f>IF('計算A'!BN$106=1,FH20,1)</f>
        <v/>
      </c>
      <c r="JY20">
        <f>IF('計算A'!BO$106=1,FI20,1)</f>
        <v/>
      </c>
      <c r="JZ20">
        <f>IF('計算A'!BP$106=1,FJ20,1)</f>
        <v/>
      </c>
      <c r="KA20">
        <f>IF('計算A'!BQ$106=1,FK20,1)</f>
        <v/>
      </c>
      <c r="KB20">
        <f>IF('計算A'!BR$106=1,FL20,1)</f>
        <v/>
      </c>
      <c r="KC20">
        <f>IF('計算A'!BS$106=1,FM20,1)</f>
        <v/>
      </c>
      <c r="KD20">
        <f>IF('計算A'!BT$106=1,FN20,1)</f>
        <v/>
      </c>
      <c r="KE20">
        <f>IF('計算A'!BU$106=1,FO20,1)</f>
        <v/>
      </c>
      <c r="KF20">
        <f>IF('計算A'!BV$106=1,FP20,1)</f>
        <v/>
      </c>
      <c r="KG20">
        <f>IF('計算A'!BW$106=1,FQ20,1)</f>
        <v/>
      </c>
      <c r="KH20">
        <f>IF('計算A'!BX$106=1,FR20,1)</f>
        <v/>
      </c>
      <c r="KI20">
        <f>IF('計算A'!BY$106=1,FS20,1)</f>
        <v/>
      </c>
      <c r="KJ20">
        <f>IF('計算A'!BZ$106=1,FT20,1)</f>
        <v/>
      </c>
      <c r="KK20">
        <f>IF('計算A'!CA$106=1,FU20,1)</f>
        <v/>
      </c>
      <c r="KL20">
        <f>IF('計算A'!CB$106=1,FV20,1)</f>
        <v/>
      </c>
      <c r="KM20">
        <f>IF('計算A'!CC$106=1,FW20,1)</f>
        <v/>
      </c>
      <c r="KN20">
        <f>IF('計算A'!CD$106=1,FX20,1)</f>
        <v/>
      </c>
      <c r="KO20">
        <f>IF('計算A'!CE$106=1,FY20,1)</f>
        <v/>
      </c>
      <c r="KP20">
        <f>IF('計算A'!CF$106=1,FZ20,1)</f>
        <v/>
      </c>
      <c r="KQ20">
        <f>IF('計算A'!CG$106=1,GA20,1)</f>
        <v/>
      </c>
      <c r="KR20">
        <f>IF('計算A'!CH$106=1,GB20,1)</f>
        <v/>
      </c>
      <c r="KS20">
        <f>IF('計算A'!CI$106=1,GC20,1)</f>
        <v/>
      </c>
      <c r="KT20">
        <f>IF('計算A'!CJ$106=1,GD20,1)</f>
        <v/>
      </c>
      <c r="KU20">
        <f>IF('計算A'!CK$106=1,GE20,1)</f>
        <v/>
      </c>
      <c r="KV20">
        <f>IF('計算A'!CL$106=1,GF20,1)</f>
        <v/>
      </c>
      <c r="KW20">
        <f>IF('計算A'!CM$106=1,GG20,1)</f>
        <v/>
      </c>
      <c r="KX20">
        <f>IF('計算A'!CN$106=1,GH20,1)</f>
        <v/>
      </c>
      <c r="KY20">
        <f>IF('計算A'!CO$106=1,GI20,1)</f>
        <v/>
      </c>
      <c r="KZ20">
        <f>IF('計算A'!CP$106=1,GJ20,1)</f>
        <v/>
      </c>
      <c r="LA20">
        <f>IF('計算A'!CQ$106=1,GK20,1)</f>
        <v/>
      </c>
      <c r="LB20">
        <f>IF('計算A'!CR$106=1,GL20,1)</f>
        <v/>
      </c>
      <c r="LC20">
        <f>IF('計算A'!CS$106=1,GM20,1)</f>
        <v/>
      </c>
      <c r="LD20">
        <f>IF('計算A'!CT$106=1,GN20,1)</f>
        <v/>
      </c>
      <c r="LE20">
        <f>IF('計算A'!CU$106=1,GO20,1)</f>
        <v/>
      </c>
      <c r="LF20">
        <f>IF('計算A'!CV$106=1,GP20,1)</f>
        <v/>
      </c>
      <c r="LG20">
        <f>IF('計算A'!CW$106=1,GQ20,1)</f>
        <v/>
      </c>
      <c r="LH20">
        <f>IF('計算A'!CX$106=1,GR20,1)</f>
        <v/>
      </c>
      <c r="LI20">
        <f>IF('計算A'!CY$106=1,GS20,1)</f>
        <v/>
      </c>
      <c r="LJ20">
        <f>IF('計算A'!CZ$106=1,GT20,1)</f>
        <v/>
      </c>
      <c r="LK20">
        <f>IF('計算A'!DA$106=1,GU20,1)</f>
        <v/>
      </c>
      <c r="LL20">
        <f>IF('計算A'!DB$106=1,GV20,1)</f>
        <v/>
      </c>
      <c r="LM20">
        <f>IF('計算A'!DC$106=1,GW20,1)</f>
        <v/>
      </c>
      <c r="LN20">
        <f>IF('計算A'!DD$106=1,GX20,1)</f>
        <v/>
      </c>
      <c r="LO20">
        <f>IF('計算A'!DE$106=1,GY20,1)</f>
        <v/>
      </c>
      <c r="LP20">
        <f>IF('計算A'!DF$106=1,GZ20,1)</f>
        <v/>
      </c>
      <c r="LQ20">
        <f>IF('計算A'!DG$106=1,HA20,1)</f>
        <v/>
      </c>
      <c r="LR20">
        <f>IF('計算A'!DH$106=1,HB20,1)</f>
        <v/>
      </c>
      <c r="LS20">
        <f>IF('計算A'!DI$106=1,HC20,1)</f>
        <v/>
      </c>
      <c r="LT20">
        <f>IF('計算A'!DJ$106=1,HD20,1)</f>
        <v/>
      </c>
      <c r="LU20">
        <f>IF('計算A'!DK$106=1,HE20,1)</f>
        <v/>
      </c>
      <c r="LV20">
        <f>IF('計算A'!DL$106=1,HF20,1)</f>
        <v/>
      </c>
      <c r="LW20">
        <f>IF('計算A'!DM$106=1,HG20,1)</f>
        <v/>
      </c>
      <c r="LX20">
        <f>IF('計算A'!DN$106=1,HH20,1)</f>
        <v/>
      </c>
      <c r="LY20">
        <f>IF('計算A'!DO$106=1,HI20,1)</f>
        <v/>
      </c>
      <c r="LZ20">
        <f>IF('計算A'!DP$106=1,HJ20,1)</f>
        <v/>
      </c>
      <c r="MA20">
        <f>IF('計算A'!DQ$106=1,HK20,1)</f>
        <v/>
      </c>
      <c r="MB20">
        <f>IF('計算A'!DR$106=1,HL20,1)</f>
        <v/>
      </c>
      <c r="MC20" t="n">
        <v>1</v>
      </c>
      <c r="ME20">
        <f>IF($B20=0,1000000,IF(INDEX('計算A'!$D$60:$DS$104,$B20,1)*CW20=1,IF(AND($E20=2,HN20=0),1000000,INDEX('計算A'!D$110:D$114,$F20+1)+IF(AND($E20=1,HN20=0),1000,0)),1000000))</f>
        <v/>
      </c>
      <c r="MF20">
        <f>IF($B20=0,1000000,IF(INDEX('計算A'!$D$60:$DS$104,$B20,2)*CX20=1,IF(AND($E20=2,HO20=0),1000000,INDEX('計算A'!E$110:E$114,$F20+1)+IF(AND($E20=1,HO20=0),1000,0)),1000000))</f>
        <v/>
      </c>
      <c r="MG20">
        <f>IF($B20=0,1000000,IF(INDEX('計算A'!$D$60:$DS$104,$B20,3)*CY20=1,IF(AND($E20=2,HP20=0),1000000,INDEX('計算A'!F$110:F$114,$F20+1)+IF(AND($E20=1,HP20=0),1000,0)),1000000))</f>
        <v/>
      </c>
      <c r="MH20">
        <f>IF($B20=0,1000000,IF(INDEX('計算A'!$D$60:$DS$104,$B20,4)*CZ20=1,IF(AND($E20=2,HQ20=0),1000000,INDEX('計算A'!G$110:G$114,$F20+1)+IF(AND($E20=1,HQ20=0),1000,0)),1000000))</f>
        <v/>
      </c>
      <c r="MI20">
        <f>IF($B20=0,1000000,IF(INDEX('計算A'!$D$60:$DS$104,$B20,5)*DA20=1,IF(AND($E20=2,HR20=0),1000000,INDEX('計算A'!H$110:H$114,$F20+1)+IF(AND($E20=1,HR20=0),1000,0)),1000000))</f>
        <v/>
      </c>
      <c r="MJ20">
        <f>IF($B20=0,1000000,IF(INDEX('計算A'!$D$60:$DS$104,$B20,6)*DB20=1,IF(AND($E20=2,HS20=0),1000000,INDEX('計算A'!I$110:I$114,$F20+1)+IF(AND($E20=1,HS20=0),1000,0)),1000000))</f>
        <v/>
      </c>
      <c r="MK20">
        <f>IF($B20=0,1000000,IF(INDEX('計算A'!$D$60:$DS$104,$B20,7)*DC20=1,IF(AND($E20=2,HT20=0),1000000,INDEX('計算A'!J$110:J$114,$F20+1)+IF(AND($E20=1,HT20=0),1000,0)),1000000))</f>
        <v/>
      </c>
      <c r="ML20">
        <f>IF($B20=0,1000000,IF(INDEX('計算A'!$D$60:$DS$104,$B20,8)*DD20=1,IF(AND($E20=2,HU20=0),1000000,INDEX('計算A'!K$110:K$114,$F20+1)+IF(AND($E20=1,HU20=0),1000,0)),1000000))</f>
        <v/>
      </c>
      <c r="MM20">
        <f>IF($B20=0,1000000,IF(INDEX('計算A'!$D$60:$DS$104,$B20,9)*DE20=1,IF(AND($E20=2,HV20=0),1000000,INDEX('計算A'!L$110:L$114,$F20+1)+IF(AND($E20=1,HV20=0),1000,0)),1000000))</f>
        <v/>
      </c>
      <c r="MN20">
        <f>IF($B20=0,1000000,IF(INDEX('計算A'!$D$60:$DS$104,$B20,10)*DF20=1,IF(AND($E20=2,HW20=0),1000000,INDEX('計算A'!M$110:M$114,$F20+1)+IF(AND($E20=1,HW20=0),1000,0)),1000000))</f>
        <v/>
      </c>
      <c r="MO20">
        <f>IF($B20=0,1000000,IF(INDEX('計算A'!$D$60:$DS$104,$B20,11)*DG20=1,IF(AND($E20=2,HX20=0),1000000,INDEX('計算A'!N$110:N$114,$F20+1)+IF(AND($E20=1,HX20=0),1000,0)),1000000))</f>
        <v/>
      </c>
      <c r="MP20">
        <f>IF($B20=0,1000000,IF(INDEX('計算A'!$D$60:$DS$104,$B20,12)*DH20=1,IF(AND($E20=2,HY20=0),1000000,INDEX('計算A'!O$110:O$114,$F20+1)+IF(AND($E20=1,HY20=0),1000,0)),1000000))</f>
        <v/>
      </c>
      <c r="MQ20">
        <f>IF($B20=0,1000000,IF(INDEX('計算A'!$D$60:$DS$104,$B20,13)*DI20=1,IF(AND($E20=2,HZ20=0),1000000,INDEX('計算A'!P$110:P$114,$F20+1)+IF(AND($E20=1,HZ20=0),1000,0)),1000000))</f>
        <v/>
      </c>
      <c r="MR20">
        <f>IF($B20=0,1000000,IF(INDEX('計算A'!$D$60:$DS$104,$B20,14)*DJ20=1,IF(AND($E20=2,IA20=0),1000000,INDEX('計算A'!Q$110:Q$114,$F20+1)+IF(AND($E20=1,IA20=0),1000,0)),1000000))</f>
        <v/>
      </c>
      <c r="MS20">
        <f>IF($B20=0,1000000,IF(INDEX('計算A'!$D$60:$DS$104,$B20,15)*DK20=1,IF(AND($E20=2,IB20=0),1000000,INDEX('計算A'!R$110:R$114,$F20+1)+IF(AND($E20=1,IB20=0),1000,0)),1000000))</f>
        <v/>
      </c>
      <c r="MT20">
        <f>IF($B20=0,1000000,IF(INDEX('計算A'!$D$60:$DS$104,$B20,16)*DL20=1,IF(AND($E20=2,IC20=0),1000000,INDEX('計算A'!S$110:S$114,$F20+1)+IF(AND($E20=1,IC20=0),1000,0)),1000000))</f>
        <v/>
      </c>
      <c r="MU20">
        <f>IF($B20=0,1000000,IF(INDEX('計算A'!$D$60:$DS$104,$B20,17)*DM20=1,IF(AND($E20=2,ID20=0),1000000,INDEX('計算A'!T$110:T$114,$F20+1)+IF(AND($E20=1,ID20=0),1000,0)),1000000))</f>
        <v/>
      </c>
      <c r="MV20">
        <f>IF($B20=0,1000000,IF(INDEX('計算A'!$D$60:$DS$104,$B20,18)*DN20=1,IF(AND($E20=2,IE20=0),1000000,INDEX('計算A'!U$110:U$114,$F20+1)+IF(AND($E20=1,IE20=0),1000,0)),1000000))</f>
        <v/>
      </c>
      <c r="MW20">
        <f>IF($B20=0,1000000,IF(INDEX('計算A'!$D$60:$DS$104,$B20,19)*DO20=1,IF(AND($E20=2,IF20=0),1000000,INDEX('計算A'!V$110:V$114,$F20+1)+IF(AND($E20=1,IF20=0),1000,0)),1000000))</f>
        <v/>
      </c>
      <c r="MX20">
        <f>IF($B20=0,1000000,IF(INDEX('計算A'!$D$60:$DS$104,$B20,20)*DP20=1,IF(AND($E20=2,IG20=0),1000000,INDEX('計算A'!W$110:W$114,$F20+1)+IF(AND($E20=1,IG20=0),1000,0)),1000000))</f>
        <v/>
      </c>
      <c r="MY20">
        <f>IF($B20=0,1000000,IF(INDEX('計算A'!$D$60:$DS$104,$B20,21)*DQ20=1,IF(AND($E20=2,IH20=0),1000000,INDEX('計算A'!X$110:X$114,$F20+1)+IF(AND($E20=1,IH20=0),1000,0)),1000000))</f>
        <v/>
      </c>
      <c r="MZ20">
        <f>IF($B20=0,1000000,IF(INDEX('計算A'!$D$60:$DS$104,$B20,22)*DR20=1,IF(AND($E20=2,II20=0),1000000,INDEX('計算A'!Y$110:Y$114,$F20+1)+IF(AND($E20=1,II20=0),1000,0)),1000000))</f>
        <v/>
      </c>
      <c r="NA20">
        <f>IF($B20=0,1000000,IF(INDEX('計算A'!$D$60:$DS$104,$B20,23)*DS20=1,IF(AND($E20=2,IJ20=0),1000000,INDEX('計算A'!Z$110:Z$114,$F20+1)+IF(AND($E20=1,IJ20=0),1000,0)),1000000))</f>
        <v/>
      </c>
      <c r="NB20">
        <f>IF($B20=0,1000000,IF(INDEX('計算A'!$D$60:$DS$104,$B20,24)*DT20=1,IF(AND($E20=2,IK20=0),1000000,INDEX('計算A'!AA$110:AA$114,$F20+1)+IF(AND($E20=1,IK20=0),1000,0)),1000000))</f>
        <v/>
      </c>
      <c r="NC20">
        <f>IF($B20=0,1000000,IF(INDEX('計算A'!$D$60:$DS$104,$B20,25)*DU20=1,IF(AND($E20=2,IL20=0),1000000,INDEX('計算A'!AB$110:AB$114,$F20+1)+IF(AND($E20=1,IL20=0),1000,0)),1000000))</f>
        <v/>
      </c>
      <c r="ND20">
        <f>IF($B20=0,1000000,IF(INDEX('計算A'!$D$60:$DS$104,$B20,26)*DV20=1,IF(AND($E20=2,IM20=0),1000000,INDEX('計算A'!AC$110:AC$114,$F20+1)+IF(AND($E20=1,IM20=0),1000,0)),1000000))</f>
        <v/>
      </c>
      <c r="NE20">
        <f>IF($B20=0,1000000,IF(INDEX('計算A'!$D$60:$DS$104,$B20,27)*DW20=1,IF(AND($E20=2,IN20=0),1000000,INDEX('計算A'!AD$110:AD$114,$F20+1)+IF(AND($E20=1,IN20=0),1000,0)),1000000))</f>
        <v/>
      </c>
      <c r="NF20">
        <f>IF($B20=0,1000000,IF(INDEX('計算A'!$D$60:$DS$104,$B20,28)*DX20=1,IF(AND($E20=2,IO20=0),1000000,INDEX('計算A'!AE$110:AE$114,$F20+1)+IF(AND($E20=1,IO20=0),1000,0)),1000000))</f>
        <v/>
      </c>
      <c r="NG20">
        <f>IF($B20=0,1000000,IF(INDEX('計算A'!$D$60:$DS$104,$B20,29)*DY20=1,IF(AND($E20=2,IP20=0),1000000,INDEX('計算A'!AF$110:AF$114,$F20+1)+IF(AND($E20=1,IP20=0),1000,0)),1000000))</f>
        <v/>
      </c>
      <c r="NH20">
        <f>IF($B20=0,1000000,IF(INDEX('計算A'!$D$60:$DS$104,$B20,30)*DZ20=1,IF(AND($E20=2,IQ20=0),1000000,INDEX('計算A'!AG$110:AG$114,$F20+1)+IF(AND($E20=1,IQ20=0),1000,0)),1000000))</f>
        <v/>
      </c>
      <c r="NI20">
        <f>IF($B20=0,1000000,IF(INDEX('計算A'!$D$60:$DS$104,$B20,31)*EA20=1,IF(AND($E20=2,IR20=0),1000000,INDEX('計算A'!AH$110:AH$114,$F20+1)+IF(AND($E20=1,IR20=0),1000,0)),1000000))</f>
        <v/>
      </c>
      <c r="NJ20">
        <f>IF($B20=0,1000000,IF(INDEX('計算A'!$D$60:$DS$104,$B20,32)*EB20=1,IF(AND($E20=2,IS20=0),1000000,INDEX('計算A'!AI$110:AI$114,$F20+1)+IF(AND($E20=1,IS20=0),1000,0)),1000000))</f>
        <v/>
      </c>
      <c r="NK20">
        <f>IF($B20=0,1000000,IF(INDEX('計算A'!$D$60:$DS$104,$B20,33)*EC20=1,IF(AND($E20=2,IT20=0),1000000,INDEX('計算A'!AJ$110:AJ$114,$F20+1)+IF(AND($E20=1,IT20=0),1000,0)),1000000))</f>
        <v/>
      </c>
      <c r="NL20">
        <f>IF($B20=0,1000000,IF(INDEX('計算A'!$D$60:$DS$104,$B20,34)*ED20=1,IF(AND($E20=2,IU20=0),1000000,INDEX('計算A'!AK$110:AK$114,$F20+1)+IF(AND($E20=1,IU20=0),1000,0)),1000000))</f>
        <v/>
      </c>
      <c r="NM20">
        <f>IF($B20=0,1000000,IF(INDEX('計算A'!$D$60:$DS$104,$B20,35)*EE20=1,IF(AND($E20=2,IV20=0),1000000,INDEX('計算A'!AL$110:AL$114,$F20+1)+IF(AND($E20=1,IV20=0),1000,0)),1000000))</f>
        <v/>
      </c>
      <c r="NN20">
        <f>IF($B20=0,1000000,IF(INDEX('計算A'!$D$60:$DS$104,$B20,36)*EF20=1,IF(AND($E20=2,IW20=0),1000000,INDEX('計算A'!AM$110:AM$114,$F20+1)+IF(AND($E20=1,IW20=0),1000,0)),1000000))</f>
        <v/>
      </c>
      <c r="NO20">
        <f>IF($B20=0,1000000,IF(INDEX('計算A'!$D$60:$DS$104,$B20,37)*EG20=1,IF(AND($E20=2,IX20=0),1000000,INDEX('計算A'!AN$110:AN$114,$F20+1)+IF(AND($E20=1,IX20=0),1000,0)),1000000))</f>
        <v/>
      </c>
      <c r="NP20">
        <f>IF($B20=0,1000000,IF(INDEX('計算A'!$D$60:$DS$104,$B20,38)*EH20=1,IF(AND($E20=2,IY20=0),1000000,INDEX('計算A'!AO$110:AO$114,$F20+1)+IF(AND($E20=1,IY20=0),1000,0)),1000000))</f>
        <v/>
      </c>
      <c r="NQ20">
        <f>IF($B20=0,1000000,IF(INDEX('計算A'!$D$60:$DS$104,$B20,39)*EI20=1,IF(AND($E20=2,IZ20=0),1000000,INDEX('計算A'!AP$110:AP$114,$F20+1)+IF(AND($E20=1,IZ20=0),1000,0)),1000000))</f>
        <v/>
      </c>
      <c r="NR20">
        <f>IF($B20=0,1000000,IF(INDEX('計算A'!$D$60:$DS$104,$B20,40)*EJ20=1,IF(AND($E20=2,JA20=0),1000000,INDEX('計算A'!AQ$110:AQ$114,$F20+1)+IF(AND($E20=1,JA20=0),1000,0)),1000000))</f>
        <v/>
      </c>
      <c r="NS20">
        <f>IF($B20=0,1000000,IF(INDEX('計算A'!$D$60:$DS$104,$B20,41)*EK20=1,IF(AND($E20=2,JB20=0),1000000,INDEX('計算A'!AR$110:AR$114,$F20+1)+IF(AND($E20=1,JB20=0),1000,0)),1000000))</f>
        <v/>
      </c>
      <c r="NT20">
        <f>IF($B20=0,1000000,IF(INDEX('計算A'!$D$60:$DS$104,$B20,42)*EL20=1,IF(AND($E20=2,JC20=0),1000000,INDEX('計算A'!AS$110:AS$114,$F20+1)+IF(AND($E20=1,JC20=0),1000,0)),1000000))</f>
        <v/>
      </c>
      <c r="NU20">
        <f>IF($B20=0,1000000,IF(INDEX('計算A'!$D$60:$DS$104,$B20,43)*EM20=1,IF(AND($E20=2,JD20=0),1000000,INDEX('計算A'!AT$110:AT$114,$F20+1)+IF(AND($E20=1,JD20=0),1000,0)),1000000))</f>
        <v/>
      </c>
      <c r="NV20">
        <f>IF($B20=0,1000000,IF(INDEX('計算A'!$D$60:$DS$104,$B20,44)*EN20=1,IF(AND($E20=2,JE20=0),1000000,INDEX('計算A'!AU$110:AU$114,$F20+1)+IF(AND($E20=1,JE20=0),1000,0)),1000000))</f>
        <v/>
      </c>
      <c r="NW20">
        <f>IF($B20=0,1000000,IF(INDEX('計算A'!$D$60:$DS$104,$B20,45)*EO20=1,IF(AND($E20=2,JF20=0),1000000,INDEX('計算A'!AV$110:AV$114,$F20+1)+IF(AND($E20=1,JF20=0),1000,0)),1000000))</f>
        <v/>
      </c>
      <c r="NX20">
        <f>IF($B20=0,1000000,IF(INDEX('計算A'!$D$60:$DS$104,$B20,46)*EP20=1,IF(AND($E20=2,JG20=0),1000000,INDEX('計算A'!AW$110:AW$114,$F20+1)+IF(AND($E20=1,JG20=0),1000,0)),1000000))</f>
        <v/>
      </c>
      <c r="NY20">
        <f>IF($B20=0,1000000,IF(INDEX('計算A'!$D$60:$DS$104,$B20,47)*EQ20=1,IF(AND($E20=2,JH20=0),1000000,INDEX('計算A'!AX$110:AX$114,$F20+1)+IF(AND($E20=1,JH20=0),1000,0)),1000000))</f>
        <v/>
      </c>
      <c r="NZ20">
        <f>IF($B20=0,1000000,IF(INDEX('計算A'!$D$60:$DS$104,$B20,48)*ER20=1,IF(AND($E20=2,JI20=0),1000000,INDEX('計算A'!AY$110:AY$114,$F20+1)+IF(AND($E20=1,JI20=0),1000,0)),1000000))</f>
        <v/>
      </c>
      <c r="OA20">
        <f>IF($B20=0,1000000,IF(INDEX('計算A'!$D$60:$DS$104,$B20,49)*ES20=1,IF(AND($E20=2,JJ20=0),1000000,INDEX('計算A'!AZ$110:AZ$114,$F20+1)+IF(AND($E20=1,JJ20=0),1000,0)),1000000))</f>
        <v/>
      </c>
      <c r="OB20">
        <f>IF($B20=0,1000000,IF(INDEX('計算A'!$D$60:$DS$104,$B20,50)*ET20=1,IF(AND($E20=2,JK20=0),1000000,INDEX('計算A'!BA$110:BA$114,$F20+1)+IF(AND($E20=1,JK20=0),1000,0)),1000000))</f>
        <v/>
      </c>
      <c r="OC20">
        <f>IF($B20=0,1000000,IF(INDEX('計算A'!$D$60:$DS$104,$B20,51)*EU20=1,IF(AND($E20=2,JL20=0),1000000,INDEX('計算A'!BB$110:BB$114,$F20+1)+IF(AND($E20=1,JL20=0),1000,0)),1000000))</f>
        <v/>
      </c>
      <c r="OD20">
        <f>IF($B20=0,1000000,IF(INDEX('計算A'!$D$60:$DS$104,$B20,52)*EV20=1,IF(AND($E20=2,JM20=0),1000000,INDEX('計算A'!BC$110:BC$114,$F20+1)+IF(AND($E20=1,JM20=0),1000,0)),1000000))</f>
        <v/>
      </c>
      <c r="OE20">
        <f>IF($B20=0,1000000,IF(INDEX('計算A'!$D$60:$DS$104,$B20,53)*EW20=1,IF(AND($E20=2,JN20=0),1000000,INDEX('計算A'!BD$110:BD$114,$F20+1)+IF(AND($E20=1,JN20=0),1000,0)),1000000))</f>
        <v/>
      </c>
      <c r="OF20">
        <f>IF($B20=0,1000000,IF(INDEX('計算A'!$D$60:$DS$104,$B20,54)*EX20=1,IF(AND($E20=2,JO20=0),1000000,INDEX('計算A'!BE$110:BE$114,$F20+1)+IF(AND($E20=1,JO20=0),1000,0)),1000000))</f>
        <v/>
      </c>
      <c r="OG20">
        <f>IF($B20=0,1000000,IF(INDEX('計算A'!$D$60:$DS$104,$B20,55)*EY20=1,IF(AND($E20=2,JP20=0),1000000,INDEX('計算A'!BF$110:BF$114,$F20+1)+IF(AND($E20=1,JP20=0),1000,0)),1000000))</f>
        <v/>
      </c>
      <c r="OH20">
        <f>IF($B20=0,1000000,IF(INDEX('計算A'!$D$60:$DS$104,$B20,56)*EZ20=1,IF(AND($E20=2,JQ20=0),1000000,INDEX('計算A'!BG$110:BG$114,$F20+1)+IF(AND($E20=1,JQ20=0),1000,0)),1000000))</f>
        <v/>
      </c>
      <c r="OI20">
        <f>IF($B20=0,1000000,IF(INDEX('計算A'!$D$60:$DS$104,$B20,57)*FA20=1,IF(AND($E20=2,JR20=0),1000000,INDEX('計算A'!BH$110:BH$114,$F20+1)+IF(AND($E20=1,JR20=0),1000,0)),1000000))</f>
        <v/>
      </c>
      <c r="OJ20">
        <f>IF($B20=0,1000000,IF(INDEX('計算A'!$D$60:$DS$104,$B20,58)*FB20=1,IF(AND($E20=2,JS20=0),1000000,INDEX('計算A'!BI$110:BI$114,$F20+1)+IF(AND($E20=1,JS20=0),1000,0)),1000000))</f>
        <v/>
      </c>
      <c r="OK20">
        <f>IF($B20=0,1000000,IF(INDEX('計算A'!$D$60:$DS$104,$B20,59)*FC20=1,IF(AND($E20=2,JT20=0),1000000,INDEX('計算A'!BJ$110:BJ$114,$F20+1)+IF(AND($E20=1,JT20=0),1000,0)),1000000))</f>
        <v/>
      </c>
      <c r="OL20">
        <f>IF($B20=0,1000000,IF(INDEX('計算A'!$D$60:$DS$104,$B20,60)*FD20=1,IF(AND($E20=2,JU20=0),1000000,INDEX('計算A'!BK$110:BK$114,$F20+1)+IF(AND($E20=1,JU20=0),1000,0)),1000000))</f>
        <v/>
      </c>
      <c r="OM20">
        <f>IF($B20=0,1000000,IF(INDEX('計算A'!$D$60:$DS$104,$B20,61)*FE20=1,IF(AND($E20=2,JV20=0),1000000,INDEX('計算A'!BL$110:BL$114,$F20+1)+IF(AND($E20=1,JV20=0),1000,0)),1000000))</f>
        <v/>
      </c>
      <c r="ON20">
        <f>IF($B20=0,1000000,IF(INDEX('計算A'!$D$60:$DS$104,$B20,62)*FF20=1,IF(AND($E20=2,JW20=0),1000000,INDEX('計算A'!BM$110:BM$114,$F20+1)+IF(AND($E20=1,JW20=0),1000,0)),1000000))</f>
        <v/>
      </c>
      <c r="OO20">
        <f>IF($B20=0,1000000,IF(INDEX('計算A'!$D$60:$DS$104,$B20,63)*FG20=1,IF(AND($E20=2,JX20=0),1000000,INDEX('計算A'!BN$110:BN$114,$F20+1)+IF(AND($E20=1,JX20=0),1000,0)),1000000))</f>
        <v/>
      </c>
      <c r="OP20">
        <f>IF($B20=0,1000000,IF(INDEX('計算A'!$D$60:$DS$104,$B20,64)*FH20=1,IF(AND($E20=2,JY20=0),1000000,INDEX('計算A'!BO$110:BO$114,$F20+1)+IF(AND($E20=1,JY20=0),1000,0)),1000000))</f>
        <v/>
      </c>
      <c r="OQ20">
        <f>IF($B20=0,1000000,IF(INDEX('計算A'!$D$60:$DS$104,$B20,65)*FI20=1,IF(AND($E20=2,JZ20=0),1000000,INDEX('計算A'!BP$110:BP$114,$F20+1)+IF(AND($E20=1,JZ20=0),1000,0)),1000000))</f>
        <v/>
      </c>
      <c r="OR20">
        <f>IF($B20=0,1000000,IF(INDEX('計算A'!$D$60:$DS$104,$B20,66)*FJ20=1,IF(AND($E20=2,KA20=0),1000000,INDEX('計算A'!BQ$110:BQ$114,$F20+1)+IF(AND($E20=1,KA20=0),1000,0)),1000000))</f>
        <v/>
      </c>
      <c r="OS20">
        <f>IF($B20=0,1000000,IF(INDEX('計算A'!$D$60:$DS$104,$B20,67)*FK20=1,IF(AND($E20=2,KB20=0),1000000,INDEX('計算A'!BR$110:BR$114,$F20+1)+IF(AND($E20=1,KB20=0),1000,0)),1000000))</f>
        <v/>
      </c>
      <c r="OT20">
        <f>IF($B20=0,1000000,IF(INDEX('計算A'!$D$60:$DS$104,$B20,68)*FL20=1,IF(AND($E20=2,KC20=0),1000000,INDEX('計算A'!BS$110:BS$114,$F20+1)+IF(AND($E20=1,KC20=0),1000,0)),1000000))</f>
        <v/>
      </c>
      <c r="OU20">
        <f>IF($B20=0,1000000,IF(INDEX('計算A'!$D$60:$DS$104,$B20,69)*FM20=1,IF(AND($E20=2,KD20=0),1000000,INDEX('計算A'!BT$110:BT$114,$F20+1)+IF(AND($E20=1,KD20=0),1000,0)),1000000))</f>
        <v/>
      </c>
      <c r="OV20">
        <f>IF($B20=0,1000000,IF(INDEX('計算A'!$D$60:$DS$104,$B20,70)*FN20=1,IF(AND($E20=2,KE20=0),1000000,INDEX('計算A'!BU$110:BU$114,$F20+1)+IF(AND($E20=1,KE20=0),1000,0)),1000000))</f>
        <v/>
      </c>
      <c r="OW20">
        <f>IF($B20=0,1000000,IF(INDEX('計算A'!$D$60:$DS$104,$B20,71)*FO20=1,IF(AND($E20=2,KF20=0),1000000,INDEX('計算A'!BV$110:BV$114,$F20+1)+IF(AND($E20=1,KF20=0),1000,0)),1000000))</f>
        <v/>
      </c>
      <c r="OX20">
        <f>IF($B20=0,1000000,IF(INDEX('計算A'!$D$60:$DS$104,$B20,72)*FP20=1,IF(AND($E20=2,KG20=0),1000000,INDEX('計算A'!BW$110:BW$114,$F20+1)+IF(AND($E20=1,KG20=0),1000,0)),1000000))</f>
        <v/>
      </c>
      <c r="OY20">
        <f>IF($B20=0,1000000,IF(INDEX('計算A'!$D$60:$DS$104,$B20,73)*FQ20=1,IF(AND($E20=2,KH20=0),1000000,INDEX('計算A'!BX$110:BX$114,$F20+1)+IF(AND($E20=1,KH20=0),1000,0)),1000000))</f>
        <v/>
      </c>
      <c r="OZ20">
        <f>IF($B20=0,1000000,IF(INDEX('計算A'!$D$60:$DS$104,$B20,74)*FR20=1,IF(AND($E20=2,KI20=0),1000000,INDEX('計算A'!BY$110:BY$114,$F20+1)+IF(AND($E20=1,KI20=0),1000,0)),1000000))</f>
        <v/>
      </c>
      <c r="PA20">
        <f>IF($B20=0,1000000,IF(INDEX('計算A'!$D$60:$DS$104,$B20,75)*FS20=1,IF(AND($E20=2,KJ20=0),1000000,INDEX('計算A'!BZ$110:BZ$114,$F20+1)+IF(AND($E20=1,KJ20=0),1000,0)),1000000))</f>
        <v/>
      </c>
      <c r="PB20">
        <f>IF($B20=0,1000000,IF(INDEX('計算A'!$D$60:$DS$104,$B20,76)*FT20=1,IF(AND($E20=2,KK20=0),1000000,INDEX('計算A'!CA$110:CA$114,$F20+1)+IF(AND($E20=1,KK20=0),1000,0)),1000000))</f>
        <v/>
      </c>
      <c r="PC20">
        <f>IF($B20=0,1000000,IF(INDEX('計算A'!$D$60:$DS$104,$B20,77)*FU20=1,IF(AND($E20=2,KL20=0),1000000,INDEX('計算A'!CB$110:CB$114,$F20+1)+IF(AND($E20=1,KL20=0),1000,0)),1000000))</f>
        <v/>
      </c>
      <c r="PD20">
        <f>IF($B20=0,1000000,IF(INDEX('計算A'!$D$60:$DS$104,$B20,78)*FV20=1,IF(AND($E20=2,KM20=0),1000000,INDEX('計算A'!CC$110:CC$114,$F20+1)+IF(AND($E20=1,KM20=0),1000,0)),1000000))</f>
        <v/>
      </c>
      <c r="PE20">
        <f>IF($B20=0,1000000,IF(INDEX('計算A'!$D$60:$DS$104,$B20,79)*FW20=1,IF(AND($E20=2,KN20=0),1000000,INDEX('計算A'!CD$110:CD$114,$F20+1)+IF(AND($E20=1,KN20=0),1000,0)),1000000))</f>
        <v/>
      </c>
      <c r="PF20">
        <f>IF($B20=0,1000000,IF(INDEX('計算A'!$D$60:$DS$104,$B20,80)*FX20=1,IF(AND($E20=2,KO20=0),1000000,INDEX('計算A'!CE$110:CE$114,$F20+1)+IF(AND($E20=1,KO20=0),1000,0)),1000000))</f>
        <v/>
      </c>
      <c r="PG20">
        <f>IF($B20=0,1000000,IF(INDEX('計算A'!$D$60:$DS$104,$B20,81)*FY20=1,IF(AND($E20=2,KP20=0),1000000,INDEX('計算A'!CF$110:CF$114,$F20+1)+IF(AND($E20=1,KP20=0),1000,0)),1000000))</f>
        <v/>
      </c>
      <c r="PH20">
        <f>IF($B20=0,1000000,IF(INDEX('計算A'!$D$60:$DS$104,$B20,82)*FZ20=1,IF(AND($E20=2,KQ20=0),1000000,INDEX('計算A'!CG$110:CG$114,$F20+1)+IF(AND($E20=1,KQ20=0),1000,0)),1000000))</f>
        <v/>
      </c>
      <c r="PI20">
        <f>IF($B20=0,1000000,IF(INDEX('計算A'!$D$60:$DS$104,$B20,83)*GA20=1,IF(AND($E20=2,KR20=0),1000000,INDEX('計算A'!CH$110:CH$114,$F20+1)+IF(AND($E20=1,KR20=0),1000,0)),1000000))</f>
        <v/>
      </c>
      <c r="PJ20">
        <f>IF($B20=0,1000000,IF(INDEX('計算A'!$D$60:$DS$104,$B20,84)*GB20=1,IF(AND($E20=2,KS20=0),1000000,INDEX('計算A'!CI$110:CI$114,$F20+1)+IF(AND($E20=1,KS20=0),1000,0)),1000000))</f>
        <v/>
      </c>
      <c r="PK20">
        <f>IF($B20=0,1000000,IF(INDEX('計算A'!$D$60:$DS$104,$B20,85)*GC20=1,IF(AND($E20=2,KT20=0),1000000,INDEX('計算A'!CJ$110:CJ$114,$F20+1)+IF(AND($E20=1,KT20=0),1000,0)),1000000))</f>
        <v/>
      </c>
      <c r="PL20">
        <f>IF($B20=0,1000000,IF(INDEX('計算A'!$D$60:$DS$104,$B20,86)*GD20=1,IF(AND($E20=2,KU20=0),1000000,INDEX('計算A'!CK$110:CK$114,$F20+1)+IF(AND($E20=1,KU20=0),1000,0)),1000000))</f>
        <v/>
      </c>
      <c r="PM20">
        <f>IF($B20=0,1000000,IF(INDEX('計算A'!$D$60:$DS$104,$B20,87)*GE20=1,IF(AND($E20=2,KV20=0),1000000,INDEX('計算A'!CL$110:CL$114,$F20+1)+IF(AND($E20=1,KV20=0),1000,0)),1000000))</f>
        <v/>
      </c>
      <c r="PN20">
        <f>IF($B20=0,1000000,IF(INDEX('計算A'!$D$60:$DS$104,$B20,88)*GF20=1,IF(AND($E20=2,KW20=0),1000000,INDEX('計算A'!CM$110:CM$114,$F20+1)+IF(AND($E20=1,KW20=0),1000,0)),1000000))</f>
        <v/>
      </c>
      <c r="PO20">
        <f>IF($B20=0,1000000,IF(INDEX('計算A'!$D$60:$DS$104,$B20,89)*GG20=1,IF(AND($E20=2,KX20=0),1000000,INDEX('計算A'!CN$110:CN$114,$F20+1)+IF(AND($E20=1,KX20=0),1000,0)),1000000))</f>
        <v/>
      </c>
      <c r="PP20">
        <f>IF($B20=0,1000000,IF(INDEX('計算A'!$D$60:$DS$104,$B20,90)*GH20=1,IF(AND($E20=2,KY20=0),1000000,INDEX('計算A'!CO$110:CO$114,$F20+1)+IF(AND($E20=1,KY20=0),1000,0)),1000000))</f>
        <v/>
      </c>
      <c r="PQ20">
        <f>IF($B20=0,1000000,IF(INDEX('計算A'!$D$60:$DS$104,$B20,91)*GI20=1,IF(AND($E20=2,KZ20=0),1000000,INDEX('計算A'!CP$110:CP$114,$F20+1)+IF(AND($E20=1,KZ20=0),1000,0)),1000000))</f>
        <v/>
      </c>
      <c r="PR20">
        <f>IF($B20=0,1000000,IF(INDEX('計算A'!$D$60:$DS$104,$B20,92)*GJ20=1,IF(AND($E20=2,LA20=0),1000000,INDEX('計算A'!CQ$110:CQ$114,$F20+1)+IF(AND($E20=1,LA20=0),1000,0)),1000000))</f>
        <v/>
      </c>
      <c r="PS20">
        <f>IF($B20=0,1000000,IF(INDEX('計算A'!$D$60:$DS$104,$B20,93)*GK20=1,IF(AND($E20=2,LB20=0),1000000,INDEX('計算A'!CR$110:CR$114,$F20+1)+IF(AND($E20=1,LB20=0),1000,0)),1000000))</f>
        <v/>
      </c>
      <c r="PT20">
        <f>IF($B20=0,1000000,IF(INDEX('計算A'!$D$60:$DS$104,$B20,94)*GL20=1,IF(AND($E20=2,LC20=0),1000000,INDEX('計算A'!CS$110:CS$114,$F20+1)+IF(AND($E20=1,LC20=0),1000,0)),1000000))</f>
        <v/>
      </c>
      <c r="PU20">
        <f>IF($B20=0,1000000,IF(INDEX('計算A'!$D$60:$DS$104,$B20,95)*GM20=1,IF(AND($E20=2,LD20=0),1000000,INDEX('計算A'!CT$110:CT$114,$F20+1)+IF(AND($E20=1,LD20=0),1000,0)),1000000))</f>
        <v/>
      </c>
      <c r="PV20">
        <f>IF($B20=0,1000000,IF(INDEX('計算A'!$D$60:$DS$104,$B20,96)*GN20=1,IF(AND($E20=2,LE20=0),1000000,INDEX('計算A'!CU$110:CU$114,$F20+1)+IF(AND($E20=1,LE20=0),1000,0)),1000000))</f>
        <v/>
      </c>
      <c r="PW20">
        <f>IF($B20=0,1000000,IF(INDEX('計算A'!$D$60:$DS$104,$B20,97)*GO20=1,IF(AND($E20=2,LF20=0),1000000,INDEX('計算A'!CV$110:CV$114,$F20+1)+IF(AND($E20=1,LF20=0),1000,0)),1000000))</f>
        <v/>
      </c>
      <c r="PX20">
        <f>IF($B20=0,1000000,IF(INDEX('計算A'!$D$60:$DS$104,$B20,98)*GP20=1,IF(AND($E20=2,LG20=0),1000000,INDEX('計算A'!CW$110:CW$114,$F20+1)+IF(AND($E20=1,LG20=0),1000,0)),1000000))</f>
        <v/>
      </c>
      <c r="PY20">
        <f>IF($B20=0,1000000,IF(INDEX('計算A'!$D$60:$DS$104,$B20,99)*GQ20=1,IF(AND($E20=2,LH20=0),1000000,INDEX('計算A'!CX$110:CX$114,$F20+1)+IF(AND($E20=1,LH20=0),1000,0)),1000000))</f>
        <v/>
      </c>
      <c r="PZ20">
        <f>IF($B20=0,1000000,IF(INDEX('計算A'!$D$60:$DS$104,$B20,100)*GR20=1,IF(AND($E20=2,LI20=0),1000000,INDEX('計算A'!CY$110:CY$114,$F20+1)+IF(AND($E20=1,LI20=0),1000,0)),1000000))</f>
        <v/>
      </c>
      <c r="QA20">
        <f>IF($B20=0,1000000,IF(INDEX('計算A'!$D$60:$DS$104,$B20,101)*GS20=1,IF(AND($E20=2,LJ20=0),1000000,INDEX('計算A'!CZ$110:CZ$114,$F20+1)+IF(AND($E20=1,LJ20=0),1000,0)),1000000))</f>
        <v/>
      </c>
      <c r="QB20">
        <f>IF($B20=0,1000000,IF(INDEX('計算A'!$D$60:$DS$104,$B20,102)*GT20=1,IF(AND($E20=2,LK20=0),1000000,INDEX('計算A'!DA$110:DA$114,$F20+1)+IF(AND($E20=1,LK20=0),1000,0)),1000000))</f>
        <v/>
      </c>
      <c r="QC20">
        <f>IF($B20=0,1000000,IF(INDEX('計算A'!$D$60:$DS$104,$B20,103)*GU20=1,IF(AND($E20=2,LL20=0),1000000,INDEX('計算A'!DB$110:DB$114,$F20+1)+IF(AND($E20=1,LL20=0),1000,0)),1000000))</f>
        <v/>
      </c>
      <c r="QD20">
        <f>IF($B20=0,1000000,IF(INDEX('計算A'!$D$60:$DS$104,$B20,104)*GV20=1,IF(AND($E20=2,LM20=0),1000000,INDEX('計算A'!DC$110:DC$114,$F20+1)+IF(AND($E20=1,LM20=0),1000,0)),1000000))</f>
        <v/>
      </c>
      <c r="QE20">
        <f>IF($B20=0,1000000,IF(INDEX('計算A'!$D$60:$DS$104,$B20,105)*GW20=1,IF(AND($E20=2,LN20=0),1000000,INDEX('計算A'!DD$110:DD$114,$F20+1)+IF(AND($E20=1,LN20=0),1000,0)),1000000))</f>
        <v/>
      </c>
      <c r="QF20">
        <f>IF($B20=0,1000000,IF(INDEX('計算A'!$D$60:$DS$104,$B20,106)*GX20=1,IF(AND($E20=2,LO20=0),1000000,INDEX('計算A'!DE$110:DE$114,$F20+1)+IF(AND($E20=1,LO20=0),1000,0)),1000000))</f>
        <v/>
      </c>
      <c r="QG20">
        <f>IF($B20=0,1000000,IF(INDEX('計算A'!$D$60:$DS$104,$B20,107)*GY20=1,IF(AND($E20=2,LP20=0),1000000,INDEX('計算A'!DF$110:DF$114,$F20+1)+IF(AND($E20=1,LP20=0),1000,0)),1000000))</f>
        <v/>
      </c>
      <c r="QH20">
        <f>IF($B20=0,1000000,IF(INDEX('計算A'!$D$60:$DS$104,$B20,108)*GZ20=1,IF(AND($E20=2,LQ20=0),1000000,INDEX('計算A'!DG$110:DG$114,$F20+1)+IF(AND($E20=1,LQ20=0),1000,0)),1000000))</f>
        <v/>
      </c>
      <c r="QI20">
        <f>IF($B20=0,1000000,IF(INDEX('計算A'!$D$60:$DS$104,$B20,109)*HA20=1,IF(AND($E20=2,LR20=0),1000000,INDEX('計算A'!DH$110:DH$114,$F20+1)+IF(AND($E20=1,LR20=0),1000,0)),1000000))</f>
        <v/>
      </c>
      <c r="QJ20">
        <f>IF($B20=0,1000000,IF(INDEX('計算A'!$D$60:$DS$104,$B20,110)*HB20=1,IF(AND($E20=2,LS20=0),1000000,INDEX('計算A'!DI$110:DI$114,$F20+1)+IF(AND($E20=1,LS20=0),1000,0)),1000000))</f>
        <v/>
      </c>
      <c r="QK20">
        <f>IF($B20=0,1000000,IF(INDEX('計算A'!$D$60:$DS$104,$B20,111)*HC20=1,IF(AND($E20=2,LT20=0),1000000,INDEX('計算A'!DJ$110:DJ$114,$F20+1)+IF(AND($E20=1,LT20=0),1000,0)),1000000))</f>
        <v/>
      </c>
      <c r="QL20">
        <f>IF($B20=0,1000000,IF(INDEX('計算A'!$D$60:$DS$104,$B20,112)*HD20=1,IF(AND($E20=2,LU20=0),1000000,INDEX('計算A'!DK$110:DK$114,$F20+1)+IF(AND($E20=1,LU20=0),1000,0)),1000000))</f>
        <v/>
      </c>
      <c r="QM20">
        <f>IF($B20=0,1000000,IF(INDEX('計算A'!$D$60:$DS$104,$B20,113)*HE20=1,IF(AND($E20=2,LV20=0),1000000,INDEX('計算A'!DL$110:DL$114,$F20+1)+IF(AND($E20=1,LV20=0),1000,0)),1000000))</f>
        <v/>
      </c>
      <c r="QN20">
        <f>IF($B20=0,1000000,IF(INDEX('計算A'!$D$60:$DS$104,$B20,114)*HF20=1,IF(AND($E20=2,LW20=0),1000000,INDEX('計算A'!DM$110:DM$114,$F20+1)+IF(AND($E20=1,LW20=0),1000,0)),1000000))</f>
        <v/>
      </c>
      <c r="QO20">
        <f>IF($B20=0,1000000,IF(INDEX('計算A'!$D$60:$DS$104,$B20,115)*HG20=1,IF(AND($E20=2,LX20=0),1000000,INDEX('計算A'!DN$110:DN$114,$F20+1)+IF(AND($E20=1,LX20=0),1000,0)),1000000))</f>
        <v/>
      </c>
      <c r="QP20">
        <f>IF($B20=0,1000000,IF(INDEX('計算A'!$D$60:$DS$104,$B20,116)*HH20=1,IF(AND($E20=2,LY20=0),1000000,INDEX('計算A'!DO$110:DO$114,$F20+1)+IF(AND($E20=1,LY20=0),1000,0)),1000000))</f>
        <v/>
      </c>
      <c r="QQ20">
        <f>IF($B20=0,1000000,IF(INDEX('計算A'!$D$60:$DS$104,$B20,117)*HI20=1,IF(AND($E20=2,LZ20=0),1000000,INDEX('計算A'!DP$110:DP$114,$F20+1)+IF(AND($E20=1,LZ20=0),1000,0)),1000000))</f>
        <v/>
      </c>
      <c r="QR20">
        <f>IF($B20=0,1000000,IF(INDEX('計算A'!$D$60:$DS$104,$B20,118)*HJ20=1,IF(AND($E20=2,MA20=0),1000000,INDEX('計算A'!DQ$110:DQ$114,$F20+1)+IF(AND($E20=1,MA20=0),1000,0)),1000000))</f>
        <v/>
      </c>
      <c r="QS20">
        <f>IF($B20=0,1000000,IF(INDEX('計算A'!$D$60:$DS$104,$B20,119)*HK20=1,IF(AND($E20=2,MB20=0),1000000,INDEX('計算A'!DR$110:DR$114,$F20+1)+IF(AND($E20=1,MB20=0),1000,0)),1000000))</f>
        <v/>
      </c>
      <c r="QT20">
        <f>IF($B20=0,1000000,IF(INDEX('計算A'!$D$60:$DS$104,$B20,120)*HL20=1,IF(AND($E20=2,MC20=0),1000000,INDEX('計算A'!DS$110:DS$114,$F20+1)+IF(AND($E20=1,MC20=0),1000,0)),1000000))</f>
        <v/>
      </c>
    </row>
    <row r="21">
      <c r="A21" t="n">
        <v>19</v>
      </c>
      <c r="B21">
        <f>IF(MIN(BC21:CU21)&gt;=1000000,0,MATCH(MIN(BC21:CU21),BC21:CU21,0))</f>
        <v/>
      </c>
      <c r="C21">
        <f>IF(MIN(ME21:QT21)&gt;=1000000,0,MATCH(MIN(ME21:QT21),ME21:QT21,0))</f>
        <v/>
      </c>
      <c r="D21">
        <f>IF(C21&gt;0,INDEX('計算A'!$D$5:$DS$5,C21),0)</f>
        <v/>
      </c>
      <c r="E21">
        <f>IF(B21=0,0,INDEX('計算A'!$EA$10:$EA$54,B21))</f>
        <v/>
      </c>
      <c r="F21">
        <f>IF(B21=0,0,INDEX('計算A'!$DZ$10:$DZ$54,B21))</f>
        <v/>
      </c>
      <c r="G21">
        <f>IF(AND(C21&gt;0,E21&gt;0),IF(AND(INDEX('計算A'!$D$106:$DS$106,C21)=1,INDEX($HN21:$MC21,C21)=1),C21+1,0),0)</f>
        <v/>
      </c>
      <c r="I21">
        <f>MAX(I20,IF($B20=1,1,0))</f>
        <v/>
      </c>
      <c r="J21">
        <f>MAX(J20,IF($B20=2,1,0))</f>
        <v/>
      </c>
      <c r="K21">
        <f>MAX(K20,IF($B20=3,1,0))</f>
        <v/>
      </c>
      <c r="L21">
        <f>MAX(L20,IF($B20=4,1,0))</f>
        <v/>
      </c>
      <c r="M21">
        <f>MAX(M20,IF($B20=5,1,0))</f>
        <v/>
      </c>
      <c r="N21">
        <f>MAX(N20,IF($B20=6,1,0))</f>
        <v/>
      </c>
      <c r="O21">
        <f>MAX(O20,IF($B20=7,1,0))</f>
        <v/>
      </c>
      <c r="P21">
        <f>MAX(P20,IF($B20=8,1,0))</f>
        <v/>
      </c>
      <c r="Q21">
        <f>MAX(Q20,IF($B20=9,1,0))</f>
        <v/>
      </c>
      <c r="R21">
        <f>MAX(R20,IF($B20=10,1,0))</f>
        <v/>
      </c>
      <c r="S21">
        <f>MAX(S20,IF($B20=11,1,0))</f>
        <v/>
      </c>
      <c r="T21">
        <f>MAX(T20,IF($B20=12,1,0))</f>
        <v/>
      </c>
      <c r="U21">
        <f>MAX(U20,IF($B20=13,1,0))</f>
        <v/>
      </c>
      <c r="V21">
        <f>MAX(V20,IF($B20=14,1,0))</f>
        <v/>
      </c>
      <c r="W21">
        <f>MAX(W20,IF($B20=15,1,0))</f>
        <v/>
      </c>
      <c r="X21">
        <f>MAX(X20,IF($B20=16,1,0))</f>
        <v/>
      </c>
      <c r="Y21">
        <f>MAX(Y20,IF($B20=17,1,0))</f>
        <v/>
      </c>
      <c r="Z21">
        <f>MAX(Z20,IF($B20=18,1,0))</f>
        <v/>
      </c>
      <c r="AA21">
        <f>MAX(AA20,IF($B20=19,1,0))</f>
        <v/>
      </c>
      <c r="AB21">
        <f>MAX(AB20,IF($B20=20,1,0))</f>
        <v/>
      </c>
      <c r="AC21">
        <f>MAX(AC20,IF($B20=21,1,0))</f>
        <v/>
      </c>
      <c r="AD21">
        <f>MAX(AD20,IF($B20=22,1,0))</f>
        <v/>
      </c>
      <c r="AE21">
        <f>MAX(AE20,IF($B20=23,1,0))</f>
        <v/>
      </c>
      <c r="AF21">
        <f>MAX(AF20,IF($B20=24,1,0))</f>
        <v/>
      </c>
      <c r="AG21">
        <f>MAX(AG20,IF($B20=25,1,0))</f>
        <v/>
      </c>
      <c r="AH21">
        <f>MAX(AH20,IF($B20=26,1,0))</f>
        <v/>
      </c>
      <c r="AI21">
        <f>MAX(AI20,IF($B20=27,1,0))</f>
        <v/>
      </c>
      <c r="AJ21">
        <f>MAX(AJ20,IF($B20=28,1,0))</f>
        <v/>
      </c>
      <c r="AK21">
        <f>MAX(AK20,IF($B20=29,1,0))</f>
        <v/>
      </c>
      <c r="AL21">
        <f>MAX(AL20,IF($B20=30,1,0))</f>
        <v/>
      </c>
      <c r="AM21">
        <f>MAX(AM20,IF($B20=31,1,0))</f>
        <v/>
      </c>
      <c r="AN21">
        <f>MAX(AN20,IF($B20=32,1,0))</f>
        <v/>
      </c>
      <c r="AO21">
        <f>MAX(AO20,IF($B20=33,1,0))</f>
        <v/>
      </c>
      <c r="AP21">
        <f>MAX(AP20,IF($B20=34,1,0))</f>
        <v/>
      </c>
      <c r="AQ21">
        <f>MAX(AQ20,IF($B20=35,1,0))</f>
        <v/>
      </c>
      <c r="AR21">
        <f>MAX(AR20,IF($B20=36,1,0))</f>
        <v/>
      </c>
      <c r="AS21">
        <f>MAX(AS20,IF($B20=37,1,0))</f>
        <v/>
      </c>
      <c r="AT21">
        <f>MAX(AT20,IF($B20=38,1,0))</f>
        <v/>
      </c>
      <c r="AU21">
        <f>MAX(AU20,IF($B20=39,1,0))</f>
        <v/>
      </c>
      <c r="AV21">
        <f>MAX(AV20,IF($B20=40,1,0))</f>
        <v/>
      </c>
      <c r="AW21">
        <f>MAX(AW20,IF($B20=41,1,0))</f>
        <v/>
      </c>
      <c r="AX21">
        <f>MAX(AX20,IF($B20=42,1,0))</f>
        <v/>
      </c>
      <c r="AY21">
        <f>MAX(AY20,IF($B20=43,1,0))</f>
        <v/>
      </c>
      <c r="AZ21">
        <f>MAX(AZ20,IF($B20=44,1,0))</f>
        <v/>
      </c>
      <c r="BA21">
        <f>MAX(BA20,IF($B20=45,1,0))</f>
        <v/>
      </c>
      <c r="BC21">
        <f>IF(I21=1,1000000,IF('計算A'!$EA$10=2,SUMPRODUCT('計算A'!$D$60:$DS$60,$CW21:$HL21,$HN21:$MC21),SUMPRODUCT('計算A'!$D$60:$DS$60,$CW21:$HL21))*1000+1)</f>
        <v/>
      </c>
      <c r="BD21">
        <f>IF(J21=1,1000000,IF('計算A'!$EA$11=2,SUMPRODUCT('計算A'!$D$61:$DS$61,$CW21:$HL21,$HN21:$MC21),SUMPRODUCT('計算A'!$D$61:$DS$61,$CW21:$HL21))*1000+2)</f>
        <v/>
      </c>
      <c r="BE21">
        <f>IF(K21=1,1000000,IF('計算A'!$EA$12=2,SUMPRODUCT('計算A'!$D$62:$DS$62,$CW21:$HL21,$HN21:$MC21),SUMPRODUCT('計算A'!$D$62:$DS$62,$CW21:$HL21))*1000+3)</f>
        <v/>
      </c>
      <c r="BF21">
        <f>IF(L21=1,1000000,IF('計算A'!$EA$13=2,SUMPRODUCT('計算A'!$D$63:$DS$63,$CW21:$HL21,$HN21:$MC21),SUMPRODUCT('計算A'!$D$63:$DS$63,$CW21:$HL21))*1000+4)</f>
        <v/>
      </c>
      <c r="BG21">
        <f>IF(M21=1,1000000,IF('計算A'!$EA$14=2,SUMPRODUCT('計算A'!$D$64:$DS$64,$CW21:$HL21,$HN21:$MC21),SUMPRODUCT('計算A'!$D$64:$DS$64,$CW21:$HL21))*1000+5)</f>
        <v/>
      </c>
      <c r="BH21">
        <f>IF(N21=1,1000000,IF('計算A'!$EA$15=2,SUMPRODUCT('計算A'!$D$65:$DS$65,$CW21:$HL21,$HN21:$MC21),SUMPRODUCT('計算A'!$D$65:$DS$65,$CW21:$HL21))*1000+6)</f>
        <v/>
      </c>
      <c r="BI21">
        <f>IF(O21=1,1000000,IF('計算A'!$EA$16=2,SUMPRODUCT('計算A'!$D$66:$DS$66,$CW21:$HL21,$HN21:$MC21),SUMPRODUCT('計算A'!$D$66:$DS$66,$CW21:$HL21))*1000+7)</f>
        <v/>
      </c>
      <c r="BJ21">
        <f>IF(P21=1,1000000,IF('計算A'!$EA$17=2,SUMPRODUCT('計算A'!$D$67:$DS$67,$CW21:$HL21,$HN21:$MC21),SUMPRODUCT('計算A'!$D$67:$DS$67,$CW21:$HL21))*1000+8)</f>
        <v/>
      </c>
      <c r="BK21">
        <f>IF(Q21=1,1000000,IF('計算A'!$EA$18=2,SUMPRODUCT('計算A'!$D$68:$DS$68,$CW21:$HL21,$HN21:$MC21),SUMPRODUCT('計算A'!$D$68:$DS$68,$CW21:$HL21))*1000+9)</f>
        <v/>
      </c>
      <c r="BL21">
        <f>IF(R21=1,1000000,IF('計算A'!$EA$19=2,SUMPRODUCT('計算A'!$D$69:$DS$69,$CW21:$HL21,$HN21:$MC21),SUMPRODUCT('計算A'!$D$69:$DS$69,$CW21:$HL21))*1000+10)</f>
        <v/>
      </c>
      <c r="BM21">
        <f>IF(S21=1,1000000,IF('計算A'!$EA$20=2,SUMPRODUCT('計算A'!$D$70:$DS$70,$CW21:$HL21,$HN21:$MC21),SUMPRODUCT('計算A'!$D$70:$DS$70,$CW21:$HL21))*1000+11)</f>
        <v/>
      </c>
      <c r="BN21">
        <f>IF(T21=1,1000000,IF('計算A'!$EA$21=2,SUMPRODUCT('計算A'!$D$71:$DS$71,$CW21:$HL21,$HN21:$MC21),SUMPRODUCT('計算A'!$D$71:$DS$71,$CW21:$HL21))*1000+12)</f>
        <v/>
      </c>
      <c r="BO21">
        <f>IF(U21=1,1000000,IF('計算A'!$EA$22=2,SUMPRODUCT('計算A'!$D$72:$DS$72,$CW21:$HL21,$HN21:$MC21),SUMPRODUCT('計算A'!$D$72:$DS$72,$CW21:$HL21))*1000+13)</f>
        <v/>
      </c>
      <c r="BP21">
        <f>IF(V21=1,1000000,IF('計算A'!$EA$23=2,SUMPRODUCT('計算A'!$D$73:$DS$73,$CW21:$HL21,$HN21:$MC21),SUMPRODUCT('計算A'!$D$73:$DS$73,$CW21:$HL21))*1000+14)</f>
        <v/>
      </c>
      <c r="BQ21">
        <f>IF(W21=1,1000000,IF('計算A'!$EA$24=2,SUMPRODUCT('計算A'!$D$74:$DS$74,$CW21:$HL21,$HN21:$MC21),SUMPRODUCT('計算A'!$D$74:$DS$74,$CW21:$HL21))*1000+15)</f>
        <v/>
      </c>
      <c r="BR21">
        <f>IF(X21=1,1000000,IF('計算A'!$EA$25=2,SUMPRODUCT('計算A'!$D$75:$DS$75,$CW21:$HL21,$HN21:$MC21),SUMPRODUCT('計算A'!$D$75:$DS$75,$CW21:$HL21))*1000+16)</f>
        <v/>
      </c>
      <c r="BS21">
        <f>IF(Y21=1,1000000,IF('計算A'!$EA$26=2,SUMPRODUCT('計算A'!$D$76:$DS$76,$CW21:$HL21,$HN21:$MC21),SUMPRODUCT('計算A'!$D$76:$DS$76,$CW21:$HL21))*1000+17)</f>
        <v/>
      </c>
      <c r="BT21">
        <f>IF(Z21=1,1000000,IF('計算A'!$EA$27=2,SUMPRODUCT('計算A'!$D$77:$DS$77,$CW21:$HL21,$HN21:$MC21),SUMPRODUCT('計算A'!$D$77:$DS$77,$CW21:$HL21))*1000+18)</f>
        <v/>
      </c>
      <c r="BU21">
        <f>IF(AA21=1,1000000,IF('計算A'!$EA$28=2,SUMPRODUCT('計算A'!$D$78:$DS$78,$CW21:$HL21,$HN21:$MC21),SUMPRODUCT('計算A'!$D$78:$DS$78,$CW21:$HL21))*1000+19)</f>
        <v/>
      </c>
      <c r="BV21">
        <f>IF(AB21=1,1000000,IF('計算A'!$EA$29=2,SUMPRODUCT('計算A'!$D$79:$DS$79,$CW21:$HL21,$HN21:$MC21),SUMPRODUCT('計算A'!$D$79:$DS$79,$CW21:$HL21))*1000+20)</f>
        <v/>
      </c>
      <c r="BW21">
        <f>IF(AC21=1,1000000,IF('計算A'!$EA$30=2,SUMPRODUCT('計算A'!$D$80:$DS$80,$CW21:$HL21,$HN21:$MC21),SUMPRODUCT('計算A'!$D$80:$DS$80,$CW21:$HL21))*1000+21)</f>
        <v/>
      </c>
      <c r="BX21">
        <f>IF(AD21=1,1000000,IF('計算A'!$EA$31=2,SUMPRODUCT('計算A'!$D$81:$DS$81,$CW21:$HL21,$HN21:$MC21),SUMPRODUCT('計算A'!$D$81:$DS$81,$CW21:$HL21))*1000+22)</f>
        <v/>
      </c>
      <c r="BY21">
        <f>IF(AE21=1,1000000,IF('計算A'!$EA$32=2,SUMPRODUCT('計算A'!$D$82:$DS$82,$CW21:$HL21,$HN21:$MC21),SUMPRODUCT('計算A'!$D$82:$DS$82,$CW21:$HL21))*1000+23)</f>
        <v/>
      </c>
      <c r="BZ21">
        <f>IF(AF21=1,1000000,IF('計算A'!$EA$33=2,SUMPRODUCT('計算A'!$D$83:$DS$83,$CW21:$HL21,$HN21:$MC21),SUMPRODUCT('計算A'!$D$83:$DS$83,$CW21:$HL21))*1000+24)</f>
        <v/>
      </c>
      <c r="CA21">
        <f>IF(AG21=1,1000000,IF('計算A'!$EA$34=2,SUMPRODUCT('計算A'!$D$84:$DS$84,$CW21:$HL21,$HN21:$MC21),SUMPRODUCT('計算A'!$D$84:$DS$84,$CW21:$HL21))*1000+25)</f>
        <v/>
      </c>
      <c r="CB21">
        <f>IF(AH21=1,1000000,IF('計算A'!$EA$35=2,SUMPRODUCT('計算A'!$D$85:$DS$85,$CW21:$HL21,$HN21:$MC21),SUMPRODUCT('計算A'!$D$85:$DS$85,$CW21:$HL21))*1000+26)</f>
        <v/>
      </c>
      <c r="CC21">
        <f>IF(AI21=1,1000000,IF('計算A'!$EA$36=2,SUMPRODUCT('計算A'!$D$86:$DS$86,$CW21:$HL21,$HN21:$MC21),SUMPRODUCT('計算A'!$D$86:$DS$86,$CW21:$HL21))*1000+27)</f>
        <v/>
      </c>
      <c r="CD21">
        <f>IF(AJ21=1,1000000,IF('計算A'!$EA$37=2,SUMPRODUCT('計算A'!$D$87:$DS$87,$CW21:$HL21,$HN21:$MC21),SUMPRODUCT('計算A'!$D$87:$DS$87,$CW21:$HL21))*1000+28)</f>
        <v/>
      </c>
      <c r="CE21">
        <f>IF(AK21=1,1000000,IF('計算A'!$EA$38=2,SUMPRODUCT('計算A'!$D$88:$DS$88,$CW21:$HL21,$HN21:$MC21),SUMPRODUCT('計算A'!$D$88:$DS$88,$CW21:$HL21))*1000+29)</f>
        <v/>
      </c>
      <c r="CF21">
        <f>IF(AL21=1,1000000,IF('計算A'!$EA$39=2,SUMPRODUCT('計算A'!$D$89:$DS$89,$CW21:$HL21,$HN21:$MC21),SUMPRODUCT('計算A'!$D$89:$DS$89,$CW21:$HL21))*1000+30)</f>
        <v/>
      </c>
      <c r="CG21">
        <f>IF(AM21=1,1000000,IF('計算A'!$EA$40=2,SUMPRODUCT('計算A'!$D$90:$DS$90,$CW21:$HL21,$HN21:$MC21),SUMPRODUCT('計算A'!$D$90:$DS$90,$CW21:$HL21))*1000+31)</f>
        <v/>
      </c>
      <c r="CH21">
        <f>IF(AN21=1,1000000,IF('計算A'!$EA$41=2,SUMPRODUCT('計算A'!$D$91:$DS$91,$CW21:$HL21,$HN21:$MC21),SUMPRODUCT('計算A'!$D$91:$DS$91,$CW21:$HL21))*1000+32)</f>
        <v/>
      </c>
      <c r="CI21">
        <f>IF(AO21=1,1000000,IF('計算A'!$EA$42=2,SUMPRODUCT('計算A'!$D$92:$DS$92,$CW21:$HL21,$HN21:$MC21),SUMPRODUCT('計算A'!$D$92:$DS$92,$CW21:$HL21))*1000+33)</f>
        <v/>
      </c>
      <c r="CJ21">
        <f>IF(AP21=1,1000000,IF('計算A'!$EA$43=2,SUMPRODUCT('計算A'!$D$93:$DS$93,$CW21:$HL21,$HN21:$MC21),SUMPRODUCT('計算A'!$D$93:$DS$93,$CW21:$HL21))*1000+34)</f>
        <v/>
      </c>
      <c r="CK21">
        <f>IF(AQ21=1,1000000,IF('計算A'!$EA$44=2,SUMPRODUCT('計算A'!$D$94:$DS$94,$CW21:$HL21,$HN21:$MC21),SUMPRODUCT('計算A'!$D$94:$DS$94,$CW21:$HL21))*1000+35)</f>
        <v/>
      </c>
      <c r="CL21">
        <f>IF(AR21=1,1000000,IF('計算A'!$EA$45=2,SUMPRODUCT('計算A'!$D$95:$DS$95,$CW21:$HL21,$HN21:$MC21),SUMPRODUCT('計算A'!$D$95:$DS$95,$CW21:$HL21))*1000+36)</f>
        <v/>
      </c>
      <c r="CM21">
        <f>IF(AS21=1,1000000,IF('計算A'!$EA$46=2,SUMPRODUCT('計算A'!$D$96:$DS$96,$CW21:$HL21,$HN21:$MC21),SUMPRODUCT('計算A'!$D$96:$DS$96,$CW21:$HL21))*1000+37)</f>
        <v/>
      </c>
      <c r="CN21">
        <f>IF(AT21=1,1000000,IF('計算A'!$EA$47=2,SUMPRODUCT('計算A'!$D$97:$DS$97,$CW21:$HL21,$HN21:$MC21),SUMPRODUCT('計算A'!$D$97:$DS$97,$CW21:$HL21))*1000+38)</f>
        <v/>
      </c>
      <c r="CO21">
        <f>IF(AU21=1,1000000,IF('計算A'!$EA$48=2,SUMPRODUCT('計算A'!$D$98:$DS$98,$CW21:$HL21,$HN21:$MC21),SUMPRODUCT('計算A'!$D$98:$DS$98,$CW21:$HL21))*1000+39)</f>
        <v/>
      </c>
      <c r="CP21">
        <f>IF(AV21=1,1000000,IF('計算A'!$EA$49=2,SUMPRODUCT('計算A'!$D$99:$DS$99,$CW21:$HL21,$HN21:$MC21),SUMPRODUCT('計算A'!$D$99:$DS$99,$CW21:$HL21))*1000+40)</f>
        <v/>
      </c>
      <c r="CQ21">
        <f>IF(AW21=1,1000000,IF('計算A'!$EA$50=2,SUMPRODUCT('計算A'!$D$100:$DS$100,$CW21:$HL21,$HN21:$MC21),SUMPRODUCT('計算A'!$D$100:$DS$100,$CW21:$HL21))*1000+41)</f>
        <v/>
      </c>
      <c r="CR21">
        <f>IF(AX21=1,1000000,IF('計算A'!$EA$51=2,SUMPRODUCT('計算A'!$D$101:$DS$101,$CW21:$HL21,$HN21:$MC21),SUMPRODUCT('計算A'!$D$101:$DS$101,$CW21:$HL21))*1000+42)</f>
        <v/>
      </c>
      <c r="CS21">
        <f>IF(AY21=1,1000000,IF('計算A'!$EA$52=2,SUMPRODUCT('計算A'!$D$102:$DS$102,$CW21:$HL21,$HN21:$MC21),SUMPRODUCT('計算A'!$D$102:$DS$102,$CW21:$HL21))*1000+43)</f>
        <v/>
      </c>
      <c r="CT21">
        <f>IF(AZ21=1,1000000,IF('計算A'!$EA$53=2,SUMPRODUCT('計算A'!$D$103:$DS$103,$CW21:$HL21,$HN21:$MC21),SUMPRODUCT('計算A'!$D$103:$DS$103,$CW21:$HL21))*1000+44)</f>
        <v/>
      </c>
      <c r="CU21">
        <f>IF(BA21=1,1000000,IF('計算A'!$EA$54=2,SUMPRODUCT('計算A'!$D$104:$DS$104,$CW21:$HL21,$HN21:$MC21),SUMPRODUCT('計算A'!$D$104:$DS$104,$CW21:$HL21))*1000+45)</f>
        <v/>
      </c>
      <c r="CW21">
        <f>CW20*IF(OR($C20=1,$G20=1),0,1)</f>
        <v/>
      </c>
      <c r="CX21">
        <f>CX20*IF(OR($C20=2,$G20=2),0,1)</f>
        <v/>
      </c>
      <c r="CY21">
        <f>CY20*IF(OR($C20=3,$G20=3),0,1)</f>
        <v/>
      </c>
      <c r="CZ21">
        <f>CZ20*IF(OR($C20=4,$G20=4),0,1)</f>
        <v/>
      </c>
      <c r="DA21">
        <f>DA20*IF(OR($C20=5,$G20=5),0,1)</f>
        <v/>
      </c>
      <c r="DB21">
        <f>DB20*IF(OR($C20=6,$G20=6),0,1)</f>
        <v/>
      </c>
      <c r="DC21">
        <f>DC20*IF(OR($C20=7,$G20=7),0,1)</f>
        <v/>
      </c>
      <c r="DD21">
        <f>DD20*IF(OR($C20=8,$G20=8),0,1)</f>
        <v/>
      </c>
      <c r="DE21">
        <f>DE20*IF(OR($C20=9,$G20=9),0,1)</f>
        <v/>
      </c>
      <c r="DF21">
        <f>DF20*IF(OR($C20=10,$G20=10),0,1)</f>
        <v/>
      </c>
      <c r="DG21">
        <f>DG20*IF(OR($C20=11,$G20=11),0,1)</f>
        <v/>
      </c>
      <c r="DH21">
        <f>DH20*IF(OR($C20=12,$G20=12),0,1)</f>
        <v/>
      </c>
      <c r="DI21">
        <f>DI20*IF(OR($C20=13,$G20=13),0,1)</f>
        <v/>
      </c>
      <c r="DJ21">
        <f>DJ20*IF(OR($C20=14,$G20=14),0,1)</f>
        <v/>
      </c>
      <c r="DK21">
        <f>DK20*IF(OR($C20=15,$G20=15),0,1)</f>
        <v/>
      </c>
      <c r="DL21">
        <f>DL20*IF(OR($C20=16,$G20=16),0,1)</f>
        <v/>
      </c>
      <c r="DM21">
        <f>DM20*IF(OR($C20=17,$G20=17),0,1)</f>
        <v/>
      </c>
      <c r="DN21">
        <f>DN20*IF(OR($C20=18,$G20=18),0,1)</f>
        <v/>
      </c>
      <c r="DO21">
        <f>DO20*IF(OR($C20=19,$G20=19),0,1)</f>
        <v/>
      </c>
      <c r="DP21">
        <f>DP20*IF(OR($C20=20,$G20=20),0,1)</f>
        <v/>
      </c>
      <c r="DQ21">
        <f>DQ20*IF(OR($C20=21,$G20=21),0,1)</f>
        <v/>
      </c>
      <c r="DR21">
        <f>DR20*IF(OR($C20=22,$G20=22),0,1)</f>
        <v/>
      </c>
      <c r="DS21">
        <f>DS20*IF(OR($C20=23,$G20=23),0,1)</f>
        <v/>
      </c>
      <c r="DT21">
        <f>DT20*IF(OR($C20=24,$G20=24),0,1)</f>
        <v/>
      </c>
      <c r="DU21">
        <f>DU20*IF(OR($C20=25,$G20=25),0,1)</f>
        <v/>
      </c>
      <c r="DV21">
        <f>DV20*IF(OR($C20=26,$G20=26),0,1)</f>
        <v/>
      </c>
      <c r="DW21">
        <f>DW20*IF(OR($C20=27,$G20=27),0,1)</f>
        <v/>
      </c>
      <c r="DX21">
        <f>DX20*IF(OR($C20=28,$G20=28),0,1)</f>
        <v/>
      </c>
      <c r="DY21">
        <f>DY20*IF(OR($C20=29,$G20=29),0,1)</f>
        <v/>
      </c>
      <c r="DZ21">
        <f>DZ20*IF(OR($C20=30,$G20=30),0,1)</f>
        <v/>
      </c>
      <c r="EA21">
        <f>EA20*IF(OR($C20=31,$G20=31),0,1)</f>
        <v/>
      </c>
      <c r="EB21">
        <f>EB20*IF(OR($C20=32,$G20=32),0,1)</f>
        <v/>
      </c>
      <c r="EC21">
        <f>EC20*IF(OR($C20=33,$G20=33),0,1)</f>
        <v/>
      </c>
      <c r="ED21">
        <f>ED20*IF(OR($C20=34,$G20=34),0,1)</f>
        <v/>
      </c>
      <c r="EE21">
        <f>EE20*IF(OR($C20=35,$G20=35),0,1)</f>
        <v/>
      </c>
      <c r="EF21">
        <f>EF20*IF(OR($C20=36,$G20=36),0,1)</f>
        <v/>
      </c>
      <c r="EG21">
        <f>EG20*IF(OR($C20=37,$G20=37),0,1)</f>
        <v/>
      </c>
      <c r="EH21">
        <f>EH20*IF(OR($C20=38,$G20=38),0,1)</f>
        <v/>
      </c>
      <c r="EI21">
        <f>EI20*IF(OR($C20=39,$G20=39),0,1)</f>
        <v/>
      </c>
      <c r="EJ21">
        <f>EJ20*IF(OR($C20=40,$G20=40),0,1)</f>
        <v/>
      </c>
      <c r="EK21">
        <f>EK20*IF(OR($C20=41,$G20=41),0,1)</f>
        <v/>
      </c>
      <c r="EL21">
        <f>EL20*IF(OR($C20=42,$G20=42),0,1)</f>
        <v/>
      </c>
      <c r="EM21">
        <f>EM20*IF(OR($C20=43,$G20=43),0,1)</f>
        <v/>
      </c>
      <c r="EN21">
        <f>EN20*IF(OR($C20=44,$G20=44),0,1)</f>
        <v/>
      </c>
      <c r="EO21">
        <f>EO20*IF(OR($C20=45,$G20=45),0,1)</f>
        <v/>
      </c>
      <c r="EP21">
        <f>EP20*IF(OR($C20=46,$G20=46),0,1)</f>
        <v/>
      </c>
      <c r="EQ21">
        <f>EQ20*IF(OR($C20=47,$G20=47),0,1)</f>
        <v/>
      </c>
      <c r="ER21">
        <f>ER20*IF(OR($C20=48,$G20=48),0,1)</f>
        <v/>
      </c>
      <c r="ES21">
        <f>ES20*IF(OR($C20=49,$G20=49),0,1)</f>
        <v/>
      </c>
      <c r="ET21">
        <f>ET20*IF(OR($C20=50,$G20=50),0,1)</f>
        <v/>
      </c>
      <c r="EU21">
        <f>EU20*IF(OR($C20=51,$G20=51),0,1)</f>
        <v/>
      </c>
      <c r="EV21">
        <f>EV20*IF(OR($C20=52,$G20=52),0,1)</f>
        <v/>
      </c>
      <c r="EW21">
        <f>EW20*IF(OR($C20=53,$G20=53),0,1)</f>
        <v/>
      </c>
      <c r="EX21">
        <f>EX20*IF(OR($C20=54,$G20=54),0,1)</f>
        <v/>
      </c>
      <c r="EY21">
        <f>EY20*IF(OR($C20=55,$G20=55),0,1)</f>
        <v/>
      </c>
      <c r="EZ21">
        <f>EZ20*IF(OR($C20=56,$G20=56),0,1)</f>
        <v/>
      </c>
      <c r="FA21">
        <f>FA20*IF(OR($C20=57,$G20=57),0,1)</f>
        <v/>
      </c>
      <c r="FB21">
        <f>FB20*IF(OR($C20=58,$G20=58),0,1)</f>
        <v/>
      </c>
      <c r="FC21">
        <f>FC20*IF(OR($C20=59,$G20=59),0,1)</f>
        <v/>
      </c>
      <c r="FD21">
        <f>FD20*IF(OR($C20=60,$G20=60),0,1)</f>
        <v/>
      </c>
      <c r="FE21">
        <f>FE20*IF(OR($C20=61,$G20=61),0,1)</f>
        <v/>
      </c>
      <c r="FF21">
        <f>FF20*IF(OR($C20=62,$G20=62),0,1)</f>
        <v/>
      </c>
      <c r="FG21">
        <f>FG20*IF(OR($C20=63,$G20=63),0,1)</f>
        <v/>
      </c>
      <c r="FH21">
        <f>FH20*IF(OR($C20=64,$G20=64),0,1)</f>
        <v/>
      </c>
      <c r="FI21">
        <f>FI20*IF(OR($C20=65,$G20=65),0,1)</f>
        <v/>
      </c>
      <c r="FJ21">
        <f>FJ20*IF(OR($C20=66,$G20=66),0,1)</f>
        <v/>
      </c>
      <c r="FK21">
        <f>FK20*IF(OR($C20=67,$G20=67),0,1)</f>
        <v/>
      </c>
      <c r="FL21">
        <f>FL20*IF(OR($C20=68,$G20=68),0,1)</f>
        <v/>
      </c>
      <c r="FM21">
        <f>FM20*IF(OR($C20=69,$G20=69),0,1)</f>
        <v/>
      </c>
      <c r="FN21">
        <f>FN20*IF(OR($C20=70,$G20=70),0,1)</f>
        <v/>
      </c>
      <c r="FO21">
        <f>FO20*IF(OR($C20=71,$G20=71),0,1)</f>
        <v/>
      </c>
      <c r="FP21">
        <f>FP20*IF(OR($C20=72,$G20=72),0,1)</f>
        <v/>
      </c>
      <c r="FQ21">
        <f>FQ20*IF(OR($C20=73,$G20=73),0,1)</f>
        <v/>
      </c>
      <c r="FR21">
        <f>FR20*IF(OR($C20=74,$G20=74),0,1)</f>
        <v/>
      </c>
      <c r="FS21">
        <f>FS20*IF(OR($C20=75,$G20=75),0,1)</f>
        <v/>
      </c>
      <c r="FT21">
        <f>FT20*IF(OR($C20=76,$G20=76),0,1)</f>
        <v/>
      </c>
      <c r="FU21">
        <f>FU20*IF(OR($C20=77,$G20=77),0,1)</f>
        <v/>
      </c>
      <c r="FV21">
        <f>FV20*IF(OR($C20=78,$G20=78),0,1)</f>
        <v/>
      </c>
      <c r="FW21">
        <f>FW20*IF(OR($C20=79,$G20=79),0,1)</f>
        <v/>
      </c>
      <c r="FX21">
        <f>FX20*IF(OR($C20=80,$G20=80),0,1)</f>
        <v/>
      </c>
      <c r="FY21">
        <f>FY20*IF(OR($C20=81,$G20=81),0,1)</f>
        <v/>
      </c>
      <c r="FZ21">
        <f>FZ20*IF(OR($C20=82,$G20=82),0,1)</f>
        <v/>
      </c>
      <c r="GA21">
        <f>GA20*IF(OR($C20=83,$G20=83),0,1)</f>
        <v/>
      </c>
      <c r="GB21">
        <f>GB20*IF(OR($C20=84,$G20=84),0,1)</f>
        <v/>
      </c>
      <c r="GC21">
        <f>GC20*IF(OR($C20=85,$G20=85),0,1)</f>
        <v/>
      </c>
      <c r="GD21">
        <f>GD20*IF(OR($C20=86,$G20=86),0,1)</f>
        <v/>
      </c>
      <c r="GE21">
        <f>GE20*IF(OR($C20=87,$G20=87),0,1)</f>
        <v/>
      </c>
      <c r="GF21">
        <f>GF20*IF(OR($C20=88,$G20=88),0,1)</f>
        <v/>
      </c>
      <c r="GG21">
        <f>GG20*IF(OR($C20=89,$G20=89),0,1)</f>
        <v/>
      </c>
      <c r="GH21">
        <f>GH20*IF(OR($C20=90,$G20=90),0,1)</f>
        <v/>
      </c>
      <c r="GI21">
        <f>GI20*IF(OR($C20=91,$G20=91),0,1)</f>
        <v/>
      </c>
      <c r="GJ21">
        <f>GJ20*IF(OR($C20=92,$G20=92),0,1)</f>
        <v/>
      </c>
      <c r="GK21">
        <f>GK20*IF(OR($C20=93,$G20=93),0,1)</f>
        <v/>
      </c>
      <c r="GL21">
        <f>GL20*IF(OR($C20=94,$G20=94),0,1)</f>
        <v/>
      </c>
      <c r="GM21">
        <f>GM20*IF(OR($C20=95,$G20=95),0,1)</f>
        <v/>
      </c>
      <c r="GN21">
        <f>GN20*IF(OR($C20=96,$G20=96),0,1)</f>
        <v/>
      </c>
      <c r="GO21">
        <f>GO20*IF(OR($C20=97,$G20=97),0,1)</f>
        <v/>
      </c>
      <c r="GP21">
        <f>GP20*IF(OR($C20=98,$G20=98),0,1)</f>
        <v/>
      </c>
      <c r="GQ21">
        <f>GQ20*IF(OR($C20=99,$G20=99),0,1)</f>
        <v/>
      </c>
      <c r="GR21">
        <f>GR20*IF(OR($C20=100,$G20=100),0,1)</f>
        <v/>
      </c>
      <c r="GS21">
        <f>GS20*IF(OR($C20=101,$G20=101),0,1)</f>
        <v/>
      </c>
      <c r="GT21">
        <f>GT20*IF(OR($C20=102,$G20=102),0,1)</f>
        <v/>
      </c>
      <c r="GU21">
        <f>GU20*IF(OR($C20=103,$G20=103),0,1)</f>
        <v/>
      </c>
      <c r="GV21">
        <f>GV20*IF(OR($C20=104,$G20=104),0,1)</f>
        <v/>
      </c>
      <c r="GW21">
        <f>GW20*IF(OR($C20=105,$G20=105),0,1)</f>
        <v/>
      </c>
      <c r="GX21">
        <f>GX20*IF(OR($C20=106,$G20=106),0,1)</f>
        <v/>
      </c>
      <c r="GY21">
        <f>GY20*IF(OR($C20=107,$G20=107),0,1)</f>
        <v/>
      </c>
      <c r="GZ21">
        <f>GZ20*IF(OR($C20=108,$G20=108),0,1)</f>
        <v/>
      </c>
      <c r="HA21">
        <f>HA20*IF(OR($C20=109,$G20=109),0,1)</f>
        <v/>
      </c>
      <c r="HB21">
        <f>HB20*IF(OR($C20=110,$G20=110),0,1)</f>
        <v/>
      </c>
      <c r="HC21">
        <f>HC20*IF(OR($C20=111,$G20=111),0,1)</f>
        <v/>
      </c>
      <c r="HD21">
        <f>HD20*IF(OR($C20=112,$G20=112),0,1)</f>
        <v/>
      </c>
      <c r="HE21">
        <f>HE20*IF(OR($C20=113,$G20=113),0,1)</f>
        <v/>
      </c>
      <c r="HF21">
        <f>HF20*IF(OR($C20=114,$G20=114),0,1)</f>
        <v/>
      </c>
      <c r="HG21">
        <f>HG20*IF(OR($C20=115,$G20=115),0,1)</f>
        <v/>
      </c>
      <c r="HH21">
        <f>HH20*IF(OR($C20=116,$G20=116),0,1)</f>
        <v/>
      </c>
      <c r="HI21">
        <f>HI20*IF(OR($C20=117,$G20=117),0,1)</f>
        <v/>
      </c>
      <c r="HJ21">
        <f>HJ20*IF(OR($C20=118,$G20=118),0,1)</f>
        <v/>
      </c>
      <c r="HK21">
        <f>HK20*IF(OR($C20=119,$G20=119),0,1)</f>
        <v/>
      </c>
      <c r="HL21">
        <f>HL20*IF(OR($C20=120,$G20=120),0,1)</f>
        <v/>
      </c>
      <c r="HN21">
        <f>IF('計算A'!D$106=1,CX21,1)</f>
        <v/>
      </c>
      <c r="HO21">
        <f>IF('計算A'!E$106=1,CY21,1)</f>
        <v/>
      </c>
      <c r="HP21">
        <f>IF('計算A'!F$106=1,CZ21,1)</f>
        <v/>
      </c>
      <c r="HQ21">
        <f>IF('計算A'!G$106=1,DA21,1)</f>
        <v/>
      </c>
      <c r="HR21">
        <f>IF('計算A'!H$106=1,DB21,1)</f>
        <v/>
      </c>
      <c r="HS21">
        <f>IF('計算A'!I$106=1,DC21,1)</f>
        <v/>
      </c>
      <c r="HT21">
        <f>IF('計算A'!J$106=1,DD21,1)</f>
        <v/>
      </c>
      <c r="HU21">
        <f>IF('計算A'!K$106=1,DE21,1)</f>
        <v/>
      </c>
      <c r="HV21">
        <f>IF('計算A'!L$106=1,DF21,1)</f>
        <v/>
      </c>
      <c r="HW21">
        <f>IF('計算A'!M$106=1,DG21,1)</f>
        <v/>
      </c>
      <c r="HX21">
        <f>IF('計算A'!N$106=1,DH21,1)</f>
        <v/>
      </c>
      <c r="HY21">
        <f>IF('計算A'!O$106=1,DI21,1)</f>
        <v/>
      </c>
      <c r="HZ21">
        <f>IF('計算A'!P$106=1,DJ21,1)</f>
        <v/>
      </c>
      <c r="IA21">
        <f>IF('計算A'!Q$106=1,DK21,1)</f>
        <v/>
      </c>
      <c r="IB21">
        <f>IF('計算A'!R$106=1,DL21,1)</f>
        <v/>
      </c>
      <c r="IC21">
        <f>IF('計算A'!S$106=1,DM21,1)</f>
        <v/>
      </c>
      <c r="ID21">
        <f>IF('計算A'!T$106=1,DN21,1)</f>
        <v/>
      </c>
      <c r="IE21">
        <f>IF('計算A'!U$106=1,DO21,1)</f>
        <v/>
      </c>
      <c r="IF21">
        <f>IF('計算A'!V$106=1,DP21,1)</f>
        <v/>
      </c>
      <c r="IG21">
        <f>IF('計算A'!W$106=1,DQ21,1)</f>
        <v/>
      </c>
      <c r="IH21">
        <f>IF('計算A'!X$106=1,DR21,1)</f>
        <v/>
      </c>
      <c r="II21">
        <f>IF('計算A'!Y$106=1,DS21,1)</f>
        <v/>
      </c>
      <c r="IJ21">
        <f>IF('計算A'!Z$106=1,DT21,1)</f>
        <v/>
      </c>
      <c r="IK21">
        <f>IF('計算A'!AA$106=1,DU21,1)</f>
        <v/>
      </c>
      <c r="IL21">
        <f>IF('計算A'!AB$106=1,DV21,1)</f>
        <v/>
      </c>
      <c r="IM21">
        <f>IF('計算A'!AC$106=1,DW21,1)</f>
        <v/>
      </c>
      <c r="IN21">
        <f>IF('計算A'!AD$106=1,DX21,1)</f>
        <v/>
      </c>
      <c r="IO21">
        <f>IF('計算A'!AE$106=1,DY21,1)</f>
        <v/>
      </c>
      <c r="IP21">
        <f>IF('計算A'!AF$106=1,DZ21,1)</f>
        <v/>
      </c>
      <c r="IQ21">
        <f>IF('計算A'!AG$106=1,EA21,1)</f>
        <v/>
      </c>
      <c r="IR21">
        <f>IF('計算A'!AH$106=1,EB21,1)</f>
        <v/>
      </c>
      <c r="IS21">
        <f>IF('計算A'!AI$106=1,EC21,1)</f>
        <v/>
      </c>
      <c r="IT21">
        <f>IF('計算A'!AJ$106=1,ED21,1)</f>
        <v/>
      </c>
      <c r="IU21">
        <f>IF('計算A'!AK$106=1,EE21,1)</f>
        <v/>
      </c>
      <c r="IV21">
        <f>IF('計算A'!AL$106=1,EF21,1)</f>
        <v/>
      </c>
      <c r="IW21">
        <f>IF('計算A'!AM$106=1,EG21,1)</f>
        <v/>
      </c>
      <c r="IX21">
        <f>IF('計算A'!AN$106=1,EH21,1)</f>
        <v/>
      </c>
      <c r="IY21">
        <f>IF('計算A'!AO$106=1,EI21,1)</f>
        <v/>
      </c>
      <c r="IZ21">
        <f>IF('計算A'!AP$106=1,EJ21,1)</f>
        <v/>
      </c>
      <c r="JA21">
        <f>IF('計算A'!AQ$106=1,EK21,1)</f>
        <v/>
      </c>
      <c r="JB21">
        <f>IF('計算A'!AR$106=1,EL21,1)</f>
        <v/>
      </c>
      <c r="JC21">
        <f>IF('計算A'!AS$106=1,EM21,1)</f>
        <v/>
      </c>
      <c r="JD21">
        <f>IF('計算A'!AT$106=1,EN21,1)</f>
        <v/>
      </c>
      <c r="JE21">
        <f>IF('計算A'!AU$106=1,EO21,1)</f>
        <v/>
      </c>
      <c r="JF21">
        <f>IF('計算A'!AV$106=1,EP21,1)</f>
        <v/>
      </c>
      <c r="JG21">
        <f>IF('計算A'!AW$106=1,EQ21,1)</f>
        <v/>
      </c>
      <c r="JH21">
        <f>IF('計算A'!AX$106=1,ER21,1)</f>
        <v/>
      </c>
      <c r="JI21">
        <f>IF('計算A'!AY$106=1,ES21,1)</f>
        <v/>
      </c>
      <c r="JJ21">
        <f>IF('計算A'!AZ$106=1,ET21,1)</f>
        <v/>
      </c>
      <c r="JK21">
        <f>IF('計算A'!BA$106=1,EU21,1)</f>
        <v/>
      </c>
      <c r="JL21">
        <f>IF('計算A'!BB$106=1,EV21,1)</f>
        <v/>
      </c>
      <c r="JM21">
        <f>IF('計算A'!BC$106=1,EW21,1)</f>
        <v/>
      </c>
      <c r="JN21">
        <f>IF('計算A'!BD$106=1,EX21,1)</f>
        <v/>
      </c>
      <c r="JO21">
        <f>IF('計算A'!BE$106=1,EY21,1)</f>
        <v/>
      </c>
      <c r="JP21">
        <f>IF('計算A'!BF$106=1,EZ21,1)</f>
        <v/>
      </c>
      <c r="JQ21">
        <f>IF('計算A'!BG$106=1,FA21,1)</f>
        <v/>
      </c>
      <c r="JR21">
        <f>IF('計算A'!BH$106=1,FB21,1)</f>
        <v/>
      </c>
      <c r="JS21">
        <f>IF('計算A'!BI$106=1,FC21,1)</f>
        <v/>
      </c>
      <c r="JT21">
        <f>IF('計算A'!BJ$106=1,FD21,1)</f>
        <v/>
      </c>
      <c r="JU21">
        <f>IF('計算A'!BK$106=1,FE21,1)</f>
        <v/>
      </c>
      <c r="JV21">
        <f>IF('計算A'!BL$106=1,FF21,1)</f>
        <v/>
      </c>
      <c r="JW21">
        <f>IF('計算A'!BM$106=1,FG21,1)</f>
        <v/>
      </c>
      <c r="JX21">
        <f>IF('計算A'!BN$106=1,FH21,1)</f>
        <v/>
      </c>
      <c r="JY21">
        <f>IF('計算A'!BO$106=1,FI21,1)</f>
        <v/>
      </c>
      <c r="JZ21">
        <f>IF('計算A'!BP$106=1,FJ21,1)</f>
        <v/>
      </c>
      <c r="KA21">
        <f>IF('計算A'!BQ$106=1,FK21,1)</f>
        <v/>
      </c>
      <c r="KB21">
        <f>IF('計算A'!BR$106=1,FL21,1)</f>
        <v/>
      </c>
      <c r="KC21">
        <f>IF('計算A'!BS$106=1,FM21,1)</f>
        <v/>
      </c>
      <c r="KD21">
        <f>IF('計算A'!BT$106=1,FN21,1)</f>
        <v/>
      </c>
      <c r="KE21">
        <f>IF('計算A'!BU$106=1,FO21,1)</f>
        <v/>
      </c>
      <c r="KF21">
        <f>IF('計算A'!BV$106=1,FP21,1)</f>
        <v/>
      </c>
      <c r="KG21">
        <f>IF('計算A'!BW$106=1,FQ21,1)</f>
        <v/>
      </c>
      <c r="KH21">
        <f>IF('計算A'!BX$106=1,FR21,1)</f>
        <v/>
      </c>
      <c r="KI21">
        <f>IF('計算A'!BY$106=1,FS21,1)</f>
        <v/>
      </c>
      <c r="KJ21">
        <f>IF('計算A'!BZ$106=1,FT21,1)</f>
        <v/>
      </c>
      <c r="KK21">
        <f>IF('計算A'!CA$106=1,FU21,1)</f>
        <v/>
      </c>
      <c r="KL21">
        <f>IF('計算A'!CB$106=1,FV21,1)</f>
        <v/>
      </c>
      <c r="KM21">
        <f>IF('計算A'!CC$106=1,FW21,1)</f>
        <v/>
      </c>
      <c r="KN21">
        <f>IF('計算A'!CD$106=1,FX21,1)</f>
        <v/>
      </c>
      <c r="KO21">
        <f>IF('計算A'!CE$106=1,FY21,1)</f>
        <v/>
      </c>
      <c r="KP21">
        <f>IF('計算A'!CF$106=1,FZ21,1)</f>
        <v/>
      </c>
      <c r="KQ21">
        <f>IF('計算A'!CG$106=1,GA21,1)</f>
        <v/>
      </c>
      <c r="KR21">
        <f>IF('計算A'!CH$106=1,GB21,1)</f>
        <v/>
      </c>
      <c r="KS21">
        <f>IF('計算A'!CI$106=1,GC21,1)</f>
        <v/>
      </c>
      <c r="KT21">
        <f>IF('計算A'!CJ$106=1,GD21,1)</f>
        <v/>
      </c>
      <c r="KU21">
        <f>IF('計算A'!CK$106=1,GE21,1)</f>
        <v/>
      </c>
      <c r="KV21">
        <f>IF('計算A'!CL$106=1,GF21,1)</f>
        <v/>
      </c>
      <c r="KW21">
        <f>IF('計算A'!CM$106=1,GG21,1)</f>
        <v/>
      </c>
      <c r="KX21">
        <f>IF('計算A'!CN$106=1,GH21,1)</f>
        <v/>
      </c>
      <c r="KY21">
        <f>IF('計算A'!CO$106=1,GI21,1)</f>
        <v/>
      </c>
      <c r="KZ21">
        <f>IF('計算A'!CP$106=1,GJ21,1)</f>
        <v/>
      </c>
      <c r="LA21">
        <f>IF('計算A'!CQ$106=1,GK21,1)</f>
        <v/>
      </c>
      <c r="LB21">
        <f>IF('計算A'!CR$106=1,GL21,1)</f>
        <v/>
      </c>
      <c r="LC21">
        <f>IF('計算A'!CS$106=1,GM21,1)</f>
        <v/>
      </c>
      <c r="LD21">
        <f>IF('計算A'!CT$106=1,GN21,1)</f>
        <v/>
      </c>
      <c r="LE21">
        <f>IF('計算A'!CU$106=1,GO21,1)</f>
        <v/>
      </c>
      <c r="LF21">
        <f>IF('計算A'!CV$106=1,GP21,1)</f>
        <v/>
      </c>
      <c r="LG21">
        <f>IF('計算A'!CW$106=1,GQ21,1)</f>
        <v/>
      </c>
      <c r="LH21">
        <f>IF('計算A'!CX$106=1,GR21,1)</f>
        <v/>
      </c>
      <c r="LI21">
        <f>IF('計算A'!CY$106=1,GS21,1)</f>
        <v/>
      </c>
      <c r="LJ21">
        <f>IF('計算A'!CZ$106=1,GT21,1)</f>
        <v/>
      </c>
      <c r="LK21">
        <f>IF('計算A'!DA$106=1,GU21,1)</f>
        <v/>
      </c>
      <c r="LL21">
        <f>IF('計算A'!DB$106=1,GV21,1)</f>
        <v/>
      </c>
      <c r="LM21">
        <f>IF('計算A'!DC$106=1,GW21,1)</f>
        <v/>
      </c>
      <c r="LN21">
        <f>IF('計算A'!DD$106=1,GX21,1)</f>
        <v/>
      </c>
      <c r="LO21">
        <f>IF('計算A'!DE$106=1,GY21,1)</f>
        <v/>
      </c>
      <c r="LP21">
        <f>IF('計算A'!DF$106=1,GZ21,1)</f>
        <v/>
      </c>
      <c r="LQ21">
        <f>IF('計算A'!DG$106=1,HA21,1)</f>
        <v/>
      </c>
      <c r="LR21">
        <f>IF('計算A'!DH$106=1,HB21,1)</f>
        <v/>
      </c>
      <c r="LS21">
        <f>IF('計算A'!DI$106=1,HC21,1)</f>
        <v/>
      </c>
      <c r="LT21">
        <f>IF('計算A'!DJ$106=1,HD21,1)</f>
        <v/>
      </c>
      <c r="LU21">
        <f>IF('計算A'!DK$106=1,HE21,1)</f>
        <v/>
      </c>
      <c r="LV21">
        <f>IF('計算A'!DL$106=1,HF21,1)</f>
        <v/>
      </c>
      <c r="LW21">
        <f>IF('計算A'!DM$106=1,HG21,1)</f>
        <v/>
      </c>
      <c r="LX21">
        <f>IF('計算A'!DN$106=1,HH21,1)</f>
        <v/>
      </c>
      <c r="LY21">
        <f>IF('計算A'!DO$106=1,HI21,1)</f>
        <v/>
      </c>
      <c r="LZ21">
        <f>IF('計算A'!DP$106=1,HJ21,1)</f>
        <v/>
      </c>
      <c r="MA21">
        <f>IF('計算A'!DQ$106=1,HK21,1)</f>
        <v/>
      </c>
      <c r="MB21">
        <f>IF('計算A'!DR$106=1,HL21,1)</f>
        <v/>
      </c>
      <c r="MC21" t="n">
        <v>1</v>
      </c>
      <c r="ME21">
        <f>IF($B21=0,1000000,IF(INDEX('計算A'!$D$60:$DS$104,$B21,1)*CW21=1,IF(AND($E21=2,HN21=0),1000000,INDEX('計算A'!D$110:D$114,$F21+1)+IF(AND($E21=1,HN21=0),1000,0)),1000000))</f>
        <v/>
      </c>
      <c r="MF21">
        <f>IF($B21=0,1000000,IF(INDEX('計算A'!$D$60:$DS$104,$B21,2)*CX21=1,IF(AND($E21=2,HO21=0),1000000,INDEX('計算A'!E$110:E$114,$F21+1)+IF(AND($E21=1,HO21=0),1000,0)),1000000))</f>
        <v/>
      </c>
      <c r="MG21">
        <f>IF($B21=0,1000000,IF(INDEX('計算A'!$D$60:$DS$104,$B21,3)*CY21=1,IF(AND($E21=2,HP21=0),1000000,INDEX('計算A'!F$110:F$114,$F21+1)+IF(AND($E21=1,HP21=0),1000,0)),1000000))</f>
        <v/>
      </c>
      <c r="MH21">
        <f>IF($B21=0,1000000,IF(INDEX('計算A'!$D$60:$DS$104,$B21,4)*CZ21=1,IF(AND($E21=2,HQ21=0),1000000,INDEX('計算A'!G$110:G$114,$F21+1)+IF(AND($E21=1,HQ21=0),1000,0)),1000000))</f>
        <v/>
      </c>
      <c r="MI21">
        <f>IF($B21=0,1000000,IF(INDEX('計算A'!$D$60:$DS$104,$B21,5)*DA21=1,IF(AND($E21=2,HR21=0),1000000,INDEX('計算A'!H$110:H$114,$F21+1)+IF(AND($E21=1,HR21=0),1000,0)),1000000))</f>
        <v/>
      </c>
      <c r="MJ21">
        <f>IF($B21=0,1000000,IF(INDEX('計算A'!$D$60:$DS$104,$B21,6)*DB21=1,IF(AND($E21=2,HS21=0),1000000,INDEX('計算A'!I$110:I$114,$F21+1)+IF(AND($E21=1,HS21=0),1000,0)),1000000))</f>
        <v/>
      </c>
      <c r="MK21">
        <f>IF($B21=0,1000000,IF(INDEX('計算A'!$D$60:$DS$104,$B21,7)*DC21=1,IF(AND($E21=2,HT21=0),1000000,INDEX('計算A'!J$110:J$114,$F21+1)+IF(AND($E21=1,HT21=0),1000,0)),1000000))</f>
        <v/>
      </c>
      <c r="ML21">
        <f>IF($B21=0,1000000,IF(INDEX('計算A'!$D$60:$DS$104,$B21,8)*DD21=1,IF(AND($E21=2,HU21=0),1000000,INDEX('計算A'!K$110:K$114,$F21+1)+IF(AND($E21=1,HU21=0),1000,0)),1000000))</f>
        <v/>
      </c>
      <c r="MM21">
        <f>IF($B21=0,1000000,IF(INDEX('計算A'!$D$60:$DS$104,$B21,9)*DE21=1,IF(AND($E21=2,HV21=0),1000000,INDEX('計算A'!L$110:L$114,$F21+1)+IF(AND($E21=1,HV21=0),1000,0)),1000000))</f>
        <v/>
      </c>
      <c r="MN21">
        <f>IF($B21=0,1000000,IF(INDEX('計算A'!$D$60:$DS$104,$B21,10)*DF21=1,IF(AND($E21=2,HW21=0),1000000,INDEX('計算A'!M$110:M$114,$F21+1)+IF(AND($E21=1,HW21=0),1000,0)),1000000))</f>
        <v/>
      </c>
      <c r="MO21">
        <f>IF($B21=0,1000000,IF(INDEX('計算A'!$D$60:$DS$104,$B21,11)*DG21=1,IF(AND($E21=2,HX21=0),1000000,INDEX('計算A'!N$110:N$114,$F21+1)+IF(AND($E21=1,HX21=0),1000,0)),1000000))</f>
        <v/>
      </c>
      <c r="MP21">
        <f>IF($B21=0,1000000,IF(INDEX('計算A'!$D$60:$DS$104,$B21,12)*DH21=1,IF(AND($E21=2,HY21=0),1000000,INDEX('計算A'!O$110:O$114,$F21+1)+IF(AND($E21=1,HY21=0),1000,0)),1000000))</f>
        <v/>
      </c>
      <c r="MQ21">
        <f>IF($B21=0,1000000,IF(INDEX('計算A'!$D$60:$DS$104,$B21,13)*DI21=1,IF(AND($E21=2,HZ21=0),1000000,INDEX('計算A'!P$110:P$114,$F21+1)+IF(AND($E21=1,HZ21=0),1000,0)),1000000))</f>
        <v/>
      </c>
      <c r="MR21">
        <f>IF($B21=0,1000000,IF(INDEX('計算A'!$D$60:$DS$104,$B21,14)*DJ21=1,IF(AND($E21=2,IA21=0),1000000,INDEX('計算A'!Q$110:Q$114,$F21+1)+IF(AND($E21=1,IA21=0),1000,0)),1000000))</f>
        <v/>
      </c>
      <c r="MS21">
        <f>IF($B21=0,1000000,IF(INDEX('計算A'!$D$60:$DS$104,$B21,15)*DK21=1,IF(AND($E21=2,IB21=0),1000000,INDEX('計算A'!R$110:R$114,$F21+1)+IF(AND($E21=1,IB21=0),1000,0)),1000000))</f>
        <v/>
      </c>
      <c r="MT21">
        <f>IF($B21=0,1000000,IF(INDEX('計算A'!$D$60:$DS$104,$B21,16)*DL21=1,IF(AND($E21=2,IC21=0),1000000,INDEX('計算A'!S$110:S$114,$F21+1)+IF(AND($E21=1,IC21=0),1000,0)),1000000))</f>
        <v/>
      </c>
      <c r="MU21">
        <f>IF($B21=0,1000000,IF(INDEX('計算A'!$D$60:$DS$104,$B21,17)*DM21=1,IF(AND($E21=2,ID21=0),1000000,INDEX('計算A'!T$110:T$114,$F21+1)+IF(AND($E21=1,ID21=0),1000,0)),1000000))</f>
        <v/>
      </c>
      <c r="MV21">
        <f>IF($B21=0,1000000,IF(INDEX('計算A'!$D$60:$DS$104,$B21,18)*DN21=1,IF(AND($E21=2,IE21=0),1000000,INDEX('計算A'!U$110:U$114,$F21+1)+IF(AND($E21=1,IE21=0),1000,0)),1000000))</f>
        <v/>
      </c>
      <c r="MW21">
        <f>IF($B21=0,1000000,IF(INDEX('計算A'!$D$60:$DS$104,$B21,19)*DO21=1,IF(AND($E21=2,IF21=0),1000000,INDEX('計算A'!V$110:V$114,$F21+1)+IF(AND($E21=1,IF21=0),1000,0)),1000000))</f>
        <v/>
      </c>
      <c r="MX21">
        <f>IF($B21=0,1000000,IF(INDEX('計算A'!$D$60:$DS$104,$B21,20)*DP21=1,IF(AND($E21=2,IG21=0),1000000,INDEX('計算A'!W$110:W$114,$F21+1)+IF(AND($E21=1,IG21=0),1000,0)),1000000))</f>
        <v/>
      </c>
      <c r="MY21">
        <f>IF($B21=0,1000000,IF(INDEX('計算A'!$D$60:$DS$104,$B21,21)*DQ21=1,IF(AND($E21=2,IH21=0),1000000,INDEX('計算A'!X$110:X$114,$F21+1)+IF(AND($E21=1,IH21=0),1000,0)),1000000))</f>
        <v/>
      </c>
      <c r="MZ21">
        <f>IF($B21=0,1000000,IF(INDEX('計算A'!$D$60:$DS$104,$B21,22)*DR21=1,IF(AND($E21=2,II21=0),1000000,INDEX('計算A'!Y$110:Y$114,$F21+1)+IF(AND($E21=1,II21=0),1000,0)),1000000))</f>
        <v/>
      </c>
      <c r="NA21">
        <f>IF($B21=0,1000000,IF(INDEX('計算A'!$D$60:$DS$104,$B21,23)*DS21=1,IF(AND($E21=2,IJ21=0),1000000,INDEX('計算A'!Z$110:Z$114,$F21+1)+IF(AND($E21=1,IJ21=0),1000,0)),1000000))</f>
        <v/>
      </c>
      <c r="NB21">
        <f>IF($B21=0,1000000,IF(INDEX('計算A'!$D$60:$DS$104,$B21,24)*DT21=1,IF(AND($E21=2,IK21=0),1000000,INDEX('計算A'!AA$110:AA$114,$F21+1)+IF(AND($E21=1,IK21=0),1000,0)),1000000))</f>
        <v/>
      </c>
      <c r="NC21">
        <f>IF($B21=0,1000000,IF(INDEX('計算A'!$D$60:$DS$104,$B21,25)*DU21=1,IF(AND($E21=2,IL21=0),1000000,INDEX('計算A'!AB$110:AB$114,$F21+1)+IF(AND($E21=1,IL21=0),1000,0)),1000000))</f>
        <v/>
      </c>
      <c r="ND21">
        <f>IF($B21=0,1000000,IF(INDEX('計算A'!$D$60:$DS$104,$B21,26)*DV21=1,IF(AND($E21=2,IM21=0),1000000,INDEX('計算A'!AC$110:AC$114,$F21+1)+IF(AND($E21=1,IM21=0),1000,0)),1000000))</f>
        <v/>
      </c>
      <c r="NE21">
        <f>IF($B21=0,1000000,IF(INDEX('計算A'!$D$60:$DS$104,$B21,27)*DW21=1,IF(AND($E21=2,IN21=0),1000000,INDEX('計算A'!AD$110:AD$114,$F21+1)+IF(AND($E21=1,IN21=0),1000,0)),1000000))</f>
        <v/>
      </c>
      <c r="NF21">
        <f>IF($B21=0,1000000,IF(INDEX('計算A'!$D$60:$DS$104,$B21,28)*DX21=1,IF(AND($E21=2,IO21=0),1000000,INDEX('計算A'!AE$110:AE$114,$F21+1)+IF(AND($E21=1,IO21=0),1000,0)),1000000))</f>
        <v/>
      </c>
      <c r="NG21">
        <f>IF($B21=0,1000000,IF(INDEX('計算A'!$D$60:$DS$104,$B21,29)*DY21=1,IF(AND($E21=2,IP21=0),1000000,INDEX('計算A'!AF$110:AF$114,$F21+1)+IF(AND($E21=1,IP21=0),1000,0)),1000000))</f>
        <v/>
      </c>
      <c r="NH21">
        <f>IF($B21=0,1000000,IF(INDEX('計算A'!$D$60:$DS$104,$B21,30)*DZ21=1,IF(AND($E21=2,IQ21=0),1000000,INDEX('計算A'!AG$110:AG$114,$F21+1)+IF(AND($E21=1,IQ21=0),1000,0)),1000000))</f>
        <v/>
      </c>
      <c r="NI21">
        <f>IF($B21=0,1000000,IF(INDEX('計算A'!$D$60:$DS$104,$B21,31)*EA21=1,IF(AND($E21=2,IR21=0),1000000,INDEX('計算A'!AH$110:AH$114,$F21+1)+IF(AND($E21=1,IR21=0),1000,0)),1000000))</f>
        <v/>
      </c>
      <c r="NJ21">
        <f>IF($B21=0,1000000,IF(INDEX('計算A'!$D$60:$DS$104,$B21,32)*EB21=1,IF(AND($E21=2,IS21=0),1000000,INDEX('計算A'!AI$110:AI$114,$F21+1)+IF(AND($E21=1,IS21=0),1000,0)),1000000))</f>
        <v/>
      </c>
      <c r="NK21">
        <f>IF($B21=0,1000000,IF(INDEX('計算A'!$D$60:$DS$104,$B21,33)*EC21=1,IF(AND($E21=2,IT21=0),1000000,INDEX('計算A'!AJ$110:AJ$114,$F21+1)+IF(AND($E21=1,IT21=0),1000,0)),1000000))</f>
        <v/>
      </c>
      <c r="NL21">
        <f>IF($B21=0,1000000,IF(INDEX('計算A'!$D$60:$DS$104,$B21,34)*ED21=1,IF(AND($E21=2,IU21=0),1000000,INDEX('計算A'!AK$110:AK$114,$F21+1)+IF(AND($E21=1,IU21=0),1000,0)),1000000))</f>
        <v/>
      </c>
      <c r="NM21">
        <f>IF($B21=0,1000000,IF(INDEX('計算A'!$D$60:$DS$104,$B21,35)*EE21=1,IF(AND($E21=2,IV21=0),1000000,INDEX('計算A'!AL$110:AL$114,$F21+1)+IF(AND($E21=1,IV21=0),1000,0)),1000000))</f>
        <v/>
      </c>
      <c r="NN21">
        <f>IF($B21=0,1000000,IF(INDEX('計算A'!$D$60:$DS$104,$B21,36)*EF21=1,IF(AND($E21=2,IW21=0),1000000,INDEX('計算A'!AM$110:AM$114,$F21+1)+IF(AND($E21=1,IW21=0),1000,0)),1000000))</f>
        <v/>
      </c>
      <c r="NO21">
        <f>IF($B21=0,1000000,IF(INDEX('計算A'!$D$60:$DS$104,$B21,37)*EG21=1,IF(AND($E21=2,IX21=0),1000000,INDEX('計算A'!AN$110:AN$114,$F21+1)+IF(AND($E21=1,IX21=0),1000,0)),1000000))</f>
        <v/>
      </c>
      <c r="NP21">
        <f>IF($B21=0,1000000,IF(INDEX('計算A'!$D$60:$DS$104,$B21,38)*EH21=1,IF(AND($E21=2,IY21=0),1000000,INDEX('計算A'!AO$110:AO$114,$F21+1)+IF(AND($E21=1,IY21=0),1000,0)),1000000))</f>
        <v/>
      </c>
      <c r="NQ21">
        <f>IF($B21=0,1000000,IF(INDEX('計算A'!$D$60:$DS$104,$B21,39)*EI21=1,IF(AND($E21=2,IZ21=0),1000000,INDEX('計算A'!AP$110:AP$114,$F21+1)+IF(AND($E21=1,IZ21=0),1000,0)),1000000))</f>
        <v/>
      </c>
      <c r="NR21">
        <f>IF($B21=0,1000000,IF(INDEX('計算A'!$D$60:$DS$104,$B21,40)*EJ21=1,IF(AND($E21=2,JA21=0),1000000,INDEX('計算A'!AQ$110:AQ$114,$F21+1)+IF(AND($E21=1,JA21=0),1000,0)),1000000))</f>
        <v/>
      </c>
      <c r="NS21">
        <f>IF($B21=0,1000000,IF(INDEX('計算A'!$D$60:$DS$104,$B21,41)*EK21=1,IF(AND($E21=2,JB21=0),1000000,INDEX('計算A'!AR$110:AR$114,$F21+1)+IF(AND($E21=1,JB21=0),1000,0)),1000000))</f>
        <v/>
      </c>
      <c r="NT21">
        <f>IF($B21=0,1000000,IF(INDEX('計算A'!$D$60:$DS$104,$B21,42)*EL21=1,IF(AND($E21=2,JC21=0),1000000,INDEX('計算A'!AS$110:AS$114,$F21+1)+IF(AND($E21=1,JC21=0),1000,0)),1000000))</f>
        <v/>
      </c>
      <c r="NU21">
        <f>IF($B21=0,1000000,IF(INDEX('計算A'!$D$60:$DS$104,$B21,43)*EM21=1,IF(AND($E21=2,JD21=0),1000000,INDEX('計算A'!AT$110:AT$114,$F21+1)+IF(AND($E21=1,JD21=0),1000,0)),1000000))</f>
        <v/>
      </c>
      <c r="NV21">
        <f>IF($B21=0,1000000,IF(INDEX('計算A'!$D$60:$DS$104,$B21,44)*EN21=1,IF(AND($E21=2,JE21=0),1000000,INDEX('計算A'!AU$110:AU$114,$F21+1)+IF(AND($E21=1,JE21=0),1000,0)),1000000))</f>
        <v/>
      </c>
      <c r="NW21">
        <f>IF($B21=0,1000000,IF(INDEX('計算A'!$D$60:$DS$104,$B21,45)*EO21=1,IF(AND($E21=2,JF21=0),1000000,INDEX('計算A'!AV$110:AV$114,$F21+1)+IF(AND($E21=1,JF21=0),1000,0)),1000000))</f>
        <v/>
      </c>
      <c r="NX21">
        <f>IF($B21=0,1000000,IF(INDEX('計算A'!$D$60:$DS$104,$B21,46)*EP21=1,IF(AND($E21=2,JG21=0),1000000,INDEX('計算A'!AW$110:AW$114,$F21+1)+IF(AND($E21=1,JG21=0),1000,0)),1000000))</f>
        <v/>
      </c>
      <c r="NY21">
        <f>IF($B21=0,1000000,IF(INDEX('計算A'!$D$60:$DS$104,$B21,47)*EQ21=1,IF(AND($E21=2,JH21=0),1000000,INDEX('計算A'!AX$110:AX$114,$F21+1)+IF(AND($E21=1,JH21=0),1000,0)),1000000))</f>
        <v/>
      </c>
      <c r="NZ21">
        <f>IF($B21=0,1000000,IF(INDEX('計算A'!$D$60:$DS$104,$B21,48)*ER21=1,IF(AND($E21=2,JI21=0),1000000,INDEX('計算A'!AY$110:AY$114,$F21+1)+IF(AND($E21=1,JI21=0),1000,0)),1000000))</f>
        <v/>
      </c>
      <c r="OA21">
        <f>IF($B21=0,1000000,IF(INDEX('計算A'!$D$60:$DS$104,$B21,49)*ES21=1,IF(AND($E21=2,JJ21=0),1000000,INDEX('計算A'!AZ$110:AZ$114,$F21+1)+IF(AND($E21=1,JJ21=0),1000,0)),1000000))</f>
        <v/>
      </c>
      <c r="OB21">
        <f>IF($B21=0,1000000,IF(INDEX('計算A'!$D$60:$DS$104,$B21,50)*ET21=1,IF(AND($E21=2,JK21=0),1000000,INDEX('計算A'!BA$110:BA$114,$F21+1)+IF(AND($E21=1,JK21=0),1000,0)),1000000))</f>
        <v/>
      </c>
      <c r="OC21">
        <f>IF($B21=0,1000000,IF(INDEX('計算A'!$D$60:$DS$104,$B21,51)*EU21=1,IF(AND($E21=2,JL21=0),1000000,INDEX('計算A'!BB$110:BB$114,$F21+1)+IF(AND($E21=1,JL21=0),1000,0)),1000000))</f>
        <v/>
      </c>
      <c r="OD21">
        <f>IF($B21=0,1000000,IF(INDEX('計算A'!$D$60:$DS$104,$B21,52)*EV21=1,IF(AND($E21=2,JM21=0),1000000,INDEX('計算A'!BC$110:BC$114,$F21+1)+IF(AND($E21=1,JM21=0),1000,0)),1000000))</f>
        <v/>
      </c>
      <c r="OE21">
        <f>IF($B21=0,1000000,IF(INDEX('計算A'!$D$60:$DS$104,$B21,53)*EW21=1,IF(AND($E21=2,JN21=0),1000000,INDEX('計算A'!BD$110:BD$114,$F21+1)+IF(AND($E21=1,JN21=0),1000,0)),1000000))</f>
        <v/>
      </c>
      <c r="OF21">
        <f>IF($B21=0,1000000,IF(INDEX('計算A'!$D$60:$DS$104,$B21,54)*EX21=1,IF(AND($E21=2,JO21=0),1000000,INDEX('計算A'!BE$110:BE$114,$F21+1)+IF(AND($E21=1,JO21=0),1000,0)),1000000))</f>
        <v/>
      </c>
      <c r="OG21">
        <f>IF($B21=0,1000000,IF(INDEX('計算A'!$D$60:$DS$104,$B21,55)*EY21=1,IF(AND($E21=2,JP21=0),1000000,INDEX('計算A'!BF$110:BF$114,$F21+1)+IF(AND($E21=1,JP21=0),1000,0)),1000000))</f>
        <v/>
      </c>
      <c r="OH21">
        <f>IF($B21=0,1000000,IF(INDEX('計算A'!$D$60:$DS$104,$B21,56)*EZ21=1,IF(AND($E21=2,JQ21=0),1000000,INDEX('計算A'!BG$110:BG$114,$F21+1)+IF(AND($E21=1,JQ21=0),1000,0)),1000000))</f>
        <v/>
      </c>
      <c r="OI21">
        <f>IF($B21=0,1000000,IF(INDEX('計算A'!$D$60:$DS$104,$B21,57)*FA21=1,IF(AND($E21=2,JR21=0),1000000,INDEX('計算A'!BH$110:BH$114,$F21+1)+IF(AND($E21=1,JR21=0),1000,0)),1000000))</f>
        <v/>
      </c>
      <c r="OJ21">
        <f>IF($B21=0,1000000,IF(INDEX('計算A'!$D$60:$DS$104,$B21,58)*FB21=1,IF(AND($E21=2,JS21=0),1000000,INDEX('計算A'!BI$110:BI$114,$F21+1)+IF(AND($E21=1,JS21=0),1000,0)),1000000))</f>
        <v/>
      </c>
      <c r="OK21">
        <f>IF($B21=0,1000000,IF(INDEX('計算A'!$D$60:$DS$104,$B21,59)*FC21=1,IF(AND($E21=2,JT21=0),1000000,INDEX('計算A'!BJ$110:BJ$114,$F21+1)+IF(AND($E21=1,JT21=0),1000,0)),1000000))</f>
        <v/>
      </c>
      <c r="OL21">
        <f>IF($B21=0,1000000,IF(INDEX('計算A'!$D$60:$DS$104,$B21,60)*FD21=1,IF(AND($E21=2,JU21=0),1000000,INDEX('計算A'!BK$110:BK$114,$F21+1)+IF(AND($E21=1,JU21=0),1000,0)),1000000))</f>
        <v/>
      </c>
      <c r="OM21">
        <f>IF($B21=0,1000000,IF(INDEX('計算A'!$D$60:$DS$104,$B21,61)*FE21=1,IF(AND($E21=2,JV21=0),1000000,INDEX('計算A'!BL$110:BL$114,$F21+1)+IF(AND($E21=1,JV21=0),1000,0)),1000000))</f>
        <v/>
      </c>
      <c r="ON21">
        <f>IF($B21=0,1000000,IF(INDEX('計算A'!$D$60:$DS$104,$B21,62)*FF21=1,IF(AND($E21=2,JW21=0),1000000,INDEX('計算A'!BM$110:BM$114,$F21+1)+IF(AND($E21=1,JW21=0),1000,0)),1000000))</f>
        <v/>
      </c>
      <c r="OO21">
        <f>IF($B21=0,1000000,IF(INDEX('計算A'!$D$60:$DS$104,$B21,63)*FG21=1,IF(AND($E21=2,JX21=0),1000000,INDEX('計算A'!BN$110:BN$114,$F21+1)+IF(AND($E21=1,JX21=0),1000,0)),1000000))</f>
        <v/>
      </c>
      <c r="OP21">
        <f>IF($B21=0,1000000,IF(INDEX('計算A'!$D$60:$DS$104,$B21,64)*FH21=1,IF(AND($E21=2,JY21=0),1000000,INDEX('計算A'!BO$110:BO$114,$F21+1)+IF(AND($E21=1,JY21=0),1000,0)),1000000))</f>
        <v/>
      </c>
      <c r="OQ21">
        <f>IF($B21=0,1000000,IF(INDEX('計算A'!$D$60:$DS$104,$B21,65)*FI21=1,IF(AND($E21=2,JZ21=0),1000000,INDEX('計算A'!BP$110:BP$114,$F21+1)+IF(AND($E21=1,JZ21=0),1000,0)),1000000))</f>
        <v/>
      </c>
      <c r="OR21">
        <f>IF($B21=0,1000000,IF(INDEX('計算A'!$D$60:$DS$104,$B21,66)*FJ21=1,IF(AND($E21=2,KA21=0),1000000,INDEX('計算A'!BQ$110:BQ$114,$F21+1)+IF(AND($E21=1,KA21=0),1000,0)),1000000))</f>
        <v/>
      </c>
      <c r="OS21">
        <f>IF($B21=0,1000000,IF(INDEX('計算A'!$D$60:$DS$104,$B21,67)*FK21=1,IF(AND($E21=2,KB21=0),1000000,INDEX('計算A'!BR$110:BR$114,$F21+1)+IF(AND($E21=1,KB21=0),1000,0)),1000000))</f>
        <v/>
      </c>
      <c r="OT21">
        <f>IF($B21=0,1000000,IF(INDEX('計算A'!$D$60:$DS$104,$B21,68)*FL21=1,IF(AND($E21=2,KC21=0),1000000,INDEX('計算A'!BS$110:BS$114,$F21+1)+IF(AND($E21=1,KC21=0),1000,0)),1000000))</f>
        <v/>
      </c>
      <c r="OU21">
        <f>IF($B21=0,1000000,IF(INDEX('計算A'!$D$60:$DS$104,$B21,69)*FM21=1,IF(AND($E21=2,KD21=0),1000000,INDEX('計算A'!BT$110:BT$114,$F21+1)+IF(AND($E21=1,KD21=0),1000,0)),1000000))</f>
        <v/>
      </c>
      <c r="OV21">
        <f>IF($B21=0,1000000,IF(INDEX('計算A'!$D$60:$DS$104,$B21,70)*FN21=1,IF(AND($E21=2,KE21=0),1000000,INDEX('計算A'!BU$110:BU$114,$F21+1)+IF(AND($E21=1,KE21=0),1000,0)),1000000))</f>
        <v/>
      </c>
      <c r="OW21">
        <f>IF($B21=0,1000000,IF(INDEX('計算A'!$D$60:$DS$104,$B21,71)*FO21=1,IF(AND($E21=2,KF21=0),1000000,INDEX('計算A'!BV$110:BV$114,$F21+1)+IF(AND($E21=1,KF21=0),1000,0)),1000000))</f>
        <v/>
      </c>
      <c r="OX21">
        <f>IF($B21=0,1000000,IF(INDEX('計算A'!$D$60:$DS$104,$B21,72)*FP21=1,IF(AND($E21=2,KG21=0),1000000,INDEX('計算A'!BW$110:BW$114,$F21+1)+IF(AND($E21=1,KG21=0),1000,0)),1000000))</f>
        <v/>
      </c>
      <c r="OY21">
        <f>IF($B21=0,1000000,IF(INDEX('計算A'!$D$60:$DS$104,$B21,73)*FQ21=1,IF(AND($E21=2,KH21=0),1000000,INDEX('計算A'!BX$110:BX$114,$F21+1)+IF(AND($E21=1,KH21=0),1000,0)),1000000))</f>
        <v/>
      </c>
      <c r="OZ21">
        <f>IF($B21=0,1000000,IF(INDEX('計算A'!$D$60:$DS$104,$B21,74)*FR21=1,IF(AND($E21=2,KI21=0),1000000,INDEX('計算A'!BY$110:BY$114,$F21+1)+IF(AND($E21=1,KI21=0),1000,0)),1000000))</f>
        <v/>
      </c>
      <c r="PA21">
        <f>IF($B21=0,1000000,IF(INDEX('計算A'!$D$60:$DS$104,$B21,75)*FS21=1,IF(AND($E21=2,KJ21=0),1000000,INDEX('計算A'!BZ$110:BZ$114,$F21+1)+IF(AND($E21=1,KJ21=0),1000,0)),1000000))</f>
        <v/>
      </c>
      <c r="PB21">
        <f>IF($B21=0,1000000,IF(INDEX('計算A'!$D$60:$DS$104,$B21,76)*FT21=1,IF(AND($E21=2,KK21=0),1000000,INDEX('計算A'!CA$110:CA$114,$F21+1)+IF(AND($E21=1,KK21=0),1000,0)),1000000))</f>
        <v/>
      </c>
      <c r="PC21">
        <f>IF($B21=0,1000000,IF(INDEX('計算A'!$D$60:$DS$104,$B21,77)*FU21=1,IF(AND($E21=2,KL21=0),1000000,INDEX('計算A'!CB$110:CB$114,$F21+1)+IF(AND($E21=1,KL21=0),1000,0)),1000000))</f>
        <v/>
      </c>
      <c r="PD21">
        <f>IF($B21=0,1000000,IF(INDEX('計算A'!$D$60:$DS$104,$B21,78)*FV21=1,IF(AND($E21=2,KM21=0),1000000,INDEX('計算A'!CC$110:CC$114,$F21+1)+IF(AND($E21=1,KM21=0),1000,0)),1000000))</f>
        <v/>
      </c>
      <c r="PE21">
        <f>IF($B21=0,1000000,IF(INDEX('計算A'!$D$60:$DS$104,$B21,79)*FW21=1,IF(AND($E21=2,KN21=0),1000000,INDEX('計算A'!CD$110:CD$114,$F21+1)+IF(AND($E21=1,KN21=0),1000,0)),1000000))</f>
        <v/>
      </c>
      <c r="PF21">
        <f>IF($B21=0,1000000,IF(INDEX('計算A'!$D$60:$DS$104,$B21,80)*FX21=1,IF(AND($E21=2,KO21=0),1000000,INDEX('計算A'!CE$110:CE$114,$F21+1)+IF(AND($E21=1,KO21=0),1000,0)),1000000))</f>
        <v/>
      </c>
      <c r="PG21">
        <f>IF($B21=0,1000000,IF(INDEX('計算A'!$D$60:$DS$104,$B21,81)*FY21=1,IF(AND($E21=2,KP21=0),1000000,INDEX('計算A'!CF$110:CF$114,$F21+1)+IF(AND($E21=1,KP21=0),1000,0)),1000000))</f>
        <v/>
      </c>
      <c r="PH21">
        <f>IF($B21=0,1000000,IF(INDEX('計算A'!$D$60:$DS$104,$B21,82)*FZ21=1,IF(AND($E21=2,KQ21=0),1000000,INDEX('計算A'!CG$110:CG$114,$F21+1)+IF(AND($E21=1,KQ21=0),1000,0)),1000000))</f>
        <v/>
      </c>
      <c r="PI21">
        <f>IF($B21=0,1000000,IF(INDEX('計算A'!$D$60:$DS$104,$B21,83)*GA21=1,IF(AND($E21=2,KR21=0),1000000,INDEX('計算A'!CH$110:CH$114,$F21+1)+IF(AND($E21=1,KR21=0),1000,0)),1000000))</f>
        <v/>
      </c>
      <c r="PJ21">
        <f>IF($B21=0,1000000,IF(INDEX('計算A'!$D$60:$DS$104,$B21,84)*GB21=1,IF(AND($E21=2,KS21=0),1000000,INDEX('計算A'!CI$110:CI$114,$F21+1)+IF(AND($E21=1,KS21=0),1000,0)),1000000))</f>
        <v/>
      </c>
      <c r="PK21">
        <f>IF($B21=0,1000000,IF(INDEX('計算A'!$D$60:$DS$104,$B21,85)*GC21=1,IF(AND($E21=2,KT21=0),1000000,INDEX('計算A'!CJ$110:CJ$114,$F21+1)+IF(AND($E21=1,KT21=0),1000,0)),1000000))</f>
        <v/>
      </c>
      <c r="PL21">
        <f>IF($B21=0,1000000,IF(INDEX('計算A'!$D$60:$DS$104,$B21,86)*GD21=1,IF(AND($E21=2,KU21=0),1000000,INDEX('計算A'!CK$110:CK$114,$F21+1)+IF(AND($E21=1,KU21=0),1000,0)),1000000))</f>
        <v/>
      </c>
      <c r="PM21">
        <f>IF($B21=0,1000000,IF(INDEX('計算A'!$D$60:$DS$104,$B21,87)*GE21=1,IF(AND($E21=2,KV21=0),1000000,INDEX('計算A'!CL$110:CL$114,$F21+1)+IF(AND($E21=1,KV21=0),1000,0)),1000000))</f>
        <v/>
      </c>
      <c r="PN21">
        <f>IF($B21=0,1000000,IF(INDEX('計算A'!$D$60:$DS$104,$B21,88)*GF21=1,IF(AND($E21=2,KW21=0),1000000,INDEX('計算A'!CM$110:CM$114,$F21+1)+IF(AND($E21=1,KW21=0),1000,0)),1000000))</f>
        <v/>
      </c>
      <c r="PO21">
        <f>IF($B21=0,1000000,IF(INDEX('計算A'!$D$60:$DS$104,$B21,89)*GG21=1,IF(AND($E21=2,KX21=0),1000000,INDEX('計算A'!CN$110:CN$114,$F21+1)+IF(AND($E21=1,KX21=0),1000,0)),1000000))</f>
        <v/>
      </c>
      <c r="PP21">
        <f>IF($B21=0,1000000,IF(INDEX('計算A'!$D$60:$DS$104,$B21,90)*GH21=1,IF(AND($E21=2,KY21=0),1000000,INDEX('計算A'!CO$110:CO$114,$F21+1)+IF(AND($E21=1,KY21=0),1000,0)),1000000))</f>
        <v/>
      </c>
      <c r="PQ21">
        <f>IF($B21=0,1000000,IF(INDEX('計算A'!$D$60:$DS$104,$B21,91)*GI21=1,IF(AND($E21=2,KZ21=0),1000000,INDEX('計算A'!CP$110:CP$114,$F21+1)+IF(AND($E21=1,KZ21=0),1000,0)),1000000))</f>
        <v/>
      </c>
      <c r="PR21">
        <f>IF($B21=0,1000000,IF(INDEX('計算A'!$D$60:$DS$104,$B21,92)*GJ21=1,IF(AND($E21=2,LA21=0),1000000,INDEX('計算A'!CQ$110:CQ$114,$F21+1)+IF(AND($E21=1,LA21=0),1000,0)),1000000))</f>
        <v/>
      </c>
      <c r="PS21">
        <f>IF($B21=0,1000000,IF(INDEX('計算A'!$D$60:$DS$104,$B21,93)*GK21=1,IF(AND($E21=2,LB21=0),1000000,INDEX('計算A'!CR$110:CR$114,$F21+1)+IF(AND($E21=1,LB21=0),1000,0)),1000000))</f>
        <v/>
      </c>
      <c r="PT21">
        <f>IF($B21=0,1000000,IF(INDEX('計算A'!$D$60:$DS$104,$B21,94)*GL21=1,IF(AND($E21=2,LC21=0),1000000,INDEX('計算A'!CS$110:CS$114,$F21+1)+IF(AND($E21=1,LC21=0),1000,0)),1000000))</f>
        <v/>
      </c>
      <c r="PU21">
        <f>IF($B21=0,1000000,IF(INDEX('計算A'!$D$60:$DS$104,$B21,95)*GM21=1,IF(AND($E21=2,LD21=0),1000000,INDEX('計算A'!CT$110:CT$114,$F21+1)+IF(AND($E21=1,LD21=0),1000,0)),1000000))</f>
        <v/>
      </c>
      <c r="PV21">
        <f>IF($B21=0,1000000,IF(INDEX('計算A'!$D$60:$DS$104,$B21,96)*GN21=1,IF(AND($E21=2,LE21=0),1000000,INDEX('計算A'!CU$110:CU$114,$F21+1)+IF(AND($E21=1,LE21=0),1000,0)),1000000))</f>
        <v/>
      </c>
      <c r="PW21">
        <f>IF($B21=0,1000000,IF(INDEX('計算A'!$D$60:$DS$104,$B21,97)*GO21=1,IF(AND($E21=2,LF21=0),1000000,INDEX('計算A'!CV$110:CV$114,$F21+1)+IF(AND($E21=1,LF21=0),1000,0)),1000000))</f>
        <v/>
      </c>
      <c r="PX21">
        <f>IF($B21=0,1000000,IF(INDEX('計算A'!$D$60:$DS$104,$B21,98)*GP21=1,IF(AND($E21=2,LG21=0),1000000,INDEX('計算A'!CW$110:CW$114,$F21+1)+IF(AND($E21=1,LG21=0),1000,0)),1000000))</f>
        <v/>
      </c>
      <c r="PY21">
        <f>IF($B21=0,1000000,IF(INDEX('計算A'!$D$60:$DS$104,$B21,99)*GQ21=1,IF(AND($E21=2,LH21=0),1000000,INDEX('計算A'!CX$110:CX$114,$F21+1)+IF(AND($E21=1,LH21=0),1000,0)),1000000))</f>
        <v/>
      </c>
      <c r="PZ21">
        <f>IF($B21=0,1000000,IF(INDEX('計算A'!$D$60:$DS$104,$B21,100)*GR21=1,IF(AND($E21=2,LI21=0),1000000,INDEX('計算A'!CY$110:CY$114,$F21+1)+IF(AND($E21=1,LI21=0),1000,0)),1000000))</f>
        <v/>
      </c>
      <c r="QA21">
        <f>IF($B21=0,1000000,IF(INDEX('計算A'!$D$60:$DS$104,$B21,101)*GS21=1,IF(AND($E21=2,LJ21=0),1000000,INDEX('計算A'!CZ$110:CZ$114,$F21+1)+IF(AND($E21=1,LJ21=0),1000,0)),1000000))</f>
        <v/>
      </c>
      <c r="QB21">
        <f>IF($B21=0,1000000,IF(INDEX('計算A'!$D$60:$DS$104,$B21,102)*GT21=1,IF(AND($E21=2,LK21=0),1000000,INDEX('計算A'!DA$110:DA$114,$F21+1)+IF(AND($E21=1,LK21=0),1000,0)),1000000))</f>
        <v/>
      </c>
      <c r="QC21">
        <f>IF($B21=0,1000000,IF(INDEX('計算A'!$D$60:$DS$104,$B21,103)*GU21=1,IF(AND($E21=2,LL21=0),1000000,INDEX('計算A'!DB$110:DB$114,$F21+1)+IF(AND($E21=1,LL21=0),1000,0)),1000000))</f>
        <v/>
      </c>
      <c r="QD21">
        <f>IF($B21=0,1000000,IF(INDEX('計算A'!$D$60:$DS$104,$B21,104)*GV21=1,IF(AND($E21=2,LM21=0),1000000,INDEX('計算A'!DC$110:DC$114,$F21+1)+IF(AND($E21=1,LM21=0),1000,0)),1000000))</f>
        <v/>
      </c>
      <c r="QE21">
        <f>IF($B21=0,1000000,IF(INDEX('計算A'!$D$60:$DS$104,$B21,105)*GW21=1,IF(AND($E21=2,LN21=0),1000000,INDEX('計算A'!DD$110:DD$114,$F21+1)+IF(AND($E21=1,LN21=0),1000,0)),1000000))</f>
        <v/>
      </c>
      <c r="QF21">
        <f>IF($B21=0,1000000,IF(INDEX('計算A'!$D$60:$DS$104,$B21,106)*GX21=1,IF(AND($E21=2,LO21=0),1000000,INDEX('計算A'!DE$110:DE$114,$F21+1)+IF(AND($E21=1,LO21=0),1000,0)),1000000))</f>
        <v/>
      </c>
      <c r="QG21">
        <f>IF($B21=0,1000000,IF(INDEX('計算A'!$D$60:$DS$104,$B21,107)*GY21=1,IF(AND($E21=2,LP21=0),1000000,INDEX('計算A'!DF$110:DF$114,$F21+1)+IF(AND($E21=1,LP21=0),1000,0)),1000000))</f>
        <v/>
      </c>
      <c r="QH21">
        <f>IF($B21=0,1000000,IF(INDEX('計算A'!$D$60:$DS$104,$B21,108)*GZ21=1,IF(AND($E21=2,LQ21=0),1000000,INDEX('計算A'!DG$110:DG$114,$F21+1)+IF(AND($E21=1,LQ21=0),1000,0)),1000000))</f>
        <v/>
      </c>
      <c r="QI21">
        <f>IF($B21=0,1000000,IF(INDEX('計算A'!$D$60:$DS$104,$B21,109)*HA21=1,IF(AND($E21=2,LR21=0),1000000,INDEX('計算A'!DH$110:DH$114,$F21+1)+IF(AND($E21=1,LR21=0),1000,0)),1000000))</f>
        <v/>
      </c>
      <c r="QJ21">
        <f>IF($B21=0,1000000,IF(INDEX('計算A'!$D$60:$DS$104,$B21,110)*HB21=1,IF(AND($E21=2,LS21=0),1000000,INDEX('計算A'!DI$110:DI$114,$F21+1)+IF(AND($E21=1,LS21=0),1000,0)),1000000))</f>
        <v/>
      </c>
      <c r="QK21">
        <f>IF($B21=0,1000000,IF(INDEX('計算A'!$D$60:$DS$104,$B21,111)*HC21=1,IF(AND($E21=2,LT21=0),1000000,INDEX('計算A'!DJ$110:DJ$114,$F21+1)+IF(AND($E21=1,LT21=0),1000,0)),1000000))</f>
        <v/>
      </c>
      <c r="QL21">
        <f>IF($B21=0,1000000,IF(INDEX('計算A'!$D$60:$DS$104,$B21,112)*HD21=1,IF(AND($E21=2,LU21=0),1000000,INDEX('計算A'!DK$110:DK$114,$F21+1)+IF(AND($E21=1,LU21=0),1000,0)),1000000))</f>
        <v/>
      </c>
      <c r="QM21">
        <f>IF($B21=0,1000000,IF(INDEX('計算A'!$D$60:$DS$104,$B21,113)*HE21=1,IF(AND($E21=2,LV21=0),1000000,INDEX('計算A'!DL$110:DL$114,$F21+1)+IF(AND($E21=1,LV21=0),1000,0)),1000000))</f>
        <v/>
      </c>
      <c r="QN21">
        <f>IF($B21=0,1000000,IF(INDEX('計算A'!$D$60:$DS$104,$B21,114)*HF21=1,IF(AND($E21=2,LW21=0),1000000,INDEX('計算A'!DM$110:DM$114,$F21+1)+IF(AND($E21=1,LW21=0),1000,0)),1000000))</f>
        <v/>
      </c>
      <c r="QO21">
        <f>IF($B21=0,1000000,IF(INDEX('計算A'!$D$60:$DS$104,$B21,115)*HG21=1,IF(AND($E21=2,LX21=0),1000000,INDEX('計算A'!DN$110:DN$114,$F21+1)+IF(AND($E21=1,LX21=0),1000,0)),1000000))</f>
        <v/>
      </c>
      <c r="QP21">
        <f>IF($B21=0,1000000,IF(INDEX('計算A'!$D$60:$DS$104,$B21,116)*HH21=1,IF(AND($E21=2,LY21=0),1000000,INDEX('計算A'!DO$110:DO$114,$F21+1)+IF(AND($E21=1,LY21=0),1000,0)),1000000))</f>
        <v/>
      </c>
      <c r="QQ21">
        <f>IF($B21=0,1000000,IF(INDEX('計算A'!$D$60:$DS$104,$B21,117)*HI21=1,IF(AND($E21=2,LZ21=0),1000000,INDEX('計算A'!DP$110:DP$114,$F21+1)+IF(AND($E21=1,LZ21=0),1000,0)),1000000))</f>
        <v/>
      </c>
      <c r="QR21">
        <f>IF($B21=0,1000000,IF(INDEX('計算A'!$D$60:$DS$104,$B21,118)*HJ21=1,IF(AND($E21=2,MA21=0),1000000,INDEX('計算A'!DQ$110:DQ$114,$F21+1)+IF(AND($E21=1,MA21=0),1000,0)),1000000))</f>
        <v/>
      </c>
      <c r="QS21">
        <f>IF($B21=0,1000000,IF(INDEX('計算A'!$D$60:$DS$104,$B21,119)*HK21=1,IF(AND($E21=2,MB21=0),1000000,INDEX('計算A'!DR$110:DR$114,$F21+1)+IF(AND($E21=1,MB21=0),1000,0)),1000000))</f>
        <v/>
      </c>
      <c r="QT21">
        <f>IF($B21=0,1000000,IF(INDEX('計算A'!$D$60:$DS$104,$B21,120)*HL21=1,IF(AND($E21=2,MC21=0),1000000,INDEX('計算A'!DS$110:DS$114,$F21+1)+IF(AND($E21=1,MC21=0),1000,0)),1000000))</f>
        <v/>
      </c>
    </row>
    <row r="22">
      <c r="A22" t="n">
        <v>20</v>
      </c>
      <c r="B22">
        <f>IF(MIN(BC22:CU22)&gt;=1000000,0,MATCH(MIN(BC22:CU22),BC22:CU22,0))</f>
        <v/>
      </c>
      <c r="C22">
        <f>IF(MIN(ME22:QT22)&gt;=1000000,0,MATCH(MIN(ME22:QT22),ME22:QT22,0))</f>
        <v/>
      </c>
      <c r="D22">
        <f>IF(C22&gt;0,INDEX('計算A'!$D$5:$DS$5,C22),0)</f>
        <v/>
      </c>
      <c r="E22">
        <f>IF(B22=0,0,INDEX('計算A'!$EA$10:$EA$54,B22))</f>
        <v/>
      </c>
      <c r="F22">
        <f>IF(B22=0,0,INDEX('計算A'!$DZ$10:$DZ$54,B22))</f>
        <v/>
      </c>
      <c r="G22">
        <f>IF(AND(C22&gt;0,E22&gt;0),IF(AND(INDEX('計算A'!$D$106:$DS$106,C22)=1,INDEX($HN22:$MC22,C22)=1),C22+1,0),0)</f>
        <v/>
      </c>
      <c r="I22">
        <f>MAX(I21,IF($B21=1,1,0))</f>
        <v/>
      </c>
      <c r="J22">
        <f>MAX(J21,IF($B21=2,1,0))</f>
        <v/>
      </c>
      <c r="K22">
        <f>MAX(K21,IF($B21=3,1,0))</f>
        <v/>
      </c>
      <c r="L22">
        <f>MAX(L21,IF($B21=4,1,0))</f>
        <v/>
      </c>
      <c r="M22">
        <f>MAX(M21,IF($B21=5,1,0))</f>
        <v/>
      </c>
      <c r="N22">
        <f>MAX(N21,IF($B21=6,1,0))</f>
        <v/>
      </c>
      <c r="O22">
        <f>MAX(O21,IF($B21=7,1,0))</f>
        <v/>
      </c>
      <c r="P22">
        <f>MAX(P21,IF($B21=8,1,0))</f>
        <v/>
      </c>
      <c r="Q22">
        <f>MAX(Q21,IF($B21=9,1,0))</f>
        <v/>
      </c>
      <c r="R22">
        <f>MAX(R21,IF($B21=10,1,0))</f>
        <v/>
      </c>
      <c r="S22">
        <f>MAX(S21,IF($B21=11,1,0))</f>
        <v/>
      </c>
      <c r="T22">
        <f>MAX(T21,IF($B21=12,1,0))</f>
        <v/>
      </c>
      <c r="U22">
        <f>MAX(U21,IF($B21=13,1,0))</f>
        <v/>
      </c>
      <c r="V22">
        <f>MAX(V21,IF($B21=14,1,0))</f>
        <v/>
      </c>
      <c r="W22">
        <f>MAX(W21,IF($B21=15,1,0))</f>
        <v/>
      </c>
      <c r="X22">
        <f>MAX(X21,IF($B21=16,1,0))</f>
        <v/>
      </c>
      <c r="Y22">
        <f>MAX(Y21,IF($B21=17,1,0))</f>
        <v/>
      </c>
      <c r="Z22">
        <f>MAX(Z21,IF($B21=18,1,0))</f>
        <v/>
      </c>
      <c r="AA22">
        <f>MAX(AA21,IF($B21=19,1,0))</f>
        <v/>
      </c>
      <c r="AB22">
        <f>MAX(AB21,IF($B21=20,1,0))</f>
        <v/>
      </c>
      <c r="AC22">
        <f>MAX(AC21,IF($B21=21,1,0))</f>
        <v/>
      </c>
      <c r="AD22">
        <f>MAX(AD21,IF($B21=22,1,0))</f>
        <v/>
      </c>
      <c r="AE22">
        <f>MAX(AE21,IF($B21=23,1,0))</f>
        <v/>
      </c>
      <c r="AF22">
        <f>MAX(AF21,IF($B21=24,1,0))</f>
        <v/>
      </c>
      <c r="AG22">
        <f>MAX(AG21,IF($B21=25,1,0))</f>
        <v/>
      </c>
      <c r="AH22">
        <f>MAX(AH21,IF($B21=26,1,0))</f>
        <v/>
      </c>
      <c r="AI22">
        <f>MAX(AI21,IF($B21=27,1,0))</f>
        <v/>
      </c>
      <c r="AJ22">
        <f>MAX(AJ21,IF($B21=28,1,0))</f>
        <v/>
      </c>
      <c r="AK22">
        <f>MAX(AK21,IF($B21=29,1,0))</f>
        <v/>
      </c>
      <c r="AL22">
        <f>MAX(AL21,IF($B21=30,1,0))</f>
        <v/>
      </c>
      <c r="AM22">
        <f>MAX(AM21,IF($B21=31,1,0))</f>
        <v/>
      </c>
      <c r="AN22">
        <f>MAX(AN21,IF($B21=32,1,0))</f>
        <v/>
      </c>
      <c r="AO22">
        <f>MAX(AO21,IF($B21=33,1,0))</f>
        <v/>
      </c>
      <c r="AP22">
        <f>MAX(AP21,IF($B21=34,1,0))</f>
        <v/>
      </c>
      <c r="AQ22">
        <f>MAX(AQ21,IF($B21=35,1,0))</f>
        <v/>
      </c>
      <c r="AR22">
        <f>MAX(AR21,IF($B21=36,1,0))</f>
        <v/>
      </c>
      <c r="AS22">
        <f>MAX(AS21,IF($B21=37,1,0))</f>
        <v/>
      </c>
      <c r="AT22">
        <f>MAX(AT21,IF($B21=38,1,0))</f>
        <v/>
      </c>
      <c r="AU22">
        <f>MAX(AU21,IF($B21=39,1,0))</f>
        <v/>
      </c>
      <c r="AV22">
        <f>MAX(AV21,IF($B21=40,1,0))</f>
        <v/>
      </c>
      <c r="AW22">
        <f>MAX(AW21,IF($B21=41,1,0))</f>
        <v/>
      </c>
      <c r="AX22">
        <f>MAX(AX21,IF($B21=42,1,0))</f>
        <v/>
      </c>
      <c r="AY22">
        <f>MAX(AY21,IF($B21=43,1,0))</f>
        <v/>
      </c>
      <c r="AZ22">
        <f>MAX(AZ21,IF($B21=44,1,0))</f>
        <v/>
      </c>
      <c r="BA22">
        <f>MAX(BA21,IF($B21=45,1,0))</f>
        <v/>
      </c>
      <c r="BC22">
        <f>IF(I22=1,1000000,IF('計算A'!$EA$10=2,SUMPRODUCT('計算A'!$D$60:$DS$60,$CW22:$HL22,$HN22:$MC22),SUMPRODUCT('計算A'!$D$60:$DS$60,$CW22:$HL22))*1000+1)</f>
        <v/>
      </c>
      <c r="BD22">
        <f>IF(J22=1,1000000,IF('計算A'!$EA$11=2,SUMPRODUCT('計算A'!$D$61:$DS$61,$CW22:$HL22,$HN22:$MC22),SUMPRODUCT('計算A'!$D$61:$DS$61,$CW22:$HL22))*1000+2)</f>
        <v/>
      </c>
      <c r="BE22">
        <f>IF(K22=1,1000000,IF('計算A'!$EA$12=2,SUMPRODUCT('計算A'!$D$62:$DS$62,$CW22:$HL22,$HN22:$MC22),SUMPRODUCT('計算A'!$D$62:$DS$62,$CW22:$HL22))*1000+3)</f>
        <v/>
      </c>
      <c r="BF22">
        <f>IF(L22=1,1000000,IF('計算A'!$EA$13=2,SUMPRODUCT('計算A'!$D$63:$DS$63,$CW22:$HL22,$HN22:$MC22),SUMPRODUCT('計算A'!$D$63:$DS$63,$CW22:$HL22))*1000+4)</f>
        <v/>
      </c>
      <c r="BG22">
        <f>IF(M22=1,1000000,IF('計算A'!$EA$14=2,SUMPRODUCT('計算A'!$D$64:$DS$64,$CW22:$HL22,$HN22:$MC22),SUMPRODUCT('計算A'!$D$64:$DS$64,$CW22:$HL22))*1000+5)</f>
        <v/>
      </c>
      <c r="BH22">
        <f>IF(N22=1,1000000,IF('計算A'!$EA$15=2,SUMPRODUCT('計算A'!$D$65:$DS$65,$CW22:$HL22,$HN22:$MC22),SUMPRODUCT('計算A'!$D$65:$DS$65,$CW22:$HL22))*1000+6)</f>
        <v/>
      </c>
      <c r="BI22">
        <f>IF(O22=1,1000000,IF('計算A'!$EA$16=2,SUMPRODUCT('計算A'!$D$66:$DS$66,$CW22:$HL22,$HN22:$MC22),SUMPRODUCT('計算A'!$D$66:$DS$66,$CW22:$HL22))*1000+7)</f>
        <v/>
      </c>
      <c r="BJ22">
        <f>IF(P22=1,1000000,IF('計算A'!$EA$17=2,SUMPRODUCT('計算A'!$D$67:$DS$67,$CW22:$HL22,$HN22:$MC22),SUMPRODUCT('計算A'!$D$67:$DS$67,$CW22:$HL22))*1000+8)</f>
        <v/>
      </c>
      <c r="BK22">
        <f>IF(Q22=1,1000000,IF('計算A'!$EA$18=2,SUMPRODUCT('計算A'!$D$68:$DS$68,$CW22:$HL22,$HN22:$MC22),SUMPRODUCT('計算A'!$D$68:$DS$68,$CW22:$HL22))*1000+9)</f>
        <v/>
      </c>
      <c r="BL22">
        <f>IF(R22=1,1000000,IF('計算A'!$EA$19=2,SUMPRODUCT('計算A'!$D$69:$DS$69,$CW22:$HL22,$HN22:$MC22),SUMPRODUCT('計算A'!$D$69:$DS$69,$CW22:$HL22))*1000+10)</f>
        <v/>
      </c>
      <c r="BM22">
        <f>IF(S22=1,1000000,IF('計算A'!$EA$20=2,SUMPRODUCT('計算A'!$D$70:$DS$70,$CW22:$HL22,$HN22:$MC22),SUMPRODUCT('計算A'!$D$70:$DS$70,$CW22:$HL22))*1000+11)</f>
        <v/>
      </c>
      <c r="BN22">
        <f>IF(T22=1,1000000,IF('計算A'!$EA$21=2,SUMPRODUCT('計算A'!$D$71:$DS$71,$CW22:$HL22,$HN22:$MC22),SUMPRODUCT('計算A'!$D$71:$DS$71,$CW22:$HL22))*1000+12)</f>
        <v/>
      </c>
      <c r="BO22">
        <f>IF(U22=1,1000000,IF('計算A'!$EA$22=2,SUMPRODUCT('計算A'!$D$72:$DS$72,$CW22:$HL22,$HN22:$MC22),SUMPRODUCT('計算A'!$D$72:$DS$72,$CW22:$HL22))*1000+13)</f>
        <v/>
      </c>
      <c r="BP22">
        <f>IF(V22=1,1000000,IF('計算A'!$EA$23=2,SUMPRODUCT('計算A'!$D$73:$DS$73,$CW22:$HL22,$HN22:$MC22),SUMPRODUCT('計算A'!$D$73:$DS$73,$CW22:$HL22))*1000+14)</f>
        <v/>
      </c>
      <c r="BQ22">
        <f>IF(W22=1,1000000,IF('計算A'!$EA$24=2,SUMPRODUCT('計算A'!$D$74:$DS$74,$CW22:$HL22,$HN22:$MC22),SUMPRODUCT('計算A'!$D$74:$DS$74,$CW22:$HL22))*1000+15)</f>
        <v/>
      </c>
      <c r="BR22">
        <f>IF(X22=1,1000000,IF('計算A'!$EA$25=2,SUMPRODUCT('計算A'!$D$75:$DS$75,$CW22:$HL22,$HN22:$MC22),SUMPRODUCT('計算A'!$D$75:$DS$75,$CW22:$HL22))*1000+16)</f>
        <v/>
      </c>
      <c r="BS22">
        <f>IF(Y22=1,1000000,IF('計算A'!$EA$26=2,SUMPRODUCT('計算A'!$D$76:$DS$76,$CW22:$HL22,$HN22:$MC22),SUMPRODUCT('計算A'!$D$76:$DS$76,$CW22:$HL22))*1000+17)</f>
        <v/>
      </c>
      <c r="BT22">
        <f>IF(Z22=1,1000000,IF('計算A'!$EA$27=2,SUMPRODUCT('計算A'!$D$77:$DS$77,$CW22:$HL22,$HN22:$MC22),SUMPRODUCT('計算A'!$D$77:$DS$77,$CW22:$HL22))*1000+18)</f>
        <v/>
      </c>
      <c r="BU22">
        <f>IF(AA22=1,1000000,IF('計算A'!$EA$28=2,SUMPRODUCT('計算A'!$D$78:$DS$78,$CW22:$HL22,$HN22:$MC22),SUMPRODUCT('計算A'!$D$78:$DS$78,$CW22:$HL22))*1000+19)</f>
        <v/>
      </c>
      <c r="BV22">
        <f>IF(AB22=1,1000000,IF('計算A'!$EA$29=2,SUMPRODUCT('計算A'!$D$79:$DS$79,$CW22:$HL22,$HN22:$MC22),SUMPRODUCT('計算A'!$D$79:$DS$79,$CW22:$HL22))*1000+20)</f>
        <v/>
      </c>
      <c r="BW22">
        <f>IF(AC22=1,1000000,IF('計算A'!$EA$30=2,SUMPRODUCT('計算A'!$D$80:$DS$80,$CW22:$HL22,$HN22:$MC22),SUMPRODUCT('計算A'!$D$80:$DS$80,$CW22:$HL22))*1000+21)</f>
        <v/>
      </c>
      <c r="BX22">
        <f>IF(AD22=1,1000000,IF('計算A'!$EA$31=2,SUMPRODUCT('計算A'!$D$81:$DS$81,$CW22:$HL22,$HN22:$MC22),SUMPRODUCT('計算A'!$D$81:$DS$81,$CW22:$HL22))*1000+22)</f>
        <v/>
      </c>
      <c r="BY22">
        <f>IF(AE22=1,1000000,IF('計算A'!$EA$32=2,SUMPRODUCT('計算A'!$D$82:$DS$82,$CW22:$HL22,$HN22:$MC22),SUMPRODUCT('計算A'!$D$82:$DS$82,$CW22:$HL22))*1000+23)</f>
        <v/>
      </c>
      <c r="BZ22">
        <f>IF(AF22=1,1000000,IF('計算A'!$EA$33=2,SUMPRODUCT('計算A'!$D$83:$DS$83,$CW22:$HL22,$HN22:$MC22),SUMPRODUCT('計算A'!$D$83:$DS$83,$CW22:$HL22))*1000+24)</f>
        <v/>
      </c>
      <c r="CA22">
        <f>IF(AG22=1,1000000,IF('計算A'!$EA$34=2,SUMPRODUCT('計算A'!$D$84:$DS$84,$CW22:$HL22,$HN22:$MC22),SUMPRODUCT('計算A'!$D$84:$DS$84,$CW22:$HL22))*1000+25)</f>
        <v/>
      </c>
      <c r="CB22">
        <f>IF(AH22=1,1000000,IF('計算A'!$EA$35=2,SUMPRODUCT('計算A'!$D$85:$DS$85,$CW22:$HL22,$HN22:$MC22),SUMPRODUCT('計算A'!$D$85:$DS$85,$CW22:$HL22))*1000+26)</f>
        <v/>
      </c>
      <c r="CC22">
        <f>IF(AI22=1,1000000,IF('計算A'!$EA$36=2,SUMPRODUCT('計算A'!$D$86:$DS$86,$CW22:$HL22,$HN22:$MC22),SUMPRODUCT('計算A'!$D$86:$DS$86,$CW22:$HL22))*1000+27)</f>
        <v/>
      </c>
      <c r="CD22">
        <f>IF(AJ22=1,1000000,IF('計算A'!$EA$37=2,SUMPRODUCT('計算A'!$D$87:$DS$87,$CW22:$HL22,$HN22:$MC22),SUMPRODUCT('計算A'!$D$87:$DS$87,$CW22:$HL22))*1000+28)</f>
        <v/>
      </c>
      <c r="CE22">
        <f>IF(AK22=1,1000000,IF('計算A'!$EA$38=2,SUMPRODUCT('計算A'!$D$88:$DS$88,$CW22:$HL22,$HN22:$MC22),SUMPRODUCT('計算A'!$D$88:$DS$88,$CW22:$HL22))*1000+29)</f>
        <v/>
      </c>
      <c r="CF22">
        <f>IF(AL22=1,1000000,IF('計算A'!$EA$39=2,SUMPRODUCT('計算A'!$D$89:$DS$89,$CW22:$HL22,$HN22:$MC22),SUMPRODUCT('計算A'!$D$89:$DS$89,$CW22:$HL22))*1000+30)</f>
        <v/>
      </c>
      <c r="CG22">
        <f>IF(AM22=1,1000000,IF('計算A'!$EA$40=2,SUMPRODUCT('計算A'!$D$90:$DS$90,$CW22:$HL22,$HN22:$MC22),SUMPRODUCT('計算A'!$D$90:$DS$90,$CW22:$HL22))*1000+31)</f>
        <v/>
      </c>
      <c r="CH22">
        <f>IF(AN22=1,1000000,IF('計算A'!$EA$41=2,SUMPRODUCT('計算A'!$D$91:$DS$91,$CW22:$HL22,$HN22:$MC22),SUMPRODUCT('計算A'!$D$91:$DS$91,$CW22:$HL22))*1000+32)</f>
        <v/>
      </c>
      <c r="CI22">
        <f>IF(AO22=1,1000000,IF('計算A'!$EA$42=2,SUMPRODUCT('計算A'!$D$92:$DS$92,$CW22:$HL22,$HN22:$MC22),SUMPRODUCT('計算A'!$D$92:$DS$92,$CW22:$HL22))*1000+33)</f>
        <v/>
      </c>
      <c r="CJ22">
        <f>IF(AP22=1,1000000,IF('計算A'!$EA$43=2,SUMPRODUCT('計算A'!$D$93:$DS$93,$CW22:$HL22,$HN22:$MC22),SUMPRODUCT('計算A'!$D$93:$DS$93,$CW22:$HL22))*1000+34)</f>
        <v/>
      </c>
      <c r="CK22">
        <f>IF(AQ22=1,1000000,IF('計算A'!$EA$44=2,SUMPRODUCT('計算A'!$D$94:$DS$94,$CW22:$HL22,$HN22:$MC22),SUMPRODUCT('計算A'!$D$94:$DS$94,$CW22:$HL22))*1000+35)</f>
        <v/>
      </c>
      <c r="CL22">
        <f>IF(AR22=1,1000000,IF('計算A'!$EA$45=2,SUMPRODUCT('計算A'!$D$95:$DS$95,$CW22:$HL22,$HN22:$MC22),SUMPRODUCT('計算A'!$D$95:$DS$95,$CW22:$HL22))*1000+36)</f>
        <v/>
      </c>
      <c r="CM22">
        <f>IF(AS22=1,1000000,IF('計算A'!$EA$46=2,SUMPRODUCT('計算A'!$D$96:$DS$96,$CW22:$HL22,$HN22:$MC22),SUMPRODUCT('計算A'!$D$96:$DS$96,$CW22:$HL22))*1000+37)</f>
        <v/>
      </c>
      <c r="CN22">
        <f>IF(AT22=1,1000000,IF('計算A'!$EA$47=2,SUMPRODUCT('計算A'!$D$97:$DS$97,$CW22:$HL22,$HN22:$MC22),SUMPRODUCT('計算A'!$D$97:$DS$97,$CW22:$HL22))*1000+38)</f>
        <v/>
      </c>
      <c r="CO22">
        <f>IF(AU22=1,1000000,IF('計算A'!$EA$48=2,SUMPRODUCT('計算A'!$D$98:$DS$98,$CW22:$HL22,$HN22:$MC22),SUMPRODUCT('計算A'!$D$98:$DS$98,$CW22:$HL22))*1000+39)</f>
        <v/>
      </c>
      <c r="CP22">
        <f>IF(AV22=1,1000000,IF('計算A'!$EA$49=2,SUMPRODUCT('計算A'!$D$99:$DS$99,$CW22:$HL22,$HN22:$MC22),SUMPRODUCT('計算A'!$D$99:$DS$99,$CW22:$HL22))*1000+40)</f>
        <v/>
      </c>
      <c r="CQ22">
        <f>IF(AW22=1,1000000,IF('計算A'!$EA$50=2,SUMPRODUCT('計算A'!$D$100:$DS$100,$CW22:$HL22,$HN22:$MC22),SUMPRODUCT('計算A'!$D$100:$DS$100,$CW22:$HL22))*1000+41)</f>
        <v/>
      </c>
      <c r="CR22">
        <f>IF(AX22=1,1000000,IF('計算A'!$EA$51=2,SUMPRODUCT('計算A'!$D$101:$DS$101,$CW22:$HL22,$HN22:$MC22),SUMPRODUCT('計算A'!$D$101:$DS$101,$CW22:$HL22))*1000+42)</f>
        <v/>
      </c>
      <c r="CS22">
        <f>IF(AY22=1,1000000,IF('計算A'!$EA$52=2,SUMPRODUCT('計算A'!$D$102:$DS$102,$CW22:$HL22,$HN22:$MC22),SUMPRODUCT('計算A'!$D$102:$DS$102,$CW22:$HL22))*1000+43)</f>
        <v/>
      </c>
      <c r="CT22">
        <f>IF(AZ22=1,1000000,IF('計算A'!$EA$53=2,SUMPRODUCT('計算A'!$D$103:$DS$103,$CW22:$HL22,$HN22:$MC22),SUMPRODUCT('計算A'!$D$103:$DS$103,$CW22:$HL22))*1000+44)</f>
        <v/>
      </c>
      <c r="CU22">
        <f>IF(BA22=1,1000000,IF('計算A'!$EA$54=2,SUMPRODUCT('計算A'!$D$104:$DS$104,$CW22:$HL22,$HN22:$MC22),SUMPRODUCT('計算A'!$D$104:$DS$104,$CW22:$HL22))*1000+45)</f>
        <v/>
      </c>
      <c r="CW22">
        <f>CW21*IF(OR($C21=1,$G21=1),0,1)</f>
        <v/>
      </c>
      <c r="CX22">
        <f>CX21*IF(OR($C21=2,$G21=2),0,1)</f>
        <v/>
      </c>
      <c r="CY22">
        <f>CY21*IF(OR($C21=3,$G21=3),0,1)</f>
        <v/>
      </c>
      <c r="CZ22">
        <f>CZ21*IF(OR($C21=4,$G21=4),0,1)</f>
        <v/>
      </c>
      <c r="DA22">
        <f>DA21*IF(OR($C21=5,$G21=5),0,1)</f>
        <v/>
      </c>
      <c r="DB22">
        <f>DB21*IF(OR($C21=6,$G21=6),0,1)</f>
        <v/>
      </c>
      <c r="DC22">
        <f>DC21*IF(OR($C21=7,$G21=7),0,1)</f>
        <v/>
      </c>
      <c r="DD22">
        <f>DD21*IF(OR($C21=8,$G21=8),0,1)</f>
        <v/>
      </c>
      <c r="DE22">
        <f>DE21*IF(OR($C21=9,$G21=9),0,1)</f>
        <v/>
      </c>
      <c r="DF22">
        <f>DF21*IF(OR($C21=10,$G21=10),0,1)</f>
        <v/>
      </c>
      <c r="DG22">
        <f>DG21*IF(OR($C21=11,$G21=11),0,1)</f>
        <v/>
      </c>
      <c r="DH22">
        <f>DH21*IF(OR($C21=12,$G21=12),0,1)</f>
        <v/>
      </c>
      <c r="DI22">
        <f>DI21*IF(OR($C21=13,$G21=13),0,1)</f>
        <v/>
      </c>
      <c r="DJ22">
        <f>DJ21*IF(OR($C21=14,$G21=14),0,1)</f>
        <v/>
      </c>
      <c r="DK22">
        <f>DK21*IF(OR($C21=15,$G21=15),0,1)</f>
        <v/>
      </c>
      <c r="DL22">
        <f>DL21*IF(OR($C21=16,$G21=16),0,1)</f>
        <v/>
      </c>
      <c r="DM22">
        <f>DM21*IF(OR($C21=17,$G21=17),0,1)</f>
        <v/>
      </c>
      <c r="DN22">
        <f>DN21*IF(OR($C21=18,$G21=18),0,1)</f>
        <v/>
      </c>
      <c r="DO22">
        <f>DO21*IF(OR($C21=19,$G21=19),0,1)</f>
        <v/>
      </c>
      <c r="DP22">
        <f>DP21*IF(OR($C21=20,$G21=20),0,1)</f>
        <v/>
      </c>
      <c r="DQ22">
        <f>DQ21*IF(OR($C21=21,$G21=21),0,1)</f>
        <v/>
      </c>
      <c r="DR22">
        <f>DR21*IF(OR($C21=22,$G21=22),0,1)</f>
        <v/>
      </c>
      <c r="DS22">
        <f>DS21*IF(OR($C21=23,$G21=23),0,1)</f>
        <v/>
      </c>
      <c r="DT22">
        <f>DT21*IF(OR($C21=24,$G21=24),0,1)</f>
        <v/>
      </c>
      <c r="DU22">
        <f>DU21*IF(OR($C21=25,$G21=25),0,1)</f>
        <v/>
      </c>
      <c r="DV22">
        <f>DV21*IF(OR($C21=26,$G21=26),0,1)</f>
        <v/>
      </c>
      <c r="DW22">
        <f>DW21*IF(OR($C21=27,$G21=27),0,1)</f>
        <v/>
      </c>
      <c r="DX22">
        <f>DX21*IF(OR($C21=28,$G21=28),0,1)</f>
        <v/>
      </c>
      <c r="DY22">
        <f>DY21*IF(OR($C21=29,$G21=29),0,1)</f>
        <v/>
      </c>
      <c r="DZ22">
        <f>DZ21*IF(OR($C21=30,$G21=30),0,1)</f>
        <v/>
      </c>
      <c r="EA22">
        <f>EA21*IF(OR($C21=31,$G21=31),0,1)</f>
        <v/>
      </c>
      <c r="EB22">
        <f>EB21*IF(OR($C21=32,$G21=32),0,1)</f>
        <v/>
      </c>
      <c r="EC22">
        <f>EC21*IF(OR($C21=33,$G21=33),0,1)</f>
        <v/>
      </c>
      <c r="ED22">
        <f>ED21*IF(OR($C21=34,$G21=34),0,1)</f>
        <v/>
      </c>
      <c r="EE22">
        <f>EE21*IF(OR($C21=35,$G21=35),0,1)</f>
        <v/>
      </c>
      <c r="EF22">
        <f>EF21*IF(OR($C21=36,$G21=36),0,1)</f>
        <v/>
      </c>
      <c r="EG22">
        <f>EG21*IF(OR($C21=37,$G21=37),0,1)</f>
        <v/>
      </c>
      <c r="EH22">
        <f>EH21*IF(OR($C21=38,$G21=38),0,1)</f>
        <v/>
      </c>
      <c r="EI22">
        <f>EI21*IF(OR($C21=39,$G21=39),0,1)</f>
        <v/>
      </c>
      <c r="EJ22">
        <f>EJ21*IF(OR($C21=40,$G21=40),0,1)</f>
        <v/>
      </c>
      <c r="EK22">
        <f>EK21*IF(OR($C21=41,$G21=41),0,1)</f>
        <v/>
      </c>
      <c r="EL22">
        <f>EL21*IF(OR($C21=42,$G21=42),0,1)</f>
        <v/>
      </c>
      <c r="EM22">
        <f>EM21*IF(OR($C21=43,$G21=43),0,1)</f>
        <v/>
      </c>
      <c r="EN22">
        <f>EN21*IF(OR($C21=44,$G21=44),0,1)</f>
        <v/>
      </c>
      <c r="EO22">
        <f>EO21*IF(OR($C21=45,$G21=45),0,1)</f>
        <v/>
      </c>
      <c r="EP22">
        <f>EP21*IF(OR($C21=46,$G21=46),0,1)</f>
        <v/>
      </c>
      <c r="EQ22">
        <f>EQ21*IF(OR($C21=47,$G21=47),0,1)</f>
        <v/>
      </c>
      <c r="ER22">
        <f>ER21*IF(OR($C21=48,$G21=48),0,1)</f>
        <v/>
      </c>
      <c r="ES22">
        <f>ES21*IF(OR($C21=49,$G21=49),0,1)</f>
        <v/>
      </c>
      <c r="ET22">
        <f>ET21*IF(OR($C21=50,$G21=50),0,1)</f>
        <v/>
      </c>
      <c r="EU22">
        <f>EU21*IF(OR($C21=51,$G21=51),0,1)</f>
        <v/>
      </c>
      <c r="EV22">
        <f>EV21*IF(OR($C21=52,$G21=52),0,1)</f>
        <v/>
      </c>
      <c r="EW22">
        <f>EW21*IF(OR($C21=53,$G21=53),0,1)</f>
        <v/>
      </c>
      <c r="EX22">
        <f>EX21*IF(OR($C21=54,$G21=54),0,1)</f>
        <v/>
      </c>
      <c r="EY22">
        <f>EY21*IF(OR($C21=55,$G21=55),0,1)</f>
        <v/>
      </c>
      <c r="EZ22">
        <f>EZ21*IF(OR($C21=56,$G21=56),0,1)</f>
        <v/>
      </c>
      <c r="FA22">
        <f>FA21*IF(OR($C21=57,$G21=57),0,1)</f>
        <v/>
      </c>
      <c r="FB22">
        <f>FB21*IF(OR($C21=58,$G21=58),0,1)</f>
        <v/>
      </c>
      <c r="FC22">
        <f>FC21*IF(OR($C21=59,$G21=59),0,1)</f>
        <v/>
      </c>
      <c r="FD22">
        <f>FD21*IF(OR($C21=60,$G21=60),0,1)</f>
        <v/>
      </c>
      <c r="FE22">
        <f>FE21*IF(OR($C21=61,$G21=61),0,1)</f>
        <v/>
      </c>
      <c r="FF22">
        <f>FF21*IF(OR($C21=62,$G21=62),0,1)</f>
        <v/>
      </c>
      <c r="FG22">
        <f>FG21*IF(OR($C21=63,$G21=63),0,1)</f>
        <v/>
      </c>
      <c r="FH22">
        <f>FH21*IF(OR($C21=64,$G21=64),0,1)</f>
        <v/>
      </c>
      <c r="FI22">
        <f>FI21*IF(OR($C21=65,$G21=65),0,1)</f>
        <v/>
      </c>
      <c r="FJ22">
        <f>FJ21*IF(OR($C21=66,$G21=66),0,1)</f>
        <v/>
      </c>
      <c r="FK22">
        <f>FK21*IF(OR($C21=67,$G21=67),0,1)</f>
        <v/>
      </c>
      <c r="FL22">
        <f>FL21*IF(OR($C21=68,$G21=68),0,1)</f>
        <v/>
      </c>
      <c r="FM22">
        <f>FM21*IF(OR($C21=69,$G21=69),0,1)</f>
        <v/>
      </c>
      <c r="FN22">
        <f>FN21*IF(OR($C21=70,$G21=70),0,1)</f>
        <v/>
      </c>
      <c r="FO22">
        <f>FO21*IF(OR($C21=71,$G21=71),0,1)</f>
        <v/>
      </c>
      <c r="FP22">
        <f>FP21*IF(OR($C21=72,$G21=72),0,1)</f>
        <v/>
      </c>
      <c r="FQ22">
        <f>FQ21*IF(OR($C21=73,$G21=73),0,1)</f>
        <v/>
      </c>
      <c r="FR22">
        <f>FR21*IF(OR($C21=74,$G21=74),0,1)</f>
        <v/>
      </c>
      <c r="FS22">
        <f>FS21*IF(OR($C21=75,$G21=75),0,1)</f>
        <v/>
      </c>
      <c r="FT22">
        <f>FT21*IF(OR($C21=76,$G21=76),0,1)</f>
        <v/>
      </c>
      <c r="FU22">
        <f>FU21*IF(OR($C21=77,$G21=77),0,1)</f>
        <v/>
      </c>
      <c r="FV22">
        <f>FV21*IF(OR($C21=78,$G21=78),0,1)</f>
        <v/>
      </c>
      <c r="FW22">
        <f>FW21*IF(OR($C21=79,$G21=79),0,1)</f>
        <v/>
      </c>
      <c r="FX22">
        <f>FX21*IF(OR($C21=80,$G21=80),0,1)</f>
        <v/>
      </c>
      <c r="FY22">
        <f>FY21*IF(OR($C21=81,$G21=81),0,1)</f>
        <v/>
      </c>
      <c r="FZ22">
        <f>FZ21*IF(OR($C21=82,$G21=82),0,1)</f>
        <v/>
      </c>
      <c r="GA22">
        <f>GA21*IF(OR($C21=83,$G21=83),0,1)</f>
        <v/>
      </c>
      <c r="GB22">
        <f>GB21*IF(OR($C21=84,$G21=84),0,1)</f>
        <v/>
      </c>
      <c r="GC22">
        <f>GC21*IF(OR($C21=85,$G21=85),0,1)</f>
        <v/>
      </c>
      <c r="GD22">
        <f>GD21*IF(OR($C21=86,$G21=86),0,1)</f>
        <v/>
      </c>
      <c r="GE22">
        <f>GE21*IF(OR($C21=87,$G21=87),0,1)</f>
        <v/>
      </c>
      <c r="GF22">
        <f>GF21*IF(OR($C21=88,$G21=88),0,1)</f>
        <v/>
      </c>
      <c r="GG22">
        <f>GG21*IF(OR($C21=89,$G21=89),0,1)</f>
        <v/>
      </c>
      <c r="GH22">
        <f>GH21*IF(OR($C21=90,$G21=90),0,1)</f>
        <v/>
      </c>
      <c r="GI22">
        <f>GI21*IF(OR($C21=91,$G21=91),0,1)</f>
        <v/>
      </c>
      <c r="GJ22">
        <f>GJ21*IF(OR($C21=92,$G21=92),0,1)</f>
        <v/>
      </c>
      <c r="GK22">
        <f>GK21*IF(OR($C21=93,$G21=93),0,1)</f>
        <v/>
      </c>
      <c r="GL22">
        <f>GL21*IF(OR($C21=94,$G21=94),0,1)</f>
        <v/>
      </c>
      <c r="GM22">
        <f>GM21*IF(OR($C21=95,$G21=95),0,1)</f>
        <v/>
      </c>
      <c r="GN22">
        <f>GN21*IF(OR($C21=96,$G21=96),0,1)</f>
        <v/>
      </c>
      <c r="GO22">
        <f>GO21*IF(OR($C21=97,$G21=97),0,1)</f>
        <v/>
      </c>
      <c r="GP22">
        <f>GP21*IF(OR($C21=98,$G21=98),0,1)</f>
        <v/>
      </c>
      <c r="GQ22">
        <f>GQ21*IF(OR($C21=99,$G21=99),0,1)</f>
        <v/>
      </c>
      <c r="GR22">
        <f>GR21*IF(OR($C21=100,$G21=100),0,1)</f>
        <v/>
      </c>
      <c r="GS22">
        <f>GS21*IF(OR($C21=101,$G21=101),0,1)</f>
        <v/>
      </c>
      <c r="GT22">
        <f>GT21*IF(OR($C21=102,$G21=102),0,1)</f>
        <v/>
      </c>
      <c r="GU22">
        <f>GU21*IF(OR($C21=103,$G21=103),0,1)</f>
        <v/>
      </c>
      <c r="GV22">
        <f>GV21*IF(OR($C21=104,$G21=104),0,1)</f>
        <v/>
      </c>
      <c r="GW22">
        <f>GW21*IF(OR($C21=105,$G21=105),0,1)</f>
        <v/>
      </c>
      <c r="GX22">
        <f>GX21*IF(OR($C21=106,$G21=106),0,1)</f>
        <v/>
      </c>
      <c r="GY22">
        <f>GY21*IF(OR($C21=107,$G21=107),0,1)</f>
        <v/>
      </c>
      <c r="GZ22">
        <f>GZ21*IF(OR($C21=108,$G21=108),0,1)</f>
        <v/>
      </c>
      <c r="HA22">
        <f>HA21*IF(OR($C21=109,$G21=109),0,1)</f>
        <v/>
      </c>
      <c r="HB22">
        <f>HB21*IF(OR($C21=110,$G21=110),0,1)</f>
        <v/>
      </c>
      <c r="HC22">
        <f>HC21*IF(OR($C21=111,$G21=111),0,1)</f>
        <v/>
      </c>
      <c r="HD22">
        <f>HD21*IF(OR($C21=112,$G21=112),0,1)</f>
        <v/>
      </c>
      <c r="HE22">
        <f>HE21*IF(OR($C21=113,$G21=113),0,1)</f>
        <v/>
      </c>
      <c r="HF22">
        <f>HF21*IF(OR($C21=114,$G21=114),0,1)</f>
        <v/>
      </c>
      <c r="HG22">
        <f>HG21*IF(OR($C21=115,$G21=115),0,1)</f>
        <v/>
      </c>
      <c r="HH22">
        <f>HH21*IF(OR($C21=116,$G21=116),0,1)</f>
        <v/>
      </c>
      <c r="HI22">
        <f>HI21*IF(OR($C21=117,$G21=117),0,1)</f>
        <v/>
      </c>
      <c r="HJ22">
        <f>HJ21*IF(OR($C21=118,$G21=118),0,1)</f>
        <v/>
      </c>
      <c r="HK22">
        <f>HK21*IF(OR($C21=119,$G21=119),0,1)</f>
        <v/>
      </c>
      <c r="HL22">
        <f>HL21*IF(OR($C21=120,$G21=120),0,1)</f>
        <v/>
      </c>
      <c r="HN22">
        <f>IF('計算A'!D$106=1,CX22,1)</f>
        <v/>
      </c>
      <c r="HO22">
        <f>IF('計算A'!E$106=1,CY22,1)</f>
        <v/>
      </c>
      <c r="HP22">
        <f>IF('計算A'!F$106=1,CZ22,1)</f>
        <v/>
      </c>
      <c r="HQ22">
        <f>IF('計算A'!G$106=1,DA22,1)</f>
        <v/>
      </c>
      <c r="HR22">
        <f>IF('計算A'!H$106=1,DB22,1)</f>
        <v/>
      </c>
      <c r="HS22">
        <f>IF('計算A'!I$106=1,DC22,1)</f>
        <v/>
      </c>
      <c r="HT22">
        <f>IF('計算A'!J$106=1,DD22,1)</f>
        <v/>
      </c>
      <c r="HU22">
        <f>IF('計算A'!K$106=1,DE22,1)</f>
        <v/>
      </c>
      <c r="HV22">
        <f>IF('計算A'!L$106=1,DF22,1)</f>
        <v/>
      </c>
      <c r="HW22">
        <f>IF('計算A'!M$106=1,DG22,1)</f>
        <v/>
      </c>
      <c r="HX22">
        <f>IF('計算A'!N$106=1,DH22,1)</f>
        <v/>
      </c>
      <c r="HY22">
        <f>IF('計算A'!O$106=1,DI22,1)</f>
        <v/>
      </c>
      <c r="HZ22">
        <f>IF('計算A'!P$106=1,DJ22,1)</f>
        <v/>
      </c>
      <c r="IA22">
        <f>IF('計算A'!Q$106=1,DK22,1)</f>
        <v/>
      </c>
      <c r="IB22">
        <f>IF('計算A'!R$106=1,DL22,1)</f>
        <v/>
      </c>
      <c r="IC22">
        <f>IF('計算A'!S$106=1,DM22,1)</f>
        <v/>
      </c>
      <c r="ID22">
        <f>IF('計算A'!T$106=1,DN22,1)</f>
        <v/>
      </c>
      <c r="IE22">
        <f>IF('計算A'!U$106=1,DO22,1)</f>
        <v/>
      </c>
      <c r="IF22">
        <f>IF('計算A'!V$106=1,DP22,1)</f>
        <v/>
      </c>
      <c r="IG22">
        <f>IF('計算A'!W$106=1,DQ22,1)</f>
        <v/>
      </c>
      <c r="IH22">
        <f>IF('計算A'!X$106=1,DR22,1)</f>
        <v/>
      </c>
      <c r="II22">
        <f>IF('計算A'!Y$106=1,DS22,1)</f>
        <v/>
      </c>
      <c r="IJ22">
        <f>IF('計算A'!Z$106=1,DT22,1)</f>
        <v/>
      </c>
      <c r="IK22">
        <f>IF('計算A'!AA$106=1,DU22,1)</f>
        <v/>
      </c>
      <c r="IL22">
        <f>IF('計算A'!AB$106=1,DV22,1)</f>
        <v/>
      </c>
      <c r="IM22">
        <f>IF('計算A'!AC$106=1,DW22,1)</f>
        <v/>
      </c>
      <c r="IN22">
        <f>IF('計算A'!AD$106=1,DX22,1)</f>
        <v/>
      </c>
      <c r="IO22">
        <f>IF('計算A'!AE$106=1,DY22,1)</f>
        <v/>
      </c>
      <c r="IP22">
        <f>IF('計算A'!AF$106=1,DZ22,1)</f>
        <v/>
      </c>
      <c r="IQ22">
        <f>IF('計算A'!AG$106=1,EA22,1)</f>
        <v/>
      </c>
      <c r="IR22">
        <f>IF('計算A'!AH$106=1,EB22,1)</f>
        <v/>
      </c>
      <c r="IS22">
        <f>IF('計算A'!AI$106=1,EC22,1)</f>
        <v/>
      </c>
      <c r="IT22">
        <f>IF('計算A'!AJ$106=1,ED22,1)</f>
        <v/>
      </c>
      <c r="IU22">
        <f>IF('計算A'!AK$106=1,EE22,1)</f>
        <v/>
      </c>
      <c r="IV22">
        <f>IF('計算A'!AL$106=1,EF22,1)</f>
        <v/>
      </c>
      <c r="IW22">
        <f>IF('計算A'!AM$106=1,EG22,1)</f>
        <v/>
      </c>
      <c r="IX22">
        <f>IF('計算A'!AN$106=1,EH22,1)</f>
        <v/>
      </c>
      <c r="IY22">
        <f>IF('計算A'!AO$106=1,EI22,1)</f>
        <v/>
      </c>
      <c r="IZ22">
        <f>IF('計算A'!AP$106=1,EJ22,1)</f>
        <v/>
      </c>
      <c r="JA22">
        <f>IF('計算A'!AQ$106=1,EK22,1)</f>
        <v/>
      </c>
      <c r="JB22">
        <f>IF('計算A'!AR$106=1,EL22,1)</f>
        <v/>
      </c>
      <c r="JC22">
        <f>IF('計算A'!AS$106=1,EM22,1)</f>
        <v/>
      </c>
      <c r="JD22">
        <f>IF('計算A'!AT$106=1,EN22,1)</f>
        <v/>
      </c>
      <c r="JE22">
        <f>IF('計算A'!AU$106=1,EO22,1)</f>
        <v/>
      </c>
      <c r="JF22">
        <f>IF('計算A'!AV$106=1,EP22,1)</f>
        <v/>
      </c>
      <c r="JG22">
        <f>IF('計算A'!AW$106=1,EQ22,1)</f>
        <v/>
      </c>
      <c r="JH22">
        <f>IF('計算A'!AX$106=1,ER22,1)</f>
        <v/>
      </c>
      <c r="JI22">
        <f>IF('計算A'!AY$106=1,ES22,1)</f>
        <v/>
      </c>
      <c r="JJ22">
        <f>IF('計算A'!AZ$106=1,ET22,1)</f>
        <v/>
      </c>
      <c r="JK22">
        <f>IF('計算A'!BA$106=1,EU22,1)</f>
        <v/>
      </c>
      <c r="JL22">
        <f>IF('計算A'!BB$106=1,EV22,1)</f>
        <v/>
      </c>
      <c r="JM22">
        <f>IF('計算A'!BC$106=1,EW22,1)</f>
        <v/>
      </c>
      <c r="JN22">
        <f>IF('計算A'!BD$106=1,EX22,1)</f>
        <v/>
      </c>
      <c r="JO22">
        <f>IF('計算A'!BE$106=1,EY22,1)</f>
        <v/>
      </c>
      <c r="JP22">
        <f>IF('計算A'!BF$106=1,EZ22,1)</f>
        <v/>
      </c>
      <c r="JQ22">
        <f>IF('計算A'!BG$106=1,FA22,1)</f>
        <v/>
      </c>
      <c r="JR22">
        <f>IF('計算A'!BH$106=1,FB22,1)</f>
        <v/>
      </c>
      <c r="JS22">
        <f>IF('計算A'!BI$106=1,FC22,1)</f>
        <v/>
      </c>
      <c r="JT22">
        <f>IF('計算A'!BJ$106=1,FD22,1)</f>
        <v/>
      </c>
      <c r="JU22">
        <f>IF('計算A'!BK$106=1,FE22,1)</f>
        <v/>
      </c>
      <c r="JV22">
        <f>IF('計算A'!BL$106=1,FF22,1)</f>
        <v/>
      </c>
      <c r="JW22">
        <f>IF('計算A'!BM$106=1,FG22,1)</f>
        <v/>
      </c>
      <c r="JX22">
        <f>IF('計算A'!BN$106=1,FH22,1)</f>
        <v/>
      </c>
      <c r="JY22">
        <f>IF('計算A'!BO$106=1,FI22,1)</f>
        <v/>
      </c>
      <c r="JZ22">
        <f>IF('計算A'!BP$106=1,FJ22,1)</f>
        <v/>
      </c>
      <c r="KA22">
        <f>IF('計算A'!BQ$106=1,FK22,1)</f>
        <v/>
      </c>
      <c r="KB22">
        <f>IF('計算A'!BR$106=1,FL22,1)</f>
        <v/>
      </c>
      <c r="KC22">
        <f>IF('計算A'!BS$106=1,FM22,1)</f>
        <v/>
      </c>
      <c r="KD22">
        <f>IF('計算A'!BT$106=1,FN22,1)</f>
        <v/>
      </c>
      <c r="KE22">
        <f>IF('計算A'!BU$106=1,FO22,1)</f>
        <v/>
      </c>
      <c r="KF22">
        <f>IF('計算A'!BV$106=1,FP22,1)</f>
        <v/>
      </c>
      <c r="KG22">
        <f>IF('計算A'!BW$106=1,FQ22,1)</f>
        <v/>
      </c>
      <c r="KH22">
        <f>IF('計算A'!BX$106=1,FR22,1)</f>
        <v/>
      </c>
      <c r="KI22">
        <f>IF('計算A'!BY$106=1,FS22,1)</f>
        <v/>
      </c>
      <c r="KJ22">
        <f>IF('計算A'!BZ$106=1,FT22,1)</f>
        <v/>
      </c>
      <c r="KK22">
        <f>IF('計算A'!CA$106=1,FU22,1)</f>
        <v/>
      </c>
      <c r="KL22">
        <f>IF('計算A'!CB$106=1,FV22,1)</f>
        <v/>
      </c>
      <c r="KM22">
        <f>IF('計算A'!CC$106=1,FW22,1)</f>
        <v/>
      </c>
      <c r="KN22">
        <f>IF('計算A'!CD$106=1,FX22,1)</f>
        <v/>
      </c>
      <c r="KO22">
        <f>IF('計算A'!CE$106=1,FY22,1)</f>
        <v/>
      </c>
      <c r="KP22">
        <f>IF('計算A'!CF$106=1,FZ22,1)</f>
        <v/>
      </c>
      <c r="KQ22">
        <f>IF('計算A'!CG$106=1,GA22,1)</f>
        <v/>
      </c>
      <c r="KR22">
        <f>IF('計算A'!CH$106=1,GB22,1)</f>
        <v/>
      </c>
      <c r="KS22">
        <f>IF('計算A'!CI$106=1,GC22,1)</f>
        <v/>
      </c>
      <c r="KT22">
        <f>IF('計算A'!CJ$106=1,GD22,1)</f>
        <v/>
      </c>
      <c r="KU22">
        <f>IF('計算A'!CK$106=1,GE22,1)</f>
        <v/>
      </c>
      <c r="KV22">
        <f>IF('計算A'!CL$106=1,GF22,1)</f>
        <v/>
      </c>
      <c r="KW22">
        <f>IF('計算A'!CM$106=1,GG22,1)</f>
        <v/>
      </c>
      <c r="KX22">
        <f>IF('計算A'!CN$106=1,GH22,1)</f>
        <v/>
      </c>
      <c r="KY22">
        <f>IF('計算A'!CO$106=1,GI22,1)</f>
        <v/>
      </c>
      <c r="KZ22">
        <f>IF('計算A'!CP$106=1,GJ22,1)</f>
        <v/>
      </c>
      <c r="LA22">
        <f>IF('計算A'!CQ$106=1,GK22,1)</f>
        <v/>
      </c>
      <c r="LB22">
        <f>IF('計算A'!CR$106=1,GL22,1)</f>
        <v/>
      </c>
      <c r="LC22">
        <f>IF('計算A'!CS$106=1,GM22,1)</f>
        <v/>
      </c>
      <c r="LD22">
        <f>IF('計算A'!CT$106=1,GN22,1)</f>
        <v/>
      </c>
      <c r="LE22">
        <f>IF('計算A'!CU$106=1,GO22,1)</f>
        <v/>
      </c>
      <c r="LF22">
        <f>IF('計算A'!CV$106=1,GP22,1)</f>
        <v/>
      </c>
      <c r="LG22">
        <f>IF('計算A'!CW$106=1,GQ22,1)</f>
        <v/>
      </c>
      <c r="LH22">
        <f>IF('計算A'!CX$106=1,GR22,1)</f>
        <v/>
      </c>
      <c r="LI22">
        <f>IF('計算A'!CY$106=1,GS22,1)</f>
        <v/>
      </c>
      <c r="LJ22">
        <f>IF('計算A'!CZ$106=1,GT22,1)</f>
        <v/>
      </c>
      <c r="LK22">
        <f>IF('計算A'!DA$106=1,GU22,1)</f>
        <v/>
      </c>
      <c r="LL22">
        <f>IF('計算A'!DB$106=1,GV22,1)</f>
        <v/>
      </c>
      <c r="LM22">
        <f>IF('計算A'!DC$106=1,GW22,1)</f>
        <v/>
      </c>
      <c r="LN22">
        <f>IF('計算A'!DD$106=1,GX22,1)</f>
        <v/>
      </c>
      <c r="LO22">
        <f>IF('計算A'!DE$106=1,GY22,1)</f>
        <v/>
      </c>
      <c r="LP22">
        <f>IF('計算A'!DF$106=1,GZ22,1)</f>
        <v/>
      </c>
      <c r="LQ22">
        <f>IF('計算A'!DG$106=1,HA22,1)</f>
        <v/>
      </c>
      <c r="LR22">
        <f>IF('計算A'!DH$106=1,HB22,1)</f>
        <v/>
      </c>
      <c r="LS22">
        <f>IF('計算A'!DI$106=1,HC22,1)</f>
        <v/>
      </c>
      <c r="LT22">
        <f>IF('計算A'!DJ$106=1,HD22,1)</f>
        <v/>
      </c>
      <c r="LU22">
        <f>IF('計算A'!DK$106=1,HE22,1)</f>
        <v/>
      </c>
      <c r="LV22">
        <f>IF('計算A'!DL$106=1,HF22,1)</f>
        <v/>
      </c>
      <c r="LW22">
        <f>IF('計算A'!DM$106=1,HG22,1)</f>
        <v/>
      </c>
      <c r="LX22">
        <f>IF('計算A'!DN$106=1,HH22,1)</f>
        <v/>
      </c>
      <c r="LY22">
        <f>IF('計算A'!DO$106=1,HI22,1)</f>
        <v/>
      </c>
      <c r="LZ22">
        <f>IF('計算A'!DP$106=1,HJ22,1)</f>
        <v/>
      </c>
      <c r="MA22">
        <f>IF('計算A'!DQ$106=1,HK22,1)</f>
        <v/>
      </c>
      <c r="MB22">
        <f>IF('計算A'!DR$106=1,HL22,1)</f>
        <v/>
      </c>
      <c r="MC22" t="n">
        <v>1</v>
      </c>
      <c r="ME22">
        <f>IF($B22=0,1000000,IF(INDEX('計算A'!$D$60:$DS$104,$B22,1)*CW22=1,IF(AND($E22=2,HN22=0),1000000,INDEX('計算A'!D$110:D$114,$F22+1)+IF(AND($E22=1,HN22=0),1000,0)),1000000))</f>
        <v/>
      </c>
      <c r="MF22">
        <f>IF($B22=0,1000000,IF(INDEX('計算A'!$D$60:$DS$104,$B22,2)*CX22=1,IF(AND($E22=2,HO22=0),1000000,INDEX('計算A'!E$110:E$114,$F22+1)+IF(AND($E22=1,HO22=0),1000,0)),1000000))</f>
        <v/>
      </c>
      <c r="MG22">
        <f>IF($B22=0,1000000,IF(INDEX('計算A'!$D$60:$DS$104,$B22,3)*CY22=1,IF(AND($E22=2,HP22=0),1000000,INDEX('計算A'!F$110:F$114,$F22+1)+IF(AND($E22=1,HP22=0),1000,0)),1000000))</f>
        <v/>
      </c>
      <c r="MH22">
        <f>IF($B22=0,1000000,IF(INDEX('計算A'!$D$60:$DS$104,$B22,4)*CZ22=1,IF(AND($E22=2,HQ22=0),1000000,INDEX('計算A'!G$110:G$114,$F22+1)+IF(AND($E22=1,HQ22=0),1000,0)),1000000))</f>
        <v/>
      </c>
      <c r="MI22">
        <f>IF($B22=0,1000000,IF(INDEX('計算A'!$D$60:$DS$104,$B22,5)*DA22=1,IF(AND($E22=2,HR22=0),1000000,INDEX('計算A'!H$110:H$114,$F22+1)+IF(AND($E22=1,HR22=0),1000,0)),1000000))</f>
        <v/>
      </c>
      <c r="MJ22">
        <f>IF($B22=0,1000000,IF(INDEX('計算A'!$D$60:$DS$104,$B22,6)*DB22=1,IF(AND($E22=2,HS22=0),1000000,INDEX('計算A'!I$110:I$114,$F22+1)+IF(AND($E22=1,HS22=0),1000,0)),1000000))</f>
        <v/>
      </c>
      <c r="MK22">
        <f>IF($B22=0,1000000,IF(INDEX('計算A'!$D$60:$DS$104,$B22,7)*DC22=1,IF(AND($E22=2,HT22=0),1000000,INDEX('計算A'!J$110:J$114,$F22+1)+IF(AND($E22=1,HT22=0),1000,0)),1000000))</f>
        <v/>
      </c>
      <c r="ML22">
        <f>IF($B22=0,1000000,IF(INDEX('計算A'!$D$60:$DS$104,$B22,8)*DD22=1,IF(AND($E22=2,HU22=0),1000000,INDEX('計算A'!K$110:K$114,$F22+1)+IF(AND($E22=1,HU22=0),1000,0)),1000000))</f>
        <v/>
      </c>
      <c r="MM22">
        <f>IF($B22=0,1000000,IF(INDEX('計算A'!$D$60:$DS$104,$B22,9)*DE22=1,IF(AND($E22=2,HV22=0),1000000,INDEX('計算A'!L$110:L$114,$F22+1)+IF(AND($E22=1,HV22=0),1000,0)),1000000))</f>
        <v/>
      </c>
      <c r="MN22">
        <f>IF($B22=0,1000000,IF(INDEX('計算A'!$D$60:$DS$104,$B22,10)*DF22=1,IF(AND($E22=2,HW22=0),1000000,INDEX('計算A'!M$110:M$114,$F22+1)+IF(AND($E22=1,HW22=0),1000,0)),1000000))</f>
        <v/>
      </c>
      <c r="MO22">
        <f>IF($B22=0,1000000,IF(INDEX('計算A'!$D$60:$DS$104,$B22,11)*DG22=1,IF(AND($E22=2,HX22=0),1000000,INDEX('計算A'!N$110:N$114,$F22+1)+IF(AND($E22=1,HX22=0),1000,0)),1000000))</f>
        <v/>
      </c>
      <c r="MP22">
        <f>IF($B22=0,1000000,IF(INDEX('計算A'!$D$60:$DS$104,$B22,12)*DH22=1,IF(AND($E22=2,HY22=0),1000000,INDEX('計算A'!O$110:O$114,$F22+1)+IF(AND($E22=1,HY22=0),1000,0)),1000000))</f>
        <v/>
      </c>
      <c r="MQ22">
        <f>IF($B22=0,1000000,IF(INDEX('計算A'!$D$60:$DS$104,$B22,13)*DI22=1,IF(AND($E22=2,HZ22=0),1000000,INDEX('計算A'!P$110:P$114,$F22+1)+IF(AND($E22=1,HZ22=0),1000,0)),1000000))</f>
        <v/>
      </c>
      <c r="MR22">
        <f>IF($B22=0,1000000,IF(INDEX('計算A'!$D$60:$DS$104,$B22,14)*DJ22=1,IF(AND($E22=2,IA22=0),1000000,INDEX('計算A'!Q$110:Q$114,$F22+1)+IF(AND($E22=1,IA22=0),1000,0)),1000000))</f>
        <v/>
      </c>
      <c r="MS22">
        <f>IF($B22=0,1000000,IF(INDEX('計算A'!$D$60:$DS$104,$B22,15)*DK22=1,IF(AND($E22=2,IB22=0),1000000,INDEX('計算A'!R$110:R$114,$F22+1)+IF(AND($E22=1,IB22=0),1000,0)),1000000))</f>
        <v/>
      </c>
      <c r="MT22">
        <f>IF($B22=0,1000000,IF(INDEX('計算A'!$D$60:$DS$104,$B22,16)*DL22=1,IF(AND($E22=2,IC22=0),1000000,INDEX('計算A'!S$110:S$114,$F22+1)+IF(AND($E22=1,IC22=0),1000,0)),1000000))</f>
        <v/>
      </c>
      <c r="MU22">
        <f>IF($B22=0,1000000,IF(INDEX('計算A'!$D$60:$DS$104,$B22,17)*DM22=1,IF(AND($E22=2,ID22=0),1000000,INDEX('計算A'!T$110:T$114,$F22+1)+IF(AND($E22=1,ID22=0),1000,0)),1000000))</f>
        <v/>
      </c>
      <c r="MV22">
        <f>IF($B22=0,1000000,IF(INDEX('計算A'!$D$60:$DS$104,$B22,18)*DN22=1,IF(AND($E22=2,IE22=0),1000000,INDEX('計算A'!U$110:U$114,$F22+1)+IF(AND($E22=1,IE22=0),1000,0)),1000000))</f>
        <v/>
      </c>
      <c r="MW22">
        <f>IF($B22=0,1000000,IF(INDEX('計算A'!$D$60:$DS$104,$B22,19)*DO22=1,IF(AND($E22=2,IF22=0),1000000,INDEX('計算A'!V$110:V$114,$F22+1)+IF(AND($E22=1,IF22=0),1000,0)),1000000))</f>
        <v/>
      </c>
      <c r="MX22">
        <f>IF($B22=0,1000000,IF(INDEX('計算A'!$D$60:$DS$104,$B22,20)*DP22=1,IF(AND($E22=2,IG22=0),1000000,INDEX('計算A'!W$110:W$114,$F22+1)+IF(AND($E22=1,IG22=0),1000,0)),1000000))</f>
        <v/>
      </c>
      <c r="MY22">
        <f>IF($B22=0,1000000,IF(INDEX('計算A'!$D$60:$DS$104,$B22,21)*DQ22=1,IF(AND($E22=2,IH22=0),1000000,INDEX('計算A'!X$110:X$114,$F22+1)+IF(AND($E22=1,IH22=0),1000,0)),1000000))</f>
        <v/>
      </c>
      <c r="MZ22">
        <f>IF($B22=0,1000000,IF(INDEX('計算A'!$D$60:$DS$104,$B22,22)*DR22=1,IF(AND($E22=2,II22=0),1000000,INDEX('計算A'!Y$110:Y$114,$F22+1)+IF(AND($E22=1,II22=0),1000,0)),1000000))</f>
        <v/>
      </c>
      <c r="NA22">
        <f>IF($B22=0,1000000,IF(INDEX('計算A'!$D$60:$DS$104,$B22,23)*DS22=1,IF(AND($E22=2,IJ22=0),1000000,INDEX('計算A'!Z$110:Z$114,$F22+1)+IF(AND($E22=1,IJ22=0),1000,0)),1000000))</f>
        <v/>
      </c>
      <c r="NB22">
        <f>IF($B22=0,1000000,IF(INDEX('計算A'!$D$60:$DS$104,$B22,24)*DT22=1,IF(AND($E22=2,IK22=0),1000000,INDEX('計算A'!AA$110:AA$114,$F22+1)+IF(AND($E22=1,IK22=0),1000,0)),1000000))</f>
        <v/>
      </c>
      <c r="NC22">
        <f>IF($B22=0,1000000,IF(INDEX('計算A'!$D$60:$DS$104,$B22,25)*DU22=1,IF(AND($E22=2,IL22=0),1000000,INDEX('計算A'!AB$110:AB$114,$F22+1)+IF(AND($E22=1,IL22=0),1000,0)),1000000))</f>
        <v/>
      </c>
      <c r="ND22">
        <f>IF($B22=0,1000000,IF(INDEX('計算A'!$D$60:$DS$104,$B22,26)*DV22=1,IF(AND($E22=2,IM22=0),1000000,INDEX('計算A'!AC$110:AC$114,$F22+1)+IF(AND($E22=1,IM22=0),1000,0)),1000000))</f>
        <v/>
      </c>
      <c r="NE22">
        <f>IF($B22=0,1000000,IF(INDEX('計算A'!$D$60:$DS$104,$B22,27)*DW22=1,IF(AND($E22=2,IN22=0),1000000,INDEX('計算A'!AD$110:AD$114,$F22+1)+IF(AND($E22=1,IN22=0),1000,0)),1000000))</f>
        <v/>
      </c>
      <c r="NF22">
        <f>IF($B22=0,1000000,IF(INDEX('計算A'!$D$60:$DS$104,$B22,28)*DX22=1,IF(AND($E22=2,IO22=0),1000000,INDEX('計算A'!AE$110:AE$114,$F22+1)+IF(AND($E22=1,IO22=0),1000,0)),1000000))</f>
        <v/>
      </c>
      <c r="NG22">
        <f>IF($B22=0,1000000,IF(INDEX('計算A'!$D$60:$DS$104,$B22,29)*DY22=1,IF(AND($E22=2,IP22=0),1000000,INDEX('計算A'!AF$110:AF$114,$F22+1)+IF(AND($E22=1,IP22=0),1000,0)),1000000))</f>
        <v/>
      </c>
      <c r="NH22">
        <f>IF($B22=0,1000000,IF(INDEX('計算A'!$D$60:$DS$104,$B22,30)*DZ22=1,IF(AND($E22=2,IQ22=0),1000000,INDEX('計算A'!AG$110:AG$114,$F22+1)+IF(AND($E22=1,IQ22=0),1000,0)),1000000))</f>
        <v/>
      </c>
      <c r="NI22">
        <f>IF($B22=0,1000000,IF(INDEX('計算A'!$D$60:$DS$104,$B22,31)*EA22=1,IF(AND($E22=2,IR22=0),1000000,INDEX('計算A'!AH$110:AH$114,$F22+1)+IF(AND($E22=1,IR22=0),1000,0)),1000000))</f>
        <v/>
      </c>
      <c r="NJ22">
        <f>IF($B22=0,1000000,IF(INDEX('計算A'!$D$60:$DS$104,$B22,32)*EB22=1,IF(AND($E22=2,IS22=0),1000000,INDEX('計算A'!AI$110:AI$114,$F22+1)+IF(AND($E22=1,IS22=0),1000,0)),1000000))</f>
        <v/>
      </c>
      <c r="NK22">
        <f>IF($B22=0,1000000,IF(INDEX('計算A'!$D$60:$DS$104,$B22,33)*EC22=1,IF(AND($E22=2,IT22=0),1000000,INDEX('計算A'!AJ$110:AJ$114,$F22+1)+IF(AND($E22=1,IT22=0),1000,0)),1000000))</f>
        <v/>
      </c>
      <c r="NL22">
        <f>IF($B22=0,1000000,IF(INDEX('計算A'!$D$60:$DS$104,$B22,34)*ED22=1,IF(AND($E22=2,IU22=0),1000000,INDEX('計算A'!AK$110:AK$114,$F22+1)+IF(AND($E22=1,IU22=0),1000,0)),1000000))</f>
        <v/>
      </c>
      <c r="NM22">
        <f>IF($B22=0,1000000,IF(INDEX('計算A'!$D$60:$DS$104,$B22,35)*EE22=1,IF(AND($E22=2,IV22=0),1000000,INDEX('計算A'!AL$110:AL$114,$F22+1)+IF(AND($E22=1,IV22=0),1000,0)),1000000))</f>
        <v/>
      </c>
      <c r="NN22">
        <f>IF($B22=0,1000000,IF(INDEX('計算A'!$D$60:$DS$104,$B22,36)*EF22=1,IF(AND($E22=2,IW22=0),1000000,INDEX('計算A'!AM$110:AM$114,$F22+1)+IF(AND($E22=1,IW22=0),1000,0)),1000000))</f>
        <v/>
      </c>
      <c r="NO22">
        <f>IF($B22=0,1000000,IF(INDEX('計算A'!$D$60:$DS$104,$B22,37)*EG22=1,IF(AND($E22=2,IX22=0),1000000,INDEX('計算A'!AN$110:AN$114,$F22+1)+IF(AND($E22=1,IX22=0),1000,0)),1000000))</f>
        <v/>
      </c>
      <c r="NP22">
        <f>IF($B22=0,1000000,IF(INDEX('計算A'!$D$60:$DS$104,$B22,38)*EH22=1,IF(AND($E22=2,IY22=0),1000000,INDEX('計算A'!AO$110:AO$114,$F22+1)+IF(AND($E22=1,IY22=0),1000,0)),1000000))</f>
        <v/>
      </c>
      <c r="NQ22">
        <f>IF($B22=0,1000000,IF(INDEX('計算A'!$D$60:$DS$104,$B22,39)*EI22=1,IF(AND($E22=2,IZ22=0),1000000,INDEX('計算A'!AP$110:AP$114,$F22+1)+IF(AND($E22=1,IZ22=0),1000,0)),1000000))</f>
        <v/>
      </c>
      <c r="NR22">
        <f>IF($B22=0,1000000,IF(INDEX('計算A'!$D$60:$DS$104,$B22,40)*EJ22=1,IF(AND($E22=2,JA22=0),1000000,INDEX('計算A'!AQ$110:AQ$114,$F22+1)+IF(AND($E22=1,JA22=0),1000,0)),1000000))</f>
        <v/>
      </c>
      <c r="NS22">
        <f>IF($B22=0,1000000,IF(INDEX('計算A'!$D$60:$DS$104,$B22,41)*EK22=1,IF(AND($E22=2,JB22=0),1000000,INDEX('計算A'!AR$110:AR$114,$F22+1)+IF(AND($E22=1,JB22=0),1000,0)),1000000))</f>
        <v/>
      </c>
      <c r="NT22">
        <f>IF($B22=0,1000000,IF(INDEX('計算A'!$D$60:$DS$104,$B22,42)*EL22=1,IF(AND($E22=2,JC22=0),1000000,INDEX('計算A'!AS$110:AS$114,$F22+1)+IF(AND($E22=1,JC22=0),1000,0)),1000000))</f>
        <v/>
      </c>
      <c r="NU22">
        <f>IF($B22=0,1000000,IF(INDEX('計算A'!$D$60:$DS$104,$B22,43)*EM22=1,IF(AND($E22=2,JD22=0),1000000,INDEX('計算A'!AT$110:AT$114,$F22+1)+IF(AND($E22=1,JD22=0),1000,0)),1000000))</f>
        <v/>
      </c>
      <c r="NV22">
        <f>IF($B22=0,1000000,IF(INDEX('計算A'!$D$60:$DS$104,$B22,44)*EN22=1,IF(AND($E22=2,JE22=0),1000000,INDEX('計算A'!AU$110:AU$114,$F22+1)+IF(AND($E22=1,JE22=0),1000,0)),1000000))</f>
        <v/>
      </c>
      <c r="NW22">
        <f>IF($B22=0,1000000,IF(INDEX('計算A'!$D$60:$DS$104,$B22,45)*EO22=1,IF(AND($E22=2,JF22=0),1000000,INDEX('計算A'!AV$110:AV$114,$F22+1)+IF(AND($E22=1,JF22=0),1000,0)),1000000))</f>
        <v/>
      </c>
      <c r="NX22">
        <f>IF($B22=0,1000000,IF(INDEX('計算A'!$D$60:$DS$104,$B22,46)*EP22=1,IF(AND($E22=2,JG22=0),1000000,INDEX('計算A'!AW$110:AW$114,$F22+1)+IF(AND($E22=1,JG22=0),1000,0)),1000000))</f>
        <v/>
      </c>
      <c r="NY22">
        <f>IF($B22=0,1000000,IF(INDEX('計算A'!$D$60:$DS$104,$B22,47)*EQ22=1,IF(AND($E22=2,JH22=0),1000000,INDEX('計算A'!AX$110:AX$114,$F22+1)+IF(AND($E22=1,JH22=0),1000,0)),1000000))</f>
        <v/>
      </c>
      <c r="NZ22">
        <f>IF($B22=0,1000000,IF(INDEX('計算A'!$D$60:$DS$104,$B22,48)*ER22=1,IF(AND($E22=2,JI22=0),1000000,INDEX('計算A'!AY$110:AY$114,$F22+1)+IF(AND($E22=1,JI22=0),1000,0)),1000000))</f>
        <v/>
      </c>
      <c r="OA22">
        <f>IF($B22=0,1000000,IF(INDEX('計算A'!$D$60:$DS$104,$B22,49)*ES22=1,IF(AND($E22=2,JJ22=0),1000000,INDEX('計算A'!AZ$110:AZ$114,$F22+1)+IF(AND($E22=1,JJ22=0),1000,0)),1000000))</f>
        <v/>
      </c>
      <c r="OB22">
        <f>IF($B22=0,1000000,IF(INDEX('計算A'!$D$60:$DS$104,$B22,50)*ET22=1,IF(AND($E22=2,JK22=0),1000000,INDEX('計算A'!BA$110:BA$114,$F22+1)+IF(AND($E22=1,JK22=0),1000,0)),1000000))</f>
        <v/>
      </c>
      <c r="OC22">
        <f>IF($B22=0,1000000,IF(INDEX('計算A'!$D$60:$DS$104,$B22,51)*EU22=1,IF(AND($E22=2,JL22=0),1000000,INDEX('計算A'!BB$110:BB$114,$F22+1)+IF(AND($E22=1,JL22=0),1000,0)),1000000))</f>
        <v/>
      </c>
      <c r="OD22">
        <f>IF($B22=0,1000000,IF(INDEX('計算A'!$D$60:$DS$104,$B22,52)*EV22=1,IF(AND($E22=2,JM22=0),1000000,INDEX('計算A'!BC$110:BC$114,$F22+1)+IF(AND($E22=1,JM22=0),1000,0)),1000000))</f>
        <v/>
      </c>
      <c r="OE22">
        <f>IF($B22=0,1000000,IF(INDEX('計算A'!$D$60:$DS$104,$B22,53)*EW22=1,IF(AND($E22=2,JN22=0),1000000,INDEX('計算A'!BD$110:BD$114,$F22+1)+IF(AND($E22=1,JN22=0),1000,0)),1000000))</f>
        <v/>
      </c>
      <c r="OF22">
        <f>IF($B22=0,1000000,IF(INDEX('計算A'!$D$60:$DS$104,$B22,54)*EX22=1,IF(AND($E22=2,JO22=0),1000000,INDEX('計算A'!BE$110:BE$114,$F22+1)+IF(AND($E22=1,JO22=0),1000,0)),1000000))</f>
        <v/>
      </c>
      <c r="OG22">
        <f>IF($B22=0,1000000,IF(INDEX('計算A'!$D$60:$DS$104,$B22,55)*EY22=1,IF(AND($E22=2,JP22=0),1000000,INDEX('計算A'!BF$110:BF$114,$F22+1)+IF(AND($E22=1,JP22=0),1000,0)),1000000))</f>
        <v/>
      </c>
      <c r="OH22">
        <f>IF($B22=0,1000000,IF(INDEX('計算A'!$D$60:$DS$104,$B22,56)*EZ22=1,IF(AND($E22=2,JQ22=0),1000000,INDEX('計算A'!BG$110:BG$114,$F22+1)+IF(AND($E22=1,JQ22=0),1000,0)),1000000))</f>
        <v/>
      </c>
      <c r="OI22">
        <f>IF($B22=0,1000000,IF(INDEX('計算A'!$D$60:$DS$104,$B22,57)*FA22=1,IF(AND($E22=2,JR22=0),1000000,INDEX('計算A'!BH$110:BH$114,$F22+1)+IF(AND($E22=1,JR22=0),1000,0)),1000000))</f>
        <v/>
      </c>
      <c r="OJ22">
        <f>IF($B22=0,1000000,IF(INDEX('計算A'!$D$60:$DS$104,$B22,58)*FB22=1,IF(AND($E22=2,JS22=0),1000000,INDEX('計算A'!BI$110:BI$114,$F22+1)+IF(AND($E22=1,JS22=0),1000,0)),1000000))</f>
        <v/>
      </c>
      <c r="OK22">
        <f>IF($B22=0,1000000,IF(INDEX('計算A'!$D$60:$DS$104,$B22,59)*FC22=1,IF(AND($E22=2,JT22=0),1000000,INDEX('計算A'!BJ$110:BJ$114,$F22+1)+IF(AND($E22=1,JT22=0),1000,0)),1000000))</f>
        <v/>
      </c>
      <c r="OL22">
        <f>IF($B22=0,1000000,IF(INDEX('計算A'!$D$60:$DS$104,$B22,60)*FD22=1,IF(AND($E22=2,JU22=0),1000000,INDEX('計算A'!BK$110:BK$114,$F22+1)+IF(AND($E22=1,JU22=0),1000,0)),1000000))</f>
        <v/>
      </c>
      <c r="OM22">
        <f>IF($B22=0,1000000,IF(INDEX('計算A'!$D$60:$DS$104,$B22,61)*FE22=1,IF(AND($E22=2,JV22=0),1000000,INDEX('計算A'!BL$110:BL$114,$F22+1)+IF(AND($E22=1,JV22=0),1000,0)),1000000))</f>
        <v/>
      </c>
      <c r="ON22">
        <f>IF($B22=0,1000000,IF(INDEX('計算A'!$D$60:$DS$104,$B22,62)*FF22=1,IF(AND($E22=2,JW22=0),1000000,INDEX('計算A'!BM$110:BM$114,$F22+1)+IF(AND($E22=1,JW22=0),1000,0)),1000000))</f>
        <v/>
      </c>
      <c r="OO22">
        <f>IF($B22=0,1000000,IF(INDEX('計算A'!$D$60:$DS$104,$B22,63)*FG22=1,IF(AND($E22=2,JX22=0),1000000,INDEX('計算A'!BN$110:BN$114,$F22+1)+IF(AND($E22=1,JX22=0),1000,0)),1000000))</f>
        <v/>
      </c>
      <c r="OP22">
        <f>IF($B22=0,1000000,IF(INDEX('計算A'!$D$60:$DS$104,$B22,64)*FH22=1,IF(AND($E22=2,JY22=0),1000000,INDEX('計算A'!BO$110:BO$114,$F22+1)+IF(AND($E22=1,JY22=0),1000,0)),1000000))</f>
        <v/>
      </c>
      <c r="OQ22">
        <f>IF($B22=0,1000000,IF(INDEX('計算A'!$D$60:$DS$104,$B22,65)*FI22=1,IF(AND($E22=2,JZ22=0),1000000,INDEX('計算A'!BP$110:BP$114,$F22+1)+IF(AND($E22=1,JZ22=0),1000,0)),1000000))</f>
        <v/>
      </c>
      <c r="OR22">
        <f>IF($B22=0,1000000,IF(INDEX('計算A'!$D$60:$DS$104,$B22,66)*FJ22=1,IF(AND($E22=2,KA22=0),1000000,INDEX('計算A'!BQ$110:BQ$114,$F22+1)+IF(AND($E22=1,KA22=0),1000,0)),1000000))</f>
        <v/>
      </c>
      <c r="OS22">
        <f>IF($B22=0,1000000,IF(INDEX('計算A'!$D$60:$DS$104,$B22,67)*FK22=1,IF(AND($E22=2,KB22=0),1000000,INDEX('計算A'!BR$110:BR$114,$F22+1)+IF(AND($E22=1,KB22=0),1000,0)),1000000))</f>
        <v/>
      </c>
      <c r="OT22">
        <f>IF($B22=0,1000000,IF(INDEX('計算A'!$D$60:$DS$104,$B22,68)*FL22=1,IF(AND($E22=2,KC22=0),1000000,INDEX('計算A'!BS$110:BS$114,$F22+1)+IF(AND($E22=1,KC22=0),1000,0)),1000000))</f>
        <v/>
      </c>
      <c r="OU22">
        <f>IF($B22=0,1000000,IF(INDEX('計算A'!$D$60:$DS$104,$B22,69)*FM22=1,IF(AND($E22=2,KD22=0),1000000,INDEX('計算A'!BT$110:BT$114,$F22+1)+IF(AND($E22=1,KD22=0),1000,0)),1000000))</f>
        <v/>
      </c>
      <c r="OV22">
        <f>IF($B22=0,1000000,IF(INDEX('計算A'!$D$60:$DS$104,$B22,70)*FN22=1,IF(AND($E22=2,KE22=0),1000000,INDEX('計算A'!BU$110:BU$114,$F22+1)+IF(AND($E22=1,KE22=0),1000,0)),1000000))</f>
        <v/>
      </c>
      <c r="OW22">
        <f>IF($B22=0,1000000,IF(INDEX('計算A'!$D$60:$DS$104,$B22,71)*FO22=1,IF(AND($E22=2,KF22=0),1000000,INDEX('計算A'!BV$110:BV$114,$F22+1)+IF(AND($E22=1,KF22=0),1000,0)),1000000))</f>
        <v/>
      </c>
      <c r="OX22">
        <f>IF($B22=0,1000000,IF(INDEX('計算A'!$D$60:$DS$104,$B22,72)*FP22=1,IF(AND($E22=2,KG22=0),1000000,INDEX('計算A'!BW$110:BW$114,$F22+1)+IF(AND($E22=1,KG22=0),1000,0)),1000000))</f>
        <v/>
      </c>
      <c r="OY22">
        <f>IF($B22=0,1000000,IF(INDEX('計算A'!$D$60:$DS$104,$B22,73)*FQ22=1,IF(AND($E22=2,KH22=0),1000000,INDEX('計算A'!BX$110:BX$114,$F22+1)+IF(AND($E22=1,KH22=0),1000,0)),1000000))</f>
        <v/>
      </c>
      <c r="OZ22">
        <f>IF($B22=0,1000000,IF(INDEX('計算A'!$D$60:$DS$104,$B22,74)*FR22=1,IF(AND($E22=2,KI22=0),1000000,INDEX('計算A'!BY$110:BY$114,$F22+1)+IF(AND($E22=1,KI22=0),1000,0)),1000000))</f>
        <v/>
      </c>
      <c r="PA22">
        <f>IF($B22=0,1000000,IF(INDEX('計算A'!$D$60:$DS$104,$B22,75)*FS22=1,IF(AND($E22=2,KJ22=0),1000000,INDEX('計算A'!BZ$110:BZ$114,$F22+1)+IF(AND($E22=1,KJ22=0),1000,0)),1000000))</f>
        <v/>
      </c>
      <c r="PB22">
        <f>IF($B22=0,1000000,IF(INDEX('計算A'!$D$60:$DS$104,$B22,76)*FT22=1,IF(AND($E22=2,KK22=0),1000000,INDEX('計算A'!CA$110:CA$114,$F22+1)+IF(AND($E22=1,KK22=0),1000,0)),1000000))</f>
        <v/>
      </c>
      <c r="PC22">
        <f>IF($B22=0,1000000,IF(INDEX('計算A'!$D$60:$DS$104,$B22,77)*FU22=1,IF(AND($E22=2,KL22=0),1000000,INDEX('計算A'!CB$110:CB$114,$F22+1)+IF(AND($E22=1,KL22=0),1000,0)),1000000))</f>
        <v/>
      </c>
      <c r="PD22">
        <f>IF($B22=0,1000000,IF(INDEX('計算A'!$D$60:$DS$104,$B22,78)*FV22=1,IF(AND($E22=2,KM22=0),1000000,INDEX('計算A'!CC$110:CC$114,$F22+1)+IF(AND($E22=1,KM22=0),1000,0)),1000000))</f>
        <v/>
      </c>
      <c r="PE22">
        <f>IF($B22=0,1000000,IF(INDEX('計算A'!$D$60:$DS$104,$B22,79)*FW22=1,IF(AND($E22=2,KN22=0),1000000,INDEX('計算A'!CD$110:CD$114,$F22+1)+IF(AND($E22=1,KN22=0),1000,0)),1000000))</f>
        <v/>
      </c>
      <c r="PF22">
        <f>IF($B22=0,1000000,IF(INDEX('計算A'!$D$60:$DS$104,$B22,80)*FX22=1,IF(AND($E22=2,KO22=0),1000000,INDEX('計算A'!CE$110:CE$114,$F22+1)+IF(AND($E22=1,KO22=0),1000,0)),1000000))</f>
        <v/>
      </c>
      <c r="PG22">
        <f>IF($B22=0,1000000,IF(INDEX('計算A'!$D$60:$DS$104,$B22,81)*FY22=1,IF(AND($E22=2,KP22=0),1000000,INDEX('計算A'!CF$110:CF$114,$F22+1)+IF(AND($E22=1,KP22=0),1000,0)),1000000))</f>
        <v/>
      </c>
      <c r="PH22">
        <f>IF($B22=0,1000000,IF(INDEX('計算A'!$D$60:$DS$104,$B22,82)*FZ22=1,IF(AND($E22=2,KQ22=0),1000000,INDEX('計算A'!CG$110:CG$114,$F22+1)+IF(AND($E22=1,KQ22=0),1000,0)),1000000))</f>
        <v/>
      </c>
      <c r="PI22">
        <f>IF($B22=0,1000000,IF(INDEX('計算A'!$D$60:$DS$104,$B22,83)*GA22=1,IF(AND($E22=2,KR22=0),1000000,INDEX('計算A'!CH$110:CH$114,$F22+1)+IF(AND($E22=1,KR22=0),1000,0)),1000000))</f>
        <v/>
      </c>
      <c r="PJ22">
        <f>IF($B22=0,1000000,IF(INDEX('計算A'!$D$60:$DS$104,$B22,84)*GB22=1,IF(AND($E22=2,KS22=0),1000000,INDEX('計算A'!CI$110:CI$114,$F22+1)+IF(AND($E22=1,KS22=0),1000,0)),1000000))</f>
        <v/>
      </c>
      <c r="PK22">
        <f>IF($B22=0,1000000,IF(INDEX('計算A'!$D$60:$DS$104,$B22,85)*GC22=1,IF(AND($E22=2,KT22=0),1000000,INDEX('計算A'!CJ$110:CJ$114,$F22+1)+IF(AND($E22=1,KT22=0),1000,0)),1000000))</f>
        <v/>
      </c>
      <c r="PL22">
        <f>IF($B22=0,1000000,IF(INDEX('計算A'!$D$60:$DS$104,$B22,86)*GD22=1,IF(AND($E22=2,KU22=0),1000000,INDEX('計算A'!CK$110:CK$114,$F22+1)+IF(AND($E22=1,KU22=0),1000,0)),1000000))</f>
        <v/>
      </c>
      <c r="PM22">
        <f>IF($B22=0,1000000,IF(INDEX('計算A'!$D$60:$DS$104,$B22,87)*GE22=1,IF(AND($E22=2,KV22=0),1000000,INDEX('計算A'!CL$110:CL$114,$F22+1)+IF(AND($E22=1,KV22=0),1000,0)),1000000))</f>
        <v/>
      </c>
      <c r="PN22">
        <f>IF($B22=0,1000000,IF(INDEX('計算A'!$D$60:$DS$104,$B22,88)*GF22=1,IF(AND($E22=2,KW22=0),1000000,INDEX('計算A'!CM$110:CM$114,$F22+1)+IF(AND($E22=1,KW22=0),1000,0)),1000000))</f>
        <v/>
      </c>
      <c r="PO22">
        <f>IF($B22=0,1000000,IF(INDEX('計算A'!$D$60:$DS$104,$B22,89)*GG22=1,IF(AND($E22=2,KX22=0),1000000,INDEX('計算A'!CN$110:CN$114,$F22+1)+IF(AND($E22=1,KX22=0),1000,0)),1000000))</f>
        <v/>
      </c>
      <c r="PP22">
        <f>IF($B22=0,1000000,IF(INDEX('計算A'!$D$60:$DS$104,$B22,90)*GH22=1,IF(AND($E22=2,KY22=0),1000000,INDEX('計算A'!CO$110:CO$114,$F22+1)+IF(AND($E22=1,KY22=0),1000,0)),1000000))</f>
        <v/>
      </c>
      <c r="PQ22">
        <f>IF($B22=0,1000000,IF(INDEX('計算A'!$D$60:$DS$104,$B22,91)*GI22=1,IF(AND($E22=2,KZ22=0),1000000,INDEX('計算A'!CP$110:CP$114,$F22+1)+IF(AND($E22=1,KZ22=0),1000,0)),1000000))</f>
        <v/>
      </c>
      <c r="PR22">
        <f>IF($B22=0,1000000,IF(INDEX('計算A'!$D$60:$DS$104,$B22,92)*GJ22=1,IF(AND($E22=2,LA22=0),1000000,INDEX('計算A'!CQ$110:CQ$114,$F22+1)+IF(AND($E22=1,LA22=0),1000,0)),1000000))</f>
        <v/>
      </c>
      <c r="PS22">
        <f>IF($B22=0,1000000,IF(INDEX('計算A'!$D$60:$DS$104,$B22,93)*GK22=1,IF(AND($E22=2,LB22=0),1000000,INDEX('計算A'!CR$110:CR$114,$F22+1)+IF(AND($E22=1,LB22=0),1000,0)),1000000))</f>
        <v/>
      </c>
      <c r="PT22">
        <f>IF($B22=0,1000000,IF(INDEX('計算A'!$D$60:$DS$104,$B22,94)*GL22=1,IF(AND($E22=2,LC22=0),1000000,INDEX('計算A'!CS$110:CS$114,$F22+1)+IF(AND($E22=1,LC22=0),1000,0)),1000000))</f>
        <v/>
      </c>
      <c r="PU22">
        <f>IF($B22=0,1000000,IF(INDEX('計算A'!$D$60:$DS$104,$B22,95)*GM22=1,IF(AND($E22=2,LD22=0),1000000,INDEX('計算A'!CT$110:CT$114,$F22+1)+IF(AND($E22=1,LD22=0),1000,0)),1000000))</f>
        <v/>
      </c>
      <c r="PV22">
        <f>IF($B22=0,1000000,IF(INDEX('計算A'!$D$60:$DS$104,$B22,96)*GN22=1,IF(AND($E22=2,LE22=0),1000000,INDEX('計算A'!CU$110:CU$114,$F22+1)+IF(AND($E22=1,LE22=0),1000,0)),1000000))</f>
        <v/>
      </c>
      <c r="PW22">
        <f>IF($B22=0,1000000,IF(INDEX('計算A'!$D$60:$DS$104,$B22,97)*GO22=1,IF(AND($E22=2,LF22=0),1000000,INDEX('計算A'!CV$110:CV$114,$F22+1)+IF(AND($E22=1,LF22=0),1000,0)),1000000))</f>
        <v/>
      </c>
      <c r="PX22">
        <f>IF($B22=0,1000000,IF(INDEX('計算A'!$D$60:$DS$104,$B22,98)*GP22=1,IF(AND($E22=2,LG22=0),1000000,INDEX('計算A'!CW$110:CW$114,$F22+1)+IF(AND($E22=1,LG22=0),1000,0)),1000000))</f>
        <v/>
      </c>
      <c r="PY22">
        <f>IF($B22=0,1000000,IF(INDEX('計算A'!$D$60:$DS$104,$B22,99)*GQ22=1,IF(AND($E22=2,LH22=0),1000000,INDEX('計算A'!CX$110:CX$114,$F22+1)+IF(AND($E22=1,LH22=0),1000,0)),1000000))</f>
        <v/>
      </c>
      <c r="PZ22">
        <f>IF($B22=0,1000000,IF(INDEX('計算A'!$D$60:$DS$104,$B22,100)*GR22=1,IF(AND($E22=2,LI22=0),1000000,INDEX('計算A'!CY$110:CY$114,$F22+1)+IF(AND($E22=1,LI22=0),1000,0)),1000000))</f>
        <v/>
      </c>
      <c r="QA22">
        <f>IF($B22=0,1000000,IF(INDEX('計算A'!$D$60:$DS$104,$B22,101)*GS22=1,IF(AND($E22=2,LJ22=0),1000000,INDEX('計算A'!CZ$110:CZ$114,$F22+1)+IF(AND($E22=1,LJ22=0),1000,0)),1000000))</f>
        <v/>
      </c>
      <c r="QB22">
        <f>IF($B22=0,1000000,IF(INDEX('計算A'!$D$60:$DS$104,$B22,102)*GT22=1,IF(AND($E22=2,LK22=0),1000000,INDEX('計算A'!DA$110:DA$114,$F22+1)+IF(AND($E22=1,LK22=0),1000,0)),1000000))</f>
        <v/>
      </c>
      <c r="QC22">
        <f>IF($B22=0,1000000,IF(INDEX('計算A'!$D$60:$DS$104,$B22,103)*GU22=1,IF(AND($E22=2,LL22=0),1000000,INDEX('計算A'!DB$110:DB$114,$F22+1)+IF(AND($E22=1,LL22=0),1000,0)),1000000))</f>
        <v/>
      </c>
      <c r="QD22">
        <f>IF($B22=0,1000000,IF(INDEX('計算A'!$D$60:$DS$104,$B22,104)*GV22=1,IF(AND($E22=2,LM22=0),1000000,INDEX('計算A'!DC$110:DC$114,$F22+1)+IF(AND($E22=1,LM22=0),1000,0)),1000000))</f>
        <v/>
      </c>
      <c r="QE22">
        <f>IF($B22=0,1000000,IF(INDEX('計算A'!$D$60:$DS$104,$B22,105)*GW22=1,IF(AND($E22=2,LN22=0),1000000,INDEX('計算A'!DD$110:DD$114,$F22+1)+IF(AND($E22=1,LN22=0),1000,0)),1000000))</f>
        <v/>
      </c>
      <c r="QF22">
        <f>IF($B22=0,1000000,IF(INDEX('計算A'!$D$60:$DS$104,$B22,106)*GX22=1,IF(AND($E22=2,LO22=0),1000000,INDEX('計算A'!DE$110:DE$114,$F22+1)+IF(AND($E22=1,LO22=0),1000,0)),1000000))</f>
        <v/>
      </c>
      <c r="QG22">
        <f>IF($B22=0,1000000,IF(INDEX('計算A'!$D$60:$DS$104,$B22,107)*GY22=1,IF(AND($E22=2,LP22=0),1000000,INDEX('計算A'!DF$110:DF$114,$F22+1)+IF(AND($E22=1,LP22=0),1000,0)),1000000))</f>
        <v/>
      </c>
      <c r="QH22">
        <f>IF($B22=0,1000000,IF(INDEX('計算A'!$D$60:$DS$104,$B22,108)*GZ22=1,IF(AND($E22=2,LQ22=0),1000000,INDEX('計算A'!DG$110:DG$114,$F22+1)+IF(AND($E22=1,LQ22=0),1000,0)),1000000))</f>
        <v/>
      </c>
      <c r="QI22">
        <f>IF($B22=0,1000000,IF(INDEX('計算A'!$D$60:$DS$104,$B22,109)*HA22=1,IF(AND($E22=2,LR22=0),1000000,INDEX('計算A'!DH$110:DH$114,$F22+1)+IF(AND($E22=1,LR22=0),1000,0)),1000000))</f>
        <v/>
      </c>
      <c r="QJ22">
        <f>IF($B22=0,1000000,IF(INDEX('計算A'!$D$60:$DS$104,$B22,110)*HB22=1,IF(AND($E22=2,LS22=0),1000000,INDEX('計算A'!DI$110:DI$114,$F22+1)+IF(AND($E22=1,LS22=0),1000,0)),1000000))</f>
        <v/>
      </c>
      <c r="QK22">
        <f>IF($B22=0,1000000,IF(INDEX('計算A'!$D$60:$DS$104,$B22,111)*HC22=1,IF(AND($E22=2,LT22=0),1000000,INDEX('計算A'!DJ$110:DJ$114,$F22+1)+IF(AND($E22=1,LT22=0),1000,0)),1000000))</f>
        <v/>
      </c>
      <c r="QL22">
        <f>IF($B22=0,1000000,IF(INDEX('計算A'!$D$60:$DS$104,$B22,112)*HD22=1,IF(AND($E22=2,LU22=0),1000000,INDEX('計算A'!DK$110:DK$114,$F22+1)+IF(AND($E22=1,LU22=0),1000,0)),1000000))</f>
        <v/>
      </c>
      <c r="QM22">
        <f>IF($B22=0,1000000,IF(INDEX('計算A'!$D$60:$DS$104,$B22,113)*HE22=1,IF(AND($E22=2,LV22=0),1000000,INDEX('計算A'!DL$110:DL$114,$F22+1)+IF(AND($E22=1,LV22=0),1000,0)),1000000))</f>
        <v/>
      </c>
      <c r="QN22">
        <f>IF($B22=0,1000000,IF(INDEX('計算A'!$D$60:$DS$104,$B22,114)*HF22=1,IF(AND($E22=2,LW22=0),1000000,INDEX('計算A'!DM$110:DM$114,$F22+1)+IF(AND($E22=1,LW22=0),1000,0)),1000000))</f>
        <v/>
      </c>
      <c r="QO22">
        <f>IF($B22=0,1000000,IF(INDEX('計算A'!$D$60:$DS$104,$B22,115)*HG22=1,IF(AND($E22=2,LX22=0),1000000,INDEX('計算A'!DN$110:DN$114,$F22+1)+IF(AND($E22=1,LX22=0),1000,0)),1000000))</f>
        <v/>
      </c>
      <c r="QP22">
        <f>IF($B22=0,1000000,IF(INDEX('計算A'!$D$60:$DS$104,$B22,116)*HH22=1,IF(AND($E22=2,LY22=0),1000000,INDEX('計算A'!DO$110:DO$114,$F22+1)+IF(AND($E22=1,LY22=0),1000,0)),1000000))</f>
        <v/>
      </c>
      <c r="QQ22">
        <f>IF($B22=0,1000000,IF(INDEX('計算A'!$D$60:$DS$104,$B22,117)*HI22=1,IF(AND($E22=2,LZ22=0),1000000,INDEX('計算A'!DP$110:DP$114,$F22+1)+IF(AND($E22=1,LZ22=0),1000,0)),1000000))</f>
        <v/>
      </c>
      <c r="QR22">
        <f>IF($B22=0,1000000,IF(INDEX('計算A'!$D$60:$DS$104,$B22,118)*HJ22=1,IF(AND($E22=2,MA22=0),1000000,INDEX('計算A'!DQ$110:DQ$114,$F22+1)+IF(AND($E22=1,MA22=0),1000,0)),1000000))</f>
        <v/>
      </c>
      <c r="QS22">
        <f>IF($B22=0,1000000,IF(INDEX('計算A'!$D$60:$DS$104,$B22,119)*HK22=1,IF(AND($E22=2,MB22=0),1000000,INDEX('計算A'!DR$110:DR$114,$F22+1)+IF(AND($E22=1,MB22=0),1000,0)),1000000))</f>
        <v/>
      </c>
      <c r="QT22">
        <f>IF($B22=0,1000000,IF(INDEX('計算A'!$D$60:$DS$104,$B22,120)*HL22=1,IF(AND($E22=2,MC22=0),1000000,INDEX('計算A'!DS$110:DS$114,$F22+1)+IF(AND($E22=1,MC22=0),1000,0)),1000000))</f>
        <v/>
      </c>
    </row>
    <row r="23">
      <c r="A23" t="n">
        <v>21</v>
      </c>
      <c r="B23">
        <f>IF(MIN(BC23:CU23)&gt;=1000000,0,MATCH(MIN(BC23:CU23),BC23:CU23,0))</f>
        <v/>
      </c>
      <c r="C23">
        <f>IF(MIN(ME23:QT23)&gt;=1000000,0,MATCH(MIN(ME23:QT23),ME23:QT23,0))</f>
        <v/>
      </c>
      <c r="D23">
        <f>IF(C23&gt;0,INDEX('計算A'!$D$5:$DS$5,C23),0)</f>
        <v/>
      </c>
      <c r="E23">
        <f>IF(B23=0,0,INDEX('計算A'!$EA$10:$EA$54,B23))</f>
        <v/>
      </c>
      <c r="F23">
        <f>IF(B23=0,0,INDEX('計算A'!$DZ$10:$DZ$54,B23))</f>
        <v/>
      </c>
      <c r="G23">
        <f>IF(AND(C23&gt;0,E23&gt;0),IF(AND(INDEX('計算A'!$D$106:$DS$106,C23)=1,INDEX($HN23:$MC23,C23)=1),C23+1,0),0)</f>
        <v/>
      </c>
      <c r="I23">
        <f>MAX(I22,IF($B22=1,1,0))</f>
        <v/>
      </c>
      <c r="J23">
        <f>MAX(J22,IF($B22=2,1,0))</f>
        <v/>
      </c>
      <c r="K23">
        <f>MAX(K22,IF($B22=3,1,0))</f>
        <v/>
      </c>
      <c r="L23">
        <f>MAX(L22,IF($B22=4,1,0))</f>
        <v/>
      </c>
      <c r="M23">
        <f>MAX(M22,IF($B22=5,1,0))</f>
        <v/>
      </c>
      <c r="N23">
        <f>MAX(N22,IF($B22=6,1,0))</f>
        <v/>
      </c>
      <c r="O23">
        <f>MAX(O22,IF($B22=7,1,0))</f>
        <v/>
      </c>
      <c r="P23">
        <f>MAX(P22,IF($B22=8,1,0))</f>
        <v/>
      </c>
      <c r="Q23">
        <f>MAX(Q22,IF($B22=9,1,0))</f>
        <v/>
      </c>
      <c r="R23">
        <f>MAX(R22,IF($B22=10,1,0))</f>
        <v/>
      </c>
      <c r="S23">
        <f>MAX(S22,IF($B22=11,1,0))</f>
        <v/>
      </c>
      <c r="T23">
        <f>MAX(T22,IF($B22=12,1,0))</f>
        <v/>
      </c>
      <c r="U23">
        <f>MAX(U22,IF($B22=13,1,0))</f>
        <v/>
      </c>
      <c r="V23">
        <f>MAX(V22,IF($B22=14,1,0))</f>
        <v/>
      </c>
      <c r="W23">
        <f>MAX(W22,IF($B22=15,1,0))</f>
        <v/>
      </c>
      <c r="X23">
        <f>MAX(X22,IF($B22=16,1,0))</f>
        <v/>
      </c>
      <c r="Y23">
        <f>MAX(Y22,IF($B22=17,1,0))</f>
        <v/>
      </c>
      <c r="Z23">
        <f>MAX(Z22,IF($B22=18,1,0))</f>
        <v/>
      </c>
      <c r="AA23">
        <f>MAX(AA22,IF($B22=19,1,0))</f>
        <v/>
      </c>
      <c r="AB23">
        <f>MAX(AB22,IF($B22=20,1,0))</f>
        <v/>
      </c>
      <c r="AC23">
        <f>MAX(AC22,IF($B22=21,1,0))</f>
        <v/>
      </c>
      <c r="AD23">
        <f>MAX(AD22,IF($B22=22,1,0))</f>
        <v/>
      </c>
      <c r="AE23">
        <f>MAX(AE22,IF($B22=23,1,0))</f>
        <v/>
      </c>
      <c r="AF23">
        <f>MAX(AF22,IF($B22=24,1,0))</f>
        <v/>
      </c>
      <c r="AG23">
        <f>MAX(AG22,IF($B22=25,1,0))</f>
        <v/>
      </c>
      <c r="AH23">
        <f>MAX(AH22,IF($B22=26,1,0))</f>
        <v/>
      </c>
      <c r="AI23">
        <f>MAX(AI22,IF($B22=27,1,0))</f>
        <v/>
      </c>
      <c r="AJ23">
        <f>MAX(AJ22,IF($B22=28,1,0))</f>
        <v/>
      </c>
      <c r="AK23">
        <f>MAX(AK22,IF($B22=29,1,0))</f>
        <v/>
      </c>
      <c r="AL23">
        <f>MAX(AL22,IF($B22=30,1,0))</f>
        <v/>
      </c>
      <c r="AM23">
        <f>MAX(AM22,IF($B22=31,1,0))</f>
        <v/>
      </c>
      <c r="AN23">
        <f>MAX(AN22,IF($B22=32,1,0))</f>
        <v/>
      </c>
      <c r="AO23">
        <f>MAX(AO22,IF($B22=33,1,0))</f>
        <v/>
      </c>
      <c r="AP23">
        <f>MAX(AP22,IF($B22=34,1,0))</f>
        <v/>
      </c>
      <c r="AQ23">
        <f>MAX(AQ22,IF($B22=35,1,0))</f>
        <v/>
      </c>
      <c r="AR23">
        <f>MAX(AR22,IF($B22=36,1,0))</f>
        <v/>
      </c>
      <c r="AS23">
        <f>MAX(AS22,IF($B22=37,1,0))</f>
        <v/>
      </c>
      <c r="AT23">
        <f>MAX(AT22,IF($B22=38,1,0))</f>
        <v/>
      </c>
      <c r="AU23">
        <f>MAX(AU22,IF($B22=39,1,0))</f>
        <v/>
      </c>
      <c r="AV23">
        <f>MAX(AV22,IF($B22=40,1,0))</f>
        <v/>
      </c>
      <c r="AW23">
        <f>MAX(AW22,IF($B22=41,1,0))</f>
        <v/>
      </c>
      <c r="AX23">
        <f>MAX(AX22,IF($B22=42,1,0))</f>
        <v/>
      </c>
      <c r="AY23">
        <f>MAX(AY22,IF($B22=43,1,0))</f>
        <v/>
      </c>
      <c r="AZ23">
        <f>MAX(AZ22,IF($B22=44,1,0))</f>
        <v/>
      </c>
      <c r="BA23">
        <f>MAX(BA22,IF($B22=45,1,0))</f>
        <v/>
      </c>
      <c r="BC23">
        <f>IF(I23=1,1000000,IF('計算A'!$EA$10=2,SUMPRODUCT('計算A'!$D$60:$DS$60,$CW23:$HL23,$HN23:$MC23),SUMPRODUCT('計算A'!$D$60:$DS$60,$CW23:$HL23))*1000+1)</f>
        <v/>
      </c>
      <c r="BD23">
        <f>IF(J23=1,1000000,IF('計算A'!$EA$11=2,SUMPRODUCT('計算A'!$D$61:$DS$61,$CW23:$HL23,$HN23:$MC23),SUMPRODUCT('計算A'!$D$61:$DS$61,$CW23:$HL23))*1000+2)</f>
        <v/>
      </c>
      <c r="BE23">
        <f>IF(K23=1,1000000,IF('計算A'!$EA$12=2,SUMPRODUCT('計算A'!$D$62:$DS$62,$CW23:$HL23,$HN23:$MC23),SUMPRODUCT('計算A'!$D$62:$DS$62,$CW23:$HL23))*1000+3)</f>
        <v/>
      </c>
      <c r="BF23">
        <f>IF(L23=1,1000000,IF('計算A'!$EA$13=2,SUMPRODUCT('計算A'!$D$63:$DS$63,$CW23:$HL23,$HN23:$MC23),SUMPRODUCT('計算A'!$D$63:$DS$63,$CW23:$HL23))*1000+4)</f>
        <v/>
      </c>
      <c r="BG23">
        <f>IF(M23=1,1000000,IF('計算A'!$EA$14=2,SUMPRODUCT('計算A'!$D$64:$DS$64,$CW23:$HL23,$HN23:$MC23),SUMPRODUCT('計算A'!$D$64:$DS$64,$CW23:$HL23))*1000+5)</f>
        <v/>
      </c>
      <c r="BH23">
        <f>IF(N23=1,1000000,IF('計算A'!$EA$15=2,SUMPRODUCT('計算A'!$D$65:$DS$65,$CW23:$HL23,$HN23:$MC23),SUMPRODUCT('計算A'!$D$65:$DS$65,$CW23:$HL23))*1000+6)</f>
        <v/>
      </c>
      <c r="BI23">
        <f>IF(O23=1,1000000,IF('計算A'!$EA$16=2,SUMPRODUCT('計算A'!$D$66:$DS$66,$CW23:$HL23,$HN23:$MC23),SUMPRODUCT('計算A'!$D$66:$DS$66,$CW23:$HL23))*1000+7)</f>
        <v/>
      </c>
      <c r="BJ23">
        <f>IF(P23=1,1000000,IF('計算A'!$EA$17=2,SUMPRODUCT('計算A'!$D$67:$DS$67,$CW23:$HL23,$HN23:$MC23),SUMPRODUCT('計算A'!$D$67:$DS$67,$CW23:$HL23))*1000+8)</f>
        <v/>
      </c>
      <c r="BK23">
        <f>IF(Q23=1,1000000,IF('計算A'!$EA$18=2,SUMPRODUCT('計算A'!$D$68:$DS$68,$CW23:$HL23,$HN23:$MC23),SUMPRODUCT('計算A'!$D$68:$DS$68,$CW23:$HL23))*1000+9)</f>
        <v/>
      </c>
      <c r="BL23">
        <f>IF(R23=1,1000000,IF('計算A'!$EA$19=2,SUMPRODUCT('計算A'!$D$69:$DS$69,$CW23:$HL23,$HN23:$MC23),SUMPRODUCT('計算A'!$D$69:$DS$69,$CW23:$HL23))*1000+10)</f>
        <v/>
      </c>
      <c r="BM23">
        <f>IF(S23=1,1000000,IF('計算A'!$EA$20=2,SUMPRODUCT('計算A'!$D$70:$DS$70,$CW23:$HL23,$HN23:$MC23),SUMPRODUCT('計算A'!$D$70:$DS$70,$CW23:$HL23))*1000+11)</f>
        <v/>
      </c>
      <c r="BN23">
        <f>IF(T23=1,1000000,IF('計算A'!$EA$21=2,SUMPRODUCT('計算A'!$D$71:$DS$71,$CW23:$HL23,$HN23:$MC23),SUMPRODUCT('計算A'!$D$71:$DS$71,$CW23:$HL23))*1000+12)</f>
        <v/>
      </c>
      <c r="BO23">
        <f>IF(U23=1,1000000,IF('計算A'!$EA$22=2,SUMPRODUCT('計算A'!$D$72:$DS$72,$CW23:$HL23,$HN23:$MC23),SUMPRODUCT('計算A'!$D$72:$DS$72,$CW23:$HL23))*1000+13)</f>
        <v/>
      </c>
      <c r="BP23">
        <f>IF(V23=1,1000000,IF('計算A'!$EA$23=2,SUMPRODUCT('計算A'!$D$73:$DS$73,$CW23:$HL23,$HN23:$MC23),SUMPRODUCT('計算A'!$D$73:$DS$73,$CW23:$HL23))*1000+14)</f>
        <v/>
      </c>
      <c r="BQ23">
        <f>IF(W23=1,1000000,IF('計算A'!$EA$24=2,SUMPRODUCT('計算A'!$D$74:$DS$74,$CW23:$HL23,$HN23:$MC23),SUMPRODUCT('計算A'!$D$74:$DS$74,$CW23:$HL23))*1000+15)</f>
        <v/>
      </c>
      <c r="BR23">
        <f>IF(X23=1,1000000,IF('計算A'!$EA$25=2,SUMPRODUCT('計算A'!$D$75:$DS$75,$CW23:$HL23,$HN23:$MC23),SUMPRODUCT('計算A'!$D$75:$DS$75,$CW23:$HL23))*1000+16)</f>
        <v/>
      </c>
      <c r="BS23">
        <f>IF(Y23=1,1000000,IF('計算A'!$EA$26=2,SUMPRODUCT('計算A'!$D$76:$DS$76,$CW23:$HL23,$HN23:$MC23),SUMPRODUCT('計算A'!$D$76:$DS$76,$CW23:$HL23))*1000+17)</f>
        <v/>
      </c>
      <c r="BT23">
        <f>IF(Z23=1,1000000,IF('計算A'!$EA$27=2,SUMPRODUCT('計算A'!$D$77:$DS$77,$CW23:$HL23,$HN23:$MC23),SUMPRODUCT('計算A'!$D$77:$DS$77,$CW23:$HL23))*1000+18)</f>
        <v/>
      </c>
      <c r="BU23">
        <f>IF(AA23=1,1000000,IF('計算A'!$EA$28=2,SUMPRODUCT('計算A'!$D$78:$DS$78,$CW23:$HL23,$HN23:$MC23),SUMPRODUCT('計算A'!$D$78:$DS$78,$CW23:$HL23))*1000+19)</f>
        <v/>
      </c>
      <c r="BV23">
        <f>IF(AB23=1,1000000,IF('計算A'!$EA$29=2,SUMPRODUCT('計算A'!$D$79:$DS$79,$CW23:$HL23,$HN23:$MC23),SUMPRODUCT('計算A'!$D$79:$DS$79,$CW23:$HL23))*1000+20)</f>
        <v/>
      </c>
      <c r="BW23">
        <f>IF(AC23=1,1000000,IF('計算A'!$EA$30=2,SUMPRODUCT('計算A'!$D$80:$DS$80,$CW23:$HL23,$HN23:$MC23),SUMPRODUCT('計算A'!$D$80:$DS$80,$CW23:$HL23))*1000+21)</f>
        <v/>
      </c>
      <c r="BX23">
        <f>IF(AD23=1,1000000,IF('計算A'!$EA$31=2,SUMPRODUCT('計算A'!$D$81:$DS$81,$CW23:$HL23,$HN23:$MC23),SUMPRODUCT('計算A'!$D$81:$DS$81,$CW23:$HL23))*1000+22)</f>
        <v/>
      </c>
      <c r="BY23">
        <f>IF(AE23=1,1000000,IF('計算A'!$EA$32=2,SUMPRODUCT('計算A'!$D$82:$DS$82,$CW23:$HL23,$HN23:$MC23),SUMPRODUCT('計算A'!$D$82:$DS$82,$CW23:$HL23))*1000+23)</f>
        <v/>
      </c>
      <c r="BZ23">
        <f>IF(AF23=1,1000000,IF('計算A'!$EA$33=2,SUMPRODUCT('計算A'!$D$83:$DS$83,$CW23:$HL23,$HN23:$MC23),SUMPRODUCT('計算A'!$D$83:$DS$83,$CW23:$HL23))*1000+24)</f>
        <v/>
      </c>
      <c r="CA23">
        <f>IF(AG23=1,1000000,IF('計算A'!$EA$34=2,SUMPRODUCT('計算A'!$D$84:$DS$84,$CW23:$HL23,$HN23:$MC23),SUMPRODUCT('計算A'!$D$84:$DS$84,$CW23:$HL23))*1000+25)</f>
        <v/>
      </c>
      <c r="CB23">
        <f>IF(AH23=1,1000000,IF('計算A'!$EA$35=2,SUMPRODUCT('計算A'!$D$85:$DS$85,$CW23:$HL23,$HN23:$MC23),SUMPRODUCT('計算A'!$D$85:$DS$85,$CW23:$HL23))*1000+26)</f>
        <v/>
      </c>
      <c r="CC23">
        <f>IF(AI23=1,1000000,IF('計算A'!$EA$36=2,SUMPRODUCT('計算A'!$D$86:$DS$86,$CW23:$HL23,$HN23:$MC23),SUMPRODUCT('計算A'!$D$86:$DS$86,$CW23:$HL23))*1000+27)</f>
        <v/>
      </c>
      <c r="CD23">
        <f>IF(AJ23=1,1000000,IF('計算A'!$EA$37=2,SUMPRODUCT('計算A'!$D$87:$DS$87,$CW23:$HL23,$HN23:$MC23),SUMPRODUCT('計算A'!$D$87:$DS$87,$CW23:$HL23))*1000+28)</f>
        <v/>
      </c>
      <c r="CE23">
        <f>IF(AK23=1,1000000,IF('計算A'!$EA$38=2,SUMPRODUCT('計算A'!$D$88:$DS$88,$CW23:$HL23,$HN23:$MC23),SUMPRODUCT('計算A'!$D$88:$DS$88,$CW23:$HL23))*1000+29)</f>
        <v/>
      </c>
      <c r="CF23">
        <f>IF(AL23=1,1000000,IF('計算A'!$EA$39=2,SUMPRODUCT('計算A'!$D$89:$DS$89,$CW23:$HL23,$HN23:$MC23),SUMPRODUCT('計算A'!$D$89:$DS$89,$CW23:$HL23))*1000+30)</f>
        <v/>
      </c>
      <c r="CG23">
        <f>IF(AM23=1,1000000,IF('計算A'!$EA$40=2,SUMPRODUCT('計算A'!$D$90:$DS$90,$CW23:$HL23,$HN23:$MC23),SUMPRODUCT('計算A'!$D$90:$DS$90,$CW23:$HL23))*1000+31)</f>
        <v/>
      </c>
      <c r="CH23">
        <f>IF(AN23=1,1000000,IF('計算A'!$EA$41=2,SUMPRODUCT('計算A'!$D$91:$DS$91,$CW23:$HL23,$HN23:$MC23),SUMPRODUCT('計算A'!$D$91:$DS$91,$CW23:$HL23))*1000+32)</f>
        <v/>
      </c>
      <c r="CI23">
        <f>IF(AO23=1,1000000,IF('計算A'!$EA$42=2,SUMPRODUCT('計算A'!$D$92:$DS$92,$CW23:$HL23,$HN23:$MC23),SUMPRODUCT('計算A'!$D$92:$DS$92,$CW23:$HL23))*1000+33)</f>
        <v/>
      </c>
      <c r="CJ23">
        <f>IF(AP23=1,1000000,IF('計算A'!$EA$43=2,SUMPRODUCT('計算A'!$D$93:$DS$93,$CW23:$HL23,$HN23:$MC23),SUMPRODUCT('計算A'!$D$93:$DS$93,$CW23:$HL23))*1000+34)</f>
        <v/>
      </c>
      <c r="CK23">
        <f>IF(AQ23=1,1000000,IF('計算A'!$EA$44=2,SUMPRODUCT('計算A'!$D$94:$DS$94,$CW23:$HL23,$HN23:$MC23),SUMPRODUCT('計算A'!$D$94:$DS$94,$CW23:$HL23))*1000+35)</f>
        <v/>
      </c>
      <c r="CL23">
        <f>IF(AR23=1,1000000,IF('計算A'!$EA$45=2,SUMPRODUCT('計算A'!$D$95:$DS$95,$CW23:$HL23,$HN23:$MC23),SUMPRODUCT('計算A'!$D$95:$DS$95,$CW23:$HL23))*1000+36)</f>
        <v/>
      </c>
      <c r="CM23">
        <f>IF(AS23=1,1000000,IF('計算A'!$EA$46=2,SUMPRODUCT('計算A'!$D$96:$DS$96,$CW23:$HL23,$HN23:$MC23),SUMPRODUCT('計算A'!$D$96:$DS$96,$CW23:$HL23))*1000+37)</f>
        <v/>
      </c>
      <c r="CN23">
        <f>IF(AT23=1,1000000,IF('計算A'!$EA$47=2,SUMPRODUCT('計算A'!$D$97:$DS$97,$CW23:$HL23,$HN23:$MC23),SUMPRODUCT('計算A'!$D$97:$DS$97,$CW23:$HL23))*1000+38)</f>
        <v/>
      </c>
      <c r="CO23">
        <f>IF(AU23=1,1000000,IF('計算A'!$EA$48=2,SUMPRODUCT('計算A'!$D$98:$DS$98,$CW23:$HL23,$HN23:$MC23),SUMPRODUCT('計算A'!$D$98:$DS$98,$CW23:$HL23))*1000+39)</f>
        <v/>
      </c>
      <c r="CP23">
        <f>IF(AV23=1,1000000,IF('計算A'!$EA$49=2,SUMPRODUCT('計算A'!$D$99:$DS$99,$CW23:$HL23,$HN23:$MC23),SUMPRODUCT('計算A'!$D$99:$DS$99,$CW23:$HL23))*1000+40)</f>
        <v/>
      </c>
      <c r="CQ23">
        <f>IF(AW23=1,1000000,IF('計算A'!$EA$50=2,SUMPRODUCT('計算A'!$D$100:$DS$100,$CW23:$HL23,$HN23:$MC23),SUMPRODUCT('計算A'!$D$100:$DS$100,$CW23:$HL23))*1000+41)</f>
        <v/>
      </c>
      <c r="CR23">
        <f>IF(AX23=1,1000000,IF('計算A'!$EA$51=2,SUMPRODUCT('計算A'!$D$101:$DS$101,$CW23:$HL23,$HN23:$MC23),SUMPRODUCT('計算A'!$D$101:$DS$101,$CW23:$HL23))*1000+42)</f>
        <v/>
      </c>
      <c r="CS23">
        <f>IF(AY23=1,1000000,IF('計算A'!$EA$52=2,SUMPRODUCT('計算A'!$D$102:$DS$102,$CW23:$HL23,$HN23:$MC23),SUMPRODUCT('計算A'!$D$102:$DS$102,$CW23:$HL23))*1000+43)</f>
        <v/>
      </c>
      <c r="CT23">
        <f>IF(AZ23=1,1000000,IF('計算A'!$EA$53=2,SUMPRODUCT('計算A'!$D$103:$DS$103,$CW23:$HL23,$HN23:$MC23),SUMPRODUCT('計算A'!$D$103:$DS$103,$CW23:$HL23))*1000+44)</f>
        <v/>
      </c>
      <c r="CU23">
        <f>IF(BA23=1,1000000,IF('計算A'!$EA$54=2,SUMPRODUCT('計算A'!$D$104:$DS$104,$CW23:$HL23,$HN23:$MC23),SUMPRODUCT('計算A'!$D$104:$DS$104,$CW23:$HL23))*1000+45)</f>
        <v/>
      </c>
      <c r="CW23">
        <f>CW22*IF(OR($C22=1,$G22=1),0,1)</f>
        <v/>
      </c>
      <c r="CX23">
        <f>CX22*IF(OR($C22=2,$G22=2),0,1)</f>
        <v/>
      </c>
      <c r="CY23">
        <f>CY22*IF(OR($C22=3,$G22=3),0,1)</f>
        <v/>
      </c>
      <c r="CZ23">
        <f>CZ22*IF(OR($C22=4,$G22=4),0,1)</f>
        <v/>
      </c>
      <c r="DA23">
        <f>DA22*IF(OR($C22=5,$G22=5),0,1)</f>
        <v/>
      </c>
      <c r="DB23">
        <f>DB22*IF(OR($C22=6,$G22=6),0,1)</f>
        <v/>
      </c>
      <c r="DC23">
        <f>DC22*IF(OR($C22=7,$G22=7),0,1)</f>
        <v/>
      </c>
      <c r="DD23">
        <f>DD22*IF(OR($C22=8,$G22=8),0,1)</f>
        <v/>
      </c>
      <c r="DE23">
        <f>DE22*IF(OR($C22=9,$G22=9),0,1)</f>
        <v/>
      </c>
      <c r="DF23">
        <f>DF22*IF(OR($C22=10,$G22=10),0,1)</f>
        <v/>
      </c>
      <c r="DG23">
        <f>DG22*IF(OR($C22=11,$G22=11),0,1)</f>
        <v/>
      </c>
      <c r="DH23">
        <f>DH22*IF(OR($C22=12,$G22=12),0,1)</f>
        <v/>
      </c>
      <c r="DI23">
        <f>DI22*IF(OR($C22=13,$G22=13),0,1)</f>
        <v/>
      </c>
      <c r="DJ23">
        <f>DJ22*IF(OR($C22=14,$G22=14),0,1)</f>
        <v/>
      </c>
      <c r="DK23">
        <f>DK22*IF(OR($C22=15,$G22=15),0,1)</f>
        <v/>
      </c>
      <c r="DL23">
        <f>DL22*IF(OR($C22=16,$G22=16),0,1)</f>
        <v/>
      </c>
      <c r="DM23">
        <f>DM22*IF(OR($C22=17,$G22=17),0,1)</f>
        <v/>
      </c>
      <c r="DN23">
        <f>DN22*IF(OR($C22=18,$G22=18),0,1)</f>
        <v/>
      </c>
      <c r="DO23">
        <f>DO22*IF(OR($C22=19,$G22=19),0,1)</f>
        <v/>
      </c>
      <c r="DP23">
        <f>DP22*IF(OR($C22=20,$G22=20),0,1)</f>
        <v/>
      </c>
      <c r="DQ23">
        <f>DQ22*IF(OR($C22=21,$G22=21),0,1)</f>
        <v/>
      </c>
      <c r="DR23">
        <f>DR22*IF(OR($C22=22,$G22=22),0,1)</f>
        <v/>
      </c>
      <c r="DS23">
        <f>DS22*IF(OR($C22=23,$G22=23),0,1)</f>
        <v/>
      </c>
      <c r="DT23">
        <f>DT22*IF(OR($C22=24,$G22=24),0,1)</f>
        <v/>
      </c>
      <c r="DU23">
        <f>DU22*IF(OR($C22=25,$G22=25),0,1)</f>
        <v/>
      </c>
      <c r="DV23">
        <f>DV22*IF(OR($C22=26,$G22=26),0,1)</f>
        <v/>
      </c>
      <c r="DW23">
        <f>DW22*IF(OR($C22=27,$G22=27),0,1)</f>
        <v/>
      </c>
      <c r="DX23">
        <f>DX22*IF(OR($C22=28,$G22=28),0,1)</f>
        <v/>
      </c>
      <c r="DY23">
        <f>DY22*IF(OR($C22=29,$G22=29),0,1)</f>
        <v/>
      </c>
      <c r="DZ23">
        <f>DZ22*IF(OR($C22=30,$G22=30),0,1)</f>
        <v/>
      </c>
      <c r="EA23">
        <f>EA22*IF(OR($C22=31,$G22=31),0,1)</f>
        <v/>
      </c>
      <c r="EB23">
        <f>EB22*IF(OR($C22=32,$G22=32),0,1)</f>
        <v/>
      </c>
      <c r="EC23">
        <f>EC22*IF(OR($C22=33,$G22=33),0,1)</f>
        <v/>
      </c>
      <c r="ED23">
        <f>ED22*IF(OR($C22=34,$G22=34),0,1)</f>
        <v/>
      </c>
      <c r="EE23">
        <f>EE22*IF(OR($C22=35,$G22=35),0,1)</f>
        <v/>
      </c>
      <c r="EF23">
        <f>EF22*IF(OR($C22=36,$G22=36),0,1)</f>
        <v/>
      </c>
      <c r="EG23">
        <f>EG22*IF(OR($C22=37,$G22=37),0,1)</f>
        <v/>
      </c>
      <c r="EH23">
        <f>EH22*IF(OR($C22=38,$G22=38),0,1)</f>
        <v/>
      </c>
      <c r="EI23">
        <f>EI22*IF(OR($C22=39,$G22=39),0,1)</f>
        <v/>
      </c>
      <c r="EJ23">
        <f>EJ22*IF(OR($C22=40,$G22=40),0,1)</f>
        <v/>
      </c>
      <c r="EK23">
        <f>EK22*IF(OR($C22=41,$G22=41),0,1)</f>
        <v/>
      </c>
      <c r="EL23">
        <f>EL22*IF(OR($C22=42,$G22=42),0,1)</f>
        <v/>
      </c>
      <c r="EM23">
        <f>EM22*IF(OR($C22=43,$G22=43),0,1)</f>
        <v/>
      </c>
      <c r="EN23">
        <f>EN22*IF(OR($C22=44,$G22=44),0,1)</f>
        <v/>
      </c>
      <c r="EO23">
        <f>EO22*IF(OR($C22=45,$G22=45),0,1)</f>
        <v/>
      </c>
      <c r="EP23">
        <f>EP22*IF(OR($C22=46,$G22=46),0,1)</f>
        <v/>
      </c>
      <c r="EQ23">
        <f>EQ22*IF(OR($C22=47,$G22=47),0,1)</f>
        <v/>
      </c>
      <c r="ER23">
        <f>ER22*IF(OR($C22=48,$G22=48),0,1)</f>
        <v/>
      </c>
      <c r="ES23">
        <f>ES22*IF(OR($C22=49,$G22=49),0,1)</f>
        <v/>
      </c>
      <c r="ET23">
        <f>ET22*IF(OR($C22=50,$G22=50),0,1)</f>
        <v/>
      </c>
      <c r="EU23">
        <f>EU22*IF(OR($C22=51,$G22=51),0,1)</f>
        <v/>
      </c>
      <c r="EV23">
        <f>EV22*IF(OR($C22=52,$G22=52),0,1)</f>
        <v/>
      </c>
      <c r="EW23">
        <f>EW22*IF(OR($C22=53,$G22=53),0,1)</f>
        <v/>
      </c>
      <c r="EX23">
        <f>EX22*IF(OR($C22=54,$G22=54),0,1)</f>
        <v/>
      </c>
      <c r="EY23">
        <f>EY22*IF(OR($C22=55,$G22=55),0,1)</f>
        <v/>
      </c>
      <c r="EZ23">
        <f>EZ22*IF(OR($C22=56,$G22=56),0,1)</f>
        <v/>
      </c>
      <c r="FA23">
        <f>FA22*IF(OR($C22=57,$G22=57),0,1)</f>
        <v/>
      </c>
      <c r="FB23">
        <f>FB22*IF(OR($C22=58,$G22=58),0,1)</f>
        <v/>
      </c>
      <c r="FC23">
        <f>FC22*IF(OR($C22=59,$G22=59),0,1)</f>
        <v/>
      </c>
      <c r="FD23">
        <f>FD22*IF(OR($C22=60,$G22=60),0,1)</f>
        <v/>
      </c>
      <c r="FE23">
        <f>FE22*IF(OR($C22=61,$G22=61),0,1)</f>
        <v/>
      </c>
      <c r="FF23">
        <f>FF22*IF(OR($C22=62,$G22=62),0,1)</f>
        <v/>
      </c>
      <c r="FG23">
        <f>FG22*IF(OR($C22=63,$G22=63),0,1)</f>
        <v/>
      </c>
      <c r="FH23">
        <f>FH22*IF(OR($C22=64,$G22=64),0,1)</f>
        <v/>
      </c>
      <c r="FI23">
        <f>FI22*IF(OR($C22=65,$G22=65),0,1)</f>
        <v/>
      </c>
      <c r="FJ23">
        <f>FJ22*IF(OR($C22=66,$G22=66),0,1)</f>
        <v/>
      </c>
      <c r="FK23">
        <f>FK22*IF(OR($C22=67,$G22=67),0,1)</f>
        <v/>
      </c>
      <c r="FL23">
        <f>FL22*IF(OR($C22=68,$G22=68),0,1)</f>
        <v/>
      </c>
      <c r="FM23">
        <f>FM22*IF(OR($C22=69,$G22=69),0,1)</f>
        <v/>
      </c>
      <c r="FN23">
        <f>FN22*IF(OR($C22=70,$G22=70),0,1)</f>
        <v/>
      </c>
      <c r="FO23">
        <f>FO22*IF(OR($C22=71,$G22=71),0,1)</f>
        <v/>
      </c>
      <c r="FP23">
        <f>FP22*IF(OR($C22=72,$G22=72),0,1)</f>
        <v/>
      </c>
      <c r="FQ23">
        <f>FQ22*IF(OR($C22=73,$G22=73),0,1)</f>
        <v/>
      </c>
      <c r="FR23">
        <f>FR22*IF(OR($C22=74,$G22=74),0,1)</f>
        <v/>
      </c>
      <c r="FS23">
        <f>FS22*IF(OR($C22=75,$G22=75),0,1)</f>
        <v/>
      </c>
      <c r="FT23">
        <f>FT22*IF(OR($C22=76,$G22=76),0,1)</f>
        <v/>
      </c>
      <c r="FU23">
        <f>FU22*IF(OR($C22=77,$G22=77),0,1)</f>
        <v/>
      </c>
      <c r="FV23">
        <f>FV22*IF(OR($C22=78,$G22=78),0,1)</f>
        <v/>
      </c>
      <c r="FW23">
        <f>FW22*IF(OR($C22=79,$G22=79),0,1)</f>
        <v/>
      </c>
      <c r="FX23">
        <f>FX22*IF(OR($C22=80,$G22=80),0,1)</f>
        <v/>
      </c>
      <c r="FY23">
        <f>FY22*IF(OR($C22=81,$G22=81),0,1)</f>
        <v/>
      </c>
      <c r="FZ23">
        <f>FZ22*IF(OR($C22=82,$G22=82),0,1)</f>
        <v/>
      </c>
      <c r="GA23">
        <f>GA22*IF(OR($C22=83,$G22=83),0,1)</f>
        <v/>
      </c>
      <c r="GB23">
        <f>GB22*IF(OR($C22=84,$G22=84),0,1)</f>
        <v/>
      </c>
      <c r="GC23">
        <f>GC22*IF(OR($C22=85,$G22=85),0,1)</f>
        <v/>
      </c>
      <c r="GD23">
        <f>GD22*IF(OR($C22=86,$G22=86),0,1)</f>
        <v/>
      </c>
      <c r="GE23">
        <f>GE22*IF(OR($C22=87,$G22=87),0,1)</f>
        <v/>
      </c>
      <c r="GF23">
        <f>GF22*IF(OR($C22=88,$G22=88),0,1)</f>
        <v/>
      </c>
      <c r="GG23">
        <f>GG22*IF(OR($C22=89,$G22=89),0,1)</f>
        <v/>
      </c>
      <c r="GH23">
        <f>GH22*IF(OR($C22=90,$G22=90),0,1)</f>
        <v/>
      </c>
      <c r="GI23">
        <f>GI22*IF(OR($C22=91,$G22=91),0,1)</f>
        <v/>
      </c>
      <c r="GJ23">
        <f>GJ22*IF(OR($C22=92,$G22=92),0,1)</f>
        <v/>
      </c>
      <c r="GK23">
        <f>GK22*IF(OR($C22=93,$G22=93),0,1)</f>
        <v/>
      </c>
      <c r="GL23">
        <f>GL22*IF(OR($C22=94,$G22=94),0,1)</f>
        <v/>
      </c>
      <c r="GM23">
        <f>GM22*IF(OR($C22=95,$G22=95),0,1)</f>
        <v/>
      </c>
      <c r="GN23">
        <f>GN22*IF(OR($C22=96,$G22=96),0,1)</f>
        <v/>
      </c>
      <c r="GO23">
        <f>GO22*IF(OR($C22=97,$G22=97),0,1)</f>
        <v/>
      </c>
      <c r="GP23">
        <f>GP22*IF(OR($C22=98,$G22=98),0,1)</f>
        <v/>
      </c>
      <c r="GQ23">
        <f>GQ22*IF(OR($C22=99,$G22=99),0,1)</f>
        <v/>
      </c>
      <c r="GR23">
        <f>GR22*IF(OR($C22=100,$G22=100),0,1)</f>
        <v/>
      </c>
      <c r="GS23">
        <f>GS22*IF(OR($C22=101,$G22=101),0,1)</f>
        <v/>
      </c>
      <c r="GT23">
        <f>GT22*IF(OR($C22=102,$G22=102),0,1)</f>
        <v/>
      </c>
      <c r="GU23">
        <f>GU22*IF(OR($C22=103,$G22=103),0,1)</f>
        <v/>
      </c>
      <c r="GV23">
        <f>GV22*IF(OR($C22=104,$G22=104),0,1)</f>
        <v/>
      </c>
      <c r="GW23">
        <f>GW22*IF(OR($C22=105,$G22=105),0,1)</f>
        <v/>
      </c>
      <c r="GX23">
        <f>GX22*IF(OR($C22=106,$G22=106),0,1)</f>
        <v/>
      </c>
      <c r="GY23">
        <f>GY22*IF(OR($C22=107,$G22=107),0,1)</f>
        <v/>
      </c>
      <c r="GZ23">
        <f>GZ22*IF(OR($C22=108,$G22=108),0,1)</f>
        <v/>
      </c>
      <c r="HA23">
        <f>HA22*IF(OR($C22=109,$G22=109),0,1)</f>
        <v/>
      </c>
      <c r="HB23">
        <f>HB22*IF(OR($C22=110,$G22=110),0,1)</f>
        <v/>
      </c>
      <c r="HC23">
        <f>HC22*IF(OR($C22=111,$G22=111),0,1)</f>
        <v/>
      </c>
      <c r="HD23">
        <f>HD22*IF(OR($C22=112,$G22=112),0,1)</f>
        <v/>
      </c>
      <c r="HE23">
        <f>HE22*IF(OR($C22=113,$G22=113),0,1)</f>
        <v/>
      </c>
      <c r="HF23">
        <f>HF22*IF(OR($C22=114,$G22=114),0,1)</f>
        <v/>
      </c>
      <c r="HG23">
        <f>HG22*IF(OR($C22=115,$G22=115),0,1)</f>
        <v/>
      </c>
      <c r="HH23">
        <f>HH22*IF(OR($C22=116,$G22=116),0,1)</f>
        <v/>
      </c>
      <c r="HI23">
        <f>HI22*IF(OR($C22=117,$G22=117),0,1)</f>
        <v/>
      </c>
      <c r="HJ23">
        <f>HJ22*IF(OR($C22=118,$G22=118),0,1)</f>
        <v/>
      </c>
      <c r="HK23">
        <f>HK22*IF(OR($C22=119,$G22=119),0,1)</f>
        <v/>
      </c>
      <c r="HL23">
        <f>HL22*IF(OR($C22=120,$G22=120),0,1)</f>
        <v/>
      </c>
      <c r="HN23">
        <f>IF('計算A'!D$106=1,CX23,1)</f>
        <v/>
      </c>
      <c r="HO23">
        <f>IF('計算A'!E$106=1,CY23,1)</f>
        <v/>
      </c>
      <c r="HP23">
        <f>IF('計算A'!F$106=1,CZ23,1)</f>
        <v/>
      </c>
      <c r="HQ23">
        <f>IF('計算A'!G$106=1,DA23,1)</f>
        <v/>
      </c>
      <c r="HR23">
        <f>IF('計算A'!H$106=1,DB23,1)</f>
        <v/>
      </c>
      <c r="HS23">
        <f>IF('計算A'!I$106=1,DC23,1)</f>
        <v/>
      </c>
      <c r="HT23">
        <f>IF('計算A'!J$106=1,DD23,1)</f>
        <v/>
      </c>
      <c r="HU23">
        <f>IF('計算A'!K$106=1,DE23,1)</f>
        <v/>
      </c>
      <c r="HV23">
        <f>IF('計算A'!L$106=1,DF23,1)</f>
        <v/>
      </c>
      <c r="HW23">
        <f>IF('計算A'!M$106=1,DG23,1)</f>
        <v/>
      </c>
      <c r="HX23">
        <f>IF('計算A'!N$106=1,DH23,1)</f>
        <v/>
      </c>
      <c r="HY23">
        <f>IF('計算A'!O$106=1,DI23,1)</f>
        <v/>
      </c>
      <c r="HZ23">
        <f>IF('計算A'!P$106=1,DJ23,1)</f>
        <v/>
      </c>
      <c r="IA23">
        <f>IF('計算A'!Q$106=1,DK23,1)</f>
        <v/>
      </c>
      <c r="IB23">
        <f>IF('計算A'!R$106=1,DL23,1)</f>
        <v/>
      </c>
      <c r="IC23">
        <f>IF('計算A'!S$106=1,DM23,1)</f>
        <v/>
      </c>
      <c r="ID23">
        <f>IF('計算A'!T$106=1,DN23,1)</f>
        <v/>
      </c>
      <c r="IE23">
        <f>IF('計算A'!U$106=1,DO23,1)</f>
        <v/>
      </c>
      <c r="IF23">
        <f>IF('計算A'!V$106=1,DP23,1)</f>
        <v/>
      </c>
      <c r="IG23">
        <f>IF('計算A'!W$106=1,DQ23,1)</f>
        <v/>
      </c>
      <c r="IH23">
        <f>IF('計算A'!X$106=1,DR23,1)</f>
        <v/>
      </c>
      <c r="II23">
        <f>IF('計算A'!Y$106=1,DS23,1)</f>
        <v/>
      </c>
      <c r="IJ23">
        <f>IF('計算A'!Z$106=1,DT23,1)</f>
        <v/>
      </c>
      <c r="IK23">
        <f>IF('計算A'!AA$106=1,DU23,1)</f>
        <v/>
      </c>
      <c r="IL23">
        <f>IF('計算A'!AB$106=1,DV23,1)</f>
        <v/>
      </c>
      <c r="IM23">
        <f>IF('計算A'!AC$106=1,DW23,1)</f>
        <v/>
      </c>
      <c r="IN23">
        <f>IF('計算A'!AD$106=1,DX23,1)</f>
        <v/>
      </c>
      <c r="IO23">
        <f>IF('計算A'!AE$106=1,DY23,1)</f>
        <v/>
      </c>
      <c r="IP23">
        <f>IF('計算A'!AF$106=1,DZ23,1)</f>
        <v/>
      </c>
      <c r="IQ23">
        <f>IF('計算A'!AG$106=1,EA23,1)</f>
        <v/>
      </c>
      <c r="IR23">
        <f>IF('計算A'!AH$106=1,EB23,1)</f>
        <v/>
      </c>
      <c r="IS23">
        <f>IF('計算A'!AI$106=1,EC23,1)</f>
        <v/>
      </c>
      <c r="IT23">
        <f>IF('計算A'!AJ$106=1,ED23,1)</f>
        <v/>
      </c>
      <c r="IU23">
        <f>IF('計算A'!AK$106=1,EE23,1)</f>
        <v/>
      </c>
      <c r="IV23">
        <f>IF('計算A'!AL$106=1,EF23,1)</f>
        <v/>
      </c>
      <c r="IW23">
        <f>IF('計算A'!AM$106=1,EG23,1)</f>
        <v/>
      </c>
      <c r="IX23">
        <f>IF('計算A'!AN$106=1,EH23,1)</f>
        <v/>
      </c>
      <c r="IY23">
        <f>IF('計算A'!AO$106=1,EI23,1)</f>
        <v/>
      </c>
      <c r="IZ23">
        <f>IF('計算A'!AP$106=1,EJ23,1)</f>
        <v/>
      </c>
      <c r="JA23">
        <f>IF('計算A'!AQ$106=1,EK23,1)</f>
        <v/>
      </c>
      <c r="JB23">
        <f>IF('計算A'!AR$106=1,EL23,1)</f>
        <v/>
      </c>
      <c r="JC23">
        <f>IF('計算A'!AS$106=1,EM23,1)</f>
        <v/>
      </c>
      <c r="JD23">
        <f>IF('計算A'!AT$106=1,EN23,1)</f>
        <v/>
      </c>
      <c r="JE23">
        <f>IF('計算A'!AU$106=1,EO23,1)</f>
        <v/>
      </c>
      <c r="JF23">
        <f>IF('計算A'!AV$106=1,EP23,1)</f>
        <v/>
      </c>
      <c r="JG23">
        <f>IF('計算A'!AW$106=1,EQ23,1)</f>
        <v/>
      </c>
      <c r="JH23">
        <f>IF('計算A'!AX$106=1,ER23,1)</f>
        <v/>
      </c>
      <c r="JI23">
        <f>IF('計算A'!AY$106=1,ES23,1)</f>
        <v/>
      </c>
      <c r="JJ23">
        <f>IF('計算A'!AZ$106=1,ET23,1)</f>
        <v/>
      </c>
      <c r="JK23">
        <f>IF('計算A'!BA$106=1,EU23,1)</f>
        <v/>
      </c>
      <c r="JL23">
        <f>IF('計算A'!BB$106=1,EV23,1)</f>
        <v/>
      </c>
      <c r="JM23">
        <f>IF('計算A'!BC$106=1,EW23,1)</f>
        <v/>
      </c>
      <c r="JN23">
        <f>IF('計算A'!BD$106=1,EX23,1)</f>
        <v/>
      </c>
      <c r="JO23">
        <f>IF('計算A'!BE$106=1,EY23,1)</f>
        <v/>
      </c>
      <c r="JP23">
        <f>IF('計算A'!BF$106=1,EZ23,1)</f>
        <v/>
      </c>
      <c r="JQ23">
        <f>IF('計算A'!BG$106=1,FA23,1)</f>
        <v/>
      </c>
      <c r="JR23">
        <f>IF('計算A'!BH$106=1,FB23,1)</f>
        <v/>
      </c>
      <c r="JS23">
        <f>IF('計算A'!BI$106=1,FC23,1)</f>
        <v/>
      </c>
      <c r="JT23">
        <f>IF('計算A'!BJ$106=1,FD23,1)</f>
        <v/>
      </c>
      <c r="JU23">
        <f>IF('計算A'!BK$106=1,FE23,1)</f>
        <v/>
      </c>
      <c r="JV23">
        <f>IF('計算A'!BL$106=1,FF23,1)</f>
        <v/>
      </c>
      <c r="JW23">
        <f>IF('計算A'!BM$106=1,FG23,1)</f>
        <v/>
      </c>
      <c r="JX23">
        <f>IF('計算A'!BN$106=1,FH23,1)</f>
        <v/>
      </c>
      <c r="JY23">
        <f>IF('計算A'!BO$106=1,FI23,1)</f>
        <v/>
      </c>
      <c r="JZ23">
        <f>IF('計算A'!BP$106=1,FJ23,1)</f>
        <v/>
      </c>
      <c r="KA23">
        <f>IF('計算A'!BQ$106=1,FK23,1)</f>
        <v/>
      </c>
      <c r="KB23">
        <f>IF('計算A'!BR$106=1,FL23,1)</f>
        <v/>
      </c>
      <c r="KC23">
        <f>IF('計算A'!BS$106=1,FM23,1)</f>
        <v/>
      </c>
      <c r="KD23">
        <f>IF('計算A'!BT$106=1,FN23,1)</f>
        <v/>
      </c>
      <c r="KE23">
        <f>IF('計算A'!BU$106=1,FO23,1)</f>
        <v/>
      </c>
      <c r="KF23">
        <f>IF('計算A'!BV$106=1,FP23,1)</f>
        <v/>
      </c>
      <c r="KG23">
        <f>IF('計算A'!BW$106=1,FQ23,1)</f>
        <v/>
      </c>
      <c r="KH23">
        <f>IF('計算A'!BX$106=1,FR23,1)</f>
        <v/>
      </c>
      <c r="KI23">
        <f>IF('計算A'!BY$106=1,FS23,1)</f>
        <v/>
      </c>
      <c r="KJ23">
        <f>IF('計算A'!BZ$106=1,FT23,1)</f>
        <v/>
      </c>
      <c r="KK23">
        <f>IF('計算A'!CA$106=1,FU23,1)</f>
        <v/>
      </c>
      <c r="KL23">
        <f>IF('計算A'!CB$106=1,FV23,1)</f>
        <v/>
      </c>
      <c r="KM23">
        <f>IF('計算A'!CC$106=1,FW23,1)</f>
        <v/>
      </c>
      <c r="KN23">
        <f>IF('計算A'!CD$106=1,FX23,1)</f>
        <v/>
      </c>
      <c r="KO23">
        <f>IF('計算A'!CE$106=1,FY23,1)</f>
        <v/>
      </c>
      <c r="KP23">
        <f>IF('計算A'!CF$106=1,FZ23,1)</f>
        <v/>
      </c>
      <c r="KQ23">
        <f>IF('計算A'!CG$106=1,GA23,1)</f>
        <v/>
      </c>
      <c r="KR23">
        <f>IF('計算A'!CH$106=1,GB23,1)</f>
        <v/>
      </c>
      <c r="KS23">
        <f>IF('計算A'!CI$106=1,GC23,1)</f>
        <v/>
      </c>
      <c r="KT23">
        <f>IF('計算A'!CJ$106=1,GD23,1)</f>
        <v/>
      </c>
      <c r="KU23">
        <f>IF('計算A'!CK$106=1,GE23,1)</f>
        <v/>
      </c>
      <c r="KV23">
        <f>IF('計算A'!CL$106=1,GF23,1)</f>
        <v/>
      </c>
      <c r="KW23">
        <f>IF('計算A'!CM$106=1,GG23,1)</f>
        <v/>
      </c>
      <c r="KX23">
        <f>IF('計算A'!CN$106=1,GH23,1)</f>
        <v/>
      </c>
      <c r="KY23">
        <f>IF('計算A'!CO$106=1,GI23,1)</f>
        <v/>
      </c>
      <c r="KZ23">
        <f>IF('計算A'!CP$106=1,GJ23,1)</f>
        <v/>
      </c>
      <c r="LA23">
        <f>IF('計算A'!CQ$106=1,GK23,1)</f>
        <v/>
      </c>
      <c r="LB23">
        <f>IF('計算A'!CR$106=1,GL23,1)</f>
        <v/>
      </c>
      <c r="LC23">
        <f>IF('計算A'!CS$106=1,GM23,1)</f>
        <v/>
      </c>
      <c r="LD23">
        <f>IF('計算A'!CT$106=1,GN23,1)</f>
        <v/>
      </c>
      <c r="LE23">
        <f>IF('計算A'!CU$106=1,GO23,1)</f>
        <v/>
      </c>
      <c r="LF23">
        <f>IF('計算A'!CV$106=1,GP23,1)</f>
        <v/>
      </c>
      <c r="LG23">
        <f>IF('計算A'!CW$106=1,GQ23,1)</f>
        <v/>
      </c>
      <c r="LH23">
        <f>IF('計算A'!CX$106=1,GR23,1)</f>
        <v/>
      </c>
      <c r="LI23">
        <f>IF('計算A'!CY$106=1,GS23,1)</f>
        <v/>
      </c>
      <c r="LJ23">
        <f>IF('計算A'!CZ$106=1,GT23,1)</f>
        <v/>
      </c>
      <c r="LK23">
        <f>IF('計算A'!DA$106=1,GU23,1)</f>
        <v/>
      </c>
      <c r="LL23">
        <f>IF('計算A'!DB$106=1,GV23,1)</f>
        <v/>
      </c>
      <c r="LM23">
        <f>IF('計算A'!DC$106=1,GW23,1)</f>
        <v/>
      </c>
      <c r="LN23">
        <f>IF('計算A'!DD$106=1,GX23,1)</f>
        <v/>
      </c>
      <c r="LO23">
        <f>IF('計算A'!DE$106=1,GY23,1)</f>
        <v/>
      </c>
      <c r="LP23">
        <f>IF('計算A'!DF$106=1,GZ23,1)</f>
        <v/>
      </c>
      <c r="LQ23">
        <f>IF('計算A'!DG$106=1,HA23,1)</f>
        <v/>
      </c>
      <c r="LR23">
        <f>IF('計算A'!DH$106=1,HB23,1)</f>
        <v/>
      </c>
      <c r="LS23">
        <f>IF('計算A'!DI$106=1,HC23,1)</f>
        <v/>
      </c>
      <c r="LT23">
        <f>IF('計算A'!DJ$106=1,HD23,1)</f>
        <v/>
      </c>
      <c r="LU23">
        <f>IF('計算A'!DK$106=1,HE23,1)</f>
        <v/>
      </c>
      <c r="LV23">
        <f>IF('計算A'!DL$106=1,HF23,1)</f>
        <v/>
      </c>
      <c r="LW23">
        <f>IF('計算A'!DM$106=1,HG23,1)</f>
        <v/>
      </c>
      <c r="LX23">
        <f>IF('計算A'!DN$106=1,HH23,1)</f>
        <v/>
      </c>
      <c r="LY23">
        <f>IF('計算A'!DO$106=1,HI23,1)</f>
        <v/>
      </c>
      <c r="LZ23">
        <f>IF('計算A'!DP$106=1,HJ23,1)</f>
        <v/>
      </c>
      <c r="MA23">
        <f>IF('計算A'!DQ$106=1,HK23,1)</f>
        <v/>
      </c>
      <c r="MB23">
        <f>IF('計算A'!DR$106=1,HL23,1)</f>
        <v/>
      </c>
      <c r="MC23" t="n">
        <v>1</v>
      </c>
      <c r="ME23">
        <f>IF($B23=0,1000000,IF(INDEX('計算A'!$D$60:$DS$104,$B23,1)*CW23=1,IF(AND($E23=2,HN23=0),1000000,INDEX('計算A'!D$110:D$114,$F23+1)+IF(AND($E23=1,HN23=0),1000,0)),1000000))</f>
        <v/>
      </c>
      <c r="MF23">
        <f>IF($B23=0,1000000,IF(INDEX('計算A'!$D$60:$DS$104,$B23,2)*CX23=1,IF(AND($E23=2,HO23=0),1000000,INDEX('計算A'!E$110:E$114,$F23+1)+IF(AND($E23=1,HO23=0),1000,0)),1000000))</f>
        <v/>
      </c>
      <c r="MG23">
        <f>IF($B23=0,1000000,IF(INDEX('計算A'!$D$60:$DS$104,$B23,3)*CY23=1,IF(AND($E23=2,HP23=0),1000000,INDEX('計算A'!F$110:F$114,$F23+1)+IF(AND($E23=1,HP23=0),1000,0)),1000000))</f>
        <v/>
      </c>
      <c r="MH23">
        <f>IF($B23=0,1000000,IF(INDEX('計算A'!$D$60:$DS$104,$B23,4)*CZ23=1,IF(AND($E23=2,HQ23=0),1000000,INDEX('計算A'!G$110:G$114,$F23+1)+IF(AND($E23=1,HQ23=0),1000,0)),1000000))</f>
        <v/>
      </c>
      <c r="MI23">
        <f>IF($B23=0,1000000,IF(INDEX('計算A'!$D$60:$DS$104,$B23,5)*DA23=1,IF(AND($E23=2,HR23=0),1000000,INDEX('計算A'!H$110:H$114,$F23+1)+IF(AND($E23=1,HR23=0),1000,0)),1000000))</f>
        <v/>
      </c>
      <c r="MJ23">
        <f>IF($B23=0,1000000,IF(INDEX('計算A'!$D$60:$DS$104,$B23,6)*DB23=1,IF(AND($E23=2,HS23=0),1000000,INDEX('計算A'!I$110:I$114,$F23+1)+IF(AND($E23=1,HS23=0),1000,0)),1000000))</f>
        <v/>
      </c>
      <c r="MK23">
        <f>IF($B23=0,1000000,IF(INDEX('計算A'!$D$60:$DS$104,$B23,7)*DC23=1,IF(AND($E23=2,HT23=0),1000000,INDEX('計算A'!J$110:J$114,$F23+1)+IF(AND($E23=1,HT23=0),1000,0)),1000000))</f>
        <v/>
      </c>
      <c r="ML23">
        <f>IF($B23=0,1000000,IF(INDEX('計算A'!$D$60:$DS$104,$B23,8)*DD23=1,IF(AND($E23=2,HU23=0),1000000,INDEX('計算A'!K$110:K$114,$F23+1)+IF(AND($E23=1,HU23=0),1000,0)),1000000))</f>
        <v/>
      </c>
      <c r="MM23">
        <f>IF($B23=0,1000000,IF(INDEX('計算A'!$D$60:$DS$104,$B23,9)*DE23=1,IF(AND($E23=2,HV23=0),1000000,INDEX('計算A'!L$110:L$114,$F23+1)+IF(AND($E23=1,HV23=0),1000,0)),1000000))</f>
        <v/>
      </c>
      <c r="MN23">
        <f>IF($B23=0,1000000,IF(INDEX('計算A'!$D$60:$DS$104,$B23,10)*DF23=1,IF(AND($E23=2,HW23=0),1000000,INDEX('計算A'!M$110:M$114,$F23+1)+IF(AND($E23=1,HW23=0),1000,0)),1000000))</f>
        <v/>
      </c>
      <c r="MO23">
        <f>IF($B23=0,1000000,IF(INDEX('計算A'!$D$60:$DS$104,$B23,11)*DG23=1,IF(AND($E23=2,HX23=0),1000000,INDEX('計算A'!N$110:N$114,$F23+1)+IF(AND($E23=1,HX23=0),1000,0)),1000000))</f>
        <v/>
      </c>
      <c r="MP23">
        <f>IF($B23=0,1000000,IF(INDEX('計算A'!$D$60:$DS$104,$B23,12)*DH23=1,IF(AND($E23=2,HY23=0),1000000,INDEX('計算A'!O$110:O$114,$F23+1)+IF(AND($E23=1,HY23=0),1000,0)),1000000))</f>
        <v/>
      </c>
      <c r="MQ23">
        <f>IF($B23=0,1000000,IF(INDEX('計算A'!$D$60:$DS$104,$B23,13)*DI23=1,IF(AND($E23=2,HZ23=0),1000000,INDEX('計算A'!P$110:P$114,$F23+1)+IF(AND($E23=1,HZ23=0),1000,0)),1000000))</f>
        <v/>
      </c>
      <c r="MR23">
        <f>IF($B23=0,1000000,IF(INDEX('計算A'!$D$60:$DS$104,$B23,14)*DJ23=1,IF(AND($E23=2,IA23=0),1000000,INDEX('計算A'!Q$110:Q$114,$F23+1)+IF(AND($E23=1,IA23=0),1000,0)),1000000))</f>
        <v/>
      </c>
      <c r="MS23">
        <f>IF($B23=0,1000000,IF(INDEX('計算A'!$D$60:$DS$104,$B23,15)*DK23=1,IF(AND($E23=2,IB23=0),1000000,INDEX('計算A'!R$110:R$114,$F23+1)+IF(AND($E23=1,IB23=0),1000,0)),1000000))</f>
        <v/>
      </c>
      <c r="MT23">
        <f>IF($B23=0,1000000,IF(INDEX('計算A'!$D$60:$DS$104,$B23,16)*DL23=1,IF(AND($E23=2,IC23=0),1000000,INDEX('計算A'!S$110:S$114,$F23+1)+IF(AND($E23=1,IC23=0),1000,0)),1000000))</f>
        <v/>
      </c>
      <c r="MU23">
        <f>IF($B23=0,1000000,IF(INDEX('計算A'!$D$60:$DS$104,$B23,17)*DM23=1,IF(AND($E23=2,ID23=0),1000000,INDEX('計算A'!T$110:T$114,$F23+1)+IF(AND($E23=1,ID23=0),1000,0)),1000000))</f>
        <v/>
      </c>
      <c r="MV23">
        <f>IF($B23=0,1000000,IF(INDEX('計算A'!$D$60:$DS$104,$B23,18)*DN23=1,IF(AND($E23=2,IE23=0),1000000,INDEX('計算A'!U$110:U$114,$F23+1)+IF(AND($E23=1,IE23=0),1000,0)),1000000))</f>
        <v/>
      </c>
      <c r="MW23">
        <f>IF($B23=0,1000000,IF(INDEX('計算A'!$D$60:$DS$104,$B23,19)*DO23=1,IF(AND($E23=2,IF23=0),1000000,INDEX('計算A'!V$110:V$114,$F23+1)+IF(AND($E23=1,IF23=0),1000,0)),1000000))</f>
        <v/>
      </c>
      <c r="MX23">
        <f>IF($B23=0,1000000,IF(INDEX('計算A'!$D$60:$DS$104,$B23,20)*DP23=1,IF(AND($E23=2,IG23=0),1000000,INDEX('計算A'!W$110:W$114,$F23+1)+IF(AND($E23=1,IG23=0),1000,0)),1000000))</f>
        <v/>
      </c>
      <c r="MY23">
        <f>IF($B23=0,1000000,IF(INDEX('計算A'!$D$60:$DS$104,$B23,21)*DQ23=1,IF(AND($E23=2,IH23=0),1000000,INDEX('計算A'!X$110:X$114,$F23+1)+IF(AND($E23=1,IH23=0),1000,0)),1000000))</f>
        <v/>
      </c>
      <c r="MZ23">
        <f>IF($B23=0,1000000,IF(INDEX('計算A'!$D$60:$DS$104,$B23,22)*DR23=1,IF(AND($E23=2,II23=0),1000000,INDEX('計算A'!Y$110:Y$114,$F23+1)+IF(AND($E23=1,II23=0),1000,0)),1000000))</f>
        <v/>
      </c>
      <c r="NA23">
        <f>IF($B23=0,1000000,IF(INDEX('計算A'!$D$60:$DS$104,$B23,23)*DS23=1,IF(AND($E23=2,IJ23=0),1000000,INDEX('計算A'!Z$110:Z$114,$F23+1)+IF(AND($E23=1,IJ23=0),1000,0)),1000000))</f>
        <v/>
      </c>
      <c r="NB23">
        <f>IF($B23=0,1000000,IF(INDEX('計算A'!$D$60:$DS$104,$B23,24)*DT23=1,IF(AND($E23=2,IK23=0),1000000,INDEX('計算A'!AA$110:AA$114,$F23+1)+IF(AND($E23=1,IK23=0),1000,0)),1000000))</f>
        <v/>
      </c>
      <c r="NC23">
        <f>IF($B23=0,1000000,IF(INDEX('計算A'!$D$60:$DS$104,$B23,25)*DU23=1,IF(AND($E23=2,IL23=0),1000000,INDEX('計算A'!AB$110:AB$114,$F23+1)+IF(AND($E23=1,IL23=0),1000,0)),1000000))</f>
        <v/>
      </c>
      <c r="ND23">
        <f>IF($B23=0,1000000,IF(INDEX('計算A'!$D$60:$DS$104,$B23,26)*DV23=1,IF(AND($E23=2,IM23=0),1000000,INDEX('計算A'!AC$110:AC$114,$F23+1)+IF(AND($E23=1,IM23=0),1000,0)),1000000))</f>
        <v/>
      </c>
      <c r="NE23">
        <f>IF($B23=0,1000000,IF(INDEX('計算A'!$D$60:$DS$104,$B23,27)*DW23=1,IF(AND($E23=2,IN23=0),1000000,INDEX('計算A'!AD$110:AD$114,$F23+1)+IF(AND($E23=1,IN23=0),1000,0)),1000000))</f>
        <v/>
      </c>
      <c r="NF23">
        <f>IF($B23=0,1000000,IF(INDEX('計算A'!$D$60:$DS$104,$B23,28)*DX23=1,IF(AND($E23=2,IO23=0),1000000,INDEX('計算A'!AE$110:AE$114,$F23+1)+IF(AND($E23=1,IO23=0),1000,0)),1000000))</f>
        <v/>
      </c>
      <c r="NG23">
        <f>IF($B23=0,1000000,IF(INDEX('計算A'!$D$60:$DS$104,$B23,29)*DY23=1,IF(AND($E23=2,IP23=0),1000000,INDEX('計算A'!AF$110:AF$114,$F23+1)+IF(AND($E23=1,IP23=0),1000,0)),1000000))</f>
        <v/>
      </c>
      <c r="NH23">
        <f>IF($B23=0,1000000,IF(INDEX('計算A'!$D$60:$DS$104,$B23,30)*DZ23=1,IF(AND($E23=2,IQ23=0),1000000,INDEX('計算A'!AG$110:AG$114,$F23+1)+IF(AND($E23=1,IQ23=0),1000,0)),1000000))</f>
        <v/>
      </c>
      <c r="NI23">
        <f>IF($B23=0,1000000,IF(INDEX('計算A'!$D$60:$DS$104,$B23,31)*EA23=1,IF(AND($E23=2,IR23=0),1000000,INDEX('計算A'!AH$110:AH$114,$F23+1)+IF(AND($E23=1,IR23=0),1000,0)),1000000))</f>
        <v/>
      </c>
      <c r="NJ23">
        <f>IF($B23=0,1000000,IF(INDEX('計算A'!$D$60:$DS$104,$B23,32)*EB23=1,IF(AND($E23=2,IS23=0),1000000,INDEX('計算A'!AI$110:AI$114,$F23+1)+IF(AND($E23=1,IS23=0),1000,0)),1000000))</f>
        <v/>
      </c>
      <c r="NK23">
        <f>IF($B23=0,1000000,IF(INDEX('計算A'!$D$60:$DS$104,$B23,33)*EC23=1,IF(AND($E23=2,IT23=0),1000000,INDEX('計算A'!AJ$110:AJ$114,$F23+1)+IF(AND($E23=1,IT23=0),1000,0)),1000000))</f>
        <v/>
      </c>
      <c r="NL23">
        <f>IF($B23=0,1000000,IF(INDEX('計算A'!$D$60:$DS$104,$B23,34)*ED23=1,IF(AND($E23=2,IU23=0),1000000,INDEX('計算A'!AK$110:AK$114,$F23+1)+IF(AND($E23=1,IU23=0),1000,0)),1000000))</f>
        <v/>
      </c>
      <c r="NM23">
        <f>IF($B23=0,1000000,IF(INDEX('計算A'!$D$60:$DS$104,$B23,35)*EE23=1,IF(AND($E23=2,IV23=0),1000000,INDEX('計算A'!AL$110:AL$114,$F23+1)+IF(AND($E23=1,IV23=0),1000,0)),1000000))</f>
        <v/>
      </c>
      <c r="NN23">
        <f>IF($B23=0,1000000,IF(INDEX('計算A'!$D$60:$DS$104,$B23,36)*EF23=1,IF(AND($E23=2,IW23=0),1000000,INDEX('計算A'!AM$110:AM$114,$F23+1)+IF(AND($E23=1,IW23=0),1000,0)),1000000))</f>
        <v/>
      </c>
      <c r="NO23">
        <f>IF($B23=0,1000000,IF(INDEX('計算A'!$D$60:$DS$104,$B23,37)*EG23=1,IF(AND($E23=2,IX23=0),1000000,INDEX('計算A'!AN$110:AN$114,$F23+1)+IF(AND($E23=1,IX23=0),1000,0)),1000000))</f>
        <v/>
      </c>
      <c r="NP23">
        <f>IF($B23=0,1000000,IF(INDEX('計算A'!$D$60:$DS$104,$B23,38)*EH23=1,IF(AND($E23=2,IY23=0),1000000,INDEX('計算A'!AO$110:AO$114,$F23+1)+IF(AND($E23=1,IY23=0),1000,0)),1000000))</f>
        <v/>
      </c>
      <c r="NQ23">
        <f>IF($B23=0,1000000,IF(INDEX('計算A'!$D$60:$DS$104,$B23,39)*EI23=1,IF(AND($E23=2,IZ23=0),1000000,INDEX('計算A'!AP$110:AP$114,$F23+1)+IF(AND($E23=1,IZ23=0),1000,0)),1000000))</f>
        <v/>
      </c>
      <c r="NR23">
        <f>IF($B23=0,1000000,IF(INDEX('計算A'!$D$60:$DS$104,$B23,40)*EJ23=1,IF(AND($E23=2,JA23=0),1000000,INDEX('計算A'!AQ$110:AQ$114,$F23+1)+IF(AND($E23=1,JA23=0),1000,0)),1000000))</f>
        <v/>
      </c>
      <c r="NS23">
        <f>IF($B23=0,1000000,IF(INDEX('計算A'!$D$60:$DS$104,$B23,41)*EK23=1,IF(AND($E23=2,JB23=0),1000000,INDEX('計算A'!AR$110:AR$114,$F23+1)+IF(AND($E23=1,JB23=0),1000,0)),1000000))</f>
        <v/>
      </c>
      <c r="NT23">
        <f>IF($B23=0,1000000,IF(INDEX('計算A'!$D$60:$DS$104,$B23,42)*EL23=1,IF(AND($E23=2,JC23=0),1000000,INDEX('計算A'!AS$110:AS$114,$F23+1)+IF(AND($E23=1,JC23=0),1000,0)),1000000))</f>
        <v/>
      </c>
      <c r="NU23">
        <f>IF($B23=0,1000000,IF(INDEX('計算A'!$D$60:$DS$104,$B23,43)*EM23=1,IF(AND($E23=2,JD23=0),1000000,INDEX('計算A'!AT$110:AT$114,$F23+1)+IF(AND($E23=1,JD23=0),1000,0)),1000000))</f>
        <v/>
      </c>
      <c r="NV23">
        <f>IF($B23=0,1000000,IF(INDEX('計算A'!$D$60:$DS$104,$B23,44)*EN23=1,IF(AND($E23=2,JE23=0),1000000,INDEX('計算A'!AU$110:AU$114,$F23+1)+IF(AND($E23=1,JE23=0),1000,0)),1000000))</f>
        <v/>
      </c>
      <c r="NW23">
        <f>IF($B23=0,1000000,IF(INDEX('計算A'!$D$60:$DS$104,$B23,45)*EO23=1,IF(AND($E23=2,JF23=0),1000000,INDEX('計算A'!AV$110:AV$114,$F23+1)+IF(AND($E23=1,JF23=0),1000,0)),1000000))</f>
        <v/>
      </c>
      <c r="NX23">
        <f>IF($B23=0,1000000,IF(INDEX('計算A'!$D$60:$DS$104,$B23,46)*EP23=1,IF(AND($E23=2,JG23=0),1000000,INDEX('計算A'!AW$110:AW$114,$F23+1)+IF(AND($E23=1,JG23=0),1000,0)),1000000))</f>
        <v/>
      </c>
      <c r="NY23">
        <f>IF($B23=0,1000000,IF(INDEX('計算A'!$D$60:$DS$104,$B23,47)*EQ23=1,IF(AND($E23=2,JH23=0),1000000,INDEX('計算A'!AX$110:AX$114,$F23+1)+IF(AND($E23=1,JH23=0),1000,0)),1000000))</f>
        <v/>
      </c>
      <c r="NZ23">
        <f>IF($B23=0,1000000,IF(INDEX('計算A'!$D$60:$DS$104,$B23,48)*ER23=1,IF(AND($E23=2,JI23=0),1000000,INDEX('計算A'!AY$110:AY$114,$F23+1)+IF(AND($E23=1,JI23=0),1000,0)),1000000))</f>
        <v/>
      </c>
      <c r="OA23">
        <f>IF($B23=0,1000000,IF(INDEX('計算A'!$D$60:$DS$104,$B23,49)*ES23=1,IF(AND($E23=2,JJ23=0),1000000,INDEX('計算A'!AZ$110:AZ$114,$F23+1)+IF(AND($E23=1,JJ23=0),1000,0)),1000000))</f>
        <v/>
      </c>
      <c r="OB23">
        <f>IF($B23=0,1000000,IF(INDEX('計算A'!$D$60:$DS$104,$B23,50)*ET23=1,IF(AND($E23=2,JK23=0),1000000,INDEX('計算A'!BA$110:BA$114,$F23+1)+IF(AND($E23=1,JK23=0),1000,0)),1000000))</f>
        <v/>
      </c>
      <c r="OC23">
        <f>IF($B23=0,1000000,IF(INDEX('計算A'!$D$60:$DS$104,$B23,51)*EU23=1,IF(AND($E23=2,JL23=0),1000000,INDEX('計算A'!BB$110:BB$114,$F23+1)+IF(AND($E23=1,JL23=0),1000,0)),1000000))</f>
        <v/>
      </c>
      <c r="OD23">
        <f>IF($B23=0,1000000,IF(INDEX('計算A'!$D$60:$DS$104,$B23,52)*EV23=1,IF(AND($E23=2,JM23=0),1000000,INDEX('計算A'!BC$110:BC$114,$F23+1)+IF(AND($E23=1,JM23=0),1000,0)),1000000))</f>
        <v/>
      </c>
      <c r="OE23">
        <f>IF($B23=0,1000000,IF(INDEX('計算A'!$D$60:$DS$104,$B23,53)*EW23=1,IF(AND($E23=2,JN23=0),1000000,INDEX('計算A'!BD$110:BD$114,$F23+1)+IF(AND($E23=1,JN23=0),1000,0)),1000000))</f>
        <v/>
      </c>
      <c r="OF23">
        <f>IF($B23=0,1000000,IF(INDEX('計算A'!$D$60:$DS$104,$B23,54)*EX23=1,IF(AND($E23=2,JO23=0),1000000,INDEX('計算A'!BE$110:BE$114,$F23+1)+IF(AND($E23=1,JO23=0),1000,0)),1000000))</f>
        <v/>
      </c>
      <c r="OG23">
        <f>IF($B23=0,1000000,IF(INDEX('計算A'!$D$60:$DS$104,$B23,55)*EY23=1,IF(AND($E23=2,JP23=0),1000000,INDEX('計算A'!BF$110:BF$114,$F23+1)+IF(AND($E23=1,JP23=0),1000,0)),1000000))</f>
        <v/>
      </c>
      <c r="OH23">
        <f>IF($B23=0,1000000,IF(INDEX('計算A'!$D$60:$DS$104,$B23,56)*EZ23=1,IF(AND($E23=2,JQ23=0),1000000,INDEX('計算A'!BG$110:BG$114,$F23+1)+IF(AND($E23=1,JQ23=0),1000,0)),1000000))</f>
        <v/>
      </c>
      <c r="OI23">
        <f>IF($B23=0,1000000,IF(INDEX('計算A'!$D$60:$DS$104,$B23,57)*FA23=1,IF(AND($E23=2,JR23=0),1000000,INDEX('計算A'!BH$110:BH$114,$F23+1)+IF(AND($E23=1,JR23=0),1000,0)),1000000))</f>
        <v/>
      </c>
      <c r="OJ23">
        <f>IF($B23=0,1000000,IF(INDEX('計算A'!$D$60:$DS$104,$B23,58)*FB23=1,IF(AND($E23=2,JS23=0),1000000,INDEX('計算A'!BI$110:BI$114,$F23+1)+IF(AND($E23=1,JS23=0),1000,0)),1000000))</f>
        <v/>
      </c>
      <c r="OK23">
        <f>IF($B23=0,1000000,IF(INDEX('計算A'!$D$60:$DS$104,$B23,59)*FC23=1,IF(AND($E23=2,JT23=0),1000000,INDEX('計算A'!BJ$110:BJ$114,$F23+1)+IF(AND($E23=1,JT23=0),1000,0)),1000000))</f>
        <v/>
      </c>
      <c r="OL23">
        <f>IF($B23=0,1000000,IF(INDEX('計算A'!$D$60:$DS$104,$B23,60)*FD23=1,IF(AND($E23=2,JU23=0),1000000,INDEX('計算A'!BK$110:BK$114,$F23+1)+IF(AND($E23=1,JU23=0),1000,0)),1000000))</f>
        <v/>
      </c>
      <c r="OM23">
        <f>IF($B23=0,1000000,IF(INDEX('計算A'!$D$60:$DS$104,$B23,61)*FE23=1,IF(AND($E23=2,JV23=0),1000000,INDEX('計算A'!BL$110:BL$114,$F23+1)+IF(AND($E23=1,JV23=0),1000,0)),1000000))</f>
        <v/>
      </c>
      <c r="ON23">
        <f>IF($B23=0,1000000,IF(INDEX('計算A'!$D$60:$DS$104,$B23,62)*FF23=1,IF(AND($E23=2,JW23=0),1000000,INDEX('計算A'!BM$110:BM$114,$F23+1)+IF(AND($E23=1,JW23=0),1000,0)),1000000))</f>
        <v/>
      </c>
      <c r="OO23">
        <f>IF($B23=0,1000000,IF(INDEX('計算A'!$D$60:$DS$104,$B23,63)*FG23=1,IF(AND($E23=2,JX23=0),1000000,INDEX('計算A'!BN$110:BN$114,$F23+1)+IF(AND($E23=1,JX23=0),1000,0)),1000000))</f>
        <v/>
      </c>
      <c r="OP23">
        <f>IF($B23=0,1000000,IF(INDEX('計算A'!$D$60:$DS$104,$B23,64)*FH23=1,IF(AND($E23=2,JY23=0),1000000,INDEX('計算A'!BO$110:BO$114,$F23+1)+IF(AND($E23=1,JY23=0),1000,0)),1000000))</f>
        <v/>
      </c>
      <c r="OQ23">
        <f>IF($B23=0,1000000,IF(INDEX('計算A'!$D$60:$DS$104,$B23,65)*FI23=1,IF(AND($E23=2,JZ23=0),1000000,INDEX('計算A'!BP$110:BP$114,$F23+1)+IF(AND($E23=1,JZ23=0),1000,0)),1000000))</f>
        <v/>
      </c>
      <c r="OR23">
        <f>IF($B23=0,1000000,IF(INDEX('計算A'!$D$60:$DS$104,$B23,66)*FJ23=1,IF(AND($E23=2,KA23=0),1000000,INDEX('計算A'!BQ$110:BQ$114,$F23+1)+IF(AND($E23=1,KA23=0),1000,0)),1000000))</f>
        <v/>
      </c>
      <c r="OS23">
        <f>IF($B23=0,1000000,IF(INDEX('計算A'!$D$60:$DS$104,$B23,67)*FK23=1,IF(AND($E23=2,KB23=0),1000000,INDEX('計算A'!BR$110:BR$114,$F23+1)+IF(AND($E23=1,KB23=0),1000,0)),1000000))</f>
        <v/>
      </c>
      <c r="OT23">
        <f>IF($B23=0,1000000,IF(INDEX('計算A'!$D$60:$DS$104,$B23,68)*FL23=1,IF(AND($E23=2,KC23=0),1000000,INDEX('計算A'!BS$110:BS$114,$F23+1)+IF(AND($E23=1,KC23=0),1000,0)),1000000))</f>
        <v/>
      </c>
      <c r="OU23">
        <f>IF($B23=0,1000000,IF(INDEX('計算A'!$D$60:$DS$104,$B23,69)*FM23=1,IF(AND($E23=2,KD23=0),1000000,INDEX('計算A'!BT$110:BT$114,$F23+1)+IF(AND($E23=1,KD23=0),1000,0)),1000000))</f>
        <v/>
      </c>
      <c r="OV23">
        <f>IF($B23=0,1000000,IF(INDEX('計算A'!$D$60:$DS$104,$B23,70)*FN23=1,IF(AND($E23=2,KE23=0),1000000,INDEX('計算A'!BU$110:BU$114,$F23+1)+IF(AND($E23=1,KE23=0),1000,0)),1000000))</f>
        <v/>
      </c>
      <c r="OW23">
        <f>IF($B23=0,1000000,IF(INDEX('計算A'!$D$60:$DS$104,$B23,71)*FO23=1,IF(AND($E23=2,KF23=0),1000000,INDEX('計算A'!BV$110:BV$114,$F23+1)+IF(AND($E23=1,KF23=0),1000,0)),1000000))</f>
        <v/>
      </c>
      <c r="OX23">
        <f>IF($B23=0,1000000,IF(INDEX('計算A'!$D$60:$DS$104,$B23,72)*FP23=1,IF(AND($E23=2,KG23=0),1000000,INDEX('計算A'!BW$110:BW$114,$F23+1)+IF(AND($E23=1,KG23=0),1000,0)),1000000))</f>
        <v/>
      </c>
      <c r="OY23">
        <f>IF($B23=0,1000000,IF(INDEX('計算A'!$D$60:$DS$104,$B23,73)*FQ23=1,IF(AND($E23=2,KH23=0),1000000,INDEX('計算A'!BX$110:BX$114,$F23+1)+IF(AND($E23=1,KH23=0),1000,0)),1000000))</f>
        <v/>
      </c>
      <c r="OZ23">
        <f>IF($B23=0,1000000,IF(INDEX('計算A'!$D$60:$DS$104,$B23,74)*FR23=1,IF(AND($E23=2,KI23=0),1000000,INDEX('計算A'!BY$110:BY$114,$F23+1)+IF(AND($E23=1,KI23=0),1000,0)),1000000))</f>
        <v/>
      </c>
      <c r="PA23">
        <f>IF($B23=0,1000000,IF(INDEX('計算A'!$D$60:$DS$104,$B23,75)*FS23=1,IF(AND($E23=2,KJ23=0),1000000,INDEX('計算A'!BZ$110:BZ$114,$F23+1)+IF(AND($E23=1,KJ23=0),1000,0)),1000000))</f>
        <v/>
      </c>
      <c r="PB23">
        <f>IF($B23=0,1000000,IF(INDEX('計算A'!$D$60:$DS$104,$B23,76)*FT23=1,IF(AND($E23=2,KK23=0),1000000,INDEX('計算A'!CA$110:CA$114,$F23+1)+IF(AND($E23=1,KK23=0),1000,0)),1000000))</f>
        <v/>
      </c>
      <c r="PC23">
        <f>IF($B23=0,1000000,IF(INDEX('計算A'!$D$60:$DS$104,$B23,77)*FU23=1,IF(AND($E23=2,KL23=0),1000000,INDEX('計算A'!CB$110:CB$114,$F23+1)+IF(AND($E23=1,KL23=0),1000,0)),1000000))</f>
        <v/>
      </c>
      <c r="PD23">
        <f>IF($B23=0,1000000,IF(INDEX('計算A'!$D$60:$DS$104,$B23,78)*FV23=1,IF(AND($E23=2,KM23=0),1000000,INDEX('計算A'!CC$110:CC$114,$F23+1)+IF(AND($E23=1,KM23=0),1000,0)),1000000))</f>
        <v/>
      </c>
      <c r="PE23">
        <f>IF($B23=0,1000000,IF(INDEX('計算A'!$D$60:$DS$104,$B23,79)*FW23=1,IF(AND($E23=2,KN23=0),1000000,INDEX('計算A'!CD$110:CD$114,$F23+1)+IF(AND($E23=1,KN23=0),1000,0)),1000000))</f>
        <v/>
      </c>
      <c r="PF23">
        <f>IF($B23=0,1000000,IF(INDEX('計算A'!$D$60:$DS$104,$B23,80)*FX23=1,IF(AND($E23=2,KO23=0),1000000,INDEX('計算A'!CE$110:CE$114,$F23+1)+IF(AND($E23=1,KO23=0),1000,0)),1000000))</f>
        <v/>
      </c>
      <c r="PG23">
        <f>IF($B23=0,1000000,IF(INDEX('計算A'!$D$60:$DS$104,$B23,81)*FY23=1,IF(AND($E23=2,KP23=0),1000000,INDEX('計算A'!CF$110:CF$114,$F23+1)+IF(AND($E23=1,KP23=0),1000,0)),1000000))</f>
        <v/>
      </c>
      <c r="PH23">
        <f>IF($B23=0,1000000,IF(INDEX('計算A'!$D$60:$DS$104,$B23,82)*FZ23=1,IF(AND($E23=2,KQ23=0),1000000,INDEX('計算A'!CG$110:CG$114,$F23+1)+IF(AND($E23=1,KQ23=0),1000,0)),1000000))</f>
        <v/>
      </c>
      <c r="PI23">
        <f>IF($B23=0,1000000,IF(INDEX('計算A'!$D$60:$DS$104,$B23,83)*GA23=1,IF(AND($E23=2,KR23=0),1000000,INDEX('計算A'!CH$110:CH$114,$F23+1)+IF(AND($E23=1,KR23=0),1000,0)),1000000))</f>
        <v/>
      </c>
      <c r="PJ23">
        <f>IF($B23=0,1000000,IF(INDEX('計算A'!$D$60:$DS$104,$B23,84)*GB23=1,IF(AND($E23=2,KS23=0),1000000,INDEX('計算A'!CI$110:CI$114,$F23+1)+IF(AND($E23=1,KS23=0),1000,0)),1000000))</f>
        <v/>
      </c>
      <c r="PK23">
        <f>IF($B23=0,1000000,IF(INDEX('計算A'!$D$60:$DS$104,$B23,85)*GC23=1,IF(AND($E23=2,KT23=0),1000000,INDEX('計算A'!CJ$110:CJ$114,$F23+1)+IF(AND($E23=1,KT23=0),1000,0)),1000000))</f>
        <v/>
      </c>
      <c r="PL23">
        <f>IF($B23=0,1000000,IF(INDEX('計算A'!$D$60:$DS$104,$B23,86)*GD23=1,IF(AND($E23=2,KU23=0),1000000,INDEX('計算A'!CK$110:CK$114,$F23+1)+IF(AND($E23=1,KU23=0),1000,0)),1000000))</f>
        <v/>
      </c>
      <c r="PM23">
        <f>IF($B23=0,1000000,IF(INDEX('計算A'!$D$60:$DS$104,$B23,87)*GE23=1,IF(AND($E23=2,KV23=0),1000000,INDEX('計算A'!CL$110:CL$114,$F23+1)+IF(AND($E23=1,KV23=0),1000,0)),1000000))</f>
        <v/>
      </c>
      <c r="PN23">
        <f>IF($B23=0,1000000,IF(INDEX('計算A'!$D$60:$DS$104,$B23,88)*GF23=1,IF(AND($E23=2,KW23=0),1000000,INDEX('計算A'!CM$110:CM$114,$F23+1)+IF(AND($E23=1,KW23=0),1000,0)),1000000))</f>
        <v/>
      </c>
      <c r="PO23">
        <f>IF($B23=0,1000000,IF(INDEX('計算A'!$D$60:$DS$104,$B23,89)*GG23=1,IF(AND($E23=2,KX23=0),1000000,INDEX('計算A'!CN$110:CN$114,$F23+1)+IF(AND($E23=1,KX23=0),1000,0)),1000000))</f>
        <v/>
      </c>
      <c r="PP23">
        <f>IF($B23=0,1000000,IF(INDEX('計算A'!$D$60:$DS$104,$B23,90)*GH23=1,IF(AND($E23=2,KY23=0),1000000,INDEX('計算A'!CO$110:CO$114,$F23+1)+IF(AND($E23=1,KY23=0),1000,0)),1000000))</f>
        <v/>
      </c>
      <c r="PQ23">
        <f>IF($B23=0,1000000,IF(INDEX('計算A'!$D$60:$DS$104,$B23,91)*GI23=1,IF(AND($E23=2,KZ23=0),1000000,INDEX('計算A'!CP$110:CP$114,$F23+1)+IF(AND($E23=1,KZ23=0),1000,0)),1000000))</f>
        <v/>
      </c>
      <c r="PR23">
        <f>IF($B23=0,1000000,IF(INDEX('計算A'!$D$60:$DS$104,$B23,92)*GJ23=1,IF(AND($E23=2,LA23=0),1000000,INDEX('計算A'!CQ$110:CQ$114,$F23+1)+IF(AND($E23=1,LA23=0),1000,0)),1000000))</f>
        <v/>
      </c>
      <c r="PS23">
        <f>IF($B23=0,1000000,IF(INDEX('計算A'!$D$60:$DS$104,$B23,93)*GK23=1,IF(AND($E23=2,LB23=0),1000000,INDEX('計算A'!CR$110:CR$114,$F23+1)+IF(AND($E23=1,LB23=0),1000,0)),1000000))</f>
        <v/>
      </c>
      <c r="PT23">
        <f>IF($B23=0,1000000,IF(INDEX('計算A'!$D$60:$DS$104,$B23,94)*GL23=1,IF(AND($E23=2,LC23=0),1000000,INDEX('計算A'!CS$110:CS$114,$F23+1)+IF(AND($E23=1,LC23=0),1000,0)),1000000))</f>
        <v/>
      </c>
      <c r="PU23">
        <f>IF($B23=0,1000000,IF(INDEX('計算A'!$D$60:$DS$104,$B23,95)*GM23=1,IF(AND($E23=2,LD23=0),1000000,INDEX('計算A'!CT$110:CT$114,$F23+1)+IF(AND($E23=1,LD23=0),1000,0)),1000000))</f>
        <v/>
      </c>
      <c r="PV23">
        <f>IF($B23=0,1000000,IF(INDEX('計算A'!$D$60:$DS$104,$B23,96)*GN23=1,IF(AND($E23=2,LE23=0),1000000,INDEX('計算A'!CU$110:CU$114,$F23+1)+IF(AND($E23=1,LE23=0),1000,0)),1000000))</f>
        <v/>
      </c>
      <c r="PW23">
        <f>IF($B23=0,1000000,IF(INDEX('計算A'!$D$60:$DS$104,$B23,97)*GO23=1,IF(AND($E23=2,LF23=0),1000000,INDEX('計算A'!CV$110:CV$114,$F23+1)+IF(AND($E23=1,LF23=0),1000,0)),1000000))</f>
        <v/>
      </c>
      <c r="PX23">
        <f>IF($B23=0,1000000,IF(INDEX('計算A'!$D$60:$DS$104,$B23,98)*GP23=1,IF(AND($E23=2,LG23=0),1000000,INDEX('計算A'!CW$110:CW$114,$F23+1)+IF(AND($E23=1,LG23=0),1000,0)),1000000))</f>
        <v/>
      </c>
      <c r="PY23">
        <f>IF($B23=0,1000000,IF(INDEX('計算A'!$D$60:$DS$104,$B23,99)*GQ23=1,IF(AND($E23=2,LH23=0),1000000,INDEX('計算A'!CX$110:CX$114,$F23+1)+IF(AND($E23=1,LH23=0),1000,0)),1000000))</f>
        <v/>
      </c>
      <c r="PZ23">
        <f>IF($B23=0,1000000,IF(INDEX('計算A'!$D$60:$DS$104,$B23,100)*GR23=1,IF(AND($E23=2,LI23=0),1000000,INDEX('計算A'!CY$110:CY$114,$F23+1)+IF(AND($E23=1,LI23=0),1000,0)),1000000))</f>
        <v/>
      </c>
      <c r="QA23">
        <f>IF($B23=0,1000000,IF(INDEX('計算A'!$D$60:$DS$104,$B23,101)*GS23=1,IF(AND($E23=2,LJ23=0),1000000,INDEX('計算A'!CZ$110:CZ$114,$F23+1)+IF(AND($E23=1,LJ23=0),1000,0)),1000000))</f>
        <v/>
      </c>
      <c r="QB23">
        <f>IF($B23=0,1000000,IF(INDEX('計算A'!$D$60:$DS$104,$B23,102)*GT23=1,IF(AND($E23=2,LK23=0),1000000,INDEX('計算A'!DA$110:DA$114,$F23+1)+IF(AND($E23=1,LK23=0),1000,0)),1000000))</f>
        <v/>
      </c>
      <c r="QC23">
        <f>IF($B23=0,1000000,IF(INDEX('計算A'!$D$60:$DS$104,$B23,103)*GU23=1,IF(AND($E23=2,LL23=0),1000000,INDEX('計算A'!DB$110:DB$114,$F23+1)+IF(AND($E23=1,LL23=0),1000,0)),1000000))</f>
        <v/>
      </c>
      <c r="QD23">
        <f>IF($B23=0,1000000,IF(INDEX('計算A'!$D$60:$DS$104,$B23,104)*GV23=1,IF(AND($E23=2,LM23=0),1000000,INDEX('計算A'!DC$110:DC$114,$F23+1)+IF(AND($E23=1,LM23=0),1000,0)),1000000))</f>
        <v/>
      </c>
      <c r="QE23">
        <f>IF($B23=0,1000000,IF(INDEX('計算A'!$D$60:$DS$104,$B23,105)*GW23=1,IF(AND($E23=2,LN23=0),1000000,INDEX('計算A'!DD$110:DD$114,$F23+1)+IF(AND($E23=1,LN23=0),1000,0)),1000000))</f>
        <v/>
      </c>
      <c r="QF23">
        <f>IF($B23=0,1000000,IF(INDEX('計算A'!$D$60:$DS$104,$B23,106)*GX23=1,IF(AND($E23=2,LO23=0),1000000,INDEX('計算A'!DE$110:DE$114,$F23+1)+IF(AND($E23=1,LO23=0),1000,0)),1000000))</f>
        <v/>
      </c>
      <c r="QG23">
        <f>IF($B23=0,1000000,IF(INDEX('計算A'!$D$60:$DS$104,$B23,107)*GY23=1,IF(AND($E23=2,LP23=0),1000000,INDEX('計算A'!DF$110:DF$114,$F23+1)+IF(AND($E23=1,LP23=0),1000,0)),1000000))</f>
        <v/>
      </c>
      <c r="QH23">
        <f>IF($B23=0,1000000,IF(INDEX('計算A'!$D$60:$DS$104,$B23,108)*GZ23=1,IF(AND($E23=2,LQ23=0),1000000,INDEX('計算A'!DG$110:DG$114,$F23+1)+IF(AND($E23=1,LQ23=0),1000,0)),1000000))</f>
        <v/>
      </c>
      <c r="QI23">
        <f>IF($B23=0,1000000,IF(INDEX('計算A'!$D$60:$DS$104,$B23,109)*HA23=1,IF(AND($E23=2,LR23=0),1000000,INDEX('計算A'!DH$110:DH$114,$F23+1)+IF(AND($E23=1,LR23=0),1000,0)),1000000))</f>
        <v/>
      </c>
      <c r="QJ23">
        <f>IF($B23=0,1000000,IF(INDEX('計算A'!$D$60:$DS$104,$B23,110)*HB23=1,IF(AND($E23=2,LS23=0),1000000,INDEX('計算A'!DI$110:DI$114,$F23+1)+IF(AND($E23=1,LS23=0),1000,0)),1000000))</f>
        <v/>
      </c>
      <c r="QK23">
        <f>IF($B23=0,1000000,IF(INDEX('計算A'!$D$60:$DS$104,$B23,111)*HC23=1,IF(AND($E23=2,LT23=0),1000000,INDEX('計算A'!DJ$110:DJ$114,$F23+1)+IF(AND($E23=1,LT23=0),1000,0)),1000000))</f>
        <v/>
      </c>
      <c r="QL23">
        <f>IF($B23=0,1000000,IF(INDEX('計算A'!$D$60:$DS$104,$B23,112)*HD23=1,IF(AND($E23=2,LU23=0),1000000,INDEX('計算A'!DK$110:DK$114,$F23+1)+IF(AND($E23=1,LU23=0),1000,0)),1000000))</f>
        <v/>
      </c>
      <c r="QM23">
        <f>IF($B23=0,1000000,IF(INDEX('計算A'!$D$60:$DS$104,$B23,113)*HE23=1,IF(AND($E23=2,LV23=0),1000000,INDEX('計算A'!DL$110:DL$114,$F23+1)+IF(AND($E23=1,LV23=0),1000,0)),1000000))</f>
        <v/>
      </c>
      <c r="QN23">
        <f>IF($B23=0,1000000,IF(INDEX('計算A'!$D$60:$DS$104,$B23,114)*HF23=1,IF(AND($E23=2,LW23=0),1000000,INDEX('計算A'!DM$110:DM$114,$F23+1)+IF(AND($E23=1,LW23=0),1000,0)),1000000))</f>
        <v/>
      </c>
      <c r="QO23">
        <f>IF($B23=0,1000000,IF(INDEX('計算A'!$D$60:$DS$104,$B23,115)*HG23=1,IF(AND($E23=2,LX23=0),1000000,INDEX('計算A'!DN$110:DN$114,$F23+1)+IF(AND($E23=1,LX23=0),1000,0)),1000000))</f>
        <v/>
      </c>
      <c r="QP23">
        <f>IF($B23=0,1000000,IF(INDEX('計算A'!$D$60:$DS$104,$B23,116)*HH23=1,IF(AND($E23=2,LY23=0),1000000,INDEX('計算A'!DO$110:DO$114,$F23+1)+IF(AND($E23=1,LY23=0),1000,0)),1000000))</f>
        <v/>
      </c>
      <c r="QQ23">
        <f>IF($B23=0,1000000,IF(INDEX('計算A'!$D$60:$DS$104,$B23,117)*HI23=1,IF(AND($E23=2,LZ23=0),1000000,INDEX('計算A'!DP$110:DP$114,$F23+1)+IF(AND($E23=1,LZ23=0),1000,0)),1000000))</f>
        <v/>
      </c>
      <c r="QR23">
        <f>IF($B23=0,1000000,IF(INDEX('計算A'!$D$60:$DS$104,$B23,118)*HJ23=1,IF(AND($E23=2,MA23=0),1000000,INDEX('計算A'!DQ$110:DQ$114,$F23+1)+IF(AND($E23=1,MA23=0),1000,0)),1000000))</f>
        <v/>
      </c>
      <c r="QS23">
        <f>IF($B23=0,1000000,IF(INDEX('計算A'!$D$60:$DS$104,$B23,119)*HK23=1,IF(AND($E23=2,MB23=0),1000000,INDEX('計算A'!DR$110:DR$114,$F23+1)+IF(AND($E23=1,MB23=0),1000,0)),1000000))</f>
        <v/>
      </c>
      <c r="QT23">
        <f>IF($B23=0,1000000,IF(INDEX('計算A'!$D$60:$DS$104,$B23,120)*HL23=1,IF(AND($E23=2,MC23=0),1000000,INDEX('計算A'!DS$110:DS$114,$F23+1)+IF(AND($E23=1,MC23=0),1000,0)),1000000))</f>
        <v/>
      </c>
    </row>
    <row r="24">
      <c r="A24" t="n">
        <v>22</v>
      </c>
      <c r="B24">
        <f>IF(MIN(BC24:CU24)&gt;=1000000,0,MATCH(MIN(BC24:CU24),BC24:CU24,0))</f>
        <v/>
      </c>
      <c r="C24">
        <f>IF(MIN(ME24:QT24)&gt;=1000000,0,MATCH(MIN(ME24:QT24),ME24:QT24,0))</f>
        <v/>
      </c>
      <c r="D24">
        <f>IF(C24&gt;0,INDEX('計算A'!$D$5:$DS$5,C24),0)</f>
        <v/>
      </c>
      <c r="E24">
        <f>IF(B24=0,0,INDEX('計算A'!$EA$10:$EA$54,B24))</f>
        <v/>
      </c>
      <c r="F24">
        <f>IF(B24=0,0,INDEX('計算A'!$DZ$10:$DZ$54,B24))</f>
        <v/>
      </c>
      <c r="G24">
        <f>IF(AND(C24&gt;0,E24&gt;0),IF(AND(INDEX('計算A'!$D$106:$DS$106,C24)=1,INDEX($HN24:$MC24,C24)=1),C24+1,0),0)</f>
        <v/>
      </c>
      <c r="I24">
        <f>MAX(I23,IF($B23=1,1,0))</f>
        <v/>
      </c>
      <c r="J24">
        <f>MAX(J23,IF($B23=2,1,0))</f>
        <v/>
      </c>
      <c r="K24">
        <f>MAX(K23,IF($B23=3,1,0))</f>
        <v/>
      </c>
      <c r="L24">
        <f>MAX(L23,IF($B23=4,1,0))</f>
        <v/>
      </c>
      <c r="M24">
        <f>MAX(M23,IF($B23=5,1,0))</f>
        <v/>
      </c>
      <c r="N24">
        <f>MAX(N23,IF($B23=6,1,0))</f>
        <v/>
      </c>
      <c r="O24">
        <f>MAX(O23,IF($B23=7,1,0))</f>
        <v/>
      </c>
      <c r="P24">
        <f>MAX(P23,IF($B23=8,1,0))</f>
        <v/>
      </c>
      <c r="Q24">
        <f>MAX(Q23,IF($B23=9,1,0))</f>
        <v/>
      </c>
      <c r="R24">
        <f>MAX(R23,IF($B23=10,1,0))</f>
        <v/>
      </c>
      <c r="S24">
        <f>MAX(S23,IF($B23=11,1,0))</f>
        <v/>
      </c>
      <c r="T24">
        <f>MAX(T23,IF($B23=12,1,0))</f>
        <v/>
      </c>
      <c r="U24">
        <f>MAX(U23,IF($B23=13,1,0))</f>
        <v/>
      </c>
      <c r="V24">
        <f>MAX(V23,IF($B23=14,1,0))</f>
        <v/>
      </c>
      <c r="W24">
        <f>MAX(W23,IF($B23=15,1,0))</f>
        <v/>
      </c>
      <c r="X24">
        <f>MAX(X23,IF($B23=16,1,0))</f>
        <v/>
      </c>
      <c r="Y24">
        <f>MAX(Y23,IF($B23=17,1,0))</f>
        <v/>
      </c>
      <c r="Z24">
        <f>MAX(Z23,IF($B23=18,1,0))</f>
        <v/>
      </c>
      <c r="AA24">
        <f>MAX(AA23,IF($B23=19,1,0))</f>
        <v/>
      </c>
      <c r="AB24">
        <f>MAX(AB23,IF($B23=20,1,0))</f>
        <v/>
      </c>
      <c r="AC24">
        <f>MAX(AC23,IF($B23=21,1,0))</f>
        <v/>
      </c>
      <c r="AD24">
        <f>MAX(AD23,IF($B23=22,1,0))</f>
        <v/>
      </c>
      <c r="AE24">
        <f>MAX(AE23,IF($B23=23,1,0))</f>
        <v/>
      </c>
      <c r="AF24">
        <f>MAX(AF23,IF($B23=24,1,0))</f>
        <v/>
      </c>
      <c r="AG24">
        <f>MAX(AG23,IF($B23=25,1,0))</f>
        <v/>
      </c>
      <c r="AH24">
        <f>MAX(AH23,IF($B23=26,1,0))</f>
        <v/>
      </c>
      <c r="AI24">
        <f>MAX(AI23,IF($B23=27,1,0))</f>
        <v/>
      </c>
      <c r="AJ24">
        <f>MAX(AJ23,IF($B23=28,1,0))</f>
        <v/>
      </c>
      <c r="AK24">
        <f>MAX(AK23,IF($B23=29,1,0))</f>
        <v/>
      </c>
      <c r="AL24">
        <f>MAX(AL23,IF($B23=30,1,0))</f>
        <v/>
      </c>
      <c r="AM24">
        <f>MAX(AM23,IF($B23=31,1,0))</f>
        <v/>
      </c>
      <c r="AN24">
        <f>MAX(AN23,IF($B23=32,1,0))</f>
        <v/>
      </c>
      <c r="AO24">
        <f>MAX(AO23,IF($B23=33,1,0))</f>
        <v/>
      </c>
      <c r="AP24">
        <f>MAX(AP23,IF($B23=34,1,0))</f>
        <v/>
      </c>
      <c r="AQ24">
        <f>MAX(AQ23,IF($B23=35,1,0))</f>
        <v/>
      </c>
      <c r="AR24">
        <f>MAX(AR23,IF($B23=36,1,0))</f>
        <v/>
      </c>
      <c r="AS24">
        <f>MAX(AS23,IF($B23=37,1,0))</f>
        <v/>
      </c>
      <c r="AT24">
        <f>MAX(AT23,IF($B23=38,1,0))</f>
        <v/>
      </c>
      <c r="AU24">
        <f>MAX(AU23,IF($B23=39,1,0))</f>
        <v/>
      </c>
      <c r="AV24">
        <f>MAX(AV23,IF($B23=40,1,0))</f>
        <v/>
      </c>
      <c r="AW24">
        <f>MAX(AW23,IF($B23=41,1,0))</f>
        <v/>
      </c>
      <c r="AX24">
        <f>MAX(AX23,IF($B23=42,1,0))</f>
        <v/>
      </c>
      <c r="AY24">
        <f>MAX(AY23,IF($B23=43,1,0))</f>
        <v/>
      </c>
      <c r="AZ24">
        <f>MAX(AZ23,IF($B23=44,1,0))</f>
        <v/>
      </c>
      <c r="BA24">
        <f>MAX(BA23,IF($B23=45,1,0))</f>
        <v/>
      </c>
      <c r="BC24">
        <f>IF(I24=1,1000000,IF('計算A'!$EA$10=2,SUMPRODUCT('計算A'!$D$60:$DS$60,$CW24:$HL24,$HN24:$MC24),SUMPRODUCT('計算A'!$D$60:$DS$60,$CW24:$HL24))*1000+1)</f>
        <v/>
      </c>
      <c r="BD24">
        <f>IF(J24=1,1000000,IF('計算A'!$EA$11=2,SUMPRODUCT('計算A'!$D$61:$DS$61,$CW24:$HL24,$HN24:$MC24),SUMPRODUCT('計算A'!$D$61:$DS$61,$CW24:$HL24))*1000+2)</f>
        <v/>
      </c>
      <c r="BE24">
        <f>IF(K24=1,1000000,IF('計算A'!$EA$12=2,SUMPRODUCT('計算A'!$D$62:$DS$62,$CW24:$HL24,$HN24:$MC24),SUMPRODUCT('計算A'!$D$62:$DS$62,$CW24:$HL24))*1000+3)</f>
        <v/>
      </c>
      <c r="BF24">
        <f>IF(L24=1,1000000,IF('計算A'!$EA$13=2,SUMPRODUCT('計算A'!$D$63:$DS$63,$CW24:$HL24,$HN24:$MC24),SUMPRODUCT('計算A'!$D$63:$DS$63,$CW24:$HL24))*1000+4)</f>
        <v/>
      </c>
      <c r="BG24">
        <f>IF(M24=1,1000000,IF('計算A'!$EA$14=2,SUMPRODUCT('計算A'!$D$64:$DS$64,$CW24:$HL24,$HN24:$MC24),SUMPRODUCT('計算A'!$D$64:$DS$64,$CW24:$HL24))*1000+5)</f>
        <v/>
      </c>
      <c r="BH24">
        <f>IF(N24=1,1000000,IF('計算A'!$EA$15=2,SUMPRODUCT('計算A'!$D$65:$DS$65,$CW24:$HL24,$HN24:$MC24),SUMPRODUCT('計算A'!$D$65:$DS$65,$CW24:$HL24))*1000+6)</f>
        <v/>
      </c>
      <c r="BI24">
        <f>IF(O24=1,1000000,IF('計算A'!$EA$16=2,SUMPRODUCT('計算A'!$D$66:$DS$66,$CW24:$HL24,$HN24:$MC24),SUMPRODUCT('計算A'!$D$66:$DS$66,$CW24:$HL24))*1000+7)</f>
        <v/>
      </c>
      <c r="BJ24">
        <f>IF(P24=1,1000000,IF('計算A'!$EA$17=2,SUMPRODUCT('計算A'!$D$67:$DS$67,$CW24:$HL24,$HN24:$MC24),SUMPRODUCT('計算A'!$D$67:$DS$67,$CW24:$HL24))*1000+8)</f>
        <v/>
      </c>
      <c r="BK24">
        <f>IF(Q24=1,1000000,IF('計算A'!$EA$18=2,SUMPRODUCT('計算A'!$D$68:$DS$68,$CW24:$HL24,$HN24:$MC24),SUMPRODUCT('計算A'!$D$68:$DS$68,$CW24:$HL24))*1000+9)</f>
        <v/>
      </c>
      <c r="BL24">
        <f>IF(R24=1,1000000,IF('計算A'!$EA$19=2,SUMPRODUCT('計算A'!$D$69:$DS$69,$CW24:$HL24,$HN24:$MC24),SUMPRODUCT('計算A'!$D$69:$DS$69,$CW24:$HL24))*1000+10)</f>
        <v/>
      </c>
      <c r="BM24">
        <f>IF(S24=1,1000000,IF('計算A'!$EA$20=2,SUMPRODUCT('計算A'!$D$70:$DS$70,$CW24:$HL24,$HN24:$MC24),SUMPRODUCT('計算A'!$D$70:$DS$70,$CW24:$HL24))*1000+11)</f>
        <v/>
      </c>
      <c r="BN24">
        <f>IF(T24=1,1000000,IF('計算A'!$EA$21=2,SUMPRODUCT('計算A'!$D$71:$DS$71,$CW24:$HL24,$HN24:$MC24),SUMPRODUCT('計算A'!$D$71:$DS$71,$CW24:$HL24))*1000+12)</f>
        <v/>
      </c>
      <c r="BO24">
        <f>IF(U24=1,1000000,IF('計算A'!$EA$22=2,SUMPRODUCT('計算A'!$D$72:$DS$72,$CW24:$HL24,$HN24:$MC24),SUMPRODUCT('計算A'!$D$72:$DS$72,$CW24:$HL24))*1000+13)</f>
        <v/>
      </c>
      <c r="BP24">
        <f>IF(V24=1,1000000,IF('計算A'!$EA$23=2,SUMPRODUCT('計算A'!$D$73:$DS$73,$CW24:$HL24,$HN24:$MC24),SUMPRODUCT('計算A'!$D$73:$DS$73,$CW24:$HL24))*1000+14)</f>
        <v/>
      </c>
      <c r="BQ24">
        <f>IF(W24=1,1000000,IF('計算A'!$EA$24=2,SUMPRODUCT('計算A'!$D$74:$DS$74,$CW24:$HL24,$HN24:$MC24),SUMPRODUCT('計算A'!$D$74:$DS$74,$CW24:$HL24))*1000+15)</f>
        <v/>
      </c>
      <c r="BR24">
        <f>IF(X24=1,1000000,IF('計算A'!$EA$25=2,SUMPRODUCT('計算A'!$D$75:$DS$75,$CW24:$HL24,$HN24:$MC24),SUMPRODUCT('計算A'!$D$75:$DS$75,$CW24:$HL24))*1000+16)</f>
        <v/>
      </c>
      <c r="BS24">
        <f>IF(Y24=1,1000000,IF('計算A'!$EA$26=2,SUMPRODUCT('計算A'!$D$76:$DS$76,$CW24:$HL24,$HN24:$MC24),SUMPRODUCT('計算A'!$D$76:$DS$76,$CW24:$HL24))*1000+17)</f>
        <v/>
      </c>
      <c r="BT24">
        <f>IF(Z24=1,1000000,IF('計算A'!$EA$27=2,SUMPRODUCT('計算A'!$D$77:$DS$77,$CW24:$HL24,$HN24:$MC24),SUMPRODUCT('計算A'!$D$77:$DS$77,$CW24:$HL24))*1000+18)</f>
        <v/>
      </c>
      <c r="BU24">
        <f>IF(AA24=1,1000000,IF('計算A'!$EA$28=2,SUMPRODUCT('計算A'!$D$78:$DS$78,$CW24:$HL24,$HN24:$MC24),SUMPRODUCT('計算A'!$D$78:$DS$78,$CW24:$HL24))*1000+19)</f>
        <v/>
      </c>
      <c r="BV24">
        <f>IF(AB24=1,1000000,IF('計算A'!$EA$29=2,SUMPRODUCT('計算A'!$D$79:$DS$79,$CW24:$HL24,$HN24:$MC24),SUMPRODUCT('計算A'!$D$79:$DS$79,$CW24:$HL24))*1000+20)</f>
        <v/>
      </c>
      <c r="BW24">
        <f>IF(AC24=1,1000000,IF('計算A'!$EA$30=2,SUMPRODUCT('計算A'!$D$80:$DS$80,$CW24:$HL24,$HN24:$MC24),SUMPRODUCT('計算A'!$D$80:$DS$80,$CW24:$HL24))*1000+21)</f>
        <v/>
      </c>
      <c r="BX24">
        <f>IF(AD24=1,1000000,IF('計算A'!$EA$31=2,SUMPRODUCT('計算A'!$D$81:$DS$81,$CW24:$HL24,$HN24:$MC24),SUMPRODUCT('計算A'!$D$81:$DS$81,$CW24:$HL24))*1000+22)</f>
        <v/>
      </c>
      <c r="BY24">
        <f>IF(AE24=1,1000000,IF('計算A'!$EA$32=2,SUMPRODUCT('計算A'!$D$82:$DS$82,$CW24:$HL24,$HN24:$MC24),SUMPRODUCT('計算A'!$D$82:$DS$82,$CW24:$HL24))*1000+23)</f>
        <v/>
      </c>
      <c r="BZ24">
        <f>IF(AF24=1,1000000,IF('計算A'!$EA$33=2,SUMPRODUCT('計算A'!$D$83:$DS$83,$CW24:$HL24,$HN24:$MC24),SUMPRODUCT('計算A'!$D$83:$DS$83,$CW24:$HL24))*1000+24)</f>
        <v/>
      </c>
      <c r="CA24">
        <f>IF(AG24=1,1000000,IF('計算A'!$EA$34=2,SUMPRODUCT('計算A'!$D$84:$DS$84,$CW24:$HL24,$HN24:$MC24),SUMPRODUCT('計算A'!$D$84:$DS$84,$CW24:$HL24))*1000+25)</f>
        <v/>
      </c>
      <c r="CB24">
        <f>IF(AH24=1,1000000,IF('計算A'!$EA$35=2,SUMPRODUCT('計算A'!$D$85:$DS$85,$CW24:$HL24,$HN24:$MC24),SUMPRODUCT('計算A'!$D$85:$DS$85,$CW24:$HL24))*1000+26)</f>
        <v/>
      </c>
      <c r="CC24">
        <f>IF(AI24=1,1000000,IF('計算A'!$EA$36=2,SUMPRODUCT('計算A'!$D$86:$DS$86,$CW24:$HL24,$HN24:$MC24),SUMPRODUCT('計算A'!$D$86:$DS$86,$CW24:$HL24))*1000+27)</f>
        <v/>
      </c>
      <c r="CD24">
        <f>IF(AJ24=1,1000000,IF('計算A'!$EA$37=2,SUMPRODUCT('計算A'!$D$87:$DS$87,$CW24:$HL24,$HN24:$MC24),SUMPRODUCT('計算A'!$D$87:$DS$87,$CW24:$HL24))*1000+28)</f>
        <v/>
      </c>
      <c r="CE24">
        <f>IF(AK24=1,1000000,IF('計算A'!$EA$38=2,SUMPRODUCT('計算A'!$D$88:$DS$88,$CW24:$HL24,$HN24:$MC24),SUMPRODUCT('計算A'!$D$88:$DS$88,$CW24:$HL24))*1000+29)</f>
        <v/>
      </c>
      <c r="CF24">
        <f>IF(AL24=1,1000000,IF('計算A'!$EA$39=2,SUMPRODUCT('計算A'!$D$89:$DS$89,$CW24:$HL24,$HN24:$MC24),SUMPRODUCT('計算A'!$D$89:$DS$89,$CW24:$HL24))*1000+30)</f>
        <v/>
      </c>
      <c r="CG24">
        <f>IF(AM24=1,1000000,IF('計算A'!$EA$40=2,SUMPRODUCT('計算A'!$D$90:$DS$90,$CW24:$HL24,$HN24:$MC24),SUMPRODUCT('計算A'!$D$90:$DS$90,$CW24:$HL24))*1000+31)</f>
        <v/>
      </c>
      <c r="CH24">
        <f>IF(AN24=1,1000000,IF('計算A'!$EA$41=2,SUMPRODUCT('計算A'!$D$91:$DS$91,$CW24:$HL24,$HN24:$MC24),SUMPRODUCT('計算A'!$D$91:$DS$91,$CW24:$HL24))*1000+32)</f>
        <v/>
      </c>
      <c r="CI24">
        <f>IF(AO24=1,1000000,IF('計算A'!$EA$42=2,SUMPRODUCT('計算A'!$D$92:$DS$92,$CW24:$HL24,$HN24:$MC24),SUMPRODUCT('計算A'!$D$92:$DS$92,$CW24:$HL24))*1000+33)</f>
        <v/>
      </c>
      <c r="CJ24">
        <f>IF(AP24=1,1000000,IF('計算A'!$EA$43=2,SUMPRODUCT('計算A'!$D$93:$DS$93,$CW24:$HL24,$HN24:$MC24),SUMPRODUCT('計算A'!$D$93:$DS$93,$CW24:$HL24))*1000+34)</f>
        <v/>
      </c>
      <c r="CK24">
        <f>IF(AQ24=1,1000000,IF('計算A'!$EA$44=2,SUMPRODUCT('計算A'!$D$94:$DS$94,$CW24:$HL24,$HN24:$MC24),SUMPRODUCT('計算A'!$D$94:$DS$94,$CW24:$HL24))*1000+35)</f>
        <v/>
      </c>
      <c r="CL24">
        <f>IF(AR24=1,1000000,IF('計算A'!$EA$45=2,SUMPRODUCT('計算A'!$D$95:$DS$95,$CW24:$HL24,$HN24:$MC24),SUMPRODUCT('計算A'!$D$95:$DS$95,$CW24:$HL24))*1000+36)</f>
        <v/>
      </c>
      <c r="CM24">
        <f>IF(AS24=1,1000000,IF('計算A'!$EA$46=2,SUMPRODUCT('計算A'!$D$96:$DS$96,$CW24:$HL24,$HN24:$MC24),SUMPRODUCT('計算A'!$D$96:$DS$96,$CW24:$HL24))*1000+37)</f>
        <v/>
      </c>
      <c r="CN24">
        <f>IF(AT24=1,1000000,IF('計算A'!$EA$47=2,SUMPRODUCT('計算A'!$D$97:$DS$97,$CW24:$HL24,$HN24:$MC24),SUMPRODUCT('計算A'!$D$97:$DS$97,$CW24:$HL24))*1000+38)</f>
        <v/>
      </c>
      <c r="CO24">
        <f>IF(AU24=1,1000000,IF('計算A'!$EA$48=2,SUMPRODUCT('計算A'!$D$98:$DS$98,$CW24:$HL24,$HN24:$MC24),SUMPRODUCT('計算A'!$D$98:$DS$98,$CW24:$HL24))*1000+39)</f>
        <v/>
      </c>
      <c r="CP24">
        <f>IF(AV24=1,1000000,IF('計算A'!$EA$49=2,SUMPRODUCT('計算A'!$D$99:$DS$99,$CW24:$HL24,$HN24:$MC24),SUMPRODUCT('計算A'!$D$99:$DS$99,$CW24:$HL24))*1000+40)</f>
        <v/>
      </c>
      <c r="CQ24">
        <f>IF(AW24=1,1000000,IF('計算A'!$EA$50=2,SUMPRODUCT('計算A'!$D$100:$DS$100,$CW24:$HL24,$HN24:$MC24),SUMPRODUCT('計算A'!$D$100:$DS$100,$CW24:$HL24))*1000+41)</f>
        <v/>
      </c>
      <c r="CR24">
        <f>IF(AX24=1,1000000,IF('計算A'!$EA$51=2,SUMPRODUCT('計算A'!$D$101:$DS$101,$CW24:$HL24,$HN24:$MC24),SUMPRODUCT('計算A'!$D$101:$DS$101,$CW24:$HL24))*1000+42)</f>
        <v/>
      </c>
      <c r="CS24">
        <f>IF(AY24=1,1000000,IF('計算A'!$EA$52=2,SUMPRODUCT('計算A'!$D$102:$DS$102,$CW24:$HL24,$HN24:$MC24),SUMPRODUCT('計算A'!$D$102:$DS$102,$CW24:$HL24))*1000+43)</f>
        <v/>
      </c>
      <c r="CT24">
        <f>IF(AZ24=1,1000000,IF('計算A'!$EA$53=2,SUMPRODUCT('計算A'!$D$103:$DS$103,$CW24:$HL24,$HN24:$MC24),SUMPRODUCT('計算A'!$D$103:$DS$103,$CW24:$HL24))*1000+44)</f>
        <v/>
      </c>
      <c r="CU24">
        <f>IF(BA24=1,1000000,IF('計算A'!$EA$54=2,SUMPRODUCT('計算A'!$D$104:$DS$104,$CW24:$HL24,$HN24:$MC24),SUMPRODUCT('計算A'!$D$104:$DS$104,$CW24:$HL24))*1000+45)</f>
        <v/>
      </c>
      <c r="CW24">
        <f>CW23*IF(OR($C23=1,$G23=1),0,1)</f>
        <v/>
      </c>
      <c r="CX24">
        <f>CX23*IF(OR($C23=2,$G23=2),0,1)</f>
        <v/>
      </c>
      <c r="CY24">
        <f>CY23*IF(OR($C23=3,$G23=3),0,1)</f>
        <v/>
      </c>
      <c r="CZ24">
        <f>CZ23*IF(OR($C23=4,$G23=4),0,1)</f>
        <v/>
      </c>
      <c r="DA24">
        <f>DA23*IF(OR($C23=5,$G23=5),0,1)</f>
        <v/>
      </c>
      <c r="DB24">
        <f>DB23*IF(OR($C23=6,$G23=6),0,1)</f>
        <v/>
      </c>
      <c r="DC24">
        <f>DC23*IF(OR($C23=7,$G23=7),0,1)</f>
        <v/>
      </c>
      <c r="DD24">
        <f>DD23*IF(OR($C23=8,$G23=8),0,1)</f>
        <v/>
      </c>
      <c r="DE24">
        <f>DE23*IF(OR($C23=9,$G23=9),0,1)</f>
        <v/>
      </c>
      <c r="DF24">
        <f>DF23*IF(OR($C23=10,$G23=10),0,1)</f>
        <v/>
      </c>
      <c r="DG24">
        <f>DG23*IF(OR($C23=11,$G23=11),0,1)</f>
        <v/>
      </c>
      <c r="DH24">
        <f>DH23*IF(OR($C23=12,$G23=12),0,1)</f>
        <v/>
      </c>
      <c r="DI24">
        <f>DI23*IF(OR($C23=13,$G23=13),0,1)</f>
        <v/>
      </c>
      <c r="DJ24">
        <f>DJ23*IF(OR($C23=14,$G23=14),0,1)</f>
        <v/>
      </c>
      <c r="DK24">
        <f>DK23*IF(OR($C23=15,$G23=15),0,1)</f>
        <v/>
      </c>
      <c r="DL24">
        <f>DL23*IF(OR($C23=16,$G23=16),0,1)</f>
        <v/>
      </c>
      <c r="DM24">
        <f>DM23*IF(OR($C23=17,$G23=17),0,1)</f>
        <v/>
      </c>
      <c r="DN24">
        <f>DN23*IF(OR($C23=18,$G23=18),0,1)</f>
        <v/>
      </c>
      <c r="DO24">
        <f>DO23*IF(OR($C23=19,$G23=19),0,1)</f>
        <v/>
      </c>
      <c r="DP24">
        <f>DP23*IF(OR($C23=20,$G23=20),0,1)</f>
        <v/>
      </c>
      <c r="DQ24">
        <f>DQ23*IF(OR($C23=21,$G23=21),0,1)</f>
        <v/>
      </c>
      <c r="DR24">
        <f>DR23*IF(OR($C23=22,$G23=22),0,1)</f>
        <v/>
      </c>
      <c r="DS24">
        <f>DS23*IF(OR($C23=23,$G23=23),0,1)</f>
        <v/>
      </c>
      <c r="DT24">
        <f>DT23*IF(OR($C23=24,$G23=24),0,1)</f>
        <v/>
      </c>
      <c r="DU24">
        <f>DU23*IF(OR($C23=25,$G23=25),0,1)</f>
        <v/>
      </c>
      <c r="DV24">
        <f>DV23*IF(OR($C23=26,$G23=26),0,1)</f>
        <v/>
      </c>
      <c r="DW24">
        <f>DW23*IF(OR($C23=27,$G23=27),0,1)</f>
        <v/>
      </c>
      <c r="DX24">
        <f>DX23*IF(OR($C23=28,$G23=28),0,1)</f>
        <v/>
      </c>
      <c r="DY24">
        <f>DY23*IF(OR($C23=29,$G23=29),0,1)</f>
        <v/>
      </c>
      <c r="DZ24">
        <f>DZ23*IF(OR($C23=30,$G23=30),0,1)</f>
        <v/>
      </c>
      <c r="EA24">
        <f>EA23*IF(OR($C23=31,$G23=31),0,1)</f>
        <v/>
      </c>
      <c r="EB24">
        <f>EB23*IF(OR($C23=32,$G23=32),0,1)</f>
        <v/>
      </c>
      <c r="EC24">
        <f>EC23*IF(OR($C23=33,$G23=33),0,1)</f>
        <v/>
      </c>
      <c r="ED24">
        <f>ED23*IF(OR($C23=34,$G23=34),0,1)</f>
        <v/>
      </c>
      <c r="EE24">
        <f>EE23*IF(OR($C23=35,$G23=35),0,1)</f>
        <v/>
      </c>
      <c r="EF24">
        <f>EF23*IF(OR($C23=36,$G23=36),0,1)</f>
        <v/>
      </c>
      <c r="EG24">
        <f>EG23*IF(OR($C23=37,$G23=37),0,1)</f>
        <v/>
      </c>
      <c r="EH24">
        <f>EH23*IF(OR($C23=38,$G23=38),0,1)</f>
        <v/>
      </c>
      <c r="EI24">
        <f>EI23*IF(OR($C23=39,$G23=39),0,1)</f>
        <v/>
      </c>
      <c r="EJ24">
        <f>EJ23*IF(OR($C23=40,$G23=40),0,1)</f>
        <v/>
      </c>
      <c r="EK24">
        <f>EK23*IF(OR($C23=41,$G23=41),0,1)</f>
        <v/>
      </c>
      <c r="EL24">
        <f>EL23*IF(OR($C23=42,$G23=42),0,1)</f>
        <v/>
      </c>
      <c r="EM24">
        <f>EM23*IF(OR($C23=43,$G23=43),0,1)</f>
        <v/>
      </c>
      <c r="EN24">
        <f>EN23*IF(OR($C23=44,$G23=44),0,1)</f>
        <v/>
      </c>
      <c r="EO24">
        <f>EO23*IF(OR($C23=45,$G23=45),0,1)</f>
        <v/>
      </c>
      <c r="EP24">
        <f>EP23*IF(OR($C23=46,$G23=46),0,1)</f>
        <v/>
      </c>
      <c r="EQ24">
        <f>EQ23*IF(OR($C23=47,$G23=47),0,1)</f>
        <v/>
      </c>
      <c r="ER24">
        <f>ER23*IF(OR($C23=48,$G23=48),0,1)</f>
        <v/>
      </c>
      <c r="ES24">
        <f>ES23*IF(OR($C23=49,$G23=49),0,1)</f>
        <v/>
      </c>
      <c r="ET24">
        <f>ET23*IF(OR($C23=50,$G23=50),0,1)</f>
        <v/>
      </c>
      <c r="EU24">
        <f>EU23*IF(OR($C23=51,$G23=51),0,1)</f>
        <v/>
      </c>
      <c r="EV24">
        <f>EV23*IF(OR($C23=52,$G23=52),0,1)</f>
        <v/>
      </c>
      <c r="EW24">
        <f>EW23*IF(OR($C23=53,$G23=53),0,1)</f>
        <v/>
      </c>
      <c r="EX24">
        <f>EX23*IF(OR($C23=54,$G23=54),0,1)</f>
        <v/>
      </c>
      <c r="EY24">
        <f>EY23*IF(OR($C23=55,$G23=55),0,1)</f>
        <v/>
      </c>
      <c r="EZ24">
        <f>EZ23*IF(OR($C23=56,$G23=56),0,1)</f>
        <v/>
      </c>
      <c r="FA24">
        <f>FA23*IF(OR($C23=57,$G23=57),0,1)</f>
        <v/>
      </c>
      <c r="FB24">
        <f>FB23*IF(OR($C23=58,$G23=58),0,1)</f>
        <v/>
      </c>
      <c r="FC24">
        <f>FC23*IF(OR($C23=59,$G23=59),0,1)</f>
        <v/>
      </c>
      <c r="FD24">
        <f>FD23*IF(OR($C23=60,$G23=60),0,1)</f>
        <v/>
      </c>
      <c r="FE24">
        <f>FE23*IF(OR($C23=61,$G23=61),0,1)</f>
        <v/>
      </c>
      <c r="FF24">
        <f>FF23*IF(OR($C23=62,$G23=62),0,1)</f>
        <v/>
      </c>
      <c r="FG24">
        <f>FG23*IF(OR($C23=63,$G23=63),0,1)</f>
        <v/>
      </c>
      <c r="FH24">
        <f>FH23*IF(OR($C23=64,$G23=64),0,1)</f>
        <v/>
      </c>
      <c r="FI24">
        <f>FI23*IF(OR($C23=65,$G23=65),0,1)</f>
        <v/>
      </c>
      <c r="FJ24">
        <f>FJ23*IF(OR($C23=66,$G23=66),0,1)</f>
        <v/>
      </c>
      <c r="FK24">
        <f>FK23*IF(OR($C23=67,$G23=67),0,1)</f>
        <v/>
      </c>
      <c r="FL24">
        <f>FL23*IF(OR($C23=68,$G23=68),0,1)</f>
        <v/>
      </c>
      <c r="FM24">
        <f>FM23*IF(OR($C23=69,$G23=69),0,1)</f>
        <v/>
      </c>
      <c r="FN24">
        <f>FN23*IF(OR($C23=70,$G23=70),0,1)</f>
        <v/>
      </c>
      <c r="FO24">
        <f>FO23*IF(OR($C23=71,$G23=71),0,1)</f>
        <v/>
      </c>
      <c r="FP24">
        <f>FP23*IF(OR($C23=72,$G23=72),0,1)</f>
        <v/>
      </c>
      <c r="FQ24">
        <f>FQ23*IF(OR($C23=73,$G23=73),0,1)</f>
        <v/>
      </c>
      <c r="FR24">
        <f>FR23*IF(OR($C23=74,$G23=74),0,1)</f>
        <v/>
      </c>
      <c r="FS24">
        <f>FS23*IF(OR($C23=75,$G23=75),0,1)</f>
        <v/>
      </c>
      <c r="FT24">
        <f>FT23*IF(OR($C23=76,$G23=76),0,1)</f>
        <v/>
      </c>
      <c r="FU24">
        <f>FU23*IF(OR($C23=77,$G23=77),0,1)</f>
        <v/>
      </c>
      <c r="FV24">
        <f>FV23*IF(OR($C23=78,$G23=78),0,1)</f>
        <v/>
      </c>
      <c r="FW24">
        <f>FW23*IF(OR($C23=79,$G23=79),0,1)</f>
        <v/>
      </c>
      <c r="FX24">
        <f>FX23*IF(OR($C23=80,$G23=80),0,1)</f>
        <v/>
      </c>
      <c r="FY24">
        <f>FY23*IF(OR($C23=81,$G23=81),0,1)</f>
        <v/>
      </c>
      <c r="FZ24">
        <f>FZ23*IF(OR($C23=82,$G23=82),0,1)</f>
        <v/>
      </c>
      <c r="GA24">
        <f>GA23*IF(OR($C23=83,$G23=83),0,1)</f>
        <v/>
      </c>
      <c r="GB24">
        <f>GB23*IF(OR($C23=84,$G23=84),0,1)</f>
        <v/>
      </c>
      <c r="GC24">
        <f>GC23*IF(OR($C23=85,$G23=85),0,1)</f>
        <v/>
      </c>
      <c r="GD24">
        <f>GD23*IF(OR($C23=86,$G23=86),0,1)</f>
        <v/>
      </c>
      <c r="GE24">
        <f>GE23*IF(OR($C23=87,$G23=87),0,1)</f>
        <v/>
      </c>
      <c r="GF24">
        <f>GF23*IF(OR($C23=88,$G23=88),0,1)</f>
        <v/>
      </c>
      <c r="GG24">
        <f>GG23*IF(OR($C23=89,$G23=89),0,1)</f>
        <v/>
      </c>
      <c r="GH24">
        <f>GH23*IF(OR($C23=90,$G23=90),0,1)</f>
        <v/>
      </c>
      <c r="GI24">
        <f>GI23*IF(OR($C23=91,$G23=91),0,1)</f>
        <v/>
      </c>
      <c r="GJ24">
        <f>GJ23*IF(OR($C23=92,$G23=92),0,1)</f>
        <v/>
      </c>
      <c r="GK24">
        <f>GK23*IF(OR($C23=93,$G23=93),0,1)</f>
        <v/>
      </c>
      <c r="GL24">
        <f>GL23*IF(OR($C23=94,$G23=94),0,1)</f>
        <v/>
      </c>
      <c r="GM24">
        <f>GM23*IF(OR($C23=95,$G23=95),0,1)</f>
        <v/>
      </c>
      <c r="GN24">
        <f>GN23*IF(OR($C23=96,$G23=96),0,1)</f>
        <v/>
      </c>
      <c r="GO24">
        <f>GO23*IF(OR($C23=97,$G23=97),0,1)</f>
        <v/>
      </c>
      <c r="GP24">
        <f>GP23*IF(OR($C23=98,$G23=98),0,1)</f>
        <v/>
      </c>
      <c r="GQ24">
        <f>GQ23*IF(OR($C23=99,$G23=99),0,1)</f>
        <v/>
      </c>
      <c r="GR24">
        <f>GR23*IF(OR($C23=100,$G23=100),0,1)</f>
        <v/>
      </c>
      <c r="GS24">
        <f>GS23*IF(OR($C23=101,$G23=101),0,1)</f>
        <v/>
      </c>
      <c r="GT24">
        <f>GT23*IF(OR($C23=102,$G23=102),0,1)</f>
        <v/>
      </c>
      <c r="GU24">
        <f>GU23*IF(OR($C23=103,$G23=103),0,1)</f>
        <v/>
      </c>
      <c r="GV24">
        <f>GV23*IF(OR($C23=104,$G23=104),0,1)</f>
        <v/>
      </c>
      <c r="GW24">
        <f>GW23*IF(OR($C23=105,$G23=105),0,1)</f>
        <v/>
      </c>
      <c r="GX24">
        <f>GX23*IF(OR($C23=106,$G23=106),0,1)</f>
        <v/>
      </c>
      <c r="GY24">
        <f>GY23*IF(OR($C23=107,$G23=107),0,1)</f>
        <v/>
      </c>
      <c r="GZ24">
        <f>GZ23*IF(OR($C23=108,$G23=108),0,1)</f>
        <v/>
      </c>
      <c r="HA24">
        <f>HA23*IF(OR($C23=109,$G23=109),0,1)</f>
        <v/>
      </c>
      <c r="HB24">
        <f>HB23*IF(OR($C23=110,$G23=110),0,1)</f>
        <v/>
      </c>
      <c r="HC24">
        <f>HC23*IF(OR($C23=111,$G23=111),0,1)</f>
        <v/>
      </c>
      <c r="HD24">
        <f>HD23*IF(OR($C23=112,$G23=112),0,1)</f>
        <v/>
      </c>
      <c r="HE24">
        <f>HE23*IF(OR($C23=113,$G23=113),0,1)</f>
        <v/>
      </c>
      <c r="HF24">
        <f>HF23*IF(OR($C23=114,$G23=114),0,1)</f>
        <v/>
      </c>
      <c r="HG24">
        <f>HG23*IF(OR($C23=115,$G23=115),0,1)</f>
        <v/>
      </c>
      <c r="HH24">
        <f>HH23*IF(OR($C23=116,$G23=116),0,1)</f>
        <v/>
      </c>
      <c r="HI24">
        <f>HI23*IF(OR($C23=117,$G23=117),0,1)</f>
        <v/>
      </c>
      <c r="HJ24">
        <f>HJ23*IF(OR($C23=118,$G23=118),0,1)</f>
        <v/>
      </c>
      <c r="HK24">
        <f>HK23*IF(OR($C23=119,$G23=119),0,1)</f>
        <v/>
      </c>
      <c r="HL24">
        <f>HL23*IF(OR($C23=120,$G23=120),0,1)</f>
        <v/>
      </c>
      <c r="HN24">
        <f>IF('計算A'!D$106=1,CX24,1)</f>
        <v/>
      </c>
      <c r="HO24">
        <f>IF('計算A'!E$106=1,CY24,1)</f>
        <v/>
      </c>
      <c r="HP24">
        <f>IF('計算A'!F$106=1,CZ24,1)</f>
        <v/>
      </c>
      <c r="HQ24">
        <f>IF('計算A'!G$106=1,DA24,1)</f>
        <v/>
      </c>
      <c r="HR24">
        <f>IF('計算A'!H$106=1,DB24,1)</f>
        <v/>
      </c>
      <c r="HS24">
        <f>IF('計算A'!I$106=1,DC24,1)</f>
        <v/>
      </c>
      <c r="HT24">
        <f>IF('計算A'!J$106=1,DD24,1)</f>
        <v/>
      </c>
      <c r="HU24">
        <f>IF('計算A'!K$106=1,DE24,1)</f>
        <v/>
      </c>
      <c r="HV24">
        <f>IF('計算A'!L$106=1,DF24,1)</f>
        <v/>
      </c>
      <c r="HW24">
        <f>IF('計算A'!M$106=1,DG24,1)</f>
        <v/>
      </c>
      <c r="HX24">
        <f>IF('計算A'!N$106=1,DH24,1)</f>
        <v/>
      </c>
      <c r="HY24">
        <f>IF('計算A'!O$106=1,DI24,1)</f>
        <v/>
      </c>
      <c r="HZ24">
        <f>IF('計算A'!P$106=1,DJ24,1)</f>
        <v/>
      </c>
      <c r="IA24">
        <f>IF('計算A'!Q$106=1,DK24,1)</f>
        <v/>
      </c>
      <c r="IB24">
        <f>IF('計算A'!R$106=1,DL24,1)</f>
        <v/>
      </c>
      <c r="IC24">
        <f>IF('計算A'!S$106=1,DM24,1)</f>
        <v/>
      </c>
      <c r="ID24">
        <f>IF('計算A'!T$106=1,DN24,1)</f>
        <v/>
      </c>
      <c r="IE24">
        <f>IF('計算A'!U$106=1,DO24,1)</f>
        <v/>
      </c>
      <c r="IF24">
        <f>IF('計算A'!V$106=1,DP24,1)</f>
        <v/>
      </c>
      <c r="IG24">
        <f>IF('計算A'!W$106=1,DQ24,1)</f>
        <v/>
      </c>
      <c r="IH24">
        <f>IF('計算A'!X$106=1,DR24,1)</f>
        <v/>
      </c>
      <c r="II24">
        <f>IF('計算A'!Y$106=1,DS24,1)</f>
        <v/>
      </c>
      <c r="IJ24">
        <f>IF('計算A'!Z$106=1,DT24,1)</f>
        <v/>
      </c>
      <c r="IK24">
        <f>IF('計算A'!AA$106=1,DU24,1)</f>
        <v/>
      </c>
      <c r="IL24">
        <f>IF('計算A'!AB$106=1,DV24,1)</f>
        <v/>
      </c>
      <c r="IM24">
        <f>IF('計算A'!AC$106=1,DW24,1)</f>
        <v/>
      </c>
      <c r="IN24">
        <f>IF('計算A'!AD$106=1,DX24,1)</f>
        <v/>
      </c>
      <c r="IO24">
        <f>IF('計算A'!AE$106=1,DY24,1)</f>
        <v/>
      </c>
      <c r="IP24">
        <f>IF('計算A'!AF$106=1,DZ24,1)</f>
        <v/>
      </c>
      <c r="IQ24">
        <f>IF('計算A'!AG$106=1,EA24,1)</f>
        <v/>
      </c>
      <c r="IR24">
        <f>IF('計算A'!AH$106=1,EB24,1)</f>
        <v/>
      </c>
      <c r="IS24">
        <f>IF('計算A'!AI$106=1,EC24,1)</f>
        <v/>
      </c>
      <c r="IT24">
        <f>IF('計算A'!AJ$106=1,ED24,1)</f>
        <v/>
      </c>
      <c r="IU24">
        <f>IF('計算A'!AK$106=1,EE24,1)</f>
        <v/>
      </c>
      <c r="IV24">
        <f>IF('計算A'!AL$106=1,EF24,1)</f>
        <v/>
      </c>
      <c r="IW24">
        <f>IF('計算A'!AM$106=1,EG24,1)</f>
        <v/>
      </c>
      <c r="IX24">
        <f>IF('計算A'!AN$106=1,EH24,1)</f>
        <v/>
      </c>
      <c r="IY24">
        <f>IF('計算A'!AO$106=1,EI24,1)</f>
        <v/>
      </c>
      <c r="IZ24">
        <f>IF('計算A'!AP$106=1,EJ24,1)</f>
        <v/>
      </c>
      <c r="JA24">
        <f>IF('計算A'!AQ$106=1,EK24,1)</f>
        <v/>
      </c>
      <c r="JB24">
        <f>IF('計算A'!AR$106=1,EL24,1)</f>
        <v/>
      </c>
      <c r="JC24">
        <f>IF('計算A'!AS$106=1,EM24,1)</f>
        <v/>
      </c>
      <c r="JD24">
        <f>IF('計算A'!AT$106=1,EN24,1)</f>
        <v/>
      </c>
      <c r="JE24">
        <f>IF('計算A'!AU$106=1,EO24,1)</f>
        <v/>
      </c>
      <c r="JF24">
        <f>IF('計算A'!AV$106=1,EP24,1)</f>
        <v/>
      </c>
      <c r="JG24">
        <f>IF('計算A'!AW$106=1,EQ24,1)</f>
        <v/>
      </c>
      <c r="JH24">
        <f>IF('計算A'!AX$106=1,ER24,1)</f>
        <v/>
      </c>
      <c r="JI24">
        <f>IF('計算A'!AY$106=1,ES24,1)</f>
        <v/>
      </c>
      <c r="JJ24">
        <f>IF('計算A'!AZ$106=1,ET24,1)</f>
        <v/>
      </c>
      <c r="JK24">
        <f>IF('計算A'!BA$106=1,EU24,1)</f>
        <v/>
      </c>
      <c r="JL24">
        <f>IF('計算A'!BB$106=1,EV24,1)</f>
        <v/>
      </c>
      <c r="JM24">
        <f>IF('計算A'!BC$106=1,EW24,1)</f>
        <v/>
      </c>
      <c r="JN24">
        <f>IF('計算A'!BD$106=1,EX24,1)</f>
        <v/>
      </c>
      <c r="JO24">
        <f>IF('計算A'!BE$106=1,EY24,1)</f>
        <v/>
      </c>
      <c r="JP24">
        <f>IF('計算A'!BF$106=1,EZ24,1)</f>
        <v/>
      </c>
      <c r="JQ24">
        <f>IF('計算A'!BG$106=1,FA24,1)</f>
        <v/>
      </c>
      <c r="JR24">
        <f>IF('計算A'!BH$106=1,FB24,1)</f>
        <v/>
      </c>
      <c r="JS24">
        <f>IF('計算A'!BI$106=1,FC24,1)</f>
        <v/>
      </c>
      <c r="JT24">
        <f>IF('計算A'!BJ$106=1,FD24,1)</f>
        <v/>
      </c>
      <c r="JU24">
        <f>IF('計算A'!BK$106=1,FE24,1)</f>
        <v/>
      </c>
      <c r="JV24">
        <f>IF('計算A'!BL$106=1,FF24,1)</f>
        <v/>
      </c>
      <c r="JW24">
        <f>IF('計算A'!BM$106=1,FG24,1)</f>
        <v/>
      </c>
      <c r="JX24">
        <f>IF('計算A'!BN$106=1,FH24,1)</f>
        <v/>
      </c>
      <c r="JY24">
        <f>IF('計算A'!BO$106=1,FI24,1)</f>
        <v/>
      </c>
      <c r="JZ24">
        <f>IF('計算A'!BP$106=1,FJ24,1)</f>
        <v/>
      </c>
      <c r="KA24">
        <f>IF('計算A'!BQ$106=1,FK24,1)</f>
        <v/>
      </c>
      <c r="KB24">
        <f>IF('計算A'!BR$106=1,FL24,1)</f>
        <v/>
      </c>
      <c r="KC24">
        <f>IF('計算A'!BS$106=1,FM24,1)</f>
        <v/>
      </c>
      <c r="KD24">
        <f>IF('計算A'!BT$106=1,FN24,1)</f>
        <v/>
      </c>
      <c r="KE24">
        <f>IF('計算A'!BU$106=1,FO24,1)</f>
        <v/>
      </c>
      <c r="KF24">
        <f>IF('計算A'!BV$106=1,FP24,1)</f>
        <v/>
      </c>
      <c r="KG24">
        <f>IF('計算A'!BW$106=1,FQ24,1)</f>
        <v/>
      </c>
      <c r="KH24">
        <f>IF('計算A'!BX$106=1,FR24,1)</f>
        <v/>
      </c>
      <c r="KI24">
        <f>IF('計算A'!BY$106=1,FS24,1)</f>
        <v/>
      </c>
      <c r="KJ24">
        <f>IF('計算A'!BZ$106=1,FT24,1)</f>
        <v/>
      </c>
      <c r="KK24">
        <f>IF('計算A'!CA$106=1,FU24,1)</f>
        <v/>
      </c>
      <c r="KL24">
        <f>IF('計算A'!CB$106=1,FV24,1)</f>
        <v/>
      </c>
      <c r="KM24">
        <f>IF('計算A'!CC$106=1,FW24,1)</f>
        <v/>
      </c>
      <c r="KN24">
        <f>IF('計算A'!CD$106=1,FX24,1)</f>
        <v/>
      </c>
      <c r="KO24">
        <f>IF('計算A'!CE$106=1,FY24,1)</f>
        <v/>
      </c>
      <c r="KP24">
        <f>IF('計算A'!CF$106=1,FZ24,1)</f>
        <v/>
      </c>
      <c r="KQ24">
        <f>IF('計算A'!CG$106=1,GA24,1)</f>
        <v/>
      </c>
      <c r="KR24">
        <f>IF('計算A'!CH$106=1,GB24,1)</f>
        <v/>
      </c>
      <c r="KS24">
        <f>IF('計算A'!CI$106=1,GC24,1)</f>
        <v/>
      </c>
      <c r="KT24">
        <f>IF('計算A'!CJ$106=1,GD24,1)</f>
        <v/>
      </c>
      <c r="KU24">
        <f>IF('計算A'!CK$106=1,GE24,1)</f>
        <v/>
      </c>
      <c r="KV24">
        <f>IF('計算A'!CL$106=1,GF24,1)</f>
        <v/>
      </c>
      <c r="KW24">
        <f>IF('計算A'!CM$106=1,GG24,1)</f>
        <v/>
      </c>
      <c r="KX24">
        <f>IF('計算A'!CN$106=1,GH24,1)</f>
        <v/>
      </c>
      <c r="KY24">
        <f>IF('計算A'!CO$106=1,GI24,1)</f>
        <v/>
      </c>
      <c r="KZ24">
        <f>IF('計算A'!CP$106=1,GJ24,1)</f>
        <v/>
      </c>
      <c r="LA24">
        <f>IF('計算A'!CQ$106=1,GK24,1)</f>
        <v/>
      </c>
      <c r="LB24">
        <f>IF('計算A'!CR$106=1,GL24,1)</f>
        <v/>
      </c>
      <c r="LC24">
        <f>IF('計算A'!CS$106=1,GM24,1)</f>
        <v/>
      </c>
      <c r="LD24">
        <f>IF('計算A'!CT$106=1,GN24,1)</f>
        <v/>
      </c>
      <c r="LE24">
        <f>IF('計算A'!CU$106=1,GO24,1)</f>
        <v/>
      </c>
      <c r="LF24">
        <f>IF('計算A'!CV$106=1,GP24,1)</f>
        <v/>
      </c>
      <c r="LG24">
        <f>IF('計算A'!CW$106=1,GQ24,1)</f>
        <v/>
      </c>
      <c r="LH24">
        <f>IF('計算A'!CX$106=1,GR24,1)</f>
        <v/>
      </c>
      <c r="LI24">
        <f>IF('計算A'!CY$106=1,GS24,1)</f>
        <v/>
      </c>
      <c r="LJ24">
        <f>IF('計算A'!CZ$106=1,GT24,1)</f>
        <v/>
      </c>
      <c r="LK24">
        <f>IF('計算A'!DA$106=1,GU24,1)</f>
        <v/>
      </c>
      <c r="LL24">
        <f>IF('計算A'!DB$106=1,GV24,1)</f>
        <v/>
      </c>
      <c r="LM24">
        <f>IF('計算A'!DC$106=1,GW24,1)</f>
        <v/>
      </c>
      <c r="LN24">
        <f>IF('計算A'!DD$106=1,GX24,1)</f>
        <v/>
      </c>
      <c r="LO24">
        <f>IF('計算A'!DE$106=1,GY24,1)</f>
        <v/>
      </c>
      <c r="LP24">
        <f>IF('計算A'!DF$106=1,GZ24,1)</f>
        <v/>
      </c>
      <c r="LQ24">
        <f>IF('計算A'!DG$106=1,HA24,1)</f>
        <v/>
      </c>
      <c r="LR24">
        <f>IF('計算A'!DH$106=1,HB24,1)</f>
        <v/>
      </c>
      <c r="LS24">
        <f>IF('計算A'!DI$106=1,HC24,1)</f>
        <v/>
      </c>
      <c r="LT24">
        <f>IF('計算A'!DJ$106=1,HD24,1)</f>
        <v/>
      </c>
      <c r="LU24">
        <f>IF('計算A'!DK$106=1,HE24,1)</f>
        <v/>
      </c>
      <c r="LV24">
        <f>IF('計算A'!DL$106=1,HF24,1)</f>
        <v/>
      </c>
      <c r="LW24">
        <f>IF('計算A'!DM$106=1,HG24,1)</f>
        <v/>
      </c>
      <c r="LX24">
        <f>IF('計算A'!DN$106=1,HH24,1)</f>
        <v/>
      </c>
      <c r="LY24">
        <f>IF('計算A'!DO$106=1,HI24,1)</f>
        <v/>
      </c>
      <c r="LZ24">
        <f>IF('計算A'!DP$106=1,HJ24,1)</f>
        <v/>
      </c>
      <c r="MA24">
        <f>IF('計算A'!DQ$106=1,HK24,1)</f>
        <v/>
      </c>
      <c r="MB24">
        <f>IF('計算A'!DR$106=1,HL24,1)</f>
        <v/>
      </c>
      <c r="MC24" t="n">
        <v>1</v>
      </c>
      <c r="ME24">
        <f>IF($B24=0,1000000,IF(INDEX('計算A'!$D$60:$DS$104,$B24,1)*CW24=1,IF(AND($E24=2,HN24=0),1000000,INDEX('計算A'!D$110:D$114,$F24+1)+IF(AND($E24=1,HN24=0),1000,0)),1000000))</f>
        <v/>
      </c>
      <c r="MF24">
        <f>IF($B24=0,1000000,IF(INDEX('計算A'!$D$60:$DS$104,$B24,2)*CX24=1,IF(AND($E24=2,HO24=0),1000000,INDEX('計算A'!E$110:E$114,$F24+1)+IF(AND($E24=1,HO24=0),1000,0)),1000000))</f>
        <v/>
      </c>
      <c r="MG24">
        <f>IF($B24=0,1000000,IF(INDEX('計算A'!$D$60:$DS$104,$B24,3)*CY24=1,IF(AND($E24=2,HP24=0),1000000,INDEX('計算A'!F$110:F$114,$F24+1)+IF(AND($E24=1,HP24=0),1000,0)),1000000))</f>
        <v/>
      </c>
      <c r="MH24">
        <f>IF($B24=0,1000000,IF(INDEX('計算A'!$D$60:$DS$104,$B24,4)*CZ24=1,IF(AND($E24=2,HQ24=0),1000000,INDEX('計算A'!G$110:G$114,$F24+1)+IF(AND($E24=1,HQ24=0),1000,0)),1000000))</f>
        <v/>
      </c>
      <c r="MI24">
        <f>IF($B24=0,1000000,IF(INDEX('計算A'!$D$60:$DS$104,$B24,5)*DA24=1,IF(AND($E24=2,HR24=0),1000000,INDEX('計算A'!H$110:H$114,$F24+1)+IF(AND($E24=1,HR24=0),1000,0)),1000000))</f>
        <v/>
      </c>
      <c r="MJ24">
        <f>IF($B24=0,1000000,IF(INDEX('計算A'!$D$60:$DS$104,$B24,6)*DB24=1,IF(AND($E24=2,HS24=0),1000000,INDEX('計算A'!I$110:I$114,$F24+1)+IF(AND($E24=1,HS24=0),1000,0)),1000000))</f>
        <v/>
      </c>
      <c r="MK24">
        <f>IF($B24=0,1000000,IF(INDEX('計算A'!$D$60:$DS$104,$B24,7)*DC24=1,IF(AND($E24=2,HT24=0),1000000,INDEX('計算A'!J$110:J$114,$F24+1)+IF(AND($E24=1,HT24=0),1000,0)),1000000))</f>
        <v/>
      </c>
      <c r="ML24">
        <f>IF($B24=0,1000000,IF(INDEX('計算A'!$D$60:$DS$104,$B24,8)*DD24=1,IF(AND($E24=2,HU24=0),1000000,INDEX('計算A'!K$110:K$114,$F24+1)+IF(AND($E24=1,HU24=0),1000,0)),1000000))</f>
        <v/>
      </c>
      <c r="MM24">
        <f>IF($B24=0,1000000,IF(INDEX('計算A'!$D$60:$DS$104,$B24,9)*DE24=1,IF(AND($E24=2,HV24=0),1000000,INDEX('計算A'!L$110:L$114,$F24+1)+IF(AND($E24=1,HV24=0),1000,0)),1000000))</f>
        <v/>
      </c>
      <c r="MN24">
        <f>IF($B24=0,1000000,IF(INDEX('計算A'!$D$60:$DS$104,$B24,10)*DF24=1,IF(AND($E24=2,HW24=0),1000000,INDEX('計算A'!M$110:M$114,$F24+1)+IF(AND($E24=1,HW24=0),1000,0)),1000000))</f>
        <v/>
      </c>
      <c r="MO24">
        <f>IF($B24=0,1000000,IF(INDEX('計算A'!$D$60:$DS$104,$B24,11)*DG24=1,IF(AND($E24=2,HX24=0),1000000,INDEX('計算A'!N$110:N$114,$F24+1)+IF(AND($E24=1,HX24=0),1000,0)),1000000))</f>
        <v/>
      </c>
      <c r="MP24">
        <f>IF($B24=0,1000000,IF(INDEX('計算A'!$D$60:$DS$104,$B24,12)*DH24=1,IF(AND($E24=2,HY24=0),1000000,INDEX('計算A'!O$110:O$114,$F24+1)+IF(AND($E24=1,HY24=0),1000,0)),1000000))</f>
        <v/>
      </c>
      <c r="MQ24">
        <f>IF($B24=0,1000000,IF(INDEX('計算A'!$D$60:$DS$104,$B24,13)*DI24=1,IF(AND($E24=2,HZ24=0),1000000,INDEX('計算A'!P$110:P$114,$F24+1)+IF(AND($E24=1,HZ24=0),1000,0)),1000000))</f>
        <v/>
      </c>
      <c r="MR24">
        <f>IF($B24=0,1000000,IF(INDEX('計算A'!$D$60:$DS$104,$B24,14)*DJ24=1,IF(AND($E24=2,IA24=0),1000000,INDEX('計算A'!Q$110:Q$114,$F24+1)+IF(AND($E24=1,IA24=0),1000,0)),1000000))</f>
        <v/>
      </c>
      <c r="MS24">
        <f>IF($B24=0,1000000,IF(INDEX('計算A'!$D$60:$DS$104,$B24,15)*DK24=1,IF(AND($E24=2,IB24=0),1000000,INDEX('計算A'!R$110:R$114,$F24+1)+IF(AND($E24=1,IB24=0),1000,0)),1000000))</f>
        <v/>
      </c>
      <c r="MT24">
        <f>IF($B24=0,1000000,IF(INDEX('計算A'!$D$60:$DS$104,$B24,16)*DL24=1,IF(AND($E24=2,IC24=0),1000000,INDEX('計算A'!S$110:S$114,$F24+1)+IF(AND($E24=1,IC24=0),1000,0)),1000000))</f>
        <v/>
      </c>
      <c r="MU24">
        <f>IF($B24=0,1000000,IF(INDEX('計算A'!$D$60:$DS$104,$B24,17)*DM24=1,IF(AND($E24=2,ID24=0),1000000,INDEX('計算A'!T$110:T$114,$F24+1)+IF(AND($E24=1,ID24=0),1000,0)),1000000))</f>
        <v/>
      </c>
      <c r="MV24">
        <f>IF($B24=0,1000000,IF(INDEX('計算A'!$D$60:$DS$104,$B24,18)*DN24=1,IF(AND($E24=2,IE24=0),1000000,INDEX('計算A'!U$110:U$114,$F24+1)+IF(AND($E24=1,IE24=0),1000,0)),1000000))</f>
        <v/>
      </c>
      <c r="MW24">
        <f>IF($B24=0,1000000,IF(INDEX('計算A'!$D$60:$DS$104,$B24,19)*DO24=1,IF(AND($E24=2,IF24=0),1000000,INDEX('計算A'!V$110:V$114,$F24+1)+IF(AND($E24=1,IF24=0),1000,0)),1000000))</f>
        <v/>
      </c>
      <c r="MX24">
        <f>IF($B24=0,1000000,IF(INDEX('計算A'!$D$60:$DS$104,$B24,20)*DP24=1,IF(AND($E24=2,IG24=0),1000000,INDEX('計算A'!W$110:W$114,$F24+1)+IF(AND($E24=1,IG24=0),1000,0)),1000000))</f>
        <v/>
      </c>
      <c r="MY24">
        <f>IF($B24=0,1000000,IF(INDEX('計算A'!$D$60:$DS$104,$B24,21)*DQ24=1,IF(AND($E24=2,IH24=0),1000000,INDEX('計算A'!X$110:X$114,$F24+1)+IF(AND($E24=1,IH24=0),1000,0)),1000000))</f>
        <v/>
      </c>
      <c r="MZ24">
        <f>IF($B24=0,1000000,IF(INDEX('計算A'!$D$60:$DS$104,$B24,22)*DR24=1,IF(AND($E24=2,II24=0),1000000,INDEX('計算A'!Y$110:Y$114,$F24+1)+IF(AND($E24=1,II24=0),1000,0)),1000000))</f>
        <v/>
      </c>
      <c r="NA24">
        <f>IF($B24=0,1000000,IF(INDEX('計算A'!$D$60:$DS$104,$B24,23)*DS24=1,IF(AND($E24=2,IJ24=0),1000000,INDEX('計算A'!Z$110:Z$114,$F24+1)+IF(AND($E24=1,IJ24=0),1000,0)),1000000))</f>
        <v/>
      </c>
      <c r="NB24">
        <f>IF($B24=0,1000000,IF(INDEX('計算A'!$D$60:$DS$104,$B24,24)*DT24=1,IF(AND($E24=2,IK24=0),1000000,INDEX('計算A'!AA$110:AA$114,$F24+1)+IF(AND($E24=1,IK24=0),1000,0)),1000000))</f>
        <v/>
      </c>
      <c r="NC24">
        <f>IF($B24=0,1000000,IF(INDEX('計算A'!$D$60:$DS$104,$B24,25)*DU24=1,IF(AND($E24=2,IL24=0),1000000,INDEX('計算A'!AB$110:AB$114,$F24+1)+IF(AND($E24=1,IL24=0),1000,0)),1000000))</f>
        <v/>
      </c>
      <c r="ND24">
        <f>IF($B24=0,1000000,IF(INDEX('計算A'!$D$60:$DS$104,$B24,26)*DV24=1,IF(AND($E24=2,IM24=0),1000000,INDEX('計算A'!AC$110:AC$114,$F24+1)+IF(AND($E24=1,IM24=0),1000,0)),1000000))</f>
        <v/>
      </c>
      <c r="NE24">
        <f>IF($B24=0,1000000,IF(INDEX('計算A'!$D$60:$DS$104,$B24,27)*DW24=1,IF(AND($E24=2,IN24=0),1000000,INDEX('計算A'!AD$110:AD$114,$F24+1)+IF(AND($E24=1,IN24=0),1000,0)),1000000))</f>
        <v/>
      </c>
      <c r="NF24">
        <f>IF($B24=0,1000000,IF(INDEX('計算A'!$D$60:$DS$104,$B24,28)*DX24=1,IF(AND($E24=2,IO24=0),1000000,INDEX('計算A'!AE$110:AE$114,$F24+1)+IF(AND($E24=1,IO24=0),1000,0)),1000000))</f>
        <v/>
      </c>
      <c r="NG24">
        <f>IF($B24=0,1000000,IF(INDEX('計算A'!$D$60:$DS$104,$B24,29)*DY24=1,IF(AND($E24=2,IP24=0),1000000,INDEX('計算A'!AF$110:AF$114,$F24+1)+IF(AND($E24=1,IP24=0),1000,0)),1000000))</f>
        <v/>
      </c>
      <c r="NH24">
        <f>IF($B24=0,1000000,IF(INDEX('計算A'!$D$60:$DS$104,$B24,30)*DZ24=1,IF(AND($E24=2,IQ24=0),1000000,INDEX('計算A'!AG$110:AG$114,$F24+1)+IF(AND($E24=1,IQ24=0),1000,0)),1000000))</f>
        <v/>
      </c>
      <c r="NI24">
        <f>IF($B24=0,1000000,IF(INDEX('計算A'!$D$60:$DS$104,$B24,31)*EA24=1,IF(AND($E24=2,IR24=0),1000000,INDEX('計算A'!AH$110:AH$114,$F24+1)+IF(AND($E24=1,IR24=0),1000,0)),1000000))</f>
        <v/>
      </c>
      <c r="NJ24">
        <f>IF($B24=0,1000000,IF(INDEX('計算A'!$D$60:$DS$104,$B24,32)*EB24=1,IF(AND($E24=2,IS24=0),1000000,INDEX('計算A'!AI$110:AI$114,$F24+1)+IF(AND($E24=1,IS24=0),1000,0)),1000000))</f>
        <v/>
      </c>
      <c r="NK24">
        <f>IF($B24=0,1000000,IF(INDEX('計算A'!$D$60:$DS$104,$B24,33)*EC24=1,IF(AND($E24=2,IT24=0),1000000,INDEX('計算A'!AJ$110:AJ$114,$F24+1)+IF(AND($E24=1,IT24=0),1000,0)),1000000))</f>
        <v/>
      </c>
      <c r="NL24">
        <f>IF($B24=0,1000000,IF(INDEX('計算A'!$D$60:$DS$104,$B24,34)*ED24=1,IF(AND($E24=2,IU24=0),1000000,INDEX('計算A'!AK$110:AK$114,$F24+1)+IF(AND($E24=1,IU24=0),1000,0)),1000000))</f>
        <v/>
      </c>
      <c r="NM24">
        <f>IF($B24=0,1000000,IF(INDEX('計算A'!$D$60:$DS$104,$B24,35)*EE24=1,IF(AND($E24=2,IV24=0),1000000,INDEX('計算A'!AL$110:AL$114,$F24+1)+IF(AND($E24=1,IV24=0),1000,0)),1000000))</f>
        <v/>
      </c>
      <c r="NN24">
        <f>IF($B24=0,1000000,IF(INDEX('計算A'!$D$60:$DS$104,$B24,36)*EF24=1,IF(AND($E24=2,IW24=0),1000000,INDEX('計算A'!AM$110:AM$114,$F24+1)+IF(AND($E24=1,IW24=0),1000,0)),1000000))</f>
        <v/>
      </c>
      <c r="NO24">
        <f>IF($B24=0,1000000,IF(INDEX('計算A'!$D$60:$DS$104,$B24,37)*EG24=1,IF(AND($E24=2,IX24=0),1000000,INDEX('計算A'!AN$110:AN$114,$F24+1)+IF(AND($E24=1,IX24=0),1000,0)),1000000))</f>
        <v/>
      </c>
      <c r="NP24">
        <f>IF($B24=0,1000000,IF(INDEX('計算A'!$D$60:$DS$104,$B24,38)*EH24=1,IF(AND($E24=2,IY24=0),1000000,INDEX('計算A'!AO$110:AO$114,$F24+1)+IF(AND($E24=1,IY24=0),1000,0)),1000000))</f>
        <v/>
      </c>
      <c r="NQ24">
        <f>IF($B24=0,1000000,IF(INDEX('計算A'!$D$60:$DS$104,$B24,39)*EI24=1,IF(AND($E24=2,IZ24=0),1000000,INDEX('計算A'!AP$110:AP$114,$F24+1)+IF(AND($E24=1,IZ24=0),1000,0)),1000000))</f>
        <v/>
      </c>
      <c r="NR24">
        <f>IF($B24=0,1000000,IF(INDEX('計算A'!$D$60:$DS$104,$B24,40)*EJ24=1,IF(AND($E24=2,JA24=0),1000000,INDEX('計算A'!AQ$110:AQ$114,$F24+1)+IF(AND($E24=1,JA24=0),1000,0)),1000000))</f>
        <v/>
      </c>
      <c r="NS24">
        <f>IF($B24=0,1000000,IF(INDEX('計算A'!$D$60:$DS$104,$B24,41)*EK24=1,IF(AND($E24=2,JB24=0),1000000,INDEX('計算A'!AR$110:AR$114,$F24+1)+IF(AND($E24=1,JB24=0),1000,0)),1000000))</f>
        <v/>
      </c>
      <c r="NT24">
        <f>IF($B24=0,1000000,IF(INDEX('計算A'!$D$60:$DS$104,$B24,42)*EL24=1,IF(AND($E24=2,JC24=0),1000000,INDEX('計算A'!AS$110:AS$114,$F24+1)+IF(AND($E24=1,JC24=0),1000,0)),1000000))</f>
        <v/>
      </c>
      <c r="NU24">
        <f>IF($B24=0,1000000,IF(INDEX('計算A'!$D$60:$DS$104,$B24,43)*EM24=1,IF(AND($E24=2,JD24=0),1000000,INDEX('計算A'!AT$110:AT$114,$F24+1)+IF(AND($E24=1,JD24=0),1000,0)),1000000))</f>
        <v/>
      </c>
      <c r="NV24">
        <f>IF($B24=0,1000000,IF(INDEX('計算A'!$D$60:$DS$104,$B24,44)*EN24=1,IF(AND($E24=2,JE24=0),1000000,INDEX('計算A'!AU$110:AU$114,$F24+1)+IF(AND($E24=1,JE24=0),1000,0)),1000000))</f>
        <v/>
      </c>
      <c r="NW24">
        <f>IF($B24=0,1000000,IF(INDEX('計算A'!$D$60:$DS$104,$B24,45)*EO24=1,IF(AND($E24=2,JF24=0),1000000,INDEX('計算A'!AV$110:AV$114,$F24+1)+IF(AND($E24=1,JF24=0),1000,0)),1000000))</f>
        <v/>
      </c>
      <c r="NX24">
        <f>IF($B24=0,1000000,IF(INDEX('計算A'!$D$60:$DS$104,$B24,46)*EP24=1,IF(AND($E24=2,JG24=0),1000000,INDEX('計算A'!AW$110:AW$114,$F24+1)+IF(AND($E24=1,JG24=0),1000,0)),1000000))</f>
        <v/>
      </c>
      <c r="NY24">
        <f>IF($B24=0,1000000,IF(INDEX('計算A'!$D$60:$DS$104,$B24,47)*EQ24=1,IF(AND($E24=2,JH24=0),1000000,INDEX('計算A'!AX$110:AX$114,$F24+1)+IF(AND($E24=1,JH24=0),1000,0)),1000000))</f>
        <v/>
      </c>
      <c r="NZ24">
        <f>IF($B24=0,1000000,IF(INDEX('計算A'!$D$60:$DS$104,$B24,48)*ER24=1,IF(AND($E24=2,JI24=0),1000000,INDEX('計算A'!AY$110:AY$114,$F24+1)+IF(AND($E24=1,JI24=0),1000,0)),1000000))</f>
        <v/>
      </c>
      <c r="OA24">
        <f>IF($B24=0,1000000,IF(INDEX('計算A'!$D$60:$DS$104,$B24,49)*ES24=1,IF(AND($E24=2,JJ24=0),1000000,INDEX('計算A'!AZ$110:AZ$114,$F24+1)+IF(AND($E24=1,JJ24=0),1000,0)),1000000))</f>
        <v/>
      </c>
      <c r="OB24">
        <f>IF($B24=0,1000000,IF(INDEX('計算A'!$D$60:$DS$104,$B24,50)*ET24=1,IF(AND($E24=2,JK24=0),1000000,INDEX('計算A'!BA$110:BA$114,$F24+1)+IF(AND($E24=1,JK24=0),1000,0)),1000000))</f>
        <v/>
      </c>
      <c r="OC24">
        <f>IF($B24=0,1000000,IF(INDEX('計算A'!$D$60:$DS$104,$B24,51)*EU24=1,IF(AND($E24=2,JL24=0),1000000,INDEX('計算A'!BB$110:BB$114,$F24+1)+IF(AND($E24=1,JL24=0),1000,0)),1000000))</f>
        <v/>
      </c>
      <c r="OD24">
        <f>IF($B24=0,1000000,IF(INDEX('計算A'!$D$60:$DS$104,$B24,52)*EV24=1,IF(AND($E24=2,JM24=0),1000000,INDEX('計算A'!BC$110:BC$114,$F24+1)+IF(AND($E24=1,JM24=0),1000,0)),1000000))</f>
        <v/>
      </c>
      <c r="OE24">
        <f>IF($B24=0,1000000,IF(INDEX('計算A'!$D$60:$DS$104,$B24,53)*EW24=1,IF(AND($E24=2,JN24=0),1000000,INDEX('計算A'!BD$110:BD$114,$F24+1)+IF(AND($E24=1,JN24=0),1000,0)),1000000))</f>
        <v/>
      </c>
      <c r="OF24">
        <f>IF($B24=0,1000000,IF(INDEX('計算A'!$D$60:$DS$104,$B24,54)*EX24=1,IF(AND($E24=2,JO24=0),1000000,INDEX('計算A'!BE$110:BE$114,$F24+1)+IF(AND($E24=1,JO24=0),1000,0)),1000000))</f>
        <v/>
      </c>
      <c r="OG24">
        <f>IF($B24=0,1000000,IF(INDEX('計算A'!$D$60:$DS$104,$B24,55)*EY24=1,IF(AND($E24=2,JP24=0),1000000,INDEX('計算A'!BF$110:BF$114,$F24+1)+IF(AND($E24=1,JP24=0),1000,0)),1000000))</f>
        <v/>
      </c>
      <c r="OH24">
        <f>IF($B24=0,1000000,IF(INDEX('計算A'!$D$60:$DS$104,$B24,56)*EZ24=1,IF(AND($E24=2,JQ24=0),1000000,INDEX('計算A'!BG$110:BG$114,$F24+1)+IF(AND($E24=1,JQ24=0),1000,0)),1000000))</f>
        <v/>
      </c>
      <c r="OI24">
        <f>IF($B24=0,1000000,IF(INDEX('計算A'!$D$60:$DS$104,$B24,57)*FA24=1,IF(AND($E24=2,JR24=0),1000000,INDEX('計算A'!BH$110:BH$114,$F24+1)+IF(AND($E24=1,JR24=0),1000,0)),1000000))</f>
        <v/>
      </c>
      <c r="OJ24">
        <f>IF($B24=0,1000000,IF(INDEX('計算A'!$D$60:$DS$104,$B24,58)*FB24=1,IF(AND($E24=2,JS24=0),1000000,INDEX('計算A'!BI$110:BI$114,$F24+1)+IF(AND($E24=1,JS24=0),1000,0)),1000000))</f>
        <v/>
      </c>
      <c r="OK24">
        <f>IF($B24=0,1000000,IF(INDEX('計算A'!$D$60:$DS$104,$B24,59)*FC24=1,IF(AND($E24=2,JT24=0),1000000,INDEX('計算A'!BJ$110:BJ$114,$F24+1)+IF(AND($E24=1,JT24=0),1000,0)),1000000))</f>
        <v/>
      </c>
      <c r="OL24">
        <f>IF($B24=0,1000000,IF(INDEX('計算A'!$D$60:$DS$104,$B24,60)*FD24=1,IF(AND($E24=2,JU24=0),1000000,INDEX('計算A'!BK$110:BK$114,$F24+1)+IF(AND($E24=1,JU24=0),1000,0)),1000000))</f>
        <v/>
      </c>
      <c r="OM24">
        <f>IF($B24=0,1000000,IF(INDEX('計算A'!$D$60:$DS$104,$B24,61)*FE24=1,IF(AND($E24=2,JV24=0),1000000,INDEX('計算A'!BL$110:BL$114,$F24+1)+IF(AND($E24=1,JV24=0),1000,0)),1000000))</f>
        <v/>
      </c>
      <c r="ON24">
        <f>IF($B24=0,1000000,IF(INDEX('計算A'!$D$60:$DS$104,$B24,62)*FF24=1,IF(AND($E24=2,JW24=0),1000000,INDEX('計算A'!BM$110:BM$114,$F24+1)+IF(AND($E24=1,JW24=0),1000,0)),1000000))</f>
        <v/>
      </c>
      <c r="OO24">
        <f>IF($B24=0,1000000,IF(INDEX('計算A'!$D$60:$DS$104,$B24,63)*FG24=1,IF(AND($E24=2,JX24=0),1000000,INDEX('計算A'!BN$110:BN$114,$F24+1)+IF(AND($E24=1,JX24=0),1000,0)),1000000))</f>
        <v/>
      </c>
      <c r="OP24">
        <f>IF($B24=0,1000000,IF(INDEX('計算A'!$D$60:$DS$104,$B24,64)*FH24=1,IF(AND($E24=2,JY24=0),1000000,INDEX('計算A'!BO$110:BO$114,$F24+1)+IF(AND($E24=1,JY24=0),1000,0)),1000000))</f>
        <v/>
      </c>
      <c r="OQ24">
        <f>IF($B24=0,1000000,IF(INDEX('計算A'!$D$60:$DS$104,$B24,65)*FI24=1,IF(AND($E24=2,JZ24=0),1000000,INDEX('計算A'!BP$110:BP$114,$F24+1)+IF(AND($E24=1,JZ24=0),1000,0)),1000000))</f>
        <v/>
      </c>
      <c r="OR24">
        <f>IF($B24=0,1000000,IF(INDEX('計算A'!$D$60:$DS$104,$B24,66)*FJ24=1,IF(AND($E24=2,KA24=0),1000000,INDEX('計算A'!BQ$110:BQ$114,$F24+1)+IF(AND($E24=1,KA24=0),1000,0)),1000000))</f>
        <v/>
      </c>
      <c r="OS24">
        <f>IF($B24=0,1000000,IF(INDEX('計算A'!$D$60:$DS$104,$B24,67)*FK24=1,IF(AND($E24=2,KB24=0),1000000,INDEX('計算A'!BR$110:BR$114,$F24+1)+IF(AND($E24=1,KB24=0),1000,0)),1000000))</f>
        <v/>
      </c>
      <c r="OT24">
        <f>IF($B24=0,1000000,IF(INDEX('計算A'!$D$60:$DS$104,$B24,68)*FL24=1,IF(AND($E24=2,KC24=0),1000000,INDEX('計算A'!BS$110:BS$114,$F24+1)+IF(AND($E24=1,KC24=0),1000,0)),1000000))</f>
        <v/>
      </c>
      <c r="OU24">
        <f>IF($B24=0,1000000,IF(INDEX('計算A'!$D$60:$DS$104,$B24,69)*FM24=1,IF(AND($E24=2,KD24=0),1000000,INDEX('計算A'!BT$110:BT$114,$F24+1)+IF(AND($E24=1,KD24=0),1000,0)),1000000))</f>
        <v/>
      </c>
      <c r="OV24">
        <f>IF($B24=0,1000000,IF(INDEX('計算A'!$D$60:$DS$104,$B24,70)*FN24=1,IF(AND($E24=2,KE24=0),1000000,INDEX('計算A'!BU$110:BU$114,$F24+1)+IF(AND($E24=1,KE24=0),1000,0)),1000000))</f>
        <v/>
      </c>
      <c r="OW24">
        <f>IF($B24=0,1000000,IF(INDEX('計算A'!$D$60:$DS$104,$B24,71)*FO24=1,IF(AND($E24=2,KF24=0),1000000,INDEX('計算A'!BV$110:BV$114,$F24+1)+IF(AND($E24=1,KF24=0),1000,0)),1000000))</f>
        <v/>
      </c>
      <c r="OX24">
        <f>IF($B24=0,1000000,IF(INDEX('計算A'!$D$60:$DS$104,$B24,72)*FP24=1,IF(AND($E24=2,KG24=0),1000000,INDEX('計算A'!BW$110:BW$114,$F24+1)+IF(AND($E24=1,KG24=0),1000,0)),1000000))</f>
        <v/>
      </c>
      <c r="OY24">
        <f>IF($B24=0,1000000,IF(INDEX('計算A'!$D$60:$DS$104,$B24,73)*FQ24=1,IF(AND($E24=2,KH24=0),1000000,INDEX('計算A'!BX$110:BX$114,$F24+1)+IF(AND($E24=1,KH24=0),1000,0)),1000000))</f>
        <v/>
      </c>
      <c r="OZ24">
        <f>IF($B24=0,1000000,IF(INDEX('計算A'!$D$60:$DS$104,$B24,74)*FR24=1,IF(AND($E24=2,KI24=0),1000000,INDEX('計算A'!BY$110:BY$114,$F24+1)+IF(AND($E24=1,KI24=0),1000,0)),1000000))</f>
        <v/>
      </c>
      <c r="PA24">
        <f>IF($B24=0,1000000,IF(INDEX('計算A'!$D$60:$DS$104,$B24,75)*FS24=1,IF(AND($E24=2,KJ24=0),1000000,INDEX('計算A'!BZ$110:BZ$114,$F24+1)+IF(AND($E24=1,KJ24=0),1000,0)),1000000))</f>
        <v/>
      </c>
      <c r="PB24">
        <f>IF($B24=0,1000000,IF(INDEX('計算A'!$D$60:$DS$104,$B24,76)*FT24=1,IF(AND($E24=2,KK24=0),1000000,INDEX('計算A'!CA$110:CA$114,$F24+1)+IF(AND($E24=1,KK24=0),1000,0)),1000000))</f>
        <v/>
      </c>
      <c r="PC24">
        <f>IF($B24=0,1000000,IF(INDEX('計算A'!$D$60:$DS$104,$B24,77)*FU24=1,IF(AND($E24=2,KL24=0),1000000,INDEX('計算A'!CB$110:CB$114,$F24+1)+IF(AND($E24=1,KL24=0),1000,0)),1000000))</f>
        <v/>
      </c>
      <c r="PD24">
        <f>IF($B24=0,1000000,IF(INDEX('計算A'!$D$60:$DS$104,$B24,78)*FV24=1,IF(AND($E24=2,KM24=0),1000000,INDEX('計算A'!CC$110:CC$114,$F24+1)+IF(AND($E24=1,KM24=0),1000,0)),1000000))</f>
        <v/>
      </c>
      <c r="PE24">
        <f>IF($B24=0,1000000,IF(INDEX('計算A'!$D$60:$DS$104,$B24,79)*FW24=1,IF(AND($E24=2,KN24=0),1000000,INDEX('計算A'!CD$110:CD$114,$F24+1)+IF(AND($E24=1,KN24=0),1000,0)),1000000))</f>
        <v/>
      </c>
      <c r="PF24">
        <f>IF($B24=0,1000000,IF(INDEX('計算A'!$D$60:$DS$104,$B24,80)*FX24=1,IF(AND($E24=2,KO24=0),1000000,INDEX('計算A'!CE$110:CE$114,$F24+1)+IF(AND($E24=1,KO24=0),1000,0)),1000000))</f>
        <v/>
      </c>
      <c r="PG24">
        <f>IF($B24=0,1000000,IF(INDEX('計算A'!$D$60:$DS$104,$B24,81)*FY24=1,IF(AND($E24=2,KP24=0),1000000,INDEX('計算A'!CF$110:CF$114,$F24+1)+IF(AND($E24=1,KP24=0),1000,0)),1000000))</f>
        <v/>
      </c>
      <c r="PH24">
        <f>IF($B24=0,1000000,IF(INDEX('計算A'!$D$60:$DS$104,$B24,82)*FZ24=1,IF(AND($E24=2,KQ24=0),1000000,INDEX('計算A'!CG$110:CG$114,$F24+1)+IF(AND($E24=1,KQ24=0),1000,0)),1000000))</f>
        <v/>
      </c>
      <c r="PI24">
        <f>IF($B24=0,1000000,IF(INDEX('計算A'!$D$60:$DS$104,$B24,83)*GA24=1,IF(AND($E24=2,KR24=0),1000000,INDEX('計算A'!CH$110:CH$114,$F24+1)+IF(AND($E24=1,KR24=0),1000,0)),1000000))</f>
        <v/>
      </c>
      <c r="PJ24">
        <f>IF($B24=0,1000000,IF(INDEX('計算A'!$D$60:$DS$104,$B24,84)*GB24=1,IF(AND($E24=2,KS24=0),1000000,INDEX('計算A'!CI$110:CI$114,$F24+1)+IF(AND($E24=1,KS24=0),1000,0)),1000000))</f>
        <v/>
      </c>
      <c r="PK24">
        <f>IF($B24=0,1000000,IF(INDEX('計算A'!$D$60:$DS$104,$B24,85)*GC24=1,IF(AND($E24=2,KT24=0),1000000,INDEX('計算A'!CJ$110:CJ$114,$F24+1)+IF(AND($E24=1,KT24=0),1000,0)),1000000))</f>
        <v/>
      </c>
      <c r="PL24">
        <f>IF($B24=0,1000000,IF(INDEX('計算A'!$D$60:$DS$104,$B24,86)*GD24=1,IF(AND($E24=2,KU24=0),1000000,INDEX('計算A'!CK$110:CK$114,$F24+1)+IF(AND($E24=1,KU24=0),1000,0)),1000000))</f>
        <v/>
      </c>
      <c r="PM24">
        <f>IF($B24=0,1000000,IF(INDEX('計算A'!$D$60:$DS$104,$B24,87)*GE24=1,IF(AND($E24=2,KV24=0),1000000,INDEX('計算A'!CL$110:CL$114,$F24+1)+IF(AND($E24=1,KV24=0),1000,0)),1000000))</f>
        <v/>
      </c>
      <c r="PN24">
        <f>IF($B24=0,1000000,IF(INDEX('計算A'!$D$60:$DS$104,$B24,88)*GF24=1,IF(AND($E24=2,KW24=0),1000000,INDEX('計算A'!CM$110:CM$114,$F24+1)+IF(AND($E24=1,KW24=0),1000,0)),1000000))</f>
        <v/>
      </c>
      <c r="PO24">
        <f>IF($B24=0,1000000,IF(INDEX('計算A'!$D$60:$DS$104,$B24,89)*GG24=1,IF(AND($E24=2,KX24=0),1000000,INDEX('計算A'!CN$110:CN$114,$F24+1)+IF(AND($E24=1,KX24=0),1000,0)),1000000))</f>
        <v/>
      </c>
      <c r="PP24">
        <f>IF($B24=0,1000000,IF(INDEX('計算A'!$D$60:$DS$104,$B24,90)*GH24=1,IF(AND($E24=2,KY24=0),1000000,INDEX('計算A'!CO$110:CO$114,$F24+1)+IF(AND($E24=1,KY24=0),1000,0)),1000000))</f>
        <v/>
      </c>
      <c r="PQ24">
        <f>IF($B24=0,1000000,IF(INDEX('計算A'!$D$60:$DS$104,$B24,91)*GI24=1,IF(AND($E24=2,KZ24=0),1000000,INDEX('計算A'!CP$110:CP$114,$F24+1)+IF(AND($E24=1,KZ24=0),1000,0)),1000000))</f>
        <v/>
      </c>
      <c r="PR24">
        <f>IF($B24=0,1000000,IF(INDEX('計算A'!$D$60:$DS$104,$B24,92)*GJ24=1,IF(AND($E24=2,LA24=0),1000000,INDEX('計算A'!CQ$110:CQ$114,$F24+1)+IF(AND($E24=1,LA24=0),1000,0)),1000000))</f>
        <v/>
      </c>
      <c r="PS24">
        <f>IF($B24=0,1000000,IF(INDEX('計算A'!$D$60:$DS$104,$B24,93)*GK24=1,IF(AND($E24=2,LB24=0),1000000,INDEX('計算A'!CR$110:CR$114,$F24+1)+IF(AND($E24=1,LB24=0),1000,0)),1000000))</f>
        <v/>
      </c>
      <c r="PT24">
        <f>IF($B24=0,1000000,IF(INDEX('計算A'!$D$60:$DS$104,$B24,94)*GL24=1,IF(AND($E24=2,LC24=0),1000000,INDEX('計算A'!CS$110:CS$114,$F24+1)+IF(AND($E24=1,LC24=0),1000,0)),1000000))</f>
        <v/>
      </c>
      <c r="PU24">
        <f>IF($B24=0,1000000,IF(INDEX('計算A'!$D$60:$DS$104,$B24,95)*GM24=1,IF(AND($E24=2,LD24=0),1000000,INDEX('計算A'!CT$110:CT$114,$F24+1)+IF(AND($E24=1,LD24=0),1000,0)),1000000))</f>
        <v/>
      </c>
      <c r="PV24">
        <f>IF($B24=0,1000000,IF(INDEX('計算A'!$D$60:$DS$104,$B24,96)*GN24=1,IF(AND($E24=2,LE24=0),1000000,INDEX('計算A'!CU$110:CU$114,$F24+1)+IF(AND($E24=1,LE24=0),1000,0)),1000000))</f>
        <v/>
      </c>
      <c r="PW24">
        <f>IF($B24=0,1000000,IF(INDEX('計算A'!$D$60:$DS$104,$B24,97)*GO24=1,IF(AND($E24=2,LF24=0),1000000,INDEX('計算A'!CV$110:CV$114,$F24+1)+IF(AND($E24=1,LF24=0),1000,0)),1000000))</f>
        <v/>
      </c>
      <c r="PX24">
        <f>IF($B24=0,1000000,IF(INDEX('計算A'!$D$60:$DS$104,$B24,98)*GP24=1,IF(AND($E24=2,LG24=0),1000000,INDEX('計算A'!CW$110:CW$114,$F24+1)+IF(AND($E24=1,LG24=0),1000,0)),1000000))</f>
        <v/>
      </c>
      <c r="PY24">
        <f>IF($B24=0,1000000,IF(INDEX('計算A'!$D$60:$DS$104,$B24,99)*GQ24=1,IF(AND($E24=2,LH24=0),1000000,INDEX('計算A'!CX$110:CX$114,$F24+1)+IF(AND($E24=1,LH24=0),1000,0)),1000000))</f>
        <v/>
      </c>
      <c r="PZ24">
        <f>IF($B24=0,1000000,IF(INDEX('計算A'!$D$60:$DS$104,$B24,100)*GR24=1,IF(AND($E24=2,LI24=0),1000000,INDEX('計算A'!CY$110:CY$114,$F24+1)+IF(AND($E24=1,LI24=0),1000,0)),1000000))</f>
        <v/>
      </c>
      <c r="QA24">
        <f>IF($B24=0,1000000,IF(INDEX('計算A'!$D$60:$DS$104,$B24,101)*GS24=1,IF(AND($E24=2,LJ24=0),1000000,INDEX('計算A'!CZ$110:CZ$114,$F24+1)+IF(AND($E24=1,LJ24=0),1000,0)),1000000))</f>
        <v/>
      </c>
      <c r="QB24">
        <f>IF($B24=0,1000000,IF(INDEX('計算A'!$D$60:$DS$104,$B24,102)*GT24=1,IF(AND($E24=2,LK24=0),1000000,INDEX('計算A'!DA$110:DA$114,$F24+1)+IF(AND($E24=1,LK24=0),1000,0)),1000000))</f>
        <v/>
      </c>
      <c r="QC24">
        <f>IF($B24=0,1000000,IF(INDEX('計算A'!$D$60:$DS$104,$B24,103)*GU24=1,IF(AND($E24=2,LL24=0),1000000,INDEX('計算A'!DB$110:DB$114,$F24+1)+IF(AND($E24=1,LL24=0),1000,0)),1000000))</f>
        <v/>
      </c>
      <c r="QD24">
        <f>IF($B24=0,1000000,IF(INDEX('計算A'!$D$60:$DS$104,$B24,104)*GV24=1,IF(AND($E24=2,LM24=0),1000000,INDEX('計算A'!DC$110:DC$114,$F24+1)+IF(AND($E24=1,LM24=0),1000,0)),1000000))</f>
        <v/>
      </c>
      <c r="QE24">
        <f>IF($B24=0,1000000,IF(INDEX('計算A'!$D$60:$DS$104,$B24,105)*GW24=1,IF(AND($E24=2,LN24=0),1000000,INDEX('計算A'!DD$110:DD$114,$F24+1)+IF(AND($E24=1,LN24=0),1000,0)),1000000))</f>
        <v/>
      </c>
      <c r="QF24">
        <f>IF($B24=0,1000000,IF(INDEX('計算A'!$D$60:$DS$104,$B24,106)*GX24=1,IF(AND($E24=2,LO24=0),1000000,INDEX('計算A'!DE$110:DE$114,$F24+1)+IF(AND($E24=1,LO24=0),1000,0)),1000000))</f>
        <v/>
      </c>
      <c r="QG24">
        <f>IF($B24=0,1000000,IF(INDEX('計算A'!$D$60:$DS$104,$B24,107)*GY24=1,IF(AND($E24=2,LP24=0),1000000,INDEX('計算A'!DF$110:DF$114,$F24+1)+IF(AND($E24=1,LP24=0),1000,0)),1000000))</f>
        <v/>
      </c>
      <c r="QH24">
        <f>IF($B24=0,1000000,IF(INDEX('計算A'!$D$60:$DS$104,$B24,108)*GZ24=1,IF(AND($E24=2,LQ24=0),1000000,INDEX('計算A'!DG$110:DG$114,$F24+1)+IF(AND($E24=1,LQ24=0),1000,0)),1000000))</f>
        <v/>
      </c>
      <c r="QI24">
        <f>IF($B24=0,1000000,IF(INDEX('計算A'!$D$60:$DS$104,$B24,109)*HA24=1,IF(AND($E24=2,LR24=0),1000000,INDEX('計算A'!DH$110:DH$114,$F24+1)+IF(AND($E24=1,LR24=0),1000,0)),1000000))</f>
        <v/>
      </c>
      <c r="QJ24">
        <f>IF($B24=0,1000000,IF(INDEX('計算A'!$D$60:$DS$104,$B24,110)*HB24=1,IF(AND($E24=2,LS24=0),1000000,INDEX('計算A'!DI$110:DI$114,$F24+1)+IF(AND($E24=1,LS24=0),1000,0)),1000000))</f>
        <v/>
      </c>
      <c r="QK24">
        <f>IF($B24=0,1000000,IF(INDEX('計算A'!$D$60:$DS$104,$B24,111)*HC24=1,IF(AND($E24=2,LT24=0),1000000,INDEX('計算A'!DJ$110:DJ$114,$F24+1)+IF(AND($E24=1,LT24=0),1000,0)),1000000))</f>
        <v/>
      </c>
      <c r="QL24">
        <f>IF($B24=0,1000000,IF(INDEX('計算A'!$D$60:$DS$104,$B24,112)*HD24=1,IF(AND($E24=2,LU24=0),1000000,INDEX('計算A'!DK$110:DK$114,$F24+1)+IF(AND($E24=1,LU24=0),1000,0)),1000000))</f>
        <v/>
      </c>
      <c r="QM24">
        <f>IF($B24=0,1000000,IF(INDEX('計算A'!$D$60:$DS$104,$B24,113)*HE24=1,IF(AND($E24=2,LV24=0),1000000,INDEX('計算A'!DL$110:DL$114,$F24+1)+IF(AND($E24=1,LV24=0),1000,0)),1000000))</f>
        <v/>
      </c>
      <c r="QN24">
        <f>IF($B24=0,1000000,IF(INDEX('計算A'!$D$60:$DS$104,$B24,114)*HF24=1,IF(AND($E24=2,LW24=0),1000000,INDEX('計算A'!DM$110:DM$114,$F24+1)+IF(AND($E24=1,LW24=0),1000,0)),1000000))</f>
        <v/>
      </c>
      <c r="QO24">
        <f>IF($B24=0,1000000,IF(INDEX('計算A'!$D$60:$DS$104,$B24,115)*HG24=1,IF(AND($E24=2,LX24=0),1000000,INDEX('計算A'!DN$110:DN$114,$F24+1)+IF(AND($E24=1,LX24=0),1000,0)),1000000))</f>
        <v/>
      </c>
      <c r="QP24">
        <f>IF($B24=0,1000000,IF(INDEX('計算A'!$D$60:$DS$104,$B24,116)*HH24=1,IF(AND($E24=2,LY24=0),1000000,INDEX('計算A'!DO$110:DO$114,$F24+1)+IF(AND($E24=1,LY24=0),1000,0)),1000000))</f>
        <v/>
      </c>
      <c r="QQ24">
        <f>IF($B24=0,1000000,IF(INDEX('計算A'!$D$60:$DS$104,$B24,117)*HI24=1,IF(AND($E24=2,LZ24=0),1000000,INDEX('計算A'!DP$110:DP$114,$F24+1)+IF(AND($E24=1,LZ24=0),1000,0)),1000000))</f>
        <v/>
      </c>
      <c r="QR24">
        <f>IF($B24=0,1000000,IF(INDEX('計算A'!$D$60:$DS$104,$B24,118)*HJ24=1,IF(AND($E24=2,MA24=0),1000000,INDEX('計算A'!DQ$110:DQ$114,$F24+1)+IF(AND($E24=1,MA24=0),1000,0)),1000000))</f>
        <v/>
      </c>
      <c r="QS24">
        <f>IF($B24=0,1000000,IF(INDEX('計算A'!$D$60:$DS$104,$B24,119)*HK24=1,IF(AND($E24=2,MB24=0),1000000,INDEX('計算A'!DR$110:DR$114,$F24+1)+IF(AND($E24=1,MB24=0),1000,0)),1000000))</f>
        <v/>
      </c>
      <c r="QT24">
        <f>IF($B24=0,1000000,IF(INDEX('計算A'!$D$60:$DS$104,$B24,120)*HL24=1,IF(AND($E24=2,MC24=0),1000000,INDEX('計算A'!DS$110:DS$114,$F24+1)+IF(AND($E24=1,MC24=0),1000,0)),1000000))</f>
        <v/>
      </c>
    </row>
    <row r="25">
      <c r="A25" t="n">
        <v>23</v>
      </c>
      <c r="B25">
        <f>IF(MIN(BC25:CU25)&gt;=1000000,0,MATCH(MIN(BC25:CU25),BC25:CU25,0))</f>
        <v/>
      </c>
      <c r="C25">
        <f>IF(MIN(ME25:QT25)&gt;=1000000,0,MATCH(MIN(ME25:QT25),ME25:QT25,0))</f>
        <v/>
      </c>
      <c r="D25">
        <f>IF(C25&gt;0,INDEX('計算A'!$D$5:$DS$5,C25),0)</f>
        <v/>
      </c>
      <c r="E25">
        <f>IF(B25=0,0,INDEX('計算A'!$EA$10:$EA$54,B25))</f>
        <v/>
      </c>
      <c r="F25">
        <f>IF(B25=0,0,INDEX('計算A'!$DZ$10:$DZ$54,B25))</f>
        <v/>
      </c>
      <c r="G25">
        <f>IF(AND(C25&gt;0,E25&gt;0),IF(AND(INDEX('計算A'!$D$106:$DS$106,C25)=1,INDEX($HN25:$MC25,C25)=1),C25+1,0),0)</f>
        <v/>
      </c>
      <c r="I25">
        <f>MAX(I24,IF($B24=1,1,0))</f>
        <v/>
      </c>
      <c r="J25">
        <f>MAX(J24,IF($B24=2,1,0))</f>
        <v/>
      </c>
      <c r="K25">
        <f>MAX(K24,IF($B24=3,1,0))</f>
        <v/>
      </c>
      <c r="L25">
        <f>MAX(L24,IF($B24=4,1,0))</f>
        <v/>
      </c>
      <c r="M25">
        <f>MAX(M24,IF($B24=5,1,0))</f>
        <v/>
      </c>
      <c r="N25">
        <f>MAX(N24,IF($B24=6,1,0))</f>
        <v/>
      </c>
      <c r="O25">
        <f>MAX(O24,IF($B24=7,1,0))</f>
        <v/>
      </c>
      <c r="P25">
        <f>MAX(P24,IF($B24=8,1,0))</f>
        <v/>
      </c>
      <c r="Q25">
        <f>MAX(Q24,IF($B24=9,1,0))</f>
        <v/>
      </c>
      <c r="R25">
        <f>MAX(R24,IF($B24=10,1,0))</f>
        <v/>
      </c>
      <c r="S25">
        <f>MAX(S24,IF($B24=11,1,0))</f>
        <v/>
      </c>
      <c r="T25">
        <f>MAX(T24,IF($B24=12,1,0))</f>
        <v/>
      </c>
      <c r="U25">
        <f>MAX(U24,IF($B24=13,1,0))</f>
        <v/>
      </c>
      <c r="V25">
        <f>MAX(V24,IF($B24=14,1,0))</f>
        <v/>
      </c>
      <c r="W25">
        <f>MAX(W24,IF($B24=15,1,0))</f>
        <v/>
      </c>
      <c r="X25">
        <f>MAX(X24,IF($B24=16,1,0))</f>
        <v/>
      </c>
      <c r="Y25">
        <f>MAX(Y24,IF($B24=17,1,0))</f>
        <v/>
      </c>
      <c r="Z25">
        <f>MAX(Z24,IF($B24=18,1,0))</f>
        <v/>
      </c>
      <c r="AA25">
        <f>MAX(AA24,IF($B24=19,1,0))</f>
        <v/>
      </c>
      <c r="AB25">
        <f>MAX(AB24,IF($B24=20,1,0))</f>
        <v/>
      </c>
      <c r="AC25">
        <f>MAX(AC24,IF($B24=21,1,0))</f>
        <v/>
      </c>
      <c r="AD25">
        <f>MAX(AD24,IF($B24=22,1,0))</f>
        <v/>
      </c>
      <c r="AE25">
        <f>MAX(AE24,IF($B24=23,1,0))</f>
        <v/>
      </c>
      <c r="AF25">
        <f>MAX(AF24,IF($B24=24,1,0))</f>
        <v/>
      </c>
      <c r="AG25">
        <f>MAX(AG24,IF($B24=25,1,0))</f>
        <v/>
      </c>
      <c r="AH25">
        <f>MAX(AH24,IF($B24=26,1,0))</f>
        <v/>
      </c>
      <c r="AI25">
        <f>MAX(AI24,IF($B24=27,1,0))</f>
        <v/>
      </c>
      <c r="AJ25">
        <f>MAX(AJ24,IF($B24=28,1,0))</f>
        <v/>
      </c>
      <c r="AK25">
        <f>MAX(AK24,IF($B24=29,1,0))</f>
        <v/>
      </c>
      <c r="AL25">
        <f>MAX(AL24,IF($B24=30,1,0))</f>
        <v/>
      </c>
      <c r="AM25">
        <f>MAX(AM24,IF($B24=31,1,0))</f>
        <v/>
      </c>
      <c r="AN25">
        <f>MAX(AN24,IF($B24=32,1,0))</f>
        <v/>
      </c>
      <c r="AO25">
        <f>MAX(AO24,IF($B24=33,1,0))</f>
        <v/>
      </c>
      <c r="AP25">
        <f>MAX(AP24,IF($B24=34,1,0))</f>
        <v/>
      </c>
      <c r="AQ25">
        <f>MAX(AQ24,IF($B24=35,1,0))</f>
        <v/>
      </c>
      <c r="AR25">
        <f>MAX(AR24,IF($B24=36,1,0))</f>
        <v/>
      </c>
      <c r="AS25">
        <f>MAX(AS24,IF($B24=37,1,0))</f>
        <v/>
      </c>
      <c r="AT25">
        <f>MAX(AT24,IF($B24=38,1,0))</f>
        <v/>
      </c>
      <c r="AU25">
        <f>MAX(AU24,IF($B24=39,1,0))</f>
        <v/>
      </c>
      <c r="AV25">
        <f>MAX(AV24,IF($B24=40,1,0))</f>
        <v/>
      </c>
      <c r="AW25">
        <f>MAX(AW24,IF($B24=41,1,0))</f>
        <v/>
      </c>
      <c r="AX25">
        <f>MAX(AX24,IF($B24=42,1,0))</f>
        <v/>
      </c>
      <c r="AY25">
        <f>MAX(AY24,IF($B24=43,1,0))</f>
        <v/>
      </c>
      <c r="AZ25">
        <f>MAX(AZ24,IF($B24=44,1,0))</f>
        <v/>
      </c>
      <c r="BA25">
        <f>MAX(BA24,IF($B24=45,1,0))</f>
        <v/>
      </c>
      <c r="BC25">
        <f>IF(I25=1,1000000,IF('計算A'!$EA$10=2,SUMPRODUCT('計算A'!$D$60:$DS$60,$CW25:$HL25,$HN25:$MC25),SUMPRODUCT('計算A'!$D$60:$DS$60,$CW25:$HL25))*1000+1)</f>
        <v/>
      </c>
      <c r="BD25">
        <f>IF(J25=1,1000000,IF('計算A'!$EA$11=2,SUMPRODUCT('計算A'!$D$61:$DS$61,$CW25:$HL25,$HN25:$MC25),SUMPRODUCT('計算A'!$D$61:$DS$61,$CW25:$HL25))*1000+2)</f>
        <v/>
      </c>
      <c r="BE25">
        <f>IF(K25=1,1000000,IF('計算A'!$EA$12=2,SUMPRODUCT('計算A'!$D$62:$DS$62,$CW25:$HL25,$HN25:$MC25),SUMPRODUCT('計算A'!$D$62:$DS$62,$CW25:$HL25))*1000+3)</f>
        <v/>
      </c>
      <c r="BF25">
        <f>IF(L25=1,1000000,IF('計算A'!$EA$13=2,SUMPRODUCT('計算A'!$D$63:$DS$63,$CW25:$HL25,$HN25:$MC25),SUMPRODUCT('計算A'!$D$63:$DS$63,$CW25:$HL25))*1000+4)</f>
        <v/>
      </c>
      <c r="BG25">
        <f>IF(M25=1,1000000,IF('計算A'!$EA$14=2,SUMPRODUCT('計算A'!$D$64:$DS$64,$CW25:$HL25,$HN25:$MC25),SUMPRODUCT('計算A'!$D$64:$DS$64,$CW25:$HL25))*1000+5)</f>
        <v/>
      </c>
      <c r="BH25">
        <f>IF(N25=1,1000000,IF('計算A'!$EA$15=2,SUMPRODUCT('計算A'!$D$65:$DS$65,$CW25:$HL25,$HN25:$MC25),SUMPRODUCT('計算A'!$D$65:$DS$65,$CW25:$HL25))*1000+6)</f>
        <v/>
      </c>
      <c r="BI25">
        <f>IF(O25=1,1000000,IF('計算A'!$EA$16=2,SUMPRODUCT('計算A'!$D$66:$DS$66,$CW25:$HL25,$HN25:$MC25),SUMPRODUCT('計算A'!$D$66:$DS$66,$CW25:$HL25))*1000+7)</f>
        <v/>
      </c>
      <c r="BJ25">
        <f>IF(P25=1,1000000,IF('計算A'!$EA$17=2,SUMPRODUCT('計算A'!$D$67:$DS$67,$CW25:$HL25,$HN25:$MC25),SUMPRODUCT('計算A'!$D$67:$DS$67,$CW25:$HL25))*1000+8)</f>
        <v/>
      </c>
      <c r="BK25">
        <f>IF(Q25=1,1000000,IF('計算A'!$EA$18=2,SUMPRODUCT('計算A'!$D$68:$DS$68,$CW25:$HL25,$HN25:$MC25),SUMPRODUCT('計算A'!$D$68:$DS$68,$CW25:$HL25))*1000+9)</f>
        <v/>
      </c>
      <c r="BL25">
        <f>IF(R25=1,1000000,IF('計算A'!$EA$19=2,SUMPRODUCT('計算A'!$D$69:$DS$69,$CW25:$HL25,$HN25:$MC25),SUMPRODUCT('計算A'!$D$69:$DS$69,$CW25:$HL25))*1000+10)</f>
        <v/>
      </c>
      <c r="BM25">
        <f>IF(S25=1,1000000,IF('計算A'!$EA$20=2,SUMPRODUCT('計算A'!$D$70:$DS$70,$CW25:$HL25,$HN25:$MC25),SUMPRODUCT('計算A'!$D$70:$DS$70,$CW25:$HL25))*1000+11)</f>
        <v/>
      </c>
      <c r="BN25">
        <f>IF(T25=1,1000000,IF('計算A'!$EA$21=2,SUMPRODUCT('計算A'!$D$71:$DS$71,$CW25:$HL25,$HN25:$MC25),SUMPRODUCT('計算A'!$D$71:$DS$71,$CW25:$HL25))*1000+12)</f>
        <v/>
      </c>
      <c r="BO25">
        <f>IF(U25=1,1000000,IF('計算A'!$EA$22=2,SUMPRODUCT('計算A'!$D$72:$DS$72,$CW25:$HL25,$HN25:$MC25),SUMPRODUCT('計算A'!$D$72:$DS$72,$CW25:$HL25))*1000+13)</f>
        <v/>
      </c>
      <c r="BP25">
        <f>IF(V25=1,1000000,IF('計算A'!$EA$23=2,SUMPRODUCT('計算A'!$D$73:$DS$73,$CW25:$HL25,$HN25:$MC25),SUMPRODUCT('計算A'!$D$73:$DS$73,$CW25:$HL25))*1000+14)</f>
        <v/>
      </c>
      <c r="BQ25">
        <f>IF(W25=1,1000000,IF('計算A'!$EA$24=2,SUMPRODUCT('計算A'!$D$74:$DS$74,$CW25:$HL25,$HN25:$MC25),SUMPRODUCT('計算A'!$D$74:$DS$74,$CW25:$HL25))*1000+15)</f>
        <v/>
      </c>
      <c r="BR25">
        <f>IF(X25=1,1000000,IF('計算A'!$EA$25=2,SUMPRODUCT('計算A'!$D$75:$DS$75,$CW25:$HL25,$HN25:$MC25),SUMPRODUCT('計算A'!$D$75:$DS$75,$CW25:$HL25))*1000+16)</f>
        <v/>
      </c>
      <c r="BS25">
        <f>IF(Y25=1,1000000,IF('計算A'!$EA$26=2,SUMPRODUCT('計算A'!$D$76:$DS$76,$CW25:$HL25,$HN25:$MC25),SUMPRODUCT('計算A'!$D$76:$DS$76,$CW25:$HL25))*1000+17)</f>
        <v/>
      </c>
      <c r="BT25">
        <f>IF(Z25=1,1000000,IF('計算A'!$EA$27=2,SUMPRODUCT('計算A'!$D$77:$DS$77,$CW25:$HL25,$HN25:$MC25),SUMPRODUCT('計算A'!$D$77:$DS$77,$CW25:$HL25))*1000+18)</f>
        <v/>
      </c>
      <c r="BU25">
        <f>IF(AA25=1,1000000,IF('計算A'!$EA$28=2,SUMPRODUCT('計算A'!$D$78:$DS$78,$CW25:$HL25,$HN25:$MC25),SUMPRODUCT('計算A'!$D$78:$DS$78,$CW25:$HL25))*1000+19)</f>
        <v/>
      </c>
      <c r="BV25">
        <f>IF(AB25=1,1000000,IF('計算A'!$EA$29=2,SUMPRODUCT('計算A'!$D$79:$DS$79,$CW25:$HL25,$HN25:$MC25),SUMPRODUCT('計算A'!$D$79:$DS$79,$CW25:$HL25))*1000+20)</f>
        <v/>
      </c>
      <c r="BW25">
        <f>IF(AC25=1,1000000,IF('計算A'!$EA$30=2,SUMPRODUCT('計算A'!$D$80:$DS$80,$CW25:$HL25,$HN25:$MC25),SUMPRODUCT('計算A'!$D$80:$DS$80,$CW25:$HL25))*1000+21)</f>
        <v/>
      </c>
      <c r="BX25">
        <f>IF(AD25=1,1000000,IF('計算A'!$EA$31=2,SUMPRODUCT('計算A'!$D$81:$DS$81,$CW25:$HL25,$HN25:$MC25),SUMPRODUCT('計算A'!$D$81:$DS$81,$CW25:$HL25))*1000+22)</f>
        <v/>
      </c>
      <c r="BY25">
        <f>IF(AE25=1,1000000,IF('計算A'!$EA$32=2,SUMPRODUCT('計算A'!$D$82:$DS$82,$CW25:$HL25,$HN25:$MC25),SUMPRODUCT('計算A'!$D$82:$DS$82,$CW25:$HL25))*1000+23)</f>
        <v/>
      </c>
      <c r="BZ25">
        <f>IF(AF25=1,1000000,IF('計算A'!$EA$33=2,SUMPRODUCT('計算A'!$D$83:$DS$83,$CW25:$HL25,$HN25:$MC25),SUMPRODUCT('計算A'!$D$83:$DS$83,$CW25:$HL25))*1000+24)</f>
        <v/>
      </c>
      <c r="CA25">
        <f>IF(AG25=1,1000000,IF('計算A'!$EA$34=2,SUMPRODUCT('計算A'!$D$84:$DS$84,$CW25:$HL25,$HN25:$MC25),SUMPRODUCT('計算A'!$D$84:$DS$84,$CW25:$HL25))*1000+25)</f>
        <v/>
      </c>
      <c r="CB25">
        <f>IF(AH25=1,1000000,IF('計算A'!$EA$35=2,SUMPRODUCT('計算A'!$D$85:$DS$85,$CW25:$HL25,$HN25:$MC25),SUMPRODUCT('計算A'!$D$85:$DS$85,$CW25:$HL25))*1000+26)</f>
        <v/>
      </c>
      <c r="CC25">
        <f>IF(AI25=1,1000000,IF('計算A'!$EA$36=2,SUMPRODUCT('計算A'!$D$86:$DS$86,$CW25:$HL25,$HN25:$MC25),SUMPRODUCT('計算A'!$D$86:$DS$86,$CW25:$HL25))*1000+27)</f>
        <v/>
      </c>
      <c r="CD25">
        <f>IF(AJ25=1,1000000,IF('計算A'!$EA$37=2,SUMPRODUCT('計算A'!$D$87:$DS$87,$CW25:$HL25,$HN25:$MC25),SUMPRODUCT('計算A'!$D$87:$DS$87,$CW25:$HL25))*1000+28)</f>
        <v/>
      </c>
      <c r="CE25">
        <f>IF(AK25=1,1000000,IF('計算A'!$EA$38=2,SUMPRODUCT('計算A'!$D$88:$DS$88,$CW25:$HL25,$HN25:$MC25),SUMPRODUCT('計算A'!$D$88:$DS$88,$CW25:$HL25))*1000+29)</f>
        <v/>
      </c>
      <c r="CF25">
        <f>IF(AL25=1,1000000,IF('計算A'!$EA$39=2,SUMPRODUCT('計算A'!$D$89:$DS$89,$CW25:$HL25,$HN25:$MC25),SUMPRODUCT('計算A'!$D$89:$DS$89,$CW25:$HL25))*1000+30)</f>
        <v/>
      </c>
      <c r="CG25">
        <f>IF(AM25=1,1000000,IF('計算A'!$EA$40=2,SUMPRODUCT('計算A'!$D$90:$DS$90,$CW25:$HL25,$HN25:$MC25),SUMPRODUCT('計算A'!$D$90:$DS$90,$CW25:$HL25))*1000+31)</f>
        <v/>
      </c>
      <c r="CH25">
        <f>IF(AN25=1,1000000,IF('計算A'!$EA$41=2,SUMPRODUCT('計算A'!$D$91:$DS$91,$CW25:$HL25,$HN25:$MC25),SUMPRODUCT('計算A'!$D$91:$DS$91,$CW25:$HL25))*1000+32)</f>
        <v/>
      </c>
      <c r="CI25">
        <f>IF(AO25=1,1000000,IF('計算A'!$EA$42=2,SUMPRODUCT('計算A'!$D$92:$DS$92,$CW25:$HL25,$HN25:$MC25),SUMPRODUCT('計算A'!$D$92:$DS$92,$CW25:$HL25))*1000+33)</f>
        <v/>
      </c>
      <c r="CJ25">
        <f>IF(AP25=1,1000000,IF('計算A'!$EA$43=2,SUMPRODUCT('計算A'!$D$93:$DS$93,$CW25:$HL25,$HN25:$MC25),SUMPRODUCT('計算A'!$D$93:$DS$93,$CW25:$HL25))*1000+34)</f>
        <v/>
      </c>
      <c r="CK25">
        <f>IF(AQ25=1,1000000,IF('計算A'!$EA$44=2,SUMPRODUCT('計算A'!$D$94:$DS$94,$CW25:$HL25,$HN25:$MC25),SUMPRODUCT('計算A'!$D$94:$DS$94,$CW25:$HL25))*1000+35)</f>
        <v/>
      </c>
      <c r="CL25">
        <f>IF(AR25=1,1000000,IF('計算A'!$EA$45=2,SUMPRODUCT('計算A'!$D$95:$DS$95,$CW25:$HL25,$HN25:$MC25),SUMPRODUCT('計算A'!$D$95:$DS$95,$CW25:$HL25))*1000+36)</f>
        <v/>
      </c>
      <c r="CM25">
        <f>IF(AS25=1,1000000,IF('計算A'!$EA$46=2,SUMPRODUCT('計算A'!$D$96:$DS$96,$CW25:$HL25,$HN25:$MC25),SUMPRODUCT('計算A'!$D$96:$DS$96,$CW25:$HL25))*1000+37)</f>
        <v/>
      </c>
      <c r="CN25">
        <f>IF(AT25=1,1000000,IF('計算A'!$EA$47=2,SUMPRODUCT('計算A'!$D$97:$DS$97,$CW25:$HL25,$HN25:$MC25),SUMPRODUCT('計算A'!$D$97:$DS$97,$CW25:$HL25))*1000+38)</f>
        <v/>
      </c>
      <c r="CO25">
        <f>IF(AU25=1,1000000,IF('計算A'!$EA$48=2,SUMPRODUCT('計算A'!$D$98:$DS$98,$CW25:$HL25,$HN25:$MC25),SUMPRODUCT('計算A'!$D$98:$DS$98,$CW25:$HL25))*1000+39)</f>
        <v/>
      </c>
      <c r="CP25">
        <f>IF(AV25=1,1000000,IF('計算A'!$EA$49=2,SUMPRODUCT('計算A'!$D$99:$DS$99,$CW25:$HL25,$HN25:$MC25),SUMPRODUCT('計算A'!$D$99:$DS$99,$CW25:$HL25))*1000+40)</f>
        <v/>
      </c>
      <c r="CQ25">
        <f>IF(AW25=1,1000000,IF('計算A'!$EA$50=2,SUMPRODUCT('計算A'!$D$100:$DS$100,$CW25:$HL25,$HN25:$MC25),SUMPRODUCT('計算A'!$D$100:$DS$100,$CW25:$HL25))*1000+41)</f>
        <v/>
      </c>
      <c r="CR25">
        <f>IF(AX25=1,1000000,IF('計算A'!$EA$51=2,SUMPRODUCT('計算A'!$D$101:$DS$101,$CW25:$HL25,$HN25:$MC25),SUMPRODUCT('計算A'!$D$101:$DS$101,$CW25:$HL25))*1000+42)</f>
        <v/>
      </c>
      <c r="CS25">
        <f>IF(AY25=1,1000000,IF('計算A'!$EA$52=2,SUMPRODUCT('計算A'!$D$102:$DS$102,$CW25:$HL25,$HN25:$MC25),SUMPRODUCT('計算A'!$D$102:$DS$102,$CW25:$HL25))*1000+43)</f>
        <v/>
      </c>
      <c r="CT25">
        <f>IF(AZ25=1,1000000,IF('計算A'!$EA$53=2,SUMPRODUCT('計算A'!$D$103:$DS$103,$CW25:$HL25,$HN25:$MC25),SUMPRODUCT('計算A'!$D$103:$DS$103,$CW25:$HL25))*1000+44)</f>
        <v/>
      </c>
      <c r="CU25">
        <f>IF(BA25=1,1000000,IF('計算A'!$EA$54=2,SUMPRODUCT('計算A'!$D$104:$DS$104,$CW25:$HL25,$HN25:$MC25),SUMPRODUCT('計算A'!$D$104:$DS$104,$CW25:$HL25))*1000+45)</f>
        <v/>
      </c>
      <c r="CW25">
        <f>CW24*IF(OR($C24=1,$G24=1),0,1)</f>
        <v/>
      </c>
      <c r="CX25">
        <f>CX24*IF(OR($C24=2,$G24=2),0,1)</f>
        <v/>
      </c>
      <c r="CY25">
        <f>CY24*IF(OR($C24=3,$G24=3),0,1)</f>
        <v/>
      </c>
      <c r="CZ25">
        <f>CZ24*IF(OR($C24=4,$G24=4),0,1)</f>
        <v/>
      </c>
      <c r="DA25">
        <f>DA24*IF(OR($C24=5,$G24=5),0,1)</f>
        <v/>
      </c>
      <c r="DB25">
        <f>DB24*IF(OR($C24=6,$G24=6),0,1)</f>
        <v/>
      </c>
      <c r="DC25">
        <f>DC24*IF(OR($C24=7,$G24=7),0,1)</f>
        <v/>
      </c>
      <c r="DD25">
        <f>DD24*IF(OR($C24=8,$G24=8),0,1)</f>
        <v/>
      </c>
      <c r="DE25">
        <f>DE24*IF(OR($C24=9,$G24=9),0,1)</f>
        <v/>
      </c>
      <c r="DF25">
        <f>DF24*IF(OR($C24=10,$G24=10),0,1)</f>
        <v/>
      </c>
      <c r="DG25">
        <f>DG24*IF(OR($C24=11,$G24=11),0,1)</f>
        <v/>
      </c>
      <c r="DH25">
        <f>DH24*IF(OR($C24=12,$G24=12),0,1)</f>
        <v/>
      </c>
      <c r="DI25">
        <f>DI24*IF(OR($C24=13,$G24=13),0,1)</f>
        <v/>
      </c>
      <c r="DJ25">
        <f>DJ24*IF(OR($C24=14,$G24=14),0,1)</f>
        <v/>
      </c>
      <c r="DK25">
        <f>DK24*IF(OR($C24=15,$G24=15),0,1)</f>
        <v/>
      </c>
      <c r="DL25">
        <f>DL24*IF(OR($C24=16,$G24=16),0,1)</f>
        <v/>
      </c>
      <c r="DM25">
        <f>DM24*IF(OR($C24=17,$G24=17),0,1)</f>
        <v/>
      </c>
      <c r="DN25">
        <f>DN24*IF(OR($C24=18,$G24=18),0,1)</f>
        <v/>
      </c>
      <c r="DO25">
        <f>DO24*IF(OR($C24=19,$G24=19),0,1)</f>
        <v/>
      </c>
      <c r="DP25">
        <f>DP24*IF(OR($C24=20,$G24=20),0,1)</f>
        <v/>
      </c>
      <c r="DQ25">
        <f>DQ24*IF(OR($C24=21,$G24=21),0,1)</f>
        <v/>
      </c>
      <c r="DR25">
        <f>DR24*IF(OR($C24=22,$G24=22),0,1)</f>
        <v/>
      </c>
      <c r="DS25">
        <f>DS24*IF(OR($C24=23,$G24=23),0,1)</f>
        <v/>
      </c>
      <c r="DT25">
        <f>DT24*IF(OR($C24=24,$G24=24),0,1)</f>
        <v/>
      </c>
      <c r="DU25">
        <f>DU24*IF(OR($C24=25,$G24=25),0,1)</f>
        <v/>
      </c>
      <c r="DV25">
        <f>DV24*IF(OR($C24=26,$G24=26),0,1)</f>
        <v/>
      </c>
      <c r="DW25">
        <f>DW24*IF(OR($C24=27,$G24=27),0,1)</f>
        <v/>
      </c>
      <c r="DX25">
        <f>DX24*IF(OR($C24=28,$G24=28),0,1)</f>
        <v/>
      </c>
      <c r="DY25">
        <f>DY24*IF(OR($C24=29,$G24=29),0,1)</f>
        <v/>
      </c>
      <c r="DZ25">
        <f>DZ24*IF(OR($C24=30,$G24=30),0,1)</f>
        <v/>
      </c>
      <c r="EA25">
        <f>EA24*IF(OR($C24=31,$G24=31),0,1)</f>
        <v/>
      </c>
      <c r="EB25">
        <f>EB24*IF(OR($C24=32,$G24=32),0,1)</f>
        <v/>
      </c>
      <c r="EC25">
        <f>EC24*IF(OR($C24=33,$G24=33),0,1)</f>
        <v/>
      </c>
      <c r="ED25">
        <f>ED24*IF(OR($C24=34,$G24=34),0,1)</f>
        <v/>
      </c>
      <c r="EE25">
        <f>EE24*IF(OR($C24=35,$G24=35),0,1)</f>
        <v/>
      </c>
      <c r="EF25">
        <f>EF24*IF(OR($C24=36,$G24=36),0,1)</f>
        <v/>
      </c>
      <c r="EG25">
        <f>EG24*IF(OR($C24=37,$G24=37),0,1)</f>
        <v/>
      </c>
      <c r="EH25">
        <f>EH24*IF(OR($C24=38,$G24=38),0,1)</f>
        <v/>
      </c>
      <c r="EI25">
        <f>EI24*IF(OR($C24=39,$G24=39),0,1)</f>
        <v/>
      </c>
      <c r="EJ25">
        <f>EJ24*IF(OR($C24=40,$G24=40),0,1)</f>
        <v/>
      </c>
      <c r="EK25">
        <f>EK24*IF(OR($C24=41,$G24=41),0,1)</f>
        <v/>
      </c>
      <c r="EL25">
        <f>EL24*IF(OR($C24=42,$G24=42),0,1)</f>
        <v/>
      </c>
      <c r="EM25">
        <f>EM24*IF(OR($C24=43,$G24=43),0,1)</f>
        <v/>
      </c>
      <c r="EN25">
        <f>EN24*IF(OR($C24=44,$G24=44),0,1)</f>
        <v/>
      </c>
      <c r="EO25">
        <f>EO24*IF(OR($C24=45,$G24=45),0,1)</f>
        <v/>
      </c>
      <c r="EP25">
        <f>EP24*IF(OR($C24=46,$G24=46),0,1)</f>
        <v/>
      </c>
      <c r="EQ25">
        <f>EQ24*IF(OR($C24=47,$G24=47),0,1)</f>
        <v/>
      </c>
      <c r="ER25">
        <f>ER24*IF(OR($C24=48,$G24=48),0,1)</f>
        <v/>
      </c>
      <c r="ES25">
        <f>ES24*IF(OR($C24=49,$G24=49),0,1)</f>
        <v/>
      </c>
      <c r="ET25">
        <f>ET24*IF(OR($C24=50,$G24=50),0,1)</f>
        <v/>
      </c>
      <c r="EU25">
        <f>EU24*IF(OR($C24=51,$G24=51),0,1)</f>
        <v/>
      </c>
      <c r="EV25">
        <f>EV24*IF(OR($C24=52,$G24=52),0,1)</f>
        <v/>
      </c>
      <c r="EW25">
        <f>EW24*IF(OR($C24=53,$G24=53),0,1)</f>
        <v/>
      </c>
      <c r="EX25">
        <f>EX24*IF(OR($C24=54,$G24=54),0,1)</f>
        <v/>
      </c>
      <c r="EY25">
        <f>EY24*IF(OR($C24=55,$G24=55),0,1)</f>
        <v/>
      </c>
      <c r="EZ25">
        <f>EZ24*IF(OR($C24=56,$G24=56),0,1)</f>
        <v/>
      </c>
      <c r="FA25">
        <f>FA24*IF(OR($C24=57,$G24=57),0,1)</f>
        <v/>
      </c>
      <c r="FB25">
        <f>FB24*IF(OR($C24=58,$G24=58),0,1)</f>
        <v/>
      </c>
      <c r="FC25">
        <f>FC24*IF(OR($C24=59,$G24=59),0,1)</f>
        <v/>
      </c>
      <c r="FD25">
        <f>FD24*IF(OR($C24=60,$G24=60),0,1)</f>
        <v/>
      </c>
      <c r="FE25">
        <f>FE24*IF(OR($C24=61,$G24=61),0,1)</f>
        <v/>
      </c>
      <c r="FF25">
        <f>FF24*IF(OR($C24=62,$G24=62),0,1)</f>
        <v/>
      </c>
      <c r="FG25">
        <f>FG24*IF(OR($C24=63,$G24=63),0,1)</f>
        <v/>
      </c>
      <c r="FH25">
        <f>FH24*IF(OR($C24=64,$G24=64),0,1)</f>
        <v/>
      </c>
      <c r="FI25">
        <f>FI24*IF(OR($C24=65,$G24=65),0,1)</f>
        <v/>
      </c>
      <c r="FJ25">
        <f>FJ24*IF(OR($C24=66,$G24=66),0,1)</f>
        <v/>
      </c>
      <c r="FK25">
        <f>FK24*IF(OR($C24=67,$G24=67),0,1)</f>
        <v/>
      </c>
      <c r="FL25">
        <f>FL24*IF(OR($C24=68,$G24=68),0,1)</f>
        <v/>
      </c>
      <c r="FM25">
        <f>FM24*IF(OR($C24=69,$G24=69),0,1)</f>
        <v/>
      </c>
      <c r="FN25">
        <f>FN24*IF(OR($C24=70,$G24=70),0,1)</f>
        <v/>
      </c>
      <c r="FO25">
        <f>FO24*IF(OR($C24=71,$G24=71),0,1)</f>
        <v/>
      </c>
      <c r="FP25">
        <f>FP24*IF(OR($C24=72,$G24=72),0,1)</f>
        <v/>
      </c>
      <c r="FQ25">
        <f>FQ24*IF(OR($C24=73,$G24=73),0,1)</f>
        <v/>
      </c>
      <c r="FR25">
        <f>FR24*IF(OR($C24=74,$G24=74),0,1)</f>
        <v/>
      </c>
      <c r="FS25">
        <f>FS24*IF(OR($C24=75,$G24=75),0,1)</f>
        <v/>
      </c>
      <c r="FT25">
        <f>FT24*IF(OR($C24=76,$G24=76),0,1)</f>
        <v/>
      </c>
      <c r="FU25">
        <f>FU24*IF(OR($C24=77,$G24=77),0,1)</f>
        <v/>
      </c>
      <c r="FV25">
        <f>FV24*IF(OR($C24=78,$G24=78),0,1)</f>
        <v/>
      </c>
      <c r="FW25">
        <f>FW24*IF(OR($C24=79,$G24=79),0,1)</f>
        <v/>
      </c>
      <c r="FX25">
        <f>FX24*IF(OR($C24=80,$G24=80),0,1)</f>
        <v/>
      </c>
      <c r="FY25">
        <f>FY24*IF(OR($C24=81,$G24=81),0,1)</f>
        <v/>
      </c>
      <c r="FZ25">
        <f>FZ24*IF(OR($C24=82,$G24=82),0,1)</f>
        <v/>
      </c>
      <c r="GA25">
        <f>GA24*IF(OR($C24=83,$G24=83),0,1)</f>
        <v/>
      </c>
      <c r="GB25">
        <f>GB24*IF(OR($C24=84,$G24=84),0,1)</f>
        <v/>
      </c>
      <c r="GC25">
        <f>GC24*IF(OR($C24=85,$G24=85),0,1)</f>
        <v/>
      </c>
      <c r="GD25">
        <f>GD24*IF(OR($C24=86,$G24=86),0,1)</f>
        <v/>
      </c>
      <c r="GE25">
        <f>GE24*IF(OR($C24=87,$G24=87),0,1)</f>
        <v/>
      </c>
      <c r="GF25">
        <f>GF24*IF(OR($C24=88,$G24=88),0,1)</f>
        <v/>
      </c>
      <c r="GG25">
        <f>GG24*IF(OR($C24=89,$G24=89),0,1)</f>
        <v/>
      </c>
      <c r="GH25">
        <f>GH24*IF(OR($C24=90,$G24=90),0,1)</f>
        <v/>
      </c>
      <c r="GI25">
        <f>GI24*IF(OR($C24=91,$G24=91),0,1)</f>
        <v/>
      </c>
      <c r="GJ25">
        <f>GJ24*IF(OR($C24=92,$G24=92),0,1)</f>
        <v/>
      </c>
      <c r="GK25">
        <f>GK24*IF(OR($C24=93,$G24=93),0,1)</f>
        <v/>
      </c>
      <c r="GL25">
        <f>GL24*IF(OR($C24=94,$G24=94),0,1)</f>
        <v/>
      </c>
      <c r="GM25">
        <f>GM24*IF(OR($C24=95,$G24=95),0,1)</f>
        <v/>
      </c>
      <c r="GN25">
        <f>GN24*IF(OR($C24=96,$G24=96),0,1)</f>
        <v/>
      </c>
      <c r="GO25">
        <f>GO24*IF(OR($C24=97,$G24=97),0,1)</f>
        <v/>
      </c>
      <c r="GP25">
        <f>GP24*IF(OR($C24=98,$G24=98),0,1)</f>
        <v/>
      </c>
      <c r="GQ25">
        <f>GQ24*IF(OR($C24=99,$G24=99),0,1)</f>
        <v/>
      </c>
      <c r="GR25">
        <f>GR24*IF(OR($C24=100,$G24=100),0,1)</f>
        <v/>
      </c>
      <c r="GS25">
        <f>GS24*IF(OR($C24=101,$G24=101),0,1)</f>
        <v/>
      </c>
      <c r="GT25">
        <f>GT24*IF(OR($C24=102,$G24=102),0,1)</f>
        <v/>
      </c>
      <c r="GU25">
        <f>GU24*IF(OR($C24=103,$G24=103),0,1)</f>
        <v/>
      </c>
      <c r="GV25">
        <f>GV24*IF(OR($C24=104,$G24=104),0,1)</f>
        <v/>
      </c>
      <c r="GW25">
        <f>GW24*IF(OR($C24=105,$G24=105),0,1)</f>
        <v/>
      </c>
      <c r="GX25">
        <f>GX24*IF(OR($C24=106,$G24=106),0,1)</f>
        <v/>
      </c>
      <c r="GY25">
        <f>GY24*IF(OR($C24=107,$G24=107),0,1)</f>
        <v/>
      </c>
      <c r="GZ25">
        <f>GZ24*IF(OR($C24=108,$G24=108),0,1)</f>
        <v/>
      </c>
      <c r="HA25">
        <f>HA24*IF(OR($C24=109,$G24=109),0,1)</f>
        <v/>
      </c>
      <c r="HB25">
        <f>HB24*IF(OR($C24=110,$G24=110),0,1)</f>
        <v/>
      </c>
      <c r="HC25">
        <f>HC24*IF(OR($C24=111,$G24=111),0,1)</f>
        <v/>
      </c>
      <c r="HD25">
        <f>HD24*IF(OR($C24=112,$G24=112),0,1)</f>
        <v/>
      </c>
      <c r="HE25">
        <f>HE24*IF(OR($C24=113,$G24=113),0,1)</f>
        <v/>
      </c>
      <c r="HF25">
        <f>HF24*IF(OR($C24=114,$G24=114),0,1)</f>
        <v/>
      </c>
      <c r="HG25">
        <f>HG24*IF(OR($C24=115,$G24=115),0,1)</f>
        <v/>
      </c>
      <c r="HH25">
        <f>HH24*IF(OR($C24=116,$G24=116),0,1)</f>
        <v/>
      </c>
      <c r="HI25">
        <f>HI24*IF(OR($C24=117,$G24=117),0,1)</f>
        <v/>
      </c>
      <c r="HJ25">
        <f>HJ24*IF(OR($C24=118,$G24=118),0,1)</f>
        <v/>
      </c>
      <c r="HK25">
        <f>HK24*IF(OR($C24=119,$G24=119),0,1)</f>
        <v/>
      </c>
      <c r="HL25">
        <f>HL24*IF(OR($C24=120,$G24=120),0,1)</f>
        <v/>
      </c>
      <c r="HN25">
        <f>IF('計算A'!D$106=1,CX25,1)</f>
        <v/>
      </c>
      <c r="HO25">
        <f>IF('計算A'!E$106=1,CY25,1)</f>
        <v/>
      </c>
      <c r="HP25">
        <f>IF('計算A'!F$106=1,CZ25,1)</f>
        <v/>
      </c>
      <c r="HQ25">
        <f>IF('計算A'!G$106=1,DA25,1)</f>
        <v/>
      </c>
      <c r="HR25">
        <f>IF('計算A'!H$106=1,DB25,1)</f>
        <v/>
      </c>
      <c r="HS25">
        <f>IF('計算A'!I$106=1,DC25,1)</f>
        <v/>
      </c>
      <c r="HT25">
        <f>IF('計算A'!J$106=1,DD25,1)</f>
        <v/>
      </c>
      <c r="HU25">
        <f>IF('計算A'!K$106=1,DE25,1)</f>
        <v/>
      </c>
      <c r="HV25">
        <f>IF('計算A'!L$106=1,DF25,1)</f>
        <v/>
      </c>
      <c r="HW25">
        <f>IF('計算A'!M$106=1,DG25,1)</f>
        <v/>
      </c>
      <c r="HX25">
        <f>IF('計算A'!N$106=1,DH25,1)</f>
        <v/>
      </c>
      <c r="HY25">
        <f>IF('計算A'!O$106=1,DI25,1)</f>
        <v/>
      </c>
      <c r="HZ25">
        <f>IF('計算A'!P$106=1,DJ25,1)</f>
        <v/>
      </c>
      <c r="IA25">
        <f>IF('計算A'!Q$106=1,DK25,1)</f>
        <v/>
      </c>
      <c r="IB25">
        <f>IF('計算A'!R$106=1,DL25,1)</f>
        <v/>
      </c>
      <c r="IC25">
        <f>IF('計算A'!S$106=1,DM25,1)</f>
        <v/>
      </c>
      <c r="ID25">
        <f>IF('計算A'!T$106=1,DN25,1)</f>
        <v/>
      </c>
      <c r="IE25">
        <f>IF('計算A'!U$106=1,DO25,1)</f>
        <v/>
      </c>
      <c r="IF25">
        <f>IF('計算A'!V$106=1,DP25,1)</f>
        <v/>
      </c>
      <c r="IG25">
        <f>IF('計算A'!W$106=1,DQ25,1)</f>
        <v/>
      </c>
      <c r="IH25">
        <f>IF('計算A'!X$106=1,DR25,1)</f>
        <v/>
      </c>
      <c r="II25">
        <f>IF('計算A'!Y$106=1,DS25,1)</f>
        <v/>
      </c>
      <c r="IJ25">
        <f>IF('計算A'!Z$106=1,DT25,1)</f>
        <v/>
      </c>
      <c r="IK25">
        <f>IF('計算A'!AA$106=1,DU25,1)</f>
        <v/>
      </c>
      <c r="IL25">
        <f>IF('計算A'!AB$106=1,DV25,1)</f>
        <v/>
      </c>
      <c r="IM25">
        <f>IF('計算A'!AC$106=1,DW25,1)</f>
        <v/>
      </c>
      <c r="IN25">
        <f>IF('計算A'!AD$106=1,DX25,1)</f>
        <v/>
      </c>
      <c r="IO25">
        <f>IF('計算A'!AE$106=1,DY25,1)</f>
        <v/>
      </c>
      <c r="IP25">
        <f>IF('計算A'!AF$106=1,DZ25,1)</f>
        <v/>
      </c>
      <c r="IQ25">
        <f>IF('計算A'!AG$106=1,EA25,1)</f>
        <v/>
      </c>
      <c r="IR25">
        <f>IF('計算A'!AH$106=1,EB25,1)</f>
        <v/>
      </c>
      <c r="IS25">
        <f>IF('計算A'!AI$106=1,EC25,1)</f>
        <v/>
      </c>
      <c r="IT25">
        <f>IF('計算A'!AJ$106=1,ED25,1)</f>
        <v/>
      </c>
      <c r="IU25">
        <f>IF('計算A'!AK$106=1,EE25,1)</f>
        <v/>
      </c>
      <c r="IV25">
        <f>IF('計算A'!AL$106=1,EF25,1)</f>
        <v/>
      </c>
      <c r="IW25">
        <f>IF('計算A'!AM$106=1,EG25,1)</f>
        <v/>
      </c>
      <c r="IX25">
        <f>IF('計算A'!AN$106=1,EH25,1)</f>
        <v/>
      </c>
      <c r="IY25">
        <f>IF('計算A'!AO$106=1,EI25,1)</f>
        <v/>
      </c>
      <c r="IZ25">
        <f>IF('計算A'!AP$106=1,EJ25,1)</f>
        <v/>
      </c>
      <c r="JA25">
        <f>IF('計算A'!AQ$106=1,EK25,1)</f>
        <v/>
      </c>
      <c r="JB25">
        <f>IF('計算A'!AR$106=1,EL25,1)</f>
        <v/>
      </c>
      <c r="JC25">
        <f>IF('計算A'!AS$106=1,EM25,1)</f>
        <v/>
      </c>
      <c r="JD25">
        <f>IF('計算A'!AT$106=1,EN25,1)</f>
        <v/>
      </c>
      <c r="JE25">
        <f>IF('計算A'!AU$106=1,EO25,1)</f>
        <v/>
      </c>
      <c r="JF25">
        <f>IF('計算A'!AV$106=1,EP25,1)</f>
        <v/>
      </c>
      <c r="JG25">
        <f>IF('計算A'!AW$106=1,EQ25,1)</f>
        <v/>
      </c>
      <c r="JH25">
        <f>IF('計算A'!AX$106=1,ER25,1)</f>
        <v/>
      </c>
      <c r="JI25">
        <f>IF('計算A'!AY$106=1,ES25,1)</f>
        <v/>
      </c>
      <c r="JJ25">
        <f>IF('計算A'!AZ$106=1,ET25,1)</f>
        <v/>
      </c>
      <c r="JK25">
        <f>IF('計算A'!BA$106=1,EU25,1)</f>
        <v/>
      </c>
      <c r="JL25">
        <f>IF('計算A'!BB$106=1,EV25,1)</f>
        <v/>
      </c>
      <c r="JM25">
        <f>IF('計算A'!BC$106=1,EW25,1)</f>
        <v/>
      </c>
      <c r="JN25">
        <f>IF('計算A'!BD$106=1,EX25,1)</f>
        <v/>
      </c>
      <c r="JO25">
        <f>IF('計算A'!BE$106=1,EY25,1)</f>
        <v/>
      </c>
      <c r="JP25">
        <f>IF('計算A'!BF$106=1,EZ25,1)</f>
        <v/>
      </c>
      <c r="JQ25">
        <f>IF('計算A'!BG$106=1,FA25,1)</f>
        <v/>
      </c>
      <c r="JR25">
        <f>IF('計算A'!BH$106=1,FB25,1)</f>
        <v/>
      </c>
      <c r="JS25">
        <f>IF('計算A'!BI$106=1,FC25,1)</f>
        <v/>
      </c>
      <c r="JT25">
        <f>IF('計算A'!BJ$106=1,FD25,1)</f>
        <v/>
      </c>
      <c r="JU25">
        <f>IF('計算A'!BK$106=1,FE25,1)</f>
        <v/>
      </c>
      <c r="JV25">
        <f>IF('計算A'!BL$106=1,FF25,1)</f>
        <v/>
      </c>
      <c r="JW25">
        <f>IF('計算A'!BM$106=1,FG25,1)</f>
        <v/>
      </c>
      <c r="JX25">
        <f>IF('計算A'!BN$106=1,FH25,1)</f>
        <v/>
      </c>
      <c r="JY25">
        <f>IF('計算A'!BO$106=1,FI25,1)</f>
        <v/>
      </c>
      <c r="JZ25">
        <f>IF('計算A'!BP$106=1,FJ25,1)</f>
        <v/>
      </c>
      <c r="KA25">
        <f>IF('計算A'!BQ$106=1,FK25,1)</f>
        <v/>
      </c>
      <c r="KB25">
        <f>IF('計算A'!BR$106=1,FL25,1)</f>
        <v/>
      </c>
      <c r="KC25">
        <f>IF('計算A'!BS$106=1,FM25,1)</f>
        <v/>
      </c>
      <c r="KD25">
        <f>IF('計算A'!BT$106=1,FN25,1)</f>
        <v/>
      </c>
      <c r="KE25">
        <f>IF('計算A'!BU$106=1,FO25,1)</f>
        <v/>
      </c>
      <c r="KF25">
        <f>IF('計算A'!BV$106=1,FP25,1)</f>
        <v/>
      </c>
      <c r="KG25">
        <f>IF('計算A'!BW$106=1,FQ25,1)</f>
        <v/>
      </c>
      <c r="KH25">
        <f>IF('計算A'!BX$106=1,FR25,1)</f>
        <v/>
      </c>
      <c r="KI25">
        <f>IF('計算A'!BY$106=1,FS25,1)</f>
        <v/>
      </c>
      <c r="KJ25">
        <f>IF('計算A'!BZ$106=1,FT25,1)</f>
        <v/>
      </c>
      <c r="KK25">
        <f>IF('計算A'!CA$106=1,FU25,1)</f>
        <v/>
      </c>
      <c r="KL25">
        <f>IF('計算A'!CB$106=1,FV25,1)</f>
        <v/>
      </c>
      <c r="KM25">
        <f>IF('計算A'!CC$106=1,FW25,1)</f>
        <v/>
      </c>
      <c r="KN25">
        <f>IF('計算A'!CD$106=1,FX25,1)</f>
        <v/>
      </c>
      <c r="KO25">
        <f>IF('計算A'!CE$106=1,FY25,1)</f>
        <v/>
      </c>
      <c r="KP25">
        <f>IF('計算A'!CF$106=1,FZ25,1)</f>
        <v/>
      </c>
      <c r="KQ25">
        <f>IF('計算A'!CG$106=1,GA25,1)</f>
        <v/>
      </c>
      <c r="KR25">
        <f>IF('計算A'!CH$106=1,GB25,1)</f>
        <v/>
      </c>
      <c r="KS25">
        <f>IF('計算A'!CI$106=1,GC25,1)</f>
        <v/>
      </c>
      <c r="KT25">
        <f>IF('計算A'!CJ$106=1,GD25,1)</f>
        <v/>
      </c>
      <c r="KU25">
        <f>IF('計算A'!CK$106=1,GE25,1)</f>
        <v/>
      </c>
      <c r="KV25">
        <f>IF('計算A'!CL$106=1,GF25,1)</f>
        <v/>
      </c>
      <c r="KW25">
        <f>IF('計算A'!CM$106=1,GG25,1)</f>
        <v/>
      </c>
      <c r="KX25">
        <f>IF('計算A'!CN$106=1,GH25,1)</f>
        <v/>
      </c>
      <c r="KY25">
        <f>IF('計算A'!CO$106=1,GI25,1)</f>
        <v/>
      </c>
      <c r="KZ25">
        <f>IF('計算A'!CP$106=1,GJ25,1)</f>
        <v/>
      </c>
      <c r="LA25">
        <f>IF('計算A'!CQ$106=1,GK25,1)</f>
        <v/>
      </c>
      <c r="LB25">
        <f>IF('計算A'!CR$106=1,GL25,1)</f>
        <v/>
      </c>
      <c r="LC25">
        <f>IF('計算A'!CS$106=1,GM25,1)</f>
        <v/>
      </c>
      <c r="LD25">
        <f>IF('計算A'!CT$106=1,GN25,1)</f>
        <v/>
      </c>
      <c r="LE25">
        <f>IF('計算A'!CU$106=1,GO25,1)</f>
        <v/>
      </c>
      <c r="LF25">
        <f>IF('計算A'!CV$106=1,GP25,1)</f>
        <v/>
      </c>
      <c r="LG25">
        <f>IF('計算A'!CW$106=1,GQ25,1)</f>
        <v/>
      </c>
      <c r="LH25">
        <f>IF('計算A'!CX$106=1,GR25,1)</f>
        <v/>
      </c>
      <c r="LI25">
        <f>IF('計算A'!CY$106=1,GS25,1)</f>
        <v/>
      </c>
      <c r="LJ25">
        <f>IF('計算A'!CZ$106=1,GT25,1)</f>
        <v/>
      </c>
      <c r="LK25">
        <f>IF('計算A'!DA$106=1,GU25,1)</f>
        <v/>
      </c>
      <c r="LL25">
        <f>IF('計算A'!DB$106=1,GV25,1)</f>
        <v/>
      </c>
      <c r="LM25">
        <f>IF('計算A'!DC$106=1,GW25,1)</f>
        <v/>
      </c>
      <c r="LN25">
        <f>IF('計算A'!DD$106=1,GX25,1)</f>
        <v/>
      </c>
      <c r="LO25">
        <f>IF('計算A'!DE$106=1,GY25,1)</f>
        <v/>
      </c>
      <c r="LP25">
        <f>IF('計算A'!DF$106=1,GZ25,1)</f>
        <v/>
      </c>
      <c r="LQ25">
        <f>IF('計算A'!DG$106=1,HA25,1)</f>
        <v/>
      </c>
      <c r="LR25">
        <f>IF('計算A'!DH$106=1,HB25,1)</f>
        <v/>
      </c>
      <c r="LS25">
        <f>IF('計算A'!DI$106=1,HC25,1)</f>
        <v/>
      </c>
      <c r="LT25">
        <f>IF('計算A'!DJ$106=1,HD25,1)</f>
        <v/>
      </c>
      <c r="LU25">
        <f>IF('計算A'!DK$106=1,HE25,1)</f>
        <v/>
      </c>
      <c r="LV25">
        <f>IF('計算A'!DL$106=1,HF25,1)</f>
        <v/>
      </c>
      <c r="LW25">
        <f>IF('計算A'!DM$106=1,HG25,1)</f>
        <v/>
      </c>
      <c r="LX25">
        <f>IF('計算A'!DN$106=1,HH25,1)</f>
        <v/>
      </c>
      <c r="LY25">
        <f>IF('計算A'!DO$106=1,HI25,1)</f>
        <v/>
      </c>
      <c r="LZ25">
        <f>IF('計算A'!DP$106=1,HJ25,1)</f>
        <v/>
      </c>
      <c r="MA25">
        <f>IF('計算A'!DQ$106=1,HK25,1)</f>
        <v/>
      </c>
      <c r="MB25">
        <f>IF('計算A'!DR$106=1,HL25,1)</f>
        <v/>
      </c>
      <c r="MC25" t="n">
        <v>1</v>
      </c>
      <c r="ME25">
        <f>IF($B25=0,1000000,IF(INDEX('計算A'!$D$60:$DS$104,$B25,1)*CW25=1,IF(AND($E25=2,HN25=0),1000000,INDEX('計算A'!D$110:D$114,$F25+1)+IF(AND($E25=1,HN25=0),1000,0)),1000000))</f>
        <v/>
      </c>
      <c r="MF25">
        <f>IF($B25=0,1000000,IF(INDEX('計算A'!$D$60:$DS$104,$B25,2)*CX25=1,IF(AND($E25=2,HO25=0),1000000,INDEX('計算A'!E$110:E$114,$F25+1)+IF(AND($E25=1,HO25=0),1000,0)),1000000))</f>
        <v/>
      </c>
      <c r="MG25">
        <f>IF($B25=0,1000000,IF(INDEX('計算A'!$D$60:$DS$104,$B25,3)*CY25=1,IF(AND($E25=2,HP25=0),1000000,INDEX('計算A'!F$110:F$114,$F25+1)+IF(AND($E25=1,HP25=0),1000,0)),1000000))</f>
        <v/>
      </c>
      <c r="MH25">
        <f>IF($B25=0,1000000,IF(INDEX('計算A'!$D$60:$DS$104,$B25,4)*CZ25=1,IF(AND($E25=2,HQ25=0),1000000,INDEX('計算A'!G$110:G$114,$F25+1)+IF(AND($E25=1,HQ25=0),1000,0)),1000000))</f>
        <v/>
      </c>
      <c r="MI25">
        <f>IF($B25=0,1000000,IF(INDEX('計算A'!$D$60:$DS$104,$B25,5)*DA25=1,IF(AND($E25=2,HR25=0),1000000,INDEX('計算A'!H$110:H$114,$F25+1)+IF(AND($E25=1,HR25=0),1000,0)),1000000))</f>
        <v/>
      </c>
      <c r="MJ25">
        <f>IF($B25=0,1000000,IF(INDEX('計算A'!$D$60:$DS$104,$B25,6)*DB25=1,IF(AND($E25=2,HS25=0),1000000,INDEX('計算A'!I$110:I$114,$F25+1)+IF(AND($E25=1,HS25=0),1000,0)),1000000))</f>
        <v/>
      </c>
      <c r="MK25">
        <f>IF($B25=0,1000000,IF(INDEX('計算A'!$D$60:$DS$104,$B25,7)*DC25=1,IF(AND($E25=2,HT25=0),1000000,INDEX('計算A'!J$110:J$114,$F25+1)+IF(AND($E25=1,HT25=0),1000,0)),1000000))</f>
        <v/>
      </c>
      <c r="ML25">
        <f>IF($B25=0,1000000,IF(INDEX('計算A'!$D$60:$DS$104,$B25,8)*DD25=1,IF(AND($E25=2,HU25=0),1000000,INDEX('計算A'!K$110:K$114,$F25+1)+IF(AND($E25=1,HU25=0),1000,0)),1000000))</f>
        <v/>
      </c>
      <c r="MM25">
        <f>IF($B25=0,1000000,IF(INDEX('計算A'!$D$60:$DS$104,$B25,9)*DE25=1,IF(AND($E25=2,HV25=0),1000000,INDEX('計算A'!L$110:L$114,$F25+1)+IF(AND($E25=1,HV25=0),1000,0)),1000000))</f>
        <v/>
      </c>
      <c r="MN25">
        <f>IF($B25=0,1000000,IF(INDEX('計算A'!$D$60:$DS$104,$B25,10)*DF25=1,IF(AND($E25=2,HW25=0),1000000,INDEX('計算A'!M$110:M$114,$F25+1)+IF(AND($E25=1,HW25=0),1000,0)),1000000))</f>
        <v/>
      </c>
      <c r="MO25">
        <f>IF($B25=0,1000000,IF(INDEX('計算A'!$D$60:$DS$104,$B25,11)*DG25=1,IF(AND($E25=2,HX25=0),1000000,INDEX('計算A'!N$110:N$114,$F25+1)+IF(AND($E25=1,HX25=0),1000,0)),1000000))</f>
        <v/>
      </c>
      <c r="MP25">
        <f>IF($B25=0,1000000,IF(INDEX('計算A'!$D$60:$DS$104,$B25,12)*DH25=1,IF(AND($E25=2,HY25=0),1000000,INDEX('計算A'!O$110:O$114,$F25+1)+IF(AND($E25=1,HY25=0),1000,0)),1000000))</f>
        <v/>
      </c>
      <c r="MQ25">
        <f>IF($B25=0,1000000,IF(INDEX('計算A'!$D$60:$DS$104,$B25,13)*DI25=1,IF(AND($E25=2,HZ25=0),1000000,INDEX('計算A'!P$110:P$114,$F25+1)+IF(AND($E25=1,HZ25=0),1000,0)),1000000))</f>
        <v/>
      </c>
      <c r="MR25">
        <f>IF($B25=0,1000000,IF(INDEX('計算A'!$D$60:$DS$104,$B25,14)*DJ25=1,IF(AND($E25=2,IA25=0),1000000,INDEX('計算A'!Q$110:Q$114,$F25+1)+IF(AND($E25=1,IA25=0),1000,0)),1000000))</f>
        <v/>
      </c>
      <c r="MS25">
        <f>IF($B25=0,1000000,IF(INDEX('計算A'!$D$60:$DS$104,$B25,15)*DK25=1,IF(AND($E25=2,IB25=0),1000000,INDEX('計算A'!R$110:R$114,$F25+1)+IF(AND($E25=1,IB25=0),1000,0)),1000000))</f>
        <v/>
      </c>
      <c r="MT25">
        <f>IF($B25=0,1000000,IF(INDEX('計算A'!$D$60:$DS$104,$B25,16)*DL25=1,IF(AND($E25=2,IC25=0),1000000,INDEX('計算A'!S$110:S$114,$F25+1)+IF(AND($E25=1,IC25=0),1000,0)),1000000))</f>
        <v/>
      </c>
      <c r="MU25">
        <f>IF($B25=0,1000000,IF(INDEX('計算A'!$D$60:$DS$104,$B25,17)*DM25=1,IF(AND($E25=2,ID25=0),1000000,INDEX('計算A'!T$110:T$114,$F25+1)+IF(AND($E25=1,ID25=0),1000,0)),1000000))</f>
        <v/>
      </c>
      <c r="MV25">
        <f>IF($B25=0,1000000,IF(INDEX('計算A'!$D$60:$DS$104,$B25,18)*DN25=1,IF(AND($E25=2,IE25=0),1000000,INDEX('計算A'!U$110:U$114,$F25+1)+IF(AND($E25=1,IE25=0),1000,0)),1000000))</f>
        <v/>
      </c>
      <c r="MW25">
        <f>IF($B25=0,1000000,IF(INDEX('計算A'!$D$60:$DS$104,$B25,19)*DO25=1,IF(AND($E25=2,IF25=0),1000000,INDEX('計算A'!V$110:V$114,$F25+1)+IF(AND($E25=1,IF25=0),1000,0)),1000000))</f>
        <v/>
      </c>
      <c r="MX25">
        <f>IF($B25=0,1000000,IF(INDEX('計算A'!$D$60:$DS$104,$B25,20)*DP25=1,IF(AND($E25=2,IG25=0),1000000,INDEX('計算A'!W$110:W$114,$F25+1)+IF(AND($E25=1,IG25=0),1000,0)),1000000))</f>
        <v/>
      </c>
      <c r="MY25">
        <f>IF($B25=0,1000000,IF(INDEX('計算A'!$D$60:$DS$104,$B25,21)*DQ25=1,IF(AND($E25=2,IH25=0),1000000,INDEX('計算A'!X$110:X$114,$F25+1)+IF(AND($E25=1,IH25=0),1000,0)),1000000))</f>
        <v/>
      </c>
      <c r="MZ25">
        <f>IF($B25=0,1000000,IF(INDEX('計算A'!$D$60:$DS$104,$B25,22)*DR25=1,IF(AND($E25=2,II25=0),1000000,INDEX('計算A'!Y$110:Y$114,$F25+1)+IF(AND($E25=1,II25=0),1000,0)),1000000))</f>
        <v/>
      </c>
      <c r="NA25">
        <f>IF($B25=0,1000000,IF(INDEX('計算A'!$D$60:$DS$104,$B25,23)*DS25=1,IF(AND($E25=2,IJ25=0),1000000,INDEX('計算A'!Z$110:Z$114,$F25+1)+IF(AND($E25=1,IJ25=0),1000,0)),1000000))</f>
        <v/>
      </c>
      <c r="NB25">
        <f>IF($B25=0,1000000,IF(INDEX('計算A'!$D$60:$DS$104,$B25,24)*DT25=1,IF(AND($E25=2,IK25=0),1000000,INDEX('計算A'!AA$110:AA$114,$F25+1)+IF(AND($E25=1,IK25=0),1000,0)),1000000))</f>
        <v/>
      </c>
      <c r="NC25">
        <f>IF($B25=0,1000000,IF(INDEX('計算A'!$D$60:$DS$104,$B25,25)*DU25=1,IF(AND($E25=2,IL25=0),1000000,INDEX('計算A'!AB$110:AB$114,$F25+1)+IF(AND($E25=1,IL25=0),1000,0)),1000000))</f>
        <v/>
      </c>
      <c r="ND25">
        <f>IF($B25=0,1000000,IF(INDEX('計算A'!$D$60:$DS$104,$B25,26)*DV25=1,IF(AND($E25=2,IM25=0),1000000,INDEX('計算A'!AC$110:AC$114,$F25+1)+IF(AND($E25=1,IM25=0),1000,0)),1000000))</f>
        <v/>
      </c>
      <c r="NE25">
        <f>IF($B25=0,1000000,IF(INDEX('計算A'!$D$60:$DS$104,$B25,27)*DW25=1,IF(AND($E25=2,IN25=0),1000000,INDEX('計算A'!AD$110:AD$114,$F25+1)+IF(AND($E25=1,IN25=0),1000,0)),1000000))</f>
        <v/>
      </c>
      <c r="NF25">
        <f>IF($B25=0,1000000,IF(INDEX('計算A'!$D$60:$DS$104,$B25,28)*DX25=1,IF(AND($E25=2,IO25=0),1000000,INDEX('計算A'!AE$110:AE$114,$F25+1)+IF(AND($E25=1,IO25=0),1000,0)),1000000))</f>
        <v/>
      </c>
      <c r="NG25">
        <f>IF($B25=0,1000000,IF(INDEX('計算A'!$D$60:$DS$104,$B25,29)*DY25=1,IF(AND($E25=2,IP25=0),1000000,INDEX('計算A'!AF$110:AF$114,$F25+1)+IF(AND($E25=1,IP25=0),1000,0)),1000000))</f>
        <v/>
      </c>
      <c r="NH25">
        <f>IF($B25=0,1000000,IF(INDEX('計算A'!$D$60:$DS$104,$B25,30)*DZ25=1,IF(AND($E25=2,IQ25=0),1000000,INDEX('計算A'!AG$110:AG$114,$F25+1)+IF(AND($E25=1,IQ25=0),1000,0)),1000000))</f>
        <v/>
      </c>
      <c r="NI25">
        <f>IF($B25=0,1000000,IF(INDEX('計算A'!$D$60:$DS$104,$B25,31)*EA25=1,IF(AND($E25=2,IR25=0),1000000,INDEX('計算A'!AH$110:AH$114,$F25+1)+IF(AND($E25=1,IR25=0),1000,0)),1000000))</f>
        <v/>
      </c>
      <c r="NJ25">
        <f>IF($B25=0,1000000,IF(INDEX('計算A'!$D$60:$DS$104,$B25,32)*EB25=1,IF(AND($E25=2,IS25=0),1000000,INDEX('計算A'!AI$110:AI$114,$F25+1)+IF(AND($E25=1,IS25=0),1000,0)),1000000))</f>
        <v/>
      </c>
      <c r="NK25">
        <f>IF($B25=0,1000000,IF(INDEX('計算A'!$D$60:$DS$104,$B25,33)*EC25=1,IF(AND($E25=2,IT25=0),1000000,INDEX('計算A'!AJ$110:AJ$114,$F25+1)+IF(AND($E25=1,IT25=0),1000,0)),1000000))</f>
        <v/>
      </c>
      <c r="NL25">
        <f>IF($B25=0,1000000,IF(INDEX('計算A'!$D$60:$DS$104,$B25,34)*ED25=1,IF(AND($E25=2,IU25=0),1000000,INDEX('計算A'!AK$110:AK$114,$F25+1)+IF(AND($E25=1,IU25=0),1000,0)),1000000))</f>
        <v/>
      </c>
      <c r="NM25">
        <f>IF($B25=0,1000000,IF(INDEX('計算A'!$D$60:$DS$104,$B25,35)*EE25=1,IF(AND($E25=2,IV25=0),1000000,INDEX('計算A'!AL$110:AL$114,$F25+1)+IF(AND($E25=1,IV25=0),1000,0)),1000000))</f>
        <v/>
      </c>
      <c r="NN25">
        <f>IF($B25=0,1000000,IF(INDEX('計算A'!$D$60:$DS$104,$B25,36)*EF25=1,IF(AND($E25=2,IW25=0),1000000,INDEX('計算A'!AM$110:AM$114,$F25+1)+IF(AND($E25=1,IW25=0),1000,0)),1000000))</f>
        <v/>
      </c>
      <c r="NO25">
        <f>IF($B25=0,1000000,IF(INDEX('計算A'!$D$60:$DS$104,$B25,37)*EG25=1,IF(AND($E25=2,IX25=0),1000000,INDEX('計算A'!AN$110:AN$114,$F25+1)+IF(AND($E25=1,IX25=0),1000,0)),1000000))</f>
        <v/>
      </c>
      <c r="NP25">
        <f>IF($B25=0,1000000,IF(INDEX('計算A'!$D$60:$DS$104,$B25,38)*EH25=1,IF(AND($E25=2,IY25=0),1000000,INDEX('計算A'!AO$110:AO$114,$F25+1)+IF(AND($E25=1,IY25=0),1000,0)),1000000))</f>
        <v/>
      </c>
      <c r="NQ25">
        <f>IF($B25=0,1000000,IF(INDEX('計算A'!$D$60:$DS$104,$B25,39)*EI25=1,IF(AND($E25=2,IZ25=0),1000000,INDEX('計算A'!AP$110:AP$114,$F25+1)+IF(AND($E25=1,IZ25=0),1000,0)),1000000))</f>
        <v/>
      </c>
      <c r="NR25">
        <f>IF($B25=0,1000000,IF(INDEX('計算A'!$D$60:$DS$104,$B25,40)*EJ25=1,IF(AND($E25=2,JA25=0),1000000,INDEX('計算A'!AQ$110:AQ$114,$F25+1)+IF(AND($E25=1,JA25=0),1000,0)),1000000))</f>
        <v/>
      </c>
      <c r="NS25">
        <f>IF($B25=0,1000000,IF(INDEX('計算A'!$D$60:$DS$104,$B25,41)*EK25=1,IF(AND($E25=2,JB25=0),1000000,INDEX('計算A'!AR$110:AR$114,$F25+1)+IF(AND($E25=1,JB25=0),1000,0)),1000000))</f>
        <v/>
      </c>
      <c r="NT25">
        <f>IF($B25=0,1000000,IF(INDEX('計算A'!$D$60:$DS$104,$B25,42)*EL25=1,IF(AND($E25=2,JC25=0),1000000,INDEX('計算A'!AS$110:AS$114,$F25+1)+IF(AND($E25=1,JC25=0),1000,0)),1000000))</f>
        <v/>
      </c>
      <c r="NU25">
        <f>IF($B25=0,1000000,IF(INDEX('計算A'!$D$60:$DS$104,$B25,43)*EM25=1,IF(AND($E25=2,JD25=0),1000000,INDEX('計算A'!AT$110:AT$114,$F25+1)+IF(AND($E25=1,JD25=0),1000,0)),1000000))</f>
        <v/>
      </c>
      <c r="NV25">
        <f>IF($B25=0,1000000,IF(INDEX('計算A'!$D$60:$DS$104,$B25,44)*EN25=1,IF(AND($E25=2,JE25=0),1000000,INDEX('計算A'!AU$110:AU$114,$F25+1)+IF(AND($E25=1,JE25=0),1000,0)),1000000))</f>
        <v/>
      </c>
      <c r="NW25">
        <f>IF($B25=0,1000000,IF(INDEX('計算A'!$D$60:$DS$104,$B25,45)*EO25=1,IF(AND($E25=2,JF25=0),1000000,INDEX('計算A'!AV$110:AV$114,$F25+1)+IF(AND($E25=1,JF25=0),1000,0)),1000000))</f>
        <v/>
      </c>
      <c r="NX25">
        <f>IF($B25=0,1000000,IF(INDEX('計算A'!$D$60:$DS$104,$B25,46)*EP25=1,IF(AND($E25=2,JG25=0),1000000,INDEX('計算A'!AW$110:AW$114,$F25+1)+IF(AND($E25=1,JG25=0),1000,0)),1000000))</f>
        <v/>
      </c>
      <c r="NY25">
        <f>IF($B25=0,1000000,IF(INDEX('計算A'!$D$60:$DS$104,$B25,47)*EQ25=1,IF(AND($E25=2,JH25=0),1000000,INDEX('計算A'!AX$110:AX$114,$F25+1)+IF(AND($E25=1,JH25=0),1000,0)),1000000))</f>
        <v/>
      </c>
      <c r="NZ25">
        <f>IF($B25=0,1000000,IF(INDEX('計算A'!$D$60:$DS$104,$B25,48)*ER25=1,IF(AND($E25=2,JI25=0),1000000,INDEX('計算A'!AY$110:AY$114,$F25+1)+IF(AND($E25=1,JI25=0),1000,0)),1000000))</f>
        <v/>
      </c>
      <c r="OA25">
        <f>IF($B25=0,1000000,IF(INDEX('計算A'!$D$60:$DS$104,$B25,49)*ES25=1,IF(AND($E25=2,JJ25=0),1000000,INDEX('計算A'!AZ$110:AZ$114,$F25+1)+IF(AND($E25=1,JJ25=0),1000,0)),1000000))</f>
        <v/>
      </c>
      <c r="OB25">
        <f>IF($B25=0,1000000,IF(INDEX('計算A'!$D$60:$DS$104,$B25,50)*ET25=1,IF(AND($E25=2,JK25=0),1000000,INDEX('計算A'!BA$110:BA$114,$F25+1)+IF(AND($E25=1,JK25=0),1000,0)),1000000))</f>
        <v/>
      </c>
      <c r="OC25">
        <f>IF($B25=0,1000000,IF(INDEX('計算A'!$D$60:$DS$104,$B25,51)*EU25=1,IF(AND($E25=2,JL25=0),1000000,INDEX('計算A'!BB$110:BB$114,$F25+1)+IF(AND($E25=1,JL25=0),1000,0)),1000000))</f>
        <v/>
      </c>
      <c r="OD25">
        <f>IF($B25=0,1000000,IF(INDEX('計算A'!$D$60:$DS$104,$B25,52)*EV25=1,IF(AND($E25=2,JM25=0),1000000,INDEX('計算A'!BC$110:BC$114,$F25+1)+IF(AND($E25=1,JM25=0),1000,0)),1000000))</f>
        <v/>
      </c>
      <c r="OE25">
        <f>IF($B25=0,1000000,IF(INDEX('計算A'!$D$60:$DS$104,$B25,53)*EW25=1,IF(AND($E25=2,JN25=0),1000000,INDEX('計算A'!BD$110:BD$114,$F25+1)+IF(AND($E25=1,JN25=0),1000,0)),1000000))</f>
        <v/>
      </c>
      <c r="OF25">
        <f>IF($B25=0,1000000,IF(INDEX('計算A'!$D$60:$DS$104,$B25,54)*EX25=1,IF(AND($E25=2,JO25=0),1000000,INDEX('計算A'!BE$110:BE$114,$F25+1)+IF(AND($E25=1,JO25=0),1000,0)),1000000))</f>
        <v/>
      </c>
      <c r="OG25">
        <f>IF($B25=0,1000000,IF(INDEX('計算A'!$D$60:$DS$104,$B25,55)*EY25=1,IF(AND($E25=2,JP25=0),1000000,INDEX('計算A'!BF$110:BF$114,$F25+1)+IF(AND($E25=1,JP25=0),1000,0)),1000000))</f>
        <v/>
      </c>
      <c r="OH25">
        <f>IF($B25=0,1000000,IF(INDEX('計算A'!$D$60:$DS$104,$B25,56)*EZ25=1,IF(AND($E25=2,JQ25=0),1000000,INDEX('計算A'!BG$110:BG$114,$F25+1)+IF(AND($E25=1,JQ25=0),1000,0)),1000000))</f>
        <v/>
      </c>
      <c r="OI25">
        <f>IF($B25=0,1000000,IF(INDEX('計算A'!$D$60:$DS$104,$B25,57)*FA25=1,IF(AND($E25=2,JR25=0),1000000,INDEX('計算A'!BH$110:BH$114,$F25+1)+IF(AND($E25=1,JR25=0),1000,0)),1000000))</f>
        <v/>
      </c>
      <c r="OJ25">
        <f>IF($B25=0,1000000,IF(INDEX('計算A'!$D$60:$DS$104,$B25,58)*FB25=1,IF(AND($E25=2,JS25=0),1000000,INDEX('計算A'!BI$110:BI$114,$F25+1)+IF(AND($E25=1,JS25=0),1000,0)),1000000))</f>
        <v/>
      </c>
      <c r="OK25">
        <f>IF($B25=0,1000000,IF(INDEX('計算A'!$D$60:$DS$104,$B25,59)*FC25=1,IF(AND($E25=2,JT25=0),1000000,INDEX('計算A'!BJ$110:BJ$114,$F25+1)+IF(AND($E25=1,JT25=0),1000,0)),1000000))</f>
        <v/>
      </c>
      <c r="OL25">
        <f>IF($B25=0,1000000,IF(INDEX('計算A'!$D$60:$DS$104,$B25,60)*FD25=1,IF(AND($E25=2,JU25=0),1000000,INDEX('計算A'!BK$110:BK$114,$F25+1)+IF(AND($E25=1,JU25=0),1000,0)),1000000))</f>
        <v/>
      </c>
      <c r="OM25">
        <f>IF($B25=0,1000000,IF(INDEX('計算A'!$D$60:$DS$104,$B25,61)*FE25=1,IF(AND($E25=2,JV25=0),1000000,INDEX('計算A'!BL$110:BL$114,$F25+1)+IF(AND($E25=1,JV25=0),1000,0)),1000000))</f>
        <v/>
      </c>
      <c r="ON25">
        <f>IF($B25=0,1000000,IF(INDEX('計算A'!$D$60:$DS$104,$B25,62)*FF25=1,IF(AND($E25=2,JW25=0),1000000,INDEX('計算A'!BM$110:BM$114,$F25+1)+IF(AND($E25=1,JW25=0),1000,0)),1000000))</f>
        <v/>
      </c>
      <c r="OO25">
        <f>IF($B25=0,1000000,IF(INDEX('計算A'!$D$60:$DS$104,$B25,63)*FG25=1,IF(AND($E25=2,JX25=0),1000000,INDEX('計算A'!BN$110:BN$114,$F25+1)+IF(AND($E25=1,JX25=0),1000,0)),1000000))</f>
        <v/>
      </c>
      <c r="OP25">
        <f>IF($B25=0,1000000,IF(INDEX('計算A'!$D$60:$DS$104,$B25,64)*FH25=1,IF(AND($E25=2,JY25=0),1000000,INDEX('計算A'!BO$110:BO$114,$F25+1)+IF(AND($E25=1,JY25=0),1000,0)),1000000))</f>
        <v/>
      </c>
      <c r="OQ25">
        <f>IF($B25=0,1000000,IF(INDEX('計算A'!$D$60:$DS$104,$B25,65)*FI25=1,IF(AND($E25=2,JZ25=0),1000000,INDEX('計算A'!BP$110:BP$114,$F25+1)+IF(AND($E25=1,JZ25=0),1000,0)),1000000))</f>
        <v/>
      </c>
      <c r="OR25">
        <f>IF($B25=0,1000000,IF(INDEX('計算A'!$D$60:$DS$104,$B25,66)*FJ25=1,IF(AND($E25=2,KA25=0),1000000,INDEX('計算A'!BQ$110:BQ$114,$F25+1)+IF(AND($E25=1,KA25=0),1000,0)),1000000))</f>
        <v/>
      </c>
      <c r="OS25">
        <f>IF($B25=0,1000000,IF(INDEX('計算A'!$D$60:$DS$104,$B25,67)*FK25=1,IF(AND($E25=2,KB25=0),1000000,INDEX('計算A'!BR$110:BR$114,$F25+1)+IF(AND($E25=1,KB25=0),1000,0)),1000000))</f>
        <v/>
      </c>
      <c r="OT25">
        <f>IF($B25=0,1000000,IF(INDEX('計算A'!$D$60:$DS$104,$B25,68)*FL25=1,IF(AND($E25=2,KC25=0),1000000,INDEX('計算A'!BS$110:BS$114,$F25+1)+IF(AND($E25=1,KC25=0),1000,0)),1000000))</f>
        <v/>
      </c>
      <c r="OU25">
        <f>IF($B25=0,1000000,IF(INDEX('計算A'!$D$60:$DS$104,$B25,69)*FM25=1,IF(AND($E25=2,KD25=0),1000000,INDEX('計算A'!BT$110:BT$114,$F25+1)+IF(AND($E25=1,KD25=0),1000,0)),1000000))</f>
        <v/>
      </c>
      <c r="OV25">
        <f>IF($B25=0,1000000,IF(INDEX('計算A'!$D$60:$DS$104,$B25,70)*FN25=1,IF(AND($E25=2,KE25=0),1000000,INDEX('計算A'!BU$110:BU$114,$F25+1)+IF(AND($E25=1,KE25=0),1000,0)),1000000))</f>
        <v/>
      </c>
      <c r="OW25">
        <f>IF($B25=0,1000000,IF(INDEX('計算A'!$D$60:$DS$104,$B25,71)*FO25=1,IF(AND($E25=2,KF25=0),1000000,INDEX('計算A'!BV$110:BV$114,$F25+1)+IF(AND($E25=1,KF25=0),1000,0)),1000000))</f>
        <v/>
      </c>
      <c r="OX25">
        <f>IF($B25=0,1000000,IF(INDEX('計算A'!$D$60:$DS$104,$B25,72)*FP25=1,IF(AND($E25=2,KG25=0),1000000,INDEX('計算A'!BW$110:BW$114,$F25+1)+IF(AND($E25=1,KG25=0),1000,0)),1000000))</f>
        <v/>
      </c>
      <c r="OY25">
        <f>IF($B25=0,1000000,IF(INDEX('計算A'!$D$60:$DS$104,$B25,73)*FQ25=1,IF(AND($E25=2,KH25=0),1000000,INDEX('計算A'!BX$110:BX$114,$F25+1)+IF(AND($E25=1,KH25=0),1000,0)),1000000))</f>
        <v/>
      </c>
      <c r="OZ25">
        <f>IF($B25=0,1000000,IF(INDEX('計算A'!$D$60:$DS$104,$B25,74)*FR25=1,IF(AND($E25=2,KI25=0),1000000,INDEX('計算A'!BY$110:BY$114,$F25+1)+IF(AND($E25=1,KI25=0),1000,0)),1000000))</f>
        <v/>
      </c>
      <c r="PA25">
        <f>IF($B25=0,1000000,IF(INDEX('計算A'!$D$60:$DS$104,$B25,75)*FS25=1,IF(AND($E25=2,KJ25=0),1000000,INDEX('計算A'!BZ$110:BZ$114,$F25+1)+IF(AND($E25=1,KJ25=0),1000,0)),1000000))</f>
        <v/>
      </c>
      <c r="PB25">
        <f>IF($B25=0,1000000,IF(INDEX('計算A'!$D$60:$DS$104,$B25,76)*FT25=1,IF(AND($E25=2,KK25=0),1000000,INDEX('計算A'!CA$110:CA$114,$F25+1)+IF(AND($E25=1,KK25=0),1000,0)),1000000))</f>
        <v/>
      </c>
      <c r="PC25">
        <f>IF($B25=0,1000000,IF(INDEX('計算A'!$D$60:$DS$104,$B25,77)*FU25=1,IF(AND($E25=2,KL25=0),1000000,INDEX('計算A'!CB$110:CB$114,$F25+1)+IF(AND($E25=1,KL25=0),1000,0)),1000000))</f>
        <v/>
      </c>
      <c r="PD25">
        <f>IF($B25=0,1000000,IF(INDEX('計算A'!$D$60:$DS$104,$B25,78)*FV25=1,IF(AND($E25=2,KM25=0),1000000,INDEX('計算A'!CC$110:CC$114,$F25+1)+IF(AND($E25=1,KM25=0),1000,0)),1000000))</f>
        <v/>
      </c>
      <c r="PE25">
        <f>IF($B25=0,1000000,IF(INDEX('計算A'!$D$60:$DS$104,$B25,79)*FW25=1,IF(AND($E25=2,KN25=0),1000000,INDEX('計算A'!CD$110:CD$114,$F25+1)+IF(AND($E25=1,KN25=0),1000,0)),1000000))</f>
        <v/>
      </c>
      <c r="PF25">
        <f>IF($B25=0,1000000,IF(INDEX('計算A'!$D$60:$DS$104,$B25,80)*FX25=1,IF(AND($E25=2,KO25=0),1000000,INDEX('計算A'!CE$110:CE$114,$F25+1)+IF(AND($E25=1,KO25=0),1000,0)),1000000))</f>
        <v/>
      </c>
      <c r="PG25">
        <f>IF($B25=0,1000000,IF(INDEX('計算A'!$D$60:$DS$104,$B25,81)*FY25=1,IF(AND($E25=2,KP25=0),1000000,INDEX('計算A'!CF$110:CF$114,$F25+1)+IF(AND($E25=1,KP25=0),1000,0)),1000000))</f>
        <v/>
      </c>
      <c r="PH25">
        <f>IF($B25=0,1000000,IF(INDEX('計算A'!$D$60:$DS$104,$B25,82)*FZ25=1,IF(AND($E25=2,KQ25=0),1000000,INDEX('計算A'!CG$110:CG$114,$F25+1)+IF(AND($E25=1,KQ25=0),1000,0)),1000000))</f>
        <v/>
      </c>
      <c r="PI25">
        <f>IF($B25=0,1000000,IF(INDEX('計算A'!$D$60:$DS$104,$B25,83)*GA25=1,IF(AND($E25=2,KR25=0),1000000,INDEX('計算A'!CH$110:CH$114,$F25+1)+IF(AND($E25=1,KR25=0),1000,0)),1000000))</f>
        <v/>
      </c>
      <c r="PJ25">
        <f>IF($B25=0,1000000,IF(INDEX('計算A'!$D$60:$DS$104,$B25,84)*GB25=1,IF(AND($E25=2,KS25=0),1000000,INDEX('計算A'!CI$110:CI$114,$F25+1)+IF(AND($E25=1,KS25=0),1000,0)),1000000))</f>
        <v/>
      </c>
      <c r="PK25">
        <f>IF($B25=0,1000000,IF(INDEX('計算A'!$D$60:$DS$104,$B25,85)*GC25=1,IF(AND($E25=2,KT25=0),1000000,INDEX('計算A'!CJ$110:CJ$114,$F25+1)+IF(AND($E25=1,KT25=0),1000,0)),1000000))</f>
        <v/>
      </c>
      <c r="PL25">
        <f>IF($B25=0,1000000,IF(INDEX('計算A'!$D$60:$DS$104,$B25,86)*GD25=1,IF(AND($E25=2,KU25=0),1000000,INDEX('計算A'!CK$110:CK$114,$F25+1)+IF(AND($E25=1,KU25=0),1000,0)),1000000))</f>
        <v/>
      </c>
      <c r="PM25">
        <f>IF($B25=0,1000000,IF(INDEX('計算A'!$D$60:$DS$104,$B25,87)*GE25=1,IF(AND($E25=2,KV25=0),1000000,INDEX('計算A'!CL$110:CL$114,$F25+1)+IF(AND($E25=1,KV25=0),1000,0)),1000000))</f>
        <v/>
      </c>
      <c r="PN25">
        <f>IF($B25=0,1000000,IF(INDEX('計算A'!$D$60:$DS$104,$B25,88)*GF25=1,IF(AND($E25=2,KW25=0),1000000,INDEX('計算A'!CM$110:CM$114,$F25+1)+IF(AND($E25=1,KW25=0),1000,0)),1000000))</f>
        <v/>
      </c>
      <c r="PO25">
        <f>IF($B25=0,1000000,IF(INDEX('計算A'!$D$60:$DS$104,$B25,89)*GG25=1,IF(AND($E25=2,KX25=0),1000000,INDEX('計算A'!CN$110:CN$114,$F25+1)+IF(AND($E25=1,KX25=0),1000,0)),1000000))</f>
        <v/>
      </c>
      <c r="PP25">
        <f>IF($B25=0,1000000,IF(INDEX('計算A'!$D$60:$DS$104,$B25,90)*GH25=1,IF(AND($E25=2,KY25=0),1000000,INDEX('計算A'!CO$110:CO$114,$F25+1)+IF(AND($E25=1,KY25=0),1000,0)),1000000))</f>
        <v/>
      </c>
      <c r="PQ25">
        <f>IF($B25=0,1000000,IF(INDEX('計算A'!$D$60:$DS$104,$B25,91)*GI25=1,IF(AND($E25=2,KZ25=0),1000000,INDEX('計算A'!CP$110:CP$114,$F25+1)+IF(AND($E25=1,KZ25=0),1000,0)),1000000))</f>
        <v/>
      </c>
      <c r="PR25">
        <f>IF($B25=0,1000000,IF(INDEX('計算A'!$D$60:$DS$104,$B25,92)*GJ25=1,IF(AND($E25=2,LA25=0),1000000,INDEX('計算A'!CQ$110:CQ$114,$F25+1)+IF(AND($E25=1,LA25=0),1000,0)),1000000))</f>
        <v/>
      </c>
      <c r="PS25">
        <f>IF($B25=0,1000000,IF(INDEX('計算A'!$D$60:$DS$104,$B25,93)*GK25=1,IF(AND($E25=2,LB25=0),1000000,INDEX('計算A'!CR$110:CR$114,$F25+1)+IF(AND($E25=1,LB25=0),1000,0)),1000000))</f>
        <v/>
      </c>
      <c r="PT25">
        <f>IF($B25=0,1000000,IF(INDEX('計算A'!$D$60:$DS$104,$B25,94)*GL25=1,IF(AND($E25=2,LC25=0),1000000,INDEX('計算A'!CS$110:CS$114,$F25+1)+IF(AND($E25=1,LC25=0),1000,0)),1000000))</f>
        <v/>
      </c>
      <c r="PU25">
        <f>IF($B25=0,1000000,IF(INDEX('計算A'!$D$60:$DS$104,$B25,95)*GM25=1,IF(AND($E25=2,LD25=0),1000000,INDEX('計算A'!CT$110:CT$114,$F25+1)+IF(AND($E25=1,LD25=0),1000,0)),1000000))</f>
        <v/>
      </c>
      <c r="PV25">
        <f>IF($B25=0,1000000,IF(INDEX('計算A'!$D$60:$DS$104,$B25,96)*GN25=1,IF(AND($E25=2,LE25=0),1000000,INDEX('計算A'!CU$110:CU$114,$F25+1)+IF(AND($E25=1,LE25=0),1000,0)),1000000))</f>
        <v/>
      </c>
      <c r="PW25">
        <f>IF($B25=0,1000000,IF(INDEX('計算A'!$D$60:$DS$104,$B25,97)*GO25=1,IF(AND($E25=2,LF25=0),1000000,INDEX('計算A'!CV$110:CV$114,$F25+1)+IF(AND($E25=1,LF25=0),1000,0)),1000000))</f>
        <v/>
      </c>
      <c r="PX25">
        <f>IF($B25=0,1000000,IF(INDEX('計算A'!$D$60:$DS$104,$B25,98)*GP25=1,IF(AND($E25=2,LG25=0),1000000,INDEX('計算A'!CW$110:CW$114,$F25+1)+IF(AND($E25=1,LG25=0),1000,0)),1000000))</f>
        <v/>
      </c>
      <c r="PY25">
        <f>IF($B25=0,1000000,IF(INDEX('計算A'!$D$60:$DS$104,$B25,99)*GQ25=1,IF(AND($E25=2,LH25=0),1000000,INDEX('計算A'!CX$110:CX$114,$F25+1)+IF(AND($E25=1,LH25=0),1000,0)),1000000))</f>
        <v/>
      </c>
      <c r="PZ25">
        <f>IF($B25=0,1000000,IF(INDEX('計算A'!$D$60:$DS$104,$B25,100)*GR25=1,IF(AND($E25=2,LI25=0),1000000,INDEX('計算A'!CY$110:CY$114,$F25+1)+IF(AND($E25=1,LI25=0),1000,0)),1000000))</f>
        <v/>
      </c>
      <c r="QA25">
        <f>IF($B25=0,1000000,IF(INDEX('計算A'!$D$60:$DS$104,$B25,101)*GS25=1,IF(AND($E25=2,LJ25=0),1000000,INDEX('計算A'!CZ$110:CZ$114,$F25+1)+IF(AND($E25=1,LJ25=0),1000,0)),1000000))</f>
        <v/>
      </c>
      <c r="QB25">
        <f>IF($B25=0,1000000,IF(INDEX('計算A'!$D$60:$DS$104,$B25,102)*GT25=1,IF(AND($E25=2,LK25=0),1000000,INDEX('計算A'!DA$110:DA$114,$F25+1)+IF(AND($E25=1,LK25=0),1000,0)),1000000))</f>
        <v/>
      </c>
      <c r="QC25">
        <f>IF($B25=0,1000000,IF(INDEX('計算A'!$D$60:$DS$104,$B25,103)*GU25=1,IF(AND($E25=2,LL25=0),1000000,INDEX('計算A'!DB$110:DB$114,$F25+1)+IF(AND($E25=1,LL25=0),1000,0)),1000000))</f>
        <v/>
      </c>
      <c r="QD25">
        <f>IF($B25=0,1000000,IF(INDEX('計算A'!$D$60:$DS$104,$B25,104)*GV25=1,IF(AND($E25=2,LM25=0),1000000,INDEX('計算A'!DC$110:DC$114,$F25+1)+IF(AND($E25=1,LM25=0),1000,0)),1000000))</f>
        <v/>
      </c>
      <c r="QE25">
        <f>IF($B25=0,1000000,IF(INDEX('計算A'!$D$60:$DS$104,$B25,105)*GW25=1,IF(AND($E25=2,LN25=0),1000000,INDEX('計算A'!DD$110:DD$114,$F25+1)+IF(AND($E25=1,LN25=0),1000,0)),1000000))</f>
        <v/>
      </c>
      <c r="QF25">
        <f>IF($B25=0,1000000,IF(INDEX('計算A'!$D$60:$DS$104,$B25,106)*GX25=1,IF(AND($E25=2,LO25=0),1000000,INDEX('計算A'!DE$110:DE$114,$F25+1)+IF(AND($E25=1,LO25=0),1000,0)),1000000))</f>
        <v/>
      </c>
      <c r="QG25">
        <f>IF($B25=0,1000000,IF(INDEX('計算A'!$D$60:$DS$104,$B25,107)*GY25=1,IF(AND($E25=2,LP25=0),1000000,INDEX('計算A'!DF$110:DF$114,$F25+1)+IF(AND($E25=1,LP25=0),1000,0)),1000000))</f>
        <v/>
      </c>
      <c r="QH25">
        <f>IF($B25=0,1000000,IF(INDEX('計算A'!$D$60:$DS$104,$B25,108)*GZ25=1,IF(AND($E25=2,LQ25=0),1000000,INDEX('計算A'!DG$110:DG$114,$F25+1)+IF(AND($E25=1,LQ25=0),1000,0)),1000000))</f>
        <v/>
      </c>
      <c r="QI25">
        <f>IF($B25=0,1000000,IF(INDEX('計算A'!$D$60:$DS$104,$B25,109)*HA25=1,IF(AND($E25=2,LR25=0),1000000,INDEX('計算A'!DH$110:DH$114,$F25+1)+IF(AND($E25=1,LR25=0),1000,0)),1000000))</f>
        <v/>
      </c>
      <c r="QJ25">
        <f>IF($B25=0,1000000,IF(INDEX('計算A'!$D$60:$DS$104,$B25,110)*HB25=1,IF(AND($E25=2,LS25=0),1000000,INDEX('計算A'!DI$110:DI$114,$F25+1)+IF(AND($E25=1,LS25=0),1000,0)),1000000))</f>
        <v/>
      </c>
      <c r="QK25">
        <f>IF($B25=0,1000000,IF(INDEX('計算A'!$D$60:$DS$104,$B25,111)*HC25=1,IF(AND($E25=2,LT25=0),1000000,INDEX('計算A'!DJ$110:DJ$114,$F25+1)+IF(AND($E25=1,LT25=0),1000,0)),1000000))</f>
        <v/>
      </c>
      <c r="QL25">
        <f>IF($B25=0,1000000,IF(INDEX('計算A'!$D$60:$DS$104,$B25,112)*HD25=1,IF(AND($E25=2,LU25=0),1000000,INDEX('計算A'!DK$110:DK$114,$F25+1)+IF(AND($E25=1,LU25=0),1000,0)),1000000))</f>
        <v/>
      </c>
      <c r="QM25">
        <f>IF($B25=0,1000000,IF(INDEX('計算A'!$D$60:$DS$104,$B25,113)*HE25=1,IF(AND($E25=2,LV25=0),1000000,INDEX('計算A'!DL$110:DL$114,$F25+1)+IF(AND($E25=1,LV25=0),1000,0)),1000000))</f>
        <v/>
      </c>
      <c r="QN25">
        <f>IF($B25=0,1000000,IF(INDEX('計算A'!$D$60:$DS$104,$B25,114)*HF25=1,IF(AND($E25=2,LW25=0),1000000,INDEX('計算A'!DM$110:DM$114,$F25+1)+IF(AND($E25=1,LW25=0),1000,0)),1000000))</f>
        <v/>
      </c>
      <c r="QO25">
        <f>IF($B25=0,1000000,IF(INDEX('計算A'!$D$60:$DS$104,$B25,115)*HG25=1,IF(AND($E25=2,LX25=0),1000000,INDEX('計算A'!DN$110:DN$114,$F25+1)+IF(AND($E25=1,LX25=0),1000,0)),1000000))</f>
        <v/>
      </c>
      <c r="QP25">
        <f>IF($B25=0,1000000,IF(INDEX('計算A'!$D$60:$DS$104,$B25,116)*HH25=1,IF(AND($E25=2,LY25=0),1000000,INDEX('計算A'!DO$110:DO$114,$F25+1)+IF(AND($E25=1,LY25=0),1000,0)),1000000))</f>
        <v/>
      </c>
      <c r="QQ25">
        <f>IF($B25=0,1000000,IF(INDEX('計算A'!$D$60:$DS$104,$B25,117)*HI25=1,IF(AND($E25=2,LZ25=0),1000000,INDEX('計算A'!DP$110:DP$114,$F25+1)+IF(AND($E25=1,LZ25=0),1000,0)),1000000))</f>
        <v/>
      </c>
      <c r="QR25">
        <f>IF($B25=0,1000000,IF(INDEX('計算A'!$D$60:$DS$104,$B25,118)*HJ25=1,IF(AND($E25=2,MA25=0),1000000,INDEX('計算A'!DQ$110:DQ$114,$F25+1)+IF(AND($E25=1,MA25=0),1000,0)),1000000))</f>
        <v/>
      </c>
      <c r="QS25">
        <f>IF($B25=0,1000000,IF(INDEX('計算A'!$D$60:$DS$104,$B25,119)*HK25=1,IF(AND($E25=2,MB25=0),1000000,INDEX('計算A'!DR$110:DR$114,$F25+1)+IF(AND($E25=1,MB25=0),1000,0)),1000000))</f>
        <v/>
      </c>
      <c r="QT25">
        <f>IF($B25=0,1000000,IF(INDEX('計算A'!$D$60:$DS$104,$B25,120)*HL25=1,IF(AND($E25=2,MC25=0),1000000,INDEX('計算A'!DS$110:DS$114,$F25+1)+IF(AND($E25=1,MC25=0),1000,0)),1000000))</f>
        <v/>
      </c>
    </row>
    <row r="26">
      <c r="A26" t="n">
        <v>24</v>
      </c>
      <c r="B26">
        <f>IF(MIN(BC26:CU26)&gt;=1000000,0,MATCH(MIN(BC26:CU26),BC26:CU26,0))</f>
        <v/>
      </c>
      <c r="C26">
        <f>IF(MIN(ME26:QT26)&gt;=1000000,0,MATCH(MIN(ME26:QT26),ME26:QT26,0))</f>
        <v/>
      </c>
      <c r="D26">
        <f>IF(C26&gt;0,INDEX('計算A'!$D$5:$DS$5,C26),0)</f>
        <v/>
      </c>
      <c r="E26">
        <f>IF(B26=0,0,INDEX('計算A'!$EA$10:$EA$54,B26))</f>
        <v/>
      </c>
      <c r="F26">
        <f>IF(B26=0,0,INDEX('計算A'!$DZ$10:$DZ$54,B26))</f>
        <v/>
      </c>
      <c r="G26">
        <f>IF(AND(C26&gt;0,E26&gt;0),IF(AND(INDEX('計算A'!$D$106:$DS$106,C26)=1,INDEX($HN26:$MC26,C26)=1),C26+1,0),0)</f>
        <v/>
      </c>
      <c r="I26">
        <f>MAX(I25,IF($B25=1,1,0))</f>
        <v/>
      </c>
      <c r="J26">
        <f>MAX(J25,IF($B25=2,1,0))</f>
        <v/>
      </c>
      <c r="K26">
        <f>MAX(K25,IF($B25=3,1,0))</f>
        <v/>
      </c>
      <c r="L26">
        <f>MAX(L25,IF($B25=4,1,0))</f>
        <v/>
      </c>
      <c r="M26">
        <f>MAX(M25,IF($B25=5,1,0))</f>
        <v/>
      </c>
      <c r="N26">
        <f>MAX(N25,IF($B25=6,1,0))</f>
        <v/>
      </c>
      <c r="O26">
        <f>MAX(O25,IF($B25=7,1,0))</f>
        <v/>
      </c>
      <c r="P26">
        <f>MAX(P25,IF($B25=8,1,0))</f>
        <v/>
      </c>
      <c r="Q26">
        <f>MAX(Q25,IF($B25=9,1,0))</f>
        <v/>
      </c>
      <c r="R26">
        <f>MAX(R25,IF($B25=10,1,0))</f>
        <v/>
      </c>
      <c r="S26">
        <f>MAX(S25,IF($B25=11,1,0))</f>
        <v/>
      </c>
      <c r="T26">
        <f>MAX(T25,IF($B25=12,1,0))</f>
        <v/>
      </c>
      <c r="U26">
        <f>MAX(U25,IF($B25=13,1,0))</f>
        <v/>
      </c>
      <c r="V26">
        <f>MAX(V25,IF($B25=14,1,0))</f>
        <v/>
      </c>
      <c r="W26">
        <f>MAX(W25,IF($B25=15,1,0))</f>
        <v/>
      </c>
      <c r="X26">
        <f>MAX(X25,IF($B25=16,1,0))</f>
        <v/>
      </c>
      <c r="Y26">
        <f>MAX(Y25,IF($B25=17,1,0))</f>
        <v/>
      </c>
      <c r="Z26">
        <f>MAX(Z25,IF($B25=18,1,0))</f>
        <v/>
      </c>
      <c r="AA26">
        <f>MAX(AA25,IF($B25=19,1,0))</f>
        <v/>
      </c>
      <c r="AB26">
        <f>MAX(AB25,IF($B25=20,1,0))</f>
        <v/>
      </c>
      <c r="AC26">
        <f>MAX(AC25,IF($B25=21,1,0))</f>
        <v/>
      </c>
      <c r="AD26">
        <f>MAX(AD25,IF($B25=22,1,0))</f>
        <v/>
      </c>
      <c r="AE26">
        <f>MAX(AE25,IF($B25=23,1,0))</f>
        <v/>
      </c>
      <c r="AF26">
        <f>MAX(AF25,IF($B25=24,1,0))</f>
        <v/>
      </c>
      <c r="AG26">
        <f>MAX(AG25,IF($B25=25,1,0))</f>
        <v/>
      </c>
      <c r="AH26">
        <f>MAX(AH25,IF($B25=26,1,0))</f>
        <v/>
      </c>
      <c r="AI26">
        <f>MAX(AI25,IF($B25=27,1,0))</f>
        <v/>
      </c>
      <c r="AJ26">
        <f>MAX(AJ25,IF($B25=28,1,0))</f>
        <v/>
      </c>
      <c r="AK26">
        <f>MAX(AK25,IF($B25=29,1,0))</f>
        <v/>
      </c>
      <c r="AL26">
        <f>MAX(AL25,IF($B25=30,1,0))</f>
        <v/>
      </c>
      <c r="AM26">
        <f>MAX(AM25,IF($B25=31,1,0))</f>
        <v/>
      </c>
      <c r="AN26">
        <f>MAX(AN25,IF($B25=32,1,0))</f>
        <v/>
      </c>
      <c r="AO26">
        <f>MAX(AO25,IF($B25=33,1,0))</f>
        <v/>
      </c>
      <c r="AP26">
        <f>MAX(AP25,IF($B25=34,1,0))</f>
        <v/>
      </c>
      <c r="AQ26">
        <f>MAX(AQ25,IF($B25=35,1,0))</f>
        <v/>
      </c>
      <c r="AR26">
        <f>MAX(AR25,IF($B25=36,1,0))</f>
        <v/>
      </c>
      <c r="AS26">
        <f>MAX(AS25,IF($B25=37,1,0))</f>
        <v/>
      </c>
      <c r="AT26">
        <f>MAX(AT25,IF($B25=38,1,0))</f>
        <v/>
      </c>
      <c r="AU26">
        <f>MAX(AU25,IF($B25=39,1,0))</f>
        <v/>
      </c>
      <c r="AV26">
        <f>MAX(AV25,IF($B25=40,1,0))</f>
        <v/>
      </c>
      <c r="AW26">
        <f>MAX(AW25,IF($B25=41,1,0))</f>
        <v/>
      </c>
      <c r="AX26">
        <f>MAX(AX25,IF($B25=42,1,0))</f>
        <v/>
      </c>
      <c r="AY26">
        <f>MAX(AY25,IF($B25=43,1,0))</f>
        <v/>
      </c>
      <c r="AZ26">
        <f>MAX(AZ25,IF($B25=44,1,0))</f>
        <v/>
      </c>
      <c r="BA26">
        <f>MAX(BA25,IF($B25=45,1,0))</f>
        <v/>
      </c>
      <c r="BC26">
        <f>IF(I26=1,1000000,IF('計算A'!$EA$10=2,SUMPRODUCT('計算A'!$D$60:$DS$60,$CW26:$HL26,$HN26:$MC26),SUMPRODUCT('計算A'!$D$60:$DS$60,$CW26:$HL26))*1000+1)</f>
        <v/>
      </c>
      <c r="BD26">
        <f>IF(J26=1,1000000,IF('計算A'!$EA$11=2,SUMPRODUCT('計算A'!$D$61:$DS$61,$CW26:$HL26,$HN26:$MC26),SUMPRODUCT('計算A'!$D$61:$DS$61,$CW26:$HL26))*1000+2)</f>
        <v/>
      </c>
      <c r="BE26">
        <f>IF(K26=1,1000000,IF('計算A'!$EA$12=2,SUMPRODUCT('計算A'!$D$62:$DS$62,$CW26:$HL26,$HN26:$MC26),SUMPRODUCT('計算A'!$D$62:$DS$62,$CW26:$HL26))*1000+3)</f>
        <v/>
      </c>
      <c r="BF26">
        <f>IF(L26=1,1000000,IF('計算A'!$EA$13=2,SUMPRODUCT('計算A'!$D$63:$DS$63,$CW26:$HL26,$HN26:$MC26),SUMPRODUCT('計算A'!$D$63:$DS$63,$CW26:$HL26))*1000+4)</f>
        <v/>
      </c>
      <c r="BG26">
        <f>IF(M26=1,1000000,IF('計算A'!$EA$14=2,SUMPRODUCT('計算A'!$D$64:$DS$64,$CW26:$HL26,$HN26:$MC26),SUMPRODUCT('計算A'!$D$64:$DS$64,$CW26:$HL26))*1000+5)</f>
        <v/>
      </c>
      <c r="BH26">
        <f>IF(N26=1,1000000,IF('計算A'!$EA$15=2,SUMPRODUCT('計算A'!$D$65:$DS$65,$CW26:$HL26,$HN26:$MC26),SUMPRODUCT('計算A'!$D$65:$DS$65,$CW26:$HL26))*1000+6)</f>
        <v/>
      </c>
      <c r="BI26">
        <f>IF(O26=1,1000000,IF('計算A'!$EA$16=2,SUMPRODUCT('計算A'!$D$66:$DS$66,$CW26:$HL26,$HN26:$MC26),SUMPRODUCT('計算A'!$D$66:$DS$66,$CW26:$HL26))*1000+7)</f>
        <v/>
      </c>
      <c r="BJ26">
        <f>IF(P26=1,1000000,IF('計算A'!$EA$17=2,SUMPRODUCT('計算A'!$D$67:$DS$67,$CW26:$HL26,$HN26:$MC26),SUMPRODUCT('計算A'!$D$67:$DS$67,$CW26:$HL26))*1000+8)</f>
        <v/>
      </c>
      <c r="BK26">
        <f>IF(Q26=1,1000000,IF('計算A'!$EA$18=2,SUMPRODUCT('計算A'!$D$68:$DS$68,$CW26:$HL26,$HN26:$MC26),SUMPRODUCT('計算A'!$D$68:$DS$68,$CW26:$HL26))*1000+9)</f>
        <v/>
      </c>
      <c r="BL26">
        <f>IF(R26=1,1000000,IF('計算A'!$EA$19=2,SUMPRODUCT('計算A'!$D$69:$DS$69,$CW26:$HL26,$HN26:$MC26),SUMPRODUCT('計算A'!$D$69:$DS$69,$CW26:$HL26))*1000+10)</f>
        <v/>
      </c>
      <c r="BM26">
        <f>IF(S26=1,1000000,IF('計算A'!$EA$20=2,SUMPRODUCT('計算A'!$D$70:$DS$70,$CW26:$HL26,$HN26:$MC26),SUMPRODUCT('計算A'!$D$70:$DS$70,$CW26:$HL26))*1000+11)</f>
        <v/>
      </c>
      <c r="BN26">
        <f>IF(T26=1,1000000,IF('計算A'!$EA$21=2,SUMPRODUCT('計算A'!$D$71:$DS$71,$CW26:$HL26,$HN26:$MC26),SUMPRODUCT('計算A'!$D$71:$DS$71,$CW26:$HL26))*1000+12)</f>
        <v/>
      </c>
      <c r="BO26">
        <f>IF(U26=1,1000000,IF('計算A'!$EA$22=2,SUMPRODUCT('計算A'!$D$72:$DS$72,$CW26:$HL26,$HN26:$MC26),SUMPRODUCT('計算A'!$D$72:$DS$72,$CW26:$HL26))*1000+13)</f>
        <v/>
      </c>
      <c r="BP26">
        <f>IF(V26=1,1000000,IF('計算A'!$EA$23=2,SUMPRODUCT('計算A'!$D$73:$DS$73,$CW26:$HL26,$HN26:$MC26),SUMPRODUCT('計算A'!$D$73:$DS$73,$CW26:$HL26))*1000+14)</f>
        <v/>
      </c>
      <c r="BQ26">
        <f>IF(W26=1,1000000,IF('計算A'!$EA$24=2,SUMPRODUCT('計算A'!$D$74:$DS$74,$CW26:$HL26,$HN26:$MC26),SUMPRODUCT('計算A'!$D$74:$DS$74,$CW26:$HL26))*1000+15)</f>
        <v/>
      </c>
      <c r="BR26">
        <f>IF(X26=1,1000000,IF('計算A'!$EA$25=2,SUMPRODUCT('計算A'!$D$75:$DS$75,$CW26:$HL26,$HN26:$MC26),SUMPRODUCT('計算A'!$D$75:$DS$75,$CW26:$HL26))*1000+16)</f>
        <v/>
      </c>
      <c r="BS26">
        <f>IF(Y26=1,1000000,IF('計算A'!$EA$26=2,SUMPRODUCT('計算A'!$D$76:$DS$76,$CW26:$HL26,$HN26:$MC26),SUMPRODUCT('計算A'!$D$76:$DS$76,$CW26:$HL26))*1000+17)</f>
        <v/>
      </c>
      <c r="BT26">
        <f>IF(Z26=1,1000000,IF('計算A'!$EA$27=2,SUMPRODUCT('計算A'!$D$77:$DS$77,$CW26:$HL26,$HN26:$MC26),SUMPRODUCT('計算A'!$D$77:$DS$77,$CW26:$HL26))*1000+18)</f>
        <v/>
      </c>
      <c r="BU26">
        <f>IF(AA26=1,1000000,IF('計算A'!$EA$28=2,SUMPRODUCT('計算A'!$D$78:$DS$78,$CW26:$HL26,$HN26:$MC26),SUMPRODUCT('計算A'!$D$78:$DS$78,$CW26:$HL26))*1000+19)</f>
        <v/>
      </c>
      <c r="BV26">
        <f>IF(AB26=1,1000000,IF('計算A'!$EA$29=2,SUMPRODUCT('計算A'!$D$79:$DS$79,$CW26:$HL26,$HN26:$MC26),SUMPRODUCT('計算A'!$D$79:$DS$79,$CW26:$HL26))*1000+20)</f>
        <v/>
      </c>
      <c r="BW26">
        <f>IF(AC26=1,1000000,IF('計算A'!$EA$30=2,SUMPRODUCT('計算A'!$D$80:$DS$80,$CW26:$HL26,$HN26:$MC26),SUMPRODUCT('計算A'!$D$80:$DS$80,$CW26:$HL26))*1000+21)</f>
        <v/>
      </c>
      <c r="BX26">
        <f>IF(AD26=1,1000000,IF('計算A'!$EA$31=2,SUMPRODUCT('計算A'!$D$81:$DS$81,$CW26:$HL26,$HN26:$MC26),SUMPRODUCT('計算A'!$D$81:$DS$81,$CW26:$HL26))*1000+22)</f>
        <v/>
      </c>
      <c r="BY26">
        <f>IF(AE26=1,1000000,IF('計算A'!$EA$32=2,SUMPRODUCT('計算A'!$D$82:$DS$82,$CW26:$HL26,$HN26:$MC26),SUMPRODUCT('計算A'!$D$82:$DS$82,$CW26:$HL26))*1000+23)</f>
        <v/>
      </c>
      <c r="BZ26">
        <f>IF(AF26=1,1000000,IF('計算A'!$EA$33=2,SUMPRODUCT('計算A'!$D$83:$DS$83,$CW26:$HL26,$HN26:$MC26),SUMPRODUCT('計算A'!$D$83:$DS$83,$CW26:$HL26))*1000+24)</f>
        <v/>
      </c>
      <c r="CA26">
        <f>IF(AG26=1,1000000,IF('計算A'!$EA$34=2,SUMPRODUCT('計算A'!$D$84:$DS$84,$CW26:$HL26,$HN26:$MC26),SUMPRODUCT('計算A'!$D$84:$DS$84,$CW26:$HL26))*1000+25)</f>
        <v/>
      </c>
      <c r="CB26">
        <f>IF(AH26=1,1000000,IF('計算A'!$EA$35=2,SUMPRODUCT('計算A'!$D$85:$DS$85,$CW26:$HL26,$HN26:$MC26),SUMPRODUCT('計算A'!$D$85:$DS$85,$CW26:$HL26))*1000+26)</f>
        <v/>
      </c>
      <c r="CC26">
        <f>IF(AI26=1,1000000,IF('計算A'!$EA$36=2,SUMPRODUCT('計算A'!$D$86:$DS$86,$CW26:$HL26,$HN26:$MC26),SUMPRODUCT('計算A'!$D$86:$DS$86,$CW26:$HL26))*1000+27)</f>
        <v/>
      </c>
      <c r="CD26">
        <f>IF(AJ26=1,1000000,IF('計算A'!$EA$37=2,SUMPRODUCT('計算A'!$D$87:$DS$87,$CW26:$HL26,$HN26:$MC26),SUMPRODUCT('計算A'!$D$87:$DS$87,$CW26:$HL26))*1000+28)</f>
        <v/>
      </c>
      <c r="CE26">
        <f>IF(AK26=1,1000000,IF('計算A'!$EA$38=2,SUMPRODUCT('計算A'!$D$88:$DS$88,$CW26:$HL26,$HN26:$MC26),SUMPRODUCT('計算A'!$D$88:$DS$88,$CW26:$HL26))*1000+29)</f>
        <v/>
      </c>
      <c r="CF26">
        <f>IF(AL26=1,1000000,IF('計算A'!$EA$39=2,SUMPRODUCT('計算A'!$D$89:$DS$89,$CW26:$HL26,$HN26:$MC26),SUMPRODUCT('計算A'!$D$89:$DS$89,$CW26:$HL26))*1000+30)</f>
        <v/>
      </c>
      <c r="CG26">
        <f>IF(AM26=1,1000000,IF('計算A'!$EA$40=2,SUMPRODUCT('計算A'!$D$90:$DS$90,$CW26:$HL26,$HN26:$MC26),SUMPRODUCT('計算A'!$D$90:$DS$90,$CW26:$HL26))*1000+31)</f>
        <v/>
      </c>
      <c r="CH26">
        <f>IF(AN26=1,1000000,IF('計算A'!$EA$41=2,SUMPRODUCT('計算A'!$D$91:$DS$91,$CW26:$HL26,$HN26:$MC26),SUMPRODUCT('計算A'!$D$91:$DS$91,$CW26:$HL26))*1000+32)</f>
        <v/>
      </c>
      <c r="CI26">
        <f>IF(AO26=1,1000000,IF('計算A'!$EA$42=2,SUMPRODUCT('計算A'!$D$92:$DS$92,$CW26:$HL26,$HN26:$MC26),SUMPRODUCT('計算A'!$D$92:$DS$92,$CW26:$HL26))*1000+33)</f>
        <v/>
      </c>
      <c r="CJ26">
        <f>IF(AP26=1,1000000,IF('計算A'!$EA$43=2,SUMPRODUCT('計算A'!$D$93:$DS$93,$CW26:$HL26,$HN26:$MC26),SUMPRODUCT('計算A'!$D$93:$DS$93,$CW26:$HL26))*1000+34)</f>
        <v/>
      </c>
      <c r="CK26">
        <f>IF(AQ26=1,1000000,IF('計算A'!$EA$44=2,SUMPRODUCT('計算A'!$D$94:$DS$94,$CW26:$HL26,$HN26:$MC26),SUMPRODUCT('計算A'!$D$94:$DS$94,$CW26:$HL26))*1000+35)</f>
        <v/>
      </c>
      <c r="CL26">
        <f>IF(AR26=1,1000000,IF('計算A'!$EA$45=2,SUMPRODUCT('計算A'!$D$95:$DS$95,$CW26:$HL26,$HN26:$MC26),SUMPRODUCT('計算A'!$D$95:$DS$95,$CW26:$HL26))*1000+36)</f>
        <v/>
      </c>
      <c r="CM26">
        <f>IF(AS26=1,1000000,IF('計算A'!$EA$46=2,SUMPRODUCT('計算A'!$D$96:$DS$96,$CW26:$HL26,$HN26:$MC26),SUMPRODUCT('計算A'!$D$96:$DS$96,$CW26:$HL26))*1000+37)</f>
        <v/>
      </c>
      <c r="CN26">
        <f>IF(AT26=1,1000000,IF('計算A'!$EA$47=2,SUMPRODUCT('計算A'!$D$97:$DS$97,$CW26:$HL26,$HN26:$MC26),SUMPRODUCT('計算A'!$D$97:$DS$97,$CW26:$HL26))*1000+38)</f>
        <v/>
      </c>
      <c r="CO26">
        <f>IF(AU26=1,1000000,IF('計算A'!$EA$48=2,SUMPRODUCT('計算A'!$D$98:$DS$98,$CW26:$HL26,$HN26:$MC26),SUMPRODUCT('計算A'!$D$98:$DS$98,$CW26:$HL26))*1000+39)</f>
        <v/>
      </c>
      <c r="CP26">
        <f>IF(AV26=1,1000000,IF('計算A'!$EA$49=2,SUMPRODUCT('計算A'!$D$99:$DS$99,$CW26:$HL26,$HN26:$MC26),SUMPRODUCT('計算A'!$D$99:$DS$99,$CW26:$HL26))*1000+40)</f>
        <v/>
      </c>
      <c r="CQ26">
        <f>IF(AW26=1,1000000,IF('計算A'!$EA$50=2,SUMPRODUCT('計算A'!$D$100:$DS$100,$CW26:$HL26,$HN26:$MC26),SUMPRODUCT('計算A'!$D$100:$DS$100,$CW26:$HL26))*1000+41)</f>
        <v/>
      </c>
      <c r="CR26">
        <f>IF(AX26=1,1000000,IF('計算A'!$EA$51=2,SUMPRODUCT('計算A'!$D$101:$DS$101,$CW26:$HL26,$HN26:$MC26),SUMPRODUCT('計算A'!$D$101:$DS$101,$CW26:$HL26))*1000+42)</f>
        <v/>
      </c>
      <c r="CS26">
        <f>IF(AY26=1,1000000,IF('計算A'!$EA$52=2,SUMPRODUCT('計算A'!$D$102:$DS$102,$CW26:$HL26,$HN26:$MC26),SUMPRODUCT('計算A'!$D$102:$DS$102,$CW26:$HL26))*1000+43)</f>
        <v/>
      </c>
      <c r="CT26">
        <f>IF(AZ26=1,1000000,IF('計算A'!$EA$53=2,SUMPRODUCT('計算A'!$D$103:$DS$103,$CW26:$HL26,$HN26:$MC26),SUMPRODUCT('計算A'!$D$103:$DS$103,$CW26:$HL26))*1000+44)</f>
        <v/>
      </c>
      <c r="CU26">
        <f>IF(BA26=1,1000000,IF('計算A'!$EA$54=2,SUMPRODUCT('計算A'!$D$104:$DS$104,$CW26:$HL26,$HN26:$MC26),SUMPRODUCT('計算A'!$D$104:$DS$104,$CW26:$HL26))*1000+45)</f>
        <v/>
      </c>
      <c r="CW26">
        <f>CW25*IF(OR($C25=1,$G25=1),0,1)</f>
        <v/>
      </c>
      <c r="CX26">
        <f>CX25*IF(OR($C25=2,$G25=2),0,1)</f>
        <v/>
      </c>
      <c r="CY26">
        <f>CY25*IF(OR($C25=3,$G25=3),0,1)</f>
        <v/>
      </c>
      <c r="CZ26">
        <f>CZ25*IF(OR($C25=4,$G25=4),0,1)</f>
        <v/>
      </c>
      <c r="DA26">
        <f>DA25*IF(OR($C25=5,$G25=5),0,1)</f>
        <v/>
      </c>
      <c r="DB26">
        <f>DB25*IF(OR($C25=6,$G25=6),0,1)</f>
        <v/>
      </c>
      <c r="DC26">
        <f>DC25*IF(OR($C25=7,$G25=7),0,1)</f>
        <v/>
      </c>
      <c r="DD26">
        <f>DD25*IF(OR($C25=8,$G25=8),0,1)</f>
        <v/>
      </c>
      <c r="DE26">
        <f>DE25*IF(OR($C25=9,$G25=9),0,1)</f>
        <v/>
      </c>
      <c r="DF26">
        <f>DF25*IF(OR($C25=10,$G25=10),0,1)</f>
        <v/>
      </c>
      <c r="DG26">
        <f>DG25*IF(OR($C25=11,$G25=11),0,1)</f>
        <v/>
      </c>
      <c r="DH26">
        <f>DH25*IF(OR($C25=12,$G25=12),0,1)</f>
        <v/>
      </c>
      <c r="DI26">
        <f>DI25*IF(OR($C25=13,$G25=13),0,1)</f>
        <v/>
      </c>
      <c r="DJ26">
        <f>DJ25*IF(OR($C25=14,$G25=14),0,1)</f>
        <v/>
      </c>
      <c r="DK26">
        <f>DK25*IF(OR($C25=15,$G25=15),0,1)</f>
        <v/>
      </c>
      <c r="DL26">
        <f>DL25*IF(OR($C25=16,$G25=16),0,1)</f>
        <v/>
      </c>
      <c r="DM26">
        <f>DM25*IF(OR($C25=17,$G25=17),0,1)</f>
        <v/>
      </c>
      <c r="DN26">
        <f>DN25*IF(OR($C25=18,$G25=18),0,1)</f>
        <v/>
      </c>
      <c r="DO26">
        <f>DO25*IF(OR($C25=19,$G25=19),0,1)</f>
        <v/>
      </c>
      <c r="DP26">
        <f>DP25*IF(OR($C25=20,$G25=20),0,1)</f>
        <v/>
      </c>
      <c r="DQ26">
        <f>DQ25*IF(OR($C25=21,$G25=21),0,1)</f>
        <v/>
      </c>
      <c r="DR26">
        <f>DR25*IF(OR($C25=22,$G25=22),0,1)</f>
        <v/>
      </c>
      <c r="DS26">
        <f>DS25*IF(OR($C25=23,$G25=23),0,1)</f>
        <v/>
      </c>
      <c r="DT26">
        <f>DT25*IF(OR($C25=24,$G25=24),0,1)</f>
        <v/>
      </c>
      <c r="DU26">
        <f>DU25*IF(OR($C25=25,$G25=25),0,1)</f>
        <v/>
      </c>
      <c r="DV26">
        <f>DV25*IF(OR($C25=26,$G25=26),0,1)</f>
        <v/>
      </c>
      <c r="DW26">
        <f>DW25*IF(OR($C25=27,$G25=27),0,1)</f>
        <v/>
      </c>
      <c r="DX26">
        <f>DX25*IF(OR($C25=28,$G25=28),0,1)</f>
        <v/>
      </c>
      <c r="DY26">
        <f>DY25*IF(OR($C25=29,$G25=29),0,1)</f>
        <v/>
      </c>
      <c r="DZ26">
        <f>DZ25*IF(OR($C25=30,$G25=30),0,1)</f>
        <v/>
      </c>
      <c r="EA26">
        <f>EA25*IF(OR($C25=31,$G25=31),0,1)</f>
        <v/>
      </c>
      <c r="EB26">
        <f>EB25*IF(OR($C25=32,$G25=32),0,1)</f>
        <v/>
      </c>
      <c r="EC26">
        <f>EC25*IF(OR($C25=33,$G25=33),0,1)</f>
        <v/>
      </c>
      <c r="ED26">
        <f>ED25*IF(OR($C25=34,$G25=34),0,1)</f>
        <v/>
      </c>
      <c r="EE26">
        <f>EE25*IF(OR($C25=35,$G25=35),0,1)</f>
        <v/>
      </c>
      <c r="EF26">
        <f>EF25*IF(OR($C25=36,$G25=36),0,1)</f>
        <v/>
      </c>
      <c r="EG26">
        <f>EG25*IF(OR($C25=37,$G25=37),0,1)</f>
        <v/>
      </c>
      <c r="EH26">
        <f>EH25*IF(OR($C25=38,$G25=38),0,1)</f>
        <v/>
      </c>
      <c r="EI26">
        <f>EI25*IF(OR($C25=39,$G25=39),0,1)</f>
        <v/>
      </c>
      <c r="EJ26">
        <f>EJ25*IF(OR($C25=40,$G25=40),0,1)</f>
        <v/>
      </c>
      <c r="EK26">
        <f>EK25*IF(OR($C25=41,$G25=41),0,1)</f>
        <v/>
      </c>
      <c r="EL26">
        <f>EL25*IF(OR($C25=42,$G25=42),0,1)</f>
        <v/>
      </c>
      <c r="EM26">
        <f>EM25*IF(OR($C25=43,$G25=43),0,1)</f>
        <v/>
      </c>
      <c r="EN26">
        <f>EN25*IF(OR($C25=44,$G25=44),0,1)</f>
        <v/>
      </c>
      <c r="EO26">
        <f>EO25*IF(OR($C25=45,$G25=45),0,1)</f>
        <v/>
      </c>
      <c r="EP26">
        <f>EP25*IF(OR($C25=46,$G25=46),0,1)</f>
        <v/>
      </c>
      <c r="EQ26">
        <f>EQ25*IF(OR($C25=47,$G25=47),0,1)</f>
        <v/>
      </c>
      <c r="ER26">
        <f>ER25*IF(OR($C25=48,$G25=48),0,1)</f>
        <v/>
      </c>
      <c r="ES26">
        <f>ES25*IF(OR($C25=49,$G25=49),0,1)</f>
        <v/>
      </c>
      <c r="ET26">
        <f>ET25*IF(OR($C25=50,$G25=50),0,1)</f>
        <v/>
      </c>
      <c r="EU26">
        <f>EU25*IF(OR($C25=51,$G25=51),0,1)</f>
        <v/>
      </c>
      <c r="EV26">
        <f>EV25*IF(OR($C25=52,$G25=52),0,1)</f>
        <v/>
      </c>
      <c r="EW26">
        <f>EW25*IF(OR($C25=53,$G25=53),0,1)</f>
        <v/>
      </c>
      <c r="EX26">
        <f>EX25*IF(OR($C25=54,$G25=54),0,1)</f>
        <v/>
      </c>
      <c r="EY26">
        <f>EY25*IF(OR($C25=55,$G25=55),0,1)</f>
        <v/>
      </c>
      <c r="EZ26">
        <f>EZ25*IF(OR($C25=56,$G25=56),0,1)</f>
        <v/>
      </c>
      <c r="FA26">
        <f>FA25*IF(OR($C25=57,$G25=57),0,1)</f>
        <v/>
      </c>
      <c r="FB26">
        <f>FB25*IF(OR($C25=58,$G25=58),0,1)</f>
        <v/>
      </c>
      <c r="FC26">
        <f>FC25*IF(OR($C25=59,$G25=59),0,1)</f>
        <v/>
      </c>
      <c r="FD26">
        <f>FD25*IF(OR($C25=60,$G25=60),0,1)</f>
        <v/>
      </c>
      <c r="FE26">
        <f>FE25*IF(OR($C25=61,$G25=61),0,1)</f>
        <v/>
      </c>
      <c r="FF26">
        <f>FF25*IF(OR($C25=62,$G25=62),0,1)</f>
        <v/>
      </c>
      <c r="FG26">
        <f>FG25*IF(OR($C25=63,$G25=63),0,1)</f>
        <v/>
      </c>
      <c r="FH26">
        <f>FH25*IF(OR($C25=64,$G25=64),0,1)</f>
        <v/>
      </c>
      <c r="FI26">
        <f>FI25*IF(OR($C25=65,$G25=65),0,1)</f>
        <v/>
      </c>
      <c r="FJ26">
        <f>FJ25*IF(OR($C25=66,$G25=66),0,1)</f>
        <v/>
      </c>
      <c r="FK26">
        <f>FK25*IF(OR($C25=67,$G25=67),0,1)</f>
        <v/>
      </c>
      <c r="FL26">
        <f>FL25*IF(OR($C25=68,$G25=68),0,1)</f>
        <v/>
      </c>
      <c r="FM26">
        <f>FM25*IF(OR($C25=69,$G25=69),0,1)</f>
        <v/>
      </c>
      <c r="FN26">
        <f>FN25*IF(OR($C25=70,$G25=70),0,1)</f>
        <v/>
      </c>
      <c r="FO26">
        <f>FO25*IF(OR($C25=71,$G25=71),0,1)</f>
        <v/>
      </c>
      <c r="FP26">
        <f>FP25*IF(OR($C25=72,$G25=72),0,1)</f>
        <v/>
      </c>
      <c r="FQ26">
        <f>FQ25*IF(OR($C25=73,$G25=73),0,1)</f>
        <v/>
      </c>
      <c r="FR26">
        <f>FR25*IF(OR($C25=74,$G25=74),0,1)</f>
        <v/>
      </c>
      <c r="FS26">
        <f>FS25*IF(OR($C25=75,$G25=75),0,1)</f>
        <v/>
      </c>
      <c r="FT26">
        <f>FT25*IF(OR($C25=76,$G25=76),0,1)</f>
        <v/>
      </c>
      <c r="FU26">
        <f>FU25*IF(OR($C25=77,$G25=77),0,1)</f>
        <v/>
      </c>
      <c r="FV26">
        <f>FV25*IF(OR($C25=78,$G25=78),0,1)</f>
        <v/>
      </c>
      <c r="FW26">
        <f>FW25*IF(OR($C25=79,$G25=79),0,1)</f>
        <v/>
      </c>
      <c r="FX26">
        <f>FX25*IF(OR($C25=80,$G25=80),0,1)</f>
        <v/>
      </c>
      <c r="FY26">
        <f>FY25*IF(OR($C25=81,$G25=81),0,1)</f>
        <v/>
      </c>
      <c r="FZ26">
        <f>FZ25*IF(OR($C25=82,$G25=82),0,1)</f>
        <v/>
      </c>
      <c r="GA26">
        <f>GA25*IF(OR($C25=83,$G25=83),0,1)</f>
        <v/>
      </c>
      <c r="GB26">
        <f>GB25*IF(OR($C25=84,$G25=84),0,1)</f>
        <v/>
      </c>
      <c r="GC26">
        <f>GC25*IF(OR($C25=85,$G25=85),0,1)</f>
        <v/>
      </c>
      <c r="GD26">
        <f>GD25*IF(OR($C25=86,$G25=86),0,1)</f>
        <v/>
      </c>
      <c r="GE26">
        <f>GE25*IF(OR($C25=87,$G25=87),0,1)</f>
        <v/>
      </c>
      <c r="GF26">
        <f>GF25*IF(OR($C25=88,$G25=88),0,1)</f>
        <v/>
      </c>
      <c r="GG26">
        <f>GG25*IF(OR($C25=89,$G25=89),0,1)</f>
        <v/>
      </c>
      <c r="GH26">
        <f>GH25*IF(OR($C25=90,$G25=90),0,1)</f>
        <v/>
      </c>
      <c r="GI26">
        <f>GI25*IF(OR($C25=91,$G25=91),0,1)</f>
        <v/>
      </c>
      <c r="GJ26">
        <f>GJ25*IF(OR($C25=92,$G25=92),0,1)</f>
        <v/>
      </c>
      <c r="GK26">
        <f>GK25*IF(OR($C25=93,$G25=93),0,1)</f>
        <v/>
      </c>
      <c r="GL26">
        <f>GL25*IF(OR($C25=94,$G25=94),0,1)</f>
        <v/>
      </c>
      <c r="GM26">
        <f>GM25*IF(OR($C25=95,$G25=95),0,1)</f>
        <v/>
      </c>
      <c r="GN26">
        <f>GN25*IF(OR($C25=96,$G25=96),0,1)</f>
        <v/>
      </c>
      <c r="GO26">
        <f>GO25*IF(OR($C25=97,$G25=97),0,1)</f>
        <v/>
      </c>
      <c r="GP26">
        <f>GP25*IF(OR($C25=98,$G25=98),0,1)</f>
        <v/>
      </c>
      <c r="GQ26">
        <f>GQ25*IF(OR($C25=99,$G25=99),0,1)</f>
        <v/>
      </c>
      <c r="GR26">
        <f>GR25*IF(OR($C25=100,$G25=100),0,1)</f>
        <v/>
      </c>
      <c r="GS26">
        <f>GS25*IF(OR($C25=101,$G25=101),0,1)</f>
        <v/>
      </c>
      <c r="GT26">
        <f>GT25*IF(OR($C25=102,$G25=102),0,1)</f>
        <v/>
      </c>
      <c r="GU26">
        <f>GU25*IF(OR($C25=103,$G25=103),0,1)</f>
        <v/>
      </c>
      <c r="GV26">
        <f>GV25*IF(OR($C25=104,$G25=104),0,1)</f>
        <v/>
      </c>
      <c r="GW26">
        <f>GW25*IF(OR($C25=105,$G25=105),0,1)</f>
        <v/>
      </c>
      <c r="GX26">
        <f>GX25*IF(OR($C25=106,$G25=106),0,1)</f>
        <v/>
      </c>
      <c r="GY26">
        <f>GY25*IF(OR($C25=107,$G25=107),0,1)</f>
        <v/>
      </c>
      <c r="GZ26">
        <f>GZ25*IF(OR($C25=108,$G25=108),0,1)</f>
        <v/>
      </c>
      <c r="HA26">
        <f>HA25*IF(OR($C25=109,$G25=109),0,1)</f>
        <v/>
      </c>
      <c r="HB26">
        <f>HB25*IF(OR($C25=110,$G25=110),0,1)</f>
        <v/>
      </c>
      <c r="HC26">
        <f>HC25*IF(OR($C25=111,$G25=111),0,1)</f>
        <v/>
      </c>
      <c r="HD26">
        <f>HD25*IF(OR($C25=112,$G25=112),0,1)</f>
        <v/>
      </c>
      <c r="HE26">
        <f>HE25*IF(OR($C25=113,$G25=113),0,1)</f>
        <v/>
      </c>
      <c r="HF26">
        <f>HF25*IF(OR($C25=114,$G25=114),0,1)</f>
        <v/>
      </c>
      <c r="HG26">
        <f>HG25*IF(OR($C25=115,$G25=115),0,1)</f>
        <v/>
      </c>
      <c r="HH26">
        <f>HH25*IF(OR($C25=116,$G25=116),0,1)</f>
        <v/>
      </c>
      <c r="HI26">
        <f>HI25*IF(OR($C25=117,$G25=117),0,1)</f>
        <v/>
      </c>
      <c r="HJ26">
        <f>HJ25*IF(OR($C25=118,$G25=118),0,1)</f>
        <v/>
      </c>
      <c r="HK26">
        <f>HK25*IF(OR($C25=119,$G25=119),0,1)</f>
        <v/>
      </c>
      <c r="HL26">
        <f>HL25*IF(OR($C25=120,$G25=120),0,1)</f>
        <v/>
      </c>
      <c r="HN26">
        <f>IF('計算A'!D$106=1,CX26,1)</f>
        <v/>
      </c>
      <c r="HO26">
        <f>IF('計算A'!E$106=1,CY26,1)</f>
        <v/>
      </c>
      <c r="HP26">
        <f>IF('計算A'!F$106=1,CZ26,1)</f>
        <v/>
      </c>
      <c r="HQ26">
        <f>IF('計算A'!G$106=1,DA26,1)</f>
        <v/>
      </c>
      <c r="HR26">
        <f>IF('計算A'!H$106=1,DB26,1)</f>
        <v/>
      </c>
      <c r="HS26">
        <f>IF('計算A'!I$106=1,DC26,1)</f>
        <v/>
      </c>
      <c r="HT26">
        <f>IF('計算A'!J$106=1,DD26,1)</f>
        <v/>
      </c>
      <c r="HU26">
        <f>IF('計算A'!K$106=1,DE26,1)</f>
        <v/>
      </c>
      <c r="HV26">
        <f>IF('計算A'!L$106=1,DF26,1)</f>
        <v/>
      </c>
      <c r="HW26">
        <f>IF('計算A'!M$106=1,DG26,1)</f>
        <v/>
      </c>
      <c r="HX26">
        <f>IF('計算A'!N$106=1,DH26,1)</f>
        <v/>
      </c>
      <c r="HY26">
        <f>IF('計算A'!O$106=1,DI26,1)</f>
        <v/>
      </c>
      <c r="HZ26">
        <f>IF('計算A'!P$106=1,DJ26,1)</f>
        <v/>
      </c>
      <c r="IA26">
        <f>IF('計算A'!Q$106=1,DK26,1)</f>
        <v/>
      </c>
      <c r="IB26">
        <f>IF('計算A'!R$106=1,DL26,1)</f>
        <v/>
      </c>
      <c r="IC26">
        <f>IF('計算A'!S$106=1,DM26,1)</f>
        <v/>
      </c>
      <c r="ID26">
        <f>IF('計算A'!T$106=1,DN26,1)</f>
        <v/>
      </c>
      <c r="IE26">
        <f>IF('計算A'!U$106=1,DO26,1)</f>
        <v/>
      </c>
      <c r="IF26">
        <f>IF('計算A'!V$106=1,DP26,1)</f>
        <v/>
      </c>
      <c r="IG26">
        <f>IF('計算A'!W$106=1,DQ26,1)</f>
        <v/>
      </c>
      <c r="IH26">
        <f>IF('計算A'!X$106=1,DR26,1)</f>
        <v/>
      </c>
      <c r="II26">
        <f>IF('計算A'!Y$106=1,DS26,1)</f>
        <v/>
      </c>
      <c r="IJ26">
        <f>IF('計算A'!Z$106=1,DT26,1)</f>
        <v/>
      </c>
      <c r="IK26">
        <f>IF('計算A'!AA$106=1,DU26,1)</f>
        <v/>
      </c>
      <c r="IL26">
        <f>IF('計算A'!AB$106=1,DV26,1)</f>
        <v/>
      </c>
      <c r="IM26">
        <f>IF('計算A'!AC$106=1,DW26,1)</f>
        <v/>
      </c>
      <c r="IN26">
        <f>IF('計算A'!AD$106=1,DX26,1)</f>
        <v/>
      </c>
      <c r="IO26">
        <f>IF('計算A'!AE$106=1,DY26,1)</f>
        <v/>
      </c>
      <c r="IP26">
        <f>IF('計算A'!AF$106=1,DZ26,1)</f>
        <v/>
      </c>
      <c r="IQ26">
        <f>IF('計算A'!AG$106=1,EA26,1)</f>
        <v/>
      </c>
      <c r="IR26">
        <f>IF('計算A'!AH$106=1,EB26,1)</f>
        <v/>
      </c>
      <c r="IS26">
        <f>IF('計算A'!AI$106=1,EC26,1)</f>
        <v/>
      </c>
      <c r="IT26">
        <f>IF('計算A'!AJ$106=1,ED26,1)</f>
        <v/>
      </c>
      <c r="IU26">
        <f>IF('計算A'!AK$106=1,EE26,1)</f>
        <v/>
      </c>
      <c r="IV26">
        <f>IF('計算A'!AL$106=1,EF26,1)</f>
        <v/>
      </c>
      <c r="IW26">
        <f>IF('計算A'!AM$106=1,EG26,1)</f>
        <v/>
      </c>
      <c r="IX26">
        <f>IF('計算A'!AN$106=1,EH26,1)</f>
        <v/>
      </c>
      <c r="IY26">
        <f>IF('計算A'!AO$106=1,EI26,1)</f>
        <v/>
      </c>
      <c r="IZ26">
        <f>IF('計算A'!AP$106=1,EJ26,1)</f>
        <v/>
      </c>
      <c r="JA26">
        <f>IF('計算A'!AQ$106=1,EK26,1)</f>
        <v/>
      </c>
      <c r="JB26">
        <f>IF('計算A'!AR$106=1,EL26,1)</f>
        <v/>
      </c>
      <c r="JC26">
        <f>IF('計算A'!AS$106=1,EM26,1)</f>
        <v/>
      </c>
      <c r="JD26">
        <f>IF('計算A'!AT$106=1,EN26,1)</f>
        <v/>
      </c>
      <c r="JE26">
        <f>IF('計算A'!AU$106=1,EO26,1)</f>
        <v/>
      </c>
      <c r="JF26">
        <f>IF('計算A'!AV$106=1,EP26,1)</f>
        <v/>
      </c>
      <c r="JG26">
        <f>IF('計算A'!AW$106=1,EQ26,1)</f>
        <v/>
      </c>
      <c r="JH26">
        <f>IF('計算A'!AX$106=1,ER26,1)</f>
        <v/>
      </c>
      <c r="JI26">
        <f>IF('計算A'!AY$106=1,ES26,1)</f>
        <v/>
      </c>
      <c r="JJ26">
        <f>IF('計算A'!AZ$106=1,ET26,1)</f>
        <v/>
      </c>
      <c r="JK26">
        <f>IF('計算A'!BA$106=1,EU26,1)</f>
        <v/>
      </c>
      <c r="JL26">
        <f>IF('計算A'!BB$106=1,EV26,1)</f>
        <v/>
      </c>
      <c r="JM26">
        <f>IF('計算A'!BC$106=1,EW26,1)</f>
        <v/>
      </c>
      <c r="JN26">
        <f>IF('計算A'!BD$106=1,EX26,1)</f>
        <v/>
      </c>
      <c r="JO26">
        <f>IF('計算A'!BE$106=1,EY26,1)</f>
        <v/>
      </c>
      <c r="JP26">
        <f>IF('計算A'!BF$106=1,EZ26,1)</f>
        <v/>
      </c>
      <c r="JQ26">
        <f>IF('計算A'!BG$106=1,FA26,1)</f>
        <v/>
      </c>
      <c r="JR26">
        <f>IF('計算A'!BH$106=1,FB26,1)</f>
        <v/>
      </c>
      <c r="JS26">
        <f>IF('計算A'!BI$106=1,FC26,1)</f>
        <v/>
      </c>
      <c r="JT26">
        <f>IF('計算A'!BJ$106=1,FD26,1)</f>
        <v/>
      </c>
      <c r="JU26">
        <f>IF('計算A'!BK$106=1,FE26,1)</f>
        <v/>
      </c>
      <c r="JV26">
        <f>IF('計算A'!BL$106=1,FF26,1)</f>
        <v/>
      </c>
      <c r="JW26">
        <f>IF('計算A'!BM$106=1,FG26,1)</f>
        <v/>
      </c>
      <c r="JX26">
        <f>IF('計算A'!BN$106=1,FH26,1)</f>
        <v/>
      </c>
      <c r="JY26">
        <f>IF('計算A'!BO$106=1,FI26,1)</f>
        <v/>
      </c>
      <c r="JZ26">
        <f>IF('計算A'!BP$106=1,FJ26,1)</f>
        <v/>
      </c>
      <c r="KA26">
        <f>IF('計算A'!BQ$106=1,FK26,1)</f>
        <v/>
      </c>
      <c r="KB26">
        <f>IF('計算A'!BR$106=1,FL26,1)</f>
        <v/>
      </c>
      <c r="KC26">
        <f>IF('計算A'!BS$106=1,FM26,1)</f>
        <v/>
      </c>
      <c r="KD26">
        <f>IF('計算A'!BT$106=1,FN26,1)</f>
        <v/>
      </c>
      <c r="KE26">
        <f>IF('計算A'!BU$106=1,FO26,1)</f>
        <v/>
      </c>
      <c r="KF26">
        <f>IF('計算A'!BV$106=1,FP26,1)</f>
        <v/>
      </c>
      <c r="KG26">
        <f>IF('計算A'!BW$106=1,FQ26,1)</f>
        <v/>
      </c>
      <c r="KH26">
        <f>IF('計算A'!BX$106=1,FR26,1)</f>
        <v/>
      </c>
      <c r="KI26">
        <f>IF('計算A'!BY$106=1,FS26,1)</f>
        <v/>
      </c>
      <c r="KJ26">
        <f>IF('計算A'!BZ$106=1,FT26,1)</f>
        <v/>
      </c>
      <c r="KK26">
        <f>IF('計算A'!CA$106=1,FU26,1)</f>
        <v/>
      </c>
      <c r="KL26">
        <f>IF('計算A'!CB$106=1,FV26,1)</f>
        <v/>
      </c>
      <c r="KM26">
        <f>IF('計算A'!CC$106=1,FW26,1)</f>
        <v/>
      </c>
      <c r="KN26">
        <f>IF('計算A'!CD$106=1,FX26,1)</f>
        <v/>
      </c>
      <c r="KO26">
        <f>IF('計算A'!CE$106=1,FY26,1)</f>
        <v/>
      </c>
      <c r="KP26">
        <f>IF('計算A'!CF$106=1,FZ26,1)</f>
        <v/>
      </c>
      <c r="KQ26">
        <f>IF('計算A'!CG$106=1,GA26,1)</f>
        <v/>
      </c>
      <c r="KR26">
        <f>IF('計算A'!CH$106=1,GB26,1)</f>
        <v/>
      </c>
      <c r="KS26">
        <f>IF('計算A'!CI$106=1,GC26,1)</f>
        <v/>
      </c>
      <c r="KT26">
        <f>IF('計算A'!CJ$106=1,GD26,1)</f>
        <v/>
      </c>
      <c r="KU26">
        <f>IF('計算A'!CK$106=1,GE26,1)</f>
        <v/>
      </c>
      <c r="KV26">
        <f>IF('計算A'!CL$106=1,GF26,1)</f>
        <v/>
      </c>
      <c r="KW26">
        <f>IF('計算A'!CM$106=1,GG26,1)</f>
        <v/>
      </c>
      <c r="KX26">
        <f>IF('計算A'!CN$106=1,GH26,1)</f>
        <v/>
      </c>
      <c r="KY26">
        <f>IF('計算A'!CO$106=1,GI26,1)</f>
        <v/>
      </c>
      <c r="KZ26">
        <f>IF('計算A'!CP$106=1,GJ26,1)</f>
        <v/>
      </c>
      <c r="LA26">
        <f>IF('計算A'!CQ$106=1,GK26,1)</f>
        <v/>
      </c>
      <c r="LB26">
        <f>IF('計算A'!CR$106=1,GL26,1)</f>
        <v/>
      </c>
      <c r="LC26">
        <f>IF('計算A'!CS$106=1,GM26,1)</f>
        <v/>
      </c>
      <c r="LD26">
        <f>IF('計算A'!CT$106=1,GN26,1)</f>
        <v/>
      </c>
      <c r="LE26">
        <f>IF('計算A'!CU$106=1,GO26,1)</f>
        <v/>
      </c>
      <c r="LF26">
        <f>IF('計算A'!CV$106=1,GP26,1)</f>
        <v/>
      </c>
      <c r="LG26">
        <f>IF('計算A'!CW$106=1,GQ26,1)</f>
        <v/>
      </c>
      <c r="LH26">
        <f>IF('計算A'!CX$106=1,GR26,1)</f>
        <v/>
      </c>
      <c r="LI26">
        <f>IF('計算A'!CY$106=1,GS26,1)</f>
        <v/>
      </c>
      <c r="LJ26">
        <f>IF('計算A'!CZ$106=1,GT26,1)</f>
        <v/>
      </c>
      <c r="LK26">
        <f>IF('計算A'!DA$106=1,GU26,1)</f>
        <v/>
      </c>
      <c r="LL26">
        <f>IF('計算A'!DB$106=1,GV26,1)</f>
        <v/>
      </c>
      <c r="LM26">
        <f>IF('計算A'!DC$106=1,GW26,1)</f>
        <v/>
      </c>
      <c r="LN26">
        <f>IF('計算A'!DD$106=1,GX26,1)</f>
        <v/>
      </c>
      <c r="LO26">
        <f>IF('計算A'!DE$106=1,GY26,1)</f>
        <v/>
      </c>
      <c r="LP26">
        <f>IF('計算A'!DF$106=1,GZ26,1)</f>
        <v/>
      </c>
      <c r="LQ26">
        <f>IF('計算A'!DG$106=1,HA26,1)</f>
        <v/>
      </c>
      <c r="LR26">
        <f>IF('計算A'!DH$106=1,HB26,1)</f>
        <v/>
      </c>
      <c r="LS26">
        <f>IF('計算A'!DI$106=1,HC26,1)</f>
        <v/>
      </c>
      <c r="LT26">
        <f>IF('計算A'!DJ$106=1,HD26,1)</f>
        <v/>
      </c>
      <c r="LU26">
        <f>IF('計算A'!DK$106=1,HE26,1)</f>
        <v/>
      </c>
      <c r="LV26">
        <f>IF('計算A'!DL$106=1,HF26,1)</f>
        <v/>
      </c>
      <c r="LW26">
        <f>IF('計算A'!DM$106=1,HG26,1)</f>
        <v/>
      </c>
      <c r="LX26">
        <f>IF('計算A'!DN$106=1,HH26,1)</f>
        <v/>
      </c>
      <c r="LY26">
        <f>IF('計算A'!DO$106=1,HI26,1)</f>
        <v/>
      </c>
      <c r="LZ26">
        <f>IF('計算A'!DP$106=1,HJ26,1)</f>
        <v/>
      </c>
      <c r="MA26">
        <f>IF('計算A'!DQ$106=1,HK26,1)</f>
        <v/>
      </c>
      <c r="MB26">
        <f>IF('計算A'!DR$106=1,HL26,1)</f>
        <v/>
      </c>
      <c r="MC26" t="n">
        <v>1</v>
      </c>
      <c r="ME26">
        <f>IF($B26=0,1000000,IF(INDEX('計算A'!$D$60:$DS$104,$B26,1)*CW26=1,IF(AND($E26=2,HN26=0),1000000,INDEX('計算A'!D$110:D$114,$F26+1)+IF(AND($E26=1,HN26=0),1000,0)),1000000))</f>
        <v/>
      </c>
      <c r="MF26">
        <f>IF($B26=0,1000000,IF(INDEX('計算A'!$D$60:$DS$104,$B26,2)*CX26=1,IF(AND($E26=2,HO26=0),1000000,INDEX('計算A'!E$110:E$114,$F26+1)+IF(AND($E26=1,HO26=0),1000,0)),1000000))</f>
        <v/>
      </c>
      <c r="MG26">
        <f>IF($B26=0,1000000,IF(INDEX('計算A'!$D$60:$DS$104,$B26,3)*CY26=1,IF(AND($E26=2,HP26=0),1000000,INDEX('計算A'!F$110:F$114,$F26+1)+IF(AND($E26=1,HP26=0),1000,0)),1000000))</f>
        <v/>
      </c>
      <c r="MH26">
        <f>IF($B26=0,1000000,IF(INDEX('計算A'!$D$60:$DS$104,$B26,4)*CZ26=1,IF(AND($E26=2,HQ26=0),1000000,INDEX('計算A'!G$110:G$114,$F26+1)+IF(AND($E26=1,HQ26=0),1000,0)),1000000))</f>
        <v/>
      </c>
      <c r="MI26">
        <f>IF($B26=0,1000000,IF(INDEX('計算A'!$D$60:$DS$104,$B26,5)*DA26=1,IF(AND($E26=2,HR26=0),1000000,INDEX('計算A'!H$110:H$114,$F26+1)+IF(AND($E26=1,HR26=0),1000,0)),1000000))</f>
        <v/>
      </c>
      <c r="MJ26">
        <f>IF($B26=0,1000000,IF(INDEX('計算A'!$D$60:$DS$104,$B26,6)*DB26=1,IF(AND($E26=2,HS26=0),1000000,INDEX('計算A'!I$110:I$114,$F26+1)+IF(AND($E26=1,HS26=0),1000,0)),1000000))</f>
        <v/>
      </c>
      <c r="MK26">
        <f>IF($B26=0,1000000,IF(INDEX('計算A'!$D$60:$DS$104,$B26,7)*DC26=1,IF(AND($E26=2,HT26=0),1000000,INDEX('計算A'!J$110:J$114,$F26+1)+IF(AND($E26=1,HT26=0),1000,0)),1000000))</f>
        <v/>
      </c>
      <c r="ML26">
        <f>IF($B26=0,1000000,IF(INDEX('計算A'!$D$60:$DS$104,$B26,8)*DD26=1,IF(AND($E26=2,HU26=0),1000000,INDEX('計算A'!K$110:K$114,$F26+1)+IF(AND($E26=1,HU26=0),1000,0)),1000000))</f>
        <v/>
      </c>
      <c r="MM26">
        <f>IF($B26=0,1000000,IF(INDEX('計算A'!$D$60:$DS$104,$B26,9)*DE26=1,IF(AND($E26=2,HV26=0),1000000,INDEX('計算A'!L$110:L$114,$F26+1)+IF(AND($E26=1,HV26=0),1000,0)),1000000))</f>
        <v/>
      </c>
      <c r="MN26">
        <f>IF($B26=0,1000000,IF(INDEX('計算A'!$D$60:$DS$104,$B26,10)*DF26=1,IF(AND($E26=2,HW26=0),1000000,INDEX('計算A'!M$110:M$114,$F26+1)+IF(AND($E26=1,HW26=0),1000,0)),1000000))</f>
        <v/>
      </c>
      <c r="MO26">
        <f>IF($B26=0,1000000,IF(INDEX('計算A'!$D$60:$DS$104,$B26,11)*DG26=1,IF(AND($E26=2,HX26=0),1000000,INDEX('計算A'!N$110:N$114,$F26+1)+IF(AND($E26=1,HX26=0),1000,0)),1000000))</f>
        <v/>
      </c>
      <c r="MP26">
        <f>IF($B26=0,1000000,IF(INDEX('計算A'!$D$60:$DS$104,$B26,12)*DH26=1,IF(AND($E26=2,HY26=0),1000000,INDEX('計算A'!O$110:O$114,$F26+1)+IF(AND($E26=1,HY26=0),1000,0)),1000000))</f>
        <v/>
      </c>
      <c r="MQ26">
        <f>IF($B26=0,1000000,IF(INDEX('計算A'!$D$60:$DS$104,$B26,13)*DI26=1,IF(AND($E26=2,HZ26=0),1000000,INDEX('計算A'!P$110:P$114,$F26+1)+IF(AND($E26=1,HZ26=0),1000,0)),1000000))</f>
        <v/>
      </c>
      <c r="MR26">
        <f>IF($B26=0,1000000,IF(INDEX('計算A'!$D$60:$DS$104,$B26,14)*DJ26=1,IF(AND($E26=2,IA26=0),1000000,INDEX('計算A'!Q$110:Q$114,$F26+1)+IF(AND($E26=1,IA26=0),1000,0)),1000000))</f>
        <v/>
      </c>
      <c r="MS26">
        <f>IF($B26=0,1000000,IF(INDEX('計算A'!$D$60:$DS$104,$B26,15)*DK26=1,IF(AND($E26=2,IB26=0),1000000,INDEX('計算A'!R$110:R$114,$F26+1)+IF(AND($E26=1,IB26=0),1000,0)),1000000))</f>
        <v/>
      </c>
      <c r="MT26">
        <f>IF($B26=0,1000000,IF(INDEX('計算A'!$D$60:$DS$104,$B26,16)*DL26=1,IF(AND($E26=2,IC26=0),1000000,INDEX('計算A'!S$110:S$114,$F26+1)+IF(AND($E26=1,IC26=0),1000,0)),1000000))</f>
        <v/>
      </c>
      <c r="MU26">
        <f>IF($B26=0,1000000,IF(INDEX('計算A'!$D$60:$DS$104,$B26,17)*DM26=1,IF(AND($E26=2,ID26=0),1000000,INDEX('計算A'!T$110:T$114,$F26+1)+IF(AND($E26=1,ID26=0),1000,0)),1000000))</f>
        <v/>
      </c>
      <c r="MV26">
        <f>IF($B26=0,1000000,IF(INDEX('計算A'!$D$60:$DS$104,$B26,18)*DN26=1,IF(AND($E26=2,IE26=0),1000000,INDEX('計算A'!U$110:U$114,$F26+1)+IF(AND($E26=1,IE26=0),1000,0)),1000000))</f>
        <v/>
      </c>
      <c r="MW26">
        <f>IF($B26=0,1000000,IF(INDEX('計算A'!$D$60:$DS$104,$B26,19)*DO26=1,IF(AND($E26=2,IF26=0),1000000,INDEX('計算A'!V$110:V$114,$F26+1)+IF(AND($E26=1,IF26=0),1000,0)),1000000))</f>
        <v/>
      </c>
      <c r="MX26">
        <f>IF($B26=0,1000000,IF(INDEX('計算A'!$D$60:$DS$104,$B26,20)*DP26=1,IF(AND($E26=2,IG26=0),1000000,INDEX('計算A'!W$110:W$114,$F26+1)+IF(AND($E26=1,IG26=0),1000,0)),1000000))</f>
        <v/>
      </c>
      <c r="MY26">
        <f>IF($B26=0,1000000,IF(INDEX('計算A'!$D$60:$DS$104,$B26,21)*DQ26=1,IF(AND($E26=2,IH26=0),1000000,INDEX('計算A'!X$110:X$114,$F26+1)+IF(AND($E26=1,IH26=0),1000,0)),1000000))</f>
        <v/>
      </c>
      <c r="MZ26">
        <f>IF($B26=0,1000000,IF(INDEX('計算A'!$D$60:$DS$104,$B26,22)*DR26=1,IF(AND($E26=2,II26=0),1000000,INDEX('計算A'!Y$110:Y$114,$F26+1)+IF(AND($E26=1,II26=0),1000,0)),1000000))</f>
        <v/>
      </c>
      <c r="NA26">
        <f>IF($B26=0,1000000,IF(INDEX('計算A'!$D$60:$DS$104,$B26,23)*DS26=1,IF(AND($E26=2,IJ26=0),1000000,INDEX('計算A'!Z$110:Z$114,$F26+1)+IF(AND($E26=1,IJ26=0),1000,0)),1000000))</f>
        <v/>
      </c>
      <c r="NB26">
        <f>IF($B26=0,1000000,IF(INDEX('計算A'!$D$60:$DS$104,$B26,24)*DT26=1,IF(AND($E26=2,IK26=0),1000000,INDEX('計算A'!AA$110:AA$114,$F26+1)+IF(AND($E26=1,IK26=0),1000,0)),1000000))</f>
        <v/>
      </c>
      <c r="NC26">
        <f>IF($B26=0,1000000,IF(INDEX('計算A'!$D$60:$DS$104,$B26,25)*DU26=1,IF(AND($E26=2,IL26=0),1000000,INDEX('計算A'!AB$110:AB$114,$F26+1)+IF(AND($E26=1,IL26=0),1000,0)),1000000))</f>
        <v/>
      </c>
      <c r="ND26">
        <f>IF($B26=0,1000000,IF(INDEX('計算A'!$D$60:$DS$104,$B26,26)*DV26=1,IF(AND($E26=2,IM26=0),1000000,INDEX('計算A'!AC$110:AC$114,$F26+1)+IF(AND($E26=1,IM26=0),1000,0)),1000000))</f>
        <v/>
      </c>
      <c r="NE26">
        <f>IF($B26=0,1000000,IF(INDEX('計算A'!$D$60:$DS$104,$B26,27)*DW26=1,IF(AND($E26=2,IN26=0),1000000,INDEX('計算A'!AD$110:AD$114,$F26+1)+IF(AND($E26=1,IN26=0),1000,0)),1000000))</f>
        <v/>
      </c>
      <c r="NF26">
        <f>IF($B26=0,1000000,IF(INDEX('計算A'!$D$60:$DS$104,$B26,28)*DX26=1,IF(AND($E26=2,IO26=0),1000000,INDEX('計算A'!AE$110:AE$114,$F26+1)+IF(AND($E26=1,IO26=0),1000,0)),1000000))</f>
        <v/>
      </c>
      <c r="NG26">
        <f>IF($B26=0,1000000,IF(INDEX('計算A'!$D$60:$DS$104,$B26,29)*DY26=1,IF(AND($E26=2,IP26=0),1000000,INDEX('計算A'!AF$110:AF$114,$F26+1)+IF(AND($E26=1,IP26=0),1000,0)),1000000))</f>
        <v/>
      </c>
      <c r="NH26">
        <f>IF($B26=0,1000000,IF(INDEX('計算A'!$D$60:$DS$104,$B26,30)*DZ26=1,IF(AND($E26=2,IQ26=0),1000000,INDEX('計算A'!AG$110:AG$114,$F26+1)+IF(AND($E26=1,IQ26=0),1000,0)),1000000))</f>
        <v/>
      </c>
      <c r="NI26">
        <f>IF($B26=0,1000000,IF(INDEX('計算A'!$D$60:$DS$104,$B26,31)*EA26=1,IF(AND($E26=2,IR26=0),1000000,INDEX('計算A'!AH$110:AH$114,$F26+1)+IF(AND($E26=1,IR26=0),1000,0)),1000000))</f>
        <v/>
      </c>
      <c r="NJ26">
        <f>IF($B26=0,1000000,IF(INDEX('計算A'!$D$60:$DS$104,$B26,32)*EB26=1,IF(AND($E26=2,IS26=0),1000000,INDEX('計算A'!AI$110:AI$114,$F26+1)+IF(AND($E26=1,IS26=0),1000,0)),1000000))</f>
        <v/>
      </c>
      <c r="NK26">
        <f>IF($B26=0,1000000,IF(INDEX('計算A'!$D$60:$DS$104,$B26,33)*EC26=1,IF(AND($E26=2,IT26=0),1000000,INDEX('計算A'!AJ$110:AJ$114,$F26+1)+IF(AND($E26=1,IT26=0),1000,0)),1000000))</f>
        <v/>
      </c>
      <c r="NL26">
        <f>IF($B26=0,1000000,IF(INDEX('計算A'!$D$60:$DS$104,$B26,34)*ED26=1,IF(AND($E26=2,IU26=0),1000000,INDEX('計算A'!AK$110:AK$114,$F26+1)+IF(AND($E26=1,IU26=0),1000,0)),1000000))</f>
        <v/>
      </c>
      <c r="NM26">
        <f>IF($B26=0,1000000,IF(INDEX('計算A'!$D$60:$DS$104,$B26,35)*EE26=1,IF(AND($E26=2,IV26=0),1000000,INDEX('計算A'!AL$110:AL$114,$F26+1)+IF(AND($E26=1,IV26=0),1000,0)),1000000))</f>
        <v/>
      </c>
      <c r="NN26">
        <f>IF($B26=0,1000000,IF(INDEX('計算A'!$D$60:$DS$104,$B26,36)*EF26=1,IF(AND($E26=2,IW26=0),1000000,INDEX('計算A'!AM$110:AM$114,$F26+1)+IF(AND($E26=1,IW26=0),1000,0)),1000000))</f>
        <v/>
      </c>
      <c r="NO26">
        <f>IF($B26=0,1000000,IF(INDEX('計算A'!$D$60:$DS$104,$B26,37)*EG26=1,IF(AND($E26=2,IX26=0),1000000,INDEX('計算A'!AN$110:AN$114,$F26+1)+IF(AND($E26=1,IX26=0),1000,0)),1000000))</f>
        <v/>
      </c>
      <c r="NP26">
        <f>IF($B26=0,1000000,IF(INDEX('計算A'!$D$60:$DS$104,$B26,38)*EH26=1,IF(AND($E26=2,IY26=0),1000000,INDEX('計算A'!AO$110:AO$114,$F26+1)+IF(AND($E26=1,IY26=0),1000,0)),1000000))</f>
        <v/>
      </c>
      <c r="NQ26">
        <f>IF($B26=0,1000000,IF(INDEX('計算A'!$D$60:$DS$104,$B26,39)*EI26=1,IF(AND($E26=2,IZ26=0),1000000,INDEX('計算A'!AP$110:AP$114,$F26+1)+IF(AND($E26=1,IZ26=0),1000,0)),1000000))</f>
        <v/>
      </c>
      <c r="NR26">
        <f>IF($B26=0,1000000,IF(INDEX('計算A'!$D$60:$DS$104,$B26,40)*EJ26=1,IF(AND($E26=2,JA26=0),1000000,INDEX('計算A'!AQ$110:AQ$114,$F26+1)+IF(AND($E26=1,JA26=0),1000,0)),1000000))</f>
        <v/>
      </c>
      <c r="NS26">
        <f>IF($B26=0,1000000,IF(INDEX('計算A'!$D$60:$DS$104,$B26,41)*EK26=1,IF(AND($E26=2,JB26=0),1000000,INDEX('計算A'!AR$110:AR$114,$F26+1)+IF(AND($E26=1,JB26=0),1000,0)),1000000))</f>
        <v/>
      </c>
      <c r="NT26">
        <f>IF($B26=0,1000000,IF(INDEX('計算A'!$D$60:$DS$104,$B26,42)*EL26=1,IF(AND($E26=2,JC26=0),1000000,INDEX('計算A'!AS$110:AS$114,$F26+1)+IF(AND($E26=1,JC26=0),1000,0)),1000000))</f>
        <v/>
      </c>
      <c r="NU26">
        <f>IF($B26=0,1000000,IF(INDEX('計算A'!$D$60:$DS$104,$B26,43)*EM26=1,IF(AND($E26=2,JD26=0),1000000,INDEX('計算A'!AT$110:AT$114,$F26+1)+IF(AND($E26=1,JD26=0),1000,0)),1000000))</f>
        <v/>
      </c>
      <c r="NV26">
        <f>IF($B26=0,1000000,IF(INDEX('計算A'!$D$60:$DS$104,$B26,44)*EN26=1,IF(AND($E26=2,JE26=0),1000000,INDEX('計算A'!AU$110:AU$114,$F26+1)+IF(AND($E26=1,JE26=0),1000,0)),1000000))</f>
        <v/>
      </c>
      <c r="NW26">
        <f>IF($B26=0,1000000,IF(INDEX('計算A'!$D$60:$DS$104,$B26,45)*EO26=1,IF(AND($E26=2,JF26=0),1000000,INDEX('計算A'!AV$110:AV$114,$F26+1)+IF(AND($E26=1,JF26=0),1000,0)),1000000))</f>
        <v/>
      </c>
      <c r="NX26">
        <f>IF($B26=0,1000000,IF(INDEX('計算A'!$D$60:$DS$104,$B26,46)*EP26=1,IF(AND($E26=2,JG26=0),1000000,INDEX('計算A'!AW$110:AW$114,$F26+1)+IF(AND($E26=1,JG26=0),1000,0)),1000000))</f>
        <v/>
      </c>
      <c r="NY26">
        <f>IF($B26=0,1000000,IF(INDEX('計算A'!$D$60:$DS$104,$B26,47)*EQ26=1,IF(AND($E26=2,JH26=0),1000000,INDEX('計算A'!AX$110:AX$114,$F26+1)+IF(AND($E26=1,JH26=0),1000,0)),1000000))</f>
        <v/>
      </c>
      <c r="NZ26">
        <f>IF($B26=0,1000000,IF(INDEX('計算A'!$D$60:$DS$104,$B26,48)*ER26=1,IF(AND($E26=2,JI26=0),1000000,INDEX('計算A'!AY$110:AY$114,$F26+1)+IF(AND($E26=1,JI26=0),1000,0)),1000000))</f>
        <v/>
      </c>
      <c r="OA26">
        <f>IF($B26=0,1000000,IF(INDEX('計算A'!$D$60:$DS$104,$B26,49)*ES26=1,IF(AND($E26=2,JJ26=0),1000000,INDEX('計算A'!AZ$110:AZ$114,$F26+1)+IF(AND($E26=1,JJ26=0),1000,0)),1000000))</f>
        <v/>
      </c>
      <c r="OB26">
        <f>IF($B26=0,1000000,IF(INDEX('計算A'!$D$60:$DS$104,$B26,50)*ET26=1,IF(AND($E26=2,JK26=0),1000000,INDEX('計算A'!BA$110:BA$114,$F26+1)+IF(AND($E26=1,JK26=0),1000,0)),1000000))</f>
        <v/>
      </c>
      <c r="OC26">
        <f>IF($B26=0,1000000,IF(INDEX('計算A'!$D$60:$DS$104,$B26,51)*EU26=1,IF(AND($E26=2,JL26=0),1000000,INDEX('計算A'!BB$110:BB$114,$F26+1)+IF(AND($E26=1,JL26=0),1000,0)),1000000))</f>
        <v/>
      </c>
      <c r="OD26">
        <f>IF($B26=0,1000000,IF(INDEX('計算A'!$D$60:$DS$104,$B26,52)*EV26=1,IF(AND($E26=2,JM26=0),1000000,INDEX('計算A'!BC$110:BC$114,$F26+1)+IF(AND($E26=1,JM26=0),1000,0)),1000000))</f>
        <v/>
      </c>
      <c r="OE26">
        <f>IF($B26=0,1000000,IF(INDEX('計算A'!$D$60:$DS$104,$B26,53)*EW26=1,IF(AND($E26=2,JN26=0),1000000,INDEX('計算A'!BD$110:BD$114,$F26+1)+IF(AND($E26=1,JN26=0),1000,0)),1000000))</f>
        <v/>
      </c>
      <c r="OF26">
        <f>IF($B26=0,1000000,IF(INDEX('計算A'!$D$60:$DS$104,$B26,54)*EX26=1,IF(AND($E26=2,JO26=0),1000000,INDEX('計算A'!BE$110:BE$114,$F26+1)+IF(AND($E26=1,JO26=0),1000,0)),1000000))</f>
        <v/>
      </c>
      <c r="OG26">
        <f>IF($B26=0,1000000,IF(INDEX('計算A'!$D$60:$DS$104,$B26,55)*EY26=1,IF(AND($E26=2,JP26=0),1000000,INDEX('計算A'!BF$110:BF$114,$F26+1)+IF(AND($E26=1,JP26=0),1000,0)),1000000))</f>
        <v/>
      </c>
      <c r="OH26">
        <f>IF($B26=0,1000000,IF(INDEX('計算A'!$D$60:$DS$104,$B26,56)*EZ26=1,IF(AND($E26=2,JQ26=0),1000000,INDEX('計算A'!BG$110:BG$114,$F26+1)+IF(AND($E26=1,JQ26=0),1000,0)),1000000))</f>
        <v/>
      </c>
      <c r="OI26">
        <f>IF($B26=0,1000000,IF(INDEX('計算A'!$D$60:$DS$104,$B26,57)*FA26=1,IF(AND($E26=2,JR26=0),1000000,INDEX('計算A'!BH$110:BH$114,$F26+1)+IF(AND($E26=1,JR26=0),1000,0)),1000000))</f>
        <v/>
      </c>
      <c r="OJ26">
        <f>IF($B26=0,1000000,IF(INDEX('計算A'!$D$60:$DS$104,$B26,58)*FB26=1,IF(AND($E26=2,JS26=0),1000000,INDEX('計算A'!BI$110:BI$114,$F26+1)+IF(AND($E26=1,JS26=0),1000,0)),1000000))</f>
        <v/>
      </c>
      <c r="OK26">
        <f>IF($B26=0,1000000,IF(INDEX('計算A'!$D$60:$DS$104,$B26,59)*FC26=1,IF(AND($E26=2,JT26=0),1000000,INDEX('計算A'!BJ$110:BJ$114,$F26+1)+IF(AND($E26=1,JT26=0),1000,0)),1000000))</f>
        <v/>
      </c>
      <c r="OL26">
        <f>IF($B26=0,1000000,IF(INDEX('計算A'!$D$60:$DS$104,$B26,60)*FD26=1,IF(AND($E26=2,JU26=0),1000000,INDEX('計算A'!BK$110:BK$114,$F26+1)+IF(AND($E26=1,JU26=0),1000,0)),1000000))</f>
        <v/>
      </c>
      <c r="OM26">
        <f>IF($B26=0,1000000,IF(INDEX('計算A'!$D$60:$DS$104,$B26,61)*FE26=1,IF(AND($E26=2,JV26=0),1000000,INDEX('計算A'!BL$110:BL$114,$F26+1)+IF(AND($E26=1,JV26=0),1000,0)),1000000))</f>
        <v/>
      </c>
      <c r="ON26">
        <f>IF($B26=0,1000000,IF(INDEX('計算A'!$D$60:$DS$104,$B26,62)*FF26=1,IF(AND($E26=2,JW26=0),1000000,INDEX('計算A'!BM$110:BM$114,$F26+1)+IF(AND($E26=1,JW26=0),1000,0)),1000000))</f>
        <v/>
      </c>
      <c r="OO26">
        <f>IF($B26=0,1000000,IF(INDEX('計算A'!$D$60:$DS$104,$B26,63)*FG26=1,IF(AND($E26=2,JX26=0),1000000,INDEX('計算A'!BN$110:BN$114,$F26+1)+IF(AND($E26=1,JX26=0),1000,0)),1000000))</f>
        <v/>
      </c>
      <c r="OP26">
        <f>IF($B26=0,1000000,IF(INDEX('計算A'!$D$60:$DS$104,$B26,64)*FH26=1,IF(AND($E26=2,JY26=0),1000000,INDEX('計算A'!BO$110:BO$114,$F26+1)+IF(AND($E26=1,JY26=0),1000,0)),1000000))</f>
        <v/>
      </c>
      <c r="OQ26">
        <f>IF($B26=0,1000000,IF(INDEX('計算A'!$D$60:$DS$104,$B26,65)*FI26=1,IF(AND($E26=2,JZ26=0),1000000,INDEX('計算A'!BP$110:BP$114,$F26+1)+IF(AND($E26=1,JZ26=0),1000,0)),1000000))</f>
        <v/>
      </c>
      <c r="OR26">
        <f>IF($B26=0,1000000,IF(INDEX('計算A'!$D$60:$DS$104,$B26,66)*FJ26=1,IF(AND($E26=2,KA26=0),1000000,INDEX('計算A'!BQ$110:BQ$114,$F26+1)+IF(AND($E26=1,KA26=0),1000,0)),1000000))</f>
        <v/>
      </c>
      <c r="OS26">
        <f>IF($B26=0,1000000,IF(INDEX('計算A'!$D$60:$DS$104,$B26,67)*FK26=1,IF(AND($E26=2,KB26=0),1000000,INDEX('計算A'!BR$110:BR$114,$F26+1)+IF(AND($E26=1,KB26=0),1000,0)),1000000))</f>
        <v/>
      </c>
      <c r="OT26">
        <f>IF($B26=0,1000000,IF(INDEX('計算A'!$D$60:$DS$104,$B26,68)*FL26=1,IF(AND($E26=2,KC26=0),1000000,INDEX('計算A'!BS$110:BS$114,$F26+1)+IF(AND($E26=1,KC26=0),1000,0)),1000000))</f>
        <v/>
      </c>
      <c r="OU26">
        <f>IF($B26=0,1000000,IF(INDEX('計算A'!$D$60:$DS$104,$B26,69)*FM26=1,IF(AND($E26=2,KD26=0),1000000,INDEX('計算A'!BT$110:BT$114,$F26+1)+IF(AND($E26=1,KD26=0),1000,0)),1000000))</f>
        <v/>
      </c>
      <c r="OV26">
        <f>IF($B26=0,1000000,IF(INDEX('計算A'!$D$60:$DS$104,$B26,70)*FN26=1,IF(AND($E26=2,KE26=0),1000000,INDEX('計算A'!BU$110:BU$114,$F26+1)+IF(AND($E26=1,KE26=0),1000,0)),1000000))</f>
        <v/>
      </c>
      <c r="OW26">
        <f>IF($B26=0,1000000,IF(INDEX('計算A'!$D$60:$DS$104,$B26,71)*FO26=1,IF(AND($E26=2,KF26=0),1000000,INDEX('計算A'!BV$110:BV$114,$F26+1)+IF(AND($E26=1,KF26=0),1000,0)),1000000))</f>
        <v/>
      </c>
      <c r="OX26">
        <f>IF($B26=0,1000000,IF(INDEX('計算A'!$D$60:$DS$104,$B26,72)*FP26=1,IF(AND($E26=2,KG26=0),1000000,INDEX('計算A'!BW$110:BW$114,$F26+1)+IF(AND($E26=1,KG26=0),1000,0)),1000000))</f>
        <v/>
      </c>
      <c r="OY26">
        <f>IF($B26=0,1000000,IF(INDEX('計算A'!$D$60:$DS$104,$B26,73)*FQ26=1,IF(AND($E26=2,KH26=0),1000000,INDEX('計算A'!BX$110:BX$114,$F26+1)+IF(AND($E26=1,KH26=0),1000,0)),1000000))</f>
        <v/>
      </c>
      <c r="OZ26">
        <f>IF($B26=0,1000000,IF(INDEX('計算A'!$D$60:$DS$104,$B26,74)*FR26=1,IF(AND($E26=2,KI26=0),1000000,INDEX('計算A'!BY$110:BY$114,$F26+1)+IF(AND($E26=1,KI26=0),1000,0)),1000000))</f>
        <v/>
      </c>
      <c r="PA26">
        <f>IF($B26=0,1000000,IF(INDEX('計算A'!$D$60:$DS$104,$B26,75)*FS26=1,IF(AND($E26=2,KJ26=0),1000000,INDEX('計算A'!BZ$110:BZ$114,$F26+1)+IF(AND($E26=1,KJ26=0),1000,0)),1000000))</f>
        <v/>
      </c>
      <c r="PB26">
        <f>IF($B26=0,1000000,IF(INDEX('計算A'!$D$60:$DS$104,$B26,76)*FT26=1,IF(AND($E26=2,KK26=0),1000000,INDEX('計算A'!CA$110:CA$114,$F26+1)+IF(AND($E26=1,KK26=0),1000,0)),1000000))</f>
        <v/>
      </c>
      <c r="PC26">
        <f>IF($B26=0,1000000,IF(INDEX('計算A'!$D$60:$DS$104,$B26,77)*FU26=1,IF(AND($E26=2,KL26=0),1000000,INDEX('計算A'!CB$110:CB$114,$F26+1)+IF(AND($E26=1,KL26=0),1000,0)),1000000))</f>
        <v/>
      </c>
      <c r="PD26">
        <f>IF($B26=0,1000000,IF(INDEX('計算A'!$D$60:$DS$104,$B26,78)*FV26=1,IF(AND($E26=2,KM26=0),1000000,INDEX('計算A'!CC$110:CC$114,$F26+1)+IF(AND($E26=1,KM26=0),1000,0)),1000000))</f>
        <v/>
      </c>
      <c r="PE26">
        <f>IF($B26=0,1000000,IF(INDEX('計算A'!$D$60:$DS$104,$B26,79)*FW26=1,IF(AND($E26=2,KN26=0),1000000,INDEX('計算A'!CD$110:CD$114,$F26+1)+IF(AND($E26=1,KN26=0),1000,0)),1000000))</f>
        <v/>
      </c>
      <c r="PF26">
        <f>IF($B26=0,1000000,IF(INDEX('計算A'!$D$60:$DS$104,$B26,80)*FX26=1,IF(AND($E26=2,KO26=0),1000000,INDEX('計算A'!CE$110:CE$114,$F26+1)+IF(AND($E26=1,KO26=0),1000,0)),1000000))</f>
        <v/>
      </c>
      <c r="PG26">
        <f>IF($B26=0,1000000,IF(INDEX('計算A'!$D$60:$DS$104,$B26,81)*FY26=1,IF(AND($E26=2,KP26=0),1000000,INDEX('計算A'!CF$110:CF$114,$F26+1)+IF(AND($E26=1,KP26=0),1000,0)),1000000))</f>
        <v/>
      </c>
      <c r="PH26">
        <f>IF($B26=0,1000000,IF(INDEX('計算A'!$D$60:$DS$104,$B26,82)*FZ26=1,IF(AND($E26=2,KQ26=0),1000000,INDEX('計算A'!CG$110:CG$114,$F26+1)+IF(AND($E26=1,KQ26=0),1000,0)),1000000))</f>
        <v/>
      </c>
      <c r="PI26">
        <f>IF($B26=0,1000000,IF(INDEX('計算A'!$D$60:$DS$104,$B26,83)*GA26=1,IF(AND($E26=2,KR26=0),1000000,INDEX('計算A'!CH$110:CH$114,$F26+1)+IF(AND($E26=1,KR26=0),1000,0)),1000000))</f>
        <v/>
      </c>
      <c r="PJ26">
        <f>IF($B26=0,1000000,IF(INDEX('計算A'!$D$60:$DS$104,$B26,84)*GB26=1,IF(AND($E26=2,KS26=0),1000000,INDEX('計算A'!CI$110:CI$114,$F26+1)+IF(AND($E26=1,KS26=0),1000,0)),1000000))</f>
        <v/>
      </c>
      <c r="PK26">
        <f>IF($B26=0,1000000,IF(INDEX('計算A'!$D$60:$DS$104,$B26,85)*GC26=1,IF(AND($E26=2,KT26=0),1000000,INDEX('計算A'!CJ$110:CJ$114,$F26+1)+IF(AND($E26=1,KT26=0),1000,0)),1000000))</f>
        <v/>
      </c>
      <c r="PL26">
        <f>IF($B26=0,1000000,IF(INDEX('計算A'!$D$60:$DS$104,$B26,86)*GD26=1,IF(AND($E26=2,KU26=0),1000000,INDEX('計算A'!CK$110:CK$114,$F26+1)+IF(AND($E26=1,KU26=0),1000,0)),1000000))</f>
        <v/>
      </c>
      <c r="PM26">
        <f>IF($B26=0,1000000,IF(INDEX('計算A'!$D$60:$DS$104,$B26,87)*GE26=1,IF(AND($E26=2,KV26=0),1000000,INDEX('計算A'!CL$110:CL$114,$F26+1)+IF(AND($E26=1,KV26=0),1000,0)),1000000))</f>
        <v/>
      </c>
      <c r="PN26">
        <f>IF($B26=0,1000000,IF(INDEX('計算A'!$D$60:$DS$104,$B26,88)*GF26=1,IF(AND($E26=2,KW26=0),1000000,INDEX('計算A'!CM$110:CM$114,$F26+1)+IF(AND($E26=1,KW26=0),1000,0)),1000000))</f>
        <v/>
      </c>
      <c r="PO26">
        <f>IF($B26=0,1000000,IF(INDEX('計算A'!$D$60:$DS$104,$B26,89)*GG26=1,IF(AND($E26=2,KX26=0),1000000,INDEX('計算A'!CN$110:CN$114,$F26+1)+IF(AND($E26=1,KX26=0),1000,0)),1000000))</f>
        <v/>
      </c>
      <c r="PP26">
        <f>IF($B26=0,1000000,IF(INDEX('計算A'!$D$60:$DS$104,$B26,90)*GH26=1,IF(AND($E26=2,KY26=0),1000000,INDEX('計算A'!CO$110:CO$114,$F26+1)+IF(AND($E26=1,KY26=0),1000,0)),1000000))</f>
        <v/>
      </c>
      <c r="PQ26">
        <f>IF($B26=0,1000000,IF(INDEX('計算A'!$D$60:$DS$104,$B26,91)*GI26=1,IF(AND($E26=2,KZ26=0),1000000,INDEX('計算A'!CP$110:CP$114,$F26+1)+IF(AND($E26=1,KZ26=0),1000,0)),1000000))</f>
        <v/>
      </c>
      <c r="PR26">
        <f>IF($B26=0,1000000,IF(INDEX('計算A'!$D$60:$DS$104,$B26,92)*GJ26=1,IF(AND($E26=2,LA26=0),1000000,INDEX('計算A'!CQ$110:CQ$114,$F26+1)+IF(AND($E26=1,LA26=0),1000,0)),1000000))</f>
        <v/>
      </c>
      <c r="PS26">
        <f>IF($B26=0,1000000,IF(INDEX('計算A'!$D$60:$DS$104,$B26,93)*GK26=1,IF(AND($E26=2,LB26=0),1000000,INDEX('計算A'!CR$110:CR$114,$F26+1)+IF(AND($E26=1,LB26=0),1000,0)),1000000))</f>
        <v/>
      </c>
      <c r="PT26">
        <f>IF($B26=0,1000000,IF(INDEX('計算A'!$D$60:$DS$104,$B26,94)*GL26=1,IF(AND($E26=2,LC26=0),1000000,INDEX('計算A'!CS$110:CS$114,$F26+1)+IF(AND($E26=1,LC26=0),1000,0)),1000000))</f>
        <v/>
      </c>
      <c r="PU26">
        <f>IF($B26=0,1000000,IF(INDEX('計算A'!$D$60:$DS$104,$B26,95)*GM26=1,IF(AND($E26=2,LD26=0),1000000,INDEX('計算A'!CT$110:CT$114,$F26+1)+IF(AND($E26=1,LD26=0),1000,0)),1000000))</f>
        <v/>
      </c>
      <c r="PV26">
        <f>IF($B26=0,1000000,IF(INDEX('計算A'!$D$60:$DS$104,$B26,96)*GN26=1,IF(AND($E26=2,LE26=0),1000000,INDEX('計算A'!CU$110:CU$114,$F26+1)+IF(AND($E26=1,LE26=0),1000,0)),1000000))</f>
        <v/>
      </c>
      <c r="PW26">
        <f>IF($B26=0,1000000,IF(INDEX('計算A'!$D$60:$DS$104,$B26,97)*GO26=1,IF(AND($E26=2,LF26=0),1000000,INDEX('計算A'!CV$110:CV$114,$F26+1)+IF(AND($E26=1,LF26=0),1000,0)),1000000))</f>
        <v/>
      </c>
      <c r="PX26">
        <f>IF($B26=0,1000000,IF(INDEX('計算A'!$D$60:$DS$104,$B26,98)*GP26=1,IF(AND($E26=2,LG26=0),1000000,INDEX('計算A'!CW$110:CW$114,$F26+1)+IF(AND($E26=1,LG26=0),1000,0)),1000000))</f>
        <v/>
      </c>
      <c r="PY26">
        <f>IF($B26=0,1000000,IF(INDEX('計算A'!$D$60:$DS$104,$B26,99)*GQ26=1,IF(AND($E26=2,LH26=0),1000000,INDEX('計算A'!CX$110:CX$114,$F26+1)+IF(AND($E26=1,LH26=0),1000,0)),1000000))</f>
        <v/>
      </c>
      <c r="PZ26">
        <f>IF($B26=0,1000000,IF(INDEX('計算A'!$D$60:$DS$104,$B26,100)*GR26=1,IF(AND($E26=2,LI26=0),1000000,INDEX('計算A'!CY$110:CY$114,$F26+1)+IF(AND($E26=1,LI26=0),1000,0)),1000000))</f>
        <v/>
      </c>
      <c r="QA26">
        <f>IF($B26=0,1000000,IF(INDEX('計算A'!$D$60:$DS$104,$B26,101)*GS26=1,IF(AND($E26=2,LJ26=0),1000000,INDEX('計算A'!CZ$110:CZ$114,$F26+1)+IF(AND($E26=1,LJ26=0),1000,0)),1000000))</f>
        <v/>
      </c>
      <c r="QB26">
        <f>IF($B26=0,1000000,IF(INDEX('計算A'!$D$60:$DS$104,$B26,102)*GT26=1,IF(AND($E26=2,LK26=0),1000000,INDEX('計算A'!DA$110:DA$114,$F26+1)+IF(AND($E26=1,LK26=0),1000,0)),1000000))</f>
        <v/>
      </c>
      <c r="QC26">
        <f>IF($B26=0,1000000,IF(INDEX('計算A'!$D$60:$DS$104,$B26,103)*GU26=1,IF(AND($E26=2,LL26=0),1000000,INDEX('計算A'!DB$110:DB$114,$F26+1)+IF(AND($E26=1,LL26=0),1000,0)),1000000))</f>
        <v/>
      </c>
      <c r="QD26">
        <f>IF($B26=0,1000000,IF(INDEX('計算A'!$D$60:$DS$104,$B26,104)*GV26=1,IF(AND($E26=2,LM26=0),1000000,INDEX('計算A'!DC$110:DC$114,$F26+1)+IF(AND($E26=1,LM26=0),1000,0)),1000000))</f>
        <v/>
      </c>
      <c r="QE26">
        <f>IF($B26=0,1000000,IF(INDEX('計算A'!$D$60:$DS$104,$B26,105)*GW26=1,IF(AND($E26=2,LN26=0),1000000,INDEX('計算A'!DD$110:DD$114,$F26+1)+IF(AND($E26=1,LN26=0),1000,0)),1000000))</f>
        <v/>
      </c>
      <c r="QF26">
        <f>IF($B26=0,1000000,IF(INDEX('計算A'!$D$60:$DS$104,$B26,106)*GX26=1,IF(AND($E26=2,LO26=0),1000000,INDEX('計算A'!DE$110:DE$114,$F26+1)+IF(AND($E26=1,LO26=0),1000,0)),1000000))</f>
        <v/>
      </c>
      <c r="QG26">
        <f>IF($B26=0,1000000,IF(INDEX('計算A'!$D$60:$DS$104,$B26,107)*GY26=1,IF(AND($E26=2,LP26=0),1000000,INDEX('計算A'!DF$110:DF$114,$F26+1)+IF(AND($E26=1,LP26=0),1000,0)),1000000))</f>
        <v/>
      </c>
      <c r="QH26">
        <f>IF($B26=0,1000000,IF(INDEX('計算A'!$D$60:$DS$104,$B26,108)*GZ26=1,IF(AND($E26=2,LQ26=0),1000000,INDEX('計算A'!DG$110:DG$114,$F26+1)+IF(AND($E26=1,LQ26=0),1000,0)),1000000))</f>
        <v/>
      </c>
      <c r="QI26">
        <f>IF($B26=0,1000000,IF(INDEX('計算A'!$D$60:$DS$104,$B26,109)*HA26=1,IF(AND($E26=2,LR26=0),1000000,INDEX('計算A'!DH$110:DH$114,$F26+1)+IF(AND($E26=1,LR26=0),1000,0)),1000000))</f>
        <v/>
      </c>
      <c r="QJ26">
        <f>IF($B26=0,1000000,IF(INDEX('計算A'!$D$60:$DS$104,$B26,110)*HB26=1,IF(AND($E26=2,LS26=0),1000000,INDEX('計算A'!DI$110:DI$114,$F26+1)+IF(AND($E26=1,LS26=0),1000,0)),1000000))</f>
        <v/>
      </c>
      <c r="QK26">
        <f>IF($B26=0,1000000,IF(INDEX('計算A'!$D$60:$DS$104,$B26,111)*HC26=1,IF(AND($E26=2,LT26=0),1000000,INDEX('計算A'!DJ$110:DJ$114,$F26+1)+IF(AND($E26=1,LT26=0),1000,0)),1000000))</f>
        <v/>
      </c>
      <c r="QL26">
        <f>IF($B26=0,1000000,IF(INDEX('計算A'!$D$60:$DS$104,$B26,112)*HD26=1,IF(AND($E26=2,LU26=0),1000000,INDEX('計算A'!DK$110:DK$114,$F26+1)+IF(AND($E26=1,LU26=0),1000,0)),1000000))</f>
        <v/>
      </c>
      <c r="QM26">
        <f>IF($B26=0,1000000,IF(INDEX('計算A'!$D$60:$DS$104,$B26,113)*HE26=1,IF(AND($E26=2,LV26=0),1000000,INDEX('計算A'!DL$110:DL$114,$F26+1)+IF(AND($E26=1,LV26=0),1000,0)),1000000))</f>
        <v/>
      </c>
      <c r="QN26">
        <f>IF($B26=0,1000000,IF(INDEX('計算A'!$D$60:$DS$104,$B26,114)*HF26=1,IF(AND($E26=2,LW26=0),1000000,INDEX('計算A'!DM$110:DM$114,$F26+1)+IF(AND($E26=1,LW26=0),1000,0)),1000000))</f>
        <v/>
      </c>
      <c r="QO26">
        <f>IF($B26=0,1000000,IF(INDEX('計算A'!$D$60:$DS$104,$B26,115)*HG26=1,IF(AND($E26=2,LX26=0),1000000,INDEX('計算A'!DN$110:DN$114,$F26+1)+IF(AND($E26=1,LX26=0),1000,0)),1000000))</f>
        <v/>
      </c>
      <c r="QP26">
        <f>IF($B26=0,1000000,IF(INDEX('計算A'!$D$60:$DS$104,$B26,116)*HH26=1,IF(AND($E26=2,LY26=0),1000000,INDEX('計算A'!DO$110:DO$114,$F26+1)+IF(AND($E26=1,LY26=0),1000,0)),1000000))</f>
        <v/>
      </c>
      <c r="QQ26">
        <f>IF($B26=0,1000000,IF(INDEX('計算A'!$D$60:$DS$104,$B26,117)*HI26=1,IF(AND($E26=2,LZ26=0),1000000,INDEX('計算A'!DP$110:DP$114,$F26+1)+IF(AND($E26=1,LZ26=0),1000,0)),1000000))</f>
        <v/>
      </c>
      <c r="QR26">
        <f>IF($B26=0,1000000,IF(INDEX('計算A'!$D$60:$DS$104,$B26,118)*HJ26=1,IF(AND($E26=2,MA26=0),1000000,INDEX('計算A'!DQ$110:DQ$114,$F26+1)+IF(AND($E26=1,MA26=0),1000,0)),1000000))</f>
        <v/>
      </c>
      <c r="QS26">
        <f>IF($B26=0,1000000,IF(INDEX('計算A'!$D$60:$DS$104,$B26,119)*HK26=1,IF(AND($E26=2,MB26=0),1000000,INDEX('計算A'!DR$110:DR$114,$F26+1)+IF(AND($E26=1,MB26=0),1000,0)),1000000))</f>
        <v/>
      </c>
      <c r="QT26">
        <f>IF($B26=0,1000000,IF(INDEX('計算A'!$D$60:$DS$104,$B26,120)*HL26=1,IF(AND($E26=2,MC26=0),1000000,INDEX('計算A'!DS$110:DS$114,$F26+1)+IF(AND($E26=1,MC26=0),1000,0)),1000000))</f>
        <v/>
      </c>
    </row>
    <row r="27">
      <c r="A27" t="n">
        <v>25</v>
      </c>
      <c r="B27">
        <f>IF(MIN(BC27:CU27)&gt;=1000000,0,MATCH(MIN(BC27:CU27),BC27:CU27,0))</f>
        <v/>
      </c>
      <c r="C27">
        <f>IF(MIN(ME27:QT27)&gt;=1000000,0,MATCH(MIN(ME27:QT27),ME27:QT27,0))</f>
        <v/>
      </c>
      <c r="D27">
        <f>IF(C27&gt;0,INDEX('計算A'!$D$5:$DS$5,C27),0)</f>
        <v/>
      </c>
      <c r="E27">
        <f>IF(B27=0,0,INDEX('計算A'!$EA$10:$EA$54,B27))</f>
        <v/>
      </c>
      <c r="F27">
        <f>IF(B27=0,0,INDEX('計算A'!$DZ$10:$DZ$54,B27))</f>
        <v/>
      </c>
      <c r="G27">
        <f>IF(AND(C27&gt;0,E27&gt;0),IF(AND(INDEX('計算A'!$D$106:$DS$106,C27)=1,INDEX($HN27:$MC27,C27)=1),C27+1,0),0)</f>
        <v/>
      </c>
      <c r="I27">
        <f>MAX(I26,IF($B26=1,1,0))</f>
        <v/>
      </c>
      <c r="J27">
        <f>MAX(J26,IF($B26=2,1,0))</f>
        <v/>
      </c>
      <c r="K27">
        <f>MAX(K26,IF($B26=3,1,0))</f>
        <v/>
      </c>
      <c r="L27">
        <f>MAX(L26,IF($B26=4,1,0))</f>
        <v/>
      </c>
      <c r="M27">
        <f>MAX(M26,IF($B26=5,1,0))</f>
        <v/>
      </c>
      <c r="N27">
        <f>MAX(N26,IF($B26=6,1,0))</f>
        <v/>
      </c>
      <c r="O27">
        <f>MAX(O26,IF($B26=7,1,0))</f>
        <v/>
      </c>
      <c r="P27">
        <f>MAX(P26,IF($B26=8,1,0))</f>
        <v/>
      </c>
      <c r="Q27">
        <f>MAX(Q26,IF($B26=9,1,0))</f>
        <v/>
      </c>
      <c r="R27">
        <f>MAX(R26,IF($B26=10,1,0))</f>
        <v/>
      </c>
      <c r="S27">
        <f>MAX(S26,IF($B26=11,1,0))</f>
        <v/>
      </c>
      <c r="T27">
        <f>MAX(T26,IF($B26=12,1,0))</f>
        <v/>
      </c>
      <c r="U27">
        <f>MAX(U26,IF($B26=13,1,0))</f>
        <v/>
      </c>
      <c r="V27">
        <f>MAX(V26,IF($B26=14,1,0))</f>
        <v/>
      </c>
      <c r="W27">
        <f>MAX(W26,IF($B26=15,1,0))</f>
        <v/>
      </c>
      <c r="X27">
        <f>MAX(X26,IF($B26=16,1,0))</f>
        <v/>
      </c>
      <c r="Y27">
        <f>MAX(Y26,IF($B26=17,1,0))</f>
        <v/>
      </c>
      <c r="Z27">
        <f>MAX(Z26,IF($B26=18,1,0))</f>
        <v/>
      </c>
      <c r="AA27">
        <f>MAX(AA26,IF($B26=19,1,0))</f>
        <v/>
      </c>
      <c r="AB27">
        <f>MAX(AB26,IF($B26=20,1,0))</f>
        <v/>
      </c>
      <c r="AC27">
        <f>MAX(AC26,IF($B26=21,1,0))</f>
        <v/>
      </c>
      <c r="AD27">
        <f>MAX(AD26,IF($B26=22,1,0))</f>
        <v/>
      </c>
      <c r="AE27">
        <f>MAX(AE26,IF($B26=23,1,0))</f>
        <v/>
      </c>
      <c r="AF27">
        <f>MAX(AF26,IF($B26=24,1,0))</f>
        <v/>
      </c>
      <c r="AG27">
        <f>MAX(AG26,IF($B26=25,1,0))</f>
        <v/>
      </c>
      <c r="AH27">
        <f>MAX(AH26,IF($B26=26,1,0))</f>
        <v/>
      </c>
      <c r="AI27">
        <f>MAX(AI26,IF($B26=27,1,0))</f>
        <v/>
      </c>
      <c r="AJ27">
        <f>MAX(AJ26,IF($B26=28,1,0))</f>
        <v/>
      </c>
      <c r="AK27">
        <f>MAX(AK26,IF($B26=29,1,0))</f>
        <v/>
      </c>
      <c r="AL27">
        <f>MAX(AL26,IF($B26=30,1,0))</f>
        <v/>
      </c>
      <c r="AM27">
        <f>MAX(AM26,IF($B26=31,1,0))</f>
        <v/>
      </c>
      <c r="AN27">
        <f>MAX(AN26,IF($B26=32,1,0))</f>
        <v/>
      </c>
      <c r="AO27">
        <f>MAX(AO26,IF($B26=33,1,0))</f>
        <v/>
      </c>
      <c r="AP27">
        <f>MAX(AP26,IF($B26=34,1,0))</f>
        <v/>
      </c>
      <c r="AQ27">
        <f>MAX(AQ26,IF($B26=35,1,0))</f>
        <v/>
      </c>
      <c r="AR27">
        <f>MAX(AR26,IF($B26=36,1,0))</f>
        <v/>
      </c>
      <c r="AS27">
        <f>MAX(AS26,IF($B26=37,1,0))</f>
        <v/>
      </c>
      <c r="AT27">
        <f>MAX(AT26,IF($B26=38,1,0))</f>
        <v/>
      </c>
      <c r="AU27">
        <f>MAX(AU26,IF($B26=39,1,0))</f>
        <v/>
      </c>
      <c r="AV27">
        <f>MAX(AV26,IF($B26=40,1,0))</f>
        <v/>
      </c>
      <c r="AW27">
        <f>MAX(AW26,IF($B26=41,1,0))</f>
        <v/>
      </c>
      <c r="AX27">
        <f>MAX(AX26,IF($B26=42,1,0))</f>
        <v/>
      </c>
      <c r="AY27">
        <f>MAX(AY26,IF($B26=43,1,0))</f>
        <v/>
      </c>
      <c r="AZ27">
        <f>MAX(AZ26,IF($B26=44,1,0))</f>
        <v/>
      </c>
      <c r="BA27">
        <f>MAX(BA26,IF($B26=45,1,0))</f>
        <v/>
      </c>
      <c r="BC27">
        <f>IF(I27=1,1000000,IF('計算A'!$EA$10=2,SUMPRODUCT('計算A'!$D$60:$DS$60,$CW27:$HL27,$HN27:$MC27),SUMPRODUCT('計算A'!$D$60:$DS$60,$CW27:$HL27))*1000+1)</f>
        <v/>
      </c>
      <c r="BD27">
        <f>IF(J27=1,1000000,IF('計算A'!$EA$11=2,SUMPRODUCT('計算A'!$D$61:$DS$61,$CW27:$HL27,$HN27:$MC27),SUMPRODUCT('計算A'!$D$61:$DS$61,$CW27:$HL27))*1000+2)</f>
        <v/>
      </c>
      <c r="BE27">
        <f>IF(K27=1,1000000,IF('計算A'!$EA$12=2,SUMPRODUCT('計算A'!$D$62:$DS$62,$CW27:$HL27,$HN27:$MC27),SUMPRODUCT('計算A'!$D$62:$DS$62,$CW27:$HL27))*1000+3)</f>
        <v/>
      </c>
      <c r="BF27">
        <f>IF(L27=1,1000000,IF('計算A'!$EA$13=2,SUMPRODUCT('計算A'!$D$63:$DS$63,$CW27:$HL27,$HN27:$MC27),SUMPRODUCT('計算A'!$D$63:$DS$63,$CW27:$HL27))*1000+4)</f>
        <v/>
      </c>
      <c r="BG27">
        <f>IF(M27=1,1000000,IF('計算A'!$EA$14=2,SUMPRODUCT('計算A'!$D$64:$DS$64,$CW27:$HL27,$HN27:$MC27),SUMPRODUCT('計算A'!$D$64:$DS$64,$CW27:$HL27))*1000+5)</f>
        <v/>
      </c>
      <c r="BH27">
        <f>IF(N27=1,1000000,IF('計算A'!$EA$15=2,SUMPRODUCT('計算A'!$D$65:$DS$65,$CW27:$HL27,$HN27:$MC27),SUMPRODUCT('計算A'!$D$65:$DS$65,$CW27:$HL27))*1000+6)</f>
        <v/>
      </c>
      <c r="BI27">
        <f>IF(O27=1,1000000,IF('計算A'!$EA$16=2,SUMPRODUCT('計算A'!$D$66:$DS$66,$CW27:$HL27,$HN27:$MC27),SUMPRODUCT('計算A'!$D$66:$DS$66,$CW27:$HL27))*1000+7)</f>
        <v/>
      </c>
      <c r="BJ27">
        <f>IF(P27=1,1000000,IF('計算A'!$EA$17=2,SUMPRODUCT('計算A'!$D$67:$DS$67,$CW27:$HL27,$HN27:$MC27),SUMPRODUCT('計算A'!$D$67:$DS$67,$CW27:$HL27))*1000+8)</f>
        <v/>
      </c>
      <c r="BK27">
        <f>IF(Q27=1,1000000,IF('計算A'!$EA$18=2,SUMPRODUCT('計算A'!$D$68:$DS$68,$CW27:$HL27,$HN27:$MC27),SUMPRODUCT('計算A'!$D$68:$DS$68,$CW27:$HL27))*1000+9)</f>
        <v/>
      </c>
      <c r="BL27">
        <f>IF(R27=1,1000000,IF('計算A'!$EA$19=2,SUMPRODUCT('計算A'!$D$69:$DS$69,$CW27:$HL27,$HN27:$MC27),SUMPRODUCT('計算A'!$D$69:$DS$69,$CW27:$HL27))*1000+10)</f>
        <v/>
      </c>
      <c r="BM27">
        <f>IF(S27=1,1000000,IF('計算A'!$EA$20=2,SUMPRODUCT('計算A'!$D$70:$DS$70,$CW27:$HL27,$HN27:$MC27),SUMPRODUCT('計算A'!$D$70:$DS$70,$CW27:$HL27))*1000+11)</f>
        <v/>
      </c>
      <c r="BN27">
        <f>IF(T27=1,1000000,IF('計算A'!$EA$21=2,SUMPRODUCT('計算A'!$D$71:$DS$71,$CW27:$HL27,$HN27:$MC27),SUMPRODUCT('計算A'!$D$71:$DS$71,$CW27:$HL27))*1000+12)</f>
        <v/>
      </c>
      <c r="BO27">
        <f>IF(U27=1,1000000,IF('計算A'!$EA$22=2,SUMPRODUCT('計算A'!$D$72:$DS$72,$CW27:$HL27,$HN27:$MC27),SUMPRODUCT('計算A'!$D$72:$DS$72,$CW27:$HL27))*1000+13)</f>
        <v/>
      </c>
      <c r="BP27">
        <f>IF(V27=1,1000000,IF('計算A'!$EA$23=2,SUMPRODUCT('計算A'!$D$73:$DS$73,$CW27:$HL27,$HN27:$MC27),SUMPRODUCT('計算A'!$D$73:$DS$73,$CW27:$HL27))*1000+14)</f>
        <v/>
      </c>
      <c r="BQ27">
        <f>IF(W27=1,1000000,IF('計算A'!$EA$24=2,SUMPRODUCT('計算A'!$D$74:$DS$74,$CW27:$HL27,$HN27:$MC27),SUMPRODUCT('計算A'!$D$74:$DS$74,$CW27:$HL27))*1000+15)</f>
        <v/>
      </c>
      <c r="BR27">
        <f>IF(X27=1,1000000,IF('計算A'!$EA$25=2,SUMPRODUCT('計算A'!$D$75:$DS$75,$CW27:$HL27,$HN27:$MC27),SUMPRODUCT('計算A'!$D$75:$DS$75,$CW27:$HL27))*1000+16)</f>
        <v/>
      </c>
      <c r="BS27">
        <f>IF(Y27=1,1000000,IF('計算A'!$EA$26=2,SUMPRODUCT('計算A'!$D$76:$DS$76,$CW27:$HL27,$HN27:$MC27),SUMPRODUCT('計算A'!$D$76:$DS$76,$CW27:$HL27))*1000+17)</f>
        <v/>
      </c>
      <c r="BT27">
        <f>IF(Z27=1,1000000,IF('計算A'!$EA$27=2,SUMPRODUCT('計算A'!$D$77:$DS$77,$CW27:$HL27,$HN27:$MC27),SUMPRODUCT('計算A'!$D$77:$DS$77,$CW27:$HL27))*1000+18)</f>
        <v/>
      </c>
      <c r="BU27">
        <f>IF(AA27=1,1000000,IF('計算A'!$EA$28=2,SUMPRODUCT('計算A'!$D$78:$DS$78,$CW27:$HL27,$HN27:$MC27),SUMPRODUCT('計算A'!$D$78:$DS$78,$CW27:$HL27))*1000+19)</f>
        <v/>
      </c>
      <c r="BV27">
        <f>IF(AB27=1,1000000,IF('計算A'!$EA$29=2,SUMPRODUCT('計算A'!$D$79:$DS$79,$CW27:$HL27,$HN27:$MC27),SUMPRODUCT('計算A'!$D$79:$DS$79,$CW27:$HL27))*1000+20)</f>
        <v/>
      </c>
      <c r="BW27">
        <f>IF(AC27=1,1000000,IF('計算A'!$EA$30=2,SUMPRODUCT('計算A'!$D$80:$DS$80,$CW27:$HL27,$HN27:$MC27),SUMPRODUCT('計算A'!$D$80:$DS$80,$CW27:$HL27))*1000+21)</f>
        <v/>
      </c>
      <c r="BX27">
        <f>IF(AD27=1,1000000,IF('計算A'!$EA$31=2,SUMPRODUCT('計算A'!$D$81:$DS$81,$CW27:$HL27,$HN27:$MC27),SUMPRODUCT('計算A'!$D$81:$DS$81,$CW27:$HL27))*1000+22)</f>
        <v/>
      </c>
      <c r="BY27">
        <f>IF(AE27=1,1000000,IF('計算A'!$EA$32=2,SUMPRODUCT('計算A'!$D$82:$DS$82,$CW27:$HL27,$HN27:$MC27),SUMPRODUCT('計算A'!$D$82:$DS$82,$CW27:$HL27))*1000+23)</f>
        <v/>
      </c>
      <c r="BZ27">
        <f>IF(AF27=1,1000000,IF('計算A'!$EA$33=2,SUMPRODUCT('計算A'!$D$83:$DS$83,$CW27:$HL27,$HN27:$MC27),SUMPRODUCT('計算A'!$D$83:$DS$83,$CW27:$HL27))*1000+24)</f>
        <v/>
      </c>
      <c r="CA27">
        <f>IF(AG27=1,1000000,IF('計算A'!$EA$34=2,SUMPRODUCT('計算A'!$D$84:$DS$84,$CW27:$HL27,$HN27:$MC27),SUMPRODUCT('計算A'!$D$84:$DS$84,$CW27:$HL27))*1000+25)</f>
        <v/>
      </c>
      <c r="CB27">
        <f>IF(AH27=1,1000000,IF('計算A'!$EA$35=2,SUMPRODUCT('計算A'!$D$85:$DS$85,$CW27:$HL27,$HN27:$MC27),SUMPRODUCT('計算A'!$D$85:$DS$85,$CW27:$HL27))*1000+26)</f>
        <v/>
      </c>
      <c r="CC27">
        <f>IF(AI27=1,1000000,IF('計算A'!$EA$36=2,SUMPRODUCT('計算A'!$D$86:$DS$86,$CW27:$HL27,$HN27:$MC27),SUMPRODUCT('計算A'!$D$86:$DS$86,$CW27:$HL27))*1000+27)</f>
        <v/>
      </c>
      <c r="CD27">
        <f>IF(AJ27=1,1000000,IF('計算A'!$EA$37=2,SUMPRODUCT('計算A'!$D$87:$DS$87,$CW27:$HL27,$HN27:$MC27),SUMPRODUCT('計算A'!$D$87:$DS$87,$CW27:$HL27))*1000+28)</f>
        <v/>
      </c>
      <c r="CE27">
        <f>IF(AK27=1,1000000,IF('計算A'!$EA$38=2,SUMPRODUCT('計算A'!$D$88:$DS$88,$CW27:$HL27,$HN27:$MC27),SUMPRODUCT('計算A'!$D$88:$DS$88,$CW27:$HL27))*1000+29)</f>
        <v/>
      </c>
      <c r="CF27">
        <f>IF(AL27=1,1000000,IF('計算A'!$EA$39=2,SUMPRODUCT('計算A'!$D$89:$DS$89,$CW27:$HL27,$HN27:$MC27),SUMPRODUCT('計算A'!$D$89:$DS$89,$CW27:$HL27))*1000+30)</f>
        <v/>
      </c>
      <c r="CG27">
        <f>IF(AM27=1,1000000,IF('計算A'!$EA$40=2,SUMPRODUCT('計算A'!$D$90:$DS$90,$CW27:$HL27,$HN27:$MC27),SUMPRODUCT('計算A'!$D$90:$DS$90,$CW27:$HL27))*1000+31)</f>
        <v/>
      </c>
      <c r="CH27">
        <f>IF(AN27=1,1000000,IF('計算A'!$EA$41=2,SUMPRODUCT('計算A'!$D$91:$DS$91,$CW27:$HL27,$HN27:$MC27),SUMPRODUCT('計算A'!$D$91:$DS$91,$CW27:$HL27))*1000+32)</f>
        <v/>
      </c>
      <c r="CI27">
        <f>IF(AO27=1,1000000,IF('計算A'!$EA$42=2,SUMPRODUCT('計算A'!$D$92:$DS$92,$CW27:$HL27,$HN27:$MC27),SUMPRODUCT('計算A'!$D$92:$DS$92,$CW27:$HL27))*1000+33)</f>
        <v/>
      </c>
      <c r="CJ27">
        <f>IF(AP27=1,1000000,IF('計算A'!$EA$43=2,SUMPRODUCT('計算A'!$D$93:$DS$93,$CW27:$HL27,$HN27:$MC27),SUMPRODUCT('計算A'!$D$93:$DS$93,$CW27:$HL27))*1000+34)</f>
        <v/>
      </c>
      <c r="CK27">
        <f>IF(AQ27=1,1000000,IF('計算A'!$EA$44=2,SUMPRODUCT('計算A'!$D$94:$DS$94,$CW27:$HL27,$HN27:$MC27),SUMPRODUCT('計算A'!$D$94:$DS$94,$CW27:$HL27))*1000+35)</f>
        <v/>
      </c>
      <c r="CL27">
        <f>IF(AR27=1,1000000,IF('計算A'!$EA$45=2,SUMPRODUCT('計算A'!$D$95:$DS$95,$CW27:$HL27,$HN27:$MC27),SUMPRODUCT('計算A'!$D$95:$DS$95,$CW27:$HL27))*1000+36)</f>
        <v/>
      </c>
      <c r="CM27">
        <f>IF(AS27=1,1000000,IF('計算A'!$EA$46=2,SUMPRODUCT('計算A'!$D$96:$DS$96,$CW27:$HL27,$HN27:$MC27),SUMPRODUCT('計算A'!$D$96:$DS$96,$CW27:$HL27))*1000+37)</f>
        <v/>
      </c>
      <c r="CN27">
        <f>IF(AT27=1,1000000,IF('計算A'!$EA$47=2,SUMPRODUCT('計算A'!$D$97:$DS$97,$CW27:$HL27,$HN27:$MC27),SUMPRODUCT('計算A'!$D$97:$DS$97,$CW27:$HL27))*1000+38)</f>
        <v/>
      </c>
      <c r="CO27">
        <f>IF(AU27=1,1000000,IF('計算A'!$EA$48=2,SUMPRODUCT('計算A'!$D$98:$DS$98,$CW27:$HL27,$HN27:$MC27),SUMPRODUCT('計算A'!$D$98:$DS$98,$CW27:$HL27))*1000+39)</f>
        <v/>
      </c>
      <c r="CP27">
        <f>IF(AV27=1,1000000,IF('計算A'!$EA$49=2,SUMPRODUCT('計算A'!$D$99:$DS$99,$CW27:$HL27,$HN27:$MC27),SUMPRODUCT('計算A'!$D$99:$DS$99,$CW27:$HL27))*1000+40)</f>
        <v/>
      </c>
      <c r="CQ27">
        <f>IF(AW27=1,1000000,IF('計算A'!$EA$50=2,SUMPRODUCT('計算A'!$D$100:$DS$100,$CW27:$HL27,$HN27:$MC27),SUMPRODUCT('計算A'!$D$100:$DS$100,$CW27:$HL27))*1000+41)</f>
        <v/>
      </c>
      <c r="CR27">
        <f>IF(AX27=1,1000000,IF('計算A'!$EA$51=2,SUMPRODUCT('計算A'!$D$101:$DS$101,$CW27:$HL27,$HN27:$MC27),SUMPRODUCT('計算A'!$D$101:$DS$101,$CW27:$HL27))*1000+42)</f>
        <v/>
      </c>
      <c r="CS27">
        <f>IF(AY27=1,1000000,IF('計算A'!$EA$52=2,SUMPRODUCT('計算A'!$D$102:$DS$102,$CW27:$HL27,$HN27:$MC27),SUMPRODUCT('計算A'!$D$102:$DS$102,$CW27:$HL27))*1000+43)</f>
        <v/>
      </c>
      <c r="CT27">
        <f>IF(AZ27=1,1000000,IF('計算A'!$EA$53=2,SUMPRODUCT('計算A'!$D$103:$DS$103,$CW27:$HL27,$HN27:$MC27),SUMPRODUCT('計算A'!$D$103:$DS$103,$CW27:$HL27))*1000+44)</f>
        <v/>
      </c>
      <c r="CU27">
        <f>IF(BA27=1,1000000,IF('計算A'!$EA$54=2,SUMPRODUCT('計算A'!$D$104:$DS$104,$CW27:$HL27,$HN27:$MC27),SUMPRODUCT('計算A'!$D$104:$DS$104,$CW27:$HL27))*1000+45)</f>
        <v/>
      </c>
      <c r="CW27">
        <f>CW26*IF(OR($C26=1,$G26=1),0,1)</f>
        <v/>
      </c>
      <c r="CX27">
        <f>CX26*IF(OR($C26=2,$G26=2),0,1)</f>
        <v/>
      </c>
      <c r="CY27">
        <f>CY26*IF(OR($C26=3,$G26=3),0,1)</f>
        <v/>
      </c>
      <c r="CZ27">
        <f>CZ26*IF(OR($C26=4,$G26=4),0,1)</f>
        <v/>
      </c>
      <c r="DA27">
        <f>DA26*IF(OR($C26=5,$G26=5),0,1)</f>
        <v/>
      </c>
      <c r="DB27">
        <f>DB26*IF(OR($C26=6,$G26=6),0,1)</f>
        <v/>
      </c>
      <c r="DC27">
        <f>DC26*IF(OR($C26=7,$G26=7),0,1)</f>
        <v/>
      </c>
      <c r="DD27">
        <f>DD26*IF(OR($C26=8,$G26=8),0,1)</f>
        <v/>
      </c>
      <c r="DE27">
        <f>DE26*IF(OR($C26=9,$G26=9),0,1)</f>
        <v/>
      </c>
      <c r="DF27">
        <f>DF26*IF(OR($C26=10,$G26=10),0,1)</f>
        <v/>
      </c>
      <c r="DG27">
        <f>DG26*IF(OR($C26=11,$G26=11),0,1)</f>
        <v/>
      </c>
      <c r="DH27">
        <f>DH26*IF(OR($C26=12,$G26=12),0,1)</f>
        <v/>
      </c>
      <c r="DI27">
        <f>DI26*IF(OR($C26=13,$G26=13),0,1)</f>
        <v/>
      </c>
      <c r="DJ27">
        <f>DJ26*IF(OR($C26=14,$G26=14),0,1)</f>
        <v/>
      </c>
      <c r="DK27">
        <f>DK26*IF(OR($C26=15,$G26=15),0,1)</f>
        <v/>
      </c>
      <c r="DL27">
        <f>DL26*IF(OR($C26=16,$G26=16),0,1)</f>
        <v/>
      </c>
      <c r="DM27">
        <f>DM26*IF(OR($C26=17,$G26=17),0,1)</f>
        <v/>
      </c>
      <c r="DN27">
        <f>DN26*IF(OR($C26=18,$G26=18),0,1)</f>
        <v/>
      </c>
      <c r="DO27">
        <f>DO26*IF(OR($C26=19,$G26=19),0,1)</f>
        <v/>
      </c>
      <c r="DP27">
        <f>DP26*IF(OR($C26=20,$G26=20),0,1)</f>
        <v/>
      </c>
      <c r="DQ27">
        <f>DQ26*IF(OR($C26=21,$G26=21),0,1)</f>
        <v/>
      </c>
      <c r="DR27">
        <f>DR26*IF(OR($C26=22,$G26=22),0,1)</f>
        <v/>
      </c>
      <c r="DS27">
        <f>DS26*IF(OR($C26=23,$G26=23),0,1)</f>
        <v/>
      </c>
      <c r="DT27">
        <f>DT26*IF(OR($C26=24,$G26=24),0,1)</f>
        <v/>
      </c>
      <c r="DU27">
        <f>DU26*IF(OR($C26=25,$G26=25),0,1)</f>
        <v/>
      </c>
      <c r="DV27">
        <f>DV26*IF(OR($C26=26,$G26=26),0,1)</f>
        <v/>
      </c>
      <c r="DW27">
        <f>DW26*IF(OR($C26=27,$G26=27),0,1)</f>
        <v/>
      </c>
      <c r="DX27">
        <f>DX26*IF(OR($C26=28,$G26=28),0,1)</f>
        <v/>
      </c>
      <c r="DY27">
        <f>DY26*IF(OR($C26=29,$G26=29),0,1)</f>
        <v/>
      </c>
      <c r="DZ27">
        <f>DZ26*IF(OR($C26=30,$G26=30),0,1)</f>
        <v/>
      </c>
      <c r="EA27">
        <f>EA26*IF(OR($C26=31,$G26=31),0,1)</f>
        <v/>
      </c>
      <c r="EB27">
        <f>EB26*IF(OR($C26=32,$G26=32),0,1)</f>
        <v/>
      </c>
      <c r="EC27">
        <f>EC26*IF(OR($C26=33,$G26=33),0,1)</f>
        <v/>
      </c>
      <c r="ED27">
        <f>ED26*IF(OR($C26=34,$G26=34),0,1)</f>
        <v/>
      </c>
      <c r="EE27">
        <f>EE26*IF(OR($C26=35,$G26=35),0,1)</f>
        <v/>
      </c>
      <c r="EF27">
        <f>EF26*IF(OR($C26=36,$G26=36),0,1)</f>
        <v/>
      </c>
      <c r="EG27">
        <f>EG26*IF(OR($C26=37,$G26=37),0,1)</f>
        <v/>
      </c>
      <c r="EH27">
        <f>EH26*IF(OR($C26=38,$G26=38),0,1)</f>
        <v/>
      </c>
      <c r="EI27">
        <f>EI26*IF(OR($C26=39,$G26=39),0,1)</f>
        <v/>
      </c>
      <c r="EJ27">
        <f>EJ26*IF(OR($C26=40,$G26=40),0,1)</f>
        <v/>
      </c>
      <c r="EK27">
        <f>EK26*IF(OR($C26=41,$G26=41),0,1)</f>
        <v/>
      </c>
      <c r="EL27">
        <f>EL26*IF(OR($C26=42,$G26=42),0,1)</f>
        <v/>
      </c>
      <c r="EM27">
        <f>EM26*IF(OR($C26=43,$G26=43),0,1)</f>
        <v/>
      </c>
      <c r="EN27">
        <f>EN26*IF(OR($C26=44,$G26=44),0,1)</f>
        <v/>
      </c>
      <c r="EO27">
        <f>EO26*IF(OR($C26=45,$G26=45),0,1)</f>
        <v/>
      </c>
      <c r="EP27">
        <f>EP26*IF(OR($C26=46,$G26=46),0,1)</f>
        <v/>
      </c>
      <c r="EQ27">
        <f>EQ26*IF(OR($C26=47,$G26=47),0,1)</f>
        <v/>
      </c>
      <c r="ER27">
        <f>ER26*IF(OR($C26=48,$G26=48),0,1)</f>
        <v/>
      </c>
      <c r="ES27">
        <f>ES26*IF(OR($C26=49,$G26=49),0,1)</f>
        <v/>
      </c>
      <c r="ET27">
        <f>ET26*IF(OR($C26=50,$G26=50),0,1)</f>
        <v/>
      </c>
      <c r="EU27">
        <f>EU26*IF(OR($C26=51,$G26=51),0,1)</f>
        <v/>
      </c>
      <c r="EV27">
        <f>EV26*IF(OR($C26=52,$G26=52),0,1)</f>
        <v/>
      </c>
      <c r="EW27">
        <f>EW26*IF(OR($C26=53,$G26=53),0,1)</f>
        <v/>
      </c>
      <c r="EX27">
        <f>EX26*IF(OR($C26=54,$G26=54),0,1)</f>
        <v/>
      </c>
      <c r="EY27">
        <f>EY26*IF(OR($C26=55,$G26=55),0,1)</f>
        <v/>
      </c>
      <c r="EZ27">
        <f>EZ26*IF(OR($C26=56,$G26=56),0,1)</f>
        <v/>
      </c>
      <c r="FA27">
        <f>FA26*IF(OR($C26=57,$G26=57),0,1)</f>
        <v/>
      </c>
      <c r="FB27">
        <f>FB26*IF(OR($C26=58,$G26=58),0,1)</f>
        <v/>
      </c>
      <c r="FC27">
        <f>FC26*IF(OR($C26=59,$G26=59),0,1)</f>
        <v/>
      </c>
      <c r="FD27">
        <f>FD26*IF(OR($C26=60,$G26=60),0,1)</f>
        <v/>
      </c>
      <c r="FE27">
        <f>FE26*IF(OR($C26=61,$G26=61),0,1)</f>
        <v/>
      </c>
      <c r="FF27">
        <f>FF26*IF(OR($C26=62,$G26=62),0,1)</f>
        <v/>
      </c>
      <c r="FG27">
        <f>FG26*IF(OR($C26=63,$G26=63),0,1)</f>
        <v/>
      </c>
      <c r="FH27">
        <f>FH26*IF(OR($C26=64,$G26=64),0,1)</f>
        <v/>
      </c>
      <c r="FI27">
        <f>FI26*IF(OR($C26=65,$G26=65),0,1)</f>
        <v/>
      </c>
      <c r="FJ27">
        <f>FJ26*IF(OR($C26=66,$G26=66),0,1)</f>
        <v/>
      </c>
      <c r="FK27">
        <f>FK26*IF(OR($C26=67,$G26=67),0,1)</f>
        <v/>
      </c>
      <c r="FL27">
        <f>FL26*IF(OR($C26=68,$G26=68),0,1)</f>
        <v/>
      </c>
      <c r="FM27">
        <f>FM26*IF(OR($C26=69,$G26=69),0,1)</f>
        <v/>
      </c>
      <c r="FN27">
        <f>FN26*IF(OR($C26=70,$G26=70),0,1)</f>
        <v/>
      </c>
      <c r="FO27">
        <f>FO26*IF(OR($C26=71,$G26=71),0,1)</f>
        <v/>
      </c>
      <c r="FP27">
        <f>FP26*IF(OR($C26=72,$G26=72),0,1)</f>
        <v/>
      </c>
      <c r="FQ27">
        <f>FQ26*IF(OR($C26=73,$G26=73),0,1)</f>
        <v/>
      </c>
      <c r="FR27">
        <f>FR26*IF(OR($C26=74,$G26=74),0,1)</f>
        <v/>
      </c>
      <c r="FS27">
        <f>FS26*IF(OR($C26=75,$G26=75),0,1)</f>
        <v/>
      </c>
      <c r="FT27">
        <f>FT26*IF(OR($C26=76,$G26=76),0,1)</f>
        <v/>
      </c>
      <c r="FU27">
        <f>FU26*IF(OR($C26=77,$G26=77),0,1)</f>
        <v/>
      </c>
      <c r="FV27">
        <f>FV26*IF(OR($C26=78,$G26=78),0,1)</f>
        <v/>
      </c>
      <c r="FW27">
        <f>FW26*IF(OR($C26=79,$G26=79),0,1)</f>
        <v/>
      </c>
      <c r="FX27">
        <f>FX26*IF(OR($C26=80,$G26=80),0,1)</f>
        <v/>
      </c>
      <c r="FY27">
        <f>FY26*IF(OR($C26=81,$G26=81),0,1)</f>
        <v/>
      </c>
      <c r="FZ27">
        <f>FZ26*IF(OR($C26=82,$G26=82),0,1)</f>
        <v/>
      </c>
      <c r="GA27">
        <f>GA26*IF(OR($C26=83,$G26=83),0,1)</f>
        <v/>
      </c>
      <c r="GB27">
        <f>GB26*IF(OR($C26=84,$G26=84),0,1)</f>
        <v/>
      </c>
      <c r="GC27">
        <f>GC26*IF(OR($C26=85,$G26=85),0,1)</f>
        <v/>
      </c>
      <c r="GD27">
        <f>GD26*IF(OR($C26=86,$G26=86),0,1)</f>
        <v/>
      </c>
      <c r="GE27">
        <f>GE26*IF(OR($C26=87,$G26=87),0,1)</f>
        <v/>
      </c>
      <c r="GF27">
        <f>GF26*IF(OR($C26=88,$G26=88),0,1)</f>
        <v/>
      </c>
      <c r="GG27">
        <f>GG26*IF(OR($C26=89,$G26=89),0,1)</f>
        <v/>
      </c>
      <c r="GH27">
        <f>GH26*IF(OR($C26=90,$G26=90),0,1)</f>
        <v/>
      </c>
      <c r="GI27">
        <f>GI26*IF(OR($C26=91,$G26=91),0,1)</f>
        <v/>
      </c>
      <c r="GJ27">
        <f>GJ26*IF(OR($C26=92,$G26=92),0,1)</f>
        <v/>
      </c>
      <c r="GK27">
        <f>GK26*IF(OR($C26=93,$G26=93),0,1)</f>
        <v/>
      </c>
      <c r="GL27">
        <f>GL26*IF(OR($C26=94,$G26=94),0,1)</f>
        <v/>
      </c>
      <c r="GM27">
        <f>GM26*IF(OR($C26=95,$G26=95),0,1)</f>
        <v/>
      </c>
      <c r="GN27">
        <f>GN26*IF(OR($C26=96,$G26=96),0,1)</f>
        <v/>
      </c>
      <c r="GO27">
        <f>GO26*IF(OR($C26=97,$G26=97),0,1)</f>
        <v/>
      </c>
      <c r="GP27">
        <f>GP26*IF(OR($C26=98,$G26=98),0,1)</f>
        <v/>
      </c>
      <c r="GQ27">
        <f>GQ26*IF(OR($C26=99,$G26=99),0,1)</f>
        <v/>
      </c>
      <c r="GR27">
        <f>GR26*IF(OR($C26=100,$G26=100),0,1)</f>
        <v/>
      </c>
      <c r="GS27">
        <f>GS26*IF(OR($C26=101,$G26=101),0,1)</f>
        <v/>
      </c>
      <c r="GT27">
        <f>GT26*IF(OR($C26=102,$G26=102),0,1)</f>
        <v/>
      </c>
      <c r="GU27">
        <f>GU26*IF(OR($C26=103,$G26=103),0,1)</f>
        <v/>
      </c>
      <c r="GV27">
        <f>GV26*IF(OR($C26=104,$G26=104),0,1)</f>
        <v/>
      </c>
      <c r="GW27">
        <f>GW26*IF(OR($C26=105,$G26=105),0,1)</f>
        <v/>
      </c>
      <c r="GX27">
        <f>GX26*IF(OR($C26=106,$G26=106),0,1)</f>
        <v/>
      </c>
      <c r="GY27">
        <f>GY26*IF(OR($C26=107,$G26=107),0,1)</f>
        <v/>
      </c>
      <c r="GZ27">
        <f>GZ26*IF(OR($C26=108,$G26=108),0,1)</f>
        <v/>
      </c>
      <c r="HA27">
        <f>HA26*IF(OR($C26=109,$G26=109),0,1)</f>
        <v/>
      </c>
      <c r="HB27">
        <f>HB26*IF(OR($C26=110,$G26=110),0,1)</f>
        <v/>
      </c>
      <c r="HC27">
        <f>HC26*IF(OR($C26=111,$G26=111),0,1)</f>
        <v/>
      </c>
      <c r="HD27">
        <f>HD26*IF(OR($C26=112,$G26=112),0,1)</f>
        <v/>
      </c>
      <c r="HE27">
        <f>HE26*IF(OR($C26=113,$G26=113),0,1)</f>
        <v/>
      </c>
      <c r="HF27">
        <f>HF26*IF(OR($C26=114,$G26=114),0,1)</f>
        <v/>
      </c>
      <c r="HG27">
        <f>HG26*IF(OR($C26=115,$G26=115),0,1)</f>
        <v/>
      </c>
      <c r="HH27">
        <f>HH26*IF(OR($C26=116,$G26=116),0,1)</f>
        <v/>
      </c>
      <c r="HI27">
        <f>HI26*IF(OR($C26=117,$G26=117),0,1)</f>
        <v/>
      </c>
      <c r="HJ27">
        <f>HJ26*IF(OR($C26=118,$G26=118),0,1)</f>
        <v/>
      </c>
      <c r="HK27">
        <f>HK26*IF(OR($C26=119,$G26=119),0,1)</f>
        <v/>
      </c>
      <c r="HL27">
        <f>HL26*IF(OR($C26=120,$G26=120),0,1)</f>
        <v/>
      </c>
      <c r="HN27">
        <f>IF('計算A'!D$106=1,CX27,1)</f>
        <v/>
      </c>
      <c r="HO27">
        <f>IF('計算A'!E$106=1,CY27,1)</f>
        <v/>
      </c>
      <c r="HP27">
        <f>IF('計算A'!F$106=1,CZ27,1)</f>
        <v/>
      </c>
      <c r="HQ27">
        <f>IF('計算A'!G$106=1,DA27,1)</f>
        <v/>
      </c>
      <c r="HR27">
        <f>IF('計算A'!H$106=1,DB27,1)</f>
        <v/>
      </c>
      <c r="HS27">
        <f>IF('計算A'!I$106=1,DC27,1)</f>
        <v/>
      </c>
      <c r="HT27">
        <f>IF('計算A'!J$106=1,DD27,1)</f>
        <v/>
      </c>
      <c r="HU27">
        <f>IF('計算A'!K$106=1,DE27,1)</f>
        <v/>
      </c>
      <c r="HV27">
        <f>IF('計算A'!L$106=1,DF27,1)</f>
        <v/>
      </c>
      <c r="HW27">
        <f>IF('計算A'!M$106=1,DG27,1)</f>
        <v/>
      </c>
      <c r="HX27">
        <f>IF('計算A'!N$106=1,DH27,1)</f>
        <v/>
      </c>
      <c r="HY27">
        <f>IF('計算A'!O$106=1,DI27,1)</f>
        <v/>
      </c>
      <c r="HZ27">
        <f>IF('計算A'!P$106=1,DJ27,1)</f>
        <v/>
      </c>
      <c r="IA27">
        <f>IF('計算A'!Q$106=1,DK27,1)</f>
        <v/>
      </c>
      <c r="IB27">
        <f>IF('計算A'!R$106=1,DL27,1)</f>
        <v/>
      </c>
      <c r="IC27">
        <f>IF('計算A'!S$106=1,DM27,1)</f>
        <v/>
      </c>
      <c r="ID27">
        <f>IF('計算A'!T$106=1,DN27,1)</f>
        <v/>
      </c>
      <c r="IE27">
        <f>IF('計算A'!U$106=1,DO27,1)</f>
        <v/>
      </c>
      <c r="IF27">
        <f>IF('計算A'!V$106=1,DP27,1)</f>
        <v/>
      </c>
      <c r="IG27">
        <f>IF('計算A'!W$106=1,DQ27,1)</f>
        <v/>
      </c>
      <c r="IH27">
        <f>IF('計算A'!X$106=1,DR27,1)</f>
        <v/>
      </c>
      <c r="II27">
        <f>IF('計算A'!Y$106=1,DS27,1)</f>
        <v/>
      </c>
      <c r="IJ27">
        <f>IF('計算A'!Z$106=1,DT27,1)</f>
        <v/>
      </c>
      <c r="IK27">
        <f>IF('計算A'!AA$106=1,DU27,1)</f>
        <v/>
      </c>
      <c r="IL27">
        <f>IF('計算A'!AB$106=1,DV27,1)</f>
        <v/>
      </c>
      <c r="IM27">
        <f>IF('計算A'!AC$106=1,DW27,1)</f>
        <v/>
      </c>
      <c r="IN27">
        <f>IF('計算A'!AD$106=1,DX27,1)</f>
        <v/>
      </c>
      <c r="IO27">
        <f>IF('計算A'!AE$106=1,DY27,1)</f>
        <v/>
      </c>
      <c r="IP27">
        <f>IF('計算A'!AF$106=1,DZ27,1)</f>
        <v/>
      </c>
      <c r="IQ27">
        <f>IF('計算A'!AG$106=1,EA27,1)</f>
        <v/>
      </c>
      <c r="IR27">
        <f>IF('計算A'!AH$106=1,EB27,1)</f>
        <v/>
      </c>
      <c r="IS27">
        <f>IF('計算A'!AI$106=1,EC27,1)</f>
        <v/>
      </c>
      <c r="IT27">
        <f>IF('計算A'!AJ$106=1,ED27,1)</f>
        <v/>
      </c>
      <c r="IU27">
        <f>IF('計算A'!AK$106=1,EE27,1)</f>
        <v/>
      </c>
      <c r="IV27">
        <f>IF('計算A'!AL$106=1,EF27,1)</f>
        <v/>
      </c>
      <c r="IW27">
        <f>IF('計算A'!AM$106=1,EG27,1)</f>
        <v/>
      </c>
      <c r="IX27">
        <f>IF('計算A'!AN$106=1,EH27,1)</f>
        <v/>
      </c>
      <c r="IY27">
        <f>IF('計算A'!AO$106=1,EI27,1)</f>
        <v/>
      </c>
      <c r="IZ27">
        <f>IF('計算A'!AP$106=1,EJ27,1)</f>
        <v/>
      </c>
      <c r="JA27">
        <f>IF('計算A'!AQ$106=1,EK27,1)</f>
        <v/>
      </c>
      <c r="JB27">
        <f>IF('計算A'!AR$106=1,EL27,1)</f>
        <v/>
      </c>
      <c r="JC27">
        <f>IF('計算A'!AS$106=1,EM27,1)</f>
        <v/>
      </c>
      <c r="JD27">
        <f>IF('計算A'!AT$106=1,EN27,1)</f>
        <v/>
      </c>
      <c r="JE27">
        <f>IF('計算A'!AU$106=1,EO27,1)</f>
        <v/>
      </c>
      <c r="JF27">
        <f>IF('計算A'!AV$106=1,EP27,1)</f>
        <v/>
      </c>
      <c r="JG27">
        <f>IF('計算A'!AW$106=1,EQ27,1)</f>
        <v/>
      </c>
      <c r="JH27">
        <f>IF('計算A'!AX$106=1,ER27,1)</f>
        <v/>
      </c>
      <c r="JI27">
        <f>IF('計算A'!AY$106=1,ES27,1)</f>
        <v/>
      </c>
      <c r="JJ27">
        <f>IF('計算A'!AZ$106=1,ET27,1)</f>
        <v/>
      </c>
      <c r="JK27">
        <f>IF('計算A'!BA$106=1,EU27,1)</f>
        <v/>
      </c>
      <c r="JL27">
        <f>IF('計算A'!BB$106=1,EV27,1)</f>
        <v/>
      </c>
      <c r="JM27">
        <f>IF('計算A'!BC$106=1,EW27,1)</f>
        <v/>
      </c>
      <c r="JN27">
        <f>IF('計算A'!BD$106=1,EX27,1)</f>
        <v/>
      </c>
      <c r="JO27">
        <f>IF('計算A'!BE$106=1,EY27,1)</f>
        <v/>
      </c>
      <c r="JP27">
        <f>IF('計算A'!BF$106=1,EZ27,1)</f>
        <v/>
      </c>
      <c r="JQ27">
        <f>IF('計算A'!BG$106=1,FA27,1)</f>
        <v/>
      </c>
      <c r="JR27">
        <f>IF('計算A'!BH$106=1,FB27,1)</f>
        <v/>
      </c>
      <c r="JS27">
        <f>IF('計算A'!BI$106=1,FC27,1)</f>
        <v/>
      </c>
      <c r="JT27">
        <f>IF('計算A'!BJ$106=1,FD27,1)</f>
        <v/>
      </c>
      <c r="JU27">
        <f>IF('計算A'!BK$106=1,FE27,1)</f>
        <v/>
      </c>
      <c r="JV27">
        <f>IF('計算A'!BL$106=1,FF27,1)</f>
        <v/>
      </c>
      <c r="JW27">
        <f>IF('計算A'!BM$106=1,FG27,1)</f>
        <v/>
      </c>
      <c r="JX27">
        <f>IF('計算A'!BN$106=1,FH27,1)</f>
        <v/>
      </c>
      <c r="JY27">
        <f>IF('計算A'!BO$106=1,FI27,1)</f>
        <v/>
      </c>
      <c r="JZ27">
        <f>IF('計算A'!BP$106=1,FJ27,1)</f>
        <v/>
      </c>
      <c r="KA27">
        <f>IF('計算A'!BQ$106=1,FK27,1)</f>
        <v/>
      </c>
      <c r="KB27">
        <f>IF('計算A'!BR$106=1,FL27,1)</f>
        <v/>
      </c>
      <c r="KC27">
        <f>IF('計算A'!BS$106=1,FM27,1)</f>
        <v/>
      </c>
      <c r="KD27">
        <f>IF('計算A'!BT$106=1,FN27,1)</f>
        <v/>
      </c>
      <c r="KE27">
        <f>IF('計算A'!BU$106=1,FO27,1)</f>
        <v/>
      </c>
      <c r="KF27">
        <f>IF('計算A'!BV$106=1,FP27,1)</f>
        <v/>
      </c>
      <c r="KG27">
        <f>IF('計算A'!BW$106=1,FQ27,1)</f>
        <v/>
      </c>
      <c r="KH27">
        <f>IF('計算A'!BX$106=1,FR27,1)</f>
        <v/>
      </c>
      <c r="KI27">
        <f>IF('計算A'!BY$106=1,FS27,1)</f>
        <v/>
      </c>
      <c r="KJ27">
        <f>IF('計算A'!BZ$106=1,FT27,1)</f>
        <v/>
      </c>
      <c r="KK27">
        <f>IF('計算A'!CA$106=1,FU27,1)</f>
        <v/>
      </c>
      <c r="KL27">
        <f>IF('計算A'!CB$106=1,FV27,1)</f>
        <v/>
      </c>
      <c r="KM27">
        <f>IF('計算A'!CC$106=1,FW27,1)</f>
        <v/>
      </c>
      <c r="KN27">
        <f>IF('計算A'!CD$106=1,FX27,1)</f>
        <v/>
      </c>
      <c r="KO27">
        <f>IF('計算A'!CE$106=1,FY27,1)</f>
        <v/>
      </c>
      <c r="KP27">
        <f>IF('計算A'!CF$106=1,FZ27,1)</f>
        <v/>
      </c>
      <c r="KQ27">
        <f>IF('計算A'!CG$106=1,GA27,1)</f>
        <v/>
      </c>
      <c r="KR27">
        <f>IF('計算A'!CH$106=1,GB27,1)</f>
        <v/>
      </c>
      <c r="KS27">
        <f>IF('計算A'!CI$106=1,GC27,1)</f>
        <v/>
      </c>
      <c r="KT27">
        <f>IF('計算A'!CJ$106=1,GD27,1)</f>
        <v/>
      </c>
      <c r="KU27">
        <f>IF('計算A'!CK$106=1,GE27,1)</f>
        <v/>
      </c>
      <c r="KV27">
        <f>IF('計算A'!CL$106=1,GF27,1)</f>
        <v/>
      </c>
      <c r="KW27">
        <f>IF('計算A'!CM$106=1,GG27,1)</f>
        <v/>
      </c>
      <c r="KX27">
        <f>IF('計算A'!CN$106=1,GH27,1)</f>
        <v/>
      </c>
      <c r="KY27">
        <f>IF('計算A'!CO$106=1,GI27,1)</f>
        <v/>
      </c>
      <c r="KZ27">
        <f>IF('計算A'!CP$106=1,GJ27,1)</f>
        <v/>
      </c>
      <c r="LA27">
        <f>IF('計算A'!CQ$106=1,GK27,1)</f>
        <v/>
      </c>
      <c r="LB27">
        <f>IF('計算A'!CR$106=1,GL27,1)</f>
        <v/>
      </c>
      <c r="LC27">
        <f>IF('計算A'!CS$106=1,GM27,1)</f>
        <v/>
      </c>
      <c r="LD27">
        <f>IF('計算A'!CT$106=1,GN27,1)</f>
        <v/>
      </c>
      <c r="LE27">
        <f>IF('計算A'!CU$106=1,GO27,1)</f>
        <v/>
      </c>
      <c r="LF27">
        <f>IF('計算A'!CV$106=1,GP27,1)</f>
        <v/>
      </c>
      <c r="LG27">
        <f>IF('計算A'!CW$106=1,GQ27,1)</f>
        <v/>
      </c>
      <c r="LH27">
        <f>IF('計算A'!CX$106=1,GR27,1)</f>
        <v/>
      </c>
      <c r="LI27">
        <f>IF('計算A'!CY$106=1,GS27,1)</f>
        <v/>
      </c>
      <c r="LJ27">
        <f>IF('計算A'!CZ$106=1,GT27,1)</f>
        <v/>
      </c>
      <c r="LK27">
        <f>IF('計算A'!DA$106=1,GU27,1)</f>
        <v/>
      </c>
      <c r="LL27">
        <f>IF('計算A'!DB$106=1,GV27,1)</f>
        <v/>
      </c>
      <c r="LM27">
        <f>IF('計算A'!DC$106=1,GW27,1)</f>
        <v/>
      </c>
      <c r="LN27">
        <f>IF('計算A'!DD$106=1,GX27,1)</f>
        <v/>
      </c>
      <c r="LO27">
        <f>IF('計算A'!DE$106=1,GY27,1)</f>
        <v/>
      </c>
      <c r="LP27">
        <f>IF('計算A'!DF$106=1,GZ27,1)</f>
        <v/>
      </c>
      <c r="LQ27">
        <f>IF('計算A'!DG$106=1,HA27,1)</f>
        <v/>
      </c>
      <c r="LR27">
        <f>IF('計算A'!DH$106=1,HB27,1)</f>
        <v/>
      </c>
      <c r="LS27">
        <f>IF('計算A'!DI$106=1,HC27,1)</f>
        <v/>
      </c>
      <c r="LT27">
        <f>IF('計算A'!DJ$106=1,HD27,1)</f>
        <v/>
      </c>
      <c r="LU27">
        <f>IF('計算A'!DK$106=1,HE27,1)</f>
        <v/>
      </c>
      <c r="LV27">
        <f>IF('計算A'!DL$106=1,HF27,1)</f>
        <v/>
      </c>
      <c r="LW27">
        <f>IF('計算A'!DM$106=1,HG27,1)</f>
        <v/>
      </c>
      <c r="LX27">
        <f>IF('計算A'!DN$106=1,HH27,1)</f>
        <v/>
      </c>
      <c r="LY27">
        <f>IF('計算A'!DO$106=1,HI27,1)</f>
        <v/>
      </c>
      <c r="LZ27">
        <f>IF('計算A'!DP$106=1,HJ27,1)</f>
        <v/>
      </c>
      <c r="MA27">
        <f>IF('計算A'!DQ$106=1,HK27,1)</f>
        <v/>
      </c>
      <c r="MB27">
        <f>IF('計算A'!DR$106=1,HL27,1)</f>
        <v/>
      </c>
      <c r="MC27" t="n">
        <v>1</v>
      </c>
      <c r="ME27">
        <f>IF($B27=0,1000000,IF(INDEX('計算A'!$D$60:$DS$104,$B27,1)*CW27=1,IF(AND($E27=2,HN27=0),1000000,INDEX('計算A'!D$110:D$114,$F27+1)+IF(AND($E27=1,HN27=0),1000,0)),1000000))</f>
        <v/>
      </c>
      <c r="MF27">
        <f>IF($B27=0,1000000,IF(INDEX('計算A'!$D$60:$DS$104,$B27,2)*CX27=1,IF(AND($E27=2,HO27=0),1000000,INDEX('計算A'!E$110:E$114,$F27+1)+IF(AND($E27=1,HO27=0),1000,0)),1000000))</f>
        <v/>
      </c>
      <c r="MG27">
        <f>IF($B27=0,1000000,IF(INDEX('計算A'!$D$60:$DS$104,$B27,3)*CY27=1,IF(AND($E27=2,HP27=0),1000000,INDEX('計算A'!F$110:F$114,$F27+1)+IF(AND($E27=1,HP27=0),1000,0)),1000000))</f>
        <v/>
      </c>
      <c r="MH27">
        <f>IF($B27=0,1000000,IF(INDEX('計算A'!$D$60:$DS$104,$B27,4)*CZ27=1,IF(AND($E27=2,HQ27=0),1000000,INDEX('計算A'!G$110:G$114,$F27+1)+IF(AND($E27=1,HQ27=0),1000,0)),1000000))</f>
        <v/>
      </c>
      <c r="MI27">
        <f>IF($B27=0,1000000,IF(INDEX('計算A'!$D$60:$DS$104,$B27,5)*DA27=1,IF(AND($E27=2,HR27=0),1000000,INDEX('計算A'!H$110:H$114,$F27+1)+IF(AND($E27=1,HR27=0),1000,0)),1000000))</f>
        <v/>
      </c>
      <c r="MJ27">
        <f>IF($B27=0,1000000,IF(INDEX('計算A'!$D$60:$DS$104,$B27,6)*DB27=1,IF(AND($E27=2,HS27=0),1000000,INDEX('計算A'!I$110:I$114,$F27+1)+IF(AND($E27=1,HS27=0),1000,0)),1000000))</f>
        <v/>
      </c>
      <c r="MK27">
        <f>IF($B27=0,1000000,IF(INDEX('計算A'!$D$60:$DS$104,$B27,7)*DC27=1,IF(AND($E27=2,HT27=0),1000000,INDEX('計算A'!J$110:J$114,$F27+1)+IF(AND($E27=1,HT27=0),1000,0)),1000000))</f>
        <v/>
      </c>
      <c r="ML27">
        <f>IF($B27=0,1000000,IF(INDEX('計算A'!$D$60:$DS$104,$B27,8)*DD27=1,IF(AND($E27=2,HU27=0),1000000,INDEX('計算A'!K$110:K$114,$F27+1)+IF(AND($E27=1,HU27=0),1000,0)),1000000))</f>
        <v/>
      </c>
      <c r="MM27">
        <f>IF($B27=0,1000000,IF(INDEX('計算A'!$D$60:$DS$104,$B27,9)*DE27=1,IF(AND($E27=2,HV27=0),1000000,INDEX('計算A'!L$110:L$114,$F27+1)+IF(AND($E27=1,HV27=0),1000,0)),1000000))</f>
        <v/>
      </c>
      <c r="MN27">
        <f>IF($B27=0,1000000,IF(INDEX('計算A'!$D$60:$DS$104,$B27,10)*DF27=1,IF(AND($E27=2,HW27=0),1000000,INDEX('計算A'!M$110:M$114,$F27+1)+IF(AND($E27=1,HW27=0),1000,0)),1000000))</f>
        <v/>
      </c>
      <c r="MO27">
        <f>IF($B27=0,1000000,IF(INDEX('計算A'!$D$60:$DS$104,$B27,11)*DG27=1,IF(AND($E27=2,HX27=0),1000000,INDEX('計算A'!N$110:N$114,$F27+1)+IF(AND($E27=1,HX27=0),1000,0)),1000000))</f>
        <v/>
      </c>
      <c r="MP27">
        <f>IF($B27=0,1000000,IF(INDEX('計算A'!$D$60:$DS$104,$B27,12)*DH27=1,IF(AND($E27=2,HY27=0),1000000,INDEX('計算A'!O$110:O$114,$F27+1)+IF(AND($E27=1,HY27=0),1000,0)),1000000))</f>
        <v/>
      </c>
      <c r="MQ27">
        <f>IF($B27=0,1000000,IF(INDEX('計算A'!$D$60:$DS$104,$B27,13)*DI27=1,IF(AND($E27=2,HZ27=0),1000000,INDEX('計算A'!P$110:P$114,$F27+1)+IF(AND($E27=1,HZ27=0),1000,0)),1000000))</f>
        <v/>
      </c>
      <c r="MR27">
        <f>IF($B27=0,1000000,IF(INDEX('計算A'!$D$60:$DS$104,$B27,14)*DJ27=1,IF(AND($E27=2,IA27=0),1000000,INDEX('計算A'!Q$110:Q$114,$F27+1)+IF(AND($E27=1,IA27=0),1000,0)),1000000))</f>
        <v/>
      </c>
      <c r="MS27">
        <f>IF($B27=0,1000000,IF(INDEX('計算A'!$D$60:$DS$104,$B27,15)*DK27=1,IF(AND($E27=2,IB27=0),1000000,INDEX('計算A'!R$110:R$114,$F27+1)+IF(AND($E27=1,IB27=0),1000,0)),1000000))</f>
        <v/>
      </c>
      <c r="MT27">
        <f>IF($B27=0,1000000,IF(INDEX('計算A'!$D$60:$DS$104,$B27,16)*DL27=1,IF(AND($E27=2,IC27=0),1000000,INDEX('計算A'!S$110:S$114,$F27+1)+IF(AND($E27=1,IC27=0),1000,0)),1000000))</f>
        <v/>
      </c>
      <c r="MU27">
        <f>IF($B27=0,1000000,IF(INDEX('計算A'!$D$60:$DS$104,$B27,17)*DM27=1,IF(AND($E27=2,ID27=0),1000000,INDEX('計算A'!T$110:T$114,$F27+1)+IF(AND($E27=1,ID27=0),1000,0)),1000000))</f>
        <v/>
      </c>
      <c r="MV27">
        <f>IF($B27=0,1000000,IF(INDEX('計算A'!$D$60:$DS$104,$B27,18)*DN27=1,IF(AND($E27=2,IE27=0),1000000,INDEX('計算A'!U$110:U$114,$F27+1)+IF(AND($E27=1,IE27=0),1000,0)),1000000))</f>
        <v/>
      </c>
      <c r="MW27">
        <f>IF($B27=0,1000000,IF(INDEX('計算A'!$D$60:$DS$104,$B27,19)*DO27=1,IF(AND($E27=2,IF27=0),1000000,INDEX('計算A'!V$110:V$114,$F27+1)+IF(AND($E27=1,IF27=0),1000,0)),1000000))</f>
        <v/>
      </c>
      <c r="MX27">
        <f>IF($B27=0,1000000,IF(INDEX('計算A'!$D$60:$DS$104,$B27,20)*DP27=1,IF(AND($E27=2,IG27=0),1000000,INDEX('計算A'!W$110:W$114,$F27+1)+IF(AND($E27=1,IG27=0),1000,0)),1000000))</f>
        <v/>
      </c>
      <c r="MY27">
        <f>IF($B27=0,1000000,IF(INDEX('計算A'!$D$60:$DS$104,$B27,21)*DQ27=1,IF(AND($E27=2,IH27=0),1000000,INDEX('計算A'!X$110:X$114,$F27+1)+IF(AND($E27=1,IH27=0),1000,0)),1000000))</f>
        <v/>
      </c>
      <c r="MZ27">
        <f>IF($B27=0,1000000,IF(INDEX('計算A'!$D$60:$DS$104,$B27,22)*DR27=1,IF(AND($E27=2,II27=0),1000000,INDEX('計算A'!Y$110:Y$114,$F27+1)+IF(AND($E27=1,II27=0),1000,0)),1000000))</f>
        <v/>
      </c>
      <c r="NA27">
        <f>IF($B27=0,1000000,IF(INDEX('計算A'!$D$60:$DS$104,$B27,23)*DS27=1,IF(AND($E27=2,IJ27=0),1000000,INDEX('計算A'!Z$110:Z$114,$F27+1)+IF(AND($E27=1,IJ27=0),1000,0)),1000000))</f>
        <v/>
      </c>
      <c r="NB27">
        <f>IF($B27=0,1000000,IF(INDEX('計算A'!$D$60:$DS$104,$B27,24)*DT27=1,IF(AND($E27=2,IK27=0),1000000,INDEX('計算A'!AA$110:AA$114,$F27+1)+IF(AND($E27=1,IK27=0),1000,0)),1000000))</f>
        <v/>
      </c>
      <c r="NC27">
        <f>IF($B27=0,1000000,IF(INDEX('計算A'!$D$60:$DS$104,$B27,25)*DU27=1,IF(AND($E27=2,IL27=0),1000000,INDEX('計算A'!AB$110:AB$114,$F27+1)+IF(AND($E27=1,IL27=0),1000,0)),1000000))</f>
        <v/>
      </c>
      <c r="ND27">
        <f>IF($B27=0,1000000,IF(INDEX('計算A'!$D$60:$DS$104,$B27,26)*DV27=1,IF(AND($E27=2,IM27=0),1000000,INDEX('計算A'!AC$110:AC$114,$F27+1)+IF(AND($E27=1,IM27=0),1000,0)),1000000))</f>
        <v/>
      </c>
      <c r="NE27">
        <f>IF($B27=0,1000000,IF(INDEX('計算A'!$D$60:$DS$104,$B27,27)*DW27=1,IF(AND($E27=2,IN27=0),1000000,INDEX('計算A'!AD$110:AD$114,$F27+1)+IF(AND($E27=1,IN27=0),1000,0)),1000000))</f>
        <v/>
      </c>
      <c r="NF27">
        <f>IF($B27=0,1000000,IF(INDEX('計算A'!$D$60:$DS$104,$B27,28)*DX27=1,IF(AND($E27=2,IO27=0),1000000,INDEX('計算A'!AE$110:AE$114,$F27+1)+IF(AND($E27=1,IO27=0),1000,0)),1000000))</f>
        <v/>
      </c>
      <c r="NG27">
        <f>IF($B27=0,1000000,IF(INDEX('計算A'!$D$60:$DS$104,$B27,29)*DY27=1,IF(AND($E27=2,IP27=0),1000000,INDEX('計算A'!AF$110:AF$114,$F27+1)+IF(AND($E27=1,IP27=0),1000,0)),1000000))</f>
        <v/>
      </c>
      <c r="NH27">
        <f>IF($B27=0,1000000,IF(INDEX('計算A'!$D$60:$DS$104,$B27,30)*DZ27=1,IF(AND($E27=2,IQ27=0),1000000,INDEX('計算A'!AG$110:AG$114,$F27+1)+IF(AND($E27=1,IQ27=0),1000,0)),1000000))</f>
        <v/>
      </c>
      <c r="NI27">
        <f>IF($B27=0,1000000,IF(INDEX('計算A'!$D$60:$DS$104,$B27,31)*EA27=1,IF(AND($E27=2,IR27=0),1000000,INDEX('計算A'!AH$110:AH$114,$F27+1)+IF(AND($E27=1,IR27=0),1000,0)),1000000))</f>
        <v/>
      </c>
      <c r="NJ27">
        <f>IF($B27=0,1000000,IF(INDEX('計算A'!$D$60:$DS$104,$B27,32)*EB27=1,IF(AND($E27=2,IS27=0),1000000,INDEX('計算A'!AI$110:AI$114,$F27+1)+IF(AND($E27=1,IS27=0),1000,0)),1000000))</f>
        <v/>
      </c>
      <c r="NK27">
        <f>IF($B27=0,1000000,IF(INDEX('計算A'!$D$60:$DS$104,$B27,33)*EC27=1,IF(AND($E27=2,IT27=0),1000000,INDEX('計算A'!AJ$110:AJ$114,$F27+1)+IF(AND($E27=1,IT27=0),1000,0)),1000000))</f>
        <v/>
      </c>
      <c r="NL27">
        <f>IF($B27=0,1000000,IF(INDEX('計算A'!$D$60:$DS$104,$B27,34)*ED27=1,IF(AND($E27=2,IU27=0),1000000,INDEX('計算A'!AK$110:AK$114,$F27+1)+IF(AND($E27=1,IU27=0),1000,0)),1000000))</f>
        <v/>
      </c>
      <c r="NM27">
        <f>IF($B27=0,1000000,IF(INDEX('計算A'!$D$60:$DS$104,$B27,35)*EE27=1,IF(AND($E27=2,IV27=0),1000000,INDEX('計算A'!AL$110:AL$114,$F27+1)+IF(AND($E27=1,IV27=0),1000,0)),1000000))</f>
        <v/>
      </c>
      <c r="NN27">
        <f>IF($B27=0,1000000,IF(INDEX('計算A'!$D$60:$DS$104,$B27,36)*EF27=1,IF(AND($E27=2,IW27=0),1000000,INDEX('計算A'!AM$110:AM$114,$F27+1)+IF(AND($E27=1,IW27=0),1000,0)),1000000))</f>
        <v/>
      </c>
      <c r="NO27">
        <f>IF($B27=0,1000000,IF(INDEX('計算A'!$D$60:$DS$104,$B27,37)*EG27=1,IF(AND($E27=2,IX27=0),1000000,INDEX('計算A'!AN$110:AN$114,$F27+1)+IF(AND($E27=1,IX27=0),1000,0)),1000000))</f>
        <v/>
      </c>
      <c r="NP27">
        <f>IF($B27=0,1000000,IF(INDEX('計算A'!$D$60:$DS$104,$B27,38)*EH27=1,IF(AND($E27=2,IY27=0),1000000,INDEX('計算A'!AO$110:AO$114,$F27+1)+IF(AND($E27=1,IY27=0),1000,0)),1000000))</f>
        <v/>
      </c>
      <c r="NQ27">
        <f>IF($B27=0,1000000,IF(INDEX('計算A'!$D$60:$DS$104,$B27,39)*EI27=1,IF(AND($E27=2,IZ27=0),1000000,INDEX('計算A'!AP$110:AP$114,$F27+1)+IF(AND($E27=1,IZ27=0),1000,0)),1000000))</f>
        <v/>
      </c>
      <c r="NR27">
        <f>IF($B27=0,1000000,IF(INDEX('計算A'!$D$60:$DS$104,$B27,40)*EJ27=1,IF(AND($E27=2,JA27=0),1000000,INDEX('計算A'!AQ$110:AQ$114,$F27+1)+IF(AND($E27=1,JA27=0),1000,0)),1000000))</f>
        <v/>
      </c>
      <c r="NS27">
        <f>IF($B27=0,1000000,IF(INDEX('計算A'!$D$60:$DS$104,$B27,41)*EK27=1,IF(AND($E27=2,JB27=0),1000000,INDEX('計算A'!AR$110:AR$114,$F27+1)+IF(AND($E27=1,JB27=0),1000,0)),1000000))</f>
        <v/>
      </c>
      <c r="NT27">
        <f>IF($B27=0,1000000,IF(INDEX('計算A'!$D$60:$DS$104,$B27,42)*EL27=1,IF(AND($E27=2,JC27=0),1000000,INDEX('計算A'!AS$110:AS$114,$F27+1)+IF(AND($E27=1,JC27=0),1000,0)),1000000))</f>
        <v/>
      </c>
      <c r="NU27">
        <f>IF($B27=0,1000000,IF(INDEX('計算A'!$D$60:$DS$104,$B27,43)*EM27=1,IF(AND($E27=2,JD27=0),1000000,INDEX('計算A'!AT$110:AT$114,$F27+1)+IF(AND($E27=1,JD27=0),1000,0)),1000000))</f>
        <v/>
      </c>
      <c r="NV27">
        <f>IF($B27=0,1000000,IF(INDEX('計算A'!$D$60:$DS$104,$B27,44)*EN27=1,IF(AND($E27=2,JE27=0),1000000,INDEX('計算A'!AU$110:AU$114,$F27+1)+IF(AND($E27=1,JE27=0),1000,0)),1000000))</f>
        <v/>
      </c>
      <c r="NW27">
        <f>IF($B27=0,1000000,IF(INDEX('計算A'!$D$60:$DS$104,$B27,45)*EO27=1,IF(AND($E27=2,JF27=0),1000000,INDEX('計算A'!AV$110:AV$114,$F27+1)+IF(AND($E27=1,JF27=0),1000,0)),1000000))</f>
        <v/>
      </c>
      <c r="NX27">
        <f>IF($B27=0,1000000,IF(INDEX('計算A'!$D$60:$DS$104,$B27,46)*EP27=1,IF(AND($E27=2,JG27=0),1000000,INDEX('計算A'!AW$110:AW$114,$F27+1)+IF(AND($E27=1,JG27=0),1000,0)),1000000))</f>
        <v/>
      </c>
      <c r="NY27">
        <f>IF($B27=0,1000000,IF(INDEX('計算A'!$D$60:$DS$104,$B27,47)*EQ27=1,IF(AND($E27=2,JH27=0),1000000,INDEX('計算A'!AX$110:AX$114,$F27+1)+IF(AND($E27=1,JH27=0),1000,0)),1000000))</f>
        <v/>
      </c>
      <c r="NZ27">
        <f>IF($B27=0,1000000,IF(INDEX('計算A'!$D$60:$DS$104,$B27,48)*ER27=1,IF(AND($E27=2,JI27=0),1000000,INDEX('計算A'!AY$110:AY$114,$F27+1)+IF(AND($E27=1,JI27=0),1000,0)),1000000))</f>
        <v/>
      </c>
      <c r="OA27">
        <f>IF($B27=0,1000000,IF(INDEX('計算A'!$D$60:$DS$104,$B27,49)*ES27=1,IF(AND($E27=2,JJ27=0),1000000,INDEX('計算A'!AZ$110:AZ$114,$F27+1)+IF(AND($E27=1,JJ27=0),1000,0)),1000000))</f>
        <v/>
      </c>
      <c r="OB27">
        <f>IF($B27=0,1000000,IF(INDEX('計算A'!$D$60:$DS$104,$B27,50)*ET27=1,IF(AND($E27=2,JK27=0),1000000,INDEX('計算A'!BA$110:BA$114,$F27+1)+IF(AND($E27=1,JK27=0),1000,0)),1000000))</f>
        <v/>
      </c>
      <c r="OC27">
        <f>IF($B27=0,1000000,IF(INDEX('計算A'!$D$60:$DS$104,$B27,51)*EU27=1,IF(AND($E27=2,JL27=0),1000000,INDEX('計算A'!BB$110:BB$114,$F27+1)+IF(AND($E27=1,JL27=0),1000,0)),1000000))</f>
        <v/>
      </c>
      <c r="OD27">
        <f>IF($B27=0,1000000,IF(INDEX('計算A'!$D$60:$DS$104,$B27,52)*EV27=1,IF(AND($E27=2,JM27=0),1000000,INDEX('計算A'!BC$110:BC$114,$F27+1)+IF(AND($E27=1,JM27=0),1000,0)),1000000))</f>
        <v/>
      </c>
      <c r="OE27">
        <f>IF($B27=0,1000000,IF(INDEX('計算A'!$D$60:$DS$104,$B27,53)*EW27=1,IF(AND($E27=2,JN27=0),1000000,INDEX('計算A'!BD$110:BD$114,$F27+1)+IF(AND($E27=1,JN27=0),1000,0)),1000000))</f>
        <v/>
      </c>
      <c r="OF27">
        <f>IF($B27=0,1000000,IF(INDEX('計算A'!$D$60:$DS$104,$B27,54)*EX27=1,IF(AND($E27=2,JO27=0),1000000,INDEX('計算A'!BE$110:BE$114,$F27+1)+IF(AND($E27=1,JO27=0),1000,0)),1000000))</f>
        <v/>
      </c>
      <c r="OG27">
        <f>IF($B27=0,1000000,IF(INDEX('計算A'!$D$60:$DS$104,$B27,55)*EY27=1,IF(AND($E27=2,JP27=0),1000000,INDEX('計算A'!BF$110:BF$114,$F27+1)+IF(AND($E27=1,JP27=0),1000,0)),1000000))</f>
        <v/>
      </c>
      <c r="OH27">
        <f>IF($B27=0,1000000,IF(INDEX('計算A'!$D$60:$DS$104,$B27,56)*EZ27=1,IF(AND($E27=2,JQ27=0),1000000,INDEX('計算A'!BG$110:BG$114,$F27+1)+IF(AND($E27=1,JQ27=0),1000,0)),1000000))</f>
        <v/>
      </c>
      <c r="OI27">
        <f>IF($B27=0,1000000,IF(INDEX('計算A'!$D$60:$DS$104,$B27,57)*FA27=1,IF(AND($E27=2,JR27=0),1000000,INDEX('計算A'!BH$110:BH$114,$F27+1)+IF(AND($E27=1,JR27=0),1000,0)),1000000))</f>
        <v/>
      </c>
      <c r="OJ27">
        <f>IF($B27=0,1000000,IF(INDEX('計算A'!$D$60:$DS$104,$B27,58)*FB27=1,IF(AND($E27=2,JS27=0),1000000,INDEX('計算A'!BI$110:BI$114,$F27+1)+IF(AND($E27=1,JS27=0),1000,0)),1000000))</f>
        <v/>
      </c>
      <c r="OK27">
        <f>IF($B27=0,1000000,IF(INDEX('計算A'!$D$60:$DS$104,$B27,59)*FC27=1,IF(AND($E27=2,JT27=0),1000000,INDEX('計算A'!BJ$110:BJ$114,$F27+1)+IF(AND($E27=1,JT27=0),1000,0)),1000000))</f>
        <v/>
      </c>
      <c r="OL27">
        <f>IF($B27=0,1000000,IF(INDEX('計算A'!$D$60:$DS$104,$B27,60)*FD27=1,IF(AND($E27=2,JU27=0),1000000,INDEX('計算A'!BK$110:BK$114,$F27+1)+IF(AND($E27=1,JU27=0),1000,0)),1000000))</f>
        <v/>
      </c>
      <c r="OM27">
        <f>IF($B27=0,1000000,IF(INDEX('計算A'!$D$60:$DS$104,$B27,61)*FE27=1,IF(AND($E27=2,JV27=0),1000000,INDEX('計算A'!BL$110:BL$114,$F27+1)+IF(AND($E27=1,JV27=0),1000,0)),1000000))</f>
        <v/>
      </c>
      <c r="ON27">
        <f>IF($B27=0,1000000,IF(INDEX('計算A'!$D$60:$DS$104,$B27,62)*FF27=1,IF(AND($E27=2,JW27=0),1000000,INDEX('計算A'!BM$110:BM$114,$F27+1)+IF(AND($E27=1,JW27=0),1000,0)),1000000))</f>
        <v/>
      </c>
      <c r="OO27">
        <f>IF($B27=0,1000000,IF(INDEX('計算A'!$D$60:$DS$104,$B27,63)*FG27=1,IF(AND($E27=2,JX27=0),1000000,INDEX('計算A'!BN$110:BN$114,$F27+1)+IF(AND($E27=1,JX27=0),1000,0)),1000000))</f>
        <v/>
      </c>
      <c r="OP27">
        <f>IF($B27=0,1000000,IF(INDEX('計算A'!$D$60:$DS$104,$B27,64)*FH27=1,IF(AND($E27=2,JY27=0),1000000,INDEX('計算A'!BO$110:BO$114,$F27+1)+IF(AND($E27=1,JY27=0),1000,0)),1000000))</f>
        <v/>
      </c>
      <c r="OQ27">
        <f>IF($B27=0,1000000,IF(INDEX('計算A'!$D$60:$DS$104,$B27,65)*FI27=1,IF(AND($E27=2,JZ27=0),1000000,INDEX('計算A'!BP$110:BP$114,$F27+1)+IF(AND($E27=1,JZ27=0),1000,0)),1000000))</f>
        <v/>
      </c>
      <c r="OR27">
        <f>IF($B27=0,1000000,IF(INDEX('計算A'!$D$60:$DS$104,$B27,66)*FJ27=1,IF(AND($E27=2,KA27=0),1000000,INDEX('計算A'!BQ$110:BQ$114,$F27+1)+IF(AND($E27=1,KA27=0),1000,0)),1000000))</f>
        <v/>
      </c>
      <c r="OS27">
        <f>IF($B27=0,1000000,IF(INDEX('計算A'!$D$60:$DS$104,$B27,67)*FK27=1,IF(AND($E27=2,KB27=0),1000000,INDEX('計算A'!BR$110:BR$114,$F27+1)+IF(AND($E27=1,KB27=0),1000,0)),1000000))</f>
        <v/>
      </c>
      <c r="OT27">
        <f>IF($B27=0,1000000,IF(INDEX('計算A'!$D$60:$DS$104,$B27,68)*FL27=1,IF(AND($E27=2,KC27=0),1000000,INDEX('計算A'!BS$110:BS$114,$F27+1)+IF(AND($E27=1,KC27=0),1000,0)),1000000))</f>
        <v/>
      </c>
      <c r="OU27">
        <f>IF($B27=0,1000000,IF(INDEX('計算A'!$D$60:$DS$104,$B27,69)*FM27=1,IF(AND($E27=2,KD27=0),1000000,INDEX('計算A'!BT$110:BT$114,$F27+1)+IF(AND($E27=1,KD27=0),1000,0)),1000000))</f>
        <v/>
      </c>
      <c r="OV27">
        <f>IF($B27=0,1000000,IF(INDEX('計算A'!$D$60:$DS$104,$B27,70)*FN27=1,IF(AND($E27=2,KE27=0),1000000,INDEX('計算A'!BU$110:BU$114,$F27+1)+IF(AND($E27=1,KE27=0),1000,0)),1000000))</f>
        <v/>
      </c>
      <c r="OW27">
        <f>IF($B27=0,1000000,IF(INDEX('計算A'!$D$60:$DS$104,$B27,71)*FO27=1,IF(AND($E27=2,KF27=0),1000000,INDEX('計算A'!BV$110:BV$114,$F27+1)+IF(AND($E27=1,KF27=0),1000,0)),1000000))</f>
        <v/>
      </c>
      <c r="OX27">
        <f>IF($B27=0,1000000,IF(INDEX('計算A'!$D$60:$DS$104,$B27,72)*FP27=1,IF(AND($E27=2,KG27=0),1000000,INDEX('計算A'!BW$110:BW$114,$F27+1)+IF(AND($E27=1,KG27=0),1000,0)),1000000))</f>
        <v/>
      </c>
      <c r="OY27">
        <f>IF($B27=0,1000000,IF(INDEX('計算A'!$D$60:$DS$104,$B27,73)*FQ27=1,IF(AND($E27=2,KH27=0),1000000,INDEX('計算A'!BX$110:BX$114,$F27+1)+IF(AND($E27=1,KH27=0),1000,0)),1000000))</f>
        <v/>
      </c>
      <c r="OZ27">
        <f>IF($B27=0,1000000,IF(INDEX('計算A'!$D$60:$DS$104,$B27,74)*FR27=1,IF(AND($E27=2,KI27=0),1000000,INDEX('計算A'!BY$110:BY$114,$F27+1)+IF(AND($E27=1,KI27=0),1000,0)),1000000))</f>
        <v/>
      </c>
      <c r="PA27">
        <f>IF($B27=0,1000000,IF(INDEX('計算A'!$D$60:$DS$104,$B27,75)*FS27=1,IF(AND($E27=2,KJ27=0),1000000,INDEX('計算A'!BZ$110:BZ$114,$F27+1)+IF(AND($E27=1,KJ27=0),1000,0)),1000000))</f>
        <v/>
      </c>
      <c r="PB27">
        <f>IF($B27=0,1000000,IF(INDEX('計算A'!$D$60:$DS$104,$B27,76)*FT27=1,IF(AND($E27=2,KK27=0),1000000,INDEX('計算A'!CA$110:CA$114,$F27+1)+IF(AND($E27=1,KK27=0),1000,0)),1000000))</f>
        <v/>
      </c>
      <c r="PC27">
        <f>IF($B27=0,1000000,IF(INDEX('計算A'!$D$60:$DS$104,$B27,77)*FU27=1,IF(AND($E27=2,KL27=0),1000000,INDEX('計算A'!CB$110:CB$114,$F27+1)+IF(AND($E27=1,KL27=0),1000,0)),1000000))</f>
        <v/>
      </c>
      <c r="PD27">
        <f>IF($B27=0,1000000,IF(INDEX('計算A'!$D$60:$DS$104,$B27,78)*FV27=1,IF(AND($E27=2,KM27=0),1000000,INDEX('計算A'!CC$110:CC$114,$F27+1)+IF(AND($E27=1,KM27=0),1000,0)),1000000))</f>
        <v/>
      </c>
      <c r="PE27">
        <f>IF($B27=0,1000000,IF(INDEX('計算A'!$D$60:$DS$104,$B27,79)*FW27=1,IF(AND($E27=2,KN27=0),1000000,INDEX('計算A'!CD$110:CD$114,$F27+1)+IF(AND($E27=1,KN27=0),1000,0)),1000000))</f>
        <v/>
      </c>
      <c r="PF27">
        <f>IF($B27=0,1000000,IF(INDEX('計算A'!$D$60:$DS$104,$B27,80)*FX27=1,IF(AND($E27=2,KO27=0),1000000,INDEX('計算A'!CE$110:CE$114,$F27+1)+IF(AND($E27=1,KO27=0),1000,0)),1000000))</f>
        <v/>
      </c>
      <c r="PG27">
        <f>IF($B27=0,1000000,IF(INDEX('計算A'!$D$60:$DS$104,$B27,81)*FY27=1,IF(AND($E27=2,KP27=0),1000000,INDEX('計算A'!CF$110:CF$114,$F27+1)+IF(AND($E27=1,KP27=0),1000,0)),1000000))</f>
        <v/>
      </c>
      <c r="PH27">
        <f>IF($B27=0,1000000,IF(INDEX('計算A'!$D$60:$DS$104,$B27,82)*FZ27=1,IF(AND($E27=2,KQ27=0),1000000,INDEX('計算A'!CG$110:CG$114,$F27+1)+IF(AND($E27=1,KQ27=0),1000,0)),1000000))</f>
        <v/>
      </c>
      <c r="PI27">
        <f>IF($B27=0,1000000,IF(INDEX('計算A'!$D$60:$DS$104,$B27,83)*GA27=1,IF(AND($E27=2,KR27=0),1000000,INDEX('計算A'!CH$110:CH$114,$F27+1)+IF(AND($E27=1,KR27=0),1000,0)),1000000))</f>
        <v/>
      </c>
      <c r="PJ27">
        <f>IF($B27=0,1000000,IF(INDEX('計算A'!$D$60:$DS$104,$B27,84)*GB27=1,IF(AND($E27=2,KS27=0),1000000,INDEX('計算A'!CI$110:CI$114,$F27+1)+IF(AND($E27=1,KS27=0),1000,0)),1000000))</f>
        <v/>
      </c>
      <c r="PK27">
        <f>IF($B27=0,1000000,IF(INDEX('計算A'!$D$60:$DS$104,$B27,85)*GC27=1,IF(AND($E27=2,KT27=0),1000000,INDEX('計算A'!CJ$110:CJ$114,$F27+1)+IF(AND($E27=1,KT27=0),1000,0)),1000000))</f>
        <v/>
      </c>
      <c r="PL27">
        <f>IF($B27=0,1000000,IF(INDEX('計算A'!$D$60:$DS$104,$B27,86)*GD27=1,IF(AND($E27=2,KU27=0),1000000,INDEX('計算A'!CK$110:CK$114,$F27+1)+IF(AND($E27=1,KU27=0),1000,0)),1000000))</f>
        <v/>
      </c>
      <c r="PM27">
        <f>IF($B27=0,1000000,IF(INDEX('計算A'!$D$60:$DS$104,$B27,87)*GE27=1,IF(AND($E27=2,KV27=0),1000000,INDEX('計算A'!CL$110:CL$114,$F27+1)+IF(AND($E27=1,KV27=0),1000,0)),1000000))</f>
        <v/>
      </c>
      <c r="PN27">
        <f>IF($B27=0,1000000,IF(INDEX('計算A'!$D$60:$DS$104,$B27,88)*GF27=1,IF(AND($E27=2,KW27=0),1000000,INDEX('計算A'!CM$110:CM$114,$F27+1)+IF(AND($E27=1,KW27=0),1000,0)),1000000))</f>
        <v/>
      </c>
      <c r="PO27">
        <f>IF($B27=0,1000000,IF(INDEX('計算A'!$D$60:$DS$104,$B27,89)*GG27=1,IF(AND($E27=2,KX27=0),1000000,INDEX('計算A'!CN$110:CN$114,$F27+1)+IF(AND($E27=1,KX27=0),1000,0)),1000000))</f>
        <v/>
      </c>
      <c r="PP27">
        <f>IF($B27=0,1000000,IF(INDEX('計算A'!$D$60:$DS$104,$B27,90)*GH27=1,IF(AND($E27=2,KY27=0),1000000,INDEX('計算A'!CO$110:CO$114,$F27+1)+IF(AND($E27=1,KY27=0),1000,0)),1000000))</f>
        <v/>
      </c>
      <c r="PQ27">
        <f>IF($B27=0,1000000,IF(INDEX('計算A'!$D$60:$DS$104,$B27,91)*GI27=1,IF(AND($E27=2,KZ27=0),1000000,INDEX('計算A'!CP$110:CP$114,$F27+1)+IF(AND($E27=1,KZ27=0),1000,0)),1000000))</f>
        <v/>
      </c>
      <c r="PR27">
        <f>IF($B27=0,1000000,IF(INDEX('計算A'!$D$60:$DS$104,$B27,92)*GJ27=1,IF(AND($E27=2,LA27=0),1000000,INDEX('計算A'!CQ$110:CQ$114,$F27+1)+IF(AND($E27=1,LA27=0),1000,0)),1000000))</f>
        <v/>
      </c>
      <c r="PS27">
        <f>IF($B27=0,1000000,IF(INDEX('計算A'!$D$60:$DS$104,$B27,93)*GK27=1,IF(AND($E27=2,LB27=0),1000000,INDEX('計算A'!CR$110:CR$114,$F27+1)+IF(AND($E27=1,LB27=0),1000,0)),1000000))</f>
        <v/>
      </c>
      <c r="PT27">
        <f>IF($B27=0,1000000,IF(INDEX('計算A'!$D$60:$DS$104,$B27,94)*GL27=1,IF(AND($E27=2,LC27=0),1000000,INDEX('計算A'!CS$110:CS$114,$F27+1)+IF(AND($E27=1,LC27=0),1000,0)),1000000))</f>
        <v/>
      </c>
      <c r="PU27">
        <f>IF($B27=0,1000000,IF(INDEX('計算A'!$D$60:$DS$104,$B27,95)*GM27=1,IF(AND($E27=2,LD27=0),1000000,INDEX('計算A'!CT$110:CT$114,$F27+1)+IF(AND($E27=1,LD27=0),1000,0)),1000000))</f>
        <v/>
      </c>
      <c r="PV27">
        <f>IF($B27=0,1000000,IF(INDEX('計算A'!$D$60:$DS$104,$B27,96)*GN27=1,IF(AND($E27=2,LE27=0),1000000,INDEX('計算A'!CU$110:CU$114,$F27+1)+IF(AND($E27=1,LE27=0),1000,0)),1000000))</f>
        <v/>
      </c>
      <c r="PW27">
        <f>IF($B27=0,1000000,IF(INDEX('計算A'!$D$60:$DS$104,$B27,97)*GO27=1,IF(AND($E27=2,LF27=0),1000000,INDEX('計算A'!CV$110:CV$114,$F27+1)+IF(AND($E27=1,LF27=0),1000,0)),1000000))</f>
        <v/>
      </c>
      <c r="PX27">
        <f>IF($B27=0,1000000,IF(INDEX('計算A'!$D$60:$DS$104,$B27,98)*GP27=1,IF(AND($E27=2,LG27=0),1000000,INDEX('計算A'!CW$110:CW$114,$F27+1)+IF(AND($E27=1,LG27=0),1000,0)),1000000))</f>
        <v/>
      </c>
      <c r="PY27">
        <f>IF($B27=0,1000000,IF(INDEX('計算A'!$D$60:$DS$104,$B27,99)*GQ27=1,IF(AND($E27=2,LH27=0),1000000,INDEX('計算A'!CX$110:CX$114,$F27+1)+IF(AND($E27=1,LH27=0),1000,0)),1000000))</f>
        <v/>
      </c>
      <c r="PZ27">
        <f>IF($B27=0,1000000,IF(INDEX('計算A'!$D$60:$DS$104,$B27,100)*GR27=1,IF(AND($E27=2,LI27=0),1000000,INDEX('計算A'!CY$110:CY$114,$F27+1)+IF(AND($E27=1,LI27=0),1000,0)),1000000))</f>
        <v/>
      </c>
      <c r="QA27">
        <f>IF($B27=0,1000000,IF(INDEX('計算A'!$D$60:$DS$104,$B27,101)*GS27=1,IF(AND($E27=2,LJ27=0),1000000,INDEX('計算A'!CZ$110:CZ$114,$F27+1)+IF(AND($E27=1,LJ27=0),1000,0)),1000000))</f>
        <v/>
      </c>
      <c r="QB27">
        <f>IF($B27=0,1000000,IF(INDEX('計算A'!$D$60:$DS$104,$B27,102)*GT27=1,IF(AND($E27=2,LK27=0),1000000,INDEX('計算A'!DA$110:DA$114,$F27+1)+IF(AND($E27=1,LK27=0),1000,0)),1000000))</f>
        <v/>
      </c>
      <c r="QC27">
        <f>IF($B27=0,1000000,IF(INDEX('計算A'!$D$60:$DS$104,$B27,103)*GU27=1,IF(AND($E27=2,LL27=0),1000000,INDEX('計算A'!DB$110:DB$114,$F27+1)+IF(AND($E27=1,LL27=0),1000,0)),1000000))</f>
        <v/>
      </c>
      <c r="QD27">
        <f>IF($B27=0,1000000,IF(INDEX('計算A'!$D$60:$DS$104,$B27,104)*GV27=1,IF(AND($E27=2,LM27=0),1000000,INDEX('計算A'!DC$110:DC$114,$F27+1)+IF(AND($E27=1,LM27=0),1000,0)),1000000))</f>
        <v/>
      </c>
      <c r="QE27">
        <f>IF($B27=0,1000000,IF(INDEX('計算A'!$D$60:$DS$104,$B27,105)*GW27=1,IF(AND($E27=2,LN27=0),1000000,INDEX('計算A'!DD$110:DD$114,$F27+1)+IF(AND($E27=1,LN27=0),1000,0)),1000000))</f>
        <v/>
      </c>
      <c r="QF27">
        <f>IF($B27=0,1000000,IF(INDEX('計算A'!$D$60:$DS$104,$B27,106)*GX27=1,IF(AND($E27=2,LO27=0),1000000,INDEX('計算A'!DE$110:DE$114,$F27+1)+IF(AND($E27=1,LO27=0),1000,0)),1000000))</f>
        <v/>
      </c>
      <c r="QG27">
        <f>IF($B27=0,1000000,IF(INDEX('計算A'!$D$60:$DS$104,$B27,107)*GY27=1,IF(AND($E27=2,LP27=0),1000000,INDEX('計算A'!DF$110:DF$114,$F27+1)+IF(AND($E27=1,LP27=0),1000,0)),1000000))</f>
        <v/>
      </c>
      <c r="QH27">
        <f>IF($B27=0,1000000,IF(INDEX('計算A'!$D$60:$DS$104,$B27,108)*GZ27=1,IF(AND($E27=2,LQ27=0),1000000,INDEX('計算A'!DG$110:DG$114,$F27+1)+IF(AND($E27=1,LQ27=0),1000,0)),1000000))</f>
        <v/>
      </c>
      <c r="QI27">
        <f>IF($B27=0,1000000,IF(INDEX('計算A'!$D$60:$DS$104,$B27,109)*HA27=1,IF(AND($E27=2,LR27=0),1000000,INDEX('計算A'!DH$110:DH$114,$F27+1)+IF(AND($E27=1,LR27=0),1000,0)),1000000))</f>
        <v/>
      </c>
      <c r="QJ27">
        <f>IF($B27=0,1000000,IF(INDEX('計算A'!$D$60:$DS$104,$B27,110)*HB27=1,IF(AND($E27=2,LS27=0),1000000,INDEX('計算A'!DI$110:DI$114,$F27+1)+IF(AND($E27=1,LS27=0),1000,0)),1000000))</f>
        <v/>
      </c>
      <c r="QK27">
        <f>IF($B27=0,1000000,IF(INDEX('計算A'!$D$60:$DS$104,$B27,111)*HC27=1,IF(AND($E27=2,LT27=0),1000000,INDEX('計算A'!DJ$110:DJ$114,$F27+1)+IF(AND($E27=1,LT27=0),1000,0)),1000000))</f>
        <v/>
      </c>
      <c r="QL27">
        <f>IF($B27=0,1000000,IF(INDEX('計算A'!$D$60:$DS$104,$B27,112)*HD27=1,IF(AND($E27=2,LU27=0),1000000,INDEX('計算A'!DK$110:DK$114,$F27+1)+IF(AND($E27=1,LU27=0),1000,0)),1000000))</f>
        <v/>
      </c>
      <c r="QM27">
        <f>IF($B27=0,1000000,IF(INDEX('計算A'!$D$60:$DS$104,$B27,113)*HE27=1,IF(AND($E27=2,LV27=0),1000000,INDEX('計算A'!DL$110:DL$114,$F27+1)+IF(AND($E27=1,LV27=0),1000,0)),1000000))</f>
        <v/>
      </c>
      <c r="QN27">
        <f>IF($B27=0,1000000,IF(INDEX('計算A'!$D$60:$DS$104,$B27,114)*HF27=1,IF(AND($E27=2,LW27=0),1000000,INDEX('計算A'!DM$110:DM$114,$F27+1)+IF(AND($E27=1,LW27=0),1000,0)),1000000))</f>
        <v/>
      </c>
      <c r="QO27">
        <f>IF($B27=0,1000000,IF(INDEX('計算A'!$D$60:$DS$104,$B27,115)*HG27=1,IF(AND($E27=2,LX27=0),1000000,INDEX('計算A'!DN$110:DN$114,$F27+1)+IF(AND($E27=1,LX27=0),1000,0)),1000000))</f>
        <v/>
      </c>
      <c r="QP27">
        <f>IF($B27=0,1000000,IF(INDEX('計算A'!$D$60:$DS$104,$B27,116)*HH27=1,IF(AND($E27=2,LY27=0),1000000,INDEX('計算A'!DO$110:DO$114,$F27+1)+IF(AND($E27=1,LY27=0),1000,0)),1000000))</f>
        <v/>
      </c>
      <c r="QQ27">
        <f>IF($B27=0,1000000,IF(INDEX('計算A'!$D$60:$DS$104,$B27,117)*HI27=1,IF(AND($E27=2,LZ27=0),1000000,INDEX('計算A'!DP$110:DP$114,$F27+1)+IF(AND($E27=1,LZ27=0),1000,0)),1000000))</f>
        <v/>
      </c>
      <c r="QR27">
        <f>IF($B27=0,1000000,IF(INDEX('計算A'!$D$60:$DS$104,$B27,118)*HJ27=1,IF(AND($E27=2,MA27=0),1000000,INDEX('計算A'!DQ$110:DQ$114,$F27+1)+IF(AND($E27=1,MA27=0),1000,0)),1000000))</f>
        <v/>
      </c>
      <c r="QS27">
        <f>IF($B27=0,1000000,IF(INDEX('計算A'!$D$60:$DS$104,$B27,119)*HK27=1,IF(AND($E27=2,MB27=0),1000000,INDEX('計算A'!DR$110:DR$114,$F27+1)+IF(AND($E27=1,MB27=0),1000,0)),1000000))</f>
        <v/>
      </c>
      <c r="QT27">
        <f>IF($B27=0,1000000,IF(INDEX('計算A'!$D$60:$DS$104,$B27,120)*HL27=1,IF(AND($E27=2,MC27=0),1000000,INDEX('計算A'!DS$110:DS$114,$F27+1)+IF(AND($E27=1,MC27=0),1000,0)),1000000))</f>
        <v/>
      </c>
    </row>
    <row r="28">
      <c r="A28" t="n">
        <v>26</v>
      </c>
      <c r="B28">
        <f>IF(MIN(BC28:CU28)&gt;=1000000,0,MATCH(MIN(BC28:CU28),BC28:CU28,0))</f>
        <v/>
      </c>
      <c r="C28">
        <f>IF(MIN(ME28:QT28)&gt;=1000000,0,MATCH(MIN(ME28:QT28),ME28:QT28,0))</f>
        <v/>
      </c>
      <c r="D28">
        <f>IF(C28&gt;0,INDEX('計算A'!$D$5:$DS$5,C28),0)</f>
        <v/>
      </c>
      <c r="E28">
        <f>IF(B28=0,0,INDEX('計算A'!$EA$10:$EA$54,B28))</f>
        <v/>
      </c>
      <c r="F28">
        <f>IF(B28=0,0,INDEX('計算A'!$DZ$10:$DZ$54,B28))</f>
        <v/>
      </c>
      <c r="G28">
        <f>IF(AND(C28&gt;0,E28&gt;0),IF(AND(INDEX('計算A'!$D$106:$DS$106,C28)=1,INDEX($HN28:$MC28,C28)=1),C28+1,0),0)</f>
        <v/>
      </c>
      <c r="I28">
        <f>MAX(I27,IF($B27=1,1,0))</f>
        <v/>
      </c>
      <c r="J28">
        <f>MAX(J27,IF($B27=2,1,0))</f>
        <v/>
      </c>
      <c r="K28">
        <f>MAX(K27,IF($B27=3,1,0))</f>
        <v/>
      </c>
      <c r="L28">
        <f>MAX(L27,IF($B27=4,1,0))</f>
        <v/>
      </c>
      <c r="M28">
        <f>MAX(M27,IF($B27=5,1,0))</f>
        <v/>
      </c>
      <c r="N28">
        <f>MAX(N27,IF($B27=6,1,0))</f>
        <v/>
      </c>
      <c r="O28">
        <f>MAX(O27,IF($B27=7,1,0))</f>
        <v/>
      </c>
      <c r="P28">
        <f>MAX(P27,IF($B27=8,1,0))</f>
        <v/>
      </c>
      <c r="Q28">
        <f>MAX(Q27,IF($B27=9,1,0))</f>
        <v/>
      </c>
      <c r="R28">
        <f>MAX(R27,IF($B27=10,1,0))</f>
        <v/>
      </c>
      <c r="S28">
        <f>MAX(S27,IF($B27=11,1,0))</f>
        <v/>
      </c>
      <c r="T28">
        <f>MAX(T27,IF($B27=12,1,0))</f>
        <v/>
      </c>
      <c r="U28">
        <f>MAX(U27,IF($B27=13,1,0))</f>
        <v/>
      </c>
      <c r="V28">
        <f>MAX(V27,IF($B27=14,1,0))</f>
        <v/>
      </c>
      <c r="W28">
        <f>MAX(W27,IF($B27=15,1,0))</f>
        <v/>
      </c>
      <c r="X28">
        <f>MAX(X27,IF($B27=16,1,0))</f>
        <v/>
      </c>
      <c r="Y28">
        <f>MAX(Y27,IF($B27=17,1,0))</f>
        <v/>
      </c>
      <c r="Z28">
        <f>MAX(Z27,IF($B27=18,1,0))</f>
        <v/>
      </c>
      <c r="AA28">
        <f>MAX(AA27,IF($B27=19,1,0))</f>
        <v/>
      </c>
      <c r="AB28">
        <f>MAX(AB27,IF($B27=20,1,0))</f>
        <v/>
      </c>
      <c r="AC28">
        <f>MAX(AC27,IF($B27=21,1,0))</f>
        <v/>
      </c>
      <c r="AD28">
        <f>MAX(AD27,IF($B27=22,1,0))</f>
        <v/>
      </c>
      <c r="AE28">
        <f>MAX(AE27,IF($B27=23,1,0))</f>
        <v/>
      </c>
      <c r="AF28">
        <f>MAX(AF27,IF($B27=24,1,0))</f>
        <v/>
      </c>
      <c r="AG28">
        <f>MAX(AG27,IF($B27=25,1,0))</f>
        <v/>
      </c>
      <c r="AH28">
        <f>MAX(AH27,IF($B27=26,1,0))</f>
        <v/>
      </c>
      <c r="AI28">
        <f>MAX(AI27,IF($B27=27,1,0))</f>
        <v/>
      </c>
      <c r="AJ28">
        <f>MAX(AJ27,IF($B27=28,1,0))</f>
        <v/>
      </c>
      <c r="AK28">
        <f>MAX(AK27,IF($B27=29,1,0))</f>
        <v/>
      </c>
      <c r="AL28">
        <f>MAX(AL27,IF($B27=30,1,0))</f>
        <v/>
      </c>
      <c r="AM28">
        <f>MAX(AM27,IF($B27=31,1,0))</f>
        <v/>
      </c>
      <c r="AN28">
        <f>MAX(AN27,IF($B27=32,1,0))</f>
        <v/>
      </c>
      <c r="AO28">
        <f>MAX(AO27,IF($B27=33,1,0))</f>
        <v/>
      </c>
      <c r="AP28">
        <f>MAX(AP27,IF($B27=34,1,0))</f>
        <v/>
      </c>
      <c r="AQ28">
        <f>MAX(AQ27,IF($B27=35,1,0))</f>
        <v/>
      </c>
      <c r="AR28">
        <f>MAX(AR27,IF($B27=36,1,0))</f>
        <v/>
      </c>
      <c r="AS28">
        <f>MAX(AS27,IF($B27=37,1,0))</f>
        <v/>
      </c>
      <c r="AT28">
        <f>MAX(AT27,IF($B27=38,1,0))</f>
        <v/>
      </c>
      <c r="AU28">
        <f>MAX(AU27,IF($B27=39,1,0))</f>
        <v/>
      </c>
      <c r="AV28">
        <f>MAX(AV27,IF($B27=40,1,0))</f>
        <v/>
      </c>
      <c r="AW28">
        <f>MAX(AW27,IF($B27=41,1,0))</f>
        <v/>
      </c>
      <c r="AX28">
        <f>MAX(AX27,IF($B27=42,1,0))</f>
        <v/>
      </c>
      <c r="AY28">
        <f>MAX(AY27,IF($B27=43,1,0))</f>
        <v/>
      </c>
      <c r="AZ28">
        <f>MAX(AZ27,IF($B27=44,1,0))</f>
        <v/>
      </c>
      <c r="BA28">
        <f>MAX(BA27,IF($B27=45,1,0))</f>
        <v/>
      </c>
      <c r="BC28">
        <f>IF(I28=1,1000000,IF('計算A'!$EA$10=2,SUMPRODUCT('計算A'!$D$60:$DS$60,$CW28:$HL28,$HN28:$MC28),SUMPRODUCT('計算A'!$D$60:$DS$60,$CW28:$HL28))*1000+1)</f>
        <v/>
      </c>
      <c r="BD28">
        <f>IF(J28=1,1000000,IF('計算A'!$EA$11=2,SUMPRODUCT('計算A'!$D$61:$DS$61,$CW28:$HL28,$HN28:$MC28),SUMPRODUCT('計算A'!$D$61:$DS$61,$CW28:$HL28))*1000+2)</f>
        <v/>
      </c>
      <c r="BE28">
        <f>IF(K28=1,1000000,IF('計算A'!$EA$12=2,SUMPRODUCT('計算A'!$D$62:$DS$62,$CW28:$HL28,$HN28:$MC28),SUMPRODUCT('計算A'!$D$62:$DS$62,$CW28:$HL28))*1000+3)</f>
        <v/>
      </c>
      <c r="BF28">
        <f>IF(L28=1,1000000,IF('計算A'!$EA$13=2,SUMPRODUCT('計算A'!$D$63:$DS$63,$CW28:$HL28,$HN28:$MC28),SUMPRODUCT('計算A'!$D$63:$DS$63,$CW28:$HL28))*1000+4)</f>
        <v/>
      </c>
      <c r="BG28">
        <f>IF(M28=1,1000000,IF('計算A'!$EA$14=2,SUMPRODUCT('計算A'!$D$64:$DS$64,$CW28:$HL28,$HN28:$MC28),SUMPRODUCT('計算A'!$D$64:$DS$64,$CW28:$HL28))*1000+5)</f>
        <v/>
      </c>
      <c r="BH28">
        <f>IF(N28=1,1000000,IF('計算A'!$EA$15=2,SUMPRODUCT('計算A'!$D$65:$DS$65,$CW28:$HL28,$HN28:$MC28),SUMPRODUCT('計算A'!$D$65:$DS$65,$CW28:$HL28))*1000+6)</f>
        <v/>
      </c>
      <c r="BI28">
        <f>IF(O28=1,1000000,IF('計算A'!$EA$16=2,SUMPRODUCT('計算A'!$D$66:$DS$66,$CW28:$HL28,$HN28:$MC28),SUMPRODUCT('計算A'!$D$66:$DS$66,$CW28:$HL28))*1000+7)</f>
        <v/>
      </c>
      <c r="BJ28">
        <f>IF(P28=1,1000000,IF('計算A'!$EA$17=2,SUMPRODUCT('計算A'!$D$67:$DS$67,$CW28:$HL28,$HN28:$MC28),SUMPRODUCT('計算A'!$D$67:$DS$67,$CW28:$HL28))*1000+8)</f>
        <v/>
      </c>
      <c r="BK28">
        <f>IF(Q28=1,1000000,IF('計算A'!$EA$18=2,SUMPRODUCT('計算A'!$D$68:$DS$68,$CW28:$HL28,$HN28:$MC28),SUMPRODUCT('計算A'!$D$68:$DS$68,$CW28:$HL28))*1000+9)</f>
        <v/>
      </c>
      <c r="BL28">
        <f>IF(R28=1,1000000,IF('計算A'!$EA$19=2,SUMPRODUCT('計算A'!$D$69:$DS$69,$CW28:$HL28,$HN28:$MC28),SUMPRODUCT('計算A'!$D$69:$DS$69,$CW28:$HL28))*1000+10)</f>
        <v/>
      </c>
      <c r="BM28">
        <f>IF(S28=1,1000000,IF('計算A'!$EA$20=2,SUMPRODUCT('計算A'!$D$70:$DS$70,$CW28:$HL28,$HN28:$MC28),SUMPRODUCT('計算A'!$D$70:$DS$70,$CW28:$HL28))*1000+11)</f>
        <v/>
      </c>
      <c r="BN28">
        <f>IF(T28=1,1000000,IF('計算A'!$EA$21=2,SUMPRODUCT('計算A'!$D$71:$DS$71,$CW28:$HL28,$HN28:$MC28),SUMPRODUCT('計算A'!$D$71:$DS$71,$CW28:$HL28))*1000+12)</f>
        <v/>
      </c>
      <c r="BO28">
        <f>IF(U28=1,1000000,IF('計算A'!$EA$22=2,SUMPRODUCT('計算A'!$D$72:$DS$72,$CW28:$HL28,$HN28:$MC28),SUMPRODUCT('計算A'!$D$72:$DS$72,$CW28:$HL28))*1000+13)</f>
        <v/>
      </c>
      <c r="BP28">
        <f>IF(V28=1,1000000,IF('計算A'!$EA$23=2,SUMPRODUCT('計算A'!$D$73:$DS$73,$CW28:$HL28,$HN28:$MC28),SUMPRODUCT('計算A'!$D$73:$DS$73,$CW28:$HL28))*1000+14)</f>
        <v/>
      </c>
      <c r="BQ28">
        <f>IF(W28=1,1000000,IF('計算A'!$EA$24=2,SUMPRODUCT('計算A'!$D$74:$DS$74,$CW28:$HL28,$HN28:$MC28),SUMPRODUCT('計算A'!$D$74:$DS$74,$CW28:$HL28))*1000+15)</f>
        <v/>
      </c>
      <c r="BR28">
        <f>IF(X28=1,1000000,IF('計算A'!$EA$25=2,SUMPRODUCT('計算A'!$D$75:$DS$75,$CW28:$HL28,$HN28:$MC28),SUMPRODUCT('計算A'!$D$75:$DS$75,$CW28:$HL28))*1000+16)</f>
        <v/>
      </c>
      <c r="BS28">
        <f>IF(Y28=1,1000000,IF('計算A'!$EA$26=2,SUMPRODUCT('計算A'!$D$76:$DS$76,$CW28:$HL28,$HN28:$MC28),SUMPRODUCT('計算A'!$D$76:$DS$76,$CW28:$HL28))*1000+17)</f>
        <v/>
      </c>
      <c r="BT28">
        <f>IF(Z28=1,1000000,IF('計算A'!$EA$27=2,SUMPRODUCT('計算A'!$D$77:$DS$77,$CW28:$HL28,$HN28:$MC28),SUMPRODUCT('計算A'!$D$77:$DS$77,$CW28:$HL28))*1000+18)</f>
        <v/>
      </c>
      <c r="BU28">
        <f>IF(AA28=1,1000000,IF('計算A'!$EA$28=2,SUMPRODUCT('計算A'!$D$78:$DS$78,$CW28:$HL28,$HN28:$MC28),SUMPRODUCT('計算A'!$D$78:$DS$78,$CW28:$HL28))*1000+19)</f>
        <v/>
      </c>
      <c r="BV28">
        <f>IF(AB28=1,1000000,IF('計算A'!$EA$29=2,SUMPRODUCT('計算A'!$D$79:$DS$79,$CW28:$HL28,$HN28:$MC28),SUMPRODUCT('計算A'!$D$79:$DS$79,$CW28:$HL28))*1000+20)</f>
        <v/>
      </c>
      <c r="BW28">
        <f>IF(AC28=1,1000000,IF('計算A'!$EA$30=2,SUMPRODUCT('計算A'!$D$80:$DS$80,$CW28:$HL28,$HN28:$MC28),SUMPRODUCT('計算A'!$D$80:$DS$80,$CW28:$HL28))*1000+21)</f>
        <v/>
      </c>
      <c r="BX28">
        <f>IF(AD28=1,1000000,IF('計算A'!$EA$31=2,SUMPRODUCT('計算A'!$D$81:$DS$81,$CW28:$HL28,$HN28:$MC28),SUMPRODUCT('計算A'!$D$81:$DS$81,$CW28:$HL28))*1000+22)</f>
        <v/>
      </c>
      <c r="BY28">
        <f>IF(AE28=1,1000000,IF('計算A'!$EA$32=2,SUMPRODUCT('計算A'!$D$82:$DS$82,$CW28:$HL28,$HN28:$MC28),SUMPRODUCT('計算A'!$D$82:$DS$82,$CW28:$HL28))*1000+23)</f>
        <v/>
      </c>
      <c r="BZ28">
        <f>IF(AF28=1,1000000,IF('計算A'!$EA$33=2,SUMPRODUCT('計算A'!$D$83:$DS$83,$CW28:$HL28,$HN28:$MC28),SUMPRODUCT('計算A'!$D$83:$DS$83,$CW28:$HL28))*1000+24)</f>
        <v/>
      </c>
      <c r="CA28">
        <f>IF(AG28=1,1000000,IF('計算A'!$EA$34=2,SUMPRODUCT('計算A'!$D$84:$DS$84,$CW28:$HL28,$HN28:$MC28),SUMPRODUCT('計算A'!$D$84:$DS$84,$CW28:$HL28))*1000+25)</f>
        <v/>
      </c>
      <c r="CB28">
        <f>IF(AH28=1,1000000,IF('計算A'!$EA$35=2,SUMPRODUCT('計算A'!$D$85:$DS$85,$CW28:$HL28,$HN28:$MC28),SUMPRODUCT('計算A'!$D$85:$DS$85,$CW28:$HL28))*1000+26)</f>
        <v/>
      </c>
      <c r="CC28">
        <f>IF(AI28=1,1000000,IF('計算A'!$EA$36=2,SUMPRODUCT('計算A'!$D$86:$DS$86,$CW28:$HL28,$HN28:$MC28),SUMPRODUCT('計算A'!$D$86:$DS$86,$CW28:$HL28))*1000+27)</f>
        <v/>
      </c>
      <c r="CD28">
        <f>IF(AJ28=1,1000000,IF('計算A'!$EA$37=2,SUMPRODUCT('計算A'!$D$87:$DS$87,$CW28:$HL28,$HN28:$MC28),SUMPRODUCT('計算A'!$D$87:$DS$87,$CW28:$HL28))*1000+28)</f>
        <v/>
      </c>
      <c r="CE28">
        <f>IF(AK28=1,1000000,IF('計算A'!$EA$38=2,SUMPRODUCT('計算A'!$D$88:$DS$88,$CW28:$HL28,$HN28:$MC28),SUMPRODUCT('計算A'!$D$88:$DS$88,$CW28:$HL28))*1000+29)</f>
        <v/>
      </c>
      <c r="CF28">
        <f>IF(AL28=1,1000000,IF('計算A'!$EA$39=2,SUMPRODUCT('計算A'!$D$89:$DS$89,$CW28:$HL28,$HN28:$MC28),SUMPRODUCT('計算A'!$D$89:$DS$89,$CW28:$HL28))*1000+30)</f>
        <v/>
      </c>
      <c r="CG28">
        <f>IF(AM28=1,1000000,IF('計算A'!$EA$40=2,SUMPRODUCT('計算A'!$D$90:$DS$90,$CW28:$HL28,$HN28:$MC28),SUMPRODUCT('計算A'!$D$90:$DS$90,$CW28:$HL28))*1000+31)</f>
        <v/>
      </c>
      <c r="CH28">
        <f>IF(AN28=1,1000000,IF('計算A'!$EA$41=2,SUMPRODUCT('計算A'!$D$91:$DS$91,$CW28:$HL28,$HN28:$MC28),SUMPRODUCT('計算A'!$D$91:$DS$91,$CW28:$HL28))*1000+32)</f>
        <v/>
      </c>
      <c r="CI28">
        <f>IF(AO28=1,1000000,IF('計算A'!$EA$42=2,SUMPRODUCT('計算A'!$D$92:$DS$92,$CW28:$HL28,$HN28:$MC28),SUMPRODUCT('計算A'!$D$92:$DS$92,$CW28:$HL28))*1000+33)</f>
        <v/>
      </c>
      <c r="CJ28">
        <f>IF(AP28=1,1000000,IF('計算A'!$EA$43=2,SUMPRODUCT('計算A'!$D$93:$DS$93,$CW28:$HL28,$HN28:$MC28),SUMPRODUCT('計算A'!$D$93:$DS$93,$CW28:$HL28))*1000+34)</f>
        <v/>
      </c>
      <c r="CK28">
        <f>IF(AQ28=1,1000000,IF('計算A'!$EA$44=2,SUMPRODUCT('計算A'!$D$94:$DS$94,$CW28:$HL28,$HN28:$MC28),SUMPRODUCT('計算A'!$D$94:$DS$94,$CW28:$HL28))*1000+35)</f>
        <v/>
      </c>
      <c r="CL28">
        <f>IF(AR28=1,1000000,IF('計算A'!$EA$45=2,SUMPRODUCT('計算A'!$D$95:$DS$95,$CW28:$HL28,$HN28:$MC28),SUMPRODUCT('計算A'!$D$95:$DS$95,$CW28:$HL28))*1000+36)</f>
        <v/>
      </c>
      <c r="CM28">
        <f>IF(AS28=1,1000000,IF('計算A'!$EA$46=2,SUMPRODUCT('計算A'!$D$96:$DS$96,$CW28:$HL28,$HN28:$MC28),SUMPRODUCT('計算A'!$D$96:$DS$96,$CW28:$HL28))*1000+37)</f>
        <v/>
      </c>
      <c r="CN28">
        <f>IF(AT28=1,1000000,IF('計算A'!$EA$47=2,SUMPRODUCT('計算A'!$D$97:$DS$97,$CW28:$HL28,$HN28:$MC28),SUMPRODUCT('計算A'!$D$97:$DS$97,$CW28:$HL28))*1000+38)</f>
        <v/>
      </c>
      <c r="CO28">
        <f>IF(AU28=1,1000000,IF('計算A'!$EA$48=2,SUMPRODUCT('計算A'!$D$98:$DS$98,$CW28:$HL28,$HN28:$MC28),SUMPRODUCT('計算A'!$D$98:$DS$98,$CW28:$HL28))*1000+39)</f>
        <v/>
      </c>
      <c r="CP28">
        <f>IF(AV28=1,1000000,IF('計算A'!$EA$49=2,SUMPRODUCT('計算A'!$D$99:$DS$99,$CW28:$HL28,$HN28:$MC28),SUMPRODUCT('計算A'!$D$99:$DS$99,$CW28:$HL28))*1000+40)</f>
        <v/>
      </c>
      <c r="CQ28">
        <f>IF(AW28=1,1000000,IF('計算A'!$EA$50=2,SUMPRODUCT('計算A'!$D$100:$DS$100,$CW28:$HL28,$HN28:$MC28),SUMPRODUCT('計算A'!$D$100:$DS$100,$CW28:$HL28))*1000+41)</f>
        <v/>
      </c>
      <c r="CR28">
        <f>IF(AX28=1,1000000,IF('計算A'!$EA$51=2,SUMPRODUCT('計算A'!$D$101:$DS$101,$CW28:$HL28,$HN28:$MC28),SUMPRODUCT('計算A'!$D$101:$DS$101,$CW28:$HL28))*1000+42)</f>
        <v/>
      </c>
      <c r="CS28">
        <f>IF(AY28=1,1000000,IF('計算A'!$EA$52=2,SUMPRODUCT('計算A'!$D$102:$DS$102,$CW28:$HL28,$HN28:$MC28),SUMPRODUCT('計算A'!$D$102:$DS$102,$CW28:$HL28))*1000+43)</f>
        <v/>
      </c>
      <c r="CT28">
        <f>IF(AZ28=1,1000000,IF('計算A'!$EA$53=2,SUMPRODUCT('計算A'!$D$103:$DS$103,$CW28:$HL28,$HN28:$MC28),SUMPRODUCT('計算A'!$D$103:$DS$103,$CW28:$HL28))*1000+44)</f>
        <v/>
      </c>
      <c r="CU28">
        <f>IF(BA28=1,1000000,IF('計算A'!$EA$54=2,SUMPRODUCT('計算A'!$D$104:$DS$104,$CW28:$HL28,$HN28:$MC28),SUMPRODUCT('計算A'!$D$104:$DS$104,$CW28:$HL28))*1000+45)</f>
        <v/>
      </c>
      <c r="CW28">
        <f>CW27*IF(OR($C27=1,$G27=1),0,1)</f>
        <v/>
      </c>
      <c r="CX28">
        <f>CX27*IF(OR($C27=2,$G27=2),0,1)</f>
        <v/>
      </c>
      <c r="CY28">
        <f>CY27*IF(OR($C27=3,$G27=3),0,1)</f>
        <v/>
      </c>
      <c r="CZ28">
        <f>CZ27*IF(OR($C27=4,$G27=4),0,1)</f>
        <v/>
      </c>
      <c r="DA28">
        <f>DA27*IF(OR($C27=5,$G27=5),0,1)</f>
        <v/>
      </c>
      <c r="DB28">
        <f>DB27*IF(OR($C27=6,$G27=6),0,1)</f>
        <v/>
      </c>
      <c r="DC28">
        <f>DC27*IF(OR($C27=7,$G27=7),0,1)</f>
        <v/>
      </c>
      <c r="DD28">
        <f>DD27*IF(OR($C27=8,$G27=8),0,1)</f>
        <v/>
      </c>
      <c r="DE28">
        <f>DE27*IF(OR($C27=9,$G27=9),0,1)</f>
        <v/>
      </c>
      <c r="DF28">
        <f>DF27*IF(OR($C27=10,$G27=10),0,1)</f>
        <v/>
      </c>
      <c r="DG28">
        <f>DG27*IF(OR($C27=11,$G27=11),0,1)</f>
        <v/>
      </c>
      <c r="DH28">
        <f>DH27*IF(OR($C27=12,$G27=12),0,1)</f>
        <v/>
      </c>
      <c r="DI28">
        <f>DI27*IF(OR($C27=13,$G27=13),0,1)</f>
        <v/>
      </c>
      <c r="DJ28">
        <f>DJ27*IF(OR($C27=14,$G27=14),0,1)</f>
        <v/>
      </c>
      <c r="DK28">
        <f>DK27*IF(OR($C27=15,$G27=15),0,1)</f>
        <v/>
      </c>
      <c r="DL28">
        <f>DL27*IF(OR($C27=16,$G27=16),0,1)</f>
        <v/>
      </c>
      <c r="DM28">
        <f>DM27*IF(OR($C27=17,$G27=17),0,1)</f>
        <v/>
      </c>
      <c r="DN28">
        <f>DN27*IF(OR($C27=18,$G27=18),0,1)</f>
        <v/>
      </c>
      <c r="DO28">
        <f>DO27*IF(OR($C27=19,$G27=19),0,1)</f>
        <v/>
      </c>
      <c r="DP28">
        <f>DP27*IF(OR($C27=20,$G27=20),0,1)</f>
        <v/>
      </c>
      <c r="DQ28">
        <f>DQ27*IF(OR($C27=21,$G27=21),0,1)</f>
        <v/>
      </c>
      <c r="DR28">
        <f>DR27*IF(OR($C27=22,$G27=22),0,1)</f>
        <v/>
      </c>
      <c r="DS28">
        <f>DS27*IF(OR($C27=23,$G27=23),0,1)</f>
        <v/>
      </c>
      <c r="DT28">
        <f>DT27*IF(OR($C27=24,$G27=24),0,1)</f>
        <v/>
      </c>
      <c r="DU28">
        <f>DU27*IF(OR($C27=25,$G27=25),0,1)</f>
        <v/>
      </c>
      <c r="DV28">
        <f>DV27*IF(OR($C27=26,$G27=26),0,1)</f>
        <v/>
      </c>
      <c r="DW28">
        <f>DW27*IF(OR($C27=27,$G27=27),0,1)</f>
        <v/>
      </c>
      <c r="DX28">
        <f>DX27*IF(OR($C27=28,$G27=28),0,1)</f>
        <v/>
      </c>
      <c r="DY28">
        <f>DY27*IF(OR($C27=29,$G27=29),0,1)</f>
        <v/>
      </c>
      <c r="DZ28">
        <f>DZ27*IF(OR($C27=30,$G27=30),0,1)</f>
        <v/>
      </c>
      <c r="EA28">
        <f>EA27*IF(OR($C27=31,$G27=31),0,1)</f>
        <v/>
      </c>
      <c r="EB28">
        <f>EB27*IF(OR($C27=32,$G27=32),0,1)</f>
        <v/>
      </c>
      <c r="EC28">
        <f>EC27*IF(OR($C27=33,$G27=33),0,1)</f>
        <v/>
      </c>
      <c r="ED28">
        <f>ED27*IF(OR($C27=34,$G27=34),0,1)</f>
        <v/>
      </c>
      <c r="EE28">
        <f>EE27*IF(OR($C27=35,$G27=35),0,1)</f>
        <v/>
      </c>
      <c r="EF28">
        <f>EF27*IF(OR($C27=36,$G27=36),0,1)</f>
        <v/>
      </c>
      <c r="EG28">
        <f>EG27*IF(OR($C27=37,$G27=37),0,1)</f>
        <v/>
      </c>
      <c r="EH28">
        <f>EH27*IF(OR($C27=38,$G27=38),0,1)</f>
        <v/>
      </c>
      <c r="EI28">
        <f>EI27*IF(OR($C27=39,$G27=39),0,1)</f>
        <v/>
      </c>
      <c r="EJ28">
        <f>EJ27*IF(OR($C27=40,$G27=40),0,1)</f>
        <v/>
      </c>
      <c r="EK28">
        <f>EK27*IF(OR($C27=41,$G27=41),0,1)</f>
        <v/>
      </c>
      <c r="EL28">
        <f>EL27*IF(OR($C27=42,$G27=42),0,1)</f>
        <v/>
      </c>
      <c r="EM28">
        <f>EM27*IF(OR($C27=43,$G27=43),0,1)</f>
        <v/>
      </c>
      <c r="EN28">
        <f>EN27*IF(OR($C27=44,$G27=44),0,1)</f>
        <v/>
      </c>
      <c r="EO28">
        <f>EO27*IF(OR($C27=45,$G27=45),0,1)</f>
        <v/>
      </c>
      <c r="EP28">
        <f>EP27*IF(OR($C27=46,$G27=46),0,1)</f>
        <v/>
      </c>
      <c r="EQ28">
        <f>EQ27*IF(OR($C27=47,$G27=47),0,1)</f>
        <v/>
      </c>
      <c r="ER28">
        <f>ER27*IF(OR($C27=48,$G27=48),0,1)</f>
        <v/>
      </c>
      <c r="ES28">
        <f>ES27*IF(OR($C27=49,$G27=49),0,1)</f>
        <v/>
      </c>
      <c r="ET28">
        <f>ET27*IF(OR($C27=50,$G27=50),0,1)</f>
        <v/>
      </c>
      <c r="EU28">
        <f>EU27*IF(OR($C27=51,$G27=51),0,1)</f>
        <v/>
      </c>
      <c r="EV28">
        <f>EV27*IF(OR($C27=52,$G27=52),0,1)</f>
        <v/>
      </c>
      <c r="EW28">
        <f>EW27*IF(OR($C27=53,$G27=53),0,1)</f>
        <v/>
      </c>
      <c r="EX28">
        <f>EX27*IF(OR($C27=54,$G27=54),0,1)</f>
        <v/>
      </c>
      <c r="EY28">
        <f>EY27*IF(OR($C27=55,$G27=55),0,1)</f>
        <v/>
      </c>
      <c r="EZ28">
        <f>EZ27*IF(OR($C27=56,$G27=56),0,1)</f>
        <v/>
      </c>
      <c r="FA28">
        <f>FA27*IF(OR($C27=57,$G27=57),0,1)</f>
        <v/>
      </c>
      <c r="FB28">
        <f>FB27*IF(OR($C27=58,$G27=58),0,1)</f>
        <v/>
      </c>
      <c r="FC28">
        <f>FC27*IF(OR($C27=59,$G27=59),0,1)</f>
        <v/>
      </c>
      <c r="FD28">
        <f>FD27*IF(OR($C27=60,$G27=60),0,1)</f>
        <v/>
      </c>
      <c r="FE28">
        <f>FE27*IF(OR($C27=61,$G27=61),0,1)</f>
        <v/>
      </c>
      <c r="FF28">
        <f>FF27*IF(OR($C27=62,$G27=62),0,1)</f>
        <v/>
      </c>
      <c r="FG28">
        <f>FG27*IF(OR($C27=63,$G27=63),0,1)</f>
        <v/>
      </c>
      <c r="FH28">
        <f>FH27*IF(OR($C27=64,$G27=64),0,1)</f>
        <v/>
      </c>
      <c r="FI28">
        <f>FI27*IF(OR($C27=65,$G27=65),0,1)</f>
        <v/>
      </c>
      <c r="FJ28">
        <f>FJ27*IF(OR($C27=66,$G27=66),0,1)</f>
        <v/>
      </c>
      <c r="FK28">
        <f>FK27*IF(OR($C27=67,$G27=67),0,1)</f>
        <v/>
      </c>
      <c r="FL28">
        <f>FL27*IF(OR($C27=68,$G27=68),0,1)</f>
        <v/>
      </c>
      <c r="FM28">
        <f>FM27*IF(OR($C27=69,$G27=69),0,1)</f>
        <v/>
      </c>
      <c r="FN28">
        <f>FN27*IF(OR($C27=70,$G27=70),0,1)</f>
        <v/>
      </c>
      <c r="FO28">
        <f>FO27*IF(OR($C27=71,$G27=71),0,1)</f>
        <v/>
      </c>
      <c r="FP28">
        <f>FP27*IF(OR($C27=72,$G27=72),0,1)</f>
        <v/>
      </c>
      <c r="FQ28">
        <f>FQ27*IF(OR($C27=73,$G27=73),0,1)</f>
        <v/>
      </c>
      <c r="FR28">
        <f>FR27*IF(OR($C27=74,$G27=74),0,1)</f>
        <v/>
      </c>
      <c r="FS28">
        <f>FS27*IF(OR($C27=75,$G27=75),0,1)</f>
        <v/>
      </c>
      <c r="FT28">
        <f>FT27*IF(OR($C27=76,$G27=76),0,1)</f>
        <v/>
      </c>
      <c r="FU28">
        <f>FU27*IF(OR($C27=77,$G27=77),0,1)</f>
        <v/>
      </c>
      <c r="FV28">
        <f>FV27*IF(OR($C27=78,$G27=78),0,1)</f>
        <v/>
      </c>
      <c r="FW28">
        <f>FW27*IF(OR($C27=79,$G27=79),0,1)</f>
        <v/>
      </c>
      <c r="FX28">
        <f>FX27*IF(OR($C27=80,$G27=80),0,1)</f>
        <v/>
      </c>
      <c r="FY28">
        <f>FY27*IF(OR($C27=81,$G27=81),0,1)</f>
        <v/>
      </c>
      <c r="FZ28">
        <f>FZ27*IF(OR($C27=82,$G27=82),0,1)</f>
        <v/>
      </c>
      <c r="GA28">
        <f>GA27*IF(OR($C27=83,$G27=83),0,1)</f>
        <v/>
      </c>
      <c r="GB28">
        <f>GB27*IF(OR($C27=84,$G27=84),0,1)</f>
        <v/>
      </c>
      <c r="GC28">
        <f>GC27*IF(OR($C27=85,$G27=85),0,1)</f>
        <v/>
      </c>
      <c r="GD28">
        <f>GD27*IF(OR($C27=86,$G27=86),0,1)</f>
        <v/>
      </c>
      <c r="GE28">
        <f>GE27*IF(OR($C27=87,$G27=87),0,1)</f>
        <v/>
      </c>
      <c r="GF28">
        <f>GF27*IF(OR($C27=88,$G27=88),0,1)</f>
        <v/>
      </c>
      <c r="GG28">
        <f>GG27*IF(OR($C27=89,$G27=89),0,1)</f>
        <v/>
      </c>
      <c r="GH28">
        <f>GH27*IF(OR($C27=90,$G27=90),0,1)</f>
        <v/>
      </c>
      <c r="GI28">
        <f>GI27*IF(OR($C27=91,$G27=91),0,1)</f>
        <v/>
      </c>
      <c r="GJ28">
        <f>GJ27*IF(OR($C27=92,$G27=92),0,1)</f>
        <v/>
      </c>
      <c r="GK28">
        <f>GK27*IF(OR($C27=93,$G27=93),0,1)</f>
        <v/>
      </c>
      <c r="GL28">
        <f>GL27*IF(OR($C27=94,$G27=94),0,1)</f>
        <v/>
      </c>
      <c r="GM28">
        <f>GM27*IF(OR($C27=95,$G27=95),0,1)</f>
        <v/>
      </c>
      <c r="GN28">
        <f>GN27*IF(OR($C27=96,$G27=96),0,1)</f>
        <v/>
      </c>
      <c r="GO28">
        <f>GO27*IF(OR($C27=97,$G27=97),0,1)</f>
        <v/>
      </c>
      <c r="GP28">
        <f>GP27*IF(OR($C27=98,$G27=98),0,1)</f>
        <v/>
      </c>
      <c r="GQ28">
        <f>GQ27*IF(OR($C27=99,$G27=99),0,1)</f>
        <v/>
      </c>
      <c r="GR28">
        <f>GR27*IF(OR($C27=100,$G27=100),0,1)</f>
        <v/>
      </c>
      <c r="GS28">
        <f>GS27*IF(OR($C27=101,$G27=101),0,1)</f>
        <v/>
      </c>
      <c r="GT28">
        <f>GT27*IF(OR($C27=102,$G27=102),0,1)</f>
        <v/>
      </c>
      <c r="GU28">
        <f>GU27*IF(OR($C27=103,$G27=103),0,1)</f>
        <v/>
      </c>
      <c r="GV28">
        <f>GV27*IF(OR($C27=104,$G27=104),0,1)</f>
        <v/>
      </c>
      <c r="GW28">
        <f>GW27*IF(OR($C27=105,$G27=105),0,1)</f>
        <v/>
      </c>
      <c r="GX28">
        <f>GX27*IF(OR($C27=106,$G27=106),0,1)</f>
        <v/>
      </c>
      <c r="GY28">
        <f>GY27*IF(OR($C27=107,$G27=107),0,1)</f>
        <v/>
      </c>
      <c r="GZ28">
        <f>GZ27*IF(OR($C27=108,$G27=108),0,1)</f>
        <v/>
      </c>
      <c r="HA28">
        <f>HA27*IF(OR($C27=109,$G27=109),0,1)</f>
        <v/>
      </c>
      <c r="HB28">
        <f>HB27*IF(OR($C27=110,$G27=110),0,1)</f>
        <v/>
      </c>
      <c r="HC28">
        <f>HC27*IF(OR($C27=111,$G27=111),0,1)</f>
        <v/>
      </c>
      <c r="HD28">
        <f>HD27*IF(OR($C27=112,$G27=112),0,1)</f>
        <v/>
      </c>
      <c r="HE28">
        <f>HE27*IF(OR($C27=113,$G27=113),0,1)</f>
        <v/>
      </c>
      <c r="HF28">
        <f>HF27*IF(OR($C27=114,$G27=114),0,1)</f>
        <v/>
      </c>
      <c r="HG28">
        <f>HG27*IF(OR($C27=115,$G27=115),0,1)</f>
        <v/>
      </c>
      <c r="HH28">
        <f>HH27*IF(OR($C27=116,$G27=116),0,1)</f>
        <v/>
      </c>
      <c r="HI28">
        <f>HI27*IF(OR($C27=117,$G27=117),0,1)</f>
        <v/>
      </c>
      <c r="HJ28">
        <f>HJ27*IF(OR($C27=118,$G27=118),0,1)</f>
        <v/>
      </c>
      <c r="HK28">
        <f>HK27*IF(OR($C27=119,$G27=119),0,1)</f>
        <v/>
      </c>
      <c r="HL28">
        <f>HL27*IF(OR($C27=120,$G27=120),0,1)</f>
        <v/>
      </c>
      <c r="HN28">
        <f>IF('計算A'!D$106=1,CX28,1)</f>
        <v/>
      </c>
      <c r="HO28">
        <f>IF('計算A'!E$106=1,CY28,1)</f>
        <v/>
      </c>
      <c r="HP28">
        <f>IF('計算A'!F$106=1,CZ28,1)</f>
        <v/>
      </c>
      <c r="HQ28">
        <f>IF('計算A'!G$106=1,DA28,1)</f>
        <v/>
      </c>
      <c r="HR28">
        <f>IF('計算A'!H$106=1,DB28,1)</f>
        <v/>
      </c>
      <c r="HS28">
        <f>IF('計算A'!I$106=1,DC28,1)</f>
        <v/>
      </c>
      <c r="HT28">
        <f>IF('計算A'!J$106=1,DD28,1)</f>
        <v/>
      </c>
      <c r="HU28">
        <f>IF('計算A'!K$106=1,DE28,1)</f>
        <v/>
      </c>
      <c r="HV28">
        <f>IF('計算A'!L$106=1,DF28,1)</f>
        <v/>
      </c>
      <c r="HW28">
        <f>IF('計算A'!M$106=1,DG28,1)</f>
        <v/>
      </c>
      <c r="HX28">
        <f>IF('計算A'!N$106=1,DH28,1)</f>
        <v/>
      </c>
      <c r="HY28">
        <f>IF('計算A'!O$106=1,DI28,1)</f>
        <v/>
      </c>
      <c r="HZ28">
        <f>IF('計算A'!P$106=1,DJ28,1)</f>
        <v/>
      </c>
      <c r="IA28">
        <f>IF('計算A'!Q$106=1,DK28,1)</f>
        <v/>
      </c>
      <c r="IB28">
        <f>IF('計算A'!R$106=1,DL28,1)</f>
        <v/>
      </c>
      <c r="IC28">
        <f>IF('計算A'!S$106=1,DM28,1)</f>
        <v/>
      </c>
      <c r="ID28">
        <f>IF('計算A'!T$106=1,DN28,1)</f>
        <v/>
      </c>
      <c r="IE28">
        <f>IF('計算A'!U$106=1,DO28,1)</f>
        <v/>
      </c>
      <c r="IF28">
        <f>IF('計算A'!V$106=1,DP28,1)</f>
        <v/>
      </c>
      <c r="IG28">
        <f>IF('計算A'!W$106=1,DQ28,1)</f>
        <v/>
      </c>
      <c r="IH28">
        <f>IF('計算A'!X$106=1,DR28,1)</f>
        <v/>
      </c>
      <c r="II28">
        <f>IF('計算A'!Y$106=1,DS28,1)</f>
        <v/>
      </c>
      <c r="IJ28">
        <f>IF('計算A'!Z$106=1,DT28,1)</f>
        <v/>
      </c>
      <c r="IK28">
        <f>IF('計算A'!AA$106=1,DU28,1)</f>
        <v/>
      </c>
      <c r="IL28">
        <f>IF('計算A'!AB$106=1,DV28,1)</f>
        <v/>
      </c>
      <c r="IM28">
        <f>IF('計算A'!AC$106=1,DW28,1)</f>
        <v/>
      </c>
      <c r="IN28">
        <f>IF('計算A'!AD$106=1,DX28,1)</f>
        <v/>
      </c>
      <c r="IO28">
        <f>IF('計算A'!AE$106=1,DY28,1)</f>
        <v/>
      </c>
      <c r="IP28">
        <f>IF('計算A'!AF$106=1,DZ28,1)</f>
        <v/>
      </c>
      <c r="IQ28">
        <f>IF('計算A'!AG$106=1,EA28,1)</f>
        <v/>
      </c>
      <c r="IR28">
        <f>IF('計算A'!AH$106=1,EB28,1)</f>
        <v/>
      </c>
      <c r="IS28">
        <f>IF('計算A'!AI$106=1,EC28,1)</f>
        <v/>
      </c>
      <c r="IT28">
        <f>IF('計算A'!AJ$106=1,ED28,1)</f>
        <v/>
      </c>
      <c r="IU28">
        <f>IF('計算A'!AK$106=1,EE28,1)</f>
        <v/>
      </c>
      <c r="IV28">
        <f>IF('計算A'!AL$106=1,EF28,1)</f>
        <v/>
      </c>
      <c r="IW28">
        <f>IF('計算A'!AM$106=1,EG28,1)</f>
        <v/>
      </c>
      <c r="IX28">
        <f>IF('計算A'!AN$106=1,EH28,1)</f>
        <v/>
      </c>
      <c r="IY28">
        <f>IF('計算A'!AO$106=1,EI28,1)</f>
        <v/>
      </c>
      <c r="IZ28">
        <f>IF('計算A'!AP$106=1,EJ28,1)</f>
        <v/>
      </c>
      <c r="JA28">
        <f>IF('計算A'!AQ$106=1,EK28,1)</f>
        <v/>
      </c>
      <c r="JB28">
        <f>IF('計算A'!AR$106=1,EL28,1)</f>
        <v/>
      </c>
      <c r="JC28">
        <f>IF('計算A'!AS$106=1,EM28,1)</f>
        <v/>
      </c>
      <c r="JD28">
        <f>IF('計算A'!AT$106=1,EN28,1)</f>
        <v/>
      </c>
      <c r="JE28">
        <f>IF('計算A'!AU$106=1,EO28,1)</f>
        <v/>
      </c>
      <c r="JF28">
        <f>IF('計算A'!AV$106=1,EP28,1)</f>
        <v/>
      </c>
      <c r="JG28">
        <f>IF('計算A'!AW$106=1,EQ28,1)</f>
        <v/>
      </c>
      <c r="JH28">
        <f>IF('計算A'!AX$106=1,ER28,1)</f>
        <v/>
      </c>
      <c r="JI28">
        <f>IF('計算A'!AY$106=1,ES28,1)</f>
        <v/>
      </c>
      <c r="JJ28">
        <f>IF('計算A'!AZ$106=1,ET28,1)</f>
        <v/>
      </c>
      <c r="JK28">
        <f>IF('計算A'!BA$106=1,EU28,1)</f>
        <v/>
      </c>
      <c r="JL28">
        <f>IF('計算A'!BB$106=1,EV28,1)</f>
        <v/>
      </c>
      <c r="JM28">
        <f>IF('計算A'!BC$106=1,EW28,1)</f>
        <v/>
      </c>
      <c r="JN28">
        <f>IF('計算A'!BD$106=1,EX28,1)</f>
        <v/>
      </c>
      <c r="JO28">
        <f>IF('計算A'!BE$106=1,EY28,1)</f>
        <v/>
      </c>
      <c r="JP28">
        <f>IF('計算A'!BF$106=1,EZ28,1)</f>
        <v/>
      </c>
      <c r="JQ28">
        <f>IF('計算A'!BG$106=1,FA28,1)</f>
        <v/>
      </c>
      <c r="JR28">
        <f>IF('計算A'!BH$106=1,FB28,1)</f>
        <v/>
      </c>
      <c r="JS28">
        <f>IF('計算A'!BI$106=1,FC28,1)</f>
        <v/>
      </c>
      <c r="JT28">
        <f>IF('計算A'!BJ$106=1,FD28,1)</f>
        <v/>
      </c>
      <c r="JU28">
        <f>IF('計算A'!BK$106=1,FE28,1)</f>
        <v/>
      </c>
      <c r="JV28">
        <f>IF('計算A'!BL$106=1,FF28,1)</f>
        <v/>
      </c>
      <c r="JW28">
        <f>IF('計算A'!BM$106=1,FG28,1)</f>
        <v/>
      </c>
      <c r="JX28">
        <f>IF('計算A'!BN$106=1,FH28,1)</f>
        <v/>
      </c>
      <c r="JY28">
        <f>IF('計算A'!BO$106=1,FI28,1)</f>
        <v/>
      </c>
      <c r="JZ28">
        <f>IF('計算A'!BP$106=1,FJ28,1)</f>
        <v/>
      </c>
      <c r="KA28">
        <f>IF('計算A'!BQ$106=1,FK28,1)</f>
        <v/>
      </c>
      <c r="KB28">
        <f>IF('計算A'!BR$106=1,FL28,1)</f>
        <v/>
      </c>
      <c r="KC28">
        <f>IF('計算A'!BS$106=1,FM28,1)</f>
        <v/>
      </c>
      <c r="KD28">
        <f>IF('計算A'!BT$106=1,FN28,1)</f>
        <v/>
      </c>
      <c r="KE28">
        <f>IF('計算A'!BU$106=1,FO28,1)</f>
        <v/>
      </c>
      <c r="KF28">
        <f>IF('計算A'!BV$106=1,FP28,1)</f>
        <v/>
      </c>
      <c r="KG28">
        <f>IF('計算A'!BW$106=1,FQ28,1)</f>
        <v/>
      </c>
      <c r="KH28">
        <f>IF('計算A'!BX$106=1,FR28,1)</f>
        <v/>
      </c>
      <c r="KI28">
        <f>IF('計算A'!BY$106=1,FS28,1)</f>
        <v/>
      </c>
      <c r="KJ28">
        <f>IF('計算A'!BZ$106=1,FT28,1)</f>
        <v/>
      </c>
      <c r="KK28">
        <f>IF('計算A'!CA$106=1,FU28,1)</f>
        <v/>
      </c>
      <c r="KL28">
        <f>IF('計算A'!CB$106=1,FV28,1)</f>
        <v/>
      </c>
      <c r="KM28">
        <f>IF('計算A'!CC$106=1,FW28,1)</f>
        <v/>
      </c>
      <c r="KN28">
        <f>IF('計算A'!CD$106=1,FX28,1)</f>
        <v/>
      </c>
      <c r="KO28">
        <f>IF('計算A'!CE$106=1,FY28,1)</f>
        <v/>
      </c>
      <c r="KP28">
        <f>IF('計算A'!CF$106=1,FZ28,1)</f>
        <v/>
      </c>
      <c r="KQ28">
        <f>IF('計算A'!CG$106=1,GA28,1)</f>
        <v/>
      </c>
      <c r="KR28">
        <f>IF('計算A'!CH$106=1,GB28,1)</f>
        <v/>
      </c>
      <c r="KS28">
        <f>IF('計算A'!CI$106=1,GC28,1)</f>
        <v/>
      </c>
      <c r="KT28">
        <f>IF('計算A'!CJ$106=1,GD28,1)</f>
        <v/>
      </c>
      <c r="KU28">
        <f>IF('計算A'!CK$106=1,GE28,1)</f>
        <v/>
      </c>
      <c r="KV28">
        <f>IF('計算A'!CL$106=1,GF28,1)</f>
        <v/>
      </c>
      <c r="KW28">
        <f>IF('計算A'!CM$106=1,GG28,1)</f>
        <v/>
      </c>
      <c r="KX28">
        <f>IF('計算A'!CN$106=1,GH28,1)</f>
        <v/>
      </c>
      <c r="KY28">
        <f>IF('計算A'!CO$106=1,GI28,1)</f>
        <v/>
      </c>
      <c r="KZ28">
        <f>IF('計算A'!CP$106=1,GJ28,1)</f>
        <v/>
      </c>
      <c r="LA28">
        <f>IF('計算A'!CQ$106=1,GK28,1)</f>
        <v/>
      </c>
      <c r="LB28">
        <f>IF('計算A'!CR$106=1,GL28,1)</f>
        <v/>
      </c>
      <c r="LC28">
        <f>IF('計算A'!CS$106=1,GM28,1)</f>
        <v/>
      </c>
      <c r="LD28">
        <f>IF('計算A'!CT$106=1,GN28,1)</f>
        <v/>
      </c>
      <c r="LE28">
        <f>IF('計算A'!CU$106=1,GO28,1)</f>
        <v/>
      </c>
      <c r="LF28">
        <f>IF('計算A'!CV$106=1,GP28,1)</f>
        <v/>
      </c>
      <c r="LG28">
        <f>IF('計算A'!CW$106=1,GQ28,1)</f>
        <v/>
      </c>
      <c r="LH28">
        <f>IF('計算A'!CX$106=1,GR28,1)</f>
        <v/>
      </c>
      <c r="LI28">
        <f>IF('計算A'!CY$106=1,GS28,1)</f>
        <v/>
      </c>
      <c r="LJ28">
        <f>IF('計算A'!CZ$106=1,GT28,1)</f>
        <v/>
      </c>
      <c r="LK28">
        <f>IF('計算A'!DA$106=1,GU28,1)</f>
        <v/>
      </c>
      <c r="LL28">
        <f>IF('計算A'!DB$106=1,GV28,1)</f>
        <v/>
      </c>
      <c r="LM28">
        <f>IF('計算A'!DC$106=1,GW28,1)</f>
        <v/>
      </c>
      <c r="LN28">
        <f>IF('計算A'!DD$106=1,GX28,1)</f>
        <v/>
      </c>
      <c r="LO28">
        <f>IF('計算A'!DE$106=1,GY28,1)</f>
        <v/>
      </c>
      <c r="LP28">
        <f>IF('計算A'!DF$106=1,GZ28,1)</f>
        <v/>
      </c>
      <c r="LQ28">
        <f>IF('計算A'!DG$106=1,HA28,1)</f>
        <v/>
      </c>
      <c r="LR28">
        <f>IF('計算A'!DH$106=1,HB28,1)</f>
        <v/>
      </c>
      <c r="LS28">
        <f>IF('計算A'!DI$106=1,HC28,1)</f>
        <v/>
      </c>
      <c r="LT28">
        <f>IF('計算A'!DJ$106=1,HD28,1)</f>
        <v/>
      </c>
      <c r="LU28">
        <f>IF('計算A'!DK$106=1,HE28,1)</f>
        <v/>
      </c>
      <c r="LV28">
        <f>IF('計算A'!DL$106=1,HF28,1)</f>
        <v/>
      </c>
      <c r="LW28">
        <f>IF('計算A'!DM$106=1,HG28,1)</f>
        <v/>
      </c>
      <c r="LX28">
        <f>IF('計算A'!DN$106=1,HH28,1)</f>
        <v/>
      </c>
      <c r="LY28">
        <f>IF('計算A'!DO$106=1,HI28,1)</f>
        <v/>
      </c>
      <c r="LZ28">
        <f>IF('計算A'!DP$106=1,HJ28,1)</f>
        <v/>
      </c>
      <c r="MA28">
        <f>IF('計算A'!DQ$106=1,HK28,1)</f>
        <v/>
      </c>
      <c r="MB28">
        <f>IF('計算A'!DR$106=1,HL28,1)</f>
        <v/>
      </c>
      <c r="MC28" t="n">
        <v>1</v>
      </c>
      <c r="ME28">
        <f>IF($B28=0,1000000,IF(INDEX('計算A'!$D$60:$DS$104,$B28,1)*CW28=1,IF(AND($E28=2,HN28=0),1000000,INDEX('計算A'!D$110:D$114,$F28+1)+IF(AND($E28=1,HN28=0),1000,0)),1000000))</f>
        <v/>
      </c>
      <c r="MF28">
        <f>IF($B28=0,1000000,IF(INDEX('計算A'!$D$60:$DS$104,$B28,2)*CX28=1,IF(AND($E28=2,HO28=0),1000000,INDEX('計算A'!E$110:E$114,$F28+1)+IF(AND($E28=1,HO28=0),1000,0)),1000000))</f>
        <v/>
      </c>
      <c r="MG28">
        <f>IF($B28=0,1000000,IF(INDEX('計算A'!$D$60:$DS$104,$B28,3)*CY28=1,IF(AND($E28=2,HP28=0),1000000,INDEX('計算A'!F$110:F$114,$F28+1)+IF(AND($E28=1,HP28=0),1000,0)),1000000))</f>
        <v/>
      </c>
      <c r="MH28">
        <f>IF($B28=0,1000000,IF(INDEX('計算A'!$D$60:$DS$104,$B28,4)*CZ28=1,IF(AND($E28=2,HQ28=0),1000000,INDEX('計算A'!G$110:G$114,$F28+1)+IF(AND($E28=1,HQ28=0),1000,0)),1000000))</f>
        <v/>
      </c>
      <c r="MI28">
        <f>IF($B28=0,1000000,IF(INDEX('計算A'!$D$60:$DS$104,$B28,5)*DA28=1,IF(AND($E28=2,HR28=0),1000000,INDEX('計算A'!H$110:H$114,$F28+1)+IF(AND($E28=1,HR28=0),1000,0)),1000000))</f>
        <v/>
      </c>
      <c r="MJ28">
        <f>IF($B28=0,1000000,IF(INDEX('計算A'!$D$60:$DS$104,$B28,6)*DB28=1,IF(AND($E28=2,HS28=0),1000000,INDEX('計算A'!I$110:I$114,$F28+1)+IF(AND($E28=1,HS28=0),1000,0)),1000000))</f>
        <v/>
      </c>
      <c r="MK28">
        <f>IF($B28=0,1000000,IF(INDEX('計算A'!$D$60:$DS$104,$B28,7)*DC28=1,IF(AND($E28=2,HT28=0),1000000,INDEX('計算A'!J$110:J$114,$F28+1)+IF(AND($E28=1,HT28=0),1000,0)),1000000))</f>
        <v/>
      </c>
      <c r="ML28">
        <f>IF($B28=0,1000000,IF(INDEX('計算A'!$D$60:$DS$104,$B28,8)*DD28=1,IF(AND($E28=2,HU28=0),1000000,INDEX('計算A'!K$110:K$114,$F28+1)+IF(AND($E28=1,HU28=0),1000,0)),1000000))</f>
        <v/>
      </c>
      <c r="MM28">
        <f>IF($B28=0,1000000,IF(INDEX('計算A'!$D$60:$DS$104,$B28,9)*DE28=1,IF(AND($E28=2,HV28=0),1000000,INDEX('計算A'!L$110:L$114,$F28+1)+IF(AND($E28=1,HV28=0),1000,0)),1000000))</f>
        <v/>
      </c>
      <c r="MN28">
        <f>IF($B28=0,1000000,IF(INDEX('計算A'!$D$60:$DS$104,$B28,10)*DF28=1,IF(AND($E28=2,HW28=0),1000000,INDEX('計算A'!M$110:M$114,$F28+1)+IF(AND($E28=1,HW28=0),1000,0)),1000000))</f>
        <v/>
      </c>
      <c r="MO28">
        <f>IF($B28=0,1000000,IF(INDEX('計算A'!$D$60:$DS$104,$B28,11)*DG28=1,IF(AND($E28=2,HX28=0),1000000,INDEX('計算A'!N$110:N$114,$F28+1)+IF(AND($E28=1,HX28=0),1000,0)),1000000))</f>
        <v/>
      </c>
      <c r="MP28">
        <f>IF($B28=0,1000000,IF(INDEX('計算A'!$D$60:$DS$104,$B28,12)*DH28=1,IF(AND($E28=2,HY28=0),1000000,INDEX('計算A'!O$110:O$114,$F28+1)+IF(AND($E28=1,HY28=0),1000,0)),1000000))</f>
        <v/>
      </c>
      <c r="MQ28">
        <f>IF($B28=0,1000000,IF(INDEX('計算A'!$D$60:$DS$104,$B28,13)*DI28=1,IF(AND($E28=2,HZ28=0),1000000,INDEX('計算A'!P$110:P$114,$F28+1)+IF(AND($E28=1,HZ28=0),1000,0)),1000000))</f>
        <v/>
      </c>
      <c r="MR28">
        <f>IF($B28=0,1000000,IF(INDEX('計算A'!$D$60:$DS$104,$B28,14)*DJ28=1,IF(AND($E28=2,IA28=0),1000000,INDEX('計算A'!Q$110:Q$114,$F28+1)+IF(AND($E28=1,IA28=0),1000,0)),1000000))</f>
        <v/>
      </c>
      <c r="MS28">
        <f>IF($B28=0,1000000,IF(INDEX('計算A'!$D$60:$DS$104,$B28,15)*DK28=1,IF(AND($E28=2,IB28=0),1000000,INDEX('計算A'!R$110:R$114,$F28+1)+IF(AND($E28=1,IB28=0),1000,0)),1000000))</f>
        <v/>
      </c>
      <c r="MT28">
        <f>IF($B28=0,1000000,IF(INDEX('計算A'!$D$60:$DS$104,$B28,16)*DL28=1,IF(AND($E28=2,IC28=0),1000000,INDEX('計算A'!S$110:S$114,$F28+1)+IF(AND($E28=1,IC28=0),1000,0)),1000000))</f>
        <v/>
      </c>
      <c r="MU28">
        <f>IF($B28=0,1000000,IF(INDEX('計算A'!$D$60:$DS$104,$B28,17)*DM28=1,IF(AND($E28=2,ID28=0),1000000,INDEX('計算A'!T$110:T$114,$F28+1)+IF(AND($E28=1,ID28=0),1000,0)),1000000))</f>
        <v/>
      </c>
      <c r="MV28">
        <f>IF($B28=0,1000000,IF(INDEX('計算A'!$D$60:$DS$104,$B28,18)*DN28=1,IF(AND($E28=2,IE28=0),1000000,INDEX('計算A'!U$110:U$114,$F28+1)+IF(AND($E28=1,IE28=0),1000,0)),1000000))</f>
        <v/>
      </c>
      <c r="MW28">
        <f>IF($B28=0,1000000,IF(INDEX('計算A'!$D$60:$DS$104,$B28,19)*DO28=1,IF(AND($E28=2,IF28=0),1000000,INDEX('計算A'!V$110:V$114,$F28+1)+IF(AND($E28=1,IF28=0),1000,0)),1000000))</f>
        <v/>
      </c>
      <c r="MX28">
        <f>IF($B28=0,1000000,IF(INDEX('計算A'!$D$60:$DS$104,$B28,20)*DP28=1,IF(AND($E28=2,IG28=0),1000000,INDEX('計算A'!W$110:W$114,$F28+1)+IF(AND($E28=1,IG28=0),1000,0)),1000000))</f>
        <v/>
      </c>
      <c r="MY28">
        <f>IF($B28=0,1000000,IF(INDEX('計算A'!$D$60:$DS$104,$B28,21)*DQ28=1,IF(AND($E28=2,IH28=0),1000000,INDEX('計算A'!X$110:X$114,$F28+1)+IF(AND($E28=1,IH28=0),1000,0)),1000000))</f>
        <v/>
      </c>
      <c r="MZ28">
        <f>IF($B28=0,1000000,IF(INDEX('計算A'!$D$60:$DS$104,$B28,22)*DR28=1,IF(AND($E28=2,II28=0),1000000,INDEX('計算A'!Y$110:Y$114,$F28+1)+IF(AND($E28=1,II28=0),1000,0)),1000000))</f>
        <v/>
      </c>
      <c r="NA28">
        <f>IF($B28=0,1000000,IF(INDEX('計算A'!$D$60:$DS$104,$B28,23)*DS28=1,IF(AND($E28=2,IJ28=0),1000000,INDEX('計算A'!Z$110:Z$114,$F28+1)+IF(AND($E28=1,IJ28=0),1000,0)),1000000))</f>
        <v/>
      </c>
      <c r="NB28">
        <f>IF($B28=0,1000000,IF(INDEX('計算A'!$D$60:$DS$104,$B28,24)*DT28=1,IF(AND($E28=2,IK28=0),1000000,INDEX('計算A'!AA$110:AA$114,$F28+1)+IF(AND($E28=1,IK28=0),1000,0)),1000000))</f>
        <v/>
      </c>
      <c r="NC28">
        <f>IF($B28=0,1000000,IF(INDEX('計算A'!$D$60:$DS$104,$B28,25)*DU28=1,IF(AND($E28=2,IL28=0),1000000,INDEX('計算A'!AB$110:AB$114,$F28+1)+IF(AND($E28=1,IL28=0),1000,0)),1000000))</f>
        <v/>
      </c>
      <c r="ND28">
        <f>IF($B28=0,1000000,IF(INDEX('計算A'!$D$60:$DS$104,$B28,26)*DV28=1,IF(AND($E28=2,IM28=0),1000000,INDEX('計算A'!AC$110:AC$114,$F28+1)+IF(AND($E28=1,IM28=0),1000,0)),1000000))</f>
        <v/>
      </c>
      <c r="NE28">
        <f>IF($B28=0,1000000,IF(INDEX('計算A'!$D$60:$DS$104,$B28,27)*DW28=1,IF(AND($E28=2,IN28=0),1000000,INDEX('計算A'!AD$110:AD$114,$F28+1)+IF(AND($E28=1,IN28=0),1000,0)),1000000))</f>
        <v/>
      </c>
      <c r="NF28">
        <f>IF($B28=0,1000000,IF(INDEX('計算A'!$D$60:$DS$104,$B28,28)*DX28=1,IF(AND($E28=2,IO28=0),1000000,INDEX('計算A'!AE$110:AE$114,$F28+1)+IF(AND($E28=1,IO28=0),1000,0)),1000000))</f>
        <v/>
      </c>
      <c r="NG28">
        <f>IF($B28=0,1000000,IF(INDEX('計算A'!$D$60:$DS$104,$B28,29)*DY28=1,IF(AND($E28=2,IP28=0),1000000,INDEX('計算A'!AF$110:AF$114,$F28+1)+IF(AND($E28=1,IP28=0),1000,0)),1000000))</f>
        <v/>
      </c>
      <c r="NH28">
        <f>IF($B28=0,1000000,IF(INDEX('計算A'!$D$60:$DS$104,$B28,30)*DZ28=1,IF(AND($E28=2,IQ28=0),1000000,INDEX('計算A'!AG$110:AG$114,$F28+1)+IF(AND($E28=1,IQ28=0),1000,0)),1000000))</f>
        <v/>
      </c>
      <c r="NI28">
        <f>IF($B28=0,1000000,IF(INDEX('計算A'!$D$60:$DS$104,$B28,31)*EA28=1,IF(AND($E28=2,IR28=0),1000000,INDEX('計算A'!AH$110:AH$114,$F28+1)+IF(AND($E28=1,IR28=0),1000,0)),1000000))</f>
        <v/>
      </c>
      <c r="NJ28">
        <f>IF($B28=0,1000000,IF(INDEX('計算A'!$D$60:$DS$104,$B28,32)*EB28=1,IF(AND($E28=2,IS28=0),1000000,INDEX('計算A'!AI$110:AI$114,$F28+1)+IF(AND($E28=1,IS28=0),1000,0)),1000000))</f>
        <v/>
      </c>
      <c r="NK28">
        <f>IF($B28=0,1000000,IF(INDEX('計算A'!$D$60:$DS$104,$B28,33)*EC28=1,IF(AND($E28=2,IT28=0),1000000,INDEX('計算A'!AJ$110:AJ$114,$F28+1)+IF(AND($E28=1,IT28=0),1000,0)),1000000))</f>
        <v/>
      </c>
      <c r="NL28">
        <f>IF($B28=0,1000000,IF(INDEX('計算A'!$D$60:$DS$104,$B28,34)*ED28=1,IF(AND($E28=2,IU28=0),1000000,INDEX('計算A'!AK$110:AK$114,$F28+1)+IF(AND($E28=1,IU28=0),1000,0)),1000000))</f>
        <v/>
      </c>
      <c r="NM28">
        <f>IF($B28=0,1000000,IF(INDEX('計算A'!$D$60:$DS$104,$B28,35)*EE28=1,IF(AND($E28=2,IV28=0),1000000,INDEX('計算A'!AL$110:AL$114,$F28+1)+IF(AND($E28=1,IV28=0),1000,0)),1000000))</f>
        <v/>
      </c>
      <c r="NN28">
        <f>IF($B28=0,1000000,IF(INDEX('計算A'!$D$60:$DS$104,$B28,36)*EF28=1,IF(AND($E28=2,IW28=0),1000000,INDEX('計算A'!AM$110:AM$114,$F28+1)+IF(AND($E28=1,IW28=0),1000,0)),1000000))</f>
        <v/>
      </c>
      <c r="NO28">
        <f>IF($B28=0,1000000,IF(INDEX('計算A'!$D$60:$DS$104,$B28,37)*EG28=1,IF(AND($E28=2,IX28=0),1000000,INDEX('計算A'!AN$110:AN$114,$F28+1)+IF(AND($E28=1,IX28=0),1000,0)),1000000))</f>
        <v/>
      </c>
      <c r="NP28">
        <f>IF($B28=0,1000000,IF(INDEX('計算A'!$D$60:$DS$104,$B28,38)*EH28=1,IF(AND($E28=2,IY28=0),1000000,INDEX('計算A'!AO$110:AO$114,$F28+1)+IF(AND($E28=1,IY28=0),1000,0)),1000000))</f>
        <v/>
      </c>
      <c r="NQ28">
        <f>IF($B28=0,1000000,IF(INDEX('計算A'!$D$60:$DS$104,$B28,39)*EI28=1,IF(AND($E28=2,IZ28=0),1000000,INDEX('計算A'!AP$110:AP$114,$F28+1)+IF(AND($E28=1,IZ28=0),1000,0)),1000000))</f>
        <v/>
      </c>
      <c r="NR28">
        <f>IF($B28=0,1000000,IF(INDEX('計算A'!$D$60:$DS$104,$B28,40)*EJ28=1,IF(AND($E28=2,JA28=0),1000000,INDEX('計算A'!AQ$110:AQ$114,$F28+1)+IF(AND($E28=1,JA28=0),1000,0)),1000000))</f>
        <v/>
      </c>
      <c r="NS28">
        <f>IF($B28=0,1000000,IF(INDEX('計算A'!$D$60:$DS$104,$B28,41)*EK28=1,IF(AND($E28=2,JB28=0),1000000,INDEX('計算A'!AR$110:AR$114,$F28+1)+IF(AND($E28=1,JB28=0),1000,0)),1000000))</f>
        <v/>
      </c>
      <c r="NT28">
        <f>IF($B28=0,1000000,IF(INDEX('計算A'!$D$60:$DS$104,$B28,42)*EL28=1,IF(AND($E28=2,JC28=0),1000000,INDEX('計算A'!AS$110:AS$114,$F28+1)+IF(AND($E28=1,JC28=0),1000,0)),1000000))</f>
        <v/>
      </c>
      <c r="NU28">
        <f>IF($B28=0,1000000,IF(INDEX('計算A'!$D$60:$DS$104,$B28,43)*EM28=1,IF(AND($E28=2,JD28=0),1000000,INDEX('計算A'!AT$110:AT$114,$F28+1)+IF(AND($E28=1,JD28=0),1000,0)),1000000))</f>
        <v/>
      </c>
      <c r="NV28">
        <f>IF($B28=0,1000000,IF(INDEX('計算A'!$D$60:$DS$104,$B28,44)*EN28=1,IF(AND($E28=2,JE28=0),1000000,INDEX('計算A'!AU$110:AU$114,$F28+1)+IF(AND($E28=1,JE28=0),1000,0)),1000000))</f>
        <v/>
      </c>
      <c r="NW28">
        <f>IF($B28=0,1000000,IF(INDEX('計算A'!$D$60:$DS$104,$B28,45)*EO28=1,IF(AND($E28=2,JF28=0),1000000,INDEX('計算A'!AV$110:AV$114,$F28+1)+IF(AND($E28=1,JF28=0),1000,0)),1000000))</f>
        <v/>
      </c>
      <c r="NX28">
        <f>IF($B28=0,1000000,IF(INDEX('計算A'!$D$60:$DS$104,$B28,46)*EP28=1,IF(AND($E28=2,JG28=0),1000000,INDEX('計算A'!AW$110:AW$114,$F28+1)+IF(AND($E28=1,JG28=0),1000,0)),1000000))</f>
        <v/>
      </c>
      <c r="NY28">
        <f>IF($B28=0,1000000,IF(INDEX('計算A'!$D$60:$DS$104,$B28,47)*EQ28=1,IF(AND($E28=2,JH28=0),1000000,INDEX('計算A'!AX$110:AX$114,$F28+1)+IF(AND($E28=1,JH28=0),1000,0)),1000000))</f>
        <v/>
      </c>
      <c r="NZ28">
        <f>IF($B28=0,1000000,IF(INDEX('計算A'!$D$60:$DS$104,$B28,48)*ER28=1,IF(AND($E28=2,JI28=0),1000000,INDEX('計算A'!AY$110:AY$114,$F28+1)+IF(AND($E28=1,JI28=0),1000,0)),1000000))</f>
        <v/>
      </c>
      <c r="OA28">
        <f>IF($B28=0,1000000,IF(INDEX('計算A'!$D$60:$DS$104,$B28,49)*ES28=1,IF(AND($E28=2,JJ28=0),1000000,INDEX('計算A'!AZ$110:AZ$114,$F28+1)+IF(AND($E28=1,JJ28=0),1000,0)),1000000))</f>
        <v/>
      </c>
      <c r="OB28">
        <f>IF($B28=0,1000000,IF(INDEX('計算A'!$D$60:$DS$104,$B28,50)*ET28=1,IF(AND($E28=2,JK28=0),1000000,INDEX('計算A'!BA$110:BA$114,$F28+1)+IF(AND($E28=1,JK28=0),1000,0)),1000000))</f>
        <v/>
      </c>
      <c r="OC28">
        <f>IF($B28=0,1000000,IF(INDEX('計算A'!$D$60:$DS$104,$B28,51)*EU28=1,IF(AND($E28=2,JL28=0),1000000,INDEX('計算A'!BB$110:BB$114,$F28+1)+IF(AND($E28=1,JL28=0),1000,0)),1000000))</f>
        <v/>
      </c>
      <c r="OD28">
        <f>IF($B28=0,1000000,IF(INDEX('計算A'!$D$60:$DS$104,$B28,52)*EV28=1,IF(AND($E28=2,JM28=0),1000000,INDEX('計算A'!BC$110:BC$114,$F28+1)+IF(AND($E28=1,JM28=0),1000,0)),1000000))</f>
        <v/>
      </c>
      <c r="OE28">
        <f>IF($B28=0,1000000,IF(INDEX('計算A'!$D$60:$DS$104,$B28,53)*EW28=1,IF(AND($E28=2,JN28=0),1000000,INDEX('計算A'!BD$110:BD$114,$F28+1)+IF(AND($E28=1,JN28=0),1000,0)),1000000))</f>
        <v/>
      </c>
      <c r="OF28">
        <f>IF($B28=0,1000000,IF(INDEX('計算A'!$D$60:$DS$104,$B28,54)*EX28=1,IF(AND($E28=2,JO28=0),1000000,INDEX('計算A'!BE$110:BE$114,$F28+1)+IF(AND($E28=1,JO28=0),1000,0)),1000000))</f>
        <v/>
      </c>
      <c r="OG28">
        <f>IF($B28=0,1000000,IF(INDEX('計算A'!$D$60:$DS$104,$B28,55)*EY28=1,IF(AND($E28=2,JP28=0),1000000,INDEX('計算A'!BF$110:BF$114,$F28+1)+IF(AND($E28=1,JP28=0),1000,0)),1000000))</f>
        <v/>
      </c>
      <c r="OH28">
        <f>IF($B28=0,1000000,IF(INDEX('計算A'!$D$60:$DS$104,$B28,56)*EZ28=1,IF(AND($E28=2,JQ28=0),1000000,INDEX('計算A'!BG$110:BG$114,$F28+1)+IF(AND($E28=1,JQ28=0),1000,0)),1000000))</f>
        <v/>
      </c>
      <c r="OI28">
        <f>IF($B28=0,1000000,IF(INDEX('計算A'!$D$60:$DS$104,$B28,57)*FA28=1,IF(AND($E28=2,JR28=0),1000000,INDEX('計算A'!BH$110:BH$114,$F28+1)+IF(AND($E28=1,JR28=0),1000,0)),1000000))</f>
        <v/>
      </c>
      <c r="OJ28">
        <f>IF($B28=0,1000000,IF(INDEX('計算A'!$D$60:$DS$104,$B28,58)*FB28=1,IF(AND($E28=2,JS28=0),1000000,INDEX('計算A'!BI$110:BI$114,$F28+1)+IF(AND($E28=1,JS28=0),1000,0)),1000000))</f>
        <v/>
      </c>
      <c r="OK28">
        <f>IF($B28=0,1000000,IF(INDEX('計算A'!$D$60:$DS$104,$B28,59)*FC28=1,IF(AND($E28=2,JT28=0),1000000,INDEX('計算A'!BJ$110:BJ$114,$F28+1)+IF(AND($E28=1,JT28=0),1000,0)),1000000))</f>
        <v/>
      </c>
      <c r="OL28">
        <f>IF($B28=0,1000000,IF(INDEX('計算A'!$D$60:$DS$104,$B28,60)*FD28=1,IF(AND($E28=2,JU28=0),1000000,INDEX('計算A'!BK$110:BK$114,$F28+1)+IF(AND($E28=1,JU28=0),1000,0)),1000000))</f>
        <v/>
      </c>
      <c r="OM28">
        <f>IF($B28=0,1000000,IF(INDEX('計算A'!$D$60:$DS$104,$B28,61)*FE28=1,IF(AND($E28=2,JV28=0),1000000,INDEX('計算A'!BL$110:BL$114,$F28+1)+IF(AND($E28=1,JV28=0),1000,0)),1000000))</f>
        <v/>
      </c>
      <c r="ON28">
        <f>IF($B28=0,1000000,IF(INDEX('計算A'!$D$60:$DS$104,$B28,62)*FF28=1,IF(AND($E28=2,JW28=0),1000000,INDEX('計算A'!BM$110:BM$114,$F28+1)+IF(AND($E28=1,JW28=0),1000,0)),1000000))</f>
        <v/>
      </c>
      <c r="OO28">
        <f>IF($B28=0,1000000,IF(INDEX('計算A'!$D$60:$DS$104,$B28,63)*FG28=1,IF(AND($E28=2,JX28=0),1000000,INDEX('計算A'!BN$110:BN$114,$F28+1)+IF(AND($E28=1,JX28=0),1000,0)),1000000))</f>
        <v/>
      </c>
      <c r="OP28">
        <f>IF($B28=0,1000000,IF(INDEX('計算A'!$D$60:$DS$104,$B28,64)*FH28=1,IF(AND($E28=2,JY28=0),1000000,INDEX('計算A'!BO$110:BO$114,$F28+1)+IF(AND($E28=1,JY28=0),1000,0)),1000000))</f>
        <v/>
      </c>
      <c r="OQ28">
        <f>IF($B28=0,1000000,IF(INDEX('計算A'!$D$60:$DS$104,$B28,65)*FI28=1,IF(AND($E28=2,JZ28=0),1000000,INDEX('計算A'!BP$110:BP$114,$F28+1)+IF(AND($E28=1,JZ28=0),1000,0)),1000000))</f>
        <v/>
      </c>
      <c r="OR28">
        <f>IF($B28=0,1000000,IF(INDEX('計算A'!$D$60:$DS$104,$B28,66)*FJ28=1,IF(AND($E28=2,KA28=0),1000000,INDEX('計算A'!BQ$110:BQ$114,$F28+1)+IF(AND($E28=1,KA28=0),1000,0)),1000000))</f>
        <v/>
      </c>
      <c r="OS28">
        <f>IF($B28=0,1000000,IF(INDEX('計算A'!$D$60:$DS$104,$B28,67)*FK28=1,IF(AND($E28=2,KB28=0),1000000,INDEX('計算A'!BR$110:BR$114,$F28+1)+IF(AND($E28=1,KB28=0),1000,0)),1000000))</f>
        <v/>
      </c>
      <c r="OT28">
        <f>IF($B28=0,1000000,IF(INDEX('計算A'!$D$60:$DS$104,$B28,68)*FL28=1,IF(AND($E28=2,KC28=0),1000000,INDEX('計算A'!BS$110:BS$114,$F28+1)+IF(AND($E28=1,KC28=0),1000,0)),1000000))</f>
        <v/>
      </c>
      <c r="OU28">
        <f>IF($B28=0,1000000,IF(INDEX('計算A'!$D$60:$DS$104,$B28,69)*FM28=1,IF(AND($E28=2,KD28=0),1000000,INDEX('計算A'!BT$110:BT$114,$F28+1)+IF(AND($E28=1,KD28=0),1000,0)),1000000))</f>
        <v/>
      </c>
      <c r="OV28">
        <f>IF($B28=0,1000000,IF(INDEX('計算A'!$D$60:$DS$104,$B28,70)*FN28=1,IF(AND($E28=2,KE28=0),1000000,INDEX('計算A'!BU$110:BU$114,$F28+1)+IF(AND($E28=1,KE28=0),1000,0)),1000000))</f>
        <v/>
      </c>
      <c r="OW28">
        <f>IF($B28=0,1000000,IF(INDEX('計算A'!$D$60:$DS$104,$B28,71)*FO28=1,IF(AND($E28=2,KF28=0),1000000,INDEX('計算A'!BV$110:BV$114,$F28+1)+IF(AND($E28=1,KF28=0),1000,0)),1000000))</f>
        <v/>
      </c>
      <c r="OX28">
        <f>IF($B28=0,1000000,IF(INDEX('計算A'!$D$60:$DS$104,$B28,72)*FP28=1,IF(AND($E28=2,KG28=0),1000000,INDEX('計算A'!BW$110:BW$114,$F28+1)+IF(AND($E28=1,KG28=0),1000,0)),1000000))</f>
        <v/>
      </c>
      <c r="OY28">
        <f>IF($B28=0,1000000,IF(INDEX('計算A'!$D$60:$DS$104,$B28,73)*FQ28=1,IF(AND($E28=2,KH28=0),1000000,INDEX('計算A'!BX$110:BX$114,$F28+1)+IF(AND($E28=1,KH28=0),1000,0)),1000000))</f>
        <v/>
      </c>
      <c r="OZ28">
        <f>IF($B28=0,1000000,IF(INDEX('計算A'!$D$60:$DS$104,$B28,74)*FR28=1,IF(AND($E28=2,KI28=0),1000000,INDEX('計算A'!BY$110:BY$114,$F28+1)+IF(AND($E28=1,KI28=0),1000,0)),1000000))</f>
        <v/>
      </c>
      <c r="PA28">
        <f>IF($B28=0,1000000,IF(INDEX('計算A'!$D$60:$DS$104,$B28,75)*FS28=1,IF(AND($E28=2,KJ28=0),1000000,INDEX('計算A'!BZ$110:BZ$114,$F28+1)+IF(AND($E28=1,KJ28=0),1000,0)),1000000))</f>
        <v/>
      </c>
      <c r="PB28">
        <f>IF($B28=0,1000000,IF(INDEX('計算A'!$D$60:$DS$104,$B28,76)*FT28=1,IF(AND($E28=2,KK28=0),1000000,INDEX('計算A'!CA$110:CA$114,$F28+1)+IF(AND($E28=1,KK28=0),1000,0)),1000000))</f>
        <v/>
      </c>
      <c r="PC28">
        <f>IF($B28=0,1000000,IF(INDEX('計算A'!$D$60:$DS$104,$B28,77)*FU28=1,IF(AND($E28=2,KL28=0),1000000,INDEX('計算A'!CB$110:CB$114,$F28+1)+IF(AND($E28=1,KL28=0),1000,0)),1000000))</f>
        <v/>
      </c>
      <c r="PD28">
        <f>IF($B28=0,1000000,IF(INDEX('計算A'!$D$60:$DS$104,$B28,78)*FV28=1,IF(AND($E28=2,KM28=0),1000000,INDEX('計算A'!CC$110:CC$114,$F28+1)+IF(AND($E28=1,KM28=0),1000,0)),1000000))</f>
        <v/>
      </c>
      <c r="PE28">
        <f>IF($B28=0,1000000,IF(INDEX('計算A'!$D$60:$DS$104,$B28,79)*FW28=1,IF(AND($E28=2,KN28=0),1000000,INDEX('計算A'!CD$110:CD$114,$F28+1)+IF(AND($E28=1,KN28=0),1000,0)),1000000))</f>
        <v/>
      </c>
      <c r="PF28">
        <f>IF($B28=0,1000000,IF(INDEX('計算A'!$D$60:$DS$104,$B28,80)*FX28=1,IF(AND($E28=2,KO28=0),1000000,INDEX('計算A'!CE$110:CE$114,$F28+1)+IF(AND($E28=1,KO28=0),1000,0)),1000000))</f>
        <v/>
      </c>
      <c r="PG28">
        <f>IF($B28=0,1000000,IF(INDEX('計算A'!$D$60:$DS$104,$B28,81)*FY28=1,IF(AND($E28=2,KP28=0),1000000,INDEX('計算A'!CF$110:CF$114,$F28+1)+IF(AND($E28=1,KP28=0),1000,0)),1000000))</f>
        <v/>
      </c>
      <c r="PH28">
        <f>IF($B28=0,1000000,IF(INDEX('計算A'!$D$60:$DS$104,$B28,82)*FZ28=1,IF(AND($E28=2,KQ28=0),1000000,INDEX('計算A'!CG$110:CG$114,$F28+1)+IF(AND($E28=1,KQ28=0),1000,0)),1000000))</f>
        <v/>
      </c>
      <c r="PI28">
        <f>IF($B28=0,1000000,IF(INDEX('計算A'!$D$60:$DS$104,$B28,83)*GA28=1,IF(AND($E28=2,KR28=0),1000000,INDEX('計算A'!CH$110:CH$114,$F28+1)+IF(AND($E28=1,KR28=0),1000,0)),1000000))</f>
        <v/>
      </c>
      <c r="PJ28">
        <f>IF($B28=0,1000000,IF(INDEX('計算A'!$D$60:$DS$104,$B28,84)*GB28=1,IF(AND($E28=2,KS28=0),1000000,INDEX('計算A'!CI$110:CI$114,$F28+1)+IF(AND($E28=1,KS28=0),1000,0)),1000000))</f>
        <v/>
      </c>
      <c r="PK28">
        <f>IF($B28=0,1000000,IF(INDEX('計算A'!$D$60:$DS$104,$B28,85)*GC28=1,IF(AND($E28=2,KT28=0),1000000,INDEX('計算A'!CJ$110:CJ$114,$F28+1)+IF(AND($E28=1,KT28=0),1000,0)),1000000))</f>
        <v/>
      </c>
      <c r="PL28">
        <f>IF($B28=0,1000000,IF(INDEX('計算A'!$D$60:$DS$104,$B28,86)*GD28=1,IF(AND($E28=2,KU28=0),1000000,INDEX('計算A'!CK$110:CK$114,$F28+1)+IF(AND($E28=1,KU28=0),1000,0)),1000000))</f>
        <v/>
      </c>
      <c r="PM28">
        <f>IF($B28=0,1000000,IF(INDEX('計算A'!$D$60:$DS$104,$B28,87)*GE28=1,IF(AND($E28=2,KV28=0),1000000,INDEX('計算A'!CL$110:CL$114,$F28+1)+IF(AND($E28=1,KV28=0),1000,0)),1000000))</f>
        <v/>
      </c>
      <c r="PN28">
        <f>IF($B28=0,1000000,IF(INDEX('計算A'!$D$60:$DS$104,$B28,88)*GF28=1,IF(AND($E28=2,KW28=0),1000000,INDEX('計算A'!CM$110:CM$114,$F28+1)+IF(AND($E28=1,KW28=0),1000,0)),1000000))</f>
        <v/>
      </c>
      <c r="PO28">
        <f>IF($B28=0,1000000,IF(INDEX('計算A'!$D$60:$DS$104,$B28,89)*GG28=1,IF(AND($E28=2,KX28=0),1000000,INDEX('計算A'!CN$110:CN$114,$F28+1)+IF(AND($E28=1,KX28=0),1000,0)),1000000))</f>
        <v/>
      </c>
      <c r="PP28">
        <f>IF($B28=0,1000000,IF(INDEX('計算A'!$D$60:$DS$104,$B28,90)*GH28=1,IF(AND($E28=2,KY28=0),1000000,INDEX('計算A'!CO$110:CO$114,$F28+1)+IF(AND($E28=1,KY28=0),1000,0)),1000000))</f>
        <v/>
      </c>
      <c r="PQ28">
        <f>IF($B28=0,1000000,IF(INDEX('計算A'!$D$60:$DS$104,$B28,91)*GI28=1,IF(AND($E28=2,KZ28=0),1000000,INDEX('計算A'!CP$110:CP$114,$F28+1)+IF(AND($E28=1,KZ28=0),1000,0)),1000000))</f>
        <v/>
      </c>
      <c r="PR28">
        <f>IF($B28=0,1000000,IF(INDEX('計算A'!$D$60:$DS$104,$B28,92)*GJ28=1,IF(AND($E28=2,LA28=0),1000000,INDEX('計算A'!CQ$110:CQ$114,$F28+1)+IF(AND($E28=1,LA28=0),1000,0)),1000000))</f>
        <v/>
      </c>
      <c r="PS28">
        <f>IF($B28=0,1000000,IF(INDEX('計算A'!$D$60:$DS$104,$B28,93)*GK28=1,IF(AND($E28=2,LB28=0),1000000,INDEX('計算A'!CR$110:CR$114,$F28+1)+IF(AND($E28=1,LB28=0),1000,0)),1000000))</f>
        <v/>
      </c>
      <c r="PT28">
        <f>IF($B28=0,1000000,IF(INDEX('計算A'!$D$60:$DS$104,$B28,94)*GL28=1,IF(AND($E28=2,LC28=0),1000000,INDEX('計算A'!CS$110:CS$114,$F28+1)+IF(AND($E28=1,LC28=0),1000,0)),1000000))</f>
        <v/>
      </c>
      <c r="PU28">
        <f>IF($B28=0,1000000,IF(INDEX('計算A'!$D$60:$DS$104,$B28,95)*GM28=1,IF(AND($E28=2,LD28=0),1000000,INDEX('計算A'!CT$110:CT$114,$F28+1)+IF(AND($E28=1,LD28=0),1000,0)),1000000))</f>
        <v/>
      </c>
      <c r="PV28">
        <f>IF($B28=0,1000000,IF(INDEX('計算A'!$D$60:$DS$104,$B28,96)*GN28=1,IF(AND($E28=2,LE28=0),1000000,INDEX('計算A'!CU$110:CU$114,$F28+1)+IF(AND($E28=1,LE28=0),1000,0)),1000000))</f>
        <v/>
      </c>
      <c r="PW28">
        <f>IF($B28=0,1000000,IF(INDEX('計算A'!$D$60:$DS$104,$B28,97)*GO28=1,IF(AND($E28=2,LF28=0),1000000,INDEX('計算A'!CV$110:CV$114,$F28+1)+IF(AND($E28=1,LF28=0),1000,0)),1000000))</f>
        <v/>
      </c>
      <c r="PX28">
        <f>IF($B28=0,1000000,IF(INDEX('計算A'!$D$60:$DS$104,$B28,98)*GP28=1,IF(AND($E28=2,LG28=0),1000000,INDEX('計算A'!CW$110:CW$114,$F28+1)+IF(AND($E28=1,LG28=0),1000,0)),1000000))</f>
        <v/>
      </c>
      <c r="PY28">
        <f>IF($B28=0,1000000,IF(INDEX('計算A'!$D$60:$DS$104,$B28,99)*GQ28=1,IF(AND($E28=2,LH28=0),1000000,INDEX('計算A'!CX$110:CX$114,$F28+1)+IF(AND($E28=1,LH28=0),1000,0)),1000000))</f>
        <v/>
      </c>
      <c r="PZ28">
        <f>IF($B28=0,1000000,IF(INDEX('計算A'!$D$60:$DS$104,$B28,100)*GR28=1,IF(AND($E28=2,LI28=0),1000000,INDEX('計算A'!CY$110:CY$114,$F28+1)+IF(AND($E28=1,LI28=0),1000,0)),1000000))</f>
        <v/>
      </c>
      <c r="QA28">
        <f>IF($B28=0,1000000,IF(INDEX('計算A'!$D$60:$DS$104,$B28,101)*GS28=1,IF(AND($E28=2,LJ28=0),1000000,INDEX('計算A'!CZ$110:CZ$114,$F28+1)+IF(AND($E28=1,LJ28=0),1000,0)),1000000))</f>
        <v/>
      </c>
      <c r="QB28">
        <f>IF($B28=0,1000000,IF(INDEX('計算A'!$D$60:$DS$104,$B28,102)*GT28=1,IF(AND($E28=2,LK28=0),1000000,INDEX('計算A'!DA$110:DA$114,$F28+1)+IF(AND($E28=1,LK28=0),1000,0)),1000000))</f>
        <v/>
      </c>
      <c r="QC28">
        <f>IF($B28=0,1000000,IF(INDEX('計算A'!$D$60:$DS$104,$B28,103)*GU28=1,IF(AND($E28=2,LL28=0),1000000,INDEX('計算A'!DB$110:DB$114,$F28+1)+IF(AND($E28=1,LL28=0),1000,0)),1000000))</f>
        <v/>
      </c>
      <c r="QD28">
        <f>IF($B28=0,1000000,IF(INDEX('計算A'!$D$60:$DS$104,$B28,104)*GV28=1,IF(AND($E28=2,LM28=0),1000000,INDEX('計算A'!DC$110:DC$114,$F28+1)+IF(AND($E28=1,LM28=0),1000,0)),1000000))</f>
        <v/>
      </c>
      <c r="QE28">
        <f>IF($B28=0,1000000,IF(INDEX('計算A'!$D$60:$DS$104,$B28,105)*GW28=1,IF(AND($E28=2,LN28=0),1000000,INDEX('計算A'!DD$110:DD$114,$F28+1)+IF(AND($E28=1,LN28=0),1000,0)),1000000))</f>
        <v/>
      </c>
      <c r="QF28">
        <f>IF($B28=0,1000000,IF(INDEX('計算A'!$D$60:$DS$104,$B28,106)*GX28=1,IF(AND($E28=2,LO28=0),1000000,INDEX('計算A'!DE$110:DE$114,$F28+1)+IF(AND($E28=1,LO28=0),1000,0)),1000000))</f>
        <v/>
      </c>
      <c r="QG28">
        <f>IF($B28=0,1000000,IF(INDEX('計算A'!$D$60:$DS$104,$B28,107)*GY28=1,IF(AND($E28=2,LP28=0),1000000,INDEX('計算A'!DF$110:DF$114,$F28+1)+IF(AND($E28=1,LP28=0),1000,0)),1000000))</f>
        <v/>
      </c>
      <c r="QH28">
        <f>IF($B28=0,1000000,IF(INDEX('計算A'!$D$60:$DS$104,$B28,108)*GZ28=1,IF(AND($E28=2,LQ28=0),1000000,INDEX('計算A'!DG$110:DG$114,$F28+1)+IF(AND($E28=1,LQ28=0),1000,0)),1000000))</f>
        <v/>
      </c>
      <c r="QI28">
        <f>IF($B28=0,1000000,IF(INDEX('計算A'!$D$60:$DS$104,$B28,109)*HA28=1,IF(AND($E28=2,LR28=0),1000000,INDEX('計算A'!DH$110:DH$114,$F28+1)+IF(AND($E28=1,LR28=0),1000,0)),1000000))</f>
        <v/>
      </c>
      <c r="QJ28">
        <f>IF($B28=0,1000000,IF(INDEX('計算A'!$D$60:$DS$104,$B28,110)*HB28=1,IF(AND($E28=2,LS28=0),1000000,INDEX('計算A'!DI$110:DI$114,$F28+1)+IF(AND($E28=1,LS28=0),1000,0)),1000000))</f>
        <v/>
      </c>
      <c r="QK28">
        <f>IF($B28=0,1000000,IF(INDEX('計算A'!$D$60:$DS$104,$B28,111)*HC28=1,IF(AND($E28=2,LT28=0),1000000,INDEX('計算A'!DJ$110:DJ$114,$F28+1)+IF(AND($E28=1,LT28=0),1000,0)),1000000))</f>
        <v/>
      </c>
      <c r="QL28">
        <f>IF($B28=0,1000000,IF(INDEX('計算A'!$D$60:$DS$104,$B28,112)*HD28=1,IF(AND($E28=2,LU28=0),1000000,INDEX('計算A'!DK$110:DK$114,$F28+1)+IF(AND($E28=1,LU28=0),1000,0)),1000000))</f>
        <v/>
      </c>
      <c r="QM28">
        <f>IF($B28=0,1000000,IF(INDEX('計算A'!$D$60:$DS$104,$B28,113)*HE28=1,IF(AND($E28=2,LV28=0),1000000,INDEX('計算A'!DL$110:DL$114,$F28+1)+IF(AND($E28=1,LV28=0),1000,0)),1000000))</f>
        <v/>
      </c>
      <c r="QN28">
        <f>IF($B28=0,1000000,IF(INDEX('計算A'!$D$60:$DS$104,$B28,114)*HF28=1,IF(AND($E28=2,LW28=0),1000000,INDEX('計算A'!DM$110:DM$114,$F28+1)+IF(AND($E28=1,LW28=0),1000,0)),1000000))</f>
        <v/>
      </c>
      <c r="QO28">
        <f>IF($B28=0,1000000,IF(INDEX('計算A'!$D$60:$DS$104,$B28,115)*HG28=1,IF(AND($E28=2,LX28=0),1000000,INDEX('計算A'!DN$110:DN$114,$F28+1)+IF(AND($E28=1,LX28=0),1000,0)),1000000))</f>
        <v/>
      </c>
      <c r="QP28">
        <f>IF($B28=0,1000000,IF(INDEX('計算A'!$D$60:$DS$104,$B28,116)*HH28=1,IF(AND($E28=2,LY28=0),1000000,INDEX('計算A'!DO$110:DO$114,$F28+1)+IF(AND($E28=1,LY28=0),1000,0)),1000000))</f>
        <v/>
      </c>
      <c r="QQ28">
        <f>IF($B28=0,1000000,IF(INDEX('計算A'!$D$60:$DS$104,$B28,117)*HI28=1,IF(AND($E28=2,LZ28=0),1000000,INDEX('計算A'!DP$110:DP$114,$F28+1)+IF(AND($E28=1,LZ28=0),1000,0)),1000000))</f>
        <v/>
      </c>
      <c r="QR28">
        <f>IF($B28=0,1000000,IF(INDEX('計算A'!$D$60:$DS$104,$B28,118)*HJ28=1,IF(AND($E28=2,MA28=0),1000000,INDEX('計算A'!DQ$110:DQ$114,$F28+1)+IF(AND($E28=1,MA28=0),1000,0)),1000000))</f>
        <v/>
      </c>
      <c r="QS28">
        <f>IF($B28=0,1000000,IF(INDEX('計算A'!$D$60:$DS$104,$B28,119)*HK28=1,IF(AND($E28=2,MB28=0),1000000,INDEX('計算A'!DR$110:DR$114,$F28+1)+IF(AND($E28=1,MB28=0),1000,0)),1000000))</f>
        <v/>
      </c>
      <c r="QT28">
        <f>IF($B28=0,1000000,IF(INDEX('計算A'!$D$60:$DS$104,$B28,120)*HL28=1,IF(AND($E28=2,MC28=0),1000000,INDEX('計算A'!DS$110:DS$114,$F28+1)+IF(AND($E28=1,MC28=0),1000,0)),1000000))</f>
        <v/>
      </c>
    </row>
    <row r="29">
      <c r="A29" t="n">
        <v>27</v>
      </c>
      <c r="B29">
        <f>IF(MIN(BC29:CU29)&gt;=1000000,0,MATCH(MIN(BC29:CU29),BC29:CU29,0))</f>
        <v/>
      </c>
      <c r="C29">
        <f>IF(MIN(ME29:QT29)&gt;=1000000,0,MATCH(MIN(ME29:QT29),ME29:QT29,0))</f>
        <v/>
      </c>
      <c r="D29">
        <f>IF(C29&gt;0,INDEX('計算A'!$D$5:$DS$5,C29),0)</f>
        <v/>
      </c>
      <c r="E29">
        <f>IF(B29=0,0,INDEX('計算A'!$EA$10:$EA$54,B29))</f>
        <v/>
      </c>
      <c r="F29">
        <f>IF(B29=0,0,INDEX('計算A'!$DZ$10:$DZ$54,B29))</f>
        <v/>
      </c>
      <c r="G29">
        <f>IF(AND(C29&gt;0,E29&gt;0),IF(AND(INDEX('計算A'!$D$106:$DS$106,C29)=1,INDEX($HN29:$MC29,C29)=1),C29+1,0),0)</f>
        <v/>
      </c>
      <c r="I29">
        <f>MAX(I28,IF($B28=1,1,0))</f>
        <v/>
      </c>
      <c r="J29">
        <f>MAX(J28,IF($B28=2,1,0))</f>
        <v/>
      </c>
      <c r="K29">
        <f>MAX(K28,IF($B28=3,1,0))</f>
        <v/>
      </c>
      <c r="L29">
        <f>MAX(L28,IF($B28=4,1,0))</f>
        <v/>
      </c>
      <c r="M29">
        <f>MAX(M28,IF($B28=5,1,0))</f>
        <v/>
      </c>
      <c r="N29">
        <f>MAX(N28,IF($B28=6,1,0))</f>
        <v/>
      </c>
      <c r="O29">
        <f>MAX(O28,IF($B28=7,1,0))</f>
        <v/>
      </c>
      <c r="P29">
        <f>MAX(P28,IF($B28=8,1,0))</f>
        <v/>
      </c>
      <c r="Q29">
        <f>MAX(Q28,IF($B28=9,1,0))</f>
        <v/>
      </c>
      <c r="R29">
        <f>MAX(R28,IF($B28=10,1,0))</f>
        <v/>
      </c>
      <c r="S29">
        <f>MAX(S28,IF($B28=11,1,0))</f>
        <v/>
      </c>
      <c r="T29">
        <f>MAX(T28,IF($B28=12,1,0))</f>
        <v/>
      </c>
      <c r="U29">
        <f>MAX(U28,IF($B28=13,1,0))</f>
        <v/>
      </c>
      <c r="V29">
        <f>MAX(V28,IF($B28=14,1,0))</f>
        <v/>
      </c>
      <c r="W29">
        <f>MAX(W28,IF($B28=15,1,0))</f>
        <v/>
      </c>
      <c r="X29">
        <f>MAX(X28,IF($B28=16,1,0))</f>
        <v/>
      </c>
      <c r="Y29">
        <f>MAX(Y28,IF($B28=17,1,0))</f>
        <v/>
      </c>
      <c r="Z29">
        <f>MAX(Z28,IF($B28=18,1,0))</f>
        <v/>
      </c>
      <c r="AA29">
        <f>MAX(AA28,IF($B28=19,1,0))</f>
        <v/>
      </c>
      <c r="AB29">
        <f>MAX(AB28,IF($B28=20,1,0))</f>
        <v/>
      </c>
      <c r="AC29">
        <f>MAX(AC28,IF($B28=21,1,0))</f>
        <v/>
      </c>
      <c r="AD29">
        <f>MAX(AD28,IF($B28=22,1,0))</f>
        <v/>
      </c>
      <c r="AE29">
        <f>MAX(AE28,IF($B28=23,1,0))</f>
        <v/>
      </c>
      <c r="AF29">
        <f>MAX(AF28,IF($B28=24,1,0))</f>
        <v/>
      </c>
      <c r="AG29">
        <f>MAX(AG28,IF($B28=25,1,0))</f>
        <v/>
      </c>
      <c r="AH29">
        <f>MAX(AH28,IF($B28=26,1,0))</f>
        <v/>
      </c>
      <c r="AI29">
        <f>MAX(AI28,IF($B28=27,1,0))</f>
        <v/>
      </c>
      <c r="AJ29">
        <f>MAX(AJ28,IF($B28=28,1,0))</f>
        <v/>
      </c>
      <c r="AK29">
        <f>MAX(AK28,IF($B28=29,1,0))</f>
        <v/>
      </c>
      <c r="AL29">
        <f>MAX(AL28,IF($B28=30,1,0))</f>
        <v/>
      </c>
      <c r="AM29">
        <f>MAX(AM28,IF($B28=31,1,0))</f>
        <v/>
      </c>
      <c r="AN29">
        <f>MAX(AN28,IF($B28=32,1,0))</f>
        <v/>
      </c>
      <c r="AO29">
        <f>MAX(AO28,IF($B28=33,1,0))</f>
        <v/>
      </c>
      <c r="AP29">
        <f>MAX(AP28,IF($B28=34,1,0))</f>
        <v/>
      </c>
      <c r="AQ29">
        <f>MAX(AQ28,IF($B28=35,1,0))</f>
        <v/>
      </c>
      <c r="AR29">
        <f>MAX(AR28,IF($B28=36,1,0))</f>
        <v/>
      </c>
      <c r="AS29">
        <f>MAX(AS28,IF($B28=37,1,0))</f>
        <v/>
      </c>
      <c r="AT29">
        <f>MAX(AT28,IF($B28=38,1,0))</f>
        <v/>
      </c>
      <c r="AU29">
        <f>MAX(AU28,IF($B28=39,1,0))</f>
        <v/>
      </c>
      <c r="AV29">
        <f>MAX(AV28,IF($B28=40,1,0))</f>
        <v/>
      </c>
      <c r="AW29">
        <f>MAX(AW28,IF($B28=41,1,0))</f>
        <v/>
      </c>
      <c r="AX29">
        <f>MAX(AX28,IF($B28=42,1,0))</f>
        <v/>
      </c>
      <c r="AY29">
        <f>MAX(AY28,IF($B28=43,1,0))</f>
        <v/>
      </c>
      <c r="AZ29">
        <f>MAX(AZ28,IF($B28=44,1,0))</f>
        <v/>
      </c>
      <c r="BA29">
        <f>MAX(BA28,IF($B28=45,1,0))</f>
        <v/>
      </c>
      <c r="BC29">
        <f>IF(I29=1,1000000,IF('計算A'!$EA$10=2,SUMPRODUCT('計算A'!$D$60:$DS$60,$CW29:$HL29,$HN29:$MC29),SUMPRODUCT('計算A'!$D$60:$DS$60,$CW29:$HL29))*1000+1)</f>
        <v/>
      </c>
      <c r="BD29">
        <f>IF(J29=1,1000000,IF('計算A'!$EA$11=2,SUMPRODUCT('計算A'!$D$61:$DS$61,$CW29:$HL29,$HN29:$MC29),SUMPRODUCT('計算A'!$D$61:$DS$61,$CW29:$HL29))*1000+2)</f>
        <v/>
      </c>
      <c r="BE29">
        <f>IF(K29=1,1000000,IF('計算A'!$EA$12=2,SUMPRODUCT('計算A'!$D$62:$DS$62,$CW29:$HL29,$HN29:$MC29),SUMPRODUCT('計算A'!$D$62:$DS$62,$CW29:$HL29))*1000+3)</f>
        <v/>
      </c>
      <c r="BF29">
        <f>IF(L29=1,1000000,IF('計算A'!$EA$13=2,SUMPRODUCT('計算A'!$D$63:$DS$63,$CW29:$HL29,$HN29:$MC29),SUMPRODUCT('計算A'!$D$63:$DS$63,$CW29:$HL29))*1000+4)</f>
        <v/>
      </c>
      <c r="BG29">
        <f>IF(M29=1,1000000,IF('計算A'!$EA$14=2,SUMPRODUCT('計算A'!$D$64:$DS$64,$CW29:$HL29,$HN29:$MC29),SUMPRODUCT('計算A'!$D$64:$DS$64,$CW29:$HL29))*1000+5)</f>
        <v/>
      </c>
      <c r="BH29">
        <f>IF(N29=1,1000000,IF('計算A'!$EA$15=2,SUMPRODUCT('計算A'!$D$65:$DS$65,$CW29:$HL29,$HN29:$MC29),SUMPRODUCT('計算A'!$D$65:$DS$65,$CW29:$HL29))*1000+6)</f>
        <v/>
      </c>
      <c r="BI29">
        <f>IF(O29=1,1000000,IF('計算A'!$EA$16=2,SUMPRODUCT('計算A'!$D$66:$DS$66,$CW29:$HL29,$HN29:$MC29),SUMPRODUCT('計算A'!$D$66:$DS$66,$CW29:$HL29))*1000+7)</f>
        <v/>
      </c>
      <c r="BJ29">
        <f>IF(P29=1,1000000,IF('計算A'!$EA$17=2,SUMPRODUCT('計算A'!$D$67:$DS$67,$CW29:$HL29,$HN29:$MC29),SUMPRODUCT('計算A'!$D$67:$DS$67,$CW29:$HL29))*1000+8)</f>
        <v/>
      </c>
      <c r="BK29">
        <f>IF(Q29=1,1000000,IF('計算A'!$EA$18=2,SUMPRODUCT('計算A'!$D$68:$DS$68,$CW29:$HL29,$HN29:$MC29),SUMPRODUCT('計算A'!$D$68:$DS$68,$CW29:$HL29))*1000+9)</f>
        <v/>
      </c>
      <c r="BL29">
        <f>IF(R29=1,1000000,IF('計算A'!$EA$19=2,SUMPRODUCT('計算A'!$D$69:$DS$69,$CW29:$HL29,$HN29:$MC29),SUMPRODUCT('計算A'!$D$69:$DS$69,$CW29:$HL29))*1000+10)</f>
        <v/>
      </c>
      <c r="BM29">
        <f>IF(S29=1,1000000,IF('計算A'!$EA$20=2,SUMPRODUCT('計算A'!$D$70:$DS$70,$CW29:$HL29,$HN29:$MC29),SUMPRODUCT('計算A'!$D$70:$DS$70,$CW29:$HL29))*1000+11)</f>
        <v/>
      </c>
      <c r="BN29">
        <f>IF(T29=1,1000000,IF('計算A'!$EA$21=2,SUMPRODUCT('計算A'!$D$71:$DS$71,$CW29:$HL29,$HN29:$MC29),SUMPRODUCT('計算A'!$D$71:$DS$71,$CW29:$HL29))*1000+12)</f>
        <v/>
      </c>
      <c r="BO29">
        <f>IF(U29=1,1000000,IF('計算A'!$EA$22=2,SUMPRODUCT('計算A'!$D$72:$DS$72,$CW29:$HL29,$HN29:$MC29),SUMPRODUCT('計算A'!$D$72:$DS$72,$CW29:$HL29))*1000+13)</f>
        <v/>
      </c>
      <c r="BP29">
        <f>IF(V29=1,1000000,IF('計算A'!$EA$23=2,SUMPRODUCT('計算A'!$D$73:$DS$73,$CW29:$HL29,$HN29:$MC29),SUMPRODUCT('計算A'!$D$73:$DS$73,$CW29:$HL29))*1000+14)</f>
        <v/>
      </c>
      <c r="BQ29">
        <f>IF(W29=1,1000000,IF('計算A'!$EA$24=2,SUMPRODUCT('計算A'!$D$74:$DS$74,$CW29:$HL29,$HN29:$MC29),SUMPRODUCT('計算A'!$D$74:$DS$74,$CW29:$HL29))*1000+15)</f>
        <v/>
      </c>
      <c r="BR29">
        <f>IF(X29=1,1000000,IF('計算A'!$EA$25=2,SUMPRODUCT('計算A'!$D$75:$DS$75,$CW29:$HL29,$HN29:$MC29),SUMPRODUCT('計算A'!$D$75:$DS$75,$CW29:$HL29))*1000+16)</f>
        <v/>
      </c>
      <c r="BS29">
        <f>IF(Y29=1,1000000,IF('計算A'!$EA$26=2,SUMPRODUCT('計算A'!$D$76:$DS$76,$CW29:$HL29,$HN29:$MC29),SUMPRODUCT('計算A'!$D$76:$DS$76,$CW29:$HL29))*1000+17)</f>
        <v/>
      </c>
      <c r="BT29">
        <f>IF(Z29=1,1000000,IF('計算A'!$EA$27=2,SUMPRODUCT('計算A'!$D$77:$DS$77,$CW29:$HL29,$HN29:$MC29),SUMPRODUCT('計算A'!$D$77:$DS$77,$CW29:$HL29))*1000+18)</f>
        <v/>
      </c>
      <c r="BU29">
        <f>IF(AA29=1,1000000,IF('計算A'!$EA$28=2,SUMPRODUCT('計算A'!$D$78:$DS$78,$CW29:$HL29,$HN29:$MC29),SUMPRODUCT('計算A'!$D$78:$DS$78,$CW29:$HL29))*1000+19)</f>
        <v/>
      </c>
      <c r="BV29">
        <f>IF(AB29=1,1000000,IF('計算A'!$EA$29=2,SUMPRODUCT('計算A'!$D$79:$DS$79,$CW29:$HL29,$HN29:$MC29),SUMPRODUCT('計算A'!$D$79:$DS$79,$CW29:$HL29))*1000+20)</f>
        <v/>
      </c>
      <c r="BW29">
        <f>IF(AC29=1,1000000,IF('計算A'!$EA$30=2,SUMPRODUCT('計算A'!$D$80:$DS$80,$CW29:$HL29,$HN29:$MC29),SUMPRODUCT('計算A'!$D$80:$DS$80,$CW29:$HL29))*1000+21)</f>
        <v/>
      </c>
      <c r="BX29">
        <f>IF(AD29=1,1000000,IF('計算A'!$EA$31=2,SUMPRODUCT('計算A'!$D$81:$DS$81,$CW29:$HL29,$HN29:$MC29),SUMPRODUCT('計算A'!$D$81:$DS$81,$CW29:$HL29))*1000+22)</f>
        <v/>
      </c>
      <c r="BY29">
        <f>IF(AE29=1,1000000,IF('計算A'!$EA$32=2,SUMPRODUCT('計算A'!$D$82:$DS$82,$CW29:$HL29,$HN29:$MC29),SUMPRODUCT('計算A'!$D$82:$DS$82,$CW29:$HL29))*1000+23)</f>
        <v/>
      </c>
      <c r="BZ29">
        <f>IF(AF29=1,1000000,IF('計算A'!$EA$33=2,SUMPRODUCT('計算A'!$D$83:$DS$83,$CW29:$HL29,$HN29:$MC29),SUMPRODUCT('計算A'!$D$83:$DS$83,$CW29:$HL29))*1000+24)</f>
        <v/>
      </c>
      <c r="CA29">
        <f>IF(AG29=1,1000000,IF('計算A'!$EA$34=2,SUMPRODUCT('計算A'!$D$84:$DS$84,$CW29:$HL29,$HN29:$MC29),SUMPRODUCT('計算A'!$D$84:$DS$84,$CW29:$HL29))*1000+25)</f>
        <v/>
      </c>
      <c r="CB29">
        <f>IF(AH29=1,1000000,IF('計算A'!$EA$35=2,SUMPRODUCT('計算A'!$D$85:$DS$85,$CW29:$HL29,$HN29:$MC29),SUMPRODUCT('計算A'!$D$85:$DS$85,$CW29:$HL29))*1000+26)</f>
        <v/>
      </c>
      <c r="CC29">
        <f>IF(AI29=1,1000000,IF('計算A'!$EA$36=2,SUMPRODUCT('計算A'!$D$86:$DS$86,$CW29:$HL29,$HN29:$MC29),SUMPRODUCT('計算A'!$D$86:$DS$86,$CW29:$HL29))*1000+27)</f>
        <v/>
      </c>
      <c r="CD29">
        <f>IF(AJ29=1,1000000,IF('計算A'!$EA$37=2,SUMPRODUCT('計算A'!$D$87:$DS$87,$CW29:$HL29,$HN29:$MC29),SUMPRODUCT('計算A'!$D$87:$DS$87,$CW29:$HL29))*1000+28)</f>
        <v/>
      </c>
      <c r="CE29">
        <f>IF(AK29=1,1000000,IF('計算A'!$EA$38=2,SUMPRODUCT('計算A'!$D$88:$DS$88,$CW29:$HL29,$HN29:$MC29),SUMPRODUCT('計算A'!$D$88:$DS$88,$CW29:$HL29))*1000+29)</f>
        <v/>
      </c>
      <c r="CF29">
        <f>IF(AL29=1,1000000,IF('計算A'!$EA$39=2,SUMPRODUCT('計算A'!$D$89:$DS$89,$CW29:$HL29,$HN29:$MC29),SUMPRODUCT('計算A'!$D$89:$DS$89,$CW29:$HL29))*1000+30)</f>
        <v/>
      </c>
      <c r="CG29">
        <f>IF(AM29=1,1000000,IF('計算A'!$EA$40=2,SUMPRODUCT('計算A'!$D$90:$DS$90,$CW29:$HL29,$HN29:$MC29),SUMPRODUCT('計算A'!$D$90:$DS$90,$CW29:$HL29))*1000+31)</f>
        <v/>
      </c>
      <c r="CH29">
        <f>IF(AN29=1,1000000,IF('計算A'!$EA$41=2,SUMPRODUCT('計算A'!$D$91:$DS$91,$CW29:$HL29,$HN29:$MC29),SUMPRODUCT('計算A'!$D$91:$DS$91,$CW29:$HL29))*1000+32)</f>
        <v/>
      </c>
      <c r="CI29">
        <f>IF(AO29=1,1000000,IF('計算A'!$EA$42=2,SUMPRODUCT('計算A'!$D$92:$DS$92,$CW29:$HL29,$HN29:$MC29),SUMPRODUCT('計算A'!$D$92:$DS$92,$CW29:$HL29))*1000+33)</f>
        <v/>
      </c>
      <c r="CJ29">
        <f>IF(AP29=1,1000000,IF('計算A'!$EA$43=2,SUMPRODUCT('計算A'!$D$93:$DS$93,$CW29:$HL29,$HN29:$MC29),SUMPRODUCT('計算A'!$D$93:$DS$93,$CW29:$HL29))*1000+34)</f>
        <v/>
      </c>
      <c r="CK29">
        <f>IF(AQ29=1,1000000,IF('計算A'!$EA$44=2,SUMPRODUCT('計算A'!$D$94:$DS$94,$CW29:$HL29,$HN29:$MC29),SUMPRODUCT('計算A'!$D$94:$DS$94,$CW29:$HL29))*1000+35)</f>
        <v/>
      </c>
      <c r="CL29">
        <f>IF(AR29=1,1000000,IF('計算A'!$EA$45=2,SUMPRODUCT('計算A'!$D$95:$DS$95,$CW29:$HL29,$HN29:$MC29),SUMPRODUCT('計算A'!$D$95:$DS$95,$CW29:$HL29))*1000+36)</f>
        <v/>
      </c>
      <c r="CM29">
        <f>IF(AS29=1,1000000,IF('計算A'!$EA$46=2,SUMPRODUCT('計算A'!$D$96:$DS$96,$CW29:$HL29,$HN29:$MC29),SUMPRODUCT('計算A'!$D$96:$DS$96,$CW29:$HL29))*1000+37)</f>
        <v/>
      </c>
      <c r="CN29">
        <f>IF(AT29=1,1000000,IF('計算A'!$EA$47=2,SUMPRODUCT('計算A'!$D$97:$DS$97,$CW29:$HL29,$HN29:$MC29),SUMPRODUCT('計算A'!$D$97:$DS$97,$CW29:$HL29))*1000+38)</f>
        <v/>
      </c>
      <c r="CO29">
        <f>IF(AU29=1,1000000,IF('計算A'!$EA$48=2,SUMPRODUCT('計算A'!$D$98:$DS$98,$CW29:$HL29,$HN29:$MC29),SUMPRODUCT('計算A'!$D$98:$DS$98,$CW29:$HL29))*1000+39)</f>
        <v/>
      </c>
      <c r="CP29">
        <f>IF(AV29=1,1000000,IF('計算A'!$EA$49=2,SUMPRODUCT('計算A'!$D$99:$DS$99,$CW29:$HL29,$HN29:$MC29),SUMPRODUCT('計算A'!$D$99:$DS$99,$CW29:$HL29))*1000+40)</f>
        <v/>
      </c>
      <c r="CQ29">
        <f>IF(AW29=1,1000000,IF('計算A'!$EA$50=2,SUMPRODUCT('計算A'!$D$100:$DS$100,$CW29:$HL29,$HN29:$MC29),SUMPRODUCT('計算A'!$D$100:$DS$100,$CW29:$HL29))*1000+41)</f>
        <v/>
      </c>
      <c r="CR29">
        <f>IF(AX29=1,1000000,IF('計算A'!$EA$51=2,SUMPRODUCT('計算A'!$D$101:$DS$101,$CW29:$HL29,$HN29:$MC29),SUMPRODUCT('計算A'!$D$101:$DS$101,$CW29:$HL29))*1000+42)</f>
        <v/>
      </c>
      <c r="CS29">
        <f>IF(AY29=1,1000000,IF('計算A'!$EA$52=2,SUMPRODUCT('計算A'!$D$102:$DS$102,$CW29:$HL29,$HN29:$MC29),SUMPRODUCT('計算A'!$D$102:$DS$102,$CW29:$HL29))*1000+43)</f>
        <v/>
      </c>
      <c r="CT29">
        <f>IF(AZ29=1,1000000,IF('計算A'!$EA$53=2,SUMPRODUCT('計算A'!$D$103:$DS$103,$CW29:$HL29,$HN29:$MC29),SUMPRODUCT('計算A'!$D$103:$DS$103,$CW29:$HL29))*1000+44)</f>
        <v/>
      </c>
      <c r="CU29">
        <f>IF(BA29=1,1000000,IF('計算A'!$EA$54=2,SUMPRODUCT('計算A'!$D$104:$DS$104,$CW29:$HL29,$HN29:$MC29),SUMPRODUCT('計算A'!$D$104:$DS$104,$CW29:$HL29))*1000+45)</f>
        <v/>
      </c>
      <c r="CW29">
        <f>CW28*IF(OR($C28=1,$G28=1),0,1)</f>
        <v/>
      </c>
      <c r="CX29">
        <f>CX28*IF(OR($C28=2,$G28=2),0,1)</f>
        <v/>
      </c>
      <c r="CY29">
        <f>CY28*IF(OR($C28=3,$G28=3),0,1)</f>
        <v/>
      </c>
      <c r="CZ29">
        <f>CZ28*IF(OR($C28=4,$G28=4),0,1)</f>
        <v/>
      </c>
      <c r="DA29">
        <f>DA28*IF(OR($C28=5,$G28=5),0,1)</f>
        <v/>
      </c>
      <c r="DB29">
        <f>DB28*IF(OR($C28=6,$G28=6),0,1)</f>
        <v/>
      </c>
      <c r="DC29">
        <f>DC28*IF(OR($C28=7,$G28=7),0,1)</f>
        <v/>
      </c>
      <c r="DD29">
        <f>DD28*IF(OR($C28=8,$G28=8),0,1)</f>
        <v/>
      </c>
      <c r="DE29">
        <f>DE28*IF(OR($C28=9,$G28=9),0,1)</f>
        <v/>
      </c>
      <c r="DF29">
        <f>DF28*IF(OR($C28=10,$G28=10),0,1)</f>
        <v/>
      </c>
      <c r="DG29">
        <f>DG28*IF(OR($C28=11,$G28=11),0,1)</f>
        <v/>
      </c>
      <c r="DH29">
        <f>DH28*IF(OR($C28=12,$G28=12),0,1)</f>
        <v/>
      </c>
      <c r="DI29">
        <f>DI28*IF(OR($C28=13,$G28=13),0,1)</f>
        <v/>
      </c>
      <c r="DJ29">
        <f>DJ28*IF(OR($C28=14,$G28=14),0,1)</f>
        <v/>
      </c>
      <c r="DK29">
        <f>DK28*IF(OR($C28=15,$G28=15),0,1)</f>
        <v/>
      </c>
      <c r="DL29">
        <f>DL28*IF(OR($C28=16,$G28=16),0,1)</f>
        <v/>
      </c>
      <c r="DM29">
        <f>DM28*IF(OR($C28=17,$G28=17),0,1)</f>
        <v/>
      </c>
      <c r="DN29">
        <f>DN28*IF(OR($C28=18,$G28=18),0,1)</f>
        <v/>
      </c>
      <c r="DO29">
        <f>DO28*IF(OR($C28=19,$G28=19),0,1)</f>
        <v/>
      </c>
      <c r="DP29">
        <f>DP28*IF(OR($C28=20,$G28=20),0,1)</f>
        <v/>
      </c>
      <c r="DQ29">
        <f>DQ28*IF(OR($C28=21,$G28=21),0,1)</f>
        <v/>
      </c>
      <c r="DR29">
        <f>DR28*IF(OR($C28=22,$G28=22),0,1)</f>
        <v/>
      </c>
      <c r="DS29">
        <f>DS28*IF(OR($C28=23,$G28=23),0,1)</f>
        <v/>
      </c>
      <c r="DT29">
        <f>DT28*IF(OR($C28=24,$G28=24),0,1)</f>
        <v/>
      </c>
      <c r="DU29">
        <f>DU28*IF(OR($C28=25,$G28=25),0,1)</f>
        <v/>
      </c>
      <c r="DV29">
        <f>DV28*IF(OR($C28=26,$G28=26),0,1)</f>
        <v/>
      </c>
      <c r="DW29">
        <f>DW28*IF(OR($C28=27,$G28=27),0,1)</f>
        <v/>
      </c>
      <c r="DX29">
        <f>DX28*IF(OR($C28=28,$G28=28),0,1)</f>
        <v/>
      </c>
      <c r="DY29">
        <f>DY28*IF(OR($C28=29,$G28=29),0,1)</f>
        <v/>
      </c>
      <c r="DZ29">
        <f>DZ28*IF(OR($C28=30,$G28=30),0,1)</f>
        <v/>
      </c>
      <c r="EA29">
        <f>EA28*IF(OR($C28=31,$G28=31),0,1)</f>
        <v/>
      </c>
      <c r="EB29">
        <f>EB28*IF(OR($C28=32,$G28=32),0,1)</f>
        <v/>
      </c>
      <c r="EC29">
        <f>EC28*IF(OR($C28=33,$G28=33),0,1)</f>
        <v/>
      </c>
      <c r="ED29">
        <f>ED28*IF(OR($C28=34,$G28=34),0,1)</f>
        <v/>
      </c>
      <c r="EE29">
        <f>EE28*IF(OR($C28=35,$G28=35),0,1)</f>
        <v/>
      </c>
      <c r="EF29">
        <f>EF28*IF(OR($C28=36,$G28=36),0,1)</f>
        <v/>
      </c>
      <c r="EG29">
        <f>EG28*IF(OR($C28=37,$G28=37),0,1)</f>
        <v/>
      </c>
      <c r="EH29">
        <f>EH28*IF(OR($C28=38,$G28=38),0,1)</f>
        <v/>
      </c>
      <c r="EI29">
        <f>EI28*IF(OR($C28=39,$G28=39),0,1)</f>
        <v/>
      </c>
      <c r="EJ29">
        <f>EJ28*IF(OR($C28=40,$G28=40),0,1)</f>
        <v/>
      </c>
      <c r="EK29">
        <f>EK28*IF(OR($C28=41,$G28=41),0,1)</f>
        <v/>
      </c>
      <c r="EL29">
        <f>EL28*IF(OR($C28=42,$G28=42),0,1)</f>
        <v/>
      </c>
      <c r="EM29">
        <f>EM28*IF(OR($C28=43,$G28=43),0,1)</f>
        <v/>
      </c>
      <c r="EN29">
        <f>EN28*IF(OR($C28=44,$G28=44),0,1)</f>
        <v/>
      </c>
      <c r="EO29">
        <f>EO28*IF(OR($C28=45,$G28=45),0,1)</f>
        <v/>
      </c>
      <c r="EP29">
        <f>EP28*IF(OR($C28=46,$G28=46),0,1)</f>
        <v/>
      </c>
      <c r="EQ29">
        <f>EQ28*IF(OR($C28=47,$G28=47),0,1)</f>
        <v/>
      </c>
      <c r="ER29">
        <f>ER28*IF(OR($C28=48,$G28=48),0,1)</f>
        <v/>
      </c>
      <c r="ES29">
        <f>ES28*IF(OR($C28=49,$G28=49),0,1)</f>
        <v/>
      </c>
      <c r="ET29">
        <f>ET28*IF(OR($C28=50,$G28=50),0,1)</f>
        <v/>
      </c>
      <c r="EU29">
        <f>EU28*IF(OR($C28=51,$G28=51),0,1)</f>
        <v/>
      </c>
      <c r="EV29">
        <f>EV28*IF(OR($C28=52,$G28=52),0,1)</f>
        <v/>
      </c>
      <c r="EW29">
        <f>EW28*IF(OR($C28=53,$G28=53),0,1)</f>
        <v/>
      </c>
      <c r="EX29">
        <f>EX28*IF(OR($C28=54,$G28=54),0,1)</f>
        <v/>
      </c>
      <c r="EY29">
        <f>EY28*IF(OR($C28=55,$G28=55),0,1)</f>
        <v/>
      </c>
      <c r="EZ29">
        <f>EZ28*IF(OR($C28=56,$G28=56),0,1)</f>
        <v/>
      </c>
      <c r="FA29">
        <f>FA28*IF(OR($C28=57,$G28=57),0,1)</f>
        <v/>
      </c>
      <c r="FB29">
        <f>FB28*IF(OR($C28=58,$G28=58),0,1)</f>
        <v/>
      </c>
      <c r="FC29">
        <f>FC28*IF(OR($C28=59,$G28=59),0,1)</f>
        <v/>
      </c>
      <c r="FD29">
        <f>FD28*IF(OR($C28=60,$G28=60),0,1)</f>
        <v/>
      </c>
      <c r="FE29">
        <f>FE28*IF(OR($C28=61,$G28=61),0,1)</f>
        <v/>
      </c>
      <c r="FF29">
        <f>FF28*IF(OR($C28=62,$G28=62),0,1)</f>
        <v/>
      </c>
      <c r="FG29">
        <f>FG28*IF(OR($C28=63,$G28=63),0,1)</f>
        <v/>
      </c>
      <c r="FH29">
        <f>FH28*IF(OR($C28=64,$G28=64),0,1)</f>
        <v/>
      </c>
      <c r="FI29">
        <f>FI28*IF(OR($C28=65,$G28=65),0,1)</f>
        <v/>
      </c>
      <c r="FJ29">
        <f>FJ28*IF(OR($C28=66,$G28=66),0,1)</f>
        <v/>
      </c>
      <c r="FK29">
        <f>FK28*IF(OR($C28=67,$G28=67),0,1)</f>
        <v/>
      </c>
      <c r="FL29">
        <f>FL28*IF(OR($C28=68,$G28=68),0,1)</f>
        <v/>
      </c>
      <c r="FM29">
        <f>FM28*IF(OR($C28=69,$G28=69),0,1)</f>
        <v/>
      </c>
      <c r="FN29">
        <f>FN28*IF(OR($C28=70,$G28=70),0,1)</f>
        <v/>
      </c>
      <c r="FO29">
        <f>FO28*IF(OR($C28=71,$G28=71),0,1)</f>
        <v/>
      </c>
      <c r="FP29">
        <f>FP28*IF(OR($C28=72,$G28=72),0,1)</f>
        <v/>
      </c>
      <c r="FQ29">
        <f>FQ28*IF(OR($C28=73,$G28=73),0,1)</f>
        <v/>
      </c>
      <c r="FR29">
        <f>FR28*IF(OR($C28=74,$G28=74),0,1)</f>
        <v/>
      </c>
      <c r="FS29">
        <f>FS28*IF(OR($C28=75,$G28=75),0,1)</f>
        <v/>
      </c>
      <c r="FT29">
        <f>FT28*IF(OR($C28=76,$G28=76),0,1)</f>
        <v/>
      </c>
      <c r="FU29">
        <f>FU28*IF(OR($C28=77,$G28=77),0,1)</f>
        <v/>
      </c>
      <c r="FV29">
        <f>FV28*IF(OR($C28=78,$G28=78),0,1)</f>
        <v/>
      </c>
      <c r="FW29">
        <f>FW28*IF(OR($C28=79,$G28=79),0,1)</f>
        <v/>
      </c>
      <c r="FX29">
        <f>FX28*IF(OR($C28=80,$G28=80),0,1)</f>
        <v/>
      </c>
      <c r="FY29">
        <f>FY28*IF(OR($C28=81,$G28=81),0,1)</f>
        <v/>
      </c>
      <c r="FZ29">
        <f>FZ28*IF(OR($C28=82,$G28=82),0,1)</f>
        <v/>
      </c>
      <c r="GA29">
        <f>GA28*IF(OR($C28=83,$G28=83),0,1)</f>
        <v/>
      </c>
      <c r="GB29">
        <f>GB28*IF(OR($C28=84,$G28=84),0,1)</f>
        <v/>
      </c>
      <c r="GC29">
        <f>GC28*IF(OR($C28=85,$G28=85),0,1)</f>
        <v/>
      </c>
      <c r="GD29">
        <f>GD28*IF(OR($C28=86,$G28=86),0,1)</f>
        <v/>
      </c>
      <c r="GE29">
        <f>GE28*IF(OR($C28=87,$G28=87),0,1)</f>
        <v/>
      </c>
      <c r="GF29">
        <f>GF28*IF(OR($C28=88,$G28=88),0,1)</f>
        <v/>
      </c>
      <c r="GG29">
        <f>GG28*IF(OR($C28=89,$G28=89),0,1)</f>
        <v/>
      </c>
      <c r="GH29">
        <f>GH28*IF(OR($C28=90,$G28=90),0,1)</f>
        <v/>
      </c>
      <c r="GI29">
        <f>GI28*IF(OR($C28=91,$G28=91),0,1)</f>
        <v/>
      </c>
      <c r="GJ29">
        <f>GJ28*IF(OR($C28=92,$G28=92),0,1)</f>
        <v/>
      </c>
      <c r="GK29">
        <f>GK28*IF(OR($C28=93,$G28=93),0,1)</f>
        <v/>
      </c>
      <c r="GL29">
        <f>GL28*IF(OR($C28=94,$G28=94),0,1)</f>
        <v/>
      </c>
      <c r="GM29">
        <f>GM28*IF(OR($C28=95,$G28=95),0,1)</f>
        <v/>
      </c>
      <c r="GN29">
        <f>GN28*IF(OR($C28=96,$G28=96),0,1)</f>
        <v/>
      </c>
      <c r="GO29">
        <f>GO28*IF(OR($C28=97,$G28=97),0,1)</f>
        <v/>
      </c>
      <c r="GP29">
        <f>GP28*IF(OR($C28=98,$G28=98),0,1)</f>
        <v/>
      </c>
      <c r="GQ29">
        <f>GQ28*IF(OR($C28=99,$G28=99),0,1)</f>
        <v/>
      </c>
      <c r="GR29">
        <f>GR28*IF(OR($C28=100,$G28=100),0,1)</f>
        <v/>
      </c>
      <c r="GS29">
        <f>GS28*IF(OR($C28=101,$G28=101),0,1)</f>
        <v/>
      </c>
      <c r="GT29">
        <f>GT28*IF(OR($C28=102,$G28=102),0,1)</f>
        <v/>
      </c>
      <c r="GU29">
        <f>GU28*IF(OR($C28=103,$G28=103),0,1)</f>
        <v/>
      </c>
      <c r="GV29">
        <f>GV28*IF(OR($C28=104,$G28=104),0,1)</f>
        <v/>
      </c>
      <c r="GW29">
        <f>GW28*IF(OR($C28=105,$G28=105),0,1)</f>
        <v/>
      </c>
      <c r="GX29">
        <f>GX28*IF(OR($C28=106,$G28=106),0,1)</f>
        <v/>
      </c>
      <c r="GY29">
        <f>GY28*IF(OR($C28=107,$G28=107),0,1)</f>
        <v/>
      </c>
      <c r="GZ29">
        <f>GZ28*IF(OR($C28=108,$G28=108),0,1)</f>
        <v/>
      </c>
      <c r="HA29">
        <f>HA28*IF(OR($C28=109,$G28=109),0,1)</f>
        <v/>
      </c>
      <c r="HB29">
        <f>HB28*IF(OR($C28=110,$G28=110),0,1)</f>
        <v/>
      </c>
      <c r="HC29">
        <f>HC28*IF(OR($C28=111,$G28=111),0,1)</f>
        <v/>
      </c>
      <c r="HD29">
        <f>HD28*IF(OR($C28=112,$G28=112),0,1)</f>
        <v/>
      </c>
      <c r="HE29">
        <f>HE28*IF(OR($C28=113,$G28=113),0,1)</f>
        <v/>
      </c>
      <c r="HF29">
        <f>HF28*IF(OR($C28=114,$G28=114),0,1)</f>
        <v/>
      </c>
      <c r="HG29">
        <f>HG28*IF(OR($C28=115,$G28=115),0,1)</f>
        <v/>
      </c>
      <c r="HH29">
        <f>HH28*IF(OR($C28=116,$G28=116),0,1)</f>
        <v/>
      </c>
      <c r="HI29">
        <f>HI28*IF(OR($C28=117,$G28=117),0,1)</f>
        <v/>
      </c>
      <c r="HJ29">
        <f>HJ28*IF(OR($C28=118,$G28=118),0,1)</f>
        <v/>
      </c>
      <c r="HK29">
        <f>HK28*IF(OR($C28=119,$G28=119),0,1)</f>
        <v/>
      </c>
      <c r="HL29">
        <f>HL28*IF(OR($C28=120,$G28=120),0,1)</f>
        <v/>
      </c>
      <c r="HN29">
        <f>IF('計算A'!D$106=1,CX29,1)</f>
        <v/>
      </c>
      <c r="HO29">
        <f>IF('計算A'!E$106=1,CY29,1)</f>
        <v/>
      </c>
      <c r="HP29">
        <f>IF('計算A'!F$106=1,CZ29,1)</f>
        <v/>
      </c>
      <c r="HQ29">
        <f>IF('計算A'!G$106=1,DA29,1)</f>
        <v/>
      </c>
      <c r="HR29">
        <f>IF('計算A'!H$106=1,DB29,1)</f>
        <v/>
      </c>
      <c r="HS29">
        <f>IF('計算A'!I$106=1,DC29,1)</f>
        <v/>
      </c>
      <c r="HT29">
        <f>IF('計算A'!J$106=1,DD29,1)</f>
        <v/>
      </c>
      <c r="HU29">
        <f>IF('計算A'!K$106=1,DE29,1)</f>
        <v/>
      </c>
      <c r="HV29">
        <f>IF('計算A'!L$106=1,DF29,1)</f>
        <v/>
      </c>
      <c r="HW29">
        <f>IF('計算A'!M$106=1,DG29,1)</f>
        <v/>
      </c>
      <c r="HX29">
        <f>IF('計算A'!N$106=1,DH29,1)</f>
        <v/>
      </c>
      <c r="HY29">
        <f>IF('計算A'!O$106=1,DI29,1)</f>
        <v/>
      </c>
      <c r="HZ29">
        <f>IF('計算A'!P$106=1,DJ29,1)</f>
        <v/>
      </c>
      <c r="IA29">
        <f>IF('計算A'!Q$106=1,DK29,1)</f>
        <v/>
      </c>
      <c r="IB29">
        <f>IF('計算A'!R$106=1,DL29,1)</f>
        <v/>
      </c>
      <c r="IC29">
        <f>IF('計算A'!S$106=1,DM29,1)</f>
        <v/>
      </c>
      <c r="ID29">
        <f>IF('計算A'!T$106=1,DN29,1)</f>
        <v/>
      </c>
      <c r="IE29">
        <f>IF('計算A'!U$106=1,DO29,1)</f>
        <v/>
      </c>
      <c r="IF29">
        <f>IF('計算A'!V$106=1,DP29,1)</f>
        <v/>
      </c>
      <c r="IG29">
        <f>IF('計算A'!W$106=1,DQ29,1)</f>
        <v/>
      </c>
      <c r="IH29">
        <f>IF('計算A'!X$106=1,DR29,1)</f>
        <v/>
      </c>
      <c r="II29">
        <f>IF('計算A'!Y$106=1,DS29,1)</f>
        <v/>
      </c>
      <c r="IJ29">
        <f>IF('計算A'!Z$106=1,DT29,1)</f>
        <v/>
      </c>
      <c r="IK29">
        <f>IF('計算A'!AA$106=1,DU29,1)</f>
        <v/>
      </c>
      <c r="IL29">
        <f>IF('計算A'!AB$106=1,DV29,1)</f>
        <v/>
      </c>
      <c r="IM29">
        <f>IF('計算A'!AC$106=1,DW29,1)</f>
        <v/>
      </c>
      <c r="IN29">
        <f>IF('計算A'!AD$106=1,DX29,1)</f>
        <v/>
      </c>
      <c r="IO29">
        <f>IF('計算A'!AE$106=1,DY29,1)</f>
        <v/>
      </c>
      <c r="IP29">
        <f>IF('計算A'!AF$106=1,DZ29,1)</f>
        <v/>
      </c>
      <c r="IQ29">
        <f>IF('計算A'!AG$106=1,EA29,1)</f>
        <v/>
      </c>
      <c r="IR29">
        <f>IF('計算A'!AH$106=1,EB29,1)</f>
        <v/>
      </c>
      <c r="IS29">
        <f>IF('計算A'!AI$106=1,EC29,1)</f>
        <v/>
      </c>
      <c r="IT29">
        <f>IF('計算A'!AJ$106=1,ED29,1)</f>
        <v/>
      </c>
      <c r="IU29">
        <f>IF('計算A'!AK$106=1,EE29,1)</f>
        <v/>
      </c>
      <c r="IV29">
        <f>IF('計算A'!AL$106=1,EF29,1)</f>
        <v/>
      </c>
      <c r="IW29">
        <f>IF('計算A'!AM$106=1,EG29,1)</f>
        <v/>
      </c>
      <c r="IX29">
        <f>IF('計算A'!AN$106=1,EH29,1)</f>
        <v/>
      </c>
      <c r="IY29">
        <f>IF('計算A'!AO$106=1,EI29,1)</f>
        <v/>
      </c>
      <c r="IZ29">
        <f>IF('計算A'!AP$106=1,EJ29,1)</f>
        <v/>
      </c>
      <c r="JA29">
        <f>IF('計算A'!AQ$106=1,EK29,1)</f>
        <v/>
      </c>
      <c r="JB29">
        <f>IF('計算A'!AR$106=1,EL29,1)</f>
        <v/>
      </c>
      <c r="JC29">
        <f>IF('計算A'!AS$106=1,EM29,1)</f>
        <v/>
      </c>
      <c r="JD29">
        <f>IF('計算A'!AT$106=1,EN29,1)</f>
        <v/>
      </c>
      <c r="JE29">
        <f>IF('計算A'!AU$106=1,EO29,1)</f>
        <v/>
      </c>
      <c r="JF29">
        <f>IF('計算A'!AV$106=1,EP29,1)</f>
        <v/>
      </c>
      <c r="JG29">
        <f>IF('計算A'!AW$106=1,EQ29,1)</f>
        <v/>
      </c>
      <c r="JH29">
        <f>IF('計算A'!AX$106=1,ER29,1)</f>
        <v/>
      </c>
      <c r="JI29">
        <f>IF('計算A'!AY$106=1,ES29,1)</f>
        <v/>
      </c>
      <c r="JJ29">
        <f>IF('計算A'!AZ$106=1,ET29,1)</f>
        <v/>
      </c>
      <c r="JK29">
        <f>IF('計算A'!BA$106=1,EU29,1)</f>
        <v/>
      </c>
      <c r="JL29">
        <f>IF('計算A'!BB$106=1,EV29,1)</f>
        <v/>
      </c>
      <c r="JM29">
        <f>IF('計算A'!BC$106=1,EW29,1)</f>
        <v/>
      </c>
      <c r="JN29">
        <f>IF('計算A'!BD$106=1,EX29,1)</f>
        <v/>
      </c>
      <c r="JO29">
        <f>IF('計算A'!BE$106=1,EY29,1)</f>
        <v/>
      </c>
      <c r="JP29">
        <f>IF('計算A'!BF$106=1,EZ29,1)</f>
        <v/>
      </c>
      <c r="JQ29">
        <f>IF('計算A'!BG$106=1,FA29,1)</f>
        <v/>
      </c>
      <c r="JR29">
        <f>IF('計算A'!BH$106=1,FB29,1)</f>
        <v/>
      </c>
      <c r="JS29">
        <f>IF('計算A'!BI$106=1,FC29,1)</f>
        <v/>
      </c>
      <c r="JT29">
        <f>IF('計算A'!BJ$106=1,FD29,1)</f>
        <v/>
      </c>
      <c r="JU29">
        <f>IF('計算A'!BK$106=1,FE29,1)</f>
        <v/>
      </c>
      <c r="JV29">
        <f>IF('計算A'!BL$106=1,FF29,1)</f>
        <v/>
      </c>
      <c r="JW29">
        <f>IF('計算A'!BM$106=1,FG29,1)</f>
        <v/>
      </c>
      <c r="JX29">
        <f>IF('計算A'!BN$106=1,FH29,1)</f>
        <v/>
      </c>
      <c r="JY29">
        <f>IF('計算A'!BO$106=1,FI29,1)</f>
        <v/>
      </c>
      <c r="JZ29">
        <f>IF('計算A'!BP$106=1,FJ29,1)</f>
        <v/>
      </c>
      <c r="KA29">
        <f>IF('計算A'!BQ$106=1,FK29,1)</f>
        <v/>
      </c>
      <c r="KB29">
        <f>IF('計算A'!BR$106=1,FL29,1)</f>
        <v/>
      </c>
      <c r="KC29">
        <f>IF('計算A'!BS$106=1,FM29,1)</f>
        <v/>
      </c>
      <c r="KD29">
        <f>IF('計算A'!BT$106=1,FN29,1)</f>
        <v/>
      </c>
      <c r="KE29">
        <f>IF('計算A'!BU$106=1,FO29,1)</f>
        <v/>
      </c>
      <c r="KF29">
        <f>IF('計算A'!BV$106=1,FP29,1)</f>
        <v/>
      </c>
      <c r="KG29">
        <f>IF('計算A'!BW$106=1,FQ29,1)</f>
        <v/>
      </c>
      <c r="KH29">
        <f>IF('計算A'!BX$106=1,FR29,1)</f>
        <v/>
      </c>
      <c r="KI29">
        <f>IF('計算A'!BY$106=1,FS29,1)</f>
        <v/>
      </c>
      <c r="KJ29">
        <f>IF('計算A'!BZ$106=1,FT29,1)</f>
        <v/>
      </c>
      <c r="KK29">
        <f>IF('計算A'!CA$106=1,FU29,1)</f>
        <v/>
      </c>
      <c r="KL29">
        <f>IF('計算A'!CB$106=1,FV29,1)</f>
        <v/>
      </c>
      <c r="KM29">
        <f>IF('計算A'!CC$106=1,FW29,1)</f>
        <v/>
      </c>
      <c r="KN29">
        <f>IF('計算A'!CD$106=1,FX29,1)</f>
        <v/>
      </c>
      <c r="KO29">
        <f>IF('計算A'!CE$106=1,FY29,1)</f>
        <v/>
      </c>
      <c r="KP29">
        <f>IF('計算A'!CF$106=1,FZ29,1)</f>
        <v/>
      </c>
      <c r="KQ29">
        <f>IF('計算A'!CG$106=1,GA29,1)</f>
        <v/>
      </c>
      <c r="KR29">
        <f>IF('計算A'!CH$106=1,GB29,1)</f>
        <v/>
      </c>
      <c r="KS29">
        <f>IF('計算A'!CI$106=1,GC29,1)</f>
        <v/>
      </c>
      <c r="KT29">
        <f>IF('計算A'!CJ$106=1,GD29,1)</f>
        <v/>
      </c>
      <c r="KU29">
        <f>IF('計算A'!CK$106=1,GE29,1)</f>
        <v/>
      </c>
      <c r="KV29">
        <f>IF('計算A'!CL$106=1,GF29,1)</f>
        <v/>
      </c>
      <c r="KW29">
        <f>IF('計算A'!CM$106=1,GG29,1)</f>
        <v/>
      </c>
      <c r="KX29">
        <f>IF('計算A'!CN$106=1,GH29,1)</f>
        <v/>
      </c>
      <c r="KY29">
        <f>IF('計算A'!CO$106=1,GI29,1)</f>
        <v/>
      </c>
      <c r="KZ29">
        <f>IF('計算A'!CP$106=1,GJ29,1)</f>
        <v/>
      </c>
      <c r="LA29">
        <f>IF('計算A'!CQ$106=1,GK29,1)</f>
        <v/>
      </c>
      <c r="LB29">
        <f>IF('計算A'!CR$106=1,GL29,1)</f>
        <v/>
      </c>
      <c r="LC29">
        <f>IF('計算A'!CS$106=1,GM29,1)</f>
        <v/>
      </c>
      <c r="LD29">
        <f>IF('計算A'!CT$106=1,GN29,1)</f>
        <v/>
      </c>
      <c r="LE29">
        <f>IF('計算A'!CU$106=1,GO29,1)</f>
        <v/>
      </c>
      <c r="LF29">
        <f>IF('計算A'!CV$106=1,GP29,1)</f>
        <v/>
      </c>
      <c r="LG29">
        <f>IF('計算A'!CW$106=1,GQ29,1)</f>
        <v/>
      </c>
      <c r="LH29">
        <f>IF('計算A'!CX$106=1,GR29,1)</f>
        <v/>
      </c>
      <c r="LI29">
        <f>IF('計算A'!CY$106=1,GS29,1)</f>
        <v/>
      </c>
      <c r="LJ29">
        <f>IF('計算A'!CZ$106=1,GT29,1)</f>
        <v/>
      </c>
      <c r="LK29">
        <f>IF('計算A'!DA$106=1,GU29,1)</f>
        <v/>
      </c>
      <c r="LL29">
        <f>IF('計算A'!DB$106=1,GV29,1)</f>
        <v/>
      </c>
      <c r="LM29">
        <f>IF('計算A'!DC$106=1,GW29,1)</f>
        <v/>
      </c>
      <c r="LN29">
        <f>IF('計算A'!DD$106=1,GX29,1)</f>
        <v/>
      </c>
      <c r="LO29">
        <f>IF('計算A'!DE$106=1,GY29,1)</f>
        <v/>
      </c>
      <c r="LP29">
        <f>IF('計算A'!DF$106=1,GZ29,1)</f>
        <v/>
      </c>
      <c r="LQ29">
        <f>IF('計算A'!DG$106=1,HA29,1)</f>
        <v/>
      </c>
      <c r="LR29">
        <f>IF('計算A'!DH$106=1,HB29,1)</f>
        <v/>
      </c>
      <c r="LS29">
        <f>IF('計算A'!DI$106=1,HC29,1)</f>
        <v/>
      </c>
      <c r="LT29">
        <f>IF('計算A'!DJ$106=1,HD29,1)</f>
        <v/>
      </c>
      <c r="LU29">
        <f>IF('計算A'!DK$106=1,HE29,1)</f>
        <v/>
      </c>
      <c r="LV29">
        <f>IF('計算A'!DL$106=1,HF29,1)</f>
        <v/>
      </c>
      <c r="LW29">
        <f>IF('計算A'!DM$106=1,HG29,1)</f>
        <v/>
      </c>
      <c r="LX29">
        <f>IF('計算A'!DN$106=1,HH29,1)</f>
        <v/>
      </c>
      <c r="LY29">
        <f>IF('計算A'!DO$106=1,HI29,1)</f>
        <v/>
      </c>
      <c r="LZ29">
        <f>IF('計算A'!DP$106=1,HJ29,1)</f>
        <v/>
      </c>
      <c r="MA29">
        <f>IF('計算A'!DQ$106=1,HK29,1)</f>
        <v/>
      </c>
      <c r="MB29">
        <f>IF('計算A'!DR$106=1,HL29,1)</f>
        <v/>
      </c>
      <c r="MC29" t="n">
        <v>1</v>
      </c>
      <c r="ME29">
        <f>IF($B29=0,1000000,IF(INDEX('計算A'!$D$60:$DS$104,$B29,1)*CW29=1,IF(AND($E29=2,HN29=0),1000000,INDEX('計算A'!D$110:D$114,$F29+1)+IF(AND($E29=1,HN29=0),1000,0)),1000000))</f>
        <v/>
      </c>
      <c r="MF29">
        <f>IF($B29=0,1000000,IF(INDEX('計算A'!$D$60:$DS$104,$B29,2)*CX29=1,IF(AND($E29=2,HO29=0),1000000,INDEX('計算A'!E$110:E$114,$F29+1)+IF(AND($E29=1,HO29=0),1000,0)),1000000))</f>
        <v/>
      </c>
      <c r="MG29">
        <f>IF($B29=0,1000000,IF(INDEX('計算A'!$D$60:$DS$104,$B29,3)*CY29=1,IF(AND($E29=2,HP29=0),1000000,INDEX('計算A'!F$110:F$114,$F29+1)+IF(AND($E29=1,HP29=0),1000,0)),1000000))</f>
        <v/>
      </c>
      <c r="MH29">
        <f>IF($B29=0,1000000,IF(INDEX('計算A'!$D$60:$DS$104,$B29,4)*CZ29=1,IF(AND($E29=2,HQ29=0),1000000,INDEX('計算A'!G$110:G$114,$F29+1)+IF(AND($E29=1,HQ29=0),1000,0)),1000000))</f>
        <v/>
      </c>
      <c r="MI29">
        <f>IF($B29=0,1000000,IF(INDEX('計算A'!$D$60:$DS$104,$B29,5)*DA29=1,IF(AND($E29=2,HR29=0),1000000,INDEX('計算A'!H$110:H$114,$F29+1)+IF(AND($E29=1,HR29=0),1000,0)),1000000))</f>
        <v/>
      </c>
      <c r="MJ29">
        <f>IF($B29=0,1000000,IF(INDEX('計算A'!$D$60:$DS$104,$B29,6)*DB29=1,IF(AND($E29=2,HS29=0),1000000,INDEX('計算A'!I$110:I$114,$F29+1)+IF(AND($E29=1,HS29=0),1000,0)),1000000))</f>
        <v/>
      </c>
      <c r="MK29">
        <f>IF($B29=0,1000000,IF(INDEX('計算A'!$D$60:$DS$104,$B29,7)*DC29=1,IF(AND($E29=2,HT29=0),1000000,INDEX('計算A'!J$110:J$114,$F29+1)+IF(AND($E29=1,HT29=0),1000,0)),1000000))</f>
        <v/>
      </c>
      <c r="ML29">
        <f>IF($B29=0,1000000,IF(INDEX('計算A'!$D$60:$DS$104,$B29,8)*DD29=1,IF(AND($E29=2,HU29=0),1000000,INDEX('計算A'!K$110:K$114,$F29+1)+IF(AND($E29=1,HU29=0),1000,0)),1000000))</f>
        <v/>
      </c>
      <c r="MM29">
        <f>IF($B29=0,1000000,IF(INDEX('計算A'!$D$60:$DS$104,$B29,9)*DE29=1,IF(AND($E29=2,HV29=0),1000000,INDEX('計算A'!L$110:L$114,$F29+1)+IF(AND($E29=1,HV29=0),1000,0)),1000000))</f>
        <v/>
      </c>
      <c r="MN29">
        <f>IF($B29=0,1000000,IF(INDEX('計算A'!$D$60:$DS$104,$B29,10)*DF29=1,IF(AND($E29=2,HW29=0),1000000,INDEX('計算A'!M$110:M$114,$F29+1)+IF(AND($E29=1,HW29=0),1000,0)),1000000))</f>
        <v/>
      </c>
      <c r="MO29">
        <f>IF($B29=0,1000000,IF(INDEX('計算A'!$D$60:$DS$104,$B29,11)*DG29=1,IF(AND($E29=2,HX29=0),1000000,INDEX('計算A'!N$110:N$114,$F29+1)+IF(AND($E29=1,HX29=0),1000,0)),1000000))</f>
        <v/>
      </c>
      <c r="MP29">
        <f>IF($B29=0,1000000,IF(INDEX('計算A'!$D$60:$DS$104,$B29,12)*DH29=1,IF(AND($E29=2,HY29=0),1000000,INDEX('計算A'!O$110:O$114,$F29+1)+IF(AND($E29=1,HY29=0),1000,0)),1000000))</f>
        <v/>
      </c>
      <c r="MQ29">
        <f>IF($B29=0,1000000,IF(INDEX('計算A'!$D$60:$DS$104,$B29,13)*DI29=1,IF(AND($E29=2,HZ29=0),1000000,INDEX('計算A'!P$110:P$114,$F29+1)+IF(AND($E29=1,HZ29=0),1000,0)),1000000))</f>
        <v/>
      </c>
      <c r="MR29">
        <f>IF($B29=0,1000000,IF(INDEX('計算A'!$D$60:$DS$104,$B29,14)*DJ29=1,IF(AND($E29=2,IA29=0),1000000,INDEX('計算A'!Q$110:Q$114,$F29+1)+IF(AND($E29=1,IA29=0),1000,0)),1000000))</f>
        <v/>
      </c>
      <c r="MS29">
        <f>IF($B29=0,1000000,IF(INDEX('計算A'!$D$60:$DS$104,$B29,15)*DK29=1,IF(AND($E29=2,IB29=0),1000000,INDEX('計算A'!R$110:R$114,$F29+1)+IF(AND($E29=1,IB29=0),1000,0)),1000000))</f>
        <v/>
      </c>
      <c r="MT29">
        <f>IF($B29=0,1000000,IF(INDEX('計算A'!$D$60:$DS$104,$B29,16)*DL29=1,IF(AND($E29=2,IC29=0),1000000,INDEX('計算A'!S$110:S$114,$F29+1)+IF(AND($E29=1,IC29=0),1000,0)),1000000))</f>
        <v/>
      </c>
      <c r="MU29">
        <f>IF($B29=0,1000000,IF(INDEX('計算A'!$D$60:$DS$104,$B29,17)*DM29=1,IF(AND($E29=2,ID29=0),1000000,INDEX('計算A'!T$110:T$114,$F29+1)+IF(AND($E29=1,ID29=0),1000,0)),1000000))</f>
        <v/>
      </c>
      <c r="MV29">
        <f>IF($B29=0,1000000,IF(INDEX('計算A'!$D$60:$DS$104,$B29,18)*DN29=1,IF(AND($E29=2,IE29=0),1000000,INDEX('計算A'!U$110:U$114,$F29+1)+IF(AND($E29=1,IE29=0),1000,0)),1000000))</f>
        <v/>
      </c>
      <c r="MW29">
        <f>IF($B29=0,1000000,IF(INDEX('計算A'!$D$60:$DS$104,$B29,19)*DO29=1,IF(AND($E29=2,IF29=0),1000000,INDEX('計算A'!V$110:V$114,$F29+1)+IF(AND($E29=1,IF29=0),1000,0)),1000000))</f>
        <v/>
      </c>
      <c r="MX29">
        <f>IF($B29=0,1000000,IF(INDEX('計算A'!$D$60:$DS$104,$B29,20)*DP29=1,IF(AND($E29=2,IG29=0),1000000,INDEX('計算A'!W$110:W$114,$F29+1)+IF(AND($E29=1,IG29=0),1000,0)),1000000))</f>
        <v/>
      </c>
      <c r="MY29">
        <f>IF($B29=0,1000000,IF(INDEX('計算A'!$D$60:$DS$104,$B29,21)*DQ29=1,IF(AND($E29=2,IH29=0),1000000,INDEX('計算A'!X$110:X$114,$F29+1)+IF(AND($E29=1,IH29=0),1000,0)),1000000))</f>
        <v/>
      </c>
      <c r="MZ29">
        <f>IF($B29=0,1000000,IF(INDEX('計算A'!$D$60:$DS$104,$B29,22)*DR29=1,IF(AND($E29=2,II29=0),1000000,INDEX('計算A'!Y$110:Y$114,$F29+1)+IF(AND($E29=1,II29=0),1000,0)),1000000))</f>
        <v/>
      </c>
      <c r="NA29">
        <f>IF($B29=0,1000000,IF(INDEX('計算A'!$D$60:$DS$104,$B29,23)*DS29=1,IF(AND($E29=2,IJ29=0),1000000,INDEX('計算A'!Z$110:Z$114,$F29+1)+IF(AND($E29=1,IJ29=0),1000,0)),1000000))</f>
        <v/>
      </c>
      <c r="NB29">
        <f>IF($B29=0,1000000,IF(INDEX('計算A'!$D$60:$DS$104,$B29,24)*DT29=1,IF(AND($E29=2,IK29=0),1000000,INDEX('計算A'!AA$110:AA$114,$F29+1)+IF(AND($E29=1,IK29=0),1000,0)),1000000))</f>
        <v/>
      </c>
      <c r="NC29">
        <f>IF($B29=0,1000000,IF(INDEX('計算A'!$D$60:$DS$104,$B29,25)*DU29=1,IF(AND($E29=2,IL29=0),1000000,INDEX('計算A'!AB$110:AB$114,$F29+1)+IF(AND($E29=1,IL29=0),1000,0)),1000000))</f>
        <v/>
      </c>
      <c r="ND29">
        <f>IF($B29=0,1000000,IF(INDEX('計算A'!$D$60:$DS$104,$B29,26)*DV29=1,IF(AND($E29=2,IM29=0),1000000,INDEX('計算A'!AC$110:AC$114,$F29+1)+IF(AND($E29=1,IM29=0),1000,0)),1000000))</f>
        <v/>
      </c>
      <c r="NE29">
        <f>IF($B29=0,1000000,IF(INDEX('計算A'!$D$60:$DS$104,$B29,27)*DW29=1,IF(AND($E29=2,IN29=0),1000000,INDEX('計算A'!AD$110:AD$114,$F29+1)+IF(AND($E29=1,IN29=0),1000,0)),1000000))</f>
        <v/>
      </c>
      <c r="NF29">
        <f>IF($B29=0,1000000,IF(INDEX('計算A'!$D$60:$DS$104,$B29,28)*DX29=1,IF(AND($E29=2,IO29=0),1000000,INDEX('計算A'!AE$110:AE$114,$F29+1)+IF(AND($E29=1,IO29=0),1000,0)),1000000))</f>
        <v/>
      </c>
      <c r="NG29">
        <f>IF($B29=0,1000000,IF(INDEX('計算A'!$D$60:$DS$104,$B29,29)*DY29=1,IF(AND($E29=2,IP29=0),1000000,INDEX('計算A'!AF$110:AF$114,$F29+1)+IF(AND($E29=1,IP29=0),1000,0)),1000000))</f>
        <v/>
      </c>
      <c r="NH29">
        <f>IF($B29=0,1000000,IF(INDEX('計算A'!$D$60:$DS$104,$B29,30)*DZ29=1,IF(AND($E29=2,IQ29=0),1000000,INDEX('計算A'!AG$110:AG$114,$F29+1)+IF(AND($E29=1,IQ29=0),1000,0)),1000000))</f>
        <v/>
      </c>
      <c r="NI29">
        <f>IF($B29=0,1000000,IF(INDEX('計算A'!$D$60:$DS$104,$B29,31)*EA29=1,IF(AND($E29=2,IR29=0),1000000,INDEX('計算A'!AH$110:AH$114,$F29+1)+IF(AND($E29=1,IR29=0),1000,0)),1000000))</f>
        <v/>
      </c>
      <c r="NJ29">
        <f>IF($B29=0,1000000,IF(INDEX('計算A'!$D$60:$DS$104,$B29,32)*EB29=1,IF(AND($E29=2,IS29=0),1000000,INDEX('計算A'!AI$110:AI$114,$F29+1)+IF(AND($E29=1,IS29=0),1000,0)),1000000))</f>
        <v/>
      </c>
      <c r="NK29">
        <f>IF($B29=0,1000000,IF(INDEX('計算A'!$D$60:$DS$104,$B29,33)*EC29=1,IF(AND($E29=2,IT29=0),1000000,INDEX('計算A'!AJ$110:AJ$114,$F29+1)+IF(AND($E29=1,IT29=0),1000,0)),1000000))</f>
        <v/>
      </c>
      <c r="NL29">
        <f>IF($B29=0,1000000,IF(INDEX('計算A'!$D$60:$DS$104,$B29,34)*ED29=1,IF(AND($E29=2,IU29=0),1000000,INDEX('計算A'!AK$110:AK$114,$F29+1)+IF(AND($E29=1,IU29=0),1000,0)),1000000))</f>
        <v/>
      </c>
      <c r="NM29">
        <f>IF($B29=0,1000000,IF(INDEX('計算A'!$D$60:$DS$104,$B29,35)*EE29=1,IF(AND($E29=2,IV29=0),1000000,INDEX('計算A'!AL$110:AL$114,$F29+1)+IF(AND($E29=1,IV29=0),1000,0)),1000000))</f>
        <v/>
      </c>
      <c r="NN29">
        <f>IF($B29=0,1000000,IF(INDEX('計算A'!$D$60:$DS$104,$B29,36)*EF29=1,IF(AND($E29=2,IW29=0),1000000,INDEX('計算A'!AM$110:AM$114,$F29+1)+IF(AND($E29=1,IW29=0),1000,0)),1000000))</f>
        <v/>
      </c>
      <c r="NO29">
        <f>IF($B29=0,1000000,IF(INDEX('計算A'!$D$60:$DS$104,$B29,37)*EG29=1,IF(AND($E29=2,IX29=0),1000000,INDEX('計算A'!AN$110:AN$114,$F29+1)+IF(AND($E29=1,IX29=0),1000,0)),1000000))</f>
        <v/>
      </c>
      <c r="NP29">
        <f>IF($B29=0,1000000,IF(INDEX('計算A'!$D$60:$DS$104,$B29,38)*EH29=1,IF(AND($E29=2,IY29=0),1000000,INDEX('計算A'!AO$110:AO$114,$F29+1)+IF(AND($E29=1,IY29=0),1000,0)),1000000))</f>
        <v/>
      </c>
      <c r="NQ29">
        <f>IF($B29=0,1000000,IF(INDEX('計算A'!$D$60:$DS$104,$B29,39)*EI29=1,IF(AND($E29=2,IZ29=0),1000000,INDEX('計算A'!AP$110:AP$114,$F29+1)+IF(AND($E29=1,IZ29=0),1000,0)),1000000))</f>
        <v/>
      </c>
      <c r="NR29">
        <f>IF($B29=0,1000000,IF(INDEX('計算A'!$D$60:$DS$104,$B29,40)*EJ29=1,IF(AND($E29=2,JA29=0),1000000,INDEX('計算A'!AQ$110:AQ$114,$F29+1)+IF(AND($E29=1,JA29=0),1000,0)),1000000))</f>
        <v/>
      </c>
      <c r="NS29">
        <f>IF($B29=0,1000000,IF(INDEX('計算A'!$D$60:$DS$104,$B29,41)*EK29=1,IF(AND($E29=2,JB29=0),1000000,INDEX('計算A'!AR$110:AR$114,$F29+1)+IF(AND($E29=1,JB29=0),1000,0)),1000000))</f>
        <v/>
      </c>
      <c r="NT29">
        <f>IF($B29=0,1000000,IF(INDEX('計算A'!$D$60:$DS$104,$B29,42)*EL29=1,IF(AND($E29=2,JC29=0),1000000,INDEX('計算A'!AS$110:AS$114,$F29+1)+IF(AND($E29=1,JC29=0),1000,0)),1000000))</f>
        <v/>
      </c>
      <c r="NU29">
        <f>IF($B29=0,1000000,IF(INDEX('計算A'!$D$60:$DS$104,$B29,43)*EM29=1,IF(AND($E29=2,JD29=0),1000000,INDEX('計算A'!AT$110:AT$114,$F29+1)+IF(AND($E29=1,JD29=0),1000,0)),1000000))</f>
        <v/>
      </c>
      <c r="NV29">
        <f>IF($B29=0,1000000,IF(INDEX('計算A'!$D$60:$DS$104,$B29,44)*EN29=1,IF(AND($E29=2,JE29=0),1000000,INDEX('計算A'!AU$110:AU$114,$F29+1)+IF(AND($E29=1,JE29=0),1000,0)),1000000))</f>
        <v/>
      </c>
      <c r="NW29">
        <f>IF($B29=0,1000000,IF(INDEX('計算A'!$D$60:$DS$104,$B29,45)*EO29=1,IF(AND($E29=2,JF29=0),1000000,INDEX('計算A'!AV$110:AV$114,$F29+1)+IF(AND($E29=1,JF29=0),1000,0)),1000000))</f>
        <v/>
      </c>
      <c r="NX29">
        <f>IF($B29=0,1000000,IF(INDEX('計算A'!$D$60:$DS$104,$B29,46)*EP29=1,IF(AND($E29=2,JG29=0),1000000,INDEX('計算A'!AW$110:AW$114,$F29+1)+IF(AND($E29=1,JG29=0),1000,0)),1000000))</f>
        <v/>
      </c>
      <c r="NY29">
        <f>IF($B29=0,1000000,IF(INDEX('計算A'!$D$60:$DS$104,$B29,47)*EQ29=1,IF(AND($E29=2,JH29=0),1000000,INDEX('計算A'!AX$110:AX$114,$F29+1)+IF(AND($E29=1,JH29=0),1000,0)),1000000))</f>
        <v/>
      </c>
      <c r="NZ29">
        <f>IF($B29=0,1000000,IF(INDEX('計算A'!$D$60:$DS$104,$B29,48)*ER29=1,IF(AND($E29=2,JI29=0),1000000,INDEX('計算A'!AY$110:AY$114,$F29+1)+IF(AND($E29=1,JI29=0),1000,0)),1000000))</f>
        <v/>
      </c>
      <c r="OA29">
        <f>IF($B29=0,1000000,IF(INDEX('計算A'!$D$60:$DS$104,$B29,49)*ES29=1,IF(AND($E29=2,JJ29=0),1000000,INDEX('計算A'!AZ$110:AZ$114,$F29+1)+IF(AND($E29=1,JJ29=0),1000,0)),1000000))</f>
        <v/>
      </c>
      <c r="OB29">
        <f>IF($B29=0,1000000,IF(INDEX('計算A'!$D$60:$DS$104,$B29,50)*ET29=1,IF(AND($E29=2,JK29=0),1000000,INDEX('計算A'!BA$110:BA$114,$F29+1)+IF(AND($E29=1,JK29=0),1000,0)),1000000))</f>
        <v/>
      </c>
      <c r="OC29">
        <f>IF($B29=0,1000000,IF(INDEX('計算A'!$D$60:$DS$104,$B29,51)*EU29=1,IF(AND($E29=2,JL29=0),1000000,INDEX('計算A'!BB$110:BB$114,$F29+1)+IF(AND($E29=1,JL29=0),1000,0)),1000000))</f>
        <v/>
      </c>
      <c r="OD29">
        <f>IF($B29=0,1000000,IF(INDEX('計算A'!$D$60:$DS$104,$B29,52)*EV29=1,IF(AND($E29=2,JM29=0),1000000,INDEX('計算A'!BC$110:BC$114,$F29+1)+IF(AND($E29=1,JM29=0),1000,0)),1000000))</f>
        <v/>
      </c>
      <c r="OE29">
        <f>IF($B29=0,1000000,IF(INDEX('計算A'!$D$60:$DS$104,$B29,53)*EW29=1,IF(AND($E29=2,JN29=0),1000000,INDEX('計算A'!BD$110:BD$114,$F29+1)+IF(AND($E29=1,JN29=0),1000,0)),1000000))</f>
        <v/>
      </c>
      <c r="OF29">
        <f>IF($B29=0,1000000,IF(INDEX('計算A'!$D$60:$DS$104,$B29,54)*EX29=1,IF(AND($E29=2,JO29=0),1000000,INDEX('計算A'!BE$110:BE$114,$F29+1)+IF(AND($E29=1,JO29=0),1000,0)),1000000))</f>
        <v/>
      </c>
      <c r="OG29">
        <f>IF($B29=0,1000000,IF(INDEX('計算A'!$D$60:$DS$104,$B29,55)*EY29=1,IF(AND($E29=2,JP29=0),1000000,INDEX('計算A'!BF$110:BF$114,$F29+1)+IF(AND($E29=1,JP29=0),1000,0)),1000000))</f>
        <v/>
      </c>
      <c r="OH29">
        <f>IF($B29=0,1000000,IF(INDEX('計算A'!$D$60:$DS$104,$B29,56)*EZ29=1,IF(AND($E29=2,JQ29=0),1000000,INDEX('計算A'!BG$110:BG$114,$F29+1)+IF(AND($E29=1,JQ29=0),1000,0)),1000000))</f>
        <v/>
      </c>
      <c r="OI29">
        <f>IF($B29=0,1000000,IF(INDEX('計算A'!$D$60:$DS$104,$B29,57)*FA29=1,IF(AND($E29=2,JR29=0),1000000,INDEX('計算A'!BH$110:BH$114,$F29+1)+IF(AND($E29=1,JR29=0),1000,0)),1000000))</f>
        <v/>
      </c>
      <c r="OJ29">
        <f>IF($B29=0,1000000,IF(INDEX('計算A'!$D$60:$DS$104,$B29,58)*FB29=1,IF(AND($E29=2,JS29=0),1000000,INDEX('計算A'!BI$110:BI$114,$F29+1)+IF(AND($E29=1,JS29=0),1000,0)),1000000))</f>
        <v/>
      </c>
      <c r="OK29">
        <f>IF($B29=0,1000000,IF(INDEX('計算A'!$D$60:$DS$104,$B29,59)*FC29=1,IF(AND($E29=2,JT29=0),1000000,INDEX('計算A'!BJ$110:BJ$114,$F29+1)+IF(AND($E29=1,JT29=0),1000,0)),1000000))</f>
        <v/>
      </c>
      <c r="OL29">
        <f>IF($B29=0,1000000,IF(INDEX('計算A'!$D$60:$DS$104,$B29,60)*FD29=1,IF(AND($E29=2,JU29=0),1000000,INDEX('計算A'!BK$110:BK$114,$F29+1)+IF(AND($E29=1,JU29=0),1000,0)),1000000))</f>
        <v/>
      </c>
      <c r="OM29">
        <f>IF($B29=0,1000000,IF(INDEX('計算A'!$D$60:$DS$104,$B29,61)*FE29=1,IF(AND($E29=2,JV29=0),1000000,INDEX('計算A'!BL$110:BL$114,$F29+1)+IF(AND($E29=1,JV29=0),1000,0)),1000000))</f>
        <v/>
      </c>
      <c r="ON29">
        <f>IF($B29=0,1000000,IF(INDEX('計算A'!$D$60:$DS$104,$B29,62)*FF29=1,IF(AND($E29=2,JW29=0),1000000,INDEX('計算A'!BM$110:BM$114,$F29+1)+IF(AND($E29=1,JW29=0),1000,0)),1000000))</f>
        <v/>
      </c>
      <c r="OO29">
        <f>IF($B29=0,1000000,IF(INDEX('計算A'!$D$60:$DS$104,$B29,63)*FG29=1,IF(AND($E29=2,JX29=0),1000000,INDEX('計算A'!BN$110:BN$114,$F29+1)+IF(AND($E29=1,JX29=0),1000,0)),1000000))</f>
        <v/>
      </c>
      <c r="OP29">
        <f>IF($B29=0,1000000,IF(INDEX('計算A'!$D$60:$DS$104,$B29,64)*FH29=1,IF(AND($E29=2,JY29=0),1000000,INDEX('計算A'!BO$110:BO$114,$F29+1)+IF(AND($E29=1,JY29=0),1000,0)),1000000))</f>
        <v/>
      </c>
      <c r="OQ29">
        <f>IF($B29=0,1000000,IF(INDEX('計算A'!$D$60:$DS$104,$B29,65)*FI29=1,IF(AND($E29=2,JZ29=0),1000000,INDEX('計算A'!BP$110:BP$114,$F29+1)+IF(AND($E29=1,JZ29=0),1000,0)),1000000))</f>
        <v/>
      </c>
      <c r="OR29">
        <f>IF($B29=0,1000000,IF(INDEX('計算A'!$D$60:$DS$104,$B29,66)*FJ29=1,IF(AND($E29=2,KA29=0),1000000,INDEX('計算A'!BQ$110:BQ$114,$F29+1)+IF(AND($E29=1,KA29=0),1000,0)),1000000))</f>
        <v/>
      </c>
      <c r="OS29">
        <f>IF($B29=0,1000000,IF(INDEX('計算A'!$D$60:$DS$104,$B29,67)*FK29=1,IF(AND($E29=2,KB29=0),1000000,INDEX('計算A'!BR$110:BR$114,$F29+1)+IF(AND($E29=1,KB29=0),1000,0)),1000000))</f>
        <v/>
      </c>
      <c r="OT29">
        <f>IF($B29=0,1000000,IF(INDEX('計算A'!$D$60:$DS$104,$B29,68)*FL29=1,IF(AND($E29=2,KC29=0),1000000,INDEX('計算A'!BS$110:BS$114,$F29+1)+IF(AND($E29=1,KC29=0),1000,0)),1000000))</f>
        <v/>
      </c>
      <c r="OU29">
        <f>IF($B29=0,1000000,IF(INDEX('計算A'!$D$60:$DS$104,$B29,69)*FM29=1,IF(AND($E29=2,KD29=0),1000000,INDEX('計算A'!BT$110:BT$114,$F29+1)+IF(AND($E29=1,KD29=0),1000,0)),1000000))</f>
        <v/>
      </c>
      <c r="OV29">
        <f>IF($B29=0,1000000,IF(INDEX('計算A'!$D$60:$DS$104,$B29,70)*FN29=1,IF(AND($E29=2,KE29=0),1000000,INDEX('計算A'!BU$110:BU$114,$F29+1)+IF(AND($E29=1,KE29=0),1000,0)),1000000))</f>
        <v/>
      </c>
      <c r="OW29">
        <f>IF($B29=0,1000000,IF(INDEX('計算A'!$D$60:$DS$104,$B29,71)*FO29=1,IF(AND($E29=2,KF29=0),1000000,INDEX('計算A'!BV$110:BV$114,$F29+1)+IF(AND($E29=1,KF29=0),1000,0)),1000000))</f>
        <v/>
      </c>
      <c r="OX29">
        <f>IF($B29=0,1000000,IF(INDEX('計算A'!$D$60:$DS$104,$B29,72)*FP29=1,IF(AND($E29=2,KG29=0),1000000,INDEX('計算A'!BW$110:BW$114,$F29+1)+IF(AND($E29=1,KG29=0),1000,0)),1000000))</f>
        <v/>
      </c>
      <c r="OY29">
        <f>IF($B29=0,1000000,IF(INDEX('計算A'!$D$60:$DS$104,$B29,73)*FQ29=1,IF(AND($E29=2,KH29=0),1000000,INDEX('計算A'!BX$110:BX$114,$F29+1)+IF(AND($E29=1,KH29=0),1000,0)),1000000))</f>
        <v/>
      </c>
      <c r="OZ29">
        <f>IF($B29=0,1000000,IF(INDEX('計算A'!$D$60:$DS$104,$B29,74)*FR29=1,IF(AND($E29=2,KI29=0),1000000,INDEX('計算A'!BY$110:BY$114,$F29+1)+IF(AND($E29=1,KI29=0),1000,0)),1000000))</f>
        <v/>
      </c>
      <c r="PA29">
        <f>IF($B29=0,1000000,IF(INDEX('計算A'!$D$60:$DS$104,$B29,75)*FS29=1,IF(AND($E29=2,KJ29=0),1000000,INDEX('計算A'!BZ$110:BZ$114,$F29+1)+IF(AND($E29=1,KJ29=0),1000,0)),1000000))</f>
        <v/>
      </c>
      <c r="PB29">
        <f>IF($B29=0,1000000,IF(INDEX('計算A'!$D$60:$DS$104,$B29,76)*FT29=1,IF(AND($E29=2,KK29=0),1000000,INDEX('計算A'!CA$110:CA$114,$F29+1)+IF(AND($E29=1,KK29=0),1000,0)),1000000))</f>
        <v/>
      </c>
      <c r="PC29">
        <f>IF($B29=0,1000000,IF(INDEX('計算A'!$D$60:$DS$104,$B29,77)*FU29=1,IF(AND($E29=2,KL29=0),1000000,INDEX('計算A'!CB$110:CB$114,$F29+1)+IF(AND($E29=1,KL29=0),1000,0)),1000000))</f>
        <v/>
      </c>
      <c r="PD29">
        <f>IF($B29=0,1000000,IF(INDEX('計算A'!$D$60:$DS$104,$B29,78)*FV29=1,IF(AND($E29=2,KM29=0),1000000,INDEX('計算A'!CC$110:CC$114,$F29+1)+IF(AND($E29=1,KM29=0),1000,0)),1000000))</f>
        <v/>
      </c>
      <c r="PE29">
        <f>IF($B29=0,1000000,IF(INDEX('計算A'!$D$60:$DS$104,$B29,79)*FW29=1,IF(AND($E29=2,KN29=0),1000000,INDEX('計算A'!CD$110:CD$114,$F29+1)+IF(AND($E29=1,KN29=0),1000,0)),1000000))</f>
        <v/>
      </c>
      <c r="PF29">
        <f>IF($B29=0,1000000,IF(INDEX('計算A'!$D$60:$DS$104,$B29,80)*FX29=1,IF(AND($E29=2,KO29=0),1000000,INDEX('計算A'!CE$110:CE$114,$F29+1)+IF(AND($E29=1,KO29=0),1000,0)),1000000))</f>
        <v/>
      </c>
      <c r="PG29">
        <f>IF($B29=0,1000000,IF(INDEX('計算A'!$D$60:$DS$104,$B29,81)*FY29=1,IF(AND($E29=2,KP29=0),1000000,INDEX('計算A'!CF$110:CF$114,$F29+1)+IF(AND($E29=1,KP29=0),1000,0)),1000000))</f>
        <v/>
      </c>
      <c r="PH29">
        <f>IF($B29=0,1000000,IF(INDEX('計算A'!$D$60:$DS$104,$B29,82)*FZ29=1,IF(AND($E29=2,KQ29=0),1000000,INDEX('計算A'!CG$110:CG$114,$F29+1)+IF(AND($E29=1,KQ29=0),1000,0)),1000000))</f>
        <v/>
      </c>
      <c r="PI29">
        <f>IF($B29=0,1000000,IF(INDEX('計算A'!$D$60:$DS$104,$B29,83)*GA29=1,IF(AND($E29=2,KR29=0),1000000,INDEX('計算A'!CH$110:CH$114,$F29+1)+IF(AND($E29=1,KR29=0),1000,0)),1000000))</f>
        <v/>
      </c>
      <c r="PJ29">
        <f>IF($B29=0,1000000,IF(INDEX('計算A'!$D$60:$DS$104,$B29,84)*GB29=1,IF(AND($E29=2,KS29=0),1000000,INDEX('計算A'!CI$110:CI$114,$F29+1)+IF(AND($E29=1,KS29=0),1000,0)),1000000))</f>
        <v/>
      </c>
      <c r="PK29">
        <f>IF($B29=0,1000000,IF(INDEX('計算A'!$D$60:$DS$104,$B29,85)*GC29=1,IF(AND($E29=2,KT29=0),1000000,INDEX('計算A'!CJ$110:CJ$114,$F29+1)+IF(AND($E29=1,KT29=0),1000,0)),1000000))</f>
        <v/>
      </c>
      <c r="PL29">
        <f>IF($B29=0,1000000,IF(INDEX('計算A'!$D$60:$DS$104,$B29,86)*GD29=1,IF(AND($E29=2,KU29=0),1000000,INDEX('計算A'!CK$110:CK$114,$F29+1)+IF(AND($E29=1,KU29=0),1000,0)),1000000))</f>
        <v/>
      </c>
      <c r="PM29">
        <f>IF($B29=0,1000000,IF(INDEX('計算A'!$D$60:$DS$104,$B29,87)*GE29=1,IF(AND($E29=2,KV29=0),1000000,INDEX('計算A'!CL$110:CL$114,$F29+1)+IF(AND($E29=1,KV29=0),1000,0)),1000000))</f>
        <v/>
      </c>
      <c r="PN29">
        <f>IF($B29=0,1000000,IF(INDEX('計算A'!$D$60:$DS$104,$B29,88)*GF29=1,IF(AND($E29=2,KW29=0),1000000,INDEX('計算A'!CM$110:CM$114,$F29+1)+IF(AND($E29=1,KW29=0),1000,0)),1000000))</f>
        <v/>
      </c>
      <c r="PO29">
        <f>IF($B29=0,1000000,IF(INDEX('計算A'!$D$60:$DS$104,$B29,89)*GG29=1,IF(AND($E29=2,KX29=0),1000000,INDEX('計算A'!CN$110:CN$114,$F29+1)+IF(AND($E29=1,KX29=0),1000,0)),1000000))</f>
        <v/>
      </c>
      <c r="PP29">
        <f>IF($B29=0,1000000,IF(INDEX('計算A'!$D$60:$DS$104,$B29,90)*GH29=1,IF(AND($E29=2,KY29=0),1000000,INDEX('計算A'!CO$110:CO$114,$F29+1)+IF(AND($E29=1,KY29=0),1000,0)),1000000))</f>
        <v/>
      </c>
      <c r="PQ29">
        <f>IF($B29=0,1000000,IF(INDEX('計算A'!$D$60:$DS$104,$B29,91)*GI29=1,IF(AND($E29=2,KZ29=0),1000000,INDEX('計算A'!CP$110:CP$114,$F29+1)+IF(AND($E29=1,KZ29=0),1000,0)),1000000))</f>
        <v/>
      </c>
      <c r="PR29">
        <f>IF($B29=0,1000000,IF(INDEX('計算A'!$D$60:$DS$104,$B29,92)*GJ29=1,IF(AND($E29=2,LA29=0),1000000,INDEX('計算A'!CQ$110:CQ$114,$F29+1)+IF(AND($E29=1,LA29=0),1000,0)),1000000))</f>
        <v/>
      </c>
      <c r="PS29">
        <f>IF($B29=0,1000000,IF(INDEX('計算A'!$D$60:$DS$104,$B29,93)*GK29=1,IF(AND($E29=2,LB29=0),1000000,INDEX('計算A'!CR$110:CR$114,$F29+1)+IF(AND($E29=1,LB29=0),1000,0)),1000000))</f>
        <v/>
      </c>
      <c r="PT29">
        <f>IF($B29=0,1000000,IF(INDEX('計算A'!$D$60:$DS$104,$B29,94)*GL29=1,IF(AND($E29=2,LC29=0),1000000,INDEX('計算A'!CS$110:CS$114,$F29+1)+IF(AND($E29=1,LC29=0),1000,0)),1000000))</f>
        <v/>
      </c>
      <c r="PU29">
        <f>IF($B29=0,1000000,IF(INDEX('計算A'!$D$60:$DS$104,$B29,95)*GM29=1,IF(AND($E29=2,LD29=0),1000000,INDEX('計算A'!CT$110:CT$114,$F29+1)+IF(AND($E29=1,LD29=0),1000,0)),1000000))</f>
        <v/>
      </c>
      <c r="PV29">
        <f>IF($B29=0,1000000,IF(INDEX('計算A'!$D$60:$DS$104,$B29,96)*GN29=1,IF(AND($E29=2,LE29=0),1000000,INDEX('計算A'!CU$110:CU$114,$F29+1)+IF(AND($E29=1,LE29=0),1000,0)),1000000))</f>
        <v/>
      </c>
      <c r="PW29">
        <f>IF($B29=0,1000000,IF(INDEX('計算A'!$D$60:$DS$104,$B29,97)*GO29=1,IF(AND($E29=2,LF29=0),1000000,INDEX('計算A'!CV$110:CV$114,$F29+1)+IF(AND($E29=1,LF29=0),1000,0)),1000000))</f>
        <v/>
      </c>
      <c r="PX29">
        <f>IF($B29=0,1000000,IF(INDEX('計算A'!$D$60:$DS$104,$B29,98)*GP29=1,IF(AND($E29=2,LG29=0),1000000,INDEX('計算A'!CW$110:CW$114,$F29+1)+IF(AND($E29=1,LG29=0),1000,0)),1000000))</f>
        <v/>
      </c>
      <c r="PY29">
        <f>IF($B29=0,1000000,IF(INDEX('計算A'!$D$60:$DS$104,$B29,99)*GQ29=1,IF(AND($E29=2,LH29=0),1000000,INDEX('計算A'!CX$110:CX$114,$F29+1)+IF(AND($E29=1,LH29=0),1000,0)),1000000))</f>
        <v/>
      </c>
      <c r="PZ29">
        <f>IF($B29=0,1000000,IF(INDEX('計算A'!$D$60:$DS$104,$B29,100)*GR29=1,IF(AND($E29=2,LI29=0),1000000,INDEX('計算A'!CY$110:CY$114,$F29+1)+IF(AND($E29=1,LI29=0),1000,0)),1000000))</f>
        <v/>
      </c>
      <c r="QA29">
        <f>IF($B29=0,1000000,IF(INDEX('計算A'!$D$60:$DS$104,$B29,101)*GS29=1,IF(AND($E29=2,LJ29=0),1000000,INDEX('計算A'!CZ$110:CZ$114,$F29+1)+IF(AND($E29=1,LJ29=0),1000,0)),1000000))</f>
        <v/>
      </c>
      <c r="QB29">
        <f>IF($B29=0,1000000,IF(INDEX('計算A'!$D$60:$DS$104,$B29,102)*GT29=1,IF(AND($E29=2,LK29=0),1000000,INDEX('計算A'!DA$110:DA$114,$F29+1)+IF(AND($E29=1,LK29=0),1000,0)),1000000))</f>
        <v/>
      </c>
      <c r="QC29">
        <f>IF($B29=0,1000000,IF(INDEX('計算A'!$D$60:$DS$104,$B29,103)*GU29=1,IF(AND($E29=2,LL29=0),1000000,INDEX('計算A'!DB$110:DB$114,$F29+1)+IF(AND($E29=1,LL29=0),1000,0)),1000000))</f>
        <v/>
      </c>
      <c r="QD29">
        <f>IF($B29=0,1000000,IF(INDEX('計算A'!$D$60:$DS$104,$B29,104)*GV29=1,IF(AND($E29=2,LM29=0),1000000,INDEX('計算A'!DC$110:DC$114,$F29+1)+IF(AND($E29=1,LM29=0),1000,0)),1000000))</f>
        <v/>
      </c>
      <c r="QE29">
        <f>IF($B29=0,1000000,IF(INDEX('計算A'!$D$60:$DS$104,$B29,105)*GW29=1,IF(AND($E29=2,LN29=0),1000000,INDEX('計算A'!DD$110:DD$114,$F29+1)+IF(AND($E29=1,LN29=0),1000,0)),1000000))</f>
        <v/>
      </c>
      <c r="QF29">
        <f>IF($B29=0,1000000,IF(INDEX('計算A'!$D$60:$DS$104,$B29,106)*GX29=1,IF(AND($E29=2,LO29=0),1000000,INDEX('計算A'!DE$110:DE$114,$F29+1)+IF(AND($E29=1,LO29=0),1000,0)),1000000))</f>
        <v/>
      </c>
      <c r="QG29">
        <f>IF($B29=0,1000000,IF(INDEX('計算A'!$D$60:$DS$104,$B29,107)*GY29=1,IF(AND($E29=2,LP29=0),1000000,INDEX('計算A'!DF$110:DF$114,$F29+1)+IF(AND($E29=1,LP29=0),1000,0)),1000000))</f>
        <v/>
      </c>
      <c r="QH29">
        <f>IF($B29=0,1000000,IF(INDEX('計算A'!$D$60:$DS$104,$B29,108)*GZ29=1,IF(AND($E29=2,LQ29=0),1000000,INDEX('計算A'!DG$110:DG$114,$F29+1)+IF(AND($E29=1,LQ29=0),1000,0)),1000000))</f>
        <v/>
      </c>
      <c r="QI29">
        <f>IF($B29=0,1000000,IF(INDEX('計算A'!$D$60:$DS$104,$B29,109)*HA29=1,IF(AND($E29=2,LR29=0),1000000,INDEX('計算A'!DH$110:DH$114,$F29+1)+IF(AND($E29=1,LR29=0),1000,0)),1000000))</f>
        <v/>
      </c>
      <c r="QJ29">
        <f>IF($B29=0,1000000,IF(INDEX('計算A'!$D$60:$DS$104,$B29,110)*HB29=1,IF(AND($E29=2,LS29=0),1000000,INDEX('計算A'!DI$110:DI$114,$F29+1)+IF(AND($E29=1,LS29=0),1000,0)),1000000))</f>
        <v/>
      </c>
      <c r="QK29">
        <f>IF($B29=0,1000000,IF(INDEX('計算A'!$D$60:$DS$104,$B29,111)*HC29=1,IF(AND($E29=2,LT29=0),1000000,INDEX('計算A'!DJ$110:DJ$114,$F29+1)+IF(AND($E29=1,LT29=0),1000,0)),1000000))</f>
        <v/>
      </c>
      <c r="QL29">
        <f>IF($B29=0,1000000,IF(INDEX('計算A'!$D$60:$DS$104,$B29,112)*HD29=1,IF(AND($E29=2,LU29=0),1000000,INDEX('計算A'!DK$110:DK$114,$F29+1)+IF(AND($E29=1,LU29=0),1000,0)),1000000))</f>
        <v/>
      </c>
      <c r="QM29">
        <f>IF($B29=0,1000000,IF(INDEX('計算A'!$D$60:$DS$104,$B29,113)*HE29=1,IF(AND($E29=2,LV29=0),1000000,INDEX('計算A'!DL$110:DL$114,$F29+1)+IF(AND($E29=1,LV29=0),1000,0)),1000000))</f>
        <v/>
      </c>
      <c r="QN29">
        <f>IF($B29=0,1000000,IF(INDEX('計算A'!$D$60:$DS$104,$B29,114)*HF29=1,IF(AND($E29=2,LW29=0),1000000,INDEX('計算A'!DM$110:DM$114,$F29+1)+IF(AND($E29=1,LW29=0),1000,0)),1000000))</f>
        <v/>
      </c>
      <c r="QO29">
        <f>IF($B29=0,1000000,IF(INDEX('計算A'!$D$60:$DS$104,$B29,115)*HG29=1,IF(AND($E29=2,LX29=0),1000000,INDEX('計算A'!DN$110:DN$114,$F29+1)+IF(AND($E29=1,LX29=0),1000,0)),1000000))</f>
        <v/>
      </c>
      <c r="QP29">
        <f>IF($B29=0,1000000,IF(INDEX('計算A'!$D$60:$DS$104,$B29,116)*HH29=1,IF(AND($E29=2,LY29=0),1000000,INDEX('計算A'!DO$110:DO$114,$F29+1)+IF(AND($E29=1,LY29=0),1000,0)),1000000))</f>
        <v/>
      </c>
      <c r="QQ29">
        <f>IF($B29=0,1000000,IF(INDEX('計算A'!$D$60:$DS$104,$B29,117)*HI29=1,IF(AND($E29=2,LZ29=0),1000000,INDEX('計算A'!DP$110:DP$114,$F29+1)+IF(AND($E29=1,LZ29=0),1000,0)),1000000))</f>
        <v/>
      </c>
      <c r="QR29">
        <f>IF($B29=0,1000000,IF(INDEX('計算A'!$D$60:$DS$104,$B29,118)*HJ29=1,IF(AND($E29=2,MA29=0),1000000,INDEX('計算A'!DQ$110:DQ$114,$F29+1)+IF(AND($E29=1,MA29=0),1000,0)),1000000))</f>
        <v/>
      </c>
      <c r="QS29">
        <f>IF($B29=0,1000000,IF(INDEX('計算A'!$D$60:$DS$104,$B29,119)*HK29=1,IF(AND($E29=2,MB29=0),1000000,INDEX('計算A'!DR$110:DR$114,$F29+1)+IF(AND($E29=1,MB29=0),1000,0)),1000000))</f>
        <v/>
      </c>
      <c r="QT29">
        <f>IF($B29=0,1000000,IF(INDEX('計算A'!$D$60:$DS$104,$B29,120)*HL29=1,IF(AND($E29=2,MC29=0),1000000,INDEX('計算A'!DS$110:DS$114,$F29+1)+IF(AND($E29=1,MC29=0),1000,0)),1000000))</f>
        <v/>
      </c>
    </row>
    <row r="30">
      <c r="A30" t="n">
        <v>28</v>
      </c>
      <c r="B30">
        <f>IF(MIN(BC30:CU30)&gt;=1000000,0,MATCH(MIN(BC30:CU30),BC30:CU30,0))</f>
        <v/>
      </c>
      <c r="C30">
        <f>IF(MIN(ME30:QT30)&gt;=1000000,0,MATCH(MIN(ME30:QT30),ME30:QT30,0))</f>
        <v/>
      </c>
      <c r="D30">
        <f>IF(C30&gt;0,INDEX('計算A'!$D$5:$DS$5,C30),0)</f>
        <v/>
      </c>
      <c r="E30">
        <f>IF(B30=0,0,INDEX('計算A'!$EA$10:$EA$54,B30))</f>
        <v/>
      </c>
      <c r="F30">
        <f>IF(B30=0,0,INDEX('計算A'!$DZ$10:$DZ$54,B30))</f>
        <v/>
      </c>
      <c r="G30">
        <f>IF(AND(C30&gt;0,E30&gt;0),IF(AND(INDEX('計算A'!$D$106:$DS$106,C30)=1,INDEX($HN30:$MC30,C30)=1),C30+1,0),0)</f>
        <v/>
      </c>
      <c r="I30">
        <f>MAX(I29,IF($B29=1,1,0))</f>
        <v/>
      </c>
      <c r="J30">
        <f>MAX(J29,IF($B29=2,1,0))</f>
        <v/>
      </c>
      <c r="K30">
        <f>MAX(K29,IF($B29=3,1,0))</f>
        <v/>
      </c>
      <c r="L30">
        <f>MAX(L29,IF($B29=4,1,0))</f>
        <v/>
      </c>
      <c r="M30">
        <f>MAX(M29,IF($B29=5,1,0))</f>
        <v/>
      </c>
      <c r="N30">
        <f>MAX(N29,IF($B29=6,1,0))</f>
        <v/>
      </c>
      <c r="O30">
        <f>MAX(O29,IF($B29=7,1,0))</f>
        <v/>
      </c>
      <c r="P30">
        <f>MAX(P29,IF($B29=8,1,0))</f>
        <v/>
      </c>
      <c r="Q30">
        <f>MAX(Q29,IF($B29=9,1,0))</f>
        <v/>
      </c>
      <c r="R30">
        <f>MAX(R29,IF($B29=10,1,0))</f>
        <v/>
      </c>
      <c r="S30">
        <f>MAX(S29,IF($B29=11,1,0))</f>
        <v/>
      </c>
      <c r="T30">
        <f>MAX(T29,IF($B29=12,1,0))</f>
        <v/>
      </c>
      <c r="U30">
        <f>MAX(U29,IF($B29=13,1,0))</f>
        <v/>
      </c>
      <c r="V30">
        <f>MAX(V29,IF($B29=14,1,0))</f>
        <v/>
      </c>
      <c r="W30">
        <f>MAX(W29,IF($B29=15,1,0))</f>
        <v/>
      </c>
      <c r="X30">
        <f>MAX(X29,IF($B29=16,1,0))</f>
        <v/>
      </c>
      <c r="Y30">
        <f>MAX(Y29,IF($B29=17,1,0))</f>
        <v/>
      </c>
      <c r="Z30">
        <f>MAX(Z29,IF($B29=18,1,0))</f>
        <v/>
      </c>
      <c r="AA30">
        <f>MAX(AA29,IF($B29=19,1,0))</f>
        <v/>
      </c>
      <c r="AB30">
        <f>MAX(AB29,IF($B29=20,1,0))</f>
        <v/>
      </c>
      <c r="AC30">
        <f>MAX(AC29,IF($B29=21,1,0))</f>
        <v/>
      </c>
      <c r="AD30">
        <f>MAX(AD29,IF($B29=22,1,0))</f>
        <v/>
      </c>
      <c r="AE30">
        <f>MAX(AE29,IF($B29=23,1,0))</f>
        <v/>
      </c>
      <c r="AF30">
        <f>MAX(AF29,IF($B29=24,1,0))</f>
        <v/>
      </c>
      <c r="AG30">
        <f>MAX(AG29,IF($B29=25,1,0))</f>
        <v/>
      </c>
      <c r="AH30">
        <f>MAX(AH29,IF($B29=26,1,0))</f>
        <v/>
      </c>
      <c r="AI30">
        <f>MAX(AI29,IF($B29=27,1,0))</f>
        <v/>
      </c>
      <c r="AJ30">
        <f>MAX(AJ29,IF($B29=28,1,0))</f>
        <v/>
      </c>
      <c r="AK30">
        <f>MAX(AK29,IF($B29=29,1,0))</f>
        <v/>
      </c>
      <c r="AL30">
        <f>MAX(AL29,IF($B29=30,1,0))</f>
        <v/>
      </c>
      <c r="AM30">
        <f>MAX(AM29,IF($B29=31,1,0))</f>
        <v/>
      </c>
      <c r="AN30">
        <f>MAX(AN29,IF($B29=32,1,0))</f>
        <v/>
      </c>
      <c r="AO30">
        <f>MAX(AO29,IF($B29=33,1,0))</f>
        <v/>
      </c>
      <c r="AP30">
        <f>MAX(AP29,IF($B29=34,1,0))</f>
        <v/>
      </c>
      <c r="AQ30">
        <f>MAX(AQ29,IF($B29=35,1,0))</f>
        <v/>
      </c>
      <c r="AR30">
        <f>MAX(AR29,IF($B29=36,1,0))</f>
        <v/>
      </c>
      <c r="AS30">
        <f>MAX(AS29,IF($B29=37,1,0))</f>
        <v/>
      </c>
      <c r="AT30">
        <f>MAX(AT29,IF($B29=38,1,0))</f>
        <v/>
      </c>
      <c r="AU30">
        <f>MAX(AU29,IF($B29=39,1,0))</f>
        <v/>
      </c>
      <c r="AV30">
        <f>MAX(AV29,IF($B29=40,1,0))</f>
        <v/>
      </c>
      <c r="AW30">
        <f>MAX(AW29,IF($B29=41,1,0))</f>
        <v/>
      </c>
      <c r="AX30">
        <f>MAX(AX29,IF($B29=42,1,0))</f>
        <v/>
      </c>
      <c r="AY30">
        <f>MAX(AY29,IF($B29=43,1,0))</f>
        <v/>
      </c>
      <c r="AZ30">
        <f>MAX(AZ29,IF($B29=44,1,0))</f>
        <v/>
      </c>
      <c r="BA30">
        <f>MAX(BA29,IF($B29=45,1,0))</f>
        <v/>
      </c>
      <c r="BC30">
        <f>IF(I30=1,1000000,IF('計算A'!$EA$10=2,SUMPRODUCT('計算A'!$D$60:$DS$60,$CW30:$HL30,$HN30:$MC30),SUMPRODUCT('計算A'!$D$60:$DS$60,$CW30:$HL30))*1000+1)</f>
        <v/>
      </c>
      <c r="BD30">
        <f>IF(J30=1,1000000,IF('計算A'!$EA$11=2,SUMPRODUCT('計算A'!$D$61:$DS$61,$CW30:$HL30,$HN30:$MC30),SUMPRODUCT('計算A'!$D$61:$DS$61,$CW30:$HL30))*1000+2)</f>
        <v/>
      </c>
      <c r="BE30">
        <f>IF(K30=1,1000000,IF('計算A'!$EA$12=2,SUMPRODUCT('計算A'!$D$62:$DS$62,$CW30:$HL30,$HN30:$MC30),SUMPRODUCT('計算A'!$D$62:$DS$62,$CW30:$HL30))*1000+3)</f>
        <v/>
      </c>
      <c r="BF30">
        <f>IF(L30=1,1000000,IF('計算A'!$EA$13=2,SUMPRODUCT('計算A'!$D$63:$DS$63,$CW30:$HL30,$HN30:$MC30),SUMPRODUCT('計算A'!$D$63:$DS$63,$CW30:$HL30))*1000+4)</f>
        <v/>
      </c>
      <c r="BG30">
        <f>IF(M30=1,1000000,IF('計算A'!$EA$14=2,SUMPRODUCT('計算A'!$D$64:$DS$64,$CW30:$HL30,$HN30:$MC30),SUMPRODUCT('計算A'!$D$64:$DS$64,$CW30:$HL30))*1000+5)</f>
        <v/>
      </c>
      <c r="BH30">
        <f>IF(N30=1,1000000,IF('計算A'!$EA$15=2,SUMPRODUCT('計算A'!$D$65:$DS$65,$CW30:$HL30,$HN30:$MC30),SUMPRODUCT('計算A'!$D$65:$DS$65,$CW30:$HL30))*1000+6)</f>
        <v/>
      </c>
      <c r="BI30">
        <f>IF(O30=1,1000000,IF('計算A'!$EA$16=2,SUMPRODUCT('計算A'!$D$66:$DS$66,$CW30:$HL30,$HN30:$MC30),SUMPRODUCT('計算A'!$D$66:$DS$66,$CW30:$HL30))*1000+7)</f>
        <v/>
      </c>
      <c r="BJ30">
        <f>IF(P30=1,1000000,IF('計算A'!$EA$17=2,SUMPRODUCT('計算A'!$D$67:$DS$67,$CW30:$HL30,$HN30:$MC30),SUMPRODUCT('計算A'!$D$67:$DS$67,$CW30:$HL30))*1000+8)</f>
        <v/>
      </c>
      <c r="BK30">
        <f>IF(Q30=1,1000000,IF('計算A'!$EA$18=2,SUMPRODUCT('計算A'!$D$68:$DS$68,$CW30:$HL30,$HN30:$MC30),SUMPRODUCT('計算A'!$D$68:$DS$68,$CW30:$HL30))*1000+9)</f>
        <v/>
      </c>
      <c r="BL30">
        <f>IF(R30=1,1000000,IF('計算A'!$EA$19=2,SUMPRODUCT('計算A'!$D$69:$DS$69,$CW30:$HL30,$HN30:$MC30),SUMPRODUCT('計算A'!$D$69:$DS$69,$CW30:$HL30))*1000+10)</f>
        <v/>
      </c>
      <c r="BM30">
        <f>IF(S30=1,1000000,IF('計算A'!$EA$20=2,SUMPRODUCT('計算A'!$D$70:$DS$70,$CW30:$HL30,$HN30:$MC30),SUMPRODUCT('計算A'!$D$70:$DS$70,$CW30:$HL30))*1000+11)</f>
        <v/>
      </c>
      <c r="BN30">
        <f>IF(T30=1,1000000,IF('計算A'!$EA$21=2,SUMPRODUCT('計算A'!$D$71:$DS$71,$CW30:$HL30,$HN30:$MC30),SUMPRODUCT('計算A'!$D$71:$DS$71,$CW30:$HL30))*1000+12)</f>
        <v/>
      </c>
      <c r="BO30">
        <f>IF(U30=1,1000000,IF('計算A'!$EA$22=2,SUMPRODUCT('計算A'!$D$72:$DS$72,$CW30:$HL30,$HN30:$MC30),SUMPRODUCT('計算A'!$D$72:$DS$72,$CW30:$HL30))*1000+13)</f>
        <v/>
      </c>
      <c r="BP30">
        <f>IF(V30=1,1000000,IF('計算A'!$EA$23=2,SUMPRODUCT('計算A'!$D$73:$DS$73,$CW30:$HL30,$HN30:$MC30),SUMPRODUCT('計算A'!$D$73:$DS$73,$CW30:$HL30))*1000+14)</f>
        <v/>
      </c>
      <c r="BQ30">
        <f>IF(W30=1,1000000,IF('計算A'!$EA$24=2,SUMPRODUCT('計算A'!$D$74:$DS$74,$CW30:$HL30,$HN30:$MC30),SUMPRODUCT('計算A'!$D$74:$DS$74,$CW30:$HL30))*1000+15)</f>
        <v/>
      </c>
      <c r="BR30">
        <f>IF(X30=1,1000000,IF('計算A'!$EA$25=2,SUMPRODUCT('計算A'!$D$75:$DS$75,$CW30:$HL30,$HN30:$MC30),SUMPRODUCT('計算A'!$D$75:$DS$75,$CW30:$HL30))*1000+16)</f>
        <v/>
      </c>
      <c r="BS30">
        <f>IF(Y30=1,1000000,IF('計算A'!$EA$26=2,SUMPRODUCT('計算A'!$D$76:$DS$76,$CW30:$HL30,$HN30:$MC30),SUMPRODUCT('計算A'!$D$76:$DS$76,$CW30:$HL30))*1000+17)</f>
        <v/>
      </c>
      <c r="BT30">
        <f>IF(Z30=1,1000000,IF('計算A'!$EA$27=2,SUMPRODUCT('計算A'!$D$77:$DS$77,$CW30:$HL30,$HN30:$MC30),SUMPRODUCT('計算A'!$D$77:$DS$77,$CW30:$HL30))*1000+18)</f>
        <v/>
      </c>
      <c r="BU30">
        <f>IF(AA30=1,1000000,IF('計算A'!$EA$28=2,SUMPRODUCT('計算A'!$D$78:$DS$78,$CW30:$HL30,$HN30:$MC30),SUMPRODUCT('計算A'!$D$78:$DS$78,$CW30:$HL30))*1000+19)</f>
        <v/>
      </c>
      <c r="BV30">
        <f>IF(AB30=1,1000000,IF('計算A'!$EA$29=2,SUMPRODUCT('計算A'!$D$79:$DS$79,$CW30:$HL30,$HN30:$MC30),SUMPRODUCT('計算A'!$D$79:$DS$79,$CW30:$HL30))*1000+20)</f>
        <v/>
      </c>
      <c r="BW30">
        <f>IF(AC30=1,1000000,IF('計算A'!$EA$30=2,SUMPRODUCT('計算A'!$D$80:$DS$80,$CW30:$HL30,$HN30:$MC30),SUMPRODUCT('計算A'!$D$80:$DS$80,$CW30:$HL30))*1000+21)</f>
        <v/>
      </c>
      <c r="BX30">
        <f>IF(AD30=1,1000000,IF('計算A'!$EA$31=2,SUMPRODUCT('計算A'!$D$81:$DS$81,$CW30:$HL30,$HN30:$MC30),SUMPRODUCT('計算A'!$D$81:$DS$81,$CW30:$HL30))*1000+22)</f>
        <v/>
      </c>
      <c r="BY30">
        <f>IF(AE30=1,1000000,IF('計算A'!$EA$32=2,SUMPRODUCT('計算A'!$D$82:$DS$82,$CW30:$HL30,$HN30:$MC30),SUMPRODUCT('計算A'!$D$82:$DS$82,$CW30:$HL30))*1000+23)</f>
        <v/>
      </c>
      <c r="BZ30">
        <f>IF(AF30=1,1000000,IF('計算A'!$EA$33=2,SUMPRODUCT('計算A'!$D$83:$DS$83,$CW30:$HL30,$HN30:$MC30),SUMPRODUCT('計算A'!$D$83:$DS$83,$CW30:$HL30))*1000+24)</f>
        <v/>
      </c>
      <c r="CA30">
        <f>IF(AG30=1,1000000,IF('計算A'!$EA$34=2,SUMPRODUCT('計算A'!$D$84:$DS$84,$CW30:$HL30,$HN30:$MC30),SUMPRODUCT('計算A'!$D$84:$DS$84,$CW30:$HL30))*1000+25)</f>
        <v/>
      </c>
      <c r="CB30">
        <f>IF(AH30=1,1000000,IF('計算A'!$EA$35=2,SUMPRODUCT('計算A'!$D$85:$DS$85,$CW30:$HL30,$HN30:$MC30),SUMPRODUCT('計算A'!$D$85:$DS$85,$CW30:$HL30))*1000+26)</f>
        <v/>
      </c>
      <c r="CC30">
        <f>IF(AI30=1,1000000,IF('計算A'!$EA$36=2,SUMPRODUCT('計算A'!$D$86:$DS$86,$CW30:$HL30,$HN30:$MC30),SUMPRODUCT('計算A'!$D$86:$DS$86,$CW30:$HL30))*1000+27)</f>
        <v/>
      </c>
      <c r="CD30">
        <f>IF(AJ30=1,1000000,IF('計算A'!$EA$37=2,SUMPRODUCT('計算A'!$D$87:$DS$87,$CW30:$HL30,$HN30:$MC30),SUMPRODUCT('計算A'!$D$87:$DS$87,$CW30:$HL30))*1000+28)</f>
        <v/>
      </c>
      <c r="CE30">
        <f>IF(AK30=1,1000000,IF('計算A'!$EA$38=2,SUMPRODUCT('計算A'!$D$88:$DS$88,$CW30:$HL30,$HN30:$MC30),SUMPRODUCT('計算A'!$D$88:$DS$88,$CW30:$HL30))*1000+29)</f>
        <v/>
      </c>
      <c r="CF30">
        <f>IF(AL30=1,1000000,IF('計算A'!$EA$39=2,SUMPRODUCT('計算A'!$D$89:$DS$89,$CW30:$HL30,$HN30:$MC30),SUMPRODUCT('計算A'!$D$89:$DS$89,$CW30:$HL30))*1000+30)</f>
        <v/>
      </c>
      <c r="CG30">
        <f>IF(AM30=1,1000000,IF('計算A'!$EA$40=2,SUMPRODUCT('計算A'!$D$90:$DS$90,$CW30:$HL30,$HN30:$MC30),SUMPRODUCT('計算A'!$D$90:$DS$90,$CW30:$HL30))*1000+31)</f>
        <v/>
      </c>
      <c r="CH30">
        <f>IF(AN30=1,1000000,IF('計算A'!$EA$41=2,SUMPRODUCT('計算A'!$D$91:$DS$91,$CW30:$HL30,$HN30:$MC30),SUMPRODUCT('計算A'!$D$91:$DS$91,$CW30:$HL30))*1000+32)</f>
        <v/>
      </c>
      <c r="CI30">
        <f>IF(AO30=1,1000000,IF('計算A'!$EA$42=2,SUMPRODUCT('計算A'!$D$92:$DS$92,$CW30:$HL30,$HN30:$MC30),SUMPRODUCT('計算A'!$D$92:$DS$92,$CW30:$HL30))*1000+33)</f>
        <v/>
      </c>
      <c r="CJ30">
        <f>IF(AP30=1,1000000,IF('計算A'!$EA$43=2,SUMPRODUCT('計算A'!$D$93:$DS$93,$CW30:$HL30,$HN30:$MC30),SUMPRODUCT('計算A'!$D$93:$DS$93,$CW30:$HL30))*1000+34)</f>
        <v/>
      </c>
      <c r="CK30">
        <f>IF(AQ30=1,1000000,IF('計算A'!$EA$44=2,SUMPRODUCT('計算A'!$D$94:$DS$94,$CW30:$HL30,$HN30:$MC30),SUMPRODUCT('計算A'!$D$94:$DS$94,$CW30:$HL30))*1000+35)</f>
        <v/>
      </c>
      <c r="CL30">
        <f>IF(AR30=1,1000000,IF('計算A'!$EA$45=2,SUMPRODUCT('計算A'!$D$95:$DS$95,$CW30:$HL30,$HN30:$MC30),SUMPRODUCT('計算A'!$D$95:$DS$95,$CW30:$HL30))*1000+36)</f>
        <v/>
      </c>
      <c r="CM30">
        <f>IF(AS30=1,1000000,IF('計算A'!$EA$46=2,SUMPRODUCT('計算A'!$D$96:$DS$96,$CW30:$HL30,$HN30:$MC30),SUMPRODUCT('計算A'!$D$96:$DS$96,$CW30:$HL30))*1000+37)</f>
        <v/>
      </c>
      <c r="CN30">
        <f>IF(AT30=1,1000000,IF('計算A'!$EA$47=2,SUMPRODUCT('計算A'!$D$97:$DS$97,$CW30:$HL30,$HN30:$MC30),SUMPRODUCT('計算A'!$D$97:$DS$97,$CW30:$HL30))*1000+38)</f>
        <v/>
      </c>
      <c r="CO30">
        <f>IF(AU30=1,1000000,IF('計算A'!$EA$48=2,SUMPRODUCT('計算A'!$D$98:$DS$98,$CW30:$HL30,$HN30:$MC30),SUMPRODUCT('計算A'!$D$98:$DS$98,$CW30:$HL30))*1000+39)</f>
        <v/>
      </c>
      <c r="CP30">
        <f>IF(AV30=1,1000000,IF('計算A'!$EA$49=2,SUMPRODUCT('計算A'!$D$99:$DS$99,$CW30:$HL30,$HN30:$MC30),SUMPRODUCT('計算A'!$D$99:$DS$99,$CW30:$HL30))*1000+40)</f>
        <v/>
      </c>
      <c r="CQ30">
        <f>IF(AW30=1,1000000,IF('計算A'!$EA$50=2,SUMPRODUCT('計算A'!$D$100:$DS$100,$CW30:$HL30,$HN30:$MC30),SUMPRODUCT('計算A'!$D$100:$DS$100,$CW30:$HL30))*1000+41)</f>
        <v/>
      </c>
      <c r="CR30">
        <f>IF(AX30=1,1000000,IF('計算A'!$EA$51=2,SUMPRODUCT('計算A'!$D$101:$DS$101,$CW30:$HL30,$HN30:$MC30),SUMPRODUCT('計算A'!$D$101:$DS$101,$CW30:$HL30))*1000+42)</f>
        <v/>
      </c>
      <c r="CS30">
        <f>IF(AY30=1,1000000,IF('計算A'!$EA$52=2,SUMPRODUCT('計算A'!$D$102:$DS$102,$CW30:$HL30,$HN30:$MC30),SUMPRODUCT('計算A'!$D$102:$DS$102,$CW30:$HL30))*1000+43)</f>
        <v/>
      </c>
      <c r="CT30">
        <f>IF(AZ30=1,1000000,IF('計算A'!$EA$53=2,SUMPRODUCT('計算A'!$D$103:$DS$103,$CW30:$HL30,$HN30:$MC30),SUMPRODUCT('計算A'!$D$103:$DS$103,$CW30:$HL30))*1000+44)</f>
        <v/>
      </c>
      <c r="CU30">
        <f>IF(BA30=1,1000000,IF('計算A'!$EA$54=2,SUMPRODUCT('計算A'!$D$104:$DS$104,$CW30:$HL30,$HN30:$MC30),SUMPRODUCT('計算A'!$D$104:$DS$104,$CW30:$HL30))*1000+45)</f>
        <v/>
      </c>
      <c r="CW30">
        <f>CW29*IF(OR($C29=1,$G29=1),0,1)</f>
        <v/>
      </c>
      <c r="CX30">
        <f>CX29*IF(OR($C29=2,$G29=2),0,1)</f>
        <v/>
      </c>
      <c r="CY30">
        <f>CY29*IF(OR($C29=3,$G29=3),0,1)</f>
        <v/>
      </c>
      <c r="CZ30">
        <f>CZ29*IF(OR($C29=4,$G29=4),0,1)</f>
        <v/>
      </c>
      <c r="DA30">
        <f>DA29*IF(OR($C29=5,$G29=5),0,1)</f>
        <v/>
      </c>
      <c r="DB30">
        <f>DB29*IF(OR($C29=6,$G29=6),0,1)</f>
        <v/>
      </c>
      <c r="DC30">
        <f>DC29*IF(OR($C29=7,$G29=7),0,1)</f>
        <v/>
      </c>
      <c r="DD30">
        <f>DD29*IF(OR($C29=8,$G29=8),0,1)</f>
        <v/>
      </c>
      <c r="DE30">
        <f>DE29*IF(OR($C29=9,$G29=9),0,1)</f>
        <v/>
      </c>
      <c r="DF30">
        <f>DF29*IF(OR($C29=10,$G29=10),0,1)</f>
        <v/>
      </c>
      <c r="DG30">
        <f>DG29*IF(OR($C29=11,$G29=11),0,1)</f>
        <v/>
      </c>
      <c r="DH30">
        <f>DH29*IF(OR($C29=12,$G29=12),0,1)</f>
        <v/>
      </c>
      <c r="DI30">
        <f>DI29*IF(OR($C29=13,$G29=13),0,1)</f>
        <v/>
      </c>
      <c r="DJ30">
        <f>DJ29*IF(OR($C29=14,$G29=14),0,1)</f>
        <v/>
      </c>
      <c r="DK30">
        <f>DK29*IF(OR($C29=15,$G29=15),0,1)</f>
        <v/>
      </c>
      <c r="DL30">
        <f>DL29*IF(OR($C29=16,$G29=16),0,1)</f>
        <v/>
      </c>
      <c r="DM30">
        <f>DM29*IF(OR($C29=17,$G29=17),0,1)</f>
        <v/>
      </c>
      <c r="DN30">
        <f>DN29*IF(OR($C29=18,$G29=18),0,1)</f>
        <v/>
      </c>
      <c r="DO30">
        <f>DO29*IF(OR($C29=19,$G29=19),0,1)</f>
        <v/>
      </c>
      <c r="DP30">
        <f>DP29*IF(OR($C29=20,$G29=20),0,1)</f>
        <v/>
      </c>
      <c r="DQ30">
        <f>DQ29*IF(OR($C29=21,$G29=21),0,1)</f>
        <v/>
      </c>
      <c r="DR30">
        <f>DR29*IF(OR($C29=22,$G29=22),0,1)</f>
        <v/>
      </c>
      <c r="DS30">
        <f>DS29*IF(OR($C29=23,$G29=23),0,1)</f>
        <v/>
      </c>
      <c r="DT30">
        <f>DT29*IF(OR($C29=24,$G29=24),0,1)</f>
        <v/>
      </c>
      <c r="DU30">
        <f>DU29*IF(OR($C29=25,$G29=25),0,1)</f>
        <v/>
      </c>
      <c r="DV30">
        <f>DV29*IF(OR($C29=26,$G29=26),0,1)</f>
        <v/>
      </c>
      <c r="DW30">
        <f>DW29*IF(OR($C29=27,$G29=27),0,1)</f>
        <v/>
      </c>
      <c r="DX30">
        <f>DX29*IF(OR($C29=28,$G29=28),0,1)</f>
        <v/>
      </c>
      <c r="DY30">
        <f>DY29*IF(OR($C29=29,$G29=29),0,1)</f>
        <v/>
      </c>
      <c r="DZ30">
        <f>DZ29*IF(OR($C29=30,$G29=30),0,1)</f>
        <v/>
      </c>
      <c r="EA30">
        <f>EA29*IF(OR($C29=31,$G29=31),0,1)</f>
        <v/>
      </c>
      <c r="EB30">
        <f>EB29*IF(OR($C29=32,$G29=32),0,1)</f>
        <v/>
      </c>
      <c r="EC30">
        <f>EC29*IF(OR($C29=33,$G29=33),0,1)</f>
        <v/>
      </c>
      <c r="ED30">
        <f>ED29*IF(OR($C29=34,$G29=34),0,1)</f>
        <v/>
      </c>
      <c r="EE30">
        <f>EE29*IF(OR($C29=35,$G29=35),0,1)</f>
        <v/>
      </c>
      <c r="EF30">
        <f>EF29*IF(OR($C29=36,$G29=36),0,1)</f>
        <v/>
      </c>
      <c r="EG30">
        <f>EG29*IF(OR($C29=37,$G29=37),0,1)</f>
        <v/>
      </c>
      <c r="EH30">
        <f>EH29*IF(OR($C29=38,$G29=38),0,1)</f>
        <v/>
      </c>
      <c r="EI30">
        <f>EI29*IF(OR($C29=39,$G29=39),0,1)</f>
        <v/>
      </c>
      <c r="EJ30">
        <f>EJ29*IF(OR($C29=40,$G29=40),0,1)</f>
        <v/>
      </c>
      <c r="EK30">
        <f>EK29*IF(OR($C29=41,$G29=41),0,1)</f>
        <v/>
      </c>
      <c r="EL30">
        <f>EL29*IF(OR($C29=42,$G29=42),0,1)</f>
        <v/>
      </c>
      <c r="EM30">
        <f>EM29*IF(OR($C29=43,$G29=43),0,1)</f>
        <v/>
      </c>
      <c r="EN30">
        <f>EN29*IF(OR($C29=44,$G29=44),0,1)</f>
        <v/>
      </c>
      <c r="EO30">
        <f>EO29*IF(OR($C29=45,$G29=45),0,1)</f>
        <v/>
      </c>
      <c r="EP30">
        <f>EP29*IF(OR($C29=46,$G29=46),0,1)</f>
        <v/>
      </c>
      <c r="EQ30">
        <f>EQ29*IF(OR($C29=47,$G29=47),0,1)</f>
        <v/>
      </c>
      <c r="ER30">
        <f>ER29*IF(OR($C29=48,$G29=48),0,1)</f>
        <v/>
      </c>
      <c r="ES30">
        <f>ES29*IF(OR($C29=49,$G29=49),0,1)</f>
        <v/>
      </c>
      <c r="ET30">
        <f>ET29*IF(OR($C29=50,$G29=50),0,1)</f>
        <v/>
      </c>
      <c r="EU30">
        <f>EU29*IF(OR($C29=51,$G29=51),0,1)</f>
        <v/>
      </c>
      <c r="EV30">
        <f>EV29*IF(OR($C29=52,$G29=52),0,1)</f>
        <v/>
      </c>
      <c r="EW30">
        <f>EW29*IF(OR($C29=53,$G29=53),0,1)</f>
        <v/>
      </c>
      <c r="EX30">
        <f>EX29*IF(OR($C29=54,$G29=54),0,1)</f>
        <v/>
      </c>
      <c r="EY30">
        <f>EY29*IF(OR($C29=55,$G29=55),0,1)</f>
        <v/>
      </c>
      <c r="EZ30">
        <f>EZ29*IF(OR($C29=56,$G29=56),0,1)</f>
        <v/>
      </c>
      <c r="FA30">
        <f>FA29*IF(OR($C29=57,$G29=57),0,1)</f>
        <v/>
      </c>
      <c r="FB30">
        <f>FB29*IF(OR($C29=58,$G29=58),0,1)</f>
        <v/>
      </c>
      <c r="FC30">
        <f>FC29*IF(OR($C29=59,$G29=59),0,1)</f>
        <v/>
      </c>
      <c r="FD30">
        <f>FD29*IF(OR($C29=60,$G29=60),0,1)</f>
        <v/>
      </c>
      <c r="FE30">
        <f>FE29*IF(OR($C29=61,$G29=61),0,1)</f>
        <v/>
      </c>
      <c r="FF30">
        <f>FF29*IF(OR($C29=62,$G29=62),0,1)</f>
        <v/>
      </c>
      <c r="FG30">
        <f>FG29*IF(OR($C29=63,$G29=63),0,1)</f>
        <v/>
      </c>
      <c r="FH30">
        <f>FH29*IF(OR($C29=64,$G29=64),0,1)</f>
        <v/>
      </c>
      <c r="FI30">
        <f>FI29*IF(OR($C29=65,$G29=65),0,1)</f>
        <v/>
      </c>
      <c r="FJ30">
        <f>FJ29*IF(OR($C29=66,$G29=66),0,1)</f>
        <v/>
      </c>
      <c r="FK30">
        <f>FK29*IF(OR($C29=67,$G29=67),0,1)</f>
        <v/>
      </c>
      <c r="FL30">
        <f>FL29*IF(OR($C29=68,$G29=68),0,1)</f>
        <v/>
      </c>
      <c r="FM30">
        <f>FM29*IF(OR($C29=69,$G29=69),0,1)</f>
        <v/>
      </c>
      <c r="FN30">
        <f>FN29*IF(OR($C29=70,$G29=70),0,1)</f>
        <v/>
      </c>
      <c r="FO30">
        <f>FO29*IF(OR($C29=71,$G29=71),0,1)</f>
        <v/>
      </c>
      <c r="FP30">
        <f>FP29*IF(OR($C29=72,$G29=72),0,1)</f>
        <v/>
      </c>
      <c r="FQ30">
        <f>FQ29*IF(OR($C29=73,$G29=73),0,1)</f>
        <v/>
      </c>
      <c r="FR30">
        <f>FR29*IF(OR($C29=74,$G29=74),0,1)</f>
        <v/>
      </c>
      <c r="FS30">
        <f>FS29*IF(OR($C29=75,$G29=75),0,1)</f>
        <v/>
      </c>
      <c r="FT30">
        <f>FT29*IF(OR($C29=76,$G29=76),0,1)</f>
        <v/>
      </c>
      <c r="FU30">
        <f>FU29*IF(OR($C29=77,$G29=77),0,1)</f>
        <v/>
      </c>
      <c r="FV30">
        <f>FV29*IF(OR($C29=78,$G29=78),0,1)</f>
        <v/>
      </c>
      <c r="FW30">
        <f>FW29*IF(OR($C29=79,$G29=79),0,1)</f>
        <v/>
      </c>
      <c r="FX30">
        <f>FX29*IF(OR($C29=80,$G29=80),0,1)</f>
        <v/>
      </c>
      <c r="FY30">
        <f>FY29*IF(OR($C29=81,$G29=81),0,1)</f>
        <v/>
      </c>
      <c r="FZ30">
        <f>FZ29*IF(OR($C29=82,$G29=82),0,1)</f>
        <v/>
      </c>
      <c r="GA30">
        <f>GA29*IF(OR($C29=83,$G29=83),0,1)</f>
        <v/>
      </c>
      <c r="GB30">
        <f>GB29*IF(OR($C29=84,$G29=84),0,1)</f>
        <v/>
      </c>
      <c r="GC30">
        <f>GC29*IF(OR($C29=85,$G29=85),0,1)</f>
        <v/>
      </c>
      <c r="GD30">
        <f>GD29*IF(OR($C29=86,$G29=86),0,1)</f>
        <v/>
      </c>
      <c r="GE30">
        <f>GE29*IF(OR($C29=87,$G29=87),0,1)</f>
        <v/>
      </c>
      <c r="GF30">
        <f>GF29*IF(OR($C29=88,$G29=88),0,1)</f>
        <v/>
      </c>
      <c r="GG30">
        <f>GG29*IF(OR($C29=89,$G29=89),0,1)</f>
        <v/>
      </c>
      <c r="GH30">
        <f>GH29*IF(OR($C29=90,$G29=90),0,1)</f>
        <v/>
      </c>
      <c r="GI30">
        <f>GI29*IF(OR($C29=91,$G29=91),0,1)</f>
        <v/>
      </c>
      <c r="GJ30">
        <f>GJ29*IF(OR($C29=92,$G29=92),0,1)</f>
        <v/>
      </c>
      <c r="GK30">
        <f>GK29*IF(OR($C29=93,$G29=93),0,1)</f>
        <v/>
      </c>
      <c r="GL30">
        <f>GL29*IF(OR($C29=94,$G29=94),0,1)</f>
        <v/>
      </c>
      <c r="GM30">
        <f>GM29*IF(OR($C29=95,$G29=95),0,1)</f>
        <v/>
      </c>
      <c r="GN30">
        <f>GN29*IF(OR($C29=96,$G29=96),0,1)</f>
        <v/>
      </c>
      <c r="GO30">
        <f>GO29*IF(OR($C29=97,$G29=97),0,1)</f>
        <v/>
      </c>
      <c r="GP30">
        <f>GP29*IF(OR($C29=98,$G29=98),0,1)</f>
        <v/>
      </c>
      <c r="GQ30">
        <f>GQ29*IF(OR($C29=99,$G29=99),0,1)</f>
        <v/>
      </c>
      <c r="GR30">
        <f>GR29*IF(OR($C29=100,$G29=100),0,1)</f>
        <v/>
      </c>
      <c r="GS30">
        <f>GS29*IF(OR($C29=101,$G29=101),0,1)</f>
        <v/>
      </c>
      <c r="GT30">
        <f>GT29*IF(OR($C29=102,$G29=102),0,1)</f>
        <v/>
      </c>
      <c r="GU30">
        <f>GU29*IF(OR($C29=103,$G29=103),0,1)</f>
        <v/>
      </c>
      <c r="GV30">
        <f>GV29*IF(OR($C29=104,$G29=104),0,1)</f>
        <v/>
      </c>
      <c r="GW30">
        <f>GW29*IF(OR($C29=105,$G29=105),0,1)</f>
        <v/>
      </c>
      <c r="GX30">
        <f>GX29*IF(OR($C29=106,$G29=106),0,1)</f>
        <v/>
      </c>
      <c r="GY30">
        <f>GY29*IF(OR($C29=107,$G29=107),0,1)</f>
        <v/>
      </c>
      <c r="GZ30">
        <f>GZ29*IF(OR($C29=108,$G29=108),0,1)</f>
        <v/>
      </c>
      <c r="HA30">
        <f>HA29*IF(OR($C29=109,$G29=109),0,1)</f>
        <v/>
      </c>
      <c r="HB30">
        <f>HB29*IF(OR($C29=110,$G29=110),0,1)</f>
        <v/>
      </c>
      <c r="HC30">
        <f>HC29*IF(OR($C29=111,$G29=111),0,1)</f>
        <v/>
      </c>
      <c r="HD30">
        <f>HD29*IF(OR($C29=112,$G29=112),0,1)</f>
        <v/>
      </c>
      <c r="HE30">
        <f>HE29*IF(OR($C29=113,$G29=113),0,1)</f>
        <v/>
      </c>
      <c r="HF30">
        <f>HF29*IF(OR($C29=114,$G29=114),0,1)</f>
        <v/>
      </c>
      <c r="HG30">
        <f>HG29*IF(OR($C29=115,$G29=115),0,1)</f>
        <v/>
      </c>
      <c r="HH30">
        <f>HH29*IF(OR($C29=116,$G29=116),0,1)</f>
        <v/>
      </c>
      <c r="HI30">
        <f>HI29*IF(OR($C29=117,$G29=117),0,1)</f>
        <v/>
      </c>
      <c r="HJ30">
        <f>HJ29*IF(OR($C29=118,$G29=118),0,1)</f>
        <v/>
      </c>
      <c r="HK30">
        <f>HK29*IF(OR($C29=119,$G29=119),0,1)</f>
        <v/>
      </c>
      <c r="HL30">
        <f>HL29*IF(OR($C29=120,$G29=120),0,1)</f>
        <v/>
      </c>
      <c r="HN30">
        <f>IF('計算A'!D$106=1,CX30,1)</f>
        <v/>
      </c>
      <c r="HO30">
        <f>IF('計算A'!E$106=1,CY30,1)</f>
        <v/>
      </c>
      <c r="HP30">
        <f>IF('計算A'!F$106=1,CZ30,1)</f>
        <v/>
      </c>
      <c r="HQ30">
        <f>IF('計算A'!G$106=1,DA30,1)</f>
        <v/>
      </c>
      <c r="HR30">
        <f>IF('計算A'!H$106=1,DB30,1)</f>
        <v/>
      </c>
      <c r="HS30">
        <f>IF('計算A'!I$106=1,DC30,1)</f>
        <v/>
      </c>
      <c r="HT30">
        <f>IF('計算A'!J$106=1,DD30,1)</f>
        <v/>
      </c>
      <c r="HU30">
        <f>IF('計算A'!K$106=1,DE30,1)</f>
        <v/>
      </c>
      <c r="HV30">
        <f>IF('計算A'!L$106=1,DF30,1)</f>
        <v/>
      </c>
      <c r="HW30">
        <f>IF('計算A'!M$106=1,DG30,1)</f>
        <v/>
      </c>
      <c r="HX30">
        <f>IF('計算A'!N$106=1,DH30,1)</f>
        <v/>
      </c>
      <c r="HY30">
        <f>IF('計算A'!O$106=1,DI30,1)</f>
        <v/>
      </c>
      <c r="HZ30">
        <f>IF('計算A'!P$106=1,DJ30,1)</f>
        <v/>
      </c>
      <c r="IA30">
        <f>IF('計算A'!Q$106=1,DK30,1)</f>
        <v/>
      </c>
      <c r="IB30">
        <f>IF('計算A'!R$106=1,DL30,1)</f>
        <v/>
      </c>
      <c r="IC30">
        <f>IF('計算A'!S$106=1,DM30,1)</f>
        <v/>
      </c>
      <c r="ID30">
        <f>IF('計算A'!T$106=1,DN30,1)</f>
        <v/>
      </c>
      <c r="IE30">
        <f>IF('計算A'!U$106=1,DO30,1)</f>
        <v/>
      </c>
      <c r="IF30">
        <f>IF('計算A'!V$106=1,DP30,1)</f>
        <v/>
      </c>
      <c r="IG30">
        <f>IF('計算A'!W$106=1,DQ30,1)</f>
        <v/>
      </c>
      <c r="IH30">
        <f>IF('計算A'!X$106=1,DR30,1)</f>
        <v/>
      </c>
      <c r="II30">
        <f>IF('計算A'!Y$106=1,DS30,1)</f>
        <v/>
      </c>
      <c r="IJ30">
        <f>IF('計算A'!Z$106=1,DT30,1)</f>
        <v/>
      </c>
      <c r="IK30">
        <f>IF('計算A'!AA$106=1,DU30,1)</f>
        <v/>
      </c>
      <c r="IL30">
        <f>IF('計算A'!AB$106=1,DV30,1)</f>
        <v/>
      </c>
      <c r="IM30">
        <f>IF('計算A'!AC$106=1,DW30,1)</f>
        <v/>
      </c>
      <c r="IN30">
        <f>IF('計算A'!AD$106=1,DX30,1)</f>
        <v/>
      </c>
      <c r="IO30">
        <f>IF('計算A'!AE$106=1,DY30,1)</f>
        <v/>
      </c>
      <c r="IP30">
        <f>IF('計算A'!AF$106=1,DZ30,1)</f>
        <v/>
      </c>
      <c r="IQ30">
        <f>IF('計算A'!AG$106=1,EA30,1)</f>
        <v/>
      </c>
      <c r="IR30">
        <f>IF('計算A'!AH$106=1,EB30,1)</f>
        <v/>
      </c>
      <c r="IS30">
        <f>IF('計算A'!AI$106=1,EC30,1)</f>
        <v/>
      </c>
      <c r="IT30">
        <f>IF('計算A'!AJ$106=1,ED30,1)</f>
        <v/>
      </c>
      <c r="IU30">
        <f>IF('計算A'!AK$106=1,EE30,1)</f>
        <v/>
      </c>
      <c r="IV30">
        <f>IF('計算A'!AL$106=1,EF30,1)</f>
        <v/>
      </c>
      <c r="IW30">
        <f>IF('計算A'!AM$106=1,EG30,1)</f>
        <v/>
      </c>
      <c r="IX30">
        <f>IF('計算A'!AN$106=1,EH30,1)</f>
        <v/>
      </c>
      <c r="IY30">
        <f>IF('計算A'!AO$106=1,EI30,1)</f>
        <v/>
      </c>
      <c r="IZ30">
        <f>IF('計算A'!AP$106=1,EJ30,1)</f>
        <v/>
      </c>
      <c r="JA30">
        <f>IF('計算A'!AQ$106=1,EK30,1)</f>
        <v/>
      </c>
      <c r="JB30">
        <f>IF('計算A'!AR$106=1,EL30,1)</f>
        <v/>
      </c>
      <c r="JC30">
        <f>IF('計算A'!AS$106=1,EM30,1)</f>
        <v/>
      </c>
      <c r="JD30">
        <f>IF('計算A'!AT$106=1,EN30,1)</f>
        <v/>
      </c>
      <c r="JE30">
        <f>IF('計算A'!AU$106=1,EO30,1)</f>
        <v/>
      </c>
      <c r="JF30">
        <f>IF('計算A'!AV$106=1,EP30,1)</f>
        <v/>
      </c>
      <c r="JG30">
        <f>IF('計算A'!AW$106=1,EQ30,1)</f>
        <v/>
      </c>
      <c r="JH30">
        <f>IF('計算A'!AX$106=1,ER30,1)</f>
        <v/>
      </c>
      <c r="JI30">
        <f>IF('計算A'!AY$106=1,ES30,1)</f>
        <v/>
      </c>
      <c r="JJ30">
        <f>IF('計算A'!AZ$106=1,ET30,1)</f>
        <v/>
      </c>
      <c r="JK30">
        <f>IF('計算A'!BA$106=1,EU30,1)</f>
        <v/>
      </c>
      <c r="JL30">
        <f>IF('計算A'!BB$106=1,EV30,1)</f>
        <v/>
      </c>
      <c r="JM30">
        <f>IF('計算A'!BC$106=1,EW30,1)</f>
        <v/>
      </c>
      <c r="JN30">
        <f>IF('計算A'!BD$106=1,EX30,1)</f>
        <v/>
      </c>
      <c r="JO30">
        <f>IF('計算A'!BE$106=1,EY30,1)</f>
        <v/>
      </c>
      <c r="JP30">
        <f>IF('計算A'!BF$106=1,EZ30,1)</f>
        <v/>
      </c>
      <c r="JQ30">
        <f>IF('計算A'!BG$106=1,FA30,1)</f>
        <v/>
      </c>
      <c r="JR30">
        <f>IF('計算A'!BH$106=1,FB30,1)</f>
        <v/>
      </c>
      <c r="JS30">
        <f>IF('計算A'!BI$106=1,FC30,1)</f>
        <v/>
      </c>
      <c r="JT30">
        <f>IF('計算A'!BJ$106=1,FD30,1)</f>
        <v/>
      </c>
      <c r="JU30">
        <f>IF('計算A'!BK$106=1,FE30,1)</f>
        <v/>
      </c>
      <c r="JV30">
        <f>IF('計算A'!BL$106=1,FF30,1)</f>
        <v/>
      </c>
      <c r="JW30">
        <f>IF('計算A'!BM$106=1,FG30,1)</f>
        <v/>
      </c>
      <c r="JX30">
        <f>IF('計算A'!BN$106=1,FH30,1)</f>
        <v/>
      </c>
      <c r="JY30">
        <f>IF('計算A'!BO$106=1,FI30,1)</f>
        <v/>
      </c>
      <c r="JZ30">
        <f>IF('計算A'!BP$106=1,FJ30,1)</f>
        <v/>
      </c>
      <c r="KA30">
        <f>IF('計算A'!BQ$106=1,FK30,1)</f>
        <v/>
      </c>
      <c r="KB30">
        <f>IF('計算A'!BR$106=1,FL30,1)</f>
        <v/>
      </c>
      <c r="KC30">
        <f>IF('計算A'!BS$106=1,FM30,1)</f>
        <v/>
      </c>
      <c r="KD30">
        <f>IF('計算A'!BT$106=1,FN30,1)</f>
        <v/>
      </c>
      <c r="KE30">
        <f>IF('計算A'!BU$106=1,FO30,1)</f>
        <v/>
      </c>
      <c r="KF30">
        <f>IF('計算A'!BV$106=1,FP30,1)</f>
        <v/>
      </c>
      <c r="KG30">
        <f>IF('計算A'!BW$106=1,FQ30,1)</f>
        <v/>
      </c>
      <c r="KH30">
        <f>IF('計算A'!BX$106=1,FR30,1)</f>
        <v/>
      </c>
      <c r="KI30">
        <f>IF('計算A'!BY$106=1,FS30,1)</f>
        <v/>
      </c>
      <c r="KJ30">
        <f>IF('計算A'!BZ$106=1,FT30,1)</f>
        <v/>
      </c>
      <c r="KK30">
        <f>IF('計算A'!CA$106=1,FU30,1)</f>
        <v/>
      </c>
      <c r="KL30">
        <f>IF('計算A'!CB$106=1,FV30,1)</f>
        <v/>
      </c>
      <c r="KM30">
        <f>IF('計算A'!CC$106=1,FW30,1)</f>
        <v/>
      </c>
      <c r="KN30">
        <f>IF('計算A'!CD$106=1,FX30,1)</f>
        <v/>
      </c>
      <c r="KO30">
        <f>IF('計算A'!CE$106=1,FY30,1)</f>
        <v/>
      </c>
      <c r="KP30">
        <f>IF('計算A'!CF$106=1,FZ30,1)</f>
        <v/>
      </c>
      <c r="KQ30">
        <f>IF('計算A'!CG$106=1,GA30,1)</f>
        <v/>
      </c>
      <c r="KR30">
        <f>IF('計算A'!CH$106=1,GB30,1)</f>
        <v/>
      </c>
      <c r="KS30">
        <f>IF('計算A'!CI$106=1,GC30,1)</f>
        <v/>
      </c>
      <c r="KT30">
        <f>IF('計算A'!CJ$106=1,GD30,1)</f>
        <v/>
      </c>
      <c r="KU30">
        <f>IF('計算A'!CK$106=1,GE30,1)</f>
        <v/>
      </c>
      <c r="KV30">
        <f>IF('計算A'!CL$106=1,GF30,1)</f>
        <v/>
      </c>
      <c r="KW30">
        <f>IF('計算A'!CM$106=1,GG30,1)</f>
        <v/>
      </c>
      <c r="KX30">
        <f>IF('計算A'!CN$106=1,GH30,1)</f>
        <v/>
      </c>
      <c r="KY30">
        <f>IF('計算A'!CO$106=1,GI30,1)</f>
        <v/>
      </c>
      <c r="KZ30">
        <f>IF('計算A'!CP$106=1,GJ30,1)</f>
        <v/>
      </c>
      <c r="LA30">
        <f>IF('計算A'!CQ$106=1,GK30,1)</f>
        <v/>
      </c>
      <c r="LB30">
        <f>IF('計算A'!CR$106=1,GL30,1)</f>
        <v/>
      </c>
      <c r="LC30">
        <f>IF('計算A'!CS$106=1,GM30,1)</f>
        <v/>
      </c>
      <c r="LD30">
        <f>IF('計算A'!CT$106=1,GN30,1)</f>
        <v/>
      </c>
      <c r="LE30">
        <f>IF('計算A'!CU$106=1,GO30,1)</f>
        <v/>
      </c>
      <c r="LF30">
        <f>IF('計算A'!CV$106=1,GP30,1)</f>
        <v/>
      </c>
      <c r="LG30">
        <f>IF('計算A'!CW$106=1,GQ30,1)</f>
        <v/>
      </c>
      <c r="LH30">
        <f>IF('計算A'!CX$106=1,GR30,1)</f>
        <v/>
      </c>
      <c r="LI30">
        <f>IF('計算A'!CY$106=1,GS30,1)</f>
        <v/>
      </c>
      <c r="LJ30">
        <f>IF('計算A'!CZ$106=1,GT30,1)</f>
        <v/>
      </c>
      <c r="LK30">
        <f>IF('計算A'!DA$106=1,GU30,1)</f>
        <v/>
      </c>
      <c r="LL30">
        <f>IF('計算A'!DB$106=1,GV30,1)</f>
        <v/>
      </c>
      <c r="LM30">
        <f>IF('計算A'!DC$106=1,GW30,1)</f>
        <v/>
      </c>
      <c r="LN30">
        <f>IF('計算A'!DD$106=1,GX30,1)</f>
        <v/>
      </c>
      <c r="LO30">
        <f>IF('計算A'!DE$106=1,GY30,1)</f>
        <v/>
      </c>
      <c r="LP30">
        <f>IF('計算A'!DF$106=1,GZ30,1)</f>
        <v/>
      </c>
      <c r="LQ30">
        <f>IF('計算A'!DG$106=1,HA30,1)</f>
        <v/>
      </c>
      <c r="LR30">
        <f>IF('計算A'!DH$106=1,HB30,1)</f>
        <v/>
      </c>
      <c r="LS30">
        <f>IF('計算A'!DI$106=1,HC30,1)</f>
        <v/>
      </c>
      <c r="LT30">
        <f>IF('計算A'!DJ$106=1,HD30,1)</f>
        <v/>
      </c>
      <c r="LU30">
        <f>IF('計算A'!DK$106=1,HE30,1)</f>
        <v/>
      </c>
      <c r="LV30">
        <f>IF('計算A'!DL$106=1,HF30,1)</f>
        <v/>
      </c>
      <c r="LW30">
        <f>IF('計算A'!DM$106=1,HG30,1)</f>
        <v/>
      </c>
      <c r="LX30">
        <f>IF('計算A'!DN$106=1,HH30,1)</f>
        <v/>
      </c>
      <c r="LY30">
        <f>IF('計算A'!DO$106=1,HI30,1)</f>
        <v/>
      </c>
      <c r="LZ30">
        <f>IF('計算A'!DP$106=1,HJ30,1)</f>
        <v/>
      </c>
      <c r="MA30">
        <f>IF('計算A'!DQ$106=1,HK30,1)</f>
        <v/>
      </c>
      <c r="MB30">
        <f>IF('計算A'!DR$106=1,HL30,1)</f>
        <v/>
      </c>
      <c r="MC30" t="n">
        <v>1</v>
      </c>
      <c r="ME30">
        <f>IF($B30=0,1000000,IF(INDEX('計算A'!$D$60:$DS$104,$B30,1)*CW30=1,IF(AND($E30=2,HN30=0),1000000,INDEX('計算A'!D$110:D$114,$F30+1)+IF(AND($E30=1,HN30=0),1000,0)),1000000))</f>
        <v/>
      </c>
      <c r="MF30">
        <f>IF($B30=0,1000000,IF(INDEX('計算A'!$D$60:$DS$104,$B30,2)*CX30=1,IF(AND($E30=2,HO30=0),1000000,INDEX('計算A'!E$110:E$114,$F30+1)+IF(AND($E30=1,HO30=0),1000,0)),1000000))</f>
        <v/>
      </c>
      <c r="MG30">
        <f>IF($B30=0,1000000,IF(INDEX('計算A'!$D$60:$DS$104,$B30,3)*CY30=1,IF(AND($E30=2,HP30=0),1000000,INDEX('計算A'!F$110:F$114,$F30+1)+IF(AND($E30=1,HP30=0),1000,0)),1000000))</f>
        <v/>
      </c>
      <c r="MH30">
        <f>IF($B30=0,1000000,IF(INDEX('計算A'!$D$60:$DS$104,$B30,4)*CZ30=1,IF(AND($E30=2,HQ30=0),1000000,INDEX('計算A'!G$110:G$114,$F30+1)+IF(AND($E30=1,HQ30=0),1000,0)),1000000))</f>
        <v/>
      </c>
      <c r="MI30">
        <f>IF($B30=0,1000000,IF(INDEX('計算A'!$D$60:$DS$104,$B30,5)*DA30=1,IF(AND($E30=2,HR30=0),1000000,INDEX('計算A'!H$110:H$114,$F30+1)+IF(AND($E30=1,HR30=0),1000,0)),1000000))</f>
        <v/>
      </c>
      <c r="MJ30">
        <f>IF($B30=0,1000000,IF(INDEX('計算A'!$D$60:$DS$104,$B30,6)*DB30=1,IF(AND($E30=2,HS30=0),1000000,INDEX('計算A'!I$110:I$114,$F30+1)+IF(AND($E30=1,HS30=0),1000,0)),1000000))</f>
        <v/>
      </c>
      <c r="MK30">
        <f>IF($B30=0,1000000,IF(INDEX('計算A'!$D$60:$DS$104,$B30,7)*DC30=1,IF(AND($E30=2,HT30=0),1000000,INDEX('計算A'!J$110:J$114,$F30+1)+IF(AND($E30=1,HT30=0),1000,0)),1000000))</f>
        <v/>
      </c>
      <c r="ML30">
        <f>IF($B30=0,1000000,IF(INDEX('計算A'!$D$60:$DS$104,$B30,8)*DD30=1,IF(AND($E30=2,HU30=0),1000000,INDEX('計算A'!K$110:K$114,$F30+1)+IF(AND($E30=1,HU30=0),1000,0)),1000000))</f>
        <v/>
      </c>
      <c r="MM30">
        <f>IF($B30=0,1000000,IF(INDEX('計算A'!$D$60:$DS$104,$B30,9)*DE30=1,IF(AND($E30=2,HV30=0),1000000,INDEX('計算A'!L$110:L$114,$F30+1)+IF(AND($E30=1,HV30=0),1000,0)),1000000))</f>
        <v/>
      </c>
      <c r="MN30">
        <f>IF($B30=0,1000000,IF(INDEX('計算A'!$D$60:$DS$104,$B30,10)*DF30=1,IF(AND($E30=2,HW30=0),1000000,INDEX('計算A'!M$110:M$114,$F30+1)+IF(AND($E30=1,HW30=0),1000,0)),1000000))</f>
        <v/>
      </c>
      <c r="MO30">
        <f>IF($B30=0,1000000,IF(INDEX('計算A'!$D$60:$DS$104,$B30,11)*DG30=1,IF(AND($E30=2,HX30=0),1000000,INDEX('計算A'!N$110:N$114,$F30+1)+IF(AND($E30=1,HX30=0),1000,0)),1000000))</f>
        <v/>
      </c>
      <c r="MP30">
        <f>IF($B30=0,1000000,IF(INDEX('計算A'!$D$60:$DS$104,$B30,12)*DH30=1,IF(AND($E30=2,HY30=0),1000000,INDEX('計算A'!O$110:O$114,$F30+1)+IF(AND($E30=1,HY30=0),1000,0)),1000000))</f>
        <v/>
      </c>
      <c r="MQ30">
        <f>IF($B30=0,1000000,IF(INDEX('計算A'!$D$60:$DS$104,$B30,13)*DI30=1,IF(AND($E30=2,HZ30=0),1000000,INDEX('計算A'!P$110:P$114,$F30+1)+IF(AND($E30=1,HZ30=0),1000,0)),1000000))</f>
        <v/>
      </c>
      <c r="MR30">
        <f>IF($B30=0,1000000,IF(INDEX('計算A'!$D$60:$DS$104,$B30,14)*DJ30=1,IF(AND($E30=2,IA30=0),1000000,INDEX('計算A'!Q$110:Q$114,$F30+1)+IF(AND($E30=1,IA30=0),1000,0)),1000000))</f>
        <v/>
      </c>
      <c r="MS30">
        <f>IF($B30=0,1000000,IF(INDEX('計算A'!$D$60:$DS$104,$B30,15)*DK30=1,IF(AND($E30=2,IB30=0),1000000,INDEX('計算A'!R$110:R$114,$F30+1)+IF(AND($E30=1,IB30=0),1000,0)),1000000))</f>
        <v/>
      </c>
      <c r="MT30">
        <f>IF($B30=0,1000000,IF(INDEX('計算A'!$D$60:$DS$104,$B30,16)*DL30=1,IF(AND($E30=2,IC30=0),1000000,INDEX('計算A'!S$110:S$114,$F30+1)+IF(AND($E30=1,IC30=0),1000,0)),1000000))</f>
        <v/>
      </c>
      <c r="MU30">
        <f>IF($B30=0,1000000,IF(INDEX('計算A'!$D$60:$DS$104,$B30,17)*DM30=1,IF(AND($E30=2,ID30=0),1000000,INDEX('計算A'!T$110:T$114,$F30+1)+IF(AND($E30=1,ID30=0),1000,0)),1000000))</f>
        <v/>
      </c>
      <c r="MV30">
        <f>IF($B30=0,1000000,IF(INDEX('計算A'!$D$60:$DS$104,$B30,18)*DN30=1,IF(AND($E30=2,IE30=0),1000000,INDEX('計算A'!U$110:U$114,$F30+1)+IF(AND($E30=1,IE30=0),1000,0)),1000000))</f>
        <v/>
      </c>
      <c r="MW30">
        <f>IF($B30=0,1000000,IF(INDEX('計算A'!$D$60:$DS$104,$B30,19)*DO30=1,IF(AND($E30=2,IF30=0),1000000,INDEX('計算A'!V$110:V$114,$F30+1)+IF(AND($E30=1,IF30=0),1000,0)),1000000))</f>
        <v/>
      </c>
      <c r="MX30">
        <f>IF($B30=0,1000000,IF(INDEX('計算A'!$D$60:$DS$104,$B30,20)*DP30=1,IF(AND($E30=2,IG30=0),1000000,INDEX('計算A'!W$110:W$114,$F30+1)+IF(AND($E30=1,IG30=0),1000,0)),1000000))</f>
        <v/>
      </c>
      <c r="MY30">
        <f>IF($B30=0,1000000,IF(INDEX('計算A'!$D$60:$DS$104,$B30,21)*DQ30=1,IF(AND($E30=2,IH30=0),1000000,INDEX('計算A'!X$110:X$114,$F30+1)+IF(AND($E30=1,IH30=0),1000,0)),1000000))</f>
        <v/>
      </c>
      <c r="MZ30">
        <f>IF($B30=0,1000000,IF(INDEX('計算A'!$D$60:$DS$104,$B30,22)*DR30=1,IF(AND($E30=2,II30=0),1000000,INDEX('計算A'!Y$110:Y$114,$F30+1)+IF(AND($E30=1,II30=0),1000,0)),1000000))</f>
        <v/>
      </c>
      <c r="NA30">
        <f>IF($B30=0,1000000,IF(INDEX('計算A'!$D$60:$DS$104,$B30,23)*DS30=1,IF(AND($E30=2,IJ30=0),1000000,INDEX('計算A'!Z$110:Z$114,$F30+1)+IF(AND($E30=1,IJ30=0),1000,0)),1000000))</f>
        <v/>
      </c>
      <c r="NB30">
        <f>IF($B30=0,1000000,IF(INDEX('計算A'!$D$60:$DS$104,$B30,24)*DT30=1,IF(AND($E30=2,IK30=0),1000000,INDEX('計算A'!AA$110:AA$114,$F30+1)+IF(AND($E30=1,IK30=0),1000,0)),1000000))</f>
        <v/>
      </c>
      <c r="NC30">
        <f>IF($B30=0,1000000,IF(INDEX('計算A'!$D$60:$DS$104,$B30,25)*DU30=1,IF(AND($E30=2,IL30=0),1000000,INDEX('計算A'!AB$110:AB$114,$F30+1)+IF(AND($E30=1,IL30=0),1000,0)),1000000))</f>
        <v/>
      </c>
      <c r="ND30">
        <f>IF($B30=0,1000000,IF(INDEX('計算A'!$D$60:$DS$104,$B30,26)*DV30=1,IF(AND($E30=2,IM30=0),1000000,INDEX('計算A'!AC$110:AC$114,$F30+1)+IF(AND($E30=1,IM30=0),1000,0)),1000000))</f>
        <v/>
      </c>
      <c r="NE30">
        <f>IF($B30=0,1000000,IF(INDEX('計算A'!$D$60:$DS$104,$B30,27)*DW30=1,IF(AND($E30=2,IN30=0),1000000,INDEX('計算A'!AD$110:AD$114,$F30+1)+IF(AND($E30=1,IN30=0),1000,0)),1000000))</f>
        <v/>
      </c>
      <c r="NF30">
        <f>IF($B30=0,1000000,IF(INDEX('計算A'!$D$60:$DS$104,$B30,28)*DX30=1,IF(AND($E30=2,IO30=0),1000000,INDEX('計算A'!AE$110:AE$114,$F30+1)+IF(AND($E30=1,IO30=0),1000,0)),1000000))</f>
        <v/>
      </c>
      <c r="NG30">
        <f>IF($B30=0,1000000,IF(INDEX('計算A'!$D$60:$DS$104,$B30,29)*DY30=1,IF(AND($E30=2,IP30=0),1000000,INDEX('計算A'!AF$110:AF$114,$F30+1)+IF(AND($E30=1,IP30=0),1000,0)),1000000))</f>
        <v/>
      </c>
      <c r="NH30">
        <f>IF($B30=0,1000000,IF(INDEX('計算A'!$D$60:$DS$104,$B30,30)*DZ30=1,IF(AND($E30=2,IQ30=0),1000000,INDEX('計算A'!AG$110:AG$114,$F30+1)+IF(AND($E30=1,IQ30=0),1000,0)),1000000))</f>
        <v/>
      </c>
      <c r="NI30">
        <f>IF($B30=0,1000000,IF(INDEX('計算A'!$D$60:$DS$104,$B30,31)*EA30=1,IF(AND($E30=2,IR30=0),1000000,INDEX('計算A'!AH$110:AH$114,$F30+1)+IF(AND($E30=1,IR30=0),1000,0)),1000000))</f>
        <v/>
      </c>
      <c r="NJ30">
        <f>IF($B30=0,1000000,IF(INDEX('計算A'!$D$60:$DS$104,$B30,32)*EB30=1,IF(AND($E30=2,IS30=0),1000000,INDEX('計算A'!AI$110:AI$114,$F30+1)+IF(AND($E30=1,IS30=0),1000,0)),1000000))</f>
        <v/>
      </c>
      <c r="NK30">
        <f>IF($B30=0,1000000,IF(INDEX('計算A'!$D$60:$DS$104,$B30,33)*EC30=1,IF(AND($E30=2,IT30=0),1000000,INDEX('計算A'!AJ$110:AJ$114,$F30+1)+IF(AND($E30=1,IT30=0),1000,0)),1000000))</f>
        <v/>
      </c>
      <c r="NL30">
        <f>IF($B30=0,1000000,IF(INDEX('計算A'!$D$60:$DS$104,$B30,34)*ED30=1,IF(AND($E30=2,IU30=0),1000000,INDEX('計算A'!AK$110:AK$114,$F30+1)+IF(AND($E30=1,IU30=0),1000,0)),1000000))</f>
        <v/>
      </c>
      <c r="NM30">
        <f>IF($B30=0,1000000,IF(INDEX('計算A'!$D$60:$DS$104,$B30,35)*EE30=1,IF(AND($E30=2,IV30=0),1000000,INDEX('計算A'!AL$110:AL$114,$F30+1)+IF(AND($E30=1,IV30=0),1000,0)),1000000))</f>
        <v/>
      </c>
      <c r="NN30">
        <f>IF($B30=0,1000000,IF(INDEX('計算A'!$D$60:$DS$104,$B30,36)*EF30=1,IF(AND($E30=2,IW30=0),1000000,INDEX('計算A'!AM$110:AM$114,$F30+1)+IF(AND($E30=1,IW30=0),1000,0)),1000000))</f>
        <v/>
      </c>
      <c r="NO30">
        <f>IF($B30=0,1000000,IF(INDEX('計算A'!$D$60:$DS$104,$B30,37)*EG30=1,IF(AND($E30=2,IX30=0),1000000,INDEX('計算A'!AN$110:AN$114,$F30+1)+IF(AND($E30=1,IX30=0),1000,0)),1000000))</f>
        <v/>
      </c>
      <c r="NP30">
        <f>IF($B30=0,1000000,IF(INDEX('計算A'!$D$60:$DS$104,$B30,38)*EH30=1,IF(AND($E30=2,IY30=0),1000000,INDEX('計算A'!AO$110:AO$114,$F30+1)+IF(AND($E30=1,IY30=0),1000,0)),1000000))</f>
        <v/>
      </c>
      <c r="NQ30">
        <f>IF($B30=0,1000000,IF(INDEX('計算A'!$D$60:$DS$104,$B30,39)*EI30=1,IF(AND($E30=2,IZ30=0),1000000,INDEX('計算A'!AP$110:AP$114,$F30+1)+IF(AND($E30=1,IZ30=0),1000,0)),1000000))</f>
        <v/>
      </c>
      <c r="NR30">
        <f>IF($B30=0,1000000,IF(INDEX('計算A'!$D$60:$DS$104,$B30,40)*EJ30=1,IF(AND($E30=2,JA30=0),1000000,INDEX('計算A'!AQ$110:AQ$114,$F30+1)+IF(AND($E30=1,JA30=0),1000,0)),1000000))</f>
        <v/>
      </c>
      <c r="NS30">
        <f>IF($B30=0,1000000,IF(INDEX('計算A'!$D$60:$DS$104,$B30,41)*EK30=1,IF(AND($E30=2,JB30=0),1000000,INDEX('計算A'!AR$110:AR$114,$F30+1)+IF(AND($E30=1,JB30=0),1000,0)),1000000))</f>
        <v/>
      </c>
      <c r="NT30">
        <f>IF($B30=0,1000000,IF(INDEX('計算A'!$D$60:$DS$104,$B30,42)*EL30=1,IF(AND($E30=2,JC30=0),1000000,INDEX('計算A'!AS$110:AS$114,$F30+1)+IF(AND($E30=1,JC30=0),1000,0)),1000000))</f>
        <v/>
      </c>
      <c r="NU30">
        <f>IF($B30=0,1000000,IF(INDEX('計算A'!$D$60:$DS$104,$B30,43)*EM30=1,IF(AND($E30=2,JD30=0),1000000,INDEX('計算A'!AT$110:AT$114,$F30+1)+IF(AND($E30=1,JD30=0),1000,0)),1000000))</f>
        <v/>
      </c>
      <c r="NV30">
        <f>IF($B30=0,1000000,IF(INDEX('計算A'!$D$60:$DS$104,$B30,44)*EN30=1,IF(AND($E30=2,JE30=0),1000000,INDEX('計算A'!AU$110:AU$114,$F30+1)+IF(AND($E30=1,JE30=0),1000,0)),1000000))</f>
        <v/>
      </c>
      <c r="NW30">
        <f>IF($B30=0,1000000,IF(INDEX('計算A'!$D$60:$DS$104,$B30,45)*EO30=1,IF(AND($E30=2,JF30=0),1000000,INDEX('計算A'!AV$110:AV$114,$F30+1)+IF(AND($E30=1,JF30=0),1000,0)),1000000))</f>
        <v/>
      </c>
      <c r="NX30">
        <f>IF($B30=0,1000000,IF(INDEX('計算A'!$D$60:$DS$104,$B30,46)*EP30=1,IF(AND($E30=2,JG30=0),1000000,INDEX('計算A'!AW$110:AW$114,$F30+1)+IF(AND($E30=1,JG30=0),1000,0)),1000000))</f>
        <v/>
      </c>
      <c r="NY30">
        <f>IF($B30=0,1000000,IF(INDEX('計算A'!$D$60:$DS$104,$B30,47)*EQ30=1,IF(AND($E30=2,JH30=0),1000000,INDEX('計算A'!AX$110:AX$114,$F30+1)+IF(AND($E30=1,JH30=0),1000,0)),1000000))</f>
        <v/>
      </c>
      <c r="NZ30">
        <f>IF($B30=0,1000000,IF(INDEX('計算A'!$D$60:$DS$104,$B30,48)*ER30=1,IF(AND($E30=2,JI30=0),1000000,INDEX('計算A'!AY$110:AY$114,$F30+1)+IF(AND($E30=1,JI30=0),1000,0)),1000000))</f>
        <v/>
      </c>
      <c r="OA30">
        <f>IF($B30=0,1000000,IF(INDEX('計算A'!$D$60:$DS$104,$B30,49)*ES30=1,IF(AND($E30=2,JJ30=0),1000000,INDEX('計算A'!AZ$110:AZ$114,$F30+1)+IF(AND($E30=1,JJ30=0),1000,0)),1000000))</f>
        <v/>
      </c>
      <c r="OB30">
        <f>IF($B30=0,1000000,IF(INDEX('計算A'!$D$60:$DS$104,$B30,50)*ET30=1,IF(AND($E30=2,JK30=0),1000000,INDEX('計算A'!BA$110:BA$114,$F30+1)+IF(AND($E30=1,JK30=0),1000,0)),1000000))</f>
        <v/>
      </c>
      <c r="OC30">
        <f>IF($B30=0,1000000,IF(INDEX('計算A'!$D$60:$DS$104,$B30,51)*EU30=1,IF(AND($E30=2,JL30=0),1000000,INDEX('計算A'!BB$110:BB$114,$F30+1)+IF(AND($E30=1,JL30=0),1000,0)),1000000))</f>
        <v/>
      </c>
      <c r="OD30">
        <f>IF($B30=0,1000000,IF(INDEX('計算A'!$D$60:$DS$104,$B30,52)*EV30=1,IF(AND($E30=2,JM30=0),1000000,INDEX('計算A'!BC$110:BC$114,$F30+1)+IF(AND($E30=1,JM30=0),1000,0)),1000000))</f>
        <v/>
      </c>
      <c r="OE30">
        <f>IF($B30=0,1000000,IF(INDEX('計算A'!$D$60:$DS$104,$B30,53)*EW30=1,IF(AND($E30=2,JN30=0),1000000,INDEX('計算A'!BD$110:BD$114,$F30+1)+IF(AND($E30=1,JN30=0),1000,0)),1000000))</f>
        <v/>
      </c>
      <c r="OF30">
        <f>IF($B30=0,1000000,IF(INDEX('計算A'!$D$60:$DS$104,$B30,54)*EX30=1,IF(AND($E30=2,JO30=0),1000000,INDEX('計算A'!BE$110:BE$114,$F30+1)+IF(AND($E30=1,JO30=0),1000,0)),1000000))</f>
        <v/>
      </c>
      <c r="OG30">
        <f>IF($B30=0,1000000,IF(INDEX('計算A'!$D$60:$DS$104,$B30,55)*EY30=1,IF(AND($E30=2,JP30=0),1000000,INDEX('計算A'!BF$110:BF$114,$F30+1)+IF(AND($E30=1,JP30=0),1000,0)),1000000))</f>
        <v/>
      </c>
      <c r="OH30">
        <f>IF($B30=0,1000000,IF(INDEX('計算A'!$D$60:$DS$104,$B30,56)*EZ30=1,IF(AND($E30=2,JQ30=0),1000000,INDEX('計算A'!BG$110:BG$114,$F30+1)+IF(AND($E30=1,JQ30=0),1000,0)),1000000))</f>
        <v/>
      </c>
      <c r="OI30">
        <f>IF($B30=0,1000000,IF(INDEX('計算A'!$D$60:$DS$104,$B30,57)*FA30=1,IF(AND($E30=2,JR30=0),1000000,INDEX('計算A'!BH$110:BH$114,$F30+1)+IF(AND($E30=1,JR30=0),1000,0)),1000000))</f>
        <v/>
      </c>
      <c r="OJ30">
        <f>IF($B30=0,1000000,IF(INDEX('計算A'!$D$60:$DS$104,$B30,58)*FB30=1,IF(AND($E30=2,JS30=0),1000000,INDEX('計算A'!BI$110:BI$114,$F30+1)+IF(AND($E30=1,JS30=0),1000,0)),1000000))</f>
        <v/>
      </c>
      <c r="OK30">
        <f>IF($B30=0,1000000,IF(INDEX('計算A'!$D$60:$DS$104,$B30,59)*FC30=1,IF(AND($E30=2,JT30=0),1000000,INDEX('計算A'!BJ$110:BJ$114,$F30+1)+IF(AND($E30=1,JT30=0),1000,0)),1000000))</f>
        <v/>
      </c>
      <c r="OL30">
        <f>IF($B30=0,1000000,IF(INDEX('計算A'!$D$60:$DS$104,$B30,60)*FD30=1,IF(AND($E30=2,JU30=0),1000000,INDEX('計算A'!BK$110:BK$114,$F30+1)+IF(AND($E30=1,JU30=0),1000,0)),1000000))</f>
        <v/>
      </c>
      <c r="OM30">
        <f>IF($B30=0,1000000,IF(INDEX('計算A'!$D$60:$DS$104,$B30,61)*FE30=1,IF(AND($E30=2,JV30=0),1000000,INDEX('計算A'!BL$110:BL$114,$F30+1)+IF(AND($E30=1,JV30=0),1000,0)),1000000))</f>
        <v/>
      </c>
      <c r="ON30">
        <f>IF($B30=0,1000000,IF(INDEX('計算A'!$D$60:$DS$104,$B30,62)*FF30=1,IF(AND($E30=2,JW30=0),1000000,INDEX('計算A'!BM$110:BM$114,$F30+1)+IF(AND($E30=1,JW30=0),1000,0)),1000000))</f>
        <v/>
      </c>
      <c r="OO30">
        <f>IF($B30=0,1000000,IF(INDEX('計算A'!$D$60:$DS$104,$B30,63)*FG30=1,IF(AND($E30=2,JX30=0),1000000,INDEX('計算A'!BN$110:BN$114,$F30+1)+IF(AND($E30=1,JX30=0),1000,0)),1000000))</f>
        <v/>
      </c>
      <c r="OP30">
        <f>IF($B30=0,1000000,IF(INDEX('計算A'!$D$60:$DS$104,$B30,64)*FH30=1,IF(AND($E30=2,JY30=0),1000000,INDEX('計算A'!BO$110:BO$114,$F30+1)+IF(AND($E30=1,JY30=0),1000,0)),1000000))</f>
        <v/>
      </c>
      <c r="OQ30">
        <f>IF($B30=0,1000000,IF(INDEX('計算A'!$D$60:$DS$104,$B30,65)*FI30=1,IF(AND($E30=2,JZ30=0),1000000,INDEX('計算A'!BP$110:BP$114,$F30+1)+IF(AND($E30=1,JZ30=0),1000,0)),1000000))</f>
        <v/>
      </c>
      <c r="OR30">
        <f>IF($B30=0,1000000,IF(INDEX('計算A'!$D$60:$DS$104,$B30,66)*FJ30=1,IF(AND($E30=2,KA30=0),1000000,INDEX('計算A'!BQ$110:BQ$114,$F30+1)+IF(AND($E30=1,KA30=0),1000,0)),1000000))</f>
        <v/>
      </c>
      <c r="OS30">
        <f>IF($B30=0,1000000,IF(INDEX('計算A'!$D$60:$DS$104,$B30,67)*FK30=1,IF(AND($E30=2,KB30=0),1000000,INDEX('計算A'!BR$110:BR$114,$F30+1)+IF(AND($E30=1,KB30=0),1000,0)),1000000))</f>
        <v/>
      </c>
      <c r="OT30">
        <f>IF($B30=0,1000000,IF(INDEX('計算A'!$D$60:$DS$104,$B30,68)*FL30=1,IF(AND($E30=2,KC30=0),1000000,INDEX('計算A'!BS$110:BS$114,$F30+1)+IF(AND($E30=1,KC30=0),1000,0)),1000000))</f>
        <v/>
      </c>
      <c r="OU30">
        <f>IF($B30=0,1000000,IF(INDEX('計算A'!$D$60:$DS$104,$B30,69)*FM30=1,IF(AND($E30=2,KD30=0),1000000,INDEX('計算A'!BT$110:BT$114,$F30+1)+IF(AND($E30=1,KD30=0),1000,0)),1000000))</f>
        <v/>
      </c>
      <c r="OV30">
        <f>IF($B30=0,1000000,IF(INDEX('計算A'!$D$60:$DS$104,$B30,70)*FN30=1,IF(AND($E30=2,KE30=0),1000000,INDEX('計算A'!BU$110:BU$114,$F30+1)+IF(AND($E30=1,KE30=0),1000,0)),1000000))</f>
        <v/>
      </c>
      <c r="OW30">
        <f>IF($B30=0,1000000,IF(INDEX('計算A'!$D$60:$DS$104,$B30,71)*FO30=1,IF(AND($E30=2,KF30=0),1000000,INDEX('計算A'!BV$110:BV$114,$F30+1)+IF(AND($E30=1,KF30=0),1000,0)),1000000))</f>
        <v/>
      </c>
      <c r="OX30">
        <f>IF($B30=0,1000000,IF(INDEX('計算A'!$D$60:$DS$104,$B30,72)*FP30=1,IF(AND($E30=2,KG30=0),1000000,INDEX('計算A'!BW$110:BW$114,$F30+1)+IF(AND($E30=1,KG30=0),1000,0)),1000000))</f>
        <v/>
      </c>
      <c r="OY30">
        <f>IF($B30=0,1000000,IF(INDEX('計算A'!$D$60:$DS$104,$B30,73)*FQ30=1,IF(AND($E30=2,KH30=0),1000000,INDEX('計算A'!BX$110:BX$114,$F30+1)+IF(AND($E30=1,KH30=0),1000,0)),1000000))</f>
        <v/>
      </c>
      <c r="OZ30">
        <f>IF($B30=0,1000000,IF(INDEX('計算A'!$D$60:$DS$104,$B30,74)*FR30=1,IF(AND($E30=2,KI30=0),1000000,INDEX('計算A'!BY$110:BY$114,$F30+1)+IF(AND($E30=1,KI30=0),1000,0)),1000000))</f>
        <v/>
      </c>
      <c r="PA30">
        <f>IF($B30=0,1000000,IF(INDEX('計算A'!$D$60:$DS$104,$B30,75)*FS30=1,IF(AND($E30=2,KJ30=0),1000000,INDEX('計算A'!BZ$110:BZ$114,$F30+1)+IF(AND($E30=1,KJ30=0),1000,0)),1000000))</f>
        <v/>
      </c>
      <c r="PB30">
        <f>IF($B30=0,1000000,IF(INDEX('計算A'!$D$60:$DS$104,$B30,76)*FT30=1,IF(AND($E30=2,KK30=0),1000000,INDEX('計算A'!CA$110:CA$114,$F30+1)+IF(AND($E30=1,KK30=0),1000,0)),1000000))</f>
        <v/>
      </c>
      <c r="PC30">
        <f>IF($B30=0,1000000,IF(INDEX('計算A'!$D$60:$DS$104,$B30,77)*FU30=1,IF(AND($E30=2,KL30=0),1000000,INDEX('計算A'!CB$110:CB$114,$F30+1)+IF(AND($E30=1,KL30=0),1000,0)),1000000))</f>
        <v/>
      </c>
      <c r="PD30">
        <f>IF($B30=0,1000000,IF(INDEX('計算A'!$D$60:$DS$104,$B30,78)*FV30=1,IF(AND($E30=2,KM30=0),1000000,INDEX('計算A'!CC$110:CC$114,$F30+1)+IF(AND($E30=1,KM30=0),1000,0)),1000000))</f>
        <v/>
      </c>
      <c r="PE30">
        <f>IF($B30=0,1000000,IF(INDEX('計算A'!$D$60:$DS$104,$B30,79)*FW30=1,IF(AND($E30=2,KN30=0),1000000,INDEX('計算A'!CD$110:CD$114,$F30+1)+IF(AND($E30=1,KN30=0),1000,0)),1000000))</f>
        <v/>
      </c>
      <c r="PF30">
        <f>IF($B30=0,1000000,IF(INDEX('計算A'!$D$60:$DS$104,$B30,80)*FX30=1,IF(AND($E30=2,KO30=0),1000000,INDEX('計算A'!CE$110:CE$114,$F30+1)+IF(AND($E30=1,KO30=0),1000,0)),1000000))</f>
        <v/>
      </c>
      <c r="PG30">
        <f>IF($B30=0,1000000,IF(INDEX('計算A'!$D$60:$DS$104,$B30,81)*FY30=1,IF(AND($E30=2,KP30=0),1000000,INDEX('計算A'!CF$110:CF$114,$F30+1)+IF(AND($E30=1,KP30=0),1000,0)),1000000))</f>
        <v/>
      </c>
      <c r="PH30">
        <f>IF($B30=0,1000000,IF(INDEX('計算A'!$D$60:$DS$104,$B30,82)*FZ30=1,IF(AND($E30=2,KQ30=0),1000000,INDEX('計算A'!CG$110:CG$114,$F30+1)+IF(AND($E30=1,KQ30=0),1000,0)),1000000))</f>
        <v/>
      </c>
      <c r="PI30">
        <f>IF($B30=0,1000000,IF(INDEX('計算A'!$D$60:$DS$104,$B30,83)*GA30=1,IF(AND($E30=2,KR30=0),1000000,INDEX('計算A'!CH$110:CH$114,$F30+1)+IF(AND($E30=1,KR30=0),1000,0)),1000000))</f>
        <v/>
      </c>
      <c r="PJ30">
        <f>IF($B30=0,1000000,IF(INDEX('計算A'!$D$60:$DS$104,$B30,84)*GB30=1,IF(AND($E30=2,KS30=0),1000000,INDEX('計算A'!CI$110:CI$114,$F30+1)+IF(AND($E30=1,KS30=0),1000,0)),1000000))</f>
        <v/>
      </c>
      <c r="PK30">
        <f>IF($B30=0,1000000,IF(INDEX('計算A'!$D$60:$DS$104,$B30,85)*GC30=1,IF(AND($E30=2,KT30=0),1000000,INDEX('計算A'!CJ$110:CJ$114,$F30+1)+IF(AND($E30=1,KT30=0),1000,0)),1000000))</f>
        <v/>
      </c>
      <c r="PL30">
        <f>IF($B30=0,1000000,IF(INDEX('計算A'!$D$60:$DS$104,$B30,86)*GD30=1,IF(AND($E30=2,KU30=0),1000000,INDEX('計算A'!CK$110:CK$114,$F30+1)+IF(AND($E30=1,KU30=0),1000,0)),1000000))</f>
        <v/>
      </c>
      <c r="PM30">
        <f>IF($B30=0,1000000,IF(INDEX('計算A'!$D$60:$DS$104,$B30,87)*GE30=1,IF(AND($E30=2,KV30=0),1000000,INDEX('計算A'!CL$110:CL$114,$F30+1)+IF(AND($E30=1,KV30=0),1000,0)),1000000))</f>
        <v/>
      </c>
      <c r="PN30">
        <f>IF($B30=0,1000000,IF(INDEX('計算A'!$D$60:$DS$104,$B30,88)*GF30=1,IF(AND($E30=2,KW30=0),1000000,INDEX('計算A'!CM$110:CM$114,$F30+1)+IF(AND($E30=1,KW30=0),1000,0)),1000000))</f>
        <v/>
      </c>
      <c r="PO30">
        <f>IF($B30=0,1000000,IF(INDEX('計算A'!$D$60:$DS$104,$B30,89)*GG30=1,IF(AND($E30=2,KX30=0),1000000,INDEX('計算A'!CN$110:CN$114,$F30+1)+IF(AND($E30=1,KX30=0),1000,0)),1000000))</f>
        <v/>
      </c>
      <c r="PP30">
        <f>IF($B30=0,1000000,IF(INDEX('計算A'!$D$60:$DS$104,$B30,90)*GH30=1,IF(AND($E30=2,KY30=0),1000000,INDEX('計算A'!CO$110:CO$114,$F30+1)+IF(AND($E30=1,KY30=0),1000,0)),1000000))</f>
        <v/>
      </c>
      <c r="PQ30">
        <f>IF($B30=0,1000000,IF(INDEX('計算A'!$D$60:$DS$104,$B30,91)*GI30=1,IF(AND($E30=2,KZ30=0),1000000,INDEX('計算A'!CP$110:CP$114,$F30+1)+IF(AND($E30=1,KZ30=0),1000,0)),1000000))</f>
        <v/>
      </c>
      <c r="PR30">
        <f>IF($B30=0,1000000,IF(INDEX('計算A'!$D$60:$DS$104,$B30,92)*GJ30=1,IF(AND($E30=2,LA30=0),1000000,INDEX('計算A'!CQ$110:CQ$114,$F30+1)+IF(AND($E30=1,LA30=0),1000,0)),1000000))</f>
        <v/>
      </c>
      <c r="PS30">
        <f>IF($B30=0,1000000,IF(INDEX('計算A'!$D$60:$DS$104,$B30,93)*GK30=1,IF(AND($E30=2,LB30=0),1000000,INDEX('計算A'!CR$110:CR$114,$F30+1)+IF(AND($E30=1,LB30=0),1000,0)),1000000))</f>
        <v/>
      </c>
      <c r="PT30">
        <f>IF($B30=0,1000000,IF(INDEX('計算A'!$D$60:$DS$104,$B30,94)*GL30=1,IF(AND($E30=2,LC30=0),1000000,INDEX('計算A'!CS$110:CS$114,$F30+1)+IF(AND($E30=1,LC30=0),1000,0)),1000000))</f>
        <v/>
      </c>
      <c r="PU30">
        <f>IF($B30=0,1000000,IF(INDEX('計算A'!$D$60:$DS$104,$B30,95)*GM30=1,IF(AND($E30=2,LD30=0),1000000,INDEX('計算A'!CT$110:CT$114,$F30+1)+IF(AND($E30=1,LD30=0),1000,0)),1000000))</f>
        <v/>
      </c>
      <c r="PV30">
        <f>IF($B30=0,1000000,IF(INDEX('計算A'!$D$60:$DS$104,$B30,96)*GN30=1,IF(AND($E30=2,LE30=0),1000000,INDEX('計算A'!CU$110:CU$114,$F30+1)+IF(AND($E30=1,LE30=0),1000,0)),1000000))</f>
        <v/>
      </c>
      <c r="PW30">
        <f>IF($B30=0,1000000,IF(INDEX('計算A'!$D$60:$DS$104,$B30,97)*GO30=1,IF(AND($E30=2,LF30=0),1000000,INDEX('計算A'!CV$110:CV$114,$F30+1)+IF(AND($E30=1,LF30=0),1000,0)),1000000))</f>
        <v/>
      </c>
      <c r="PX30">
        <f>IF($B30=0,1000000,IF(INDEX('計算A'!$D$60:$DS$104,$B30,98)*GP30=1,IF(AND($E30=2,LG30=0),1000000,INDEX('計算A'!CW$110:CW$114,$F30+1)+IF(AND($E30=1,LG30=0),1000,0)),1000000))</f>
        <v/>
      </c>
      <c r="PY30">
        <f>IF($B30=0,1000000,IF(INDEX('計算A'!$D$60:$DS$104,$B30,99)*GQ30=1,IF(AND($E30=2,LH30=0),1000000,INDEX('計算A'!CX$110:CX$114,$F30+1)+IF(AND($E30=1,LH30=0),1000,0)),1000000))</f>
        <v/>
      </c>
      <c r="PZ30">
        <f>IF($B30=0,1000000,IF(INDEX('計算A'!$D$60:$DS$104,$B30,100)*GR30=1,IF(AND($E30=2,LI30=0),1000000,INDEX('計算A'!CY$110:CY$114,$F30+1)+IF(AND($E30=1,LI30=0),1000,0)),1000000))</f>
        <v/>
      </c>
      <c r="QA30">
        <f>IF($B30=0,1000000,IF(INDEX('計算A'!$D$60:$DS$104,$B30,101)*GS30=1,IF(AND($E30=2,LJ30=0),1000000,INDEX('計算A'!CZ$110:CZ$114,$F30+1)+IF(AND($E30=1,LJ30=0),1000,0)),1000000))</f>
        <v/>
      </c>
      <c r="QB30">
        <f>IF($B30=0,1000000,IF(INDEX('計算A'!$D$60:$DS$104,$B30,102)*GT30=1,IF(AND($E30=2,LK30=0),1000000,INDEX('計算A'!DA$110:DA$114,$F30+1)+IF(AND($E30=1,LK30=0),1000,0)),1000000))</f>
        <v/>
      </c>
      <c r="QC30">
        <f>IF($B30=0,1000000,IF(INDEX('計算A'!$D$60:$DS$104,$B30,103)*GU30=1,IF(AND($E30=2,LL30=0),1000000,INDEX('計算A'!DB$110:DB$114,$F30+1)+IF(AND($E30=1,LL30=0),1000,0)),1000000))</f>
        <v/>
      </c>
      <c r="QD30">
        <f>IF($B30=0,1000000,IF(INDEX('計算A'!$D$60:$DS$104,$B30,104)*GV30=1,IF(AND($E30=2,LM30=0),1000000,INDEX('計算A'!DC$110:DC$114,$F30+1)+IF(AND($E30=1,LM30=0),1000,0)),1000000))</f>
        <v/>
      </c>
      <c r="QE30">
        <f>IF($B30=0,1000000,IF(INDEX('計算A'!$D$60:$DS$104,$B30,105)*GW30=1,IF(AND($E30=2,LN30=0),1000000,INDEX('計算A'!DD$110:DD$114,$F30+1)+IF(AND($E30=1,LN30=0),1000,0)),1000000))</f>
        <v/>
      </c>
      <c r="QF30">
        <f>IF($B30=0,1000000,IF(INDEX('計算A'!$D$60:$DS$104,$B30,106)*GX30=1,IF(AND($E30=2,LO30=0),1000000,INDEX('計算A'!DE$110:DE$114,$F30+1)+IF(AND($E30=1,LO30=0),1000,0)),1000000))</f>
        <v/>
      </c>
      <c r="QG30">
        <f>IF($B30=0,1000000,IF(INDEX('計算A'!$D$60:$DS$104,$B30,107)*GY30=1,IF(AND($E30=2,LP30=0),1000000,INDEX('計算A'!DF$110:DF$114,$F30+1)+IF(AND($E30=1,LP30=0),1000,0)),1000000))</f>
        <v/>
      </c>
      <c r="QH30">
        <f>IF($B30=0,1000000,IF(INDEX('計算A'!$D$60:$DS$104,$B30,108)*GZ30=1,IF(AND($E30=2,LQ30=0),1000000,INDEX('計算A'!DG$110:DG$114,$F30+1)+IF(AND($E30=1,LQ30=0),1000,0)),1000000))</f>
        <v/>
      </c>
      <c r="QI30">
        <f>IF($B30=0,1000000,IF(INDEX('計算A'!$D$60:$DS$104,$B30,109)*HA30=1,IF(AND($E30=2,LR30=0),1000000,INDEX('計算A'!DH$110:DH$114,$F30+1)+IF(AND($E30=1,LR30=0),1000,0)),1000000))</f>
        <v/>
      </c>
      <c r="QJ30">
        <f>IF($B30=0,1000000,IF(INDEX('計算A'!$D$60:$DS$104,$B30,110)*HB30=1,IF(AND($E30=2,LS30=0),1000000,INDEX('計算A'!DI$110:DI$114,$F30+1)+IF(AND($E30=1,LS30=0),1000,0)),1000000))</f>
        <v/>
      </c>
      <c r="QK30">
        <f>IF($B30=0,1000000,IF(INDEX('計算A'!$D$60:$DS$104,$B30,111)*HC30=1,IF(AND($E30=2,LT30=0),1000000,INDEX('計算A'!DJ$110:DJ$114,$F30+1)+IF(AND($E30=1,LT30=0),1000,0)),1000000))</f>
        <v/>
      </c>
      <c r="QL30">
        <f>IF($B30=0,1000000,IF(INDEX('計算A'!$D$60:$DS$104,$B30,112)*HD30=1,IF(AND($E30=2,LU30=0),1000000,INDEX('計算A'!DK$110:DK$114,$F30+1)+IF(AND($E30=1,LU30=0),1000,0)),1000000))</f>
        <v/>
      </c>
      <c r="QM30">
        <f>IF($B30=0,1000000,IF(INDEX('計算A'!$D$60:$DS$104,$B30,113)*HE30=1,IF(AND($E30=2,LV30=0),1000000,INDEX('計算A'!DL$110:DL$114,$F30+1)+IF(AND($E30=1,LV30=0),1000,0)),1000000))</f>
        <v/>
      </c>
      <c r="QN30">
        <f>IF($B30=0,1000000,IF(INDEX('計算A'!$D$60:$DS$104,$B30,114)*HF30=1,IF(AND($E30=2,LW30=0),1000000,INDEX('計算A'!DM$110:DM$114,$F30+1)+IF(AND($E30=1,LW30=0),1000,0)),1000000))</f>
        <v/>
      </c>
      <c r="QO30">
        <f>IF($B30=0,1000000,IF(INDEX('計算A'!$D$60:$DS$104,$B30,115)*HG30=1,IF(AND($E30=2,LX30=0),1000000,INDEX('計算A'!DN$110:DN$114,$F30+1)+IF(AND($E30=1,LX30=0),1000,0)),1000000))</f>
        <v/>
      </c>
      <c r="QP30">
        <f>IF($B30=0,1000000,IF(INDEX('計算A'!$D$60:$DS$104,$B30,116)*HH30=1,IF(AND($E30=2,LY30=0),1000000,INDEX('計算A'!DO$110:DO$114,$F30+1)+IF(AND($E30=1,LY30=0),1000,0)),1000000))</f>
        <v/>
      </c>
      <c r="QQ30">
        <f>IF($B30=0,1000000,IF(INDEX('計算A'!$D$60:$DS$104,$B30,117)*HI30=1,IF(AND($E30=2,LZ30=0),1000000,INDEX('計算A'!DP$110:DP$114,$F30+1)+IF(AND($E30=1,LZ30=0),1000,0)),1000000))</f>
        <v/>
      </c>
      <c r="QR30">
        <f>IF($B30=0,1000000,IF(INDEX('計算A'!$D$60:$DS$104,$B30,118)*HJ30=1,IF(AND($E30=2,MA30=0),1000000,INDEX('計算A'!DQ$110:DQ$114,$F30+1)+IF(AND($E30=1,MA30=0),1000,0)),1000000))</f>
        <v/>
      </c>
      <c r="QS30">
        <f>IF($B30=0,1000000,IF(INDEX('計算A'!$D$60:$DS$104,$B30,119)*HK30=1,IF(AND($E30=2,MB30=0),1000000,INDEX('計算A'!DR$110:DR$114,$F30+1)+IF(AND($E30=1,MB30=0),1000,0)),1000000))</f>
        <v/>
      </c>
      <c r="QT30">
        <f>IF($B30=0,1000000,IF(INDEX('計算A'!$D$60:$DS$104,$B30,120)*HL30=1,IF(AND($E30=2,MC30=0),1000000,INDEX('計算A'!DS$110:DS$114,$F30+1)+IF(AND($E30=1,MC30=0),1000,0)),1000000))</f>
        <v/>
      </c>
    </row>
    <row r="31">
      <c r="A31" t="n">
        <v>29</v>
      </c>
      <c r="B31">
        <f>IF(MIN(BC31:CU31)&gt;=1000000,0,MATCH(MIN(BC31:CU31),BC31:CU31,0))</f>
        <v/>
      </c>
      <c r="C31">
        <f>IF(MIN(ME31:QT31)&gt;=1000000,0,MATCH(MIN(ME31:QT31),ME31:QT31,0))</f>
        <v/>
      </c>
      <c r="D31">
        <f>IF(C31&gt;0,INDEX('計算A'!$D$5:$DS$5,C31),0)</f>
        <v/>
      </c>
      <c r="E31">
        <f>IF(B31=0,0,INDEX('計算A'!$EA$10:$EA$54,B31))</f>
        <v/>
      </c>
      <c r="F31">
        <f>IF(B31=0,0,INDEX('計算A'!$DZ$10:$DZ$54,B31))</f>
        <v/>
      </c>
      <c r="G31">
        <f>IF(AND(C31&gt;0,E31&gt;0),IF(AND(INDEX('計算A'!$D$106:$DS$106,C31)=1,INDEX($HN31:$MC31,C31)=1),C31+1,0),0)</f>
        <v/>
      </c>
      <c r="I31">
        <f>MAX(I30,IF($B30=1,1,0))</f>
        <v/>
      </c>
      <c r="J31">
        <f>MAX(J30,IF($B30=2,1,0))</f>
        <v/>
      </c>
      <c r="K31">
        <f>MAX(K30,IF($B30=3,1,0))</f>
        <v/>
      </c>
      <c r="L31">
        <f>MAX(L30,IF($B30=4,1,0))</f>
        <v/>
      </c>
      <c r="M31">
        <f>MAX(M30,IF($B30=5,1,0))</f>
        <v/>
      </c>
      <c r="N31">
        <f>MAX(N30,IF($B30=6,1,0))</f>
        <v/>
      </c>
      <c r="O31">
        <f>MAX(O30,IF($B30=7,1,0))</f>
        <v/>
      </c>
      <c r="P31">
        <f>MAX(P30,IF($B30=8,1,0))</f>
        <v/>
      </c>
      <c r="Q31">
        <f>MAX(Q30,IF($B30=9,1,0))</f>
        <v/>
      </c>
      <c r="R31">
        <f>MAX(R30,IF($B30=10,1,0))</f>
        <v/>
      </c>
      <c r="S31">
        <f>MAX(S30,IF($B30=11,1,0))</f>
        <v/>
      </c>
      <c r="T31">
        <f>MAX(T30,IF($B30=12,1,0))</f>
        <v/>
      </c>
      <c r="U31">
        <f>MAX(U30,IF($B30=13,1,0))</f>
        <v/>
      </c>
      <c r="V31">
        <f>MAX(V30,IF($B30=14,1,0))</f>
        <v/>
      </c>
      <c r="W31">
        <f>MAX(W30,IF($B30=15,1,0))</f>
        <v/>
      </c>
      <c r="X31">
        <f>MAX(X30,IF($B30=16,1,0))</f>
        <v/>
      </c>
      <c r="Y31">
        <f>MAX(Y30,IF($B30=17,1,0))</f>
        <v/>
      </c>
      <c r="Z31">
        <f>MAX(Z30,IF($B30=18,1,0))</f>
        <v/>
      </c>
      <c r="AA31">
        <f>MAX(AA30,IF($B30=19,1,0))</f>
        <v/>
      </c>
      <c r="AB31">
        <f>MAX(AB30,IF($B30=20,1,0))</f>
        <v/>
      </c>
      <c r="AC31">
        <f>MAX(AC30,IF($B30=21,1,0))</f>
        <v/>
      </c>
      <c r="AD31">
        <f>MAX(AD30,IF($B30=22,1,0))</f>
        <v/>
      </c>
      <c r="AE31">
        <f>MAX(AE30,IF($B30=23,1,0))</f>
        <v/>
      </c>
      <c r="AF31">
        <f>MAX(AF30,IF($B30=24,1,0))</f>
        <v/>
      </c>
      <c r="AG31">
        <f>MAX(AG30,IF($B30=25,1,0))</f>
        <v/>
      </c>
      <c r="AH31">
        <f>MAX(AH30,IF($B30=26,1,0))</f>
        <v/>
      </c>
      <c r="AI31">
        <f>MAX(AI30,IF($B30=27,1,0))</f>
        <v/>
      </c>
      <c r="AJ31">
        <f>MAX(AJ30,IF($B30=28,1,0))</f>
        <v/>
      </c>
      <c r="AK31">
        <f>MAX(AK30,IF($B30=29,1,0))</f>
        <v/>
      </c>
      <c r="AL31">
        <f>MAX(AL30,IF($B30=30,1,0))</f>
        <v/>
      </c>
      <c r="AM31">
        <f>MAX(AM30,IF($B30=31,1,0))</f>
        <v/>
      </c>
      <c r="AN31">
        <f>MAX(AN30,IF($B30=32,1,0))</f>
        <v/>
      </c>
      <c r="AO31">
        <f>MAX(AO30,IF($B30=33,1,0))</f>
        <v/>
      </c>
      <c r="AP31">
        <f>MAX(AP30,IF($B30=34,1,0))</f>
        <v/>
      </c>
      <c r="AQ31">
        <f>MAX(AQ30,IF($B30=35,1,0))</f>
        <v/>
      </c>
      <c r="AR31">
        <f>MAX(AR30,IF($B30=36,1,0))</f>
        <v/>
      </c>
      <c r="AS31">
        <f>MAX(AS30,IF($B30=37,1,0))</f>
        <v/>
      </c>
      <c r="AT31">
        <f>MAX(AT30,IF($B30=38,1,0))</f>
        <v/>
      </c>
      <c r="AU31">
        <f>MAX(AU30,IF($B30=39,1,0))</f>
        <v/>
      </c>
      <c r="AV31">
        <f>MAX(AV30,IF($B30=40,1,0))</f>
        <v/>
      </c>
      <c r="AW31">
        <f>MAX(AW30,IF($B30=41,1,0))</f>
        <v/>
      </c>
      <c r="AX31">
        <f>MAX(AX30,IF($B30=42,1,0))</f>
        <v/>
      </c>
      <c r="AY31">
        <f>MAX(AY30,IF($B30=43,1,0))</f>
        <v/>
      </c>
      <c r="AZ31">
        <f>MAX(AZ30,IF($B30=44,1,0))</f>
        <v/>
      </c>
      <c r="BA31">
        <f>MAX(BA30,IF($B30=45,1,0))</f>
        <v/>
      </c>
      <c r="BC31">
        <f>IF(I31=1,1000000,IF('計算A'!$EA$10=2,SUMPRODUCT('計算A'!$D$60:$DS$60,$CW31:$HL31,$HN31:$MC31),SUMPRODUCT('計算A'!$D$60:$DS$60,$CW31:$HL31))*1000+1)</f>
        <v/>
      </c>
      <c r="BD31">
        <f>IF(J31=1,1000000,IF('計算A'!$EA$11=2,SUMPRODUCT('計算A'!$D$61:$DS$61,$CW31:$HL31,$HN31:$MC31),SUMPRODUCT('計算A'!$D$61:$DS$61,$CW31:$HL31))*1000+2)</f>
        <v/>
      </c>
      <c r="BE31">
        <f>IF(K31=1,1000000,IF('計算A'!$EA$12=2,SUMPRODUCT('計算A'!$D$62:$DS$62,$CW31:$HL31,$HN31:$MC31),SUMPRODUCT('計算A'!$D$62:$DS$62,$CW31:$HL31))*1000+3)</f>
        <v/>
      </c>
      <c r="BF31">
        <f>IF(L31=1,1000000,IF('計算A'!$EA$13=2,SUMPRODUCT('計算A'!$D$63:$DS$63,$CW31:$HL31,$HN31:$MC31),SUMPRODUCT('計算A'!$D$63:$DS$63,$CW31:$HL31))*1000+4)</f>
        <v/>
      </c>
      <c r="BG31">
        <f>IF(M31=1,1000000,IF('計算A'!$EA$14=2,SUMPRODUCT('計算A'!$D$64:$DS$64,$CW31:$HL31,$HN31:$MC31),SUMPRODUCT('計算A'!$D$64:$DS$64,$CW31:$HL31))*1000+5)</f>
        <v/>
      </c>
      <c r="BH31">
        <f>IF(N31=1,1000000,IF('計算A'!$EA$15=2,SUMPRODUCT('計算A'!$D$65:$DS$65,$CW31:$HL31,$HN31:$MC31),SUMPRODUCT('計算A'!$D$65:$DS$65,$CW31:$HL31))*1000+6)</f>
        <v/>
      </c>
      <c r="BI31">
        <f>IF(O31=1,1000000,IF('計算A'!$EA$16=2,SUMPRODUCT('計算A'!$D$66:$DS$66,$CW31:$HL31,$HN31:$MC31),SUMPRODUCT('計算A'!$D$66:$DS$66,$CW31:$HL31))*1000+7)</f>
        <v/>
      </c>
      <c r="BJ31">
        <f>IF(P31=1,1000000,IF('計算A'!$EA$17=2,SUMPRODUCT('計算A'!$D$67:$DS$67,$CW31:$HL31,$HN31:$MC31),SUMPRODUCT('計算A'!$D$67:$DS$67,$CW31:$HL31))*1000+8)</f>
        <v/>
      </c>
      <c r="BK31">
        <f>IF(Q31=1,1000000,IF('計算A'!$EA$18=2,SUMPRODUCT('計算A'!$D$68:$DS$68,$CW31:$HL31,$HN31:$MC31),SUMPRODUCT('計算A'!$D$68:$DS$68,$CW31:$HL31))*1000+9)</f>
        <v/>
      </c>
      <c r="BL31">
        <f>IF(R31=1,1000000,IF('計算A'!$EA$19=2,SUMPRODUCT('計算A'!$D$69:$DS$69,$CW31:$HL31,$HN31:$MC31),SUMPRODUCT('計算A'!$D$69:$DS$69,$CW31:$HL31))*1000+10)</f>
        <v/>
      </c>
      <c r="BM31">
        <f>IF(S31=1,1000000,IF('計算A'!$EA$20=2,SUMPRODUCT('計算A'!$D$70:$DS$70,$CW31:$HL31,$HN31:$MC31),SUMPRODUCT('計算A'!$D$70:$DS$70,$CW31:$HL31))*1000+11)</f>
        <v/>
      </c>
      <c r="BN31">
        <f>IF(T31=1,1000000,IF('計算A'!$EA$21=2,SUMPRODUCT('計算A'!$D$71:$DS$71,$CW31:$HL31,$HN31:$MC31),SUMPRODUCT('計算A'!$D$71:$DS$71,$CW31:$HL31))*1000+12)</f>
        <v/>
      </c>
      <c r="BO31">
        <f>IF(U31=1,1000000,IF('計算A'!$EA$22=2,SUMPRODUCT('計算A'!$D$72:$DS$72,$CW31:$HL31,$HN31:$MC31),SUMPRODUCT('計算A'!$D$72:$DS$72,$CW31:$HL31))*1000+13)</f>
        <v/>
      </c>
      <c r="BP31">
        <f>IF(V31=1,1000000,IF('計算A'!$EA$23=2,SUMPRODUCT('計算A'!$D$73:$DS$73,$CW31:$HL31,$HN31:$MC31),SUMPRODUCT('計算A'!$D$73:$DS$73,$CW31:$HL31))*1000+14)</f>
        <v/>
      </c>
      <c r="BQ31">
        <f>IF(W31=1,1000000,IF('計算A'!$EA$24=2,SUMPRODUCT('計算A'!$D$74:$DS$74,$CW31:$HL31,$HN31:$MC31),SUMPRODUCT('計算A'!$D$74:$DS$74,$CW31:$HL31))*1000+15)</f>
        <v/>
      </c>
      <c r="BR31">
        <f>IF(X31=1,1000000,IF('計算A'!$EA$25=2,SUMPRODUCT('計算A'!$D$75:$DS$75,$CW31:$HL31,$HN31:$MC31),SUMPRODUCT('計算A'!$D$75:$DS$75,$CW31:$HL31))*1000+16)</f>
        <v/>
      </c>
      <c r="BS31">
        <f>IF(Y31=1,1000000,IF('計算A'!$EA$26=2,SUMPRODUCT('計算A'!$D$76:$DS$76,$CW31:$HL31,$HN31:$MC31),SUMPRODUCT('計算A'!$D$76:$DS$76,$CW31:$HL31))*1000+17)</f>
        <v/>
      </c>
      <c r="BT31">
        <f>IF(Z31=1,1000000,IF('計算A'!$EA$27=2,SUMPRODUCT('計算A'!$D$77:$DS$77,$CW31:$HL31,$HN31:$MC31),SUMPRODUCT('計算A'!$D$77:$DS$77,$CW31:$HL31))*1000+18)</f>
        <v/>
      </c>
      <c r="BU31">
        <f>IF(AA31=1,1000000,IF('計算A'!$EA$28=2,SUMPRODUCT('計算A'!$D$78:$DS$78,$CW31:$HL31,$HN31:$MC31),SUMPRODUCT('計算A'!$D$78:$DS$78,$CW31:$HL31))*1000+19)</f>
        <v/>
      </c>
      <c r="BV31">
        <f>IF(AB31=1,1000000,IF('計算A'!$EA$29=2,SUMPRODUCT('計算A'!$D$79:$DS$79,$CW31:$HL31,$HN31:$MC31),SUMPRODUCT('計算A'!$D$79:$DS$79,$CW31:$HL31))*1000+20)</f>
        <v/>
      </c>
      <c r="BW31">
        <f>IF(AC31=1,1000000,IF('計算A'!$EA$30=2,SUMPRODUCT('計算A'!$D$80:$DS$80,$CW31:$HL31,$HN31:$MC31),SUMPRODUCT('計算A'!$D$80:$DS$80,$CW31:$HL31))*1000+21)</f>
        <v/>
      </c>
      <c r="BX31">
        <f>IF(AD31=1,1000000,IF('計算A'!$EA$31=2,SUMPRODUCT('計算A'!$D$81:$DS$81,$CW31:$HL31,$HN31:$MC31),SUMPRODUCT('計算A'!$D$81:$DS$81,$CW31:$HL31))*1000+22)</f>
        <v/>
      </c>
      <c r="BY31">
        <f>IF(AE31=1,1000000,IF('計算A'!$EA$32=2,SUMPRODUCT('計算A'!$D$82:$DS$82,$CW31:$HL31,$HN31:$MC31),SUMPRODUCT('計算A'!$D$82:$DS$82,$CW31:$HL31))*1000+23)</f>
        <v/>
      </c>
      <c r="BZ31">
        <f>IF(AF31=1,1000000,IF('計算A'!$EA$33=2,SUMPRODUCT('計算A'!$D$83:$DS$83,$CW31:$HL31,$HN31:$MC31),SUMPRODUCT('計算A'!$D$83:$DS$83,$CW31:$HL31))*1000+24)</f>
        <v/>
      </c>
      <c r="CA31">
        <f>IF(AG31=1,1000000,IF('計算A'!$EA$34=2,SUMPRODUCT('計算A'!$D$84:$DS$84,$CW31:$HL31,$HN31:$MC31),SUMPRODUCT('計算A'!$D$84:$DS$84,$CW31:$HL31))*1000+25)</f>
        <v/>
      </c>
      <c r="CB31">
        <f>IF(AH31=1,1000000,IF('計算A'!$EA$35=2,SUMPRODUCT('計算A'!$D$85:$DS$85,$CW31:$HL31,$HN31:$MC31),SUMPRODUCT('計算A'!$D$85:$DS$85,$CW31:$HL31))*1000+26)</f>
        <v/>
      </c>
      <c r="CC31">
        <f>IF(AI31=1,1000000,IF('計算A'!$EA$36=2,SUMPRODUCT('計算A'!$D$86:$DS$86,$CW31:$HL31,$HN31:$MC31),SUMPRODUCT('計算A'!$D$86:$DS$86,$CW31:$HL31))*1000+27)</f>
        <v/>
      </c>
      <c r="CD31">
        <f>IF(AJ31=1,1000000,IF('計算A'!$EA$37=2,SUMPRODUCT('計算A'!$D$87:$DS$87,$CW31:$HL31,$HN31:$MC31),SUMPRODUCT('計算A'!$D$87:$DS$87,$CW31:$HL31))*1000+28)</f>
        <v/>
      </c>
      <c r="CE31">
        <f>IF(AK31=1,1000000,IF('計算A'!$EA$38=2,SUMPRODUCT('計算A'!$D$88:$DS$88,$CW31:$HL31,$HN31:$MC31),SUMPRODUCT('計算A'!$D$88:$DS$88,$CW31:$HL31))*1000+29)</f>
        <v/>
      </c>
      <c r="CF31">
        <f>IF(AL31=1,1000000,IF('計算A'!$EA$39=2,SUMPRODUCT('計算A'!$D$89:$DS$89,$CW31:$HL31,$HN31:$MC31),SUMPRODUCT('計算A'!$D$89:$DS$89,$CW31:$HL31))*1000+30)</f>
        <v/>
      </c>
      <c r="CG31">
        <f>IF(AM31=1,1000000,IF('計算A'!$EA$40=2,SUMPRODUCT('計算A'!$D$90:$DS$90,$CW31:$HL31,$HN31:$MC31),SUMPRODUCT('計算A'!$D$90:$DS$90,$CW31:$HL31))*1000+31)</f>
        <v/>
      </c>
      <c r="CH31">
        <f>IF(AN31=1,1000000,IF('計算A'!$EA$41=2,SUMPRODUCT('計算A'!$D$91:$DS$91,$CW31:$HL31,$HN31:$MC31),SUMPRODUCT('計算A'!$D$91:$DS$91,$CW31:$HL31))*1000+32)</f>
        <v/>
      </c>
      <c r="CI31">
        <f>IF(AO31=1,1000000,IF('計算A'!$EA$42=2,SUMPRODUCT('計算A'!$D$92:$DS$92,$CW31:$HL31,$HN31:$MC31),SUMPRODUCT('計算A'!$D$92:$DS$92,$CW31:$HL31))*1000+33)</f>
        <v/>
      </c>
      <c r="CJ31">
        <f>IF(AP31=1,1000000,IF('計算A'!$EA$43=2,SUMPRODUCT('計算A'!$D$93:$DS$93,$CW31:$HL31,$HN31:$MC31),SUMPRODUCT('計算A'!$D$93:$DS$93,$CW31:$HL31))*1000+34)</f>
        <v/>
      </c>
      <c r="CK31">
        <f>IF(AQ31=1,1000000,IF('計算A'!$EA$44=2,SUMPRODUCT('計算A'!$D$94:$DS$94,$CW31:$HL31,$HN31:$MC31),SUMPRODUCT('計算A'!$D$94:$DS$94,$CW31:$HL31))*1000+35)</f>
        <v/>
      </c>
      <c r="CL31">
        <f>IF(AR31=1,1000000,IF('計算A'!$EA$45=2,SUMPRODUCT('計算A'!$D$95:$DS$95,$CW31:$HL31,$HN31:$MC31),SUMPRODUCT('計算A'!$D$95:$DS$95,$CW31:$HL31))*1000+36)</f>
        <v/>
      </c>
      <c r="CM31">
        <f>IF(AS31=1,1000000,IF('計算A'!$EA$46=2,SUMPRODUCT('計算A'!$D$96:$DS$96,$CW31:$HL31,$HN31:$MC31),SUMPRODUCT('計算A'!$D$96:$DS$96,$CW31:$HL31))*1000+37)</f>
        <v/>
      </c>
      <c r="CN31">
        <f>IF(AT31=1,1000000,IF('計算A'!$EA$47=2,SUMPRODUCT('計算A'!$D$97:$DS$97,$CW31:$HL31,$HN31:$MC31),SUMPRODUCT('計算A'!$D$97:$DS$97,$CW31:$HL31))*1000+38)</f>
        <v/>
      </c>
      <c r="CO31">
        <f>IF(AU31=1,1000000,IF('計算A'!$EA$48=2,SUMPRODUCT('計算A'!$D$98:$DS$98,$CW31:$HL31,$HN31:$MC31),SUMPRODUCT('計算A'!$D$98:$DS$98,$CW31:$HL31))*1000+39)</f>
        <v/>
      </c>
      <c r="CP31">
        <f>IF(AV31=1,1000000,IF('計算A'!$EA$49=2,SUMPRODUCT('計算A'!$D$99:$DS$99,$CW31:$HL31,$HN31:$MC31),SUMPRODUCT('計算A'!$D$99:$DS$99,$CW31:$HL31))*1000+40)</f>
        <v/>
      </c>
      <c r="CQ31">
        <f>IF(AW31=1,1000000,IF('計算A'!$EA$50=2,SUMPRODUCT('計算A'!$D$100:$DS$100,$CW31:$HL31,$HN31:$MC31),SUMPRODUCT('計算A'!$D$100:$DS$100,$CW31:$HL31))*1000+41)</f>
        <v/>
      </c>
      <c r="CR31">
        <f>IF(AX31=1,1000000,IF('計算A'!$EA$51=2,SUMPRODUCT('計算A'!$D$101:$DS$101,$CW31:$HL31,$HN31:$MC31),SUMPRODUCT('計算A'!$D$101:$DS$101,$CW31:$HL31))*1000+42)</f>
        <v/>
      </c>
      <c r="CS31">
        <f>IF(AY31=1,1000000,IF('計算A'!$EA$52=2,SUMPRODUCT('計算A'!$D$102:$DS$102,$CW31:$HL31,$HN31:$MC31),SUMPRODUCT('計算A'!$D$102:$DS$102,$CW31:$HL31))*1000+43)</f>
        <v/>
      </c>
      <c r="CT31">
        <f>IF(AZ31=1,1000000,IF('計算A'!$EA$53=2,SUMPRODUCT('計算A'!$D$103:$DS$103,$CW31:$HL31,$HN31:$MC31),SUMPRODUCT('計算A'!$D$103:$DS$103,$CW31:$HL31))*1000+44)</f>
        <v/>
      </c>
      <c r="CU31">
        <f>IF(BA31=1,1000000,IF('計算A'!$EA$54=2,SUMPRODUCT('計算A'!$D$104:$DS$104,$CW31:$HL31,$HN31:$MC31),SUMPRODUCT('計算A'!$D$104:$DS$104,$CW31:$HL31))*1000+45)</f>
        <v/>
      </c>
      <c r="CW31">
        <f>CW30*IF(OR($C30=1,$G30=1),0,1)</f>
        <v/>
      </c>
      <c r="CX31">
        <f>CX30*IF(OR($C30=2,$G30=2),0,1)</f>
        <v/>
      </c>
      <c r="CY31">
        <f>CY30*IF(OR($C30=3,$G30=3),0,1)</f>
        <v/>
      </c>
      <c r="CZ31">
        <f>CZ30*IF(OR($C30=4,$G30=4),0,1)</f>
        <v/>
      </c>
      <c r="DA31">
        <f>DA30*IF(OR($C30=5,$G30=5),0,1)</f>
        <v/>
      </c>
      <c r="DB31">
        <f>DB30*IF(OR($C30=6,$G30=6),0,1)</f>
        <v/>
      </c>
      <c r="DC31">
        <f>DC30*IF(OR($C30=7,$G30=7),0,1)</f>
        <v/>
      </c>
      <c r="DD31">
        <f>DD30*IF(OR($C30=8,$G30=8),0,1)</f>
        <v/>
      </c>
      <c r="DE31">
        <f>DE30*IF(OR($C30=9,$G30=9),0,1)</f>
        <v/>
      </c>
      <c r="DF31">
        <f>DF30*IF(OR($C30=10,$G30=10),0,1)</f>
        <v/>
      </c>
      <c r="DG31">
        <f>DG30*IF(OR($C30=11,$G30=11),0,1)</f>
        <v/>
      </c>
      <c r="DH31">
        <f>DH30*IF(OR($C30=12,$G30=12),0,1)</f>
        <v/>
      </c>
      <c r="DI31">
        <f>DI30*IF(OR($C30=13,$G30=13),0,1)</f>
        <v/>
      </c>
      <c r="DJ31">
        <f>DJ30*IF(OR($C30=14,$G30=14),0,1)</f>
        <v/>
      </c>
      <c r="DK31">
        <f>DK30*IF(OR($C30=15,$G30=15),0,1)</f>
        <v/>
      </c>
      <c r="DL31">
        <f>DL30*IF(OR($C30=16,$G30=16),0,1)</f>
        <v/>
      </c>
      <c r="DM31">
        <f>DM30*IF(OR($C30=17,$G30=17),0,1)</f>
        <v/>
      </c>
      <c r="DN31">
        <f>DN30*IF(OR($C30=18,$G30=18),0,1)</f>
        <v/>
      </c>
      <c r="DO31">
        <f>DO30*IF(OR($C30=19,$G30=19),0,1)</f>
        <v/>
      </c>
      <c r="DP31">
        <f>DP30*IF(OR($C30=20,$G30=20),0,1)</f>
        <v/>
      </c>
      <c r="DQ31">
        <f>DQ30*IF(OR($C30=21,$G30=21),0,1)</f>
        <v/>
      </c>
      <c r="DR31">
        <f>DR30*IF(OR($C30=22,$G30=22),0,1)</f>
        <v/>
      </c>
      <c r="DS31">
        <f>DS30*IF(OR($C30=23,$G30=23),0,1)</f>
        <v/>
      </c>
      <c r="DT31">
        <f>DT30*IF(OR($C30=24,$G30=24),0,1)</f>
        <v/>
      </c>
      <c r="DU31">
        <f>DU30*IF(OR($C30=25,$G30=25),0,1)</f>
        <v/>
      </c>
      <c r="DV31">
        <f>DV30*IF(OR($C30=26,$G30=26),0,1)</f>
        <v/>
      </c>
      <c r="DW31">
        <f>DW30*IF(OR($C30=27,$G30=27),0,1)</f>
        <v/>
      </c>
      <c r="DX31">
        <f>DX30*IF(OR($C30=28,$G30=28),0,1)</f>
        <v/>
      </c>
      <c r="DY31">
        <f>DY30*IF(OR($C30=29,$G30=29),0,1)</f>
        <v/>
      </c>
      <c r="DZ31">
        <f>DZ30*IF(OR($C30=30,$G30=30),0,1)</f>
        <v/>
      </c>
      <c r="EA31">
        <f>EA30*IF(OR($C30=31,$G30=31),0,1)</f>
        <v/>
      </c>
      <c r="EB31">
        <f>EB30*IF(OR($C30=32,$G30=32),0,1)</f>
        <v/>
      </c>
      <c r="EC31">
        <f>EC30*IF(OR($C30=33,$G30=33),0,1)</f>
        <v/>
      </c>
      <c r="ED31">
        <f>ED30*IF(OR($C30=34,$G30=34),0,1)</f>
        <v/>
      </c>
      <c r="EE31">
        <f>EE30*IF(OR($C30=35,$G30=35),0,1)</f>
        <v/>
      </c>
      <c r="EF31">
        <f>EF30*IF(OR($C30=36,$G30=36),0,1)</f>
        <v/>
      </c>
      <c r="EG31">
        <f>EG30*IF(OR($C30=37,$G30=37),0,1)</f>
        <v/>
      </c>
      <c r="EH31">
        <f>EH30*IF(OR($C30=38,$G30=38),0,1)</f>
        <v/>
      </c>
      <c r="EI31">
        <f>EI30*IF(OR($C30=39,$G30=39),0,1)</f>
        <v/>
      </c>
      <c r="EJ31">
        <f>EJ30*IF(OR($C30=40,$G30=40),0,1)</f>
        <v/>
      </c>
      <c r="EK31">
        <f>EK30*IF(OR($C30=41,$G30=41),0,1)</f>
        <v/>
      </c>
      <c r="EL31">
        <f>EL30*IF(OR($C30=42,$G30=42),0,1)</f>
        <v/>
      </c>
      <c r="EM31">
        <f>EM30*IF(OR($C30=43,$G30=43),0,1)</f>
        <v/>
      </c>
      <c r="EN31">
        <f>EN30*IF(OR($C30=44,$G30=44),0,1)</f>
        <v/>
      </c>
      <c r="EO31">
        <f>EO30*IF(OR($C30=45,$G30=45),0,1)</f>
        <v/>
      </c>
      <c r="EP31">
        <f>EP30*IF(OR($C30=46,$G30=46),0,1)</f>
        <v/>
      </c>
      <c r="EQ31">
        <f>EQ30*IF(OR($C30=47,$G30=47),0,1)</f>
        <v/>
      </c>
      <c r="ER31">
        <f>ER30*IF(OR($C30=48,$G30=48),0,1)</f>
        <v/>
      </c>
      <c r="ES31">
        <f>ES30*IF(OR($C30=49,$G30=49),0,1)</f>
        <v/>
      </c>
      <c r="ET31">
        <f>ET30*IF(OR($C30=50,$G30=50),0,1)</f>
        <v/>
      </c>
      <c r="EU31">
        <f>EU30*IF(OR($C30=51,$G30=51),0,1)</f>
        <v/>
      </c>
      <c r="EV31">
        <f>EV30*IF(OR($C30=52,$G30=52),0,1)</f>
        <v/>
      </c>
      <c r="EW31">
        <f>EW30*IF(OR($C30=53,$G30=53),0,1)</f>
        <v/>
      </c>
      <c r="EX31">
        <f>EX30*IF(OR($C30=54,$G30=54),0,1)</f>
        <v/>
      </c>
      <c r="EY31">
        <f>EY30*IF(OR($C30=55,$G30=55),0,1)</f>
        <v/>
      </c>
      <c r="EZ31">
        <f>EZ30*IF(OR($C30=56,$G30=56),0,1)</f>
        <v/>
      </c>
      <c r="FA31">
        <f>FA30*IF(OR($C30=57,$G30=57),0,1)</f>
        <v/>
      </c>
      <c r="FB31">
        <f>FB30*IF(OR($C30=58,$G30=58),0,1)</f>
        <v/>
      </c>
      <c r="FC31">
        <f>FC30*IF(OR($C30=59,$G30=59),0,1)</f>
        <v/>
      </c>
      <c r="FD31">
        <f>FD30*IF(OR($C30=60,$G30=60),0,1)</f>
        <v/>
      </c>
      <c r="FE31">
        <f>FE30*IF(OR($C30=61,$G30=61),0,1)</f>
        <v/>
      </c>
      <c r="FF31">
        <f>FF30*IF(OR($C30=62,$G30=62),0,1)</f>
        <v/>
      </c>
      <c r="FG31">
        <f>FG30*IF(OR($C30=63,$G30=63),0,1)</f>
        <v/>
      </c>
      <c r="FH31">
        <f>FH30*IF(OR($C30=64,$G30=64),0,1)</f>
        <v/>
      </c>
      <c r="FI31">
        <f>FI30*IF(OR($C30=65,$G30=65),0,1)</f>
        <v/>
      </c>
      <c r="FJ31">
        <f>FJ30*IF(OR($C30=66,$G30=66),0,1)</f>
        <v/>
      </c>
      <c r="FK31">
        <f>FK30*IF(OR($C30=67,$G30=67),0,1)</f>
        <v/>
      </c>
      <c r="FL31">
        <f>FL30*IF(OR($C30=68,$G30=68),0,1)</f>
        <v/>
      </c>
      <c r="FM31">
        <f>FM30*IF(OR($C30=69,$G30=69),0,1)</f>
        <v/>
      </c>
      <c r="FN31">
        <f>FN30*IF(OR($C30=70,$G30=70),0,1)</f>
        <v/>
      </c>
      <c r="FO31">
        <f>FO30*IF(OR($C30=71,$G30=71),0,1)</f>
        <v/>
      </c>
      <c r="FP31">
        <f>FP30*IF(OR($C30=72,$G30=72),0,1)</f>
        <v/>
      </c>
      <c r="FQ31">
        <f>FQ30*IF(OR($C30=73,$G30=73),0,1)</f>
        <v/>
      </c>
      <c r="FR31">
        <f>FR30*IF(OR($C30=74,$G30=74),0,1)</f>
        <v/>
      </c>
      <c r="FS31">
        <f>FS30*IF(OR($C30=75,$G30=75),0,1)</f>
        <v/>
      </c>
      <c r="FT31">
        <f>FT30*IF(OR($C30=76,$G30=76),0,1)</f>
        <v/>
      </c>
      <c r="FU31">
        <f>FU30*IF(OR($C30=77,$G30=77),0,1)</f>
        <v/>
      </c>
      <c r="FV31">
        <f>FV30*IF(OR($C30=78,$G30=78),0,1)</f>
        <v/>
      </c>
      <c r="FW31">
        <f>FW30*IF(OR($C30=79,$G30=79),0,1)</f>
        <v/>
      </c>
      <c r="FX31">
        <f>FX30*IF(OR($C30=80,$G30=80),0,1)</f>
        <v/>
      </c>
      <c r="FY31">
        <f>FY30*IF(OR($C30=81,$G30=81),0,1)</f>
        <v/>
      </c>
      <c r="FZ31">
        <f>FZ30*IF(OR($C30=82,$G30=82),0,1)</f>
        <v/>
      </c>
      <c r="GA31">
        <f>GA30*IF(OR($C30=83,$G30=83),0,1)</f>
        <v/>
      </c>
      <c r="GB31">
        <f>GB30*IF(OR($C30=84,$G30=84),0,1)</f>
        <v/>
      </c>
      <c r="GC31">
        <f>GC30*IF(OR($C30=85,$G30=85),0,1)</f>
        <v/>
      </c>
      <c r="GD31">
        <f>GD30*IF(OR($C30=86,$G30=86),0,1)</f>
        <v/>
      </c>
      <c r="GE31">
        <f>GE30*IF(OR($C30=87,$G30=87),0,1)</f>
        <v/>
      </c>
      <c r="GF31">
        <f>GF30*IF(OR($C30=88,$G30=88),0,1)</f>
        <v/>
      </c>
      <c r="GG31">
        <f>GG30*IF(OR($C30=89,$G30=89),0,1)</f>
        <v/>
      </c>
      <c r="GH31">
        <f>GH30*IF(OR($C30=90,$G30=90),0,1)</f>
        <v/>
      </c>
      <c r="GI31">
        <f>GI30*IF(OR($C30=91,$G30=91),0,1)</f>
        <v/>
      </c>
      <c r="GJ31">
        <f>GJ30*IF(OR($C30=92,$G30=92),0,1)</f>
        <v/>
      </c>
      <c r="GK31">
        <f>GK30*IF(OR($C30=93,$G30=93),0,1)</f>
        <v/>
      </c>
      <c r="GL31">
        <f>GL30*IF(OR($C30=94,$G30=94),0,1)</f>
        <v/>
      </c>
      <c r="GM31">
        <f>GM30*IF(OR($C30=95,$G30=95),0,1)</f>
        <v/>
      </c>
      <c r="GN31">
        <f>GN30*IF(OR($C30=96,$G30=96),0,1)</f>
        <v/>
      </c>
      <c r="GO31">
        <f>GO30*IF(OR($C30=97,$G30=97),0,1)</f>
        <v/>
      </c>
      <c r="GP31">
        <f>GP30*IF(OR($C30=98,$G30=98),0,1)</f>
        <v/>
      </c>
      <c r="GQ31">
        <f>GQ30*IF(OR($C30=99,$G30=99),0,1)</f>
        <v/>
      </c>
      <c r="GR31">
        <f>GR30*IF(OR($C30=100,$G30=100),0,1)</f>
        <v/>
      </c>
      <c r="GS31">
        <f>GS30*IF(OR($C30=101,$G30=101),0,1)</f>
        <v/>
      </c>
      <c r="GT31">
        <f>GT30*IF(OR($C30=102,$G30=102),0,1)</f>
        <v/>
      </c>
      <c r="GU31">
        <f>GU30*IF(OR($C30=103,$G30=103),0,1)</f>
        <v/>
      </c>
      <c r="GV31">
        <f>GV30*IF(OR($C30=104,$G30=104),0,1)</f>
        <v/>
      </c>
      <c r="GW31">
        <f>GW30*IF(OR($C30=105,$G30=105),0,1)</f>
        <v/>
      </c>
      <c r="GX31">
        <f>GX30*IF(OR($C30=106,$G30=106),0,1)</f>
        <v/>
      </c>
      <c r="GY31">
        <f>GY30*IF(OR($C30=107,$G30=107),0,1)</f>
        <v/>
      </c>
      <c r="GZ31">
        <f>GZ30*IF(OR($C30=108,$G30=108),0,1)</f>
        <v/>
      </c>
      <c r="HA31">
        <f>HA30*IF(OR($C30=109,$G30=109),0,1)</f>
        <v/>
      </c>
      <c r="HB31">
        <f>HB30*IF(OR($C30=110,$G30=110),0,1)</f>
        <v/>
      </c>
      <c r="HC31">
        <f>HC30*IF(OR($C30=111,$G30=111),0,1)</f>
        <v/>
      </c>
      <c r="HD31">
        <f>HD30*IF(OR($C30=112,$G30=112),0,1)</f>
        <v/>
      </c>
      <c r="HE31">
        <f>HE30*IF(OR($C30=113,$G30=113),0,1)</f>
        <v/>
      </c>
      <c r="HF31">
        <f>HF30*IF(OR($C30=114,$G30=114),0,1)</f>
        <v/>
      </c>
      <c r="HG31">
        <f>HG30*IF(OR($C30=115,$G30=115),0,1)</f>
        <v/>
      </c>
      <c r="HH31">
        <f>HH30*IF(OR($C30=116,$G30=116),0,1)</f>
        <v/>
      </c>
      <c r="HI31">
        <f>HI30*IF(OR($C30=117,$G30=117),0,1)</f>
        <v/>
      </c>
      <c r="HJ31">
        <f>HJ30*IF(OR($C30=118,$G30=118),0,1)</f>
        <v/>
      </c>
      <c r="HK31">
        <f>HK30*IF(OR($C30=119,$G30=119),0,1)</f>
        <v/>
      </c>
      <c r="HL31">
        <f>HL30*IF(OR($C30=120,$G30=120),0,1)</f>
        <v/>
      </c>
      <c r="HN31">
        <f>IF('計算A'!D$106=1,CX31,1)</f>
        <v/>
      </c>
      <c r="HO31">
        <f>IF('計算A'!E$106=1,CY31,1)</f>
        <v/>
      </c>
      <c r="HP31">
        <f>IF('計算A'!F$106=1,CZ31,1)</f>
        <v/>
      </c>
      <c r="HQ31">
        <f>IF('計算A'!G$106=1,DA31,1)</f>
        <v/>
      </c>
      <c r="HR31">
        <f>IF('計算A'!H$106=1,DB31,1)</f>
        <v/>
      </c>
      <c r="HS31">
        <f>IF('計算A'!I$106=1,DC31,1)</f>
        <v/>
      </c>
      <c r="HT31">
        <f>IF('計算A'!J$106=1,DD31,1)</f>
        <v/>
      </c>
      <c r="HU31">
        <f>IF('計算A'!K$106=1,DE31,1)</f>
        <v/>
      </c>
      <c r="HV31">
        <f>IF('計算A'!L$106=1,DF31,1)</f>
        <v/>
      </c>
      <c r="HW31">
        <f>IF('計算A'!M$106=1,DG31,1)</f>
        <v/>
      </c>
      <c r="HX31">
        <f>IF('計算A'!N$106=1,DH31,1)</f>
        <v/>
      </c>
      <c r="HY31">
        <f>IF('計算A'!O$106=1,DI31,1)</f>
        <v/>
      </c>
      <c r="HZ31">
        <f>IF('計算A'!P$106=1,DJ31,1)</f>
        <v/>
      </c>
      <c r="IA31">
        <f>IF('計算A'!Q$106=1,DK31,1)</f>
        <v/>
      </c>
      <c r="IB31">
        <f>IF('計算A'!R$106=1,DL31,1)</f>
        <v/>
      </c>
      <c r="IC31">
        <f>IF('計算A'!S$106=1,DM31,1)</f>
        <v/>
      </c>
      <c r="ID31">
        <f>IF('計算A'!T$106=1,DN31,1)</f>
        <v/>
      </c>
      <c r="IE31">
        <f>IF('計算A'!U$106=1,DO31,1)</f>
        <v/>
      </c>
      <c r="IF31">
        <f>IF('計算A'!V$106=1,DP31,1)</f>
        <v/>
      </c>
      <c r="IG31">
        <f>IF('計算A'!W$106=1,DQ31,1)</f>
        <v/>
      </c>
      <c r="IH31">
        <f>IF('計算A'!X$106=1,DR31,1)</f>
        <v/>
      </c>
      <c r="II31">
        <f>IF('計算A'!Y$106=1,DS31,1)</f>
        <v/>
      </c>
      <c r="IJ31">
        <f>IF('計算A'!Z$106=1,DT31,1)</f>
        <v/>
      </c>
      <c r="IK31">
        <f>IF('計算A'!AA$106=1,DU31,1)</f>
        <v/>
      </c>
      <c r="IL31">
        <f>IF('計算A'!AB$106=1,DV31,1)</f>
        <v/>
      </c>
      <c r="IM31">
        <f>IF('計算A'!AC$106=1,DW31,1)</f>
        <v/>
      </c>
      <c r="IN31">
        <f>IF('計算A'!AD$106=1,DX31,1)</f>
        <v/>
      </c>
      <c r="IO31">
        <f>IF('計算A'!AE$106=1,DY31,1)</f>
        <v/>
      </c>
      <c r="IP31">
        <f>IF('計算A'!AF$106=1,DZ31,1)</f>
        <v/>
      </c>
      <c r="IQ31">
        <f>IF('計算A'!AG$106=1,EA31,1)</f>
        <v/>
      </c>
      <c r="IR31">
        <f>IF('計算A'!AH$106=1,EB31,1)</f>
        <v/>
      </c>
      <c r="IS31">
        <f>IF('計算A'!AI$106=1,EC31,1)</f>
        <v/>
      </c>
      <c r="IT31">
        <f>IF('計算A'!AJ$106=1,ED31,1)</f>
        <v/>
      </c>
      <c r="IU31">
        <f>IF('計算A'!AK$106=1,EE31,1)</f>
        <v/>
      </c>
      <c r="IV31">
        <f>IF('計算A'!AL$106=1,EF31,1)</f>
        <v/>
      </c>
      <c r="IW31">
        <f>IF('計算A'!AM$106=1,EG31,1)</f>
        <v/>
      </c>
      <c r="IX31">
        <f>IF('計算A'!AN$106=1,EH31,1)</f>
        <v/>
      </c>
      <c r="IY31">
        <f>IF('計算A'!AO$106=1,EI31,1)</f>
        <v/>
      </c>
      <c r="IZ31">
        <f>IF('計算A'!AP$106=1,EJ31,1)</f>
        <v/>
      </c>
      <c r="JA31">
        <f>IF('計算A'!AQ$106=1,EK31,1)</f>
        <v/>
      </c>
      <c r="JB31">
        <f>IF('計算A'!AR$106=1,EL31,1)</f>
        <v/>
      </c>
      <c r="JC31">
        <f>IF('計算A'!AS$106=1,EM31,1)</f>
        <v/>
      </c>
      <c r="JD31">
        <f>IF('計算A'!AT$106=1,EN31,1)</f>
        <v/>
      </c>
      <c r="JE31">
        <f>IF('計算A'!AU$106=1,EO31,1)</f>
        <v/>
      </c>
      <c r="JF31">
        <f>IF('計算A'!AV$106=1,EP31,1)</f>
        <v/>
      </c>
      <c r="JG31">
        <f>IF('計算A'!AW$106=1,EQ31,1)</f>
        <v/>
      </c>
      <c r="JH31">
        <f>IF('計算A'!AX$106=1,ER31,1)</f>
        <v/>
      </c>
      <c r="JI31">
        <f>IF('計算A'!AY$106=1,ES31,1)</f>
        <v/>
      </c>
      <c r="JJ31">
        <f>IF('計算A'!AZ$106=1,ET31,1)</f>
        <v/>
      </c>
      <c r="JK31">
        <f>IF('計算A'!BA$106=1,EU31,1)</f>
        <v/>
      </c>
      <c r="JL31">
        <f>IF('計算A'!BB$106=1,EV31,1)</f>
        <v/>
      </c>
      <c r="JM31">
        <f>IF('計算A'!BC$106=1,EW31,1)</f>
        <v/>
      </c>
      <c r="JN31">
        <f>IF('計算A'!BD$106=1,EX31,1)</f>
        <v/>
      </c>
      <c r="JO31">
        <f>IF('計算A'!BE$106=1,EY31,1)</f>
        <v/>
      </c>
      <c r="JP31">
        <f>IF('計算A'!BF$106=1,EZ31,1)</f>
        <v/>
      </c>
      <c r="JQ31">
        <f>IF('計算A'!BG$106=1,FA31,1)</f>
        <v/>
      </c>
      <c r="JR31">
        <f>IF('計算A'!BH$106=1,FB31,1)</f>
        <v/>
      </c>
      <c r="JS31">
        <f>IF('計算A'!BI$106=1,FC31,1)</f>
        <v/>
      </c>
      <c r="JT31">
        <f>IF('計算A'!BJ$106=1,FD31,1)</f>
        <v/>
      </c>
      <c r="JU31">
        <f>IF('計算A'!BK$106=1,FE31,1)</f>
        <v/>
      </c>
      <c r="JV31">
        <f>IF('計算A'!BL$106=1,FF31,1)</f>
        <v/>
      </c>
      <c r="JW31">
        <f>IF('計算A'!BM$106=1,FG31,1)</f>
        <v/>
      </c>
      <c r="JX31">
        <f>IF('計算A'!BN$106=1,FH31,1)</f>
        <v/>
      </c>
      <c r="JY31">
        <f>IF('計算A'!BO$106=1,FI31,1)</f>
        <v/>
      </c>
      <c r="JZ31">
        <f>IF('計算A'!BP$106=1,FJ31,1)</f>
        <v/>
      </c>
      <c r="KA31">
        <f>IF('計算A'!BQ$106=1,FK31,1)</f>
        <v/>
      </c>
      <c r="KB31">
        <f>IF('計算A'!BR$106=1,FL31,1)</f>
        <v/>
      </c>
      <c r="KC31">
        <f>IF('計算A'!BS$106=1,FM31,1)</f>
        <v/>
      </c>
      <c r="KD31">
        <f>IF('計算A'!BT$106=1,FN31,1)</f>
        <v/>
      </c>
      <c r="KE31">
        <f>IF('計算A'!BU$106=1,FO31,1)</f>
        <v/>
      </c>
      <c r="KF31">
        <f>IF('計算A'!BV$106=1,FP31,1)</f>
        <v/>
      </c>
      <c r="KG31">
        <f>IF('計算A'!BW$106=1,FQ31,1)</f>
        <v/>
      </c>
      <c r="KH31">
        <f>IF('計算A'!BX$106=1,FR31,1)</f>
        <v/>
      </c>
      <c r="KI31">
        <f>IF('計算A'!BY$106=1,FS31,1)</f>
        <v/>
      </c>
      <c r="KJ31">
        <f>IF('計算A'!BZ$106=1,FT31,1)</f>
        <v/>
      </c>
      <c r="KK31">
        <f>IF('計算A'!CA$106=1,FU31,1)</f>
        <v/>
      </c>
      <c r="KL31">
        <f>IF('計算A'!CB$106=1,FV31,1)</f>
        <v/>
      </c>
      <c r="KM31">
        <f>IF('計算A'!CC$106=1,FW31,1)</f>
        <v/>
      </c>
      <c r="KN31">
        <f>IF('計算A'!CD$106=1,FX31,1)</f>
        <v/>
      </c>
      <c r="KO31">
        <f>IF('計算A'!CE$106=1,FY31,1)</f>
        <v/>
      </c>
      <c r="KP31">
        <f>IF('計算A'!CF$106=1,FZ31,1)</f>
        <v/>
      </c>
      <c r="KQ31">
        <f>IF('計算A'!CG$106=1,GA31,1)</f>
        <v/>
      </c>
      <c r="KR31">
        <f>IF('計算A'!CH$106=1,GB31,1)</f>
        <v/>
      </c>
      <c r="KS31">
        <f>IF('計算A'!CI$106=1,GC31,1)</f>
        <v/>
      </c>
      <c r="KT31">
        <f>IF('計算A'!CJ$106=1,GD31,1)</f>
        <v/>
      </c>
      <c r="KU31">
        <f>IF('計算A'!CK$106=1,GE31,1)</f>
        <v/>
      </c>
      <c r="KV31">
        <f>IF('計算A'!CL$106=1,GF31,1)</f>
        <v/>
      </c>
      <c r="KW31">
        <f>IF('計算A'!CM$106=1,GG31,1)</f>
        <v/>
      </c>
      <c r="KX31">
        <f>IF('計算A'!CN$106=1,GH31,1)</f>
        <v/>
      </c>
      <c r="KY31">
        <f>IF('計算A'!CO$106=1,GI31,1)</f>
        <v/>
      </c>
      <c r="KZ31">
        <f>IF('計算A'!CP$106=1,GJ31,1)</f>
        <v/>
      </c>
      <c r="LA31">
        <f>IF('計算A'!CQ$106=1,GK31,1)</f>
        <v/>
      </c>
      <c r="LB31">
        <f>IF('計算A'!CR$106=1,GL31,1)</f>
        <v/>
      </c>
      <c r="LC31">
        <f>IF('計算A'!CS$106=1,GM31,1)</f>
        <v/>
      </c>
      <c r="LD31">
        <f>IF('計算A'!CT$106=1,GN31,1)</f>
        <v/>
      </c>
      <c r="LE31">
        <f>IF('計算A'!CU$106=1,GO31,1)</f>
        <v/>
      </c>
      <c r="LF31">
        <f>IF('計算A'!CV$106=1,GP31,1)</f>
        <v/>
      </c>
      <c r="LG31">
        <f>IF('計算A'!CW$106=1,GQ31,1)</f>
        <v/>
      </c>
      <c r="LH31">
        <f>IF('計算A'!CX$106=1,GR31,1)</f>
        <v/>
      </c>
      <c r="LI31">
        <f>IF('計算A'!CY$106=1,GS31,1)</f>
        <v/>
      </c>
      <c r="LJ31">
        <f>IF('計算A'!CZ$106=1,GT31,1)</f>
        <v/>
      </c>
      <c r="LK31">
        <f>IF('計算A'!DA$106=1,GU31,1)</f>
        <v/>
      </c>
      <c r="LL31">
        <f>IF('計算A'!DB$106=1,GV31,1)</f>
        <v/>
      </c>
      <c r="LM31">
        <f>IF('計算A'!DC$106=1,GW31,1)</f>
        <v/>
      </c>
      <c r="LN31">
        <f>IF('計算A'!DD$106=1,GX31,1)</f>
        <v/>
      </c>
      <c r="LO31">
        <f>IF('計算A'!DE$106=1,GY31,1)</f>
        <v/>
      </c>
      <c r="LP31">
        <f>IF('計算A'!DF$106=1,GZ31,1)</f>
        <v/>
      </c>
      <c r="LQ31">
        <f>IF('計算A'!DG$106=1,HA31,1)</f>
        <v/>
      </c>
      <c r="LR31">
        <f>IF('計算A'!DH$106=1,HB31,1)</f>
        <v/>
      </c>
      <c r="LS31">
        <f>IF('計算A'!DI$106=1,HC31,1)</f>
        <v/>
      </c>
      <c r="LT31">
        <f>IF('計算A'!DJ$106=1,HD31,1)</f>
        <v/>
      </c>
      <c r="LU31">
        <f>IF('計算A'!DK$106=1,HE31,1)</f>
        <v/>
      </c>
      <c r="LV31">
        <f>IF('計算A'!DL$106=1,HF31,1)</f>
        <v/>
      </c>
      <c r="LW31">
        <f>IF('計算A'!DM$106=1,HG31,1)</f>
        <v/>
      </c>
      <c r="LX31">
        <f>IF('計算A'!DN$106=1,HH31,1)</f>
        <v/>
      </c>
      <c r="LY31">
        <f>IF('計算A'!DO$106=1,HI31,1)</f>
        <v/>
      </c>
      <c r="LZ31">
        <f>IF('計算A'!DP$106=1,HJ31,1)</f>
        <v/>
      </c>
      <c r="MA31">
        <f>IF('計算A'!DQ$106=1,HK31,1)</f>
        <v/>
      </c>
      <c r="MB31">
        <f>IF('計算A'!DR$106=1,HL31,1)</f>
        <v/>
      </c>
      <c r="MC31" t="n">
        <v>1</v>
      </c>
      <c r="ME31">
        <f>IF($B31=0,1000000,IF(INDEX('計算A'!$D$60:$DS$104,$B31,1)*CW31=1,IF(AND($E31=2,HN31=0),1000000,INDEX('計算A'!D$110:D$114,$F31+1)+IF(AND($E31=1,HN31=0),1000,0)),1000000))</f>
        <v/>
      </c>
      <c r="MF31">
        <f>IF($B31=0,1000000,IF(INDEX('計算A'!$D$60:$DS$104,$B31,2)*CX31=1,IF(AND($E31=2,HO31=0),1000000,INDEX('計算A'!E$110:E$114,$F31+1)+IF(AND($E31=1,HO31=0),1000,0)),1000000))</f>
        <v/>
      </c>
      <c r="MG31">
        <f>IF($B31=0,1000000,IF(INDEX('計算A'!$D$60:$DS$104,$B31,3)*CY31=1,IF(AND($E31=2,HP31=0),1000000,INDEX('計算A'!F$110:F$114,$F31+1)+IF(AND($E31=1,HP31=0),1000,0)),1000000))</f>
        <v/>
      </c>
      <c r="MH31">
        <f>IF($B31=0,1000000,IF(INDEX('計算A'!$D$60:$DS$104,$B31,4)*CZ31=1,IF(AND($E31=2,HQ31=0),1000000,INDEX('計算A'!G$110:G$114,$F31+1)+IF(AND($E31=1,HQ31=0),1000,0)),1000000))</f>
        <v/>
      </c>
      <c r="MI31">
        <f>IF($B31=0,1000000,IF(INDEX('計算A'!$D$60:$DS$104,$B31,5)*DA31=1,IF(AND($E31=2,HR31=0),1000000,INDEX('計算A'!H$110:H$114,$F31+1)+IF(AND($E31=1,HR31=0),1000,0)),1000000))</f>
        <v/>
      </c>
      <c r="MJ31">
        <f>IF($B31=0,1000000,IF(INDEX('計算A'!$D$60:$DS$104,$B31,6)*DB31=1,IF(AND($E31=2,HS31=0),1000000,INDEX('計算A'!I$110:I$114,$F31+1)+IF(AND($E31=1,HS31=0),1000,0)),1000000))</f>
        <v/>
      </c>
      <c r="MK31">
        <f>IF($B31=0,1000000,IF(INDEX('計算A'!$D$60:$DS$104,$B31,7)*DC31=1,IF(AND($E31=2,HT31=0),1000000,INDEX('計算A'!J$110:J$114,$F31+1)+IF(AND($E31=1,HT31=0),1000,0)),1000000))</f>
        <v/>
      </c>
      <c r="ML31">
        <f>IF($B31=0,1000000,IF(INDEX('計算A'!$D$60:$DS$104,$B31,8)*DD31=1,IF(AND($E31=2,HU31=0),1000000,INDEX('計算A'!K$110:K$114,$F31+1)+IF(AND($E31=1,HU31=0),1000,0)),1000000))</f>
        <v/>
      </c>
      <c r="MM31">
        <f>IF($B31=0,1000000,IF(INDEX('計算A'!$D$60:$DS$104,$B31,9)*DE31=1,IF(AND($E31=2,HV31=0),1000000,INDEX('計算A'!L$110:L$114,$F31+1)+IF(AND($E31=1,HV31=0),1000,0)),1000000))</f>
        <v/>
      </c>
      <c r="MN31">
        <f>IF($B31=0,1000000,IF(INDEX('計算A'!$D$60:$DS$104,$B31,10)*DF31=1,IF(AND($E31=2,HW31=0),1000000,INDEX('計算A'!M$110:M$114,$F31+1)+IF(AND($E31=1,HW31=0),1000,0)),1000000))</f>
        <v/>
      </c>
      <c r="MO31">
        <f>IF($B31=0,1000000,IF(INDEX('計算A'!$D$60:$DS$104,$B31,11)*DG31=1,IF(AND($E31=2,HX31=0),1000000,INDEX('計算A'!N$110:N$114,$F31+1)+IF(AND($E31=1,HX31=0),1000,0)),1000000))</f>
        <v/>
      </c>
      <c r="MP31">
        <f>IF($B31=0,1000000,IF(INDEX('計算A'!$D$60:$DS$104,$B31,12)*DH31=1,IF(AND($E31=2,HY31=0),1000000,INDEX('計算A'!O$110:O$114,$F31+1)+IF(AND($E31=1,HY31=0),1000,0)),1000000))</f>
        <v/>
      </c>
      <c r="MQ31">
        <f>IF($B31=0,1000000,IF(INDEX('計算A'!$D$60:$DS$104,$B31,13)*DI31=1,IF(AND($E31=2,HZ31=0),1000000,INDEX('計算A'!P$110:P$114,$F31+1)+IF(AND($E31=1,HZ31=0),1000,0)),1000000))</f>
        <v/>
      </c>
      <c r="MR31">
        <f>IF($B31=0,1000000,IF(INDEX('計算A'!$D$60:$DS$104,$B31,14)*DJ31=1,IF(AND($E31=2,IA31=0),1000000,INDEX('計算A'!Q$110:Q$114,$F31+1)+IF(AND($E31=1,IA31=0),1000,0)),1000000))</f>
        <v/>
      </c>
      <c r="MS31">
        <f>IF($B31=0,1000000,IF(INDEX('計算A'!$D$60:$DS$104,$B31,15)*DK31=1,IF(AND($E31=2,IB31=0),1000000,INDEX('計算A'!R$110:R$114,$F31+1)+IF(AND($E31=1,IB31=0),1000,0)),1000000))</f>
        <v/>
      </c>
      <c r="MT31">
        <f>IF($B31=0,1000000,IF(INDEX('計算A'!$D$60:$DS$104,$B31,16)*DL31=1,IF(AND($E31=2,IC31=0),1000000,INDEX('計算A'!S$110:S$114,$F31+1)+IF(AND($E31=1,IC31=0),1000,0)),1000000))</f>
        <v/>
      </c>
      <c r="MU31">
        <f>IF($B31=0,1000000,IF(INDEX('計算A'!$D$60:$DS$104,$B31,17)*DM31=1,IF(AND($E31=2,ID31=0),1000000,INDEX('計算A'!T$110:T$114,$F31+1)+IF(AND($E31=1,ID31=0),1000,0)),1000000))</f>
        <v/>
      </c>
      <c r="MV31">
        <f>IF($B31=0,1000000,IF(INDEX('計算A'!$D$60:$DS$104,$B31,18)*DN31=1,IF(AND($E31=2,IE31=0),1000000,INDEX('計算A'!U$110:U$114,$F31+1)+IF(AND($E31=1,IE31=0),1000,0)),1000000))</f>
        <v/>
      </c>
      <c r="MW31">
        <f>IF($B31=0,1000000,IF(INDEX('計算A'!$D$60:$DS$104,$B31,19)*DO31=1,IF(AND($E31=2,IF31=0),1000000,INDEX('計算A'!V$110:V$114,$F31+1)+IF(AND($E31=1,IF31=0),1000,0)),1000000))</f>
        <v/>
      </c>
      <c r="MX31">
        <f>IF($B31=0,1000000,IF(INDEX('計算A'!$D$60:$DS$104,$B31,20)*DP31=1,IF(AND($E31=2,IG31=0),1000000,INDEX('計算A'!W$110:W$114,$F31+1)+IF(AND($E31=1,IG31=0),1000,0)),1000000))</f>
        <v/>
      </c>
      <c r="MY31">
        <f>IF($B31=0,1000000,IF(INDEX('計算A'!$D$60:$DS$104,$B31,21)*DQ31=1,IF(AND($E31=2,IH31=0),1000000,INDEX('計算A'!X$110:X$114,$F31+1)+IF(AND($E31=1,IH31=0),1000,0)),1000000))</f>
        <v/>
      </c>
      <c r="MZ31">
        <f>IF($B31=0,1000000,IF(INDEX('計算A'!$D$60:$DS$104,$B31,22)*DR31=1,IF(AND($E31=2,II31=0),1000000,INDEX('計算A'!Y$110:Y$114,$F31+1)+IF(AND($E31=1,II31=0),1000,0)),1000000))</f>
        <v/>
      </c>
      <c r="NA31">
        <f>IF($B31=0,1000000,IF(INDEX('計算A'!$D$60:$DS$104,$B31,23)*DS31=1,IF(AND($E31=2,IJ31=0),1000000,INDEX('計算A'!Z$110:Z$114,$F31+1)+IF(AND($E31=1,IJ31=0),1000,0)),1000000))</f>
        <v/>
      </c>
      <c r="NB31">
        <f>IF($B31=0,1000000,IF(INDEX('計算A'!$D$60:$DS$104,$B31,24)*DT31=1,IF(AND($E31=2,IK31=0),1000000,INDEX('計算A'!AA$110:AA$114,$F31+1)+IF(AND($E31=1,IK31=0),1000,0)),1000000))</f>
        <v/>
      </c>
      <c r="NC31">
        <f>IF($B31=0,1000000,IF(INDEX('計算A'!$D$60:$DS$104,$B31,25)*DU31=1,IF(AND($E31=2,IL31=0),1000000,INDEX('計算A'!AB$110:AB$114,$F31+1)+IF(AND($E31=1,IL31=0),1000,0)),1000000))</f>
        <v/>
      </c>
      <c r="ND31">
        <f>IF($B31=0,1000000,IF(INDEX('計算A'!$D$60:$DS$104,$B31,26)*DV31=1,IF(AND($E31=2,IM31=0),1000000,INDEX('計算A'!AC$110:AC$114,$F31+1)+IF(AND($E31=1,IM31=0),1000,0)),1000000))</f>
        <v/>
      </c>
      <c r="NE31">
        <f>IF($B31=0,1000000,IF(INDEX('計算A'!$D$60:$DS$104,$B31,27)*DW31=1,IF(AND($E31=2,IN31=0),1000000,INDEX('計算A'!AD$110:AD$114,$F31+1)+IF(AND($E31=1,IN31=0),1000,0)),1000000))</f>
        <v/>
      </c>
      <c r="NF31">
        <f>IF($B31=0,1000000,IF(INDEX('計算A'!$D$60:$DS$104,$B31,28)*DX31=1,IF(AND($E31=2,IO31=0),1000000,INDEX('計算A'!AE$110:AE$114,$F31+1)+IF(AND($E31=1,IO31=0),1000,0)),1000000))</f>
        <v/>
      </c>
      <c r="NG31">
        <f>IF($B31=0,1000000,IF(INDEX('計算A'!$D$60:$DS$104,$B31,29)*DY31=1,IF(AND($E31=2,IP31=0),1000000,INDEX('計算A'!AF$110:AF$114,$F31+1)+IF(AND($E31=1,IP31=0),1000,0)),1000000))</f>
        <v/>
      </c>
      <c r="NH31">
        <f>IF($B31=0,1000000,IF(INDEX('計算A'!$D$60:$DS$104,$B31,30)*DZ31=1,IF(AND($E31=2,IQ31=0),1000000,INDEX('計算A'!AG$110:AG$114,$F31+1)+IF(AND($E31=1,IQ31=0),1000,0)),1000000))</f>
        <v/>
      </c>
      <c r="NI31">
        <f>IF($B31=0,1000000,IF(INDEX('計算A'!$D$60:$DS$104,$B31,31)*EA31=1,IF(AND($E31=2,IR31=0),1000000,INDEX('計算A'!AH$110:AH$114,$F31+1)+IF(AND($E31=1,IR31=0),1000,0)),1000000))</f>
        <v/>
      </c>
      <c r="NJ31">
        <f>IF($B31=0,1000000,IF(INDEX('計算A'!$D$60:$DS$104,$B31,32)*EB31=1,IF(AND($E31=2,IS31=0),1000000,INDEX('計算A'!AI$110:AI$114,$F31+1)+IF(AND($E31=1,IS31=0),1000,0)),1000000))</f>
        <v/>
      </c>
      <c r="NK31">
        <f>IF($B31=0,1000000,IF(INDEX('計算A'!$D$60:$DS$104,$B31,33)*EC31=1,IF(AND($E31=2,IT31=0),1000000,INDEX('計算A'!AJ$110:AJ$114,$F31+1)+IF(AND($E31=1,IT31=0),1000,0)),1000000))</f>
        <v/>
      </c>
      <c r="NL31">
        <f>IF($B31=0,1000000,IF(INDEX('計算A'!$D$60:$DS$104,$B31,34)*ED31=1,IF(AND($E31=2,IU31=0),1000000,INDEX('計算A'!AK$110:AK$114,$F31+1)+IF(AND($E31=1,IU31=0),1000,0)),1000000))</f>
        <v/>
      </c>
      <c r="NM31">
        <f>IF($B31=0,1000000,IF(INDEX('計算A'!$D$60:$DS$104,$B31,35)*EE31=1,IF(AND($E31=2,IV31=0),1000000,INDEX('計算A'!AL$110:AL$114,$F31+1)+IF(AND($E31=1,IV31=0),1000,0)),1000000))</f>
        <v/>
      </c>
      <c r="NN31">
        <f>IF($B31=0,1000000,IF(INDEX('計算A'!$D$60:$DS$104,$B31,36)*EF31=1,IF(AND($E31=2,IW31=0),1000000,INDEX('計算A'!AM$110:AM$114,$F31+1)+IF(AND($E31=1,IW31=0),1000,0)),1000000))</f>
        <v/>
      </c>
      <c r="NO31">
        <f>IF($B31=0,1000000,IF(INDEX('計算A'!$D$60:$DS$104,$B31,37)*EG31=1,IF(AND($E31=2,IX31=0),1000000,INDEX('計算A'!AN$110:AN$114,$F31+1)+IF(AND($E31=1,IX31=0),1000,0)),1000000))</f>
        <v/>
      </c>
      <c r="NP31">
        <f>IF($B31=0,1000000,IF(INDEX('計算A'!$D$60:$DS$104,$B31,38)*EH31=1,IF(AND($E31=2,IY31=0),1000000,INDEX('計算A'!AO$110:AO$114,$F31+1)+IF(AND($E31=1,IY31=0),1000,0)),1000000))</f>
        <v/>
      </c>
      <c r="NQ31">
        <f>IF($B31=0,1000000,IF(INDEX('計算A'!$D$60:$DS$104,$B31,39)*EI31=1,IF(AND($E31=2,IZ31=0),1000000,INDEX('計算A'!AP$110:AP$114,$F31+1)+IF(AND($E31=1,IZ31=0),1000,0)),1000000))</f>
        <v/>
      </c>
      <c r="NR31">
        <f>IF($B31=0,1000000,IF(INDEX('計算A'!$D$60:$DS$104,$B31,40)*EJ31=1,IF(AND($E31=2,JA31=0),1000000,INDEX('計算A'!AQ$110:AQ$114,$F31+1)+IF(AND($E31=1,JA31=0),1000,0)),1000000))</f>
        <v/>
      </c>
      <c r="NS31">
        <f>IF($B31=0,1000000,IF(INDEX('計算A'!$D$60:$DS$104,$B31,41)*EK31=1,IF(AND($E31=2,JB31=0),1000000,INDEX('計算A'!AR$110:AR$114,$F31+1)+IF(AND($E31=1,JB31=0),1000,0)),1000000))</f>
        <v/>
      </c>
      <c r="NT31">
        <f>IF($B31=0,1000000,IF(INDEX('計算A'!$D$60:$DS$104,$B31,42)*EL31=1,IF(AND($E31=2,JC31=0),1000000,INDEX('計算A'!AS$110:AS$114,$F31+1)+IF(AND($E31=1,JC31=0),1000,0)),1000000))</f>
        <v/>
      </c>
      <c r="NU31">
        <f>IF($B31=0,1000000,IF(INDEX('計算A'!$D$60:$DS$104,$B31,43)*EM31=1,IF(AND($E31=2,JD31=0),1000000,INDEX('計算A'!AT$110:AT$114,$F31+1)+IF(AND($E31=1,JD31=0),1000,0)),1000000))</f>
        <v/>
      </c>
      <c r="NV31">
        <f>IF($B31=0,1000000,IF(INDEX('計算A'!$D$60:$DS$104,$B31,44)*EN31=1,IF(AND($E31=2,JE31=0),1000000,INDEX('計算A'!AU$110:AU$114,$F31+1)+IF(AND($E31=1,JE31=0),1000,0)),1000000))</f>
        <v/>
      </c>
      <c r="NW31">
        <f>IF($B31=0,1000000,IF(INDEX('計算A'!$D$60:$DS$104,$B31,45)*EO31=1,IF(AND($E31=2,JF31=0),1000000,INDEX('計算A'!AV$110:AV$114,$F31+1)+IF(AND($E31=1,JF31=0),1000,0)),1000000))</f>
        <v/>
      </c>
      <c r="NX31">
        <f>IF($B31=0,1000000,IF(INDEX('計算A'!$D$60:$DS$104,$B31,46)*EP31=1,IF(AND($E31=2,JG31=0),1000000,INDEX('計算A'!AW$110:AW$114,$F31+1)+IF(AND($E31=1,JG31=0),1000,0)),1000000))</f>
        <v/>
      </c>
      <c r="NY31">
        <f>IF($B31=0,1000000,IF(INDEX('計算A'!$D$60:$DS$104,$B31,47)*EQ31=1,IF(AND($E31=2,JH31=0),1000000,INDEX('計算A'!AX$110:AX$114,$F31+1)+IF(AND($E31=1,JH31=0),1000,0)),1000000))</f>
        <v/>
      </c>
      <c r="NZ31">
        <f>IF($B31=0,1000000,IF(INDEX('計算A'!$D$60:$DS$104,$B31,48)*ER31=1,IF(AND($E31=2,JI31=0),1000000,INDEX('計算A'!AY$110:AY$114,$F31+1)+IF(AND($E31=1,JI31=0),1000,0)),1000000))</f>
        <v/>
      </c>
      <c r="OA31">
        <f>IF($B31=0,1000000,IF(INDEX('計算A'!$D$60:$DS$104,$B31,49)*ES31=1,IF(AND($E31=2,JJ31=0),1000000,INDEX('計算A'!AZ$110:AZ$114,$F31+1)+IF(AND($E31=1,JJ31=0),1000,0)),1000000))</f>
        <v/>
      </c>
      <c r="OB31">
        <f>IF($B31=0,1000000,IF(INDEX('計算A'!$D$60:$DS$104,$B31,50)*ET31=1,IF(AND($E31=2,JK31=0),1000000,INDEX('計算A'!BA$110:BA$114,$F31+1)+IF(AND($E31=1,JK31=0),1000,0)),1000000))</f>
        <v/>
      </c>
      <c r="OC31">
        <f>IF($B31=0,1000000,IF(INDEX('計算A'!$D$60:$DS$104,$B31,51)*EU31=1,IF(AND($E31=2,JL31=0),1000000,INDEX('計算A'!BB$110:BB$114,$F31+1)+IF(AND($E31=1,JL31=0),1000,0)),1000000))</f>
        <v/>
      </c>
      <c r="OD31">
        <f>IF($B31=0,1000000,IF(INDEX('計算A'!$D$60:$DS$104,$B31,52)*EV31=1,IF(AND($E31=2,JM31=0),1000000,INDEX('計算A'!BC$110:BC$114,$F31+1)+IF(AND($E31=1,JM31=0),1000,0)),1000000))</f>
        <v/>
      </c>
      <c r="OE31">
        <f>IF($B31=0,1000000,IF(INDEX('計算A'!$D$60:$DS$104,$B31,53)*EW31=1,IF(AND($E31=2,JN31=0),1000000,INDEX('計算A'!BD$110:BD$114,$F31+1)+IF(AND($E31=1,JN31=0),1000,0)),1000000))</f>
        <v/>
      </c>
      <c r="OF31">
        <f>IF($B31=0,1000000,IF(INDEX('計算A'!$D$60:$DS$104,$B31,54)*EX31=1,IF(AND($E31=2,JO31=0),1000000,INDEX('計算A'!BE$110:BE$114,$F31+1)+IF(AND($E31=1,JO31=0),1000,0)),1000000))</f>
        <v/>
      </c>
      <c r="OG31">
        <f>IF($B31=0,1000000,IF(INDEX('計算A'!$D$60:$DS$104,$B31,55)*EY31=1,IF(AND($E31=2,JP31=0),1000000,INDEX('計算A'!BF$110:BF$114,$F31+1)+IF(AND($E31=1,JP31=0),1000,0)),1000000))</f>
        <v/>
      </c>
      <c r="OH31">
        <f>IF($B31=0,1000000,IF(INDEX('計算A'!$D$60:$DS$104,$B31,56)*EZ31=1,IF(AND($E31=2,JQ31=0),1000000,INDEX('計算A'!BG$110:BG$114,$F31+1)+IF(AND($E31=1,JQ31=0),1000,0)),1000000))</f>
        <v/>
      </c>
      <c r="OI31">
        <f>IF($B31=0,1000000,IF(INDEX('計算A'!$D$60:$DS$104,$B31,57)*FA31=1,IF(AND($E31=2,JR31=0),1000000,INDEX('計算A'!BH$110:BH$114,$F31+1)+IF(AND($E31=1,JR31=0),1000,0)),1000000))</f>
        <v/>
      </c>
      <c r="OJ31">
        <f>IF($B31=0,1000000,IF(INDEX('計算A'!$D$60:$DS$104,$B31,58)*FB31=1,IF(AND($E31=2,JS31=0),1000000,INDEX('計算A'!BI$110:BI$114,$F31+1)+IF(AND($E31=1,JS31=0),1000,0)),1000000))</f>
        <v/>
      </c>
      <c r="OK31">
        <f>IF($B31=0,1000000,IF(INDEX('計算A'!$D$60:$DS$104,$B31,59)*FC31=1,IF(AND($E31=2,JT31=0),1000000,INDEX('計算A'!BJ$110:BJ$114,$F31+1)+IF(AND($E31=1,JT31=0),1000,0)),1000000))</f>
        <v/>
      </c>
      <c r="OL31">
        <f>IF($B31=0,1000000,IF(INDEX('計算A'!$D$60:$DS$104,$B31,60)*FD31=1,IF(AND($E31=2,JU31=0),1000000,INDEX('計算A'!BK$110:BK$114,$F31+1)+IF(AND($E31=1,JU31=0),1000,0)),1000000))</f>
        <v/>
      </c>
      <c r="OM31">
        <f>IF($B31=0,1000000,IF(INDEX('計算A'!$D$60:$DS$104,$B31,61)*FE31=1,IF(AND($E31=2,JV31=0),1000000,INDEX('計算A'!BL$110:BL$114,$F31+1)+IF(AND($E31=1,JV31=0),1000,0)),1000000))</f>
        <v/>
      </c>
      <c r="ON31">
        <f>IF($B31=0,1000000,IF(INDEX('計算A'!$D$60:$DS$104,$B31,62)*FF31=1,IF(AND($E31=2,JW31=0),1000000,INDEX('計算A'!BM$110:BM$114,$F31+1)+IF(AND($E31=1,JW31=0),1000,0)),1000000))</f>
        <v/>
      </c>
      <c r="OO31">
        <f>IF($B31=0,1000000,IF(INDEX('計算A'!$D$60:$DS$104,$B31,63)*FG31=1,IF(AND($E31=2,JX31=0),1000000,INDEX('計算A'!BN$110:BN$114,$F31+1)+IF(AND($E31=1,JX31=0),1000,0)),1000000))</f>
        <v/>
      </c>
      <c r="OP31">
        <f>IF($B31=0,1000000,IF(INDEX('計算A'!$D$60:$DS$104,$B31,64)*FH31=1,IF(AND($E31=2,JY31=0),1000000,INDEX('計算A'!BO$110:BO$114,$F31+1)+IF(AND($E31=1,JY31=0),1000,0)),1000000))</f>
        <v/>
      </c>
      <c r="OQ31">
        <f>IF($B31=0,1000000,IF(INDEX('計算A'!$D$60:$DS$104,$B31,65)*FI31=1,IF(AND($E31=2,JZ31=0),1000000,INDEX('計算A'!BP$110:BP$114,$F31+1)+IF(AND($E31=1,JZ31=0),1000,0)),1000000))</f>
        <v/>
      </c>
      <c r="OR31">
        <f>IF($B31=0,1000000,IF(INDEX('計算A'!$D$60:$DS$104,$B31,66)*FJ31=1,IF(AND($E31=2,KA31=0),1000000,INDEX('計算A'!BQ$110:BQ$114,$F31+1)+IF(AND($E31=1,KA31=0),1000,0)),1000000))</f>
        <v/>
      </c>
      <c r="OS31">
        <f>IF($B31=0,1000000,IF(INDEX('計算A'!$D$60:$DS$104,$B31,67)*FK31=1,IF(AND($E31=2,KB31=0),1000000,INDEX('計算A'!BR$110:BR$114,$F31+1)+IF(AND($E31=1,KB31=0),1000,0)),1000000))</f>
        <v/>
      </c>
      <c r="OT31">
        <f>IF($B31=0,1000000,IF(INDEX('計算A'!$D$60:$DS$104,$B31,68)*FL31=1,IF(AND($E31=2,KC31=0),1000000,INDEX('計算A'!BS$110:BS$114,$F31+1)+IF(AND($E31=1,KC31=0),1000,0)),1000000))</f>
        <v/>
      </c>
      <c r="OU31">
        <f>IF($B31=0,1000000,IF(INDEX('計算A'!$D$60:$DS$104,$B31,69)*FM31=1,IF(AND($E31=2,KD31=0),1000000,INDEX('計算A'!BT$110:BT$114,$F31+1)+IF(AND($E31=1,KD31=0),1000,0)),1000000))</f>
        <v/>
      </c>
      <c r="OV31">
        <f>IF($B31=0,1000000,IF(INDEX('計算A'!$D$60:$DS$104,$B31,70)*FN31=1,IF(AND($E31=2,KE31=0),1000000,INDEX('計算A'!BU$110:BU$114,$F31+1)+IF(AND($E31=1,KE31=0),1000,0)),1000000))</f>
        <v/>
      </c>
      <c r="OW31">
        <f>IF($B31=0,1000000,IF(INDEX('計算A'!$D$60:$DS$104,$B31,71)*FO31=1,IF(AND($E31=2,KF31=0),1000000,INDEX('計算A'!BV$110:BV$114,$F31+1)+IF(AND($E31=1,KF31=0),1000,0)),1000000))</f>
        <v/>
      </c>
      <c r="OX31">
        <f>IF($B31=0,1000000,IF(INDEX('計算A'!$D$60:$DS$104,$B31,72)*FP31=1,IF(AND($E31=2,KG31=0),1000000,INDEX('計算A'!BW$110:BW$114,$F31+1)+IF(AND($E31=1,KG31=0),1000,0)),1000000))</f>
        <v/>
      </c>
      <c r="OY31">
        <f>IF($B31=0,1000000,IF(INDEX('計算A'!$D$60:$DS$104,$B31,73)*FQ31=1,IF(AND($E31=2,KH31=0),1000000,INDEX('計算A'!BX$110:BX$114,$F31+1)+IF(AND($E31=1,KH31=0),1000,0)),1000000))</f>
        <v/>
      </c>
      <c r="OZ31">
        <f>IF($B31=0,1000000,IF(INDEX('計算A'!$D$60:$DS$104,$B31,74)*FR31=1,IF(AND($E31=2,KI31=0),1000000,INDEX('計算A'!BY$110:BY$114,$F31+1)+IF(AND($E31=1,KI31=0),1000,0)),1000000))</f>
        <v/>
      </c>
      <c r="PA31">
        <f>IF($B31=0,1000000,IF(INDEX('計算A'!$D$60:$DS$104,$B31,75)*FS31=1,IF(AND($E31=2,KJ31=0),1000000,INDEX('計算A'!BZ$110:BZ$114,$F31+1)+IF(AND($E31=1,KJ31=0),1000,0)),1000000))</f>
        <v/>
      </c>
      <c r="PB31">
        <f>IF($B31=0,1000000,IF(INDEX('計算A'!$D$60:$DS$104,$B31,76)*FT31=1,IF(AND($E31=2,KK31=0),1000000,INDEX('計算A'!CA$110:CA$114,$F31+1)+IF(AND($E31=1,KK31=0),1000,0)),1000000))</f>
        <v/>
      </c>
      <c r="PC31">
        <f>IF($B31=0,1000000,IF(INDEX('計算A'!$D$60:$DS$104,$B31,77)*FU31=1,IF(AND($E31=2,KL31=0),1000000,INDEX('計算A'!CB$110:CB$114,$F31+1)+IF(AND($E31=1,KL31=0),1000,0)),1000000))</f>
        <v/>
      </c>
      <c r="PD31">
        <f>IF($B31=0,1000000,IF(INDEX('計算A'!$D$60:$DS$104,$B31,78)*FV31=1,IF(AND($E31=2,KM31=0),1000000,INDEX('計算A'!CC$110:CC$114,$F31+1)+IF(AND($E31=1,KM31=0),1000,0)),1000000))</f>
        <v/>
      </c>
      <c r="PE31">
        <f>IF($B31=0,1000000,IF(INDEX('計算A'!$D$60:$DS$104,$B31,79)*FW31=1,IF(AND($E31=2,KN31=0),1000000,INDEX('計算A'!CD$110:CD$114,$F31+1)+IF(AND($E31=1,KN31=0),1000,0)),1000000))</f>
        <v/>
      </c>
      <c r="PF31">
        <f>IF($B31=0,1000000,IF(INDEX('計算A'!$D$60:$DS$104,$B31,80)*FX31=1,IF(AND($E31=2,KO31=0),1000000,INDEX('計算A'!CE$110:CE$114,$F31+1)+IF(AND($E31=1,KO31=0),1000,0)),1000000))</f>
        <v/>
      </c>
      <c r="PG31">
        <f>IF($B31=0,1000000,IF(INDEX('計算A'!$D$60:$DS$104,$B31,81)*FY31=1,IF(AND($E31=2,KP31=0),1000000,INDEX('計算A'!CF$110:CF$114,$F31+1)+IF(AND($E31=1,KP31=0),1000,0)),1000000))</f>
        <v/>
      </c>
      <c r="PH31">
        <f>IF($B31=0,1000000,IF(INDEX('計算A'!$D$60:$DS$104,$B31,82)*FZ31=1,IF(AND($E31=2,KQ31=0),1000000,INDEX('計算A'!CG$110:CG$114,$F31+1)+IF(AND($E31=1,KQ31=0),1000,0)),1000000))</f>
        <v/>
      </c>
      <c r="PI31">
        <f>IF($B31=0,1000000,IF(INDEX('計算A'!$D$60:$DS$104,$B31,83)*GA31=1,IF(AND($E31=2,KR31=0),1000000,INDEX('計算A'!CH$110:CH$114,$F31+1)+IF(AND($E31=1,KR31=0),1000,0)),1000000))</f>
        <v/>
      </c>
      <c r="PJ31">
        <f>IF($B31=0,1000000,IF(INDEX('計算A'!$D$60:$DS$104,$B31,84)*GB31=1,IF(AND($E31=2,KS31=0),1000000,INDEX('計算A'!CI$110:CI$114,$F31+1)+IF(AND($E31=1,KS31=0),1000,0)),1000000))</f>
        <v/>
      </c>
      <c r="PK31">
        <f>IF($B31=0,1000000,IF(INDEX('計算A'!$D$60:$DS$104,$B31,85)*GC31=1,IF(AND($E31=2,KT31=0),1000000,INDEX('計算A'!CJ$110:CJ$114,$F31+1)+IF(AND($E31=1,KT31=0),1000,0)),1000000))</f>
        <v/>
      </c>
      <c r="PL31">
        <f>IF($B31=0,1000000,IF(INDEX('計算A'!$D$60:$DS$104,$B31,86)*GD31=1,IF(AND($E31=2,KU31=0),1000000,INDEX('計算A'!CK$110:CK$114,$F31+1)+IF(AND($E31=1,KU31=0),1000,0)),1000000))</f>
        <v/>
      </c>
      <c r="PM31">
        <f>IF($B31=0,1000000,IF(INDEX('計算A'!$D$60:$DS$104,$B31,87)*GE31=1,IF(AND($E31=2,KV31=0),1000000,INDEX('計算A'!CL$110:CL$114,$F31+1)+IF(AND($E31=1,KV31=0),1000,0)),1000000))</f>
        <v/>
      </c>
      <c r="PN31">
        <f>IF($B31=0,1000000,IF(INDEX('計算A'!$D$60:$DS$104,$B31,88)*GF31=1,IF(AND($E31=2,KW31=0),1000000,INDEX('計算A'!CM$110:CM$114,$F31+1)+IF(AND($E31=1,KW31=0),1000,0)),1000000))</f>
        <v/>
      </c>
      <c r="PO31">
        <f>IF($B31=0,1000000,IF(INDEX('計算A'!$D$60:$DS$104,$B31,89)*GG31=1,IF(AND($E31=2,KX31=0),1000000,INDEX('計算A'!CN$110:CN$114,$F31+1)+IF(AND($E31=1,KX31=0),1000,0)),1000000))</f>
        <v/>
      </c>
      <c r="PP31">
        <f>IF($B31=0,1000000,IF(INDEX('計算A'!$D$60:$DS$104,$B31,90)*GH31=1,IF(AND($E31=2,KY31=0),1000000,INDEX('計算A'!CO$110:CO$114,$F31+1)+IF(AND($E31=1,KY31=0),1000,0)),1000000))</f>
        <v/>
      </c>
      <c r="PQ31">
        <f>IF($B31=0,1000000,IF(INDEX('計算A'!$D$60:$DS$104,$B31,91)*GI31=1,IF(AND($E31=2,KZ31=0),1000000,INDEX('計算A'!CP$110:CP$114,$F31+1)+IF(AND($E31=1,KZ31=0),1000,0)),1000000))</f>
        <v/>
      </c>
      <c r="PR31">
        <f>IF($B31=0,1000000,IF(INDEX('計算A'!$D$60:$DS$104,$B31,92)*GJ31=1,IF(AND($E31=2,LA31=0),1000000,INDEX('計算A'!CQ$110:CQ$114,$F31+1)+IF(AND($E31=1,LA31=0),1000,0)),1000000))</f>
        <v/>
      </c>
      <c r="PS31">
        <f>IF($B31=0,1000000,IF(INDEX('計算A'!$D$60:$DS$104,$B31,93)*GK31=1,IF(AND($E31=2,LB31=0),1000000,INDEX('計算A'!CR$110:CR$114,$F31+1)+IF(AND($E31=1,LB31=0),1000,0)),1000000))</f>
        <v/>
      </c>
      <c r="PT31">
        <f>IF($B31=0,1000000,IF(INDEX('計算A'!$D$60:$DS$104,$B31,94)*GL31=1,IF(AND($E31=2,LC31=0),1000000,INDEX('計算A'!CS$110:CS$114,$F31+1)+IF(AND($E31=1,LC31=0),1000,0)),1000000))</f>
        <v/>
      </c>
      <c r="PU31">
        <f>IF($B31=0,1000000,IF(INDEX('計算A'!$D$60:$DS$104,$B31,95)*GM31=1,IF(AND($E31=2,LD31=0),1000000,INDEX('計算A'!CT$110:CT$114,$F31+1)+IF(AND($E31=1,LD31=0),1000,0)),1000000))</f>
        <v/>
      </c>
      <c r="PV31">
        <f>IF($B31=0,1000000,IF(INDEX('計算A'!$D$60:$DS$104,$B31,96)*GN31=1,IF(AND($E31=2,LE31=0),1000000,INDEX('計算A'!CU$110:CU$114,$F31+1)+IF(AND($E31=1,LE31=0),1000,0)),1000000))</f>
        <v/>
      </c>
      <c r="PW31">
        <f>IF($B31=0,1000000,IF(INDEX('計算A'!$D$60:$DS$104,$B31,97)*GO31=1,IF(AND($E31=2,LF31=0),1000000,INDEX('計算A'!CV$110:CV$114,$F31+1)+IF(AND($E31=1,LF31=0),1000,0)),1000000))</f>
        <v/>
      </c>
      <c r="PX31">
        <f>IF($B31=0,1000000,IF(INDEX('計算A'!$D$60:$DS$104,$B31,98)*GP31=1,IF(AND($E31=2,LG31=0),1000000,INDEX('計算A'!CW$110:CW$114,$F31+1)+IF(AND($E31=1,LG31=0),1000,0)),1000000))</f>
        <v/>
      </c>
      <c r="PY31">
        <f>IF($B31=0,1000000,IF(INDEX('計算A'!$D$60:$DS$104,$B31,99)*GQ31=1,IF(AND($E31=2,LH31=0),1000000,INDEX('計算A'!CX$110:CX$114,$F31+1)+IF(AND($E31=1,LH31=0),1000,0)),1000000))</f>
        <v/>
      </c>
      <c r="PZ31">
        <f>IF($B31=0,1000000,IF(INDEX('計算A'!$D$60:$DS$104,$B31,100)*GR31=1,IF(AND($E31=2,LI31=0),1000000,INDEX('計算A'!CY$110:CY$114,$F31+1)+IF(AND($E31=1,LI31=0),1000,0)),1000000))</f>
        <v/>
      </c>
      <c r="QA31">
        <f>IF($B31=0,1000000,IF(INDEX('計算A'!$D$60:$DS$104,$B31,101)*GS31=1,IF(AND($E31=2,LJ31=0),1000000,INDEX('計算A'!CZ$110:CZ$114,$F31+1)+IF(AND($E31=1,LJ31=0),1000,0)),1000000))</f>
        <v/>
      </c>
      <c r="QB31">
        <f>IF($B31=0,1000000,IF(INDEX('計算A'!$D$60:$DS$104,$B31,102)*GT31=1,IF(AND($E31=2,LK31=0),1000000,INDEX('計算A'!DA$110:DA$114,$F31+1)+IF(AND($E31=1,LK31=0),1000,0)),1000000))</f>
        <v/>
      </c>
      <c r="QC31">
        <f>IF($B31=0,1000000,IF(INDEX('計算A'!$D$60:$DS$104,$B31,103)*GU31=1,IF(AND($E31=2,LL31=0),1000000,INDEX('計算A'!DB$110:DB$114,$F31+1)+IF(AND($E31=1,LL31=0),1000,0)),1000000))</f>
        <v/>
      </c>
      <c r="QD31">
        <f>IF($B31=0,1000000,IF(INDEX('計算A'!$D$60:$DS$104,$B31,104)*GV31=1,IF(AND($E31=2,LM31=0),1000000,INDEX('計算A'!DC$110:DC$114,$F31+1)+IF(AND($E31=1,LM31=0),1000,0)),1000000))</f>
        <v/>
      </c>
      <c r="QE31">
        <f>IF($B31=0,1000000,IF(INDEX('計算A'!$D$60:$DS$104,$B31,105)*GW31=1,IF(AND($E31=2,LN31=0),1000000,INDEX('計算A'!DD$110:DD$114,$F31+1)+IF(AND($E31=1,LN31=0),1000,0)),1000000))</f>
        <v/>
      </c>
      <c r="QF31">
        <f>IF($B31=0,1000000,IF(INDEX('計算A'!$D$60:$DS$104,$B31,106)*GX31=1,IF(AND($E31=2,LO31=0),1000000,INDEX('計算A'!DE$110:DE$114,$F31+1)+IF(AND($E31=1,LO31=0),1000,0)),1000000))</f>
        <v/>
      </c>
      <c r="QG31">
        <f>IF($B31=0,1000000,IF(INDEX('計算A'!$D$60:$DS$104,$B31,107)*GY31=1,IF(AND($E31=2,LP31=0),1000000,INDEX('計算A'!DF$110:DF$114,$F31+1)+IF(AND($E31=1,LP31=0),1000,0)),1000000))</f>
        <v/>
      </c>
      <c r="QH31">
        <f>IF($B31=0,1000000,IF(INDEX('計算A'!$D$60:$DS$104,$B31,108)*GZ31=1,IF(AND($E31=2,LQ31=0),1000000,INDEX('計算A'!DG$110:DG$114,$F31+1)+IF(AND($E31=1,LQ31=0),1000,0)),1000000))</f>
        <v/>
      </c>
      <c r="QI31">
        <f>IF($B31=0,1000000,IF(INDEX('計算A'!$D$60:$DS$104,$B31,109)*HA31=1,IF(AND($E31=2,LR31=0),1000000,INDEX('計算A'!DH$110:DH$114,$F31+1)+IF(AND($E31=1,LR31=0),1000,0)),1000000))</f>
        <v/>
      </c>
      <c r="QJ31">
        <f>IF($B31=0,1000000,IF(INDEX('計算A'!$D$60:$DS$104,$B31,110)*HB31=1,IF(AND($E31=2,LS31=0),1000000,INDEX('計算A'!DI$110:DI$114,$F31+1)+IF(AND($E31=1,LS31=0),1000,0)),1000000))</f>
        <v/>
      </c>
      <c r="QK31">
        <f>IF($B31=0,1000000,IF(INDEX('計算A'!$D$60:$DS$104,$B31,111)*HC31=1,IF(AND($E31=2,LT31=0),1000000,INDEX('計算A'!DJ$110:DJ$114,$F31+1)+IF(AND($E31=1,LT31=0),1000,0)),1000000))</f>
        <v/>
      </c>
      <c r="QL31">
        <f>IF($B31=0,1000000,IF(INDEX('計算A'!$D$60:$DS$104,$B31,112)*HD31=1,IF(AND($E31=2,LU31=0),1000000,INDEX('計算A'!DK$110:DK$114,$F31+1)+IF(AND($E31=1,LU31=0),1000,0)),1000000))</f>
        <v/>
      </c>
      <c r="QM31">
        <f>IF($B31=0,1000000,IF(INDEX('計算A'!$D$60:$DS$104,$B31,113)*HE31=1,IF(AND($E31=2,LV31=0),1000000,INDEX('計算A'!DL$110:DL$114,$F31+1)+IF(AND($E31=1,LV31=0),1000,0)),1000000))</f>
        <v/>
      </c>
      <c r="QN31">
        <f>IF($B31=0,1000000,IF(INDEX('計算A'!$D$60:$DS$104,$B31,114)*HF31=1,IF(AND($E31=2,LW31=0),1000000,INDEX('計算A'!DM$110:DM$114,$F31+1)+IF(AND($E31=1,LW31=0),1000,0)),1000000))</f>
        <v/>
      </c>
      <c r="QO31">
        <f>IF($B31=0,1000000,IF(INDEX('計算A'!$D$60:$DS$104,$B31,115)*HG31=1,IF(AND($E31=2,LX31=0),1000000,INDEX('計算A'!DN$110:DN$114,$F31+1)+IF(AND($E31=1,LX31=0),1000,0)),1000000))</f>
        <v/>
      </c>
      <c r="QP31">
        <f>IF($B31=0,1000000,IF(INDEX('計算A'!$D$60:$DS$104,$B31,116)*HH31=1,IF(AND($E31=2,LY31=0),1000000,INDEX('計算A'!DO$110:DO$114,$F31+1)+IF(AND($E31=1,LY31=0),1000,0)),1000000))</f>
        <v/>
      </c>
      <c r="QQ31">
        <f>IF($B31=0,1000000,IF(INDEX('計算A'!$D$60:$DS$104,$B31,117)*HI31=1,IF(AND($E31=2,LZ31=0),1000000,INDEX('計算A'!DP$110:DP$114,$F31+1)+IF(AND($E31=1,LZ31=0),1000,0)),1000000))</f>
        <v/>
      </c>
      <c r="QR31">
        <f>IF($B31=0,1000000,IF(INDEX('計算A'!$D$60:$DS$104,$B31,118)*HJ31=1,IF(AND($E31=2,MA31=0),1000000,INDEX('計算A'!DQ$110:DQ$114,$F31+1)+IF(AND($E31=1,MA31=0),1000,0)),1000000))</f>
        <v/>
      </c>
      <c r="QS31">
        <f>IF($B31=0,1000000,IF(INDEX('計算A'!$D$60:$DS$104,$B31,119)*HK31=1,IF(AND($E31=2,MB31=0),1000000,INDEX('計算A'!DR$110:DR$114,$F31+1)+IF(AND($E31=1,MB31=0),1000,0)),1000000))</f>
        <v/>
      </c>
      <c r="QT31">
        <f>IF($B31=0,1000000,IF(INDEX('計算A'!$D$60:$DS$104,$B31,120)*HL31=1,IF(AND($E31=2,MC31=0),1000000,INDEX('計算A'!DS$110:DS$114,$F31+1)+IF(AND($E31=1,MC31=0),1000,0)),1000000))</f>
        <v/>
      </c>
    </row>
    <row r="32">
      <c r="A32" t="n">
        <v>30</v>
      </c>
      <c r="B32">
        <f>IF(MIN(BC32:CU32)&gt;=1000000,0,MATCH(MIN(BC32:CU32),BC32:CU32,0))</f>
        <v/>
      </c>
      <c r="C32">
        <f>IF(MIN(ME32:QT32)&gt;=1000000,0,MATCH(MIN(ME32:QT32),ME32:QT32,0))</f>
        <v/>
      </c>
      <c r="D32">
        <f>IF(C32&gt;0,INDEX('計算A'!$D$5:$DS$5,C32),0)</f>
        <v/>
      </c>
      <c r="E32">
        <f>IF(B32=0,0,INDEX('計算A'!$EA$10:$EA$54,B32))</f>
        <v/>
      </c>
      <c r="F32">
        <f>IF(B32=0,0,INDEX('計算A'!$DZ$10:$DZ$54,B32))</f>
        <v/>
      </c>
      <c r="G32">
        <f>IF(AND(C32&gt;0,E32&gt;0),IF(AND(INDEX('計算A'!$D$106:$DS$106,C32)=1,INDEX($HN32:$MC32,C32)=1),C32+1,0),0)</f>
        <v/>
      </c>
      <c r="I32">
        <f>MAX(I31,IF($B31=1,1,0))</f>
        <v/>
      </c>
      <c r="J32">
        <f>MAX(J31,IF($B31=2,1,0))</f>
        <v/>
      </c>
      <c r="K32">
        <f>MAX(K31,IF($B31=3,1,0))</f>
        <v/>
      </c>
      <c r="L32">
        <f>MAX(L31,IF($B31=4,1,0))</f>
        <v/>
      </c>
      <c r="M32">
        <f>MAX(M31,IF($B31=5,1,0))</f>
        <v/>
      </c>
      <c r="N32">
        <f>MAX(N31,IF($B31=6,1,0))</f>
        <v/>
      </c>
      <c r="O32">
        <f>MAX(O31,IF($B31=7,1,0))</f>
        <v/>
      </c>
      <c r="P32">
        <f>MAX(P31,IF($B31=8,1,0))</f>
        <v/>
      </c>
      <c r="Q32">
        <f>MAX(Q31,IF($B31=9,1,0))</f>
        <v/>
      </c>
      <c r="R32">
        <f>MAX(R31,IF($B31=10,1,0))</f>
        <v/>
      </c>
      <c r="S32">
        <f>MAX(S31,IF($B31=11,1,0))</f>
        <v/>
      </c>
      <c r="T32">
        <f>MAX(T31,IF($B31=12,1,0))</f>
        <v/>
      </c>
      <c r="U32">
        <f>MAX(U31,IF($B31=13,1,0))</f>
        <v/>
      </c>
      <c r="V32">
        <f>MAX(V31,IF($B31=14,1,0))</f>
        <v/>
      </c>
      <c r="W32">
        <f>MAX(W31,IF($B31=15,1,0))</f>
        <v/>
      </c>
      <c r="X32">
        <f>MAX(X31,IF($B31=16,1,0))</f>
        <v/>
      </c>
      <c r="Y32">
        <f>MAX(Y31,IF($B31=17,1,0))</f>
        <v/>
      </c>
      <c r="Z32">
        <f>MAX(Z31,IF($B31=18,1,0))</f>
        <v/>
      </c>
      <c r="AA32">
        <f>MAX(AA31,IF($B31=19,1,0))</f>
        <v/>
      </c>
      <c r="AB32">
        <f>MAX(AB31,IF($B31=20,1,0))</f>
        <v/>
      </c>
      <c r="AC32">
        <f>MAX(AC31,IF($B31=21,1,0))</f>
        <v/>
      </c>
      <c r="AD32">
        <f>MAX(AD31,IF($B31=22,1,0))</f>
        <v/>
      </c>
      <c r="AE32">
        <f>MAX(AE31,IF($B31=23,1,0))</f>
        <v/>
      </c>
      <c r="AF32">
        <f>MAX(AF31,IF($B31=24,1,0))</f>
        <v/>
      </c>
      <c r="AG32">
        <f>MAX(AG31,IF($B31=25,1,0))</f>
        <v/>
      </c>
      <c r="AH32">
        <f>MAX(AH31,IF($B31=26,1,0))</f>
        <v/>
      </c>
      <c r="AI32">
        <f>MAX(AI31,IF($B31=27,1,0))</f>
        <v/>
      </c>
      <c r="AJ32">
        <f>MAX(AJ31,IF($B31=28,1,0))</f>
        <v/>
      </c>
      <c r="AK32">
        <f>MAX(AK31,IF($B31=29,1,0))</f>
        <v/>
      </c>
      <c r="AL32">
        <f>MAX(AL31,IF($B31=30,1,0))</f>
        <v/>
      </c>
      <c r="AM32">
        <f>MAX(AM31,IF($B31=31,1,0))</f>
        <v/>
      </c>
      <c r="AN32">
        <f>MAX(AN31,IF($B31=32,1,0))</f>
        <v/>
      </c>
      <c r="AO32">
        <f>MAX(AO31,IF($B31=33,1,0))</f>
        <v/>
      </c>
      <c r="AP32">
        <f>MAX(AP31,IF($B31=34,1,0))</f>
        <v/>
      </c>
      <c r="AQ32">
        <f>MAX(AQ31,IF($B31=35,1,0))</f>
        <v/>
      </c>
      <c r="AR32">
        <f>MAX(AR31,IF($B31=36,1,0))</f>
        <v/>
      </c>
      <c r="AS32">
        <f>MAX(AS31,IF($B31=37,1,0))</f>
        <v/>
      </c>
      <c r="AT32">
        <f>MAX(AT31,IF($B31=38,1,0))</f>
        <v/>
      </c>
      <c r="AU32">
        <f>MAX(AU31,IF($B31=39,1,0))</f>
        <v/>
      </c>
      <c r="AV32">
        <f>MAX(AV31,IF($B31=40,1,0))</f>
        <v/>
      </c>
      <c r="AW32">
        <f>MAX(AW31,IF($B31=41,1,0))</f>
        <v/>
      </c>
      <c r="AX32">
        <f>MAX(AX31,IF($B31=42,1,0))</f>
        <v/>
      </c>
      <c r="AY32">
        <f>MAX(AY31,IF($B31=43,1,0))</f>
        <v/>
      </c>
      <c r="AZ32">
        <f>MAX(AZ31,IF($B31=44,1,0))</f>
        <v/>
      </c>
      <c r="BA32">
        <f>MAX(BA31,IF($B31=45,1,0))</f>
        <v/>
      </c>
      <c r="BC32">
        <f>IF(I32=1,1000000,IF('計算A'!$EA$10=2,SUMPRODUCT('計算A'!$D$60:$DS$60,$CW32:$HL32,$HN32:$MC32),SUMPRODUCT('計算A'!$D$60:$DS$60,$CW32:$HL32))*1000+1)</f>
        <v/>
      </c>
      <c r="BD32">
        <f>IF(J32=1,1000000,IF('計算A'!$EA$11=2,SUMPRODUCT('計算A'!$D$61:$DS$61,$CW32:$HL32,$HN32:$MC32),SUMPRODUCT('計算A'!$D$61:$DS$61,$CW32:$HL32))*1000+2)</f>
        <v/>
      </c>
      <c r="BE32">
        <f>IF(K32=1,1000000,IF('計算A'!$EA$12=2,SUMPRODUCT('計算A'!$D$62:$DS$62,$CW32:$HL32,$HN32:$MC32),SUMPRODUCT('計算A'!$D$62:$DS$62,$CW32:$HL32))*1000+3)</f>
        <v/>
      </c>
      <c r="BF32">
        <f>IF(L32=1,1000000,IF('計算A'!$EA$13=2,SUMPRODUCT('計算A'!$D$63:$DS$63,$CW32:$HL32,$HN32:$MC32),SUMPRODUCT('計算A'!$D$63:$DS$63,$CW32:$HL32))*1000+4)</f>
        <v/>
      </c>
      <c r="BG32">
        <f>IF(M32=1,1000000,IF('計算A'!$EA$14=2,SUMPRODUCT('計算A'!$D$64:$DS$64,$CW32:$HL32,$HN32:$MC32),SUMPRODUCT('計算A'!$D$64:$DS$64,$CW32:$HL32))*1000+5)</f>
        <v/>
      </c>
      <c r="BH32">
        <f>IF(N32=1,1000000,IF('計算A'!$EA$15=2,SUMPRODUCT('計算A'!$D$65:$DS$65,$CW32:$HL32,$HN32:$MC32),SUMPRODUCT('計算A'!$D$65:$DS$65,$CW32:$HL32))*1000+6)</f>
        <v/>
      </c>
      <c r="BI32">
        <f>IF(O32=1,1000000,IF('計算A'!$EA$16=2,SUMPRODUCT('計算A'!$D$66:$DS$66,$CW32:$HL32,$HN32:$MC32),SUMPRODUCT('計算A'!$D$66:$DS$66,$CW32:$HL32))*1000+7)</f>
        <v/>
      </c>
      <c r="BJ32">
        <f>IF(P32=1,1000000,IF('計算A'!$EA$17=2,SUMPRODUCT('計算A'!$D$67:$DS$67,$CW32:$HL32,$HN32:$MC32),SUMPRODUCT('計算A'!$D$67:$DS$67,$CW32:$HL32))*1000+8)</f>
        <v/>
      </c>
      <c r="BK32">
        <f>IF(Q32=1,1000000,IF('計算A'!$EA$18=2,SUMPRODUCT('計算A'!$D$68:$DS$68,$CW32:$HL32,$HN32:$MC32),SUMPRODUCT('計算A'!$D$68:$DS$68,$CW32:$HL32))*1000+9)</f>
        <v/>
      </c>
      <c r="BL32">
        <f>IF(R32=1,1000000,IF('計算A'!$EA$19=2,SUMPRODUCT('計算A'!$D$69:$DS$69,$CW32:$HL32,$HN32:$MC32),SUMPRODUCT('計算A'!$D$69:$DS$69,$CW32:$HL32))*1000+10)</f>
        <v/>
      </c>
      <c r="BM32">
        <f>IF(S32=1,1000000,IF('計算A'!$EA$20=2,SUMPRODUCT('計算A'!$D$70:$DS$70,$CW32:$HL32,$HN32:$MC32),SUMPRODUCT('計算A'!$D$70:$DS$70,$CW32:$HL32))*1000+11)</f>
        <v/>
      </c>
      <c r="BN32">
        <f>IF(T32=1,1000000,IF('計算A'!$EA$21=2,SUMPRODUCT('計算A'!$D$71:$DS$71,$CW32:$HL32,$HN32:$MC32),SUMPRODUCT('計算A'!$D$71:$DS$71,$CW32:$HL32))*1000+12)</f>
        <v/>
      </c>
      <c r="BO32">
        <f>IF(U32=1,1000000,IF('計算A'!$EA$22=2,SUMPRODUCT('計算A'!$D$72:$DS$72,$CW32:$HL32,$HN32:$MC32),SUMPRODUCT('計算A'!$D$72:$DS$72,$CW32:$HL32))*1000+13)</f>
        <v/>
      </c>
      <c r="BP32">
        <f>IF(V32=1,1000000,IF('計算A'!$EA$23=2,SUMPRODUCT('計算A'!$D$73:$DS$73,$CW32:$HL32,$HN32:$MC32),SUMPRODUCT('計算A'!$D$73:$DS$73,$CW32:$HL32))*1000+14)</f>
        <v/>
      </c>
      <c r="BQ32">
        <f>IF(W32=1,1000000,IF('計算A'!$EA$24=2,SUMPRODUCT('計算A'!$D$74:$DS$74,$CW32:$HL32,$HN32:$MC32),SUMPRODUCT('計算A'!$D$74:$DS$74,$CW32:$HL32))*1000+15)</f>
        <v/>
      </c>
      <c r="BR32">
        <f>IF(X32=1,1000000,IF('計算A'!$EA$25=2,SUMPRODUCT('計算A'!$D$75:$DS$75,$CW32:$HL32,$HN32:$MC32),SUMPRODUCT('計算A'!$D$75:$DS$75,$CW32:$HL32))*1000+16)</f>
        <v/>
      </c>
      <c r="BS32">
        <f>IF(Y32=1,1000000,IF('計算A'!$EA$26=2,SUMPRODUCT('計算A'!$D$76:$DS$76,$CW32:$HL32,$HN32:$MC32),SUMPRODUCT('計算A'!$D$76:$DS$76,$CW32:$HL32))*1000+17)</f>
        <v/>
      </c>
      <c r="BT32">
        <f>IF(Z32=1,1000000,IF('計算A'!$EA$27=2,SUMPRODUCT('計算A'!$D$77:$DS$77,$CW32:$HL32,$HN32:$MC32),SUMPRODUCT('計算A'!$D$77:$DS$77,$CW32:$HL32))*1000+18)</f>
        <v/>
      </c>
      <c r="BU32">
        <f>IF(AA32=1,1000000,IF('計算A'!$EA$28=2,SUMPRODUCT('計算A'!$D$78:$DS$78,$CW32:$HL32,$HN32:$MC32),SUMPRODUCT('計算A'!$D$78:$DS$78,$CW32:$HL32))*1000+19)</f>
        <v/>
      </c>
      <c r="BV32">
        <f>IF(AB32=1,1000000,IF('計算A'!$EA$29=2,SUMPRODUCT('計算A'!$D$79:$DS$79,$CW32:$HL32,$HN32:$MC32),SUMPRODUCT('計算A'!$D$79:$DS$79,$CW32:$HL32))*1000+20)</f>
        <v/>
      </c>
      <c r="BW32">
        <f>IF(AC32=1,1000000,IF('計算A'!$EA$30=2,SUMPRODUCT('計算A'!$D$80:$DS$80,$CW32:$HL32,$HN32:$MC32),SUMPRODUCT('計算A'!$D$80:$DS$80,$CW32:$HL32))*1000+21)</f>
        <v/>
      </c>
      <c r="BX32">
        <f>IF(AD32=1,1000000,IF('計算A'!$EA$31=2,SUMPRODUCT('計算A'!$D$81:$DS$81,$CW32:$HL32,$HN32:$MC32),SUMPRODUCT('計算A'!$D$81:$DS$81,$CW32:$HL32))*1000+22)</f>
        <v/>
      </c>
      <c r="BY32">
        <f>IF(AE32=1,1000000,IF('計算A'!$EA$32=2,SUMPRODUCT('計算A'!$D$82:$DS$82,$CW32:$HL32,$HN32:$MC32),SUMPRODUCT('計算A'!$D$82:$DS$82,$CW32:$HL32))*1000+23)</f>
        <v/>
      </c>
      <c r="BZ32">
        <f>IF(AF32=1,1000000,IF('計算A'!$EA$33=2,SUMPRODUCT('計算A'!$D$83:$DS$83,$CW32:$HL32,$HN32:$MC32),SUMPRODUCT('計算A'!$D$83:$DS$83,$CW32:$HL32))*1000+24)</f>
        <v/>
      </c>
      <c r="CA32">
        <f>IF(AG32=1,1000000,IF('計算A'!$EA$34=2,SUMPRODUCT('計算A'!$D$84:$DS$84,$CW32:$HL32,$HN32:$MC32),SUMPRODUCT('計算A'!$D$84:$DS$84,$CW32:$HL32))*1000+25)</f>
        <v/>
      </c>
      <c r="CB32">
        <f>IF(AH32=1,1000000,IF('計算A'!$EA$35=2,SUMPRODUCT('計算A'!$D$85:$DS$85,$CW32:$HL32,$HN32:$MC32),SUMPRODUCT('計算A'!$D$85:$DS$85,$CW32:$HL32))*1000+26)</f>
        <v/>
      </c>
      <c r="CC32">
        <f>IF(AI32=1,1000000,IF('計算A'!$EA$36=2,SUMPRODUCT('計算A'!$D$86:$DS$86,$CW32:$HL32,$HN32:$MC32),SUMPRODUCT('計算A'!$D$86:$DS$86,$CW32:$HL32))*1000+27)</f>
        <v/>
      </c>
      <c r="CD32">
        <f>IF(AJ32=1,1000000,IF('計算A'!$EA$37=2,SUMPRODUCT('計算A'!$D$87:$DS$87,$CW32:$HL32,$HN32:$MC32),SUMPRODUCT('計算A'!$D$87:$DS$87,$CW32:$HL32))*1000+28)</f>
        <v/>
      </c>
      <c r="CE32">
        <f>IF(AK32=1,1000000,IF('計算A'!$EA$38=2,SUMPRODUCT('計算A'!$D$88:$DS$88,$CW32:$HL32,$HN32:$MC32),SUMPRODUCT('計算A'!$D$88:$DS$88,$CW32:$HL32))*1000+29)</f>
        <v/>
      </c>
      <c r="CF32">
        <f>IF(AL32=1,1000000,IF('計算A'!$EA$39=2,SUMPRODUCT('計算A'!$D$89:$DS$89,$CW32:$HL32,$HN32:$MC32),SUMPRODUCT('計算A'!$D$89:$DS$89,$CW32:$HL32))*1000+30)</f>
        <v/>
      </c>
      <c r="CG32">
        <f>IF(AM32=1,1000000,IF('計算A'!$EA$40=2,SUMPRODUCT('計算A'!$D$90:$DS$90,$CW32:$HL32,$HN32:$MC32),SUMPRODUCT('計算A'!$D$90:$DS$90,$CW32:$HL32))*1000+31)</f>
        <v/>
      </c>
      <c r="CH32">
        <f>IF(AN32=1,1000000,IF('計算A'!$EA$41=2,SUMPRODUCT('計算A'!$D$91:$DS$91,$CW32:$HL32,$HN32:$MC32),SUMPRODUCT('計算A'!$D$91:$DS$91,$CW32:$HL32))*1000+32)</f>
        <v/>
      </c>
      <c r="CI32">
        <f>IF(AO32=1,1000000,IF('計算A'!$EA$42=2,SUMPRODUCT('計算A'!$D$92:$DS$92,$CW32:$HL32,$HN32:$MC32),SUMPRODUCT('計算A'!$D$92:$DS$92,$CW32:$HL32))*1000+33)</f>
        <v/>
      </c>
      <c r="CJ32">
        <f>IF(AP32=1,1000000,IF('計算A'!$EA$43=2,SUMPRODUCT('計算A'!$D$93:$DS$93,$CW32:$HL32,$HN32:$MC32),SUMPRODUCT('計算A'!$D$93:$DS$93,$CW32:$HL32))*1000+34)</f>
        <v/>
      </c>
      <c r="CK32">
        <f>IF(AQ32=1,1000000,IF('計算A'!$EA$44=2,SUMPRODUCT('計算A'!$D$94:$DS$94,$CW32:$HL32,$HN32:$MC32),SUMPRODUCT('計算A'!$D$94:$DS$94,$CW32:$HL32))*1000+35)</f>
        <v/>
      </c>
      <c r="CL32">
        <f>IF(AR32=1,1000000,IF('計算A'!$EA$45=2,SUMPRODUCT('計算A'!$D$95:$DS$95,$CW32:$HL32,$HN32:$MC32),SUMPRODUCT('計算A'!$D$95:$DS$95,$CW32:$HL32))*1000+36)</f>
        <v/>
      </c>
      <c r="CM32">
        <f>IF(AS32=1,1000000,IF('計算A'!$EA$46=2,SUMPRODUCT('計算A'!$D$96:$DS$96,$CW32:$HL32,$HN32:$MC32),SUMPRODUCT('計算A'!$D$96:$DS$96,$CW32:$HL32))*1000+37)</f>
        <v/>
      </c>
      <c r="CN32">
        <f>IF(AT32=1,1000000,IF('計算A'!$EA$47=2,SUMPRODUCT('計算A'!$D$97:$DS$97,$CW32:$HL32,$HN32:$MC32),SUMPRODUCT('計算A'!$D$97:$DS$97,$CW32:$HL32))*1000+38)</f>
        <v/>
      </c>
      <c r="CO32">
        <f>IF(AU32=1,1000000,IF('計算A'!$EA$48=2,SUMPRODUCT('計算A'!$D$98:$DS$98,$CW32:$HL32,$HN32:$MC32),SUMPRODUCT('計算A'!$D$98:$DS$98,$CW32:$HL32))*1000+39)</f>
        <v/>
      </c>
      <c r="CP32">
        <f>IF(AV32=1,1000000,IF('計算A'!$EA$49=2,SUMPRODUCT('計算A'!$D$99:$DS$99,$CW32:$HL32,$HN32:$MC32),SUMPRODUCT('計算A'!$D$99:$DS$99,$CW32:$HL32))*1000+40)</f>
        <v/>
      </c>
      <c r="CQ32">
        <f>IF(AW32=1,1000000,IF('計算A'!$EA$50=2,SUMPRODUCT('計算A'!$D$100:$DS$100,$CW32:$HL32,$HN32:$MC32),SUMPRODUCT('計算A'!$D$100:$DS$100,$CW32:$HL32))*1000+41)</f>
        <v/>
      </c>
      <c r="CR32">
        <f>IF(AX32=1,1000000,IF('計算A'!$EA$51=2,SUMPRODUCT('計算A'!$D$101:$DS$101,$CW32:$HL32,$HN32:$MC32),SUMPRODUCT('計算A'!$D$101:$DS$101,$CW32:$HL32))*1000+42)</f>
        <v/>
      </c>
      <c r="CS32">
        <f>IF(AY32=1,1000000,IF('計算A'!$EA$52=2,SUMPRODUCT('計算A'!$D$102:$DS$102,$CW32:$HL32,$HN32:$MC32),SUMPRODUCT('計算A'!$D$102:$DS$102,$CW32:$HL32))*1000+43)</f>
        <v/>
      </c>
      <c r="CT32">
        <f>IF(AZ32=1,1000000,IF('計算A'!$EA$53=2,SUMPRODUCT('計算A'!$D$103:$DS$103,$CW32:$HL32,$HN32:$MC32),SUMPRODUCT('計算A'!$D$103:$DS$103,$CW32:$HL32))*1000+44)</f>
        <v/>
      </c>
      <c r="CU32">
        <f>IF(BA32=1,1000000,IF('計算A'!$EA$54=2,SUMPRODUCT('計算A'!$D$104:$DS$104,$CW32:$HL32,$HN32:$MC32),SUMPRODUCT('計算A'!$D$104:$DS$104,$CW32:$HL32))*1000+45)</f>
        <v/>
      </c>
      <c r="CW32">
        <f>CW31*IF(OR($C31=1,$G31=1),0,1)</f>
        <v/>
      </c>
      <c r="CX32">
        <f>CX31*IF(OR($C31=2,$G31=2),0,1)</f>
        <v/>
      </c>
      <c r="CY32">
        <f>CY31*IF(OR($C31=3,$G31=3),0,1)</f>
        <v/>
      </c>
      <c r="CZ32">
        <f>CZ31*IF(OR($C31=4,$G31=4),0,1)</f>
        <v/>
      </c>
      <c r="DA32">
        <f>DA31*IF(OR($C31=5,$G31=5),0,1)</f>
        <v/>
      </c>
      <c r="DB32">
        <f>DB31*IF(OR($C31=6,$G31=6),0,1)</f>
        <v/>
      </c>
      <c r="DC32">
        <f>DC31*IF(OR($C31=7,$G31=7),0,1)</f>
        <v/>
      </c>
      <c r="DD32">
        <f>DD31*IF(OR($C31=8,$G31=8),0,1)</f>
        <v/>
      </c>
      <c r="DE32">
        <f>DE31*IF(OR($C31=9,$G31=9),0,1)</f>
        <v/>
      </c>
      <c r="DF32">
        <f>DF31*IF(OR($C31=10,$G31=10),0,1)</f>
        <v/>
      </c>
      <c r="DG32">
        <f>DG31*IF(OR($C31=11,$G31=11),0,1)</f>
        <v/>
      </c>
      <c r="DH32">
        <f>DH31*IF(OR($C31=12,$G31=12),0,1)</f>
        <v/>
      </c>
      <c r="DI32">
        <f>DI31*IF(OR($C31=13,$G31=13),0,1)</f>
        <v/>
      </c>
      <c r="DJ32">
        <f>DJ31*IF(OR($C31=14,$G31=14),0,1)</f>
        <v/>
      </c>
      <c r="DK32">
        <f>DK31*IF(OR($C31=15,$G31=15),0,1)</f>
        <v/>
      </c>
      <c r="DL32">
        <f>DL31*IF(OR($C31=16,$G31=16),0,1)</f>
        <v/>
      </c>
      <c r="DM32">
        <f>DM31*IF(OR($C31=17,$G31=17),0,1)</f>
        <v/>
      </c>
      <c r="DN32">
        <f>DN31*IF(OR($C31=18,$G31=18),0,1)</f>
        <v/>
      </c>
      <c r="DO32">
        <f>DO31*IF(OR($C31=19,$G31=19),0,1)</f>
        <v/>
      </c>
      <c r="DP32">
        <f>DP31*IF(OR($C31=20,$G31=20),0,1)</f>
        <v/>
      </c>
      <c r="DQ32">
        <f>DQ31*IF(OR($C31=21,$G31=21),0,1)</f>
        <v/>
      </c>
      <c r="DR32">
        <f>DR31*IF(OR($C31=22,$G31=22),0,1)</f>
        <v/>
      </c>
      <c r="DS32">
        <f>DS31*IF(OR($C31=23,$G31=23),0,1)</f>
        <v/>
      </c>
      <c r="DT32">
        <f>DT31*IF(OR($C31=24,$G31=24),0,1)</f>
        <v/>
      </c>
      <c r="DU32">
        <f>DU31*IF(OR($C31=25,$G31=25),0,1)</f>
        <v/>
      </c>
      <c r="DV32">
        <f>DV31*IF(OR($C31=26,$G31=26),0,1)</f>
        <v/>
      </c>
      <c r="DW32">
        <f>DW31*IF(OR($C31=27,$G31=27),0,1)</f>
        <v/>
      </c>
      <c r="DX32">
        <f>DX31*IF(OR($C31=28,$G31=28),0,1)</f>
        <v/>
      </c>
      <c r="DY32">
        <f>DY31*IF(OR($C31=29,$G31=29),0,1)</f>
        <v/>
      </c>
      <c r="DZ32">
        <f>DZ31*IF(OR($C31=30,$G31=30),0,1)</f>
        <v/>
      </c>
      <c r="EA32">
        <f>EA31*IF(OR($C31=31,$G31=31),0,1)</f>
        <v/>
      </c>
      <c r="EB32">
        <f>EB31*IF(OR($C31=32,$G31=32),0,1)</f>
        <v/>
      </c>
      <c r="EC32">
        <f>EC31*IF(OR($C31=33,$G31=33),0,1)</f>
        <v/>
      </c>
      <c r="ED32">
        <f>ED31*IF(OR($C31=34,$G31=34),0,1)</f>
        <v/>
      </c>
      <c r="EE32">
        <f>EE31*IF(OR($C31=35,$G31=35),0,1)</f>
        <v/>
      </c>
      <c r="EF32">
        <f>EF31*IF(OR($C31=36,$G31=36),0,1)</f>
        <v/>
      </c>
      <c r="EG32">
        <f>EG31*IF(OR($C31=37,$G31=37),0,1)</f>
        <v/>
      </c>
      <c r="EH32">
        <f>EH31*IF(OR($C31=38,$G31=38),0,1)</f>
        <v/>
      </c>
      <c r="EI32">
        <f>EI31*IF(OR($C31=39,$G31=39),0,1)</f>
        <v/>
      </c>
      <c r="EJ32">
        <f>EJ31*IF(OR($C31=40,$G31=40),0,1)</f>
        <v/>
      </c>
      <c r="EK32">
        <f>EK31*IF(OR($C31=41,$G31=41),0,1)</f>
        <v/>
      </c>
      <c r="EL32">
        <f>EL31*IF(OR($C31=42,$G31=42),0,1)</f>
        <v/>
      </c>
      <c r="EM32">
        <f>EM31*IF(OR($C31=43,$G31=43),0,1)</f>
        <v/>
      </c>
      <c r="EN32">
        <f>EN31*IF(OR($C31=44,$G31=44),0,1)</f>
        <v/>
      </c>
      <c r="EO32">
        <f>EO31*IF(OR($C31=45,$G31=45),0,1)</f>
        <v/>
      </c>
      <c r="EP32">
        <f>EP31*IF(OR($C31=46,$G31=46),0,1)</f>
        <v/>
      </c>
      <c r="EQ32">
        <f>EQ31*IF(OR($C31=47,$G31=47),0,1)</f>
        <v/>
      </c>
      <c r="ER32">
        <f>ER31*IF(OR($C31=48,$G31=48),0,1)</f>
        <v/>
      </c>
      <c r="ES32">
        <f>ES31*IF(OR($C31=49,$G31=49),0,1)</f>
        <v/>
      </c>
      <c r="ET32">
        <f>ET31*IF(OR($C31=50,$G31=50),0,1)</f>
        <v/>
      </c>
      <c r="EU32">
        <f>EU31*IF(OR($C31=51,$G31=51),0,1)</f>
        <v/>
      </c>
      <c r="EV32">
        <f>EV31*IF(OR($C31=52,$G31=52),0,1)</f>
        <v/>
      </c>
      <c r="EW32">
        <f>EW31*IF(OR($C31=53,$G31=53),0,1)</f>
        <v/>
      </c>
      <c r="EX32">
        <f>EX31*IF(OR($C31=54,$G31=54),0,1)</f>
        <v/>
      </c>
      <c r="EY32">
        <f>EY31*IF(OR($C31=55,$G31=55),0,1)</f>
        <v/>
      </c>
      <c r="EZ32">
        <f>EZ31*IF(OR($C31=56,$G31=56),0,1)</f>
        <v/>
      </c>
      <c r="FA32">
        <f>FA31*IF(OR($C31=57,$G31=57),0,1)</f>
        <v/>
      </c>
      <c r="FB32">
        <f>FB31*IF(OR($C31=58,$G31=58),0,1)</f>
        <v/>
      </c>
      <c r="FC32">
        <f>FC31*IF(OR($C31=59,$G31=59),0,1)</f>
        <v/>
      </c>
      <c r="FD32">
        <f>FD31*IF(OR($C31=60,$G31=60),0,1)</f>
        <v/>
      </c>
      <c r="FE32">
        <f>FE31*IF(OR($C31=61,$G31=61),0,1)</f>
        <v/>
      </c>
      <c r="FF32">
        <f>FF31*IF(OR($C31=62,$G31=62),0,1)</f>
        <v/>
      </c>
      <c r="FG32">
        <f>FG31*IF(OR($C31=63,$G31=63),0,1)</f>
        <v/>
      </c>
      <c r="FH32">
        <f>FH31*IF(OR($C31=64,$G31=64),0,1)</f>
        <v/>
      </c>
      <c r="FI32">
        <f>FI31*IF(OR($C31=65,$G31=65),0,1)</f>
        <v/>
      </c>
      <c r="FJ32">
        <f>FJ31*IF(OR($C31=66,$G31=66),0,1)</f>
        <v/>
      </c>
      <c r="FK32">
        <f>FK31*IF(OR($C31=67,$G31=67),0,1)</f>
        <v/>
      </c>
      <c r="FL32">
        <f>FL31*IF(OR($C31=68,$G31=68),0,1)</f>
        <v/>
      </c>
      <c r="FM32">
        <f>FM31*IF(OR($C31=69,$G31=69),0,1)</f>
        <v/>
      </c>
      <c r="FN32">
        <f>FN31*IF(OR($C31=70,$G31=70),0,1)</f>
        <v/>
      </c>
      <c r="FO32">
        <f>FO31*IF(OR($C31=71,$G31=71),0,1)</f>
        <v/>
      </c>
      <c r="FP32">
        <f>FP31*IF(OR($C31=72,$G31=72),0,1)</f>
        <v/>
      </c>
      <c r="FQ32">
        <f>FQ31*IF(OR($C31=73,$G31=73),0,1)</f>
        <v/>
      </c>
      <c r="FR32">
        <f>FR31*IF(OR($C31=74,$G31=74),0,1)</f>
        <v/>
      </c>
      <c r="FS32">
        <f>FS31*IF(OR($C31=75,$G31=75),0,1)</f>
        <v/>
      </c>
      <c r="FT32">
        <f>FT31*IF(OR($C31=76,$G31=76),0,1)</f>
        <v/>
      </c>
      <c r="FU32">
        <f>FU31*IF(OR($C31=77,$G31=77),0,1)</f>
        <v/>
      </c>
      <c r="FV32">
        <f>FV31*IF(OR($C31=78,$G31=78),0,1)</f>
        <v/>
      </c>
      <c r="FW32">
        <f>FW31*IF(OR($C31=79,$G31=79),0,1)</f>
        <v/>
      </c>
      <c r="FX32">
        <f>FX31*IF(OR($C31=80,$G31=80),0,1)</f>
        <v/>
      </c>
      <c r="FY32">
        <f>FY31*IF(OR($C31=81,$G31=81),0,1)</f>
        <v/>
      </c>
      <c r="FZ32">
        <f>FZ31*IF(OR($C31=82,$G31=82),0,1)</f>
        <v/>
      </c>
      <c r="GA32">
        <f>GA31*IF(OR($C31=83,$G31=83),0,1)</f>
        <v/>
      </c>
      <c r="GB32">
        <f>GB31*IF(OR($C31=84,$G31=84),0,1)</f>
        <v/>
      </c>
      <c r="GC32">
        <f>GC31*IF(OR($C31=85,$G31=85),0,1)</f>
        <v/>
      </c>
      <c r="GD32">
        <f>GD31*IF(OR($C31=86,$G31=86),0,1)</f>
        <v/>
      </c>
      <c r="GE32">
        <f>GE31*IF(OR($C31=87,$G31=87),0,1)</f>
        <v/>
      </c>
      <c r="GF32">
        <f>GF31*IF(OR($C31=88,$G31=88),0,1)</f>
        <v/>
      </c>
      <c r="GG32">
        <f>GG31*IF(OR($C31=89,$G31=89),0,1)</f>
        <v/>
      </c>
      <c r="GH32">
        <f>GH31*IF(OR($C31=90,$G31=90),0,1)</f>
        <v/>
      </c>
      <c r="GI32">
        <f>GI31*IF(OR($C31=91,$G31=91),0,1)</f>
        <v/>
      </c>
      <c r="GJ32">
        <f>GJ31*IF(OR($C31=92,$G31=92),0,1)</f>
        <v/>
      </c>
      <c r="GK32">
        <f>GK31*IF(OR($C31=93,$G31=93),0,1)</f>
        <v/>
      </c>
      <c r="GL32">
        <f>GL31*IF(OR($C31=94,$G31=94),0,1)</f>
        <v/>
      </c>
      <c r="GM32">
        <f>GM31*IF(OR($C31=95,$G31=95),0,1)</f>
        <v/>
      </c>
      <c r="GN32">
        <f>GN31*IF(OR($C31=96,$G31=96),0,1)</f>
        <v/>
      </c>
      <c r="GO32">
        <f>GO31*IF(OR($C31=97,$G31=97),0,1)</f>
        <v/>
      </c>
      <c r="GP32">
        <f>GP31*IF(OR($C31=98,$G31=98),0,1)</f>
        <v/>
      </c>
      <c r="GQ32">
        <f>GQ31*IF(OR($C31=99,$G31=99),0,1)</f>
        <v/>
      </c>
      <c r="GR32">
        <f>GR31*IF(OR($C31=100,$G31=100),0,1)</f>
        <v/>
      </c>
      <c r="GS32">
        <f>GS31*IF(OR($C31=101,$G31=101),0,1)</f>
        <v/>
      </c>
      <c r="GT32">
        <f>GT31*IF(OR($C31=102,$G31=102),0,1)</f>
        <v/>
      </c>
      <c r="GU32">
        <f>GU31*IF(OR($C31=103,$G31=103),0,1)</f>
        <v/>
      </c>
      <c r="GV32">
        <f>GV31*IF(OR($C31=104,$G31=104),0,1)</f>
        <v/>
      </c>
      <c r="GW32">
        <f>GW31*IF(OR($C31=105,$G31=105),0,1)</f>
        <v/>
      </c>
      <c r="GX32">
        <f>GX31*IF(OR($C31=106,$G31=106),0,1)</f>
        <v/>
      </c>
      <c r="GY32">
        <f>GY31*IF(OR($C31=107,$G31=107),0,1)</f>
        <v/>
      </c>
      <c r="GZ32">
        <f>GZ31*IF(OR($C31=108,$G31=108),0,1)</f>
        <v/>
      </c>
      <c r="HA32">
        <f>HA31*IF(OR($C31=109,$G31=109),0,1)</f>
        <v/>
      </c>
      <c r="HB32">
        <f>HB31*IF(OR($C31=110,$G31=110),0,1)</f>
        <v/>
      </c>
      <c r="HC32">
        <f>HC31*IF(OR($C31=111,$G31=111),0,1)</f>
        <v/>
      </c>
      <c r="HD32">
        <f>HD31*IF(OR($C31=112,$G31=112),0,1)</f>
        <v/>
      </c>
      <c r="HE32">
        <f>HE31*IF(OR($C31=113,$G31=113),0,1)</f>
        <v/>
      </c>
      <c r="HF32">
        <f>HF31*IF(OR($C31=114,$G31=114),0,1)</f>
        <v/>
      </c>
      <c r="HG32">
        <f>HG31*IF(OR($C31=115,$G31=115),0,1)</f>
        <v/>
      </c>
      <c r="HH32">
        <f>HH31*IF(OR($C31=116,$G31=116),0,1)</f>
        <v/>
      </c>
      <c r="HI32">
        <f>HI31*IF(OR($C31=117,$G31=117),0,1)</f>
        <v/>
      </c>
      <c r="HJ32">
        <f>HJ31*IF(OR($C31=118,$G31=118),0,1)</f>
        <v/>
      </c>
      <c r="HK32">
        <f>HK31*IF(OR($C31=119,$G31=119),0,1)</f>
        <v/>
      </c>
      <c r="HL32">
        <f>HL31*IF(OR($C31=120,$G31=120),0,1)</f>
        <v/>
      </c>
      <c r="HN32">
        <f>IF('計算A'!D$106=1,CX32,1)</f>
        <v/>
      </c>
      <c r="HO32">
        <f>IF('計算A'!E$106=1,CY32,1)</f>
        <v/>
      </c>
      <c r="HP32">
        <f>IF('計算A'!F$106=1,CZ32,1)</f>
        <v/>
      </c>
      <c r="HQ32">
        <f>IF('計算A'!G$106=1,DA32,1)</f>
        <v/>
      </c>
      <c r="HR32">
        <f>IF('計算A'!H$106=1,DB32,1)</f>
        <v/>
      </c>
      <c r="HS32">
        <f>IF('計算A'!I$106=1,DC32,1)</f>
        <v/>
      </c>
      <c r="HT32">
        <f>IF('計算A'!J$106=1,DD32,1)</f>
        <v/>
      </c>
      <c r="HU32">
        <f>IF('計算A'!K$106=1,DE32,1)</f>
        <v/>
      </c>
      <c r="HV32">
        <f>IF('計算A'!L$106=1,DF32,1)</f>
        <v/>
      </c>
      <c r="HW32">
        <f>IF('計算A'!M$106=1,DG32,1)</f>
        <v/>
      </c>
      <c r="HX32">
        <f>IF('計算A'!N$106=1,DH32,1)</f>
        <v/>
      </c>
      <c r="HY32">
        <f>IF('計算A'!O$106=1,DI32,1)</f>
        <v/>
      </c>
      <c r="HZ32">
        <f>IF('計算A'!P$106=1,DJ32,1)</f>
        <v/>
      </c>
      <c r="IA32">
        <f>IF('計算A'!Q$106=1,DK32,1)</f>
        <v/>
      </c>
      <c r="IB32">
        <f>IF('計算A'!R$106=1,DL32,1)</f>
        <v/>
      </c>
      <c r="IC32">
        <f>IF('計算A'!S$106=1,DM32,1)</f>
        <v/>
      </c>
      <c r="ID32">
        <f>IF('計算A'!T$106=1,DN32,1)</f>
        <v/>
      </c>
      <c r="IE32">
        <f>IF('計算A'!U$106=1,DO32,1)</f>
        <v/>
      </c>
      <c r="IF32">
        <f>IF('計算A'!V$106=1,DP32,1)</f>
        <v/>
      </c>
      <c r="IG32">
        <f>IF('計算A'!W$106=1,DQ32,1)</f>
        <v/>
      </c>
      <c r="IH32">
        <f>IF('計算A'!X$106=1,DR32,1)</f>
        <v/>
      </c>
      <c r="II32">
        <f>IF('計算A'!Y$106=1,DS32,1)</f>
        <v/>
      </c>
      <c r="IJ32">
        <f>IF('計算A'!Z$106=1,DT32,1)</f>
        <v/>
      </c>
      <c r="IK32">
        <f>IF('計算A'!AA$106=1,DU32,1)</f>
        <v/>
      </c>
      <c r="IL32">
        <f>IF('計算A'!AB$106=1,DV32,1)</f>
        <v/>
      </c>
      <c r="IM32">
        <f>IF('計算A'!AC$106=1,DW32,1)</f>
        <v/>
      </c>
      <c r="IN32">
        <f>IF('計算A'!AD$106=1,DX32,1)</f>
        <v/>
      </c>
      <c r="IO32">
        <f>IF('計算A'!AE$106=1,DY32,1)</f>
        <v/>
      </c>
      <c r="IP32">
        <f>IF('計算A'!AF$106=1,DZ32,1)</f>
        <v/>
      </c>
      <c r="IQ32">
        <f>IF('計算A'!AG$106=1,EA32,1)</f>
        <v/>
      </c>
      <c r="IR32">
        <f>IF('計算A'!AH$106=1,EB32,1)</f>
        <v/>
      </c>
      <c r="IS32">
        <f>IF('計算A'!AI$106=1,EC32,1)</f>
        <v/>
      </c>
      <c r="IT32">
        <f>IF('計算A'!AJ$106=1,ED32,1)</f>
        <v/>
      </c>
      <c r="IU32">
        <f>IF('計算A'!AK$106=1,EE32,1)</f>
        <v/>
      </c>
      <c r="IV32">
        <f>IF('計算A'!AL$106=1,EF32,1)</f>
        <v/>
      </c>
      <c r="IW32">
        <f>IF('計算A'!AM$106=1,EG32,1)</f>
        <v/>
      </c>
      <c r="IX32">
        <f>IF('計算A'!AN$106=1,EH32,1)</f>
        <v/>
      </c>
      <c r="IY32">
        <f>IF('計算A'!AO$106=1,EI32,1)</f>
        <v/>
      </c>
      <c r="IZ32">
        <f>IF('計算A'!AP$106=1,EJ32,1)</f>
        <v/>
      </c>
      <c r="JA32">
        <f>IF('計算A'!AQ$106=1,EK32,1)</f>
        <v/>
      </c>
      <c r="JB32">
        <f>IF('計算A'!AR$106=1,EL32,1)</f>
        <v/>
      </c>
      <c r="JC32">
        <f>IF('計算A'!AS$106=1,EM32,1)</f>
        <v/>
      </c>
      <c r="JD32">
        <f>IF('計算A'!AT$106=1,EN32,1)</f>
        <v/>
      </c>
      <c r="JE32">
        <f>IF('計算A'!AU$106=1,EO32,1)</f>
        <v/>
      </c>
      <c r="JF32">
        <f>IF('計算A'!AV$106=1,EP32,1)</f>
        <v/>
      </c>
      <c r="JG32">
        <f>IF('計算A'!AW$106=1,EQ32,1)</f>
        <v/>
      </c>
      <c r="JH32">
        <f>IF('計算A'!AX$106=1,ER32,1)</f>
        <v/>
      </c>
      <c r="JI32">
        <f>IF('計算A'!AY$106=1,ES32,1)</f>
        <v/>
      </c>
      <c r="JJ32">
        <f>IF('計算A'!AZ$106=1,ET32,1)</f>
        <v/>
      </c>
      <c r="JK32">
        <f>IF('計算A'!BA$106=1,EU32,1)</f>
        <v/>
      </c>
      <c r="JL32">
        <f>IF('計算A'!BB$106=1,EV32,1)</f>
        <v/>
      </c>
      <c r="JM32">
        <f>IF('計算A'!BC$106=1,EW32,1)</f>
        <v/>
      </c>
      <c r="JN32">
        <f>IF('計算A'!BD$106=1,EX32,1)</f>
        <v/>
      </c>
      <c r="JO32">
        <f>IF('計算A'!BE$106=1,EY32,1)</f>
        <v/>
      </c>
      <c r="JP32">
        <f>IF('計算A'!BF$106=1,EZ32,1)</f>
        <v/>
      </c>
      <c r="JQ32">
        <f>IF('計算A'!BG$106=1,FA32,1)</f>
        <v/>
      </c>
      <c r="JR32">
        <f>IF('計算A'!BH$106=1,FB32,1)</f>
        <v/>
      </c>
      <c r="JS32">
        <f>IF('計算A'!BI$106=1,FC32,1)</f>
        <v/>
      </c>
      <c r="JT32">
        <f>IF('計算A'!BJ$106=1,FD32,1)</f>
        <v/>
      </c>
      <c r="JU32">
        <f>IF('計算A'!BK$106=1,FE32,1)</f>
        <v/>
      </c>
      <c r="JV32">
        <f>IF('計算A'!BL$106=1,FF32,1)</f>
        <v/>
      </c>
      <c r="JW32">
        <f>IF('計算A'!BM$106=1,FG32,1)</f>
        <v/>
      </c>
      <c r="JX32">
        <f>IF('計算A'!BN$106=1,FH32,1)</f>
        <v/>
      </c>
      <c r="JY32">
        <f>IF('計算A'!BO$106=1,FI32,1)</f>
        <v/>
      </c>
      <c r="JZ32">
        <f>IF('計算A'!BP$106=1,FJ32,1)</f>
        <v/>
      </c>
      <c r="KA32">
        <f>IF('計算A'!BQ$106=1,FK32,1)</f>
        <v/>
      </c>
      <c r="KB32">
        <f>IF('計算A'!BR$106=1,FL32,1)</f>
        <v/>
      </c>
      <c r="KC32">
        <f>IF('計算A'!BS$106=1,FM32,1)</f>
        <v/>
      </c>
      <c r="KD32">
        <f>IF('計算A'!BT$106=1,FN32,1)</f>
        <v/>
      </c>
      <c r="KE32">
        <f>IF('計算A'!BU$106=1,FO32,1)</f>
        <v/>
      </c>
      <c r="KF32">
        <f>IF('計算A'!BV$106=1,FP32,1)</f>
        <v/>
      </c>
      <c r="KG32">
        <f>IF('計算A'!BW$106=1,FQ32,1)</f>
        <v/>
      </c>
      <c r="KH32">
        <f>IF('計算A'!BX$106=1,FR32,1)</f>
        <v/>
      </c>
      <c r="KI32">
        <f>IF('計算A'!BY$106=1,FS32,1)</f>
        <v/>
      </c>
      <c r="KJ32">
        <f>IF('計算A'!BZ$106=1,FT32,1)</f>
        <v/>
      </c>
      <c r="KK32">
        <f>IF('計算A'!CA$106=1,FU32,1)</f>
        <v/>
      </c>
      <c r="KL32">
        <f>IF('計算A'!CB$106=1,FV32,1)</f>
        <v/>
      </c>
      <c r="KM32">
        <f>IF('計算A'!CC$106=1,FW32,1)</f>
        <v/>
      </c>
      <c r="KN32">
        <f>IF('計算A'!CD$106=1,FX32,1)</f>
        <v/>
      </c>
      <c r="KO32">
        <f>IF('計算A'!CE$106=1,FY32,1)</f>
        <v/>
      </c>
      <c r="KP32">
        <f>IF('計算A'!CF$106=1,FZ32,1)</f>
        <v/>
      </c>
      <c r="KQ32">
        <f>IF('計算A'!CG$106=1,GA32,1)</f>
        <v/>
      </c>
      <c r="KR32">
        <f>IF('計算A'!CH$106=1,GB32,1)</f>
        <v/>
      </c>
      <c r="KS32">
        <f>IF('計算A'!CI$106=1,GC32,1)</f>
        <v/>
      </c>
      <c r="KT32">
        <f>IF('計算A'!CJ$106=1,GD32,1)</f>
        <v/>
      </c>
      <c r="KU32">
        <f>IF('計算A'!CK$106=1,GE32,1)</f>
        <v/>
      </c>
      <c r="KV32">
        <f>IF('計算A'!CL$106=1,GF32,1)</f>
        <v/>
      </c>
      <c r="KW32">
        <f>IF('計算A'!CM$106=1,GG32,1)</f>
        <v/>
      </c>
      <c r="KX32">
        <f>IF('計算A'!CN$106=1,GH32,1)</f>
        <v/>
      </c>
      <c r="KY32">
        <f>IF('計算A'!CO$106=1,GI32,1)</f>
        <v/>
      </c>
      <c r="KZ32">
        <f>IF('計算A'!CP$106=1,GJ32,1)</f>
        <v/>
      </c>
      <c r="LA32">
        <f>IF('計算A'!CQ$106=1,GK32,1)</f>
        <v/>
      </c>
      <c r="LB32">
        <f>IF('計算A'!CR$106=1,GL32,1)</f>
        <v/>
      </c>
      <c r="LC32">
        <f>IF('計算A'!CS$106=1,GM32,1)</f>
        <v/>
      </c>
      <c r="LD32">
        <f>IF('計算A'!CT$106=1,GN32,1)</f>
        <v/>
      </c>
      <c r="LE32">
        <f>IF('計算A'!CU$106=1,GO32,1)</f>
        <v/>
      </c>
      <c r="LF32">
        <f>IF('計算A'!CV$106=1,GP32,1)</f>
        <v/>
      </c>
      <c r="LG32">
        <f>IF('計算A'!CW$106=1,GQ32,1)</f>
        <v/>
      </c>
      <c r="LH32">
        <f>IF('計算A'!CX$106=1,GR32,1)</f>
        <v/>
      </c>
      <c r="LI32">
        <f>IF('計算A'!CY$106=1,GS32,1)</f>
        <v/>
      </c>
      <c r="LJ32">
        <f>IF('計算A'!CZ$106=1,GT32,1)</f>
        <v/>
      </c>
      <c r="LK32">
        <f>IF('計算A'!DA$106=1,GU32,1)</f>
        <v/>
      </c>
      <c r="LL32">
        <f>IF('計算A'!DB$106=1,GV32,1)</f>
        <v/>
      </c>
      <c r="LM32">
        <f>IF('計算A'!DC$106=1,GW32,1)</f>
        <v/>
      </c>
      <c r="LN32">
        <f>IF('計算A'!DD$106=1,GX32,1)</f>
        <v/>
      </c>
      <c r="LO32">
        <f>IF('計算A'!DE$106=1,GY32,1)</f>
        <v/>
      </c>
      <c r="LP32">
        <f>IF('計算A'!DF$106=1,GZ32,1)</f>
        <v/>
      </c>
      <c r="LQ32">
        <f>IF('計算A'!DG$106=1,HA32,1)</f>
        <v/>
      </c>
      <c r="LR32">
        <f>IF('計算A'!DH$106=1,HB32,1)</f>
        <v/>
      </c>
      <c r="LS32">
        <f>IF('計算A'!DI$106=1,HC32,1)</f>
        <v/>
      </c>
      <c r="LT32">
        <f>IF('計算A'!DJ$106=1,HD32,1)</f>
        <v/>
      </c>
      <c r="LU32">
        <f>IF('計算A'!DK$106=1,HE32,1)</f>
        <v/>
      </c>
      <c r="LV32">
        <f>IF('計算A'!DL$106=1,HF32,1)</f>
        <v/>
      </c>
      <c r="LW32">
        <f>IF('計算A'!DM$106=1,HG32,1)</f>
        <v/>
      </c>
      <c r="LX32">
        <f>IF('計算A'!DN$106=1,HH32,1)</f>
        <v/>
      </c>
      <c r="LY32">
        <f>IF('計算A'!DO$106=1,HI32,1)</f>
        <v/>
      </c>
      <c r="LZ32">
        <f>IF('計算A'!DP$106=1,HJ32,1)</f>
        <v/>
      </c>
      <c r="MA32">
        <f>IF('計算A'!DQ$106=1,HK32,1)</f>
        <v/>
      </c>
      <c r="MB32">
        <f>IF('計算A'!DR$106=1,HL32,1)</f>
        <v/>
      </c>
      <c r="MC32" t="n">
        <v>1</v>
      </c>
      <c r="ME32">
        <f>IF($B32=0,1000000,IF(INDEX('計算A'!$D$60:$DS$104,$B32,1)*CW32=1,IF(AND($E32=2,HN32=0),1000000,INDEX('計算A'!D$110:D$114,$F32+1)+IF(AND($E32=1,HN32=0),1000,0)),1000000))</f>
        <v/>
      </c>
      <c r="MF32">
        <f>IF($B32=0,1000000,IF(INDEX('計算A'!$D$60:$DS$104,$B32,2)*CX32=1,IF(AND($E32=2,HO32=0),1000000,INDEX('計算A'!E$110:E$114,$F32+1)+IF(AND($E32=1,HO32=0),1000,0)),1000000))</f>
        <v/>
      </c>
      <c r="MG32">
        <f>IF($B32=0,1000000,IF(INDEX('計算A'!$D$60:$DS$104,$B32,3)*CY32=1,IF(AND($E32=2,HP32=0),1000000,INDEX('計算A'!F$110:F$114,$F32+1)+IF(AND($E32=1,HP32=0),1000,0)),1000000))</f>
        <v/>
      </c>
      <c r="MH32">
        <f>IF($B32=0,1000000,IF(INDEX('計算A'!$D$60:$DS$104,$B32,4)*CZ32=1,IF(AND($E32=2,HQ32=0),1000000,INDEX('計算A'!G$110:G$114,$F32+1)+IF(AND($E32=1,HQ32=0),1000,0)),1000000))</f>
        <v/>
      </c>
      <c r="MI32">
        <f>IF($B32=0,1000000,IF(INDEX('計算A'!$D$60:$DS$104,$B32,5)*DA32=1,IF(AND($E32=2,HR32=0),1000000,INDEX('計算A'!H$110:H$114,$F32+1)+IF(AND($E32=1,HR32=0),1000,0)),1000000))</f>
        <v/>
      </c>
      <c r="MJ32">
        <f>IF($B32=0,1000000,IF(INDEX('計算A'!$D$60:$DS$104,$B32,6)*DB32=1,IF(AND($E32=2,HS32=0),1000000,INDEX('計算A'!I$110:I$114,$F32+1)+IF(AND($E32=1,HS32=0),1000,0)),1000000))</f>
        <v/>
      </c>
      <c r="MK32">
        <f>IF($B32=0,1000000,IF(INDEX('計算A'!$D$60:$DS$104,$B32,7)*DC32=1,IF(AND($E32=2,HT32=0),1000000,INDEX('計算A'!J$110:J$114,$F32+1)+IF(AND($E32=1,HT32=0),1000,0)),1000000))</f>
        <v/>
      </c>
      <c r="ML32">
        <f>IF($B32=0,1000000,IF(INDEX('計算A'!$D$60:$DS$104,$B32,8)*DD32=1,IF(AND($E32=2,HU32=0),1000000,INDEX('計算A'!K$110:K$114,$F32+1)+IF(AND($E32=1,HU32=0),1000,0)),1000000))</f>
        <v/>
      </c>
      <c r="MM32">
        <f>IF($B32=0,1000000,IF(INDEX('計算A'!$D$60:$DS$104,$B32,9)*DE32=1,IF(AND($E32=2,HV32=0),1000000,INDEX('計算A'!L$110:L$114,$F32+1)+IF(AND($E32=1,HV32=0),1000,0)),1000000))</f>
        <v/>
      </c>
      <c r="MN32">
        <f>IF($B32=0,1000000,IF(INDEX('計算A'!$D$60:$DS$104,$B32,10)*DF32=1,IF(AND($E32=2,HW32=0),1000000,INDEX('計算A'!M$110:M$114,$F32+1)+IF(AND($E32=1,HW32=0),1000,0)),1000000))</f>
        <v/>
      </c>
      <c r="MO32">
        <f>IF($B32=0,1000000,IF(INDEX('計算A'!$D$60:$DS$104,$B32,11)*DG32=1,IF(AND($E32=2,HX32=0),1000000,INDEX('計算A'!N$110:N$114,$F32+1)+IF(AND($E32=1,HX32=0),1000,0)),1000000))</f>
        <v/>
      </c>
      <c r="MP32">
        <f>IF($B32=0,1000000,IF(INDEX('計算A'!$D$60:$DS$104,$B32,12)*DH32=1,IF(AND($E32=2,HY32=0),1000000,INDEX('計算A'!O$110:O$114,$F32+1)+IF(AND($E32=1,HY32=0),1000,0)),1000000))</f>
        <v/>
      </c>
      <c r="MQ32">
        <f>IF($B32=0,1000000,IF(INDEX('計算A'!$D$60:$DS$104,$B32,13)*DI32=1,IF(AND($E32=2,HZ32=0),1000000,INDEX('計算A'!P$110:P$114,$F32+1)+IF(AND($E32=1,HZ32=0),1000,0)),1000000))</f>
        <v/>
      </c>
      <c r="MR32">
        <f>IF($B32=0,1000000,IF(INDEX('計算A'!$D$60:$DS$104,$B32,14)*DJ32=1,IF(AND($E32=2,IA32=0),1000000,INDEX('計算A'!Q$110:Q$114,$F32+1)+IF(AND($E32=1,IA32=0),1000,0)),1000000))</f>
        <v/>
      </c>
      <c r="MS32">
        <f>IF($B32=0,1000000,IF(INDEX('計算A'!$D$60:$DS$104,$B32,15)*DK32=1,IF(AND($E32=2,IB32=0),1000000,INDEX('計算A'!R$110:R$114,$F32+1)+IF(AND($E32=1,IB32=0),1000,0)),1000000))</f>
        <v/>
      </c>
      <c r="MT32">
        <f>IF($B32=0,1000000,IF(INDEX('計算A'!$D$60:$DS$104,$B32,16)*DL32=1,IF(AND($E32=2,IC32=0),1000000,INDEX('計算A'!S$110:S$114,$F32+1)+IF(AND($E32=1,IC32=0),1000,0)),1000000))</f>
        <v/>
      </c>
      <c r="MU32">
        <f>IF($B32=0,1000000,IF(INDEX('計算A'!$D$60:$DS$104,$B32,17)*DM32=1,IF(AND($E32=2,ID32=0),1000000,INDEX('計算A'!T$110:T$114,$F32+1)+IF(AND($E32=1,ID32=0),1000,0)),1000000))</f>
        <v/>
      </c>
      <c r="MV32">
        <f>IF($B32=0,1000000,IF(INDEX('計算A'!$D$60:$DS$104,$B32,18)*DN32=1,IF(AND($E32=2,IE32=0),1000000,INDEX('計算A'!U$110:U$114,$F32+1)+IF(AND($E32=1,IE32=0),1000,0)),1000000))</f>
        <v/>
      </c>
      <c r="MW32">
        <f>IF($B32=0,1000000,IF(INDEX('計算A'!$D$60:$DS$104,$B32,19)*DO32=1,IF(AND($E32=2,IF32=0),1000000,INDEX('計算A'!V$110:V$114,$F32+1)+IF(AND($E32=1,IF32=0),1000,0)),1000000))</f>
        <v/>
      </c>
      <c r="MX32">
        <f>IF($B32=0,1000000,IF(INDEX('計算A'!$D$60:$DS$104,$B32,20)*DP32=1,IF(AND($E32=2,IG32=0),1000000,INDEX('計算A'!W$110:W$114,$F32+1)+IF(AND($E32=1,IG32=0),1000,0)),1000000))</f>
        <v/>
      </c>
      <c r="MY32">
        <f>IF($B32=0,1000000,IF(INDEX('計算A'!$D$60:$DS$104,$B32,21)*DQ32=1,IF(AND($E32=2,IH32=0),1000000,INDEX('計算A'!X$110:X$114,$F32+1)+IF(AND($E32=1,IH32=0),1000,0)),1000000))</f>
        <v/>
      </c>
      <c r="MZ32">
        <f>IF($B32=0,1000000,IF(INDEX('計算A'!$D$60:$DS$104,$B32,22)*DR32=1,IF(AND($E32=2,II32=0),1000000,INDEX('計算A'!Y$110:Y$114,$F32+1)+IF(AND($E32=1,II32=0),1000,0)),1000000))</f>
        <v/>
      </c>
      <c r="NA32">
        <f>IF($B32=0,1000000,IF(INDEX('計算A'!$D$60:$DS$104,$B32,23)*DS32=1,IF(AND($E32=2,IJ32=0),1000000,INDEX('計算A'!Z$110:Z$114,$F32+1)+IF(AND($E32=1,IJ32=0),1000,0)),1000000))</f>
        <v/>
      </c>
      <c r="NB32">
        <f>IF($B32=0,1000000,IF(INDEX('計算A'!$D$60:$DS$104,$B32,24)*DT32=1,IF(AND($E32=2,IK32=0),1000000,INDEX('計算A'!AA$110:AA$114,$F32+1)+IF(AND($E32=1,IK32=0),1000,0)),1000000))</f>
        <v/>
      </c>
      <c r="NC32">
        <f>IF($B32=0,1000000,IF(INDEX('計算A'!$D$60:$DS$104,$B32,25)*DU32=1,IF(AND($E32=2,IL32=0),1000000,INDEX('計算A'!AB$110:AB$114,$F32+1)+IF(AND($E32=1,IL32=0),1000,0)),1000000))</f>
        <v/>
      </c>
      <c r="ND32">
        <f>IF($B32=0,1000000,IF(INDEX('計算A'!$D$60:$DS$104,$B32,26)*DV32=1,IF(AND($E32=2,IM32=0),1000000,INDEX('計算A'!AC$110:AC$114,$F32+1)+IF(AND($E32=1,IM32=0),1000,0)),1000000))</f>
        <v/>
      </c>
      <c r="NE32">
        <f>IF($B32=0,1000000,IF(INDEX('計算A'!$D$60:$DS$104,$B32,27)*DW32=1,IF(AND($E32=2,IN32=0),1000000,INDEX('計算A'!AD$110:AD$114,$F32+1)+IF(AND($E32=1,IN32=0),1000,0)),1000000))</f>
        <v/>
      </c>
      <c r="NF32">
        <f>IF($B32=0,1000000,IF(INDEX('計算A'!$D$60:$DS$104,$B32,28)*DX32=1,IF(AND($E32=2,IO32=0),1000000,INDEX('計算A'!AE$110:AE$114,$F32+1)+IF(AND($E32=1,IO32=0),1000,0)),1000000))</f>
        <v/>
      </c>
      <c r="NG32">
        <f>IF($B32=0,1000000,IF(INDEX('計算A'!$D$60:$DS$104,$B32,29)*DY32=1,IF(AND($E32=2,IP32=0),1000000,INDEX('計算A'!AF$110:AF$114,$F32+1)+IF(AND($E32=1,IP32=0),1000,0)),1000000))</f>
        <v/>
      </c>
      <c r="NH32">
        <f>IF($B32=0,1000000,IF(INDEX('計算A'!$D$60:$DS$104,$B32,30)*DZ32=1,IF(AND($E32=2,IQ32=0),1000000,INDEX('計算A'!AG$110:AG$114,$F32+1)+IF(AND($E32=1,IQ32=0),1000,0)),1000000))</f>
        <v/>
      </c>
      <c r="NI32">
        <f>IF($B32=0,1000000,IF(INDEX('計算A'!$D$60:$DS$104,$B32,31)*EA32=1,IF(AND($E32=2,IR32=0),1000000,INDEX('計算A'!AH$110:AH$114,$F32+1)+IF(AND($E32=1,IR32=0),1000,0)),1000000))</f>
        <v/>
      </c>
      <c r="NJ32">
        <f>IF($B32=0,1000000,IF(INDEX('計算A'!$D$60:$DS$104,$B32,32)*EB32=1,IF(AND($E32=2,IS32=0),1000000,INDEX('計算A'!AI$110:AI$114,$F32+1)+IF(AND($E32=1,IS32=0),1000,0)),1000000))</f>
        <v/>
      </c>
      <c r="NK32">
        <f>IF($B32=0,1000000,IF(INDEX('計算A'!$D$60:$DS$104,$B32,33)*EC32=1,IF(AND($E32=2,IT32=0),1000000,INDEX('計算A'!AJ$110:AJ$114,$F32+1)+IF(AND($E32=1,IT32=0),1000,0)),1000000))</f>
        <v/>
      </c>
      <c r="NL32">
        <f>IF($B32=0,1000000,IF(INDEX('計算A'!$D$60:$DS$104,$B32,34)*ED32=1,IF(AND($E32=2,IU32=0),1000000,INDEX('計算A'!AK$110:AK$114,$F32+1)+IF(AND($E32=1,IU32=0),1000,0)),1000000))</f>
        <v/>
      </c>
      <c r="NM32">
        <f>IF($B32=0,1000000,IF(INDEX('計算A'!$D$60:$DS$104,$B32,35)*EE32=1,IF(AND($E32=2,IV32=0),1000000,INDEX('計算A'!AL$110:AL$114,$F32+1)+IF(AND($E32=1,IV32=0),1000,0)),1000000))</f>
        <v/>
      </c>
      <c r="NN32">
        <f>IF($B32=0,1000000,IF(INDEX('計算A'!$D$60:$DS$104,$B32,36)*EF32=1,IF(AND($E32=2,IW32=0),1000000,INDEX('計算A'!AM$110:AM$114,$F32+1)+IF(AND($E32=1,IW32=0),1000,0)),1000000))</f>
        <v/>
      </c>
      <c r="NO32">
        <f>IF($B32=0,1000000,IF(INDEX('計算A'!$D$60:$DS$104,$B32,37)*EG32=1,IF(AND($E32=2,IX32=0),1000000,INDEX('計算A'!AN$110:AN$114,$F32+1)+IF(AND($E32=1,IX32=0),1000,0)),1000000))</f>
        <v/>
      </c>
      <c r="NP32">
        <f>IF($B32=0,1000000,IF(INDEX('計算A'!$D$60:$DS$104,$B32,38)*EH32=1,IF(AND($E32=2,IY32=0),1000000,INDEX('計算A'!AO$110:AO$114,$F32+1)+IF(AND($E32=1,IY32=0),1000,0)),1000000))</f>
        <v/>
      </c>
      <c r="NQ32">
        <f>IF($B32=0,1000000,IF(INDEX('計算A'!$D$60:$DS$104,$B32,39)*EI32=1,IF(AND($E32=2,IZ32=0),1000000,INDEX('計算A'!AP$110:AP$114,$F32+1)+IF(AND($E32=1,IZ32=0),1000,0)),1000000))</f>
        <v/>
      </c>
      <c r="NR32">
        <f>IF($B32=0,1000000,IF(INDEX('計算A'!$D$60:$DS$104,$B32,40)*EJ32=1,IF(AND($E32=2,JA32=0),1000000,INDEX('計算A'!AQ$110:AQ$114,$F32+1)+IF(AND($E32=1,JA32=0),1000,0)),1000000))</f>
        <v/>
      </c>
      <c r="NS32">
        <f>IF($B32=0,1000000,IF(INDEX('計算A'!$D$60:$DS$104,$B32,41)*EK32=1,IF(AND($E32=2,JB32=0),1000000,INDEX('計算A'!AR$110:AR$114,$F32+1)+IF(AND($E32=1,JB32=0),1000,0)),1000000))</f>
        <v/>
      </c>
      <c r="NT32">
        <f>IF($B32=0,1000000,IF(INDEX('計算A'!$D$60:$DS$104,$B32,42)*EL32=1,IF(AND($E32=2,JC32=0),1000000,INDEX('計算A'!AS$110:AS$114,$F32+1)+IF(AND($E32=1,JC32=0),1000,0)),1000000))</f>
        <v/>
      </c>
      <c r="NU32">
        <f>IF($B32=0,1000000,IF(INDEX('計算A'!$D$60:$DS$104,$B32,43)*EM32=1,IF(AND($E32=2,JD32=0),1000000,INDEX('計算A'!AT$110:AT$114,$F32+1)+IF(AND($E32=1,JD32=0),1000,0)),1000000))</f>
        <v/>
      </c>
      <c r="NV32">
        <f>IF($B32=0,1000000,IF(INDEX('計算A'!$D$60:$DS$104,$B32,44)*EN32=1,IF(AND($E32=2,JE32=0),1000000,INDEX('計算A'!AU$110:AU$114,$F32+1)+IF(AND($E32=1,JE32=0),1000,0)),1000000))</f>
        <v/>
      </c>
      <c r="NW32">
        <f>IF($B32=0,1000000,IF(INDEX('計算A'!$D$60:$DS$104,$B32,45)*EO32=1,IF(AND($E32=2,JF32=0),1000000,INDEX('計算A'!AV$110:AV$114,$F32+1)+IF(AND($E32=1,JF32=0),1000,0)),1000000))</f>
        <v/>
      </c>
      <c r="NX32">
        <f>IF($B32=0,1000000,IF(INDEX('計算A'!$D$60:$DS$104,$B32,46)*EP32=1,IF(AND($E32=2,JG32=0),1000000,INDEX('計算A'!AW$110:AW$114,$F32+1)+IF(AND($E32=1,JG32=0),1000,0)),1000000))</f>
        <v/>
      </c>
      <c r="NY32">
        <f>IF($B32=0,1000000,IF(INDEX('計算A'!$D$60:$DS$104,$B32,47)*EQ32=1,IF(AND($E32=2,JH32=0),1000000,INDEX('計算A'!AX$110:AX$114,$F32+1)+IF(AND($E32=1,JH32=0),1000,0)),1000000))</f>
        <v/>
      </c>
      <c r="NZ32">
        <f>IF($B32=0,1000000,IF(INDEX('計算A'!$D$60:$DS$104,$B32,48)*ER32=1,IF(AND($E32=2,JI32=0),1000000,INDEX('計算A'!AY$110:AY$114,$F32+1)+IF(AND($E32=1,JI32=0),1000,0)),1000000))</f>
        <v/>
      </c>
      <c r="OA32">
        <f>IF($B32=0,1000000,IF(INDEX('計算A'!$D$60:$DS$104,$B32,49)*ES32=1,IF(AND($E32=2,JJ32=0),1000000,INDEX('計算A'!AZ$110:AZ$114,$F32+1)+IF(AND($E32=1,JJ32=0),1000,0)),1000000))</f>
        <v/>
      </c>
      <c r="OB32">
        <f>IF($B32=0,1000000,IF(INDEX('計算A'!$D$60:$DS$104,$B32,50)*ET32=1,IF(AND($E32=2,JK32=0),1000000,INDEX('計算A'!BA$110:BA$114,$F32+1)+IF(AND($E32=1,JK32=0),1000,0)),1000000))</f>
        <v/>
      </c>
      <c r="OC32">
        <f>IF($B32=0,1000000,IF(INDEX('計算A'!$D$60:$DS$104,$B32,51)*EU32=1,IF(AND($E32=2,JL32=0),1000000,INDEX('計算A'!BB$110:BB$114,$F32+1)+IF(AND($E32=1,JL32=0),1000,0)),1000000))</f>
        <v/>
      </c>
      <c r="OD32">
        <f>IF($B32=0,1000000,IF(INDEX('計算A'!$D$60:$DS$104,$B32,52)*EV32=1,IF(AND($E32=2,JM32=0),1000000,INDEX('計算A'!BC$110:BC$114,$F32+1)+IF(AND($E32=1,JM32=0),1000,0)),1000000))</f>
        <v/>
      </c>
      <c r="OE32">
        <f>IF($B32=0,1000000,IF(INDEX('計算A'!$D$60:$DS$104,$B32,53)*EW32=1,IF(AND($E32=2,JN32=0),1000000,INDEX('計算A'!BD$110:BD$114,$F32+1)+IF(AND($E32=1,JN32=0),1000,0)),1000000))</f>
        <v/>
      </c>
      <c r="OF32">
        <f>IF($B32=0,1000000,IF(INDEX('計算A'!$D$60:$DS$104,$B32,54)*EX32=1,IF(AND($E32=2,JO32=0),1000000,INDEX('計算A'!BE$110:BE$114,$F32+1)+IF(AND($E32=1,JO32=0),1000,0)),1000000))</f>
        <v/>
      </c>
      <c r="OG32">
        <f>IF($B32=0,1000000,IF(INDEX('計算A'!$D$60:$DS$104,$B32,55)*EY32=1,IF(AND($E32=2,JP32=0),1000000,INDEX('計算A'!BF$110:BF$114,$F32+1)+IF(AND($E32=1,JP32=0),1000,0)),1000000))</f>
        <v/>
      </c>
      <c r="OH32">
        <f>IF($B32=0,1000000,IF(INDEX('計算A'!$D$60:$DS$104,$B32,56)*EZ32=1,IF(AND($E32=2,JQ32=0),1000000,INDEX('計算A'!BG$110:BG$114,$F32+1)+IF(AND($E32=1,JQ32=0),1000,0)),1000000))</f>
        <v/>
      </c>
      <c r="OI32">
        <f>IF($B32=0,1000000,IF(INDEX('計算A'!$D$60:$DS$104,$B32,57)*FA32=1,IF(AND($E32=2,JR32=0),1000000,INDEX('計算A'!BH$110:BH$114,$F32+1)+IF(AND($E32=1,JR32=0),1000,0)),1000000))</f>
        <v/>
      </c>
      <c r="OJ32">
        <f>IF($B32=0,1000000,IF(INDEX('計算A'!$D$60:$DS$104,$B32,58)*FB32=1,IF(AND($E32=2,JS32=0),1000000,INDEX('計算A'!BI$110:BI$114,$F32+1)+IF(AND($E32=1,JS32=0),1000,0)),1000000))</f>
        <v/>
      </c>
      <c r="OK32">
        <f>IF($B32=0,1000000,IF(INDEX('計算A'!$D$60:$DS$104,$B32,59)*FC32=1,IF(AND($E32=2,JT32=0),1000000,INDEX('計算A'!BJ$110:BJ$114,$F32+1)+IF(AND($E32=1,JT32=0),1000,0)),1000000))</f>
        <v/>
      </c>
      <c r="OL32">
        <f>IF($B32=0,1000000,IF(INDEX('計算A'!$D$60:$DS$104,$B32,60)*FD32=1,IF(AND($E32=2,JU32=0),1000000,INDEX('計算A'!BK$110:BK$114,$F32+1)+IF(AND($E32=1,JU32=0),1000,0)),1000000))</f>
        <v/>
      </c>
      <c r="OM32">
        <f>IF($B32=0,1000000,IF(INDEX('計算A'!$D$60:$DS$104,$B32,61)*FE32=1,IF(AND($E32=2,JV32=0),1000000,INDEX('計算A'!BL$110:BL$114,$F32+1)+IF(AND($E32=1,JV32=0),1000,0)),1000000))</f>
        <v/>
      </c>
      <c r="ON32">
        <f>IF($B32=0,1000000,IF(INDEX('計算A'!$D$60:$DS$104,$B32,62)*FF32=1,IF(AND($E32=2,JW32=0),1000000,INDEX('計算A'!BM$110:BM$114,$F32+1)+IF(AND($E32=1,JW32=0),1000,0)),1000000))</f>
        <v/>
      </c>
      <c r="OO32">
        <f>IF($B32=0,1000000,IF(INDEX('計算A'!$D$60:$DS$104,$B32,63)*FG32=1,IF(AND($E32=2,JX32=0),1000000,INDEX('計算A'!BN$110:BN$114,$F32+1)+IF(AND($E32=1,JX32=0),1000,0)),1000000))</f>
        <v/>
      </c>
      <c r="OP32">
        <f>IF($B32=0,1000000,IF(INDEX('計算A'!$D$60:$DS$104,$B32,64)*FH32=1,IF(AND($E32=2,JY32=0),1000000,INDEX('計算A'!BO$110:BO$114,$F32+1)+IF(AND($E32=1,JY32=0),1000,0)),1000000))</f>
        <v/>
      </c>
      <c r="OQ32">
        <f>IF($B32=0,1000000,IF(INDEX('計算A'!$D$60:$DS$104,$B32,65)*FI32=1,IF(AND($E32=2,JZ32=0),1000000,INDEX('計算A'!BP$110:BP$114,$F32+1)+IF(AND($E32=1,JZ32=0),1000,0)),1000000))</f>
        <v/>
      </c>
      <c r="OR32">
        <f>IF($B32=0,1000000,IF(INDEX('計算A'!$D$60:$DS$104,$B32,66)*FJ32=1,IF(AND($E32=2,KA32=0),1000000,INDEX('計算A'!BQ$110:BQ$114,$F32+1)+IF(AND($E32=1,KA32=0),1000,0)),1000000))</f>
        <v/>
      </c>
      <c r="OS32">
        <f>IF($B32=0,1000000,IF(INDEX('計算A'!$D$60:$DS$104,$B32,67)*FK32=1,IF(AND($E32=2,KB32=0),1000000,INDEX('計算A'!BR$110:BR$114,$F32+1)+IF(AND($E32=1,KB32=0),1000,0)),1000000))</f>
        <v/>
      </c>
      <c r="OT32">
        <f>IF($B32=0,1000000,IF(INDEX('計算A'!$D$60:$DS$104,$B32,68)*FL32=1,IF(AND($E32=2,KC32=0),1000000,INDEX('計算A'!BS$110:BS$114,$F32+1)+IF(AND($E32=1,KC32=0),1000,0)),1000000))</f>
        <v/>
      </c>
      <c r="OU32">
        <f>IF($B32=0,1000000,IF(INDEX('計算A'!$D$60:$DS$104,$B32,69)*FM32=1,IF(AND($E32=2,KD32=0),1000000,INDEX('計算A'!BT$110:BT$114,$F32+1)+IF(AND($E32=1,KD32=0),1000,0)),1000000))</f>
        <v/>
      </c>
      <c r="OV32">
        <f>IF($B32=0,1000000,IF(INDEX('計算A'!$D$60:$DS$104,$B32,70)*FN32=1,IF(AND($E32=2,KE32=0),1000000,INDEX('計算A'!BU$110:BU$114,$F32+1)+IF(AND($E32=1,KE32=0),1000,0)),1000000))</f>
        <v/>
      </c>
      <c r="OW32">
        <f>IF($B32=0,1000000,IF(INDEX('計算A'!$D$60:$DS$104,$B32,71)*FO32=1,IF(AND($E32=2,KF32=0),1000000,INDEX('計算A'!BV$110:BV$114,$F32+1)+IF(AND($E32=1,KF32=0),1000,0)),1000000))</f>
        <v/>
      </c>
      <c r="OX32">
        <f>IF($B32=0,1000000,IF(INDEX('計算A'!$D$60:$DS$104,$B32,72)*FP32=1,IF(AND($E32=2,KG32=0),1000000,INDEX('計算A'!BW$110:BW$114,$F32+1)+IF(AND($E32=1,KG32=0),1000,0)),1000000))</f>
        <v/>
      </c>
      <c r="OY32">
        <f>IF($B32=0,1000000,IF(INDEX('計算A'!$D$60:$DS$104,$B32,73)*FQ32=1,IF(AND($E32=2,KH32=0),1000000,INDEX('計算A'!BX$110:BX$114,$F32+1)+IF(AND($E32=1,KH32=0),1000,0)),1000000))</f>
        <v/>
      </c>
      <c r="OZ32">
        <f>IF($B32=0,1000000,IF(INDEX('計算A'!$D$60:$DS$104,$B32,74)*FR32=1,IF(AND($E32=2,KI32=0),1000000,INDEX('計算A'!BY$110:BY$114,$F32+1)+IF(AND($E32=1,KI32=0),1000,0)),1000000))</f>
        <v/>
      </c>
      <c r="PA32">
        <f>IF($B32=0,1000000,IF(INDEX('計算A'!$D$60:$DS$104,$B32,75)*FS32=1,IF(AND($E32=2,KJ32=0),1000000,INDEX('計算A'!BZ$110:BZ$114,$F32+1)+IF(AND($E32=1,KJ32=0),1000,0)),1000000))</f>
        <v/>
      </c>
      <c r="PB32">
        <f>IF($B32=0,1000000,IF(INDEX('計算A'!$D$60:$DS$104,$B32,76)*FT32=1,IF(AND($E32=2,KK32=0),1000000,INDEX('計算A'!CA$110:CA$114,$F32+1)+IF(AND($E32=1,KK32=0),1000,0)),1000000))</f>
        <v/>
      </c>
      <c r="PC32">
        <f>IF($B32=0,1000000,IF(INDEX('計算A'!$D$60:$DS$104,$B32,77)*FU32=1,IF(AND($E32=2,KL32=0),1000000,INDEX('計算A'!CB$110:CB$114,$F32+1)+IF(AND($E32=1,KL32=0),1000,0)),1000000))</f>
        <v/>
      </c>
      <c r="PD32">
        <f>IF($B32=0,1000000,IF(INDEX('計算A'!$D$60:$DS$104,$B32,78)*FV32=1,IF(AND($E32=2,KM32=0),1000000,INDEX('計算A'!CC$110:CC$114,$F32+1)+IF(AND($E32=1,KM32=0),1000,0)),1000000))</f>
        <v/>
      </c>
      <c r="PE32">
        <f>IF($B32=0,1000000,IF(INDEX('計算A'!$D$60:$DS$104,$B32,79)*FW32=1,IF(AND($E32=2,KN32=0),1000000,INDEX('計算A'!CD$110:CD$114,$F32+1)+IF(AND($E32=1,KN32=0),1000,0)),1000000))</f>
        <v/>
      </c>
      <c r="PF32">
        <f>IF($B32=0,1000000,IF(INDEX('計算A'!$D$60:$DS$104,$B32,80)*FX32=1,IF(AND($E32=2,KO32=0),1000000,INDEX('計算A'!CE$110:CE$114,$F32+1)+IF(AND($E32=1,KO32=0),1000,0)),1000000))</f>
        <v/>
      </c>
      <c r="PG32">
        <f>IF($B32=0,1000000,IF(INDEX('計算A'!$D$60:$DS$104,$B32,81)*FY32=1,IF(AND($E32=2,KP32=0),1000000,INDEX('計算A'!CF$110:CF$114,$F32+1)+IF(AND($E32=1,KP32=0),1000,0)),1000000))</f>
        <v/>
      </c>
      <c r="PH32">
        <f>IF($B32=0,1000000,IF(INDEX('計算A'!$D$60:$DS$104,$B32,82)*FZ32=1,IF(AND($E32=2,KQ32=0),1000000,INDEX('計算A'!CG$110:CG$114,$F32+1)+IF(AND($E32=1,KQ32=0),1000,0)),1000000))</f>
        <v/>
      </c>
      <c r="PI32">
        <f>IF($B32=0,1000000,IF(INDEX('計算A'!$D$60:$DS$104,$B32,83)*GA32=1,IF(AND($E32=2,KR32=0),1000000,INDEX('計算A'!CH$110:CH$114,$F32+1)+IF(AND($E32=1,KR32=0),1000,0)),1000000))</f>
        <v/>
      </c>
      <c r="PJ32">
        <f>IF($B32=0,1000000,IF(INDEX('計算A'!$D$60:$DS$104,$B32,84)*GB32=1,IF(AND($E32=2,KS32=0),1000000,INDEX('計算A'!CI$110:CI$114,$F32+1)+IF(AND($E32=1,KS32=0),1000,0)),1000000))</f>
        <v/>
      </c>
      <c r="PK32">
        <f>IF($B32=0,1000000,IF(INDEX('計算A'!$D$60:$DS$104,$B32,85)*GC32=1,IF(AND($E32=2,KT32=0),1000000,INDEX('計算A'!CJ$110:CJ$114,$F32+1)+IF(AND($E32=1,KT32=0),1000,0)),1000000))</f>
        <v/>
      </c>
      <c r="PL32">
        <f>IF($B32=0,1000000,IF(INDEX('計算A'!$D$60:$DS$104,$B32,86)*GD32=1,IF(AND($E32=2,KU32=0),1000000,INDEX('計算A'!CK$110:CK$114,$F32+1)+IF(AND($E32=1,KU32=0),1000,0)),1000000))</f>
        <v/>
      </c>
      <c r="PM32">
        <f>IF($B32=0,1000000,IF(INDEX('計算A'!$D$60:$DS$104,$B32,87)*GE32=1,IF(AND($E32=2,KV32=0),1000000,INDEX('計算A'!CL$110:CL$114,$F32+1)+IF(AND($E32=1,KV32=0),1000,0)),1000000))</f>
        <v/>
      </c>
      <c r="PN32">
        <f>IF($B32=0,1000000,IF(INDEX('計算A'!$D$60:$DS$104,$B32,88)*GF32=1,IF(AND($E32=2,KW32=0),1000000,INDEX('計算A'!CM$110:CM$114,$F32+1)+IF(AND($E32=1,KW32=0),1000,0)),1000000))</f>
        <v/>
      </c>
      <c r="PO32">
        <f>IF($B32=0,1000000,IF(INDEX('計算A'!$D$60:$DS$104,$B32,89)*GG32=1,IF(AND($E32=2,KX32=0),1000000,INDEX('計算A'!CN$110:CN$114,$F32+1)+IF(AND($E32=1,KX32=0),1000,0)),1000000))</f>
        <v/>
      </c>
      <c r="PP32">
        <f>IF($B32=0,1000000,IF(INDEX('計算A'!$D$60:$DS$104,$B32,90)*GH32=1,IF(AND($E32=2,KY32=0),1000000,INDEX('計算A'!CO$110:CO$114,$F32+1)+IF(AND($E32=1,KY32=0),1000,0)),1000000))</f>
        <v/>
      </c>
      <c r="PQ32">
        <f>IF($B32=0,1000000,IF(INDEX('計算A'!$D$60:$DS$104,$B32,91)*GI32=1,IF(AND($E32=2,KZ32=0),1000000,INDEX('計算A'!CP$110:CP$114,$F32+1)+IF(AND($E32=1,KZ32=0),1000,0)),1000000))</f>
        <v/>
      </c>
      <c r="PR32">
        <f>IF($B32=0,1000000,IF(INDEX('計算A'!$D$60:$DS$104,$B32,92)*GJ32=1,IF(AND($E32=2,LA32=0),1000000,INDEX('計算A'!CQ$110:CQ$114,$F32+1)+IF(AND($E32=1,LA32=0),1000,0)),1000000))</f>
        <v/>
      </c>
      <c r="PS32">
        <f>IF($B32=0,1000000,IF(INDEX('計算A'!$D$60:$DS$104,$B32,93)*GK32=1,IF(AND($E32=2,LB32=0),1000000,INDEX('計算A'!CR$110:CR$114,$F32+1)+IF(AND($E32=1,LB32=0),1000,0)),1000000))</f>
        <v/>
      </c>
      <c r="PT32">
        <f>IF($B32=0,1000000,IF(INDEX('計算A'!$D$60:$DS$104,$B32,94)*GL32=1,IF(AND($E32=2,LC32=0),1000000,INDEX('計算A'!CS$110:CS$114,$F32+1)+IF(AND($E32=1,LC32=0),1000,0)),1000000))</f>
        <v/>
      </c>
      <c r="PU32">
        <f>IF($B32=0,1000000,IF(INDEX('計算A'!$D$60:$DS$104,$B32,95)*GM32=1,IF(AND($E32=2,LD32=0),1000000,INDEX('計算A'!CT$110:CT$114,$F32+1)+IF(AND($E32=1,LD32=0),1000,0)),1000000))</f>
        <v/>
      </c>
      <c r="PV32">
        <f>IF($B32=0,1000000,IF(INDEX('計算A'!$D$60:$DS$104,$B32,96)*GN32=1,IF(AND($E32=2,LE32=0),1000000,INDEX('計算A'!CU$110:CU$114,$F32+1)+IF(AND($E32=1,LE32=0),1000,0)),1000000))</f>
        <v/>
      </c>
      <c r="PW32">
        <f>IF($B32=0,1000000,IF(INDEX('計算A'!$D$60:$DS$104,$B32,97)*GO32=1,IF(AND($E32=2,LF32=0),1000000,INDEX('計算A'!CV$110:CV$114,$F32+1)+IF(AND($E32=1,LF32=0),1000,0)),1000000))</f>
        <v/>
      </c>
      <c r="PX32">
        <f>IF($B32=0,1000000,IF(INDEX('計算A'!$D$60:$DS$104,$B32,98)*GP32=1,IF(AND($E32=2,LG32=0),1000000,INDEX('計算A'!CW$110:CW$114,$F32+1)+IF(AND($E32=1,LG32=0),1000,0)),1000000))</f>
        <v/>
      </c>
      <c r="PY32">
        <f>IF($B32=0,1000000,IF(INDEX('計算A'!$D$60:$DS$104,$B32,99)*GQ32=1,IF(AND($E32=2,LH32=0),1000000,INDEX('計算A'!CX$110:CX$114,$F32+1)+IF(AND($E32=1,LH32=0),1000,0)),1000000))</f>
        <v/>
      </c>
      <c r="PZ32">
        <f>IF($B32=0,1000000,IF(INDEX('計算A'!$D$60:$DS$104,$B32,100)*GR32=1,IF(AND($E32=2,LI32=0),1000000,INDEX('計算A'!CY$110:CY$114,$F32+1)+IF(AND($E32=1,LI32=0),1000,0)),1000000))</f>
        <v/>
      </c>
      <c r="QA32">
        <f>IF($B32=0,1000000,IF(INDEX('計算A'!$D$60:$DS$104,$B32,101)*GS32=1,IF(AND($E32=2,LJ32=0),1000000,INDEX('計算A'!CZ$110:CZ$114,$F32+1)+IF(AND($E32=1,LJ32=0),1000,0)),1000000))</f>
        <v/>
      </c>
      <c r="QB32">
        <f>IF($B32=0,1000000,IF(INDEX('計算A'!$D$60:$DS$104,$B32,102)*GT32=1,IF(AND($E32=2,LK32=0),1000000,INDEX('計算A'!DA$110:DA$114,$F32+1)+IF(AND($E32=1,LK32=0),1000,0)),1000000))</f>
        <v/>
      </c>
      <c r="QC32">
        <f>IF($B32=0,1000000,IF(INDEX('計算A'!$D$60:$DS$104,$B32,103)*GU32=1,IF(AND($E32=2,LL32=0),1000000,INDEX('計算A'!DB$110:DB$114,$F32+1)+IF(AND($E32=1,LL32=0),1000,0)),1000000))</f>
        <v/>
      </c>
      <c r="QD32">
        <f>IF($B32=0,1000000,IF(INDEX('計算A'!$D$60:$DS$104,$B32,104)*GV32=1,IF(AND($E32=2,LM32=0),1000000,INDEX('計算A'!DC$110:DC$114,$F32+1)+IF(AND($E32=1,LM32=0),1000,0)),1000000))</f>
        <v/>
      </c>
      <c r="QE32">
        <f>IF($B32=0,1000000,IF(INDEX('計算A'!$D$60:$DS$104,$B32,105)*GW32=1,IF(AND($E32=2,LN32=0),1000000,INDEX('計算A'!DD$110:DD$114,$F32+1)+IF(AND($E32=1,LN32=0),1000,0)),1000000))</f>
        <v/>
      </c>
      <c r="QF32">
        <f>IF($B32=0,1000000,IF(INDEX('計算A'!$D$60:$DS$104,$B32,106)*GX32=1,IF(AND($E32=2,LO32=0),1000000,INDEX('計算A'!DE$110:DE$114,$F32+1)+IF(AND($E32=1,LO32=0),1000,0)),1000000))</f>
        <v/>
      </c>
      <c r="QG32">
        <f>IF($B32=0,1000000,IF(INDEX('計算A'!$D$60:$DS$104,$B32,107)*GY32=1,IF(AND($E32=2,LP32=0),1000000,INDEX('計算A'!DF$110:DF$114,$F32+1)+IF(AND($E32=1,LP32=0),1000,0)),1000000))</f>
        <v/>
      </c>
      <c r="QH32">
        <f>IF($B32=0,1000000,IF(INDEX('計算A'!$D$60:$DS$104,$B32,108)*GZ32=1,IF(AND($E32=2,LQ32=0),1000000,INDEX('計算A'!DG$110:DG$114,$F32+1)+IF(AND($E32=1,LQ32=0),1000,0)),1000000))</f>
        <v/>
      </c>
      <c r="QI32">
        <f>IF($B32=0,1000000,IF(INDEX('計算A'!$D$60:$DS$104,$B32,109)*HA32=1,IF(AND($E32=2,LR32=0),1000000,INDEX('計算A'!DH$110:DH$114,$F32+1)+IF(AND($E32=1,LR32=0),1000,0)),1000000))</f>
        <v/>
      </c>
      <c r="QJ32">
        <f>IF($B32=0,1000000,IF(INDEX('計算A'!$D$60:$DS$104,$B32,110)*HB32=1,IF(AND($E32=2,LS32=0),1000000,INDEX('計算A'!DI$110:DI$114,$F32+1)+IF(AND($E32=1,LS32=0),1000,0)),1000000))</f>
        <v/>
      </c>
      <c r="QK32">
        <f>IF($B32=0,1000000,IF(INDEX('計算A'!$D$60:$DS$104,$B32,111)*HC32=1,IF(AND($E32=2,LT32=0),1000000,INDEX('計算A'!DJ$110:DJ$114,$F32+1)+IF(AND($E32=1,LT32=0),1000,0)),1000000))</f>
        <v/>
      </c>
      <c r="QL32">
        <f>IF($B32=0,1000000,IF(INDEX('計算A'!$D$60:$DS$104,$B32,112)*HD32=1,IF(AND($E32=2,LU32=0),1000000,INDEX('計算A'!DK$110:DK$114,$F32+1)+IF(AND($E32=1,LU32=0),1000,0)),1000000))</f>
        <v/>
      </c>
      <c r="QM32">
        <f>IF($B32=0,1000000,IF(INDEX('計算A'!$D$60:$DS$104,$B32,113)*HE32=1,IF(AND($E32=2,LV32=0),1000000,INDEX('計算A'!DL$110:DL$114,$F32+1)+IF(AND($E32=1,LV32=0),1000,0)),1000000))</f>
        <v/>
      </c>
      <c r="QN32">
        <f>IF($B32=0,1000000,IF(INDEX('計算A'!$D$60:$DS$104,$B32,114)*HF32=1,IF(AND($E32=2,LW32=0),1000000,INDEX('計算A'!DM$110:DM$114,$F32+1)+IF(AND($E32=1,LW32=0),1000,0)),1000000))</f>
        <v/>
      </c>
      <c r="QO32">
        <f>IF($B32=0,1000000,IF(INDEX('計算A'!$D$60:$DS$104,$B32,115)*HG32=1,IF(AND($E32=2,LX32=0),1000000,INDEX('計算A'!DN$110:DN$114,$F32+1)+IF(AND($E32=1,LX32=0),1000,0)),1000000))</f>
        <v/>
      </c>
      <c r="QP32">
        <f>IF($B32=0,1000000,IF(INDEX('計算A'!$D$60:$DS$104,$B32,116)*HH32=1,IF(AND($E32=2,LY32=0),1000000,INDEX('計算A'!DO$110:DO$114,$F32+1)+IF(AND($E32=1,LY32=0),1000,0)),1000000))</f>
        <v/>
      </c>
      <c r="QQ32">
        <f>IF($B32=0,1000000,IF(INDEX('計算A'!$D$60:$DS$104,$B32,117)*HI32=1,IF(AND($E32=2,LZ32=0),1000000,INDEX('計算A'!DP$110:DP$114,$F32+1)+IF(AND($E32=1,LZ32=0),1000,0)),1000000))</f>
        <v/>
      </c>
      <c r="QR32">
        <f>IF($B32=0,1000000,IF(INDEX('計算A'!$D$60:$DS$104,$B32,118)*HJ32=1,IF(AND($E32=2,MA32=0),1000000,INDEX('計算A'!DQ$110:DQ$114,$F32+1)+IF(AND($E32=1,MA32=0),1000,0)),1000000))</f>
        <v/>
      </c>
      <c r="QS32">
        <f>IF($B32=0,1000000,IF(INDEX('計算A'!$D$60:$DS$104,$B32,119)*HK32=1,IF(AND($E32=2,MB32=0),1000000,INDEX('計算A'!DR$110:DR$114,$F32+1)+IF(AND($E32=1,MB32=0),1000,0)),1000000))</f>
        <v/>
      </c>
      <c r="QT32">
        <f>IF($B32=0,1000000,IF(INDEX('計算A'!$D$60:$DS$104,$B32,120)*HL32=1,IF(AND($E32=2,MC32=0),1000000,INDEX('計算A'!DS$110:DS$114,$F32+1)+IF(AND($E32=1,MC32=0),1000,0)),1000000))</f>
        <v/>
      </c>
    </row>
    <row r="33">
      <c r="A33" t="n">
        <v>31</v>
      </c>
      <c r="B33">
        <f>IF(MIN(BC33:CU33)&gt;=1000000,0,MATCH(MIN(BC33:CU33),BC33:CU33,0))</f>
        <v/>
      </c>
      <c r="C33">
        <f>IF(MIN(ME33:QT33)&gt;=1000000,0,MATCH(MIN(ME33:QT33),ME33:QT33,0))</f>
        <v/>
      </c>
      <c r="D33">
        <f>IF(C33&gt;0,INDEX('計算A'!$D$5:$DS$5,C33),0)</f>
        <v/>
      </c>
      <c r="E33">
        <f>IF(B33=0,0,INDEX('計算A'!$EA$10:$EA$54,B33))</f>
        <v/>
      </c>
      <c r="F33">
        <f>IF(B33=0,0,INDEX('計算A'!$DZ$10:$DZ$54,B33))</f>
        <v/>
      </c>
      <c r="G33">
        <f>IF(AND(C33&gt;0,E33&gt;0),IF(AND(INDEX('計算A'!$D$106:$DS$106,C33)=1,INDEX($HN33:$MC33,C33)=1),C33+1,0),0)</f>
        <v/>
      </c>
      <c r="I33">
        <f>MAX(I32,IF($B32=1,1,0))</f>
        <v/>
      </c>
      <c r="J33">
        <f>MAX(J32,IF($B32=2,1,0))</f>
        <v/>
      </c>
      <c r="K33">
        <f>MAX(K32,IF($B32=3,1,0))</f>
        <v/>
      </c>
      <c r="L33">
        <f>MAX(L32,IF($B32=4,1,0))</f>
        <v/>
      </c>
      <c r="M33">
        <f>MAX(M32,IF($B32=5,1,0))</f>
        <v/>
      </c>
      <c r="N33">
        <f>MAX(N32,IF($B32=6,1,0))</f>
        <v/>
      </c>
      <c r="O33">
        <f>MAX(O32,IF($B32=7,1,0))</f>
        <v/>
      </c>
      <c r="P33">
        <f>MAX(P32,IF($B32=8,1,0))</f>
        <v/>
      </c>
      <c r="Q33">
        <f>MAX(Q32,IF($B32=9,1,0))</f>
        <v/>
      </c>
      <c r="R33">
        <f>MAX(R32,IF($B32=10,1,0))</f>
        <v/>
      </c>
      <c r="S33">
        <f>MAX(S32,IF($B32=11,1,0))</f>
        <v/>
      </c>
      <c r="T33">
        <f>MAX(T32,IF($B32=12,1,0))</f>
        <v/>
      </c>
      <c r="U33">
        <f>MAX(U32,IF($B32=13,1,0))</f>
        <v/>
      </c>
      <c r="V33">
        <f>MAX(V32,IF($B32=14,1,0))</f>
        <v/>
      </c>
      <c r="W33">
        <f>MAX(W32,IF($B32=15,1,0))</f>
        <v/>
      </c>
      <c r="X33">
        <f>MAX(X32,IF($B32=16,1,0))</f>
        <v/>
      </c>
      <c r="Y33">
        <f>MAX(Y32,IF($B32=17,1,0))</f>
        <v/>
      </c>
      <c r="Z33">
        <f>MAX(Z32,IF($B32=18,1,0))</f>
        <v/>
      </c>
      <c r="AA33">
        <f>MAX(AA32,IF($B32=19,1,0))</f>
        <v/>
      </c>
      <c r="AB33">
        <f>MAX(AB32,IF($B32=20,1,0))</f>
        <v/>
      </c>
      <c r="AC33">
        <f>MAX(AC32,IF($B32=21,1,0))</f>
        <v/>
      </c>
      <c r="AD33">
        <f>MAX(AD32,IF($B32=22,1,0))</f>
        <v/>
      </c>
      <c r="AE33">
        <f>MAX(AE32,IF($B32=23,1,0))</f>
        <v/>
      </c>
      <c r="AF33">
        <f>MAX(AF32,IF($B32=24,1,0))</f>
        <v/>
      </c>
      <c r="AG33">
        <f>MAX(AG32,IF($B32=25,1,0))</f>
        <v/>
      </c>
      <c r="AH33">
        <f>MAX(AH32,IF($B32=26,1,0))</f>
        <v/>
      </c>
      <c r="AI33">
        <f>MAX(AI32,IF($B32=27,1,0))</f>
        <v/>
      </c>
      <c r="AJ33">
        <f>MAX(AJ32,IF($B32=28,1,0))</f>
        <v/>
      </c>
      <c r="AK33">
        <f>MAX(AK32,IF($B32=29,1,0))</f>
        <v/>
      </c>
      <c r="AL33">
        <f>MAX(AL32,IF($B32=30,1,0))</f>
        <v/>
      </c>
      <c r="AM33">
        <f>MAX(AM32,IF($B32=31,1,0))</f>
        <v/>
      </c>
      <c r="AN33">
        <f>MAX(AN32,IF($B32=32,1,0))</f>
        <v/>
      </c>
      <c r="AO33">
        <f>MAX(AO32,IF($B32=33,1,0))</f>
        <v/>
      </c>
      <c r="AP33">
        <f>MAX(AP32,IF($B32=34,1,0))</f>
        <v/>
      </c>
      <c r="AQ33">
        <f>MAX(AQ32,IF($B32=35,1,0))</f>
        <v/>
      </c>
      <c r="AR33">
        <f>MAX(AR32,IF($B32=36,1,0))</f>
        <v/>
      </c>
      <c r="AS33">
        <f>MAX(AS32,IF($B32=37,1,0))</f>
        <v/>
      </c>
      <c r="AT33">
        <f>MAX(AT32,IF($B32=38,1,0))</f>
        <v/>
      </c>
      <c r="AU33">
        <f>MAX(AU32,IF($B32=39,1,0))</f>
        <v/>
      </c>
      <c r="AV33">
        <f>MAX(AV32,IF($B32=40,1,0))</f>
        <v/>
      </c>
      <c r="AW33">
        <f>MAX(AW32,IF($B32=41,1,0))</f>
        <v/>
      </c>
      <c r="AX33">
        <f>MAX(AX32,IF($B32=42,1,0))</f>
        <v/>
      </c>
      <c r="AY33">
        <f>MAX(AY32,IF($B32=43,1,0))</f>
        <v/>
      </c>
      <c r="AZ33">
        <f>MAX(AZ32,IF($B32=44,1,0))</f>
        <v/>
      </c>
      <c r="BA33">
        <f>MAX(BA32,IF($B32=45,1,0))</f>
        <v/>
      </c>
      <c r="BC33">
        <f>IF(I33=1,1000000,IF('計算A'!$EA$10=2,SUMPRODUCT('計算A'!$D$60:$DS$60,$CW33:$HL33,$HN33:$MC33),SUMPRODUCT('計算A'!$D$60:$DS$60,$CW33:$HL33))*1000+1)</f>
        <v/>
      </c>
      <c r="BD33">
        <f>IF(J33=1,1000000,IF('計算A'!$EA$11=2,SUMPRODUCT('計算A'!$D$61:$DS$61,$CW33:$HL33,$HN33:$MC33),SUMPRODUCT('計算A'!$D$61:$DS$61,$CW33:$HL33))*1000+2)</f>
        <v/>
      </c>
      <c r="BE33">
        <f>IF(K33=1,1000000,IF('計算A'!$EA$12=2,SUMPRODUCT('計算A'!$D$62:$DS$62,$CW33:$HL33,$HN33:$MC33),SUMPRODUCT('計算A'!$D$62:$DS$62,$CW33:$HL33))*1000+3)</f>
        <v/>
      </c>
      <c r="BF33">
        <f>IF(L33=1,1000000,IF('計算A'!$EA$13=2,SUMPRODUCT('計算A'!$D$63:$DS$63,$CW33:$HL33,$HN33:$MC33),SUMPRODUCT('計算A'!$D$63:$DS$63,$CW33:$HL33))*1000+4)</f>
        <v/>
      </c>
      <c r="BG33">
        <f>IF(M33=1,1000000,IF('計算A'!$EA$14=2,SUMPRODUCT('計算A'!$D$64:$DS$64,$CW33:$HL33,$HN33:$MC33),SUMPRODUCT('計算A'!$D$64:$DS$64,$CW33:$HL33))*1000+5)</f>
        <v/>
      </c>
      <c r="BH33">
        <f>IF(N33=1,1000000,IF('計算A'!$EA$15=2,SUMPRODUCT('計算A'!$D$65:$DS$65,$CW33:$HL33,$HN33:$MC33),SUMPRODUCT('計算A'!$D$65:$DS$65,$CW33:$HL33))*1000+6)</f>
        <v/>
      </c>
      <c r="BI33">
        <f>IF(O33=1,1000000,IF('計算A'!$EA$16=2,SUMPRODUCT('計算A'!$D$66:$DS$66,$CW33:$HL33,$HN33:$MC33),SUMPRODUCT('計算A'!$D$66:$DS$66,$CW33:$HL33))*1000+7)</f>
        <v/>
      </c>
      <c r="BJ33">
        <f>IF(P33=1,1000000,IF('計算A'!$EA$17=2,SUMPRODUCT('計算A'!$D$67:$DS$67,$CW33:$HL33,$HN33:$MC33),SUMPRODUCT('計算A'!$D$67:$DS$67,$CW33:$HL33))*1000+8)</f>
        <v/>
      </c>
      <c r="BK33">
        <f>IF(Q33=1,1000000,IF('計算A'!$EA$18=2,SUMPRODUCT('計算A'!$D$68:$DS$68,$CW33:$HL33,$HN33:$MC33),SUMPRODUCT('計算A'!$D$68:$DS$68,$CW33:$HL33))*1000+9)</f>
        <v/>
      </c>
      <c r="BL33">
        <f>IF(R33=1,1000000,IF('計算A'!$EA$19=2,SUMPRODUCT('計算A'!$D$69:$DS$69,$CW33:$HL33,$HN33:$MC33),SUMPRODUCT('計算A'!$D$69:$DS$69,$CW33:$HL33))*1000+10)</f>
        <v/>
      </c>
      <c r="BM33">
        <f>IF(S33=1,1000000,IF('計算A'!$EA$20=2,SUMPRODUCT('計算A'!$D$70:$DS$70,$CW33:$HL33,$HN33:$MC33),SUMPRODUCT('計算A'!$D$70:$DS$70,$CW33:$HL33))*1000+11)</f>
        <v/>
      </c>
      <c r="BN33">
        <f>IF(T33=1,1000000,IF('計算A'!$EA$21=2,SUMPRODUCT('計算A'!$D$71:$DS$71,$CW33:$HL33,$HN33:$MC33),SUMPRODUCT('計算A'!$D$71:$DS$71,$CW33:$HL33))*1000+12)</f>
        <v/>
      </c>
      <c r="BO33">
        <f>IF(U33=1,1000000,IF('計算A'!$EA$22=2,SUMPRODUCT('計算A'!$D$72:$DS$72,$CW33:$HL33,$HN33:$MC33),SUMPRODUCT('計算A'!$D$72:$DS$72,$CW33:$HL33))*1000+13)</f>
        <v/>
      </c>
      <c r="BP33">
        <f>IF(V33=1,1000000,IF('計算A'!$EA$23=2,SUMPRODUCT('計算A'!$D$73:$DS$73,$CW33:$HL33,$HN33:$MC33),SUMPRODUCT('計算A'!$D$73:$DS$73,$CW33:$HL33))*1000+14)</f>
        <v/>
      </c>
      <c r="BQ33">
        <f>IF(W33=1,1000000,IF('計算A'!$EA$24=2,SUMPRODUCT('計算A'!$D$74:$DS$74,$CW33:$HL33,$HN33:$MC33),SUMPRODUCT('計算A'!$D$74:$DS$74,$CW33:$HL33))*1000+15)</f>
        <v/>
      </c>
      <c r="BR33">
        <f>IF(X33=1,1000000,IF('計算A'!$EA$25=2,SUMPRODUCT('計算A'!$D$75:$DS$75,$CW33:$HL33,$HN33:$MC33),SUMPRODUCT('計算A'!$D$75:$DS$75,$CW33:$HL33))*1000+16)</f>
        <v/>
      </c>
      <c r="BS33">
        <f>IF(Y33=1,1000000,IF('計算A'!$EA$26=2,SUMPRODUCT('計算A'!$D$76:$DS$76,$CW33:$HL33,$HN33:$MC33),SUMPRODUCT('計算A'!$D$76:$DS$76,$CW33:$HL33))*1000+17)</f>
        <v/>
      </c>
      <c r="BT33">
        <f>IF(Z33=1,1000000,IF('計算A'!$EA$27=2,SUMPRODUCT('計算A'!$D$77:$DS$77,$CW33:$HL33,$HN33:$MC33),SUMPRODUCT('計算A'!$D$77:$DS$77,$CW33:$HL33))*1000+18)</f>
        <v/>
      </c>
      <c r="BU33">
        <f>IF(AA33=1,1000000,IF('計算A'!$EA$28=2,SUMPRODUCT('計算A'!$D$78:$DS$78,$CW33:$HL33,$HN33:$MC33),SUMPRODUCT('計算A'!$D$78:$DS$78,$CW33:$HL33))*1000+19)</f>
        <v/>
      </c>
      <c r="BV33">
        <f>IF(AB33=1,1000000,IF('計算A'!$EA$29=2,SUMPRODUCT('計算A'!$D$79:$DS$79,$CW33:$HL33,$HN33:$MC33),SUMPRODUCT('計算A'!$D$79:$DS$79,$CW33:$HL33))*1000+20)</f>
        <v/>
      </c>
      <c r="BW33">
        <f>IF(AC33=1,1000000,IF('計算A'!$EA$30=2,SUMPRODUCT('計算A'!$D$80:$DS$80,$CW33:$HL33,$HN33:$MC33),SUMPRODUCT('計算A'!$D$80:$DS$80,$CW33:$HL33))*1000+21)</f>
        <v/>
      </c>
      <c r="BX33">
        <f>IF(AD33=1,1000000,IF('計算A'!$EA$31=2,SUMPRODUCT('計算A'!$D$81:$DS$81,$CW33:$HL33,$HN33:$MC33),SUMPRODUCT('計算A'!$D$81:$DS$81,$CW33:$HL33))*1000+22)</f>
        <v/>
      </c>
      <c r="BY33">
        <f>IF(AE33=1,1000000,IF('計算A'!$EA$32=2,SUMPRODUCT('計算A'!$D$82:$DS$82,$CW33:$HL33,$HN33:$MC33),SUMPRODUCT('計算A'!$D$82:$DS$82,$CW33:$HL33))*1000+23)</f>
        <v/>
      </c>
      <c r="BZ33">
        <f>IF(AF33=1,1000000,IF('計算A'!$EA$33=2,SUMPRODUCT('計算A'!$D$83:$DS$83,$CW33:$HL33,$HN33:$MC33),SUMPRODUCT('計算A'!$D$83:$DS$83,$CW33:$HL33))*1000+24)</f>
        <v/>
      </c>
      <c r="CA33">
        <f>IF(AG33=1,1000000,IF('計算A'!$EA$34=2,SUMPRODUCT('計算A'!$D$84:$DS$84,$CW33:$HL33,$HN33:$MC33),SUMPRODUCT('計算A'!$D$84:$DS$84,$CW33:$HL33))*1000+25)</f>
        <v/>
      </c>
      <c r="CB33">
        <f>IF(AH33=1,1000000,IF('計算A'!$EA$35=2,SUMPRODUCT('計算A'!$D$85:$DS$85,$CW33:$HL33,$HN33:$MC33),SUMPRODUCT('計算A'!$D$85:$DS$85,$CW33:$HL33))*1000+26)</f>
        <v/>
      </c>
      <c r="CC33">
        <f>IF(AI33=1,1000000,IF('計算A'!$EA$36=2,SUMPRODUCT('計算A'!$D$86:$DS$86,$CW33:$HL33,$HN33:$MC33),SUMPRODUCT('計算A'!$D$86:$DS$86,$CW33:$HL33))*1000+27)</f>
        <v/>
      </c>
      <c r="CD33">
        <f>IF(AJ33=1,1000000,IF('計算A'!$EA$37=2,SUMPRODUCT('計算A'!$D$87:$DS$87,$CW33:$HL33,$HN33:$MC33),SUMPRODUCT('計算A'!$D$87:$DS$87,$CW33:$HL33))*1000+28)</f>
        <v/>
      </c>
      <c r="CE33">
        <f>IF(AK33=1,1000000,IF('計算A'!$EA$38=2,SUMPRODUCT('計算A'!$D$88:$DS$88,$CW33:$HL33,$HN33:$MC33),SUMPRODUCT('計算A'!$D$88:$DS$88,$CW33:$HL33))*1000+29)</f>
        <v/>
      </c>
      <c r="CF33">
        <f>IF(AL33=1,1000000,IF('計算A'!$EA$39=2,SUMPRODUCT('計算A'!$D$89:$DS$89,$CW33:$HL33,$HN33:$MC33),SUMPRODUCT('計算A'!$D$89:$DS$89,$CW33:$HL33))*1000+30)</f>
        <v/>
      </c>
      <c r="CG33">
        <f>IF(AM33=1,1000000,IF('計算A'!$EA$40=2,SUMPRODUCT('計算A'!$D$90:$DS$90,$CW33:$HL33,$HN33:$MC33),SUMPRODUCT('計算A'!$D$90:$DS$90,$CW33:$HL33))*1000+31)</f>
        <v/>
      </c>
      <c r="CH33">
        <f>IF(AN33=1,1000000,IF('計算A'!$EA$41=2,SUMPRODUCT('計算A'!$D$91:$DS$91,$CW33:$HL33,$HN33:$MC33),SUMPRODUCT('計算A'!$D$91:$DS$91,$CW33:$HL33))*1000+32)</f>
        <v/>
      </c>
      <c r="CI33">
        <f>IF(AO33=1,1000000,IF('計算A'!$EA$42=2,SUMPRODUCT('計算A'!$D$92:$DS$92,$CW33:$HL33,$HN33:$MC33),SUMPRODUCT('計算A'!$D$92:$DS$92,$CW33:$HL33))*1000+33)</f>
        <v/>
      </c>
      <c r="CJ33">
        <f>IF(AP33=1,1000000,IF('計算A'!$EA$43=2,SUMPRODUCT('計算A'!$D$93:$DS$93,$CW33:$HL33,$HN33:$MC33),SUMPRODUCT('計算A'!$D$93:$DS$93,$CW33:$HL33))*1000+34)</f>
        <v/>
      </c>
      <c r="CK33">
        <f>IF(AQ33=1,1000000,IF('計算A'!$EA$44=2,SUMPRODUCT('計算A'!$D$94:$DS$94,$CW33:$HL33,$HN33:$MC33),SUMPRODUCT('計算A'!$D$94:$DS$94,$CW33:$HL33))*1000+35)</f>
        <v/>
      </c>
      <c r="CL33">
        <f>IF(AR33=1,1000000,IF('計算A'!$EA$45=2,SUMPRODUCT('計算A'!$D$95:$DS$95,$CW33:$HL33,$HN33:$MC33),SUMPRODUCT('計算A'!$D$95:$DS$95,$CW33:$HL33))*1000+36)</f>
        <v/>
      </c>
      <c r="CM33">
        <f>IF(AS33=1,1000000,IF('計算A'!$EA$46=2,SUMPRODUCT('計算A'!$D$96:$DS$96,$CW33:$HL33,$HN33:$MC33),SUMPRODUCT('計算A'!$D$96:$DS$96,$CW33:$HL33))*1000+37)</f>
        <v/>
      </c>
      <c r="CN33">
        <f>IF(AT33=1,1000000,IF('計算A'!$EA$47=2,SUMPRODUCT('計算A'!$D$97:$DS$97,$CW33:$HL33,$HN33:$MC33),SUMPRODUCT('計算A'!$D$97:$DS$97,$CW33:$HL33))*1000+38)</f>
        <v/>
      </c>
      <c r="CO33">
        <f>IF(AU33=1,1000000,IF('計算A'!$EA$48=2,SUMPRODUCT('計算A'!$D$98:$DS$98,$CW33:$HL33,$HN33:$MC33),SUMPRODUCT('計算A'!$D$98:$DS$98,$CW33:$HL33))*1000+39)</f>
        <v/>
      </c>
      <c r="CP33">
        <f>IF(AV33=1,1000000,IF('計算A'!$EA$49=2,SUMPRODUCT('計算A'!$D$99:$DS$99,$CW33:$HL33,$HN33:$MC33),SUMPRODUCT('計算A'!$D$99:$DS$99,$CW33:$HL33))*1000+40)</f>
        <v/>
      </c>
      <c r="CQ33">
        <f>IF(AW33=1,1000000,IF('計算A'!$EA$50=2,SUMPRODUCT('計算A'!$D$100:$DS$100,$CW33:$HL33,$HN33:$MC33),SUMPRODUCT('計算A'!$D$100:$DS$100,$CW33:$HL33))*1000+41)</f>
        <v/>
      </c>
      <c r="CR33">
        <f>IF(AX33=1,1000000,IF('計算A'!$EA$51=2,SUMPRODUCT('計算A'!$D$101:$DS$101,$CW33:$HL33,$HN33:$MC33),SUMPRODUCT('計算A'!$D$101:$DS$101,$CW33:$HL33))*1000+42)</f>
        <v/>
      </c>
      <c r="CS33">
        <f>IF(AY33=1,1000000,IF('計算A'!$EA$52=2,SUMPRODUCT('計算A'!$D$102:$DS$102,$CW33:$HL33,$HN33:$MC33),SUMPRODUCT('計算A'!$D$102:$DS$102,$CW33:$HL33))*1000+43)</f>
        <v/>
      </c>
      <c r="CT33">
        <f>IF(AZ33=1,1000000,IF('計算A'!$EA$53=2,SUMPRODUCT('計算A'!$D$103:$DS$103,$CW33:$HL33,$HN33:$MC33),SUMPRODUCT('計算A'!$D$103:$DS$103,$CW33:$HL33))*1000+44)</f>
        <v/>
      </c>
      <c r="CU33">
        <f>IF(BA33=1,1000000,IF('計算A'!$EA$54=2,SUMPRODUCT('計算A'!$D$104:$DS$104,$CW33:$HL33,$HN33:$MC33),SUMPRODUCT('計算A'!$D$104:$DS$104,$CW33:$HL33))*1000+45)</f>
        <v/>
      </c>
      <c r="CW33">
        <f>CW32*IF(OR($C32=1,$G32=1),0,1)</f>
        <v/>
      </c>
      <c r="CX33">
        <f>CX32*IF(OR($C32=2,$G32=2),0,1)</f>
        <v/>
      </c>
      <c r="CY33">
        <f>CY32*IF(OR($C32=3,$G32=3),0,1)</f>
        <v/>
      </c>
      <c r="CZ33">
        <f>CZ32*IF(OR($C32=4,$G32=4),0,1)</f>
        <v/>
      </c>
      <c r="DA33">
        <f>DA32*IF(OR($C32=5,$G32=5),0,1)</f>
        <v/>
      </c>
      <c r="DB33">
        <f>DB32*IF(OR($C32=6,$G32=6),0,1)</f>
        <v/>
      </c>
      <c r="DC33">
        <f>DC32*IF(OR($C32=7,$G32=7),0,1)</f>
        <v/>
      </c>
      <c r="DD33">
        <f>DD32*IF(OR($C32=8,$G32=8),0,1)</f>
        <v/>
      </c>
      <c r="DE33">
        <f>DE32*IF(OR($C32=9,$G32=9),0,1)</f>
        <v/>
      </c>
      <c r="DF33">
        <f>DF32*IF(OR($C32=10,$G32=10),0,1)</f>
        <v/>
      </c>
      <c r="DG33">
        <f>DG32*IF(OR($C32=11,$G32=11),0,1)</f>
        <v/>
      </c>
      <c r="DH33">
        <f>DH32*IF(OR($C32=12,$G32=12),0,1)</f>
        <v/>
      </c>
      <c r="DI33">
        <f>DI32*IF(OR($C32=13,$G32=13),0,1)</f>
        <v/>
      </c>
      <c r="DJ33">
        <f>DJ32*IF(OR($C32=14,$G32=14),0,1)</f>
        <v/>
      </c>
      <c r="DK33">
        <f>DK32*IF(OR($C32=15,$G32=15),0,1)</f>
        <v/>
      </c>
      <c r="DL33">
        <f>DL32*IF(OR($C32=16,$G32=16),0,1)</f>
        <v/>
      </c>
      <c r="DM33">
        <f>DM32*IF(OR($C32=17,$G32=17),0,1)</f>
        <v/>
      </c>
      <c r="DN33">
        <f>DN32*IF(OR($C32=18,$G32=18),0,1)</f>
        <v/>
      </c>
      <c r="DO33">
        <f>DO32*IF(OR($C32=19,$G32=19),0,1)</f>
        <v/>
      </c>
      <c r="DP33">
        <f>DP32*IF(OR($C32=20,$G32=20),0,1)</f>
        <v/>
      </c>
      <c r="DQ33">
        <f>DQ32*IF(OR($C32=21,$G32=21),0,1)</f>
        <v/>
      </c>
      <c r="DR33">
        <f>DR32*IF(OR($C32=22,$G32=22),0,1)</f>
        <v/>
      </c>
      <c r="DS33">
        <f>DS32*IF(OR($C32=23,$G32=23),0,1)</f>
        <v/>
      </c>
      <c r="DT33">
        <f>DT32*IF(OR($C32=24,$G32=24),0,1)</f>
        <v/>
      </c>
      <c r="DU33">
        <f>DU32*IF(OR($C32=25,$G32=25),0,1)</f>
        <v/>
      </c>
      <c r="DV33">
        <f>DV32*IF(OR($C32=26,$G32=26),0,1)</f>
        <v/>
      </c>
      <c r="DW33">
        <f>DW32*IF(OR($C32=27,$G32=27),0,1)</f>
        <v/>
      </c>
      <c r="DX33">
        <f>DX32*IF(OR($C32=28,$G32=28),0,1)</f>
        <v/>
      </c>
      <c r="DY33">
        <f>DY32*IF(OR($C32=29,$G32=29),0,1)</f>
        <v/>
      </c>
      <c r="DZ33">
        <f>DZ32*IF(OR($C32=30,$G32=30),0,1)</f>
        <v/>
      </c>
      <c r="EA33">
        <f>EA32*IF(OR($C32=31,$G32=31),0,1)</f>
        <v/>
      </c>
      <c r="EB33">
        <f>EB32*IF(OR($C32=32,$G32=32),0,1)</f>
        <v/>
      </c>
      <c r="EC33">
        <f>EC32*IF(OR($C32=33,$G32=33),0,1)</f>
        <v/>
      </c>
      <c r="ED33">
        <f>ED32*IF(OR($C32=34,$G32=34),0,1)</f>
        <v/>
      </c>
      <c r="EE33">
        <f>EE32*IF(OR($C32=35,$G32=35),0,1)</f>
        <v/>
      </c>
      <c r="EF33">
        <f>EF32*IF(OR($C32=36,$G32=36),0,1)</f>
        <v/>
      </c>
      <c r="EG33">
        <f>EG32*IF(OR($C32=37,$G32=37),0,1)</f>
        <v/>
      </c>
      <c r="EH33">
        <f>EH32*IF(OR($C32=38,$G32=38),0,1)</f>
        <v/>
      </c>
      <c r="EI33">
        <f>EI32*IF(OR($C32=39,$G32=39),0,1)</f>
        <v/>
      </c>
      <c r="EJ33">
        <f>EJ32*IF(OR($C32=40,$G32=40),0,1)</f>
        <v/>
      </c>
      <c r="EK33">
        <f>EK32*IF(OR($C32=41,$G32=41),0,1)</f>
        <v/>
      </c>
      <c r="EL33">
        <f>EL32*IF(OR($C32=42,$G32=42),0,1)</f>
        <v/>
      </c>
      <c r="EM33">
        <f>EM32*IF(OR($C32=43,$G32=43),0,1)</f>
        <v/>
      </c>
      <c r="EN33">
        <f>EN32*IF(OR($C32=44,$G32=44),0,1)</f>
        <v/>
      </c>
      <c r="EO33">
        <f>EO32*IF(OR($C32=45,$G32=45),0,1)</f>
        <v/>
      </c>
      <c r="EP33">
        <f>EP32*IF(OR($C32=46,$G32=46),0,1)</f>
        <v/>
      </c>
      <c r="EQ33">
        <f>EQ32*IF(OR($C32=47,$G32=47),0,1)</f>
        <v/>
      </c>
      <c r="ER33">
        <f>ER32*IF(OR($C32=48,$G32=48),0,1)</f>
        <v/>
      </c>
      <c r="ES33">
        <f>ES32*IF(OR($C32=49,$G32=49),0,1)</f>
        <v/>
      </c>
      <c r="ET33">
        <f>ET32*IF(OR($C32=50,$G32=50),0,1)</f>
        <v/>
      </c>
      <c r="EU33">
        <f>EU32*IF(OR($C32=51,$G32=51),0,1)</f>
        <v/>
      </c>
      <c r="EV33">
        <f>EV32*IF(OR($C32=52,$G32=52),0,1)</f>
        <v/>
      </c>
      <c r="EW33">
        <f>EW32*IF(OR($C32=53,$G32=53),0,1)</f>
        <v/>
      </c>
      <c r="EX33">
        <f>EX32*IF(OR($C32=54,$G32=54),0,1)</f>
        <v/>
      </c>
      <c r="EY33">
        <f>EY32*IF(OR($C32=55,$G32=55),0,1)</f>
        <v/>
      </c>
      <c r="EZ33">
        <f>EZ32*IF(OR($C32=56,$G32=56),0,1)</f>
        <v/>
      </c>
      <c r="FA33">
        <f>FA32*IF(OR($C32=57,$G32=57),0,1)</f>
        <v/>
      </c>
      <c r="FB33">
        <f>FB32*IF(OR($C32=58,$G32=58),0,1)</f>
        <v/>
      </c>
      <c r="FC33">
        <f>FC32*IF(OR($C32=59,$G32=59),0,1)</f>
        <v/>
      </c>
      <c r="FD33">
        <f>FD32*IF(OR($C32=60,$G32=60),0,1)</f>
        <v/>
      </c>
      <c r="FE33">
        <f>FE32*IF(OR($C32=61,$G32=61),0,1)</f>
        <v/>
      </c>
      <c r="FF33">
        <f>FF32*IF(OR($C32=62,$G32=62),0,1)</f>
        <v/>
      </c>
      <c r="FG33">
        <f>FG32*IF(OR($C32=63,$G32=63),0,1)</f>
        <v/>
      </c>
      <c r="FH33">
        <f>FH32*IF(OR($C32=64,$G32=64),0,1)</f>
        <v/>
      </c>
      <c r="FI33">
        <f>FI32*IF(OR($C32=65,$G32=65),0,1)</f>
        <v/>
      </c>
      <c r="FJ33">
        <f>FJ32*IF(OR($C32=66,$G32=66),0,1)</f>
        <v/>
      </c>
      <c r="FK33">
        <f>FK32*IF(OR($C32=67,$G32=67),0,1)</f>
        <v/>
      </c>
      <c r="FL33">
        <f>FL32*IF(OR($C32=68,$G32=68),0,1)</f>
        <v/>
      </c>
      <c r="FM33">
        <f>FM32*IF(OR($C32=69,$G32=69),0,1)</f>
        <v/>
      </c>
      <c r="FN33">
        <f>FN32*IF(OR($C32=70,$G32=70),0,1)</f>
        <v/>
      </c>
      <c r="FO33">
        <f>FO32*IF(OR($C32=71,$G32=71),0,1)</f>
        <v/>
      </c>
      <c r="FP33">
        <f>FP32*IF(OR($C32=72,$G32=72),0,1)</f>
        <v/>
      </c>
      <c r="FQ33">
        <f>FQ32*IF(OR($C32=73,$G32=73),0,1)</f>
        <v/>
      </c>
      <c r="FR33">
        <f>FR32*IF(OR($C32=74,$G32=74),0,1)</f>
        <v/>
      </c>
      <c r="FS33">
        <f>FS32*IF(OR($C32=75,$G32=75),0,1)</f>
        <v/>
      </c>
      <c r="FT33">
        <f>FT32*IF(OR($C32=76,$G32=76),0,1)</f>
        <v/>
      </c>
      <c r="FU33">
        <f>FU32*IF(OR($C32=77,$G32=77),0,1)</f>
        <v/>
      </c>
      <c r="FV33">
        <f>FV32*IF(OR($C32=78,$G32=78),0,1)</f>
        <v/>
      </c>
      <c r="FW33">
        <f>FW32*IF(OR($C32=79,$G32=79),0,1)</f>
        <v/>
      </c>
      <c r="FX33">
        <f>FX32*IF(OR($C32=80,$G32=80),0,1)</f>
        <v/>
      </c>
      <c r="FY33">
        <f>FY32*IF(OR($C32=81,$G32=81),0,1)</f>
        <v/>
      </c>
      <c r="FZ33">
        <f>FZ32*IF(OR($C32=82,$G32=82),0,1)</f>
        <v/>
      </c>
      <c r="GA33">
        <f>GA32*IF(OR($C32=83,$G32=83),0,1)</f>
        <v/>
      </c>
      <c r="GB33">
        <f>GB32*IF(OR($C32=84,$G32=84),0,1)</f>
        <v/>
      </c>
      <c r="GC33">
        <f>GC32*IF(OR($C32=85,$G32=85),0,1)</f>
        <v/>
      </c>
      <c r="GD33">
        <f>GD32*IF(OR($C32=86,$G32=86),0,1)</f>
        <v/>
      </c>
      <c r="GE33">
        <f>GE32*IF(OR($C32=87,$G32=87),0,1)</f>
        <v/>
      </c>
      <c r="GF33">
        <f>GF32*IF(OR($C32=88,$G32=88),0,1)</f>
        <v/>
      </c>
      <c r="GG33">
        <f>GG32*IF(OR($C32=89,$G32=89),0,1)</f>
        <v/>
      </c>
      <c r="GH33">
        <f>GH32*IF(OR($C32=90,$G32=90),0,1)</f>
        <v/>
      </c>
      <c r="GI33">
        <f>GI32*IF(OR($C32=91,$G32=91),0,1)</f>
        <v/>
      </c>
      <c r="GJ33">
        <f>GJ32*IF(OR($C32=92,$G32=92),0,1)</f>
        <v/>
      </c>
      <c r="GK33">
        <f>GK32*IF(OR($C32=93,$G32=93),0,1)</f>
        <v/>
      </c>
      <c r="GL33">
        <f>GL32*IF(OR($C32=94,$G32=94),0,1)</f>
        <v/>
      </c>
      <c r="GM33">
        <f>GM32*IF(OR($C32=95,$G32=95),0,1)</f>
        <v/>
      </c>
      <c r="GN33">
        <f>GN32*IF(OR($C32=96,$G32=96),0,1)</f>
        <v/>
      </c>
      <c r="GO33">
        <f>GO32*IF(OR($C32=97,$G32=97),0,1)</f>
        <v/>
      </c>
      <c r="GP33">
        <f>GP32*IF(OR($C32=98,$G32=98),0,1)</f>
        <v/>
      </c>
      <c r="GQ33">
        <f>GQ32*IF(OR($C32=99,$G32=99),0,1)</f>
        <v/>
      </c>
      <c r="GR33">
        <f>GR32*IF(OR($C32=100,$G32=100),0,1)</f>
        <v/>
      </c>
      <c r="GS33">
        <f>GS32*IF(OR($C32=101,$G32=101),0,1)</f>
        <v/>
      </c>
      <c r="GT33">
        <f>GT32*IF(OR($C32=102,$G32=102),0,1)</f>
        <v/>
      </c>
      <c r="GU33">
        <f>GU32*IF(OR($C32=103,$G32=103),0,1)</f>
        <v/>
      </c>
      <c r="GV33">
        <f>GV32*IF(OR($C32=104,$G32=104),0,1)</f>
        <v/>
      </c>
      <c r="GW33">
        <f>GW32*IF(OR($C32=105,$G32=105),0,1)</f>
        <v/>
      </c>
      <c r="GX33">
        <f>GX32*IF(OR($C32=106,$G32=106),0,1)</f>
        <v/>
      </c>
      <c r="GY33">
        <f>GY32*IF(OR($C32=107,$G32=107),0,1)</f>
        <v/>
      </c>
      <c r="GZ33">
        <f>GZ32*IF(OR($C32=108,$G32=108),0,1)</f>
        <v/>
      </c>
      <c r="HA33">
        <f>HA32*IF(OR($C32=109,$G32=109),0,1)</f>
        <v/>
      </c>
      <c r="HB33">
        <f>HB32*IF(OR($C32=110,$G32=110),0,1)</f>
        <v/>
      </c>
      <c r="HC33">
        <f>HC32*IF(OR($C32=111,$G32=111),0,1)</f>
        <v/>
      </c>
      <c r="HD33">
        <f>HD32*IF(OR($C32=112,$G32=112),0,1)</f>
        <v/>
      </c>
      <c r="HE33">
        <f>HE32*IF(OR($C32=113,$G32=113),0,1)</f>
        <v/>
      </c>
      <c r="HF33">
        <f>HF32*IF(OR($C32=114,$G32=114),0,1)</f>
        <v/>
      </c>
      <c r="HG33">
        <f>HG32*IF(OR($C32=115,$G32=115),0,1)</f>
        <v/>
      </c>
      <c r="HH33">
        <f>HH32*IF(OR($C32=116,$G32=116),0,1)</f>
        <v/>
      </c>
      <c r="HI33">
        <f>HI32*IF(OR($C32=117,$G32=117),0,1)</f>
        <v/>
      </c>
      <c r="HJ33">
        <f>HJ32*IF(OR($C32=118,$G32=118),0,1)</f>
        <v/>
      </c>
      <c r="HK33">
        <f>HK32*IF(OR($C32=119,$G32=119),0,1)</f>
        <v/>
      </c>
      <c r="HL33">
        <f>HL32*IF(OR($C32=120,$G32=120),0,1)</f>
        <v/>
      </c>
      <c r="HN33">
        <f>IF('計算A'!D$106=1,CX33,1)</f>
        <v/>
      </c>
      <c r="HO33">
        <f>IF('計算A'!E$106=1,CY33,1)</f>
        <v/>
      </c>
      <c r="HP33">
        <f>IF('計算A'!F$106=1,CZ33,1)</f>
        <v/>
      </c>
      <c r="HQ33">
        <f>IF('計算A'!G$106=1,DA33,1)</f>
        <v/>
      </c>
      <c r="HR33">
        <f>IF('計算A'!H$106=1,DB33,1)</f>
        <v/>
      </c>
      <c r="HS33">
        <f>IF('計算A'!I$106=1,DC33,1)</f>
        <v/>
      </c>
      <c r="HT33">
        <f>IF('計算A'!J$106=1,DD33,1)</f>
        <v/>
      </c>
      <c r="HU33">
        <f>IF('計算A'!K$106=1,DE33,1)</f>
        <v/>
      </c>
      <c r="HV33">
        <f>IF('計算A'!L$106=1,DF33,1)</f>
        <v/>
      </c>
      <c r="HW33">
        <f>IF('計算A'!M$106=1,DG33,1)</f>
        <v/>
      </c>
      <c r="HX33">
        <f>IF('計算A'!N$106=1,DH33,1)</f>
        <v/>
      </c>
      <c r="HY33">
        <f>IF('計算A'!O$106=1,DI33,1)</f>
        <v/>
      </c>
      <c r="HZ33">
        <f>IF('計算A'!P$106=1,DJ33,1)</f>
        <v/>
      </c>
      <c r="IA33">
        <f>IF('計算A'!Q$106=1,DK33,1)</f>
        <v/>
      </c>
      <c r="IB33">
        <f>IF('計算A'!R$106=1,DL33,1)</f>
        <v/>
      </c>
      <c r="IC33">
        <f>IF('計算A'!S$106=1,DM33,1)</f>
        <v/>
      </c>
      <c r="ID33">
        <f>IF('計算A'!T$106=1,DN33,1)</f>
        <v/>
      </c>
      <c r="IE33">
        <f>IF('計算A'!U$106=1,DO33,1)</f>
        <v/>
      </c>
      <c r="IF33">
        <f>IF('計算A'!V$106=1,DP33,1)</f>
        <v/>
      </c>
      <c r="IG33">
        <f>IF('計算A'!W$106=1,DQ33,1)</f>
        <v/>
      </c>
      <c r="IH33">
        <f>IF('計算A'!X$106=1,DR33,1)</f>
        <v/>
      </c>
      <c r="II33">
        <f>IF('計算A'!Y$106=1,DS33,1)</f>
        <v/>
      </c>
      <c r="IJ33">
        <f>IF('計算A'!Z$106=1,DT33,1)</f>
        <v/>
      </c>
      <c r="IK33">
        <f>IF('計算A'!AA$106=1,DU33,1)</f>
        <v/>
      </c>
      <c r="IL33">
        <f>IF('計算A'!AB$106=1,DV33,1)</f>
        <v/>
      </c>
      <c r="IM33">
        <f>IF('計算A'!AC$106=1,DW33,1)</f>
        <v/>
      </c>
      <c r="IN33">
        <f>IF('計算A'!AD$106=1,DX33,1)</f>
        <v/>
      </c>
      <c r="IO33">
        <f>IF('計算A'!AE$106=1,DY33,1)</f>
        <v/>
      </c>
      <c r="IP33">
        <f>IF('計算A'!AF$106=1,DZ33,1)</f>
        <v/>
      </c>
      <c r="IQ33">
        <f>IF('計算A'!AG$106=1,EA33,1)</f>
        <v/>
      </c>
      <c r="IR33">
        <f>IF('計算A'!AH$106=1,EB33,1)</f>
        <v/>
      </c>
      <c r="IS33">
        <f>IF('計算A'!AI$106=1,EC33,1)</f>
        <v/>
      </c>
      <c r="IT33">
        <f>IF('計算A'!AJ$106=1,ED33,1)</f>
        <v/>
      </c>
      <c r="IU33">
        <f>IF('計算A'!AK$106=1,EE33,1)</f>
        <v/>
      </c>
      <c r="IV33">
        <f>IF('計算A'!AL$106=1,EF33,1)</f>
        <v/>
      </c>
      <c r="IW33">
        <f>IF('計算A'!AM$106=1,EG33,1)</f>
        <v/>
      </c>
      <c r="IX33">
        <f>IF('計算A'!AN$106=1,EH33,1)</f>
        <v/>
      </c>
      <c r="IY33">
        <f>IF('計算A'!AO$106=1,EI33,1)</f>
        <v/>
      </c>
      <c r="IZ33">
        <f>IF('計算A'!AP$106=1,EJ33,1)</f>
        <v/>
      </c>
      <c r="JA33">
        <f>IF('計算A'!AQ$106=1,EK33,1)</f>
        <v/>
      </c>
      <c r="JB33">
        <f>IF('計算A'!AR$106=1,EL33,1)</f>
        <v/>
      </c>
      <c r="JC33">
        <f>IF('計算A'!AS$106=1,EM33,1)</f>
        <v/>
      </c>
      <c r="JD33">
        <f>IF('計算A'!AT$106=1,EN33,1)</f>
        <v/>
      </c>
      <c r="JE33">
        <f>IF('計算A'!AU$106=1,EO33,1)</f>
        <v/>
      </c>
      <c r="JF33">
        <f>IF('計算A'!AV$106=1,EP33,1)</f>
        <v/>
      </c>
      <c r="JG33">
        <f>IF('計算A'!AW$106=1,EQ33,1)</f>
        <v/>
      </c>
      <c r="JH33">
        <f>IF('計算A'!AX$106=1,ER33,1)</f>
        <v/>
      </c>
      <c r="JI33">
        <f>IF('計算A'!AY$106=1,ES33,1)</f>
        <v/>
      </c>
      <c r="JJ33">
        <f>IF('計算A'!AZ$106=1,ET33,1)</f>
        <v/>
      </c>
      <c r="JK33">
        <f>IF('計算A'!BA$106=1,EU33,1)</f>
        <v/>
      </c>
      <c r="JL33">
        <f>IF('計算A'!BB$106=1,EV33,1)</f>
        <v/>
      </c>
      <c r="JM33">
        <f>IF('計算A'!BC$106=1,EW33,1)</f>
        <v/>
      </c>
      <c r="JN33">
        <f>IF('計算A'!BD$106=1,EX33,1)</f>
        <v/>
      </c>
      <c r="JO33">
        <f>IF('計算A'!BE$106=1,EY33,1)</f>
        <v/>
      </c>
      <c r="JP33">
        <f>IF('計算A'!BF$106=1,EZ33,1)</f>
        <v/>
      </c>
      <c r="JQ33">
        <f>IF('計算A'!BG$106=1,FA33,1)</f>
        <v/>
      </c>
      <c r="JR33">
        <f>IF('計算A'!BH$106=1,FB33,1)</f>
        <v/>
      </c>
      <c r="JS33">
        <f>IF('計算A'!BI$106=1,FC33,1)</f>
        <v/>
      </c>
      <c r="JT33">
        <f>IF('計算A'!BJ$106=1,FD33,1)</f>
        <v/>
      </c>
      <c r="JU33">
        <f>IF('計算A'!BK$106=1,FE33,1)</f>
        <v/>
      </c>
      <c r="JV33">
        <f>IF('計算A'!BL$106=1,FF33,1)</f>
        <v/>
      </c>
      <c r="JW33">
        <f>IF('計算A'!BM$106=1,FG33,1)</f>
        <v/>
      </c>
      <c r="JX33">
        <f>IF('計算A'!BN$106=1,FH33,1)</f>
        <v/>
      </c>
      <c r="JY33">
        <f>IF('計算A'!BO$106=1,FI33,1)</f>
        <v/>
      </c>
      <c r="JZ33">
        <f>IF('計算A'!BP$106=1,FJ33,1)</f>
        <v/>
      </c>
      <c r="KA33">
        <f>IF('計算A'!BQ$106=1,FK33,1)</f>
        <v/>
      </c>
      <c r="KB33">
        <f>IF('計算A'!BR$106=1,FL33,1)</f>
        <v/>
      </c>
      <c r="KC33">
        <f>IF('計算A'!BS$106=1,FM33,1)</f>
        <v/>
      </c>
      <c r="KD33">
        <f>IF('計算A'!BT$106=1,FN33,1)</f>
        <v/>
      </c>
      <c r="KE33">
        <f>IF('計算A'!BU$106=1,FO33,1)</f>
        <v/>
      </c>
      <c r="KF33">
        <f>IF('計算A'!BV$106=1,FP33,1)</f>
        <v/>
      </c>
      <c r="KG33">
        <f>IF('計算A'!BW$106=1,FQ33,1)</f>
        <v/>
      </c>
      <c r="KH33">
        <f>IF('計算A'!BX$106=1,FR33,1)</f>
        <v/>
      </c>
      <c r="KI33">
        <f>IF('計算A'!BY$106=1,FS33,1)</f>
        <v/>
      </c>
      <c r="KJ33">
        <f>IF('計算A'!BZ$106=1,FT33,1)</f>
        <v/>
      </c>
      <c r="KK33">
        <f>IF('計算A'!CA$106=1,FU33,1)</f>
        <v/>
      </c>
      <c r="KL33">
        <f>IF('計算A'!CB$106=1,FV33,1)</f>
        <v/>
      </c>
      <c r="KM33">
        <f>IF('計算A'!CC$106=1,FW33,1)</f>
        <v/>
      </c>
      <c r="KN33">
        <f>IF('計算A'!CD$106=1,FX33,1)</f>
        <v/>
      </c>
      <c r="KO33">
        <f>IF('計算A'!CE$106=1,FY33,1)</f>
        <v/>
      </c>
      <c r="KP33">
        <f>IF('計算A'!CF$106=1,FZ33,1)</f>
        <v/>
      </c>
      <c r="KQ33">
        <f>IF('計算A'!CG$106=1,GA33,1)</f>
        <v/>
      </c>
      <c r="KR33">
        <f>IF('計算A'!CH$106=1,GB33,1)</f>
        <v/>
      </c>
      <c r="KS33">
        <f>IF('計算A'!CI$106=1,GC33,1)</f>
        <v/>
      </c>
      <c r="KT33">
        <f>IF('計算A'!CJ$106=1,GD33,1)</f>
        <v/>
      </c>
      <c r="KU33">
        <f>IF('計算A'!CK$106=1,GE33,1)</f>
        <v/>
      </c>
      <c r="KV33">
        <f>IF('計算A'!CL$106=1,GF33,1)</f>
        <v/>
      </c>
      <c r="KW33">
        <f>IF('計算A'!CM$106=1,GG33,1)</f>
        <v/>
      </c>
      <c r="KX33">
        <f>IF('計算A'!CN$106=1,GH33,1)</f>
        <v/>
      </c>
      <c r="KY33">
        <f>IF('計算A'!CO$106=1,GI33,1)</f>
        <v/>
      </c>
      <c r="KZ33">
        <f>IF('計算A'!CP$106=1,GJ33,1)</f>
        <v/>
      </c>
      <c r="LA33">
        <f>IF('計算A'!CQ$106=1,GK33,1)</f>
        <v/>
      </c>
      <c r="LB33">
        <f>IF('計算A'!CR$106=1,GL33,1)</f>
        <v/>
      </c>
      <c r="LC33">
        <f>IF('計算A'!CS$106=1,GM33,1)</f>
        <v/>
      </c>
      <c r="LD33">
        <f>IF('計算A'!CT$106=1,GN33,1)</f>
        <v/>
      </c>
      <c r="LE33">
        <f>IF('計算A'!CU$106=1,GO33,1)</f>
        <v/>
      </c>
      <c r="LF33">
        <f>IF('計算A'!CV$106=1,GP33,1)</f>
        <v/>
      </c>
      <c r="LG33">
        <f>IF('計算A'!CW$106=1,GQ33,1)</f>
        <v/>
      </c>
      <c r="LH33">
        <f>IF('計算A'!CX$106=1,GR33,1)</f>
        <v/>
      </c>
      <c r="LI33">
        <f>IF('計算A'!CY$106=1,GS33,1)</f>
        <v/>
      </c>
      <c r="LJ33">
        <f>IF('計算A'!CZ$106=1,GT33,1)</f>
        <v/>
      </c>
      <c r="LK33">
        <f>IF('計算A'!DA$106=1,GU33,1)</f>
        <v/>
      </c>
      <c r="LL33">
        <f>IF('計算A'!DB$106=1,GV33,1)</f>
        <v/>
      </c>
      <c r="LM33">
        <f>IF('計算A'!DC$106=1,GW33,1)</f>
        <v/>
      </c>
      <c r="LN33">
        <f>IF('計算A'!DD$106=1,GX33,1)</f>
        <v/>
      </c>
      <c r="LO33">
        <f>IF('計算A'!DE$106=1,GY33,1)</f>
        <v/>
      </c>
      <c r="LP33">
        <f>IF('計算A'!DF$106=1,GZ33,1)</f>
        <v/>
      </c>
      <c r="LQ33">
        <f>IF('計算A'!DG$106=1,HA33,1)</f>
        <v/>
      </c>
      <c r="LR33">
        <f>IF('計算A'!DH$106=1,HB33,1)</f>
        <v/>
      </c>
      <c r="LS33">
        <f>IF('計算A'!DI$106=1,HC33,1)</f>
        <v/>
      </c>
      <c r="LT33">
        <f>IF('計算A'!DJ$106=1,HD33,1)</f>
        <v/>
      </c>
      <c r="LU33">
        <f>IF('計算A'!DK$106=1,HE33,1)</f>
        <v/>
      </c>
      <c r="LV33">
        <f>IF('計算A'!DL$106=1,HF33,1)</f>
        <v/>
      </c>
      <c r="LW33">
        <f>IF('計算A'!DM$106=1,HG33,1)</f>
        <v/>
      </c>
      <c r="LX33">
        <f>IF('計算A'!DN$106=1,HH33,1)</f>
        <v/>
      </c>
      <c r="LY33">
        <f>IF('計算A'!DO$106=1,HI33,1)</f>
        <v/>
      </c>
      <c r="LZ33">
        <f>IF('計算A'!DP$106=1,HJ33,1)</f>
        <v/>
      </c>
      <c r="MA33">
        <f>IF('計算A'!DQ$106=1,HK33,1)</f>
        <v/>
      </c>
      <c r="MB33">
        <f>IF('計算A'!DR$106=1,HL33,1)</f>
        <v/>
      </c>
      <c r="MC33" t="n">
        <v>1</v>
      </c>
      <c r="ME33">
        <f>IF($B33=0,1000000,IF(INDEX('計算A'!$D$60:$DS$104,$B33,1)*CW33=1,IF(AND($E33=2,HN33=0),1000000,INDEX('計算A'!D$110:D$114,$F33+1)+IF(AND($E33=1,HN33=0),1000,0)),1000000))</f>
        <v/>
      </c>
      <c r="MF33">
        <f>IF($B33=0,1000000,IF(INDEX('計算A'!$D$60:$DS$104,$B33,2)*CX33=1,IF(AND($E33=2,HO33=0),1000000,INDEX('計算A'!E$110:E$114,$F33+1)+IF(AND($E33=1,HO33=0),1000,0)),1000000))</f>
        <v/>
      </c>
      <c r="MG33">
        <f>IF($B33=0,1000000,IF(INDEX('計算A'!$D$60:$DS$104,$B33,3)*CY33=1,IF(AND($E33=2,HP33=0),1000000,INDEX('計算A'!F$110:F$114,$F33+1)+IF(AND($E33=1,HP33=0),1000,0)),1000000))</f>
        <v/>
      </c>
      <c r="MH33">
        <f>IF($B33=0,1000000,IF(INDEX('計算A'!$D$60:$DS$104,$B33,4)*CZ33=1,IF(AND($E33=2,HQ33=0),1000000,INDEX('計算A'!G$110:G$114,$F33+1)+IF(AND($E33=1,HQ33=0),1000,0)),1000000))</f>
        <v/>
      </c>
      <c r="MI33">
        <f>IF($B33=0,1000000,IF(INDEX('計算A'!$D$60:$DS$104,$B33,5)*DA33=1,IF(AND($E33=2,HR33=0),1000000,INDEX('計算A'!H$110:H$114,$F33+1)+IF(AND($E33=1,HR33=0),1000,0)),1000000))</f>
        <v/>
      </c>
      <c r="MJ33">
        <f>IF($B33=0,1000000,IF(INDEX('計算A'!$D$60:$DS$104,$B33,6)*DB33=1,IF(AND($E33=2,HS33=0),1000000,INDEX('計算A'!I$110:I$114,$F33+1)+IF(AND($E33=1,HS33=0),1000,0)),1000000))</f>
        <v/>
      </c>
      <c r="MK33">
        <f>IF($B33=0,1000000,IF(INDEX('計算A'!$D$60:$DS$104,$B33,7)*DC33=1,IF(AND($E33=2,HT33=0),1000000,INDEX('計算A'!J$110:J$114,$F33+1)+IF(AND($E33=1,HT33=0),1000,0)),1000000))</f>
        <v/>
      </c>
      <c r="ML33">
        <f>IF($B33=0,1000000,IF(INDEX('計算A'!$D$60:$DS$104,$B33,8)*DD33=1,IF(AND($E33=2,HU33=0),1000000,INDEX('計算A'!K$110:K$114,$F33+1)+IF(AND($E33=1,HU33=0),1000,0)),1000000))</f>
        <v/>
      </c>
      <c r="MM33">
        <f>IF($B33=0,1000000,IF(INDEX('計算A'!$D$60:$DS$104,$B33,9)*DE33=1,IF(AND($E33=2,HV33=0),1000000,INDEX('計算A'!L$110:L$114,$F33+1)+IF(AND($E33=1,HV33=0),1000,0)),1000000))</f>
        <v/>
      </c>
      <c r="MN33">
        <f>IF($B33=0,1000000,IF(INDEX('計算A'!$D$60:$DS$104,$B33,10)*DF33=1,IF(AND($E33=2,HW33=0),1000000,INDEX('計算A'!M$110:M$114,$F33+1)+IF(AND($E33=1,HW33=0),1000,0)),1000000))</f>
        <v/>
      </c>
      <c r="MO33">
        <f>IF($B33=0,1000000,IF(INDEX('計算A'!$D$60:$DS$104,$B33,11)*DG33=1,IF(AND($E33=2,HX33=0),1000000,INDEX('計算A'!N$110:N$114,$F33+1)+IF(AND($E33=1,HX33=0),1000,0)),1000000))</f>
        <v/>
      </c>
      <c r="MP33">
        <f>IF($B33=0,1000000,IF(INDEX('計算A'!$D$60:$DS$104,$B33,12)*DH33=1,IF(AND($E33=2,HY33=0),1000000,INDEX('計算A'!O$110:O$114,$F33+1)+IF(AND($E33=1,HY33=0),1000,0)),1000000))</f>
        <v/>
      </c>
      <c r="MQ33">
        <f>IF($B33=0,1000000,IF(INDEX('計算A'!$D$60:$DS$104,$B33,13)*DI33=1,IF(AND($E33=2,HZ33=0),1000000,INDEX('計算A'!P$110:P$114,$F33+1)+IF(AND($E33=1,HZ33=0),1000,0)),1000000))</f>
        <v/>
      </c>
      <c r="MR33">
        <f>IF($B33=0,1000000,IF(INDEX('計算A'!$D$60:$DS$104,$B33,14)*DJ33=1,IF(AND($E33=2,IA33=0),1000000,INDEX('計算A'!Q$110:Q$114,$F33+1)+IF(AND($E33=1,IA33=0),1000,0)),1000000))</f>
        <v/>
      </c>
      <c r="MS33">
        <f>IF($B33=0,1000000,IF(INDEX('計算A'!$D$60:$DS$104,$B33,15)*DK33=1,IF(AND($E33=2,IB33=0),1000000,INDEX('計算A'!R$110:R$114,$F33+1)+IF(AND($E33=1,IB33=0),1000,0)),1000000))</f>
        <v/>
      </c>
      <c r="MT33">
        <f>IF($B33=0,1000000,IF(INDEX('計算A'!$D$60:$DS$104,$B33,16)*DL33=1,IF(AND($E33=2,IC33=0),1000000,INDEX('計算A'!S$110:S$114,$F33+1)+IF(AND($E33=1,IC33=0),1000,0)),1000000))</f>
        <v/>
      </c>
      <c r="MU33">
        <f>IF($B33=0,1000000,IF(INDEX('計算A'!$D$60:$DS$104,$B33,17)*DM33=1,IF(AND($E33=2,ID33=0),1000000,INDEX('計算A'!T$110:T$114,$F33+1)+IF(AND($E33=1,ID33=0),1000,0)),1000000))</f>
        <v/>
      </c>
      <c r="MV33">
        <f>IF($B33=0,1000000,IF(INDEX('計算A'!$D$60:$DS$104,$B33,18)*DN33=1,IF(AND($E33=2,IE33=0),1000000,INDEX('計算A'!U$110:U$114,$F33+1)+IF(AND($E33=1,IE33=0),1000,0)),1000000))</f>
        <v/>
      </c>
      <c r="MW33">
        <f>IF($B33=0,1000000,IF(INDEX('計算A'!$D$60:$DS$104,$B33,19)*DO33=1,IF(AND($E33=2,IF33=0),1000000,INDEX('計算A'!V$110:V$114,$F33+1)+IF(AND($E33=1,IF33=0),1000,0)),1000000))</f>
        <v/>
      </c>
      <c r="MX33">
        <f>IF($B33=0,1000000,IF(INDEX('計算A'!$D$60:$DS$104,$B33,20)*DP33=1,IF(AND($E33=2,IG33=0),1000000,INDEX('計算A'!W$110:W$114,$F33+1)+IF(AND($E33=1,IG33=0),1000,0)),1000000))</f>
        <v/>
      </c>
      <c r="MY33">
        <f>IF($B33=0,1000000,IF(INDEX('計算A'!$D$60:$DS$104,$B33,21)*DQ33=1,IF(AND($E33=2,IH33=0),1000000,INDEX('計算A'!X$110:X$114,$F33+1)+IF(AND($E33=1,IH33=0),1000,0)),1000000))</f>
        <v/>
      </c>
      <c r="MZ33">
        <f>IF($B33=0,1000000,IF(INDEX('計算A'!$D$60:$DS$104,$B33,22)*DR33=1,IF(AND($E33=2,II33=0),1000000,INDEX('計算A'!Y$110:Y$114,$F33+1)+IF(AND($E33=1,II33=0),1000,0)),1000000))</f>
        <v/>
      </c>
      <c r="NA33">
        <f>IF($B33=0,1000000,IF(INDEX('計算A'!$D$60:$DS$104,$B33,23)*DS33=1,IF(AND($E33=2,IJ33=0),1000000,INDEX('計算A'!Z$110:Z$114,$F33+1)+IF(AND($E33=1,IJ33=0),1000,0)),1000000))</f>
        <v/>
      </c>
      <c r="NB33">
        <f>IF($B33=0,1000000,IF(INDEX('計算A'!$D$60:$DS$104,$B33,24)*DT33=1,IF(AND($E33=2,IK33=0),1000000,INDEX('計算A'!AA$110:AA$114,$F33+1)+IF(AND($E33=1,IK33=0),1000,0)),1000000))</f>
        <v/>
      </c>
      <c r="NC33">
        <f>IF($B33=0,1000000,IF(INDEX('計算A'!$D$60:$DS$104,$B33,25)*DU33=1,IF(AND($E33=2,IL33=0),1000000,INDEX('計算A'!AB$110:AB$114,$F33+1)+IF(AND($E33=1,IL33=0),1000,0)),1000000))</f>
        <v/>
      </c>
      <c r="ND33">
        <f>IF($B33=0,1000000,IF(INDEX('計算A'!$D$60:$DS$104,$B33,26)*DV33=1,IF(AND($E33=2,IM33=0),1000000,INDEX('計算A'!AC$110:AC$114,$F33+1)+IF(AND($E33=1,IM33=0),1000,0)),1000000))</f>
        <v/>
      </c>
      <c r="NE33">
        <f>IF($B33=0,1000000,IF(INDEX('計算A'!$D$60:$DS$104,$B33,27)*DW33=1,IF(AND($E33=2,IN33=0),1000000,INDEX('計算A'!AD$110:AD$114,$F33+1)+IF(AND($E33=1,IN33=0),1000,0)),1000000))</f>
        <v/>
      </c>
      <c r="NF33">
        <f>IF($B33=0,1000000,IF(INDEX('計算A'!$D$60:$DS$104,$B33,28)*DX33=1,IF(AND($E33=2,IO33=0),1000000,INDEX('計算A'!AE$110:AE$114,$F33+1)+IF(AND($E33=1,IO33=0),1000,0)),1000000))</f>
        <v/>
      </c>
      <c r="NG33">
        <f>IF($B33=0,1000000,IF(INDEX('計算A'!$D$60:$DS$104,$B33,29)*DY33=1,IF(AND($E33=2,IP33=0),1000000,INDEX('計算A'!AF$110:AF$114,$F33+1)+IF(AND($E33=1,IP33=0),1000,0)),1000000))</f>
        <v/>
      </c>
      <c r="NH33">
        <f>IF($B33=0,1000000,IF(INDEX('計算A'!$D$60:$DS$104,$B33,30)*DZ33=1,IF(AND($E33=2,IQ33=0),1000000,INDEX('計算A'!AG$110:AG$114,$F33+1)+IF(AND($E33=1,IQ33=0),1000,0)),1000000))</f>
        <v/>
      </c>
      <c r="NI33">
        <f>IF($B33=0,1000000,IF(INDEX('計算A'!$D$60:$DS$104,$B33,31)*EA33=1,IF(AND($E33=2,IR33=0),1000000,INDEX('計算A'!AH$110:AH$114,$F33+1)+IF(AND($E33=1,IR33=0),1000,0)),1000000))</f>
        <v/>
      </c>
      <c r="NJ33">
        <f>IF($B33=0,1000000,IF(INDEX('計算A'!$D$60:$DS$104,$B33,32)*EB33=1,IF(AND($E33=2,IS33=0),1000000,INDEX('計算A'!AI$110:AI$114,$F33+1)+IF(AND($E33=1,IS33=0),1000,0)),1000000))</f>
        <v/>
      </c>
      <c r="NK33">
        <f>IF($B33=0,1000000,IF(INDEX('計算A'!$D$60:$DS$104,$B33,33)*EC33=1,IF(AND($E33=2,IT33=0),1000000,INDEX('計算A'!AJ$110:AJ$114,$F33+1)+IF(AND($E33=1,IT33=0),1000,0)),1000000))</f>
        <v/>
      </c>
      <c r="NL33">
        <f>IF($B33=0,1000000,IF(INDEX('計算A'!$D$60:$DS$104,$B33,34)*ED33=1,IF(AND($E33=2,IU33=0),1000000,INDEX('計算A'!AK$110:AK$114,$F33+1)+IF(AND($E33=1,IU33=0),1000,0)),1000000))</f>
        <v/>
      </c>
      <c r="NM33">
        <f>IF($B33=0,1000000,IF(INDEX('計算A'!$D$60:$DS$104,$B33,35)*EE33=1,IF(AND($E33=2,IV33=0),1000000,INDEX('計算A'!AL$110:AL$114,$F33+1)+IF(AND($E33=1,IV33=0),1000,0)),1000000))</f>
        <v/>
      </c>
      <c r="NN33">
        <f>IF($B33=0,1000000,IF(INDEX('計算A'!$D$60:$DS$104,$B33,36)*EF33=1,IF(AND($E33=2,IW33=0),1000000,INDEX('計算A'!AM$110:AM$114,$F33+1)+IF(AND($E33=1,IW33=0),1000,0)),1000000))</f>
        <v/>
      </c>
      <c r="NO33">
        <f>IF($B33=0,1000000,IF(INDEX('計算A'!$D$60:$DS$104,$B33,37)*EG33=1,IF(AND($E33=2,IX33=0),1000000,INDEX('計算A'!AN$110:AN$114,$F33+1)+IF(AND($E33=1,IX33=0),1000,0)),1000000))</f>
        <v/>
      </c>
      <c r="NP33">
        <f>IF($B33=0,1000000,IF(INDEX('計算A'!$D$60:$DS$104,$B33,38)*EH33=1,IF(AND($E33=2,IY33=0),1000000,INDEX('計算A'!AO$110:AO$114,$F33+1)+IF(AND($E33=1,IY33=0),1000,0)),1000000))</f>
        <v/>
      </c>
      <c r="NQ33">
        <f>IF($B33=0,1000000,IF(INDEX('計算A'!$D$60:$DS$104,$B33,39)*EI33=1,IF(AND($E33=2,IZ33=0),1000000,INDEX('計算A'!AP$110:AP$114,$F33+1)+IF(AND($E33=1,IZ33=0),1000,0)),1000000))</f>
        <v/>
      </c>
      <c r="NR33">
        <f>IF($B33=0,1000000,IF(INDEX('計算A'!$D$60:$DS$104,$B33,40)*EJ33=1,IF(AND($E33=2,JA33=0),1000000,INDEX('計算A'!AQ$110:AQ$114,$F33+1)+IF(AND($E33=1,JA33=0),1000,0)),1000000))</f>
        <v/>
      </c>
      <c r="NS33">
        <f>IF($B33=0,1000000,IF(INDEX('計算A'!$D$60:$DS$104,$B33,41)*EK33=1,IF(AND($E33=2,JB33=0),1000000,INDEX('計算A'!AR$110:AR$114,$F33+1)+IF(AND($E33=1,JB33=0),1000,0)),1000000))</f>
        <v/>
      </c>
      <c r="NT33">
        <f>IF($B33=0,1000000,IF(INDEX('計算A'!$D$60:$DS$104,$B33,42)*EL33=1,IF(AND($E33=2,JC33=0),1000000,INDEX('計算A'!AS$110:AS$114,$F33+1)+IF(AND($E33=1,JC33=0),1000,0)),1000000))</f>
        <v/>
      </c>
      <c r="NU33">
        <f>IF($B33=0,1000000,IF(INDEX('計算A'!$D$60:$DS$104,$B33,43)*EM33=1,IF(AND($E33=2,JD33=0),1000000,INDEX('計算A'!AT$110:AT$114,$F33+1)+IF(AND($E33=1,JD33=0),1000,0)),1000000))</f>
        <v/>
      </c>
      <c r="NV33">
        <f>IF($B33=0,1000000,IF(INDEX('計算A'!$D$60:$DS$104,$B33,44)*EN33=1,IF(AND($E33=2,JE33=0),1000000,INDEX('計算A'!AU$110:AU$114,$F33+1)+IF(AND($E33=1,JE33=0),1000,0)),1000000))</f>
        <v/>
      </c>
      <c r="NW33">
        <f>IF($B33=0,1000000,IF(INDEX('計算A'!$D$60:$DS$104,$B33,45)*EO33=1,IF(AND($E33=2,JF33=0),1000000,INDEX('計算A'!AV$110:AV$114,$F33+1)+IF(AND($E33=1,JF33=0),1000,0)),1000000))</f>
        <v/>
      </c>
      <c r="NX33">
        <f>IF($B33=0,1000000,IF(INDEX('計算A'!$D$60:$DS$104,$B33,46)*EP33=1,IF(AND($E33=2,JG33=0),1000000,INDEX('計算A'!AW$110:AW$114,$F33+1)+IF(AND($E33=1,JG33=0),1000,0)),1000000))</f>
        <v/>
      </c>
      <c r="NY33">
        <f>IF($B33=0,1000000,IF(INDEX('計算A'!$D$60:$DS$104,$B33,47)*EQ33=1,IF(AND($E33=2,JH33=0),1000000,INDEX('計算A'!AX$110:AX$114,$F33+1)+IF(AND($E33=1,JH33=0),1000,0)),1000000))</f>
        <v/>
      </c>
      <c r="NZ33">
        <f>IF($B33=0,1000000,IF(INDEX('計算A'!$D$60:$DS$104,$B33,48)*ER33=1,IF(AND($E33=2,JI33=0),1000000,INDEX('計算A'!AY$110:AY$114,$F33+1)+IF(AND($E33=1,JI33=0),1000,0)),1000000))</f>
        <v/>
      </c>
      <c r="OA33">
        <f>IF($B33=0,1000000,IF(INDEX('計算A'!$D$60:$DS$104,$B33,49)*ES33=1,IF(AND($E33=2,JJ33=0),1000000,INDEX('計算A'!AZ$110:AZ$114,$F33+1)+IF(AND($E33=1,JJ33=0),1000,0)),1000000))</f>
        <v/>
      </c>
      <c r="OB33">
        <f>IF($B33=0,1000000,IF(INDEX('計算A'!$D$60:$DS$104,$B33,50)*ET33=1,IF(AND($E33=2,JK33=0),1000000,INDEX('計算A'!BA$110:BA$114,$F33+1)+IF(AND($E33=1,JK33=0),1000,0)),1000000))</f>
        <v/>
      </c>
      <c r="OC33">
        <f>IF($B33=0,1000000,IF(INDEX('計算A'!$D$60:$DS$104,$B33,51)*EU33=1,IF(AND($E33=2,JL33=0),1000000,INDEX('計算A'!BB$110:BB$114,$F33+1)+IF(AND($E33=1,JL33=0),1000,0)),1000000))</f>
        <v/>
      </c>
      <c r="OD33">
        <f>IF($B33=0,1000000,IF(INDEX('計算A'!$D$60:$DS$104,$B33,52)*EV33=1,IF(AND($E33=2,JM33=0),1000000,INDEX('計算A'!BC$110:BC$114,$F33+1)+IF(AND($E33=1,JM33=0),1000,0)),1000000))</f>
        <v/>
      </c>
      <c r="OE33">
        <f>IF($B33=0,1000000,IF(INDEX('計算A'!$D$60:$DS$104,$B33,53)*EW33=1,IF(AND($E33=2,JN33=0),1000000,INDEX('計算A'!BD$110:BD$114,$F33+1)+IF(AND($E33=1,JN33=0),1000,0)),1000000))</f>
        <v/>
      </c>
      <c r="OF33">
        <f>IF($B33=0,1000000,IF(INDEX('計算A'!$D$60:$DS$104,$B33,54)*EX33=1,IF(AND($E33=2,JO33=0),1000000,INDEX('計算A'!BE$110:BE$114,$F33+1)+IF(AND($E33=1,JO33=0),1000,0)),1000000))</f>
        <v/>
      </c>
      <c r="OG33">
        <f>IF($B33=0,1000000,IF(INDEX('計算A'!$D$60:$DS$104,$B33,55)*EY33=1,IF(AND($E33=2,JP33=0),1000000,INDEX('計算A'!BF$110:BF$114,$F33+1)+IF(AND($E33=1,JP33=0),1000,0)),1000000))</f>
        <v/>
      </c>
      <c r="OH33">
        <f>IF($B33=0,1000000,IF(INDEX('計算A'!$D$60:$DS$104,$B33,56)*EZ33=1,IF(AND($E33=2,JQ33=0),1000000,INDEX('計算A'!BG$110:BG$114,$F33+1)+IF(AND($E33=1,JQ33=0),1000,0)),1000000))</f>
        <v/>
      </c>
      <c r="OI33">
        <f>IF($B33=0,1000000,IF(INDEX('計算A'!$D$60:$DS$104,$B33,57)*FA33=1,IF(AND($E33=2,JR33=0),1000000,INDEX('計算A'!BH$110:BH$114,$F33+1)+IF(AND($E33=1,JR33=0),1000,0)),1000000))</f>
        <v/>
      </c>
      <c r="OJ33">
        <f>IF($B33=0,1000000,IF(INDEX('計算A'!$D$60:$DS$104,$B33,58)*FB33=1,IF(AND($E33=2,JS33=0),1000000,INDEX('計算A'!BI$110:BI$114,$F33+1)+IF(AND($E33=1,JS33=0),1000,0)),1000000))</f>
        <v/>
      </c>
      <c r="OK33">
        <f>IF($B33=0,1000000,IF(INDEX('計算A'!$D$60:$DS$104,$B33,59)*FC33=1,IF(AND($E33=2,JT33=0),1000000,INDEX('計算A'!BJ$110:BJ$114,$F33+1)+IF(AND($E33=1,JT33=0),1000,0)),1000000))</f>
        <v/>
      </c>
      <c r="OL33">
        <f>IF($B33=0,1000000,IF(INDEX('計算A'!$D$60:$DS$104,$B33,60)*FD33=1,IF(AND($E33=2,JU33=0),1000000,INDEX('計算A'!BK$110:BK$114,$F33+1)+IF(AND($E33=1,JU33=0),1000,0)),1000000))</f>
        <v/>
      </c>
      <c r="OM33">
        <f>IF($B33=0,1000000,IF(INDEX('計算A'!$D$60:$DS$104,$B33,61)*FE33=1,IF(AND($E33=2,JV33=0),1000000,INDEX('計算A'!BL$110:BL$114,$F33+1)+IF(AND($E33=1,JV33=0),1000,0)),1000000))</f>
        <v/>
      </c>
      <c r="ON33">
        <f>IF($B33=0,1000000,IF(INDEX('計算A'!$D$60:$DS$104,$B33,62)*FF33=1,IF(AND($E33=2,JW33=0),1000000,INDEX('計算A'!BM$110:BM$114,$F33+1)+IF(AND($E33=1,JW33=0),1000,0)),1000000))</f>
        <v/>
      </c>
      <c r="OO33">
        <f>IF($B33=0,1000000,IF(INDEX('計算A'!$D$60:$DS$104,$B33,63)*FG33=1,IF(AND($E33=2,JX33=0),1000000,INDEX('計算A'!BN$110:BN$114,$F33+1)+IF(AND($E33=1,JX33=0),1000,0)),1000000))</f>
        <v/>
      </c>
      <c r="OP33">
        <f>IF($B33=0,1000000,IF(INDEX('計算A'!$D$60:$DS$104,$B33,64)*FH33=1,IF(AND($E33=2,JY33=0),1000000,INDEX('計算A'!BO$110:BO$114,$F33+1)+IF(AND($E33=1,JY33=0),1000,0)),1000000))</f>
        <v/>
      </c>
      <c r="OQ33">
        <f>IF($B33=0,1000000,IF(INDEX('計算A'!$D$60:$DS$104,$B33,65)*FI33=1,IF(AND($E33=2,JZ33=0),1000000,INDEX('計算A'!BP$110:BP$114,$F33+1)+IF(AND($E33=1,JZ33=0),1000,0)),1000000))</f>
        <v/>
      </c>
      <c r="OR33">
        <f>IF($B33=0,1000000,IF(INDEX('計算A'!$D$60:$DS$104,$B33,66)*FJ33=1,IF(AND($E33=2,KA33=0),1000000,INDEX('計算A'!BQ$110:BQ$114,$F33+1)+IF(AND($E33=1,KA33=0),1000,0)),1000000))</f>
        <v/>
      </c>
      <c r="OS33">
        <f>IF($B33=0,1000000,IF(INDEX('計算A'!$D$60:$DS$104,$B33,67)*FK33=1,IF(AND($E33=2,KB33=0),1000000,INDEX('計算A'!BR$110:BR$114,$F33+1)+IF(AND($E33=1,KB33=0),1000,0)),1000000))</f>
        <v/>
      </c>
      <c r="OT33">
        <f>IF($B33=0,1000000,IF(INDEX('計算A'!$D$60:$DS$104,$B33,68)*FL33=1,IF(AND($E33=2,KC33=0),1000000,INDEX('計算A'!BS$110:BS$114,$F33+1)+IF(AND($E33=1,KC33=0),1000,0)),1000000))</f>
        <v/>
      </c>
      <c r="OU33">
        <f>IF($B33=0,1000000,IF(INDEX('計算A'!$D$60:$DS$104,$B33,69)*FM33=1,IF(AND($E33=2,KD33=0),1000000,INDEX('計算A'!BT$110:BT$114,$F33+1)+IF(AND($E33=1,KD33=0),1000,0)),1000000))</f>
        <v/>
      </c>
      <c r="OV33">
        <f>IF($B33=0,1000000,IF(INDEX('計算A'!$D$60:$DS$104,$B33,70)*FN33=1,IF(AND($E33=2,KE33=0),1000000,INDEX('計算A'!BU$110:BU$114,$F33+1)+IF(AND($E33=1,KE33=0),1000,0)),1000000))</f>
        <v/>
      </c>
      <c r="OW33">
        <f>IF($B33=0,1000000,IF(INDEX('計算A'!$D$60:$DS$104,$B33,71)*FO33=1,IF(AND($E33=2,KF33=0),1000000,INDEX('計算A'!BV$110:BV$114,$F33+1)+IF(AND($E33=1,KF33=0),1000,0)),1000000))</f>
        <v/>
      </c>
      <c r="OX33">
        <f>IF($B33=0,1000000,IF(INDEX('計算A'!$D$60:$DS$104,$B33,72)*FP33=1,IF(AND($E33=2,KG33=0),1000000,INDEX('計算A'!BW$110:BW$114,$F33+1)+IF(AND($E33=1,KG33=0),1000,0)),1000000))</f>
        <v/>
      </c>
      <c r="OY33">
        <f>IF($B33=0,1000000,IF(INDEX('計算A'!$D$60:$DS$104,$B33,73)*FQ33=1,IF(AND($E33=2,KH33=0),1000000,INDEX('計算A'!BX$110:BX$114,$F33+1)+IF(AND($E33=1,KH33=0),1000,0)),1000000))</f>
        <v/>
      </c>
      <c r="OZ33">
        <f>IF($B33=0,1000000,IF(INDEX('計算A'!$D$60:$DS$104,$B33,74)*FR33=1,IF(AND($E33=2,KI33=0),1000000,INDEX('計算A'!BY$110:BY$114,$F33+1)+IF(AND($E33=1,KI33=0),1000,0)),1000000))</f>
        <v/>
      </c>
      <c r="PA33">
        <f>IF($B33=0,1000000,IF(INDEX('計算A'!$D$60:$DS$104,$B33,75)*FS33=1,IF(AND($E33=2,KJ33=0),1000000,INDEX('計算A'!BZ$110:BZ$114,$F33+1)+IF(AND($E33=1,KJ33=0),1000,0)),1000000))</f>
        <v/>
      </c>
      <c r="PB33">
        <f>IF($B33=0,1000000,IF(INDEX('計算A'!$D$60:$DS$104,$B33,76)*FT33=1,IF(AND($E33=2,KK33=0),1000000,INDEX('計算A'!CA$110:CA$114,$F33+1)+IF(AND($E33=1,KK33=0),1000,0)),1000000))</f>
        <v/>
      </c>
      <c r="PC33">
        <f>IF($B33=0,1000000,IF(INDEX('計算A'!$D$60:$DS$104,$B33,77)*FU33=1,IF(AND($E33=2,KL33=0),1000000,INDEX('計算A'!CB$110:CB$114,$F33+1)+IF(AND($E33=1,KL33=0),1000,0)),1000000))</f>
        <v/>
      </c>
      <c r="PD33">
        <f>IF($B33=0,1000000,IF(INDEX('計算A'!$D$60:$DS$104,$B33,78)*FV33=1,IF(AND($E33=2,KM33=0),1000000,INDEX('計算A'!CC$110:CC$114,$F33+1)+IF(AND($E33=1,KM33=0),1000,0)),1000000))</f>
        <v/>
      </c>
      <c r="PE33">
        <f>IF($B33=0,1000000,IF(INDEX('計算A'!$D$60:$DS$104,$B33,79)*FW33=1,IF(AND($E33=2,KN33=0),1000000,INDEX('計算A'!CD$110:CD$114,$F33+1)+IF(AND($E33=1,KN33=0),1000,0)),1000000))</f>
        <v/>
      </c>
      <c r="PF33">
        <f>IF($B33=0,1000000,IF(INDEX('計算A'!$D$60:$DS$104,$B33,80)*FX33=1,IF(AND($E33=2,KO33=0),1000000,INDEX('計算A'!CE$110:CE$114,$F33+1)+IF(AND($E33=1,KO33=0),1000,0)),1000000))</f>
        <v/>
      </c>
      <c r="PG33">
        <f>IF($B33=0,1000000,IF(INDEX('計算A'!$D$60:$DS$104,$B33,81)*FY33=1,IF(AND($E33=2,KP33=0),1000000,INDEX('計算A'!CF$110:CF$114,$F33+1)+IF(AND($E33=1,KP33=0),1000,0)),1000000))</f>
        <v/>
      </c>
      <c r="PH33">
        <f>IF($B33=0,1000000,IF(INDEX('計算A'!$D$60:$DS$104,$B33,82)*FZ33=1,IF(AND($E33=2,KQ33=0),1000000,INDEX('計算A'!CG$110:CG$114,$F33+1)+IF(AND($E33=1,KQ33=0),1000,0)),1000000))</f>
        <v/>
      </c>
      <c r="PI33">
        <f>IF($B33=0,1000000,IF(INDEX('計算A'!$D$60:$DS$104,$B33,83)*GA33=1,IF(AND($E33=2,KR33=0),1000000,INDEX('計算A'!CH$110:CH$114,$F33+1)+IF(AND($E33=1,KR33=0),1000,0)),1000000))</f>
        <v/>
      </c>
      <c r="PJ33">
        <f>IF($B33=0,1000000,IF(INDEX('計算A'!$D$60:$DS$104,$B33,84)*GB33=1,IF(AND($E33=2,KS33=0),1000000,INDEX('計算A'!CI$110:CI$114,$F33+1)+IF(AND($E33=1,KS33=0),1000,0)),1000000))</f>
        <v/>
      </c>
      <c r="PK33">
        <f>IF($B33=0,1000000,IF(INDEX('計算A'!$D$60:$DS$104,$B33,85)*GC33=1,IF(AND($E33=2,KT33=0),1000000,INDEX('計算A'!CJ$110:CJ$114,$F33+1)+IF(AND($E33=1,KT33=0),1000,0)),1000000))</f>
        <v/>
      </c>
      <c r="PL33">
        <f>IF($B33=0,1000000,IF(INDEX('計算A'!$D$60:$DS$104,$B33,86)*GD33=1,IF(AND($E33=2,KU33=0),1000000,INDEX('計算A'!CK$110:CK$114,$F33+1)+IF(AND($E33=1,KU33=0),1000,0)),1000000))</f>
        <v/>
      </c>
      <c r="PM33">
        <f>IF($B33=0,1000000,IF(INDEX('計算A'!$D$60:$DS$104,$B33,87)*GE33=1,IF(AND($E33=2,KV33=0),1000000,INDEX('計算A'!CL$110:CL$114,$F33+1)+IF(AND($E33=1,KV33=0),1000,0)),1000000))</f>
        <v/>
      </c>
      <c r="PN33">
        <f>IF($B33=0,1000000,IF(INDEX('計算A'!$D$60:$DS$104,$B33,88)*GF33=1,IF(AND($E33=2,KW33=0),1000000,INDEX('計算A'!CM$110:CM$114,$F33+1)+IF(AND($E33=1,KW33=0),1000,0)),1000000))</f>
        <v/>
      </c>
      <c r="PO33">
        <f>IF($B33=0,1000000,IF(INDEX('計算A'!$D$60:$DS$104,$B33,89)*GG33=1,IF(AND($E33=2,KX33=0),1000000,INDEX('計算A'!CN$110:CN$114,$F33+1)+IF(AND($E33=1,KX33=0),1000,0)),1000000))</f>
        <v/>
      </c>
      <c r="PP33">
        <f>IF($B33=0,1000000,IF(INDEX('計算A'!$D$60:$DS$104,$B33,90)*GH33=1,IF(AND($E33=2,KY33=0),1000000,INDEX('計算A'!CO$110:CO$114,$F33+1)+IF(AND($E33=1,KY33=0),1000,0)),1000000))</f>
        <v/>
      </c>
      <c r="PQ33">
        <f>IF($B33=0,1000000,IF(INDEX('計算A'!$D$60:$DS$104,$B33,91)*GI33=1,IF(AND($E33=2,KZ33=0),1000000,INDEX('計算A'!CP$110:CP$114,$F33+1)+IF(AND($E33=1,KZ33=0),1000,0)),1000000))</f>
        <v/>
      </c>
      <c r="PR33">
        <f>IF($B33=0,1000000,IF(INDEX('計算A'!$D$60:$DS$104,$B33,92)*GJ33=1,IF(AND($E33=2,LA33=0),1000000,INDEX('計算A'!CQ$110:CQ$114,$F33+1)+IF(AND($E33=1,LA33=0),1000,0)),1000000))</f>
        <v/>
      </c>
      <c r="PS33">
        <f>IF($B33=0,1000000,IF(INDEX('計算A'!$D$60:$DS$104,$B33,93)*GK33=1,IF(AND($E33=2,LB33=0),1000000,INDEX('計算A'!CR$110:CR$114,$F33+1)+IF(AND($E33=1,LB33=0),1000,0)),1000000))</f>
        <v/>
      </c>
      <c r="PT33">
        <f>IF($B33=0,1000000,IF(INDEX('計算A'!$D$60:$DS$104,$B33,94)*GL33=1,IF(AND($E33=2,LC33=0),1000000,INDEX('計算A'!CS$110:CS$114,$F33+1)+IF(AND($E33=1,LC33=0),1000,0)),1000000))</f>
        <v/>
      </c>
      <c r="PU33">
        <f>IF($B33=0,1000000,IF(INDEX('計算A'!$D$60:$DS$104,$B33,95)*GM33=1,IF(AND($E33=2,LD33=0),1000000,INDEX('計算A'!CT$110:CT$114,$F33+1)+IF(AND($E33=1,LD33=0),1000,0)),1000000))</f>
        <v/>
      </c>
      <c r="PV33">
        <f>IF($B33=0,1000000,IF(INDEX('計算A'!$D$60:$DS$104,$B33,96)*GN33=1,IF(AND($E33=2,LE33=0),1000000,INDEX('計算A'!CU$110:CU$114,$F33+1)+IF(AND($E33=1,LE33=0),1000,0)),1000000))</f>
        <v/>
      </c>
      <c r="PW33">
        <f>IF($B33=0,1000000,IF(INDEX('計算A'!$D$60:$DS$104,$B33,97)*GO33=1,IF(AND($E33=2,LF33=0),1000000,INDEX('計算A'!CV$110:CV$114,$F33+1)+IF(AND($E33=1,LF33=0),1000,0)),1000000))</f>
        <v/>
      </c>
      <c r="PX33">
        <f>IF($B33=0,1000000,IF(INDEX('計算A'!$D$60:$DS$104,$B33,98)*GP33=1,IF(AND($E33=2,LG33=0),1000000,INDEX('計算A'!CW$110:CW$114,$F33+1)+IF(AND($E33=1,LG33=0),1000,0)),1000000))</f>
        <v/>
      </c>
      <c r="PY33">
        <f>IF($B33=0,1000000,IF(INDEX('計算A'!$D$60:$DS$104,$B33,99)*GQ33=1,IF(AND($E33=2,LH33=0),1000000,INDEX('計算A'!CX$110:CX$114,$F33+1)+IF(AND($E33=1,LH33=0),1000,0)),1000000))</f>
        <v/>
      </c>
      <c r="PZ33">
        <f>IF($B33=0,1000000,IF(INDEX('計算A'!$D$60:$DS$104,$B33,100)*GR33=1,IF(AND($E33=2,LI33=0),1000000,INDEX('計算A'!CY$110:CY$114,$F33+1)+IF(AND($E33=1,LI33=0),1000,0)),1000000))</f>
        <v/>
      </c>
      <c r="QA33">
        <f>IF($B33=0,1000000,IF(INDEX('計算A'!$D$60:$DS$104,$B33,101)*GS33=1,IF(AND($E33=2,LJ33=0),1000000,INDEX('計算A'!CZ$110:CZ$114,$F33+1)+IF(AND($E33=1,LJ33=0),1000,0)),1000000))</f>
        <v/>
      </c>
      <c r="QB33">
        <f>IF($B33=0,1000000,IF(INDEX('計算A'!$D$60:$DS$104,$B33,102)*GT33=1,IF(AND($E33=2,LK33=0),1000000,INDEX('計算A'!DA$110:DA$114,$F33+1)+IF(AND($E33=1,LK33=0),1000,0)),1000000))</f>
        <v/>
      </c>
      <c r="QC33">
        <f>IF($B33=0,1000000,IF(INDEX('計算A'!$D$60:$DS$104,$B33,103)*GU33=1,IF(AND($E33=2,LL33=0),1000000,INDEX('計算A'!DB$110:DB$114,$F33+1)+IF(AND($E33=1,LL33=0),1000,0)),1000000))</f>
        <v/>
      </c>
      <c r="QD33">
        <f>IF($B33=0,1000000,IF(INDEX('計算A'!$D$60:$DS$104,$B33,104)*GV33=1,IF(AND($E33=2,LM33=0),1000000,INDEX('計算A'!DC$110:DC$114,$F33+1)+IF(AND($E33=1,LM33=0),1000,0)),1000000))</f>
        <v/>
      </c>
      <c r="QE33">
        <f>IF($B33=0,1000000,IF(INDEX('計算A'!$D$60:$DS$104,$B33,105)*GW33=1,IF(AND($E33=2,LN33=0),1000000,INDEX('計算A'!DD$110:DD$114,$F33+1)+IF(AND($E33=1,LN33=0),1000,0)),1000000))</f>
        <v/>
      </c>
      <c r="QF33">
        <f>IF($B33=0,1000000,IF(INDEX('計算A'!$D$60:$DS$104,$B33,106)*GX33=1,IF(AND($E33=2,LO33=0),1000000,INDEX('計算A'!DE$110:DE$114,$F33+1)+IF(AND($E33=1,LO33=0),1000,0)),1000000))</f>
        <v/>
      </c>
      <c r="QG33">
        <f>IF($B33=0,1000000,IF(INDEX('計算A'!$D$60:$DS$104,$B33,107)*GY33=1,IF(AND($E33=2,LP33=0),1000000,INDEX('計算A'!DF$110:DF$114,$F33+1)+IF(AND($E33=1,LP33=0),1000,0)),1000000))</f>
        <v/>
      </c>
      <c r="QH33">
        <f>IF($B33=0,1000000,IF(INDEX('計算A'!$D$60:$DS$104,$B33,108)*GZ33=1,IF(AND($E33=2,LQ33=0),1000000,INDEX('計算A'!DG$110:DG$114,$F33+1)+IF(AND($E33=1,LQ33=0),1000,0)),1000000))</f>
        <v/>
      </c>
      <c r="QI33">
        <f>IF($B33=0,1000000,IF(INDEX('計算A'!$D$60:$DS$104,$B33,109)*HA33=1,IF(AND($E33=2,LR33=0),1000000,INDEX('計算A'!DH$110:DH$114,$F33+1)+IF(AND($E33=1,LR33=0),1000,0)),1000000))</f>
        <v/>
      </c>
      <c r="QJ33">
        <f>IF($B33=0,1000000,IF(INDEX('計算A'!$D$60:$DS$104,$B33,110)*HB33=1,IF(AND($E33=2,LS33=0),1000000,INDEX('計算A'!DI$110:DI$114,$F33+1)+IF(AND($E33=1,LS33=0),1000,0)),1000000))</f>
        <v/>
      </c>
      <c r="QK33">
        <f>IF($B33=0,1000000,IF(INDEX('計算A'!$D$60:$DS$104,$B33,111)*HC33=1,IF(AND($E33=2,LT33=0),1000000,INDEX('計算A'!DJ$110:DJ$114,$F33+1)+IF(AND($E33=1,LT33=0),1000,0)),1000000))</f>
        <v/>
      </c>
      <c r="QL33">
        <f>IF($B33=0,1000000,IF(INDEX('計算A'!$D$60:$DS$104,$B33,112)*HD33=1,IF(AND($E33=2,LU33=0),1000000,INDEX('計算A'!DK$110:DK$114,$F33+1)+IF(AND($E33=1,LU33=0),1000,0)),1000000))</f>
        <v/>
      </c>
      <c r="QM33">
        <f>IF($B33=0,1000000,IF(INDEX('計算A'!$D$60:$DS$104,$B33,113)*HE33=1,IF(AND($E33=2,LV33=0),1000000,INDEX('計算A'!DL$110:DL$114,$F33+1)+IF(AND($E33=1,LV33=0),1000,0)),1000000))</f>
        <v/>
      </c>
      <c r="QN33">
        <f>IF($B33=0,1000000,IF(INDEX('計算A'!$D$60:$DS$104,$B33,114)*HF33=1,IF(AND($E33=2,LW33=0),1000000,INDEX('計算A'!DM$110:DM$114,$F33+1)+IF(AND($E33=1,LW33=0),1000,0)),1000000))</f>
        <v/>
      </c>
      <c r="QO33">
        <f>IF($B33=0,1000000,IF(INDEX('計算A'!$D$60:$DS$104,$B33,115)*HG33=1,IF(AND($E33=2,LX33=0),1000000,INDEX('計算A'!DN$110:DN$114,$F33+1)+IF(AND($E33=1,LX33=0),1000,0)),1000000))</f>
        <v/>
      </c>
      <c r="QP33">
        <f>IF($B33=0,1000000,IF(INDEX('計算A'!$D$60:$DS$104,$B33,116)*HH33=1,IF(AND($E33=2,LY33=0),1000000,INDEX('計算A'!DO$110:DO$114,$F33+1)+IF(AND($E33=1,LY33=0),1000,0)),1000000))</f>
        <v/>
      </c>
      <c r="QQ33">
        <f>IF($B33=0,1000000,IF(INDEX('計算A'!$D$60:$DS$104,$B33,117)*HI33=1,IF(AND($E33=2,LZ33=0),1000000,INDEX('計算A'!DP$110:DP$114,$F33+1)+IF(AND($E33=1,LZ33=0),1000,0)),1000000))</f>
        <v/>
      </c>
      <c r="QR33">
        <f>IF($B33=0,1000000,IF(INDEX('計算A'!$D$60:$DS$104,$B33,118)*HJ33=1,IF(AND($E33=2,MA33=0),1000000,INDEX('計算A'!DQ$110:DQ$114,$F33+1)+IF(AND($E33=1,MA33=0),1000,0)),1000000))</f>
        <v/>
      </c>
      <c r="QS33">
        <f>IF($B33=0,1000000,IF(INDEX('計算A'!$D$60:$DS$104,$B33,119)*HK33=1,IF(AND($E33=2,MB33=0),1000000,INDEX('計算A'!DR$110:DR$114,$F33+1)+IF(AND($E33=1,MB33=0),1000,0)),1000000))</f>
        <v/>
      </c>
      <c r="QT33">
        <f>IF($B33=0,1000000,IF(INDEX('計算A'!$D$60:$DS$104,$B33,120)*HL33=1,IF(AND($E33=2,MC33=0),1000000,INDEX('計算A'!DS$110:DS$114,$F33+1)+IF(AND($E33=1,MC33=0),1000,0)),1000000))</f>
        <v/>
      </c>
    </row>
    <row r="34">
      <c r="A34" t="n">
        <v>32</v>
      </c>
      <c r="B34">
        <f>IF(MIN(BC34:CU34)&gt;=1000000,0,MATCH(MIN(BC34:CU34),BC34:CU34,0))</f>
        <v/>
      </c>
      <c r="C34">
        <f>IF(MIN(ME34:QT34)&gt;=1000000,0,MATCH(MIN(ME34:QT34),ME34:QT34,0))</f>
        <v/>
      </c>
      <c r="D34">
        <f>IF(C34&gt;0,INDEX('計算A'!$D$5:$DS$5,C34),0)</f>
        <v/>
      </c>
      <c r="E34">
        <f>IF(B34=0,0,INDEX('計算A'!$EA$10:$EA$54,B34))</f>
        <v/>
      </c>
      <c r="F34">
        <f>IF(B34=0,0,INDEX('計算A'!$DZ$10:$DZ$54,B34))</f>
        <v/>
      </c>
      <c r="G34">
        <f>IF(AND(C34&gt;0,E34&gt;0),IF(AND(INDEX('計算A'!$D$106:$DS$106,C34)=1,INDEX($HN34:$MC34,C34)=1),C34+1,0),0)</f>
        <v/>
      </c>
      <c r="I34">
        <f>MAX(I33,IF($B33=1,1,0))</f>
        <v/>
      </c>
      <c r="J34">
        <f>MAX(J33,IF($B33=2,1,0))</f>
        <v/>
      </c>
      <c r="K34">
        <f>MAX(K33,IF($B33=3,1,0))</f>
        <v/>
      </c>
      <c r="L34">
        <f>MAX(L33,IF($B33=4,1,0))</f>
        <v/>
      </c>
      <c r="M34">
        <f>MAX(M33,IF($B33=5,1,0))</f>
        <v/>
      </c>
      <c r="N34">
        <f>MAX(N33,IF($B33=6,1,0))</f>
        <v/>
      </c>
      <c r="O34">
        <f>MAX(O33,IF($B33=7,1,0))</f>
        <v/>
      </c>
      <c r="P34">
        <f>MAX(P33,IF($B33=8,1,0))</f>
        <v/>
      </c>
      <c r="Q34">
        <f>MAX(Q33,IF($B33=9,1,0))</f>
        <v/>
      </c>
      <c r="R34">
        <f>MAX(R33,IF($B33=10,1,0))</f>
        <v/>
      </c>
      <c r="S34">
        <f>MAX(S33,IF($B33=11,1,0))</f>
        <v/>
      </c>
      <c r="T34">
        <f>MAX(T33,IF($B33=12,1,0))</f>
        <v/>
      </c>
      <c r="U34">
        <f>MAX(U33,IF($B33=13,1,0))</f>
        <v/>
      </c>
      <c r="V34">
        <f>MAX(V33,IF($B33=14,1,0))</f>
        <v/>
      </c>
      <c r="W34">
        <f>MAX(W33,IF($B33=15,1,0))</f>
        <v/>
      </c>
      <c r="X34">
        <f>MAX(X33,IF($B33=16,1,0))</f>
        <v/>
      </c>
      <c r="Y34">
        <f>MAX(Y33,IF($B33=17,1,0))</f>
        <v/>
      </c>
      <c r="Z34">
        <f>MAX(Z33,IF($B33=18,1,0))</f>
        <v/>
      </c>
      <c r="AA34">
        <f>MAX(AA33,IF($B33=19,1,0))</f>
        <v/>
      </c>
      <c r="AB34">
        <f>MAX(AB33,IF($B33=20,1,0))</f>
        <v/>
      </c>
      <c r="AC34">
        <f>MAX(AC33,IF($B33=21,1,0))</f>
        <v/>
      </c>
      <c r="AD34">
        <f>MAX(AD33,IF($B33=22,1,0))</f>
        <v/>
      </c>
      <c r="AE34">
        <f>MAX(AE33,IF($B33=23,1,0))</f>
        <v/>
      </c>
      <c r="AF34">
        <f>MAX(AF33,IF($B33=24,1,0))</f>
        <v/>
      </c>
      <c r="AG34">
        <f>MAX(AG33,IF($B33=25,1,0))</f>
        <v/>
      </c>
      <c r="AH34">
        <f>MAX(AH33,IF($B33=26,1,0))</f>
        <v/>
      </c>
      <c r="AI34">
        <f>MAX(AI33,IF($B33=27,1,0))</f>
        <v/>
      </c>
      <c r="AJ34">
        <f>MAX(AJ33,IF($B33=28,1,0))</f>
        <v/>
      </c>
      <c r="AK34">
        <f>MAX(AK33,IF($B33=29,1,0))</f>
        <v/>
      </c>
      <c r="AL34">
        <f>MAX(AL33,IF($B33=30,1,0))</f>
        <v/>
      </c>
      <c r="AM34">
        <f>MAX(AM33,IF($B33=31,1,0))</f>
        <v/>
      </c>
      <c r="AN34">
        <f>MAX(AN33,IF($B33=32,1,0))</f>
        <v/>
      </c>
      <c r="AO34">
        <f>MAX(AO33,IF($B33=33,1,0))</f>
        <v/>
      </c>
      <c r="AP34">
        <f>MAX(AP33,IF($B33=34,1,0))</f>
        <v/>
      </c>
      <c r="AQ34">
        <f>MAX(AQ33,IF($B33=35,1,0))</f>
        <v/>
      </c>
      <c r="AR34">
        <f>MAX(AR33,IF($B33=36,1,0))</f>
        <v/>
      </c>
      <c r="AS34">
        <f>MAX(AS33,IF($B33=37,1,0))</f>
        <v/>
      </c>
      <c r="AT34">
        <f>MAX(AT33,IF($B33=38,1,0))</f>
        <v/>
      </c>
      <c r="AU34">
        <f>MAX(AU33,IF($B33=39,1,0))</f>
        <v/>
      </c>
      <c r="AV34">
        <f>MAX(AV33,IF($B33=40,1,0))</f>
        <v/>
      </c>
      <c r="AW34">
        <f>MAX(AW33,IF($B33=41,1,0))</f>
        <v/>
      </c>
      <c r="AX34">
        <f>MAX(AX33,IF($B33=42,1,0))</f>
        <v/>
      </c>
      <c r="AY34">
        <f>MAX(AY33,IF($B33=43,1,0))</f>
        <v/>
      </c>
      <c r="AZ34">
        <f>MAX(AZ33,IF($B33=44,1,0))</f>
        <v/>
      </c>
      <c r="BA34">
        <f>MAX(BA33,IF($B33=45,1,0))</f>
        <v/>
      </c>
      <c r="BC34">
        <f>IF(I34=1,1000000,IF('計算A'!$EA$10=2,SUMPRODUCT('計算A'!$D$60:$DS$60,$CW34:$HL34,$HN34:$MC34),SUMPRODUCT('計算A'!$D$60:$DS$60,$CW34:$HL34))*1000+1)</f>
        <v/>
      </c>
      <c r="BD34">
        <f>IF(J34=1,1000000,IF('計算A'!$EA$11=2,SUMPRODUCT('計算A'!$D$61:$DS$61,$CW34:$HL34,$HN34:$MC34),SUMPRODUCT('計算A'!$D$61:$DS$61,$CW34:$HL34))*1000+2)</f>
        <v/>
      </c>
      <c r="BE34">
        <f>IF(K34=1,1000000,IF('計算A'!$EA$12=2,SUMPRODUCT('計算A'!$D$62:$DS$62,$CW34:$HL34,$HN34:$MC34),SUMPRODUCT('計算A'!$D$62:$DS$62,$CW34:$HL34))*1000+3)</f>
        <v/>
      </c>
      <c r="BF34">
        <f>IF(L34=1,1000000,IF('計算A'!$EA$13=2,SUMPRODUCT('計算A'!$D$63:$DS$63,$CW34:$HL34,$HN34:$MC34),SUMPRODUCT('計算A'!$D$63:$DS$63,$CW34:$HL34))*1000+4)</f>
        <v/>
      </c>
      <c r="BG34">
        <f>IF(M34=1,1000000,IF('計算A'!$EA$14=2,SUMPRODUCT('計算A'!$D$64:$DS$64,$CW34:$HL34,$HN34:$MC34),SUMPRODUCT('計算A'!$D$64:$DS$64,$CW34:$HL34))*1000+5)</f>
        <v/>
      </c>
      <c r="BH34">
        <f>IF(N34=1,1000000,IF('計算A'!$EA$15=2,SUMPRODUCT('計算A'!$D$65:$DS$65,$CW34:$HL34,$HN34:$MC34),SUMPRODUCT('計算A'!$D$65:$DS$65,$CW34:$HL34))*1000+6)</f>
        <v/>
      </c>
      <c r="BI34">
        <f>IF(O34=1,1000000,IF('計算A'!$EA$16=2,SUMPRODUCT('計算A'!$D$66:$DS$66,$CW34:$HL34,$HN34:$MC34),SUMPRODUCT('計算A'!$D$66:$DS$66,$CW34:$HL34))*1000+7)</f>
        <v/>
      </c>
      <c r="BJ34">
        <f>IF(P34=1,1000000,IF('計算A'!$EA$17=2,SUMPRODUCT('計算A'!$D$67:$DS$67,$CW34:$HL34,$HN34:$MC34),SUMPRODUCT('計算A'!$D$67:$DS$67,$CW34:$HL34))*1000+8)</f>
        <v/>
      </c>
      <c r="BK34">
        <f>IF(Q34=1,1000000,IF('計算A'!$EA$18=2,SUMPRODUCT('計算A'!$D$68:$DS$68,$CW34:$HL34,$HN34:$MC34),SUMPRODUCT('計算A'!$D$68:$DS$68,$CW34:$HL34))*1000+9)</f>
        <v/>
      </c>
      <c r="BL34">
        <f>IF(R34=1,1000000,IF('計算A'!$EA$19=2,SUMPRODUCT('計算A'!$D$69:$DS$69,$CW34:$HL34,$HN34:$MC34),SUMPRODUCT('計算A'!$D$69:$DS$69,$CW34:$HL34))*1000+10)</f>
        <v/>
      </c>
      <c r="BM34">
        <f>IF(S34=1,1000000,IF('計算A'!$EA$20=2,SUMPRODUCT('計算A'!$D$70:$DS$70,$CW34:$HL34,$HN34:$MC34),SUMPRODUCT('計算A'!$D$70:$DS$70,$CW34:$HL34))*1000+11)</f>
        <v/>
      </c>
      <c r="BN34">
        <f>IF(T34=1,1000000,IF('計算A'!$EA$21=2,SUMPRODUCT('計算A'!$D$71:$DS$71,$CW34:$HL34,$HN34:$MC34),SUMPRODUCT('計算A'!$D$71:$DS$71,$CW34:$HL34))*1000+12)</f>
        <v/>
      </c>
      <c r="BO34">
        <f>IF(U34=1,1000000,IF('計算A'!$EA$22=2,SUMPRODUCT('計算A'!$D$72:$DS$72,$CW34:$HL34,$HN34:$MC34),SUMPRODUCT('計算A'!$D$72:$DS$72,$CW34:$HL34))*1000+13)</f>
        <v/>
      </c>
      <c r="BP34">
        <f>IF(V34=1,1000000,IF('計算A'!$EA$23=2,SUMPRODUCT('計算A'!$D$73:$DS$73,$CW34:$HL34,$HN34:$MC34),SUMPRODUCT('計算A'!$D$73:$DS$73,$CW34:$HL34))*1000+14)</f>
        <v/>
      </c>
      <c r="BQ34">
        <f>IF(W34=1,1000000,IF('計算A'!$EA$24=2,SUMPRODUCT('計算A'!$D$74:$DS$74,$CW34:$HL34,$HN34:$MC34),SUMPRODUCT('計算A'!$D$74:$DS$74,$CW34:$HL34))*1000+15)</f>
        <v/>
      </c>
      <c r="BR34">
        <f>IF(X34=1,1000000,IF('計算A'!$EA$25=2,SUMPRODUCT('計算A'!$D$75:$DS$75,$CW34:$HL34,$HN34:$MC34),SUMPRODUCT('計算A'!$D$75:$DS$75,$CW34:$HL34))*1000+16)</f>
        <v/>
      </c>
      <c r="BS34">
        <f>IF(Y34=1,1000000,IF('計算A'!$EA$26=2,SUMPRODUCT('計算A'!$D$76:$DS$76,$CW34:$HL34,$HN34:$MC34),SUMPRODUCT('計算A'!$D$76:$DS$76,$CW34:$HL34))*1000+17)</f>
        <v/>
      </c>
      <c r="BT34">
        <f>IF(Z34=1,1000000,IF('計算A'!$EA$27=2,SUMPRODUCT('計算A'!$D$77:$DS$77,$CW34:$HL34,$HN34:$MC34),SUMPRODUCT('計算A'!$D$77:$DS$77,$CW34:$HL34))*1000+18)</f>
        <v/>
      </c>
      <c r="BU34">
        <f>IF(AA34=1,1000000,IF('計算A'!$EA$28=2,SUMPRODUCT('計算A'!$D$78:$DS$78,$CW34:$HL34,$HN34:$MC34),SUMPRODUCT('計算A'!$D$78:$DS$78,$CW34:$HL34))*1000+19)</f>
        <v/>
      </c>
      <c r="BV34">
        <f>IF(AB34=1,1000000,IF('計算A'!$EA$29=2,SUMPRODUCT('計算A'!$D$79:$DS$79,$CW34:$HL34,$HN34:$MC34),SUMPRODUCT('計算A'!$D$79:$DS$79,$CW34:$HL34))*1000+20)</f>
        <v/>
      </c>
      <c r="BW34">
        <f>IF(AC34=1,1000000,IF('計算A'!$EA$30=2,SUMPRODUCT('計算A'!$D$80:$DS$80,$CW34:$HL34,$HN34:$MC34),SUMPRODUCT('計算A'!$D$80:$DS$80,$CW34:$HL34))*1000+21)</f>
        <v/>
      </c>
      <c r="BX34">
        <f>IF(AD34=1,1000000,IF('計算A'!$EA$31=2,SUMPRODUCT('計算A'!$D$81:$DS$81,$CW34:$HL34,$HN34:$MC34),SUMPRODUCT('計算A'!$D$81:$DS$81,$CW34:$HL34))*1000+22)</f>
        <v/>
      </c>
      <c r="BY34">
        <f>IF(AE34=1,1000000,IF('計算A'!$EA$32=2,SUMPRODUCT('計算A'!$D$82:$DS$82,$CW34:$HL34,$HN34:$MC34),SUMPRODUCT('計算A'!$D$82:$DS$82,$CW34:$HL34))*1000+23)</f>
        <v/>
      </c>
      <c r="BZ34">
        <f>IF(AF34=1,1000000,IF('計算A'!$EA$33=2,SUMPRODUCT('計算A'!$D$83:$DS$83,$CW34:$HL34,$HN34:$MC34),SUMPRODUCT('計算A'!$D$83:$DS$83,$CW34:$HL34))*1000+24)</f>
        <v/>
      </c>
      <c r="CA34">
        <f>IF(AG34=1,1000000,IF('計算A'!$EA$34=2,SUMPRODUCT('計算A'!$D$84:$DS$84,$CW34:$HL34,$HN34:$MC34),SUMPRODUCT('計算A'!$D$84:$DS$84,$CW34:$HL34))*1000+25)</f>
        <v/>
      </c>
      <c r="CB34">
        <f>IF(AH34=1,1000000,IF('計算A'!$EA$35=2,SUMPRODUCT('計算A'!$D$85:$DS$85,$CW34:$HL34,$HN34:$MC34),SUMPRODUCT('計算A'!$D$85:$DS$85,$CW34:$HL34))*1000+26)</f>
        <v/>
      </c>
      <c r="CC34">
        <f>IF(AI34=1,1000000,IF('計算A'!$EA$36=2,SUMPRODUCT('計算A'!$D$86:$DS$86,$CW34:$HL34,$HN34:$MC34),SUMPRODUCT('計算A'!$D$86:$DS$86,$CW34:$HL34))*1000+27)</f>
        <v/>
      </c>
      <c r="CD34">
        <f>IF(AJ34=1,1000000,IF('計算A'!$EA$37=2,SUMPRODUCT('計算A'!$D$87:$DS$87,$CW34:$HL34,$HN34:$MC34),SUMPRODUCT('計算A'!$D$87:$DS$87,$CW34:$HL34))*1000+28)</f>
        <v/>
      </c>
      <c r="CE34">
        <f>IF(AK34=1,1000000,IF('計算A'!$EA$38=2,SUMPRODUCT('計算A'!$D$88:$DS$88,$CW34:$HL34,$HN34:$MC34),SUMPRODUCT('計算A'!$D$88:$DS$88,$CW34:$HL34))*1000+29)</f>
        <v/>
      </c>
      <c r="CF34">
        <f>IF(AL34=1,1000000,IF('計算A'!$EA$39=2,SUMPRODUCT('計算A'!$D$89:$DS$89,$CW34:$HL34,$HN34:$MC34),SUMPRODUCT('計算A'!$D$89:$DS$89,$CW34:$HL34))*1000+30)</f>
        <v/>
      </c>
      <c r="CG34">
        <f>IF(AM34=1,1000000,IF('計算A'!$EA$40=2,SUMPRODUCT('計算A'!$D$90:$DS$90,$CW34:$HL34,$HN34:$MC34),SUMPRODUCT('計算A'!$D$90:$DS$90,$CW34:$HL34))*1000+31)</f>
        <v/>
      </c>
      <c r="CH34">
        <f>IF(AN34=1,1000000,IF('計算A'!$EA$41=2,SUMPRODUCT('計算A'!$D$91:$DS$91,$CW34:$HL34,$HN34:$MC34),SUMPRODUCT('計算A'!$D$91:$DS$91,$CW34:$HL34))*1000+32)</f>
        <v/>
      </c>
      <c r="CI34">
        <f>IF(AO34=1,1000000,IF('計算A'!$EA$42=2,SUMPRODUCT('計算A'!$D$92:$DS$92,$CW34:$HL34,$HN34:$MC34),SUMPRODUCT('計算A'!$D$92:$DS$92,$CW34:$HL34))*1000+33)</f>
        <v/>
      </c>
      <c r="CJ34">
        <f>IF(AP34=1,1000000,IF('計算A'!$EA$43=2,SUMPRODUCT('計算A'!$D$93:$DS$93,$CW34:$HL34,$HN34:$MC34),SUMPRODUCT('計算A'!$D$93:$DS$93,$CW34:$HL34))*1000+34)</f>
        <v/>
      </c>
      <c r="CK34">
        <f>IF(AQ34=1,1000000,IF('計算A'!$EA$44=2,SUMPRODUCT('計算A'!$D$94:$DS$94,$CW34:$HL34,$HN34:$MC34),SUMPRODUCT('計算A'!$D$94:$DS$94,$CW34:$HL34))*1000+35)</f>
        <v/>
      </c>
      <c r="CL34">
        <f>IF(AR34=1,1000000,IF('計算A'!$EA$45=2,SUMPRODUCT('計算A'!$D$95:$DS$95,$CW34:$HL34,$HN34:$MC34),SUMPRODUCT('計算A'!$D$95:$DS$95,$CW34:$HL34))*1000+36)</f>
        <v/>
      </c>
      <c r="CM34">
        <f>IF(AS34=1,1000000,IF('計算A'!$EA$46=2,SUMPRODUCT('計算A'!$D$96:$DS$96,$CW34:$HL34,$HN34:$MC34),SUMPRODUCT('計算A'!$D$96:$DS$96,$CW34:$HL34))*1000+37)</f>
        <v/>
      </c>
      <c r="CN34">
        <f>IF(AT34=1,1000000,IF('計算A'!$EA$47=2,SUMPRODUCT('計算A'!$D$97:$DS$97,$CW34:$HL34,$HN34:$MC34),SUMPRODUCT('計算A'!$D$97:$DS$97,$CW34:$HL34))*1000+38)</f>
        <v/>
      </c>
      <c r="CO34">
        <f>IF(AU34=1,1000000,IF('計算A'!$EA$48=2,SUMPRODUCT('計算A'!$D$98:$DS$98,$CW34:$HL34,$HN34:$MC34),SUMPRODUCT('計算A'!$D$98:$DS$98,$CW34:$HL34))*1000+39)</f>
        <v/>
      </c>
      <c r="CP34">
        <f>IF(AV34=1,1000000,IF('計算A'!$EA$49=2,SUMPRODUCT('計算A'!$D$99:$DS$99,$CW34:$HL34,$HN34:$MC34),SUMPRODUCT('計算A'!$D$99:$DS$99,$CW34:$HL34))*1000+40)</f>
        <v/>
      </c>
      <c r="CQ34">
        <f>IF(AW34=1,1000000,IF('計算A'!$EA$50=2,SUMPRODUCT('計算A'!$D$100:$DS$100,$CW34:$HL34,$HN34:$MC34),SUMPRODUCT('計算A'!$D$100:$DS$100,$CW34:$HL34))*1000+41)</f>
        <v/>
      </c>
      <c r="CR34">
        <f>IF(AX34=1,1000000,IF('計算A'!$EA$51=2,SUMPRODUCT('計算A'!$D$101:$DS$101,$CW34:$HL34,$HN34:$MC34),SUMPRODUCT('計算A'!$D$101:$DS$101,$CW34:$HL34))*1000+42)</f>
        <v/>
      </c>
      <c r="CS34">
        <f>IF(AY34=1,1000000,IF('計算A'!$EA$52=2,SUMPRODUCT('計算A'!$D$102:$DS$102,$CW34:$HL34,$HN34:$MC34),SUMPRODUCT('計算A'!$D$102:$DS$102,$CW34:$HL34))*1000+43)</f>
        <v/>
      </c>
      <c r="CT34">
        <f>IF(AZ34=1,1000000,IF('計算A'!$EA$53=2,SUMPRODUCT('計算A'!$D$103:$DS$103,$CW34:$HL34,$HN34:$MC34),SUMPRODUCT('計算A'!$D$103:$DS$103,$CW34:$HL34))*1000+44)</f>
        <v/>
      </c>
      <c r="CU34">
        <f>IF(BA34=1,1000000,IF('計算A'!$EA$54=2,SUMPRODUCT('計算A'!$D$104:$DS$104,$CW34:$HL34,$HN34:$MC34),SUMPRODUCT('計算A'!$D$104:$DS$104,$CW34:$HL34))*1000+45)</f>
        <v/>
      </c>
      <c r="CW34">
        <f>CW33*IF(OR($C33=1,$G33=1),0,1)</f>
        <v/>
      </c>
      <c r="CX34">
        <f>CX33*IF(OR($C33=2,$G33=2),0,1)</f>
        <v/>
      </c>
      <c r="CY34">
        <f>CY33*IF(OR($C33=3,$G33=3),0,1)</f>
        <v/>
      </c>
      <c r="CZ34">
        <f>CZ33*IF(OR($C33=4,$G33=4),0,1)</f>
        <v/>
      </c>
      <c r="DA34">
        <f>DA33*IF(OR($C33=5,$G33=5),0,1)</f>
        <v/>
      </c>
      <c r="DB34">
        <f>DB33*IF(OR($C33=6,$G33=6),0,1)</f>
        <v/>
      </c>
      <c r="DC34">
        <f>DC33*IF(OR($C33=7,$G33=7),0,1)</f>
        <v/>
      </c>
      <c r="DD34">
        <f>DD33*IF(OR($C33=8,$G33=8),0,1)</f>
        <v/>
      </c>
      <c r="DE34">
        <f>DE33*IF(OR($C33=9,$G33=9),0,1)</f>
        <v/>
      </c>
      <c r="DF34">
        <f>DF33*IF(OR($C33=10,$G33=10),0,1)</f>
        <v/>
      </c>
      <c r="DG34">
        <f>DG33*IF(OR($C33=11,$G33=11),0,1)</f>
        <v/>
      </c>
      <c r="DH34">
        <f>DH33*IF(OR($C33=12,$G33=12),0,1)</f>
        <v/>
      </c>
      <c r="DI34">
        <f>DI33*IF(OR($C33=13,$G33=13),0,1)</f>
        <v/>
      </c>
      <c r="DJ34">
        <f>DJ33*IF(OR($C33=14,$G33=14),0,1)</f>
        <v/>
      </c>
      <c r="DK34">
        <f>DK33*IF(OR($C33=15,$G33=15),0,1)</f>
        <v/>
      </c>
      <c r="DL34">
        <f>DL33*IF(OR($C33=16,$G33=16),0,1)</f>
        <v/>
      </c>
      <c r="DM34">
        <f>DM33*IF(OR($C33=17,$G33=17),0,1)</f>
        <v/>
      </c>
      <c r="DN34">
        <f>DN33*IF(OR($C33=18,$G33=18),0,1)</f>
        <v/>
      </c>
      <c r="DO34">
        <f>DO33*IF(OR($C33=19,$G33=19),0,1)</f>
        <v/>
      </c>
      <c r="DP34">
        <f>DP33*IF(OR($C33=20,$G33=20),0,1)</f>
        <v/>
      </c>
      <c r="DQ34">
        <f>DQ33*IF(OR($C33=21,$G33=21),0,1)</f>
        <v/>
      </c>
      <c r="DR34">
        <f>DR33*IF(OR($C33=22,$G33=22),0,1)</f>
        <v/>
      </c>
      <c r="DS34">
        <f>DS33*IF(OR($C33=23,$G33=23),0,1)</f>
        <v/>
      </c>
      <c r="DT34">
        <f>DT33*IF(OR($C33=24,$G33=24),0,1)</f>
        <v/>
      </c>
      <c r="DU34">
        <f>DU33*IF(OR($C33=25,$G33=25),0,1)</f>
        <v/>
      </c>
      <c r="DV34">
        <f>DV33*IF(OR($C33=26,$G33=26),0,1)</f>
        <v/>
      </c>
      <c r="DW34">
        <f>DW33*IF(OR($C33=27,$G33=27),0,1)</f>
        <v/>
      </c>
      <c r="DX34">
        <f>DX33*IF(OR($C33=28,$G33=28),0,1)</f>
        <v/>
      </c>
      <c r="DY34">
        <f>DY33*IF(OR($C33=29,$G33=29),0,1)</f>
        <v/>
      </c>
      <c r="DZ34">
        <f>DZ33*IF(OR($C33=30,$G33=30),0,1)</f>
        <v/>
      </c>
      <c r="EA34">
        <f>EA33*IF(OR($C33=31,$G33=31),0,1)</f>
        <v/>
      </c>
      <c r="EB34">
        <f>EB33*IF(OR($C33=32,$G33=32),0,1)</f>
        <v/>
      </c>
      <c r="EC34">
        <f>EC33*IF(OR($C33=33,$G33=33),0,1)</f>
        <v/>
      </c>
      <c r="ED34">
        <f>ED33*IF(OR($C33=34,$G33=34),0,1)</f>
        <v/>
      </c>
      <c r="EE34">
        <f>EE33*IF(OR($C33=35,$G33=35),0,1)</f>
        <v/>
      </c>
      <c r="EF34">
        <f>EF33*IF(OR($C33=36,$G33=36),0,1)</f>
        <v/>
      </c>
      <c r="EG34">
        <f>EG33*IF(OR($C33=37,$G33=37),0,1)</f>
        <v/>
      </c>
      <c r="EH34">
        <f>EH33*IF(OR($C33=38,$G33=38),0,1)</f>
        <v/>
      </c>
      <c r="EI34">
        <f>EI33*IF(OR($C33=39,$G33=39),0,1)</f>
        <v/>
      </c>
      <c r="EJ34">
        <f>EJ33*IF(OR($C33=40,$G33=40),0,1)</f>
        <v/>
      </c>
      <c r="EK34">
        <f>EK33*IF(OR($C33=41,$G33=41),0,1)</f>
        <v/>
      </c>
      <c r="EL34">
        <f>EL33*IF(OR($C33=42,$G33=42),0,1)</f>
        <v/>
      </c>
      <c r="EM34">
        <f>EM33*IF(OR($C33=43,$G33=43),0,1)</f>
        <v/>
      </c>
      <c r="EN34">
        <f>EN33*IF(OR($C33=44,$G33=44),0,1)</f>
        <v/>
      </c>
      <c r="EO34">
        <f>EO33*IF(OR($C33=45,$G33=45),0,1)</f>
        <v/>
      </c>
      <c r="EP34">
        <f>EP33*IF(OR($C33=46,$G33=46),0,1)</f>
        <v/>
      </c>
      <c r="EQ34">
        <f>EQ33*IF(OR($C33=47,$G33=47),0,1)</f>
        <v/>
      </c>
      <c r="ER34">
        <f>ER33*IF(OR($C33=48,$G33=48),0,1)</f>
        <v/>
      </c>
      <c r="ES34">
        <f>ES33*IF(OR($C33=49,$G33=49),0,1)</f>
        <v/>
      </c>
      <c r="ET34">
        <f>ET33*IF(OR($C33=50,$G33=50),0,1)</f>
        <v/>
      </c>
      <c r="EU34">
        <f>EU33*IF(OR($C33=51,$G33=51),0,1)</f>
        <v/>
      </c>
      <c r="EV34">
        <f>EV33*IF(OR($C33=52,$G33=52),0,1)</f>
        <v/>
      </c>
      <c r="EW34">
        <f>EW33*IF(OR($C33=53,$G33=53),0,1)</f>
        <v/>
      </c>
      <c r="EX34">
        <f>EX33*IF(OR($C33=54,$G33=54),0,1)</f>
        <v/>
      </c>
      <c r="EY34">
        <f>EY33*IF(OR($C33=55,$G33=55),0,1)</f>
        <v/>
      </c>
      <c r="EZ34">
        <f>EZ33*IF(OR($C33=56,$G33=56),0,1)</f>
        <v/>
      </c>
      <c r="FA34">
        <f>FA33*IF(OR($C33=57,$G33=57),0,1)</f>
        <v/>
      </c>
      <c r="FB34">
        <f>FB33*IF(OR($C33=58,$G33=58),0,1)</f>
        <v/>
      </c>
      <c r="FC34">
        <f>FC33*IF(OR($C33=59,$G33=59),0,1)</f>
        <v/>
      </c>
      <c r="FD34">
        <f>FD33*IF(OR($C33=60,$G33=60),0,1)</f>
        <v/>
      </c>
      <c r="FE34">
        <f>FE33*IF(OR($C33=61,$G33=61),0,1)</f>
        <v/>
      </c>
      <c r="FF34">
        <f>FF33*IF(OR($C33=62,$G33=62),0,1)</f>
        <v/>
      </c>
      <c r="FG34">
        <f>FG33*IF(OR($C33=63,$G33=63),0,1)</f>
        <v/>
      </c>
      <c r="FH34">
        <f>FH33*IF(OR($C33=64,$G33=64),0,1)</f>
        <v/>
      </c>
      <c r="FI34">
        <f>FI33*IF(OR($C33=65,$G33=65),0,1)</f>
        <v/>
      </c>
      <c r="FJ34">
        <f>FJ33*IF(OR($C33=66,$G33=66),0,1)</f>
        <v/>
      </c>
      <c r="FK34">
        <f>FK33*IF(OR($C33=67,$G33=67),0,1)</f>
        <v/>
      </c>
      <c r="FL34">
        <f>FL33*IF(OR($C33=68,$G33=68),0,1)</f>
        <v/>
      </c>
      <c r="FM34">
        <f>FM33*IF(OR($C33=69,$G33=69),0,1)</f>
        <v/>
      </c>
      <c r="FN34">
        <f>FN33*IF(OR($C33=70,$G33=70),0,1)</f>
        <v/>
      </c>
      <c r="FO34">
        <f>FO33*IF(OR($C33=71,$G33=71),0,1)</f>
        <v/>
      </c>
      <c r="FP34">
        <f>FP33*IF(OR($C33=72,$G33=72),0,1)</f>
        <v/>
      </c>
      <c r="FQ34">
        <f>FQ33*IF(OR($C33=73,$G33=73),0,1)</f>
        <v/>
      </c>
      <c r="FR34">
        <f>FR33*IF(OR($C33=74,$G33=74),0,1)</f>
        <v/>
      </c>
      <c r="FS34">
        <f>FS33*IF(OR($C33=75,$G33=75),0,1)</f>
        <v/>
      </c>
      <c r="FT34">
        <f>FT33*IF(OR($C33=76,$G33=76),0,1)</f>
        <v/>
      </c>
      <c r="FU34">
        <f>FU33*IF(OR($C33=77,$G33=77),0,1)</f>
        <v/>
      </c>
      <c r="FV34">
        <f>FV33*IF(OR($C33=78,$G33=78),0,1)</f>
        <v/>
      </c>
      <c r="FW34">
        <f>FW33*IF(OR($C33=79,$G33=79),0,1)</f>
        <v/>
      </c>
      <c r="FX34">
        <f>FX33*IF(OR($C33=80,$G33=80),0,1)</f>
        <v/>
      </c>
      <c r="FY34">
        <f>FY33*IF(OR($C33=81,$G33=81),0,1)</f>
        <v/>
      </c>
      <c r="FZ34">
        <f>FZ33*IF(OR($C33=82,$G33=82),0,1)</f>
        <v/>
      </c>
      <c r="GA34">
        <f>GA33*IF(OR($C33=83,$G33=83),0,1)</f>
        <v/>
      </c>
      <c r="GB34">
        <f>GB33*IF(OR($C33=84,$G33=84),0,1)</f>
        <v/>
      </c>
      <c r="GC34">
        <f>GC33*IF(OR($C33=85,$G33=85),0,1)</f>
        <v/>
      </c>
      <c r="GD34">
        <f>GD33*IF(OR($C33=86,$G33=86),0,1)</f>
        <v/>
      </c>
      <c r="GE34">
        <f>GE33*IF(OR($C33=87,$G33=87),0,1)</f>
        <v/>
      </c>
      <c r="GF34">
        <f>GF33*IF(OR($C33=88,$G33=88),0,1)</f>
        <v/>
      </c>
      <c r="GG34">
        <f>GG33*IF(OR($C33=89,$G33=89),0,1)</f>
        <v/>
      </c>
      <c r="GH34">
        <f>GH33*IF(OR($C33=90,$G33=90),0,1)</f>
        <v/>
      </c>
      <c r="GI34">
        <f>GI33*IF(OR($C33=91,$G33=91),0,1)</f>
        <v/>
      </c>
      <c r="GJ34">
        <f>GJ33*IF(OR($C33=92,$G33=92),0,1)</f>
        <v/>
      </c>
      <c r="GK34">
        <f>GK33*IF(OR($C33=93,$G33=93),0,1)</f>
        <v/>
      </c>
      <c r="GL34">
        <f>GL33*IF(OR($C33=94,$G33=94),0,1)</f>
        <v/>
      </c>
      <c r="GM34">
        <f>GM33*IF(OR($C33=95,$G33=95),0,1)</f>
        <v/>
      </c>
      <c r="GN34">
        <f>GN33*IF(OR($C33=96,$G33=96),0,1)</f>
        <v/>
      </c>
      <c r="GO34">
        <f>GO33*IF(OR($C33=97,$G33=97),0,1)</f>
        <v/>
      </c>
      <c r="GP34">
        <f>GP33*IF(OR($C33=98,$G33=98),0,1)</f>
        <v/>
      </c>
      <c r="GQ34">
        <f>GQ33*IF(OR($C33=99,$G33=99),0,1)</f>
        <v/>
      </c>
      <c r="GR34">
        <f>GR33*IF(OR($C33=100,$G33=100),0,1)</f>
        <v/>
      </c>
      <c r="GS34">
        <f>GS33*IF(OR($C33=101,$G33=101),0,1)</f>
        <v/>
      </c>
      <c r="GT34">
        <f>GT33*IF(OR($C33=102,$G33=102),0,1)</f>
        <v/>
      </c>
      <c r="GU34">
        <f>GU33*IF(OR($C33=103,$G33=103),0,1)</f>
        <v/>
      </c>
      <c r="GV34">
        <f>GV33*IF(OR($C33=104,$G33=104),0,1)</f>
        <v/>
      </c>
      <c r="GW34">
        <f>GW33*IF(OR($C33=105,$G33=105),0,1)</f>
        <v/>
      </c>
      <c r="GX34">
        <f>GX33*IF(OR($C33=106,$G33=106),0,1)</f>
        <v/>
      </c>
      <c r="GY34">
        <f>GY33*IF(OR($C33=107,$G33=107),0,1)</f>
        <v/>
      </c>
      <c r="GZ34">
        <f>GZ33*IF(OR($C33=108,$G33=108),0,1)</f>
        <v/>
      </c>
      <c r="HA34">
        <f>HA33*IF(OR($C33=109,$G33=109),0,1)</f>
        <v/>
      </c>
      <c r="HB34">
        <f>HB33*IF(OR($C33=110,$G33=110),0,1)</f>
        <v/>
      </c>
      <c r="HC34">
        <f>HC33*IF(OR($C33=111,$G33=111),0,1)</f>
        <v/>
      </c>
      <c r="HD34">
        <f>HD33*IF(OR($C33=112,$G33=112),0,1)</f>
        <v/>
      </c>
      <c r="HE34">
        <f>HE33*IF(OR($C33=113,$G33=113),0,1)</f>
        <v/>
      </c>
      <c r="HF34">
        <f>HF33*IF(OR($C33=114,$G33=114),0,1)</f>
        <v/>
      </c>
      <c r="HG34">
        <f>HG33*IF(OR($C33=115,$G33=115),0,1)</f>
        <v/>
      </c>
      <c r="HH34">
        <f>HH33*IF(OR($C33=116,$G33=116),0,1)</f>
        <v/>
      </c>
      <c r="HI34">
        <f>HI33*IF(OR($C33=117,$G33=117),0,1)</f>
        <v/>
      </c>
      <c r="HJ34">
        <f>HJ33*IF(OR($C33=118,$G33=118),0,1)</f>
        <v/>
      </c>
      <c r="HK34">
        <f>HK33*IF(OR($C33=119,$G33=119),0,1)</f>
        <v/>
      </c>
      <c r="HL34">
        <f>HL33*IF(OR($C33=120,$G33=120),0,1)</f>
        <v/>
      </c>
      <c r="HN34">
        <f>IF('計算A'!D$106=1,CX34,1)</f>
        <v/>
      </c>
      <c r="HO34">
        <f>IF('計算A'!E$106=1,CY34,1)</f>
        <v/>
      </c>
      <c r="HP34">
        <f>IF('計算A'!F$106=1,CZ34,1)</f>
        <v/>
      </c>
      <c r="HQ34">
        <f>IF('計算A'!G$106=1,DA34,1)</f>
        <v/>
      </c>
      <c r="HR34">
        <f>IF('計算A'!H$106=1,DB34,1)</f>
        <v/>
      </c>
      <c r="HS34">
        <f>IF('計算A'!I$106=1,DC34,1)</f>
        <v/>
      </c>
      <c r="HT34">
        <f>IF('計算A'!J$106=1,DD34,1)</f>
        <v/>
      </c>
      <c r="HU34">
        <f>IF('計算A'!K$106=1,DE34,1)</f>
        <v/>
      </c>
      <c r="HV34">
        <f>IF('計算A'!L$106=1,DF34,1)</f>
        <v/>
      </c>
      <c r="HW34">
        <f>IF('計算A'!M$106=1,DG34,1)</f>
        <v/>
      </c>
      <c r="HX34">
        <f>IF('計算A'!N$106=1,DH34,1)</f>
        <v/>
      </c>
      <c r="HY34">
        <f>IF('計算A'!O$106=1,DI34,1)</f>
        <v/>
      </c>
      <c r="HZ34">
        <f>IF('計算A'!P$106=1,DJ34,1)</f>
        <v/>
      </c>
      <c r="IA34">
        <f>IF('計算A'!Q$106=1,DK34,1)</f>
        <v/>
      </c>
      <c r="IB34">
        <f>IF('計算A'!R$106=1,DL34,1)</f>
        <v/>
      </c>
      <c r="IC34">
        <f>IF('計算A'!S$106=1,DM34,1)</f>
        <v/>
      </c>
      <c r="ID34">
        <f>IF('計算A'!T$106=1,DN34,1)</f>
        <v/>
      </c>
      <c r="IE34">
        <f>IF('計算A'!U$106=1,DO34,1)</f>
        <v/>
      </c>
      <c r="IF34">
        <f>IF('計算A'!V$106=1,DP34,1)</f>
        <v/>
      </c>
      <c r="IG34">
        <f>IF('計算A'!W$106=1,DQ34,1)</f>
        <v/>
      </c>
      <c r="IH34">
        <f>IF('計算A'!X$106=1,DR34,1)</f>
        <v/>
      </c>
      <c r="II34">
        <f>IF('計算A'!Y$106=1,DS34,1)</f>
        <v/>
      </c>
      <c r="IJ34">
        <f>IF('計算A'!Z$106=1,DT34,1)</f>
        <v/>
      </c>
      <c r="IK34">
        <f>IF('計算A'!AA$106=1,DU34,1)</f>
        <v/>
      </c>
      <c r="IL34">
        <f>IF('計算A'!AB$106=1,DV34,1)</f>
        <v/>
      </c>
      <c r="IM34">
        <f>IF('計算A'!AC$106=1,DW34,1)</f>
        <v/>
      </c>
      <c r="IN34">
        <f>IF('計算A'!AD$106=1,DX34,1)</f>
        <v/>
      </c>
      <c r="IO34">
        <f>IF('計算A'!AE$106=1,DY34,1)</f>
        <v/>
      </c>
      <c r="IP34">
        <f>IF('計算A'!AF$106=1,DZ34,1)</f>
        <v/>
      </c>
      <c r="IQ34">
        <f>IF('計算A'!AG$106=1,EA34,1)</f>
        <v/>
      </c>
      <c r="IR34">
        <f>IF('計算A'!AH$106=1,EB34,1)</f>
        <v/>
      </c>
      <c r="IS34">
        <f>IF('計算A'!AI$106=1,EC34,1)</f>
        <v/>
      </c>
      <c r="IT34">
        <f>IF('計算A'!AJ$106=1,ED34,1)</f>
        <v/>
      </c>
      <c r="IU34">
        <f>IF('計算A'!AK$106=1,EE34,1)</f>
        <v/>
      </c>
      <c r="IV34">
        <f>IF('計算A'!AL$106=1,EF34,1)</f>
        <v/>
      </c>
      <c r="IW34">
        <f>IF('計算A'!AM$106=1,EG34,1)</f>
        <v/>
      </c>
      <c r="IX34">
        <f>IF('計算A'!AN$106=1,EH34,1)</f>
        <v/>
      </c>
      <c r="IY34">
        <f>IF('計算A'!AO$106=1,EI34,1)</f>
        <v/>
      </c>
      <c r="IZ34">
        <f>IF('計算A'!AP$106=1,EJ34,1)</f>
        <v/>
      </c>
      <c r="JA34">
        <f>IF('計算A'!AQ$106=1,EK34,1)</f>
        <v/>
      </c>
      <c r="JB34">
        <f>IF('計算A'!AR$106=1,EL34,1)</f>
        <v/>
      </c>
      <c r="JC34">
        <f>IF('計算A'!AS$106=1,EM34,1)</f>
        <v/>
      </c>
      <c r="JD34">
        <f>IF('計算A'!AT$106=1,EN34,1)</f>
        <v/>
      </c>
      <c r="JE34">
        <f>IF('計算A'!AU$106=1,EO34,1)</f>
        <v/>
      </c>
      <c r="JF34">
        <f>IF('計算A'!AV$106=1,EP34,1)</f>
        <v/>
      </c>
      <c r="JG34">
        <f>IF('計算A'!AW$106=1,EQ34,1)</f>
        <v/>
      </c>
      <c r="JH34">
        <f>IF('計算A'!AX$106=1,ER34,1)</f>
        <v/>
      </c>
      <c r="JI34">
        <f>IF('計算A'!AY$106=1,ES34,1)</f>
        <v/>
      </c>
      <c r="JJ34">
        <f>IF('計算A'!AZ$106=1,ET34,1)</f>
        <v/>
      </c>
      <c r="JK34">
        <f>IF('計算A'!BA$106=1,EU34,1)</f>
        <v/>
      </c>
      <c r="JL34">
        <f>IF('計算A'!BB$106=1,EV34,1)</f>
        <v/>
      </c>
      <c r="JM34">
        <f>IF('計算A'!BC$106=1,EW34,1)</f>
        <v/>
      </c>
      <c r="JN34">
        <f>IF('計算A'!BD$106=1,EX34,1)</f>
        <v/>
      </c>
      <c r="JO34">
        <f>IF('計算A'!BE$106=1,EY34,1)</f>
        <v/>
      </c>
      <c r="JP34">
        <f>IF('計算A'!BF$106=1,EZ34,1)</f>
        <v/>
      </c>
      <c r="JQ34">
        <f>IF('計算A'!BG$106=1,FA34,1)</f>
        <v/>
      </c>
      <c r="JR34">
        <f>IF('計算A'!BH$106=1,FB34,1)</f>
        <v/>
      </c>
      <c r="JS34">
        <f>IF('計算A'!BI$106=1,FC34,1)</f>
        <v/>
      </c>
      <c r="JT34">
        <f>IF('計算A'!BJ$106=1,FD34,1)</f>
        <v/>
      </c>
      <c r="JU34">
        <f>IF('計算A'!BK$106=1,FE34,1)</f>
        <v/>
      </c>
      <c r="JV34">
        <f>IF('計算A'!BL$106=1,FF34,1)</f>
        <v/>
      </c>
      <c r="JW34">
        <f>IF('計算A'!BM$106=1,FG34,1)</f>
        <v/>
      </c>
      <c r="JX34">
        <f>IF('計算A'!BN$106=1,FH34,1)</f>
        <v/>
      </c>
      <c r="JY34">
        <f>IF('計算A'!BO$106=1,FI34,1)</f>
        <v/>
      </c>
      <c r="JZ34">
        <f>IF('計算A'!BP$106=1,FJ34,1)</f>
        <v/>
      </c>
      <c r="KA34">
        <f>IF('計算A'!BQ$106=1,FK34,1)</f>
        <v/>
      </c>
      <c r="KB34">
        <f>IF('計算A'!BR$106=1,FL34,1)</f>
        <v/>
      </c>
      <c r="KC34">
        <f>IF('計算A'!BS$106=1,FM34,1)</f>
        <v/>
      </c>
      <c r="KD34">
        <f>IF('計算A'!BT$106=1,FN34,1)</f>
        <v/>
      </c>
      <c r="KE34">
        <f>IF('計算A'!BU$106=1,FO34,1)</f>
        <v/>
      </c>
      <c r="KF34">
        <f>IF('計算A'!BV$106=1,FP34,1)</f>
        <v/>
      </c>
      <c r="KG34">
        <f>IF('計算A'!BW$106=1,FQ34,1)</f>
        <v/>
      </c>
      <c r="KH34">
        <f>IF('計算A'!BX$106=1,FR34,1)</f>
        <v/>
      </c>
      <c r="KI34">
        <f>IF('計算A'!BY$106=1,FS34,1)</f>
        <v/>
      </c>
      <c r="KJ34">
        <f>IF('計算A'!BZ$106=1,FT34,1)</f>
        <v/>
      </c>
      <c r="KK34">
        <f>IF('計算A'!CA$106=1,FU34,1)</f>
        <v/>
      </c>
      <c r="KL34">
        <f>IF('計算A'!CB$106=1,FV34,1)</f>
        <v/>
      </c>
      <c r="KM34">
        <f>IF('計算A'!CC$106=1,FW34,1)</f>
        <v/>
      </c>
      <c r="KN34">
        <f>IF('計算A'!CD$106=1,FX34,1)</f>
        <v/>
      </c>
      <c r="KO34">
        <f>IF('計算A'!CE$106=1,FY34,1)</f>
        <v/>
      </c>
      <c r="KP34">
        <f>IF('計算A'!CF$106=1,FZ34,1)</f>
        <v/>
      </c>
      <c r="KQ34">
        <f>IF('計算A'!CG$106=1,GA34,1)</f>
        <v/>
      </c>
      <c r="KR34">
        <f>IF('計算A'!CH$106=1,GB34,1)</f>
        <v/>
      </c>
      <c r="KS34">
        <f>IF('計算A'!CI$106=1,GC34,1)</f>
        <v/>
      </c>
      <c r="KT34">
        <f>IF('計算A'!CJ$106=1,GD34,1)</f>
        <v/>
      </c>
      <c r="KU34">
        <f>IF('計算A'!CK$106=1,GE34,1)</f>
        <v/>
      </c>
      <c r="KV34">
        <f>IF('計算A'!CL$106=1,GF34,1)</f>
        <v/>
      </c>
      <c r="KW34">
        <f>IF('計算A'!CM$106=1,GG34,1)</f>
        <v/>
      </c>
      <c r="KX34">
        <f>IF('計算A'!CN$106=1,GH34,1)</f>
        <v/>
      </c>
      <c r="KY34">
        <f>IF('計算A'!CO$106=1,GI34,1)</f>
        <v/>
      </c>
      <c r="KZ34">
        <f>IF('計算A'!CP$106=1,GJ34,1)</f>
        <v/>
      </c>
      <c r="LA34">
        <f>IF('計算A'!CQ$106=1,GK34,1)</f>
        <v/>
      </c>
      <c r="LB34">
        <f>IF('計算A'!CR$106=1,GL34,1)</f>
        <v/>
      </c>
      <c r="LC34">
        <f>IF('計算A'!CS$106=1,GM34,1)</f>
        <v/>
      </c>
      <c r="LD34">
        <f>IF('計算A'!CT$106=1,GN34,1)</f>
        <v/>
      </c>
      <c r="LE34">
        <f>IF('計算A'!CU$106=1,GO34,1)</f>
        <v/>
      </c>
      <c r="LF34">
        <f>IF('計算A'!CV$106=1,GP34,1)</f>
        <v/>
      </c>
      <c r="LG34">
        <f>IF('計算A'!CW$106=1,GQ34,1)</f>
        <v/>
      </c>
      <c r="LH34">
        <f>IF('計算A'!CX$106=1,GR34,1)</f>
        <v/>
      </c>
      <c r="LI34">
        <f>IF('計算A'!CY$106=1,GS34,1)</f>
        <v/>
      </c>
      <c r="LJ34">
        <f>IF('計算A'!CZ$106=1,GT34,1)</f>
        <v/>
      </c>
      <c r="LK34">
        <f>IF('計算A'!DA$106=1,GU34,1)</f>
        <v/>
      </c>
      <c r="LL34">
        <f>IF('計算A'!DB$106=1,GV34,1)</f>
        <v/>
      </c>
      <c r="LM34">
        <f>IF('計算A'!DC$106=1,GW34,1)</f>
        <v/>
      </c>
      <c r="LN34">
        <f>IF('計算A'!DD$106=1,GX34,1)</f>
        <v/>
      </c>
      <c r="LO34">
        <f>IF('計算A'!DE$106=1,GY34,1)</f>
        <v/>
      </c>
      <c r="LP34">
        <f>IF('計算A'!DF$106=1,GZ34,1)</f>
        <v/>
      </c>
      <c r="LQ34">
        <f>IF('計算A'!DG$106=1,HA34,1)</f>
        <v/>
      </c>
      <c r="LR34">
        <f>IF('計算A'!DH$106=1,HB34,1)</f>
        <v/>
      </c>
      <c r="LS34">
        <f>IF('計算A'!DI$106=1,HC34,1)</f>
        <v/>
      </c>
      <c r="LT34">
        <f>IF('計算A'!DJ$106=1,HD34,1)</f>
        <v/>
      </c>
      <c r="LU34">
        <f>IF('計算A'!DK$106=1,HE34,1)</f>
        <v/>
      </c>
      <c r="LV34">
        <f>IF('計算A'!DL$106=1,HF34,1)</f>
        <v/>
      </c>
      <c r="LW34">
        <f>IF('計算A'!DM$106=1,HG34,1)</f>
        <v/>
      </c>
      <c r="LX34">
        <f>IF('計算A'!DN$106=1,HH34,1)</f>
        <v/>
      </c>
      <c r="LY34">
        <f>IF('計算A'!DO$106=1,HI34,1)</f>
        <v/>
      </c>
      <c r="LZ34">
        <f>IF('計算A'!DP$106=1,HJ34,1)</f>
        <v/>
      </c>
      <c r="MA34">
        <f>IF('計算A'!DQ$106=1,HK34,1)</f>
        <v/>
      </c>
      <c r="MB34">
        <f>IF('計算A'!DR$106=1,HL34,1)</f>
        <v/>
      </c>
      <c r="MC34" t="n">
        <v>1</v>
      </c>
      <c r="ME34">
        <f>IF($B34=0,1000000,IF(INDEX('計算A'!$D$60:$DS$104,$B34,1)*CW34=1,IF(AND($E34=2,HN34=0),1000000,INDEX('計算A'!D$110:D$114,$F34+1)+IF(AND($E34=1,HN34=0),1000,0)),1000000))</f>
        <v/>
      </c>
      <c r="MF34">
        <f>IF($B34=0,1000000,IF(INDEX('計算A'!$D$60:$DS$104,$B34,2)*CX34=1,IF(AND($E34=2,HO34=0),1000000,INDEX('計算A'!E$110:E$114,$F34+1)+IF(AND($E34=1,HO34=0),1000,0)),1000000))</f>
        <v/>
      </c>
      <c r="MG34">
        <f>IF($B34=0,1000000,IF(INDEX('計算A'!$D$60:$DS$104,$B34,3)*CY34=1,IF(AND($E34=2,HP34=0),1000000,INDEX('計算A'!F$110:F$114,$F34+1)+IF(AND($E34=1,HP34=0),1000,0)),1000000))</f>
        <v/>
      </c>
      <c r="MH34">
        <f>IF($B34=0,1000000,IF(INDEX('計算A'!$D$60:$DS$104,$B34,4)*CZ34=1,IF(AND($E34=2,HQ34=0),1000000,INDEX('計算A'!G$110:G$114,$F34+1)+IF(AND($E34=1,HQ34=0),1000,0)),1000000))</f>
        <v/>
      </c>
      <c r="MI34">
        <f>IF($B34=0,1000000,IF(INDEX('計算A'!$D$60:$DS$104,$B34,5)*DA34=1,IF(AND($E34=2,HR34=0),1000000,INDEX('計算A'!H$110:H$114,$F34+1)+IF(AND($E34=1,HR34=0),1000,0)),1000000))</f>
        <v/>
      </c>
      <c r="MJ34">
        <f>IF($B34=0,1000000,IF(INDEX('計算A'!$D$60:$DS$104,$B34,6)*DB34=1,IF(AND($E34=2,HS34=0),1000000,INDEX('計算A'!I$110:I$114,$F34+1)+IF(AND($E34=1,HS34=0),1000,0)),1000000))</f>
        <v/>
      </c>
      <c r="MK34">
        <f>IF($B34=0,1000000,IF(INDEX('計算A'!$D$60:$DS$104,$B34,7)*DC34=1,IF(AND($E34=2,HT34=0),1000000,INDEX('計算A'!J$110:J$114,$F34+1)+IF(AND($E34=1,HT34=0),1000,0)),1000000))</f>
        <v/>
      </c>
      <c r="ML34">
        <f>IF($B34=0,1000000,IF(INDEX('計算A'!$D$60:$DS$104,$B34,8)*DD34=1,IF(AND($E34=2,HU34=0),1000000,INDEX('計算A'!K$110:K$114,$F34+1)+IF(AND($E34=1,HU34=0),1000,0)),1000000))</f>
        <v/>
      </c>
      <c r="MM34">
        <f>IF($B34=0,1000000,IF(INDEX('計算A'!$D$60:$DS$104,$B34,9)*DE34=1,IF(AND($E34=2,HV34=0),1000000,INDEX('計算A'!L$110:L$114,$F34+1)+IF(AND($E34=1,HV34=0),1000,0)),1000000))</f>
        <v/>
      </c>
      <c r="MN34">
        <f>IF($B34=0,1000000,IF(INDEX('計算A'!$D$60:$DS$104,$B34,10)*DF34=1,IF(AND($E34=2,HW34=0),1000000,INDEX('計算A'!M$110:M$114,$F34+1)+IF(AND($E34=1,HW34=0),1000,0)),1000000))</f>
        <v/>
      </c>
      <c r="MO34">
        <f>IF($B34=0,1000000,IF(INDEX('計算A'!$D$60:$DS$104,$B34,11)*DG34=1,IF(AND($E34=2,HX34=0),1000000,INDEX('計算A'!N$110:N$114,$F34+1)+IF(AND($E34=1,HX34=0),1000,0)),1000000))</f>
        <v/>
      </c>
      <c r="MP34">
        <f>IF($B34=0,1000000,IF(INDEX('計算A'!$D$60:$DS$104,$B34,12)*DH34=1,IF(AND($E34=2,HY34=0),1000000,INDEX('計算A'!O$110:O$114,$F34+1)+IF(AND($E34=1,HY34=0),1000,0)),1000000))</f>
        <v/>
      </c>
      <c r="MQ34">
        <f>IF($B34=0,1000000,IF(INDEX('計算A'!$D$60:$DS$104,$B34,13)*DI34=1,IF(AND($E34=2,HZ34=0),1000000,INDEX('計算A'!P$110:P$114,$F34+1)+IF(AND($E34=1,HZ34=0),1000,0)),1000000))</f>
        <v/>
      </c>
      <c r="MR34">
        <f>IF($B34=0,1000000,IF(INDEX('計算A'!$D$60:$DS$104,$B34,14)*DJ34=1,IF(AND($E34=2,IA34=0),1000000,INDEX('計算A'!Q$110:Q$114,$F34+1)+IF(AND($E34=1,IA34=0),1000,0)),1000000))</f>
        <v/>
      </c>
      <c r="MS34">
        <f>IF($B34=0,1000000,IF(INDEX('計算A'!$D$60:$DS$104,$B34,15)*DK34=1,IF(AND($E34=2,IB34=0),1000000,INDEX('計算A'!R$110:R$114,$F34+1)+IF(AND($E34=1,IB34=0),1000,0)),1000000))</f>
        <v/>
      </c>
      <c r="MT34">
        <f>IF($B34=0,1000000,IF(INDEX('計算A'!$D$60:$DS$104,$B34,16)*DL34=1,IF(AND($E34=2,IC34=0),1000000,INDEX('計算A'!S$110:S$114,$F34+1)+IF(AND($E34=1,IC34=0),1000,0)),1000000))</f>
        <v/>
      </c>
      <c r="MU34">
        <f>IF($B34=0,1000000,IF(INDEX('計算A'!$D$60:$DS$104,$B34,17)*DM34=1,IF(AND($E34=2,ID34=0),1000000,INDEX('計算A'!T$110:T$114,$F34+1)+IF(AND($E34=1,ID34=0),1000,0)),1000000))</f>
        <v/>
      </c>
      <c r="MV34">
        <f>IF($B34=0,1000000,IF(INDEX('計算A'!$D$60:$DS$104,$B34,18)*DN34=1,IF(AND($E34=2,IE34=0),1000000,INDEX('計算A'!U$110:U$114,$F34+1)+IF(AND($E34=1,IE34=0),1000,0)),1000000))</f>
        <v/>
      </c>
      <c r="MW34">
        <f>IF($B34=0,1000000,IF(INDEX('計算A'!$D$60:$DS$104,$B34,19)*DO34=1,IF(AND($E34=2,IF34=0),1000000,INDEX('計算A'!V$110:V$114,$F34+1)+IF(AND($E34=1,IF34=0),1000,0)),1000000))</f>
        <v/>
      </c>
      <c r="MX34">
        <f>IF($B34=0,1000000,IF(INDEX('計算A'!$D$60:$DS$104,$B34,20)*DP34=1,IF(AND($E34=2,IG34=0),1000000,INDEX('計算A'!W$110:W$114,$F34+1)+IF(AND($E34=1,IG34=0),1000,0)),1000000))</f>
        <v/>
      </c>
      <c r="MY34">
        <f>IF($B34=0,1000000,IF(INDEX('計算A'!$D$60:$DS$104,$B34,21)*DQ34=1,IF(AND($E34=2,IH34=0),1000000,INDEX('計算A'!X$110:X$114,$F34+1)+IF(AND($E34=1,IH34=0),1000,0)),1000000))</f>
        <v/>
      </c>
      <c r="MZ34">
        <f>IF($B34=0,1000000,IF(INDEX('計算A'!$D$60:$DS$104,$B34,22)*DR34=1,IF(AND($E34=2,II34=0),1000000,INDEX('計算A'!Y$110:Y$114,$F34+1)+IF(AND($E34=1,II34=0),1000,0)),1000000))</f>
        <v/>
      </c>
      <c r="NA34">
        <f>IF($B34=0,1000000,IF(INDEX('計算A'!$D$60:$DS$104,$B34,23)*DS34=1,IF(AND($E34=2,IJ34=0),1000000,INDEX('計算A'!Z$110:Z$114,$F34+1)+IF(AND($E34=1,IJ34=0),1000,0)),1000000))</f>
        <v/>
      </c>
      <c r="NB34">
        <f>IF($B34=0,1000000,IF(INDEX('計算A'!$D$60:$DS$104,$B34,24)*DT34=1,IF(AND($E34=2,IK34=0),1000000,INDEX('計算A'!AA$110:AA$114,$F34+1)+IF(AND($E34=1,IK34=0),1000,0)),1000000))</f>
        <v/>
      </c>
      <c r="NC34">
        <f>IF($B34=0,1000000,IF(INDEX('計算A'!$D$60:$DS$104,$B34,25)*DU34=1,IF(AND($E34=2,IL34=0),1000000,INDEX('計算A'!AB$110:AB$114,$F34+1)+IF(AND($E34=1,IL34=0),1000,0)),1000000))</f>
        <v/>
      </c>
      <c r="ND34">
        <f>IF($B34=0,1000000,IF(INDEX('計算A'!$D$60:$DS$104,$B34,26)*DV34=1,IF(AND($E34=2,IM34=0),1000000,INDEX('計算A'!AC$110:AC$114,$F34+1)+IF(AND($E34=1,IM34=0),1000,0)),1000000))</f>
        <v/>
      </c>
      <c r="NE34">
        <f>IF($B34=0,1000000,IF(INDEX('計算A'!$D$60:$DS$104,$B34,27)*DW34=1,IF(AND($E34=2,IN34=0),1000000,INDEX('計算A'!AD$110:AD$114,$F34+1)+IF(AND($E34=1,IN34=0),1000,0)),1000000))</f>
        <v/>
      </c>
      <c r="NF34">
        <f>IF($B34=0,1000000,IF(INDEX('計算A'!$D$60:$DS$104,$B34,28)*DX34=1,IF(AND($E34=2,IO34=0),1000000,INDEX('計算A'!AE$110:AE$114,$F34+1)+IF(AND($E34=1,IO34=0),1000,0)),1000000))</f>
        <v/>
      </c>
      <c r="NG34">
        <f>IF($B34=0,1000000,IF(INDEX('計算A'!$D$60:$DS$104,$B34,29)*DY34=1,IF(AND($E34=2,IP34=0),1000000,INDEX('計算A'!AF$110:AF$114,$F34+1)+IF(AND($E34=1,IP34=0),1000,0)),1000000))</f>
        <v/>
      </c>
      <c r="NH34">
        <f>IF($B34=0,1000000,IF(INDEX('計算A'!$D$60:$DS$104,$B34,30)*DZ34=1,IF(AND($E34=2,IQ34=0),1000000,INDEX('計算A'!AG$110:AG$114,$F34+1)+IF(AND($E34=1,IQ34=0),1000,0)),1000000))</f>
        <v/>
      </c>
      <c r="NI34">
        <f>IF($B34=0,1000000,IF(INDEX('計算A'!$D$60:$DS$104,$B34,31)*EA34=1,IF(AND($E34=2,IR34=0),1000000,INDEX('計算A'!AH$110:AH$114,$F34+1)+IF(AND($E34=1,IR34=0),1000,0)),1000000))</f>
        <v/>
      </c>
      <c r="NJ34">
        <f>IF($B34=0,1000000,IF(INDEX('計算A'!$D$60:$DS$104,$B34,32)*EB34=1,IF(AND($E34=2,IS34=0),1000000,INDEX('計算A'!AI$110:AI$114,$F34+1)+IF(AND($E34=1,IS34=0),1000,0)),1000000))</f>
        <v/>
      </c>
      <c r="NK34">
        <f>IF($B34=0,1000000,IF(INDEX('計算A'!$D$60:$DS$104,$B34,33)*EC34=1,IF(AND($E34=2,IT34=0),1000000,INDEX('計算A'!AJ$110:AJ$114,$F34+1)+IF(AND($E34=1,IT34=0),1000,0)),1000000))</f>
        <v/>
      </c>
      <c r="NL34">
        <f>IF($B34=0,1000000,IF(INDEX('計算A'!$D$60:$DS$104,$B34,34)*ED34=1,IF(AND($E34=2,IU34=0),1000000,INDEX('計算A'!AK$110:AK$114,$F34+1)+IF(AND($E34=1,IU34=0),1000,0)),1000000))</f>
        <v/>
      </c>
      <c r="NM34">
        <f>IF($B34=0,1000000,IF(INDEX('計算A'!$D$60:$DS$104,$B34,35)*EE34=1,IF(AND($E34=2,IV34=0),1000000,INDEX('計算A'!AL$110:AL$114,$F34+1)+IF(AND($E34=1,IV34=0),1000,0)),1000000))</f>
        <v/>
      </c>
      <c r="NN34">
        <f>IF($B34=0,1000000,IF(INDEX('計算A'!$D$60:$DS$104,$B34,36)*EF34=1,IF(AND($E34=2,IW34=0),1000000,INDEX('計算A'!AM$110:AM$114,$F34+1)+IF(AND($E34=1,IW34=0),1000,0)),1000000))</f>
        <v/>
      </c>
      <c r="NO34">
        <f>IF($B34=0,1000000,IF(INDEX('計算A'!$D$60:$DS$104,$B34,37)*EG34=1,IF(AND($E34=2,IX34=0),1000000,INDEX('計算A'!AN$110:AN$114,$F34+1)+IF(AND($E34=1,IX34=0),1000,0)),1000000))</f>
        <v/>
      </c>
      <c r="NP34">
        <f>IF($B34=0,1000000,IF(INDEX('計算A'!$D$60:$DS$104,$B34,38)*EH34=1,IF(AND($E34=2,IY34=0),1000000,INDEX('計算A'!AO$110:AO$114,$F34+1)+IF(AND($E34=1,IY34=0),1000,0)),1000000))</f>
        <v/>
      </c>
      <c r="NQ34">
        <f>IF($B34=0,1000000,IF(INDEX('計算A'!$D$60:$DS$104,$B34,39)*EI34=1,IF(AND($E34=2,IZ34=0),1000000,INDEX('計算A'!AP$110:AP$114,$F34+1)+IF(AND($E34=1,IZ34=0),1000,0)),1000000))</f>
        <v/>
      </c>
      <c r="NR34">
        <f>IF($B34=0,1000000,IF(INDEX('計算A'!$D$60:$DS$104,$B34,40)*EJ34=1,IF(AND($E34=2,JA34=0),1000000,INDEX('計算A'!AQ$110:AQ$114,$F34+1)+IF(AND($E34=1,JA34=0),1000,0)),1000000))</f>
        <v/>
      </c>
      <c r="NS34">
        <f>IF($B34=0,1000000,IF(INDEX('計算A'!$D$60:$DS$104,$B34,41)*EK34=1,IF(AND($E34=2,JB34=0),1000000,INDEX('計算A'!AR$110:AR$114,$F34+1)+IF(AND($E34=1,JB34=0),1000,0)),1000000))</f>
        <v/>
      </c>
      <c r="NT34">
        <f>IF($B34=0,1000000,IF(INDEX('計算A'!$D$60:$DS$104,$B34,42)*EL34=1,IF(AND($E34=2,JC34=0),1000000,INDEX('計算A'!AS$110:AS$114,$F34+1)+IF(AND($E34=1,JC34=0),1000,0)),1000000))</f>
        <v/>
      </c>
      <c r="NU34">
        <f>IF($B34=0,1000000,IF(INDEX('計算A'!$D$60:$DS$104,$B34,43)*EM34=1,IF(AND($E34=2,JD34=0),1000000,INDEX('計算A'!AT$110:AT$114,$F34+1)+IF(AND($E34=1,JD34=0),1000,0)),1000000))</f>
        <v/>
      </c>
      <c r="NV34">
        <f>IF($B34=0,1000000,IF(INDEX('計算A'!$D$60:$DS$104,$B34,44)*EN34=1,IF(AND($E34=2,JE34=0),1000000,INDEX('計算A'!AU$110:AU$114,$F34+1)+IF(AND($E34=1,JE34=0),1000,0)),1000000))</f>
        <v/>
      </c>
      <c r="NW34">
        <f>IF($B34=0,1000000,IF(INDEX('計算A'!$D$60:$DS$104,$B34,45)*EO34=1,IF(AND($E34=2,JF34=0),1000000,INDEX('計算A'!AV$110:AV$114,$F34+1)+IF(AND($E34=1,JF34=0),1000,0)),1000000))</f>
        <v/>
      </c>
      <c r="NX34">
        <f>IF($B34=0,1000000,IF(INDEX('計算A'!$D$60:$DS$104,$B34,46)*EP34=1,IF(AND($E34=2,JG34=0),1000000,INDEX('計算A'!AW$110:AW$114,$F34+1)+IF(AND($E34=1,JG34=0),1000,0)),1000000))</f>
        <v/>
      </c>
      <c r="NY34">
        <f>IF($B34=0,1000000,IF(INDEX('計算A'!$D$60:$DS$104,$B34,47)*EQ34=1,IF(AND($E34=2,JH34=0),1000000,INDEX('計算A'!AX$110:AX$114,$F34+1)+IF(AND($E34=1,JH34=0),1000,0)),1000000))</f>
        <v/>
      </c>
      <c r="NZ34">
        <f>IF($B34=0,1000000,IF(INDEX('計算A'!$D$60:$DS$104,$B34,48)*ER34=1,IF(AND($E34=2,JI34=0),1000000,INDEX('計算A'!AY$110:AY$114,$F34+1)+IF(AND($E34=1,JI34=0),1000,0)),1000000))</f>
        <v/>
      </c>
      <c r="OA34">
        <f>IF($B34=0,1000000,IF(INDEX('計算A'!$D$60:$DS$104,$B34,49)*ES34=1,IF(AND($E34=2,JJ34=0),1000000,INDEX('計算A'!AZ$110:AZ$114,$F34+1)+IF(AND($E34=1,JJ34=0),1000,0)),1000000))</f>
        <v/>
      </c>
      <c r="OB34">
        <f>IF($B34=0,1000000,IF(INDEX('計算A'!$D$60:$DS$104,$B34,50)*ET34=1,IF(AND($E34=2,JK34=0),1000000,INDEX('計算A'!BA$110:BA$114,$F34+1)+IF(AND($E34=1,JK34=0),1000,0)),1000000))</f>
        <v/>
      </c>
      <c r="OC34">
        <f>IF($B34=0,1000000,IF(INDEX('計算A'!$D$60:$DS$104,$B34,51)*EU34=1,IF(AND($E34=2,JL34=0),1000000,INDEX('計算A'!BB$110:BB$114,$F34+1)+IF(AND($E34=1,JL34=0),1000,0)),1000000))</f>
        <v/>
      </c>
      <c r="OD34">
        <f>IF($B34=0,1000000,IF(INDEX('計算A'!$D$60:$DS$104,$B34,52)*EV34=1,IF(AND($E34=2,JM34=0),1000000,INDEX('計算A'!BC$110:BC$114,$F34+1)+IF(AND($E34=1,JM34=0),1000,0)),1000000))</f>
        <v/>
      </c>
      <c r="OE34">
        <f>IF($B34=0,1000000,IF(INDEX('計算A'!$D$60:$DS$104,$B34,53)*EW34=1,IF(AND($E34=2,JN34=0),1000000,INDEX('計算A'!BD$110:BD$114,$F34+1)+IF(AND($E34=1,JN34=0),1000,0)),1000000))</f>
        <v/>
      </c>
      <c r="OF34">
        <f>IF($B34=0,1000000,IF(INDEX('計算A'!$D$60:$DS$104,$B34,54)*EX34=1,IF(AND($E34=2,JO34=0),1000000,INDEX('計算A'!BE$110:BE$114,$F34+1)+IF(AND($E34=1,JO34=0),1000,0)),1000000))</f>
        <v/>
      </c>
      <c r="OG34">
        <f>IF($B34=0,1000000,IF(INDEX('計算A'!$D$60:$DS$104,$B34,55)*EY34=1,IF(AND($E34=2,JP34=0),1000000,INDEX('計算A'!BF$110:BF$114,$F34+1)+IF(AND($E34=1,JP34=0),1000,0)),1000000))</f>
        <v/>
      </c>
      <c r="OH34">
        <f>IF($B34=0,1000000,IF(INDEX('計算A'!$D$60:$DS$104,$B34,56)*EZ34=1,IF(AND($E34=2,JQ34=0),1000000,INDEX('計算A'!BG$110:BG$114,$F34+1)+IF(AND($E34=1,JQ34=0),1000,0)),1000000))</f>
        <v/>
      </c>
      <c r="OI34">
        <f>IF($B34=0,1000000,IF(INDEX('計算A'!$D$60:$DS$104,$B34,57)*FA34=1,IF(AND($E34=2,JR34=0),1000000,INDEX('計算A'!BH$110:BH$114,$F34+1)+IF(AND($E34=1,JR34=0),1000,0)),1000000))</f>
        <v/>
      </c>
      <c r="OJ34">
        <f>IF($B34=0,1000000,IF(INDEX('計算A'!$D$60:$DS$104,$B34,58)*FB34=1,IF(AND($E34=2,JS34=0),1000000,INDEX('計算A'!BI$110:BI$114,$F34+1)+IF(AND($E34=1,JS34=0),1000,0)),1000000))</f>
        <v/>
      </c>
      <c r="OK34">
        <f>IF($B34=0,1000000,IF(INDEX('計算A'!$D$60:$DS$104,$B34,59)*FC34=1,IF(AND($E34=2,JT34=0),1000000,INDEX('計算A'!BJ$110:BJ$114,$F34+1)+IF(AND($E34=1,JT34=0),1000,0)),1000000))</f>
        <v/>
      </c>
      <c r="OL34">
        <f>IF($B34=0,1000000,IF(INDEX('計算A'!$D$60:$DS$104,$B34,60)*FD34=1,IF(AND($E34=2,JU34=0),1000000,INDEX('計算A'!BK$110:BK$114,$F34+1)+IF(AND($E34=1,JU34=0),1000,0)),1000000))</f>
        <v/>
      </c>
      <c r="OM34">
        <f>IF($B34=0,1000000,IF(INDEX('計算A'!$D$60:$DS$104,$B34,61)*FE34=1,IF(AND($E34=2,JV34=0),1000000,INDEX('計算A'!BL$110:BL$114,$F34+1)+IF(AND($E34=1,JV34=0),1000,0)),1000000))</f>
        <v/>
      </c>
      <c r="ON34">
        <f>IF($B34=0,1000000,IF(INDEX('計算A'!$D$60:$DS$104,$B34,62)*FF34=1,IF(AND($E34=2,JW34=0),1000000,INDEX('計算A'!BM$110:BM$114,$F34+1)+IF(AND($E34=1,JW34=0),1000,0)),1000000))</f>
        <v/>
      </c>
      <c r="OO34">
        <f>IF($B34=0,1000000,IF(INDEX('計算A'!$D$60:$DS$104,$B34,63)*FG34=1,IF(AND($E34=2,JX34=0),1000000,INDEX('計算A'!BN$110:BN$114,$F34+1)+IF(AND($E34=1,JX34=0),1000,0)),1000000))</f>
        <v/>
      </c>
      <c r="OP34">
        <f>IF($B34=0,1000000,IF(INDEX('計算A'!$D$60:$DS$104,$B34,64)*FH34=1,IF(AND($E34=2,JY34=0),1000000,INDEX('計算A'!BO$110:BO$114,$F34+1)+IF(AND($E34=1,JY34=0),1000,0)),1000000))</f>
        <v/>
      </c>
      <c r="OQ34">
        <f>IF($B34=0,1000000,IF(INDEX('計算A'!$D$60:$DS$104,$B34,65)*FI34=1,IF(AND($E34=2,JZ34=0),1000000,INDEX('計算A'!BP$110:BP$114,$F34+1)+IF(AND($E34=1,JZ34=0),1000,0)),1000000))</f>
        <v/>
      </c>
      <c r="OR34">
        <f>IF($B34=0,1000000,IF(INDEX('計算A'!$D$60:$DS$104,$B34,66)*FJ34=1,IF(AND($E34=2,KA34=0),1000000,INDEX('計算A'!BQ$110:BQ$114,$F34+1)+IF(AND($E34=1,KA34=0),1000,0)),1000000))</f>
        <v/>
      </c>
      <c r="OS34">
        <f>IF($B34=0,1000000,IF(INDEX('計算A'!$D$60:$DS$104,$B34,67)*FK34=1,IF(AND($E34=2,KB34=0),1000000,INDEX('計算A'!BR$110:BR$114,$F34+1)+IF(AND($E34=1,KB34=0),1000,0)),1000000))</f>
        <v/>
      </c>
      <c r="OT34">
        <f>IF($B34=0,1000000,IF(INDEX('計算A'!$D$60:$DS$104,$B34,68)*FL34=1,IF(AND($E34=2,KC34=0),1000000,INDEX('計算A'!BS$110:BS$114,$F34+1)+IF(AND($E34=1,KC34=0),1000,0)),1000000))</f>
        <v/>
      </c>
      <c r="OU34">
        <f>IF($B34=0,1000000,IF(INDEX('計算A'!$D$60:$DS$104,$B34,69)*FM34=1,IF(AND($E34=2,KD34=0),1000000,INDEX('計算A'!BT$110:BT$114,$F34+1)+IF(AND($E34=1,KD34=0),1000,0)),1000000))</f>
        <v/>
      </c>
      <c r="OV34">
        <f>IF($B34=0,1000000,IF(INDEX('計算A'!$D$60:$DS$104,$B34,70)*FN34=1,IF(AND($E34=2,KE34=0),1000000,INDEX('計算A'!BU$110:BU$114,$F34+1)+IF(AND($E34=1,KE34=0),1000,0)),1000000))</f>
        <v/>
      </c>
      <c r="OW34">
        <f>IF($B34=0,1000000,IF(INDEX('計算A'!$D$60:$DS$104,$B34,71)*FO34=1,IF(AND($E34=2,KF34=0),1000000,INDEX('計算A'!BV$110:BV$114,$F34+1)+IF(AND($E34=1,KF34=0),1000,0)),1000000))</f>
        <v/>
      </c>
      <c r="OX34">
        <f>IF($B34=0,1000000,IF(INDEX('計算A'!$D$60:$DS$104,$B34,72)*FP34=1,IF(AND($E34=2,KG34=0),1000000,INDEX('計算A'!BW$110:BW$114,$F34+1)+IF(AND($E34=1,KG34=0),1000,0)),1000000))</f>
        <v/>
      </c>
      <c r="OY34">
        <f>IF($B34=0,1000000,IF(INDEX('計算A'!$D$60:$DS$104,$B34,73)*FQ34=1,IF(AND($E34=2,KH34=0),1000000,INDEX('計算A'!BX$110:BX$114,$F34+1)+IF(AND($E34=1,KH34=0),1000,0)),1000000))</f>
        <v/>
      </c>
      <c r="OZ34">
        <f>IF($B34=0,1000000,IF(INDEX('計算A'!$D$60:$DS$104,$B34,74)*FR34=1,IF(AND($E34=2,KI34=0),1000000,INDEX('計算A'!BY$110:BY$114,$F34+1)+IF(AND($E34=1,KI34=0),1000,0)),1000000))</f>
        <v/>
      </c>
      <c r="PA34">
        <f>IF($B34=0,1000000,IF(INDEX('計算A'!$D$60:$DS$104,$B34,75)*FS34=1,IF(AND($E34=2,KJ34=0),1000000,INDEX('計算A'!BZ$110:BZ$114,$F34+1)+IF(AND($E34=1,KJ34=0),1000,0)),1000000))</f>
        <v/>
      </c>
      <c r="PB34">
        <f>IF($B34=0,1000000,IF(INDEX('計算A'!$D$60:$DS$104,$B34,76)*FT34=1,IF(AND($E34=2,KK34=0),1000000,INDEX('計算A'!CA$110:CA$114,$F34+1)+IF(AND($E34=1,KK34=0),1000,0)),1000000))</f>
        <v/>
      </c>
      <c r="PC34">
        <f>IF($B34=0,1000000,IF(INDEX('計算A'!$D$60:$DS$104,$B34,77)*FU34=1,IF(AND($E34=2,KL34=0),1000000,INDEX('計算A'!CB$110:CB$114,$F34+1)+IF(AND($E34=1,KL34=0),1000,0)),1000000))</f>
        <v/>
      </c>
      <c r="PD34">
        <f>IF($B34=0,1000000,IF(INDEX('計算A'!$D$60:$DS$104,$B34,78)*FV34=1,IF(AND($E34=2,KM34=0),1000000,INDEX('計算A'!CC$110:CC$114,$F34+1)+IF(AND($E34=1,KM34=0),1000,0)),1000000))</f>
        <v/>
      </c>
      <c r="PE34">
        <f>IF($B34=0,1000000,IF(INDEX('計算A'!$D$60:$DS$104,$B34,79)*FW34=1,IF(AND($E34=2,KN34=0),1000000,INDEX('計算A'!CD$110:CD$114,$F34+1)+IF(AND($E34=1,KN34=0),1000,0)),1000000))</f>
        <v/>
      </c>
      <c r="PF34">
        <f>IF($B34=0,1000000,IF(INDEX('計算A'!$D$60:$DS$104,$B34,80)*FX34=1,IF(AND($E34=2,KO34=0),1000000,INDEX('計算A'!CE$110:CE$114,$F34+1)+IF(AND($E34=1,KO34=0),1000,0)),1000000))</f>
        <v/>
      </c>
      <c r="PG34">
        <f>IF($B34=0,1000000,IF(INDEX('計算A'!$D$60:$DS$104,$B34,81)*FY34=1,IF(AND($E34=2,KP34=0),1000000,INDEX('計算A'!CF$110:CF$114,$F34+1)+IF(AND($E34=1,KP34=0),1000,0)),1000000))</f>
        <v/>
      </c>
      <c r="PH34">
        <f>IF($B34=0,1000000,IF(INDEX('計算A'!$D$60:$DS$104,$B34,82)*FZ34=1,IF(AND($E34=2,KQ34=0),1000000,INDEX('計算A'!CG$110:CG$114,$F34+1)+IF(AND($E34=1,KQ34=0),1000,0)),1000000))</f>
        <v/>
      </c>
      <c r="PI34">
        <f>IF($B34=0,1000000,IF(INDEX('計算A'!$D$60:$DS$104,$B34,83)*GA34=1,IF(AND($E34=2,KR34=0),1000000,INDEX('計算A'!CH$110:CH$114,$F34+1)+IF(AND($E34=1,KR34=0),1000,0)),1000000))</f>
        <v/>
      </c>
      <c r="PJ34">
        <f>IF($B34=0,1000000,IF(INDEX('計算A'!$D$60:$DS$104,$B34,84)*GB34=1,IF(AND($E34=2,KS34=0),1000000,INDEX('計算A'!CI$110:CI$114,$F34+1)+IF(AND($E34=1,KS34=0),1000,0)),1000000))</f>
        <v/>
      </c>
      <c r="PK34">
        <f>IF($B34=0,1000000,IF(INDEX('計算A'!$D$60:$DS$104,$B34,85)*GC34=1,IF(AND($E34=2,KT34=0),1000000,INDEX('計算A'!CJ$110:CJ$114,$F34+1)+IF(AND($E34=1,KT34=0),1000,0)),1000000))</f>
        <v/>
      </c>
      <c r="PL34">
        <f>IF($B34=0,1000000,IF(INDEX('計算A'!$D$60:$DS$104,$B34,86)*GD34=1,IF(AND($E34=2,KU34=0),1000000,INDEX('計算A'!CK$110:CK$114,$F34+1)+IF(AND($E34=1,KU34=0),1000,0)),1000000))</f>
        <v/>
      </c>
      <c r="PM34">
        <f>IF($B34=0,1000000,IF(INDEX('計算A'!$D$60:$DS$104,$B34,87)*GE34=1,IF(AND($E34=2,KV34=0),1000000,INDEX('計算A'!CL$110:CL$114,$F34+1)+IF(AND($E34=1,KV34=0),1000,0)),1000000))</f>
        <v/>
      </c>
      <c r="PN34">
        <f>IF($B34=0,1000000,IF(INDEX('計算A'!$D$60:$DS$104,$B34,88)*GF34=1,IF(AND($E34=2,KW34=0),1000000,INDEX('計算A'!CM$110:CM$114,$F34+1)+IF(AND($E34=1,KW34=0),1000,0)),1000000))</f>
        <v/>
      </c>
      <c r="PO34">
        <f>IF($B34=0,1000000,IF(INDEX('計算A'!$D$60:$DS$104,$B34,89)*GG34=1,IF(AND($E34=2,KX34=0),1000000,INDEX('計算A'!CN$110:CN$114,$F34+1)+IF(AND($E34=1,KX34=0),1000,0)),1000000))</f>
        <v/>
      </c>
      <c r="PP34">
        <f>IF($B34=0,1000000,IF(INDEX('計算A'!$D$60:$DS$104,$B34,90)*GH34=1,IF(AND($E34=2,KY34=0),1000000,INDEX('計算A'!CO$110:CO$114,$F34+1)+IF(AND($E34=1,KY34=0),1000,0)),1000000))</f>
        <v/>
      </c>
      <c r="PQ34">
        <f>IF($B34=0,1000000,IF(INDEX('計算A'!$D$60:$DS$104,$B34,91)*GI34=1,IF(AND($E34=2,KZ34=0),1000000,INDEX('計算A'!CP$110:CP$114,$F34+1)+IF(AND($E34=1,KZ34=0),1000,0)),1000000))</f>
        <v/>
      </c>
      <c r="PR34">
        <f>IF($B34=0,1000000,IF(INDEX('計算A'!$D$60:$DS$104,$B34,92)*GJ34=1,IF(AND($E34=2,LA34=0),1000000,INDEX('計算A'!CQ$110:CQ$114,$F34+1)+IF(AND($E34=1,LA34=0),1000,0)),1000000))</f>
        <v/>
      </c>
      <c r="PS34">
        <f>IF($B34=0,1000000,IF(INDEX('計算A'!$D$60:$DS$104,$B34,93)*GK34=1,IF(AND($E34=2,LB34=0),1000000,INDEX('計算A'!CR$110:CR$114,$F34+1)+IF(AND($E34=1,LB34=0),1000,0)),1000000))</f>
        <v/>
      </c>
      <c r="PT34">
        <f>IF($B34=0,1000000,IF(INDEX('計算A'!$D$60:$DS$104,$B34,94)*GL34=1,IF(AND($E34=2,LC34=0),1000000,INDEX('計算A'!CS$110:CS$114,$F34+1)+IF(AND($E34=1,LC34=0),1000,0)),1000000))</f>
        <v/>
      </c>
      <c r="PU34">
        <f>IF($B34=0,1000000,IF(INDEX('計算A'!$D$60:$DS$104,$B34,95)*GM34=1,IF(AND($E34=2,LD34=0),1000000,INDEX('計算A'!CT$110:CT$114,$F34+1)+IF(AND($E34=1,LD34=0),1000,0)),1000000))</f>
        <v/>
      </c>
      <c r="PV34">
        <f>IF($B34=0,1000000,IF(INDEX('計算A'!$D$60:$DS$104,$B34,96)*GN34=1,IF(AND($E34=2,LE34=0),1000000,INDEX('計算A'!CU$110:CU$114,$F34+1)+IF(AND($E34=1,LE34=0),1000,0)),1000000))</f>
        <v/>
      </c>
      <c r="PW34">
        <f>IF($B34=0,1000000,IF(INDEX('計算A'!$D$60:$DS$104,$B34,97)*GO34=1,IF(AND($E34=2,LF34=0),1000000,INDEX('計算A'!CV$110:CV$114,$F34+1)+IF(AND($E34=1,LF34=0),1000,0)),1000000))</f>
        <v/>
      </c>
      <c r="PX34">
        <f>IF($B34=0,1000000,IF(INDEX('計算A'!$D$60:$DS$104,$B34,98)*GP34=1,IF(AND($E34=2,LG34=0),1000000,INDEX('計算A'!CW$110:CW$114,$F34+1)+IF(AND($E34=1,LG34=0),1000,0)),1000000))</f>
        <v/>
      </c>
      <c r="PY34">
        <f>IF($B34=0,1000000,IF(INDEX('計算A'!$D$60:$DS$104,$B34,99)*GQ34=1,IF(AND($E34=2,LH34=0),1000000,INDEX('計算A'!CX$110:CX$114,$F34+1)+IF(AND($E34=1,LH34=0),1000,0)),1000000))</f>
        <v/>
      </c>
      <c r="PZ34">
        <f>IF($B34=0,1000000,IF(INDEX('計算A'!$D$60:$DS$104,$B34,100)*GR34=1,IF(AND($E34=2,LI34=0),1000000,INDEX('計算A'!CY$110:CY$114,$F34+1)+IF(AND($E34=1,LI34=0),1000,0)),1000000))</f>
        <v/>
      </c>
      <c r="QA34">
        <f>IF($B34=0,1000000,IF(INDEX('計算A'!$D$60:$DS$104,$B34,101)*GS34=1,IF(AND($E34=2,LJ34=0),1000000,INDEX('計算A'!CZ$110:CZ$114,$F34+1)+IF(AND($E34=1,LJ34=0),1000,0)),1000000))</f>
        <v/>
      </c>
      <c r="QB34">
        <f>IF($B34=0,1000000,IF(INDEX('計算A'!$D$60:$DS$104,$B34,102)*GT34=1,IF(AND($E34=2,LK34=0),1000000,INDEX('計算A'!DA$110:DA$114,$F34+1)+IF(AND($E34=1,LK34=0),1000,0)),1000000))</f>
        <v/>
      </c>
      <c r="QC34">
        <f>IF($B34=0,1000000,IF(INDEX('計算A'!$D$60:$DS$104,$B34,103)*GU34=1,IF(AND($E34=2,LL34=0),1000000,INDEX('計算A'!DB$110:DB$114,$F34+1)+IF(AND($E34=1,LL34=0),1000,0)),1000000))</f>
        <v/>
      </c>
      <c r="QD34">
        <f>IF($B34=0,1000000,IF(INDEX('計算A'!$D$60:$DS$104,$B34,104)*GV34=1,IF(AND($E34=2,LM34=0),1000000,INDEX('計算A'!DC$110:DC$114,$F34+1)+IF(AND($E34=1,LM34=0),1000,0)),1000000))</f>
        <v/>
      </c>
      <c r="QE34">
        <f>IF($B34=0,1000000,IF(INDEX('計算A'!$D$60:$DS$104,$B34,105)*GW34=1,IF(AND($E34=2,LN34=0),1000000,INDEX('計算A'!DD$110:DD$114,$F34+1)+IF(AND($E34=1,LN34=0),1000,0)),1000000))</f>
        <v/>
      </c>
      <c r="QF34">
        <f>IF($B34=0,1000000,IF(INDEX('計算A'!$D$60:$DS$104,$B34,106)*GX34=1,IF(AND($E34=2,LO34=0),1000000,INDEX('計算A'!DE$110:DE$114,$F34+1)+IF(AND($E34=1,LO34=0),1000,0)),1000000))</f>
        <v/>
      </c>
      <c r="QG34">
        <f>IF($B34=0,1000000,IF(INDEX('計算A'!$D$60:$DS$104,$B34,107)*GY34=1,IF(AND($E34=2,LP34=0),1000000,INDEX('計算A'!DF$110:DF$114,$F34+1)+IF(AND($E34=1,LP34=0),1000,0)),1000000))</f>
        <v/>
      </c>
      <c r="QH34">
        <f>IF($B34=0,1000000,IF(INDEX('計算A'!$D$60:$DS$104,$B34,108)*GZ34=1,IF(AND($E34=2,LQ34=0),1000000,INDEX('計算A'!DG$110:DG$114,$F34+1)+IF(AND($E34=1,LQ34=0),1000,0)),1000000))</f>
        <v/>
      </c>
      <c r="QI34">
        <f>IF($B34=0,1000000,IF(INDEX('計算A'!$D$60:$DS$104,$B34,109)*HA34=1,IF(AND($E34=2,LR34=0),1000000,INDEX('計算A'!DH$110:DH$114,$F34+1)+IF(AND($E34=1,LR34=0),1000,0)),1000000))</f>
        <v/>
      </c>
      <c r="QJ34">
        <f>IF($B34=0,1000000,IF(INDEX('計算A'!$D$60:$DS$104,$B34,110)*HB34=1,IF(AND($E34=2,LS34=0),1000000,INDEX('計算A'!DI$110:DI$114,$F34+1)+IF(AND($E34=1,LS34=0),1000,0)),1000000))</f>
        <v/>
      </c>
      <c r="QK34">
        <f>IF($B34=0,1000000,IF(INDEX('計算A'!$D$60:$DS$104,$B34,111)*HC34=1,IF(AND($E34=2,LT34=0),1000000,INDEX('計算A'!DJ$110:DJ$114,$F34+1)+IF(AND($E34=1,LT34=0),1000,0)),1000000))</f>
        <v/>
      </c>
      <c r="QL34">
        <f>IF($B34=0,1000000,IF(INDEX('計算A'!$D$60:$DS$104,$B34,112)*HD34=1,IF(AND($E34=2,LU34=0),1000000,INDEX('計算A'!DK$110:DK$114,$F34+1)+IF(AND($E34=1,LU34=0),1000,0)),1000000))</f>
        <v/>
      </c>
      <c r="QM34">
        <f>IF($B34=0,1000000,IF(INDEX('計算A'!$D$60:$DS$104,$B34,113)*HE34=1,IF(AND($E34=2,LV34=0),1000000,INDEX('計算A'!DL$110:DL$114,$F34+1)+IF(AND($E34=1,LV34=0),1000,0)),1000000))</f>
        <v/>
      </c>
      <c r="QN34">
        <f>IF($B34=0,1000000,IF(INDEX('計算A'!$D$60:$DS$104,$B34,114)*HF34=1,IF(AND($E34=2,LW34=0),1000000,INDEX('計算A'!DM$110:DM$114,$F34+1)+IF(AND($E34=1,LW34=0),1000,0)),1000000))</f>
        <v/>
      </c>
      <c r="QO34">
        <f>IF($B34=0,1000000,IF(INDEX('計算A'!$D$60:$DS$104,$B34,115)*HG34=1,IF(AND($E34=2,LX34=0),1000000,INDEX('計算A'!DN$110:DN$114,$F34+1)+IF(AND($E34=1,LX34=0),1000,0)),1000000))</f>
        <v/>
      </c>
      <c r="QP34">
        <f>IF($B34=0,1000000,IF(INDEX('計算A'!$D$60:$DS$104,$B34,116)*HH34=1,IF(AND($E34=2,LY34=0),1000000,INDEX('計算A'!DO$110:DO$114,$F34+1)+IF(AND($E34=1,LY34=0),1000,0)),1000000))</f>
        <v/>
      </c>
      <c r="QQ34">
        <f>IF($B34=0,1000000,IF(INDEX('計算A'!$D$60:$DS$104,$B34,117)*HI34=1,IF(AND($E34=2,LZ34=0),1000000,INDEX('計算A'!DP$110:DP$114,$F34+1)+IF(AND($E34=1,LZ34=0),1000,0)),1000000))</f>
        <v/>
      </c>
      <c r="QR34">
        <f>IF($B34=0,1000000,IF(INDEX('計算A'!$D$60:$DS$104,$B34,118)*HJ34=1,IF(AND($E34=2,MA34=0),1000000,INDEX('計算A'!DQ$110:DQ$114,$F34+1)+IF(AND($E34=1,MA34=0),1000,0)),1000000))</f>
        <v/>
      </c>
      <c r="QS34">
        <f>IF($B34=0,1000000,IF(INDEX('計算A'!$D$60:$DS$104,$B34,119)*HK34=1,IF(AND($E34=2,MB34=0),1000000,INDEX('計算A'!DR$110:DR$114,$F34+1)+IF(AND($E34=1,MB34=0),1000,0)),1000000))</f>
        <v/>
      </c>
      <c r="QT34">
        <f>IF($B34=0,1000000,IF(INDEX('計算A'!$D$60:$DS$104,$B34,120)*HL34=1,IF(AND($E34=2,MC34=0),1000000,INDEX('計算A'!DS$110:DS$114,$F34+1)+IF(AND($E34=1,MC34=0),1000,0)),1000000))</f>
        <v/>
      </c>
    </row>
    <row r="35">
      <c r="A35" t="n">
        <v>33</v>
      </c>
      <c r="B35">
        <f>IF(MIN(BC35:CU35)&gt;=1000000,0,MATCH(MIN(BC35:CU35),BC35:CU35,0))</f>
        <v/>
      </c>
      <c r="C35">
        <f>IF(MIN(ME35:QT35)&gt;=1000000,0,MATCH(MIN(ME35:QT35),ME35:QT35,0))</f>
        <v/>
      </c>
      <c r="D35">
        <f>IF(C35&gt;0,INDEX('計算A'!$D$5:$DS$5,C35),0)</f>
        <v/>
      </c>
      <c r="E35">
        <f>IF(B35=0,0,INDEX('計算A'!$EA$10:$EA$54,B35))</f>
        <v/>
      </c>
      <c r="F35">
        <f>IF(B35=0,0,INDEX('計算A'!$DZ$10:$DZ$54,B35))</f>
        <v/>
      </c>
      <c r="G35">
        <f>IF(AND(C35&gt;0,E35&gt;0),IF(AND(INDEX('計算A'!$D$106:$DS$106,C35)=1,INDEX($HN35:$MC35,C35)=1),C35+1,0),0)</f>
        <v/>
      </c>
      <c r="I35">
        <f>MAX(I34,IF($B34=1,1,0))</f>
        <v/>
      </c>
      <c r="J35">
        <f>MAX(J34,IF($B34=2,1,0))</f>
        <v/>
      </c>
      <c r="K35">
        <f>MAX(K34,IF($B34=3,1,0))</f>
        <v/>
      </c>
      <c r="L35">
        <f>MAX(L34,IF($B34=4,1,0))</f>
        <v/>
      </c>
      <c r="M35">
        <f>MAX(M34,IF($B34=5,1,0))</f>
        <v/>
      </c>
      <c r="N35">
        <f>MAX(N34,IF($B34=6,1,0))</f>
        <v/>
      </c>
      <c r="O35">
        <f>MAX(O34,IF($B34=7,1,0))</f>
        <v/>
      </c>
      <c r="P35">
        <f>MAX(P34,IF($B34=8,1,0))</f>
        <v/>
      </c>
      <c r="Q35">
        <f>MAX(Q34,IF($B34=9,1,0))</f>
        <v/>
      </c>
      <c r="R35">
        <f>MAX(R34,IF($B34=10,1,0))</f>
        <v/>
      </c>
      <c r="S35">
        <f>MAX(S34,IF($B34=11,1,0))</f>
        <v/>
      </c>
      <c r="T35">
        <f>MAX(T34,IF($B34=12,1,0))</f>
        <v/>
      </c>
      <c r="U35">
        <f>MAX(U34,IF($B34=13,1,0))</f>
        <v/>
      </c>
      <c r="V35">
        <f>MAX(V34,IF($B34=14,1,0))</f>
        <v/>
      </c>
      <c r="W35">
        <f>MAX(W34,IF($B34=15,1,0))</f>
        <v/>
      </c>
      <c r="X35">
        <f>MAX(X34,IF($B34=16,1,0))</f>
        <v/>
      </c>
      <c r="Y35">
        <f>MAX(Y34,IF($B34=17,1,0))</f>
        <v/>
      </c>
      <c r="Z35">
        <f>MAX(Z34,IF($B34=18,1,0))</f>
        <v/>
      </c>
      <c r="AA35">
        <f>MAX(AA34,IF($B34=19,1,0))</f>
        <v/>
      </c>
      <c r="AB35">
        <f>MAX(AB34,IF($B34=20,1,0))</f>
        <v/>
      </c>
      <c r="AC35">
        <f>MAX(AC34,IF($B34=21,1,0))</f>
        <v/>
      </c>
      <c r="AD35">
        <f>MAX(AD34,IF($B34=22,1,0))</f>
        <v/>
      </c>
      <c r="AE35">
        <f>MAX(AE34,IF($B34=23,1,0))</f>
        <v/>
      </c>
      <c r="AF35">
        <f>MAX(AF34,IF($B34=24,1,0))</f>
        <v/>
      </c>
      <c r="AG35">
        <f>MAX(AG34,IF($B34=25,1,0))</f>
        <v/>
      </c>
      <c r="AH35">
        <f>MAX(AH34,IF($B34=26,1,0))</f>
        <v/>
      </c>
      <c r="AI35">
        <f>MAX(AI34,IF($B34=27,1,0))</f>
        <v/>
      </c>
      <c r="AJ35">
        <f>MAX(AJ34,IF($B34=28,1,0))</f>
        <v/>
      </c>
      <c r="AK35">
        <f>MAX(AK34,IF($B34=29,1,0))</f>
        <v/>
      </c>
      <c r="AL35">
        <f>MAX(AL34,IF($B34=30,1,0))</f>
        <v/>
      </c>
      <c r="AM35">
        <f>MAX(AM34,IF($B34=31,1,0))</f>
        <v/>
      </c>
      <c r="AN35">
        <f>MAX(AN34,IF($B34=32,1,0))</f>
        <v/>
      </c>
      <c r="AO35">
        <f>MAX(AO34,IF($B34=33,1,0))</f>
        <v/>
      </c>
      <c r="AP35">
        <f>MAX(AP34,IF($B34=34,1,0))</f>
        <v/>
      </c>
      <c r="AQ35">
        <f>MAX(AQ34,IF($B34=35,1,0))</f>
        <v/>
      </c>
      <c r="AR35">
        <f>MAX(AR34,IF($B34=36,1,0))</f>
        <v/>
      </c>
      <c r="AS35">
        <f>MAX(AS34,IF($B34=37,1,0))</f>
        <v/>
      </c>
      <c r="AT35">
        <f>MAX(AT34,IF($B34=38,1,0))</f>
        <v/>
      </c>
      <c r="AU35">
        <f>MAX(AU34,IF($B34=39,1,0))</f>
        <v/>
      </c>
      <c r="AV35">
        <f>MAX(AV34,IF($B34=40,1,0))</f>
        <v/>
      </c>
      <c r="AW35">
        <f>MAX(AW34,IF($B34=41,1,0))</f>
        <v/>
      </c>
      <c r="AX35">
        <f>MAX(AX34,IF($B34=42,1,0))</f>
        <v/>
      </c>
      <c r="AY35">
        <f>MAX(AY34,IF($B34=43,1,0))</f>
        <v/>
      </c>
      <c r="AZ35">
        <f>MAX(AZ34,IF($B34=44,1,0))</f>
        <v/>
      </c>
      <c r="BA35">
        <f>MAX(BA34,IF($B34=45,1,0))</f>
        <v/>
      </c>
      <c r="BC35">
        <f>IF(I35=1,1000000,IF('計算A'!$EA$10=2,SUMPRODUCT('計算A'!$D$60:$DS$60,$CW35:$HL35,$HN35:$MC35),SUMPRODUCT('計算A'!$D$60:$DS$60,$CW35:$HL35))*1000+1)</f>
        <v/>
      </c>
      <c r="BD35">
        <f>IF(J35=1,1000000,IF('計算A'!$EA$11=2,SUMPRODUCT('計算A'!$D$61:$DS$61,$CW35:$HL35,$HN35:$MC35),SUMPRODUCT('計算A'!$D$61:$DS$61,$CW35:$HL35))*1000+2)</f>
        <v/>
      </c>
      <c r="BE35">
        <f>IF(K35=1,1000000,IF('計算A'!$EA$12=2,SUMPRODUCT('計算A'!$D$62:$DS$62,$CW35:$HL35,$HN35:$MC35),SUMPRODUCT('計算A'!$D$62:$DS$62,$CW35:$HL35))*1000+3)</f>
        <v/>
      </c>
      <c r="BF35">
        <f>IF(L35=1,1000000,IF('計算A'!$EA$13=2,SUMPRODUCT('計算A'!$D$63:$DS$63,$CW35:$HL35,$HN35:$MC35),SUMPRODUCT('計算A'!$D$63:$DS$63,$CW35:$HL35))*1000+4)</f>
        <v/>
      </c>
      <c r="BG35">
        <f>IF(M35=1,1000000,IF('計算A'!$EA$14=2,SUMPRODUCT('計算A'!$D$64:$DS$64,$CW35:$HL35,$HN35:$MC35),SUMPRODUCT('計算A'!$D$64:$DS$64,$CW35:$HL35))*1000+5)</f>
        <v/>
      </c>
      <c r="BH35">
        <f>IF(N35=1,1000000,IF('計算A'!$EA$15=2,SUMPRODUCT('計算A'!$D$65:$DS$65,$CW35:$HL35,$HN35:$MC35),SUMPRODUCT('計算A'!$D$65:$DS$65,$CW35:$HL35))*1000+6)</f>
        <v/>
      </c>
      <c r="BI35">
        <f>IF(O35=1,1000000,IF('計算A'!$EA$16=2,SUMPRODUCT('計算A'!$D$66:$DS$66,$CW35:$HL35,$HN35:$MC35),SUMPRODUCT('計算A'!$D$66:$DS$66,$CW35:$HL35))*1000+7)</f>
        <v/>
      </c>
      <c r="BJ35">
        <f>IF(P35=1,1000000,IF('計算A'!$EA$17=2,SUMPRODUCT('計算A'!$D$67:$DS$67,$CW35:$HL35,$HN35:$MC35),SUMPRODUCT('計算A'!$D$67:$DS$67,$CW35:$HL35))*1000+8)</f>
        <v/>
      </c>
      <c r="BK35">
        <f>IF(Q35=1,1000000,IF('計算A'!$EA$18=2,SUMPRODUCT('計算A'!$D$68:$DS$68,$CW35:$HL35,$HN35:$MC35),SUMPRODUCT('計算A'!$D$68:$DS$68,$CW35:$HL35))*1000+9)</f>
        <v/>
      </c>
      <c r="BL35">
        <f>IF(R35=1,1000000,IF('計算A'!$EA$19=2,SUMPRODUCT('計算A'!$D$69:$DS$69,$CW35:$HL35,$HN35:$MC35),SUMPRODUCT('計算A'!$D$69:$DS$69,$CW35:$HL35))*1000+10)</f>
        <v/>
      </c>
      <c r="BM35">
        <f>IF(S35=1,1000000,IF('計算A'!$EA$20=2,SUMPRODUCT('計算A'!$D$70:$DS$70,$CW35:$HL35,$HN35:$MC35),SUMPRODUCT('計算A'!$D$70:$DS$70,$CW35:$HL35))*1000+11)</f>
        <v/>
      </c>
      <c r="BN35">
        <f>IF(T35=1,1000000,IF('計算A'!$EA$21=2,SUMPRODUCT('計算A'!$D$71:$DS$71,$CW35:$HL35,$HN35:$MC35),SUMPRODUCT('計算A'!$D$71:$DS$71,$CW35:$HL35))*1000+12)</f>
        <v/>
      </c>
      <c r="BO35">
        <f>IF(U35=1,1000000,IF('計算A'!$EA$22=2,SUMPRODUCT('計算A'!$D$72:$DS$72,$CW35:$HL35,$HN35:$MC35),SUMPRODUCT('計算A'!$D$72:$DS$72,$CW35:$HL35))*1000+13)</f>
        <v/>
      </c>
      <c r="BP35">
        <f>IF(V35=1,1000000,IF('計算A'!$EA$23=2,SUMPRODUCT('計算A'!$D$73:$DS$73,$CW35:$HL35,$HN35:$MC35),SUMPRODUCT('計算A'!$D$73:$DS$73,$CW35:$HL35))*1000+14)</f>
        <v/>
      </c>
      <c r="BQ35">
        <f>IF(W35=1,1000000,IF('計算A'!$EA$24=2,SUMPRODUCT('計算A'!$D$74:$DS$74,$CW35:$HL35,$HN35:$MC35),SUMPRODUCT('計算A'!$D$74:$DS$74,$CW35:$HL35))*1000+15)</f>
        <v/>
      </c>
      <c r="BR35">
        <f>IF(X35=1,1000000,IF('計算A'!$EA$25=2,SUMPRODUCT('計算A'!$D$75:$DS$75,$CW35:$HL35,$HN35:$MC35),SUMPRODUCT('計算A'!$D$75:$DS$75,$CW35:$HL35))*1000+16)</f>
        <v/>
      </c>
      <c r="BS35">
        <f>IF(Y35=1,1000000,IF('計算A'!$EA$26=2,SUMPRODUCT('計算A'!$D$76:$DS$76,$CW35:$HL35,$HN35:$MC35),SUMPRODUCT('計算A'!$D$76:$DS$76,$CW35:$HL35))*1000+17)</f>
        <v/>
      </c>
      <c r="BT35">
        <f>IF(Z35=1,1000000,IF('計算A'!$EA$27=2,SUMPRODUCT('計算A'!$D$77:$DS$77,$CW35:$HL35,$HN35:$MC35),SUMPRODUCT('計算A'!$D$77:$DS$77,$CW35:$HL35))*1000+18)</f>
        <v/>
      </c>
      <c r="BU35">
        <f>IF(AA35=1,1000000,IF('計算A'!$EA$28=2,SUMPRODUCT('計算A'!$D$78:$DS$78,$CW35:$HL35,$HN35:$MC35),SUMPRODUCT('計算A'!$D$78:$DS$78,$CW35:$HL35))*1000+19)</f>
        <v/>
      </c>
      <c r="BV35">
        <f>IF(AB35=1,1000000,IF('計算A'!$EA$29=2,SUMPRODUCT('計算A'!$D$79:$DS$79,$CW35:$HL35,$HN35:$MC35),SUMPRODUCT('計算A'!$D$79:$DS$79,$CW35:$HL35))*1000+20)</f>
        <v/>
      </c>
      <c r="BW35">
        <f>IF(AC35=1,1000000,IF('計算A'!$EA$30=2,SUMPRODUCT('計算A'!$D$80:$DS$80,$CW35:$HL35,$HN35:$MC35),SUMPRODUCT('計算A'!$D$80:$DS$80,$CW35:$HL35))*1000+21)</f>
        <v/>
      </c>
      <c r="BX35">
        <f>IF(AD35=1,1000000,IF('計算A'!$EA$31=2,SUMPRODUCT('計算A'!$D$81:$DS$81,$CW35:$HL35,$HN35:$MC35),SUMPRODUCT('計算A'!$D$81:$DS$81,$CW35:$HL35))*1000+22)</f>
        <v/>
      </c>
      <c r="BY35">
        <f>IF(AE35=1,1000000,IF('計算A'!$EA$32=2,SUMPRODUCT('計算A'!$D$82:$DS$82,$CW35:$HL35,$HN35:$MC35),SUMPRODUCT('計算A'!$D$82:$DS$82,$CW35:$HL35))*1000+23)</f>
        <v/>
      </c>
      <c r="BZ35">
        <f>IF(AF35=1,1000000,IF('計算A'!$EA$33=2,SUMPRODUCT('計算A'!$D$83:$DS$83,$CW35:$HL35,$HN35:$MC35),SUMPRODUCT('計算A'!$D$83:$DS$83,$CW35:$HL35))*1000+24)</f>
        <v/>
      </c>
      <c r="CA35">
        <f>IF(AG35=1,1000000,IF('計算A'!$EA$34=2,SUMPRODUCT('計算A'!$D$84:$DS$84,$CW35:$HL35,$HN35:$MC35),SUMPRODUCT('計算A'!$D$84:$DS$84,$CW35:$HL35))*1000+25)</f>
        <v/>
      </c>
      <c r="CB35">
        <f>IF(AH35=1,1000000,IF('計算A'!$EA$35=2,SUMPRODUCT('計算A'!$D$85:$DS$85,$CW35:$HL35,$HN35:$MC35),SUMPRODUCT('計算A'!$D$85:$DS$85,$CW35:$HL35))*1000+26)</f>
        <v/>
      </c>
      <c r="CC35">
        <f>IF(AI35=1,1000000,IF('計算A'!$EA$36=2,SUMPRODUCT('計算A'!$D$86:$DS$86,$CW35:$HL35,$HN35:$MC35),SUMPRODUCT('計算A'!$D$86:$DS$86,$CW35:$HL35))*1000+27)</f>
        <v/>
      </c>
      <c r="CD35">
        <f>IF(AJ35=1,1000000,IF('計算A'!$EA$37=2,SUMPRODUCT('計算A'!$D$87:$DS$87,$CW35:$HL35,$HN35:$MC35),SUMPRODUCT('計算A'!$D$87:$DS$87,$CW35:$HL35))*1000+28)</f>
        <v/>
      </c>
      <c r="CE35">
        <f>IF(AK35=1,1000000,IF('計算A'!$EA$38=2,SUMPRODUCT('計算A'!$D$88:$DS$88,$CW35:$HL35,$HN35:$MC35),SUMPRODUCT('計算A'!$D$88:$DS$88,$CW35:$HL35))*1000+29)</f>
        <v/>
      </c>
      <c r="CF35">
        <f>IF(AL35=1,1000000,IF('計算A'!$EA$39=2,SUMPRODUCT('計算A'!$D$89:$DS$89,$CW35:$HL35,$HN35:$MC35),SUMPRODUCT('計算A'!$D$89:$DS$89,$CW35:$HL35))*1000+30)</f>
        <v/>
      </c>
      <c r="CG35">
        <f>IF(AM35=1,1000000,IF('計算A'!$EA$40=2,SUMPRODUCT('計算A'!$D$90:$DS$90,$CW35:$HL35,$HN35:$MC35),SUMPRODUCT('計算A'!$D$90:$DS$90,$CW35:$HL35))*1000+31)</f>
        <v/>
      </c>
      <c r="CH35">
        <f>IF(AN35=1,1000000,IF('計算A'!$EA$41=2,SUMPRODUCT('計算A'!$D$91:$DS$91,$CW35:$HL35,$HN35:$MC35),SUMPRODUCT('計算A'!$D$91:$DS$91,$CW35:$HL35))*1000+32)</f>
        <v/>
      </c>
      <c r="CI35">
        <f>IF(AO35=1,1000000,IF('計算A'!$EA$42=2,SUMPRODUCT('計算A'!$D$92:$DS$92,$CW35:$HL35,$HN35:$MC35),SUMPRODUCT('計算A'!$D$92:$DS$92,$CW35:$HL35))*1000+33)</f>
        <v/>
      </c>
      <c r="CJ35">
        <f>IF(AP35=1,1000000,IF('計算A'!$EA$43=2,SUMPRODUCT('計算A'!$D$93:$DS$93,$CW35:$HL35,$HN35:$MC35),SUMPRODUCT('計算A'!$D$93:$DS$93,$CW35:$HL35))*1000+34)</f>
        <v/>
      </c>
      <c r="CK35">
        <f>IF(AQ35=1,1000000,IF('計算A'!$EA$44=2,SUMPRODUCT('計算A'!$D$94:$DS$94,$CW35:$HL35,$HN35:$MC35),SUMPRODUCT('計算A'!$D$94:$DS$94,$CW35:$HL35))*1000+35)</f>
        <v/>
      </c>
      <c r="CL35">
        <f>IF(AR35=1,1000000,IF('計算A'!$EA$45=2,SUMPRODUCT('計算A'!$D$95:$DS$95,$CW35:$HL35,$HN35:$MC35),SUMPRODUCT('計算A'!$D$95:$DS$95,$CW35:$HL35))*1000+36)</f>
        <v/>
      </c>
      <c r="CM35">
        <f>IF(AS35=1,1000000,IF('計算A'!$EA$46=2,SUMPRODUCT('計算A'!$D$96:$DS$96,$CW35:$HL35,$HN35:$MC35),SUMPRODUCT('計算A'!$D$96:$DS$96,$CW35:$HL35))*1000+37)</f>
        <v/>
      </c>
      <c r="CN35">
        <f>IF(AT35=1,1000000,IF('計算A'!$EA$47=2,SUMPRODUCT('計算A'!$D$97:$DS$97,$CW35:$HL35,$HN35:$MC35),SUMPRODUCT('計算A'!$D$97:$DS$97,$CW35:$HL35))*1000+38)</f>
        <v/>
      </c>
      <c r="CO35">
        <f>IF(AU35=1,1000000,IF('計算A'!$EA$48=2,SUMPRODUCT('計算A'!$D$98:$DS$98,$CW35:$HL35,$HN35:$MC35),SUMPRODUCT('計算A'!$D$98:$DS$98,$CW35:$HL35))*1000+39)</f>
        <v/>
      </c>
      <c r="CP35">
        <f>IF(AV35=1,1000000,IF('計算A'!$EA$49=2,SUMPRODUCT('計算A'!$D$99:$DS$99,$CW35:$HL35,$HN35:$MC35),SUMPRODUCT('計算A'!$D$99:$DS$99,$CW35:$HL35))*1000+40)</f>
        <v/>
      </c>
      <c r="CQ35">
        <f>IF(AW35=1,1000000,IF('計算A'!$EA$50=2,SUMPRODUCT('計算A'!$D$100:$DS$100,$CW35:$HL35,$HN35:$MC35),SUMPRODUCT('計算A'!$D$100:$DS$100,$CW35:$HL35))*1000+41)</f>
        <v/>
      </c>
      <c r="CR35">
        <f>IF(AX35=1,1000000,IF('計算A'!$EA$51=2,SUMPRODUCT('計算A'!$D$101:$DS$101,$CW35:$HL35,$HN35:$MC35),SUMPRODUCT('計算A'!$D$101:$DS$101,$CW35:$HL35))*1000+42)</f>
        <v/>
      </c>
      <c r="CS35">
        <f>IF(AY35=1,1000000,IF('計算A'!$EA$52=2,SUMPRODUCT('計算A'!$D$102:$DS$102,$CW35:$HL35,$HN35:$MC35),SUMPRODUCT('計算A'!$D$102:$DS$102,$CW35:$HL35))*1000+43)</f>
        <v/>
      </c>
      <c r="CT35">
        <f>IF(AZ35=1,1000000,IF('計算A'!$EA$53=2,SUMPRODUCT('計算A'!$D$103:$DS$103,$CW35:$HL35,$HN35:$MC35),SUMPRODUCT('計算A'!$D$103:$DS$103,$CW35:$HL35))*1000+44)</f>
        <v/>
      </c>
      <c r="CU35">
        <f>IF(BA35=1,1000000,IF('計算A'!$EA$54=2,SUMPRODUCT('計算A'!$D$104:$DS$104,$CW35:$HL35,$HN35:$MC35),SUMPRODUCT('計算A'!$D$104:$DS$104,$CW35:$HL35))*1000+45)</f>
        <v/>
      </c>
      <c r="CW35">
        <f>CW34*IF(OR($C34=1,$G34=1),0,1)</f>
        <v/>
      </c>
      <c r="CX35">
        <f>CX34*IF(OR($C34=2,$G34=2),0,1)</f>
        <v/>
      </c>
      <c r="CY35">
        <f>CY34*IF(OR($C34=3,$G34=3),0,1)</f>
        <v/>
      </c>
      <c r="CZ35">
        <f>CZ34*IF(OR($C34=4,$G34=4),0,1)</f>
        <v/>
      </c>
      <c r="DA35">
        <f>DA34*IF(OR($C34=5,$G34=5),0,1)</f>
        <v/>
      </c>
      <c r="DB35">
        <f>DB34*IF(OR($C34=6,$G34=6),0,1)</f>
        <v/>
      </c>
      <c r="DC35">
        <f>DC34*IF(OR($C34=7,$G34=7),0,1)</f>
        <v/>
      </c>
      <c r="DD35">
        <f>DD34*IF(OR($C34=8,$G34=8),0,1)</f>
        <v/>
      </c>
      <c r="DE35">
        <f>DE34*IF(OR($C34=9,$G34=9),0,1)</f>
        <v/>
      </c>
      <c r="DF35">
        <f>DF34*IF(OR($C34=10,$G34=10),0,1)</f>
        <v/>
      </c>
      <c r="DG35">
        <f>DG34*IF(OR($C34=11,$G34=11),0,1)</f>
        <v/>
      </c>
      <c r="DH35">
        <f>DH34*IF(OR($C34=12,$G34=12),0,1)</f>
        <v/>
      </c>
      <c r="DI35">
        <f>DI34*IF(OR($C34=13,$G34=13),0,1)</f>
        <v/>
      </c>
      <c r="DJ35">
        <f>DJ34*IF(OR($C34=14,$G34=14),0,1)</f>
        <v/>
      </c>
      <c r="DK35">
        <f>DK34*IF(OR($C34=15,$G34=15),0,1)</f>
        <v/>
      </c>
      <c r="DL35">
        <f>DL34*IF(OR($C34=16,$G34=16),0,1)</f>
        <v/>
      </c>
      <c r="DM35">
        <f>DM34*IF(OR($C34=17,$G34=17),0,1)</f>
        <v/>
      </c>
      <c r="DN35">
        <f>DN34*IF(OR($C34=18,$G34=18),0,1)</f>
        <v/>
      </c>
      <c r="DO35">
        <f>DO34*IF(OR($C34=19,$G34=19),0,1)</f>
        <v/>
      </c>
      <c r="DP35">
        <f>DP34*IF(OR($C34=20,$G34=20),0,1)</f>
        <v/>
      </c>
      <c r="DQ35">
        <f>DQ34*IF(OR($C34=21,$G34=21),0,1)</f>
        <v/>
      </c>
      <c r="DR35">
        <f>DR34*IF(OR($C34=22,$G34=22),0,1)</f>
        <v/>
      </c>
      <c r="DS35">
        <f>DS34*IF(OR($C34=23,$G34=23),0,1)</f>
        <v/>
      </c>
      <c r="DT35">
        <f>DT34*IF(OR($C34=24,$G34=24),0,1)</f>
        <v/>
      </c>
      <c r="DU35">
        <f>DU34*IF(OR($C34=25,$G34=25),0,1)</f>
        <v/>
      </c>
      <c r="DV35">
        <f>DV34*IF(OR($C34=26,$G34=26),0,1)</f>
        <v/>
      </c>
      <c r="DW35">
        <f>DW34*IF(OR($C34=27,$G34=27),0,1)</f>
        <v/>
      </c>
      <c r="DX35">
        <f>DX34*IF(OR($C34=28,$G34=28),0,1)</f>
        <v/>
      </c>
      <c r="DY35">
        <f>DY34*IF(OR($C34=29,$G34=29),0,1)</f>
        <v/>
      </c>
      <c r="DZ35">
        <f>DZ34*IF(OR($C34=30,$G34=30),0,1)</f>
        <v/>
      </c>
      <c r="EA35">
        <f>EA34*IF(OR($C34=31,$G34=31),0,1)</f>
        <v/>
      </c>
      <c r="EB35">
        <f>EB34*IF(OR($C34=32,$G34=32),0,1)</f>
        <v/>
      </c>
      <c r="EC35">
        <f>EC34*IF(OR($C34=33,$G34=33),0,1)</f>
        <v/>
      </c>
      <c r="ED35">
        <f>ED34*IF(OR($C34=34,$G34=34),0,1)</f>
        <v/>
      </c>
      <c r="EE35">
        <f>EE34*IF(OR($C34=35,$G34=35),0,1)</f>
        <v/>
      </c>
      <c r="EF35">
        <f>EF34*IF(OR($C34=36,$G34=36),0,1)</f>
        <v/>
      </c>
      <c r="EG35">
        <f>EG34*IF(OR($C34=37,$G34=37),0,1)</f>
        <v/>
      </c>
      <c r="EH35">
        <f>EH34*IF(OR($C34=38,$G34=38),0,1)</f>
        <v/>
      </c>
      <c r="EI35">
        <f>EI34*IF(OR($C34=39,$G34=39),0,1)</f>
        <v/>
      </c>
      <c r="EJ35">
        <f>EJ34*IF(OR($C34=40,$G34=40),0,1)</f>
        <v/>
      </c>
      <c r="EK35">
        <f>EK34*IF(OR($C34=41,$G34=41),0,1)</f>
        <v/>
      </c>
      <c r="EL35">
        <f>EL34*IF(OR($C34=42,$G34=42),0,1)</f>
        <v/>
      </c>
      <c r="EM35">
        <f>EM34*IF(OR($C34=43,$G34=43),0,1)</f>
        <v/>
      </c>
      <c r="EN35">
        <f>EN34*IF(OR($C34=44,$G34=44),0,1)</f>
        <v/>
      </c>
      <c r="EO35">
        <f>EO34*IF(OR($C34=45,$G34=45),0,1)</f>
        <v/>
      </c>
      <c r="EP35">
        <f>EP34*IF(OR($C34=46,$G34=46),0,1)</f>
        <v/>
      </c>
      <c r="EQ35">
        <f>EQ34*IF(OR($C34=47,$G34=47),0,1)</f>
        <v/>
      </c>
      <c r="ER35">
        <f>ER34*IF(OR($C34=48,$G34=48),0,1)</f>
        <v/>
      </c>
      <c r="ES35">
        <f>ES34*IF(OR($C34=49,$G34=49),0,1)</f>
        <v/>
      </c>
      <c r="ET35">
        <f>ET34*IF(OR($C34=50,$G34=50),0,1)</f>
        <v/>
      </c>
      <c r="EU35">
        <f>EU34*IF(OR($C34=51,$G34=51),0,1)</f>
        <v/>
      </c>
      <c r="EV35">
        <f>EV34*IF(OR($C34=52,$G34=52),0,1)</f>
        <v/>
      </c>
      <c r="EW35">
        <f>EW34*IF(OR($C34=53,$G34=53),0,1)</f>
        <v/>
      </c>
      <c r="EX35">
        <f>EX34*IF(OR($C34=54,$G34=54),0,1)</f>
        <v/>
      </c>
      <c r="EY35">
        <f>EY34*IF(OR($C34=55,$G34=55),0,1)</f>
        <v/>
      </c>
      <c r="EZ35">
        <f>EZ34*IF(OR($C34=56,$G34=56),0,1)</f>
        <v/>
      </c>
      <c r="FA35">
        <f>FA34*IF(OR($C34=57,$G34=57),0,1)</f>
        <v/>
      </c>
      <c r="FB35">
        <f>FB34*IF(OR($C34=58,$G34=58),0,1)</f>
        <v/>
      </c>
      <c r="FC35">
        <f>FC34*IF(OR($C34=59,$G34=59),0,1)</f>
        <v/>
      </c>
      <c r="FD35">
        <f>FD34*IF(OR($C34=60,$G34=60),0,1)</f>
        <v/>
      </c>
      <c r="FE35">
        <f>FE34*IF(OR($C34=61,$G34=61),0,1)</f>
        <v/>
      </c>
      <c r="FF35">
        <f>FF34*IF(OR($C34=62,$G34=62),0,1)</f>
        <v/>
      </c>
      <c r="FG35">
        <f>FG34*IF(OR($C34=63,$G34=63),0,1)</f>
        <v/>
      </c>
      <c r="FH35">
        <f>FH34*IF(OR($C34=64,$G34=64),0,1)</f>
        <v/>
      </c>
      <c r="FI35">
        <f>FI34*IF(OR($C34=65,$G34=65),0,1)</f>
        <v/>
      </c>
      <c r="FJ35">
        <f>FJ34*IF(OR($C34=66,$G34=66),0,1)</f>
        <v/>
      </c>
      <c r="FK35">
        <f>FK34*IF(OR($C34=67,$G34=67),0,1)</f>
        <v/>
      </c>
      <c r="FL35">
        <f>FL34*IF(OR($C34=68,$G34=68),0,1)</f>
        <v/>
      </c>
      <c r="FM35">
        <f>FM34*IF(OR($C34=69,$G34=69),0,1)</f>
        <v/>
      </c>
      <c r="FN35">
        <f>FN34*IF(OR($C34=70,$G34=70),0,1)</f>
        <v/>
      </c>
      <c r="FO35">
        <f>FO34*IF(OR($C34=71,$G34=71),0,1)</f>
        <v/>
      </c>
      <c r="FP35">
        <f>FP34*IF(OR($C34=72,$G34=72),0,1)</f>
        <v/>
      </c>
      <c r="FQ35">
        <f>FQ34*IF(OR($C34=73,$G34=73),0,1)</f>
        <v/>
      </c>
      <c r="FR35">
        <f>FR34*IF(OR($C34=74,$G34=74),0,1)</f>
        <v/>
      </c>
      <c r="FS35">
        <f>FS34*IF(OR($C34=75,$G34=75),0,1)</f>
        <v/>
      </c>
      <c r="FT35">
        <f>FT34*IF(OR($C34=76,$G34=76),0,1)</f>
        <v/>
      </c>
      <c r="FU35">
        <f>FU34*IF(OR($C34=77,$G34=77),0,1)</f>
        <v/>
      </c>
      <c r="FV35">
        <f>FV34*IF(OR($C34=78,$G34=78),0,1)</f>
        <v/>
      </c>
      <c r="FW35">
        <f>FW34*IF(OR($C34=79,$G34=79),0,1)</f>
        <v/>
      </c>
      <c r="FX35">
        <f>FX34*IF(OR($C34=80,$G34=80),0,1)</f>
        <v/>
      </c>
      <c r="FY35">
        <f>FY34*IF(OR($C34=81,$G34=81),0,1)</f>
        <v/>
      </c>
      <c r="FZ35">
        <f>FZ34*IF(OR($C34=82,$G34=82),0,1)</f>
        <v/>
      </c>
      <c r="GA35">
        <f>GA34*IF(OR($C34=83,$G34=83),0,1)</f>
        <v/>
      </c>
      <c r="GB35">
        <f>GB34*IF(OR($C34=84,$G34=84),0,1)</f>
        <v/>
      </c>
      <c r="GC35">
        <f>GC34*IF(OR($C34=85,$G34=85),0,1)</f>
        <v/>
      </c>
      <c r="GD35">
        <f>GD34*IF(OR($C34=86,$G34=86),0,1)</f>
        <v/>
      </c>
      <c r="GE35">
        <f>GE34*IF(OR($C34=87,$G34=87),0,1)</f>
        <v/>
      </c>
      <c r="GF35">
        <f>GF34*IF(OR($C34=88,$G34=88),0,1)</f>
        <v/>
      </c>
      <c r="GG35">
        <f>GG34*IF(OR($C34=89,$G34=89),0,1)</f>
        <v/>
      </c>
      <c r="GH35">
        <f>GH34*IF(OR($C34=90,$G34=90),0,1)</f>
        <v/>
      </c>
      <c r="GI35">
        <f>GI34*IF(OR($C34=91,$G34=91),0,1)</f>
        <v/>
      </c>
      <c r="GJ35">
        <f>GJ34*IF(OR($C34=92,$G34=92),0,1)</f>
        <v/>
      </c>
      <c r="GK35">
        <f>GK34*IF(OR($C34=93,$G34=93),0,1)</f>
        <v/>
      </c>
      <c r="GL35">
        <f>GL34*IF(OR($C34=94,$G34=94),0,1)</f>
        <v/>
      </c>
      <c r="GM35">
        <f>GM34*IF(OR($C34=95,$G34=95),0,1)</f>
        <v/>
      </c>
      <c r="GN35">
        <f>GN34*IF(OR($C34=96,$G34=96),0,1)</f>
        <v/>
      </c>
      <c r="GO35">
        <f>GO34*IF(OR($C34=97,$G34=97),0,1)</f>
        <v/>
      </c>
      <c r="GP35">
        <f>GP34*IF(OR($C34=98,$G34=98),0,1)</f>
        <v/>
      </c>
      <c r="GQ35">
        <f>GQ34*IF(OR($C34=99,$G34=99),0,1)</f>
        <v/>
      </c>
      <c r="GR35">
        <f>GR34*IF(OR($C34=100,$G34=100),0,1)</f>
        <v/>
      </c>
      <c r="GS35">
        <f>GS34*IF(OR($C34=101,$G34=101),0,1)</f>
        <v/>
      </c>
      <c r="GT35">
        <f>GT34*IF(OR($C34=102,$G34=102),0,1)</f>
        <v/>
      </c>
      <c r="GU35">
        <f>GU34*IF(OR($C34=103,$G34=103),0,1)</f>
        <v/>
      </c>
      <c r="GV35">
        <f>GV34*IF(OR($C34=104,$G34=104),0,1)</f>
        <v/>
      </c>
      <c r="GW35">
        <f>GW34*IF(OR($C34=105,$G34=105),0,1)</f>
        <v/>
      </c>
      <c r="GX35">
        <f>GX34*IF(OR($C34=106,$G34=106),0,1)</f>
        <v/>
      </c>
      <c r="GY35">
        <f>GY34*IF(OR($C34=107,$G34=107),0,1)</f>
        <v/>
      </c>
      <c r="GZ35">
        <f>GZ34*IF(OR($C34=108,$G34=108),0,1)</f>
        <v/>
      </c>
      <c r="HA35">
        <f>HA34*IF(OR($C34=109,$G34=109),0,1)</f>
        <v/>
      </c>
      <c r="HB35">
        <f>HB34*IF(OR($C34=110,$G34=110),0,1)</f>
        <v/>
      </c>
      <c r="HC35">
        <f>HC34*IF(OR($C34=111,$G34=111),0,1)</f>
        <v/>
      </c>
      <c r="HD35">
        <f>HD34*IF(OR($C34=112,$G34=112),0,1)</f>
        <v/>
      </c>
      <c r="HE35">
        <f>HE34*IF(OR($C34=113,$G34=113),0,1)</f>
        <v/>
      </c>
      <c r="HF35">
        <f>HF34*IF(OR($C34=114,$G34=114),0,1)</f>
        <v/>
      </c>
      <c r="HG35">
        <f>HG34*IF(OR($C34=115,$G34=115),0,1)</f>
        <v/>
      </c>
      <c r="HH35">
        <f>HH34*IF(OR($C34=116,$G34=116),0,1)</f>
        <v/>
      </c>
      <c r="HI35">
        <f>HI34*IF(OR($C34=117,$G34=117),0,1)</f>
        <v/>
      </c>
      <c r="HJ35">
        <f>HJ34*IF(OR($C34=118,$G34=118),0,1)</f>
        <v/>
      </c>
      <c r="HK35">
        <f>HK34*IF(OR($C34=119,$G34=119),0,1)</f>
        <v/>
      </c>
      <c r="HL35">
        <f>HL34*IF(OR($C34=120,$G34=120),0,1)</f>
        <v/>
      </c>
      <c r="HN35">
        <f>IF('計算A'!D$106=1,CX35,1)</f>
        <v/>
      </c>
      <c r="HO35">
        <f>IF('計算A'!E$106=1,CY35,1)</f>
        <v/>
      </c>
      <c r="HP35">
        <f>IF('計算A'!F$106=1,CZ35,1)</f>
        <v/>
      </c>
      <c r="HQ35">
        <f>IF('計算A'!G$106=1,DA35,1)</f>
        <v/>
      </c>
      <c r="HR35">
        <f>IF('計算A'!H$106=1,DB35,1)</f>
        <v/>
      </c>
      <c r="HS35">
        <f>IF('計算A'!I$106=1,DC35,1)</f>
        <v/>
      </c>
      <c r="HT35">
        <f>IF('計算A'!J$106=1,DD35,1)</f>
        <v/>
      </c>
      <c r="HU35">
        <f>IF('計算A'!K$106=1,DE35,1)</f>
        <v/>
      </c>
      <c r="HV35">
        <f>IF('計算A'!L$106=1,DF35,1)</f>
        <v/>
      </c>
      <c r="HW35">
        <f>IF('計算A'!M$106=1,DG35,1)</f>
        <v/>
      </c>
      <c r="HX35">
        <f>IF('計算A'!N$106=1,DH35,1)</f>
        <v/>
      </c>
      <c r="HY35">
        <f>IF('計算A'!O$106=1,DI35,1)</f>
        <v/>
      </c>
      <c r="HZ35">
        <f>IF('計算A'!P$106=1,DJ35,1)</f>
        <v/>
      </c>
      <c r="IA35">
        <f>IF('計算A'!Q$106=1,DK35,1)</f>
        <v/>
      </c>
      <c r="IB35">
        <f>IF('計算A'!R$106=1,DL35,1)</f>
        <v/>
      </c>
      <c r="IC35">
        <f>IF('計算A'!S$106=1,DM35,1)</f>
        <v/>
      </c>
      <c r="ID35">
        <f>IF('計算A'!T$106=1,DN35,1)</f>
        <v/>
      </c>
      <c r="IE35">
        <f>IF('計算A'!U$106=1,DO35,1)</f>
        <v/>
      </c>
      <c r="IF35">
        <f>IF('計算A'!V$106=1,DP35,1)</f>
        <v/>
      </c>
      <c r="IG35">
        <f>IF('計算A'!W$106=1,DQ35,1)</f>
        <v/>
      </c>
      <c r="IH35">
        <f>IF('計算A'!X$106=1,DR35,1)</f>
        <v/>
      </c>
      <c r="II35">
        <f>IF('計算A'!Y$106=1,DS35,1)</f>
        <v/>
      </c>
      <c r="IJ35">
        <f>IF('計算A'!Z$106=1,DT35,1)</f>
        <v/>
      </c>
      <c r="IK35">
        <f>IF('計算A'!AA$106=1,DU35,1)</f>
        <v/>
      </c>
      <c r="IL35">
        <f>IF('計算A'!AB$106=1,DV35,1)</f>
        <v/>
      </c>
      <c r="IM35">
        <f>IF('計算A'!AC$106=1,DW35,1)</f>
        <v/>
      </c>
      <c r="IN35">
        <f>IF('計算A'!AD$106=1,DX35,1)</f>
        <v/>
      </c>
      <c r="IO35">
        <f>IF('計算A'!AE$106=1,DY35,1)</f>
        <v/>
      </c>
      <c r="IP35">
        <f>IF('計算A'!AF$106=1,DZ35,1)</f>
        <v/>
      </c>
      <c r="IQ35">
        <f>IF('計算A'!AG$106=1,EA35,1)</f>
        <v/>
      </c>
      <c r="IR35">
        <f>IF('計算A'!AH$106=1,EB35,1)</f>
        <v/>
      </c>
      <c r="IS35">
        <f>IF('計算A'!AI$106=1,EC35,1)</f>
        <v/>
      </c>
      <c r="IT35">
        <f>IF('計算A'!AJ$106=1,ED35,1)</f>
        <v/>
      </c>
      <c r="IU35">
        <f>IF('計算A'!AK$106=1,EE35,1)</f>
        <v/>
      </c>
      <c r="IV35">
        <f>IF('計算A'!AL$106=1,EF35,1)</f>
        <v/>
      </c>
      <c r="IW35">
        <f>IF('計算A'!AM$106=1,EG35,1)</f>
        <v/>
      </c>
      <c r="IX35">
        <f>IF('計算A'!AN$106=1,EH35,1)</f>
        <v/>
      </c>
      <c r="IY35">
        <f>IF('計算A'!AO$106=1,EI35,1)</f>
        <v/>
      </c>
      <c r="IZ35">
        <f>IF('計算A'!AP$106=1,EJ35,1)</f>
        <v/>
      </c>
      <c r="JA35">
        <f>IF('計算A'!AQ$106=1,EK35,1)</f>
        <v/>
      </c>
      <c r="JB35">
        <f>IF('計算A'!AR$106=1,EL35,1)</f>
        <v/>
      </c>
      <c r="JC35">
        <f>IF('計算A'!AS$106=1,EM35,1)</f>
        <v/>
      </c>
      <c r="JD35">
        <f>IF('計算A'!AT$106=1,EN35,1)</f>
        <v/>
      </c>
      <c r="JE35">
        <f>IF('計算A'!AU$106=1,EO35,1)</f>
        <v/>
      </c>
      <c r="JF35">
        <f>IF('計算A'!AV$106=1,EP35,1)</f>
        <v/>
      </c>
      <c r="JG35">
        <f>IF('計算A'!AW$106=1,EQ35,1)</f>
        <v/>
      </c>
      <c r="JH35">
        <f>IF('計算A'!AX$106=1,ER35,1)</f>
        <v/>
      </c>
      <c r="JI35">
        <f>IF('計算A'!AY$106=1,ES35,1)</f>
        <v/>
      </c>
      <c r="JJ35">
        <f>IF('計算A'!AZ$106=1,ET35,1)</f>
        <v/>
      </c>
      <c r="JK35">
        <f>IF('計算A'!BA$106=1,EU35,1)</f>
        <v/>
      </c>
      <c r="JL35">
        <f>IF('計算A'!BB$106=1,EV35,1)</f>
        <v/>
      </c>
      <c r="JM35">
        <f>IF('計算A'!BC$106=1,EW35,1)</f>
        <v/>
      </c>
      <c r="JN35">
        <f>IF('計算A'!BD$106=1,EX35,1)</f>
        <v/>
      </c>
      <c r="JO35">
        <f>IF('計算A'!BE$106=1,EY35,1)</f>
        <v/>
      </c>
      <c r="JP35">
        <f>IF('計算A'!BF$106=1,EZ35,1)</f>
        <v/>
      </c>
      <c r="JQ35">
        <f>IF('計算A'!BG$106=1,FA35,1)</f>
        <v/>
      </c>
      <c r="JR35">
        <f>IF('計算A'!BH$106=1,FB35,1)</f>
        <v/>
      </c>
      <c r="JS35">
        <f>IF('計算A'!BI$106=1,FC35,1)</f>
        <v/>
      </c>
      <c r="JT35">
        <f>IF('計算A'!BJ$106=1,FD35,1)</f>
        <v/>
      </c>
      <c r="JU35">
        <f>IF('計算A'!BK$106=1,FE35,1)</f>
        <v/>
      </c>
      <c r="JV35">
        <f>IF('計算A'!BL$106=1,FF35,1)</f>
        <v/>
      </c>
      <c r="JW35">
        <f>IF('計算A'!BM$106=1,FG35,1)</f>
        <v/>
      </c>
      <c r="JX35">
        <f>IF('計算A'!BN$106=1,FH35,1)</f>
        <v/>
      </c>
      <c r="JY35">
        <f>IF('計算A'!BO$106=1,FI35,1)</f>
        <v/>
      </c>
      <c r="JZ35">
        <f>IF('計算A'!BP$106=1,FJ35,1)</f>
        <v/>
      </c>
      <c r="KA35">
        <f>IF('計算A'!BQ$106=1,FK35,1)</f>
        <v/>
      </c>
      <c r="KB35">
        <f>IF('計算A'!BR$106=1,FL35,1)</f>
        <v/>
      </c>
      <c r="KC35">
        <f>IF('計算A'!BS$106=1,FM35,1)</f>
        <v/>
      </c>
      <c r="KD35">
        <f>IF('計算A'!BT$106=1,FN35,1)</f>
        <v/>
      </c>
      <c r="KE35">
        <f>IF('計算A'!BU$106=1,FO35,1)</f>
        <v/>
      </c>
      <c r="KF35">
        <f>IF('計算A'!BV$106=1,FP35,1)</f>
        <v/>
      </c>
      <c r="KG35">
        <f>IF('計算A'!BW$106=1,FQ35,1)</f>
        <v/>
      </c>
      <c r="KH35">
        <f>IF('計算A'!BX$106=1,FR35,1)</f>
        <v/>
      </c>
      <c r="KI35">
        <f>IF('計算A'!BY$106=1,FS35,1)</f>
        <v/>
      </c>
      <c r="KJ35">
        <f>IF('計算A'!BZ$106=1,FT35,1)</f>
        <v/>
      </c>
      <c r="KK35">
        <f>IF('計算A'!CA$106=1,FU35,1)</f>
        <v/>
      </c>
      <c r="KL35">
        <f>IF('計算A'!CB$106=1,FV35,1)</f>
        <v/>
      </c>
      <c r="KM35">
        <f>IF('計算A'!CC$106=1,FW35,1)</f>
        <v/>
      </c>
      <c r="KN35">
        <f>IF('計算A'!CD$106=1,FX35,1)</f>
        <v/>
      </c>
      <c r="KO35">
        <f>IF('計算A'!CE$106=1,FY35,1)</f>
        <v/>
      </c>
      <c r="KP35">
        <f>IF('計算A'!CF$106=1,FZ35,1)</f>
        <v/>
      </c>
      <c r="KQ35">
        <f>IF('計算A'!CG$106=1,GA35,1)</f>
        <v/>
      </c>
      <c r="KR35">
        <f>IF('計算A'!CH$106=1,GB35,1)</f>
        <v/>
      </c>
      <c r="KS35">
        <f>IF('計算A'!CI$106=1,GC35,1)</f>
        <v/>
      </c>
      <c r="KT35">
        <f>IF('計算A'!CJ$106=1,GD35,1)</f>
        <v/>
      </c>
      <c r="KU35">
        <f>IF('計算A'!CK$106=1,GE35,1)</f>
        <v/>
      </c>
      <c r="KV35">
        <f>IF('計算A'!CL$106=1,GF35,1)</f>
        <v/>
      </c>
      <c r="KW35">
        <f>IF('計算A'!CM$106=1,GG35,1)</f>
        <v/>
      </c>
      <c r="KX35">
        <f>IF('計算A'!CN$106=1,GH35,1)</f>
        <v/>
      </c>
      <c r="KY35">
        <f>IF('計算A'!CO$106=1,GI35,1)</f>
        <v/>
      </c>
      <c r="KZ35">
        <f>IF('計算A'!CP$106=1,GJ35,1)</f>
        <v/>
      </c>
      <c r="LA35">
        <f>IF('計算A'!CQ$106=1,GK35,1)</f>
        <v/>
      </c>
      <c r="LB35">
        <f>IF('計算A'!CR$106=1,GL35,1)</f>
        <v/>
      </c>
      <c r="LC35">
        <f>IF('計算A'!CS$106=1,GM35,1)</f>
        <v/>
      </c>
      <c r="LD35">
        <f>IF('計算A'!CT$106=1,GN35,1)</f>
        <v/>
      </c>
      <c r="LE35">
        <f>IF('計算A'!CU$106=1,GO35,1)</f>
        <v/>
      </c>
      <c r="LF35">
        <f>IF('計算A'!CV$106=1,GP35,1)</f>
        <v/>
      </c>
      <c r="LG35">
        <f>IF('計算A'!CW$106=1,GQ35,1)</f>
        <v/>
      </c>
      <c r="LH35">
        <f>IF('計算A'!CX$106=1,GR35,1)</f>
        <v/>
      </c>
      <c r="LI35">
        <f>IF('計算A'!CY$106=1,GS35,1)</f>
        <v/>
      </c>
      <c r="LJ35">
        <f>IF('計算A'!CZ$106=1,GT35,1)</f>
        <v/>
      </c>
      <c r="LK35">
        <f>IF('計算A'!DA$106=1,GU35,1)</f>
        <v/>
      </c>
      <c r="LL35">
        <f>IF('計算A'!DB$106=1,GV35,1)</f>
        <v/>
      </c>
      <c r="LM35">
        <f>IF('計算A'!DC$106=1,GW35,1)</f>
        <v/>
      </c>
      <c r="LN35">
        <f>IF('計算A'!DD$106=1,GX35,1)</f>
        <v/>
      </c>
      <c r="LO35">
        <f>IF('計算A'!DE$106=1,GY35,1)</f>
        <v/>
      </c>
      <c r="LP35">
        <f>IF('計算A'!DF$106=1,GZ35,1)</f>
        <v/>
      </c>
      <c r="LQ35">
        <f>IF('計算A'!DG$106=1,HA35,1)</f>
        <v/>
      </c>
      <c r="LR35">
        <f>IF('計算A'!DH$106=1,HB35,1)</f>
        <v/>
      </c>
      <c r="LS35">
        <f>IF('計算A'!DI$106=1,HC35,1)</f>
        <v/>
      </c>
      <c r="LT35">
        <f>IF('計算A'!DJ$106=1,HD35,1)</f>
        <v/>
      </c>
      <c r="LU35">
        <f>IF('計算A'!DK$106=1,HE35,1)</f>
        <v/>
      </c>
      <c r="LV35">
        <f>IF('計算A'!DL$106=1,HF35,1)</f>
        <v/>
      </c>
      <c r="LW35">
        <f>IF('計算A'!DM$106=1,HG35,1)</f>
        <v/>
      </c>
      <c r="LX35">
        <f>IF('計算A'!DN$106=1,HH35,1)</f>
        <v/>
      </c>
      <c r="LY35">
        <f>IF('計算A'!DO$106=1,HI35,1)</f>
        <v/>
      </c>
      <c r="LZ35">
        <f>IF('計算A'!DP$106=1,HJ35,1)</f>
        <v/>
      </c>
      <c r="MA35">
        <f>IF('計算A'!DQ$106=1,HK35,1)</f>
        <v/>
      </c>
      <c r="MB35">
        <f>IF('計算A'!DR$106=1,HL35,1)</f>
        <v/>
      </c>
      <c r="MC35" t="n">
        <v>1</v>
      </c>
      <c r="ME35">
        <f>IF($B35=0,1000000,IF(INDEX('計算A'!$D$60:$DS$104,$B35,1)*CW35=1,IF(AND($E35=2,HN35=0),1000000,INDEX('計算A'!D$110:D$114,$F35+1)+IF(AND($E35=1,HN35=0),1000,0)),1000000))</f>
        <v/>
      </c>
      <c r="MF35">
        <f>IF($B35=0,1000000,IF(INDEX('計算A'!$D$60:$DS$104,$B35,2)*CX35=1,IF(AND($E35=2,HO35=0),1000000,INDEX('計算A'!E$110:E$114,$F35+1)+IF(AND($E35=1,HO35=0),1000,0)),1000000))</f>
        <v/>
      </c>
      <c r="MG35">
        <f>IF($B35=0,1000000,IF(INDEX('計算A'!$D$60:$DS$104,$B35,3)*CY35=1,IF(AND($E35=2,HP35=0),1000000,INDEX('計算A'!F$110:F$114,$F35+1)+IF(AND($E35=1,HP35=0),1000,0)),1000000))</f>
        <v/>
      </c>
      <c r="MH35">
        <f>IF($B35=0,1000000,IF(INDEX('計算A'!$D$60:$DS$104,$B35,4)*CZ35=1,IF(AND($E35=2,HQ35=0),1000000,INDEX('計算A'!G$110:G$114,$F35+1)+IF(AND($E35=1,HQ35=0),1000,0)),1000000))</f>
        <v/>
      </c>
      <c r="MI35">
        <f>IF($B35=0,1000000,IF(INDEX('計算A'!$D$60:$DS$104,$B35,5)*DA35=1,IF(AND($E35=2,HR35=0),1000000,INDEX('計算A'!H$110:H$114,$F35+1)+IF(AND($E35=1,HR35=0),1000,0)),1000000))</f>
        <v/>
      </c>
      <c r="MJ35">
        <f>IF($B35=0,1000000,IF(INDEX('計算A'!$D$60:$DS$104,$B35,6)*DB35=1,IF(AND($E35=2,HS35=0),1000000,INDEX('計算A'!I$110:I$114,$F35+1)+IF(AND($E35=1,HS35=0),1000,0)),1000000))</f>
        <v/>
      </c>
      <c r="MK35">
        <f>IF($B35=0,1000000,IF(INDEX('計算A'!$D$60:$DS$104,$B35,7)*DC35=1,IF(AND($E35=2,HT35=0),1000000,INDEX('計算A'!J$110:J$114,$F35+1)+IF(AND($E35=1,HT35=0),1000,0)),1000000))</f>
        <v/>
      </c>
      <c r="ML35">
        <f>IF($B35=0,1000000,IF(INDEX('計算A'!$D$60:$DS$104,$B35,8)*DD35=1,IF(AND($E35=2,HU35=0),1000000,INDEX('計算A'!K$110:K$114,$F35+1)+IF(AND($E35=1,HU35=0),1000,0)),1000000))</f>
        <v/>
      </c>
      <c r="MM35">
        <f>IF($B35=0,1000000,IF(INDEX('計算A'!$D$60:$DS$104,$B35,9)*DE35=1,IF(AND($E35=2,HV35=0),1000000,INDEX('計算A'!L$110:L$114,$F35+1)+IF(AND($E35=1,HV35=0),1000,0)),1000000))</f>
        <v/>
      </c>
      <c r="MN35">
        <f>IF($B35=0,1000000,IF(INDEX('計算A'!$D$60:$DS$104,$B35,10)*DF35=1,IF(AND($E35=2,HW35=0),1000000,INDEX('計算A'!M$110:M$114,$F35+1)+IF(AND($E35=1,HW35=0),1000,0)),1000000))</f>
        <v/>
      </c>
      <c r="MO35">
        <f>IF($B35=0,1000000,IF(INDEX('計算A'!$D$60:$DS$104,$B35,11)*DG35=1,IF(AND($E35=2,HX35=0),1000000,INDEX('計算A'!N$110:N$114,$F35+1)+IF(AND($E35=1,HX35=0),1000,0)),1000000))</f>
        <v/>
      </c>
      <c r="MP35">
        <f>IF($B35=0,1000000,IF(INDEX('計算A'!$D$60:$DS$104,$B35,12)*DH35=1,IF(AND($E35=2,HY35=0),1000000,INDEX('計算A'!O$110:O$114,$F35+1)+IF(AND($E35=1,HY35=0),1000,0)),1000000))</f>
        <v/>
      </c>
      <c r="MQ35">
        <f>IF($B35=0,1000000,IF(INDEX('計算A'!$D$60:$DS$104,$B35,13)*DI35=1,IF(AND($E35=2,HZ35=0),1000000,INDEX('計算A'!P$110:P$114,$F35+1)+IF(AND($E35=1,HZ35=0),1000,0)),1000000))</f>
        <v/>
      </c>
      <c r="MR35">
        <f>IF($B35=0,1000000,IF(INDEX('計算A'!$D$60:$DS$104,$B35,14)*DJ35=1,IF(AND($E35=2,IA35=0),1000000,INDEX('計算A'!Q$110:Q$114,$F35+1)+IF(AND($E35=1,IA35=0),1000,0)),1000000))</f>
        <v/>
      </c>
      <c r="MS35">
        <f>IF($B35=0,1000000,IF(INDEX('計算A'!$D$60:$DS$104,$B35,15)*DK35=1,IF(AND($E35=2,IB35=0),1000000,INDEX('計算A'!R$110:R$114,$F35+1)+IF(AND($E35=1,IB35=0),1000,0)),1000000))</f>
        <v/>
      </c>
      <c r="MT35">
        <f>IF($B35=0,1000000,IF(INDEX('計算A'!$D$60:$DS$104,$B35,16)*DL35=1,IF(AND($E35=2,IC35=0),1000000,INDEX('計算A'!S$110:S$114,$F35+1)+IF(AND($E35=1,IC35=0),1000,0)),1000000))</f>
        <v/>
      </c>
      <c r="MU35">
        <f>IF($B35=0,1000000,IF(INDEX('計算A'!$D$60:$DS$104,$B35,17)*DM35=1,IF(AND($E35=2,ID35=0),1000000,INDEX('計算A'!T$110:T$114,$F35+1)+IF(AND($E35=1,ID35=0),1000,0)),1000000))</f>
        <v/>
      </c>
      <c r="MV35">
        <f>IF($B35=0,1000000,IF(INDEX('計算A'!$D$60:$DS$104,$B35,18)*DN35=1,IF(AND($E35=2,IE35=0),1000000,INDEX('計算A'!U$110:U$114,$F35+1)+IF(AND($E35=1,IE35=0),1000,0)),1000000))</f>
        <v/>
      </c>
      <c r="MW35">
        <f>IF($B35=0,1000000,IF(INDEX('計算A'!$D$60:$DS$104,$B35,19)*DO35=1,IF(AND($E35=2,IF35=0),1000000,INDEX('計算A'!V$110:V$114,$F35+1)+IF(AND($E35=1,IF35=0),1000,0)),1000000))</f>
        <v/>
      </c>
      <c r="MX35">
        <f>IF($B35=0,1000000,IF(INDEX('計算A'!$D$60:$DS$104,$B35,20)*DP35=1,IF(AND($E35=2,IG35=0),1000000,INDEX('計算A'!W$110:W$114,$F35+1)+IF(AND($E35=1,IG35=0),1000,0)),1000000))</f>
        <v/>
      </c>
      <c r="MY35">
        <f>IF($B35=0,1000000,IF(INDEX('計算A'!$D$60:$DS$104,$B35,21)*DQ35=1,IF(AND($E35=2,IH35=0),1000000,INDEX('計算A'!X$110:X$114,$F35+1)+IF(AND($E35=1,IH35=0),1000,0)),1000000))</f>
        <v/>
      </c>
      <c r="MZ35">
        <f>IF($B35=0,1000000,IF(INDEX('計算A'!$D$60:$DS$104,$B35,22)*DR35=1,IF(AND($E35=2,II35=0),1000000,INDEX('計算A'!Y$110:Y$114,$F35+1)+IF(AND($E35=1,II35=0),1000,0)),1000000))</f>
        <v/>
      </c>
      <c r="NA35">
        <f>IF($B35=0,1000000,IF(INDEX('計算A'!$D$60:$DS$104,$B35,23)*DS35=1,IF(AND($E35=2,IJ35=0),1000000,INDEX('計算A'!Z$110:Z$114,$F35+1)+IF(AND($E35=1,IJ35=0),1000,0)),1000000))</f>
        <v/>
      </c>
      <c r="NB35">
        <f>IF($B35=0,1000000,IF(INDEX('計算A'!$D$60:$DS$104,$B35,24)*DT35=1,IF(AND($E35=2,IK35=0),1000000,INDEX('計算A'!AA$110:AA$114,$F35+1)+IF(AND($E35=1,IK35=0),1000,0)),1000000))</f>
        <v/>
      </c>
      <c r="NC35">
        <f>IF($B35=0,1000000,IF(INDEX('計算A'!$D$60:$DS$104,$B35,25)*DU35=1,IF(AND($E35=2,IL35=0),1000000,INDEX('計算A'!AB$110:AB$114,$F35+1)+IF(AND($E35=1,IL35=0),1000,0)),1000000))</f>
        <v/>
      </c>
      <c r="ND35">
        <f>IF($B35=0,1000000,IF(INDEX('計算A'!$D$60:$DS$104,$B35,26)*DV35=1,IF(AND($E35=2,IM35=0),1000000,INDEX('計算A'!AC$110:AC$114,$F35+1)+IF(AND($E35=1,IM35=0),1000,0)),1000000))</f>
        <v/>
      </c>
      <c r="NE35">
        <f>IF($B35=0,1000000,IF(INDEX('計算A'!$D$60:$DS$104,$B35,27)*DW35=1,IF(AND($E35=2,IN35=0),1000000,INDEX('計算A'!AD$110:AD$114,$F35+1)+IF(AND($E35=1,IN35=0),1000,0)),1000000))</f>
        <v/>
      </c>
      <c r="NF35">
        <f>IF($B35=0,1000000,IF(INDEX('計算A'!$D$60:$DS$104,$B35,28)*DX35=1,IF(AND($E35=2,IO35=0),1000000,INDEX('計算A'!AE$110:AE$114,$F35+1)+IF(AND($E35=1,IO35=0),1000,0)),1000000))</f>
        <v/>
      </c>
      <c r="NG35">
        <f>IF($B35=0,1000000,IF(INDEX('計算A'!$D$60:$DS$104,$B35,29)*DY35=1,IF(AND($E35=2,IP35=0),1000000,INDEX('計算A'!AF$110:AF$114,$F35+1)+IF(AND($E35=1,IP35=0),1000,0)),1000000))</f>
        <v/>
      </c>
      <c r="NH35">
        <f>IF($B35=0,1000000,IF(INDEX('計算A'!$D$60:$DS$104,$B35,30)*DZ35=1,IF(AND($E35=2,IQ35=0),1000000,INDEX('計算A'!AG$110:AG$114,$F35+1)+IF(AND($E35=1,IQ35=0),1000,0)),1000000))</f>
        <v/>
      </c>
      <c r="NI35">
        <f>IF($B35=0,1000000,IF(INDEX('計算A'!$D$60:$DS$104,$B35,31)*EA35=1,IF(AND($E35=2,IR35=0),1000000,INDEX('計算A'!AH$110:AH$114,$F35+1)+IF(AND($E35=1,IR35=0),1000,0)),1000000))</f>
        <v/>
      </c>
      <c r="NJ35">
        <f>IF($B35=0,1000000,IF(INDEX('計算A'!$D$60:$DS$104,$B35,32)*EB35=1,IF(AND($E35=2,IS35=0),1000000,INDEX('計算A'!AI$110:AI$114,$F35+1)+IF(AND($E35=1,IS35=0),1000,0)),1000000))</f>
        <v/>
      </c>
      <c r="NK35">
        <f>IF($B35=0,1000000,IF(INDEX('計算A'!$D$60:$DS$104,$B35,33)*EC35=1,IF(AND($E35=2,IT35=0),1000000,INDEX('計算A'!AJ$110:AJ$114,$F35+1)+IF(AND($E35=1,IT35=0),1000,0)),1000000))</f>
        <v/>
      </c>
      <c r="NL35">
        <f>IF($B35=0,1000000,IF(INDEX('計算A'!$D$60:$DS$104,$B35,34)*ED35=1,IF(AND($E35=2,IU35=0),1000000,INDEX('計算A'!AK$110:AK$114,$F35+1)+IF(AND($E35=1,IU35=0),1000,0)),1000000))</f>
        <v/>
      </c>
      <c r="NM35">
        <f>IF($B35=0,1000000,IF(INDEX('計算A'!$D$60:$DS$104,$B35,35)*EE35=1,IF(AND($E35=2,IV35=0),1000000,INDEX('計算A'!AL$110:AL$114,$F35+1)+IF(AND($E35=1,IV35=0),1000,0)),1000000))</f>
        <v/>
      </c>
      <c r="NN35">
        <f>IF($B35=0,1000000,IF(INDEX('計算A'!$D$60:$DS$104,$B35,36)*EF35=1,IF(AND($E35=2,IW35=0),1000000,INDEX('計算A'!AM$110:AM$114,$F35+1)+IF(AND($E35=1,IW35=0),1000,0)),1000000))</f>
        <v/>
      </c>
      <c r="NO35">
        <f>IF($B35=0,1000000,IF(INDEX('計算A'!$D$60:$DS$104,$B35,37)*EG35=1,IF(AND($E35=2,IX35=0),1000000,INDEX('計算A'!AN$110:AN$114,$F35+1)+IF(AND($E35=1,IX35=0),1000,0)),1000000))</f>
        <v/>
      </c>
      <c r="NP35">
        <f>IF($B35=0,1000000,IF(INDEX('計算A'!$D$60:$DS$104,$B35,38)*EH35=1,IF(AND($E35=2,IY35=0),1000000,INDEX('計算A'!AO$110:AO$114,$F35+1)+IF(AND($E35=1,IY35=0),1000,0)),1000000))</f>
        <v/>
      </c>
      <c r="NQ35">
        <f>IF($B35=0,1000000,IF(INDEX('計算A'!$D$60:$DS$104,$B35,39)*EI35=1,IF(AND($E35=2,IZ35=0),1000000,INDEX('計算A'!AP$110:AP$114,$F35+1)+IF(AND($E35=1,IZ35=0),1000,0)),1000000))</f>
        <v/>
      </c>
      <c r="NR35">
        <f>IF($B35=0,1000000,IF(INDEX('計算A'!$D$60:$DS$104,$B35,40)*EJ35=1,IF(AND($E35=2,JA35=0),1000000,INDEX('計算A'!AQ$110:AQ$114,$F35+1)+IF(AND($E35=1,JA35=0),1000,0)),1000000))</f>
        <v/>
      </c>
      <c r="NS35">
        <f>IF($B35=0,1000000,IF(INDEX('計算A'!$D$60:$DS$104,$B35,41)*EK35=1,IF(AND($E35=2,JB35=0),1000000,INDEX('計算A'!AR$110:AR$114,$F35+1)+IF(AND($E35=1,JB35=0),1000,0)),1000000))</f>
        <v/>
      </c>
      <c r="NT35">
        <f>IF($B35=0,1000000,IF(INDEX('計算A'!$D$60:$DS$104,$B35,42)*EL35=1,IF(AND($E35=2,JC35=0),1000000,INDEX('計算A'!AS$110:AS$114,$F35+1)+IF(AND($E35=1,JC35=0),1000,0)),1000000))</f>
        <v/>
      </c>
      <c r="NU35">
        <f>IF($B35=0,1000000,IF(INDEX('計算A'!$D$60:$DS$104,$B35,43)*EM35=1,IF(AND($E35=2,JD35=0),1000000,INDEX('計算A'!AT$110:AT$114,$F35+1)+IF(AND($E35=1,JD35=0),1000,0)),1000000))</f>
        <v/>
      </c>
      <c r="NV35">
        <f>IF($B35=0,1000000,IF(INDEX('計算A'!$D$60:$DS$104,$B35,44)*EN35=1,IF(AND($E35=2,JE35=0),1000000,INDEX('計算A'!AU$110:AU$114,$F35+1)+IF(AND($E35=1,JE35=0),1000,0)),1000000))</f>
        <v/>
      </c>
      <c r="NW35">
        <f>IF($B35=0,1000000,IF(INDEX('計算A'!$D$60:$DS$104,$B35,45)*EO35=1,IF(AND($E35=2,JF35=0),1000000,INDEX('計算A'!AV$110:AV$114,$F35+1)+IF(AND($E35=1,JF35=0),1000,0)),1000000))</f>
        <v/>
      </c>
      <c r="NX35">
        <f>IF($B35=0,1000000,IF(INDEX('計算A'!$D$60:$DS$104,$B35,46)*EP35=1,IF(AND($E35=2,JG35=0),1000000,INDEX('計算A'!AW$110:AW$114,$F35+1)+IF(AND($E35=1,JG35=0),1000,0)),1000000))</f>
        <v/>
      </c>
      <c r="NY35">
        <f>IF($B35=0,1000000,IF(INDEX('計算A'!$D$60:$DS$104,$B35,47)*EQ35=1,IF(AND($E35=2,JH35=0),1000000,INDEX('計算A'!AX$110:AX$114,$F35+1)+IF(AND($E35=1,JH35=0),1000,0)),1000000))</f>
        <v/>
      </c>
      <c r="NZ35">
        <f>IF($B35=0,1000000,IF(INDEX('計算A'!$D$60:$DS$104,$B35,48)*ER35=1,IF(AND($E35=2,JI35=0),1000000,INDEX('計算A'!AY$110:AY$114,$F35+1)+IF(AND($E35=1,JI35=0),1000,0)),1000000))</f>
        <v/>
      </c>
      <c r="OA35">
        <f>IF($B35=0,1000000,IF(INDEX('計算A'!$D$60:$DS$104,$B35,49)*ES35=1,IF(AND($E35=2,JJ35=0),1000000,INDEX('計算A'!AZ$110:AZ$114,$F35+1)+IF(AND($E35=1,JJ35=0),1000,0)),1000000))</f>
        <v/>
      </c>
      <c r="OB35">
        <f>IF($B35=0,1000000,IF(INDEX('計算A'!$D$60:$DS$104,$B35,50)*ET35=1,IF(AND($E35=2,JK35=0),1000000,INDEX('計算A'!BA$110:BA$114,$F35+1)+IF(AND($E35=1,JK35=0),1000,0)),1000000))</f>
        <v/>
      </c>
      <c r="OC35">
        <f>IF($B35=0,1000000,IF(INDEX('計算A'!$D$60:$DS$104,$B35,51)*EU35=1,IF(AND($E35=2,JL35=0),1000000,INDEX('計算A'!BB$110:BB$114,$F35+1)+IF(AND($E35=1,JL35=0),1000,0)),1000000))</f>
        <v/>
      </c>
      <c r="OD35">
        <f>IF($B35=0,1000000,IF(INDEX('計算A'!$D$60:$DS$104,$B35,52)*EV35=1,IF(AND($E35=2,JM35=0),1000000,INDEX('計算A'!BC$110:BC$114,$F35+1)+IF(AND($E35=1,JM35=0),1000,0)),1000000))</f>
        <v/>
      </c>
      <c r="OE35">
        <f>IF($B35=0,1000000,IF(INDEX('計算A'!$D$60:$DS$104,$B35,53)*EW35=1,IF(AND($E35=2,JN35=0),1000000,INDEX('計算A'!BD$110:BD$114,$F35+1)+IF(AND($E35=1,JN35=0),1000,0)),1000000))</f>
        <v/>
      </c>
      <c r="OF35">
        <f>IF($B35=0,1000000,IF(INDEX('計算A'!$D$60:$DS$104,$B35,54)*EX35=1,IF(AND($E35=2,JO35=0),1000000,INDEX('計算A'!BE$110:BE$114,$F35+1)+IF(AND($E35=1,JO35=0),1000,0)),1000000))</f>
        <v/>
      </c>
      <c r="OG35">
        <f>IF($B35=0,1000000,IF(INDEX('計算A'!$D$60:$DS$104,$B35,55)*EY35=1,IF(AND($E35=2,JP35=0),1000000,INDEX('計算A'!BF$110:BF$114,$F35+1)+IF(AND($E35=1,JP35=0),1000,0)),1000000))</f>
        <v/>
      </c>
      <c r="OH35">
        <f>IF($B35=0,1000000,IF(INDEX('計算A'!$D$60:$DS$104,$B35,56)*EZ35=1,IF(AND($E35=2,JQ35=0),1000000,INDEX('計算A'!BG$110:BG$114,$F35+1)+IF(AND($E35=1,JQ35=0),1000,0)),1000000))</f>
        <v/>
      </c>
      <c r="OI35">
        <f>IF($B35=0,1000000,IF(INDEX('計算A'!$D$60:$DS$104,$B35,57)*FA35=1,IF(AND($E35=2,JR35=0),1000000,INDEX('計算A'!BH$110:BH$114,$F35+1)+IF(AND($E35=1,JR35=0),1000,0)),1000000))</f>
        <v/>
      </c>
      <c r="OJ35">
        <f>IF($B35=0,1000000,IF(INDEX('計算A'!$D$60:$DS$104,$B35,58)*FB35=1,IF(AND($E35=2,JS35=0),1000000,INDEX('計算A'!BI$110:BI$114,$F35+1)+IF(AND($E35=1,JS35=0),1000,0)),1000000))</f>
        <v/>
      </c>
      <c r="OK35">
        <f>IF($B35=0,1000000,IF(INDEX('計算A'!$D$60:$DS$104,$B35,59)*FC35=1,IF(AND($E35=2,JT35=0),1000000,INDEX('計算A'!BJ$110:BJ$114,$F35+1)+IF(AND($E35=1,JT35=0),1000,0)),1000000))</f>
        <v/>
      </c>
      <c r="OL35">
        <f>IF($B35=0,1000000,IF(INDEX('計算A'!$D$60:$DS$104,$B35,60)*FD35=1,IF(AND($E35=2,JU35=0),1000000,INDEX('計算A'!BK$110:BK$114,$F35+1)+IF(AND($E35=1,JU35=0),1000,0)),1000000))</f>
        <v/>
      </c>
      <c r="OM35">
        <f>IF($B35=0,1000000,IF(INDEX('計算A'!$D$60:$DS$104,$B35,61)*FE35=1,IF(AND($E35=2,JV35=0),1000000,INDEX('計算A'!BL$110:BL$114,$F35+1)+IF(AND($E35=1,JV35=0),1000,0)),1000000))</f>
        <v/>
      </c>
      <c r="ON35">
        <f>IF($B35=0,1000000,IF(INDEX('計算A'!$D$60:$DS$104,$B35,62)*FF35=1,IF(AND($E35=2,JW35=0),1000000,INDEX('計算A'!BM$110:BM$114,$F35+1)+IF(AND($E35=1,JW35=0),1000,0)),1000000))</f>
        <v/>
      </c>
      <c r="OO35">
        <f>IF($B35=0,1000000,IF(INDEX('計算A'!$D$60:$DS$104,$B35,63)*FG35=1,IF(AND($E35=2,JX35=0),1000000,INDEX('計算A'!BN$110:BN$114,$F35+1)+IF(AND($E35=1,JX35=0),1000,0)),1000000))</f>
        <v/>
      </c>
      <c r="OP35">
        <f>IF($B35=0,1000000,IF(INDEX('計算A'!$D$60:$DS$104,$B35,64)*FH35=1,IF(AND($E35=2,JY35=0),1000000,INDEX('計算A'!BO$110:BO$114,$F35+1)+IF(AND($E35=1,JY35=0),1000,0)),1000000))</f>
        <v/>
      </c>
      <c r="OQ35">
        <f>IF($B35=0,1000000,IF(INDEX('計算A'!$D$60:$DS$104,$B35,65)*FI35=1,IF(AND($E35=2,JZ35=0),1000000,INDEX('計算A'!BP$110:BP$114,$F35+1)+IF(AND($E35=1,JZ35=0),1000,0)),1000000))</f>
        <v/>
      </c>
      <c r="OR35">
        <f>IF($B35=0,1000000,IF(INDEX('計算A'!$D$60:$DS$104,$B35,66)*FJ35=1,IF(AND($E35=2,KA35=0),1000000,INDEX('計算A'!BQ$110:BQ$114,$F35+1)+IF(AND($E35=1,KA35=0),1000,0)),1000000))</f>
        <v/>
      </c>
      <c r="OS35">
        <f>IF($B35=0,1000000,IF(INDEX('計算A'!$D$60:$DS$104,$B35,67)*FK35=1,IF(AND($E35=2,KB35=0),1000000,INDEX('計算A'!BR$110:BR$114,$F35+1)+IF(AND($E35=1,KB35=0),1000,0)),1000000))</f>
        <v/>
      </c>
      <c r="OT35">
        <f>IF($B35=0,1000000,IF(INDEX('計算A'!$D$60:$DS$104,$B35,68)*FL35=1,IF(AND($E35=2,KC35=0),1000000,INDEX('計算A'!BS$110:BS$114,$F35+1)+IF(AND($E35=1,KC35=0),1000,0)),1000000))</f>
        <v/>
      </c>
      <c r="OU35">
        <f>IF($B35=0,1000000,IF(INDEX('計算A'!$D$60:$DS$104,$B35,69)*FM35=1,IF(AND($E35=2,KD35=0),1000000,INDEX('計算A'!BT$110:BT$114,$F35+1)+IF(AND($E35=1,KD35=0),1000,0)),1000000))</f>
        <v/>
      </c>
      <c r="OV35">
        <f>IF($B35=0,1000000,IF(INDEX('計算A'!$D$60:$DS$104,$B35,70)*FN35=1,IF(AND($E35=2,KE35=0),1000000,INDEX('計算A'!BU$110:BU$114,$F35+1)+IF(AND($E35=1,KE35=0),1000,0)),1000000))</f>
        <v/>
      </c>
      <c r="OW35">
        <f>IF($B35=0,1000000,IF(INDEX('計算A'!$D$60:$DS$104,$B35,71)*FO35=1,IF(AND($E35=2,KF35=0),1000000,INDEX('計算A'!BV$110:BV$114,$F35+1)+IF(AND($E35=1,KF35=0),1000,0)),1000000))</f>
        <v/>
      </c>
      <c r="OX35">
        <f>IF($B35=0,1000000,IF(INDEX('計算A'!$D$60:$DS$104,$B35,72)*FP35=1,IF(AND($E35=2,KG35=0),1000000,INDEX('計算A'!BW$110:BW$114,$F35+1)+IF(AND($E35=1,KG35=0),1000,0)),1000000))</f>
        <v/>
      </c>
      <c r="OY35">
        <f>IF($B35=0,1000000,IF(INDEX('計算A'!$D$60:$DS$104,$B35,73)*FQ35=1,IF(AND($E35=2,KH35=0),1000000,INDEX('計算A'!BX$110:BX$114,$F35+1)+IF(AND($E35=1,KH35=0),1000,0)),1000000))</f>
        <v/>
      </c>
      <c r="OZ35">
        <f>IF($B35=0,1000000,IF(INDEX('計算A'!$D$60:$DS$104,$B35,74)*FR35=1,IF(AND($E35=2,KI35=0),1000000,INDEX('計算A'!BY$110:BY$114,$F35+1)+IF(AND($E35=1,KI35=0),1000,0)),1000000))</f>
        <v/>
      </c>
      <c r="PA35">
        <f>IF($B35=0,1000000,IF(INDEX('計算A'!$D$60:$DS$104,$B35,75)*FS35=1,IF(AND($E35=2,KJ35=0),1000000,INDEX('計算A'!BZ$110:BZ$114,$F35+1)+IF(AND($E35=1,KJ35=0),1000,0)),1000000))</f>
        <v/>
      </c>
      <c r="PB35">
        <f>IF($B35=0,1000000,IF(INDEX('計算A'!$D$60:$DS$104,$B35,76)*FT35=1,IF(AND($E35=2,KK35=0),1000000,INDEX('計算A'!CA$110:CA$114,$F35+1)+IF(AND($E35=1,KK35=0),1000,0)),1000000))</f>
        <v/>
      </c>
      <c r="PC35">
        <f>IF($B35=0,1000000,IF(INDEX('計算A'!$D$60:$DS$104,$B35,77)*FU35=1,IF(AND($E35=2,KL35=0),1000000,INDEX('計算A'!CB$110:CB$114,$F35+1)+IF(AND($E35=1,KL35=0),1000,0)),1000000))</f>
        <v/>
      </c>
      <c r="PD35">
        <f>IF($B35=0,1000000,IF(INDEX('計算A'!$D$60:$DS$104,$B35,78)*FV35=1,IF(AND($E35=2,KM35=0),1000000,INDEX('計算A'!CC$110:CC$114,$F35+1)+IF(AND($E35=1,KM35=0),1000,0)),1000000))</f>
        <v/>
      </c>
      <c r="PE35">
        <f>IF($B35=0,1000000,IF(INDEX('計算A'!$D$60:$DS$104,$B35,79)*FW35=1,IF(AND($E35=2,KN35=0),1000000,INDEX('計算A'!CD$110:CD$114,$F35+1)+IF(AND($E35=1,KN35=0),1000,0)),1000000))</f>
        <v/>
      </c>
      <c r="PF35">
        <f>IF($B35=0,1000000,IF(INDEX('計算A'!$D$60:$DS$104,$B35,80)*FX35=1,IF(AND($E35=2,KO35=0),1000000,INDEX('計算A'!CE$110:CE$114,$F35+1)+IF(AND($E35=1,KO35=0),1000,0)),1000000))</f>
        <v/>
      </c>
      <c r="PG35">
        <f>IF($B35=0,1000000,IF(INDEX('計算A'!$D$60:$DS$104,$B35,81)*FY35=1,IF(AND($E35=2,KP35=0),1000000,INDEX('計算A'!CF$110:CF$114,$F35+1)+IF(AND($E35=1,KP35=0),1000,0)),1000000))</f>
        <v/>
      </c>
      <c r="PH35">
        <f>IF($B35=0,1000000,IF(INDEX('計算A'!$D$60:$DS$104,$B35,82)*FZ35=1,IF(AND($E35=2,KQ35=0),1000000,INDEX('計算A'!CG$110:CG$114,$F35+1)+IF(AND($E35=1,KQ35=0),1000,0)),1000000))</f>
        <v/>
      </c>
      <c r="PI35">
        <f>IF($B35=0,1000000,IF(INDEX('計算A'!$D$60:$DS$104,$B35,83)*GA35=1,IF(AND($E35=2,KR35=0),1000000,INDEX('計算A'!CH$110:CH$114,$F35+1)+IF(AND($E35=1,KR35=0),1000,0)),1000000))</f>
        <v/>
      </c>
      <c r="PJ35">
        <f>IF($B35=0,1000000,IF(INDEX('計算A'!$D$60:$DS$104,$B35,84)*GB35=1,IF(AND($E35=2,KS35=0),1000000,INDEX('計算A'!CI$110:CI$114,$F35+1)+IF(AND($E35=1,KS35=0),1000,0)),1000000))</f>
        <v/>
      </c>
      <c r="PK35">
        <f>IF($B35=0,1000000,IF(INDEX('計算A'!$D$60:$DS$104,$B35,85)*GC35=1,IF(AND($E35=2,KT35=0),1000000,INDEX('計算A'!CJ$110:CJ$114,$F35+1)+IF(AND($E35=1,KT35=0),1000,0)),1000000))</f>
        <v/>
      </c>
      <c r="PL35">
        <f>IF($B35=0,1000000,IF(INDEX('計算A'!$D$60:$DS$104,$B35,86)*GD35=1,IF(AND($E35=2,KU35=0),1000000,INDEX('計算A'!CK$110:CK$114,$F35+1)+IF(AND($E35=1,KU35=0),1000,0)),1000000))</f>
        <v/>
      </c>
      <c r="PM35">
        <f>IF($B35=0,1000000,IF(INDEX('計算A'!$D$60:$DS$104,$B35,87)*GE35=1,IF(AND($E35=2,KV35=0),1000000,INDEX('計算A'!CL$110:CL$114,$F35+1)+IF(AND($E35=1,KV35=0),1000,0)),1000000))</f>
        <v/>
      </c>
      <c r="PN35">
        <f>IF($B35=0,1000000,IF(INDEX('計算A'!$D$60:$DS$104,$B35,88)*GF35=1,IF(AND($E35=2,KW35=0),1000000,INDEX('計算A'!CM$110:CM$114,$F35+1)+IF(AND($E35=1,KW35=0),1000,0)),1000000))</f>
        <v/>
      </c>
      <c r="PO35">
        <f>IF($B35=0,1000000,IF(INDEX('計算A'!$D$60:$DS$104,$B35,89)*GG35=1,IF(AND($E35=2,KX35=0),1000000,INDEX('計算A'!CN$110:CN$114,$F35+1)+IF(AND($E35=1,KX35=0),1000,0)),1000000))</f>
        <v/>
      </c>
      <c r="PP35">
        <f>IF($B35=0,1000000,IF(INDEX('計算A'!$D$60:$DS$104,$B35,90)*GH35=1,IF(AND($E35=2,KY35=0),1000000,INDEX('計算A'!CO$110:CO$114,$F35+1)+IF(AND($E35=1,KY35=0),1000,0)),1000000))</f>
        <v/>
      </c>
      <c r="PQ35">
        <f>IF($B35=0,1000000,IF(INDEX('計算A'!$D$60:$DS$104,$B35,91)*GI35=1,IF(AND($E35=2,KZ35=0),1000000,INDEX('計算A'!CP$110:CP$114,$F35+1)+IF(AND($E35=1,KZ35=0),1000,0)),1000000))</f>
        <v/>
      </c>
      <c r="PR35">
        <f>IF($B35=0,1000000,IF(INDEX('計算A'!$D$60:$DS$104,$B35,92)*GJ35=1,IF(AND($E35=2,LA35=0),1000000,INDEX('計算A'!CQ$110:CQ$114,$F35+1)+IF(AND($E35=1,LA35=0),1000,0)),1000000))</f>
        <v/>
      </c>
      <c r="PS35">
        <f>IF($B35=0,1000000,IF(INDEX('計算A'!$D$60:$DS$104,$B35,93)*GK35=1,IF(AND($E35=2,LB35=0),1000000,INDEX('計算A'!CR$110:CR$114,$F35+1)+IF(AND($E35=1,LB35=0),1000,0)),1000000))</f>
        <v/>
      </c>
      <c r="PT35">
        <f>IF($B35=0,1000000,IF(INDEX('計算A'!$D$60:$DS$104,$B35,94)*GL35=1,IF(AND($E35=2,LC35=0),1000000,INDEX('計算A'!CS$110:CS$114,$F35+1)+IF(AND($E35=1,LC35=0),1000,0)),1000000))</f>
        <v/>
      </c>
      <c r="PU35">
        <f>IF($B35=0,1000000,IF(INDEX('計算A'!$D$60:$DS$104,$B35,95)*GM35=1,IF(AND($E35=2,LD35=0),1000000,INDEX('計算A'!CT$110:CT$114,$F35+1)+IF(AND($E35=1,LD35=0),1000,0)),1000000))</f>
        <v/>
      </c>
      <c r="PV35">
        <f>IF($B35=0,1000000,IF(INDEX('計算A'!$D$60:$DS$104,$B35,96)*GN35=1,IF(AND($E35=2,LE35=0),1000000,INDEX('計算A'!CU$110:CU$114,$F35+1)+IF(AND($E35=1,LE35=0),1000,0)),1000000))</f>
        <v/>
      </c>
      <c r="PW35">
        <f>IF($B35=0,1000000,IF(INDEX('計算A'!$D$60:$DS$104,$B35,97)*GO35=1,IF(AND($E35=2,LF35=0),1000000,INDEX('計算A'!CV$110:CV$114,$F35+1)+IF(AND($E35=1,LF35=0),1000,0)),1000000))</f>
        <v/>
      </c>
      <c r="PX35">
        <f>IF($B35=0,1000000,IF(INDEX('計算A'!$D$60:$DS$104,$B35,98)*GP35=1,IF(AND($E35=2,LG35=0),1000000,INDEX('計算A'!CW$110:CW$114,$F35+1)+IF(AND($E35=1,LG35=0),1000,0)),1000000))</f>
        <v/>
      </c>
      <c r="PY35">
        <f>IF($B35=0,1000000,IF(INDEX('計算A'!$D$60:$DS$104,$B35,99)*GQ35=1,IF(AND($E35=2,LH35=0),1000000,INDEX('計算A'!CX$110:CX$114,$F35+1)+IF(AND($E35=1,LH35=0),1000,0)),1000000))</f>
        <v/>
      </c>
      <c r="PZ35">
        <f>IF($B35=0,1000000,IF(INDEX('計算A'!$D$60:$DS$104,$B35,100)*GR35=1,IF(AND($E35=2,LI35=0),1000000,INDEX('計算A'!CY$110:CY$114,$F35+1)+IF(AND($E35=1,LI35=0),1000,0)),1000000))</f>
        <v/>
      </c>
      <c r="QA35">
        <f>IF($B35=0,1000000,IF(INDEX('計算A'!$D$60:$DS$104,$B35,101)*GS35=1,IF(AND($E35=2,LJ35=0),1000000,INDEX('計算A'!CZ$110:CZ$114,$F35+1)+IF(AND($E35=1,LJ35=0),1000,0)),1000000))</f>
        <v/>
      </c>
      <c r="QB35">
        <f>IF($B35=0,1000000,IF(INDEX('計算A'!$D$60:$DS$104,$B35,102)*GT35=1,IF(AND($E35=2,LK35=0),1000000,INDEX('計算A'!DA$110:DA$114,$F35+1)+IF(AND($E35=1,LK35=0),1000,0)),1000000))</f>
        <v/>
      </c>
      <c r="QC35">
        <f>IF($B35=0,1000000,IF(INDEX('計算A'!$D$60:$DS$104,$B35,103)*GU35=1,IF(AND($E35=2,LL35=0),1000000,INDEX('計算A'!DB$110:DB$114,$F35+1)+IF(AND($E35=1,LL35=0),1000,0)),1000000))</f>
        <v/>
      </c>
      <c r="QD35">
        <f>IF($B35=0,1000000,IF(INDEX('計算A'!$D$60:$DS$104,$B35,104)*GV35=1,IF(AND($E35=2,LM35=0),1000000,INDEX('計算A'!DC$110:DC$114,$F35+1)+IF(AND($E35=1,LM35=0),1000,0)),1000000))</f>
        <v/>
      </c>
      <c r="QE35">
        <f>IF($B35=0,1000000,IF(INDEX('計算A'!$D$60:$DS$104,$B35,105)*GW35=1,IF(AND($E35=2,LN35=0),1000000,INDEX('計算A'!DD$110:DD$114,$F35+1)+IF(AND($E35=1,LN35=0),1000,0)),1000000))</f>
        <v/>
      </c>
      <c r="QF35">
        <f>IF($B35=0,1000000,IF(INDEX('計算A'!$D$60:$DS$104,$B35,106)*GX35=1,IF(AND($E35=2,LO35=0),1000000,INDEX('計算A'!DE$110:DE$114,$F35+1)+IF(AND($E35=1,LO35=0),1000,0)),1000000))</f>
        <v/>
      </c>
      <c r="QG35">
        <f>IF($B35=0,1000000,IF(INDEX('計算A'!$D$60:$DS$104,$B35,107)*GY35=1,IF(AND($E35=2,LP35=0),1000000,INDEX('計算A'!DF$110:DF$114,$F35+1)+IF(AND($E35=1,LP35=0),1000,0)),1000000))</f>
        <v/>
      </c>
      <c r="QH35">
        <f>IF($B35=0,1000000,IF(INDEX('計算A'!$D$60:$DS$104,$B35,108)*GZ35=1,IF(AND($E35=2,LQ35=0),1000000,INDEX('計算A'!DG$110:DG$114,$F35+1)+IF(AND($E35=1,LQ35=0),1000,0)),1000000))</f>
        <v/>
      </c>
      <c r="QI35">
        <f>IF($B35=0,1000000,IF(INDEX('計算A'!$D$60:$DS$104,$B35,109)*HA35=1,IF(AND($E35=2,LR35=0),1000000,INDEX('計算A'!DH$110:DH$114,$F35+1)+IF(AND($E35=1,LR35=0),1000,0)),1000000))</f>
        <v/>
      </c>
      <c r="QJ35">
        <f>IF($B35=0,1000000,IF(INDEX('計算A'!$D$60:$DS$104,$B35,110)*HB35=1,IF(AND($E35=2,LS35=0),1000000,INDEX('計算A'!DI$110:DI$114,$F35+1)+IF(AND($E35=1,LS35=0),1000,0)),1000000))</f>
        <v/>
      </c>
      <c r="QK35">
        <f>IF($B35=0,1000000,IF(INDEX('計算A'!$D$60:$DS$104,$B35,111)*HC35=1,IF(AND($E35=2,LT35=0),1000000,INDEX('計算A'!DJ$110:DJ$114,$F35+1)+IF(AND($E35=1,LT35=0),1000,0)),1000000))</f>
        <v/>
      </c>
      <c r="QL35">
        <f>IF($B35=0,1000000,IF(INDEX('計算A'!$D$60:$DS$104,$B35,112)*HD35=1,IF(AND($E35=2,LU35=0),1000000,INDEX('計算A'!DK$110:DK$114,$F35+1)+IF(AND($E35=1,LU35=0),1000,0)),1000000))</f>
        <v/>
      </c>
      <c r="QM35">
        <f>IF($B35=0,1000000,IF(INDEX('計算A'!$D$60:$DS$104,$B35,113)*HE35=1,IF(AND($E35=2,LV35=0),1000000,INDEX('計算A'!DL$110:DL$114,$F35+1)+IF(AND($E35=1,LV35=0),1000,0)),1000000))</f>
        <v/>
      </c>
      <c r="QN35">
        <f>IF($B35=0,1000000,IF(INDEX('計算A'!$D$60:$DS$104,$B35,114)*HF35=1,IF(AND($E35=2,LW35=0),1000000,INDEX('計算A'!DM$110:DM$114,$F35+1)+IF(AND($E35=1,LW35=0),1000,0)),1000000))</f>
        <v/>
      </c>
      <c r="QO35">
        <f>IF($B35=0,1000000,IF(INDEX('計算A'!$D$60:$DS$104,$B35,115)*HG35=1,IF(AND($E35=2,LX35=0),1000000,INDEX('計算A'!DN$110:DN$114,$F35+1)+IF(AND($E35=1,LX35=0),1000,0)),1000000))</f>
        <v/>
      </c>
      <c r="QP35">
        <f>IF($B35=0,1000000,IF(INDEX('計算A'!$D$60:$DS$104,$B35,116)*HH35=1,IF(AND($E35=2,LY35=0),1000000,INDEX('計算A'!DO$110:DO$114,$F35+1)+IF(AND($E35=1,LY35=0),1000,0)),1000000))</f>
        <v/>
      </c>
      <c r="QQ35">
        <f>IF($B35=0,1000000,IF(INDEX('計算A'!$D$60:$DS$104,$B35,117)*HI35=1,IF(AND($E35=2,LZ35=0),1000000,INDEX('計算A'!DP$110:DP$114,$F35+1)+IF(AND($E35=1,LZ35=0),1000,0)),1000000))</f>
        <v/>
      </c>
      <c r="QR35">
        <f>IF($B35=0,1000000,IF(INDEX('計算A'!$D$60:$DS$104,$B35,118)*HJ35=1,IF(AND($E35=2,MA35=0),1000000,INDEX('計算A'!DQ$110:DQ$114,$F35+1)+IF(AND($E35=1,MA35=0),1000,0)),1000000))</f>
        <v/>
      </c>
      <c r="QS35">
        <f>IF($B35=0,1000000,IF(INDEX('計算A'!$D$60:$DS$104,$B35,119)*HK35=1,IF(AND($E35=2,MB35=0),1000000,INDEX('計算A'!DR$110:DR$114,$F35+1)+IF(AND($E35=1,MB35=0),1000,0)),1000000))</f>
        <v/>
      </c>
      <c r="QT35">
        <f>IF($B35=0,1000000,IF(INDEX('計算A'!$D$60:$DS$104,$B35,120)*HL35=1,IF(AND($E35=2,MC35=0),1000000,INDEX('計算A'!DS$110:DS$114,$F35+1)+IF(AND($E35=1,MC35=0),1000,0)),1000000))</f>
        <v/>
      </c>
    </row>
    <row r="36">
      <c r="A36" t="n">
        <v>34</v>
      </c>
      <c r="B36">
        <f>IF(MIN(BC36:CU36)&gt;=1000000,0,MATCH(MIN(BC36:CU36),BC36:CU36,0))</f>
        <v/>
      </c>
      <c r="C36">
        <f>IF(MIN(ME36:QT36)&gt;=1000000,0,MATCH(MIN(ME36:QT36),ME36:QT36,0))</f>
        <v/>
      </c>
      <c r="D36">
        <f>IF(C36&gt;0,INDEX('計算A'!$D$5:$DS$5,C36),0)</f>
        <v/>
      </c>
      <c r="E36">
        <f>IF(B36=0,0,INDEX('計算A'!$EA$10:$EA$54,B36))</f>
        <v/>
      </c>
      <c r="F36">
        <f>IF(B36=0,0,INDEX('計算A'!$DZ$10:$DZ$54,B36))</f>
        <v/>
      </c>
      <c r="G36">
        <f>IF(AND(C36&gt;0,E36&gt;0),IF(AND(INDEX('計算A'!$D$106:$DS$106,C36)=1,INDEX($HN36:$MC36,C36)=1),C36+1,0),0)</f>
        <v/>
      </c>
      <c r="I36">
        <f>MAX(I35,IF($B35=1,1,0))</f>
        <v/>
      </c>
      <c r="J36">
        <f>MAX(J35,IF($B35=2,1,0))</f>
        <v/>
      </c>
      <c r="K36">
        <f>MAX(K35,IF($B35=3,1,0))</f>
        <v/>
      </c>
      <c r="L36">
        <f>MAX(L35,IF($B35=4,1,0))</f>
        <v/>
      </c>
      <c r="M36">
        <f>MAX(M35,IF($B35=5,1,0))</f>
        <v/>
      </c>
      <c r="N36">
        <f>MAX(N35,IF($B35=6,1,0))</f>
        <v/>
      </c>
      <c r="O36">
        <f>MAX(O35,IF($B35=7,1,0))</f>
        <v/>
      </c>
      <c r="P36">
        <f>MAX(P35,IF($B35=8,1,0))</f>
        <v/>
      </c>
      <c r="Q36">
        <f>MAX(Q35,IF($B35=9,1,0))</f>
        <v/>
      </c>
      <c r="R36">
        <f>MAX(R35,IF($B35=10,1,0))</f>
        <v/>
      </c>
      <c r="S36">
        <f>MAX(S35,IF($B35=11,1,0))</f>
        <v/>
      </c>
      <c r="T36">
        <f>MAX(T35,IF($B35=12,1,0))</f>
        <v/>
      </c>
      <c r="U36">
        <f>MAX(U35,IF($B35=13,1,0))</f>
        <v/>
      </c>
      <c r="V36">
        <f>MAX(V35,IF($B35=14,1,0))</f>
        <v/>
      </c>
      <c r="W36">
        <f>MAX(W35,IF($B35=15,1,0))</f>
        <v/>
      </c>
      <c r="X36">
        <f>MAX(X35,IF($B35=16,1,0))</f>
        <v/>
      </c>
      <c r="Y36">
        <f>MAX(Y35,IF($B35=17,1,0))</f>
        <v/>
      </c>
      <c r="Z36">
        <f>MAX(Z35,IF($B35=18,1,0))</f>
        <v/>
      </c>
      <c r="AA36">
        <f>MAX(AA35,IF($B35=19,1,0))</f>
        <v/>
      </c>
      <c r="AB36">
        <f>MAX(AB35,IF($B35=20,1,0))</f>
        <v/>
      </c>
      <c r="AC36">
        <f>MAX(AC35,IF($B35=21,1,0))</f>
        <v/>
      </c>
      <c r="AD36">
        <f>MAX(AD35,IF($B35=22,1,0))</f>
        <v/>
      </c>
      <c r="AE36">
        <f>MAX(AE35,IF($B35=23,1,0))</f>
        <v/>
      </c>
      <c r="AF36">
        <f>MAX(AF35,IF($B35=24,1,0))</f>
        <v/>
      </c>
      <c r="AG36">
        <f>MAX(AG35,IF($B35=25,1,0))</f>
        <v/>
      </c>
      <c r="AH36">
        <f>MAX(AH35,IF($B35=26,1,0))</f>
        <v/>
      </c>
      <c r="AI36">
        <f>MAX(AI35,IF($B35=27,1,0))</f>
        <v/>
      </c>
      <c r="AJ36">
        <f>MAX(AJ35,IF($B35=28,1,0))</f>
        <v/>
      </c>
      <c r="AK36">
        <f>MAX(AK35,IF($B35=29,1,0))</f>
        <v/>
      </c>
      <c r="AL36">
        <f>MAX(AL35,IF($B35=30,1,0))</f>
        <v/>
      </c>
      <c r="AM36">
        <f>MAX(AM35,IF($B35=31,1,0))</f>
        <v/>
      </c>
      <c r="AN36">
        <f>MAX(AN35,IF($B35=32,1,0))</f>
        <v/>
      </c>
      <c r="AO36">
        <f>MAX(AO35,IF($B35=33,1,0))</f>
        <v/>
      </c>
      <c r="AP36">
        <f>MAX(AP35,IF($B35=34,1,0))</f>
        <v/>
      </c>
      <c r="AQ36">
        <f>MAX(AQ35,IF($B35=35,1,0))</f>
        <v/>
      </c>
      <c r="AR36">
        <f>MAX(AR35,IF($B35=36,1,0))</f>
        <v/>
      </c>
      <c r="AS36">
        <f>MAX(AS35,IF($B35=37,1,0))</f>
        <v/>
      </c>
      <c r="AT36">
        <f>MAX(AT35,IF($B35=38,1,0))</f>
        <v/>
      </c>
      <c r="AU36">
        <f>MAX(AU35,IF($B35=39,1,0))</f>
        <v/>
      </c>
      <c r="AV36">
        <f>MAX(AV35,IF($B35=40,1,0))</f>
        <v/>
      </c>
      <c r="AW36">
        <f>MAX(AW35,IF($B35=41,1,0))</f>
        <v/>
      </c>
      <c r="AX36">
        <f>MAX(AX35,IF($B35=42,1,0))</f>
        <v/>
      </c>
      <c r="AY36">
        <f>MAX(AY35,IF($B35=43,1,0))</f>
        <v/>
      </c>
      <c r="AZ36">
        <f>MAX(AZ35,IF($B35=44,1,0))</f>
        <v/>
      </c>
      <c r="BA36">
        <f>MAX(BA35,IF($B35=45,1,0))</f>
        <v/>
      </c>
      <c r="BC36">
        <f>IF(I36=1,1000000,IF('計算A'!$EA$10=2,SUMPRODUCT('計算A'!$D$60:$DS$60,$CW36:$HL36,$HN36:$MC36),SUMPRODUCT('計算A'!$D$60:$DS$60,$CW36:$HL36))*1000+1)</f>
        <v/>
      </c>
      <c r="BD36">
        <f>IF(J36=1,1000000,IF('計算A'!$EA$11=2,SUMPRODUCT('計算A'!$D$61:$DS$61,$CW36:$HL36,$HN36:$MC36),SUMPRODUCT('計算A'!$D$61:$DS$61,$CW36:$HL36))*1000+2)</f>
        <v/>
      </c>
      <c r="BE36">
        <f>IF(K36=1,1000000,IF('計算A'!$EA$12=2,SUMPRODUCT('計算A'!$D$62:$DS$62,$CW36:$HL36,$HN36:$MC36),SUMPRODUCT('計算A'!$D$62:$DS$62,$CW36:$HL36))*1000+3)</f>
        <v/>
      </c>
      <c r="BF36">
        <f>IF(L36=1,1000000,IF('計算A'!$EA$13=2,SUMPRODUCT('計算A'!$D$63:$DS$63,$CW36:$HL36,$HN36:$MC36),SUMPRODUCT('計算A'!$D$63:$DS$63,$CW36:$HL36))*1000+4)</f>
        <v/>
      </c>
      <c r="BG36">
        <f>IF(M36=1,1000000,IF('計算A'!$EA$14=2,SUMPRODUCT('計算A'!$D$64:$DS$64,$CW36:$HL36,$HN36:$MC36),SUMPRODUCT('計算A'!$D$64:$DS$64,$CW36:$HL36))*1000+5)</f>
        <v/>
      </c>
      <c r="BH36">
        <f>IF(N36=1,1000000,IF('計算A'!$EA$15=2,SUMPRODUCT('計算A'!$D$65:$DS$65,$CW36:$HL36,$HN36:$MC36),SUMPRODUCT('計算A'!$D$65:$DS$65,$CW36:$HL36))*1000+6)</f>
        <v/>
      </c>
      <c r="BI36">
        <f>IF(O36=1,1000000,IF('計算A'!$EA$16=2,SUMPRODUCT('計算A'!$D$66:$DS$66,$CW36:$HL36,$HN36:$MC36),SUMPRODUCT('計算A'!$D$66:$DS$66,$CW36:$HL36))*1000+7)</f>
        <v/>
      </c>
      <c r="BJ36">
        <f>IF(P36=1,1000000,IF('計算A'!$EA$17=2,SUMPRODUCT('計算A'!$D$67:$DS$67,$CW36:$HL36,$HN36:$MC36),SUMPRODUCT('計算A'!$D$67:$DS$67,$CW36:$HL36))*1000+8)</f>
        <v/>
      </c>
      <c r="BK36">
        <f>IF(Q36=1,1000000,IF('計算A'!$EA$18=2,SUMPRODUCT('計算A'!$D$68:$DS$68,$CW36:$HL36,$HN36:$MC36),SUMPRODUCT('計算A'!$D$68:$DS$68,$CW36:$HL36))*1000+9)</f>
        <v/>
      </c>
      <c r="BL36">
        <f>IF(R36=1,1000000,IF('計算A'!$EA$19=2,SUMPRODUCT('計算A'!$D$69:$DS$69,$CW36:$HL36,$HN36:$MC36),SUMPRODUCT('計算A'!$D$69:$DS$69,$CW36:$HL36))*1000+10)</f>
        <v/>
      </c>
      <c r="BM36">
        <f>IF(S36=1,1000000,IF('計算A'!$EA$20=2,SUMPRODUCT('計算A'!$D$70:$DS$70,$CW36:$HL36,$HN36:$MC36),SUMPRODUCT('計算A'!$D$70:$DS$70,$CW36:$HL36))*1000+11)</f>
        <v/>
      </c>
      <c r="BN36">
        <f>IF(T36=1,1000000,IF('計算A'!$EA$21=2,SUMPRODUCT('計算A'!$D$71:$DS$71,$CW36:$HL36,$HN36:$MC36),SUMPRODUCT('計算A'!$D$71:$DS$71,$CW36:$HL36))*1000+12)</f>
        <v/>
      </c>
      <c r="BO36">
        <f>IF(U36=1,1000000,IF('計算A'!$EA$22=2,SUMPRODUCT('計算A'!$D$72:$DS$72,$CW36:$HL36,$HN36:$MC36),SUMPRODUCT('計算A'!$D$72:$DS$72,$CW36:$HL36))*1000+13)</f>
        <v/>
      </c>
      <c r="BP36">
        <f>IF(V36=1,1000000,IF('計算A'!$EA$23=2,SUMPRODUCT('計算A'!$D$73:$DS$73,$CW36:$HL36,$HN36:$MC36),SUMPRODUCT('計算A'!$D$73:$DS$73,$CW36:$HL36))*1000+14)</f>
        <v/>
      </c>
      <c r="BQ36">
        <f>IF(W36=1,1000000,IF('計算A'!$EA$24=2,SUMPRODUCT('計算A'!$D$74:$DS$74,$CW36:$HL36,$HN36:$MC36),SUMPRODUCT('計算A'!$D$74:$DS$74,$CW36:$HL36))*1000+15)</f>
        <v/>
      </c>
      <c r="BR36">
        <f>IF(X36=1,1000000,IF('計算A'!$EA$25=2,SUMPRODUCT('計算A'!$D$75:$DS$75,$CW36:$HL36,$HN36:$MC36),SUMPRODUCT('計算A'!$D$75:$DS$75,$CW36:$HL36))*1000+16)</f>
        <v/>
      </c>
      <c r="BS36">
        <f>IF(Y36=1,1000000,IF('計算A'!$EA$26=2,SUMPRODUCT('計算A'!$D$76:$DS$76,$CW36:$HL36,$HN36:$MC36),SUMPRODUCT('計算A'!$D$76:$DS$76,$CW36:$HL36))*1000+17)</f>
        <v/>
      </c>
      <c r="BT36">
        <f>IF(Z36=1,1000000,IF('計算A'!$EA$27=2,SUMPRODUCT('計算A'!$D$77:$DS$77,$CW36:$HL36,$HN36:$MC36),SUMPRODUCT('計算A'!$D$77:$DS$77,$CW36:$HL36))*1000+18)</f>
        <v/>
      </c>
      <c r="BU36">
        <f>IF(AA36=1,1000000,IF('計算A'!$EA$28=2,SUMPRODUCT('計算A'!$D$78:$DS$78,$CW36:$HL36,$HN36:$MC36),SUMPRODUCT('計算A'!$D$78:$DS$78,$CW36:$HL36))*1000+19)</f>
        <v/>
      </c>
      <c r="BV36">
        <f>IF(AB36=1,1000000,IF('計算A'!$EA$29=2,SUMPRODUCT('計算A'!$D$79:$DS$79,$CW36:$HL36,$HN36:$MC36),SUMPRODUCT('計算A'!$D$79:$DS$79,$CW36:$HL36))*1000+20)</f>
        <v/>
      </c>
      <c r="BW36">
        <f>IF(AC36=1,1000000,IF('計算A'!$EA$30=2,SUMPRODUCT('計算A'!$D$80:$DS$80,$CW36:$HL36,$HN36:$MC36),SUMPRODUCT('計算A'!$D$80:$DS$80,$CW36:$HL36))*1000+21)</f>
        <v/>
      </c>
      <c r="BX36">
        <f>IF(AD36=1,1000000,IF('計算A'!$EA$31=2,SUMPRODUCT('計算A'!$D$81:$DS$81,$CW36:$HL36,$HN36:$MC36),SUMPRODUCT('計算A'!$D$81:$DS$81,$CW36:$HL36))*1000+22)</f>
        <v/>
      </c>
      <c r="BY36">
        <f>IF(AE36=1,1000000,IF('計算A'!$EA$32=2,SUMPRODUCT('計算A'!$D$82:$DS$82,$CW36:$HL36,$HN36:$MC36),SUMPRODUCT('計算A'!$D$82:$DS$82,$CW36:$HL36))*1000+23)</f>
        <v/>
      </c>
      <c r="BZ36">
        <f>IF(AF36=1,1000000,IF('計算A'!$EA$33=2,SUMPRODUCT('計算A'!$D$83:$DS$83,$CW36:$HL36,$HN36:$MC36),SUMPRODUCT('計算A'!$D$83:$DS$83,$CW36:$HL36))*1000+24)</f>
        <v/>
      </c>
      <c r="CA36">
        <f>IF(AG36=1,1000000,IF('計算A'!$EA$34=2,SUMPRODUCT('計算A'!$D$84:$DS$84,$CW36:$HL36,$HN36:$MC36),SUMPRODUCT('計算A'!$D$84:$DS$84,$CW36:$HL36))*1000+25)</f>
        <v/>
      </c>
      <c r="CB36">
        <f>IF(AH36=1,1000000,IF('計算A'!$EA$35=2,SUMPRODUCT('計算A'!$D$85:$DS$85,$CW36:$HL36,$HN36:$MC36),SUMPRODUCT('計算A'!$D$85:$DS$85,$CW36:$HL36))*1000+26)</f>
        <v/>
      </c>
      <c r="CC36">
        <f>IF(AI36=1,1000000,IF('計算A'!$EA$36=2,SUMPRODUCT('計算A'!$D$86:$DS$86,$CW36:$HL36,$HN36:$MC36),SUMPRODUCT('計算A'!$D$86:$DS$86,$CW36:$HL36))*1000+27)</f>
        <v/>
      </c>
      <c r="CD36">
        <f>IF(AJ36=1,1000000,IF('計算A'!$EA$37=2,SUMPRODUCT('計算A'!$D$87:$DS$87,$CW36:$HL36,$HN36:$MC36),SUMPRODUCT('計算A'!$D$87:$DS$87,$CW36:$HL36))*1000+28)</f>
        <v/>
      </c>
      <c r="CE36">
        <f>IF(AK36=1,1000000,IF('計算A'!$EA$38=2,SUMPRODUCT('計算A'!$D$88:$DS$88,$CW36:$HL36,$HN36:$MC36),SUMPRODUCT('計算A'!$D$88:$DS$88,$CW36:$HL36))*1000+29)</f>
        <v/>
      </c>
      <c r="CF36">
        <f>IF(AL36=1,1000000,IF('計算A'!$EA$39=2,SUMPRODUCT('計算A'!$D$89:$DS$89,$CW36:$HL36,$HN36:$MC36),SUMPRODUCT('計算A'!$D$89:$DS$89,$CW36:$HL36))*1000+30)</f>
        <v/>
      </c>
      <c r="CG36">
        <f>IF(AM36=1,1000000,IF('計算A'!$EA$40=2,SUMPRODUCT('計算A'!$D$90:$DS$90,$CW36:$HL36,$HN36:$MC36),SUMPRODUCT('計算A'!$D$90:$DS$90,$CW36:$HL36))*1000+31)</f>
        <v/>
      </c>
      <c r="CH36">
        <f>IF(AN36=1,1000000,IF('計算A'!$EA$41=2,SUMPRODUCT('計算A'!$D$91:$DS$91,$CW36:$HL36,$HN36:$MC36),SUMPRODUCT('計算A'!$D$91:$DS$91,$CW36:$HL36))*1000+32)</f>
        <v/>
      </c>
      <c r="CI36">
        <f>IF(AO36=1,1000000,IF('計算A'!$EA$42=2,SUMPRODUCT('計算A'!$D$92:$DS$92,$CW36:$HL36,$HN36:$MC36),SUMPRODUCT('計算A'!$D$92:$DS$92,$CW36:$HL36))*1000+33)</f>
        <v/>
      </c>
      <c r="CJ36">
        <f>IF(AP36=1,1000000,IF('計算A'!$EA$43=2,SUMPRODUCT('計算A'!$D$93:$DS$93,$CW36:$HL36,$HN36:$MC36),SUMPRODUCT('計算A'!$D$93:$DS$93,$CW36:$HL36))*1000+34)</f>
        <v/>
      </c>
      <c r="CK36">
        <f>IF(AQ36=1,1000000,IF('計算A'!$EA$44=2,SUMPRODUCT('計算A'!$D$94:$DS$94,$CW36:$HL36,$HN36:$MC36),SUMPRODUCT('計算A'!$D$94:$DS$94,$CW36:$HL36))*1000+35)</f>
        <v/>
      </c>
      <c r="CL36">
        <f>IF(AR36=1,1000000,IF('計算A'!$EA$45=2,SUMPRODUCT('計算A'!$D$95:$DS$95,$CW36:$HL36,$HN36:$MC36),SUMPRODUCT('計算A'!$D$95:$DS$95,$CW36:$HL36))*1000+36)</f>
        <v/>
      </c>
      <c r="CM36">
        <f>IF(AS36=1,1000000,IF('計算A'!$EA$46=2,SUMPRODUCT('計算A'!$D$96:$DS$96,$CW36:$HL36,$HN36:$MC36),SUMPRODUCT('計算A'!$D$96:$DS$96,$CW36:$HL36))*1000+37)</f>
        <v/>
      </c>
      <c r="CN36">
        <f>IF(AT36=1,1000000,IF('計算A'!$EA$47=2,SUMPRODUCT('計算A'!$D$97:$DS$97,$CW36:$HL36,$HN36:$MC36),SUMPRODUCT('計算A'!$D$97:$DS$97,$CW36:$HL36))*1000+38)</f>
        <v/>
      </c>
      <c r="CO36">
        <f>IF(AU36=1,1000000,IF('計算A'!$EA$48=2,SUMPRODUCT('計算A'!$D$98:$DS$98,$CW36:$HL36,$HN36:$MC36),SUMPRODUCT('計算A'!$D$98:$DS$98,$CW36:$HL36))*1000+39)</f>
        <v/>
      </c>
      <c r="CP36">
        <f>IF(AV36=1,1000000,IF('計算A'!$EA$49=2,SUMPRODUCT('計算A'!$D$99:$DS$99,$CW36:$HL36,$HN36:$MC36),SUMPRODUCT('計算A'!$D$99:$DS$99,$CW36:$HL36))*1000+40)</f>
        <v/>
      </c>
      <c r="CQ36">
        <f>IF(AW36=1,1000000,IF('計算A'!$EA$50=2,SUMPRODUCT('計算A'!$D$100:$DS$100,$CW36:$HL36,$HN36:$MC36),SUMPRODUCT('計算A'!$D$100:$DS$100,$CW36:$HL36))*1000+41)</f>
        <v/>
      </c>
      <c r="CR36">
        <f>IF(AX36=1,1000000,IF('計算A'!$EA$51=2,SUMPRODUCT('計算A'!$D$101:$DS$101,$CW36:$HL36,$HN36:$MC36),SUMPRODUCT('計算A'!$D$101:$DS$101,$CW36:$HL36))*1000+42)</f>
        <v/>
      </c>
      <c r="CS36">
        <f>IF(AY36=1,1000000,IF('計算A'!$EA$52=2,SUMPRODUCT('計算A'!$D$102:$DS$102,$CW36:$HL36,$HN36:$MC36),SUMPRODUCT('計算A'!$D$102:$DS$102,$CW36:$HL36))*1000+43)</f>
        <v/>
      </c>
      <c r="CT36">
        <f>IF(AZ36=1,1000000,IF('計算A'!$EA$53=2,SUMPRODUCT('計算A'!$D$103:$DS$103,$CW36:$HL36,$HN36:$MC36),SUMPRODUCT('計算A'!$D$103:$DS$103,$CW36:$HL36))*1000+44)</f>
        <v/>
      </c>
      <c r="CU36">
        <f>IF(BA36=1,1000000,IF('計算A'!$EA$54=2,SUMPRODUCT('計算A'!$D$104:$DS$104,$CW36:$HL36,$HN36:$MC36),SUMPRODUCT('計算A'!$D$104:$DS$104,$CW36:$HL36))*1000+45)</f>
        <v/>
      </c>
      <c r="CW36">
        <f>CW35*IF(OR($C35=1,$G35=1),0,1)</f>
        <v/>
      </c>
      <c r="CX36">
        <f>CX35*IF(OR($C35=2,$G35=2),0,1)</f>
        <v/>
      </c>
      <c r="CY36">
        <f>CY35*IF(OR($C35=3,$G35=3),0,1)</f>
        <v/>
      </c>
      <c r="CZ36">
        <f>CZ35*IF(OR($C35=4,$G35=4),0,1)</f>
        <v/>
      </c>
      <c r="DA36">
        <f>DA35*IF(OR($C35=5,$G35=5),0,1)</f>
        <v/>
      </c>
      <c r="DB36">
        <f>DB35*IF(OR($C35=6,$G35=6),0,1)</f>
        <v/>
      </c>
      <c r="DC36">
        <f>DC35*IF(OR($C35=7,$G35=7),0,1)</f>
        <v/>
      </c>
      <c r="DD36">
        <f>DD35*IF(OR($C35=8,$G35=8),0,1)</f>
        <v/>
      </c>
      <c r="DE36">
        <f>DE35*IF(OR($C35=9,$G35=9),0,1)</f>
        <v/>
      </c>
      <c r="DF36">
        <f>DF35*IF(OR($C35=10,$G35=10),0,1)</f>
        <v/>
      </c>
      <c r="DG36">
        <f>DG35*IF(OR($C35=11,$G35=11),0,1)</f>
        <v/>
      </c>
      <c r="DH36">
        <f>DH35*IF(OR($C35=12,$G35=12),0,1)</f>
        <v/>
      </c>
      <c r="DI36">
        <f>DI35*IF(OR($C35=13,$G35=13),0,1)</f>
        <v/>
      </c>
      <c r="DJ36">
        <f>DJ35*IF(OR($C35=14,$G35=14),0,1)</f>
        <v/>
      </c>
      <c r="DK36">
        <f>DK35*IF(OR($C35=15,$G35=15),0,1)</f>
        <v/>
      </c>
      <c r="DL36">
        <f>DL35*IF(OR($C35=16,$G35=16),0,1)</f>
        <v/>
      </c>
      <c r="DM36">
        <f>DM35*IF(OR($C35=17,$G35=17),0,1)</f>
        <v/>
      </c>
      <c r="DN36">
        <f>DN35*IF(OR($C35=18,$G35=18),0,1)</f>
        <v/>
      </c>
      <c r="DO36">
        <f>DO35*IF(OR($C35=19,$G35=19),0,1)</f>
        <v/>
      </c>
      <c r="DP36">
        <f>DP35*IF(OR($C35=20,$G35=20),0,1)</f>
        <v/>
      </c>
      <c r="DQ36">
        <f>DQ35*IF(OR($C35=21,$G35=21),0,1)</f>
        <v/>
      </c>
      <c r="DR36">
        <f>DR35*IF(OR($C35=22,$G35=22),0,1)</f>
        <v/>
      </c>
      <c r="DS36">
        <f>DS35*IF(OR($C35=23,$G35=23),0,1)</f>
        <v/>
      </c>
      <c r="DT36">
        <f>DT35*IF(OR($C35=24,$G35=24),0,1)</f>
        <v/>
      </c>
      <c r="DU36">
        <f>DU35*IF(OR($C35=25,$G35=25),0,1)</f>
        <v/>
      </c>
      <c r="DV36">
        <f>DV35*IF(OR($C35=26,$G35=26),0,1)</f>
        <v/>
      </c>
      <c r="DW36">
        <f>DW35*IF(OR($C35=27,$G35=27),0,1)</f>
        <v/>
      </c>
      <c r="DX36">
        <f>DX35*IF(OR($C35=28,$G35=28),0,1)</f>
        <v/>
      </c>
      <c r="DY36">
        <f>DY35*IF(OR($C35=29,$G35=29),0,1)</f>
        <v/>
      </c>
      <c r="DZ36">
        <f>DZ35*IF(OR($C35=30,$G35=30),0,1)</f>
        <v/>
      </c>
      <c r="EA36">
        <f>EA35*IF(OR($C35=31,$G35=31),0,1)</f>
        <v/>
      </c>
      <c r="EB36">
        <f>EB35*IF(OR($C35=32,$G35=32),0,1)</f>
        <v/>
      </c>
      <c r="EC36">
        <f>EC35*IF(OR($C35=33,$G35=33),0,1)</f>
        <v/>
      </c>
      <c r="ED36">
        <f>ED35*IF(OR($C35=34,$G35=34),0,1)</f>
        <v/>
      </c>
      <c r="EE36">
        <f>EE35*IF(OR($C35=35,$G35=35),0,1)</f>
        <v/>
      </c>
      <c r="EF36">
        <f>EF35*IF(OR($C35=36,$G35=36),0,1)</f>
        <v/>
      </c>
      <c r="EG36">
        <f>EG35*IF(OR($C35=37,$G35=37),0,1)</f>
        <v/>
      </c>
      <c r="EH36">
        <f>EH35*IF(OR($C35=38,$G35=38),0,1)</f>
        <v/>
      </c>
      <c r="EI36">
        <f>EI35*IF(OR($C35=39,$G35=39),0,1)</f>
        <v/>
      </c>
      <c r="EJ36">
        <f>EJ35*IF(OR($C35=40,$G35=40),0,1)</f>
        <v/>
      </c>
      <c r="EK36">
        <f>EK35*IF(OR($C35=41,$G35=41),0,1)</f>
        <v/>
      </c>
      <c r="EL36">
        <f>EL35*IF(OR($C35=42,$G35=42),0,1)</f>
        <v/>
      </c>
      <c r="EM36">
        <f>EM35*IF(OR($C35=43,$G35=43),0,1)</f>
        <v/>
      </c>
      <c r="EN36">
        <f>EN35*IF(OR($C35=44,$G35=44),0,1)</f>
        <v/>
      </c>
      <c r="EO36">
        <f>EO35*IF(OR($C35=45,$G35=45),0,1)</f>
        <v/>
      </c>
      <c r="EP36">
        <f>EP35*IF(OR($C35=46,$G35=46),0,1)</f>
        <v/>
      </c>
      <c r="EQ36">
        <f>EQ35*IF(OR($C35=47,$G35=47),0,1)</f>
        <v/>
      </c>
      <c r="ER36">
        <f>ER35*IF(OR($C35=48,$G35=48),0,1)</f>
        <v/>
      </c>
      <c r="ES36">
        <f>ES35*IF(OR($C35=49,$G35=49),0,1)</f>
        <v/>
      </c>
      <c r="ET36">
        <f>ET35*IF(OR($C35=50,$G35=50),0,1)</f>
        <v/>
      </c>
      <c r="EU36">
        <f>EU35*IF(OR($C35=51,$G35=51),0,1)</f>
        <v/>
      </c>
      <c r="EV36">
        <f>EV35*IF(OR($C35=52,$G35=52),0,1)</f>
        <v/>
      </c>
      <c r="EW36">
        <f>EW35*IF(OR($C35=53,$G35=53),0,1)</f>
        <v/>
      </c>
      <c r="EX36">
        <f>EX35*IF(OR($C35=54,$G35=54),0,1)</f>
        <v/>
      </c>
      <c r="EY36">
        <f>EY35*IF(OR($C35=55,$G35=55),0,1)</f>
        <v/>
      </c>
      <c r="EZ36">
        <f>EZ35*IF(OR($C35=56,$G35=56),0,1)</f>
        <v/>
      </c>
      <c r="FA36">
        <f>FA35*IF(OR($C35=57,$G35=57),0,1)</f>
        <v/>
      </c>
      <c r="FB36">
        <f>FB35*IF(OR($C35=58,$G35=58),0,1)</f>
        <v/>
      </c>
      <c r="FC36">
        <f>FC35*IF(OR($C35=59,$G35=59),0,1)</f>
        <v/>
      </c>
      <c r="FD36">
        <f>FD35*IF(OR($C35=60,$G35=60),0,1)</f>
        <v/>
      </c>
      <c r="FE36">
        <f>FE35*IF(OR($C35=61,$G35=61),0,1)</f>
        <v/>
      </c>
      <c r="FF36">
        <f>FF35*IF(OR($C35=62,$G35=62),0,1)</f>
        <v/>
      </c>
      <c r="FG36">
        <f>FG35*IF(OR($C35=63,$G35=63),0,1)</f>
        <v/>
      </c>
      <c r="FH36">
        <f>FH35*IF(OR($C35=64,$G35=64),0,1)</f>
        <v/>
      </c>
      <c r="FI36">
        <f>FI35*IF(OR($C35=65,$G35=65),0,1)</f>
        <v/>
      </c>
      <c r="FJ36">
        <f>FJ35*IF(OR($C35=66,$G35=66),0,1)</f>
        <v/>
      </c>
      <c r="FK36">
        <f>FK35*IF(OR($C35=67,$G35=67),0,1)</f>
        <v/>
      </c>
      <c r="FL36">
        <f>FL35*IF(OR($C35=68,$G35=68),0,1)</f>
        <v/>
      </c>
      <c r="FM36">
        <f>FM35*IF(OR($C35=69,$G35=69),0,1)</f>
        <v/>
      </c>
      <c r="FN36">
        <f>FN35*IF(OR($C35=70,$G35=70),0,1)</f>
        <v/>
      </c>
      <c r="FO36">
        <f>FO35*IF(OR($C35=71,$G35=71),0,1)</f>
        <v/>
      </c>
      <c r="FP36">
        <f>FP35*IF(OR($C35=72,$G35=72),0,1)</f>
        <v/>
      </c>
      <c r="FQ36">
        <f>FQ35*IF(OR($C35=73,$G35=73),0,1)</f>
        <v/>
      </c>
      <c r="FR36">
        <f>FR35*IF(OR($C35=74,$G35=74),0,1)</f>
        <v/>
      </c>
      <c r="FS36">
        <f>FS35*IF(OR($C35=75,$G35=75),0,1)</f>
        <v/>
      </c>
      <c r="FT36">
        <f>FT35*IF(OR($C35=76,$G35=76),0,1)</f>
        <v/>
      </c>
      <c r="FU36">
        <f>FU35*IF(OR($C35=77,$G35=77),0,1)</f>
        <v/>
      </c>
      <c r="FV36">
        <f>FV35*IF(OR($C35=78,$G35=78),0,1)</f>
        <v/>
      </c>
      <c r="FW36">
        <f>FW35*IF(OR($C35=79,$G35=79),0,1)</f>
        <v/>
      </c>
      <c r="FX36">
        <f>FX35*IF(OR($C35=80,$G35=80),0,1)</f>
        <v/>
      </c>
      <c r="FY36">
        <f>FY35*IF(OR($C35=81,$G35=81),0,1)</f>
        <v/>
      </c>
      <c r="FZ36">
        <f>FZ35*IF(OR($C35=82,$G35=82),0,1)</f>
        <v/>
      </c>
      <c r="GA36">
        <f>GA35*IF(OR($C35=83,$G35=83),0,1)</f>
        <v/>
      </c>
      <c r="GB36">
        <f>GB35*IF(OR($C35=84,$G35=84),0,1)</f>
        <v/>
      </c>
      <c r="GC36">
        <f>GC35*IF(OR($C35=85,$G35=85),0,1)</f>
        <v/>
      </c>
      <c r="GD36">
        <f>GD35*IF(OR($C35=86,$G35=86),0,1)</f>
        <v/>
      </c>
      <c r="GE36">
        <f>GE35*IF(OR($C35=87,$G35=87),0,1)</f>
        <v/>
      </c>
      <c r="GF36">
        <f>GF35*IF(OR($C35=88,$G35=88),0,1)</f>
        <v/>
      </c>
      <c r="GG36">
        <f>GG35*IF(OR($C35=89,$G35=89),0,1)</f>
        <v/>
      </c>
      <c r="GH36">
        <f>GH35*IF(OR($C35=90,$G35=90),0,1)</f>
        <v/>
      </c>
      <c r="GI36">
        <f>GI35*IF(OR($C35=91,$G35=91),0,1)</f>
        <v/>
      </c>
      <c r="GJ36">
        <f>GJ35*IF(OR($C35=92,$G35=92),0,1)</f>
        <v/>
      </c>
      <c r="GK36">
        <f>GK35*IF(OR($C35=93,$G35=93),0,1)</f>
        <v/>
      </c>
      <c r="GL36">
        <f>GL35*IF(OR($C35=94,$G35=94),0,1)</f>
        <v/>
      </c>
      <c r="GM36">
        <f>GM35*IF(OR($C35=95,$G35=95),0,1)</f>
        <v/>
      </c>
      <c r="GN36">
        <f>GN35*IF(OR($C35=96,$G35=96),0,1)</f>
        <v/>
      </c>
      <c r="GO36">
        <f>GO35*IF(OR($C35=97,$G35=97),0,1)</f>
        <v/>
      </c>
      <c r="GP36">
        <f>GP35*IF(OR($C35=98,$G35=98),0,1)</f>
        <v/>
      </c>
      <c r="GQ36">
        <f>GQ35*IF(OR($C35=99,$G35=99),0,1)</f>
        <v/>
      </c>
      <c r="GR36">
        <f>GR35*IF(OR($C35=100,$G35=100),0,1)</f>
        <v/>
      </c>
      <c r="GS36">
        <f>GS35*IF(OR($C35=101,$G35=101),0,1)</f>
        <v/>
      </c>
      <c r="GT36">
        <f>GT35*IF(OR($C35=102,$G35=102),0,1)</f>
        <v/>
      </c>
      <c r="GU36">
        <f>GU35*IF(OR($C35=103,$G35=103),0,1)</f>
        <v/>
      </c>
      <c r="GV36">
        <f>GV35*IF(OR($C35=104,$G35=104),0,1)</f>
        <v/>
      </c>
      <c r="GW36">
        <f>GW35*IF(OR($C35=105,$G35=105),0,1)</f>
        <v/>
      </c>
      <c r="GX36">
        <f>GX35*IF(OR($C35=106,$G35=106),0,1)</f>
        <v/>
      </c>
      <c r="GY36">
        <f>GY35*IF(OR($C35=107,$G35=107),0,1)</f>
        <v/>
      </c>
      <c r="GZ36">
        <f>GZ35*IF(OR($C35=108,$G35=108),0,1)</f>
        <v/>
      </c>
      <c r="HA36">
        <f>HA35*IF(OR($C35=109,$G35=109),0,1)</f>
        <v/>
      </c>
      <c r="HB36">
        <f>HB35*IF(OR($C35=110,$G35=110),0,1)</f>
        <v/>
      </c>
      <c r="HC36">
        <f>HC35*IF(OR($C35=111,$G35=111),0,1)</f>
        <v/>
      </c>
      <c r="HD36">
        <f>HD35*IF(OR($C35=112,$G35=112),0,1)</f>
        <v/>
      </c>
      <c r="HE36">
        <f>HE35*IF(OR($C35=113,$G35=113),0,1)</f>
        <v/>
      </c>
      <c r="HF36">
        <f>HF35*IF(OR($C35=114,$G35=114),0,1)</f>
        <v/>
      </c>
      <c r="HG36">
        <f>HG35*IF(OR($C35=115,$G35=115),0,1)</f>
        <v/>
      </c>
      <c r="HH36">
        <f>HH35*IF(OR($C35=116,$G35=116),0,1)</f>
        <v/>
      </c>
      <c r="HI36">
        <f>HI35*IF(OR($C35=117,$G35=117),0,1)</f>
        <v/>
      </c>
      <c r="HJ36">
        <f>HJ35*IF(OR($C35=118,$G35=118),0,1)</f>
        <v/>
      </c>
      <c r="HK36">
        <f>HK35*IF(OR($C35=119,$G35=119),0,1)</f>
        <v/>
      </c>
      <c r="HL36">
        <f>HL35*IF(OR($C35=120,$G35=120),0,1)</f>
        <v/>
      </c>
      <c r="HN36">
        <f>IF('計算A'!D$106=1,CX36,1)</f>
        <v/>
      </c>
      <c r="HO36">
        <f>IF('計算A'!E$106=1,CY36,1)</f>
        <v/>
      </c>
      <c r="HP36">
        <f>IF('計算A'!F$106=1,CZ36,1)</f>
        <v/>
      </c>
      <c r="HQ36">
        <f>IF('計算A'!G$106=1,DA36,1)</f>
        <v/>
      </c>
      <c r="HR36">
        <f>IF('計算A'!H$106=1,DB36,1)</f>
        <v/>
      </c>
      <c r="HS36">
        <f>IF('計算A'!I$106=1,DC36,1)</f>
        <v/>
      </c>
      <c r="HT36">
        <f>IF('計算A'!J$106=1,DD36,1)</f>
        <v/>
      </c>
      <c r="HU36">
        <f>IF('計算A'!K$106=1,DE36,1)</f>
        <v/>
      </c>
      <c r="HV36">
        <f>IF('計算A'!L$106=1,DF36,1)</f>
        <v/>
      </c>
      <c r="HW36">
        <f>IF('計算A'!M$106=1,DG36,1)</f>
        <v/>
      </c>
      <c r="HX36">
        <f>IF('計算A'!N$106=1,DH36,1)</f>
        <v/>
      </c>
      <c r="HY36">
        <f>IF('計算A'!O$106=1,DI36,1)</f>
        <v/>
      </c>
      <c r="HZ36">
        <f>IF('計算A'!P$106=1,DJ36,1)</f>
        <v/>
      </c>
      <c r="IA36">
        <f>IF('計算A'!Q$106=1,DK36,1)</f>
        <v/>
      </c>
      <c r="IB36">
        <f>IF('計算A'!R$106=1,DL36,1)</f>
        <v/>
      </c>
      <c r="IC36">
        <f>IF('計算A'!S$106=1,DM36,1)</f>
        <v/>
      </c>
      <c r="ID36">
        <f>IF('計算A'!T$106=1,DN36,1)</f>
        <v/>
      </c>
      <c r="IE36">
        <f>IF('計算A'!U$106=1,DO36,1)</f>
        <v/>
      </c>
      <c r="IF36">
        <f>IF('計算A'!V$106=1,DP36,1)</f>
        <v/>
      </c>
      <c r="IG36">
        <f>IF('計算A'!W$106=1,DQ36,1)</f>
        <v/>
      </c>
      <c r="IH36">
        <f>IF('計算A'!X$106=1,DR36,1)</f>
        <v/>
      </c>
      <c r="II36">
        <f>IF('計算A'!Y$106=1,DS36,1)</f>
        <v/>
      </c>
      <c r="IJ36">
        <f>IF('計算A'!Z$106=1,DT36,1)</f>
        <v/>
      </c>
      <c r="IK36">
        <f>IF('計算A'!AA$106=1,DU36,1)</f>
        <v/>
      </c>
      <c r="IL36">
        <f>IF('計算A'!AB$106=1,DV36,1)</f>
        <v/>
      </c>
      <c r="IM36">
        <f>IF('計算A'!AC$106=1,DW36,1)</f>
        <v/>
      </c>
      <c r="IN36">
        <f>IF('計算A'!AD$106=1,DX36,1)</f>
        <v/>
      </c>
      <c r="IO36">
        <f>IF('計算A'!AE$106=1,DY36,1)</f>
        <v/>
      </c>
      <c r="IP36">
        <f>IF('計算A'!AF$106=1,DZ36,1)</f>
        <v/>
      </c>
      <c r="IQ36">
        <f>IF('計算A'!AG$106=1,EA36,1)</f>
        <v/>
      </c>
      <c r="IR36">
        <f>IF('計算A'!AH$106=1,EB36,1)</f>
        <v/>
      </c>
      <c r="IS36">
        <f>IF('計算A'!AI$106=1,EC36,1)</f>
        <v/>
      </c>
      <c r="IT36">
        <f>IF('計算A'!AJ$106=1,ED36,1)</f>
        <v/>
      </c>
      <c r="IU36">
        <f>IF('計算A'!AK$106=1,EE36,1)</f>
        <v/>
      </c>
      <c r="IV36">
        <f>IF('計算A'!AL$106=1,EF36,1)</f>
        <v/>
      </c>
      <c r="IW36">
        <f>IF('計算A'!AM$106=1,EG36,1)</f>
        <v/>
      </c>
      <c r="IX36">
        <f>IF('計算A'!AN$106=1,EH36,1)</f>
        <v/>
      </c>
      <c r="IY36">
        <f>IF('計算A'!AO$106=1,EI36,1)</f>
        <v/>
      </c>
      <c r="IZ36">
        <f>IF('計算A'!AP$106=1,EJ36,1)</f>
        <v/>
      </c>
      <c r="JA36">
        <f>IF('計算A'!AQ$106=1,EK36,1)</f>
        <v/>
      </c>
      <c r="JB36">
        <f>IF('計算A'!AR$106=1,EL36,1)</f>
        <v/>
      </c>
      <c r="JC36">
        <f>IF('計算A'!AS$106=1,EM36,1)</f>
        <v/>
      </c>
      <c r="JD36">
        <f>IF('計算A'!AT$106=1,EN36,1)</f>
        <v/>
      </c>
      <c r="JE36">
        <f>IF('計算A'!AU$106=1,EO36,1)</f>
        <v/>
      </c>
      <c r="JF36">
        <f>IF('計算A'!AV$106=1,EP36,1)</f>
        <v/>
      </c>
      <c r="JG36">
        <f>IF('計算A'!AW$106=1,EQ36,1)</f>
        <v/>
      </c>
      <c r="JH36">
        <f>IF('計算A'!AX$106=1,ER36,1)</f>
        <v/>
      </c>
      <c r="JI36">
        <f>IF('計算A'!AY$106=1,ES36,1)</f>
        <v/>
      </c>
      <c r="JJ36">
        <f>IF('計算A'!AZ$106=1,ET36,1)</f>
        <v/>
      </c>
      <c r="JK36">
        <f>IF('計算A'!BA$106=1,EU36,1)</f>
        <v/>
      </c>
      <c r="JL36">
        <f>IF('計算A'!BB$106=1,EV36,1)</f>
        <v/>
      </c>
      <c r="JM36">
        <f>IF('計算A'!BC$106=1,EW36,1)</f>
        <v/>
      </c>
      <c r="JN36">
        <f>IF('計算A'!BD$106=1,EX36,1)</f>
        <v/>
      </c>
      <c r="JO36">
        <f>IF('計算A'!BE$106=1,EY36,1)</f>
        <v/>
      </c>
      <c r="JP36">
        <f>IF('計算A'!BF$106=1,EZ36,1)</f>
        <v/>
      </c>
      <c r="JQ36">
        <f>IF('計算A'!BG$106=1,FA36,1)</f>
        <v/>
      </c>
      <c r="JR36">
        <f>IF('計算A'!BH$106=1,FB36,1)</f>
        <v/>
      </c>
      <c r="JS36">
        <f>IF('計算A'!BI$106=1,FC36,1)</f>
        <v/>
      </c>
      <c r="JT36">
        <f>IF('計算A'!BJ$106=1,FD36,1)</f>
        <v/>
      </c>
      <c r="JU36">
        <f>IF('計算A'!BK$106=1,FE36,1)</f>
        <v/>
      </c>
      <c r="JV36">
        <f>IF('計算A'!BL$106=1,FF36,1)</f>
        <v/>
      </c>
      <c r="JW36">
        <f>IF('計算A'!BM$106=1,FG36,1)</f>
        <v/>
      </c>
      <c r="JX36">
        <f>IF('計算A'!BN$106=1,FH36,1)</f>
        <v/>
      </c>
      <c r="JY36">
        <f>IF('計算A'!BO$106=1,FI36,1)</f>
        <v/>
      </c>
      <c r="JZ36">
        <f>IF('計算A'!BP$106=1,FJ36,1)</f>
        <v/>
      </c>
      <c r="KA36">
        <f>IF('計算A'!BQ$106=1,FK36,1)</f>
        <v/>
      </c>
      <c r="KB36">
        <f>IF('計算A'!BR$106=1,FL36,1)</f>
        <v/>
      </c>
      <c r="KC36">
        <f>IF('計算A'!BS$106=1,FM36,1)</f>
        <v/>
      </c>
      <c r="KD36">
        <f>IF('計算A'!BT$106=1,FN36,1)</f>
        <v/>
      </c>
      <c r="KE36">
        <f>IF('計算A'!BU$106=1,FO36,1)</f>
        <v/>
      </c>
      <c r="KF36">
        <f>IF('計算A'!BV$106=1,FP36,1)</f>
        <v/>
      </c>
      <c r="KG36">
        <f>IF('計算A'!BW$106=1,FQ36,1)</f>
        <v/>
      </c>
      <c r="KH36">
        <f>IF('計算A'!BX$106=1,FR36,1)</f>
        <v/>
      </c>
      <c r="KI36">
        <f>IF('計算A'!BY$106=1,FS36,1)</f>
        <v/>
      </c>
      <c r="KJ36">
        <f>IF('計算A'!BZ$106=1,FT36,1)</f>
        <v/>
      </c>
      <c r="KK36">
        <f>IF('計算A'!CA$106=1,FU36,1)</f>
        <v/>
      </c>
      <c r="KL36">
        <f>IF('計算A'!CB$106=1,FV36,1)</f>
        <v/>
      </c>
      <c r="KM36">
        <f>IF('計算A'!CC$106=1,FW36,1)</f>
        <v/>
      </c>
      <c r="KN36">
        <f>IF('計算A'!CD$106=1,FX36,1)</f>
        <v/>
      </c>
      <c r="KO36">
        <f>IF('計算A'!CE$106=1,FY36,1)</f>
        <v/>
      </c>
      <c r="KP36">
        <f>IF('計算A'!CF$106=1,FZ36,1)</f>
        <v/>
      </c>
      <c r="KQ36">
        <f>IF('計算A'!CG$106=1,GA36,1)</f>
        <v/>
      </c>
      <c r="KR36">
        <f>IF('計算A'!CH$106=1,GB36,1)</f>
        <v/>
      </c>
      <c r="KS36">
        <f>IF('計算A'!CI$106=1,GC36,1)</f>
        <v/>
      </c>
      <c r="KT36">
        <f>IF('計算A'!CJ$106=1,GD36,1)</f>
        <v/>
      </c>
      <c r="KU36">
        <f>IF('計算A'!CK$106=1,GE36,1)</f>
        <v/>
      </c>
      <c r="KV36">
        <f>IF('計算A'!CL$106=1,GF36,1)</f>
        <v/>
      </c>
      <c r="KW36">
        <f>IF('計算A'!CM$106=1,GG36,1)</f>
        <v/>
      </c>
      <c r="KX36">
        <f>IF('計算A'!CN$106=1,GH36,1)</f>
        <v/>
      </c>
      <c r="KY36">
        <f>IF('計算A'!CO$106=1,GI36,1)</f>
        <v/>
      </c>
      <c r="KZ36">
        <f>IF('計算A'!CP$106=1,GJ36,1)</f>
        <v/>
      </c>
      <c r="LA36">
        <f>IF('計算A'!CQ$106=1,GK36,1)</f>
        <v/>
      </c>
      <c r="LB36">
        <f>IF('計算A'!CR$106=1,GL36,1)</f>
        <v/>
      </c>
      <c r="LC36">
        <f>IF('計算A'!CS$106=1,GM36,1)</f>
        <v/>
      </c>
      <c r="LD36">
        <f>IF('計算A'!CT$106=1,GN36,1)</f>
        <v/>
      </c>
      <c r="LE36">
        <f>IF('計算A'!CU$106=1,GO36,1)</f>
        <v/>
      </c>
      <c r="LF36">
        <f>IF('計算A'!CV$106=1,GP36,1)</f>
        <v/>
      </c>
      <c r="LG36">
        <f>IF('計算A'!CW$106=1,GQ36,1)</f>
        <v/>
      </c>
      <c r="LH36">
        <f>IF('計算A'!CX$106=1,GR36,1)</f>
        <v/>
      </c>
      <c r="LI36">
        <f>IF('計算A'!CY$106=1,GS36,1)</f>
        <v/>
      </c>
      <c r="LJ36">
        <f>IF('計算A'!CZ$106=1,GT36,1)</f>
        <v/>
      </c>
      <c r="LK36">
        <f>IF('計算A'!DA$106=1,GU36,1)</f>
        <v/>
      </c>
      <c r="LL36">
        <f>IF('計算A'!DB$106=1,GV36,1)</f>
        <v/>
      </c>
      <c r="LM36">
        <f>IF('計算A'!DC$106=1,GW36,1)</f>
        <v/>
      </c>
      <c r="LN36">
        <f>IF('計算A'!DD$106=1,GX36,1)</f>
        <v/>
      </c>
      <c r="LO36">
        <f>IF('計算A'!DE$106=1,GY36,1)</f>
        <v/>
      </c>
      <c r="LP36">
        <f>IF('計算A'!DF$106=1,GZ36,1)</f>
        <v/>
      </c>
      <c r="LQ36">
        <f>IF('計算A'!DG$106=1,HA36,1)</f>
        <v/>
      </c>
      <c r="LR36">
        <f>IF('計算A'!DH$106=1,HB36,1)</f>
        <v/>
      </c>
      <c r="LS36">
        <f>IF('計算A'!DI$106=1,HC36,1)</f>
        <v/>
      </c>
      <c r="LT36">
        <f>IF('計算A'!DJ$106=1,HD36,1)</f>
        <v/>
      </c>
      <c r="LU36">
        <f>IF('計算A'!DK$106=1,HE36,1)</f>
        <v/>
      </c>
      <c r="LV36">
        <f>IF('計算A'!DL$106=1,HF36,1)</f>
        <v/>
      </c>
      <c r="LW36">
        <f>IF('計算A'!DM$106=1,HG36,1)</f>
        <v/>
      </c>
      <c r="LX36">
        <f>IF('計算A'!DN$106=1,HH36,1)</f>
        <v/>
      </c>
      <c r="LY36">
        <f>IF('計算A'!DO$106=1,HI36,1)</f>
        <v/>
      </c>
      <c r="LZ36">
        <f>IF('計算A'!DP$106=1,HJ36,1)</f>
        <v/>
      </c>
      <c r="MA36">
        <f>IF('計算A'!DQ$106=1,HK36,1)</f>
        <v/>
      </c>
      <c r="MB36">
        <f>IF('計算A'!DR$106=1,HL36,1)</f>
        <v/>
      </c>
      <c r="MC36" t="n">
        <v>1</v>
      </c>
      <c r="ME36">
        <f>IF($B36=0,1000000,IF(INDEX('計算A'!$D$60:$DS$104,$B36,1)*CW36=1,IF(AND($E36=2,HN36=0),1000000,INDEX('計算A'!D$110:D$114,$F36+1)+IF(AND($E36=1,HN36=0),1000,0)),1000000))</f>
        <v/>
      </c>
      <c r="MF36">
        <f>IF($B36=0,1000000,IF(INDEX('計算A'!$D$60:$DS$104,$B36,2)*CX36=1,IF(AND($E36=2,HO36=0),1000000,INDEX('計算A'!E$110:E$114,$F36+1)+IF(AND($E36=1,HO36=0),1000,0)),1000000))</f>
        <v/>
      </c>
      <c r="MG36">
        <f>IF($B36=0,1000000,IF(INDEX('計算A'!$D$60:$DS$104,$B36,3)*CY36=1,IF(AND($E36=2,HP36=0),1000000,INDEX('計算A'!F$110:F$114,$F36+1)+IF(AND($E36=1,HP36=0),1000,0)),1000000))</f>
        <v/>
      </c>
      <c r="MH36">
        <f>IF($B36=0,1000000,IF(INDEX('計算A'!$D$60:$DS$104,$B36,4)*CZ36=1,IF(AND($E36=2,HQ36=0),1000000,INDEX('計算A'!G$110:G$114,$F36+1)+IF(AND($E36=1,HQ36=0),1000,0)),1000000))</f>
        <v/>
      </c>
      <c r="MI36">
        <f>IF($B36=0,1000000,IF(INDEX('計算A'!$D$60:$DS$104,$B36,5)*DA36=1,IF(AND($E36=2,HR36=0),1000000,INDEX('計算A'!H$110:H$114,$F36+1)+IF(AND($E36=1,HR36=0),1000,0)),1000000))</f>
        <v/>
      </c>
      <c r="MJ36">
        <f>IF($B36=0,1000000,IF(INDEX('計算A'!$D$60:$DS$104,$B36,6)*DB36=1,IF(AND($E36=2,HS36=0),1000000,INDEX('計算A'!I$110:I$114,$F36+1)+IF(AND($E36=1,HS36=0),1000,0)),1000000))</f>
        <v/>
      </c>
      <c r="MK36">
        <f>IF($B36=0,1000000,IF(INDEX('計算A'!$D$60:$DS$104,$B36,7)*DC36=1,IF(AND($E36=2,HT36=0),1000000,INDEX('計算A'!J$110:J$114,$F36+1)+IF(AND($E36=1,HT36=0),1000,0)),1000000))</f>
        <v/>
      </c>
      <c r="ML36">
        <f>IF($B36=0,1000000,IF(INDEX('計算A'!$D$60:$DS$104,$B36,8)*DD36=1,IF(AND($E36=2,HU36=0),1000000,INDEX('計算A'!K$110:K$114,$F36+1)+IF(AND($E36=1,HU36=0),1000,0)),1000000))</f>
        <v/>
      </c>
      <c r="MM36">
        <f>IF($B36=0,1000000,IF(INDEX('計算A'!$D$60:$DS$104,$B36,9)*DE36=1,IF(AND($E36=2,HV36=0),1000000,INDEX('計算A'!L$110:L$114,$F36+1)+IF(AND($E36=1,HV36=0),1000,0)),1000000))</f>
        <v/>
      </c>
      <c r="MN36">
        <f>IF($B36=0,1000000,IF(INDEX('計算A'!$D$60:$DS$104,$B36,10)*DF36=1,IF(AND($E36=2,HW36=0),1000000,INDEX('計算A'!M$110:M$114,$F36+1)+IF(AND($E36=1,HW36=0),1000,0)),1000000))</f>
        <v/>
      </c>
      <c r="MO36">
        <f>IF($B36=0,1000000,IF(INDEX('計算A'!$D$60:$DS$104,$B36,11)*DG36=1,IF(AND($E36=2,HX36=0),1000000,INDEX('計算A'!N$110:N$114,$F36+1)+IF(AND($E36=1,HX36=0),1000,0)),1000000))</f>
        <v/>
      </c>
      <c r="MP36">
        <f>IF($B36=0,1000000,IF(INDEX('計算A'!$D$60:$DS$104,$B36,12)*DH36=1,IF(AND($E36=2,HY36=0),1000000,INDEX('計算A'!O$110:O$114,$F36+1)+IF(AND($E36=1,HY36=0),1000,0)),1000000))</f>
        <v/>
      </c>
      <c r="MQ36">
        <f>IF($B36=0,1000000,IF(INDEX('計算A'!$D$60:$DS$104,$B36,13)*DI36=1,IF(AND($E36=2,HZ36=0),1000000,INDEX('計算A'!P$110:P$114,$F36+1)+IF(AND($E36=1,HZ36=0),1000,0)),1000000))</f>
        <v/>
      </c>
      <c r="MR36">
        <f>IF($B36=0,1000000,IF(INDEX('計算A'!$D$60:$DS$104,$B36,14)*DJ36=1,IF(AND($E36=2,IA36=0),1000000,INDEX('計算A'!Q$110:Q$114,$F36+1)+IF(AND($E36=1,IA36=0),1000,0)),1000000))</f>
        <v/>
      </c>
      <c r="MS36">
        <f>IF($B36=0,1000000,IF(INDEX('計算A'!$D$60:$DS$104,$B36,15)*DK36=1,IF(AND($E36=2,IB36=0),1000000,INDEX('計算A'!R$110:R$114,$F36+1)+IF(AND($E36=1,IB36=0),1000,0)),1000000))</f>
        <v/>
      </c>
      <c r="MT36">
        <f>IF($B36=0,1000000,IF(INDEX('計算A'!$D$60:$DS$104,$B36,16)*DL36=1,IF(AND($E36=2,IC36=0),1000000,INDEX('計算A'!S$110:S$114,$F36+1)+IF(AND($E36=1,IC36=0),1000,0)),1000000))</f>
        <v/>
      </c>
      <c r="MU36">
        <f>IF($B36=0,1000000,IF(INDEX('計算A'!$D$60:$DS$104,$B36,17)*DM36=1,IF(AND($E36=2,ID36=0),1000000,INDEX('計算A'!T$110:T$114,$F36+1)+IF(AND($E36=1,ID36=0),1000,0)),1000000))</f>
        <v/>
      </c>
      <c r="MV36">
        <f>IF($B36=0,1000000,IF(INDEX('計算A'!$D$60:$DS$104,$B36,18)*DN36=1,IF(AND($E36=2,IE36=0),1000000,INDEX('計算A'!U$110:U$114,$F36+1)+IF(AND($E36=1,IE36=0),1000,0)),1000000))</f>
        <v/>
      </c>
      <c r="MW36">
        <f>IF($B36=0,1000000,IF(INDEX('計算A'!$D$60:$DS$104,$B36,19)*DO36=1,IF(AND($E36=2,IF36=0),1000000,INDEX('計算A'!V$110:V$114,$F36+1)+IF(AND($E36=1,IF36=0),1000,0)),1000000))</f>
        <v/>
      </c>
      <c r="MX36">
        <f>IF($B36=0,1000000,IF(INDEX('計算A'!$D$60:$DS$104,$B36,20)*DP36=1,IF(AND($E36=2,IG36=0),1000000,INDEX('計算A'!W$110:W$114,$F36+1)+IF(AND($E36=1,IG36=0),1000,0)),1000000))</f>
        <v/>
      </c>
      <c r="MY36">
        <f>IF($B36=0,1000000,IF(INDEX('計算A'!$D$60:$DS$104,$B36,21)*DQ36=1,IF(AND($E36=2,IH36=0),1000000,INDEX('計算A'!X$110:X$114,$F36+1)+IF(AND($E36=1,IH36=0),1000,0)),1000000))</f>
        <v/>
      </c>
      <c r="MZ36">
        <f>IF($B36=0,1000000,IF(INDEX('計算A'!$D$60:$DS$104,$B36,22)*DR36=1,IF(AND($E36=2,II36=0),1000000,INDEX('計算A'!Y$110:Y$114,$F36+1)+IF(AND($E36=1,II36=0),1000,0)),1000000))</f>
        <v/>
      </c>
      <c r="NA36">
        <f>IF($B36=0,1000000,IF(INDEX('計算A'!$D$60:$DS$104,$B36,23)*DS36=1,IF(AND($E36=2,IJ36=0),1000000,INDEX('計算A'!Z$110:Z$114,$F36+1)+IF(AND($E36=1,IJ36=0),1000,0)),1000000))</f>
        <v/>
      </c>
      <c r="NB36">
        <f>IF($B36=0,1000000,IF(INDEX('計算A'!$D$60:$DS$104,$B36,24)*DT36=1,IF(AND($E36=2,IK36=0),1000000,INDEX('計算A'!AA$110:AA$114,$F36+1)+IF(AND($E36=1,IK36=0),1000,0)),1000000))</f>
        <v/>
      </c>
      <c r="NC36">
        <f>IF($B36=0,1000000,IF(INDEX('計算A'!$D$60:$DS$104,$B36,25)*DU36=1,IF(AND($E36=2,IL36=0),1000000,INDEX('計算A'!AB$110:AB$114,$F36+1)+IF(AND($E36=1,IL36=0),1000,0)),1000000))</f>
        <v/>
      </c>
      <c r="ND36">
        <f>IF($B36=0,1000000,IF(INDEX('計算A'!$D$60:$DS$104,$B36,26)*DV36=1,IF(AND($E36=2,IM36=0),1000000,INDEX('計算A'!AC$110:AC$114,$F36+1)+IF(AND($E36=1,IM36=0),1000,0)),1000000))</f>
        <v/>
      </c>
      <c r="NE36">
        <f>IF($B36=0,1000000,IF(INDEX('計算A'!$D$60:$DS$104,$B36,27)*DW36=1,IF(AND($E36=2,IN36=0),1000000,INDEX('計算A'!AD$110:AD$114,$F36+1)+IF(AND($E36=1,IN36=0),1000,0)),1000000))</f>
        <v/>
      </c>
      <c r="NF36">
        <f>IF($B36=0,1000000,IF(INDEX('計算A'!$D$60:$DS$104,$B36,28)*DX36=1,IF(AND($E36=2,IO36=0),1000000,INDEX('計算A'!AE$110:AE$114,$F36+1)+IF(AND($E36=1,IO36=0),1000,0)),1000000))</f>
        <v/>
      </c>
      <c r="NG36">
        <f>IF($B36=0,1000000,IF(INDEX('計算A'!$D$60:$DS$104,$B36,29)*DY36=1,IF(AND($E36=2,IP36=0),1000000,INDEX('計算A'!AF$110:AF$114,$F36+1)+IF(AND($E36=1,IP36=0),1000,0)),1000000))</f>
        <v/>
      </c>
      <c r="NH36">
        <f>IF($B36=0,1000000,IF(INDEX('計算A'!$D$60:$DS$104,$B36,30)*DZ36=1,IF(AND($E36=2,IQ36=0),1000000,INDEX('計算A'!AG$110:AG$114,$F36+1)+IF(AND($E36=1,IQ36=0),1000,0)),1000000))</f>
        <v/>
      </c>
      <c r="NI36">
        <f>IF($B36=0,1000000,IF(INDEX('計算A'!$D$60:$DS$104,$B36,31)*EA36=1,IF(AND($E36=2,IR36=0),1000000,INDEX('計算A'!AH$110:AH$114,$F36+1)+IF(AND($E36=1,IR36=0),1000,0)),1000000))</f>
        <v/>
      </c>
      <c r="NJ36">
        <f>IF($B36=0,1000000,IF(INDEX('計算A'!$D$60:$DS$104,$B36,32)*EB36=1,IF(AND($E36=2,IS36=0),1000000,INDEX('計算A'!AI$110:AI$114,$F36+1)+IF(AND($E36=1,IS36=0),1000,0)),1000000))</f>
        <v/>
      </c>
      <c r="NK36">
        <f>IF($B36=0,1000000,IF(INDEX('計算A'!$D$60:$DS$104,$B36,33)*EC36=1,IF(AND($E36=2,IT36=0),1000000,INDEX('計算A'!AJ$110:AJ$114,$F36+1)+IF(AND($E36=1,IT36=0),1000,0)),1000000))</f>
        <v/>
      </c>
      <c r="NL36">
        <f>IF($B36=0,1000000,IF(INDEX('計算A'!$D$60:$DS$104,$B36,34)*ED36=1,IF(AND($E36=2,IU36=0),1000000,INDEX('計算A'!AK$110:AK$114,$F36+1)+IF(AND($E36=1,IU36=0),1000,0)),1000000))</f>
        <v/>
      </c>
      <c r="NM36">
        <f>IF($B36=0,1000000,IF(INDEX('計算A'!$D$60:$DS$104,$B36,35)*EE36=1,IF(AND($E36=2,IV36=0),1000000,INDEX('計算A'!AL$110:AL$114,$F36+1)+IF(AND($E36=1,IV36=0),1000,0)),1000000))</f>
        <v/>
      </c>
      <c r="NN36">
        <f>IF($B36=0,1000000,IF(INDEX('計算A'!$D$60:$DS$104,$B36,36)*EF36=1,IF(AND($E36=2,IW36=0),1000000,INDEX('計算A'!AM$110:AM$114,$F36+1)+IF(AND($E36=1,IW36=0),1000,0)),1000000))</f>
        <v/>
      </c>
      <c r="NO36">
        <f>IF($B36=0,1000000,IF(INDEX('計算A'!$D$60:$DS$104,$B36,37)*EG36=1,IF(AND($E36=2,IX36=0),1000000,INDEX('計算A'!AN$110:AN$114,$F36+1)+IF(AND($E36=1,IX36=0),1000,0)),1000000))</f>
        <v/>
      </c>
      <c r="NP36">
        <f>IF($B36=0,1000000,IF(INDEX('計算A'!$D$60:$DS$104,$B36,38)*EH36=1,IF(AND($E36=2,IY36=0),1000000,INDEX('計算A'!AO$110:AO$114,$F36+1)+IF(AND($E36=1,IY36=0),1000,0)),1000000))</f>
        <v/>
      </c>
      <c r="NQ36">
        <f>IF($B36=0,1000000,IF(INDEX('計算A'!$D$60:$DS$104,$B36,39)*EI36=1,IF(AND($E36=2,IZ36=0),1000000,INDEX('計算A'!AP$110:AP$114,$F36+1)+IF(AND($E36=1,IZ36=0),1000,0)),1000000))</f>
        <v/>
      </c>
      <c r="NR36">
        <f>IF($B36=0,1000000,IF(INDEX('計算A'!$D$60:$DS$104,$B36,40)*EJ36=1,IF(AND($E36=2,JA36=0),1000000,INDEX('計算A'!AQ$110:AQ$114,$F36+1)+IF(AND($E36=1,JA36=0),1000,0)),1000000))</f>
        <v/>
      </c>
      <c r="NS36">
        <f>IF($B36=0,1000000,IF(INDEX('計算A'!$D$60:$DS$104,$B36,41)*EK36=1,IF(AND($E36=2,JB36=0),1000000,INDEX('計算A'!AR$110:AR$114,$F36+1)+IF(AND($E36=1,JB36=0),1000,0)),1000000))</f>
        <v/>
      </c>
      <c r="NT36">
        <f>IF($B36=0,1000000,IF(INDEX('計算A'!$D$60:$DS$104,$B36,42)*EL36=1,IF(AND($E36=2,JC36=0),1000000,INDEX('計算A'!AS$110:AS$114,$F36+1)+IF(AND($E36=1,JC36=0),1000,0)),1000000))</f>
        <v/>
      </c>
      <c r="NU36">
        <f>IF($B36=0,1000000,IF(INDEX('計算A'!$D$60:$DS$104,$B36,43)*EM36=1,IF(AND($E36=2,JD36=0),1000000,INDEX('計算A'!AT$110:AT$114,$F36+1)+IF(AND($E36=1,JD36=0),1000,0)),1000000))</f>
        <v/>
      </c>
      <c r="NV36">
        <f>IF($B36=0,1000000,IF(INDEX('計算A'!$D$60:$DS$104,$B36,44)*EN36=1,IF(AND($E36=2,JE36=0),1000000,INDEX('計算A'!AU$110:AU$114,$F36+1)+IF(AND($E36=1,JE36=0),1000,0)),1000000))</f>
        <v/>
      </c>
      <c r="NW36">
        <f>IF($B36=0,1000000,IF(INDEX('計算A'!$D$60:$DS$104,$B36,45)*EO36=1,IF(AND($E36=2,JF36=0),1000000,INDEX('計算A'!AV$110:AV$114,$F36+1)+IF(AND($E36=1,JF36=0),1000,0)),1000000))</f>
        <v/>
      </c>
      <c r="NX36">
        <f>IF($B36=0,1000000,IF(INDEX('計算A'!$D$60:$DS$104,$B36,46)*EP36=1,IF(AND($E36=2,JG36=0),1000000,INDEX('計算A'!AW$110:AW$114,$F36+1)+IF(AND($E36=1,JG36=0),1000,0)),1000000))</f>
        <v/>
      </c>
      <c r="NY36">
        <f>IF($B36=0,1000000,IF(INDEX('計算A'!$D$60:$DS$104,$B36,47)*EQ36=1,IF(AND($E36=2,JH36=0),1000000,INDEX('計算A'!AX$110:AX$114,$F36+1)+IF(AND($E36=1,JH36=0),1000,0)),1000000))</f>
        <v/>
      </c>
      <c r="NZ36">
        <f>IF($B36=0,1000000,IF(INDEX('計算A'!$D$60:$DS$104,$B36,48)*ER36=1,IF(AND($E36=2,JI36=0),1000000,INDEX('計算A'!AY$110:AY$114,$F36+1)+IF(AND($E36=1,JI36=0),1000,0)),1000000))</f>
        <v/>
      </c>
      <c r="OA36">
        <f>IF($B36=0,1000000,IF(INDEX('計算A'!$D$60:$DS$104,$B36,49)*ES36=1,IF(AND($E36=2,JJ36=0),1000000,INDEX('計算A'!AZ$110:AZ$114,$F36+1)+IF(AND($E36=1,JJ36=0),1000,0)),1000000))</f>
        <v/>
      </c>
      <c r="OB36">
        <f>IF($B36=0,1000000,IF(INDEX('計算A'!$D$60:$DS$104,$B36,50)*ET36=1,IF(AND($E36=2,JK36=0),1000000,INDEX('計算A'!BA$110:BA$114,$F36+1)+IF(AND($E36=1,JK36=0),1000,0)),1000000))</f>
        <v/>
      </c>
      <c r="OC36">
        <f>IF($B36=0,1000000,IF(INDEX('計算A'!$D$60:$DS$104,$B36,51)*EU36=1,IF(AND($E36=2,JL36=0),1000000,INDEX('計算A'!BB$110:BB$114,$F36+1)+IF(AND($E36=1,JL36=0),1000,0)),1000000))</f>
        <v/>
      </c>
      <c r="OD36">
        <f>IF($B36=0,1000000,IF(INDEX('計算A'!$D$60:$DS$104,$B36,52)*EV36=1,IF(AND($E36=2,JM36=0),1000000,INDEX('計算A'!BC$110:BC$114,$F36+1)+IF(AND($E36=1,JM36=0),1000,0)),1000000))</f>
        <v/>
      </c>
      <c r="OE36">
        <f>IF($B36=0,1000000,IF(INDEX('計算A'!$D$60:$DS$104,$B36,53)*EW36=1,IF(AND($E36=2,JN36=0),1000000,INDEX('計算A'!BD$110:BD$114,$F36+1)+IF(AND($E36=1,JN36=0),1000,0)),1000000))</f>
        <v/>
      </c>
      <c r="OF36">
        <f>IF($B36=0,1000000,IF(INDEX('計算A'!$D$60:$DS$104,$B36,54)*EX36=1,IF(AND($E36=2,JO36=0),1000000,INDEX('計算A'!BE$110:BE$114,$F36+1)+IF(AND($E36=1,JO36=0),1000,0)),1000000))</f>
        <v/>
      </c>
      <c r="OG36">
        <f>IF($B36=0,1000000,IF(INDEX('計算A'!$D$60:$DS$104,$B36,55)*EY36=1,IF(AND($E36=2,JP36=0),1000000,INDEX('計算A'!BF$110:BF$114,$F36+1)+IF(AND($E36=1,JP36=0),1000,0)),1000000))</f>
        <v/>
      </c>
      <c r="OH36">
        <f>IF($B36=0,1000000,IF(INDEX('計算A'!$D$60:$DS$104,$B36,56)*EZ36=1,IF(AND($E36=2,JQ36=0),1000000,INDEX('計算A'!BG$110:BG$114,$F36+1)+IF(AND($E36=1,JQ36=0),1000,0)),1000000))</f>
        <v/>
      </c>
      <c r="OI36">
        <f>IF($B36=0,1000000,IF(INDEX('計算A'!$D$60:$DS$104,$B36,57)*FA36=1,IF(AND($E36=2,JR36=0),1000000,INDEX('計算A'!BH$110:BH$114,$F36+1)+IF(AND($E36=1,JR36=0),1000,0)),1000000))</f>
        <v/>
      </c>
      <c r="OJ36">
        <f>IF($B36=0,1000000,IF(INDEX('計算A'!$D$60:$DS$104,$B36,58)*FB36=1,IF(AND($E36=2,JS36=0),1000000,INDEX('計算A'!BI$110:BI$114,$F36+1)+IF(AND($E36=1,JS36=0),1000,0)),1000000))</f>
        <v/>
      </c>
      <c r="OK36">
        <f>IF($B36=0,1000000,IF(INDEX('計算A'!$D$60:$DS$104,$B36,59)*FC36=1,IF(AND($E36=2,JT36=0),1000000,INDEX('計算A'!BJ$110:BJ$114,$F36+1)+IF(AND($E36=1,JT36=0),1000,0)),1000000))</f>
        <v/>
      </c>
      <c r="OL36">
        <f>IF($B36=0,1000000,IF(INDEX('計算A'!$D$60:$DS$104,$B36,60)*FD36=1,IF(AND($E36=2,JU36=0),1000000,INDEX('計算A'!BK$110:BK$114,$F36+1)+IF(AND($E36=1,JU36=0),1000,0)),1000000))</f>
        <v/>
      </c>
      <c r="OM36">
        <f>IF($B36=0,1000000,IF(INDEX('計算A'!$D$60:$DS$104,$B36,61)*FE36=1,IF(AND($E36=2,JV36=0),1000000,INDEX('計算A'!BL$110:BL$114,$F36+1)+IF(AND($E36=1,JV36=0),1000,0)),1000000))</f>
        <v/>
      </c>
      <c r="ON36">
        <f>IF($B36=0,1000000,IF(INDEX('計算A'!$D$60:$DS$104,$B36,62)*FF36=1,IF(AND($E36=2,JW36=0),1000000,INDEX('計算A'!BM$110:BM$114,$F36+1)+IF(AND($E36=1,JW36=0),1000,0)),1000000))</f>
        <v/>
      </c>
      <c r="OO36">
        <f>IF($B36=0,1000000,IF(INDEX('計算A'!$D$60:$DS$104,$B36,63)*FG36=1,IF(AND($E36=2,JX36=0),1000000,INDEX('計算A'!BN$110:BN$114,$F36+1)+IF(AND($E36=1,JX36=0),1000,0)),1000000))</f>
        <v/>
      </c>
      <c r="OP36">
        <f>IF($B36=0,1000000,IF(INDEX('計算A'!$D$60:$DS$104,$B36,64)*FH36=1,IF(AND($E36=2,JY36=0),1000000,INDEX('計算A'!BO$110:BO$114,$F36+1)+IF(AND($E36=1,JY36=0),1000,0)),1000000))</f>
        <v/>
      </c>
      <c r="OQ36">
        <f>IF($B36=0,1000000,IF(INDEX('計算A'!$D$60:$DS$104,$B36,65)*FI36=1,IF(AND($E36=2,JZ36=0),1000000,INDEX('計算A'!BP$110:BP$114,$F36+1)+IF(AND($E36=1,JZ36=0),1000,0)),1000000))</f>
        <v/>
      </c>
      <c r="OR36">
        <f>IF($B36=0,1000000,IF(INDEX('計算A'!$D$60:$DS$104,$B36,66)*FJ36=1,IF(AND($E36=2,KA36=0),1000000,INDEX('計算A'!BQ$110:BQ$114,$F36+1)+IF(AND($E36=1,KA36=0),1000,0)),1000000))</f>
        <v/>
      </c>
      <c r="OS36">
        <f>IF($B36=0,1000000,IF(INDEX('計算A'!$D$60:$DS$104,$B36,67)*FK36=1,IF(AND($E36=2,KB36=0),1000000,INDEX('計算A'!BR$110:BR$114,$F36+1)+IF(AND($E36=1,KB36=0),1000,0)),1000000))</f>
        <v/>
      </c>
      <c r="OT36">
        <f>IF($B36=0,1000000,IF(INDEX('計算A'!$D$60:$DS$104,$B36,68)*FL36=1,IF(AND($E36=2,KC36=0),1000000,INDEX('計算A'!BS$110:BS$114,$F36+1)+IF(AND($E36=1,KC36=0),1000,0)),1000000))</f>
        <v/>
      </c>
      <c r="OU36">
        <f>IF($B36=0,1000000,IF(INDEX('計算A'!$D$60:$DS$104,$B36,69)*FM36=1,IF(AND($E36=2,KD36=0),1000000,INDEX('計算A'!BT$110:BT$114,$F36+1)+IF(AND($E36=1,KD36=0),1000,0)),1000000))</f>
        <v/>
      </c>
      <c r="OV36">
        <f>IF($B36=0,1000000,IF(INDEX('計算A'!$D$60:$DS$104,$B36,70)*FN36=1,IF(AND($E36=2,KE36=0),1000000,INDEX('計算A'!BU$110:BU$114,$F36+1)+IF(AND($E36=1,KE36=0),1000,0)),1000000))</f>
        <v/>
      </c>
      <c r="OW36">
        <f>IF($B36=0,1000000,IF(INDEX('計算A'!$D$60:$DS$104,$B36,71)*FO36=1,IF(AND($E36=2,KF36=0),1000000,INDEX('計算A'!BV$110:BV$114,$F36+1)+IF(AND($E36=1,KF36=0),1000,0)),1000000))</f>
        <v/>
      </c>
      <c r="OX36">
        <f>IF($B36=0,1000000,IF(INDEX('計算A'!$D$60:$DS$104,$B36,72)*FP36=1,IF(AND($E36=2,KG36=0),1000000,INDEX('計算A'!BW$110:BW$114,$F36+1)+IF(AND($E36=1,KG36=0),1000,0)),1000000))</f>
        <v/>
      </c>
      <c r="OY36">
        <f>IF($B36=0,1000000,IF(INDEX('計算A'!$D$60:$DS$104,$B36,73)*FQ36=1,IF(AND($E36=2,KH36=0),1000000,INDEX('計算A'!BX$110:BX$114,$F36+1)+IF(AND($E36=1,KH36=0),1000,0)),1000000))</f>
        <v/>
      </c>
      <c r="OZ36">
        <f>IF($B36=0,1000000,IF(INDEX('計算A'!$D$60:$DS$104,$B36,74)*FR36=1,IF(AND($E36=2,KI36=0),1000000,INDEX('計算A'!BY$110:BY$114,$F36+1)+IF(AND($E36=1,KI36=0),1000,0)),1000000))</f>
        <v/>
      </c>
      <c r="PA36">
        <f>IF($B36=0,1000000,IF(INDEX('計算A'!$D$60:$DS$104,$B36,75)*FS36=1,IF(AND($E36=2,KJ36=0),1000000,INDEX('計算A'!BZ$110:BZ$114,$F36+1)+IF(AND($E36=1,KJ36=0),1000,0)),1000000))</f>
        <v/>
      </c>
      <c r="PB36">
        <f>IF($B36=0,1000000,IF(INDEX('計算A'!$D$60:$DS$104,$B36,76)*FT36=1,IF(AND($E36=2,KK36=0),1000000,INDEX('計算A'!CA$110:CA$114,$F36+1)+IF(AND($E36=1,KK36=0),1000,0)),1000000))</f>
        <v/>
      </c>
      <c r="PC36">
        <f>IF($B36=0,1000000,IF(INDEX('計算A'!$D$60:$DS$104,$B36,77)*FU36=1,IF(AND($E36=2,KL36=0),1000000,INDEX('計算A'!CB$110:CB$114,$F36+1)+IF(AND($E36=1,KL36=0),1000,0)),1000000))</f>
        <v/>
      </c>
      <c r="PD36">
        <f>IF($B36=0,1000000,IF(INDEX('計算A'!$D$60:$DS$104,$B36,78)*FV36=1,IF(AND($E36=2,KM36=0),1000000,INDEX('計算A'!CC$110:CC$114,$F36+1)+IF(AND($E36=1,KM36=0),1000,0)),1000000))</f>
        <v/>
      </c>
      <c r="PE36">
        <f>IF($B36=0,1000000,IF(INDEX('計算A'!$D$60:$DS$104,$B36,79)*FW36=1,IF(AND($E36=2,KN36=0),1000000,INDEX('計算A'!CD$110:CD$114,$F36+1)+IF(AND($E36=1,KN36=0),1000,0)),1000000))</f>
        <v/>
      </c>
      <c r="PF36">
        <f>IF($B36=0,1000000,IF(INDEX('計算A'!$D$60:$DS$104,$B36,80)*FX36=1,IF(AND($E36=2,KO36=0),1000000,INDEX('計算A'!CE$110:CE$114,$F36+1)+IF(AND($E36=1,KO36=0),1000,0)),1000000))</f>
        <v/>
      </c>
      <c r="PG36">
        <f>IF($B36=0,1000000,IF(INDEX('計算A'!$D$60:$DS$104,$B36,81)*FY36=1,IF(AND($E36=2,KP36=0),1000000,INDEX('計算A'!CF$110:CF$114,$F36+1)+IF(AND($E36=1,KP36=0),1000,0)),1000000))</f>
        <v/>
      </c>
      <c r="PH36">
        <f>IF($B36=0,1000000,IF(INDEX('計算A'!$D$60:$DS$104,$B36,82)*FZ36=1,IF(AND($E36=2,KQ36=0),1000000,INDEX('計算A'!CG$110:CG$114,$F36+1)+IF(AND($E36=1,KQ36=0),1000,0)),1000000))</f>
        <v/>
      </c>
      <c r="PI36">
        <f>IF($B36=0,1000000,IF(INDEX('計算A'!$D$60:$DS$104,$B36,83)*GA36=1,IF(AND($E36=2,KR36=0),1000000,INDEX('計算A'!CH$110:CH$114,$F36+1)+IF(AND($E36=1,KR36=0),1000,0)),1000000))</f>
        <v/>
      </c>
      <c r="PJ36">
        <f>IF($B36=0,1000000,IF(INDEX('計算A'!$D$60:$DS$104,$B36,84)*GB36=1,IF(AND($E36=2,KS36=0),1000000,INDEX('計算A'!CI$110:CI$114,$F36+1)+IF(AND($E36=1,KS36=0),1000,0)),1000000))</f>
        <v/>
      </c>
      <c r="PK36">
        <f>IF($B36=0,1000000,IF(INDEX('計算A'!$D$60:$DS$104,$B36,85)*GC36=1,IF(AND($E36=2,KT36=0),1000000,INDEX('計算A'!CJ$110:CJ$114,$F36+1)+IF(AND($E36=1,KT36=0),1000,0)),1000000))</f>
        <v/>
      </c>
      <c r="PL36">
        <f>IF($B36=0,1000000,IF(INDEX('計算A'!$D$60:$DS$104,$B36,86)*GD36=1,IF(AND($E36=2,KU36=0),1000000,INDEX('計算A'!CK$110:CK$114,$F36+1)+IF(AND($E36=1,KU36=0),1000,0)),1000000))</f>
        <v/>
      </c>
      <c r="PM36">
        <f>IF($B36=0,1000000,IF(INDEX('計算A'!$D$60:$DS$104,$B36,87)*GE36=1,IF(AND($E36=2,KV36=0),1000000,INDEX('計算A'!CL$110:CL$114,$F36+1)+IF(AND($E36=1,KV36=0),1000,0)),1000000))</f>
        <v/>
      </c>
      <c r="PN36">
        <f>IF($B36=0,1000000,IF(INDEX('計算A'!$D$60:$DS$104,$B36,88)*GF36=1,IF(AND($E36=2,KW36=0),1000000,INDEX('計算A'!CM$110:CM$114,$F36+1)+IF(AND($E36=1,KW36=0),1000,0)),1000000))</f>
        <v/>
      </c>
      <c r="PO36">
        <f>IF($B36=0,1000000,IF(INDEX('計算A'!$D$60:$DS$104,$B36,89)*GG36=1,IF(AND($E36=2,KX36=0),1000000,INDEX('計算A'!CN$110:CN$114,$F36+1)+IF(AND($E36=1,KX36=0),1000,0)),1000000))</f>
        <v/>
      </c>
      <c r="PP36">
        <f>IF($B36=0,1000000,IF(INDEX('計算A'!$D$60:$DS$104,$B36,90)*GH36=1,IF(AND($E36=2,KY36=0),1000000,INDEX('計算A'!CO$110:CO$114,$F36+1)+IF(AND($E36=1,KY36=0),1000,0)),1000000))</f>
        <v/>
      </c>
      <c r="PQ36">
        <f>IF($B36=0,1000000,IF(INDEX('計算A'!$D$60:$DS$104,$B36,91)*GI36=1,IF(AND($E36=2,KZ36=0),1000000,INDEX('計算A'!CP$110:CP$114,$F36+1)+IF(AND($E36=1,KZ36=0),1000,0)),1000000))</f>
        <v/>
      </c>
      <c r="PR36">
        <f>IF($B36=0,1000000,IF(INDEX('計算A'!$D$60:$DS$104,$B36,92)*GJ36=1,IF(AND($E36=2,LA36=0),1000000,INDEX('計算A'!CQ$110:CQ$114,$F36+1)+IF(AND($E36=1,LA36=0),1000,0)),1000000))</f>
        <v/>
      </c>
      <c r="PS36">
        <f>IF($B36=0,1000000,IF(INDEX('計算A'!$D$60:$DS$104,$B36,93)*GK36=1,IF(AND($E36=2,LB36=0),1000000,INDEX('計算A'!CR$110:CR$114,$F36+1)+IF(AND($E36=1,LB36=0),1000,0)),1000000))</f>
        <v/>
      </c>
      <c r="PT36">
        <f>IF($B36=0,1000000,IF(INDEX('計算A'!$D$60:$DS$104,$B36,94)*GL36=1,IF(AND($E36=2,LC36=0),1000000,INDEX('計算A'!CS$110:CS$114,$F36+1)+IF(AND($E36=1,LC36=0),1000,0)),1000000))</f>
        <v/>
      </c>
      <c r="PU36">
        <f>IF($B36=0,1000000,IF(INDEX('計算A'!$D$60:$DS$104,$B36,95)*GM36=1,IF(AND($E36=2,LD36=0),1000000,INDEX('計算A'!CT$110:CT$114,$F36+1)+IF(AND($E36=1,LD36=0),1000,0)),1000000))</f>
        <v/>
      </c>
      <c r="PV36">
        <f>IF($B36=0,1000000,IF(INDEX('計算A'!$D$60:$DS$104,$B36,96)*GN36=1,IF(AND($E36=2,LE36=0),1000000,INDEX('計算A'!CU$110:CU$114,$F36+1)+IF(AND($E36=1,LE36=0),1000,0)),1000000))</f>
        <v/>
      </c>
      <c r="PW36">
        <f>IF($B36=0,1000000,IF(INDEX('計算A'!$D$60:$DS$104,$B36,97)*GO36=1,IF(AND($E36=2,LF36=0),1000000,INDEX('計算A'!CV$110:CV$114,$F36+1)+IF(AND($E36=1,LF36=0),1000,0)),1000000))</f>
        <v/>
      </c>
      <c r="PX36">
        <f>IF($B36=0,1000000,IF(INDEX('計算A'!$D$60:$DS$104,$B36,98)*GP36=1,IF(AND($E36=2,LG36=0),1000000,INDEX('計算A'!CW$110:CW$114,$F36+1)+IF(AND($E36=1,LG36=0),1000,0)),1000000))</f>
        <v/>
      </c>
      <c r="PY36">
        <f>IF($B36=0,1000000,IF(INDEX('計算A'!$D$60:$DS$104,$B36,99)*GQ36=1,IF(AND($E36=2,LH36=0),1000000,INDEX('計算A'!CX$110:CX$114,$F36+1)+IF(AND($E36=1,LH36=0),1000,0)),1000000))</f>
        <v/>
      </c>
      <c r="PZ36">
        <f>IF($B36=0,1000000,IF(INDEX('計算A'!$D$60:$DS$104,$B36,100)*GR36=1,IF(AND($E36=2,LI36=0),1000000,INDEX('計算A'!CY$110:CY$114,$F36+1)+IF(AND($E36=1,LI36=0),1000,0)),1000000))</f>
        <v/>
      </c>
      <c r="QA36">
        <f>IF($B36=0,1000000,IF(INDEX('計算A'!$D$60:$DS$104,$B36,101)*GS36=1,IF(AND($E36=2,LJ36=0),1000000,INDEX('計算A'!CZ$110:CZ$114,$F36+1)+IF(AND($E36=1,LJ36=0),1000,0)),1000000))</f>
        <v/>
      </c>
      <c r="QB36">
        <f>IF($B36=0,1000000,IF(INDEX('計算A'!$D$60:$DS$104,$B36,102)*GT36=1,IF(AND($E36=2,LK36=0),1000000,INDEX('計算A'!DA$110:DA$114,$F36+1)+IF(AND($E36=1,LK36=0),1000,0)),1000000))</f>
        <v/>
      </c>
      <c r="QC36">
        <f>IF($B36=0,1000000,IF(INDEX('計算A'!$D$60:$DS$104,$B36,103)*GU36=1,IF(AND($E36=2,LL36=0),1000000,INDEX('計算A'!DB$110:DB$114,$F36+1)+IF(AND($E36=1,LL36=0),1000,0)),1000000))</f>
        <v/>
      </c>
      <c r="QD36">
        <f>IF($B36=0,1000000,IF(INDEX('計算A'!$D$60:$DS$104,$B36,104)*GV36=1,IF(AND($E36=2,LM36=0),1000000,INDEX('計算A'!DC$110:DC$114,$F36+1)+IF(AND($E36=1,LM36=0),1000,0)),1000000))</f>
        <v/>
      </c>
      <c r="QE36">
        <f>IF($B36=0,1000000,IF(INDEX('計算A'!$D$60:$DS$104,$B36,105)*GW36=1,IF(AND($E36=2,LN36=0),1000000,INDEX('計算A'!DD$110:DD$114,$F36+1)+IF(AND($E36=1,LN36=0),1000,0)),1000000))</f>
        <v/>
      </c>
      <c r="QF36">
        <f>IF($B36=0,1000000,IF(INDEX('計算A'!$D$60:$DS$104,$B36,106)*GX36=1,IF(AND($E36=2,LO36=0),1000000,INDEX('計算A'!DE$110:DE$114,$F36+1)+IF(AND($E36=1,LO36=0),1000,0)),1000000))</f>
        <v/>
      </c>
      <c r="QG36">
        <f>IF($B36=0,1000000,IF(INDEX('計算A'!$D$60:$DS$104,$B36,107)*GY36=1,IF(AND($E36=2,LP36=0),1000000,INDEX('計算A'!DF$110:DF$114,$F36+1)+IF(AND($E36=1,LP36=0),1000,0)),1000000))</f>
        <v/>
      </c>
      <c r="QH36">
        <f>IF($B36=0,1000000,IF(INDEX('計算A'!$D$60:$DS$104,$B36,108)*GZ36=1,IF(AND($E36=2,LQ36=0),1000000,INDEX('計算A'!DG$110:DG$114,$F36+1)+IF(AND($E36=1,LQ36=0),1000,0)),1000000))</f>
        <v/>
      </c>
      <c r="QI36">
        <f>IF($B36=0,1000000,IF(INDEX('計算A'!$D$60:$DS$104,$B36,109)*HA36=1,IF(AND($E36=2,LR36=0),1000000,INDEX('計算A'!DH$110:DH$114,$F36+1)+IF(AND($E36=1,LR36=0),1000,0)),1000000))</f>
        <v/>
      </c>
      <c r="QJ36">
        <f>IF($B36=0,1000000,IF(INDEX('計算A'!$D$60:$DS$104,$B36,110)*HB36=1,IF(AND($E36=2,LS36=0),1000000,INDEX('計算A'!DI$110:DI$114,$F36+1)+IF(AND($E36=1,LS36=0),1000,0)),1000000))</f>
        <v/>
      </c>
      <c r="QK36">
        <f>IF($B36=0,1000000,IF(INDEX('計算A'!$D$60:$DS$104,$B36,111)*HC36=1,IF(AND($E36=2,LT36=0),1000000,INDEX('計算A'!DJ$110:DJ$114,$F36+1)+IF(AND($E36=1,LT36=0),1000,0)),1000000))</f>
        <v/>
      </c>
      <c r="QL36">
        <f>IF($B36=0,1000000,IF(INDEX('計算A'!$D$60:$DS$104,$B36,112)*HD36=1,IF(AND($E36=2,LU36=0),1000000,INDEX('計算A'!DK$110:DK$114,$F36+1)+IF(AND($E36=1,LU36=0),1000,0)),1000000))</f>
        <v/>
      </c>
      <c r="QM36">
        <f>IF($B36=0,1000000,IF(INDEX('計算A'!$D$60:$DS$104,$B36,113)*HE36=1,IF(AND($E36=2,LV36=0),1000000,INDEX('計算A'!DL$110:DL$114,$F36+1)+IF(AND($E36=1,LV36=0),1000,0)),1000000))</f>
        <v/>
      </c>
      <c r="QN36">
        <f>IF($B36=0,1000000,IF(INDEX('計算A'!$D$60:$DS$104,$B36,114)*HF36=1,IF(AND($E36=2,LW36=0),1000000,INDEX('計算A'!DM$110:DM$114,$F36+1)+IF(AND($E36=1,LW36=0),1000,0)),1000000))</f>
        <v/>
      </c>
      <c r="QO36">
        <f>IF($B36=0,1000000,IF(INDEX('計算A'!$D$60:$DS$104,$B36,115)*HG36=1,IF(AND($E36=2,LX36=0),1000000,INDEX('計算A'!DN$110:DN$114,$F36+1)+IF(AND($E36=1,LX36=0),1000,0)),1000000))</f>
        <v/>
      </c>
      <c r="QP36">
        <f>IF($B36=0,1000000,IF(INDEX('計算A'!$D$60:$DS$104,$B36,116)*HH36=1,IF(AND($E36=2,LY36=0),1000000,INDEX('計算A'!DO$110:DO$114,$F36+1)+IF(AND($E36=1,LY36=0),1000,0)),1000000))</f>
        <v/>
      </c>
      <c r="QQ36">
        <f>IF($B36=0,1000000,IF(INDEX('計算A'!$D$60:$DS$104,$B36,117)*HI36=1,IF(AND($E36=2,LZ36=0),1000000,INDEX('計算A'!DP$110:DP$114,$F36+1)+IF(AND($E36=1,LZ36=0),1000,0)),1000000))</f>
        <v/>
      </c>
      <c r="QR36">
        <f>IF($B36=0,1000000,IF(INDEX('計算A'!$D$60:$DS$104,$B36,118)*HJ36=1,IF(AND($E36=2,MA36=0),1000000,INDEX('計算A'!DQ$110:DQ$114,$F36+1)+IF(AND($E36=1,MA36=0),1000,0)),1000000))</f>
        <v/>
      </c>
      <c r="QS36">
        <f>IF($B36=0,1000000,IF(INDEX('計算A'!$D$60:$DS$104,$B36,119)*HK36=1,IF(AND($E36=2,MB36=0),1000000,INDEX('計算A'!DR$110:DR$114,$F36+1)+IF(AND($E36=1,MB36=0),1000,0)),1000000))</f>
        <v/>
      </c>
      <c r="QT36">
        <f>IF($B36=0,1000000,IF(INDEX('計算A'!$D$60:$DS$104,$B36,120)*HL36=1,IF(AND($E36=2,MC36=0),1000000,INDEX('計算A'!DS$110:DS$114,$F36+1)+IF(AND($E36=1,MC36=0),1000,0)),1000000))</f>
        <v/>
      </c>
    </row>
    <row r="37">
      <c r="A37" t="n">
        <v>35</v>
      </c>
      <c r="B37">
        <f>IF(MIN(BC37:CU37)&gt;=1000000,0,MATCH(MIN(BC37:CU37),BC37:CU37,0))</f>
        <v/>
      </c>
      <c r="C37">
        <f>IF(MIN(ME37:QT37)&gt;=1000000,0,MATCH(MIN(ME37:QT37),ME37:QT37,0))</f>
        <v/>
      </c>
      <c r="D37">
        <f>IF(C37&gt;0,INDEX('計算A'!$D$5:$DS$5,C37),0)</f>
        <v/>
      </c>
      <c r="E37">
        <f>IF(B37=0,0,INDEX('計算A'!$EA$10:$EA$54,B37))</f>
        <v/>
      </c>
      <c r="F37">
        <f>IF(B37=0,0,INDEX('計算A'!$DZ$10:$DZ$54,B37))</f>
        <v/>
      </c>
      <c r="G37">
        <f>IF(AND(C37&gt;0,E37&gt;0),IF(AND(INDEX('計算A'!$D$106:$DS$106,C37)=1,INDEX($HN37:$MC37,C37)=1),C37+1,0),0)</f>
        <v/>
      </c>
      <c r="I37">
        <f>MAX(I36,IF($B36=1,1,0))</f>
        <v/>
      </c>
      <c r="J37">
        <f>MAX(J36,IF($B36=2,1,0))</f>
        <v/>
      </c>
      <c r="K37">
        <f>MAX(K36,IF($B36=3,1,0))</f>
        <v/>
      </c>
      <c r="L37">
        <f>MAX(L36,IF($B36=4,1,0))</f>
        <v/>
      </c>
      <c r="M37">
        <f>MAX(M36,IF($B36=5,1,0))</f>
        <v/>
      </c>
      <c r="N37">
        <f>MAX(N36,IF($B36=6,1,0))</f>
        <v/>
      </c>
      <c r="O37">
        <f>MAX(O36,IF($B36=7,1,0))</f>
        <v/>
      </c>
      <c r="P37">
        <f>MAX(P36,IF($B36=8,1,0))</f>
        <v/>
      </c>
      <c r="Q37">
        <f>MAX(Q36,IF($B36=9,1,0))</f>
        <v/>
      </c>
      <c r="R37">
        <f>MAX(R36,IF($B36=10,1,0))</f>
        <v/>
      </c>
      <c r="S37">
        <f>MAX(S36,IF($B36=11,1,0))</f>
        <v/>
      </c>
      <c r="T37">
        <f>MAX(T36,IF($B36=12,1,0))</f>
        <v/>
      </c>
      <c r="U37">
        <f>MAX(U36,IF($B36=13,1,0))</f>
        <v/>
      </c>
      <c r="V37">
        <f>MAX(V36,IF($B36=14,1,0))</f>
        <v/>
      </c>
      <c r="W37">
        <f>MAX(W36,IF($B36=15,1,0))</f>
        <v/>
      </c>
      <c r="X37">
        <f>MAX(X36,IF($B36=16,1,0))</f>
        <v/>
      </c>
      <c r="Y37">
        <f>MAX(Y36,IF($B36=17,1,0))</f>
        <v/>
      </c>
      <c r="Z37">
        <f>MAX(Z36,IF($B36=18,1,0))</f>
        <v/>
      </c>
      <c r="AA37">
        <f>MAX(AA36,IF($B36=19,1,0))</f>
        <v/>
      </c>
      <c r="AB37">
        <f>MAX(AB36,IF($B36=20,1,0))</f>
        <v/>
      </c>
      <c r="AC37">
        <f>MAX(AC36,IF($B36=21,1,0))</f>
        <v/>
      </c>
      <c r="AD37">
        <f>MAX(AD36,IF($B36=22,1,0))</f>
        <v/>
      </c>
      <c r="AE37">
        <f>MAX(AE36,IF($B36=23,1,0))</f>
        <v/>
      </c>
      <c r="AF37">
        <f>MAX(AF36,IF($B36=24,1,0))</f>
        <v/>
      </c>
      <c r="AG37">
        <f>MAX(AG36,IF($B36=25,1,0))</f>
        <v/>
      </c>
      <c r="AH37">
        <f>MAX(AH36,IF($B36=26,1,0))</f>
        <v/>
      </c>
      <c r="AI37">
        <f>MAX(AI36,IF($B36=27,1,0))</f>
        <v/>
      </c>
      <c r="AJ37">
        <f>MAX(AJ36,IF($B36=28,1,0))</f>
        <v/>
      </c>
      <c r="AK37">
        <f>MAX(AK36,IF($B36=29,1,0))</f>
        <v/>
      </c>
      <c r="AL37">
        <f>MAX(AL36,IF($B36=30,1,0))</f>
        <v/>
      </c>
      <c r="AM37">
        <f>MAX(AM36,IF($B36=31,1,0))</f>
        <v/>
      </c>
      <c r="AN37">
        <f>MAX(AN36,IF($B36=32,1,0))</f>
        <v/>
      </c>
      <c r="AO37">
        <f>MAX(AO36,IF($B36=33,1,0))</f>
        <v/>
      </c>
      <c r="AP37">
        <f>MAX(AP36,IF($B36=34,1,0))</f>
        <v/>
      </c>
      <c r="AQ37">
        <f>MAX(AQ36,IF($B36=35,1,0))</f>
        <v/>
      </c>
      <c r="AR37">
        <f>MAX(AR36,IF($B36=36,1,0))</f>
        <v/>
      </c>
      <c r="AS37">
        <f>MAX(AS36,IF($B36=37,1,0))</f>
        <v/>
      </c>
      <c r="AT37">
        <f>MAX(AT36,IF($B36=38,1,0))</f>
        <v/>
      </c>
      <c r="AU37">
        <f>MAX(AU36,IF($B36=39,1,0))</f>
        <v/>
      </c>
      <c r="AV37">
        <f>MAX(AV36,IF($B36=40,1,0))</f>
        <v/>
      </c>
      <c r="AW37">
        <f>MAX(AW36,IF($B36=41,1,0))</f>
        <v/>
      </c>
      <c r="AX37">
        <f>MAX(AX36,IF($B36=42,1,0))</f>
        <v/>
      </c>
      <c r="AY37">
        <f>MAX(AY36,IF($B36=43,1,0))</f>
        <v/>
      </c>
      <c r="AZ37">
        <f>MAX(AZ36,IF($B36=44,1,0))</f>
        <v/>
      </c>
      <c r="BA37">
        <f>MAX(BA36,IF($B36=45,1,0))</f>
        <v/>
      </c>
      <c r="BC37">
        <f>IF(I37=1,1000000,IF('計算A'!$EA$10=2,SUMPRODUCT('計算A'!$D$60:$DS$60,$CW37:$HL37,$HN37:$MC37),SUMPRODUCT('計算A'!$D$60:$DS$60,$CW37:$HL37))*1000+1)</f>
        <v/>
      </c>
      <c r="BD37">
        <f>IF(J37=1,1000000,IF('計算A'!$EA$11=2,SUMPRODUCT('計算A'!$D$61:$DS$61,$CW37:$HL37,$HN37:$MC37),SUMPRODUCT('計算A'!$D$61:$DS$61,$CW37:$HL37))*1000+2)</f>
        <v/>
      </c>
      <c r="BE37">
        <f>IF(K37=1,1000000,IF('計算A'!$EA$12=2,SUMPRODUCT('計算A'!$D$62:$DS$62,$CW37:$HL37,$HN37:$MC37),SUMPRODUCT('計算A'!$D$62:$DS$62,$CW37:$HL37))*1000+3)</f>
        <v/>
      </c>
      <c r="BF37">
        <f>IF(L37=1,1000000,IF('計算A'!$EA$13=2,SUMPRODUCT('計算A'!$D$63:$DS$63,$CW37:$HL37,$HN37:$MC37),SUMPRODUCT('計算A'!$D$63:$DS$63,$CW37:$HL37))*1000+4)</f>
        <v/>
      </c>
      <c r="BG37">
        <f>IF(M37=1,1000000,IF('計算A'!$EA$14=2,SUMPRODUCT('計算A'!$D$64:$DS$64,$CW37:$HL37,$HN37:$MC37),SUMPRODUCT('計算A'!$D$64:$DS$64,$CW37:$HL37))*1000+5)</f>
        <v/>
      </c>
      <c r="BH37">
        <f>IF(N37=1,1000000,IF('計算A'!$EA$15=2,SUMPRODUCT('計算A'!$D$65:$DS$65,$CW37:$HL37,$HN37:$MC37),SUMPRODUCT('計算A'!$D$65:$DS$65,$CW37:$HL37))*1000+6)</f>
        <v/>
      </c>
      <c r="BI37">
        <f>IF(O37=1,1000000,IF('計算A'!$EA$16=2,SUMPRODUCT('計算A'!$D$66:$DS$66,$CW37:$HL37,$HN37:$MC37),SUMPRODUCT('計算A'!$D$66:$DS$66,$CW37:$HL37))*1000+7)</f>
        <v/>
      </c>
      <c r="BJ37">
        <f>IF(P37=1,1000000,IF('計算A'!$EA$17=2,SUMPRODUCT('計算A'!$D$67:$DS$67,$CW37:$HL37,$HN37:$MC37),SUMPRODUCT('計算A'!$D$67:$DS$67,$CW37:$HL37))*1000+8)</f>
        <v/>
      </c>
      <c r="BK37">
        <f>IF(Q37=1,1000000,IF('計算A'!$EA$18=2,SUMPRODUCT('計算A'!$D$68:$DS$68,$CW37:$HL37,$HN37:$MC37),SUMPRODUCT('計算A'!$D$68:$DS$68,$CW37:$HL37))*1000+9)</f>
        <v/>
      </c>
      <c r="BL37">
        <f>IF(R37=1,1000000,IF('計算A'!$EA$19=2,SUMPRODUCT('計算A'!$D$69:$DS$69,$CW37:$HL37,$HN37:$MC37),SUMPRODUCT('計算A'!$D$69:$DS$69,$CW37:$HL37))*1000+10)</f>
        <v/>
      </c>
      <c r="BM37">
        <f>IF(S37=1,1000000,IF('計算A'!$EA$20=2,SUMPRODUCT('計算A'!$D$70:$DS$70,$CW37:$HL37,$HN37:$MC37),SUMPRODUCT('計算A'!$D$70:$DS$70,$CW37:$HL37))*1000+11)</f>
        <v/>
      </c>
      <c r="BN37">
        <f>IF(T37=1,1000000,IF('計算A'!$EA$21=2,SUMPRODUCT('計算A'!$D$71:$DS$71,$CW37:$HL37,$HN37:$MC37),SUMPRODUCT('計算A'!$D$71:$DS$71,$CW37:$HL37))*1000+12)</f>
        <v/>
      </c>
      <c r="BO37">
        <f>IF(U37=1,1000000,IF('計算A'!$EA$22=2,SUMPRODUCT('計算A'!$D$72:$DS$72,$CW37:$HL37,$HN37:$MC37),SUMPRODUCT('計算A'!$D$72:$DS$72,$CW37:$HL37))*1000+13)</f>
        <v/>
      </c>
      <c r="BP37">
        <f>IF(V37=1,1000000,IF('計算A'!$EA$23=2,SUMPRODUCT('計算A'!$D$73:$DS$73,$CW37:$HL37,$HN37:$MC37),SUMPRODUCT('計算A'!$D$73:$DS$73,$CW37:$HL37))*1000+14)</f>
        <v/>
      </c>
      <c r="BQ37">
        <f>IF(W37=1,1000000,IF('計算A'!$EA$24=2,SUMPRODUCT('計算A'!$D$74:$DS$74,$CW37:$HL37,$HN37:$MC37),SUMPRODUCT('計算A'!$D$74:$DS$74,$CW37:$HL37))*1000+15)</f>
        <v/>
      </c>
      <c r="BR37">
        <f>IF(X37=1,1000000,IF('計算A'!$EA$25=2,SUMPRODUCT('計算A'!$D$75:$DS$75,$CW37:$HL37,$HN37:$MC37),SUMPRODUCT('計算A'!$D$75:$DS$75,$CW37:$HL37))*1000+16)</f>
        <v/>
      </c>
      <c r="BS37">
        <f>IF(Y37=1,1000000,IF('計算A'!$EA$26=2,SUMPRODUCT('計算A'!$D$76:$DS$76,$CW37:$HL37,$HN37:$MC37),SUMPRODUCT('計算A'!$D$76:$DS$76,$CW37:$HL37))*1000+17)</f>
        <v/>
      </c>
      <c r="BT37">
        <f>IF(Z37=1,1000000,IF('計算A'!$EA$27=2,SUMPRODUCT('計算A'!$D$77:$DS$77,$CW37:$HL37,$HN37:$MC37),SUMPRODUCT('計算A'!$D$77:$DS$77,$CW37:$HL37))*1000+18)</f>
        <v/>
      </c>
      <c r="BU37">
        <f>IF(AA37=1,1000000,IF('計算A'!$EA$28=2,SUMPRODUCT('計算A'!$D$78:$DS$78,$CW37:$HL37,$HN37:$MC37),SUMPRODUCT('計算A'!$D$78:$DS$78,$CW37:$HL37))*1000+19)</f>
        <v/>
      </c>
      <c r="BV37">
        <f>IF(AB37=1,1000000,IF('計算A'!$EA$29=2,SUMPRODUCT('計算A'!$D$79:$DS$79,$CW37:$HL37,$HN37:$MC37),SUMPRODUCT('計算A'!$D$79:$DS$79,$CW37:$HL37))*1000+20)</f>
        <v/>
      </c>
      <c r="BW37">
        <f>IF(AC37=1,1000000,IF('計算A'!$EA$30=2,SUMPRODUCT('計算A'!$D$80:$DS$80,$CW37:$HL37,$HN37:$MC37),SUMPRODUCT('計算A'!$D$80:$DS$80,$CW37:$HL37))*1000+21)</f>
        <v/>
      </c>
      <c r="BX37">
        <f>IF(AD37=1,1000000,IF('計算A'!$EA$31=2,SUMPRODUCT('計算A'!$D$81:$DS$81,$CW37:$HL37,$HN37:$MC37),SUMPRODUCT('計算A'!$D$81:$DS$81,$CW37:$HL37))*1000+22)</f>
        <v/>
      </c>
      <c r="BY37">
        <f>IF(AE37=1,1000000,IF('計算A'!$EA$32=2,SUMPRODUCT('計算A'!$D$82:$DS$82,$CW37:$HL37,$HN37:$MC37),SUMPRODUCT('計算A'!$D$82:$DS$82,$CW37:$HL37))*1000+23)</f>
        <v/>
      </c>
      <c r="BZ37">
        <f>IF(AF37=1,1000000,IF('計算A'!$EA$33=2,SUMPRODUCT('計算A'!$D$83:$DS$83,$CW37:$HL37,$HN37:$MC37),SUMPRODUCT('計算A'!$D$83:$DS$83,$CW37:$HL37))*1000+24)</f>
        <v/>
      </c>
      <c r="CA37">
        <f>IF(AG37=1,1000000,IF('計算A'!$EA$34=2,SUMPRODUCT('計算A'!$D$84:$DS$84,$CW37:$HL37,$HN37:$MC37),SUMPRODUCT('計算A'!$D$84:$DS$84,$CW37:$HL37))*1000+25)</f>
        <v/>
      </c>
      <c r="CB37">
        <f>IF(AH37=1,1000000,IF('計算A'!$EA$35=2,SUMPRODUCT('計算A'!$D$85:$DS$85,$CW37:$HL37,$HN37:$MC37),SUMPRODUCT('計算A'!$D$85:$DS$85,$CW37:$HL37))*1000+26)</f>
        <v/>
      </c>
      <c r="CC37">
        <f>IF(AI37=1,1000000,IF('計算A'!$EA$36=2,SUMPRODUCT('計算A'!$D$86:$DS$86,$CW37:$HL37,$HN37:$MC37),SUMPRODUCT('計算A'!$D$86:$DS$86,$CW37:$HL37))*1000+27)</f>
        <v/>
      </c>
      <c r="CD37">
        <f>IF(AJ37=1,1000000,IF('計算A'!$EA$37=2,SUMPRODUCT('計算A'!$D$87:$DS$87,$CW37:$HL37,$HN37:$MC37),SUMPRODUCT('計算A'!$D$87:$DS$87,$CW37:$HL37))*1000+28)</f>
        <v/>
      </c>
      <c r="CE37">
        <f>IF(AK37=1,1000000,IF('計算A'!$EA$38=2,SUMPRODUCT('計算A'!$D$88:$DS$88,$CW37:$HL37,$HN37:$MC37),SUMPRODUCT('計算A'!$D$88:$DS$88,$CW37:$HL37))*1000+29)</f>
        <v/>
      </c>
      <c r="CF37">
        <f>IF(AL37=1,1000000,IF('計算A'!$EA$39=2,SUMPRODUCT('計算A'!$D$89:$DS$89,$CW37:$HL37,$HN37:$MC37),SUMPRODUCT('計算A'!$D$89:$DS$89,$CW37:$HL37))*1000+30)</f>
        <v/>
      </c>
      <c r="CG37">
        <f>IF(AM37=1,1000000,IF('計算A'!$EA$40=2,SUMPRODUCT('計算A'!$D$90:$DS$90,$CW37:$HL37,$HN37:$MC37),SUMPRODUCT('計算A'!$D$90:$DS$90,$CW37:$HL37))*1000+31)</f>
        <v/>
      </c>
      <c r="CH37">
        <f>IF(AN37=1,1000000,IF('計算A'!$EA$41=2,SUMPRODUCT('計算A'!$D$91:$DS$91,$CW37:$HL37,$HN37:$MC37),SUMPRODUCT('計算A'!$D$91:$DS$91,$CW37:$HL37))*1000+32)</f>
        <v/>
      </c>
      <c r="CI37">
        <f>IF(AO37=1,1000000,IF('計算A'!$EA$42=2,SUMPRODUCT('計算A'!$D$92:$DS$92,$CW37:$HL37,$HN37:$MC37),SUMPRODUCT('計算A'!$D$92:$DS$92,$CW37:$HL37))*1000+33)</f>
        <v/>
      </c>
      <c r="CJ37">
        <f>IF(AP37=1,1000000,IF('計算A'!$EA$43=2,SUMPRODUCT('計算A'!$D$93:$DS$93,$CW37:$HL37,$HN37:$MC37),SUMPRODUCT('計算A'!$D$93:$DS$93,$CW37:$HL37))*1000+34)</f>
        <v/>
      </c>
      <c r="CK37">
        <f>IF(AQ37=1,1000000,IF('計算A'!$EA$44=2,SUMPRODUCT('計算A'!$D$94:$DS$94,$CW37:$HL37,$HN37:$MC37),SUMPRODUCT('計算A'!$D$94:$DS$94,$CW37:$HL37))*1000+35)</f>
        <v/>
      </c>
      <c r="CL37">
        <f>IF(AR37=1,1000000,IF('計算A'!$EA$45=2,SUMPRODUCT('計算A'!$D$95:$DS$95,$CW37:$HL37,$HN37:$MC37),SUMPRODUCT('計算A'!$D$95:$DS$95,$CW37:$HL37))*1000+36)</f>
        <v/>
      </c>
      <c r="CM37">
        <f>IF(AS37=1,1000000,IF('計算A'!$EA$46=2,SUMPRODUCT('計算A'!$D$96:$DS$96,$CW37:$HL37,$HN37:$MC37),SUMPRODUCT('計算A'!$D$96:$DS$96,$CW37:$HL37))*1000+37)</f>
        <v/>
      </c>
      <c r="CN37">
        <f>IF(AT37=1,1000000,IF('計算A'!$EA$47=2,SUMPRODUCT('計算A'!$D$97:$DS$97,$CW37:$HL37,$HN37:$MC37),SUMPRODUCT('計算A'!$D$97:$DS$97,$CW37:$HL37))*1000+38)</f>
        <v/>
      </c>
      <c r="CO37">
        <f>IF(AU37=1,1000000,IF('計算A'!$EA$48=2,SUMPRODUCT('計算A'!$D$98:$DS$98,$CW37:$HL37,$HN37:$MC37),SUMPRODUCT('計算A'!$D$98:$DS$98,$CW37:$HL37))*1000+39)</f>
        <v/>
      </c>
      <c r="CP37">
        <f>IF(AV37=1,1000000,IF('計算A'!$EA$49=2,SUMPRODUCT('計算A'!$D$99:$DS$99,$CW37:$HL37,$HN37:$MC37),SUMPRODUCT('計算A'!$D$99:$DS$99,$CW37:$HL37))*1000+40)</f>
        <v/>
      </c>
      <c r="CQ37">
        <f>IF(AW37=1,1000000,IF('計算A'!$EA$50=2,SUMPRODUCT('計算A'!$D$100:$DS$100,$CW37:$HL37,$HN37:$MC37),SUMPRODUCT('計算A'!$D$100:$DS$100,$CW37:$HL37))*1000+41)</f>
        <v/>
      </c>
      <c r="CR37">
        <f>IF(AX37=1,1000000,IF('計算A'!$EA$51=2,SUMPRODUCT('計算A'!$D$101:$DS$101,$CW37:$HL37,$HN37:$MC37),SUMPRODUCT('計算A'!$D$101:$DS$101,$CW37:$HL37))*1000+42)</f>
        <v/>
      </c>
      <c r="CS37">
        <f>IF(AY37=1,1000000,IF('計算A'!$EA$52=2,SUMPRODUCT('計算A'!$D$102:$DS$102,$CW37:$HL37,$HN37:$MC37),SUMPRODUCT('計算A'!$D$102:$DS$102,$CW37:$HL37))*1000+43)</f>
        <v/>
      </c>
      <c r="CT37">
        <f>IF(AZ37=1,1000000,IF('計算A'!$EA$53=2,SUMPRODUCT('計算A'!$D$103:$DS$103,$CW37:$HL37,$HN37:$MC37),SUMPRODUCT('計算A'!$D$103:$DS$103,$CW37:$HL37))*1000+44)</f>
        <v/>
      </c>
      <c r="CU37">
        <f>IF(BA37=1,1000000,IF('計算A'!$EA$54=2,SUMPRODUCT('計算A'!$D$104:$DS$104,$CW37:$HL37,$HN37:$MC37),SUMPRODUCT('計算A'!$D$104:$DS$104,$CW37:$HL37))*1000+45)</f>
        <v/>
      </c>
      <c r="CW37">
        <f>CW36*IF(OR($C36=1,$G36=1),0,1)</f>
        <v/>
      </c>
      <c r="CX37">
        <f>CX36*IF(OR($C36=2,$G36=2),0,1)</f>
        <v/>
      </c>
      <c r="CY37">
        <f>CY36*IF(OR($C36=3,$G36=3),0,1)</f>
        <v/>
      </c>
      <c r="CZ37">
        <f>CZ36*IF(OR($C36=4,$G36=4),0,1)</f>
        <v/>
      </c>
      <c r="DA37">
        <f>DA36*IF(OR($C36=5,$G36=5),0,1)</f>
        <v/>
      </c>
      <c r="DB37">
        <f>DB36*IF(OR($C36=6,$G36=6),0,1)</f>
        <v/>
      </c>
      <c r="DC37">
        <f>DC36*IF(OR($C36=7,$G36=7),0,1)</f>
        <v/>
      </c>
      <c r="DD37">
        <f>DD36*IF(OR($C36=8,$G36=8),0,1)</f>
        <v/>
      </c>
      <c r="DE37">
        <f>DE36*IF(OR($C36=9,$G36=9),0,1)</f>
        <v/>
      </c>
      <c r="DF37">
        <f>DF36*IF(OR($C36=10,$G36=10),0,1)</f>
        <v/>
      </c>
      <c r="DG37">
        <f>DG36*IF(OR($C36=11,$G36=11),0,1)</f>
        <v/>
      </c>
      <c r="DH37">
        <f>DH36*IF(OR($C36=12,$G36=12),0,1)</f>
        <v/>
      </c>
      <c r="DI37">
        <f>DI36*IF(OR($C36=13,$G36=13),0,1)</f>
        <v/>
      </c>
      <c r="DJ37">
        <f>DJ36*IF(OR($C36=14,$G36=14),0,1)</f>
        <v/>
      </c>
      <c r="DK37">
        <f>DK36*IF(OR($C36=15,$G36=15),0,1)</f>
        <v/>
      </c>
      <c r="DL37">
        <f>DL36*IF(OR($C36=16,$G36=16),0,1)</f>
        <v/>
      </c>
      <c r="DM37">
        <f>DM36*IF(OR($C36=17,$G36=17),0,1)</f>
        <v/>
      </c>
      <c r="DN37">
        <f>DN36*IF(OR($C36=18,$G36=18),0,1)</f>
        <v/>
      </c>
      <c r="DO37">
        <f>DO36*IF(OR($C36=19,$G36=19),0,1)</f>
        <v/>
      </c>
      <c r="DP37">
        <f>DP36*IF(OR($C36=20,$G36=20),0,1)</f>
        <v/>
      </c>
      <c r="DQ37">
        <f>DQ36*IF(OR($C36=21,$G36=21),0,1)</f>
        <v/>
      </c>
      <c r="DR37">
        <f>DR36*IF(OR($C36=22,$G36=22),0,1)</f>
        <v/>
      </c>
      <c r="DS37">
        <f>DS36*IF(OR($C36=23,$G36=23),0,1)</f>
        <v/>
      </c>
      <c r="DT37">
        <f>DT36*IF(OR($C36=24,$G36=24),0,1)</f>
        <v/>
      </c>
      <c r="DU37">
        <f>DU36*IF(OR($C36=25,$G36=25),0,1)</f>
        <v/>
      </c>
      <c r="DV37">
        <f>DV36*IF(OR($C36=26,$G36=26),0,1)</f>
        <v/>
      </c>
      <c r="DW37">
        <f>DW36*IF(OR($C36=27,$G36=27),0,1)</f>
        <v/>
      </c>
      <c r="DX37">
        <f>DX36*IF(OR($C36=28,$G36=28),0,1)</f>
        <v/>
      </c>
      <c r="DY37">
        <f>DY36*IF(OR($C36=29,$G36=29),0,1)</f>
        <v/>
      </c>
      <c r="DZ37">
        <f>DZ36*IF(OR($C36=30,$G36=30),0,1)</f>
        <v/>
      </c>
      <c r="EA37">
        <f>EA36*IF(OR($C36=31,$G36=31),0,1)</f>
        <v/>
      </c>
      <c r="EB37">
        <f>EB36*IF(OR($C36=32,$G36=32),0,1)</f>
        <v/>
      </c>
      <c r="EC37">
        <f>EC36*IF(OR($C36=33,$G36=33),0,1)</f>
        <v/>
      </c>
      <c r="ED37">
        <f>ED36*IF(OR($C36=34,$G36=34),0,1)</f>
        <v/>
      </c>
      <c r="EE37">
        <f>EE36*IF(OR($C36=35,$G36=35),0,1)</f>
        <v/>
      </c>
      <c r="EF37">
        <f>EF36*IF(OR($C36=36,$G36=36),0,1)</f>
        <v/>
      </c>
      <c r="EG37">
        <f>EG36*IF(OR($C36=37,$G36=37),0,1)</f>
        <v/>
      </c>
      <c r="EH37">
        <f>EH36*IF(OR($C36=38,$G36=38),0,1)</f>
        <v/>
      </c>
      <c r="EI37">
        <f>EI36*IF(OR($C36=39,$G36=39),0,1)</f>
        <v/>
      </c>
      <c r="EJ37">
        <f>EJ36*IF(OR($C36=40,$G36=40),0,1)</f>
        <v/>
      </c>
      <c r="EK37">
        <f>EK36*IF(OR($C36=41,$G36=41),0,1)</f>
        <v/>
      </c>
      <c r="EL37">
        <f>EL36*IF(OR($C36=42,$G36=42),0,1)</f>
        <v/>
      </c>
      <c r="EM37">
        <f>EM36*IF(OR($C36=43,$G36=43),0,1)</f>
        <v/>
      </c>
      <c r="EN37">
        <f>EN36*IF(OR($C36=44,$G36=44),0,1)</f>
        <v/>
      </c>
      <c r="EO37">
        <f>EO36*IF(OR($C36=45,$G36=45),0,1)</f>
        <v/>
      </c>
      <c r="EP37">
        <f>EP36*IF(OR($C36=46,$G36=46),0,1)</f>
        <v/>
      </c>
      <c r="EQ37">
        <f>EQ36*IF(OR($C36=47,$G36=47),0,1)</f>
        <v/>
      </c>
      <c r="ER37">
        <f>ER36*IF(OR($C36=48,$G36=48),0,1)</f>
        <v/>
      </c>
      <c r="ES37">
        <f>ES36*IF(OR($C36=49,$G36=49),0,1)</f>
        <v/>
      </c>
      <c r="ET37">
        <f>ET36*IF(OR($C36=50,$G36=50),0,1)</f>
        <v/>
      </c>
      <c r="EU37">
        <f>EU36*IF(OR($C36=51,$G36=51),0,1)</f>
        <v/>
      </c>
      <c r="EV37">
        <f>EV36*IF(OR($C36=52,$G36=52),0,1)</f>
        <v/>
      </c>
      <c r="EW37">
        <f>EW36*IF(OR($C36=53,$G36=53),0,1)</f>
        <v/>
      </c>
      <c r="EX37">
        <f>EX36*IF(OR($C36=54,$G36=54),0,1)</f>
        <v/>
      </c>
      <c r="EY37">
        <f>EY36*IF(OR($C36=55,$G36=55),0,1)</f>
        <v/>
      </c>
      <c r="EZ37">
        <f>EZ36*IF(OR($C36=56,$G36=56),0,1)</f>
        <v/>
      </c>
      <c r="FA37">
        <f>FA36*IF(OR($C36=57,$G36=57),0,1)</f>
        <v/>
      </c>
      <c r="FB37">
        <f>FB36*IF(OR($C36=58,$G36=58),0,1)</f>
        <v/>
      </c>
      <c r="FC37">
        <f>FC36*IF(OR($C36=59,$G36=59),0,1)</f>
        <v/>
      </c>
      <c r="FD37">
        <f>FD36*IF(OR($C36=60,$G36=60),0,1)</f>
        <v/>
      </c>
      <c r="FE37">
        <f>FE36*IF(OR($C36=61,$G36=61),0,1)</f>
        <v/>
      </c>
      <c r="FF37">
        <f>FF36*IF(OR($C36=62,$G36=62),0,1)</f>
        <v/>
      </c>
      <c r="FG37">
        <f>FG36*IF(OR($C36=63,$G36=63),0,1)</f>
        <v/>
      </c>
      <c r="FH37">
        <f>FH36*IF(OR($C36=64,$G36=64),0,1)</f>
        <v/>
      </c>
      <c r="FI37">
        <f>FI36*IF(OR($C36=65,$G36=65),0,1)</f>
        <v/>
      </c>
      <c r="FJ37">
        <f>FJ36*IF(OR($C36=66,$G36=66),0,1)</f>
        <v/>
      </c>
      <c r="FK37">
        <f>FK36*IF(OR($C36=67,$G36=67),0,1)</f>
        <v/>
      </c>
      <c r="FL37">
        <f>FL36*IF(OR($C36=68,$G36=68),0,1)</f>
        <v/>
      </c>
      <c r="FM37">
        <f>FM36*IF(OR($C36=69,$G36=69),0,1)</f>
        <v/>
      </c>
      <c r="FN37">
        <f>FN36*IF(OR($C36=70,$G36=70),0,1)</f>
        <v/>
      </c>
      <c r="FO37">
        <f>FO36*IF(OR($C36=71,$G36=71),0,1)</f>
        <v/>
      </c>
      <c r="FP37">
        <f>FP36*IF(OR($C36=72,$G36=72),0,1)</f>
        <v/>
      </c>
      <c r="FQ37">
        <f>FQ36*IF(OR($C36=73,$G36=73),0,1)</f>
        <v/>
      </c>
      <c r="FR37">
        <f>FR36*IF(OR($C36=74,$G36=74),0,1)</f>
        <v/>
      </c>
      <c r="FS37">
        <f>FS36*IF(OR($C36=75,$G36=75),0,1)</f>
        <v/>
      </c>
      <c r="FT37">
        <f>FT36*IF(OR($C36=76,$G36=76),0,1)</f>
        <v/>
      </c>
      <c r="FU37">
        <f>FU36*IF(OR($C36=77,$G36=77),0,1)</f>
        <v/>
      </c>
      <c r="FV37">
        <f>FV36*IF(OR($C36=78,$G36=78),0,1)</f>
        <v/>
      </c>
      <c r="FW37">
        <f>FW36*IF(OR($C36=79,$G36=79),0,1)</f>
        <v/>
      </c>
      <c r="FX37">
        <f>FX36*IF(OR($C36=80,$G36=80),0,1)</f>
        <v/>
      </c>
      <c r="FY37">
        <f>FY36*IF(OR($C36=81,$G36=81),0,1)</f>
        <v/>
      </c>
      <c r="FZ37">
        <f>FZ36*IF(OR($C36=82,$G36=82),0,1)</f>
        <v/>
      </c>
      <c r="GA37">
        <f>GA36*IF(OR($C36=83,$G36=83),0,1)</f>
        <v/>
      </c>
      <c r="GB37">
        <f>GB36*IF(OR($C36=84,$G36=84),0,1)</f>
        <v/>
      </c>
      <c r="GC37">
        <f>GC36*IF(OR($C36=85,$G36=85),0,1)</f>
        <v/>
      </c>
      <c r="GD37">
        <f>GD36*IF(OR($C36=86,$G36=86),0,1)</f>
        <v/>
      </c>
      <c r="GE37">
        <f>GE36*IF(OR($C36=87,$G36=87),0,1)</f>
        <v/>
      </c>
      <c r="GF37">
        <f>GF36*IF(OR($C36=88,$G36=88),0,1)</f>
        <v/>
      </c>
      <c r="GG37">
        <f>GG36*IF(OR($C36=89,$G36=89),0,1)</f>
        <v/>
      </c>
      <c r="GH37">
        <f>GH36*IF(OR($C36=90,$G36=90),0,1)</f>
        <v/>
      </c>
      <c r="GI37">
        <f>GI36*IF(OR($C36=91,$G36=91),0,1)</f>
        <v/>
      </c>
      <c r="GJ37">
        <f>GJ36*IF(OR($C36=92,$G36=92),0,1)</f>
        <v/>
      </c>
      <c r="GK37">
        <f>GK36*IF(OR($C36=93,$G36=93),0,1)</f>
        <v/>
      </c>
      <c r="GL37">
        <f>GL36*IF(OR($C36=94,$G36=94),0,1)</f>
        <v/>
      </c>
      <c r="GM37">
        <f>GM36*IF(OR($C36=95,$G36=95),0,1)</f>
        <v/>
      </c>
      <c r="GN37">
        <f>GN36*IF(OR($C36=96,$G36=96),0,1)</f>
        <v/>
      </c>
      <c r="GO37">
        <f>GO36*IF(OR($C36=97,$G36=97),0,1)</f>
        <v/>
      </c>
      <c r="GP37">
        <f>GP36*IF(OR($C36=98,$G36=98),0,1)</f>
        <v/>
      </c>
      <c r="GQ37">
        <f>GQ36*IF(OR($C36=99,$G36=99),0,1)</f>
        <v/>
      </c>
      <c r="GR37">
        <f>GR36*IF(OR($C36=100,$G36=100),0,1)</f>
        <v/>
      </c>
      <c r="GS37">
        <f>GS36*IF(OR($C36=101,$G36=101),0,1)</f>
        <v/>
      </c>
      <c r="GT37">
        <f>GT36*IF(OR($C36=102,$G36=102),0,1)</f>
        <v/>
      </c>
      <c r="GU37">
        <f>GU36*IF(OR($C36=103,$G36=103),0,1)</f>
        <v/>
      </c>
      <c r="GV37">
        <f>GV36*IF(OR($C36=104,$G36=104),0,1)</f>
        <v/>
      </c>
      <c r="GW37">
        <f>GW36*IF(OR($C36=105,$G36=105),0,1)</f>
        <v/>
      </c>
      <c r="GX37">
        <f>GX36*IF(OR($C36=106,$G36=106),0,1)</f>
        <v/>
      </c>
      <c r="GY37">
        <f>GY36*IF(OR($C36=107,$G36=107),0,1)</f>
        <v/>
      </c>
      <c r="GZ37">
        <f>GZ36*IF(OR($C36=108,$G36=108),0,1)</f>
        <v/>
      </c>
      <c r="HA37">
        <f>HA36*IF(OR($C36=109,$G36=109),0,1)</f>
        <v/>
      </c>
      <c r="HB37">
        <f>HB36*IF(OR($C36=110,$G36=110),0,1)</f>
        <v/>
      </c>
      <c r="HC37">
        <f>HC36*IF(OR($C36=111,$G36=111),0,1)</f>
        <v/>
      </c>
      <c r="HD37">
        <f>HD36*IF(OR($C36=112,$G36=112),0,1)</f>
        <v/>
      </c>
      <c r="HE37">
        <f>HE36*IF(OR($C36=113,$G36=113),0,1)</f>
        <v/>
      </c>
      <c r="HF37">
        <f>HF36*IF(OR($C36=114,$G36=114),0,1)</f>
        <v/>
      </c>
      <c r="HG37">
        <f>HG36*IF(OR($C36=115,$G36=115),0,1)</f>
        <v/>
      </c>
      <c r="HH37">
        <f>HH36*IF(OR($C36=116,$G36=116),0,1)</f>
        <v/>
      </c>
      <c r="HI37">
        <f>HI36*IF(OR($C36=117,$G36=117),0,1)</f>
        <v/>
      </c>
      <c r="HJ37">
        <f>HJ36*IF(OR($C36=118,$G36=118),0,1)</f>
        <v/>
      </c>
      <c r="HK37">
        <f>HK36*IF(OR($C36=119,$G36=119),0,1)</f>
        <v/>
      </c>
      <c r="HL37">
        <f>HL36*IF(OR($C36=120,$G36=120),0,1)</f>
        <v/>
      </c>
      <c r="HN37">
        <f>IF('計算A'!D$106=1,CX37,1)</f>
        <v/>
      </c>
      <c r="HO37">
        <f>IF('計算A'!E$106=1,CY37,1)</f>
        <v/>
      </c>
      <c r="HP37">
        <f>IF('計算A'!F$106=1,CZ37,1)</f>
        <v/>
      </c>
      <c r="HQ37">
        <f>IF('計算A'!G$106=1,DA37,1)</f>
        <v/>
      </c>
      <c r="HR37">
        <f>IF('計算A'!H$106=1,DB37,1)</f>
        <v/>
      </c>
      <c r="HS37">
        <f>IF('計算A'!I$106=1,DC37,1)</f>
        <v/>
      </c>
      <c r="HT37">
        <f>IF('計算A'!J$106=1,DD37,1)</f>
        <v/>
      </c>
      <c r="HU37">
        <f>IF('計算A'!K$106=1,DE37,1)</f>
        <v/>
      </c>
      <c r="HV37">
        <f>IF('計算A'!L$106=1,DF37,1)</f>
        <v/>
      </c>
      <c r="HW37">
        <f>IF('計算A'!M$106=1,DG37,1)</f>
        <v/>
      </c>
      <c r="HX37">
        <f>IF('計算A'!N$106=1,DH37,1)</f>
        <v/>
      </c>
      <c r="HY37">
        <f>IF('計算A'!O$106=1,DI37,1)</f>
        <v/>
      </c>
      <c r="HZ37">
        <f>IF('計算A'!P$106=1,DJ37,1)</f>
        <v/>
      </c>
      <c r="IA37">
        <f>IF('計算A'!Q$106=1,DK37,1)</f>
        <v/>
      </c>
      <c r="IB37">
        <f>IF('計算A'!R$106=1,DL37,1)</f>
        <v/>
      </c>
      <c r="IC37">
        <f>IF('計算A'!S$106=1,DM37,1)</f>
        <v/>
      </c>
      <c r="ID37">
        <f>IF('計算A'!T$106=1,DN37,1)</f>
        <v/>
      </c>
      <c r="IE37">
        <f>IF('計算A'!U$106=1,DO37,1)</f>
        <v/>
      </c>
      <c r="IF37">
        <f>IF('計算A'!V$106=1,DP37,1)</f>
        <v/>
      </c>
      <c r="IG37">
        <f>IF('計算A'!W$106=1,DQ37,1)</f>
        <v/>
      </c>
      <c r="IH37">
        <f>IF('計算A'!X$106=1,DR37,1)</f>
        <v/>
      </c>
      <c r="II37">
        <f>IF('計算A'!Y$106=1,DS37,1)</f>
        <v/>
      </c>
      <c r="IJ37">
        <f>IF('計算A'!Z$106=1,DT37,1)</f>
        <v/>
      </c>
      <c r="IK37">
        <f>IF('計算A'!AA$106=1,DU37,1)</f>
        <v/>
      </c>
      <c r="IL37">
        <f>IF('計算A'!AB$106=1,DV37,1)</f>
        <v/>
      </c>
      <c r="IM37">
        <f>IF('計算A'!AC$106=1,DW37,1)</f>
        <v/>
      </c>
      <c r="IN37">
        <f>IF('計算A'!AD$106=1,DX37,1)</f>
        <v/>
      </c>
      <c r="IO37">
        <f>IF('計算A'!AE$106=1,DY37,1)</f>
        <v/>
      </c>
      <c r="IP37">
        <f>IF('計算A'!AF$106=1,DZ37,1)</f>
        <v/>
      </c>
      <c r="IQ37">
        <f>IF('計算A'!AG$106=1,EA37,1)</f>
        <v/>
      </c>
      <c r="IR37">
        <f>IF('計算A'!AH$106=1,EB37,1)</f>
        <v/>
      </c>
      <c r="IS37">
        <f>IF('計算A'!AI$106=1,EC37,1)</f>
        <v/>
      </c>
      <c r="IT37">
        <f>IF('計算A'!AJ$106=1,ED37,1)</f>
        <v/>
      </c>
      <c r="IU37">
        <f>IF('計算A'!AK$106=1,EE37,1)</f>
        <v/>
      </c>
      <c r="IV37">
        <f>IF('計算A'!AL$106=1,EF37,1)</f>
        <v/>
      </c>
      <c r="IW37">
        <f>IF('計算A'!AM$106=1,EG37,1)</f>
        <v/>
      </c>
      <c r="IX37">
        <f>IF('計算A'!AN$106=1,EH37,1)</f>
        <v/>
      </c>
      <c r="IY37">
        <f>IF('計算A'!AO$106=1,EI37,1)</f>
        <v/>
      </c>
      <c r="IZ37">
        <f>IF('計算A'!AP$106=1,EJ37,1)</f>
        <v/>
      </c>
      <c r="JA37">
        <f>IF('計算A'!AQ$106=1,EK37,1)</f>
        <v/>
      </c>
      <c r="JB37">
        <f>IF('計算A'!AR$106=1,EL37,1)</f>
        <v/>
      </c>
      <c r="JC37">
        <f>IF('計算A'!AS$106=1,EM37,1)</f>
        <v/>
      </c>
      <c r="JD37">
        <f>IF('計算A'!AT$106=1,EN37,1)</f>
        <v/>
      </c>
      <c r="JE37">
        <f>IF('計算A'!AU$106=1,EO37,1)</f>
        <v/>
      </c>
      <c r="JF37">
        <f>IF('計算A'!AV$106=1,EP37,1)</f>
        <v/>
      </c>
      <c r="JG37">
        <f>IF('計算A'!AW$106=1,EQ37,1)</f>
        <v/>
      </c>
      <c r="JH37">
        <f>IF('計算A'!AX$106=1,ER37,1)</f>
        <v/>
      </c>
      <c r="JI37">
        <f>IF('計算A'!AY$106=1,ES37,1)</f>
        <v/>
      </c>
      <c r="JJ37">
        <f>IF('計算A'!AZ$106=1,ET37,1)</f>
        <v/>
      </c>
      <c r="JK37">
        <f>IF('計算A'!BA$106=1,EU37,1)</f>
        <v/>
      </c>
      <c r="JL37">
        <f>IF('計算A'!BB$106=1,EV37,1)</f>
        <v/>
      </c>
      <c r="JM37">
        <f>IF('計算A'!BC$106=1,EW37,1)</f>
        <v/>
      </c>
      <c r="JN37">
        <f>IF('計算A'!BD$106=1,EX37,1)</f>
        <v/>
      </c>
      <c r="JO37">
        <f>IF('計算A'!BE$106=1,EY37,1)</f>
        <v/>
      </c>
      <c r="JP37">
        <f>IF('計算A'!BF$106=1,EZ37,1)</f>
        <v/>
      </c>
      <c r="JQ37">
        <f>IF('計算A'!BG$106=1,FA37,1)</f>
        <v/>
      </c>
      <c r="JR37">
        <f>IF('計算A'!BH$106=1,FB37,1)</f>
        <v/>
      </c>
      <c r="JS37">
        <f>IF('計算A'!BI$106=1,FC37,1)</f>
        <v/>
      </c>
      <c r="JT37">
        <f>IF('計算A'!BJ$106=1,FD37,1)</f>
        <v/>
      </c>
      <c r="JU37">
        <f>IF('計算A'!BK$106=1,FE37,1)</f>
        <v/>
      </c>
      <c r="JV37">
        <f>IF('計算A'!BL$106=1,FF37,1)</f>
        <v/>
      </c>
      <c r="JW37">
        <f>IF('計算A'!BM$106=1,FG37,1)</f>
        <v/>
      </c>
      <c r="JX37">
        <f>IF('計算A'!BN$106=1,FH37,1)</f>
        <v/>
      </c>
      <c r="JY37">
        <f>IF('計算A'!BO$106=1,FI37,1)</f>
        <v/>
      </c>
      <c r="JZ37">
        <f>IF('計算A'!BP$106=1,FJ37,1)</f>
        <v/>
      </c>
      <c r="KA37">
        <f>IF('計算A'!BQ$106=1,FK37,1)</f>
        <v/>
      </c>
      <c r="KB37">
        <f>IF('計算A'!BR$106=1,FL37,1)</f>
        <v/>
      </c>
      <c r="KC37">
        <f>IF('計算A'!BS$106=1,FM37,1)</f>
        <v/>
      </c>
      <c r="KD37">
        <f>IF('計算A'!BT$106=1,FN37,1)</f>
        <v/>
      </c>
      <c r="KE37">
        <f>IF('計算A'!BU$106=1,FO37,1)</f>
        <v/>
      </c>
      <c r="KF37">
        <f>IF('計算A'!BV$106=1,FP37,1)</f>
        <v/>
      </c>
      <c r="KG37">
        <f>IF('計算A'!BW$106=1,FQ37,1)</f>
        <v/>
      </c>
      <c r="KH37">
        <f>IF('計算A'!BX$106=1,FR37,1)</f>
        <v/>
      </c>
      <c r="KI37">
        <f>IF('計算A'!BY$106=1,FS37,1)</f>
        <v/>
      </c>
      <c r="KJ37">
        <f>IF('計算A'!BZ$106=1,FT37,1)</f>
        <v/>
      </c>
      <c r="KK37">
        <f>IF('計算A'!CA$106=1,FU37,1)</f>
        <v/>
      </c>
      <c r="KL37">
        <f>IF('計算A'!CB$106=1,FV37,1)</f>
        <v/>
      </c>
      <c r="KM37">
        <f>IF('計算A'!CC$106=1,FW37,1)</f>
        <v/>
      </c>
      <c r="KN37">
        <f>IF('計算A'!CD$106=1,FX37,1)</f>
        <v/>
      </c>
      <c r="KO37">
        <f>IF('計算A'!CE$106=1,FY37,1)</f>
        <v/>
      </c>
      <c r="KP37">
        <f>IF('計算A'!CF$106=1,FZ37,1)</f>
        <v/>
      </c>
      <c r="KQ37">
        <f>IF('計算A'!CG$106=1,GA37,1)</f>
        <v/>
      </c>
      <c r="KR37">
        <f>IF('計算A'!CH$106=1,GB37,1)</f>
        <v/>
      </c>
      <c r="KS37">
        <f>IF('計算A'!CI$106=1,GC37,1)</f>
        <v/>
      </c>
      <c r="KT37">
        <f>IF('計算A'!CJ$106=1,GD37,1)</f>
        <v/>
      </c>
      <c r="KU37">
        <f>IF('計算A'!CK$106=1,GE37,1)</f>
        <v/>
      </c>
      <c r="KV37">
        <f>IF('計算A'!CL$106=1,GF37,1)</f>
        <v/>
      </c>
      <c r="KW37">
        <f>IF('計算A'!CM$106=1,GG37,1)</f>
        <v/>
      </c>
      <c r="KX37">
        <f>IF('計算A'!CN$106=1,GH37,1)</f>
        <v/>
      </c>
      <c r="KY37">
        <f>IF('計算A'!CO$106=1,GI37,1)</f>
        <v/>
      </c>
      <c r="KZ37">
        <f>IF('計算A'!CP$106=1,GJ37,1)</f>
        <v/>
      </c>
      <c r="LA37">
        <f>IF('計算A'!CQ$106=1,GK37,1)</f>
        <v/>
      </c>
      <c r="LB37">
        <f>IF('計算A'!CR$106=1,GL37,1)</f>
        <v/>
      </c>
      <c r="LC37">
        <f>IF('計算A'!CS$106=1,GM37,1)</f>
        <v/>
      </c>
      <c r="LD37">
        <f>IF('計算A'!CT$106=1,GN37,1)</f>
        <v/>
      </c>
      <c r="LE37">
        <f>IF('計算A'!CU$106=1,GO37,1)</f>
        <v/>
      </c>
      <c r="LF37">
        <f>IF('計算A'!CV$106=1,GP37,1)</f>
        <v/>
      </c>
      <c r="LG37">
        <f>IF('計算A'!CW$106=1,GQ37,1)</f>
        <v/>
      </c>
      <c r="LH37">
        <f>IF('計算A'!CX$106=1,GR37,1)</f>
        <v/>
      </c>
      <c r="LI37">
        <f>IF('計算A'!CY$106=1,GS37,1)</f>
        <v/>
      </c>
      <c r="LJ37">
        <f>IF('計算A'!CZ$106=1,GT37,1)</f>
        <v/>
      </c>
      <c r="LK37">
        <f>IF('計算A'!DA$106=1,GU37,1)</f>
        <v/>
      </c>
      <c r="LL37">
        <f>IF('計算A'!DB$106=1,GV37,1)</f>
        <v/>
      </c>
      <c r="LM37">
        <f>IF('計算A'!DC$106=1,GW37,1)</f>
        <v/>
      </c>
      <c r="LN37">
        <f>IF('計算A'!DD$106=1,GX37,1)</f>
        <v/>
      </c>
      <c r="LO37">
        <f>IF('計算A'!DE$106=1,GY37,1)</f>
        <v/>
      </c>
      <c r="LP37">
        <f>IF('計算A'!DF$106=1,GZ37,1)</f>
        <v/>
      </c>
      <c r="LQ37">
        <f>IF('計算A'!DG$106=1,HA37,1)</f>
        <v/>
      </c>
      <c r="LR37">
        <f>IF('計算A'!DH$106=1,HB37,1)</f>
        <v/>
      </c>
      <c r="LS37">
        <f>IF('計算A'!DI$106=1,HC37,1)</f>
        <v/>
      </c>
      <c r="LT37">
        <f>IF('計算A'!DJ$106=1,HD37,1)</f>
        <v/>
      </c>
      <c r="LU37">
        <f>IF('計算A'!DK$106=1,HE37,1)</f>
        <v/>
      </c>
      <c r="LV37">
        <f>IF('計算A'!DL$106=1,HF37,1)</f>
        <v/>
      </c>
      <c r="LW37">
        <f>IF('計算A'!DM$106=1,HG37,1)</f>
        <v/>
      </c>
      <c r="LX37">
        <f>IF('計算A'!DN$106=1,HH37,1)</f>
        <v/>
      </c>
      <c r="LY37">
        <f>IF('計算A'!DO$106=1,HI37,1)</f>
        <v/>
      </c>
      <c r="LZ37">
        <f>IF('計算A'!DP$106=1,HJ37,1)</f>
        <v/>
      </c>
      <c r="MA37">
        <f>IF('計算A'!DQ$106=1,HK37,1)</f>
        <v/>
      </c>
      <c r="MB37">
        <f>IF('計算A'!DR$106=1,HL37,1)</f>
        <v/>
      </c>
      <c r="MC37" t="n">
        <v>1</v>
      </c>
      <c r="ME37">
        <f>IF($B37=0,1000000,IF(INDEX('計算A'!$D$60:$DS$104,$B37,1)*CW37=1,IF(AND($E37=2,HN37=0),1000000,INDEX('計算A'!D$110:D$114,$F37+1)+IF(AND($E37=1,HN37=0),1000,0)),1000000))</f>
        <v/>
      </c>
      <c r="MF37">
        <f>IF($B37=0,1000000,IF(INDEX('計算A'!$D$60:$DS$104,$B37,2)*CX37=1,IF(AND($E37=2,HO37=0),1000000,INDEX('計算A'!E$110:E$114,$F37+1)+IF(AND($E37=1,HO37=0),1000,0)),1000000))</f>
        <v/>
      </c>
      <c r="MG37">
        <f>IF($B37=0,1000000,IF(INDEX('計算A'!$D$60:$DS$104,$B37,3)*CY37=1,IF(AND($E37=2,HP37=0),1000000,INDEX('計算A'!F$110:F$114,$F37+1)+IF(AND($E37=1,HP37=0),1000,0)),1000000))</f>
        <v/>
      </c>
      <c r="MH37">
        <f>IF($B37=0,1000000,IF(INDEX('計算A'!$D$60:$DS$104,$B37,4)*CZ37=1,IF(AND($E37=2,HQ37=0),1000000,INDEX('計算A'!G$110:G$114,$F37+1)+IF(AND($E37=1,HQ37=0),1000,0)),1000000))</f>
        <v/>
      </c>
      <c r="MI37">
        <f>IF($B37=0,1000000,IF(INDEX('計算A'!$D$60:$DS$104,$B37,5)*DA37=1,IF(AND($E37=2,HR37=0),1000000,INDEX('計算A'!H$110:H$114,$F37+1)+IF(AND($E37=1,HR37=0),1000,0)),1000000))</f>
        <v/>
      </c>
      <c r="MJ37">
        <f>IF($B37=0,1000000,IF(INDEX('計算A'!$D$60:$DS$104,$B37,6)*DB37=1,IF(AND($E37=2,HS37=0),1000000,INDEX('計算A'!I$110:I$114,$F37+1)+IF(AND($E37=1,HS37=0),1000,0)),1000000))</f>
        <v/>
      </c>
      <c r="MK37">
        <f>IF($B37=0,1000000,IF(INDEX('計算A'!$D$60:$DS$104,$B37,7)*DC37=1,IF(AND($E37=2,HT37=0),1000000,INDEX('計算A'!J$110:J$114,$F37+1)+IF(AND($E37=1,HT37=0),1000,0)),1000000))</f>
        <v/>
      </c>
      <c r="ML37">
        <f>IF($B37=0,1000000,IF(INDEX('計算A'!$D$60:$DS$104,$B37,8)*DD37=1,IF(AND($E37=2,HU37=0),1000000,INDEX('計算A'!K$110:K$114,$F37+1)+IF(AND($E37=1,HU37=0),1000,0)),1000000))</f>
        <v/>
      </c>
      <c r="MM37">
        <f>IF($B37=0,1000000,IF(INDEX('計算A'!$D$60:$DS$104,$B37,9)*DE37=1,IF(AND($E37=2,HV37=0),1000000,INDEX('計算A'!L$110:L$114,$F37+1)+IF(AND($E37=1,HV37=0),1000,0)),1000000))</f>
        <v/>
      </c>
      <c r="MN37">
        <f>IF($B37=0,1000000,IF(INDEX('計算A'!$D$60:$DS$104,$B37,10)*DF37=1,IF(AND($E37=2,HW37=0),1000000,INDEX('計算A'!M$110:M$114,$F37+1)+IF(AND($E37=1,HW37=0),1000,0)),1000000))</f>
        <v/>
      </c>
      <c r="MO37">
        <f>IF($B37=0,1000000,IF(INDEX('計算A'!$D$60:$DS$104,$B37,11)*DG37=1,IF(AND($E37=2,HX37=0),1000000,INDEX('計算A'!N$110:N$114,$F37+1)+IF(AND($E37=1,HX37=0),1000,0)),1000000))</f>
        <v/>
      </c>
      <c r="MP37">
        <f>IF($B37=0,1000000,IF(INDEX('計算A'!$D$60:$DS$104,$B37,12)*DH37=1,IF(AND($E37=2,HY37=0),1000000,INDEX('計算A'!O$110:O$114,$F37+1)+IF(AND($E37=1,HY37=0),1000,0)),1000000))</f>
        <v/>
      </c>
      <c r="MQ37">
        <f>IF($B37=0,1000000,IF(INDEX('計算A'!$D$60:$DS$104,$B37,13)*DI37=1,IF(AND($E37=2,HZ37=0),1000000,INDEX('計算A'!P$110:P$114,$F37+1)+IF(AND($E37=1,HZ37=0),1000,0)),1000000))</f>
        <v/>
      </c>
      <c r="MR37">
        <f>IF($B37=0,1000000,IF(INDEX('計算A'!$D$60:$DS$104,$B37,14)*DJ37=1,IF(AND($E37=2,IA37=0),1000000,INDEX('計算A'!Q$110:Q$114,$F37+1)+IF(AND($E37=1,IA37=0),1000,0)),1000000))</f>
        <v/>
      </c>
      <c r="MS37">
        <f>IF($B37=0,1000000,IF(INDEX('計算A'!$D$60:$DS$104,$B37,15)*DK37=1,IF(AND($E37=2,IB37=0),1000000,INDEX('計算A'!R$110:R$114,$F37+1)+IF(AND($E37=1,IB37=0),1000,0)),1000000))</f>
        <v/>
      </c>
      <c r="MT37">
        <f>IF($B37=0,1000000,IF(INDEX('計算A'!$D$60:$DS$104,$B37,16)*DL37=1,IF(AND($E37=2,IC37=0),1000000,INDEX('計算A'!S$110:S$114,$F37+1)+IF(AND($E37=1,IC37=0),1000,0)),1000000))</f>
        <v/>
      </c>
      <c r="MU37">
        <f>IF($B37=0,1000000,IF(INDEX('計算A'!$D$60:$DS$104,$B37,17)*DM37=1,IF(AND($E37=2,ID37=0),1000000,INDEX('計算A'!T$110:T$114,$F37+1)+IF(AND($E37=1,ID37=0),1000,0)),1000000))</f>
        <v/>
      </c>
      <c r="MV37">
        <f>IF($B37=0,1000000,IF(INDEX('計算A'!$D$60:$DS$104,$B37,18)*DN37=1,IF(AND($E37=2,IE37=0),1000000,INDEX('計算A'!U$110:U$114,$F37+1)+IF(AND($E37=1,IE37=0),1000,0)),1000000))</f>
        <v/>
      </c>
      <c r="MW37">
        <f>IF($B37=0,1000000,IF(INDEX('計算A'!$D$60:$DS$104,$B37,19)*DO37=1,IF(AND($E37=2,IF37=0),1000000,INDEX('計算A'!V$110:V$114,$F37+1)+IF(AND($E37=1,IF37=0),1000,0)),1000000))</f>
        <v/>
      </c>
      <c r="MX37">
        <f>IF($B37=0,1000000,IF(INDEX('計算A'!$D$60:$DS$104,$B37,20)*DP37=1,IF(AND($E37=2,IG37=0),1000000,INDEX('計算A'!W$110:W$114,$F37+1)+IF(AND($E37=1,IG37=0),1000,0)),1000000))</f>
        <v/>
      </c>
      <c r="MY37">
        <f>IF($B37=0,1000000,IF(INDEX('計算A'!$D$60:$DS$104,$B37,21)*DQ37=1,IF(AND($E37=2,IH37=0),1000000,INDEX('計算A'!X$110:X$114,$F37+1)+IF(AND($E37=1,IH37=0),1000,0)),1000000))</f>
        <v/>
      </c>
      <c r="MZ37">
        <f>IF($B37=0,1000000,IF(INDEX('計算A'!$D$60:$DS$104,$B37,22)*DR37=1,IF(AND($E37=2,II37=0),1000000,INDEX('計算A'!Y$110:Y$114,$F37+1)+IF(AND($E37=1,II37=0),1000,0)),1000000))</f>
        <v/>
      </c>
      <c r="NA37">
        <f>IF($B37=0,1000000,IF(INDEX('計算A'!$D$60:$DS$104,$B37,23)*DS37=1,IF(AND($E37=2,IJ37=0),1000000,INDEX('計算A'!Z$110:Z$114,$F37+1)+IF(AND($E37=1,IJ37=0),1000,0)),1000000))</f>
        <v/>
      </c>
      <c r="NB37">
        <f>IF($B37=0,1000000,IF(INDEX('計算A'!$D$60:$DS$104,$B37,24)*DT37=1,IF(AND($E37=2,IK37=0),1000000,INDEX('計算A'!AA$110:AA$114,$F37+1)+IF(AND($E37=1,IK37=0),1000,0)),1000000))</f>
        <v/>
      </c>
      <c r="NC37">
        <f>IF($B37=0,1000000,IF(INDEX('計算A'!$D$60:$DS$104,$B37,25)*DU37=1,IF(AND($E37=2,IL37=0),1000000,INDEX('計算A'!AB$110:AB$114,$F37+1)+IF(AND($E37=1,IL37=0),1000,0)),1000000))</f>
        <v/>
      </c>
      <c r="ND37">
        <f>IF($B37=0,1000000,IF(INDEX('計算A'!$D$60:$DS$104,$B37,26)*DV37=1,IF(AND($E37=2,IM37=0),1000000,INDEX('計算A'!AC$110:AC$114,$F37+1)+IF(AND($E37=1,IM37=0),1000,0)),1000000))</f>
        <v/>
      </c>
      <c r="NE37">
        <f>IF($B37=0,1000000,IF(INDEX('計算A'!$D$60:$DS$104,$B37,27)*DW37=1,IF(AND($E37=2,IN37=0),1000000,INDEX('計算A'!AD$110:AD$114,$F37+1)+IF(AND($E37=1,IN37=0),1000,0)),1000000))</f>
        <v/>
      </c>
      <c r="NF37">
        <f>IF($B37=0,1000000,IF(INDEX('計算A'!$D$60:$DS$104,$B37,28)*DX37=1,IF(AND($E37=2,IO37=0),1000000,INDEX('計算A'!AE$110:AE$114,$F37+1)+IF(AND($E37=1,IO37=0),1000,0)),1000000))</f>
        <v/>
      </c>
      <c r="NG37">
        <f>IF($B37=0,1000000,IF(INDEX('計算A'!$D$60:$DS$104,$B37,29)*DY37=1,IF(AND($E37=2,IP37=0),1000000,INDEX('計算A'!AF$110:AF$114,$F37+1)+IF(AND($E37=1,IP37=0),1000,0)),1000000))</f>
        <v/>
      </c>
      <c r="NH37">
        <f>IF($B37=0,1000000,IF(INDEX('計算A'!$D$60:$DS$104,$B37,30)*DZ37=1,IF(AND($E37=2,IQ37=0),1000000,INDEX('計算A'!AG$110:AG$114,$F37+1)+IF(AND($E37=1,IQ37=0),1000,0)),1000000))</f>
        <v/>
      </c>
      <c r="NI37">
        <f>IF($B37=0,1000000,IF(INDEX('計算A'!$D$60:$DS$104,$B37,31)*EA37=1,IF(AND($E37=2,IR37=0),1000000,INDEX('計算A'!AH$110:AH$114,$F37+1)+IF(AND($E37=1,IR37=0),1000,0)),1000000))</f>
        <v/>
      </c>
      <c r="NJ37">
        <f>IF($B37=0,1000000,IF(INDEX('計算A'!$D$60:$DS$104,$B37,32)*EB37=1,IF(AND($E37=2,IS37=0),1000000,INDEX('計算A'!AI$110:AI$114,$F37+1)+IF(AND($E37=1,IS37=0),1000,0)),1000000))</f>
        <v/>
      </c>
      <c r="NK37">
        <f>IF($B37=0,1000000,IF(INDEX('計算A'!$D$60:$DS$104,$B37,33)*EC37=1,IF(AND($E37=2,IT37=0),1000000,INDEX('計算A'!AJ$110:AJ$114,$F37+1)+IF(AND($E37=1,IT37=0),1000,0)),1000000))</f>
        <v/>
      </c>
      <c r="NL37">
        <f>IF($B37=0,1000000,IF(INDEX('計算A'!$D$60:$DS$104,$B37,34)*ED37=1,IF(AND($E37=2,IU37=0),1000000,INDEX('計算A'!AK$110:AK$114,$F37+1)+IF(AND($E37=1,IU37=0),1000,0)),1000000))</f>
        <v/>
      </c>
      <c r="NM37">
        <f>IF($B37=0,1000000,IF(INDEX('計算A'!$D$60:$DS$104,$B37,35)*EE37=1,IF(AND($E37=2,IV37=0),1000000,INDEX('計算A'!AL$110:AL$114,$F37+1)+IF(AND($E37=1,IV37=0),1000,0)),1000000))</f>
        <v/>
      </c>
      <c r="NN37">
        <f>IF($B37=0,1000000,IF(INDEX('計算A'!$D$60:$DS$104,$B37,36)*EF37=1,IF(AND($E37=2,IW37=0),1000000,INDEX('計算A'!AM$110:AM$114,$F37+1)+IF(AND($E37=1,IW37=0),1000,0)),1000000))</f>
        <v/>
      </c>
      <c r="NO37">
        <f>IF($B37=0,1000000,IF(INDEX('計算A'!$D$60:$DS$104,$B37,37)*EG37=1,IF(AND($E37=2,IX37=0),1000000,INDEX('計算A'!AN$110:AN$114,$F37+1)+IF(AND($E37=1,IX37=0),1000,0)),1000000))</f>
        <v/>
      </c>
      <c r="NP37">
        <f>IF($B37=0,1000000,IF(INDEX('計算A'!$D$60:$DS$104,$B37,38)*EH37=1,IF(AND($E37=2,IY37=0),1000000,INDEX('計算A'!AO$110:AO$114,$F37+1)+IF(AND($E37=1,IY37=0),1000,0)),1000000))</f>
        <v/>
      </c>
      <c r="NQ37">
        <f>IF($B37=0,1000000,IF(INDEX('計算A'!$D$60:$DS$104,$B37,39)*EI37=1,IF(AND($E37=2,IZ37=0),1000000,INDEX('計算A'!AP$110:AP$114,$F37+1)+IF(AND($E37=1,IZ37=0),1000,0)),1000000))</f>
        <v/>
      </c>
      <c r="NR37">
        <f>IF($B37=0,1000000,IF(INDEX('計算A'!$D$60:$DS$104,$B37,40)*EJ37=1,IF(AND($E37=2,JA37=0),1000000,INDEX('計算A'!AQ$110:AQ$114,$F37+1)+IF(AND($E37=1,JA37=0),1000,0)),1000000))</f>
        <v/>
      </c>
      <c r="NS37">
        <f>IF($B37=0,1000000,IF(INDEX('計算A'!$D$60:$DS$104,$B37,41)*EK37=1,IF(AND($E37=2,JB37=0),1000000,INDEX('計算A'!AR$110:AR$114,$F37+1)+IF(AND($E37=1,JB37=0),1000,0)),1000000))</f>
        <v/>
      </c>
      <c r="NT37">
        <f>IF($B37=0,1000000,IF(INDEX('計算A'!$D$60:$DS$104,$B37,42)*EL37=1,IF(AND($E37=2,JC37=0),1000000,INDEX('計算A'!AS$110:AS$114,$F37+1)+IF(AND($E37=1,JC37=0),1000,0)),1000000))</f>
        <v/>
      </c>
      <c r="NU37">
        <f>IF($B37=0,1000000,IF(INDEX('計算A'!$D$60:$DS$104,$B37,43)*EM37=1,IF(AND($E37=2,JD37=0),1000000,INDEX('計算A'!AT$110:AT$114,$F37+1)+IF(AND($E37=1,JD37=0),1000,0)),1000000))</f>
        <v/>
      </c>
      <c r="NV37">
        <f>IF($B37=0,1000000,IF(INDEX('計算A'!$D$60:$DS$104,$B37,44)*EN37=1,IF(AND($E37=2,JE37=0),1000000,INDEX('計算A'!AU$110:AU$114,$F37+1)+IF(AND($E37=1,JE37=0),1000,0)),1000000))</f>
        <v/>
      </c>
      <c r="NW37">
        <f>IF($B37=0,1000000,IF(INDEX('計算A'!$D$60:$DS$104,$B37,45)*EO37=1,IF(AND($E37=2,JF37=0),1000000,INDEX('計算A'!AV$110:AV$114,$F37+1)+IF(AND($E37=1,JF37=0),1000,0)),1000000))</f>
        <v/>
      </c>
      <c r="NX37">
        <f>IF($B37=0,1000000,IF(INDEX('計算A'!$D$60:$DS$104,$B37,46)*EP37=1,IF(AND($E37=2,JG37=0),1000000,INDEX('計算A'!AW$110:AW$114,$F37+1)+IF(AND($E37=1,JG37=0),1000,0)),1000000))</f>
        <v/>
      </c>
      <c r="NY37">
        <f>IF($B37=0,1000000,IF(INDEX('計算A'!$D$60:$DS$104,$B37,47)*EQ37=1,IF(AND($E37=2,JH37=0),1000000,INDEX('計算A'!AX$110:AX$114,$F37+1)+IF(AND($E37=1,JH37=0),1000,0)),1000000))</f>
        <v/>
      </c>
      <c r="NZ37">
        <f>IF($B37=0,1000000,IF(INDEX('計算A'!$D$60:$DS$104,$B37,48)*ER37=1,IF(AND($E37=2,JI37=0),1000000,INDEX('計算A'!AY$110:AY$114,$F37+1)+IF(AND($E37=1,JI37=0),1000,0)),1000000))</f>
        <v/>
      </c>
      <c r="OA37">
        <f>IF($B37=0,1000000,IF(INDEX('計算A'!$D$60:$DS$104,$B37,49)*ES37=1,IF(AND($E37=2,JJ37=0),1000000,INDEX('計算A'!AZ$110:AZ$114,$F37+1)+IF(AND($E37=1,JJ37=0),1000,0)),1000000))</f>
        <v/>
      </c>
      <c r="OB37">
        <f>IF($B37=0,1000000,IF(INDEX('計算A'!$D$60:$DS$104,$B37,50)*ET37=1,IF(AND($E37=2,JK37=0),1000000,INDEX('計算A'!BA$110:BA$114,$F37+1)+IF(AND($E37=1,JK37=0),1000,0)),1000000))</f>
        <v/>
      </c>
      <c r="OC37">
        <f>IF($B37=0,1000000,IF(INDEX('計算A'!$D$60:$DS$104,$B37,51)*EU37=1,IF(AND($E37=2,JL37=0),1000000,INDEX('計算A'!BB$110:BB$114,$F37+1)+IF(AND($E37=1,JL37=0),1000,0)),1000000))</f>
        <v/>
      </c>
      <c r="OD37">
        <f>IF($B37=0,1000000,IF(INDEX('計算A'!$D$60:$DS$104,$B37,52)*EV37=1,IF(AND($E37=2,JM37=0),1000000,INDEX('計算A'!BC$110:BC$114,$F37+1)+IF(AND($E37=1,JM37=0),1000,0)),1000000))</f>
        <v/>
      </c>
      <c r="OE37">
        <f>IF($B37=0,1000000,IF(INDEX('計算A'!$D$60:$DS$104,$B37,53)*EW37=1,IF(AND($E37=2,JN37=0),1000000,INDEX('計算A'!BD$110:BD$114,$F37+1)+IF(AND($E37=1,JN37=0),1000,0)),1000000))</f>
        <v/>
      </c>
      <c r="OF37">
        <f>IF($B37=0,1000000,IF(INDEX('計算A'!$D$60:$DS$104,$B37,54)*EX37=1,IF(AND($E37=2,JO37=0),1000000,INDEX('計算A'!BE$110:BE$114,$F37+1)+IF(AND($E37=1,JO37=0),1000,0)),1000000))</f>
        <v/>
      </c>
      <c r="OG37">
        <f>IF($B37=0,1000000,IF(INDEX('計算A'!$D$60:$DS$104,$B37,55)*EY37=1,IF(AND($E37=2,JP37=0),1000000,INDEX('計算A'!BF$110:BF$114,$F37+1)+IF(AND($E37=1,JP37=0),1000,0)),1000000))</f>
        <v/>
      </c>
      <c r="OH37">
        <f>IF($B37=0,1000000,IF(INDEX('計算A'!$D$60:$DS$104,$B37,56)*EZ37=1,IF(AND($E37=2,JQ37=0),1000000,INDEX('計算A'!BG$110:BG$114,$F37+1)+IF(AND($E37=1,JQ37=0),1000,0)),1000000))</f>
        <v/>
      </c>
      <c r="OI37">
        <f>IF($B37=0,1000000,IF(INDEX('計算A'!$D$60:$DS$104,$B37,57)*FA37=1,IF(AND($E37=2,JR37=0),1000000,INDEX('計算A'!BH$110:BH$114,$F37+1)+IF(AND($E37=1,JR37=0),1000,0)),1000000))</f>
        <v/>
      </c>
      <c r="OJ37">
        <f>IF($B37=0,1000000,IF(INDEX('計算A'!$D$60:$DS$104,$B37,58)*FB37=1,IF(AND($E37=2,JS37=0),1000000,INDEX('計算A'!BI$110:BI$114,$F37+1)+IF(AND($E37=1,JS37=0),1000,0)),1000000))</f>
        <v/>
      </c>
      <c r="OK37">
        <f>IF($B37=0,1000000,IF(INDEX('計算A'!$D$60:$DS$104,$B37,59)*FC37=1,IF(AND($E37=2,JT37=0),1000000,INDEX('計算A'!BJ$110:BJ$114,$F37+1)+IF(AND($E37=1,JT37=0),1000,0)),1000000))</f>
        <v/>
      </c>
      <c r="OL37">
        <f>IF($B37=0,1000000,IF(INDEX('計算A'!$D$60:$DS$104,$B37,60)*FD37=1,IF(AND($E37=2,JU37=0),1000000,INDEX('計算A'!BK$110:BK$114,$F37+1)+IF(AND($E37=1,JU37=0),1000,0)),1000000))</f>
        <v/>
      </c>
      <c r="OM37">
        <f>IF($B37=0,1000000,IF(INDEX('計算A'!$D$60:$DS$104,$B37,61)*FE37=1,IF(AND($E37=2,JV37=0),1000000,INDEX('計算A'!BL$110:BL$114,$F37+1)+IF(AND($E37=1,JV37=0),1000,0)),1000000))</f>
        <v/>
      </c>
      <c r="ON37">
        <f>IF($B37=0,1000000,IF(INDEX('計算A'!$D$60:$DS$104,$B37,62)*FF37=1,IF(AND($E37=2,JW37=0),1000000,INDEX('計算A'!BM$110:BM$114,$F37+1)+IF(AND($E37=1,JW37=0),1000,0)),1000000))</f>
        <v/>
      </c>
      <c r="OO37">
        <f>IF($B37=0,1000000,IF(INDEX('計算A'!$D$60:$DS$104,$B37,63)*FG37=1,IF(AND($E37=2,JX37=0),1000000,INDEX('計算A'!BN$110:BN$114,$F37+1)+IF(AND($E37=1,JX37=0),1000,0)),1000000))</f>
        <v/>
      </c>
      <c r="OP37">
        <f>IF($B37=0,1000000,IF(INDEX('計算A'!$D$60:$DS$104,$B37,64)*FH37=1,IF(AND($E37=2,JY37=0),1000000,INDEX('計算A'!BO$110:BO$114,$F37+1)+IF(AND($E37=1,JY37=0),1000,0)),1000000))</f>
        <v/>
      </c>
      <c r="OQ37">
        <f>IF($B37=0,1000000,IF(INDEX('計算A'!$D$60:$DS$104,$B37,65)*FI37=1,IF(AND($E37=2,JZ37=0),1000000,INDEX('計算A'!BP$110:BP$114,$F37+1)+IF(AND($E37=1,JZ37=0),1000,0)),1000000))</f>
        <v/>
      </c>
      <c r="OR37">
        <f>IF($B37=0,1000000,IF(INDEX('計算A'!$D$60:$DS$104,$B37,66)*FJ37=1,IF(AND($E37=2,KA37=0),1000000,INDEX('計算A'!BQ$110:BQ$114,$F37+1)+IF(AND($E37=1,KA37=0),1000,0)),1000000))</f>
        <v/>
      </c>
      <c r="OS37">
        <f>IF($B37=0,1000000,IF(INDEX('計算A'!$D$60:$DS$104,$B37,67)*FK37=1,IF(AND($E37=2,KB37=0),1000000,INDEX('計算A'!BR$110:BR$114,$F37+1)+IF(AND($E37=1,KB37=0),1000,0)),1000000))</f>
        <v/>
      </c>
      <c r="OT37">
        <f>IF($B37=0,1000000,IF(INDEX('計算A'!$D$60:$DS$104,$B37,68)*FL37=1,IF(AND($E37=2,KC37=0),1000000,INDEX('計算A'!BS$110:BS$114,$F37+1)+IF(AND($E37=1,KC37=0),1000,0)),1000000))</f>
        <v/>
      </c>
      <c r="OU37">
        <f>IF($B37=0,1000000,IF(INDEX('計算A'!$D$60:$DS$104,$B37,69)*FM37=1,IF(AND($E37=2,KD37=0),1000000,INDEX('計算A'!BT$110:BT$114,$F37+1)+IF(AND($E37=1,KD37=0),1000,0)),1000000))</f>
        <v/>
      </c>
      <c r="OV37">
        <f>IF($B37=0,1000000,IF(INDEX('計算A'!$D$60:$DS$104,$B37,70)*FN37=1,IF(AND($E37=2,KE37=0),1000000,INDEX('計算A'!BU$110:BU$114,$F37+1)+IF(AND($E37=1,KE37=0),1000,0)),1000000))</f>
        <v/>
      </c>
      <c r="OW37">
        <f>IF($B37=0,1000000,IF(INDEX('計算A'!$D$60:$DS$104,$B37,71)*FO37=1,IF(AND($E37=2,KF37=0),1000000,INDEX('計算A'!BV$110:BV$114,$F37+1)+IF(AND($E37=1,KF37=0),1000,0)),1000000))</f>
        <v/>
      </c>
      <c r="OX37">
        <f>IF($B37=0,1000000,IF(INDEX('計算A'!$D$60:$DS$104,$B37,72)*FP37=1,IF(AND($E37=2,KG37=0),1000000,INDEX('計算A'!BW$110:BW$114,$F37+1)+IF(AND($E37=1,KG37=0),1000,0)),1000000))</f>
        <v/>
      </c>
      <c r="OY37">
        <f>IF($B37=0,1000000,IF(INDEX('計算A'!$D$60:$DS$104,$B37,73)*FQ37=1,IF(AND($E37=2,KH37=0),1000000,INDEX('計算A'!BX$110:BX$114,$F37+1)+IF(AND($E37=1,KH37=0),1000,0)),1000000))</f>
        <v/>
      </c>
      <c r="OZ37">
        <f>IF($B37=0,1000000,IF(INDEX('計算A'!$D$60:$DS$104,$B37,74)*FR37=1,IF(AND($E37=2,KI37=0),1000000,INDEX('計算A'!BY$110:BY$114,$F37+1)+IF(AND($E37=1,KI37=0),1000,0)),1000000))</f>
        <v/>
      </c>
      <c r="PA37">
        <f>IF($B37=0,1000000,IF(INDEX('計算A'!$D$60:$DS$104,$B37,75)*FS37=1,IF(AND($E37=2,KJ37=0),1000000,INDEX('計算A'!BZ$110:BZ$114,$F37+1)+IF(AND($E37=1,KJ37=0),1000,0)),1000000))</f>
        <v/>
      </c>
      <c r="PB37">
        <f>IF($B37=0,1000000,IF(INDEX('計算A'!$D$60:$DS$104,$B37,76)*FT37=1,IF(AND($E37=2,KK37=0),1000000,INDEX('計算A'!CA$110:CA$114,$F37+1)+IF(AND($E37=1,KK37=0),1000,0)),1000000))</f>
        <v/>
      </c>
      <c r="PC37">
        <f>IF($B37=0,1000000,IF(INDEX('計算A'!$D$60:$DS$104,$B37,77)*FU37=1,IF(AND($E37=2,KL37=0),1000000,INDEX('計算A'!CB$110:CB$114,$F37+1)+IF(AND($E37=1,KL37=0),1000,0)),1000000))</f>
        <v/>
      </c>
      <c r="PD37">
        <f>IF($B37=0,1000000,IF(INDEX('計算A'!$D$60:$DS$104,$B37,78)*FV37=1,IF(AND($E37=2,KM37=0),1000000,INDEX('計算A'!CC$110:CC$114,$F37+1)+IF(AND($E37=1,KM37=0),1000,0)),1000000))</f>
        <v/>
      </c>
      <c r="PE37">
        <f>IF($B37=0,1000000,IF(INDEX('計算A'!$D$60:$DS$104,$B37,79)*FW37=1,IF(AND($E37=2,KN37=0),1000000,INDEX('計算A'!CD$110:CD$114,$F37+1)+IF(AND($E37=1,KN37=0),1000,0)),1000000))</f>
        <v/>
      </c>
      <c r="PF37">
        <f>IF($B37=0,1000000,IF(INDEX('計算A'!$D$60:$DS$104,$B37,80)*FX37=1,IF(AND($E37=2,KO37=0),1000000,INDEX('計算A'!CE$110:CE$114,$F37+1)+IF(AND($E37=1,KO37=0),1000,0)),1000000))</f>
        <v/>
      </c>
      <c r="PG37">
        <f>IF($B37=0,1000000,IF(INDEX('計算A'!$D$60:$DS$104,$B37,81)*FY37=1,IF(AND($E37=2,KP37=0),1000000,INDEX('計算A'!CF$110:CF$114,$F37+1)+IF(AND($E37=1,KP37=0),1000,0)),1000000))</f>
        <v/>
      </c>
      <c r="PH37">
        <f>IF($B37=0,1000000,IF(INDEX('計算A'!$D$60:$DS$104,$B37,82)*FZ37=1,IF(AND($E37=2,KQ37=0),1000000,INDEX('計算A'!CG$110:CG$114,$F37+1)+IF(AND($E37=1,KQ37=0),1000,0)),1000000))</f>
        <v/>
      </c>
      <c r="PI37">
        <f>IF($B37=0,1000000,IF(INDEX('計算A'!$D$60:$DS$104,$B37,83)*GA37=1,IF(AND($E37=2,KR37=0),1000000,INDEX('計算A'!CH$110:CH$114,$F37+1)+IF(AND($E37=1,KR37=0),1000,0)),1000000))</f>
        <v/>
      </c>
      <c r="PJ37">
        <f>IF($B37=0,1000000,IF(INDEX('計算A'!$D$60:$DS$104,$B37,84)*GB37=1,IF(AND($E37=2,KS37=0),1000000,INDEX('計算A'!CI$110:CI$114,$F37+1)+IF(AND($E37=1,KS37=0),1000,0)),1000000))</f>
        <v/>
      </c>
      <c r="PK37">
        <f>IF($B37=0,1000000,IF(INDEX('計算A'!$D$60:$DS$104,$B37,85)*GC37=1,IF(AND($E37=2,KT37=0),1000000,INDEX('計算A'!CJ$110:CJ$114,$F37+1)+IF(AND($E37=1,KT37=0),1000,0)),1000000))</f>
        <v/>
      </c>
      <c r="PL37">
        <f>IF($B37=0,1000000,IF(INDEX('計算A'!$D$60:$DS$104,$B37,86)*GD37=1,IF(AND($E37=2,KU37=0),1000000,INDEX('計算A'!CK$110:CK$114,$F37+1)+IF(AND($E37=1,KU37=0),1000,0)),1000000))</f>
        <v/>
      </c>
      <c r="PM37">
        <f>IF($B37=0,1000000,IF(INDEX('計算A'!$D$60:$DS$104,$B37,87)*GE37=1,IF(AND($E37=2,KV37=0),1000000,INDEX('計算A'!CL$110:CL$114,$F37+1)+IF(AND($E37=1,KV37=0),1000,0)),1000000))</f>
        <v/>
      </c>
      <c r="PN37">
        <f>IF($B37=0,1000000,IF(INDEX('計算A'!$D$60:$DS$104,$B37,88)*GF37=1,IF(AND($E37=2,KW37=0),1000000,INDEX('計算A'!CM$110:CM$114,$F37+1)+IF(AND($E37=1,KW37=0),1000,0)),1000000))</f>
        <v/>
      </c>
      <c r="PO37">
        <f>IF($B37=0,1000000,IF(INDEX('計算A'!$D$60:$DS$104,$B37,89)*GG37=1,IF(AND($E37=2,KX37=0),1000000,INDEX('計算A'!CN$110:CN$114,$F37+1)+IF(AND($E37=1,KX37=0),1000,0)),1000000))</f>
        <v/>
      </c>
      <c r="PP37">
        <f>IF($B37=0,1000000,IF(INDEX('計算A'!$D$60:$DS$104,$B37,90)*GH37=1,IF(AND($E37=2,KY37=0),1000000,INDEX('計算A'!CO$110:CO$114,$F37+1)+IF(AND($E37=1,KY37=0),1000,0)),1000000))</f>
        <v/>
      </c>
      <c r="PQ37">
        <f>IF($B37=0,1000000,IF(INDEX('計算A'!$D$60:$DS$104,$B37,91)*GI37=1,IF(AND($E37=2,KZ37=0),1000000,INDEX('計算A'!CP$110:CP$114,$F37+1)+IF(AND($E37=1,KZ37=0),1000,0)),1000000))</f>
        <v/>
      </c>
      <c r="PR37">
        <f>IF($B37=0,1000000,IF(INDEX('計算A'!$D$60:$DS$104,$B37,92)*GJ37=1,IF(AND($E37=2,LA37=0),1000000,INDEX('計算A'!CQ$110:CQ$114,$F37+1)+IF(AND($E37=1,LA37=0),1000,0)),1000000))</f>
        <v/>
      </c>
      <c r="PS37">
        <f>IF($B37=0,1000000,IF(INDEX('計算A'!$D$60:$DS$104,$B37,93)*GK37=1,IF(AND($E37=2,LB37=0),1000000,INDEX('計算A'!CR$110:CR$114,$F37+1)+IF(AND($E37=1,LB37=0),1000,0)),1000000))</f>
        <v/>
      </c>
      <c r="PT37">
        <f>IF($B37=0,1000000,IF(INDEX('計算A'!$D$60:$DS$104,$B37,94)*GL37=1,IF(AND($E37=2,LC37=0),1000000,INDEX('計算A'!CS$110:CS$114,$F37+1)+IF(AND($E37=1,LC37=0),1000,0)),1000000))</f>
        <v/>
      </c>
      <c r="PU37">
        <f>IF($B37=0,1000000,IF(INDEX('計算A'!$D$60:$DS$104,$B37,95)*GM37=1,IF(AND($E37=2,LD37=0),1000000,INDEX('計算A'!CT$110:CT$114,$F37+1)+IF(AND($E37=1,LD37=0),1000,0)),1000000))</f>
        <v/>
      </c>
      <c r="PV37">
        <f>IF($B37=0,1000000,IF(INDEX('計算A'!$D$60:$DS$104,$B37,96)*GN37=1,IF(AND($E37=2,LE37=0),1000000,INDEX('計算A'!CU$110:CU$114,$F37+1)+IF(AND($E37=1,LE37=0),1000,0)),1000000))</f>
        <v/>
      </c>
      <c r="PW37">
        <f>IF($B37=0,1000000,IF(INDEX('計算A'!$D$60:$DS$104,$B37,97)*GO37=1,IF(AND($E37=2,LF37=0),1000000,INDEX('計算A'!CV$110:CV$114,$F37+1)+IF(AND($E37=1,LF37=0),1000,0)),1000000))</f>
        <v/>
      </c>
      <c r="PX37">
        <f>IF($B37=0,1000000,IF(INDEX('計算A'!$D$60:$DS$104,$B37,98)*GP37=1,IF(AND($E37=2,LG37=0),1000000,INDEX('計算A'!CW$110:CW$114,$F37+1)+IF(AND($E37=1,LG37=0),1000,0)),1000000))</f>
        <v/>
      </c>
      <c r="PY37">
        <f>IF($B37=0,1000000,IF(INDEX('計算A'!$D$60:$DS$104,$B37,99)*GQ37=1,IF(AND($E37=2,LH37=0),1000000,INDEX('計算A'!CX$110:CX$114,$F37+1)+IF(AND($E37=1,LH37=0),1000,0)),1000000))</f>
        <v/>
      </c>
      <c r="PZ37">
        <f>IF($B37=0,1000000,IF(INDEX('計算A'!$D$60:$DS$104,$B37,100)*GR37=1,IF(AND($E37=2,LI37=0),1000000,INDEX('計算A'!CY$110:CY$114,$F37+1)+IF(AND($E37=1,LI37=0),1000,0)),1000000))</f>
        <v/>
      </c>
      <c r="QA37">
        <f>IF($B37=0,1000000,IF(INDEX('計算A'!$D$60:$DS$104,$B37,101)*GS37=1,IF(AND($E37=2,LJ37=0),1000000,INDEX('計算A'!CZ$110:CZ$114,$F37+1)+IF(AND($E37=1,LJ37=0),1000,0)),1000000))</f>
        <v/>
      </c>
      <c r="QB37">
        <f>IF($B37=0,1000000,IF(INDEX('計算A'!$D$60:$DS$104,$B37,102)*GT37=1,IF(AND($E37=2,LK37=0),1000000,INDEX('計算A'!DA$110:DA$114,$F37+1)+IF(AND($E37=1,LK37=0),1000,0)),1000000))</f>
        <v/>
      </c>
      <c r="QC37">
        <f>IF($B37=0,1000000,IF(INDEX('計算A'!$D$60:$DS$104,$B37,103)*GU37=1,IF(AND($E37=2,LL37=0),1000000,INDEX('計算A'!DB$110:DB$114,$F37+1)+IF(AND($E37=1,LL37=0),1000,0)),1000000))</f>
        <v/>
      </c>
      <c r="QD37">
        <f>IF($B37=0,1000000,IF(INDEX('計算A'!$D$60:$DS$104,$B37,104)*GV37=1,IF(AND($E37=2,LM37=0),1000000,INDEX('計算A'!DC$110:DC$114,$F37+1)+IF(AND($E37=1,LM37=0),1000,0)),1000000))</f>
        <v/>
      </c>
      <c r="QE37">
        <f>IF($B37=0,1000000,IF(INDEX('計算A'!$D$60:$DS$104,$B37,105)*GW37=1,IF(AND($E37=2,LN37=0),1000000,INDEX('計算A'!DD$110:DD$114,$F37+1)+IF(AND($E37=1,LN37=0),1000,0)),1000000))</f>
        <v/>
      </c>
      <c r="QF37">
        <f>IF($B37=0,1000000,IF(INDEX('計算A'!$D$60:$DS$104,$B37,106)*GX37=1,IF(AND($E37=2,LO37=0),1000000,INDEX('計算A'!DE$110:DE$114,$F37+1)+IF(AND($E37=1,LO37=0),1000,0)),1000000))</f>
        <v/>
      </c>
      <c r="QG37">
        <f>IF($B37=0,1000000,IF(INDEX('計算A'!$D$60:$DS$104,$B37,107)*GY37=1,IF(AND($E37=2,LP37=0),1000000,INDEX('計算A'!DF$110:DF$114,$F37+1)+IF(AND($E37=1,LP37=0),1000,0)),1000000))</f>
        <v/>
      </c>
      <c r="QH37">
        <f>IF($B37=0,1000000,IF(INDEX('計算A'!$D$60:$DS$104,$B37,108)*GZ37=1,IF(AND($E37=2,LQ37=0),1000000,INDEX('計算A'!DG$110:DG$114,$F37+1)+IF(AND($E37=1,LQ37=0),1000,0)),1000000))</f>
        <v/>
      </c>
      <c r="QI37">
        <f>IF($B37=0,1000000,IF(INDEX('計算A'!$D$60:$DS$104,$B37,109)*HA37=1,IF(AND($E37=2,LR37=0),1000000,INDEX('計算A'!DH$110:DH$114,$F37+1)+IF(AND($E37=1,LR37=0),1000,0)),1000000))</f>
        <v/>
      </c>
      <c r="QJ37">
        <f>IF($B37=0,1000000,IF(INDEX('計算A'!$D$60:$DS$104,$B37,110)*HB37=1,IF(AND($E37=2,LS37=0),1000000,INDEX('計算A'!DI$110:DI$114,$F37+1)+IF(AND($E37=1,LS37=0),1000,0)),1000000))</f>
        <v/>
      </c>
      <c r="QK37">
        <f>IF($B37=0,1000000,IF(INDEX('計算A'!$D$60:$DS$104,$B37,111)*HC37=1,IF(AND($E37=2,LT37=0),1000000,INDEX('計算A'!DJ$110:DJ$114,$F37+1)+IF(AND($E37=1,LT37=0),1000,0)),1000000))</f>
        <v/>
      </c>
      <c r="QL37">
        <f>IF($B37=0,1000000,IF(INDEX('計算A'!$D$60:$DS$104,$B37,112)*HD37=1,IF(AND($E37=2,LU37=0),1000000,INDEX('計算A'!DK$110:DK$114,$F37+1)+IF(AND($E37=1,LU37=0),1000,0)),1000000))</f>
        <v/>
      </c>
      <c r="QM37">
        <f>IF($B37=0,1000000,IF(INDEX('計算A'!$D$60:$DS$104,$B37,113)*HE37=1,IF(AND($E37=2,LV37=0),1000000,INDEX('計算A'!DL$110:DL$114,$F37+1)+IF(AND($E37=1,LV37=0),1000,0)),1000000))</f>
        <v/>
      </c>
      <c r="QN37">
        <f>IF($B37=0,1000000,IF(INDEX('計算A'!$D$60:$DS$104,$B37,114)*HF37=1,IF(AND($E37=2,LW37=0),1000000,INDEX('計算A'!DM$110:DM$114,$F37+1)+IF(AND($E37=1,LW37=0),1000,0)),1000000))</f>
        <v/>
      </c>
      <c r="QO37">
        <f>IF($B37=0,1000000,IF(INDEX('計算A'!$D$60:$DS$104,$B37,115)*HG37=1,IF(AND($E37=2,LX37=0),1000000,INDEX('計算A'!DN$110:DN$114,$F37+1)+IF(AND($E37=1,LX37=0),1000,0)),1000000))</f>
        <v/>
      </c>
      <c r="QP37">
        <f>IF($B37=0,1000000,IF(INDEX('計算A'!$D$60:$DS$104,$B37,116)*HH37=1,IF(AND($E37=2,LY37=0),1000000,INDEX('計算A'!DO$110:DO$114,$F37+1)+IF(AND($E37=1,LY37=0),1000,0)),1000000))</f>
        <v/>
      </c>
      <c r="QQ37">
        <f>IF($B37=0,1000000,IF(INDEX('計算A'!$D$60:$DS$104,$B37,117)*HI37=1,IF(AND($E37=2,LZ37=0),1000000,INDEX('計算A'!DP$110:DP$114,$F37+1)+IF(AND($E37=1,LZ37=0),1000,0)),1000000))</f>
        <v/>
      </c>
      <c r="QR37">
        <f>IF($B37=0,1000000,IF(INDEX('計算A'!$D$60:$DS$104,$B37,118)*HJ37=1,IF(AND($E37=2,MA37=0),1000000,INDEX('計算A'!DQ$110:DQ$114,$F37+1)+IF(AND($E37=1,MA37=0),1000,0)),1000000))</f>
        <v/>
      </c>
      <c r="QS37">
        <f>IF($B37=0,1000000,IF(INDEX('計算A'!$D$60:$DS$104,$B37,119)*HK37=1,IF(AND($E37=2,MB37=0),1000000,INDEX('計算A'!DR$110:DR$114,$F37+1)+IF(AND($E37=1,MB37=0),1000,0)),1000000))</f>
        <v/>
      </c>
      <c r="QT37">
        <f>IF($B37=0,1000000,IF(INDEX('計算A'!$D$60:$DS$104,$B37,120)*HL37=1,IF(AND($E37=2,MC37=0),1000000,INDEX('計算A'!DS$110:DS$114,$F37+1)+IF(AND($E37=1,MC37=0),1000,0)),1000000))</f>
        <v/>
      </c>
    </row>
    <row r="38">
      <c r="A38" t="n">
        <v>36</v>
      </c>
      <c r="B38">
        <f>IF(MIN(BC38:CU38)&gt;=1000000,0,MATCH(MIN(BC38:CU38),BC38:CU38,0))</f>
        <v/>
      </c>
      <c r="C38">
        <f>IF(MIN(ME38:QT38)&gt;=1000000,0,MATCH(MIN(ME38:QT38),ME38:QT38,0))</f>
        <v/>
      </c>
      <c r="D38">
        <f>IF(C38&gt;0,INDEX('計算A'!$D$5:$DS$5,C38),0)</f>
        <v/>
      </c>
      <c r="E38">
        <f>IF(B38=0,0,INDEX('計算A'!$EA$10:$EA$54,B38))</f>
        <v/>
      </c>
      <c r="F38">
        <f>IF(B38=0,0,INDEX('計算A'!$DZ$10:$DZ$54,B38))</f>
        <v/>
      </c>
      <c r="G38">
        <f>IF(AND(C38&gt;0,E38&gt;0),IF(AND(INDEX('計算A'!$D$106:$DS$106,C38)=1,INDEX($HN38:$MC38,C38)=1),C38+1,0),0)</f>
        <v/>
      </c>
      <c r="I38">
        <f>MAX(I37,IF($B37=1,1,0))</f>
        <v/>
      </c>
      <c r="J38">
        <f>MAX(J37,IF($B37=2,1,0))</f>
        <v/>
      </c>
      <c r="K38">
        <f>MAX(K37,IF($B37=3,1,0))</f>
        <v/>
      </c>
      <c r="L38">
        <f>MAX(L37,IF($B37=4,1,0))</f>
        <v/>
      </c>
      <c r="M38">
        <f>MAX(M37,IF($B37=5,1,0))</f>
        <v/>
      </c>
      <c r="N38">
        <f>MAX(N37,IF($B37=6,1,0))</f>
        <v/>
      </c>
      <c r="O38">
        <f>MAX(O37,IF($B37=7,1,0))</f>
        <v/>
      </c>
      <c r="P38">
        <f>MAX(P37,IF($B37=8,1,0))</f>
        <v/>
      </c>
      <c r="Q38">
        <f>MAX(Q37,IF($B37=9,1,0))</f>
        <v/>
      </c>
      <c r="R38">
        <f>MAX(R37,IF($B37=10,1,0))</f>
        <v/>
      </c>
      <c r="S38">
        <f>MAX(S37,IF($B37=11,1,0))</f>
        <v/>
      </c>
      <c r="T38">
        <f>MAX(T37,IF($B37=12,1,0))</f>
        <v/>
      </c>
      <c r="U38">
        <f>MAX(U37,IF($B37=13,1,0))</f>
        <v/>
      </c>
      <c r="V38">
        <f>MAX(V37,IF($B37=14,1,0))</f>
        <v/>
      </c>
      <c r="W38">
        <f>MAX(W37,IF($B37=15,1,0))</f>
        <v/>
      </c>
      <c r="X38">
        <f>MAX(X37,IF($B37=16,1,0))</f>
        <v/>
      </c>
      <c r="Y38">
        <f>MAX(Y37,IF($B37=17,1,0))</f>
        <v/>
      </c>
      <c r="Z38">
        <f>MAX(Z37,IF($B37=18,1,0))</f>
        <v/>
      </c>
      <c r="AA38">
        <f>MAX(AA37,IF($B37=19,1,0))</f>
        <v/>
      </c>
      <c r="AB38">
        <f>MAX(AB37,IF($B37=20,1,0))</f>
        <v/>
      </c>
      <c r="AC38">
        <f>MAX(AC37,IF($B37=21,1,0))</f>
        <v/>
      </c>
      <c r="AD38">
        <f>MAX(AD37,IF($B37=22,1,0))</f>
        <v/>
      </c>
      <c r="AE38">
        <f>MAX(AE37,IF($B37=23,1,0))</f>
        <v/>
      </c>
      <c r="AF38">
        <f>MAX(AF37,IF($B37=24,1,0))</f>
        <v/>
      </c>
      <c r="AG38">
        <f>MAX(AG37,IF($B37=25,1,0))</f>
        <v/>
      </c>
      <c r="AH38">
        <f>MAX(AH37,IF($B37=26,1,0))</f>
        <v/>
      </c>
      <c r="AI38">
        <f>MAX(AI37,IF($B37=27,1,0))</f>
        <v/>
      </c>
      <c r="AJ38">
        <f>MAX(AJ37,IF($B37=28,1,0))</f>
        <v/>
      </c>
      <c r="AK38">
        <f>MAX(AK37,IF($B37=29,1,0))</f>
        <v/>
      </c>
      <c r="AL38">
        <f>MAX(AL37,IF($B37=30,1,0))</f>
        <v/>
      </c>
      <c r="AM38">
        <f>MAX(AM37,IF($B37=31,1,0))</f>
        <v/>
      </c>
      <c r="AN38">
        <f>MAX(AN37,IF($B37=32,1,0))</f>
        <v/>
      </c>
      <c r="AO38">
        <f>MAX(AO37,IF($B37=33,1,0))</f>
        <v/>
      </c>
      <c r="AP38">
        <f>MAX(AP37,IF($B37=34,1,0))</f>
        <v/>
      </c>
      <c r="AQ38">
        <f>MAX(AQ37,IF($B37=35,1,0))</f>
        <v/>
      </c>
      <c r="AR38">
        <f>MAX(AR37,IF($B37=36,1,0))</f>
        <v/>
      </c>
      <c r="AS38">
        <f>MAX(AS37,IF($B37=37,1,0))</f>
        <v/>
      </c>
      <c r="AT38">
        <f>MAX(AT37,IF($B37=38,1,0))</f>
        <v/>
      </c>
      <c r="AU38">
        <f>MAX(AU37,IF($B37=39,1,0))</f>
        <v/>
      </c>
      <c r="AV38">
        <f>MAX(AV37,IF($B37=40,1,0))</f>
        <v/>
      </c>
      <c r="AW38">
        <f>MAX(AW37,IF($B37=41,1,0))</f>
        <v/>
      </c>
      <c r="AX38">
        <f>MAX(AX37,IF($B37=42,1,0))</f>
        <v/>
      </c>
      <c r="AY38">
        <f>MAX(AY37,IF($B37=43,1,0))</f>
        <v/>
      </c>
      <c r="AZ38">
        <f>MAX(AZ37,IF($B37=44,1,0))</f>
        <v/>
      </c>
      <c r="BA38">
        <f>MAX(BA37,IF($B37=45,1,0))</f>
        <v/>
      </c>
      <c r="BC38">
        <f>IF(I38=1,1000000,IF('計算A'!$EA$10=2,SUMPRODUCT('計算A'!$D$60:$DS$60,$CW38:$HL38,$HN38:$MC38),SUMPRODUCT('計算A'!$D$60:$DS$60,$CW38:$HL38))*1000+1)</f>
        <v/>
      </c>
      <c r="BD38">
        <f>IF(J38=1,1000000,IF('計算A'!$EA$11=2,SUMPRODUCT('計算A'!$D$61:$DS$61,$CW38:$HL38,$HN38:$MC38),SUMPRODUCT('計算A'!$D$61:$DS$61,$CW38:$HL38))*1000+2)</f>
        <v/>
      </c>
      <c r="BE38">
        <f>IF(K38=1,1000000,IF('計算A'!$EA$12=2,SUMPRODUCT('計算A'!$D$62:$DS$62,$CW38:$HL38,$HN38:$MC38),SUMPRODUCT('計算A'!$D$62:$DS$62,$CW38:$HL38))*1000+3)</f>
        <v/>
      </c>
      <c r="BF38">
        <f>IF(L38=1,1000000,IF('計算A'!$EA$13=2,SUMPRODUCT('計算A'!$D$63:$DS$63,$CW38:$HL38,$HN38:$MC38),SUMPRODUCT('計算A'!$D$63:$DS$63,$CW38:$HL38))*1000+4)</f>
        <v/>
      </c>
      <c r="BG38">
        <f>IF(M38=1,1000000,IF('計算A'!$EA$14=2,SUMPRODUCT('計算A'!$D$64:$DS$64,$CW38:$HL38,$HN38:$MC38),SUMPRODUCT('計算A'!$D$64:$DS$64,$CW38:$HL38))*1000+5)</f>
        <v/>
      </c>
      <c r="BH38">
        <f>IF(N38=1,1000000,IF('計算A'!$EA$15=2,SUMPRODUCT('計算A'!$D$65:$DS$65,$CW38:$HL38,$HN38:$MC38),SUMPRODUCT('計算A'!$D$65:$DS$65,$CW38:$HL38))*1000+6)</f>
        <v/>
      </c>
      <c r="BI38">
        <f>IF(O38=1,1000000,IF('計算A'!$EA$16=2,SUMPRODUCT('計算A'!$D$66:$DS$66,$CW38:$HL38,$HN38:$MC38),SUMPRODUCT('計算A'!$D$66:$DS$66,$CW38:$HL38))*1000+7)</f>
        <v/>
      </c>
      <c r="BJ38">
        <f>IF(P38=1,1000000,IF('計算A'!$EA$17=2,SUMPRODUCT('計算A'!$D$67:$DS$67,$CW38:$HL38,$HN38:$MC38),SUMPRODUCT('計算A'!$D$67:$DS$67,$CW38:$HL38))*1000+8)</f>
        <v/>
      </c>
      <c r="BK38">
        <f>IF(Q38=1,1000000,IF('計算A'!$EA$18=2,SUMPRODUCT('計算A'!$D$68:$DS$68,$CW38:$HL38,$HN38:$MC38),SUMPRODUCT('計算A'!$D$68:$DS$68,$CW38:$HL38))*1000+9)</f>
        <v/>
      </c>
      <c r="BL38">
        <f>IF(R38=1,1000000,IF('計算A'!$EA$19=2,SUMPRODUCT('計算A'!$D$69:$DS$69,$CW38:$HL38,$HN38:$MC38),SUMPRODUCT('計算A'!$D$69:$DS$69,$CW38:$HL38))*1000+10)</f>
        <v/>
      </c>
      <c r="BM38">
        <f>IF(S38=1,1000000,IF('計算A'!$EA$20=2,SUMPRODUCT('計算A'!$D$70:$DS$70,$CW38:$HL38,$HN38:$MC38),SUMPRODUCT('計算A'!$D$70:$DS$70,$CW38:$HL38))*1000+11)</f>
        <v/>
      </c>
      <c r="BN38">
        <f>IF(T38=1,1000000,IF('計算A'!$EA$21=2,SUMPRODUCT('計算A'!$D$71:$DS$71,$CW38:$HL38,$HN38:$MC38),SUMPRODUCT('計算A'!$D$71:$DS$71,$CW38:$HL38))*1000+12)</f>
        <v/>
      </c>
      <c r="BO38">
        <f>IF(U38=1,1000000,IF('計算A'!$EA$22=2,SUMPRODUCT('計算A'!$D$72:$DS$72,$CW38:$HL38,$HN38:$MC38),SUMPRODUCT('計算A'!$D$72:$DS$72,$CW38:$HL38))*1000+13)</f>
        <v/>
      </c>
      <c r="BP38">
        <f>IF(V38=1,1000000,IF('計算A'!$EA$23=2,SUMPRODUCT('計算A'!$D$73:$DS$73,$CW38:$HL38,$HN38:$MC38),SUMPRODUCT('計算A'!$D$73:$DS$73,$CW38:$HL38))*1000+14)</f>
        <v/>
      </c>
      <c r="BQ38">
        <f>IF(W38=1,1000000,IF('計算A'!$EA$24=2,SUMPRODUCT('計算A'!$D$74:$DS$74,$CW38:$HL38,$HN38:$MC38),SUMPRODUCT('計算A'!$D$74:$DS$74,$CW38:$HL38))*1000+15)</f>
        <v/>
      </c>
      <c r="BR38">
        <f>IF(X38=1,1000000,IF('計算A'!$EA$25=2,SUMPRODUCT('計算A'!$D$75:$DS$75,$CW38:$HL38,$HN38:$MC38),SUMPRODUCT('計算A'!$D$75:$DS$75,$CW38:$HL38))*1000+16)</f>
        <v/>
      </c>
      <c r="BS38">
        <f>IF(Y38=1,1000000,IF('計算A'!$EA$26=2,SUMPRODUCT('計算A'!$D$76:$DS$76,$CW38:$HL38,$HN38:$MC38),SUMPRODUCT('計算A'!$D$76:$DS$76,$CW38:$HL38))*1000+17)</f>
        <v/>
      </c>
      <c r="BT38">
        <f>IF(Z38=1,1000000,IF('計算A'!$EA$27=2,SUMPRODUCT('計算A'!$D$77:$DS$77,$CW38:$HL38,$HN38:$MC38),SUMPRODUCT('計算A'!$D$77:$DS$77,$CW38:$HL38))*1000+18)</f>
        <v/>
      </c>
      <c r="BU38">
        <f>IF(AA38=1,1000000,IF('計算A'!$EA$28=2,SUMPRODUCT('計算A'!$D$78:$DS$78,$CW38:$HL38,$HN38:$MC38),SUMPRODUCT('計算A'!$D$78:$DS$78,$CW38:$HL38))*1000+19)</f>
        <v/>
      </c>
      <c r="BV38">
        <f>IF(AB38=1,1000000,IF('計算A'!$EA$29=2,SUMPRODUCT('計算A'!$D$79:$DS$79,$CW38:$HL38,$HN38:$MC38),SUMPRODUCT('計算A'!$D$79:$DS$79,$CW38:$HL38))*1000+20)</f>
        <v/>
      </c>
      <c r="BW38">
        <f>IF(AC38=1,1000000,IF('計算A'!$EA$30=2,SUMPRODUCT('計算A'!$D$80:$DS$80,$CW38:$HL38,$HN38:$MC38),SUMPRODUCT('計算A'!$D$80:$DS$80,$CW38:$HL38))*1000+21)</f>
        <v/>
      </c>
      <c r="BX38">
        <f>IF(AD38=1,1000000,IF('計算A'!$EA$31=2,SUMPRODUCT('計算A'!$D$81:$DS$81,$CW38:$HL38,$HN38:$MC38),SUMPRODUCT('計算A'!$D$81:$DS$81,$CW38:$HL38))*1000+22)</f>
        <v/>
      </c>
      <c r="BY38">
        <f>IF(AE38=1,1000000,IF('計算A'!$EA$32=2,SUMPRODUCT('計算A'!$D$82:$DS$82,$CW38:$HL38,$HN38:$MC38),SUMPRODUCT('計算A'!$D$82:$DS$82,$CW38:$HL38))*1000+23)</f>
        <v/>
      </c>
      <c r="BZ38">
        <f>IF(AF38=1,1000000,IF('計算A'!$EA$33=2,SUMPRODUCT('計算A'!$D$83:$DS$83,$CW38:$HL38,$HN38:$MC38),SUMPRODUCT('計算A'!$D$83:$DS$83,$CW38:$HL38))*1000+24)</f>
        <v/>
      </c>
      <c r="CA38">
        <f>IF(AG38=1,1000000,IF('計算A'!$EA$34=2,SUMPRODUCT('計算A'!$D$84:$DS$84,$CW38:$HL38,$HN38:$MC38),SUMPRODUCT('計算A'!$D$84:$DS$84,$CW38:$HL38))*1000+25)</f>
        <v/>
      </c>
      <c r="CB38">
        <f>IF(AH38=1,1000000,IF('計算A'!$EA$35=2,SUMPRODUCT('計算A'!$D$85:$DS$85,$CW38:$HL38,$HN38:$MC38),SUMPRODUCT('計算A'!$D$85:$DS$85,$CW38:$HL38))*1000+26)</f>
        <v/>
      </c>
      <c r="CC38">
        <f>IF(AI38=1,1000000,IF('計算A'!$EA$36=2,SUMPRODUCT('計算A'!$D$86:$DS$86,$CW38:$HL38,$HN38:$MC38),SUMPRODUCT('計算A'!$D$86:$DS$86,$CW38:$HL38))*1000+27)</f>
        <v/>
      </c>
      <c r="CD38">
        <f>IF(AJ38=1,1000000,IF('計算A'!$EA$37=2,SUMPRODUCT('計算A'!$D$87:$DS$87,$CW38:$HL38,$HN38:$MC38),SUMPRODUCT('計算A'!$D$87:$DS$87,$CW38:$HL38))*1000+28)</f>
        <v/>
      </c>
      <c r="CE38">
        <f>IF(AK38=1,1000000,IF('計算A'!$EA$38=2,SUMPRODUCT('計算A'!$D$88:$DS$88,$CW38:$HL38,$HN38:$MC38),SUMPRODUCT('計算A'!$D$88:$DS$88,$CW38:$HL38))*1000+29)</f>
        <v/>
      </c>
      <c r="CF38">
        <f>IF(AL38=1,1000000,IF('計算A'!$EA$39=2,SUMPRODUCT('計算A'!$D$89:$DS$89,$CW38:$HL38,$HN38:$MC38),SUMPRODUCT('計算A'!$D$89:$DS$89,$CW38:$HL38))*1000+30)</f>
        <v/>
      </c>
      <c r="CG38">
        <f>IF(AM38=1,1000000,IF('計算A'!$EA$40=2,SUMPRODUCT('計算A'!$D$90:$DS$90,$CW38:$HL38,$HN38:$MC38),SUMPRODUCT('計算A'!$D$90:$DS$90,$CW38:$HL38))*1000+31)</f>
        <v/>
      </c>
      <c r="CH38">
        <f>IF(AN38=1,1000000,IF('計算A'!$EA$41=2,SUMPRODUCT('計算A'!$D$91:$DS$91,$CW38:$HL38,$HN38:$MC38),SUMPRODUCT('計算A'!$D$91:$DS$91,$CW38:$HL38))*1000+32)</f>
        <v/>
      </c>
      <c r="CI38">
        <f>IF(AO38=1,1000000,IF('計算A'!$EA$42=2,SUMPRODUCT('計算A'!$D$92:$DS$92,$CW38:$HL38,$HN38:$MC38),SUMPRODUCT('計算A'!$D$92:$DS$92,$CW38:$HL38))*1000+33)</f>
        <v/>
      </c>
      <c r="CJ38">
        <f>IF(AP38=1,1000000,IF('計算A'!$EA$43=2,SUMPRODUCT('計算A'!$D$93:$DS$93,$CW38:$HL38,$HN38:$MC38),SUMPRODUCT('計算A'!$D$93:$DS$93,$CW38:$HL38))*1000+34)</f>
        <v/>
      </c>
      <c r="CK38">
        <f>IF(AQ38=1,1000000,IF('計算A'!$EA$44=2,SUMPRODUCT('計算A'!$D$94:$DS$94,$CW38:$HL38,$HN38:$MC38),SUMPRODUCT('計算A'!$D$94:$DS$94,$CW38:$HL38))*1000+35)</f>
        <v/>
      </c>
      <c r="CL38">
        <f>IF(AR38=1,1000000,IF('計算A'!$EA$45=2,SUMPRODUCT('計算A'!$D$95:$DS$95,$CW38:$HL38,$HN38:$MC38),SUMPRODUCT('計算A'!$D$95:$DS$95,$CW38:$HL38))*1000+36)</f>
        <v/>
      </c>
      <c r="CM38">
        <f>IF(AS38=1,1000000,IF('計算A'!$EA$46=2,SUMPRODUCT('計算A'!$D$96:$DS$96,$CW38:$HL38,$HN38:$MC38),SUMPRODUCT('計算A'!$D$96:$DS$96,$CW38:$HL38))*1000+37)</f>
        <v/>
      </c>
      <c r="CN38">
        <f>IF(AT38=1,1000000,IF('計算A'!$EA$47=2,SUMPRODUCT('計算A'!$D$97:$DS$97,$CW38:$HL38,$HN38:$MC38),SUMPRODUCT('計算A'!$D$97:$DS$97,$CW38:$HL38))*1000+38)</f>
        <v/>
      </c>
      <c r="CO38">
        <f>IF(AU38=1,1000000,IF('計算A'!$EA$48=2,SUMPRODUCT('計算A'!$D$98:$DS$98,$CW38:$HL38,$HN38:$MC38),SUMPRODUCT('計算A'!$D$98:$DS$98,$CW38:$HL38))*1000+39)</f>
        <v/>
      </c>
      <c r="CP38">
        <f>IF(AV38=1,1000000,IF('計算A'!$EA$49=2,SUMPRODUCT('計算A'!$D$99:$DS$99,$CW38:$HL38,$HN38:$MC38),SUMPRODUCT('計算A'!$D$99:$DS$99,$CW38:$HL38))*1000+40)</f>
        <v/>
      </c>
      <c r="CQ38">
        <f>IF(AW38=1,1000000,IF('計算A'!$EA$50=2,SUMPRODUCT('計算A'!$D$100:$DS$100,$CW38:$HL38,$HN38:$MC38),SUMPRODUCT('計算A'!$D$100:$DS$100,$CW38:$HL38))*1000+41)</f>
        <v/>
      </c>
      <c r="CR38">
        <f>IF(AX38=1,1000000,IF('計算A'!$EA$51=2,SUMPRODUCT('計算A'!$D$101:$DS$101,$CW38:$HL38,$HN38:$MC38),SUMPRODUCT('計算A'!$D$101:$DS$101,$CW38:$HL38))*1000+42)</f>
        <v/>
      </c>
      <c r="CS38">
        <f>IF(AY38=1,1000000,IF('計算A'!$EA$52=2,SUMPRODUCT('計算A'!$D$102:$DS$102,$CW38:$HL38,$HN38:$MC38),SUMPRODUCT('計算A'!$D$102:$DS$102,$CW38:$HL38))*1000+43)</f>
        <v/>
      </c>
      <c r="CT38">
        <f>IF(AZ38=1,1000000,IF('計算A'!$EA$53=2,SUMPRODUCT('計算A'!$D$103:$DS$103,$CW38:$HL38,$HN38:$MC38),SUMPRODUCT('計算A'!$D$103:$DS$103,$CW38:$HL38))*1000+44)</f>
        <v/>
      </c>
      <c r="CU38">
        <f>IF(BA38=1,1000000,IF('計算A'!$EA$54=2,SUMPRODUCT('計算A'!$D$104:$DS$104,$CW38:$HL38,$HN38:$MC38),SUMPRODUCT('計算A'!$D$104:$DS$104,$CW38:$HL38))*1000+45)</f>
        <v/>
      </c>
      <c r="CW38">
        <f>CW37*IF(OR($C37=1,$G37=1),0,1)</f>
        <v/>
      </c>
      <c r="CX38">
        <f>CX37*IF(OR($C37=2,$G37=2),0,1)</f>
        <v/>
      </c>
      <c r="CY38">
        <f>CY37*IF(OR($C37=3,$G37=3),0,1)</f>
        <v/>
      </c>
      <c r="CZ38">
        <f>CZ37*IF(OR($C37=4,$G37=4),0,1)</f>
        <v/>
      </c>
      <c r="DA38">
        <f>DA37*IF(OR($C37=5,$G37=5),0,1)</f>
        <v/>
      </c>
      <c r="DB38">
        <f>DB37*IF(OR($C37=6,$G37=6),0,1)</f>
        <v/>
      </c>
      <c r="DC38">
        <f>DC37*IF(OR($C37=7,$G37=7),0,1)</f>
        <v/>
      </c>
      <c r="DD38">
        <f>DD37*IF(OR($C37=8,$G37=8),0,1)</f>
        <v/>
      </c>
      <c r="DE38">
        <f>DE37*IF(OR($C37=9,$G37=9),0,1)</f>
        <v/>
      </c>
      <c r="DF38">
        <f>DF37*IF(OR($C37=10,$G37=10),0,1)</f>
        <v/>
      </c>
      <c r="DG38">
        <f>DG37*IF(OR($C37=11,$G37=11),0,1)</f>
        <v/>
      </c>
      <c r="DH38">
        <f>DH37*IF(OR($C37=12,$G37=12),0,1)</f>
        <v/>
      </c>
      <c r="DI38">
        <f>DI37*IF(OR($C37=13,$G37=13),0,1)</f>
        <v/>
      </c>
      <c r="DJ38">
        <f>DJ37*IF(OR($C37=14,$G37=14),0,1)</f>
        <v/>
      </c>
      <c r="DK38">
        <f>DK37*IF(OR($C37=15,$G37=15),0,1)</f>
        <v/>
      </c>
      <c r="DL38">
        <f>DL37*IF(OR($C37=16,$G37=16),0,1)</f>
        <v/>
      </c>
      <c r="DM38">
        <f>DM37*IF(OR($C37=17,$G37=17),0,1)</f>
        <v/>
      </c>
      <c r="DN38">
        <f>DN37*IF(OR($C37=18,$G37=18),0,1)</f>
        <v/>
      </c>
      <c r="DO38">
        <f>DO37*IF(OR($C37=19,$G37=19),0,1)</f>
        <v/>
      </c>
      <c r="DP38">
        <f>DP37*IF(OR($C37=20,$G37=20),0,1)</f>
        <v/>
      </c>
      <c r="DQ38">
        <f>DQ37*IF(OR($C37=21,$G37=21),0,1)</f>
        <v/>
      </c>
      <c r="DR38">
        <f>DR37*IF(OR($C37=22,$G37=22),0,1)</f>
        <v/>
      </c>
      <c r="DS38">
        <f>DS37*IF(OR($C37=23,$G37=23),0,1)</f>
        <v/>
      </c>
      <c r="DT38">
        <f>DT37*IF(OR($C37=24,$G37=24),0,1)</f>
        <v/>
      </c>
      <c r="DU38">
        <f>DU37*IF(OR($C37=25,$G37=25),0,1)</f>
        <v/>
      </c>
      <c r="DV38">
        <f>DV37*IF(OR($C37=26,$G37=26),0,1)</f>
        <v/>
      </c>
      <c r="DW38">
        <f>DW37*IF(OR($C37=27,$G37=27),0,1)</f>
        <v/>
      </c>
      <c r="DX38">
        <f>DX37*IF(OR($C37=28,$G37=28),0,1)</f>
        <v/>
      </c>
      <c r="DY38">
        <f>DY37*IF(OR($C37=29,$G37=29),0,1)</f>
        <v/>
      </c>
      <c r="DZ38">
        <f>DZ37*IF(OR($C37=30,$G37=30),0,1)</f>
        <v/>
      </c>
      <c r="EA38">
        <f>EA37*IF(OR($C37=31,$G37=31),0,1)</f>
        <v/>
      </c>
      <c r="EB38">
        <f>EB37*IF(OR($C37=32,$G37=32),0,1)</f>
        <v/>
      </c>
      <c r="EC38">
        <f>EC37*IF(OR($C37=33,$G37=33),0,1)</f>
        <v/>
      </c>
      <c r="ED38">
        <f>ED37*IF(OR($C37=34,$G37=34),0,1)</f>
        <v/>
      </c>
      <c r="EE38">
        <f>EE37*IF(OR($C37=35,$G37=35),0,1)</f>
        <v/>
      </c>
      <c r="EF38">
        <f>EF37*IF(OR($C37=36,$G37=36),0,1)</f>
        <v/>
      </c>
      <c r="EG38">
        <f>EG37*IF(OR($C37=37,$G37=37),0,1)</f>
        <v/>
      </c>
      <c r="EH38">
        <f>EH37*IF(OR($C37=38,$G37=38),0,1)</f>
        <v/>
      </c>
      <c r="EI38">
        <f>EI37*IF(OR($C37=39,$G37=39),0,1)</f>
        <v/>
      </c>
      <c r="EJ38">
        <f>EJ37*IF(OR($C37=40,$G37=40),0,1)</f>
        <v/>
      </c>
      <c r="EK38">
        <f>EK37*IF(OR($C37=41,$G37=41),0,1)</f>
        <v/>
      </c>
      <c r="EL38">
        <f>EL37*IF(OR($C37=42,$G37=42),0,1)</f>
        <v/>
      </c>
      <c r="EM38">
        <f>EM37*IF(OR($C37=43,$G37=43),0,1)</f>
        <v/>
      </c>
      <c r="EN38">
        <f>EN37*IF(OR($C37=44,$G37=44),0,1)</f>
        <v/>
      </c>
      <c r="EO38">
        <f>EO37*IF(OR($C37=45,$G37=45),0,1)</f>
        <v/>
      </c>
      <c r="EP38">
        <f>EP37*IF(OR($C37=46,$G37=46),0,1)</f>
        <v/>
      </c>
      <c r="EQ38">
        <f>EQ37*IF(OR($C37=47,$G37=47),0,1)</f>
        <v/>
      </c>
      <c r="ER38">
        <f>ER37*IF(OR($C37=48,$G37=48),0,1)</f>
        <v/>
      </c>
      <c r="ES38">
        <f>ES37*IF(OR($C37=49,$G37=49),0,1)</f>
        <v/>
      </c>
      <c r="ET38">
        <f>ET37*IF(OR($C37=50,$G37=50),0,1)</f>
        <v/>
      </c>
      <c r="EU38">
        <f>EU37*IF(OR($C37=51,$G37=51),0,1)</f>
        <v/>
      </c>
      <c r="EV38">
        <f>EV37*IF(OR($C37=52,$G37=52),0,1)</f>
        <v/>
      </c>
      <c r="EW38">
        <f>EW37*IF(OR($C37=53,$G37=53),0,1)</f>
        <v/>
      </c>
      <c r="EX38">
        <f>EX37*IF(OR($C37=54,$G37=54),0,1)</f>
        <v/>
      </c>
      <c r="EY38">
        <f>EY37*IF(OR($C37=55,$G37=55),0,1)</f>
        <v/>
      </c>
      <c r="EZ38">
        <f>EZ37*IF(OR($C37=56,$G37=56),0,1)</f>
        <v/>
      </c>
      <c r="FA38">
        <f>FA37*IF(OR($C37=57,$G37=57),0,1)</f>
        <v/>
      </c>
      <c r="FB38">
        <f>FB37*IF(OR($C37=58,$G37=58),0,1)</f>
        <v/>
      </c>
      <c r="FC38">
        <f>FC37*IF(OR($C37=59,$G37=59),0,1)</f>
        <v/>
      </c>
      <c r="FD38">
        <f>FD37*IF(OR($C37=60,$G37=60),0,1)</f>
        <v/>
      </c>
      <c r="FE38">
        <f>FE37*IF(OR($C37=61,$G37=61),0,1)</f>
        <v/>
      </c>
      <c r="FF38">
        <f>FF37*IF(OR($C37=62,$G37=62),0,1)</f>
        <v/>
      </c>
      <c r="FG38">
        <f>FG37*IF(OR($C37=63,$G37=63),0,1)</f>
        <v/>
      </c>
      <c r="FH38">
        <f>FH37*IF(OR($C37=64,$G37=64),0,1)</f>
        <v/>
      </c>
      <c r="FI38">
        <f>FI37*IF(OR($C37=65,$G37=65),0,1)</f>
        <v/>
      </c>
      <c r="FJ38">
        <f>FJ37*IF(OR($C37=66,$G37=66),0,1)</f>
        <v/>
      </c>
      <c r="FK38">
        <f>FK37*IF(OR($C37=67,$G37=67),0,1)</f>
        <v/>
      </c>
      <c r="FL38">
        <f>FL37*IF(OR($C37=68,$G37=68),0,1)</f>
        <v/>
      </c>
      <c r="FM38">
        <f>FM37*IF(OR($C37=69,$G37=69),0,1)</f>
        <v/>
      </c>
      <c r="FN38">
        <f>FN37*IF(OR($C37=70,$G37=70),0,1)</f>
        <v/>
      </c>
      <c r="FO38">
        <f>FO37*IF(OR($C37=71,$G37=71),0,1)</f>
        <v/>
      </c>
      <c r="FP38">
        <f>FP37*IF(OR($C37=72,$G37=72),0,1)</f>
        <v/>
      </c>
      <c r="FQ38">
        <f>FQ37*IF(OR($C37=73,$G37=73),0,1)</f>
        <v/>
      </c>
      <c r="FR38">
        <f>FR37*IF(OR($C37=74,$G37=74),0,1)</f>
        <v/>
      </c>
      <c r="FS38">
        <f>FS37*IF(OR($C37=75,$G37=75),0,1)</f>
        <v/>
      </c>
      <c r="FT38">
        <f>FT37*IF(OR($C37=76,$G37=76),0,1)</f>
        <v/>
      </c>
      <c r="FU38">
        <f>FU37*IF(OR($C37=77,$G37=77),0,1)</f>
        <v/>
      </c>
      <c r="FV38">
        <f>FV37*IF(OR($C37=78,$G37=78),0,1)</f>
        <v/>
      </c>
      <c r="FW38">
        <f>FW37*IF(OR($C37=79,$G37=79),0,1)</f>
        <v/>
      </c>
      <c r="FX38">
        <f>FX37*IF(OR($C37=80,$G37=80),0,1)</f>
        <v/>
      </c>
      <c r="FY38">
        <f>FY37*IF(OR($C37=81,$G37=81),0,1)</f>
        <v/>
      </c>
      <c r="FZ38">
        <f>FZ37*IF(OR($C37=82,$G37=82),0,1)</f>
        <v/>
      </c>
      <c r="GA38">
        <f>GA37*IF(OR($C37=83,$G37=83),0,1)</f>
        <v/>
      </c>
      <c r="GB38">
        <f>GB37*IF(OR($C37=84,$G37=84),0,1)</f>
        <v/>
      </c>
      <c r="GC38">
        <f>GC37*IF(OR($C37=85,$G37=85),0,1)</f>
        <v/>
      </c>
      <c r="GD38">
        <f>GD37*IF(OR($C37=86,$G37=86),0,1)</f>
        <v/>
      </c>
      <c r="GE38">
        <f>GE37*IF(OR($C37=87,$G37=87),0,1)</f>
        <v/>
      </c>
      <c r="GF38">
        <f>GF37*IF(OR($C37=88,$G37=88),0,1)</f>
        <v/>
      </c>
      <c r="GG38">
        <f>GG37*IF(OR($C37=89,$G37=89),0,1)</f>
        <v/>
      </c>
      <c r="GH38">
        <f>GH37*IF(OR($C37=90,$G37=90),0,1)</f>
        <v/>
      </c>
      <c r="GI38">
        <f>GI37*IF(OR($C37=91,$G37=91),0,1)</f>
        <v/>
      </c>
      <c r="GJ38">
        <f>GJ37*IF(OR($C37=92,$G37=92),0,1)</f>
        <v/>
      </c>
      <c r="GK38">
        <f>GK37*IF(OR($C37=93,$G37=93),0,1)</f>
        <v/>
      </c>
      <c r="GL38">
        <f>GL37*IF(OR($C37=94,$G37=94),0,1)</f>
        <v/>
      </c>
      <c r="GM38">
        <f>GM37*IF(OR($C37=95,$G37=95),0,1)</f>
        <v/>
      </c>
      <c r="GN38">
        <f>GN37*IF(OR($C37=96,$G37=96),0,1)</f>
        <v/>
      </c>
      <c r="GO38">
        <f>GO37*IF(OR($C37=97,$G37=97),0,1)</f>
        <v/>
      </c>
      <c r="GP38">
        <f>GP37*IF(OR($C37=98,$G37=98),0,1)</f>
        <v/>
      </c>
      <c r="GQ38">
        <f>GQ37*IF(OR($C37=99,$G37=99),0,1)</f>
        <v/>
      </c>
      <c r="GR38">
        <f>GR37*IF(OR($C37=100,$G37=100),0,1)</f>
        <v/>
      </c>
      <c r="GS38">
        <f>GS37*IF(OR($C37=101,$G37=101),0,1)</f>
        <v/>
      </c>
      <c r="GT38">
        <f>GT37*IF(OR($C37=102,$G37=102),0,1)</f>
        <v/>
      </c>
      <c r="GU38">
        <f>GU37*IF(OR($C37=103,$G37=103),0,1)</f>
        <v/>
      </c>
      <c r="GV38">
        <f>GV37*IF(OR($C37=104,$G37=104),0,1)</f>
        <v/>
      </c>
      <c r="GW38">
        <f>GW37*IF(OR($C37=105,$G37=105),0,1)</f>
        <v/>
      </c>
      <c r="GX38">
        <f>GX37*IF(OR($C37=106,$G37=106),0,1)</f>
        <v/>
      </c>
      <c r="GY38">
        <f>GY37*IF(OR($C37=107,$G37=107),0,1)</f>
        <v/>
      </c>
      <c r="GZ38">
        <f>GZ37*IF(OR($C37=108,$G37=108),0,1)</f>
        <v/>
      </c>
      <c r="HA38">
        <f>HA37*IF(OR($C37=109,$G37=109),0,1)</f>
        <v/>
      </c>
      <c r="HB38">
        <f>HB37*IF(OR($C37=110,$G37=110),0,1)</f>
        <v/>
      </c>
      <c r="HC38">
        <f>HC37*IF(OR($C37=111,$G37=111),0,1)</f>
        <v/>
      </c>
      <c r="HD38">
        <f>HD37*IF(OR($C37=112,$G37=112),0,1)</f>
        <v/>
      </c>
      <c r="HE38">
        <f>HE37*IF(OR($C37=113,$G37=113),0,1)</f>
        <v/>
      </c>
      <c r="HF38">
        <f>HF37*IF(OR($C37=114,$G37=114),0,1)</f>
        <v/>
      </c>
      <c r="HG38">
        <f>HG37*IF(OR($C37=115,$G37=115),0,1)</f>
        <v/>
      </c>
      <c r="HH38">
        <f>HH37*IF(OR($C37=116,$G37=116),0,1)</f>
        <v/>
      </c>
      <c r="HI38">
        <f>HI37*IF(OR($C37=117,$G37=117),0,1)</f>
        <v/>
      </c>
      <c r="HJ38">
        <f>HJ37*IF(OR($C37=118,$G37=118),0,1)</f>
        <v/>
      </c>
      <c r="HK38">
        <f>HK37*IF(OR($C37=119,$G37=119),0,1)</f>
        <v/>
      </c>
      <c r="HL38">
        <f>HL37*IF(OR($C37=120,$G37=120),0,1)</f>
        <v/>
      </c>
      <c r="HN38">
        <f>IF('計算A'!D$106=1,CX38,1)</f>
        <v/>
      </c>
      <c r="HO38">
        <f>IF('計算A'!E$106=1,CY38,1)</f>
        <v/>
      </c>
      <c r="HP38">
        <f>IF('計算A'!F$106=1,CZ38,1)</f>
        <v/>
      </c>
      <c r="HQ38">
        <f>IF('計算A'!G$106=1,DA38,1)</f>
        <v/>
      </c>
      <c r="HR38">
        <f>IF('計算A'!H$106=1,DB38,1)</f>
        <v/>
      </c>
      <c r="HS38">
        <f>IF('計算A'!I$106=1,DC38,1)</f>
        <v/>
      </c>
      <c r="HT38">
        <f>IF('計算A'!J$106=1,DD38,1)</f>
        <v/>
      </c>
      <c r="HU38">
        <f>IF('計算A'!K$106=1,DE38,1)</f>
        <v/>
      </c>
      <c r="HV38">
        <f>IF('計算A'!L$106=1,DF38,1)</f>
        <v/>
      </c>
      <c r="HW38">
        <f>IF('計算A'!M$106=1,DG38,1)</f>
        <v/>
      </c>
      <c r="HX38">
        <f>IF('計算A'!N$106=1,DH38,1)</f>
        <v/>
      </c>
      <c r="HY38">
        <f>IF('計算A'!O$106=1,DI38,1)</f>
        <v/>
      </c>
      <c r="HZ38">
        <f>IF('計算A'!P$106=1,DJ38,1)</f>
        <v/>
      </c>
      <c r="IA38">
        <f>IF('計算A'!Q$106=1,DK38,1)</f>
        <v/>
      </c>
      <c r="IB38">
        <f>IF('計算A'!R$106=1,DL38,1)</f>
        <v/>
      </c>
      <c r="IC38">
        <f>IF('計算A'!S$106=1,DM38,1)</f>
        <v/>
      </c>
      <c r="ID38">
        <f>IF('計算A'!T$106=1,DN38,1)</f>
        <v/>
      </c>
      <c r="IE38">
        <f>IF('計算A'!U$106=1,DO38,1)</f>
        <v/>
      </c>
      <c r="IF38">
        <f>IF('計算A'!V$106=1,DP38,1)</f>
        <v/>
      </c>
      <c r="IG38">
        <f>IF('計算A'!W$106=1,DQ38,1)</f>
        <v/>
      </c>
      <c r="IH38">
        <f>IF('計算A'!X$106=1,DR38,1)</f>
        <v/>
      </c>
      <c r="II38">
        <f>IF('計算A'!Y$106=1,DS38,1)</f>
        <v/>
      </c>
      <c r="IJ38">
        <f>IF('計算A'!Z$106=1,DT38,1)</f>
        <v/>
      </c>
      <c r="IK38">
        <f>IF('計算A'!AA$106=1,DU38,1)</f>
        <v/>
      </c>
      <c r="IL38">
        <f>IF('計算A'!AB$106=1,DV38,1)</f>
        <v/>
      </c>
      <c r="IM38">
        <f>IF('計算A'!AC$106=1,DW38,1)</f>
        <v/>
      </c>
      <c r="IN38">
        <f>IF('計算A'!AD$106=1,DX38,1)</f>
        <v/>
      </c>
      <c r="IO38">
        <f>IF('計算A'!AE$106=1,DY38,1)</f>
        <v/>
      </c>
      <c r="IP38">
        <f>IF('計算A'!AF$106=1,DZ38,1)</f>
        <v/>
      </c>
      <c r="IQ38">
        <f>IF('計算A'!AG$106=1,EA38,1)</f>
        <v/>
      </c>
      <c r="IR38">
        <f>IF('計算A'!AH$106=1,EB38,1)</f>
        <v/>
      </c>
      <c r="IS38">
        <f>IF('計算A'!AI$106=1,EC38,1)</f>
        <v/>
      </c>
      <c r="IT38">
        <f>IF('計算A'!AJ$106=1,ED38,1)</f>
        <v/>
      </c>
      <c r="IU38">
        <f>IF('計算A'!AK$106=1,EE38,1)</f>
        <v/>
      </c>
      <c r="IV38">
        <f>IF('計算A'!AL$106=1,EF38,1)</f>
        <v/>
      </c>
      <c r="IW38">
        <f>IF('計算A'!AM$106=1,EG38,1)</f>
        <v/>
      </c>
      <c r="IX38">
        <f>IF('計算A'!AN$106=1,EH38,1)</f>
        <v/>
      </c>
      <c r="IY38">
        <f>IF('計算A'!AO$106=1,EI38,1)</f>
        <v/>
      </c>
      <c r="IZ38">
        <f>IF('計算A'!AP$106=1,EJ38,1)</f>
        <v/>
      </c>
      <c r="JA38">
        <f>IF('計算A'!AQ$106=1,EK38,1)</f>
        <v/>
      </c>
      <c r="JB38">
        <f>IF('計算A'!AR$106=1,EL38,1)</f>
        <v/>
      </c>
      <c r="JC38">
        <f>IF('計算A'!AS$106=1,EM38,1)</f>
        <v/>
      </c>
      <c r="JD38">
        <f>IF('計算A'!AT$106=1,EN38,1)</f>
        <v/>
      </c>
      <c r="JE38">
        <f>IF('計算A'!AU$106=1,EO38,1)</f>
        <v/>
      </c>
      <c r="JF38">
        <f>IF('計算A'!AV$106=1,EP38,1)</f>
        <v/>
      </c>
      <c r="JG38">
        <f>IF('計算A'!AW$106=1,EQ38,1)</f>
        <v/>
      </c>
      <c r="JH38">
        <f>IF('計算A'!AX$106=1,ER38,1)</f>
        <v/>
      </c>
      <c r="JI38">
        <f>IF('計算A'!AY$106=1,ES38,1)</f>
        <v/>
      </c>
      <c r="JJ38">
        <f>IF('計算A'!AZ$106=1,ET38,1)</f>
        <v/>
      </c>
      <c r="JK38">
        <f>IF('計算A'!BA$106=1,EU38,1)</f>
        <v/>
      </c>
      <c r="JL38">
        <f>IF('計算A'!BB$106=1,EV38,1)</f>
        <v/>
      </c>
      <c r="JM38">
        <f>IF('計算A'!BC$106=1,EW38,1)</f>
        <v/>
      </c>
      <c r="JN38">
        <f>IF('計算A'!BD$106=1,EX38,1)</f>
        <v/>
      </c>
      <c r="JO38">
        <f>IF('計算A'!BE$106=1,EY38,1)</f>
        <v/>
      </c>
      <c r="JP38">
        <f>IF('計算A'!BF$106=1,EZ38,1)</f>
        <v/>
      </c>
      <c r="JQ38">
        <f>IF('計算A'!BG$106=1,FA38,1)</f>
        <v/>
      </c>
      <c r="JR38">
        <f>IF('計算A'!BH$106=1,FB38,1)</f>
        <v/>
      </c>
      <c r="JS38">
        <f>IF('計算A'!BI$106=1,FC38,1)</f>
        <v/>
      </c>
      <c r="JT38">
        <f>IF('計算A'!BJ$106=1,FD38,1)</f>
        <v/>
      </c>
      <c r="JU38">
        <f>IF('計算A'!BK$106=1,FE38,1)</f>
        <v/>
      </c>
      <c r="JV38">
        <f>IF('計算A'!BL$106=1,FF38,1)</f>
        <v/>
      </c>
      <c r="JW38">
        <f>IF('計算A'!BM$106=1,FG38,1)</f>
        <v/>
      </c>
      <c r="JX38">
        <f>IF('計算A'!BN$106=1,FH38,1)</f>
        <v/>
      </c>
      <c r="JY38">
        <f>IF('計算A'!BO$106=1,FI38,1)</f>
        <v/>
      </c>
      <c r="JZ38">
        <f>IF('計算A'!BP$106=1,FJ38,1)</f>
        <v/>
      </c>
      <c r="KA38">
        <f>IF('計算A'!BQ$106=1,FK38,1)</f>
        <v/>
      </c>
      <c r="KB38">
        <f>IF('計算A'!BR$106=1,FL38,1)</f>
        <v/>
      </c>
      <c r="KC38">
        <f>IF('計算A'!BS$106=1,FM38,1)</f>
        <v/>
      </c>
      <c r="KD38">
        <f>IF('計算A'!BT$106=1,FN38,1)</f>
        <v/>
      </c>
      <c r="KE38">
        <f>IF('計算A'!BU$106=1,FO38,1)</f>
        <v/>
      </c>
      <c r="KF38">
        <f>IF('計算A'!BV$106=1,FP38,1)</f>
        <v/>
      </c>
      <c r="KG38">
        <f>IF('計算A'!BW$106=1,FQ38,1)</f>
        <v/>
      </c>
      <c r="KH38">
        <f>IF('計算A'!BX$106=1,FR38,1)</f>
        <v/>
      </c>
      <c r="KI38">
        <f>IF('計算A'!BY$106=1,FS38,1)</f>
        <v/>
      </c>
      <c r="KJ38">
        <f>IF('計算A'!BZ$106=1,FT38,1)</f>
        <v/>
      </c>
      <c r="KK38">
        <f>IF('計算A'!CA$106=1,FU38,1)</f>
        <v/>
      </c>
      <c r="KL38">
        <f>IF('計算A'!CB$106=1,FV38,1)</f>
        <v/>
      </c>
      <c r="KM38">
        <f>IF('計算A'!CC$106=1,FW38,1)</f>
        <v/>
      </c>
      <c r="KN38">
        <f>IF('計算A'!CD$106=1,FX38,1)</f>
        <v/>
      </c>
      <c r="KO38">
        <f>IF('計算A'!CE$106=1,FY38,1)</f>
        <v/>
      </c>
      <c r="KP38">
        <f>IF('計算A'!CF$106=1,FZ38,1)</f>
        <v/>
      </c>
      <c r="KQ38">
        <f>IF('計算A'!CG$106=1,GA38,1)</f>
        <v/>
      </c>
      <c r="KR38">
        <f>IF('計算A'!CH$106=1,GB38,1)</f>
        <v/>
      </c>
      <c r="KS38">
        <f>IF('計算A'!CI$106=1,GC38,1)</f>
        <v/>
      </c>
      <c r="KT38">
        <f>IF('計算A'!CJ$106=1,GD38,1)</f>
        <v/>
      </c>
      <c r="KU38">
        <f>IF('計算A'!CK$106=1,GE38,1)</f>
        <v/>
      </c>
      <c r="KV38">
        <f>IF('計算A'!CL$106=1,GF38,1)</f>
        <v/>
      </c>
      <c r="KW38">
        <f>IF('計算A'!CM$106=1,GG38,1)</f>
        <v/>
      </c>
      <c r="KX38">
        <f>IF('計算A'!CN$106=1,GH38,1)</f>
        <v/>
      </c>
      <c r="KY38">
        <f>IF('計算A'!CO$106=1,GI38,1)</f>
        <v/>
      </c>
      <c r="KZ38">
        <f>IF('計算A'!CP$106=1,GJ38,1)</f>
        <v/>
      </c>
      <c r="LA38">
        <f>IF('計算A'!CQ$106=1,GK38,1)</f>
        <v/>
      </c>
      <c r="LB38">
        <f>IF('計算A'!CR$106=1,GL38,1)</f>
        <v/>
      </c>
      <c r="LC38">
        <f>IF('計算A'!CS$106=1,GM38,1)</f>
        <v/>
      </c>
      <c r="LD38">
        <f>IF('計算A'!CT$106=1,GN38,1)</f>
        <v/>
      </c>
      <c r="LE38">
        <f>IF('計算A'!CU$106=1,GO38,1)</f>
        <v/>
      </c>
      <c r="LF38">
        <f>IF('計算A'!CV$106=1,GP38,1)</f>
        <v/>
      </c>
      <c r="LG38">
        <f>IF('計算A'!CW$106=1,GQ38,1)</f>
        <v/>
      </c>
      <c r="LH38">
        <f>IF('計算A'!CX$106=1,GR38,1)</f>
        <v/>
      </c>
      <c r="LI38">
        <f>IF('計算A'!CY$106=1,GS38,1)</f>
        <v/>
      </c>
      <c r="LJ38">
        <f>IF('計算A'!CZ$106=1,GT38,1)</f>
        <v/>
      </c>
      <c r="LK38">
        <f>IF('計算A'!DA$106=1,GU38,1)</f>
        <v/>
      </c>
      <c r="LL38">
        <f>IF('計算A'!DB$106=1,GV38,1)</f>
        <v/>
      </c>
      <c r="LM38">
        <f>IF('計算A'!DC$106=1,GW38,1)</f>
        <v/>
      </c>
      <c r="LN38">
        <f>IF('計算A'!DD$106=1,GX38,1)</f>
        <v/>
      </c>
      <c r="LO38">
        <f>IF('計算A'!DE$106=1,GY38,1)</f>
        <v/>
      </c>
      <c r="LP38">
        <f>IF('計算A'!DF$106=1,GZ38,1)</f>
        <v/>
      </c>
      <c r="LQ38">
        <f>IF('計算A'!DG$106=1,HA38,1)</f>
        <v/>
      </c>
      <c r="LR38">
        <f>IF('計算A'!DH$106=1,HB38,1)</f>
        <v/>
      </c>
      <c r="LS38">
        <f>IF('計算A'!DI$106=1,HC38,1)</f>
        <v/>
      </c>
      <c r="LT38">
        <f>IF('計算A'!DJ$106=1,HD38,1)</f>
        <v/>
      </c>
      <c r="LU38">
        <f>IF('計算A'!DK$106=1,HE38,1)</f>
        <v/>
      </c>
      <c r="LV38">
        <f>IF('計算A'!DL$106=1,HF38,1)</f>
        <v/>
      </c>
      <c r="LW38">
        <f>IF('計算A'!DM$106=1,HG38,1)</f>
        <v/>
      </c>
      <c r="LX38">
        <f>IF('計算A'!DN$106=1,HH38,1)</f>
        <v/>
      </c>
      <c r="LY38">
        <f>IF('計算A'!DO$106=1,HI38,1)</f>
        <v/>
      </c>
      <c r="LZ38">
        <f>IF('計算A'!DP$106=1,HJ38,1)</f>
        <v/>
      </c>
      <c r="MA38">
        <f>IF('計算A'!DQ$106=1,HK38,1)</f>
        <v/>
      </c>
      <c r="MB38">
        <f>IF('計算A'!DR$106=1,HL38,1)</f>
        <v/>
      </c>
      <c r="MC38" t="n">
        <v>1</v>
      </c>
      <c r="ME38">
        <f>IF($B38=0,1000000,IF(INDEX('計算A'!$D$60:$DS$104,$B38,1)*CW38=1,IF(AND($E38=2,HN38=0),1000000,INDEX('計算A'!D$110:D$114,$F38+1)+IF(AND($E38=1,HN38=0),1000,0)),1000000))</f>
        <v/>
      </c>
      <c r="MF38">
        <f>IF($B38=0,1000000,IF(INDEX('計算A'!$D$60:$DS$104,$B38,2)*CX38=1,IF(AND($E38=2,HO38=0),1000000,INDEX('計算A'!E$110:E$114,$F38+1)+IF(AND($E38=1,HO38=0),1000,0)),1000000))</f>
        <v/>
      </c>
      <c r="MG38">
        <f>IF($B38=0,1000000,IF(INDEX('計算A'!$D$60:$DS$104,$B38,3)*CY38=1,IF(AND($E38=2,HP38=0),1000000,INDEX('計算A'!F$110:F$114,$F38+1)+IF(AND($E38=1,HP38=0),1000,0)),1000000))</f>
        <v/>
      </c>
      <c r="MH38">
        <f>IF($B38=0,1000000,IF(INDEX('計算A'!$D$60:$DS$104,$B38,4)*CZ38=1,IF(AND($E38=2,HQ38=0),1000000,INDEX('計算A'!G$110:G$114,$F38+1)+IF(AND($E38=1,HQ38=0),1000,0)),1000000))</f>
        <v/>
      </c>
      <c r="MI38">
        <f>IF($B38=0,1000000,IF(INDEX('計算A'!$D$60:$DS$104,$B38,5)*DA38=1,IF(AND($E38=2,HR38=0),1000000,INDEX('計算A'!H$110:H$114,$F38+1)+IF(AND($E38=1,HR38=0),1000,0)),1000000))</f>
        <v/>
      </c>
      <c r="MJ38">
        <f>IF($B38=0,1000000,IF(INDEX('計算A'!$D$60:$DS$104,$B38,6)*DB38=1,IF(AND($E38=2,HS38=0),1000000,INDEX('計算A'!I$110:I$114,$F38+1)+IF(AND($E38=1,HS38=0),1000,0)),1000000))</f>
        <v/>
      </c>
      <c r="MK38">
        <f>IF($B38=0,1000000,IF(INDEX('計算A'!$D$60:$DS$104,$B38,7)*DC38=1,IF(AND($E38=2,HT38=0),1000000,INDEX('計算A'!J$110:J$114,$F38+1)+IF(AND($E38=1,HT38=0),1000,0)),1000000))</f>
        <v/>
      </c>
      <c r="ML38">
        <f>IF($B38=0,1000000,IF(INDEX('計算A'!$D$60:$DS$104,$B38,8)*DD38=1,IF(AND($E38=2,HU38=0),1000000,INDEX('計算A'!K$110:K$114,$F38+1)+IF(AND($E38=1,HU38=0),1000,0)),1000000))</f>
        <v/>
      </c>
      <c r="MM38">
        <f>IF($B38=0,1000000,IF(INDEX('計算A'!$D$60:$DS$104,$B38,9)*DE38=1,IF(AND($E38=2,HV38=0),1000000,INDEX('計算A'!L$110:L$114,$F38+1)+IF(AND($E38=1,HV38=0),1000,0)),1000000))</f>
        <v/>
      </c>
      <c r="MN38">
        <f>IF($B38=0,1000000,IF(INDEX('計算A'!$D$60:$DS$104,$B38,10)*DF38=1,IF(AND($E38=2,HW38=0),1000000,INDEX('計算A'!M$110:M$114,$F38+1)+IF(AND($E38=1,HW38=0),1000,0)),1000000))</f>
        <v/>
      </c>
      <c r="MO38">
        <f>IF($B38=0,1000000,IF(INDEX('計算A'!$D$60:$DS$104,$B38,11)*DG38=1,IF(AND($E38=2,HX38=0),1000000,INDEX('計算A'!N$110:N$114,$F38+1)+IF(AND($E38=1,HX38=0),1000,0)),1000000))</f>
        <v/>
      </c>
      <c r="MP38">
        <f>IF($B38=0,1000000,IF(INDEX('計算A'!$D$60:$DS$104,$B38,12)*DH38=1,IF(AND($E38=2,HY38=0),1000000,INDEX('計算A'!O$110:O$114,$F38+1)+IF(AND($E38=1,HY38=0),1000,0)),1000000))</f>
        <v/>
      </c>
      <c r="MQ38">
        <f>IF($B38=0,1000000,IF(INDEX('計算A'!$D$60:$DS$104,$B38,13)*DI38=1,IF(AND($E38=2,HZ38=0),1000000,INDEX('計算A'!P$110:P$114,$F38+1)+IF(AND($E38=1,HZ38=0),1000,0)),1000000))</f>
        <v/>
      </c>
      <c r="MR38">
        <f>IF($B38=0,1000000,IF(INDEX('計算A'!$D$60:$DS$104,$B38,14)*DJ38=1,IF(AND($E38=2,IA38=0),1000000,INDEX('計算A'!Q$110:Q$114,$F38+1)+IF(AND($E38=1,IA38=0),1000,0)),1000000))</f>
        <v/>
      </c>
      <c r="MS38">
        <f>IF($B38=0,1000000,IF(INDEX('計算A'!$D$60:$DS$104,$B38,15)*DK38=1,IF(AND($E38=2,IB38=0),1000000,INDEX('計算A'!R$110:R$114,$F38+1)+IF(AND($E38=1,IB38=0),1000,0)),1000000))</f>
        <v/>
      </c>
      <c r="MT38">
        <f>IF($B38=0,1000000,IF(INDEX('計算A'!$D$60:$DS$104,$B38,16)*DL38=1,IF(AND($E38=2,IC38=0),1000000,INDEX('計算A'!S$110:S$114,$F38+1)+IF(AND($E38=1,IC38=0),1000,0)),1000000))</f>
        <v/>
      </c>
      <c r="MU38">
        <f>IF($B38=0,1000000,IF(INDEX('計算A'!$D$60:$DS$104,$B38,17)*DM38=1,IF(AND($E38=2,ID38=0),1000000,INDEX('計算A'!T$110:T$114,$F38+1)+IF(AND($E38=1,ID38=0),1000,0)),1000000))</f>
        <v/>
      </c>
      <c r="MV38">
        <f>IF($B38=0,1000000,IF(INDEX('計算A'!$D$60:$DS$104,$B38,18)*DN38=1,IF(AND($E38=2,IE38=0),1000000,INDEX('計算A'!U$110:U$114,$F38+1)+IF(AND($E38=1,IE38=0),1000,0)),1000000))</f>
        <v/>
      </c>
      <c r="MW38">
        <f>IF($B38=0,1000000,IF(INDEX('計算A'!$D$60:$DS$104,$B38,19)*DO38=1,IF(AND($E38=2,IF38=0),1000000,INDEX('計算A'!V$110:V$114,$F38+1)+IF(AND($E38=1,IF38=0),1000,0)),1000000))</f>
        <v/>
      </c>
      <c r="MX38">
        <f>IF($B38=0,1000000,IF(INDEX('計算A'!$D$60:$DS$104,$B38,20)*DP38=1,IF(AND($E38=2,IG38=0),1000000,INDEX('計算A'!W$110:W$114,$F38+1)+IF(AND($E38=1,IG38=0),1000,0)),1000000))</f>
        <v/>
      </c>
      <c r="MY38">
        <f>IF($B38=0,1000000,IF(INDEX('計算A'!$D$60:$DS$104,$B38,21)*DQ38=1,IF(AND($E38=2,IH38=0),1000000,INDEX('計算A'!X$110:X$114,$F38+1)+IF(AND($E38=1,IH38=0),1000,0)),1000000))</f>
        <v/>
      </c>
      <c r="MZ38">
        <f>IF($B38=0,1000000,IF(INDEX('計算A'!$D$60:$DS$104,$B38,22)*DR38=1,IF(AND($E38=2,II38=0),1000000,INDEX('計算A'!Y$110:Y$114,$F38+1)+IF(AND($E38=1,II38=0),1000,0)),1000000))</f>
        <v/>
      </c>
      <c r="NA38">
        <f>IF($B38=0,1000000,IF(INDEX('計算A'!$D$60:$DS$104,$B38,23)*DS38=1,IF(AND($E38=2,IJ38=0),1000000,INDEX('計算A'!Z$110:Z$114,$F38+1)+IF(AND($E38=1,IJ38=0),1000,0)),1000000))</f>
        <v/>
      </c>
      <c r="NB38">
        <f>IF($B38=0,1000000,IF(INDEX('計算A'!$D$60:$DS$104,$B38,24)*DT38=1,IF(AND($E38=2,IK38=0),1000000,INDEX('計算A'!AA$110:AA$114,$F38+1)+IF(AND($E38=1,IK38=0),1000,0)),1000000))</f>
        <v/>
      </c>
      <c r="NC38">
        <f>IF($B38=0,1000000,IF(INDEX('計算A'!$D$60:$DS$104,$B38,25)*DU38=1,IF(AND($E38=2,IL38=0),1000000,INDEX('計算A'!AB$110:AB$114,$F38+1)+IF(AND($E38=1,IL38=0),1000,0)),1000000))</f>
        <v/>
      </c>
      <c r="ND38">
        <f>IF($B38=0,1000000,IF(INDEX('計算A'!$D$60:$DS$104,$B38,26)*DV38=1,IF(AND($E38=2,IM38=0),1000000,INDEX('計算A'!AC$110:AC$114,$F38+1)+IF(AND($E38=1,IM38=0),1000,0)),1000000))</f>
        <v/>
      </c>
      <c r="NE38">
        <f>IF($B38=0,1000000,IF(INDEX('計算A'!$D$60:$DS$104,$B38,27)*DW38=1,IF(AND($E38=2,IN38=0),1000000,INDEX('計算A'!AD$110:AD$114,$F38+1)+IF(AND($E38=1,IN38=0),1000,0)),1000000))</f>
        <v/>
      </c>
      <c r="NF38">
        <f>IF($B38=0,1000000,IF(INDEX('計算A'!$D$60:$DS$104,$B38,28)*DX38=1,IF(AND($E38=2,IO38=0),1000000,INDEX('計算A'!AE$110:AE$114,$F38+1)+IF(AND($E38=1,IO38=0),1000,0)),1000000))</f>
        <v/>
      </c>
      <c r="NG38">
        <f>IF($B38=0,1000000,IF(INDEX('計算A'!$D$60:$DS$104,$B38,29)*DY38=1,IF(AND($E38=2,IP38=0),1000000,INDEX('計算A'!AF$110:AF$114,$F38+1)+IF(AND($E38=1,IP38=0),1000,0)),1000000))</f>
        <v/>
      </c>
      <c r="NH38">
        <f>IF($B38=0,1000000,IF(INDEX('計算A'!$D$60:$DS$104,$B38,30)*DZ38=1,IF(AND($E38=2,IQ38=0),1000000,INDEX('計算A'!AG$110:AG$114,$F38+1)+IF(AND($E38=1,IQ38=0),1000,0)),1000000))</f>
        <v/>
      </c>
      <c r="NI38">
        <f>IF($B38=0,1000000,IF(INDEX('計算A'!$D$60:$DS$104,$B38,31)*EA38=1,IF(AND($E38=2,IR38=0),1000000,INDEX('計算A'!AH$110:AH$114,$F38+1)+IF(AND($E38=1,IR38=0),1000,0)),1000000))</f>
        <v/>
      </c>
      <c r="NJ38">
        <f>IF($B38=0,1000000,IF(INDEX('計算A'!$D$60:$DS$104,$B38,32)*EB38=1,IF(AND($E38=2,IS38=0),1000000,INDEX('計算A'!AI$110:AI$114,$F38+1)+IF(AND($E38=1,IS38=0),1000,0)),1000000))</f>
        <v/>
      </c>
      <c r="NK38">
        <f>IF($B38=0,1000000,IF(INDEX('計算A'!$D$60:$DS$104,$B38,33)*EC38=1,IF(AND($E38=2,IT38=0),1000000,INDEX('計算A'!AJ$110:AJ$114,$F38+1)+IF(AND($E38=1,IT38=0),1000,0)),1000000))</f>
        <v/>
      </c>
      <c r="NL38">
        <f>IF($B38=0,1000000,IF(INDEX('計算A'!$D$60:$DS$104,$B38,34)*ED38=1,IF(AND($E38=2,IU38=0),1000000,INDEX('計算A'!AK$110:AK$114,$F38+1)+IF(AND($E38=1,IU38=0),1000,0)),1000000))</f>
        <v/>
      </c>
      <c r="NM38">
        <f>IF($B38=0,1000000,IF(INDEX('計算A'!$D$60:$DS$104,$B38,35)*EE38=1,IF(AND($E38=2,IV38=0),1000000,INDEX('計算A'!AL$110:AL$114,$F38+1)+IF(AND($E38=1,IV38=0),1000,0)),1000000))</f>
        <v/>
      </c>
      <c r="NN38">
        <f>IF($B38=0,1000000,IF(INDEX('計算A'!$D$60:$DS$104,$B38,36)*EF38=1,IF(AND($E38=2,IW38=0),1000000,INDEX('計算A'!AM$110:AM$114,$F38+1)+IF(AND($E38=1,IW38=0),1000,0)),1000000))</f>
        <v/>
      </c>
      <c r="NO38">
        <f>IF($B38=0,1000000,IF(INDEX('計算A'!$D$60:$DS$104,$B38,37)*EG38=1,IF(AND($E38=2,IX38=0),1000000,INDEX('計算A'!AN$110:AN$114,$F38+1)+IF(AND($E38=1,IX38=0),1000,0)),1000000))</f>
        <v/>
      </c>
      <c r="NP38">
        <f>IF($B38=0,1000000,IF(INDEX('計算A'!$D$60:$DS$104,$B38,38)*EH38=1,IF(AND($E38=2,IY38=0),1000000,INDEX('計算A'!AO$110:AO$114,$F38+1)+IF(AND($E38=1,IY38=0),1000,0)),1000000))</f>
        <v/>
      </c>
      <c r="NQ38">
        <f>IF($B38=0,1000000,IF(INDEX('計算A'!$D$60:$DS$104,$B38,39)*EI38=1,IF(AND($E38=2,IZ38=0),1000000,INDEX('計算A'!AP$110:AP$114,$F38+1)+IF(AND($E38=1,IZ38=0),1000,0)),1000000))</f>
        <v/>
      </c>
      <c r="NR38">
        <f>IF($B38=0,1000000,IF(INDEX('計算A'!$D$60:$DS$104,$B38,40)*EJ38=1,IF(AND($E38=2,JA38=0),1000000,INDEX('計算A'!AQ$110:AQ$114,$F38+1)+IF(AND($E38=1,JA38=0),1000,0)),1000000))</f>
        <v/>
      </c>
      <c r="NS38">
        <f>IF($B38=0,1000000,IF(INDEX('計算A'!$D$60:$DS$104,$B38,41)*EK38=1,IF(AND($E38=2,JB38=0),1000000,INDEX('計算A'!AR$110:AR$114,$F38+1)+IF(AND($E38=1,JB38=0),1000,0)),1000000))</f>
        <v/>
      </c>
      <c r="NT38">
        <f>IF($B38=0,1000000,IF(INDEX('計算A'!$D$60:$DS$104,$B38,42)*EL38=1,IF(AND($E38=2,JC38=0),1000000,INDEX('計算A'!AS$110:AS$114,$F38+1)+IF(AND($E38=1,JC38=0),1000,0)),1000000))</f>
        <v/>
      </c>
      <c r="NU38">
        <f>IF($B38=0,1000000,IF(INDEX('計算A'!$D$60:$DS$104,$B38,43)*EM38=1,IF(AND($E38=2,JD38=0),1000000,INDEX('計算A'!AT$110:AT$114,$F38+1)+IF(AND($E38=1,JD38=0),1000,0)),1000000))</f>
        <v/>
      </c>
      <c r="NV38">
        <f>IF($B38=0,1000000,IF(INDEX('計算A'!$D$60:$DS$104,$B38,44)*EN38=1,IF(AND($E38=2,JE38=0),1000000,INDEX('計算A'!AU$110:AU$114,$F38+1)+IF(AND($E38=1,JE38=0),1000,0)),1000000))</f>
        <v/>
      </c>
      <c r="NW38">
        <f>IF($B38=0,1000000,IF(INDEX('計算A'!$D$60:$DS$104,$B38,45)*EO38=1,IF(AND($E38=2,JF38=0),1000000,INDEX('計算A'!AV$110:AV$114,$F38+1)+IF(AND($E38=1,JF38=0),1000,0)),1000000))</f>
        <v/>
      </c>
      <c r="NX38">
        <f>IF($B38=0,1000000,IF(INDEX('計算A'!$D$60:$DS$104,$B38,46)*EP38=1,IF(AND($E38=2,JG38=0),1000000,INDEX('計算A'!AW$110:AW$114,$F38+1)+IF(AND($E38=1,JG38=0),1000,0)),1000000))</f>
        <v/>
      </c>
      <c r="NY38">
        <f>IF($B38=0,1000000,IF(INDEX('計算A'!$D$60:$DS$104,$B38,47)*EQ38=1,IF(AND($E38=2,JH38=0),1000000,INDEX('計算A'!AX$110:AX$114,$F38+1)+IF(AND($E38=1,JH38=0),1000,0)),1000000))</f>
        <v/>
      </c>
      <c r="NZ38">
        <f>IF($B38=0,1000000,IF(INDEX('計算A'!$D$60:$DS$104,$B38,48)*ER38=1,IF(AND($E38=2,JI38=0),1000000,INDEX('計算A'!AY$110:AY$114,$F38+1)+IF(AND($E38=1,JI38=0),1000,0)),1000000))</f>
        <v/>
      </c>
      <c r="OA38">
        <f>IF($B38=0,1000000,IF(INDEX('計算A'!$D$60:$DS$104,$B38,49)*ES38=1,IF(AND($E38=2,JJ38=0),1000000,INDEX('計算A'!AZ$110:AZ$114,$F38+1)+IF(AND($E38=1,JJ38=0),1000,0)),1000000))</f>
        <v/>
      </c>
      <c r="OB38">
        <f>IF($B38=0,1000000,IF(INDEX('計算A'!$D$60:$DS$104,$B38,50)*ET38=1,IF(AND($E38=2,JK38=0),1000000,INDEX('計算A'!BA$110:BA$114,$F38+1)+IF(AND($E38=1,JK38=0),1000,0)),1000000))</f>
        <v/>
      </c>
      <c r="OC38">
        <f>IF($B38=0,1000000,IF(INDEX('計算A'!$D$60:$DS$104,$B38,51)*EU38=1,IF(AND($E38=2,JL38=0),1000000,INDEX('計算A'!BB$110:BB$114,$F38+1)+IF(AND($E38=1,JL38=0),1000,0)),1000000))</f>
        <v/>
      </c>
      <c r="OD38">
        <f>IF($B38=0,1000000,IF(INDEX('計算A'!$D$60:$DS$104,$B38,52)*EV38=1,IF(AND($E38=2,JM38=0),1000000,INDEX('計算A'!BC$110:BC$114,$F38+1)+IF(AND($E38=1,JM38=0),1000,0)),1000000))</f>
        <v/>
      </c>
      <c r="OE38">
        <f>IF($B38=0,1000000,IF(INDEX('計算A'!$D$60:$DS$104,$B38,53)*EW38=1,IF(AND($E38=2,JN38=0),1000000,INDEX('計算A'!BD$110:BD$114,$F38+1)+IF(AND($E38=1,JN38=0),1000,0)),1000000))</f>
        <v/>
      </c>
      <c r="OF38">
        <f>IF($B38=0,1000000,IF(INDEX('計算A'!$D$60:$DS$104,$B38,54)*EX38=1,IF(AND($E38=2,JO38=0),1000000,INDEX('計算A'!BE$110:BE$114,$F38+1)+IF(AND($E38=1,JO38=0),1000,0)),1000000))</f>
        <v/>
      </c>
      <c r="OG38">
        <f>IF($B38=0,1000000,IF(INDEX('計算A'!$D$60:$DS$104,$B38,55)*EY38=1,IF(AND($E38=2,JP38=0),1000000,INDEX('計算A'!BF$110:BF$114,$F38+1)+IF(AND($E38=1,JP38=0),1000,0)),1000000))</f>
        <v/>
      </c>
      <c r="OH38">
        <f>IF($B38=0,1000000,IF(INDEX('計算A'!$D$60:$DS$104,$B38,56)*EZ38=1,IF(AND($E38=2,JQ38=0),1000000,INDEX('計算A'!BG$110:BG$114,$F38+1)+IF(AND($E38=1,JQ38=0),1000,0)),1000000))</f>
        <v/>
      </c>
      <c r="OI38">
        <f>IF($B38=0,1000000,IF(INDEX('計算A'!$D$60:$DS$104,$B38,57)*FA38=1,IF(AND($E38=2,JR38=0),1000000,INDEX('計算A'!BH$110:BH$114,$F38+1)+IF(AND($E38=1,JR38=0),1000,0)),1000000))</f>
        <v/>
      </c>
      <c r="OJ38">
        <f>IF($B38=0,1000000,IF(INDEX('計算A'!$D$60:$DS$104,$B38,58)*FB38=1,IF(AND($E38=2,JS38=0),1000000,INDEX('計算A'!BI$110:BI$114,$F38+1)+IF(AND($E38=1,JS38=0),1000,0)),1000000))</f>
        <v/>
      </c>
      <c r="OK38">
        <f>IF($B38=0,1000000,IF(INDEX('計算A'!$D$60:$DS$104,$B38,59)*FC38=1,IF(AND($E38=2,JT38=0),1000000,INDEX('計算A'!BJ$110:BJ$114,$F38+1)+IF(AND($E38=1,JT38=0),1000,0)),1000000))</f>
        <v/>
      </c>
      <c r="OL38">
        <f>IF($B38=0,1000000,IF(INDEX('計算A'!$D$60:$DS$104,$B38,60)*FD38=1,IF(AND($E38=2,JU38=0),1000000,INDEX('計算A'!BK$110:BK$114,$F38+1)+IF(AND($E38=1,JU38=0),1000,0)),1000000))</f>
        <v/>
      </c>
      <c r="OM38">
        <f>IF($B38=0,1000000,IF(INDEX('計算A'!$D$60:$DS$104,$B38,61)*FE38=1,IF(AND($E38=2,JV38=0),1000000,INDEX('計算A'!BL$110:BL$114,$F38+1)+IF(AND($E38=1,JV38=0),1000,0)),1000000))</f>
        <v/>
      </c>
      <c r="ON38">
        <f>IF($B38=0,1000000,IF(INDEX('計算A'!$D$60:$DS$104,$B38,62)*FF38=1,IF(AND($E38=2,JW38=0),1000000,INDEX('計算A'!BM$110:BM$114,$F38+1)+IF(AND($E38=1,JW38=0),1000,0)),1000000))</f>
        <v/>
      </c>
      <c r="OO38">
        <f>IF($B38=0,1000000,IF(INDEX('計算A'!$D$60:$DS$104,$B38,63)*FG38=1,IF(AND($E38=2,JX38=0),1000000,INDEX('計算A'!BN$110:BN$114,$F38+1)+IF(AND($E38=1,JX38=0),1000,0)),1000000))</f>
        <v/>
      </c>
      <c r="OP38">
        <f>IF($B38=0,1000000,IF(INDEX('計算A'!$D$60:$DS$104,$B38,64)*FH38=1,IF(AND($E38=2,JY38=0),1000000,INDEX('計算A'!BO$110:BO$114,$F38+1)+IF(AND($E38=1,JY38=0),1000,0)),1000000))</f>
        <v/>
      </c>
      <c r="OQ38">
        <f>IF($B38=0,1000000,IF(INDEX('計算A'!$D$60:$DS$104,$B38,65)*FI38=1,IF(AND($E38=2,JZ38=0),1000000,INDEX('計算A'!BP$110:BP$114,$F38+1)+IF(AND($E38=1,JZ38=0),1000,0)),1000000))</f>
        <v/>
      </c>
      <c r="OR38">
        <f>IF($B38=0,1000000,IF(INDEX('計算A'!$D$60:$DS$104,$B38,66)*FJ38=1,IF(AND($E38=2,KA38=0),1000000,INDEX('計算A'!BQ$110:BQ$114,$F38+1)+IF(AND($E38=1,KA38=0),1000,0)),1000000))</f>
        <v/>
      </c>
      <c r="OS38">
        <f>IF($B38=0,1000000,IF(INDEX('計算A'!$D$60:$DS$104,$B38,67)*FK38=1,IF(AND($E38=2,KB38=0),1000000,INDEX('計算A'!BR$110:BR$114,$F38+1)+IF(AND($E38=1,KB38=0),1000,0)),1000000))</f>
        <v/>
      </c>
      <c r="OT38">
        <f>IF($B38=0,1000000,IF(INDEX('計算A'!$D$60:$DS$104,$B38,68)*FL38=1,IF(AND($E38=2,KC38=0),1000000,INDEX('計算A'!BS$110:BS$114,$F38+1)+IF(AND($E38=1,KC38=0),1000,0)),1000000))</f>
        <v/>
      </c>
      <c r="OU38">
        <f>IF($B38=0,1000000,IF(INDEX('計算A'!$D$60:$DS$104,$B38,69)*FM38=1,IF(AND($E38=2,KD38=0),1000000,INDEX('計算A'!BT$110:BT$114,$F38+1)+IF(AND($E38=1,KD38=0),1000,0)),1000000))</f>
        <v/>
      </c>
      <c r="OV38">
        <f>IF($B38=0,1000000,IF(INDEX('計算A'!$D$60:$DS$104,$B38,70)*FN38=1,IF(AND($E38=2,KE38=0),1000000,INDEX('計算A'!BU$110:BU$114,$F38+1)+IF(AND($E38=1,KE38=0),1000,0)),1000000))</f>
        <v/>
      </c>
      <c r="OW38">
        <f>IF($B38=0,1000000,IF(INDEX('計算A'!$D$60:$DS$104,$B38,71)*FO38=1,IF(AND($E38=2,KF38=0),1000000,INDEX('計算A'!BV$110:BV$114,$F38+1)+IF(AND($E38=1,KF38=0),1000,0)),1000000))</f>
        <v/>
      </c>
      <c r="OX38">
        <f>IF($B38=0,1000000,IF(INDEX('計算A'!$D$60:$DS$104,$B38,72)*FP38=1,IF(AND($E38=2,KG38=0),1000000,INDEX('計算A'!BW$110:BW$114,$F38+1)+IF(AND($E38=1,KG38=0),1000,0)),1000000))</f>
        <v/>
      </c>
      <c r="OY38">
        <f>IF($B38=0,1000000,IF(INDEX('計算A'!$D$60:$DS$104,$B38,73)*FQ38=1,IF(AND($E38=2,KH38=0),1000000,INDEX('計算A'!BX$110:BX$114,$F38+1)+IF(AND($E38=1,KH38=0),1000,0)),1000000))</f>
        <v/>
      </c>
      <c r="OZ38">
        <f>IF($B38=0,1000000,IF(INDEX('計算A'!$D$60:$DS$104,$B38,74)*FR38=1,IF(AND($E38=2,KI38=0),1000000,INDEX('計算A'!BY$110:BY$114,$F38+1)+IF(AND($E38=1,KI38=0),1000,0)),1000000))</f>
        <v/>
      </c>
      <c r="PA38">
        <f>IF($B38=0,1000000,IF(INDEX('計算A'!$D$60:$DS$104,$B38,75)*FS38=1,IF(AND($E38=2,KJ38=0),1000000,INDEX('計算A'!BZ$110:BZ$114,$F38+1)+IF(AND($E38=1,KJ38=0),1000,0)),1000000))</f>
        <v/>
      </c>
      <c r="PB38">
        <f>IF($B38=0,1000000,IF(INDEX('計算A'!$D$60:$DS$104,$B38,76)*FT38=1,IF(AND($E38=2,KK38=0),1000000,INDEX('計算A'!CA$110:CA$114,$F38+1)+IF(AND($E38=1,KK38=0),1000,0)),1000000))</f>
        <v/>
      </c>
      <c r="PC38">
        <f>IF($B38=0,1000000,IF(INDEX('計算A'!$D$60:$DS$104,$B38,77)*FU38=1,IF(AND($E38=2,KL38=0),1000000,INDEX('計算A'!CB$110:CB$114,$F38+1)+IF(AND($E38=1,KL38=0),1000,0)),1000000))</f>
        <v/>
      </c>
      <c r="PD38">
        <f>IF($B38=0,1000000,IF(INDEX('計算A'!$D$60:$DS$104,$B38,78)*FV38=1,IF(AND($E38=2,KM38=0),1000000,INDEX('計算A'!CC$110:CC$114,$F38+1)+IF(AND($E38=1,KM38=0),1000,0)),1000000))</f>
        <v/>
      </c>
      <c r="PE38">
        <f>IF($B38=0,1000000,IF(INDEX('計算A'!$D$60:$DS$104,$B38,79)*FW38=1,IF(AND($E38=2,KN38=0),1000000,INDEX('計算A'!CD$110:CD$114,$F38+1)+IF(AND($E38=1,KN38=0),1000,0)),1000000))</f>
        <v/>
      </c>
      <c r="PF38">
        <f>IF($B38=0,1000000,IF(INDEX('計算A'!$D$60:$DS$104,$B38,80)*FX38=1,IF(AND($E38=2,KO38=0),1000000,INDEX('計算A'!CE$110:CE$114,$F38+1)+IF(AND($E38=1,KO38=0),1000,0)),1000000))</f>
        <v/>
      </c>
      <c r="PG38">
        <f>IF($B38=0,1000000,IF(INDEX('計算A'!$D$60:$DS$104,$B38,81)*FY38=1,IF(AND($E38=2,KP38=0),1000000,INDEX('計算A'!CF$110:CF$114,$F38+1)+IF(AND($E38=1,KP38=0),1000,0)),1000000))</f>
        <v/>
      </c>
      <c r="PH38">
        <f>IF($B38=0,1000000,IF(INDEX('計算A'!$D$60:$DS$104,$B38,82)*FZ38=1,IF(AND($E38=2,KQ38=0),1000000,INDEX('計算A'!CG$110:CG$114,$F38+1)+IF(AND($E38=1,KQ38=0),1000,0)),1000000))</f>
        <v/>
      </c>
      <c r="PI38">
        <f>IF($B38=0,1000000,IF(INDEX('計算A'!$D$60:$DS$104,$B38,83)*GA38=1,IF(AND($E38=2,KR38=0),1000000,INDEX('計算A'!CH$110:CH$114,$F38+1)+IF(AND($E38=1,KR38=0),1000,0)),1000000))</f>
        <v/>
      </c>
      <c r="PJ38">
        <f>IF($B38=0,1000000,IF(INDEX('計算A'!$D$60:$DS$104,$B38,84)*GB38=1,IF(AND($E38=2,KS38=0),1000000,INDEX('計算A'!CI$110:CI$114,$F38+1)+IF(AND($E38=1,KS38=0),1000,0)),1000000))</f>
        <v/>
      </c>
      <c r="PK38">
        <f>IF($B38=0,1000000,IF(INDEX('計算A'!$D$60:$DS$104,$B38,85)*GC38=1,IF(AND($E38=2,KT38=0),1000000,INDEX('計算A'!CJ$110:CJ$114,$F38+1)+IF(AND($E38=1,KT38=0),1000,0)),1000000))</f>
        <v/>
      </c>
      <c r="PL38">
        <f>IF($B38=0,1000000,IF(INDEX('計算A'!$D$60:$DS$104,$B38,86)*GD38=1,IF(AND($E38=2,KU38=0),1000000,INDEX('計算A'!CK$110:CK$114,$F38+1)+IF(AND($E38=1,KU38=0),1000,0)),1000000))</f>
        <v/>
      </c>
      <c r="PM38">
        <f>IF($B38=0,1000000,IF(INDEX('計算A'!$D$60:$DS$104,$B38,87)*GE38=1,IF(AND($E38=2,KV38=0),1000000,INDEX('計算A'!CL$110:CL$114,$F38+1)+IF(AND($E38=1,KV38=0),1000,0)),1000000))</f>
        <v/>
      </c>
      <c r="PN38">
        <f>IF($B38=0,1000000,IF(INDEX('計算A'!$D$60:$DS$104,$B38,88)*GF38=1,IF(AND($E38=2,KW38=0),1000000,INDEX('計算A'!CM$110:CM$114,$F38+1)+IF(AND($E38=1,KW38=0),1000,0)),1000000))</f>
        <v/>
      </c>
      <c r="PO38">
        <f>IF($B38=0,1000000,IF(INDEX('計算A'!$D$60:$DS$104,$B38,89)*GG38=1,IF(AND($E38=2,KX38=0),1000000,INDEX('計算A'!CN$110:CN$114,$F38+1)+IF(AND($E38=1,KX38=0),1000,0)),1000000))</f>
        <v/>
      </c>
      <c r="PP38">
        <f>IF($B38=0,1000000,IF(INDEX('計算A'!$D$60:$DS$104,$B38,90)*GH38=1,IF(AND($E38=2,KY38=0),1000000,INDEX('計算A'!CO$110:CO$114,$F38+1)+IF(AND($E38=1,KY38=0),1000,0)),1000000))</f>
        <v/>
      </c>
      <c r="PQ38">
        <f>IF($B38=0,1000000,IF(INDEX('計算A'!$D$60:$DS$104,$B38,91)*GI38=1,IF(AND($E38=2,KZ38=0),1000000,INDEX('計算A'!CP$110:CP$114,$F38+1)+IF(AND($E38=1,KZ38=0),1000,0)),1000000))</f>
        <v/>
      </c>
      <c r="PR38">
        <f>IF($B38=0,1000000,IF(INDEX('計算A'!$D$60:$DS$104,$B38,92)*GJ38=1,IF(AND($E38=2,LA38=0),1000000,INDEX('計算A'!CQ$110:CQ$114,$F38+1)+IF(AND($E38=1,LA38=0),1000,0)),1000000))</f>
        <v/>
      </c>
      <c r="PS38">
        <f>IF($B38=0,1000000,IF(INDEX('計算A'!$D$60:$DS$104,$B38,93)*GK38=1,IF(AND($E38=2,LB38=0),1000000,INDEX('計算A'!CR$110:CR$114,$F38+1)+IF(AND($E38=1,LB38=0),1000,0)),1000000))</f>
        <v/>
      </c>
      <c r="PT38">
        <f>IF($B38=0,1000000,IF(INDEX('計算A'!$D$60:$DS$104,$B38,94)*GL38=1,IF(AND($E38=2,LC38=0),1000000,INDEX('計算A'!CS$110:CS$114,$F38+1)+IF(AND($E38=1,LC38=0),1000,0)),1000000))</f>
        <v/>
      </c>
      <c r="PU38">
        <f>IF($B38=0,1000000,IF(INDEX('計算A'!$D$60:$DS$104,$B38,95)*GM38=1,IF(AND($E38=2,LD38=0),1000000,INDEX('計算A'!CT$110:CT$114,$F38+1)+IF(AND($E38=1,LD38=0),1000,0)),1000000))</f>
        <v/>
      </c>
      <c r="PV38">
        <f>IF($B38=0,1000000,IF(INDEX('計算A'!$D$60:$DS$104,$B38,96)*GN38=1,IF(AND($E38=2,LE38=0),1000000,INDEX('計算A'!CU$110:CU$114,$F38+1)+IF(AND($E38=1,LE38=0),1000,0)),1000000))</f>
        <v/>
      </c>
      <c r="PW38">
        <f>IF($B38=0,1000000,IF(INDEX('計算A'!$D$60:$DS$104,$B38,97)*GO38=1,IF(AND($E38=2,LF38=0),1000000,INDEX('計算A'!CV$110:CV$114,$F38+1)+IF(AND($E38=1,LF38=0),1000,0)),1000000))</f>
        <v/>
      </c>
      <c r="PX38">
        <f>IF($B38=0,1000000,IF(INDEX('計算A'!$D$60:$DS$104,$B38,98)*GP38=1,IF(AND($E38=2,LG38=0),1000000,INDEX('計算A'!CW$110:CW$114,$F38+1)+IF(AND($E38=1,LG38=0),1000,0)),1000000))</f>
        <v/>
      </c>
      <c r="PY38">
        <f>IF($B38=0,1000000,IF(INDEX('計算A'!$D$60:$DS$104,$B38,99)*GQ38=1,IF(AND($E38=2,LH38=0),1000000,INDEX('計算A'!CX$110:CX$114,$F38+1)+IF(AND($E38=1,LH38=0),1000,0)),1000000))</f>
        <v/>
      </c>
      <c r="PZ38">
        <f>IF($B38=0,1000000,IF(INDEX('計算A'!$D$60:$DS$104,$B38,100)*GR38=1,IF(AND($E38=2,LI38=0),1000000,INDEX('計算A'!CY$110:CY$114,$F38+1)+IF(AND($E38=1,LI38=0),1000,0)),1000000))</f>
        <v/>
      </c>
      <c r="QA38">
        <f>IF($B38=0,1000000,IF(INDEX('計算A'!$D$60:$DS$104,$B38,101)*GS38=1,IF(AND($E38=2,LJ38=0),1000000,INDEX('計算A'!CZ$110:CZ$114,$F38+1)+IF(AND($E38=1,LJ38=0),1000,0)),1000000))</f>
        <v/>
      </c>
      <c r="QB38">
        <f>IF($B38=0,1000000,IF(INDEX('計算A'!$D$60:$DS$104,$B38,102)*GT38=1,IF(AND($E38=2,LK38=0),1000000,INDEX('計算A'!DA$110:DA$114,$F38+1)+IF(AND($E38=1,LK38=0),1000,0)),1000000))</f>
        <v/>
      </c>
      <c r="QC38">
        <f>IF($B38=0,1000000,IF(INDEX('計算A'!$D$60:$DS$104,$B38,103)*GU38=1,IF(AND($E38=2,LL38=0),1000000,INDEX('計算A'!DB$110:DB$114,$F38+1)+IF(AND($E38=1,LL38=0),1000,0)),1000000))</f>
        <v/>
      </c>
      <c r="QD38">
        <f>IF($B38=0,1000000,IF(INDEX('計算A'!$D$60:$DS$104,$B38,104)*GV38=1,IF(AND($E38=2,LM38=0),1000000,INDEX('計算A'!DC$110:DC$114,$F38+1)+IF(AND($E38=1,LM38=0),1000,0)),1000000))</f>
        <v/>
      </c>
      <c r="QE38">
        <f>IF($B38=0,1000000,IF(INDEX('計算A'!$D$60:$DS$104,$B38,105)*GW38=1,IF(AND($E38=2,LN38=0),1000000,INDEX('計算A'!DD$110:DD$114,$F38+1)+IF(AND($E38=1,LN38=0),1000,0)),1000000))</f>
        <v/>
      </c>
      <c r="QF38">
        <f>IF($B38=0,1000000,IF(INDEX('計算A'!$D$60:$DS$104,$B38,106)*GX38=1,IF(AND($E38=2,LO38=0),1000000,INDEX('計算A'!DE$110:DE$114,$F38+1)+IF(AND($E38=1,LO38=0),1000,0)),1000000))</f>
        <v/>
      </c>
      <c r="QG38">
        <f>IF($B38=0,1000000,IF(INDEX('計算A'!$D$60:$DS$104,$B38,107)*GY38=1,IF(AND($E38=2,LP38=0),1000000,INDEX('計算A'!DF$110:DF$114,$F38+1)+IF(AND($E38=1,LP38=0),1000,0)),1000000))</f>
        <v/>
      </c>
      <c r="QH38">
        <f>IF($B38=0,1000000,IF(INDEX('計算A'!$D$60:$DS$104,$B38,108)*GZ38=1,IF(AND($E38=2,LQ38=0),1000000,INDEX('計算A'!DG$110:DG$114,$F38+1)+IF(AND($E38=1,LQ38=0),1000,0)),1000000))</f>
        <v/>
      </c>
      <c r="QI38">
        <f>IF($B38=0,1000000,IF(INDEX('計算A'!$D$60:$DS$104,$B38,109)*HA38=1,IF(AND($E38=2,LR38=0),1000000,INDEX('計算A'!DH$110:DH$114,$F38+1)+IF(AND($E38=1,LR38=0),1000,0)),1000000))</f>
        <v/>
      </c>
      <c r="QJ38">
        <f>IF($B38=0,1000000,IF(INDEX('計算A'!$D$60:$DS$104,$B38,110)*HB38=1,IF(AND($E38=2,LS38=0),1000000,INDEX('計算A'!DI$110:DI$114,$F38+1)+IF(AND($E38=1,LS38=0),1000,0)),1000000))</f>
        <v/>
      </c>
      <c r="QK38">
        <f>IF($B38=0,1000000,IF(INDEX('計算A'!$D$60:$DS$104,$B38,111)*HC38=1,IF(AND($E38=2,LT38=0),1000000,INDEX('計算A'!DJ$110:DJ$114,$F38+1)+IF(AND($E38=1,LT38=0),1000,0)),1000000))</f>
        <v/>
      </c>
      <c r="QL38">
        <f>IF($B38=0,1000000,IF(INDEX('計算A'!$D$60:$DS$104,$B38,112)*HD38=1,IF(AND($E38=2,LU38=0),1000000,INDEX('計算A'!DK$110:DK$114,$F38+1)+IF(AND($E38=1,LU38=0),1000,0)),1000000))</f>
        <v/>
      </c>
      <c r="QM38">
        <f>IF($B38=0,1000000,IF(INDEX('計算A'!$D$60:$DS$104,$B38,113)*HE38=1,IF(AND($E38=2,LV38=0),1000000,INDEX('計算A'!DL$110:DL$114,$F38+1)+IF(AND($E38=1,LV38=0),1000,0)),1000000))</f>
        <v/>
      </c>
      <c r="QN38">
        <f>IF($B38=0,1000000,IF(INDEX('計算A'!$D$60:$DS$104,$B38,114)*HF38=1,IF(AND($E38=2,LW38=0),1000000,INDEX('計算A'!DM$110:DM$114,$F38+1)+IF(AND($E38=1,LW38=0),1000,0)),1000000))</f>
        <v/>
      </c>
      <c r="QO38">
        <f>IF($B38=0,1000000,IF(INDEX('計算A'!$D$60:$DS$104,$B38,115)*HG38=1,IF(AND($E38=2,LX38=0),1000000,INDEX('計算A'!DN$110:DN$114,$F38+1)+IF(AND($E38=1,LX38=0),1000,0)),1000000))</f>
        <v/>
      </c>
      <c r="QP38">
        <f>IF($B38=0,1000000,IF(INDEX('計算A'!$D$60:$DS$104,$B38,116)*HH38=1,IF(AND($E38=2,LY38=0),1000000,INDEX('計算A'!DO$110:DO$114,$F38+1)+IF(AND($E38=1,LY38=0),1000,0)),1000000))</f>
        <v/>
      </c>
      <c r="QQ38">
        <f>IF($B38=0,1000000,IF(INDEX('計算A'!$D$60:$DS$104,$B38,117)*HI38=1,IF(AND($E38=2,LZ38=0),1000000,INDEX('計算A'!DP$110:DP$114,$F38+1)+IF(AND($E38=1,LZ38=0),1000,0)),1000000))</f>
        <v/>
      </c>
      <c r="QR38">
        <f>IF($B38=0,1000000,IF(INDEX('計算A'!$D$60:$DS$104,$B38,118)*HJ38=1,IF(AND($E38=2,MA38=0),1000000,INDEX('計算A'!DQ$110:DQ$114,$F38+1)+IF(AND($E38=1,MA38=0),1000,0)),1000000))</f>
        <v/>
      </c>
      <c r="QS38">
        <f>IF($B38=0,1000000,IF(INDEX('計算A'!$D$60:$DS$104,$B38,119)*HK38=1,IF(AND($E38=2,MB38=0),1000000,INDEX('計算A'!DR$110:DR$114,$F38+1)+IF(AND($E38=1,MB38=0),1000,0)),1000000))</f>
        <v/>
      </c>
      <c r="QT38">
        <f>IF($B38=0,1000000,IF(INDEX('計算A'!$D$60:$DS$104,$B38,120)*HL38=1,IF(AND($E38=2,MC38=0),1000000,INDEX('計算A'!DS$110:DS$114,$F38+1)+IF(AND($E38=1,MC38=0),1000,0)),1000000))</f>
        <v/>
      </c>
    </row>
    <row r="39">
      <c r="A39" t="n">
        <v>37</v>
      </c>
      <c r="B39">
        <f>IF(MIN(BC39:CU39)&gt;=1000000,0,MATCH(MIN(BC39:CU39),BC39:CU39,0))</f>
        <v/>
      </c>
      <c r="C39">
        <f>IF(MIN(ME39:QT39)&gt;=1000000,0,MATCH(MIN(ME39:QT39),ME39:QT39,0))</f>
        <v/>
      </c>
      <c r="D39">
        <f>IF(C39&gt;0,INDEX('計算A'!$D$5:$DS$5,C39),0)</f>
        <v/>
      </c>
      <c r="E39">
        <f>IF(B39=0,0,INDEX('計算A'!$EA$10:$EA$54,B39))</f>
        <v/>
      </c>
      <c r="F39">
        <f>IF(B39=0,0,INDEX('計算A'!$DZ$10:$DZ$54,B39))</f>
        <v/>
      </c>
      <c r="G39">
        <f>IF(AND(C39&gt;0,E39&gt;0),IF(AND(INDEX('計算A'!$D$106:$DS$106,C39)=1,INDEX($HN39:$MC39,C39)=1),C39+1,0),0)</f>
        <v/>
      </c>
      <c r="I39">
        <f>MAX(I38,IF($B38=1,1,0))</f>
        <v/>
      </c>
      <c r="J39">
        <f>MAX(J38,IF($B38=2,1,0))</f>
        <v/>
      </c>
      <c r="K39">
        <f>MAX(K38,IF($B38=3,1,0))</f>
        <v/>
      </c>
      <c r="L39">
        <f>MAX(L38,IF($B38=4,1,0))</f>
        <v/>
      </c>
      <c r="M39">
        <f>MAX(M38,IF($B38=5,1,0))</f>
        <v/>
      </c>
      <c r="N39">
        <f>MAX(N38,IF($B38=6,1,0))</f>
        <v/>
      </c>
      <c r="O39">
        <f>MAX(O38,IF($B38=7,1,0))</f>
        <v/>
      </c>
      <c r="P39">
        <f>MAX(P38,IF($B38=8,1,0))</f>
        <v/>
      </c>
      <c r="Q39">
        <f>MAX(Q38,IF($B38=9,1,0))</f>
        <v/>
      </c>
      <c r="R39">
        <f>MAX(R38,IF($B38=10,1,0))</f>
        <v/>
      </c>
      <c r="S39">
        <f>MAX(S38,IF($B38=11,1,0))</f>
        <v/>
      </c>
      <c r="T39">
        <f>MAX(T38,IF($B38=12,1,0))</f>
        <v/>
      </c>
      <c r="U39">
        <f>MAX(U38,IF($B38=13,1,0))</f>
        <v/>
      </c>
      <c r="V39">
        <f>MAX(V38,IF($B38=14,1,0))</f>
        <v/>
      </c>
      <c r="W39">
        <f>MAX(W38,IF($B38=15,1,0))</f>
        <v/>
      </c>
      <c r="X39">
        <f>MAX(X38,IF($B38=16,1,0))</f>
        <v/>
      </c>
      <c r="Y39">
        <f>MAX(Y38,IF($B38=17,1,0))</f>
        <v/>
      </c>
      <c r="Z39">
        <f>MAX(Z38,IF($B38=18,1,0))</f>
        <v/>
      </c>
      <c r="AA39">
        <f>MAX(AA38,IF($B38=19,1,0))</f>
        <v/>
      </c>
      <c r="AB39">
        <f>MAX(AB38,IF($B38=20,1,0))</f>
        <v/>
      </c>
      <c r="AC39">
        <f>MAX(AC38,IF($B38=21,1,0))</f>
        <v/>
      </c>
      <c r="AD39">
        <f>MAX(AD38,IF($B38=22,1,0))</f>
        <v/>
      </c>
      <c r="AE39">
        <f>MAX(AE38,IF($B38=23,1,0))</f>
        <v/>
      </c>
      <c r="AF39">
        <f>MAX(AF38,IF($B38=24,1,0))</f>
        <v/>
      </c>
      <c r="AG39">
        <f>MAX(AG38,IF($B38=25,1,0))</f>
        <v/>
      </c>
      <c r="AH39">
        <f>MAX(AH38,IF($B38=26,1,0))</f>
        <v/>
      </c>
      <c r="AI39">
        <f>MAX(AI38,IF($B38=27,1,0))</f>
        <v/>
      </c>
      <c r="AJ39">
        <f>MAX(AJ38,IF($B38=28,1,0))</f>
        <v/>
      </c>
      <c r="AK39">
        <f>MAX(AK38,IF($B38=29,1,0))</f>
        <v/>
      </c>
      <c r="AL39">
        <f>MAX(AL38,IF($B38=30,1,0))</f>
        <v/>
      </c>
      <c r="AM39">
        <f>MAX(AM38,IF($B38=31,1,0))</f>
        <v/>
      </c>
      <c r="AN39">
        <f>MAX(AN38,IF($B38=32,1,0))</f>
        <v/>
      </c>
      <c r="AO39">
        <f>MAX(AO38,IF($B38=33,1,0))</f>
        <v/>
      </c>
      <c r="AP39">
        <f>MAX(AP38,IF($B38=34,1,0))</f>
        <v/>
      </c>
      <c r="AQ39">
        <f>MAX(AQ38,IF($B38=35,1,0))</f>
        <v/>
      </c>
      <c r="AR39">
        <f>MAX(AR38,IF($B38=36,1,0))</f>
        <v/>
      </c>
      <c r="AS39">
        <f>MAX(AS38,IF($B38=37,1,0))</f>
        <v/>
      </c>
      <c r="AT39">
        <f>MAX(AT38,IF($B38=38,1,0))</f>
        <v/>
      </c>
      <c r="AU39">
        <f>MAX(AU38,IF($B38=39,1,0))</f>
        <v/>
      </c>
      <c r="AV39">
        <f>MAX(AV38,IF($B38=40,1,0))</f>
        <v/>
      </c>
      <c r="AW39">
        <f>MAX(AW38,IF($B38=41,1,0))</f>
        <v/>
      </c>
      <c r="AX39">
        <f>MAX(AX38,IF($B38=42,1,0))</f>
        <v/>
      </c>
      <c r="AY39">
        <f>MAX(AY38,IF($B38=43,1,0))</f>
        <v/>
      </c>
      <c r="AZ39">
        <f>MAX(AZ38,IF($B38=44,1,0))</f>
        <v/>
      </c>
      <c r="BA39">
        <f>MAX(BA38,IF($B38=45,1,0))</f>
        <v/>
      </c>
      <c r="BC39">
        <f>IF(I39=1,1000000,IF('計算A'!$EA$10=2,SUMPRODUCT('計算A'!$D$60:$DS$60,$CW39:$HL39,$HN39:$MC39),SUMPRODUCT('計算A'!$D$60:$DS$60,$CW39:$HL39))*1000+1)</f>
        <v/>
      </c>
      <c r="BD39">
        <f>IF(J39=1,1000000,IF('計算A'!$EA$11=2,SUMPRODUCT('計算A'!$D$61:$DS$61,$CW39:$HL39,$HN39:$MC39),SUMPRODUCT('計算A'!$D$61:$DS$61,$CW39:$HL39))*1000+2)</f>
        <v/>
      </c>
      <c r="BE39">
        <f>IF(K39=1,1000000,IF('計算A'!$EA$12=2,SUMPRODUCT('計算A'!$D$62:$DS$62,$CW39:$HL39,$HN39:$MC39),SUMPRODUCT('計算A'!$D$62:$DS$62,$CW39:$HL39))*1000+3)</f>
        <v/>
      </c>
      <c r="BF39">
        <f>IF(L39=1,1000000,IF('計算A'!$EA$13=2,SUMPRODUCT('計算A'!$D$63:$DS$63,$CW39:$HL39,$HN39:$MC39),SUMPRODUCT('計算A'!$D$63:$DS$63,$CW39:$HL39))*1000+4)</f>
        <v/>
      </c>
      <c r="BG39">
        <f>IF(M39=1,1000000,IF('計算A'!$EA$14=2,SUMPRODUCT('計算A'!$D$64:$DS$64,$CW39:$HL39,$HN39:$MC39),SUMPRODUCT('計算A'!$D$64:$DS$64,$CW39:$HL39))*1000+5)</f>
        <v/>
      </c>
      <c r="BH39">
        <f>IF(N39=1,1000000,IF('計算A'!$EA$15=2,SUMPRODUCT('計算A'!$D$65:$DS$65,$CW39:$HL39,$HN39:$MC39),SUMPRODUCT('計算A'!$D$65:$DS$65,$CW39:$HL39))*1000+6)</f>
        <v/>
      </c>
      <c r="BI39">
        <f>IF(O39=1,1000000,IF('計算A'!$EA$16=2,SUMPRODUCT('計算A'!$D$66:$DS$66,$CW39:$HL39,$HN39:$MC39),SUMPRODUCT('計算A'!$D$66:$DS$66,$CW39:$HL39))*1000+7)</f>
        <v/>
      </c>
      <c r="BJ39">
        <f>IF(P39=1,1000000,IF('計算A'!$EA$17=2,SUMPRODUCT('計算A'!$D$67:$DS$67,$CW39:$HL39,$HN39:$MC39),SUMPRODUCT('計算A'!$D$67:$DS$67,$CW39:$HL39))*1000+8)</f>
        <v/>
      </c>
      <c r="BK39">
        <f>IF(Q39=1,1000000,IF('計算A'!$EA$18=2,SUMPRODUCT('計算A'!$D$68:$DS$68,$CW39:$HL39,$HN39:$MC39),SUMPRODUCT('計算A'!$D$68:$DS$68,$CW39:$HL39))*1000+9)</f>
        <v/>
      </c>
      <c r="BL39">
        <f>IF(R39=1,1000000,IF('計算A'!$EA$19=2,SUMPRODUCT('計算A'!$D$69:$DS$69,$CW39:$HL39,$HN39:$MC39),SUMPRODUCT('計算A'!$D$69:$DS$69,$CW39:$HL39))*1000+10)</f>
        <v/>
      </c>
      <c r="BM39">
        <f>IF(S39=1,1000000,IF('計算A'!$EA$20=2,SUMPRODUCT('計算A'!$D$70:$DS$70,$CW39:$HL39,$HN39:$MC39),SUMPRODUCT('計算A'!$D$70:$DS$70,$CW39:$HL39))*1000+11)</f>
        <v/>
      </c>
      <c r="BN39">
        <f>IF(T39=1,1000000,IF('計算A'!$EA$21=2,SUMPRODUCT('計算A'!$D$71:$DS$71,$CW39:$HL39,$HN39:$MC39),SUMPRODUCT('計算A'!$D$71:$DS$71,$CW39:$HL39))*1000+12)</f>
        <v/>
      </c>
      <c r="BO39">
        <f>IF(U39=1,1000000,IF('計算A'!$EA$22=2,SUMPRODUCT('計算A'!$D$72:$DS$72,$CW39:$HL39,$HN39:$MC39),SUMPRODUCT('計算A'!$D$72:$DS$72,$CW39:$HL39))*1000+13)</f>
        <v/>
      </c>
      <c r="BP39">
        <f>IF(V39=1,1000000,IF('計算A'!$EA$23=2,SUMPRODUCT('計算A'!$D$73:$DS$73,$CW39:$HL39,$HN39:$MC39),SUMPRODUCT('計算A'!$D$73:$DS$73,$CW39:$HL39))*1000+14)</f>
        <v/>
      </c>
      <c r="BQ39">
        <f>IF(W39=1,1000000,IF('計算A'!$EA$24=2,SUMPRODUCT('計算A'!$D$74:$DS$74,$CW39:$HL39,$HN39:$MC39),SUMPRODUCT('計算A'!$D$74:$DS$74,$CW39:$HL39))*1000+15)</f>
        <v/>
      </c>
      <c r="BR39">
        <f>IF(X39=1,1000000,IF('計算A'!$EA$25=2,SUMPRODUCT('計算A'!$D$75:$DS$75,$CW39:$HL39,$HN39:$MC39),SUMPRODUCT('計算A'!$D$75:$DS$75,$CW39:$HL39))*1000+16)</f>
        <v/>
      </c>
      <c r="BS39">
        <f>IF(Y39=1,1000000,IF('計算A'!$EA$26=2,SUMPRODUCT('計算A'!$D$76:$DS$76,$CW39:$HL39,$HN39:$MC39),SUMPRODUCT('計算A'!$D$76:$DS$76,$CW39:$HL39))*1000+17)</f>
        <v/>
      </c>
      <c r="BT39">
        <f>IF(Z39=1,1000000,IF('計算A'!$EA$27=2,SUMPRODUCT('計算A'!$D$77:$DS$77,$CW39:$HL39,$HN39:$MC39),SUMPRODUCT('計算A'!$D$77:$DS$77,$CW39:$HL39))*1000+18)</f>
        <v/>
      </c>
      <c r="BU39">
        <f>IF(AA39=1,1000000,IF('計算A'!$EA$28=2,SUMPRODUCT('計算A'!$D$78:$DS$78,$CW39:$HL39,$HN39:$MC39),SUMPRODUCT('計算A'!$D$78:$DS$78,$CW39:$HL39))*1000+19)</f>
        <v/>
      </c>
      <c r="BV39">
        <f>IF(AB39=1,1000000,IF('計算A'!$EA$29=2,SUMPRODUCT('計算A'!$D$79:$DS$79,$CW39:$HL39,$HN39:$MC39),SUMPRODUCT('計算A'!$D$79:$DS$79,$CW39:$HL39))*1000+20)</f>
        <v/>
      </c>
      <c r="BW39">
        <f>IF(AC39=1,1000000,IF('計算A'!$EA$30=2,SUMPRODUCT('計算A'!$D$80:$DS$80,$CW39:$HL39,$HN39:$MC39),SUMPRODUCT('計算A'!$D$80:$DS$80,$CW39:$HL39))*1000+21)</f>
        <v/>
      </c>
      <c r="BX39">
        <f>IF(AD39=1,1000000,IF('計算A'!$EA$31=2,SUMPRODUCT('計算A'!$D$81:$DS$81,$CW39:$HL39,$HN39:$MC39),SUMPRODUCT('計算A'!$D$81:$DS$81,$CW39:$HL39))*1000+22)</f>
        <v/>
      </c>
      <c r="BY39">
        <f>IF(AE39=1,1000000,IF('計算A'!$EA$32=2,SUMPRODUCT('計算A'!$D$82:$DS$82,$CW39:$HL39,$HN39:$MC39),SUMPRODUCT('計算A'!$D$82:$DS$82,$CW39:$HL39))*1000+23)</f>
        <v/>
      </c>
      <c r="BZ39">
        <f>IF(AF39=1,1000000,IF('計算A'!$EA$33=2,SUMPRODUCT('計算A'!$D$83:$DS$83,$CW39:$HL39,$HN39:$MC39),SUMPRODUCT('計算A'!$D$83:$DS$83,$CW39:$HL39))*1000+24)</f>
        <v/>
      </c>
      <c r="CA39">
        <f>IF(AG39=1,1000000,IF('計算A'!$EA$34=2,SUMPRODUCT('計算A'!$D$84:$DS$84,$CW39:$HL39,$HN39:$MC39),SUMPRODUCT('計算A'!$D$84:$DS$84,$CW39:$HL39))*1000+25)</f>
        <v/>
      </c>
      <c r="CB39">
        <f>IF(AH39=1,1000000,IF('計算A'!$EA$35=2,SUMPRODUCT('計算A'!$D$85:$DS$85,$CW39:$HL39,$HN39:$MC39),SUMPRODUCT('計算A'!$D$85:$DS$85,$CW39:$HL39))*1000+26)</f>
        <v/>
      </c>
      <c r="CC39">
        <f>IF(AI39=1,1000000,IF('計算A'!$EA$36=2,SUMPRODUCT('計算A'!$D$86:$DS$86,$CW39:$HL39,$HN39:$MC39),SUMPRODUCT('計算A'!$D$86:$DS$86,$CW39:$HL39))*1000+27)</f>
        <v/>
      </c>
      <c r="CD39">
        <f>IF(AJ39=1,1000000,IF('計算A'!$EA$37=2,SUMPRODUCT('計算A'!$D$87:$DS$87,$CW39:$HL39,$HN39:$MC39),SUMPRODUCT('計算A'!$D$87:$DS$87,$CW39:$HL39))*1000+28)</f>
        <v/>
      </c>
      <c r="CE39">
        <f>IF(AK39=1,1000000,IF('計算A'!$EA$38=2,SUMPRODUCT('計算A'!$D$88:$DS$88,$CW39:$HL39,$HN39:$MC39),SUMPRODUCT('計算A'!$D$88:$DS$88,$CW39:$HL39))*1000+29)</f>
        <v/>
      </c>
      <c r="CF39">
        <f>IF(AL39=1,1000000,IF('計算A'!$EA$39=2,SUMPRODUCT('計算A'!$D$89:$DS$89,$CW39:$HL39,$HN39:$MC39),SUMPRODUCT('計算A'!$D$89:$DS$89,$CW39:$HL39))*1000+30)</f>
        <v/>
      </c>
      <c r="CG39">
        <f>IF(AM39=1,1000000,IF('計算A'!$EA$40=2,SUMPRODUCT('計算A'!$D$90:$DS$90,$CW39:$HL39,$HN39:$MC39),SUMPRODUCT('計算A'!$D$90:$DS$90,$CW39:$HL39))*1000+31)</f>
        <v/>
      </c>
      <c r="CH39">
        <f>IF(AN39=1,1000000,IF('計算A'!$EA$41=2,SUMPRODUCT('計算A'!$D$91:$DS$91,$CW39:$HL39,$HN39:$MC39),SUMPRODUCT('計算A'!$D$91:$DS$91,$CW39:$HL39))*1000+32)</f>
        <v/>
      </c>
      <c r="CI39">
        <f>IF(AO39=1,1000000,IF('計算A'!$EA$42=2,SUMPRODUCT('計算A'!$D$92:$DS$92,$CW39:$HL39,$HN39:$MC39),SUMPRODUCT('計算A'!$D$92:$DS$92,$CW39:$HL39))*1000+33)</f>
        <v/>
      </c>
      <c r="CJ39">
        <f>IF(AP39=1,1000000,IF('計算A'!$EA$43=2,SUMPRODUCT('計算A'!$D$93:$DS$93,$CW39:$HL39,$HN39:$MC39),SUMPRODUCT('計算A'!$D$93:$DS$93,$CW39:$HL39))*1000+34)</f>
        <v/>
      </c>
      <c r="CK39">
        <f>IF(AQ39=1,1000000,IF('計算A'!$EA$44=2,SUMPRODUCT('計算A'!$D$94:$DS$94,$CW39:$HL39,$HN39:$MC39),SUMPRODUCT('計算A'!$D$94:$DS$94,$CW39:$HL39))*1000+35)</f>
        <v/>
      </c>
      <c r="CL39">
        <f>IF(AR39=1,1000000,IF('計算A'!$EA$45=2,SUMPRODUCT('計算A'!$D$95:$DS$95,$CW39:$HL39,$HN39:$MC39),SUMPRODUCT('計算A'!$D$95:$DS$95,$CW39:$HL39))*1000+36)</f>
        <v/>
      </c>
      <c r="CM39">
        <f>IF(AS39=1,1000000,IF('計算A'!$EA$46=2,SUMPRODUCT('計算A'!$D$96:$DS$96,$CW39:$HL39,$HN39:$MC39),SUMPRODUCT('計算A'!$D$96:$DS$96,$CW39:$HL39))*1000+37)</f>
        <v/>
      </c>
      <c r="CN39">
        <f>IF(AT39=1,1000000,IF('計算A'!$EA$47=2,SUMPRODUCT('計算A'!$D$97:$DS$97,$CW39:$HL39,$HN39:$MC39),SUMPRODUCT('計算A'!$D$97:$DS$97,$CW39:$HL39))*1000+38)</f>
        <v/>
      </c>
      <c r="CO39">
        <f>IF(AU39=1,1000000,IF('計算A'!$EA$48=2,SUMPRODUCT('計算A'!$D$98:$DS$98,$CW39:$HL39,$HN39:$MC39),SUMPRODUCT('計算A'!$D$98:$DS$98,$CW39:$HL39))*1000+39)</f>
        <v/>
      </c>
      <c r="CP39">
        <f>IF(AV39=1,1000000,IF('計算A'!$EA$49=2,SUMPRODUCT('計算A'!$D$99:$DS$99,$CW39:$HL39,$HN39:$MC39),SUMPRODUCT('計算A'!$D$99:$DS$99,$CW39:$HL39))*1000+40)</f>
        <v/>
      </c>
      <c r="CQ39">
        <f>IF(AW39=1,1000000,IF('計算A'!$EA$50=2,SUMPRODUCT('計算A'!$D$100:$DS$100,$CW39:$HL39,$HN39:$MC39),SUMPRODUCT('計算A'!$D$100:$DS$100,$CW39:$HL39))*1000+41)</f>
        <v/>
      </c>
      <c r="CR39">
        <f>IF(AX39=1,1000000,IF('計算A'!$EA$51=2,SUMPRODUCT('計算A'!$D$101:$DS$101,$CW39:$HL39,$HN39:$MC39),SUMPRODUCT('計算A'!$D$101:$DS$101,$CW39:$HL39))*1000+42)</f>
        <v/>
      </c>
      <c r="CS39">
        <f>IF(AY39=1,1000000,IF('計算A'!$EA$52=2,SUMPRODUCT('計算A'!$D$102:$DS$102,$CW39:$HL39,$HN39:$MC39),SUMPRODUCT('計算A'!$D$102:$DS$102,$CW39:$HL39))*1000+43)</f>
        <v/>
      </c>
      <c r="CT39">
        <f>IF(AZ39=1,1000000,IF('計算A'!$EA$53=2,SUMPRODUCT('計算A'!$D$103:$DS$103,$CW39:$HL39,$HN39:$MC39),SUMPRODUCT('計算A'!$D$103:$DS$103,$CW39:$HL39))*1000+44)</f>
        <v/>
      </c>
      <c r="CU39">
        <f>IF(BA39=1,1000000,IF('計算A'!$EA$54=2,SUMPRODUCT('計算A'!$D$104:$DS$104,$CW39:$HL39,$HN39:$MC39),SUMPRODUCT('計算A'!$D$104:$DS$104,$CW39:$HL39))*1000+45)</f>
        <v/>
      </c>
      <c r="CW39">
        <f>CW38*IF(OR($C38=1,$G38=1),0,1)</f>
        <v/>
      </c>
      <c r="CX39">
        <f>CX38*IF(OR($C38=2,$G38=2),0,1)</f>
        <v/>
      </c>
      <c r="CY39">
        <f>CY38*IF(OR($C38=3,$G38=3),0,1)</f>
        <v/>
      </c>
      <c r="CZ39">
        <f>CZ38*IF(OR($C38=4,$G38=4),0,1)</f>
        <v/>
      </c>
      <c r="DA39">
        <f>DA38*IF(OR($C38=5,$G38=5),0,1)</f>
        <v/>
      </c>
      <c r="DB39">
        <f>DB38*IF(OR($C38=6,$G38=6),0,1)</f>
        <v/>
      </c>
      <c r="DC39">
        <f>DC38*IF(OR($C38=7,$G38=7),0,1)</f>
        <v/>
      </c>
      <c r="DD39">
        <f>DD38*IF(OR($C38=8,$G38=8),0,1)</f>
        <v/>
      </c>
      <c r="DE39">
        <f>DE38*IF(OR($C38=9,$G38=9),0,1)</f>
        <v/>
      </c>
      <c r="DF39">
        <f>DF38*IF(OR($C38=10,$G38=10),0,1)</f>
        <v/>
      </c>
      <c r="DG39">
        <f>DG38*IF(OR($C38=11,$G38=11),0,1)</f>
        <v/>
      </c>
      <c r="DH39">
        <f>DH38*IF(OR($C38=12,$G38=12),0,1)</f>
        <v/>
      </c>
      <c r="DI39">
        <f>DI38*IF(OR($C38=13,$G38=13),0,1)</f>
        <v/>
      </c>
      <c r="DJ39">
        <f>DJ38*IF(OR($C38=14,$G38=14),0,1)</f>
        <v/>
      </c>
      <c r="DK39">
        <f>DK38*IF(OR($C38=15,$G38=15),0,1)</f>
        <v/>
      </c>
      <c r="DL39">
        <f>DL38*IF(OR($C38=16,$G38=16),0,1)</f>
        <v/>
      </c>
      <c r="DM39">
        <f>DM38*IF(OR($C38=17,$G38=17),0,1)</f>
        <v/>
      </c>
      <c r="DN39">
        <f>DN38*IF(OR($C38=18,$G38=18),0,1)</f>
        <v/>
      </c>
      <c r="DO39">
        <f>DO38*IF(OR($C38=19,$G38=19),0,1)</f>
        <v/>
      </c>
      <c r="DP39">
        <f>DP38*IF(OR($C38=20,$G38=20),0,1)</f>
        <v/>
      </c>
      <c r="DQ39">
        <f>DQ38*IF(OR($C38=21,$G38=21),0,1)</f>
        <v/>
      </c>
      <c r="DR39">
        <f>DR38*IF(OR($C38=22,$G38=22),0,1)</f>
        <v/>
      </c>
      <c r="DS39">
        <f>DS38*IF(OR($C38=23,$G38=23),0,1)</f>
        <v/>
      </c>
      <c r="DT39">
        <f>DT38*IF(OR($C38=24,$G38=24),0,1)</f>
        <v/>
      </c>
      <c r="DU39">
        <f>DU38*IF(OR($C38=25,$G38=25),0,1)</f>
        <v/>
      </c>
      <c r="DV39">
        <f>DV38*IF(OR($C38=26,$G38=26),0,1)</f>
        <v/>
      </c>
      <c r="DW39">
        <f>DW38*IF(OR($C38=27,$G38=27),0,1)</f>
        <v/>
      </c>
      <c r="DX39">
        <f>DX38*IF(OR($C38=28,$G38=28),0,1)</f>
        <v/>
      </c>
      <c r="DY39">
        <f>DY38*IF(OR($C38=29,$G38=29),0,1)</f>
        <v/>
      </c>
      <c r="DZ39">
        <f>DZ38*IF(OR($C38=30,$G38=30),0,1)</f>
        <v/>
      </c>
      <c r="EA39">
        <f>EA38*IF(OR($C38=31,$G38=31),0,1)</f>
        <v/>
      </c>
      <c r="EB39">
        <f>EB38*IF(OR($C38=32,$G38=32),0,1)</f>
        <v/>
      </c>
      <c r="EC39">
        <f>EC38*IF(OR($C38=33,$G38=33),0,1)</f>
        <v/>
      </c>
      <c r="ED39">
        <f>ED38*IF(OR($C38=34,$G38=34),0,1)</f>
        <v/>
      </c>
      <c r="EE39">
        <f>EE38*IF(OR($C38=35,$G38=35),0,1)</f>
        <v/>
      </c>
      <c r="EF39">
        <f>EF38*IF(OR($C38=36,$G38=36),0,1)</f>
        <v/>
      </c>
      <c r="EG39">
        <f>EG38*IF(OR($C38=37,$G38=37),0,1)</f>
        <v/>
      </c>
      <c r="EH39">
        <f>EH38*IF(OR($C38=38,$G38=38),0,1)</f>
        <v/>
      </c>
      <c r="EI39">
        <f>EI38*IF(OR($C38=39,$G38=39),0,1)</f>
        <v/>
      </c>
      <c r="EJ39">
        <f>EJ38*IF(OR($C38=40,$G38=40),0,1)</f>
        <v/>
      </c>
      <c r="EK39">
        <f>EK38*IF(OR($C38=41,$G38=41),0,1)</f>
        <v/>
      </c>
      <c r="EL39">
        <f>EL38*IF(OR($C38=42,$G38=42),0,1)</f>
        <v/>
      </c>
      <c r="EM39">
        <f>EM38*IF(OR($C38=43,$G38=43),0,1)</f>
        <v/>
      </c>
      <c r="EN39">
        <f>EN38*IF(OR($C38=44,$G38=44),0,1)</f>
        <v/>
      </c>
      <c r="EO39">
        <f>EO38*IF(OR($C38=45,$G38=45),0,1)</f>
        <v/>
      </c>
      <c r="EP39">
        <f>EP38*IF(OR($C38=46,$G38=46),0,1)</f>
        <v/>
      </c>
      <c r="EQ39">
        <f>EQ38*IF(OR($C38=47,$G38=47),0,1)</f>
        <v/>
      </c>
      <c r="ER39">
        <f>ER38*IF(OR($C38=48,$G38=48),0,1)</f>
        <v/>
      </c>
      <c r="ES39">
        <f>ES38*IF(OR($C38=49,$G38=49),0,1)</f>
        <v/>
      </c>
      <c r="ET39">
        <f>ET38*IF(OR($C38=50,$G38=50),0,1)</f>
        <v/>
      </c>
      <c r="EU39">
        <f>EU38*IF(OR($C38=51,$G38=51),0,1)</f>
        <v/>
      </c>
      <c r="EV39">
        <f>EV38*IF(OR($C38=52,$G38=52),0,1)</f>
        <v/>
      </c>
      <c r="EW39">
        <f>EW38*IF(OR($C38=53,$G38=53),0,1)</f>
        <v/>
      </c>
      <c r="EX39">
        <f>EX38*IF(OR($C38=54,$G38=54),0,1)</f>
        <v/>
      </c>
      <c r="EY39">
        <f>EY38*IF(OR($C38=55,$G38=55),0,1)</f>
        <v/>
      </c>
      <c r="EZ39">
        <f>EZ38*IF(OR($C38=56,$G38=56),0,1)</f>
        <v/>
      </c>
      <c r="FA39">
        <f>FA38*IF(OR($C38=57,$G38=57),0,1)</f>
        <v/>
      </c>
      <c r="FB39">
        <f>FB38*IF(OR($C38=58,$G38=58),0,1)</f>
        <v/>
      </c>
      <c r="FC39">
        <f>FC38*IF(OR($C38=59,$G38=59),0,1)</f>
        <v/>
      </c>
      <c r="FD39">
        <f>FD38*IF(OR($C38=60,$G38=60),0,1)</f>
        <v/>
      </c>
      <c r="FE39">
        <f>FE38*IF(OR($C38=61,$G38=61),0,1)</f>
        <v/>
      </c>
      <c r="FF39">
        <f>FF38*IF(OR($C38=62,$G38=62),0,1)</f>
        <v/>
      </c>
      <c r="FG39">
        <f>FG38*IF(OR($C38=63,$G38=63),0,1)</f>
        <v/>
      </c>
      <c r="FH39">
        <f>FH38*IF(OR($C38=64,$G38=64),0,1)</f>
        <v/>
      </c>
      <c r="FI39">
        <f>FI38*IF(OR($C38=65,$G38=65),0,1)</f>
        <v/>
      </c>
      <c r="FJ39">
        <f>FJ38*IF(OR($C38=66,$G38=66),0,1)</f>
        <v/>
      </c>
      <c r="FK39">
        <f>FK38*IF(OR($C38=67,$G38=67),0,1)</f>
        <v/>
      </c>
      <c r="FL39">
        <f>FL38*IF(OR($C38=68,$G38=68),0,1)</f>
        <v/>
      </c>
      <c r="FM39">
        <f>FM38*IF(OR($C38=69,$G38=69),0,1)</f>
        <v/>
      </c>
      <c r="FN39">
        <f>FN38*IF(OR($C38=70,$G38=70),0,1)</f>
        <v/>
      </c>
      <c r="FO39">
        <f>FO38*IF(OR($C38=71,$G38=71),0,1)</f>
        <v/>
      </c>
      <c r="FP39">
        <f>FP38*IF(OR($C38=72,$G38=72),0,1)</f>
        <v/>
      </c>
      <c r="FQ39">
        <f>FQ38*IF(OR($C38=73,$G38=73),0,1)</f>
        <v/>
      </c>
      <c r="FR39">
        <f>FR38*IF(OR($C38=74,$G38=74),0,1)</f>
        <v/>
      </c>
      <c r="FS39">
        <f>FS38*IF(OR($C38=75,$G38=75),0,1)</f>
        <v/>
      </c>
      <c r="FT39">
        <f>FT38*IF(OR($C38=76,$G38=76),0,1)</f>
        <v/>
      </c>
      <c r="FU39">
        <f>FU38*IF(OR($C38=77,$G38=77),0,1)</f>
        <v/>
      </c>
      <c r="FV39">
        <f>FV38*IF(OR($C38=78,$G38=78),0,1)</f>
        <v/>
      </c>
      <c r="FW39">
        <f>FW38*IF(OR($C38=79,$G38=79),0,1)</f>
        <v/>
      </c>
      <c r="FX39">
        <f>FX38*IF(OR($C38=80,$G38=80),0,1)</f>
        <v/>
      </c>
      <c r="FY39">
        <f>FY38*IF(OR($C38=81,$G38=81),0,1)</f>
        <v/>
      </c>
      <c r="FZ39">
        <f>FZ38*IF(OR($C38=82,$G38=82),0,1)</f>
        <v/>
      </c>
      <c r="GA39">
        <f>GA38*IF(OR($C38=83,$G38=83),0,1)</f>
        <v/>
      </c>
      <c r="GB39">
        <f>GB38*IF(OR($C38=84,$G38=84),0,1)</f>
        <v/>
      </c>
      <c r="GC39">
        <f>GC38*IF(OR($C38=85,$G38=85),0,1)</f>
        <v/>
      </c>
      <c r="GD39">
        <f>GD38*IF(OR($C38=86,$G38=86),0,1)</f>
        <v/>
      </c>
      <c r="GE39">
        <f>GE38*IF(OR($C38=87,$G38=87),0,1)</f>
        <v/>
      </c>
      <c r="GF39">
        <f>GF38*IF(OR($C38=88,$G38=88),0,1)</f>
        <v/>
      </c>
      <c r="GG39">
        <f>GG38*IF(OR($C38=89,$G38=89),0,1)</f>
        <v/>
      </c>
      <c r="GH39">
        <f>GH38*IF(OR($C38=90,$G38=90),0,1)</f>
        <v/>
      </c>
      <c r="GI39">
        <f>GI38*IF(OR($C38=91,$G38=91),0,1)</f>
        <v/>
      </c>
      <c r="GJ39">
        <f>GJ38*IF(OR($C38=92,$G38=92),0,1)</f>
        <v/>
      </c>
      <c r="GK39">
        <f>GK38*IF(OR($C38=93,$G38=93),0,1)</f>
        <v/>
      </c>
      <c r="GL39">
        <f>GL38*IF(OR($C38=94,$G38=94),0,1)</f>
        <v/>
      </c>
      <c r="GM39">
        <f>GM38*IF(OR($C38=95,$G38=95),0,1)</f>
        <v/>
      </c>
      <c r="GN39">
        <f>GN38*IF(OR($C38=96,$G38=96),0,1)</f>
        <v/>
      </c>
      <c r="GO39">
        <f>GO38*IF(OR($C38=97,$G38=97),0,1)</f>
        <v/>
      </c>
      <c r="GP39">
        <f>GP38*IF(OR($C38=98,$G38=98),0,1)</f>
        <v/>
      </c>
      <c r="GQ39">
        <f>GQ38*IF(OR($C38=99,$G38=99),0,1)</f>
        <v/>
      </c>
      <c r="GR39">
        <f>GR38*IF(OR($C38=100,$G38=100),0,1)</f>
        <v/>
      </c>
      <c r="GS39">
        <f>GS38*IF(OR($C38=101,$G38=101),0,1)</f>
        <v/>
      </c>
      <c r="GT39">
        <f>GT38*IF(OR($C38=102,$G38=102),0,1)</f>
        <v/>
      </c>
      <c r="GU39">
        <f>GU38*IF(OR($C38=103,$G38=103),0,1)</f>
        <v/>
      </c>
      <c r="GV39">
        <f>GV38*IF(OR($C38=104,$G38=104),0,1)</f>
        <v/>
      </c>
      <c r="GW39">
        <f>GW38*IF(OR($C38=105,$G38=105),0,1)</f>
        <v/>
      </c>
      <c r="GX39">
        <f>GX38*IF(OR($C38=106,$G38=106),0,1)</f>
        <v/>
      </c>
      <c r="GY39">
        <f>GY38*IF(OR($C38=107,$G38=107),0,1)</f>
        <v/>
      </c>
      <c r="GZ39">
        <f>GZ38*IF(OR($C38=108,$G38=108),0,1)</f>
        <v/>
      </c>
      <c r="HA39">
        <f>HA38*IF(OR($C38=109,$G38=109),0,1)</f>
        <v/>
      </c>
      <c r="HB39">
        <f>HB38*IF(OR($C38=110,$G38=110),0,1)</f>
        <v/>
      </c>
      <c r="HC39">
        <f>HC38*IF(OR($C38=111,$G38=111),0,1)</f>
        <v/>
      </c>
      <c r="HD39">
        <f>HD38*IF(OR($C38=112,$G38=112),0,1)</f>
        <v/>
      </c>
      <c r="HE39">
        <f>HE38*IF(OR($C38=113,$G38=113),0,1)</f>
        <v/>
      </c>
      <c r="HF39">
        <f>HF38*IF(OR($C38=114,$G38=114),0,1)</f>
        <v/>
      </c>
      <c r="HG39">
        <f>HG38*IF(OR($C38=115,$G38=115),0,1)</f>
        <v/>
      </c>
      <c r="HH39">
        <f>HH38*IF(OR($C38=116,$G38=116),0,1)</f>
        <v/>
      </c>
      <c r="HI39">
        <f>HI38*IF(OR($C38=117,$G38=117),0,1)</f>
        <v/>
      </c>
      <c r="HJ39">
        <f>HJ38*IF(OR($C38=118,$G38=118),0,1)</f>
        <v/>
      </c>
      <c r="HK39">
        <f>HK38*IF(OR($C38=119,$G38=119),0,1)</f>
        <v/>
      </c>
      <c r="HL39">
        <f>HL38*IF(OR($C38=120,$G38=120),0,1)</f>
        <v/>
      </c>
      <c r="HN39">
        <f>IF('計算A'!D$106=1,CX39,1)</f>
        <v/>
      </c>
      <c r="HO39">
        <f>IF('計算A'!E$106=1,CY39,1)</f>
        <v/>
      </c>
      <c r="HP39">
        <f>IF('計算A'!F$106=1,CZ39,1)</f>
        <v/>
      </c>
      <c r="HQ39">
        <f>IF('計算A'!G$106=1,DA39,1)</f>
        <v/>
      </c>
      <c r="HR39">
        <f>IF('計算A'!H$106=1,DB39,1)</f>
        <v/>
      </c>
      <c r="HS39">
        <f>IF('計算A'!I$106=1,DC39,1)</f>
        <v/>
      </c>
      <c r="HT39">
        <f>IF('計算A'!J$106=1,DD39,1)</f>
        <v/>
      </c>
      <c r="HU39">
        <f>IF('計算A'!K$106=1,DE39,1)</f>
        <v/>
      </c>
      <c r="HV39">
        <f>IF('計算A'!L$106=1,DF39,1)</f>
        <v/>
      </c>
      <c r="HW39">
        <f>IF('計算A'!M$106=1,DG39,1)</f>
        <v/>
      </c>
      <c r="HX39">
        <f>IF('計算A'!N$106=1,DH39,1)</f>
        <v/>
      </c>
      <c r="HY39">
        <f>IF('計算A'!O$106=1,DI39,1)</f>
        <v/>
      </c>
      <c r="HZ39">
        <f>IF('計算A'!P$106=1,DJ39,1)</f>
        <v/>
      </c>
      <c r="IA39">
        <f>IF('計算A'!Q$106=1,DK39,1)</f>
        <v/>
      </c>
      <c r="IB39">
        <f>IF('計算A'!R$106=1,DL39,1)</f>
        <v/>
      </c>
      <c r="IC39">
        <f>IF('計算A'!S$106=1,DM39,1)</f>
        <v/>
      </c>
      <c r="ID39">
        <f>IF('計算A'!T$106=1,DN39,1)</f>
        <v/>
      </c>
      <c r="IE39">
        <f>IF('計算A'!U$106=1,DO39,1)</f>
        <v/>
      </c>
      <c r="IF39">
        <f>IF('計算A'!V$106=1,DP39,1)</f>
        <v/>
      </c>
      <c r="IG39">
        <f>IF('計算A'!W$106=1,DQ39,1)</f>
        <v/>
      </c>
      <c r="IH39">
        <f>IF('計算A'!X$106=1,DR39,1)</f>
        <v/>
      </c>
      <c r="II39">
        <f>IF('計算A'!Y$106=1,DS39,1)</f>
        <v/>
      </c>
      <c r="IJ39">
        <f>IF('計算A'!Z$106=1,DT39,1)</f>
        <v/>
      </c>
      <c r="IK39">
        <f>IF('計算A'!AA$106=1,DU39,1)</f>
        <v/>
      </c>
      <c r="IL39">
        <f>IF('計算A'!AB$106=1,DV39,1)</f>
        <v/>
      </c>
      <c r="IM39">
        <f>IF('計算A'!AC$106=1,DW39,1)</f>
        <v/>
      </c>
      <c r="IN39">
        <f>IF('計算A'!AD$106=1,DX39,1)</f>
        <v/>
      </c>
      <c r="IO39">
        <f>IF('計算A'!AE$106=1,DY39,1)</f>
        <v/>
      </c>
      <c r="IP39">
        <f>IF('計算A'!AF$106=1,DZ39,1)</f>
        <v/>
      </c>
      <c r="IQ39">
        <f>IF('計算A'!AG$106=1,EA39,1)</f>
        <v/>
      </c>
      <c r="IR39">
        <f>IF('計算A'!AH$106=1,EB39,1)</f>
        <v/>
      </c>
      <c r="IS39">
        <f>IF('計算A'!AI$106=1,EC39,1)</f>
        <v/>
      </c>
      <c r="IT39">
        <f>IF('計算A'!AJ$106=1,ED39,1)</f>
        <v/>
      </c>
      <c r="IU39">
        <f>IF('計算A'!AK$106=1,EE39,1)</f>
        <v/>
      </c>
      <c r="IV39">
        <f>IF('計算A'!AL$106=1,EF39,1)</f>
        <v/>
      </c>
      <c r="IW39">
        <f>IF('計算A'!AM$106=1,EG39,1)</f>
        <v/>
      </c>
      <c r="IX39">
        <f>IF('計算A'!AN$106=1,EH39,1)</f>
        <v/>
      </c>
      <c r="IY39">
        <f>IF('計算A'!AO$106=1,EI39,1)</f>
        <v/>
      </c>
      <c r="IZ39">
        <f>IF('計算A'!AP$106=1,EJ39,1)</f>
        <v/>
      </c>
      <c r="JA39">
        <f>IF('計算A'!AQ$106=1,EK39,1)</f>
        <v/>
      </c>
      <c r="JB39">
        <f>IF('計算A'!AR$106=1,EL39,1)</f>
        <v/>
      </c>
      <c r="JC39">
        <f>IF('計算A'!AS$106=1,EM39,1)</f>
        <v/>
      </c>
      <c r="JD39">
        <f>IF('計算A'!AT$106=1,EN39,1)</f>
        <v/>
      </c>
      <c r="JE39">
        <f>IF('計算A'!AU$106=1,EO39,1)</f>
        <v/>
      </c>
      <c r="JF39">
        <f>IF('計算A'!AV$106=1,EP39,1)</f>
        <v/>
      </c>
      <c r="JG39">
        <f>IF('計算A'!AW$106=1,EQ39,1)</f>
        <v/>
      </c>
      <c r="JH39">
        <f>IF('計算A'!AX$106=1,ER39,1)</f>
        <v/>
      </c>
      <c r="JI39">
        <f>IF('計算A'!AY$106=1,ES39,1)</f>
        <v/>
      </c>
      <c r="JJ39">
        <f>IF('計算A'!AZ$106=1,ET39,1)</f>
        <v/>
      </c>
      <c r="JK39">
        <f>IF('計算A'!BA$106=1,EU39,1)</f>
        <v/>
      </c>
      <c r="JL39">
        <f>IF('計算A'!BB$106=1,EV39,1)</f>
        <v/>
      </c>
      <c r="JM39">
        <f>IF('計算A'!BC$106=1,EW39,1)</f>
        <v/>
      </c>
      <c r="JN39">
        <f>IF('計算A'!BD$106=1,EX39,1)</f>
        <v/>
      </c>
      <c r="JO39">
        <f>IF('計算A'!BE$106=1,EY39,1)</f>
        <v/>
      </c>
      <c r="JP39">
        <f>IF('計算A'!BF$106=1,EZ39,1)</f>
        <v/>
      </c>
      <c r="JQ39">
        <f>IF('計算A'!BG$106=1,FA39,1)</f>
        <v/>
      </c>
      <c r="JR39">
        <f>IF('計算A'!BH$106=1,FB39,1)</f>
        <v/>
      </c>
      <c r="JS39">
        <f>IF('計算A'!BI$106=1,FC39,1)</f>
        <v/>
      </c>
      <c r="JT39">
        <f>IF('計算A'!BJ$106=1,FD39,1)</f>
        <v/>
      </c>
      <c r="JU39">
        <f>IF('計算A'!BK$106=1,FE39,1)</f>
        <v/>
      </c>
      <c r="JV39">
        <f>IF('計算A'!BL$106=1,FF39,1)</f>
        <v/>
      </c>
      <c r="JW39">
        <f>IF('計算A'!BM$106=1,FG39,1)</f>
        <v/>
      </c>
      <c r="JX39">
        <f>IF('計算A'!BN$106=1,FH39,1)</f>
        <v/>
      </c>
      <c r="JY39">
        <f>IF('計算A'!BO$106=1,FI39,1)</f>
        <v/>
      </c>
      <c r="JZ39">
        <f>IF('計算A'!BP$106=1,FJ39,1)</f>
        <v/>
      </c>
      <c r="KA39">
        <f>IF('計算A'!BQ$106=1,FK39,1)</f>
        <v/>
      </c>
      <c r="KB39">
        <f>IF('計算A'!BR$106=1,FL39,1)</f>
        <v/>
      </c>
      <c r="KC39">
        <f>IF('計算A'!BS$106=1,FM39,1)</f>
        <v/>
      </c>
      <c r="KD39">
        <f>IF('計算A'!BT$106=1,FN39,1)</f>
        <v/>
      </c>
      <c r="KE39">
        <f>IF('計算A'!BU$106=1,FO39,1)</f>
        <v/>
      </c>
      <c r="KF39">
        <f>IF('計算A'!BV$106=1,FP39,1)</f>
        <v/>
      </c>
      <c r="KG39">
        <f>IF('計算A'!BW$106=1,FQ39,1)</f>
        <v/>
      </c>
      <c r="KH39">
        <f>IF('計算A'!BX$106=1,FR39,1)</f>
        <v/>
      </c>
      <c r="KI39">
        <f>IF('計算A'!BY$106=1,FS39,1)</f>
        <v/>
      </c>
      <c r="KJ39">
        <f>IF('計算A'!BZ$106=1,FT39,1)</f>
        <v/>
      </c>
      <c r="KK39">
        <f>IF('計算A'!CA$106=1,FU39,1)</f>
        <v/>
      </c>
      <c r="KL39">
        <f>IF('計算A'!CB$106=1,FV39,1)</f>
        <v/>
      </c>
      <c r="KM39">
        <f>IF('計算A'!CC$106=1,FW39,1)</f>
        <v/>
      </c>
      <c r="KN39">
        <f>IF('計算A'!CD$106=1,FX39,1)</f>
        <v/>
      </c>
      <c r="KO39">
        <f>IF('計算A'!CE$106=1,FY39,1)</f>
        <v/>
      </c>
      <c r="KP39">
        <f>IF('計算A'!CF$106=1,FZ39,1)</f>
        <v/>
      </c>
      <c r="KQ39">
        <f>IF('計算A'!CG$106=1,GA39,1)</f>
        <v/>
      </c>
      <c r="KR39">
        <f>IF('計算A'!CH$106=1,GB39,1)</f>
        <v/>
      </c>
      <c r="KS39">
        <f>IF('計算A'!CI$106=1,GC39,1)</f>
        <v/>
      </c>
      <c r="KT39">
        <f>IF('計算A'!CJ$106=1,GD39,1)</f>
        <v/>
      </c>
      <c r="KU39">
        <f>IF('計算A'!CK$106=1,GE39,1)</f>
        <v/>
      </c>
      <c r="KV39">
        <f>IF('計算A'!CL$106=1,GF39,1)</f>
        <v/>
      </c>
      <c r="KW39">
        <f>IF('計算A'!CM$106=1,GG39,1)</f>
        <v/>
      </c>
      <c r="KX39">
        <f>IF('計算A'!CN$106=1,GH39,1)</f>
        <v/>
      </c>
      <c r="KY39">
        <f>IF('計算A'!CO$106=1,GI39,1)</f>
        <v/>
      </c>
      <c r="KZ39">
        <f>IF('計算A'!CP$106=1,GJ39,1)</f>
        <v/>
      </c>
      <c r="LA39">
        <f>IF('計算A'!CQ$106=1,GK39,1)</f>
        <v/>
      </c>
      <c r="LB39">
        <f>IF('計算A'!CR$106=1,GL39,1)</f>
        <v/>
      </c>
      <c r="LC39">
        <f>IF('計算A'!CS$106=1,GM39,1)</f>
        <v/>
      </c>
      <c r="LD39">
        <f>IF('計算A'!CT$106=1,GN39,1)</f>
        <v/>
      </c>
      <c r="LE39">
        <f>IF('計算A'!CU$106=1,GO39,1)</f>
        <v/>
      </c>
      <c r="LF39">
        <f>IF('計算A'!CV$106=1,GP39,1)</f>
        <v/>
      </c>
      <c r="LG39">
        <f>IF('計算A'!CW$106=1,GQ39,1)</f>
        <v/>
      </c>
      <c r="LH39">
        <f>IF('計算A'!CX$106=1,GR39,1)</f>
        <v/>
      </c>
      <c r="LI39">
        <f>IF('計算A'!CY$106=1,GS39,1)</f>
        <v/>
      </c>
      <c r="LJ39">
        <f>IF('計算A'!CZ$106=1,GT39,1)</f>
        <v/>
      </c>
      <c r="LK39">
        <f>IF('計算A'!DA$106=1,GU39,1)</f>
        <v/>
      </c>
      <c r="LL39">
        <f>IF('計算A'!DB$106=1,GV39,1)</f>
        <v/>
      </c>
      <c r="LM39">
        <f>IF('計算A'!DC$106=1,GW39,1)</f>
        <v/>
      </c>
      <c r="LN39">
        <f>IF('計算A'!DD$106=1,GX39,1)</f>
        <v/>
      </c>
      <c r="LO39">
        <f>IF('計算A'!DE$106=1,GY39,1)</f>
        <v/>
      </c>
      <c r="LP39">
        <f>IF('計算A'!DF$106=1,GZ39,1)</f>
        <v/>
      </c>
      <c r="LQ39">
        <f>IF('計算A'!DG$106=1,HA39,1)</f>
        <v/>
      </c>
      <c r="LR39">
        <f>IF('計算A'!DH$106=1,HB39,1)</f>
        <v/>
      </c>
      <c r="LS39">
        <f>IF('計算A'!DI$106=1,HC39,1)</f>
        <v/>
      </c>
      <c r="LT39">
        <f>IF('計算A'!DJ$106=1,HD39,1)</f>
        <v/>
      </c>
      <c r="LU39">
        <f>IF('計算A'!DK$106=1,HE39,1)</f>
        <v/>
      </c>
      <c r="LV39">
        <f>IF('計算A'!DL$106=1,HF39,1)</f>
        <v/>
      </c>
      <c r="LW39">
        <f>IF('計算A'!DM$106=1,HG39,1)</f>
        <v/>
      </c>
      <c r="LX39">
        <f>IF('計算A'!DN$106=1,HH39,1)</f>
        <v/>
      </c>
      <c r="LY39">
        <f>IF('計算A'!DO$106=1,HI39,1)</f>
        <v/>
      </c>
      <c r="LZ39">
        <f>IF('計算A'!DP$106=1,HJ39,1)</f>
        <v/>
      </c>
      <c r="MA39">
        <f>IF('計算A'!DQ$106=1,HK39,1)</f>
        <v/>
      </c>
      <c r="MB39">
        <f>IF('計算A'!DR$106=1,HL39,1)</f>
        <v/>
      </c>
      <c r="MC39" t="n">
        <v>1</v>
      </c>
      <c r="ME39">
        <f>IF($B39=0,1000000,IF(INDEX('計算A'!$D$60:$DS$104,$B39,1)*CW39=1,IF(AND($E39=2,HN39=0),1000000,INDEX('計算A'!D$110:D$114,$F39+1)+IF(AND($E39=1,HN39=0),1000,0)),1000000))</f>
        <v/>
      </c>
      <c r="MF39">
        <f>IF($B39=0,1000000,IF(INDEX('計算A'!$D$60:$DS$104,$B39,2)*CX39=1,IF(AND($E39=2,HO39=0),1000000,INDEX('計算A'!E$110:E$114,$F39+1)+IF(AND($E39=1,HO39=0),1000,0)),1000000))</f>
        <v/>
      </c>
      <c r="MG39">
        <f>IF($B39=0,1000000,IF(INDEX('計算A'!$D$60:$DS$104,$B39,3)*CY39=1,IF(AND($E39=2,HP39=0),1000000,INDEX('計算A'!F$110:F$114,$F39+1)+IF(AND($E39=1,HP39=0),1000,0)),1000000))</f>
        <v/>
      </c>
      <c r="MH39">
        <f>IF($B39=0,1000000,IF(INDEX('計算A'!$D$60:$DS$104,$B39,4)*CZ39=1,IF(AND($E39=2,HQ39=0),1000000,INDEX('計算A'!G$110:G$114,$F39+1)+IF(AND($E39=1,HQ39=0),1000,0)),1000000))</f>
        <v/>
      </c>
      <c r="MI39">
        <f>IF($B39=0,1000000,IF(INDEX('計算A'!$D$60:$DS$104,$B39,5)*DA39=1,IF(AND($E39=2,HR39=0),1000000,INDEX('計算A'!H$110:H$114,$F39+1)+IF(AND($E39=1,HR39=0),1000,0)),1000000))</f>
        <v/>
      </c>
      <c r="MJ39">
        <f>IF($B39=0,1000000,IF(INDEX('計算A'!$D$60:$DS$104,$B39,6)*DB39=1,IF(AND($E39=2,HS39=0),1000000,INDEX('計算A'!I$110:I$114,$F39+1)+IF(AND($E39=1,HS39=0),1000,0)),1000000))</f>
        <v/>
      </c>
      <c r="MK39">
        <f>IF($B39=0,1000000,IF(INDEX('計算A'!$D$60:$DS$104,$B39,7)*DC39=1,IF(AND($E39=2,HT39=0),1000000,INDEX('計算A'!J$110:J$114,$F39+1)+IF(AND($E39=1,HT39=0),1000,0)),1000000))</f>
        <v/>
      </c>
      <c r="ML39">
        <f>IF($B39=0,1000000,IF(INDEX('計算A'!$D$60:$DS$104,$B39,8)*DD39=1,IF(AND($E39=2,HU39=0),1000000,INDEX('計算A'!K$110:K$114,$F39+1)+IF(AND($E39=1,HU39=0),1000,0)),1000000))</f>
        <v/>
      </c>
      <c r="MM39">
        <f>IF($B39=0,1000000,IF(INDEX('計算A'!$D$60:$DS$104,$B39,9)*DE39=1,IF(AND($E39=2,HV39=0),1000000,INDEX('計算A'!L$110:L$114,$F39+1)+IF(AND($E39=1,HV39=0),1000,0)),1000000))</f>
        <v/>
      </c>
      <c r="MN39">
        <f>IF($B39=0,1000000,IF(INDEX('計算A'!$D$60:$DS$104,$B39,10)*DF39=1,IF(AND($E39=2,HW39=0),1000000,INDEX('計算A'!M$110:M$114,$F39+1)+IF(AND($E39=1,HW39=0),1000,0)),1000000))</f>
        <v/>
      </c>
      <c r="MO39">
        <f>IF($B39=0,1000000,IF(INDEX('計算A'!$D$60:$DS$104,$B39,11)*DG39=1,IF(AND($E39=2,HX39=0),1000000,INDEX('計算A'!N$110:N$114,$F39+1)+IF(AND($E39=1,HX39=0),1000,0)),1000000))</f>
        <v/>
      </c>
      <c r="MP39">
        <f>IF($B39=0,1000000,IF(INDEX('計算A'!$D$60:$DS$104,$B39,12)*DH39=1,IF(AND($E39=2,HY39=0),1000000,INDEX('計算A'!O$110:O$114,$F39+1)+IF(AND($E39=1,HY39=0),1000,0)),1000000))</f>
        <v/>
      </c>
      <c r="MQ39">
        <f>IF($B39=0,1000000,IF(INDEX('計算A'!$D$60:$DS$104,$B39,13)*DI39=1,IF(AND($E39=2,HZ39=0),1000000,INDEX('計算A'!P$110:P$114,$F39+1)+IF(AND($E39=1,HZ39=0),1000,0)),1000000))</f>
        <v/>
      </c>
      <c r="MR39">
        <f>IF($B39=0,1000000,IF(INDEX('計算A'!$D$60:$DS$104,$B39,14)*DJ39=1,IF(AND($E39=2,IA39=0),1000000,INDEX('計算A'!Q$110:Q$114,$F39+1)+IF(AND($E39=1,IA39=0),1000,0)),1000000))</f>
        <v/>
      </c>
      <c r="MS39">
        <f>IF($B39=0,1000000,IF(INDEX('計算A'!$D$60:$DS$104,$B39,15)*DK39=1,IF(AND($E39=2,IB39=0),1000000,INDEX('計算A'!R$110:R$114,$F39+1)+IF(AND($E39=1,IB39=0),1000,0)),1000000))</f>
        <v/>
      </c>
      <c r="MT39">
        <f>IF($B39=0,1000000,IF(INDEX('計算A'!$D$60:$DS$104,$B39,16)*DL39=1,IF(AND($E39=2,IC39=0),1000000,INDEX('計算A'!S$110:S$114,$F39+1)+IF(AND($E39=1,IC39=0),1000,0)),1000000))</f>
        <v/>
      </c>
      <c r="MU39">
        <f>IF($B39=0,1000000,IF(INDEX('計算A'!$D$60:$DS$104,$B39,17)*DM39=1,IF(AND($E39=2,ID39=0),1000000,INDEX('計算A'!T$110:T$114,$F39+1)+IF(AND($E39=1,ID39=0),1000,0)),1000000))</f>
        <v/>
      </c>
      <c r="MV39">
        <f>IF($B39=0,1000000,IF(INDEX('計算A'!$D$60:$DS$104,$B39,18)*DN39=1,IF(AND($E39=2,IE39=0),1000000,INDEX('計算A'!U$110:U$114,$F39+1)+IF(AND($E39=1,IE39=0),1000,0)),1000000))</f>
        <v/>
      </c>
      <c r="MW39">
        <f>IF($B39=0,1000000,IF(INDEX('計算A'!$D$60:$DS$104,$B39,19)*DO39=1,IF(AND($E39=2,IF39=0),1000000,INDEX('計算A'!V$110:V$114,$F39+1)+IF(AND($E39=1,IF39=0),1000,0)),1000000))</f>
        <v/>
      </c>
      <c r="MX39">
        <f>IF($B39=0,1000000,IF(INDEX('計算A'!$D$60:$DS$104,$B39,20)*DP39=1,IF(AND($E39=2,IG39=0),1000000,INDEX('計算A'!W$110:W$114,$F39+1)+IF(AND($E39=1,IG39=0),1000,0)),1000000))</f>
        <v/>
      </c>
      <c r="MY39">
        <f>IF($B39=0,1000000,IF(INDEX('計算A'!$D$60:$DS$104,$B39,21)*DQ39=1,IF(AND($E39=2,IH39=0),1000000,INDEX('計算A'!X$110:X$114,$F39+1)+IF(AND($E39=1,IH39=0),1000,0)),1000000))</f>
        <v/>
      </c>
      <c r="MZ39">
        <f>IF($B39=0,1000000,IF(INDEX('計算A'!$D$60:$DS$104,$B39,22)*DR39=1,IF(AND($E39=2,II39=0),1000000,INDEX('計算A'!Y$110:Y$114,$F39+1)+IF(AND($E39=1,II39=0),1000,0)),1000000))</f>
        <v/>
      </c>
      <c r="NA39">
        <f>IF($B39=0,1000000,IF(INDEX('計算A'!$D$60:$DS$104,$B39,23)*DS39=1,IF(AND($E39=2,IJ39=0),1000000,INDEX('計算A'!Z$110:Z$114,$F39+1)+IF(AND($E39=1,IJ39=0),1000,0)),1000000))</f>
        <v/>
      </c>
      <c r="NB39">
        <f>IF($B39=0,1000000,IF(INDEX('計算A'!$D$60:$DS$104,$B39,24)*DT39=1,IF(AND($E39=2,IK39=0),1000000,INDEX('計算A'!AA$110:AA$114,$F39+1)+IF(AND($E39=1,IK39=0),1000,0)),1000000))</f>
        <v/>
      </c>
      <c r="NC39">
        <f>IF($B39=0,1000000,IF(INDEX('計算A'!$D$60:$DS$104,$B39,25)*DU39=1,IF(AND($E39=2,IL39=0),1000000,INDEX('計算A'!AB$110:AB$114,$F39+1)+IF(AND($E39=1,IL39=0),1000,0)),1000000))</f>
        <v/>
      </c>
      <c r="ND39">
        <f>IF($B39=0,1000000,IF(INDEX('計算A'!$D$60:$DS$104,$B39,26)*DV39=1,IF(AND($E39=2,IM39=0),1000000,INDEX('計算A'!AC$110:AC$114,$F39+1)+IF(AND($E39=1,IM39=0),1000,0)),1000000))</f>
        <v/>
      </c>
      <c r="NE39">
        <f>IF($B39=0,1000000,IF(INDEX('計算A'!$D$60:$DS$104,$B39,27)*DW39=1,IF(AND($E39=2,IN39=0),1000000,INDEX('計算A'!AD$110:AD$114,$F39+1)+IF(AND($E39=1,IN39=0),1000,0)),1000000))</f>
        <v/>
      </c>
      <c r="NF39">
        <f>IF($B39=0,1000000,IF(INDEX('計算A'!$D$60:$DS$104,$B39,28)*DX39=1,IF(AND($E39=2,IO39=0),1000000,INDEX('計算A'!AE$110:AE$114,$F39+1)+IF(AND($E39=1,IO39=0),1000,0)),1000000))</f>
        <v/>
      </c>
      <c r="NG39">
        <f>IF($B39=0,1000000,IF(INDEX('計算A'!$D$60:$DS$104,$B39,29)*DY39=1,IF(AND($E39=2,IP39=0),1000000,INDEX('計算A'!AF$110:AF$114,$F39+1)+IF(AND($E39=1,IP39=0),1000,0)),1000000))</f>
        <v/>
      </c>
      <c r="NH39">
        <f>IF($B39=0,1000000,IF(INDEX('計算A'!$D$60:$DS$104,$B39,30)*DZ39=1,IF(AND($E39=2,IQ39=0),1000000,INDEX('計算A'!AG$110:AG$114,$F39+1)+IF(AND($E39=1,IQ39=0),1000,0)),1000000))</f>
        <v/>
      </c>
      <c r="NI39">
        <f>IF($B39=0,1000000,IF(INDEX('計算A'!$D$60:$DS$104,$B39,31)*EA39=1,IF(AND($E39=2,IR39=0),1000000,INDEX('計算A'!AH$110:AH$114,$F39+1)+IF(AND($E39=1,IR39=0),1000,0)),1000000))</f>
        <v/>
      </c>
      <c r="NJ39">
        <f>IF($B39=0,1000000,IF(INDEX('計算A'!$D$60:$DS$104,$B39,32)*EB39=1,IF(AND($E39=2,IS39=0),1000000,INDEX('計算A'!AI$110:AI$114,$F39+1)+IF(AND($E39=1,IS39=0),1000,0)),1000000))</f>
        <v/>
      </c>
      <c r="NK39">
        <f>IF($B39=0,1000000,IF(INDEX('計算A'!$D$60:$DS$104,$B39,33)*EC39=1,IF(AND($E39=2,IT39=0),1000000,INDEX('計算A'!AJ$110:AJ$114,$F39+1)+IF(AND($E39=1,IT39=0),1000,0)),1000000))</f>
        <v/>
      </c>
      <c r="NL39">
        <f>IF($B39=0,1000000,IF(INDEX('計算A'!$D$60:$DS$104,$B39,34)*ED39=1,IF(AND($E39=2,IU39=0),1000000,INDEX('計算A'!AK$110:AK$114,$F39+1)+IF(AND($E39=1,IU39=0),1000,0)),1000000))</f>
        <v/>
      </c>
      <c r="NM39">
        <f>IF($B39=0,1000000,IF(INDEX('計算A'!$D$60:$DS$104,$B39,35)*EE39=1,IF(AND($E39=2,IV39=0),1000000,INDEX('計算A'!AL$110:AL$114,$F39+1)+IF(AND($E39=1,IV39=0),1000,0)),1000000))</f>
        <v/>
      </c>
      <c r="NN39">
        <f>IF($B39=0,1000000,IF(INDEX('計算A'!$D$60:$DS$104,$B39,36)*EF39=1,IF(AND($E39=2,IW39=0),1000000,INDEX('計算A'!AM$110:AM$114,$F39+1)+IF(AND($E39=1,IW39=0),1000,0)),1000000))</f>
        <v/>
      </c>
      <c r="NO39">
        <f>IF($B39=0,1000000,IF(INDEX('計算A'!$D$60:$DS$104,$B39,37)*EG39=1,IF(AND($E39=2,IX39=0),1000000,INDEX('計算A'!AN$110:AN$114,$F39+1)+IF(AND($E39=1,IX39=0),1000,0)),1000000))</f>
        <v/>
      </c>
      <c r="NP39">
        <f>IF($B39=0,1000000,IF(INDEX('計算A'!$D$60:$DS$104,$B39,38)*EH39=1,IF(AND($E39=2,IY39=0),1000000,INDEX('計算A'!AO$110:AO$114,$F39+1)+IF(AND($E39=1,IY39=0),1000,0)),1000000))</f>
        <v/>
      </c>
      <c r="NQ39">
        <f>IF($B39=0,1000000,IF(INDEX('計算A'!$D$60:$DS$104,$B39,39)*EI39=1,IF(AND($E39=2,IZ39=0),1000000,INDEX('計算A'!AP$110:AP$114,$F39+1)+IF(AND($E39=1,IZ39=0),1000,0)),1000000))</f>
        <v/>
      </c>
      <c r="NR39">
        <f>IF($B39=0,1000000,IF(INDEX('計算A'!$D$60:$DS$104,$B39,40)*EJ39=1,IF(AND($E39=2,JA39=0),1000000,INDEX('計算A'!AQ$110:AQ$114,$F39+1)+IF(AND($E39=1,JA39=0),1000,0)),1000000))</f>
        <v/>
      </c>
      <c r="NS39">
        <f>IF($B39=0,1000000,IF(INDEX('計算A'!$D$60:$DS$104,$B39,41)*EK39=1,IF(AND($E39=2,JB39=0),1000000,INDEX('計算A'!AR$110:AR$114,$F39+1)+IF(AND($E39=1,JB39=0),1000,0)),1000000))</f>
        <v/>
      </c>
      <c r="NT39">
        <f>IF($B39=0,1000000,IF(INDEX('計算A'!$D$60:$DS$104,$B39,42)*EL39=1,IF(AND($E39=2,JC39=0),1000000,INDEX('計算A'!AS$110:AS$114,$F39+1)+IF(AND($E39=1,JC39=0),1000,0)),1000000))</f>
        <v/>
      </c>
      <c r="NU39">
        <f>IF($B39=0,1000000,IF(INDEX('計算A'!$D$60:$DS$104,$B39,43)*EM39=1,IF(AND($E39=2,JD39=0),1000000,INDEX('計算A'!AT$110:AT$114,$F39+1)+IF(AND($E39=1,JD39=0),1000,0)),1000000))</f>
        <v/>
      </c>
      <c r="NV39">
        <f>IF($B39=0,1000000,IF(INDEX('計算A'!$D$60:$DS$104,$B39,44)*EN39=1,IF(AND($E39=2,JE39=0),1000000,INDEX('計算A'!AU$110:AU$114,$F39+1)+IF(AND($E39=1,JE39=0),1000,0)),1000000))</f>
        <v/>
      </c>
      <c r="NW39">
        <f>IF($B39=0,1000000,IF(INDEX('計算A'!$D$60:$DS$104,$B39,45)*EO39=1,IF(AND($E39=2,JF39=0),1000000,INDEX('計算A'!AV$110:AV$114,$F39+1)+IF(AND($E39=1,JF39=0),1000,0)),1000000))</f>
        <v/>
      </c>
      <c r="NX39">
        <f>IF($B39=0,1000000,IF(INDEX('計算A'!$D$60:$DS$104,$B39,46)*EP39=1,IF(AND($E39=2,JG39=0),1000000,INDEX('計算A'!AW$110:AW$114,$F39+1)+IF(AND($E39=1,JG39=0),1000,0)),1000000))</f>
        <v/>
      </c>
      <c r="NY39">
        <f>IF($B39=0,1000000,IF(INDEX('計算A'!$D$60:$DS$104,$B39,47)*EQ39=1,IF(AND($E39=2,JH39=0),1000000,INDEX('計算A'!AX$110:AX$114,$F39+1)+IF(AND($E39=1,JH39=0),1000,0)),1000000))</f>
        <v/>
      </c>
      <c r="NZ39">
        <f>IF($B39=0,1000000,IF(INDEX('計算A'!$D$60:$DS$104,$B39,48)*ER39=1,IF(AND($E39=2,JI39=0),1000000,INDEX('計算A'!AY$110:AY$114,$F39+1)+IF(AND($E39=1,JI39=0),1000,0)),1000000))</f>
        <v/>
      </c>
      <c r="OA39">
        <f>IF($B39=0,1000000,IF(INDEX('計算A'!$D$60:$DS$104,$B39,49)*ES39=1,IF(AND($E39=2,JJ39=0),1000000,INDEX('計算A'!AZ$110:AZ$114,$F39+1)+IF(AND($E39=1,JJ39=0),1000,0)),1000000))</f>
        <v/>
      </c>
      <c r="OB39">
        <f>IF($B39=0,1000000,IF(INDEX('計算A'!$D$60:$DS$104,$B39,50)*ET39=1,IF(AND($E39=2,JK39=0),1000000,INDEX('計算A'!BA$110:BA$114,$F39+1)+IF(AND($E39=1,JK39=0),1000,0)),1000000))</f>
        <v/>
      </c>
      <c r="OC39">
        <f>IF($B39=0,1000000,IF(INDEX('計算A'!$D$60:$DS$104,$B39,51)*EU39=1,IF(AND($E39=2,JL39=0),1000000,INDEX('計算A'!BB$110:BB$114,$F39+1)+IF(AND($E39=1,JL39=0),1000,0)),1000000))</f>
        <v/>
      </c>
      <c r="OD39">
        <f>IF($B39=0,1000000,IF(INDEX('計算A'!$D$60:$DS$104,$B39,52)*EV39=1,IF(AND($E39=2,JM39=0),1000000,INDEX('計算A'!BC$110:BC$114,$F39+1)+IF(AND($E39=1,JM39=0),1000,0)),1000000))</f>
        <v/>
      </c>
      <c r="OE39">
        <f>IF($B39=0,1000000,IF(INDEX('計算A'!$D$60:$DS$104,$B39,53)*EW39=1,IF(AND($E39=2,JN39=0),1000000,INDEX('計算A'!BD$110:BD$114,$F39+1)+IF(AND($E39=1,JN39=0),1000,0)),1000000))</f>
        <v/>
      </c>
      <c r="OF39">
        <f>IF($B39=0,1000000,IF(INDEX('計算A'!$D$60:$DS$104,$B39,54)*EX39=1,IF(AND($E39=2,JO39=0),1000000,INDEX('計算A'!BE$110:BE$114,$F39+1)+IF(AND($E39=1,JO39=0),1000,0)),1000000))</f>
        <v/>
      </c>
      <c r="OG39">
        <f>IF($B39=0,1000000,IF(INDEX('計算A'!$D$60:$DS$104,$B39,55)*EY39=1,IF(AND($E39=2,JP39=0),1000000,INDEX('計算A'!BF$110:BF$114,$F39+1)+IF(AND($E39=1,JP39=0),1000,0)),1000000))</f>
        <v/>
      </c>
      <c r="OH39">
        <f>IF($B39=0,1000000,IF(INDEX('計算A'!$D$60:$DS$104,$B39,56)*EZ39=1,IF(AND($E39=2,JQ39=0),1000000,INDEX('計算A'!BG$110:BG$114,$F39+1)+IF(AND($E39=1,JQ39=0),1000,0)),1000000))</f>
        <v/>
      </c>
      <c r="OI39">
        <f>IF($B39=0,1000000,IF(INDEX('計算A'!$D$60:$DS$104,$B39,57)*FA39=1,IF(AND($E39=2,JR39=0),1000000,INDEX('計算A'!BH$110:BH$114,$F39+1)+IF(AND($E39=1,JR39=0),1000,0)),1000000))</f>
        <v/>
      </c>
      <c r="OJ39">
        <f>IF($B39=0,1000000,IF(INDEX('計算A'!$D$60:$DS$104,$B39,58)*FB39=1,IF(AND($E39=2,JS39=0),1000000,INDEX('計算A'!BI$110:BI$114,$F39+1)+IF(AND($E39=1,JS39=0),1000,0)),1000000))</f>
        <v/>
      </c>
      <c r="OK39">
        <f>IF($B39=0,1000000,IF(INDEX('計算A'!$D$60:$DS$104,$B39,59)*FC39=1,IF(AND($E39=2,JT39=0),1000000,INDEX('計算A'!BJ$110:BJ$114,$F39+1)+IF(AND($E39=1,JT39=0),1000,0)),1000000))</f>
        <v/>
      </c>
      <c r="OL39">
        <f>IF($B39=0,1000000,IF(INDEX('計算A'!$D$60:$DS$104,$B39,60)*FD39=1,IF(AND($E39=2,JU39=0),1000000,INDEX('計算A'!BK$110:BK$114,$F39+1)+IF(AND($E39=1,JU39=0),1000,0)),1000000))</f>
        <v/>
      </c>
      <c r="OM39">
        <f>IF($B39=0,1000000,IF(INDEX('計算A'!$D$60:$DS$104,$B39,61)*FE39=1,IF(AND($E39=2,JV39=0),1000000,INDEX('計算A'!BL$110:BL$114,$F39+1)+IF(AND($E39=1,JV39=0),1000,0)),1000000))</f>
        <v/>
      </c>
      <c r="ON39">
        <f>IF($B39=0,1000000,IF(INDEX('計算A'!$D$60:$DS$104,$B39,62)*FF39=1,IF(AND($E39=2,JW39=0),1000000,INDEX('計算A'!BM$110:BM$114,$F39+1)+IF(AND($E39=1,JW39=0),1000,0)),1000000))</f>
        <v/>
      </c>
      <c r="OO39">
        <f>IF($B39=0,1000000,IF(INDEX('計算A'!$D$60:$DS$104,$B39,63)*FG39=1,IF(AND($E39=2,JX39=0),1000000,INDEX('計算A'!BN$110:BN$114,$F39+1)+IF(AND($E39=1,JX39=0),1000,0)),1000000))</f>
        <v/>
      </c>
      <c r="OP39">
        <f>IF($B39=0,1000000,IF(INDEX('計算A'!$D$60:$DS$104,$B39,64)*FH39=1,IF(AND($E39=2,JY39=0),1000000,INDEX('計算A'!BO$110:BO$114,$F39+1)+IF(AND($E39=1,JY39=0),1000,0)),1000000))</f>
        <v/>
      </c>
      <c r="OQ39">
        <f>IF($B39=0,1000000,IF(INDEX('計算A'!$D$60:$DS$104,$B39,65)*FI39=1,IF(AND($E39=2,JZ39=0),1000000,INDEX('計算A'!BP$110:BP$114,$F39+1)+IF(AND($E39=1,JZ39=0),1000,0)),1000000))</f>
        <v/>
      </c>
      <c r="OR39">
        <f>IF($B39=0,1000000,IF(INDEX('計算A'!$D$60:$DS$104,$B39,66)*FJ39=1,IF(AND($E39=2,KA39=0),1000000,INDEX('計算A'!BQ$110:BQ$114,$F39+1)+IF(AND($E39=1,KA39=0),1000,0)),1000000))</f>
        <v/>
      </c>
      <c r="OS39">
        <f>IF($B39=0,1000000,IF(INDEX('計算A'!$D$60:$DS$104,$B39,67)*FK39=1,IF(AND($E39=2,KB39=0),1000000,INDEX('計算A'!BR$110:BR$114,$F39+1)+IF(AND($E39=1,KB39=0),1000,0)),1000000))</f>
        <v/>
      </c>
      <c r="OT39">
        <f>IF($B39=0,1000000,IF(INDEX('計算A'!$D$60:$DS$104,$B39,68)*FL39=1,IF(AND($E39=2,KC39=0),1000000,INDEX('計算A'!BS$110:BS$114,$F39+1)+IF(AND($E39=1,KC39=0),1000,0)),1000000))</f>
        <v/>
      </c>
      <c r="OU39">
        <f>IF($B39=0,1000000,IF(INDEX('計算A'!$D$60:$DS$104,$B39,69)*FM39=1,IF(AND($E39=2,KD39=0),1000000,INDEX('計算A'!BT$110:BT$114,$F39+1)+IF(AND($E39=1,KD39=0),1000,0)),1000000))</f>
        <v/>
      </c>
      <c r="OV39">
        <f>IF($B39=0,1000000,IF(INDEX('計算A'!$D$60:$DS$104,$B39,70)*FN39=1,IF(AND($E39=2,KE39=0),1000000,INDEX('計算A'!BU$110:BU$114,$F39+1)+IF(AND($E39=1,KE39=0),1000,0)),1000000))</f>
        <v/>
      </c>
      <c r="OW39">
        <f>IF($B39=0,1000000,IF(INDEX('計算A'!$D$60:$DS$104,$B39,71)*FO39=1,IF(AND($E39=2,KF39=0),1000000,INDEX('計算A'!BV$110:BV$114,$F39+1)+IF(AND($E39=1,KF39=0),1000,0)),1000000))</f>
        <v/>
      </c>
      <c r="OX39">
        <f>IF($B39=0,1000000,IF(INDEX('計算A'!$D$60:$DS$104,$B39,72)*FP39=1,IF(AND($E39=2,KG39=0),1000000,INDEX('計算A'!BW$110:BW$114,$F39+1)+IF(AND($E39=1,KG39=0),1000,0)),1000000))</f>
        <v/>
      </c>
      <c r="OY39">
        <f>IF($B39=0,1000000,IF(INDEX('計算A'!$D$60:$DS$104,$B39,73)*FQ39=1,IF(AND($E39=2,KH39=0),1000000,INDEX('計算A'!BX$110:BX$114,$F39+1)+IF(AND($E39=1,KH39=0),1000,0)),1000000))</f>
        <v/>
      </c>
      <c r="OZ39">
        <f>IF($B39=0,1000000,IF(INDEX('計算A'!$D$60:$DS$104,$B39,74)*FR39=1,IF(AND($E39=2,KI39=0),1000000,INDEX('計算A'!BY$110:BY$114,$F39+1)+IF(AND($E39=1,KI39=0),1000,0)),1000000))</f>
        <v/>
      </c>
      <c r="PA39">
        <f>IF($B39=0,1000000,IF(INDEX('計算A'!$D$60:$DS$104,$B39,75)*FS39=1,IF(AND($E39=2,KJ39=0),1000000,INDEX('計算A'!BZ$110:BZ$114,$F39+1)+IF(AND($E39=1,KJ39=0),1000,0)),1000000))</f>
        <v/>
      </c>
      <c r="PB39">
        <f>IF($B39=0,1000000,IF(INDEX('計算A'!$D$60:$DS$104,$B39,76)*FT39=1,IF(AND($E39=2,KK39=0),1000000,INDEX('計算A'!CA$110:CA$114,$F39+1)+IF(AND($E39=1,KK39=0),1000,0)),1000000))</f>
        <v/>
      </c>
      <c r="PC39">
        <f>IF($B39=0,1000000,IF(INDEX('計算A'!$D$60:$DS$104,$B39,77)*FU39=1,IF(AND($E39=2,KL39=0),1000000,INDEX('計算A'!CB$110:CB$114,$F39+1)+IF(AND($E39=1,KL39=0),1000,0)),1000000))</f>
        <v/>
      </c>
      <c r="PD39">
        <f>IF($B39=0,1000000,IF(INDEX('計算A'!$D$60:$DS$104,$B39,78)*FV39=1,IF(AND($E39=2,KM39=0),1000000,INDEX('計算A'!CC$110:CC$114,$F39+1)+IF(AND($E39=1,KM39=0),1000,0)),1000000))</f>
        <v/>
      </c>
      <c r="PE39">
        <f>IF($B39=0,1000000,IF(INDEX('計算A'!$D$60:$DS$104,$B39,79)*FW39=1,IF(AND($E39=2,KN39=0),1000000,INDEX('計算A'!CD$110:CD$114,$F39+1)+IF(AND($E39=1,KN39=0),1000,0)),1000000))</f>
        <v/>
      </c>
      <c r="PF39">
        <f>IF($B39=0,1000000,IF(INDEX('計算A'!$D$60:$DS$104,$B39,80)*FX39=1,IF(AND($E39=2,KO39=0),1000000,INDEX('計算A'!CE$110:CE$114,$F39+1)+IF(AND($E39=1,KO39=0),1000,0)),1000000))</f>
        <v/>
      </c>
      <c r="PG39">
        <f>IF($B39=0,1000000,IF(INDEX('計算A'!$D$60:$DS$104,$B39,81)*FY39=1,IF(AND($E39=2,KP39=0),1000000,INDEX('計算A'!CF$110:CF$114,$F39+1)+IF(AND($E39=1,KP39=0),1000,0)),1000000))</f>
        <v/>
      </c>
      <c r="PH39">
        <f>IF($B39=0,1000000,IF(INDEX('計算A'!$D$60:$DS$104,$B39,82)*FZ39=1,IF(AND($E39=2,KQ39=0),1000000,INDEX('計算A'!CG$110:CG$114,$F39+1)+IF(AND($E39=1,KQ39=0),1000,0)),1000000))</f>
        <v/>
      </c>
      <c r="PI39">
        <f>IF($B39=0,1000000,IF(INDEX('計算A'!$D$60:$DS$104,$B39,83)*GA39=1,IF(AND($E39=2,KR39=0),1000000,INDEX('計算A'!CH$110:CH$114,$F39+1)+IF(AND($E39=1,KR39=0),1000,0)),1000000))</f>
        <v/>
      </c>
      <c r="PJ39">
        <f>IF($B39=0,1000000,IF(INDEX('計算A'!$D$60:$DS$104,$B39,84)*GB39=1,IF(AND($E39=2,KS39=0),1000000,INDEX('計算A'!CI$110:CI$114,$F39+1)+IF(AND($E39=1,KS39=0),1000,0)),1000000))</f>
        <v/>
      </c>
      <c r="PK39">
        <f>IF($B39=0,1000000,IF(INDEX('計算A'!$D$60:$DS$104,$B39,85)*GC39=1,IF(AND($E39=2,KT39=0),1000000,INDEX('計算A'!CJ$110:CJ$114,$F39+1)+IF(AND($E39=1,KT39=0),1000,0)),1000000))</f>
        <v/>
      </c>
      <c r="PL39">
        <f>IF($B39=0,1000000,IF(INDEX('計算A'!$D$60:$DS$104,$B39,86)*GD39=1,IF(AND($E39=2,KU39=0),1000000,INDEX('計算A'!CK$110:CK$114,$F39+1)+IF(AND($E39=1,KU39=0),1000,0)),1000000))</f>
        <v/>
      </c>
      <c r="PM39">
        <f>IF($B39=0,1000000,IF(INDEX('計算A'!$D$60:$DS$104,$B39,87)*GE39=1,IF(AND($E39=2,KV39=0),1000000,INDEX('計算A'!CL$110:CL$114,$F39+1)+IF(AND($E39=1,KV39=0),1000,0)),1000000))</f>
        <v/>
      </c>
      <c r="PN39">
        <f>IF($B39=0,1000000,IF(INDEX('計算A'!$D$60:$DS$104,$B39,88)*GF39=1,IF(AND($E39=2,KW39=0),1000000,INDEX('計算A'!CM$110:CM$114,$F39+1)+IF(AND($E39=1,KW39=0),1000,0)),1000000))</f>
        <v/>
      </c>
      <c r="PO39">
        <f>IF($B39=0,1000000,IF(INDEX('計算A'!$D$60:$DS$104,$B39,89)*GG39=1,IF(AND($E39=2,KX39=0),1000000,INDEX('計算A'!CN$110:CN$114,$F39+1)+IF(AND($E39=1,KX39=0),1000,0)),1000000))</f>
        <v/>
      </c>
      <c r="PP39">
        <f>IF($B39=0,1000000,IF(INDEX('計算A'!$D$60:$DS$104,$B39,90)*GH39=1,IF(AND($E39=2,KY39=0),1000000,INDEX('計算A'!CO$110:CO$114,$F39+1)+IF(AND($E39=1,KY39=0),1000,0)),1000000))</f>
        <v/>
      </c>
      <c r="PQ39">
        <f>IF($B39=0,1000000,IF(INDEX('計算A'!$D$60:$DS$104,$B39,91)*GI39=1,IF(AND($E39=2,KZ39=0),1000000,INDEX('計算A'!CP$110:CP$114,$F39+1)+IF(AND($E39=1,KZ39=0),1000,0)),1000000))</f>
        <v/>
      </c>
      <c r="PR39">
        <f>IF($B39=0,1000000,IF(INDEX('計算A'!$D$60:$DS$104,$B39,92)*GJ39=1,IF(AND($E39=2,LA39=0),1000000,INDEX('計算A'!CQ$110:CQ$114,$F39+1)+IF(AND($E39=1,LA39=0),1000,0)),1000000))</f>
        <v/>
      </c>
      <c r="PS39">
        <f>IF($B39=0,1000000,IF(INDEX('計算A'!$D$60:$DS$104,$B39,93)*GK39=1,IF(AND($E39=2,LB39=0),1000000,INDEX('計算A'!CR$110:CR$114,$F39+1)+IF(AND($E39=1,LB39=0),1000,0)),1000000))</f>
        <v/>
      </c>
      <c r="PT39">
        <f>IF($B39=0,1000000,IF(INDEX('計算A'!$D$60:$DS$104,$B39,94)*GL39=1,IF(AND($E39=2,LC39=0),1000000,INDEX('計算A'!CS$110:CS$114,$F39+1)+IF(AND($E39=1,LC39=0),1000,0)),1000000))</f>
        <v/>
      </c>
      <c r="PU39">
        <f>IF($B39=0,1000000,IF(INDEX('計算A'!$D$60:$DS$104,$B39,95)*GM39=1,IF(AND($E39=2,LD39=0),1000000,INDEX('計算A'!CT$110:CT$114,$F39+1)+IF(AND($E39=1,LD39=0),1000,0)),1000000))</f>
        <v/>
      </c>
      <c r="PV39">
        <f>IF($B39=0,1000000,IF(INDEX('計算A'!$D$60:$DS$104,$B39,96)*GN39=1,IF(AND($E39=2,LE39=0),1000000,INDEX('計算A'!CU$110:CU$114,$F39+1)+IF(AND($E39=1,LE39=0),1000,0)),1000000))</f>
        <v/>
      </c>
      <c r="PW39">
        <f>IF($B39=0,1000000,IF(INDEX('計算A'!$D$60:$DS$104,$B39,97)*GO39=1,IF(AND($E39=2,LF39=0),1000000,INDEX('計算A'!CV$110:CV$114,$F39+1)+IF(AND($E39=1,LF39=0),1000,0)),1000000))</f>
        <v/>
      </c>
      <c r="PX39">
        <f>IF($B39=0,1000000,IF(INDEX('計算A'!$D$60:$DS$104,$B39,98)*GP39=1,IF(AND($E39=2,LG39=0),1000000,INDEX('計算A'!CW$110:CW$114,$F39+1)+IF(AND($E39=1,LG39=0),1000,0)),1000000))</f>
        <v/>
      </c>
      <c r="PY39">
        <f>IF($B39=0,1000000,IF(INDEX('計算A'!$D$60:$DS$104,$B39,99)*GQ39=1,IF(AND($E39=2,LH39=0),1000000,INDEX('計算A'!CX$110:CX$114,$F39+1)+IF(AND($E39=1,LH39=0),1000,0)),1000000))</f>
        <v/>
      </c>
      <c r="PZ39">
        <f>IF($B39=0,1000000,IF(INDEX('計算A'!$D$60:$DS$104,$B39,100)*GR39=1,IF(AND($E39=2,LI39=0),1000000,INDEX('計算A'!CY$110:CY$114,$F39+1)+IF(AND($E39=1,LI39=0),1000,0)),1000000))</f>
        <v/>
      </c>
      <c r="QA39">
        <f>IF($B39=0,1000000,IF(INDEX('計算A'!$D$60:$DS$104,$B39,101)*GS39=1,IF(AND($E39=2,LJ39=0),1000000,INDEX('計算A'!CZ$110:CZ$114,$F39+1)+IF(AND($E39=1,LJ39=0),1000,0)),1000000))</f>
        <v/>
      </c>
      <c r="QB39">
        <f>IF($B39=0,1000000,IF(INDEX('計算A'!$D$60:$DS$104,$B39,102)*GT39=1,IF(AND($E39=2,LK39=0),1000000,INDEX('計算A'!DA$110:DA$114,$F39+1)+IF(AND($E39=1,LK39=0),1000,0)),1000000))</f>
        <v/>
      </c>
      <c r="QC39">
        <f>IF($B39=0,1000000,IF(INDEX('計算A'!$D$60:$DS$104,$B39,103)*GU39=1,IF(AND($E39=2,LL39=0),1000000,INDEX('計算A'!DB$110:DB$114,$F39+1)+IF(AND($E39=1,LL39=0),1000,0)),1000000))</f>
        <v/>
      </c>
      <c r="QD39">
        <f>IF($B39=0,1000000,IF(INDEX('計算A'!$D$60:$DS$104,$B39,104)*GV39=1,IF(AND($E39=2,LM39=0),1000000,INDEX('計算A'!DC$110:DC$114,$F39+1)+IF(AND($E39=1,LM39=0),1000,0)),1000000))</f>
        <v/>
      </c>
      <c r="QE39">
        <f>IF($B39=0,1000000,IF(INDEX('計算A'!$D$60:$DS$104,$B39,105)*GW39=1,IF(AND($E39=2,LN39=0),1000000,INDEX('計算A'!DD$110:DD$114,$F39+1)+IF(AND($E39=1,LN39=0),1000,0)),1000000))</f>
        <v/>
      </c>
      <c r="QF39">
        <f>IF($B39=0,1000000,IF(INDEX('計算A'!$D$60:$DS$104,$B39,106)*GX39=1,IF(AND($E39=2,LO39=0),1000000,INDEX('計算A'!DE$110:DE$114,$F39+1)+IF(AND($E39=1,LO39=0),1000,0)),1000000))</f>
        <v/>
      </c>
      <c r="QG39">
        <f>IF($B39=0,1000000,IF(INDEX('計算A'!$D$60:$DS$104,$B39,107)*GY39=1,IF(AND($E39=2,LP39=0),1000000,INDEX('計算A'!DF$110:DF$114,$F39+1)+IF(AND($E39=1,LP39=0),1000,0)),1000000))</f>
        <v/>
      </c>
      <c r="QH39">
        <f>IF($B39=0,1000000,IF(INDEX('計算A'!$D$60:$DS$104,$B39,108)*GZ39=1,IF(AND($E39=2,LQ39=0),1000000,INDEX('計算A'!DG$110:DG$114,$F39+1)+IF(AND($E39=1,LQ39=0),1000,0)),1000000))</f>
        <v/>
      </c>
      <c r="QI39">
        <f>IF($B39=0,1000000,IF(INDEX('計算A'!$D$60:$DS$104,$B39,109)*HA39=1,IF(AND($E39=2,LR39=0),1000000,INDEX('計算A'!DH$110:DH$114,$F39+1)+IF(AND($E39=1,LR39=0),1000,0)),1000000))</f>
        <v/>
      </c>
      <c r="QJ39">
        <f>IF($B39=0,1000000,IF(INDEX('計算A'!$D$60:$DS$104,$B39,110)*HB39=1,IF(AND($E39=2,LS39=0),1000000,INDEX('計算A'!DI$110:DI$114,$F39+1)+IF(AND($E39=1,LS39=0),1000,0)),1000000))</f>
        <v/>
      </c>
      <c r="QK39">
        <f>IF($B39=0,1000000,IF(INDEX('計算A'!$D$60:$DS$104,$B39,111)*HC39=1,IF(AND($E39=2,LT39=0),1000000,INDEX('計算A'!DJ$110:DJ$114,$F39+1)+IF(AND($E39=1,LT39=0),1000,0)),1000000))</f>
        <v/>
      </c>
      <c r="QL39">
        <f>IF($B39=0,1000000,IF(INDEX('計算A'!$D$60:$DS$104,$B39,112)*HD39=1,IF(AND($E39=2,LU39=0),1000000,INDEX('計算A'!DK$110:DK$114,$F39+1)+IF(AND($E39=1,LU39=0),1000,0)),1000000))</f>
        <v/>
      </c>
      <c r="QM39">
        <f>IF($B39=0,1000000,IF(INDEX('計算A'!$D$60:$DS$104,$B39,113)*HE39=1,IF(AND($E39=2,LV39=0),1000000,INDEX('計算A'!DL$110:DL$114,$F39+1)+IF(AND($E39=1,LV39=0),1000,0)),1000000))</f>
        <v/>
      </c>
      <c r="QN39">
        <f>IF($B39=0,1000000,IF(INDEX('計算A'!$D$60:$DS$104,$B39,114)*HF39=1,IF(AND($E39=2,LW39=0),1000000,INDEX('計算A'!DM$110:DM$114,$F39+1)+IF(AND($E39=1,LW39=0),1000,0)),1000000))</f>
        <v/>
      </c>
      <c r="QO39">
        <f>IF($B39=0,1000000,IF(INDEX('計算A'!$D$60:$DS$104,$B39,115)*HG39=1,IF(AND($E39=2,LX39=0),1000000,INDEX('計算A'!DN$110:DN$114,$F39+1)+IF(AND($E39=1,LX39=0),1000,0)),1000000))</f>
        <v/>
      </c>
      <c r="QP39">
        <f>IF($B39=0,1000000,IF(INDEX('計算A'!$D$60:$DS$104,$B39,116)*HH39=1,IF(AND($E39=2,LY39=0),1000000,INDEX('計算A'!DO$110:DO$114,$F39+1)+IF(AND($E39=1,LY39=0),1000,0)),1000000))</f>
        <v/>
      </c>
      <c r="QQ39">
        <f>IF($B39=0,1000000,IF(INDEX('計算A'!$D$60:$DS$104,$B39,117)*HI39=1,IF(AND($E39=2,LZ39=0),1000000,INDEX('計算A'!DP$110:DP$114,$F39+1)+IF(AND($E39=1,LZ39=0),1000,0)),1000000))</f>
        <v/>
      </c>
      <c r="QR39">
        <f>IF($B39=0,1000000,IF(INDEX('計算A'!$D$60:$DS$104,$B39,118)*HJ39=1,IF(AND($E39=2,MA39=0),1000000,INDEX('計算A'!DQ$110:DQ$114,$F39+1)+IF(AND($E39=1,MA39=0),1000,0)),1000000))</f>
        <v/>
      </c>
      <c r="QS39">
        <f>IF($B39=0,1000000,IF(INDEX('計算A'!$D$60:$DS$104,$B39,119)*HK39=1,IF(AND($E39=2,MB39=0),1000000,INDEX('計算A'!DR$110:DR$114,$F39+1)+IF(AND($E39=1,MB39=0),1000,0)),1000000))</f>
        <v/>
      </c>
      <c r="QT39">
        <f>IF($B39=0,1000000,IF(INDEX('計算A'!$D$60:$DS$104,$B39,120)*HL39=1,IF(AND($E39=2,MC39=0),1000000,INDEX('計算A'!DS$110:DS$114,$F39+1)+IF(AND($E39=1,MC39=0),1000,0)),1000000))</f>
        <v/>
      </c>
    </row>
    <row r="40">
      <c r="A40" t="n">
        <v>38</v>
      </c>
      <c r="B40">
        <f>IF(MIN(BC40:CU40)&gt;=1000000,0,MATCH(MIN(BC40:CU40),BC40:CU40,0))</f>
        <v/>
      </c>
      <c r="C40">
        <f>IF(MIN(ME40:QT40)&gt;=1000000,0,MATCH(MIN(ME40:QT40),ME40:QT40,0))</f>
        <v/>
      </c>
      <c r="D40">
        <f>IF(C40&gt;0,INDEX('計算A'!$D$5:$DS$5,C40),0)</f>
        <v/>
      </c>
      <c r="E40">
        <f>IF(B40=0,0,INDEX('計算A'!$EA$10:$EA$54,B40))</f>
        <v/>
      </c>
      <c r="F40">
        <f>IF(B40=0,0,INDEX('計算A'!$DZ$10:$DZ$54,B40))</f>
        <v/>
      </c>
      <c r="G40">
        <f>IF(AND(C40&gt;0,E40&gt;0),IF(AND(INDEX('計算A'!$D$106:$DS$106,C40)=1,INDEX($HN40:$MC40,C40)=1),C40+1,0),0)</f>
        <v/>
      </c>
      <c r="I40">
        <f>MAX(I39,IF($B39=1,1,0))</f>
        <v/>
      </c>
      <c r="J40">
        <f>MAX(J39,IF($B39=2,1,0))</f>
        <v/>
      </c>
      <c r="K40">
        <f>MAX(K39,IF($B39=3,1,0))</f>
        <v/>
      </c>
      <c r="L40">
        <f>MAX(L39,IF($B39=4,1,0))</f>
        <v/>
      </c>
      <c r="M40">
        <f>MAX(M39,IF($B39=5,1,0))</f>
        <v/>
      </c>
      <c r="N40">
        <f>MAX(N39,IF($B39=6,1,0))</f>
        <v/>
      </c>
      <c r="O40">
        <f>MAX(O39,IF($B39=7,1,0))</f>
        <v/>
      </c>
      <c r="P40">
        <f>MAX(P39,IF($B39=8,1,0))</f>
        <v/>
      </c>
      <c r="Q40">
        <f>MAX(Q39,IF($B39=9,1,0))</f>
        <v/>
      </c>
      <c r="R40">
        <f>MAX(R39,IF($B39=10,1,0))</f>
        <v/>
      </c>
      <c r="S40">
        <f>MAX(S39,IF($B39=11,1,0))</f>
        <v/>
      </c>
      <c r="T40">
        <f>MAX(T39,IF($B39=12,1,0))</f>
        <v/>
      </c>
      <c r="U40">
        <f>MAX(U39,IF($B39=13,1,0))</f>
        <v/>
      </c>
      <c r="V40">
        <f>MAX(V39,IF($B39=14,1,0))</f>
        <v/>
      </c>
      <c r="W40">
        <f>MAX(W39,IF($B39=15,1,0))</f>
        <v/>
      </c>
      <c r="X40">
        <f>MAX(X39,IF($B39=16,1,0))</f>
        <v/>
      </c>
      <c r="Y40">
        <f>MAX(Y39,IF($B39=17,1,0))</f>
        <v/>
      </c>
      <c r="Z40">
        <f>MAX(Z39,IF($B39=18,1,0))</f>
        <v/>
      </c>
      <c r="AA40">
        <f>MAX(AA39,IF($B39=19,1,0))</f>
        <v/>
      </c>
      <c r="AB40">
        <f>MAX(AB39,IF($B39=20,1,0))</f>
        <v/>
      </c>
      <c r="AC40">
        <f>MAX(AC39,IF($B39=21,1,0))</f>
        <v/>
      </c>
      <c r="AD40">
        <f>MAX(AD39,IF($B39=22,1,0))</f>
        <v/>
      </c>
      <c r="AE40">
        <f>MAX(AE39,IF($B39=23,1,0))</f>
        <v/>
      </c>
      <c r="AF40">
        <f>MAX(AF39,IF($B39=24,1,0))</f>
        <v/>
      </c>
      <c r="AG40">
        <f>MAX(AG39,IF($B39=25,1,0))</f>
        <v/>
      </c>
      <c r="AH40">
        <f>MAX(AH39,IF($B39=26,1,0))</f>
        <v/>
      </c>
      <c r="AI40">
        <f>MAX(AI39,IF($B39=27,1,0))</f>
        <v/>
      </c>
      <c r="AJ40">
        <f>MAX(AJ39,IF($B39=28,1,0))</f>
        <v/>
      </c>
      <c r="AK40">
        <f>MAX(AK39,IF($B39=29,1,0))</f>
        <v/>
      </c>
      <c r="AL40">
        <f>MAX(AL39,IF($B39=30,1,0))</f>
        <v/>
      </c>
      <c r="AM40">
        <f>MAX(AM39,IF($B39=31,1,0))</f>
        <v/>
      </c>
      <c r="AN40">
        <f>MAX(AN39,IF($B39=32,1,0))</f>
        <v/>
      </c>
      <c r="AO40">
        <f>MAX(AO39,IF($B39=33,1,0))</f>
        <v/>
      </c>
      <c r="AP40">
        <f>MAX(AP39,IF($B39=34,1,0))</f>
        <v/>
      </c>
      <c r="AQ40">
        <f>MAX(AQ39,IF($B39=35,1,0))</f>
        <v/>
      </c>
      <c r="AR40">
        <f>MAX(AR39,IF($B39=36,1,0))</f>
        <v/>
      </c>
      <c r="AS40">
        <f>MAX(AS39,IF($B39=37,1,0))</f>
        <v/>
      </c>
      <c r="AT40">
        <f>MAX(AT39,IF($B39=38,1,0))</f>
        <v/>
      </c>
      <c r="AU40">
        <f>MAX(AU39,IF($B39=39,1,0))</f>
        <v/>
      </c>
      <c r="AV40">
        <f>MAX(AV39,IF($B39=40,1,0))</f>
        <v/>
      </c>
      <c r="AW40">
        <f>MAX(AW39,IF($B39=41,1,0))</f>
        <v/>
      </c>
      <c r="AX40">
        <f>MAX(AX39,IF($B39=42,1,0))</f>
        <v/>
      </c>
      <c r="AY40">
        <f>MAX(AY39,IF($B39=43,1,0))</f>
        <v/>
      </c>
      <c r="AZ40">
        <f>MAX(AZ39,IF($B39=44,1,0))</f>
        <v/>
      </c>
      <c r="BA40">
        <f>MAX(BA39,IF($B39=45,1,0))</f>
        <v/>
      </c>
      <c r="BC40">
        <f>IF(I40=1,1000000,IF('計算A'!$EA$10=2,SUMPRODUCT('計算A'!$D$60:$DS$60,$CW40:$HL40,$HN40:$MC40),SUMPRODUCT('計算A'!$D$60:$DS$60,$CW40:$HL40))*1000+1)</f>
        <v/>
      </c>
      <c r="BD40">
        <f>IF(J40=1,1000000,IF('計算A'!$EA$11=2,SUMPRODUCT('計算A'!$D$61:$DS$61,$CW40:$HL40,$HN40:$MC40),SUMPRODUCT('計算A'!$D$61:$DS$61,$CW40:$HL40))*1000+2)</f>
        <v/>
      </c>
      <c r="BE40">
        <f>IF(K40=1,1000000,IF('計算A'!$EA$12=2,SUMPRODUCT('計算A'!$D$62:$DS$62,$CW40:$HL40,$HN40:$MC40),SUMPRODUCT('計算A'!$D$62:$DS$62,$CW40:$HL40))*1000+3)</f>
        <v/>
      </c>
      <c r="BF40">
        <f>IF(L40=1,1000000,IF('計算A'!$EA$13=2,SUMPRODUCT('計算A'!$D$63:$DS$63,$CW40:$HL40,$HN40:$MC40),SUMPRODUCT('計算A'!$D$63:$DS$63,$CW40:$HL40))*1000+4)</f>
        <v/>
      </c>
      <c r="BG40">
        <f>IF(M40=1,1000000,IF('計算A'!$EA$14=2,SUMPRODUCT('計算A'!$D$64:$DS$64,$CW40:$HL40,$HN40:$MC40),SUMPRODUCT('計算A'!$D$64:$DS$64,$CW40:$HL40))*1000+5)</f>
        <v/>
      </c>
      <c r="BH40">
        <f>IF(N40=1,1000000,IF('計算A'!$EA$15=2,SUMPRODUCT('計算A'!$D$65:$DS$65,$CW40:$HL40,$HN40:$MC40),SUMPRODUCT('計算A'!$D$65:$DS$65,$CW40:$HL40))*1000+6)</f>
        <v/>
      </c>
      <c r="BI40">
        <f>IF(O40=1,1000000,IF('計算A'!$EA$16=2,SUMPRODUCT('計算A'!$D$66:$DS$66,$CW40:$HL40,$HN40:$MC40),SUMPRODUCT('計算A'!$D$66:$DS$66,$CW40:$HL40))*1000+7)</f>
        <v/>
      </c>
      <c r="BJ40">
        <f>IF(P40=1,1000000,IF('計算A'!$EA$17=2,SUMPRODUCT('計算A'!$D$67:$DS$67,$CW40:$HL40,$HN40:$MC40),SUMPRODUCT('計算A'!$D$67:$DS$67,$CW40:$HL40))*1000+8)</f>
        <v/>
      </c>
      <c r="BK40">
        <f>IF(Q40=1,1000000,IF('計算A'!$EA$18=2,SUMPRODUCT('計算A'!$D$68:$DS$68,$CW40:$HL40,$HN40:$MC40),SUMPRODUCT('計算A'!$D$68:$DS$68,$CW40:$HL40))*1000+9)</f>
        <v/>
      </c>
      <c r="BL40">
        <f>IF(R40=1,1000000,IF('計算A'!$EA$19=2,SUMPRODUCT('計算A'!$D$69:$DS$69,$CW40:$HL40,$HN40:$MC40),SUMPRODUCT('計算A'!$D$69:$DS$69,$CW40:$HL40))*1000+10)</f>
        <v/>
      </c>
      <c r="BM40">
        <f>IF(S40=1,1000000,IF('計算A'!$EA$20=2,SUMPRODUCT('計算A'!$D$70:$DS$70,$CW40:$HL40,$HN40:$MC40),SUMPRODUCT('計算A'!$D$70:$DS$70,$CW40:$HL40))*1000+11)</f>
        <v/>
      </c>
      <c r="BN40">
        <f>IF(T40=1,1000000,IF('計算A'!$EA$21=2,SUMPRODUCT('計算A'!$D$71:$DS$71,$CW40:$HL40,$HN40:$MC40),SUMPRODUCT('計算A'!$D$71:$DS$71,$CW40:$HL40))*1000+12)</f>
        <v/>
      </c>
      <c r="BO40">
        <f>IF(U40=1,1000000,IF('計算A'!$EA$22=2,SUMPRODUCT('計算A'!$D$72:$DS$72,$CW40:$HL40,$HN40:$MC40),SUMPRODUCT('計算A'!$D$72:$DS$72,$CW40:$HL40))*1000+13)</f>
        <v/>
      </c>
      <c r="BP40">
        <f>IF(V40=1,1000000,IF('計算A'!$EA$23=2,SUMPRODUCT('計算A'!$D$73:$DS$73,$CW40:$HL40,$HN40:$MC40),SUMPRODUCT('計算A'!$D$73:$DS$73,$CW40:$HL40))*1000+14)</f>
        <v/>
      </c>
      <c r="BQ40">
        <f>IF(W40=1,1000000,IF('計算A'!$EA$24=2,SUMPRODUCT('計算A'!$D$74:$DS$74,$CW40:$HL40,$HN40:$MC40),SUMPRODUCT('計算A'!$D$74:$DS$74,$CW40:$HL40))*1000+15)</f>
        <v/>
      </c>
      <c r="BR40">
        <f>IF(X40=1,1000000,IF('計算A'!$EA$25=2,SUMPRODUCT('計算A'!$D$75:$DS$75,$CW40:$HL40,$HN40:$MC40),SUMPRODUCT('計算A'!$D$75:$DS$75,$CW40:$HL40))*1000+16)</f>
        <v/>
      </c>
      <c r="BS40">
        <f>IF(Y40=1,1000000,IF('計算A'!$EA$26=2,SUMPRODUCT('計算A'!$D$76:$DS$76,$CW40:$HL40,$HN40:$MC40),SUMPRODUCT('計算A'!$D$76:$DS$76,$CW40:$HL40))*1000+17)</f>
        <v/>
      </c>
      <c r="BT40">
        <f>IF(Z40=1,1000000,IF('計算A'!$EA$27=2,SUMPRODUCT('計算A'!$D$77:$DS$77,$CW40:$HL40,$HN40:$MC40),SUMPRODUCT('計算A'!$D$77:$DS$77,$CW40:$HL40))*1000+18)</f>
        <v/>
      </c>
      <c r="BU40">
        <f>IF(AA40=1,1000000,IF('計算A'!$EA$28=2,SUMPRODUCT('計算A'!$D$78:$DS$78,$CW40:$HL40,$HN40:$MC40),SUMPRODUCT('計算A'!$D$78:$DS$78,$CW40:$HL40))*1000+19)</f>
        <v/>
      </c>
      <c r="BV40">
        <f>IF(AB40=1,1000000,IF('計算A'!$EA$29=2,SUMPRODUCT('計算A'!$D$79:$DS$79,$CW40:$HL40,$HN40:$MC40),SUMPRODUCT('計算A'!$D$79:$DS$79,$CW40:$HL40))*1000+20)</f>
        <v/>
      </c>
      <c r="BW40">
        <f>IF(AC40=1,1000000,IF('計算A'!$EA$30=2,SUMPRODUCT('計算A'!$D$80:$DS$80,$CW40:$HL40,$HN40:$MC40),SUMPRODUCT('計算A'!$D$80:$DS$80,$CW40:$HL40))*1000+21)</f>
        <v/>
      </c>
      <c r="BX40">
        <f>IF(AD40=1,1000000,IF('計算A'!$EA$31=2,SUMPRODUCT('計算A'!$D$81:$DS$81,$CW40:$HL40,$HN40:$MC40),SUMPRODUCT('計算A'!$D$81:$DS$81,$CW40:$HL40))*1000+22)</f>
        <v/>
      </c>
      <c r="BY40">
        <f>IF(AE40=1,1000000,IF('計算A'!$EA$32=2,SUMPRODUCT('計算A'!$D$82:$DS$82,$CW40:$HL40,$HN40:$MC40),SUMPRODUCT('計算A'!$D$82:$DS$82,$CW40:$HL40))*1000+23)</f>
        <v/>
      </c>
      <c r="BZ40">
        <f>IF(AF40=1,1000000,IF('計算A'!$EA$33=2,SUMPRODUCT('計算A'!$D$83:$DS$83,$CW40:$HL40,$HN40:$MC40),SUMPRODUCT('計算A'!$D$83:$DS$83,$CW40:$HL40))*1000+24)</f>
        <v/>
      </c>
      <c r="CA40">
        <f>IF(AG40=1,1000000,IF('計算A'!$EA$34=2,SUMPRODUCT('計算A'!$D$84:$DS$84,$CW40:$HL40,$HN40:$MC40),SUMPRODUCT('計算A'!$D$84:$DS$84,$CW40:$HL40))*1000+25)</f>
        <v/>
      </c>
      <c r="CB40">
        <f>IF(AH40=1,1000000,IF('計算A'!$EA$35=2,SUMPRODUCT('計算A'!$D$85:$DS$85,$CW40:$HL40,$HN40:$MC40),SUMPRODUCT('計算A'!$D$85:$DS$85,$CW40:$HL40))*1000+26)</f>
        <v/>
      </c>
      <c r="CC40">
        <f>IF(AI40=1,1000000,IF('計算A'!$EA$36=2,SUMPRODUCT('計算A'!$D$86:$DS$86,$CW40:$HL40,$HN40:$MC40),SUMPRODUCT('計算A'!$D$86:$DS$86,$CW40:$HL40))*1000+27)</f>
        <v/>
      </c>
      <c r="CD40">
        <f>IF(AJ40=1,1000000,IF('計算A'!$EA$37=2,SUMPRODUCT('計算A'!$D$87:$DS$87,$CW40:$HL40,$HN40:$MC40),SUMPRODUCT('計算A'!$D$87:$DS$87,$CW40:$HL40))*1000+28)</f>
        <v/>
      </c>
      <c r="CE40">
        <f>IF(AK40=1,1000000,IF('計算A'!$EA$38=2,SUMPRODUCT('計算A'!$D$88:$DS$88,$CW40:$HL40,$HN40:$MC40),SUMPRODUCT('計算A'!$D$88:$DS$88,$CW40:$HL40))*1000+29)</f>
        <v/>
      </c>
      <c r="CF40">
        <f>IF(AL40=1,1000000,IF('計算A'!$EA$39=2,SUMPRODUCT('計算A'!$D$89:$DS$89,$CW40:$HL40,$HN40:$MC40),SUMPRODUCT('計算A'!$D$89:$DS$89,$CW40:$HL40))*1000+30)</f>
        <v/>
      </c>
      <c r="CG40">
        <f>IF(AM40=1,1000000,IF('計算A'!$EA$40=2,SUMPRODUCT('計算A'!$D$90:$DS$90,$CW40:$HL40,$HN40:$MC40),SUMPRODUCT('計算A'!$D$90:$DS$90,$CW40:$HL40))*1000+31)</f>
        <v/>
      </c>
      <c r="CH40">
        <f>IF(AN40=1,1000000,IF('計算A'!$EA$41=2,SUMPRODUCT('計算A'!$D$91:$DS$91,$CW40:$HL40,$HN40:$MC40),SUMPRODUCT('計算A'!$D$91:$DS$91,$CW40:$HL40))*1000+32)</f>
        <v/>
      </c>
      <c r="CI40">
        <f>IF(AO40=1,1000000,IF('計算A'!$EA$42=2,SUMPRODUCT('計算A'!$D$92:$DS$92,$CW40:$HL40,$HN40:$MC40),SUMPRODUCT('計算A'!$D$92:$DS$92,$CW40:$HL40))*1000+33)</f>
        <v/>
      </c>
      <c r="CJ40">
        <f>IF(AP40=1,1000000,IF('計算A'!$EA$43=2,SUMPRODUCT('計算A'!$D$93:$DS$93,$CW40:$HL40,$HN40:$MC40),SUMPRODUCT('計算A'!$D$93:$DS$93,$CW40:$HL40))*1000+34)</f>
        <v/>
      </c>
      <c r="CK40">
        <f>IF(AQ40=1,1000000,IF('計算A'!$EA$44=2,SUMPRODUCT('計算A'!$D$94:$DS$94,$CW40:$HL40,$HN40:$MC40),SUMPRODUCT('計算A'!$D$94:$DS$94,$CW40:$HL40))*1000+35)</f>
        <v/>
      </c>
      <c r="CL40">
        <f>IF(AR40=1,1000000,IF('計算A'!$EA$45=2,SUMPRODUCT('計算A'!$D$95:$DS$95,$CW40:$HL40,$HN40:$MC40),SUMPRODUCT('計算A'!$D$95:$DS$95,$CW40:$HL40))*1000+36)</f>
        <v/>
      </c>
      <c r="CM40">
        <f>IF(AS40=1,1000000,IF('計算A'!$EA$46=2,SUMPRODUCT('計算A'!$D$96:$DS$96,$CW40:$HL40,$HN40:$MC40),SUMPRODUCT('計算A'!$D$96:$DS$96,$CW40:$HL40))*1000+37)</f>
        <v/>
      </c>
      <c r="CN40">
        <f>IF(AT40=1,1000000,IF('計算A'!$EA$47=2,SUMPRODUCT('計算A'!$D$97:$DS$97,$CW40:$HL40,$HN40:$MC40),SUMPRODUCT('計算A'!$D$97:$DS$97,$CW40:$HL40))*1000+38)</f>
        <v/>
      </c>
      <c r="CO40">
        <f>IF(AU40=1,1000000,IF('計算A'!$EA$48=2,SUMPRODUCT('計算A'!$D$98:$DS$98,$CW40:$HL40,$HN40:$MC40),SUMPRODUCT('計算A'!$D$98:$DS$98,$CW40:$HL40))*1000+39)</f>
        <v/>
      </c>
      <c r="CP40">
        <f>IF(AV40=1,1000000,IF('計算A'!$EA$49=2,SUMPRODUCT('計算A'!$D$99:$DS$99,$CW40:$HL40,$HN40:$MC40),SUMPRODUCT('計算A'!$D$99:$DS$99,$CW40:$HL40))*1000+40)</f>
        <v/>
      </c>
      <c r="CQ40">
        <f>IF(AW40=1,1000000,IF('計算A'!$EA$50=2,SUMPRODUCT('計算A'!$D$100:$DS$100,$CW40:$HL40,$HN40:$MC40),SUMPRODUCT('計算A'!$D$100:$DS$100,$CW40:$HL40))*1000+41)</f>
        <v/>
      </c>
      <c r="CR40">
        <f>IF(AX40=1,1000000,IF('計算A'!$EA$51=2,SUMPRODUCT('計算A'!$D$101:$DS$101,$CW40:$HL40,$HN40:$MC40),SUMPRODUCT('計算A'!$D$101:$DS$101,$CW40:$HL40))*1000+42)</f>
        <v/>
      </c>
      <c r="CS40">
        <f>IF(AY40=1,1000000,IF('計算A'!$EA$52=2,SUMPRODUCT('計算A'!$D$102:$DS$102,$CW40:$HL40,$HN40:$MC40),SUMPRODUCT('計算A'!$D$102:$DS$102,$CW40:$HL40))*1000+43)</f>
        <v/>
      </c>
      <c r="CT40">
        <f>IF(AZ40=1,1000000,IF('計算A'!$EA$53=2,SUMPRODUCT('計算A'!$D$103:$DS$103,$CW40:$HL40,$HN40:$MC40),SUMPRODUCT('計算A'!$D$103:$DS$103,$CW40:$HL40))*1000+44)</f>
        <v/>
      </c>
      <c r="CU40">
        <f>IF(BA40=1,1000000,IF('計算A'!$EA$54=2,SUMPRODUCT('計算A'!$D$104:$DS$104,$CW40:$HL40,$HN40:$MC40),SUMPRODUCT('計算A'!$D$104:$DS$104,$CW40:$HL40))*1000+45)</f>
        <v/>
      </c>
      <c r="CW40">
        <f>CW39*IF(OR($C39=1,$G39=1),0,1)</f>
        <v/>
      </c>
      <c r="CX40">
        <f>CX39*IF(OR($C39=2,$G39=2),0,1)</f>
        <v/>
      </c>
      <c r="CY40">
        <f>CY39*IF(OR($C39=3,$G39=3),0,1)</f>
        <v/>
      </c>
      <c r="CZ40">
        <f>CZ39*IF(OR($C39=4,$G39=4),0,1)</f>
        <v/>
      </c>
      <c r="DA40">
        <f>DA39*IF(OR($C39=5,$G39=5),0,1)</f>
        <v/>
      </c>
      <c r="DB40">
        <f>DB39*IF(OR($C39=6,$G39=6),0,1)</f>
        <v/>
      </c>
      <c r="DC40">
        <f>DC39*IF(OR($C39=7,$G39=7),0,1)</f>
        <v/>
      </c>
      <c r="DD40">
        <f>DD39*IF(OR($C39=8,$G39=8),0,1)</f>
        <v/>
      </c>
      <c r="DE40">
        <f>DE39*IF(OR($C39=9,$G39=9),0,1)</f>
        <v/>
      </c>
      <c r="DF40">
        <f>DF39*IF(OR($C39=10,$G39=10),0,1)</f>
        <v/>
      </c>
      <c r="DG40">
        <f>DG39*IF(OR($C39=11,$G39=11),0,1)</f>
        <v/>
      </c>
      <c r="DH40">
        <f>DH39*IF(OR($C39=12,$G39=12),0,1)</f>
        <v/>
      </c>
      <c r="DI40">
        <f>DI39*IF(OR($C39=13,$G39=13),0,1)</f>
        <v/>
      </c>
      <c r="DJ40">
        <f>DJ39*IF(OR($C39=14,$G39=14),0,1)</f>
        <v/>
      </c>
      <c r="DK40">
        <f>DK39*IF(OR($C39=15,$G39=15),0,1)</f>
        <v/>
      </c>
      <c r="DL40">
        <f>DL39*IF(OR($C39=16,$G39=16),0,1)</f>
        <v/>
      </c>
      <c r="DM40">
        <f>DM39*IF(OR($C39=17,$G39=17),0,1)</f>
        <v/>
      </c>
      <c r="DN40">
        <f>DN39*IF(OR($C39=18,$G39=18),0,1)</f>
        <v/>
      </c>
      <c r="DO40">
        <f>DO39*IF(OR($C39=19,$G39=19),0,1)</f>
        <v/>
      </c>
      <c r="DP40">
        <f>DP39*IF(OR($C39=20,$G39=20),0,1)</f>
        <v/>
      </c>
      <c r="DQ40">
        <f>DQ39*IF(OR($C39=21,$G39=21),0,1)</f>
        <v/>
      </c>
      <c r="DR40">
        <f>DR39*IF(OR($C39=22,$G39=22),0,1)</f>
        <v/>
      </c>
      <c r="DS40">
        <f>DS39*IF(OR($C39=23,$G39=23),0,1)</f>
        <v/>
      </c>
      <c r="DT40">
        <f>DT39*IF(OR($C39=24,$G39=24),0,1)</f>
        <v/>
      </c>
      <c r="DU40">
        <f>DU39*IF(OR($C39=25,$G39=25),0,1)</f>
        <v/>
      </c>
      <c r="DV40">
        <f>DV39*IF(OR($C39=26,$G39=26),0,1)</f>
        <v/>
      </c>
      <c r="DW40">
        <f>DW39*IF(OR($C39=27,$G39=27),0,1)</f>
        <v/>
      </c>
      <c r="DX40">
        <f>DX39*IF(OR($C39=28,$G39=28),0,1)</f>
        <v/>
      </c>
      <c r="DY40">
        <f>DY39*IF(OR($C39=29,$G39=29),0,1)</f>
        <v/>
      </c>
      <c r="DZ40">
        <f>DZ39*IF(OR($C39=30,$G39=30),0,1)</f>
        <v/>
      </c>
      <c r="EA40">
        <f>EA39*IF(OR($C39=31,$G39=31),0,1)</f>
        <v/>
      </c>
      <c r="EB40">
        <f>EB39*IF(OR($C39=32,$G39=32),0,1)</f>
        <v/>
      </c>
      <c r="EC40">
        <f>EC39*IF(OR($C39=33,$G39=33),0,1)</f>
        <v/>
      </c>
      <c r="ED40">
        <f>ED39*IF(OR($C39=34,$G39=34),0,1)</f>
        <v/>
      </c>
      <c r="EE40">
        <f>EE39*IF(OR($C39=35,$G39=35),0,1)</f>
        <v/>
      </c>
      <c r="EF40">
        <f>EF39*IF(OR($C39=36,$G39=36),0,1)</f>
        <v/>
      </c>
      <c r="EG40">
        <f>EG39*IF(OR($C39=37,$G39=37),0,1)</f>
        <v/>
      </c>
      <c r="EH40">
        <f>EH39*IF(OR($C39=38,$G39=38),0,1)</f>
        <v/>
      </c>
      <c r="EI40">
        <f>EI39*IF(OR($C39=39,$G39=39),0,1)</f>
        <v/>
      </c>
      <c r="EJ40">
        <f>EJ39*IF(OR($C39=40,$G39=40),0,1)</f>
        <v/>
      </c>
      <c r="EK40">
        <f>EK39*IF(OR($C39=41,$G39=41),0,1)</f>
        <v/>
      </c>
      <c r="EL40">
        <f>EL39*IF(OR($C39=42,$G39=42),0,1)</f>
        <v/>
      </c>
      <c r="EM40">
        <f>EM39*IF(OR($C39=43,$G39=43),0,1)</f>
        <v/>
      </c>
      <c r="EN40">
        <f>EN39*IF(OR($C39=44,$G39=44),0,1)</f>
        <v/>
      </c>
      <c r="EO40">
        <f>EO39*IF(OR($C39=45,$G39=45),0,1)</f>
        <v/>
      </c>
      <c r="EP40">
        <f>EP39*IF(OR($C39=46,$G39=46),0,1)</f>
        <v/>
      </c>
      <c r="EQ40">
        <f>EQ39*IF(OR($C39=47,$G39=47),0,1)</f>
        <v/>
      </c>
      <c r="ER40">
        <f>ER39*IF(OR($C39=48,$G39=48),0,1)</f>
        <v/>
      </c>
      <c r="ES40">
        <f>ES39*IF(OR($C39=49,$G39=49),0,1)</f>
        <v/>
      </c>
      <c r="ET40">
        <f>ET39*IF(OR($C39=50,$G39=50),0,1)</f>
        <v/>
      </c>
      <c r="EU40">
        <f>EU39*IF(OR($C39=51,$G39=51),0,1)</f>
        <v/>
      </c>
      <c r="EV40">
        <f>EV39*IF(OR($C39=52,$G39=52),0,1)</f>
        <v/>
      </c>
      <c r="EW40">
        <f>EW39*IF(OR($C39=53,$G39=53),0,1)</f>
        <v/>
      </c>
      <c r="EX40">
        <f>EX39*IF(OR($C39=54,$G39=54),0,1)</f>
        <v/>
      </c>
      <c r="EY40">
        <f>EY39*IF(OR($C39=55,$G39=55),0,1)</f>
        <v/>
      </c>
      <c r="EZ40">
        <f>EZ39*IF(OR($C39=56,$G39=56),0,1)</f>
        <v/>
      </c>
      <c r="FA40">
        <f>FA39*IF(OR($C39=57,$G39=57),0,1)</f>
        <v/>
      </c>
      <c r="FB40">
        <f>FB39*IF(OR($C39=58,$G39=58),0,1)</f>
        <v/>
      </c>
      <c r="FC40">
        <f>FC39*IF(OR($C39=59,$G39=59),0,1)</f>
        <v/>
      </c>
      <c r="FD40">
        <f>FD39*IF(OR($C39=60,$G39=60),0,1)</f>
        <v/>
      </c>
      <c r="FE40">
        <f>FE39*IF(OR($C39=61,$G39=61),0,1)</f>
        <v/>
      </c>
      <c r="FF40">
        <f>FF39*IF(OR($C39=62,$G39=62),0,1)</f>
        <v/>
      </c>
      <c r="FG40">
        <f>FG39*IF(OR($C39=63,$G39=63),0,1)</f>
        <v/>
      </c>
      <c r="FH40">
        <f>FH39*IF(OR($C39=64,$G39=64),0,1)</f>
        <v/>
      </c>
      <c r="FI40">
        <f>FI39*IF(OR($C39=65,$G39=65),0,1)</f>
        <v/>
      </c>
      <c r="FJ40">
        <f>FJ39*IF(OR($C39=66,$G39=66),0,1)</f>
        <v/>
      </c>
      <c r="FK40">
        <f>FK39*IF(OR($C39=67,$G39=67),0,1)</f>
        <v/>
      </c>
      <c r="FL40">
        <f>FL39*IF(OR($C39=68,$G39=68),0,1)</f>
        <v/>
      </c>
      <c r="FM40">
        <f>FM39*IF(OR($C39=69,$G39=69),0,1)</f>
        <v/>
      </c>
      <c r="FN40">
        <f>FN39*IF(OR($C39=70,$G39=70),0,1)</f>
        <v/>
      </c>
      <c r="FO40">
        <f>FO39*IF(OR($C39=71,$G39=71),0,1)</f>
        <v/>
      </c>
      <c r="FP40">
        <f>FP39*IF(OR($C39=72,$G39=72),0,1)</f>
        <v/>
      </c>
      <c r="FQ40">
        <f>FQ39*IF(OR($C39=73,$G39=73),0,1)</f>
        <v/>
      </c>
      <c r="FR40">
        <f>FR39*IF(OR($C39=74,$G39=74),0,1)</f>
        <v/>
      </c>
      <c r="FS40">
        <f>FS39*IF(OR($C39=75,$G39=75),0,1)</f>
        <v/>
      </c>
      <c r="FT40">
        <f>FT39*IF(OR($C39=76,$G39=76),0,1)</f>
        <v/>
      </c>
      <c r="FU40">
        <f>FU39*IF(OR($C39=77,$G39=77),0,1)</f>
        <v/>
      </c>
      <c r="FV40">
        <f>FV39*IF(OR($C39=78,$G39=78),0,1)</f>
        <v/>
      </c>
      <c r="FW40">
        <f>FW39*IF(OR($C39=79,$G39=79),0,1)</f>
        <v/>
      </c>
      <c r="FX40">
        <f>FX39*IF(OR($C39=80,$G39=80),0,1)</f>
        <v/>
      </c>
      <c r="FY40">
        <f>FY39*IF(OR($C39=81,$G39=81),0,1)</f>
        <v/>
      </c>
      <c r="FZ40">
        <f>FZ39*IF(OR($C39=82,$G39=82),0,1)</f>
        <v/>
      </c>
      <c r="GA40">
        <f>GA39*IF(OR($C39=83,$G39=83),0,1)</f>
        <v/>
      </c>
      <c r="GB40">
        <f>GB39*IF(OR($C39=84,$G39=84),0,1)</f>
        <v/>
      </c>
      <c r="GC40">
        <f>GC39*IF(OR($C39=85,$G39=85),0,1)</f>
        <v/>
      </c>
      <c r="GD40">
        <f>GD39*IF(OR($C39=86,$G39=86),0,1)</f>
        <v/>
      </c>
      <c r="GE40">
        <f>GE39*IF(OR($C39=87,$G39=87),0,1)</f>
        <v/>
      </c>
      <c r="GF40">
        <f>GF39*IF(OR($C39=88,$G39=88),0,1)</f>
        <v/>
      </c>
      <c r="GG40">
        <f>GG39*IF(OR($C39=89,$G39=89),0,1)</f>
        <v/>
      </c>
      <c r="GH40">
        <f>GH39*IF(OR($C39=90,$G39=90),0,1)</f>
        <v/>
      </c>
      <c r="GI40">
        <f>GI39*IF(OR($C39=91,$G39=91),0,1)</f>
        <v/>
      </c>
      <c r="GJ40">
        <f>GJ39*IF(OR($C39=92,$G39=92),0,1)</f>
        <v/>
      </c>
      <c r="GK40">
        <f>GK39*IF(OR($C39=93,$G39=93),0,1)</f>
        <v/>
      </c>
      <c r="GL40">
        <f>GL39*IF(OR($C39=94,$G39=94),0,1)</f>
        <v/>
      </c>
      <c r="GM40">
        <f>GM39*IF(OR($C39=95,$G39=95),0,1)</f>
        <v/>
      </c>
      <c r="GN40">
        <f>GN39*IF(OR($C39=96,$G39=96),0,1)</f>
        <v/>
      </c>
      <c r="GO40">
        <f>GO39*IF(OR($C39=97,$G39=97),0,1)</f>
        <v/>
      </c>
      <c r="GP40">
        <f>GP39*IF(OR($C39=98,$G39=98),0,1)</f>
        <v/>
      </c>
      <c r="GQ40">
        <f>GQ39*IF(OR($C39=99,$G39=99),0,1)</f>
        <v/>
      </c>
      <c r="GR40">
        <f>GR39*IF(OR($C39=100,$G39=100),0,1)</f>
        <v/>
      </c>
      <c r="GS40">
        <f>GS39*IF(OR($C39=101,$G39=101),0,1)</f>
        <v/>
      </c>
      <c r="GT40">
        <f>GT39*IF(OR($C39=102,$G39=102),0,1)</f>
        <v/>
      </c>
      <c r="GU40">
        <f>GU39*IF(OR($C39=103,$G39=103),0,1)</f>
        <v/>
      </c>
      <c r="GV40">
        <f>GV39*IF(OR($C39=104,$G39=104),0,1)</f>
        <v/>
      </c>
      <c r="GW40">
        <f>GW39*IF(OR($C39=105,$G39=105),0,1)</f>
        <v/>
      </c>
      <c r="GX40">
        <f>GX39*IF(OR($C39=106,$G39=106),0,1)</f>
        <v/>
      </c>
      <c r="GY40">
        <f>GY39*IF(OR($C39=107,$G39=107),0,1)</f>
        <v/>
      </c>
      <c r="GZ40">
        <f>GZ39*IF(OR($C39=108,$G39=108),0,1)</f>
        <v/>
      </c>
      <c r="HA40">
        <f>HA39*IF(OR($C39=109,$G39=109),0,1)</f>
        <v/>
      </c>
      <c r="HB40">
        <f>HB39*IF(OR($C39=110,$G39=110),0,1)</f>
        <v/>
      </c>
      <c r="HC40">
        <f>HC39*IF(OR($C39=111,$G39=111),0,1)</f>
        <v/>
      </c>
      <c r="HD40">
        <f>HD39*IF(OR($C39=112,$G39=112),0,1)</f>
        <v/>
      </c>
      <c r="HE40">
        <f>HE39*IF(OR($C39=113,$G39=113),0,1)</f>
        <v/>
      </c>
      <c r="HF40">
        <f>HF39*IF(OR($C39=114,$G39=114),0,1)</f>
        <v/>
      </c>
      <c r="HG40">
        <f>HG39*IF(OR($C39=115,$G39=115),0,1)</f>
        <v/>
      </c>
      <c r="HH40">
        <f>HH39*IF(OR($C39=116,$G39=116),0,1)</f>
        <v/>
      </c>
      <c r="HI40">
        <f>HI39*IF(OR($C39=117,$G39=117),0,1)</f>
        <v/>
      </c>
      <c r="HJ40">
        <f>HJ39*IF(OR($C39=118,$G39=118),0,1)</f>
        <v/>
      </c>
      <c r="HK40">
        <f>HK39*IF(OR($C39=119,$G39=119),0,1)</f>
        <v/>
      </c>
      <c r="HL40">
        <f>HL39*IF(OR($C39=120,$G39=120),0,1)</f>
        <v/>
      </c>
      <c r="HN40">
        <f>IF('計算A'!D$106=1,CX40,1)</f>
        <v/>
      </c>
      <c r="HO40">
        <f>IF('計算A'!E$106=1,CY40,1)</f>
        <v/>
      </c>
      <c r="HP40">
        <f>IF('計算A'!F$106=1,CZ40,1)</f>
        <v/>
      </c>
      <c r="HQ40">
        <f>IF('計算A'!G$106=1,DA40,1)</f>
        <v/>
      </c>
      <c r="HR40">
        <f>IF('計算A'!H$106=1,DB40,1)</f>
        <v/>
      </c>
      <c r="HS40">
        <f>IF('計算A'!I$106=1,DC40,1)</f>
        <v/>
      </c>
      <c r="HT40">
        <f>IF('計算A'!J$106=1,DD40,1)</f>
        <v/>
      </c>
      <c r="HU40">
        <f>IF('計算A'!K$106=1,DE40,1)</f>
        <v/>
      </c>
      <c r="HV40">
        <f>IF('計算A'!L$106=1,DF40,1)</f>
        <v/>
      </c>
      <c r="HW40">
        <f>IF('計算A'!M$106=1,DG40,1)</f>
        <v/>
      </c>
      <c r="HX40">
        <f>IF('計算A'!N$106=1,DH40,1)</f>
        <v/>
      </c>
      <c r="HY40">
        <f>IF('計算A'!O$106=1,DI40,1)</f>
        <v/>
      </c>
      <c r="HZ40">
        <f>IF('計算A'!P$106=1,DJ40,1)</f>
        <v/>
      </c>
      <c r="IA40">
        <f>IF('計算A'!Q$106=1,DK40,1)</f>
        <v/>
      </c>
      <c r="IB40">
        <f>IF('計算A'!R$106=1,DL40,1)</f>
        <v/>
      </c>
      <c r="IC40">
        <f>IF('計算A'!S$106=1,DM40,1)</f>
        <v/>
      </c>
      <c r="ID40">
        <f>IF('計算A'!T$106=1,DN40,1)</f>
        <v/>
      </c>
      <c r="IE40">
        <f>IF('計算A'!U$106=1,DO40,1)</f>
        <v/>
      </c>
      <c r="IF40">
        <f>IF('計算A'!V$106=1,DP40,1)</f>
        <v/>
      </c>
      <c r="IG40">
        <f>IF('計算A'!W$106=1,DQ40,1)</f>
        <v/>
      </c>
      <c r="IH40">
        <f>IF('計算A'!X$106=1,DR40,1)</f>
        <v/>
      </c>
      <c r="II40">
        <f>IF('計算A'!Y$106=1,DS40,1)</f>
        <v/>
      </c>
      <c r="IJ40">
        <f>IF('計算A'!Z$106=1,DT40,1)</f>
        <v/>
      </c>
      <c r="IK40">
        <f>IF('計算A'!AA$106=1,DU40,1)</f>
        <v/>
      </c>
      <c r="IL40">
        <f>IF('計算A'!AB$106=1,DV40,1)</f>
        <v/>
      </c>
      <c r="IM40">
        <f>IF('計算A'!AC$106=1,DW40,1)</f>
        <v/>
      </c>
      <c r="IN40">
        <f>IF('計算A'!AD$106=1,DX40,1)</f>
        <v/>
      </c>
      <c r="IO40">
        <f>IF('計算A'!AE$106=1,DY40,1)</f>
        <v/>
      </c>
      <c r="IP40">
        <f>IF('計算A'!AF$106=1,DZ40,1)</f>
        <v/>
      </c>
      <c r="IQ40">
        <f>IF('計算A'!AG$106=1,EA40,1)</f>
        <v/>
      </c>
      <c r="IR40">
        <f>IF('計算A'!AH$106=1,EB40,1)</f>
        <v/>
      </c>
      <c r="IS40">
        <f>IF('計算A'!AI$106=1,EC40,1)</f>
        <v/>
      </c>
      <c r="IT40">
        <f>IF('計算A'!AJ$106=1,ED40,1)</f>
        <v/>
      </c>
      <c r="IU40">
        <f>IF('計算A'!AK$106=1,EE40,1)</f>
        <v/>
      </c>
      <c r="IV40">
        <f>IF('計算A'!AL$106=1,EF40,1)</f>
        <v/>
      </c>
      <c r="IW40">
        <f>IF('計算A'!AM$106=1,EG40,1)</f>
        <v/>
      </c>
      <c r="IX40">
        <f>IF('計算A'!AN$106=1,EH40,1)</f>
        <v/>
      </c>
      <c r="IY40">
        <f>IF('計算A'!AO$106=1,EI40,1)</f>
        <v/>
      </c>
      <c r="IZ40">
        <f>IF('計算A'!AP$106=1,EJ40,1)</f>
        <v/>
      </c>
      <c r="JA40">
        <f>IF('計算A'!AQ$106=1,EK40,1)</f>
        <v/>
      </c>
      <c r="JB40">
        <f>IF('計算A'!AR$106=1,EL40,1)</f>
        <v/>
      </c>
      <c r="JC40">
        <f>IF('計算A'!AS$106=1,EM40,1)</f>
        <v/>
      </c>
      <c r="JD40">
        <f>IF('計算A'!AT$106=1,EN40,1)</f>
        <v/>
      </c>
      <c r="JE40">
        <f>IF('計算A'!AU$106=1,EO40,1)</f>
        <v/>
      </c>
      <c r="JF40">
        <f>IF('計算A'!AV$106=1,EP40,1)</f>
        <v/>
      </c>
      <c r="JG40">
        <f>IF('計算A'!AW$106=1,EQ40,1)</f>
        <v/>
      </c>
      <c r="JH40">
        <f>IF('計算A'!AX$106=1,ER40,1)</f>
        <v/>
      </c>
      <c r="JI40">
        <f>IF('計算A'!AY$106=1,ES40,1)</f>
        <v/>
      </c>
      <c r="JJ40">
        <f>IF('計算A'!AZ$106=1,ET40,1)</f>
        <v/>
      </c>
      <c r="JK40">
        <f>IF('計算A'!BA$106=1,EU40,1)</f>
        <v/>
      </c>
      <c r="JL40">
        <f>IF('計算A'!BB$106=1,EV40,1)</f>
        <v/>
      </c>
      <c r="JM40">
        <f>IF('計算A'!BC$106=1,EW40,1)</f>
        <v/>
      </c>
      <c r="JN40">
        <f>IF('計算A'!BD$106=1,EX40,1)</f>
        <v/>
      </c>
      <c r="JO40">
        <f>IF('計算A'!BE$106=1,EY40,1)</f>
        <v/>
      </c>
      <c r="JP40">
        <f>IF('計算A'!BF$106=1,EZ40,1)</f>
        <v/>
      </c>
      <c r="JQ40">
        <f>IF('計算A'!BG$106=1,FA40,1)</f>
        <v/>
      </c>
      <c r="JR40">
        <f>IF('計算A'!BH$106=1,FB40,1)</f>
        <v/>
      </c>
      <c r="JS40">
        <f>IF('計算A'!BI$106=1,FC40,1)</f>
        <v/>
      </c>
      <c r="JT40">
        <f>IF('計算A'!BJ$106=1,FD40,1)</f>
        <v/>
      </c>
      <c r="JU40">
        <f>IF('計算A'!BK$106=1,FE40,1)</f>
        <v/>
      </c>
      <c r="JV40">
        <f>IF('計算A'!BL$106=1,FF40,1)</f>
        <v/>
      </c>
      <c r="JW40">
        <f>IF('計算A'!BM$106=1,FG40,1)</f>
        <v/>
      </c>
      <c r="JX40">
        <f>IF('計算A'!BN$106=1,FH40,1)</f>
        <v/>
      </c>
      <c r="JY40">
        <f>IF('計算A'!BO$106=1,FI40,1)</f>
        <v/>
      </c>
      <c r="JZ40">
        <f>IF('計算A'!BP$106=1,FJ40,1)</f>
        <v/>
      </c>
      <c r="KA40">
        <f>IF('計算A'!BQ$106=1,FK40,1)</f>
        <v/>
      </c>
      <c r="KB40">
        <f>IF('計算A'!BR$106=1,FL40,1)</f>
        <v/>
      </c>
      <c r="KC40">
        <f>IF('計算A'!BS$106=1,FM40,1)</f>
        <v/>
      </c>
      <c r="KD40">
        <f>IF('計算A'!BT$106=1,FN40,1)</f>
        <v/>
      </c>
      <c r="KE40">
        <f>IF('計算A'!BU$106=1,FO40,1)</f>
        <v/>
      </c>
      <c r="KF40">
        <f>IF('計算A'!BV$106=1,FP40,1)</f>
        <v/>
      </c>
      <c r="KG40">
        <f>IF('計算A'!BW$106=1,FQ40,1)</f>
        <v/>
      </c>
      <c r="KH40">
        <f>IF('計算A'!BX$106=1,FR40,1)</f>
        <v/>
      </c>
      <c r="KI40">
        <f>IF('計算A'!BY$106=1,FS40,1)</f>
        <v/>
      </c>
      <c r="KJ40">
        <f>IF('計算A'!BZ$106=1,FT40,1)</f>
        <v/>
      </c>
      <c r="KK40">
        <f>IF('計算A'!CA$106=1,FU40,1)</f>
        <v/>
      </c>
      <c r="KL40">
        <f>IF('計算A'!CB$106=1,FV40,1)</f>
        <v/>
      </c>
      <c r="KM40">
        <f>IF('計算A'!CC$106=1,FW40,1)</f>
        <v/>
      </c>
      <c r="KN40">
        <f>IF('計算A'!CD$106=1,FX40,1)</f>
        <v/>
      </c>
      <c r="KO40">
        <f>IF('計算A'!CE$106=1,FY40,1)</f>
        <v/>
      </c>
      <c r="KP40">
        <f>IF('計算A'!CF$106=1,FZ40,1)</f>
        <v/>
      </c>
      <c r="KQ40">
        <f>IF('計算A'!CG$106=1,GA40,1)</f>
        <v/>
      </c>
      <c r="KR40">
        <f>IF('計算A'!CH$106=1,GB40,1)</f>
        <v/>
      </c>
      <c r="KS40">
        <f>IF('計算A'!CI$106=1,GC40,1)</f>
        <v/>
      </c>
      <c r="KT40">
        <f>IF('計算A'!CJ$106=1,GD40,1)</f>
        <v/>
      </c>
      <c r="KU40">
        <f>IF('計算A'!CK$106=1,GE40,1)</f>
        <v/>
      </c>
      <c r="KV40">
        <f>IF('計算A'!CL$106=1,GF40,1)</f>
        <v/>
      </c>
      <c r="KW40">
        <f>IF('計算A'!CM$106=1,GG40,1)</f>
        <v/>
      </c>
      <c r="KX40">
        <f>IF('計算A'!CN$106=1,GH40,1)</f>
        <v/>
      </c>
      <c r="KY40">
        <f>IF('計算A'!CO$106=1,GI40,1)</f>
        <v/>
      </c>
      <c r="KZ40">
        <f>IF('計算A'!CP$106=1,GJ40,1)</f>
        <v/>
      </c>
      <c r="LA40">
        <f>IF('計算A'!CQ$106=1,GK40,1)</f>
        <v/>
      </c>
      <c r="LB40">
        <f>IF('計算A'!CR$106=1,GL40,1)</f>
        <v/>
      </c>
      <c r="LC40">
        <f>IF('計算A'!CS$106=1,GM40,1)</f>
        <v/>
      </c>
      <c r="LD40">
        <f>IF('計算A'!CT$106=1,GN40,1)</f>
        <v/>
      </c>
      <c r="LE40">
        <f>IF('計算A'!CU$106=1,GO40,1)</f>
        <v/>
      </c>
      <c r="LF40">
        <f>IF('計算A'!CV$106=1,GP40,1)</f>
        <v/>
      </c>
      <c r="LG40">
        <f>IF('計算A'!CW$106=1,GQ40,1)</f>
        <v/>
      </c>
      <c r="LH40">
        <f>IF('計算A'!CX$106=1,GR40,1)</f>
        <v/>
      </c>
      <c r="LI40">
        <f>IF('計算A'!CY$106=1,GS40,1)</f>
        <v/>
      </c>
      <c r="LJ40">
        <f>IF('計算A'!CZ$106=1,GT40,1)</f>
        <v/>
      </c>
      <c r="LK40">
        <f>IF('計算A'!DA$106=1,GU40,1)</f>
        <v/>
      </c>
      <c r="LL40">
        <f>IF('計算A'!DB$106=1,GV40,1)</f>
        <v/>
      </c>
      <c r="LM40">
        <f>IF('計算A'!DC$106=1,GW40,1)</f>
        <v/>
      </c>
      <c r="LN40">
        <f>IF('計算A'!DD$106=1,GX40,1)</f>
        <v/>
      </c>
      <c r="LO40">
        <f>IF('計算A'!DE$106=1,GY40,1)</f>
        <v/>
      </c>
      <c r="LP40">
        <f>IF('計算A'!DF$106=1,GZ40,1)</f>
        <v/>
      </c>
      <c r="LQ40">
        <f>IF('計算A'!DG$106=1,HA40,1)</f>
        <v/>
      </c>
      <c r="LR40">
        <f>IF('計算A'!DH$106=1,HB40,1)</f>
        <v/>
      </c>
      <c r="LS40">
        <f>IF('計算A'!DI$106=1,HC40,1)</f>
        <v/>
      </c>
      <c r="LT40">
        <f>IF('計算A'!DJ$106=1,HD40,1)</f>
        <v/>
      </c>
      <c r="LU40">
        <f>IF('計算A'!DK$106=1,HE40,1)</f>
        <v/>
      </c>
      <c r="LV40">
        <f>IF('計算A'!DL$106=1,HF40,1)</f>
        <v/>
      </c>
      <c r="LW40">
        <f>IF('計算A'!DM$106=1,HG40,1)</f>
        <v/>
      </c>
      <c r="LX40">
        <f>IF('計算A'!DN$106=1,HH40,1)</f>
        <v/>
      </c>
      <c r="LY40">
        <f>IF('計算A'!DO$106=1,HI40,1)</f>
        <v/>
      </c>
      <c r="LZ40">
        <f>IF('計算A'!DP$106=1,HJ40,1)</f>
        <v/>
      </c>
      <c r="MA40">
        <f>IF('計算A'!DQ$106=1,HK40,1)</f>
        <v/>
      </c>
      <c r="MB40">
        <f>IF('計算A'!DR$106=1,HL40,1)</f>
        <v/>
      </c>
      <c r="MC40" t="n">
        <v>1</v>
      </c>
      <c r="ME40">
        <f>IF($B40=0,1000000,IF(INDEX('計算A'!$D$60:$DS$104,$B40,1)*CW40=1,IF(AND($E40=2,HN40=0),1000000,INDEX('計算A'!D$110:D$114,$F40+1)+IF(AND($E40=1,HN40=0),1000,0)),1000000))</f>
        <v/>
      </c>
      <c r="MF40">
        <f>IF($B40=0,1000000,IF(INDEX('計算A'!$D$60:$DS$104,$B40,2)*CX40=1,IF(AND($E40=2,HO40=0),1000000,INDEX('計算A'!E$110:E$114,$F40+1)+IF(AND($E40=1,HO40=0),1000,0)),1000000))</f>
        <v/>
      </c>
      <c r="MG40">
        <f>IF($B40=0,1000000,IF(INDEX('計算A'!$D$60:$DS$104,$B40,3)*CY40=1,IF(AND($E40=2,HP40=0),1000000,INDEX('計算A'!F$110:F$114,$F40+1)+IF(AND($E40=1,HP40=0),1000,0)),1000000))</f>
        <v/>
      </c>
      <c r="MH40">
        <f>IF($B40=0,1000000,IF(INDEX('計算A'!$D$60:$DS$104,$B40,4)*CZ40=1,IF(AND($E40=2,HQ40=0),1000000,INDEX('計算A'!G$110:G$114,$F40+1)+IF(AND($E40=1,HQ40=0),1000,0)),1000000))</f>
        <v/>
      </c>
      <c r="MI40">
        <f>IF($B40=0,1000000,IF(INDEX('計算A'!$D$60:$DS$104,$B40,5)*DA40=1,IF(AND($E40=2,HR40=0),1000000,INDEX('計算A'!H$110:H$114,$F40+1)+IF(AND($E40=1,HR40=0),1000,0)),1000000))</f>
        <v/>
      </c>
      <c r="MJ40">
        <f>IF($B40=0,1000000,IF(INDEX('計算A'!$D$60:$DS$104,$B40,6)*DB40=1,IF(AND($E40=2,HS40=0),1000000,INDEX('計算A'!I$110:I$114,$F40+1)+IF(AND($E40=1,HS40=0),1000,0)),1000000))</f>
        <v/>
      </c>
      <c r="MK40">
        <f>IF($B40=0,1000000,IF(INDEX('計算A'!$D$60:$DS$104,$B40,7)*DC40=1,IF(AND($E40=2,HT40=0),1000000,INDEX('計算A'!J$110:J$114,$F40+1)+IF(AND($E40=1,HT40=0),1000,0)),1000000))</f>
        <v/>
      </c>
      <c r="ML40">
        <f>IF($B40=0,1000000,IF(INDEX('計算A'!$D$60:$DS$104,$B40,8)*DD40=1,IF(AND($E40=2,HU40=0),1000000,INDEX('計算A'!K$110:K$114,$F40+1)+IF(AND($E40=1,HU40=0),1000,0)),1000000))</f>
        <v/>
      </c>
      <c r="MM40">
        <f>IF($B40=0,1000000,IF(INDEX('計算A'!$D$60:$DS$104,$B40,9)*DE40=1,IF(AND($E40=2,HV40=0),1000000,INDEX('計算A'!L$110:L$114,$F40+1)+IF(AND($E40=1,HV40=0),1000,0)),1000000))</f>
        <v/>
      </c>
      <c r="MN40">
        <f>IF($B40=0,1000000,IF(INDEX('計算A'!$D$60:$DS$104,$B40,10)*DF40=1,IF(AND($E40=2,HW40=0),1000000,INDEX('計算A'!M$110:M$114,$F40+1)+IF(AND($E40=1,HW40=0),1000,0)),1000000))</f>
        <v/>
      </c>
      <c r="MO40">
        <f>IF($B40=0,1000000,IF(INDEX('計算A'!$D$60:$DS$104,$B40,11)*DG40=1,IF(AND($E40=2,HX40=0),1000000,INDEX('計算A'!N$110:N$114,$F40+1)+IF(AND($E40=1,HX40=0),1000,0)),1000000))</f>
        <v/>
      </c>
      <c r="MP40">
        <f>IF($B40=0,1000000,IF(INDEX('計算A'!$D$60:$DS$104,$B40,12)*DH40=1,IF(AND($E40=2,HY40=0),1000000,INDEX('計算A'!O$110:O$114,$F40+1)+IF(AND($E40=1,HY40=0),1000,0)),1000000))</f>
        <v/>
      </c>
      <c r="MQ40">
        <f>IF($B40=0,1000000,IF(INDEX('計算A'!$D$60:$DS$104,$B40,13)*DI40=1,IF(AND($E40=2,HZ40=0),1000000,INDEX('計算A'!P$110:P$114,$F40+1)+IF(AND($E40=1,HZ40=0),1000,0)),1000000))</f>
        <v/>
      </c>
      <c r="MR40">
        <f>IF($B40=0,1000000,IF(INDEX('計算A'!$D$60:$DS$104,$B40,14)*DJ40=1,IF(AND($E40=2,IA40=0),1000000,INDEX('計算A'!Q$110:Q$114,$F40+1)+IF(AND($E40=1,IA40=0),1000,0)),1000000))</f>
        <v/>
      </c>
      <c r="MS40">
        <f>IF($B40=0,1000000,IF(INDEX('計算A'!$D$60:$DS$104,$B40,15)*DK40=1,IF(AND($E40=2,IB40=0),1000000,INDEX('計算A'!R$110:R$114,$F40+1)+IF(AND($E40=1,IB40=0),1000,0)),1000000))</f>
        <v/>
      </c>
      <c r="MT40">
        <f>IF($B40=0,1000000,IF(INDEX('計算A'!$D$60:$DS$104,$B40,16)*DL40=1,IF(AND($E40=2,IC40=0),1000000,INDEX('計算A'!S$110:S$114,$F40+1)+IF(AND($E40=1,IC40=0),1000,0)),1000000))</f>
        <v/>
      </c>
      <c r="MU40">
        <f>IF($B40=0,1000000,IF(INDEX('計算A'!$D$60:$DS$104,$B40,17)*DM40=1,IF(AND($E40=2,ID40=0),1000000,INDEX('計算A'!T$110:T$114,$F40+1)+IF(AND($E40=1,ID40=0),1000,0)),1000000))</f>
        <v/>
      </c>
      <c r="MV40">
        <f>IF($B40=0,1000000,IF(INDEX('計算A'!$D$60:$DS$104,$B40,18)*DN40=1,IF(AND($E40=2,IE40=0),1000000,INDEX('計算A'!U$110:U$114,$F40+1)+IF(AND($E40=1,IE40=0),1000,0)),1000000))</f>
        <v/>
      </c>
      <c r="MW40">
        <f>IF($B40=0,1000000,IF(INDEX('計算A'!$D$60:$DS$104,$B40,19)*DO40=1,IF(AND($E40=2,IF40=0),1000000,INDEX('計算A'!V$110:V$114,$F40+1)+IF(AND($E40=1,IF40=0),1000,0)),1000000))</f>
        <v/>
      </c>
      <c r="MX40">
        <f>IF($B40=0,1000000,IF(INDEX('計算A'!$D$60:$DS$104,$B40,20)*DP40=1,IF(AND($E40=2,IG40=0),1000000,INDEX('計算A'!W$110:W$114,$F40+1)+IF(AND($E40=1,IG40=0),1000,0)),1000000))</f>
        <v/>
      </c>
      <c r="MY40">
        <f>IF($B40=0,1000000,IF(INDEX('計算A'!$D$60:$DS$104,$B40,21)*DQ40=1,IF(AND($E40=2,IH40=0),1000000,INDEX('計算A'!X$110:X$114,$F40+1)+IF(AND($E40=1,IH40=0),1000,0)),1000000))</f>
        <v/>
      </c>
      <c r="MZ40">
        <f>IF($B40=0,1000000,IF(INDEX('計算A'!$D$60:$DS$104,$B40,22)*DR40=1,IF(AND($E40=2,II40=0),1000000,INDEX('計算A'!Y$110:Y$114,$F40+1)+IF(AND($E40=1,II40=0),1000,0)),1000000))</f>
        <v/>
      </c>
      <c r="NA40">
        <f>IF($B40=0,1000000,IF(INDEX('計算A'!$D$60:$DS$104,$B40,23)*DS40=1,IF(AND($E40=2,IJ40=0),1000000,INDEX('計算A'!Z$110:Z$114,$F40+1)+IF(AND($E40=1,IJ40=0),1000,0)),1000000))</f>
        <v/>
      </c>
      <c r="NB40">
        <f>IF($B40=0,1000000,IF(INDEX('計算A'!$D$60:$DS$104,$B40,24)*DT40=1,IF(AND($E40=2,IK40=0),1000000,INDEX('計算A'!AA$110:AA$114,$F40+1)+IF(AND($E40=1,IK40=0),1000,0)),1000000))</f>
        <v/>
      </c>
      <c r="NC40">
        <f>IF($B40=0,1000000,IF(INDEX('計算A'!$D$60:$DS$104,$B40,25)*DU40=1,IF(AND($E40=2,IL40=0),1000000,INDEX('計算A'!AB$110:AB$114,$F40+1)+IF(AND($E40=1,IL40=0),1000,0)),1000000))</f>
        <v/>
      </c>
      <c r="ND40">
        <f>IF($B40=0,1000000,IF(INDEX('計算A'!$D$60:$DS$104,$B40,26)*DV40=1,IF(AND($E40=2,IM40=0),1000000,INDEX('計算A'!AC$110:AC$114,$F40+1)+IF(AND($E40=1,IM40=0),1000,0)),1000000))</f>
        <v/>
      </c>
      <c r="NE40">
        <f>IF($B40=0,1000000,IF(INDEX('計算A'!$D$60:$DS$104,$B40,27)*DW40=1,IF(AND($E40=2,IN40=0),1000000,INDEX('計算A'!AD$110:AD$114,$F40+1)+IF(AND($E40=1,IN40=0),1000,0)),1000000))</f>
        <v/>
      </c>
      <c r="NF40">
        <f>IF($B40=0,1000000,IF(INDEX('計算A'!$D$60:$DS$104,$B40,28)*DX40=1,IF(AND($E40=2,IO40=0),1000000,INDEX('計算A'!AE$110:AE$114,$F40+1)+IF(AND($E40=1,IO40=0),1000,0)),1000000))</f>
        <v/>
      </c>
      <c r="NG40">
        <f>IF($B40=0,1000000,IF(INDEX('計算A'!$D$60:$DS$104,$B40,29)*DY40=1,IF(AND($E40=2,IP40=0),1000000,INDEX('計算A'!AF$110:AF$114,$F40+1)+IF(AND($E40=1,IP40=0),1000,0)),1000000))</f>
        <v/>
      </c>
      <c r="NH40">
        <f>IF($B40=0,1000000,IF(INDEX('計算A'!$D$60:$DS$104,$B40,30)*DZ40=1,IF(AND($E40=2,IQ40=0),1000000,INDEX('計算A'!AG$110:AG$114,$F40+1)+IF(AND($E40=1,IQ40=0),1000,0)),1000000))</f>
        <v/>
      </c>
      <c r="NI40">
        <f>IF($B40=0,1000000,IF(INDEX('計算A'!$D$60:$DS$104,$B40,31)*EA40=1,IF(AND($E40=2,IR40=0),1000000,INDEX('計算A'!AH$110:AH$114,$F40+1)+IF(AND($E40=1,IR40=0),1000,0)),1000000))</f>
        <v/>
      </c>
      <c r="NJ40">
        <f>IF($B40=0,1000000,IF(INDEX('計算A'!$D$60:$DS$104,$B40,32)*EB40=1,IF(AND($E40=2,IS40=0),1000000,INDEX('計算A'!AI$110:AI$114,$F40+1)+IF(AND($E40=1,IS40=0),1000,0)),1000000))</f>
        <v/>
      </c>
      <c r="NK40">
        <f>IF($B40=0,1000000,IF(INDEX('計算A'!$D$60:$DS$104,$B40,33)*EC40=1,IF(AND($E40=2,IT40=0),1000000,INDEX('計算A'!AJ$110:AJ$114,$F40+1)+IF(AND($E40=1,IT40=0),1000,0)),1000000))</f>
        <v/>
      </c>
      <c r="NL40">
        <f>IF($B40=0,1000000,IF(INDEX('計算A'!$D$60:$DS$104,$B40,34)*ED40=1,IF(AND($E40=2,IU40=0),1000000,INDEX('計算A'!AK$110:AK$114,$F40+1)+IF(AND($E40=1,IU40=0),1000,0)),1000000))</f>
        <v/>
      </c>
      <c r="NM40">
        <f>IF($B40=0,1000000,IF(INDEX('計算A'!$D$60:$DS$104,$B40,35)*EE40=1,IF(AND($E40=2,IV40=0),1000000,INDEX('計算A'!AL$110:AL$114,$F40+1)+IF(AND($E40=1,IV40=0),1000,0)),1000000))</f>
        <v/>
      </c>
      <c r="NN40">
        <f>IF($B40=0,1000000,IF(INDEX('計算A'!$D$60:$DS$104,$B40,36)*EF40=1,IF(AND($E40=2,IW40=0),1000000,INDEX('計算A'!AM$110:AM$114,$F40+1)+IF(AND($E40=1,IW40=0),1000,0)),1000000))</f>
        <v/>
      </c>
      <c r="NO40">
        <f>IF($B40=0,1000000,IF(INDEX('計算A'!$D$60:$DS$104,$B40,37)*EG40=1,IF(AND($E40=2,IX40=0),1000000,INDEX('計算A'!AN$110:AN$114,$F40+1)+IF(AND($E40=1,IX40=0),1000,0)),1000000))</f>
        <v/>
      </c>
      <c r="NP40">
        <f>IF($B40=0,1000000,IF(INDEX('計算A'!$D$60:$DS$104,$B40,38)*EH40=1,IF(AND($E40=2,IY40=0),1000000,INDEX('計算A'!AO$110:AO$114,$F40+1)+IF(AND($E40=1,IY40=0),1000,0)),1000000))</f>
        <v/>
      </c>
      <c r="NQ40">
        <f>IF($B40=0,1000000,IF(INDEX('計算A'!$D$60:$DS$104,$B40,39)*EI40=1,IF(AND($E40=2,IZ40=0),1000000,INDEX('計算A'!AP$110:AP$114,$F40+1)+IF(AND($E40=1,IZ40=0),1000,0)),1000000))</f>
        <v/>
      </c>
      <c r="NR40">
        <f>IF($B40=0,1000000,IF(INDEX('計算A'!$D$60:$DS$104,$B40,40)*EJ40=1,IF(AND($E40=2,JA40=0),1000000,INDEX('計算A'!AQ$110:AQ$114,$F40+1)+IF(AND($E40=1,JA40=0),1000,0)),1000000))</f>
        <v/>
      </c>
      <c r="NS40">
        <f>IF($B40=0,1000000,IF(INDEX('計算A'!$D$60:$DS$104,$B40,41)*EK40=1,IF(AND($E40=2,JB40=0),1000000,INDEX('計算A'!AR$110:AR$114,$F40+1)+IF(AND($E40=1,JB40=0),1000,0)),1000000))</f>
        <v/>
      </c>
      <c r="NT40">
        <f>IF($B40=0,1000000,IF(INDEX('計算A'!$D$60:$DS$104,$B40,42)*EL40=1,IF(AND($E40=2,JC40=0),1000000,INDEX('計算A'!AS$110:AS$114,$F40+1)+IF(AND($E40=1,JC40=0),1000,0)),1000000))</f>
        <v/>
      </c>
      <c r="NU40">
        <f>IF($B40=0,1000000,IF(INDEX('計算A'!$D$60:$DS$104,$B40,43)*EM40=1,IF(AND($E40=2,JD40=0),1000000,INDEX('計算A'!AT$110:AT$114,$F40+1)+IF(AND($E40=1,JD40=0),1000,0)),1000000))</f>
        <v/>
      </c>
      <c r="NV40">
        <f>IF($B40=0,1000000,IF(INDEX('計算A'!$D$60:$DS$104,$B40,44)*EN40=1,IF(AND($E40=2,JE40=0),1000000,INDEX('計算A'!AU$110:AU$114,$F40+1)+IF(AND($E40=1,JE40=0),1000,0)),1000000))</f>
        <v/>
      </c>
      <c r="NW40">
        <f>IF($B40=0,1000000,IF(INDEX('計算A'!$D$60:$DS$104,$B40,45)*EO40=1,IF(AND($E40=2,JF40=0),1000000,INDEX('計算A'!AV$110:AV$114,$F40+1)+IF(AND($E40=1,JF40=0),1000,0)),1000000))</f>
        <v/>
      </c>
      <c r="NX40">
        <f>IF($B40=0,1000000,IF(INDEX('計算A'!$D$60:$DS$104,$B40,46)*EP40=1,IF(AND($E40=2,JG40=0),1000000,INDEX('計算A'!AW$110:AW$114,$F40+1)+IF(AND($E40=1,JG40=0),1000,0)),1000000))</f>
        <v/>
      </c>
      <c r="NY40">
        <f>IF($B40=0,1000000,IF(INDEX('計算A'!$D$60:$DS$104,$B40,47)*EQ40=1,IF(AND($E40=2,JH40=0),1000000,INDEX('計算A'!AX$110:AX$114,$F40+1)+IF(AND($E40=1,JH40=0),1000,0)),1000000))</f>
        <v/>
      </c>
      <c r="NZ40">
        <f>IF($B40=0,1000000,IF(INDEX('計算A'!$D$60:$DS$104,$B40,48)*ER40=1,IF(AND($E40=2,JI40=0),1000000,INDEX('計算A'!AY$110:AY$114,$F40+1)+IF(AND($E40=1,JI40=0),1000,0)),1000000))</f>
        <v/>
      </c>
      <c r="OA40">
        <f>IF($B40=0,1000000,IF(INDEX('計算A'!$D$60:$DS$104,$B40,49)*ES40=1,IF(AND($E40=2,JJ40=0),1000000,INDEX('計算A'!AZ$110:AZ$114,$F40+1)+IF(AND($E40=1,JJ40=0),1000,0)),1000000))</f>
        <v/>
      </c>
      <c r="OB40">
        <f>IF($B40=0,1000000,IF(INDEX('計算A'!$D$60:$DS$104,$B40,50)*ET40=1,IF(AND($E40=2,JK40=0),1000000,INDEX('計算A'!BA$110:BA$114,$F40+1)+IF(AND($E40=1,JK40=0),1000,0)),1000000))</f>
        <v/>
      </c>
      <c r="OC40">
        <f>IF($B40=0,1000000,IF(INDEX('計算A'!$D$60:$DS$104,$B40,51)*EU40=1,IF(AND($E40=2,JL40=0),1000000,INDEX('計算A'!BB$110:BB$114,$F40+1)+IF(AND($E40=1,JL40=0),1000,0)),1000000))</f>
        <v/>
      </c>
      <c r="OD40">
        <f>IF($B40=0,1000000,IF(INDEX('計算A'!$D$60:$DS$104,$B40,52)*EV40=1,IF(AND($E40=2,JM40=0),1000000,INDEX('計算A'!BC$110:BC$114,$F40+1)+IF(AND($E40=1,JM40=0),1000,0)),1000000))</f>
        <v/>
      </c>
      <c r="OE40">
        <f>IF($B40=0,1000000,IF(INDEX('計算A'!$D$60:$DS$104,$B40,53)*EW40=1,IF(AND($E40=2,JN40=0),1000000,INDEX('計算A'!BD$110:BD$114,$F40+1)+IF(AND($E40=1,JN40=0),1000,0)),1000000))</f>
        <v/>
      </c>
      <c r="OF40">
        <f>IF($B40=0,1000000,IF(INDEX('計算A'!$D$60:$DS$104,$B40,54)*EX40=1,IF(AND($E40=2,JO40=0),1000000,INDEX('計算A'!BE$110:BE$114,$F40+1)+IF(AND($E40=1,JO40=0),1000,0)),1000000))</f>
        <v/>
      </c>
      <c r="OG40">
        <f>IF($B40=0,1000000,IF(INDEX('計算A'!$D$60:$DS$104,$B40,55)*EY40=1,IF(AND($E40=2,JP40=0),1000000,INDEX('計算A'!BF$110:BF$114,$F40+1)+IF(AND($E40=1,JP40=0),1000,0)),1000000))</f>
        <v/>
      </c>
      <c r="OH40">
        <f>IF($B40=0,1000000,IF(INDEX('計算A'!$D$60:$DS$104,$B40,56)*EZ40=1,IF(AND($E40=2,JQ40=0),1000000,INDEX('計算A'!BG$110:BG$114,$F40+1)+IF(AND($E40=1,JQ40=0),1000,0)),1000000))</f>
        <v/>
      </c>
      <c r="OI40">
        <f>IF($B40=0,1000000,IF(INDEX('計算A'!$D$60:$DS$104,$B40,57)*FA40=1,IF(AND($E40=2,JR40=0),1000000,INDEX('計算A'!BH$110:BH$114,$F40+1)+IF(AND($E40=1,JR40=0),1000,0)),1000000))</f>
        <v/>
      </c>
      <c r="OJ40">
        <f>IF($B40=0,1000000,IF(INDEX('計算A'!$D$60:$DS$104,$B40,58)*FB40=1,IF(AND($E40=2,JS40=0),1000000,INDEX('計算A'!BI$110:BI$114,$F40+1)+IF(AND($E40=1,JS40=0),1000,0)),1000000))</f>
        <v/>
      </c>
      <c r="OK40">
        <f>IF($B40=0,1000000,IF(INDEX('計算A'!$D$60:$DS$104,$B40,59)*FC40=1,IF(AND($E40=2,JT40=0),1000000,INDEX('計算A'!BJ$110:BJ$114,$F40+1)+IF(AND($E40=1,JT40=0),1000,0)),1000000))</f>
        <v/>
      </c>
      <c r="OL40">
        <f>IF($B40=0,1000000,IF(INDEX('計算A'!$D$60:$DS$104,$B40,60)*FD40=1,IF(AND($E40=2,JU40=0),1000000,INDEX('計算A'!BK$110:BK$114,$F40+1)+IF(AND($E40=1,JU40=0),1000,0)),1000000))</f>
        <v/>
      </c>
      <c r="OM40">
        <f>IF($B40=0,1000000,IF(INDEX('計算A'!$D$60:$DS$104,$B40,61)*FE40=1,IF(AND($E40=2,JV40=0),1000000,INDEX('計算A'!BL$110:BL$114,$F40+1)+IF(AND($E40=1,JV40=0),1000,0)),1000000))</f>
        <v/>
      </c>
      <c r="ON40">
        <f>IF($B40=0,1000000,IF(INDEX('計算A'!$D$60:$DS$104,$B40,62)*FF40=1,IF(AND($E40=2,JW40=0),1000000,INDEX('計算A'!BM$110:BM$114,$F40+1)+IF(AND($E40=1,JW40=0),1000,0)),1000000))</f>
        <v/>
      </c>
      <c r="OO40">
        <f>IF($B40=0,1000000,IF(INDEX('計算A'!$D$60:$DS$104,$B40,63)*FG40=1,IF(AND($E40=2,JX40=0),1000000,INDEX('計算A'!BN$110:BN$114,$F40+1)+IF(AND($E40=1,JX40=0),1000,0)),1000000))</f>
        <v/>
      </c>
      <c r="OP40">
        <f>IF($B40=0,1000000,IF(INDEX('計算A'!$D$60:$DS$104,$B40,64)*FH40=1,IF(AND($E40=2,JY40=0),1000000,INDEX('計算A'!BO$110:BO$114,$F40+1)+IF(AND($E40=1,JY40=0),1000,0)),1000000))</f>
        <v/>
      </c>
      <c r="OQ40">
        <f>IF($B40=0,1000000,IF(INDEX('計算A'!$D$60:$DS$104,$B40,65)*FI40=1,IF(AND($E40=2,JZ40=0),1000000,INDEX('計算A'!BP$110:BP$114,$F40+1)+IF(AND($E40=1,JZ40=0),1000,0)),1000000))</f>
        <v/>
      </c>
      <c r="OR40">
        <f>IF($B40=0,1000000,IF(INDEX('計算A'!$D$60:$DS$104,$B40,66)*FJ40=1,IF(AND($E40=2,KA40=0),1000000,INDEX('計算A'!BQ$110:BQ$114,$F40+1)+IF(AND($E40=1,KA40=0),1000,0)),1000000))</f>
        <v/>
      </c>
      <c r="OS40">
        <f>IF($B40=0,1000000,IF(INDEX('計算A'!$D$60:$DS$104,$B40,67)*FK40=1,IF(AND($E40=2,KB40=0),1000000,INDEX('計算A'!BR$110:BR$114,$F40+1)+IF(AND($E40=1,KB40=0),1000,0)),1000000))</f>
        <v/>
      </c>
      <c r="OT40">
        <f>IF($B40=0,1000000,IF(INDEX('計算A'!$D$60:$DS$104,$B40,68)*FL40=1,IF(AND($E40=2,KC40=0),1000000,INDEX('計算A'!BS$110:BS$114,$F40+1)+IF(AND($E40=1,KC40=0),1000,0)),1000000))</f>
        <v/>
      </c>
      <c r="OU40">
        <f>IF($B40=0,1000000,IF(INDEX('計算A'!$D$60:$DS$104,$B40,69)*FM40=1,IF(AND($E40=2,KD40=0),1000000,INDEX('計算A'!BT$110:BT$114,$F40+1)+IF(AND($E40=1,KD40=0),1000,0)),1000000))</f>
        <v/>
      </c>
      <c r="OV40">
        <f>IF($B40=0,1000000,IF(INDEX('計算A'!$D$60:$DS$104,$B40,70)*FN40=1,IF(AND($E40=2,KE40=0),1000000,INDEX('計算A'!BU$110:BU$114,$F40+1)+IF(AND($E40=1,KE40=0),1000,0)),1000000))</f>
        <v/>
      </c>
      <c r="OW40">
        <f>IF($B40=0,1000000,IF(INDEX('計算A'!$D$60:$DS$104,$B40,71)*FO40=1,IF(AND($E40=2,KF40=0),1000000,INDEX('計算A'!BV$110:BV$114,$F40+1)+IF(AND($E40=1,KF40=0),1000,0)),1000000))</f>
        <v/>
      </c>
      <c r="OX40">
        <f>IF($B40=0,1000000,IF(INDEX('計算A'!$D$60:$DS$104,$B40,72)*FP40=1,IF(AND($E40=2,KG40=0),1000000,INDEX('計算A'!BW$110:BW$114,$F40+1)+IF(AND($E40=1,KG40=0),1000,0)),1000000))</f>
        <v/>
      </c>
      <c r="OY40">
        <f>IF($B40=0,1000000,IF(INDEX('計算A'!$D$60:$DS$104,$B40,73)*FQ40=1,IF(AND($E40=2,KH40=0),1000000,INDEX('計算A'!BX$110:BX$114,$F40+1)+IF(AND($E40=1,KH40=0),1000,0)),1000000))</f>
        <v/>
      </c>
      <c r="OZ40">
        <f>IF($B40=0,1000000,IF(INDEX('計算A'!$D$60:$DS$104,$B40,74)*FR40=1,IF(AND($E40=2,KI40=0),1000000,INDEX('計算A'!BY$110:BY$114,$F40+1)+IF(AND($E40=1,KI40=0),1000,0)),1000000))</f>
        <v/>
      </c>
      <c r="PA40">
        <f>IF($B40=0,1000000,IF(INDEX('計算A'!$D$60:$DS$104,$B40,75)*FS40=1,IF(AND($E40=2,KJ40=0),1000000,INDEX('計算A'!BZ$110:BZ$114,$F40+1)+IF(AND($E40=1,KJ40=0),1000,0)),1000000))</f>
        <v/>
      </c>
      <c r="PB40">
        <f>IF($B40=0,1000000,IF(INDEX('計算A'!$D$60:$DS$104,$B40,76)*FT40=1,IF(AND($E40=2,KK40=0),1000000,INDEX('計算A'!CA$110:CA$114,$F40+1)+IF(AND($E40=1,KK40=0),1000,0)),1000000))</f>
        <v/>
      </c>
      <c r="PC40">
        <f>IF($B40=0,1000000,IF(INDEX('計算A'!$D$60:$DS$104,$B40,77)*FU40=1,IF(AND($E40=2,KL40=0),1000000,INDEX('計算A'!CB$110:CB$114,$F40+1)+IF(AND($E40=1,KL40=0),1000,0)),1000000))</f>
        <v/>
      </c>
      <c r="PD40">
        <f>IF($B40=0,1000000,IF(INDEX('計算A'!$D$60:$DS$104,$B40,78)*FV40=1,IF(AND($E40=2,KM40=0),1000000,INDEX('計算A'!CC$110:CC$114,$F40+1)+IF(AND($E40=1,KM40=0),1000,0)),1000000))</f>
        <v/>
      </c>
      <c r="PE40">
        <f>IF($B40=0,1000000,IF(INDEX('計算A'!$D$60:$DS$104,$B40,79)*FW40=1,IF(AND($E40=2,KN40=0),1000000,INDEX('計算A'!CD$110:CD$114,$F40+1)+IF(AND($E40=1,KN40=0),1000,0)),1000000))</f>
        <v/>
      </c>
      <c r="PF40">
        <f>IF($B40=0,1000000,IF(INDEX('計算A'!$D$60:$DS$104,$B40,80)*FX40=1,IF(AND($E40=2,KO40=0),1000000,INDEX('計算A'!CE$110:CE$114,$F40+1)+IF(AND($E40=1,KO40=0),1000,0)),1000000))</f>
        <v/>
      </c>
      <c r="PG40">
        <f>IF($B40=0,1000000,IF(INDEX('計算A'!$D$60:$DS$104,$B40,81)*FY40=1,IF(AND($E40=2,KP40=0),1000000,INDEX('計算A'!CF$110:CF$114,$F40+1)+IF(AND($E40=1,KP40=0),1000,0)),1000000))</f>
        <v/>
      </c>
      <c r="PH40">
        <f>IF($B40=0,1000000,IF(INDEX('計算A'!$D$60:$DS$104,$B40,82)*FZ40=1,IF(AND($E40=2,KQ40=0),1000000,INDEX('計算A'!CG$110:CG$114,$F40+1)+IF(AND($E40=1,KQ40=0),1000,0)),1000000))</f>
        <v/>
      </c>
      <c r="PI40">
        <f>IF($B40=0,1000000,IF(INDEX('計算A'!$D$60:$DS$104,$B40,83)*GA40=1,IF(AND($E40=2,KR40=0),1000000,INDEX('計算A'!CH$110:CH$114,$F40+1)+IF(AND($E40=1,KR40=0),1000,0)),1000000))</f>
        <v/>
      </c>
      <c r="PJ40">
        <f>IF($B40=0,1000000,IF(INDEX('計算A'!$D$60:$DS$104,$B40,84)*GB40=1,IF(AND($E40=2,KS40=0),1000000,INDEX('計算A'!CI$110:CI$114,$F40+1)+IF(AND($E40=1,KS40=0),1000,0)),1000000))</f>
        <v/>
      </c>
      <c r="PK40">
        <f>IF($B40=0,1000000,IF(INDEX('計算A'!$D$60:$DS$104,$B40,85)*GC40=1,IF(AND($E40=2,KT40=0),1000000,INDEX('計算A'!CJ$110:CJ$114,$F40+1)+IF(AND($E40=1,KT40=0),1000,0)),1000000))</f>
        <v/>
      </c>
      <c r="PL40">
        <f>IF($B40=0,1000000,IF(INDEX('計算A'!$D$60:$DS$104,$B40,86)*GD40=1,IF(AND($E40=2,KU40=0),1000000,INDEX('計算A'!CK$110:CK$114,$F40+1)+IF(AND($E40=1,KU40=0),1000,0)),1000000))</f>
        <v/>
      </c>
      <c r="PM40">
        <f>IF($B40=0,1000000,IF(INDEX('計算A'!$D$60:$DS$104,$B40,87)*GE40=1,IF(AND($E40=2,KV40=0),1000000,INDEX('計算A'!CL$110:CL$114,$F40+1)+IF(AND($E40=1,KV40=0),1000,0)),1000000))</f>
        <v/>
      </c>
      <c r="PN40">
        <f>IF($B40=0,1000000,IF(INDEX('計算A'!$D$60:$DS$104,$B40,88)*GF40=1,IF(AND($E40=2,KW40=0),1000000,INDEX('計算A'!CM$110:CM$114,$F40+1)+IF(AND($E40=1,KW40=0),1000,0)),1000000))</f>
        <v/>
      </c>
      <c r="PO40">
        <f>IF($B40=0,1000000,IF(INDEX('計算A'!$D$60:$DS$104,$B40,89)*GG40=1,IF(AND($E40=2,KX40=0),1000000,INDEX('計算A'!CN$110:CN$114,$F40+1)+IF(AND($E40=1,KX40=0),1000,0)),1000000))</f>
        <v/>
      </c>
      <c r="PP40">
        <f>IF($B40=0,1000000,IF(INDEX('計算A'!$D$60:$DS$104,$B40,90)*GH40=1,IF(AND($E40=2,KY40=0),1000000,INDEX('計算A'!CO$110:CO$114,$F40+1)+IF(AND($E40=1,KY40=0),1000,0)),1000000))</f>
        <v/>
      </c>
      <c r="PQ40">
        <f>IF($B40=0,1000000,IF(INDEX('計算A'!$D$60:$DS$104,$B40,91)*GI40=1,IF(AND($E40=2,KZ40=0),1000000,INDEX('計算A'!CP$110:CP$114,$F40+1)+IF(AND($E40=1,KZ40=0),1000,0)),1000000))</f>
        <v/>
      </c>
      <c r="PR40">
        <f>IF($B40=0,1000000,IF(INDEX('計算A'!$D$60:$DS$104,$B40,92)*GJ40=1,IF(AND($E40=2,LA40=0),1000000,INDEX('計算A'!CQ$110:CQ$114,$F40+1)+IF(AND($E40=1,LA40=0),1000,0)),1000000))</f>
        <v/>
      </c>
      <c r="PS40">
        <f>IF($B40=0,1000000,IF(INDEX('計算A'!$D$60:$DS$104,$B40,93)*GK40=1,IF(AND($E40=2,LB40=0),1000000,INDEX('計算A'!CR$110:CR$114,$F40+1)+IF(AND($E40=1,LB40=0),1000,0)),1000000))</f>
        <v/>
      </c>
      <c r="PT40">
        <f>IF($B40=0,1000000,IF(INDEX('計算A'!$D$60:$DS$104,$B40,94)*GL40=1,IF(AND($E40=2,LC40=0),1000000,INDEX('計算A'!CS$110:CS$114,$F40+1)+IF(AND($E40=1,LC40=0),1000,0)),1000000))</f>
        <v/>
      </c>
      <c r="PU40">
        <f>IF($B40=0,1000000,IF(INDEX('計算A'!$D$60:$DS$104,$B40,95)*GM40=1,IF(AND($E40=2,LD40=0),1000000,INDEX('計算A'!CT$110:CT$114,$F40+1)+IF(AND($E40=1,LD40=0),1000,0)),1000000))</f>
        <v/>
      </c>
      <c r="PV40">
        <f>IF($B40=0,1000000,IF(INDEX('計算A'!$D$60:$DS$104,$B40,96)*GN40=1,IF(AND($E40=2,LE40=0),1000000,INDEX('計算A'!CU$110:CU$114,$F40+1)+IF(AND($E40=1,LE40=0),1000,0)),1000000))</f>
        <v/>
      </c>
      <c r="PW40">
        <f>IF($B40=0,1000000,IF(INDEX('計算A'!$D$60:$DS$104,$B40,97)*GO40=1,IF(AND($E40=2,LF40=0),1000000,INDEX('計算A'!CV$110:CV$114,$F40+1)+IF(AND($E40=1,LF40=0),1000,0)),1000000))</f>
        <v/>
      </c>
      <c r="PX40">
        <f>IF($B40=0,1000000,IF(INDEX('計算A'!$D$60:$DS$104,$B40,98)*GP40=1,IF(AND($E40=2,LG40=0),1000000,INDEX('計算A'!CW$110:CW$114,$F40+1)+IF(AND($E40=1,LG40=0),1000,0)),1000000))</f>
        <v/>
      </c>
      <c r="PY40">
        <f>IF($B40=0,1000000,IF(INDEX('計算A'!$D$60:$DS$104,$B40,99)*GQ40=1,IF(AND($E40=2,LH40=0),1000000,INDEX('計算A'!CX$110:CX$114,$F40+1)+IF(AND($E40=1,LH40=0),1000,0)),1000000))</f>
        <v/>
      </c>
      <c r="PZ40">
        <f>IF($B40=0,1000000,IF(INDEX('計算A'!$D$60:$DS$104,$B40,100)*GR40=1,IF(AND($E40=2,LI40=0),1000000,INDEX('計算A'!CY$110:CY$114,$F40+1)+IF(AND($E40=1,LI40=0),1000,0)),1000000))</f>
        <v/>
      </c>
      <c r="QA40">
        <f>IF($B40=0,1000000,IF(INDEX('計算A'!$D$60:$DS$104,$B40,101)*GS40=1,IF(AND($E40=2,LJ40=0),1000000,INDEX('計算A'!CZ$110:CZ$114,$F40+1)+IF(AND($E40=1,LJ40=0),1000,0)),1000000))</f>
        <v/>
      </c>
      <c r="QB40">
        <f>IF($B40=0,1000000,IF(INDEX('計算A'!$D$60:$DS$104,$B40,102)*GT40=1,IF(AND($E40=2,LK40=0),1000000,INDEX('計算A'!DA$110:DA$114,$F40+1)+IF(AND($E40=1,LK40=0),1000,0)),1000000))</f>
        <v/>
      </c>
      <c r="QC40">
        <f>IF($B40=0,1000000,IF(INDEX('計算A'!$D$60:$DS$104,$B40,103)*GU40=1,IF(AND($E40=2,LL40=0),1000000,INDEX('計算A'!DB$110:DB$114,$F40+1)+IF(AND($E40=1,LL40=0),1000,0)),1000000))</f>
        <v/>
      </c>
      <c r="QD40">
        <f>IF($B40=0,1000000,IF(INDEX('計算A'!$D$60:$DS$104,$B40,104)*GV40=1,IF(AND($E40=2,LM40=0),1000000,INDEX('計算A'!DC$110:DC$114,$F40+1)+IF(AND($E40=1,LM40=0),1000,0)),1000000))</f>
        <v/>
      </c>
      <c r="QE40">
        <f>IF($B40=0,1000000,IF(INDEX('計算A'!$D$60:$DS$104,$B40,105)*GW40=1,IF(AND($E40=2,LN40=0),1000000,INDEX('計算A'!DD$110:DD$114,$F40+1)+IF(AND($E40=1,LN40=0),1000,0)),1000000))</f>
        <v/>
      </c>
      <c r="QF40">
        <f>IF($B40=0,1000000,IF(INDEX('計算A'!$D$60:$DS$104,$B40,106)*GX40=1,IF(AND($E40=2,LO40=0),1000000,INDEX('計算A'!DE$110:DE$114,$F40+1)+IF(AND($E40=1,LO40=0),1000,0)),1000000))</f>
        <v/>
      </c>
      <c r="QG40">
        <f>IF($B40=0,1000000,IF(INDEX('計算A'!$D$60:$DS$104,$B40,107)*GY40=1,IF(AND($E40=2,LP40=0),1000000,INDEX('計算A'!DF$110:DF$114,$F40+1)+IF(AND($E40=1,LP40=0),1000,0)),1000000))</f>
        <v/>
      </c>
      <c r="QH40">
        <f>IF($B40=0,1000000,IF(INDEX('計算A'!$D$60:$DS$104,$B40,108)*GZ40=1,IF(AND($E40=2,LQ40=0),1000000,INDEX('計算A'!DG$110:DG$114,$F40+1)+IF(AND($E40=1,LQ40=0),1000,0)),1000000))</f>
        <v/>
      </c>
      <c r="QI40">
        <f>IF($B40=0,1000000,IF(INDEX('計算A'!$D$60:$DS$104,$B40,109)*HA40=1,IF(AND($E40=2,LR40=0),1000000,INDEX('計算A'!DH$110:DH$114,$F40+1)+IF(AND($E40=1,LR40=0),1000,0)),1000000))</f>
        <v/>
      </c>
      <c r="QJ40">
        <f>IF($B40=0,1000000,IF(INDEX('計算A'!$D$60:$DS$104,$B40,110)*HB40=1,IF(AND($E40=2,LS40=0),1000000,INDEX('計算A'!DI$110:DI$114,$F40+1)+IF(AND($E40=1,LS40=0),1000,0)),1000000))</f>
        <v/>
      </c>
      <c r="QK40">
        <f>IF($B40=0,1000000,IF(INDEX('計算A'!$D$60:$DS$104,$B40,111)*HC40=1,IF(AND($E40=2,LT40=0),1000000,INDEX('計算A'!DJ$110:DJ$114,$F40+1)+IF(AND($E40=1,LT40=0),1000,0)),1000000))</f>
        <v/>
      </c>
      <c r="QL40">
        <f>IF($B40=0,1000000,IF(INDEX('計算A'!$D$60:$DS$104,$B40,112)*HD40=1,IF(AND($E40=2,LU40=0),1000000,INDEX('計算A'!DK$110:DK$114,$F40+1)+IF(AND($E40=1,LU40=0),1000,0)),1000000))</f>
        <v/>
      </c>
      <c r="QM40">
        <f>IF($B40=0,1000000,IF(INDEX('計算A'!$D$60:$DS$104,$B40,113)*HE40=1,IF(AND($E40=2,LV40=0),1000000,INDEX('計算A'!DL$110:DL$114,$F40+1)+IF(AND($E40=1,LV40=0),1000,0)),1000000))</f>
        <v/>
      </c>
      <c r="QN40">
        <f>IF($B40=0,1000000,IF(INDEX('計算A'!$D$60:$DS$104,$B40,114)*HF40=1,IF(AND($E40=2,LW40=0),1000000,INDEX('計算A'!DM$110:DM$114,$F40+1)+IF(AND($E40=1,LW40=0),1000,0)),1000000))</f>
        <v/>
      </c>
      <c r="QO40">
        <f>IF($B40=0,1000000,IF(INDEX('計算A'!$D$60:$DS$104,$B40,115)*HG40=1,IF(AND($E40=2,LX40=0),1000000,INDEX('計算A'!DN$110:DN$114,$F40+1)+IF(AND($E40=1,LX40=0),1000,0)),1000000))</f>
        <v/>
      </c>
      <c r="QP40">
        <f>IF($B40=0,1000000,IF(INDEX('計算A'!$D$60:$DS$104,$B40,116)*HH40=1,IF(AND($E40=2,LY40=0),1000000,INDEX('計算A'!DO$110:DO$114,$F40+1)+IF(AND($E40=1,LY40=0),1000,0)),1000000))</f>
        <v/>
      </c>
      <c r="QQ40">
        <f>IF($B40=0,1000000,IF(INDEX('計算A'!$D$60:$DS$104,$B40,117)*HI40=1,IF(AND($E40=2,LZ40=0),1000000,INDEX('計算A'!DP$110:DP$114,$F40+1)+IF(AND($E40=1,LZ40=0),1000,0)),1000000))</f>
        <v/>
      </c>
      <c r="QR40">
        <f>IF($B40=0,1000000,IF(INDEX('計算A'!$D$60:$DS$104,$B40,118)*HJ40=1,IF(AND($E40=2,MA40=0),1000000,INDEX('計算A'!DQ$110:DQ$114,$F40+1)+IF(AND($E40=1,MA40=0),1000,0)),1000000))</f>
        <v/>
      </c>
      <c r="QS40">
        <f>IF($B40=0,1000000,IF(INDEX('計算A'!$D$60:$DS$104,$B40,119)*HK40=1,IF(AND($E40=2,MB40=0),1000000,INDEX('計算A'!DR$110:DR$114,$F40+1)+IF(AND($E40=1,MB40=0),1000,0)),1000000))</f>
        <v/>
      </c>
      <c r="QT40">
        <f>IF($B40=0,1000000,IF(INDEX('計算A'!$D$60:$DS$104,$B40,120)*HL40=1,IF(AND($E40=2,MC40=0),1000000,INDEX('計算A'!DS$110:DS$114,$F40+1)+IF(AND($E40=1,MC40=0),1000,0)),1000000))</f>
        <v/>
      </c>
    </row>
    <row r="41">
      <c r="A41" t="n">
        <v>39</v>
      </c>
      <c r="B41">
        <f>IF(MIN(BC41:CU41)&gt;=1000000,0,MATCH(MIN(BC41:CU41),BC41:CU41,0))</f>
        <v/>
      </c>
      <c r="C41">
        <f>IF(MIN(ME41:QT41)&gt;=1000000,0,MATCH(MIN(ME41:QT41),ME41:QT41,0))</f>
        <v/>
      </c>
      <c r="D41">
        <f>IF(C41&gt;0,INDEX('計算A'!$D$5:$DS$5,C41),0)</f>
        <v/>
      </c>
      <c r="E41">
        <f>IF(B41=0,0,INDEX('計算A'!$EA$10:$EA$54,B41))</f>
        <v/>
      </c>
      <c r="F41">
        <f>IF(B41=0,0,INDEX('計算A'!$DZ$10:$DZ$54,B41))</f>
        <v/>
      </c>
      <c r="G41">
        <f>IF(AND(C41&gt;0,E41&gt;0),IF(AND(INDEX('計算A'!$D$106:$DS$106,C41)=1,INDEX($HN41:$MC41,C41)=1),C41+1,0),0)</f>
        <v/>
      </c>
      <c r="I41">
        <f>MAX(I40,IF($B40=1,1,0))</f>
        <v/>
      </c>
      <c r="J41">
        <f>MAX(J40,IF($B40=2,1,0))</f>
        <v/>
      </c>
      <c r="K41">
        <f>MAX(K40,IF($B40=3,1,0))</f>
        <v/>
      </c>
      <c r="L41">
        <f>MAX(L40,IF($B40=4,1,0))</f>
        <v/>
      </c>
      <c r="M41">
        <f>MAX(M40,IF($B40=5,1,0))</f>
        <v/>
      </c>
      <c r="N41">
        <f>MAX(N40,IF($B40=6,1,0))</f>
        <v/>
      </c>
      <c r="O41">
        <f>MAX(O40,IF($B40=7,1,0))</f>
        <v/>
      </c>
      <c r="P41">
        <f>MAX(P40,IF($B40=8,1,0))</f>
        <v/>
      </c>
      <c r="Q41">
        <f>MAX(Q40,IF($B40=9,1,0))</f>
        <v/>
      </c>
      <c r="R41">
        <f>MAX(R40,IF($B40=10,1,0))</f>
        <v/>
      </c>
      <c r="S41">
        <f>MAX(S40,IF($B40=11,1,0))</f>
        <v/>
      </c>
      <c r="T41">
        <f>MAX(T40,IF($B40=12,1,0))</f>
        <v/>
      </c>
      <c r="U41">
        <f>MAX(U40,IF($B40=13,1,0))</f>
        <v/>
      </c>
      <c r="V41">
        <f>MAX(V40,IF($B40=14,1,0))</f>
        <v/>
      </c>
      <c r="W41">
        <f>MAX(W40,IF($B40=15,1,0))</f>
        <v/>
      </c>
      <c r="X41">
        <f>MAX(X40,IF($B40=16,1,0))</f>
        <v/>
      </c>
      <c r="Y41">
        <f>MAX(Y40,IF($B40=17,1,0))</f>
        <v/>
      </c>
      <c r="Z41">
        <f>MAX(Z40,IF($B40=18,1,0))</f>
        <v/>
      </c>
      <c r="AA41">
        <f>MAX(AA40,IF($B40=19,1,0))</f>
        <v/>
      </c>
      <c r="AB41">
        <f>MAX(AB40,IF($B40=20,1,0))</f>
        <v/>
      </c>
      <c r="AC41">
        <f>MAX(AC40,IF($B40=21,1,0))</f>
        <v/>
      </c>
      <c r="AD41">
        <f>MAX(AD40,IF($B40=22,1,0))</f>
        <v/>
      </c>
      <c r="AE41">
        <f>MAX(AE40,IF($B40=23,1,0))</f>
        <v/>
      </c>
      <c r="AF41">
        <f>MAX(AF40,IF($B40=24,1,0))</f>
        <v/>
      </c>
      <c r="AG41">
        <f>MAX(AG40,IF($B40=25,1,0))</f>
        <v/>
      </c>
      <c r="AH41">
        <f>MAX(AH40,IF($B40=26,1,0))</f>
        <v/>
      </c>
      <c r="AI41">
        <f>MAX(AI40,IF($B40=27,1,0))</f>
        <v/>
      </c>
      <c r="AJ41">
        <f>MAX(AJ40,IF($B40=28,1,0))</f>
        <v/>
      </c>
      <c r="AK41">
        <f>MAX(AK40,IF($B40=29,1,0))</f>
        <v/>
      </c>
      <c r="AL41">
        <f>MAX(AL40,IF($B40=30,1,0))</f>
        <v/>
      </c>
      <c r="AM41">
        <f>MAX(AM40,IF($B40=31,1,0))</f>
        <v/>
      </c>
      <c r="AN41">
        <f>MAX(AN40,IF($B40=32,1,0))</f>
        <v/>
      </c>
      <c r="AO41">
        <f>MAX(AO40,IF($B40=33,1,0))</f>
        <v/>
      </c>
      <c r="AP41">
        <f>MAX(AP40,IF($B40=34,1,0))</f>
        <v/>
      </c>
      <c r="AQ41">
        <f>MAX(AQ40,IF($B40=35,1,0))</f>
        <v/>
      </c>
      <c r="AR41">
        <f>MAX(AR40,IF($B40=36,1,0))</f>
        <v/>
      </c>
      <c r="AS41">
        <f>MAX(AS40,IF($B40=37,1,0))</f>
        <v/>
      </c>
      <c r="AT41">
        <f>MAX(AT40,IF($B40=38,1,0))</f>
        <v/>
      </c>
      <c r="AU41">
        <f>MAX(AU40,IF($B40=39,1,0))</f>
        <v/>
      </c>
      <c r="AV41">
        <f>MAX(AV40,IF($B40=40,1,0))</f>
        <v/>
      </c>
      <c r="AW41">
        <f>MAX(AW40,IF($B40=41,1,0))</f>
        <v/>
      </c>
      <c r="AX41">
        <f>MAX(AX40,IF($B40=42,1,0))</f>
        <v/>
      </c>
      <c r="AY41">
        <f>MAX(AY40,IF($B40=43,1,0))</f>
        <v/>
      </c>
      <c r="AZ41">
        <f>MAX(AZ40,IF($B40=44,1,0))</f>
        <v/>
      </c>
      <c r="BA41">
        <f>MAX(BA40,IF($B40=45,1,0))</f>
        <v/>
      </c>
      <c r="BC41">
        <f>IF(I41=1,1000000,IF('計算A'!$EA$10=2,SUMPRODUCT('計算A'!$D$60:$DS$60,$CW41:$HL41,$HN41:$MC41),SUMPRODUCT('計算A'!$D$60:$DS$60,$CW41:$HL41))*1000+1)</f>
        <v/>
      </c>
      <c r="BD41">
        <f>IF(J41=1,1000000,IF('計算A'!$EA$11=2,SUMPRODUCT('計算A'!$D$61:$DS$61,$CW41:$HL41,$HN41:$MC41),SUMPRODUCT('計算A'!$D$61:$DS$61,$CW41:$HL41))*1000+2)</f>
        <v/>
      </c>
      <c r="BE41">
        <f>IF(K41=1,1000000,IF('計算A'!$EA$12=2,SUMPRODUCT('計算A'!$D$62:$DS$62,$CW41:$HL41,$HN41:$MC41),SUMPRODUCT('計算A'!$D$62:$DS$62,$CW41:$HL41))*1000+3)</f>
        <v/>
      </c>
      <c r="BF41">
        <f>IF(L41=1,1000000,IF('計算A'!$EA$13=2,SUMPRODUCT('計算A'!$D$63:$DS$63,$CW41:$HL41,$HN41:$MC41),SUMPRODUCT('計算A'!$D$63:$DS$63,$CW41:$HL41))*1000+4)</f>
        <v/>
      </c>
      <c r="BG41">
        <f>IF(M41=1,1000000,IF('計算A'!$EA$14=2,SUMPRODUCT('計算A'!$D$64:$DS$64,$CW41:$HL41,$HN41:$MC41),SUMPRODUCT('計算A'!$D$64:$DS$64,$CW41:$HL41))*1000+5)</f>
        <v/>
      </c>
      <c r="BH41">
        <f>IF(N41=1,1000000,IF('計算A'!$EA$15=2,SUMPRODUCT('計算A'!$D$65:$DS$65,$CW41:$HL41,$HN41:$MC41),SUMPRODUCT('計算A'!$D$65:$DS$65,$CW41:$HL41))*1000+6)</f>
        <v/>
      </c>
      <c r="BI41">
        <f>IF(O41=1,1000000,IF('計算A'!$EA$16=2,SUMPRODUCT('計算A'!$D$66:$DS$66,$CW41:$HL41,$HN41:$MC41),SUMPRODUCT('計算A'!$D$66:$DS$66,$CW41:$HL41))*1000+7)</f>
        <v/>
      </c>
      <c r="BJ41">
        <f>IF(P41=1,1000000,IF('計算A'!$EA$17=2,SUMPRODUCT('計算A'!$D$67:$DS$67,$CW41:$HL41,$HN41:$MC41),SUMPRODUCT('計算A'!$D$67:$DS$67,$CW41:$HL41))*1000+8)</f>
        <v/>
      </c>
      <c r="BK41">
        <f>IF(Q41=1,1000000,IF('計算A'!$EA$18=2,SUMPRODUCT('計算A'!$D$68:$DS$68,$CW41:$HL41,$HN41:$MC41),SUMPRODUCT('計算A'!$D$68:$DS$68,$CW41:$HL41))*1000+9)</f>
        <v/>
      </c>
      <c r="BL41">
        <f>IF(R41=1,1000000,IF('計算A'!$EA$19=2,SUMPRODUCT('計算A'!$D$69:$DS$69,$CW41:$HL41,$HN41:$MC41),SUMPRODUCT('計算A'!$D$69:$DS$69,$CW41:$HL41))*1000+10)</f>
        <v/>
      </c>
      <c r="BM41">
        <f>IF(S41=1,1000000,IF('計算A'!$EA$20=2,SUMPRODUCT('計算A'!$D$70:$DS$70,$CW41:$HL41,$HN41:$MC41),SUMPRODUCT('計算A'!$D$70:$DS$70,$CW41:$HL41))*1000+11)</f>
        <v/>
      </c>
      <c r="BN41">
        <f>IF(T41=1,1000000,IF('計算A'!$EA$21=2,SUMPRODUCT('計算A'!$D$71:$DS$71,$CW41:$HL41,$HN41:$MC41),SUMPRODUCT('計算A'!$D$71:$DS$71,$CW41:$HL41))*1000+12)</f>
        <v/>
      </c>
      <c r="BO41">
        <f>IF(U41=1,1000000,IF('計算A'!$EA$22=2,SUMPRODUCT('計算A'!$D$72:$DS$72,$CW41:$HL41,$HN41:$MC41),SUMPRODUCT('計算A'!$D$72:$DS$72,$CW41:$HL41))*1000+13)</f>
        <v/>
      </c>
      <c r="BP41">
        <f>IF(V41=1,1000000,IF('計算A'!$EA$23=2,SUMPRODUCT('計算A'!$D$73:$DS$73,$CW41:$HL41,$HN41:$MC41),SUMPRODUCT('計算A'!$D$73:$DS$73,$CW41:$HL41))*1000+14)</f>
        <v/>
      </c>
      <c r="BQ41">
        <f>IF(W41=1,1000000,IF('計算A'!$EA$24=2,SUMPRODUCT('計算A'!$D$74:$DS$74,$CW41:$HL41,$HN41:$MC41),SUMPRODUCT('計算A'!$D$74:$DS$74,$CW41:$HL41))*1000+15)</f>
        <v/>
      </c>
      <c r="BR41">
        <f>IF(X41=1,1000000,IF('計算A'!$EA$25=2,SUMPRODUCT('計算A'!$D$75:$DS$75,$CW41:$HL41,$HN41:$MC41),SUMPRODUCT('計算A'!$D$75:$DS$75,$CW41:$HL41))*1000+16)</f>
        <v/>
      </c>
      <c r="BS41">
        <f>IF(Y41=1,1000000,IF('計算A'!$EA$26=2,SUMPRODUCT('計算A'!$D$76:$DS$76,$CW41:$HL41,$HN41:$MC41),SUMPRODUCT('計算A'!$D$76:$DS$76,$CW41:$HL41))*1000+17)</f>
        <v/>
      </c>
      <c r="BT41">
        <f>IF(Z41=1,1000000,IF('計算A'!$EA$27=2,SUMPRODUCT('計算A'!$D$77:$DS$77,$CW41:$HL41,$HN41:$MC41),SUMPRODUCT('計算A'!$D$77:$DS$77,$CW41:$HL41))*1000+18)</f>
        <v/>
      </c>
      <c r="BU41">
        <f>IF(AA41=1,1000000,IF('計算A'!$EA$28=2,SUMPRODUCT('計算A'!$D$78:$DS$78,$CW41:$HL41,$HN41:$MC41),SUMPRODUCT('計算A'!$D$78:$DS$78,$CW41:$HL41))*1000+19)</f>
        <v/>
      </c>
      <c r="BV41">
        <f>IF(AB41=1,1000000,IF('計算A'!$EA$29=2,SUMPRODUCT('計算A'!$D$79:$DS$79,$CW41:$HL41,$HN41:$MC41),SUMPRODUCT('計算A'!$D$79:$DS$79,$CW41:$HL41))*1000+20)</f>
        <v/>
      </c>
      <c r="BW41">
        <f>IF(AC41=1,1000000,IF('計算A'!$EA$30=2,SUMPRODUCT('計算A'!$D$80:$DS$80,$CW41:$HL41,$HN41:$MC41),SUMPRODUCT('計算A'!$D$80:$DS$80,$CW41:$HL41))*1000+21)</f>
        <v/>
      </c>
      <c r="BX41">
        <f>IF(AD41=1,1000000,IF('計算A'!$EA$31=2,SUMPRODUCT('計算A'!$D$81:$DS$81,$CW41:$HL41,$HN41:$MC41),SUMPRODUCT('計算A'!$D$81:$DS$81,$CW41:$HL41))*1000+22)</f>
        <v/>
      </c>
      <c r="BY41">
        <f>IF(AE41=1,1000000,IF('計算A'!$EA$32=2,SUMPRODUCT('計算A'!$D$82:$DS$82,$CW41:$HL41,$HN41:$MC41),SUMPRODUCT('計算A'!$D$82:$DS$82,$CW41:$HL41))*1000+23)</f>
        <v/>
      </c>
      <c r="BZ41">
        <f>IF(AF41=1,1000000,IF('計算A'!$EA$33=2,SUMPRODUCT('計算A'!$D$83:$DS$83,$CW41:$HL41,$HN41:$MC41),SUMPRODUCT('計算A'!$D$83:$DS$83,$CW41:$HL41))*1000+24)</f>
        <v/>
      </c>
      <c r="CA41">
        <f>IF(AG41=1,1000000,IF('計算A'!$EA$34=2,SUMPRODUCT('計算A'!$D$84:$DS$84,$CW41:$HL41,$HN41:$MC41),SUMPRODUCT('計算A'!$D$84:$DS$84,$CW41:$HL41))*1000+25)</f>
        <v/>
      </c>
      <c r="CB41">
        <f>IF(AH41=1,1000000,IF('計算A'!$EA$35=2,SUMPRODUCT('計算A'!$D$85:$DS$85,$CW41:$HL41,$HN41:$MC41),SUMPRODUCT('計算A'!$D$85:$DS$85,$CW41:$HL41))*1000+26)</f>
        <v/>
      </c>
      <c r="CC41">
        <f>IF(AI41=1,1000000,IF('計算A'!$EA$36=2,SUMPRODUCT('計算A'!$D$86:$DS$86,$CW41:$HL41,$HN41:$MC41),SUMPRODUCT('計算A'!$D$86:$DS$86,$CW41:$HL41))*1000+27)</f>
        <v/>
      </c>
      <c r="CD41">
        <f>IF(AJ41=1,1000000,IF('計算A'!$EA$37=2,SUMPRODUCT('計算A'!$D$87:$DS$87,$CW41:$HL41,$HN41:$MC41),SUMPRODUCT('計算A'!$D$87:$DS$87,$CW41:$HL41))*1000+28)</f>
        <v/>
      </c>
      <c r="CE41">
        <f>IF(AK41=1,1000000,IF('計算A'!$EA$38=2,SUMPRODUCT('計算A'!$D$88:$DS$88,$CW41:$HL41,$HN41:$MC41),SUMPRODUCT('計算A'!$D$88:$DS$88,$CW41:$HL41))*1000+29)</f>
        <v/>
      </c>
      <c r="CF41">
        <f>IF(AL41=1,1000000,IF('計算A'!$EA$39=2,SUMPRODUCT('計算A'!$D$89:$DS$89,$CW41:$HL41,$HN41:$MC41),SUMPRODUCT('計算A'!$D$89:$DS$89,$CW41:$HL41))*1000+30)</f>
        <v/>
      </c>
      <c r="CG41">
        <f>IF(AM41=1,1000000,IF('計算A'!$EA$40=2,SUMPRODUCT('計算A'!$D$90:$DS$90,$CW41:$HL41,$HN41:$MC41),SUMPRODUCT('計算A'!$D$90:$DS$90,$CW41:$HL41))*1000+31)</f>
        <v/>
      </c>
      <c r="CH41">
        <f>IF(AN41=1,1000000,IF('計算A'!$EA$41=2,SUMPRODUCT('計算A'!$D$91:$DS$91,$CW41:$HL41,$HN41:$MC41),SUMPRODUCT('計算A'!$D$91:$DS$91,$CW41:$HL41))*1000+32)</f>
        <v/>
      </c>
      <c r="CI41">
        <f>IF(AO41=1,1000000,IF('計算A'!$EA$42=2,SUMPRODUCT('計算A'!$D$92:$DS$92,$CW41:$HL41,$HN41:$MC41),SUMPRODUCT('計算A'!$D$92:$DS$92,$CW41:$HL41))*1000+33)</f>
        <v/>
      </c>
      <c r="CJ41">
        <f>IF(AP41=1,1000000,IF('計算A'!$EA$43=2,SUMPRODUCT('計算A'!$D$93:$DS$93,$CW41:$HL41,$HN41:$MC41),SUMPRODUCT('計算A'!$D$93:$DS$93,$CW41:$HL41))*1000+34)</f>
        <v/>
      </c>
      <c r="CK41">
        <f>IF(AQ41=1,1000000,IF('計算A'!$EA$44=2,SUMPRODUCT('計算A'!$D$94:$DS$94,$CW41:$HL41,$HN41:$MC41),SUMPRODUCT('計算A'!$D$94:$DS$94,$CW41:$HL41))*1000+35)</f>
        <v/>
      </c>
      <c r="CL41">
        <f>IF(AR41=1,1000000,IF('計算A'!$EA$45=2,SUMPRODUCT('計算A'!$D$95:$DS$95,$CW41:$HL41,$HN41:$MC41),SUMPRODUCT('計算A'!$D$95:$DS$95,$CW41:$HL41))*1000+36)</f>
        <v/>
      </c>
      <c r="CM41">
        <f>IF(AS41=1,1000000,IF('計算A'!$EA$46=2,SUMPRODUCT('計算A'!$D$96:$DS$96,$CW41:$HL41,$HN41:$MC41),SUMPRODUCT('計算A'!$D$96:$DS$96,$CW41:$HL41))*1000+37)</f>
        <v/>
      </c>
      <c r="CN41">
        <f>IF(AT41=1,1000000,IF('計算A'!$EA$47=2,SUMPRODUCT('計算A'!$D$97:$DS$97,$CW41:$HL41,$HN41:$MC41),SUMPRODUCT('計算A'!$D$97:$DS$97,$CW41:$HL41))*1000+38)</f>
        <v/>
      </c>
      <c r="CO41">
        <f>IF(AU41=1,1000000,IF('計算A'!$EA$48=2,SUMPRODUCT('計算A'!$D$98:$DS$98,$CW41:$HL41,$HN41:$MC41),SUMPRODUCT('計算A'!$D$98:$DS$98,$CW41:$HL41))*1000+39)</f>
        <v/>
      </c>
      <c r="CP41">
        <f>IF(AV41=1,1000000,IF('計算A'!$EA$49=2,SUMPRODUCT('計算A'!$D$99:$DS$99,$CW41:$HL41,$HN41:$MC41),SUMPRODUCT('計算A'!$D$99:$DS$99,$CW41:$HL41))*1000+40)</f>
        <v/>
      </c>
      <c r="CQ41">
        <f>IF(AW41=1,1000000,IF('計算A'!$EA$50=2,SUMPRODUCT('計算A'!$D$100:$DS$100,$CW41:$HL41,$HN41:$MC41),SUMPRODUCT('計算A'!$D$100:$DS$100,$CW41:$HL41))*1000+41)</f>
        <v/>
      </c>
      <c r="CR41">
        <f>IF(AX41=1,1000000,IF('計算A'!$EA$51=2,SUMPRODUCT('計算A'!$D$101:$DS$101,$CW41:$HL41,$HN41:$MC41),SUMPRODUCT('計算A'!$D$101:$DS$101,$CW41:$HL41))*1000+42)</f>
        <v/>
      </c>
      <c r="CS41">
        <f>IF(AY41=1,1000000,IF('計算A'!$EA$52=2,SUMPRODUCT('計算A'!$D$102:$DS$102,$CW41:$HL41,$HN41:$MC41),SUMPRODUCT('計算A'!$D$102:$DS$102,$CW41:$HL41))*1000+43)</f>
        <v/>
      </c>
      <c r="CT41">
        <f>IF(AZ41=1,1000000,IF('計算A'!$EA$53=2,SUMPRODUCT('計算A'!$D$103:$DS$103,$CW41:$HL41,$HN41:$MC41),SUMPRODUCT('計算A'!$D$103:$DS$103,$CW41:$HL41))*1000+44)</f>
        <v/>
      </c>
      <c r="CU41">
        <f>IF(BA41=1,1000000,IF('計算A'!$EA$54=2,SUMPRODUCT('計算A'!$D$104:$DS$104,$CW41:$HL41,$HN41:$MC41),SUMPRODUCT('計算A'!$D$104:$DS$104,$CW41:$HL41))*1000+45)</f>
        <v/>
      </c>
      <c r="CW41">
        <f>CW40*IF(OR($C40=1,$G40=1),0,1)</f>
        <v/>
      </c>
      <c r="CX41">
        <f>CX40*IF(OR($C40=2,$G40=2),0,1)</f>
        <v/>
      </c>
      <c r="CY41">
        <f>CY40*IF(OR($C40=3,$G40=3),0,1)</f>
        <v/>
      </c>
      <c r="CZ41">
        <f>CZ40*IF(OR($C40=4,$G40=4),0,1)</f>
        <v/>
      </c>
      <c r="DA41">
        <f>DA40*IF(OR($C40=5,$G40=5),0,1)</f>
        <v/>
      </c>
      <c r="DB41">
        <f>DB40*IF(OR($C40=6,$G40=6),0,1)</f>
        <v/>
      </c>
      <c r="DC41">
        <f>DC40*IF(OR($C40=7,$G40=7),0,1)</f>
        <v/>
      </c>
      <c r="DD41">
        <f>DD40*IF(OR($C40=8,$G40=8),0,1)</f>
        <v/>
      </c>
      <c r="DE41">
        <f>DE40*IF(OR($C40=9,$G40=9),0,1)</f>
        <v/>
      </c>
      <c r="DF41">
        <f>DF40*IF(OR($C40=10,$G40=10),0,1)</f>
        <v/>
      </c>
      <c r="DG41">
        <f>DG40*IF(OR($C40=11,$G40=11),0,1)</f>
        <v/>
      </c>
      <c r="DH41">
        <f>DH40*IF(OR($C40=12,$G40=12),0,1)</f>
        <v/>
      </c>
      <c r="DI41">
        <f>DI40*IF(OR($C40=13,$G40=13),0,1)</f>
        <v/>
      </c>
      <c r="DJ41">
        <f>DJ40*IF(OR($C40=14,$G40=14),0,1)</f>
        <v/>
      </c>
      <c r="DK41">
        <f>DK40*IF(OR($C40=15,$G40=15),0,1)</f>
        <v/>
      </c>
      <c r="DL41">
        <f>DL40*IF(OR($C40=16,$G40=16),0,1)</f>
        <v/>
      </c>
      <c r="DM41">
        <f>DM40*IF(OR($C40=17,$G40=17),0,1)</f>
        <v/>
      </c>
      <c r="DN41">
        <f>DN40*IF(OR($C40=18,$G40=18),0,1)</f>
        <v/>
      </c>
      <c r="DO41">
        <f>DO40*IF(OR($C40=19,$G40=19),0,1)</f>
        <v/>
      </c>
      <c r="DP41">
        <f>DP40*IF(OR($C40=20,$G40=20),0,1)</f>
        <v/>
      </c>
      <c r="DQ41">
        <f>DQ40*IF(OR($C40=21,$G40=21),0,1)</f>
        <v/>
      </c>
      <c r="DR41">
        <f>DR40*IF(OR($C40=22,$G40=22),0,1)</f>
        <v/>
      </c>
      <c r="DS41">
        <f>DS40*IF(OR($C40=23,$G40=23),0,1)</f>
        <v/>
      </c>
      <c r="DT41">
        <f>DT40*IF(OR($C40=24,$G40=24),0,1)</f>
        <v/>
      </c>
      <c r="DU41">
        <f>DU40*IF(OR($C40=25,$G40=25),0,1)</f>
        <v/>
      </c>
      <c r="DV41">
        <f>DV40*IF(OR($C40=26,$G40=26),0,1)</f>
        <v/>
      </c>
      <c r="DW41">
        <f>DW40*IF(OR($C40=27,$G40=27),0,1)</f>
        <v/>
      </c>
      <c r="DX41">
        <f>DX40*IF(OR($C40=28,$G40=28),0,1)</f>
        <v/>
      </c>
      <c r="DY41">
        <f>DY40*IF(OR($C40=29,$G40=29),0,1)</f>
        <v/>
      </c>
      <c r="DZ41">
        <f>DZ40*IF(OR($C40=30,$G40=30),0,1)</f>
        <v/>
      </c>
      <c r="EA41">
        <f>EA40*IF(OR($C40=31,$G40=31),0,1)</f>
        <v/>
      </c>
      <c r="EB41">
        <f>EB40*IF(OR($C40=32,$G40=32),0,1)</f>
        <v/>
      </c>
      <c r="EC41">
        <f>EC40*IF(OR($C40=33,$G40=33),0,1)</f>
        <v/>
      </c>
      <c r="ED41">
        <f>ED40*IF(OR($C40=34,$G40=34),0,1)</f>
        <v/>
      </c>
      <c r="EE41">
        <f>EE40*IF(OR($C40=35,$G40=35),0,1)</f>
        <v/>
      </c>
      <c r="EF41">
        <f>EF40*IF(OR($C40=36,$G40=36),0,1)</f>
        <v/>
      </c>
      <c r="EG41">
        <f>EG40*IF(OR($C40=37,$G40=37),0,1)</f>
        <v/>
      </c>
      <c r="EH41">
        <f>EH40*IF(OR($C40=38,$G40=38),0,1)</f>
        <v/>
      </c>
      <c r="EI41">
        <f>EI40*IF(OR($C40=39,$G40=39),0,1)</f>
        <v/>
      </c>
      <c r="EJ41">
        <f>EJ40*IF(OR($C40=40,$G40=40),0,1)</f>
        <v/>
      </c>
      <c r="EK41">
        <f>EK40*IF(OR($C40=41,$G40=41),0,1)</f>
        <v/>
      </c>
      <c r="EL41">
        <f>EL40*IF(OR($C40=42,$G40=42),0,1)</f>
        <v/>
      </c>
      <c r="EM41">
        <f>EM40*IF(OR($C40=43,$G40=43),0,1)</f>
        <v/>
      </c>
      <c r="EN41">
        <f>EN40*IF(OR($C40=44,$G40=44),0,1)</f>
        <v/>
      </c>
      <c r="EO41">
        <f>EO40*IF(OR($C40=45,$G40=45),0,1)</f>
        <v/>
      </c>
      <c r="EP41">
        <f>EP40*IF(OR($C40=46,$G40=46),0,1)</f>
        <v/>
      </c>
      <c r="EQ41">
        <f>EQ40*IF(OR($C40=47,$G40=47),0,1)</f>
        <v/>
      </c>
      <c r="ER41">
        <f>ER40*IF(OR($C40=48,$G40=48),0,1)</f>
        <v/>
      </c>
      <c r="ES41">
        <f>ES40*IF(OR($C40=49,$G40=49),0,1)</f>
        <v/>
      </c>
      <c r="ET41">
        <f>ET40*IF(OR($C40=50,$G40=50),0,1)</f>
        <v/>
      </c>
      <c r="EU41">
        <f>EU40*IF(OR($C40=51,$G40=51),0,1)</f>
        <v/>
      </c>
      <c r="EV41">
        <f>EV40*IF(OR($C40=52,$G40=52),0,1)</f>
        <v/>
      </c>
      <c r="EW41">
        <f>EW40*IF(OR($C40=53,$G40=53),0,1)</f>
        <v/>
      </c>
      <c r="EX41">
        <f>EX40*IF(OR($C40=54,$G40=54),0,1)</f>
        <v/>
      </c>
      <c r="EY41">
        <f>EY40*IF(OR($C40=55,$G40=55),0,1)</f>
        <v/>
      </c>
      <c r="EZ41">
        <f>EZ40*IF(OR($C40=56,$G40=56),0,1)</f>
        <v/>
      </c>
      <c r="FA41">
        <f>FA40*IF(OR($C40=57,$G40=57),0,1)</f>
        <v/>
      </c>
      <c r="FB41">
        <f>FB40*IF(OR($C40=58,$G40=58),0,1)</f>
        <v/>
      </c>
      <c r="FC41">
        <f>FC40*IF(OR($C40=59,$G40=59),0,1)</f>
        <v/>
      </c>
      <c r="FD41">
        <f>FD40*IF(OR($C40=60,$G40=60),0,1)</f>
        <v/>
      </c>
      <c r="FE41">
        <f>FE40*IF(OR($C40=61,$G40=61),0,1)</f>
        <v/>
      </c>
      <c r="FF41">
        <f>FF40*IF(OR($C40=62,$G40=62),0,1)</f>
        <v/>
      </c>
      <c r="FG41">
        <f>FG40*IF(OR($C40=63,$G40=63),0,1)</f>
        <v/>
      </c>
      <c r="FH41">
        <f>FH40*IF(OR($C40=64,$G40=64),0,1)</f>
        <v/>
      </c>
      <c r="FI41">
        <f>FI40*IF(OR($C40=65,$G40=65),0,1)</f>
        <v/>
      </c>
      <c r="FJ41">
        <f>FJ40*IF(OR($C40=66,$G40=66),0,1)</f>
        <v/>
      </c>
      <c r="FK41">
        <f>FK40*IF(OR($C40=67,$G40=67),0,1)</f>
        <v/>
      </c>
      <c r="FL41">
        <f>FL40*IF(OR($C40=68,$G40=68),0,1)</f>
        <v/>
      </c>
      <c r="FM41">
        <f>FM40*IF(OR($C40=69,$G40=69),0,1)</f>
        <v/>
      </c>
      <c r="FN41">
        <f>FN40*IF(OR($C40=70,$G40=70),0,1)</f>
        <v/>
      </c>
      <c r="FO41">
        <f>FO40*IF(OR($C40=71,$G40=71),0,1)</f>
        <v/>
      </c>
      <c r="FP41">
        <f>FP40*IF(OR($C40=72,$G40=72),0,1)</f>
        <v/>
      </c>
      <c r="FQ41">
        <f>FQ40*IF(OR($C40=73,$G40=73),0,1)</f>
        <v/>
      </c>
      <c r="FR41">
        <f>FR40*IF(OR($C40=74,$G40=74),0,1)</f>
        <v/>
      </c>
      <c r="FS41">
        <f>FS40*IF(OR($C40=75,$G40=75),0,1)</f>
        <v/>
      </c>
      <c r="FT41">
        <f>FT40*IF(OR($C40=76,$G40=76),0,1)</f>
        <v/>
      </c>
      <c r="FU41">
        <f>FU40*IF(OR($C40=77,$G40=77),0,1)</f>
        <v/>
      </c>
      <c r="FV41">
        <f>FV40*IF(OR($C40=78,$G40=78),0,1)</f>
        <v/>
      </c>
      <c r="FW41">
        <f>FW40*IF(OR($C40=79,$G40=79),0,1)</f>
        <v/>
      </c>
      <c r="FX41">
        <f>FX40*IF(OR($C40=80,$G40=80),0,1)</f>
        <v/>
      </c>
      <c r="FY41">
        <f>FY40*IF(OR($C40=81,$G40=81),0,1)</f>
        <v/>
      </c>
      <c r="FZ41">
        <f>FZ40*IF(OR($C40=82,$G40=82),0,1)</f>
        <v/>
      </c>
      <c r="GA41">
        <f>GA40*IF(OR($C40=83,$G40=83),0,1)</f>
        <v/>
      </c>
      <c r="GB41">
        <f>GB40*IF(OR($C40=84,$G40=84),0,1)</f>
        <v/>
      </c>
      <c r="GC41">
        <f>GC40*IF(OR($C40=85,$G40=85),0,1)</f>
        <v/>
      </c>
      <c r="GD41">
        <f>GD40*IF(OR($C40=86,$G40=86),0,1)</f>
        <v/>
      </c>
      <c r="GE41">
        <f>GE40*IF(OR($C40=87,$G40=87),0,1)</f>
        <v/>
      </c>
      <c r="GF41">
        <f>GF40*IF(OR($C40=88,$G40=88),0,1)</f>
        <v/>
      </c>
      <c r="GG41">
        <f>GG40*IF(OR($C40=89,$G40=89),0,1)</f>
        <v/>
      </c>
      <c r="GH41">
        <f>GH40*IF(OR($C40=90,$G40=90),0,1)</f>
        <v/>
      </c>
      <c r="GI41">
        <f>GI40*IF(OR($C40=91,$G40=91),0,1)</f>
        <v/>
      </c>
      <c r="GJ41">
        <f>GJ40*IF(OR($C40=92,$G40=92),0,1)</f>
        <v/>
      </c>
      <c r="GK41">
        <f>GK40*IF(OR($C40=93,$G40=93),0,1)</f>
        <v/>
      </c>
      <c r="GL41">
        <f>GL40*IF(OR($C40=94,$G40=94),0,1)</f>
        <v/>
      </c>
      <c r="GM41">
        <f>GM40*IF(OR($C40=95,$G40=95),0,1)</f>
        <v/>
      </c>
      <c r="GN41">
        <f>GN40*IF(OR($C40=96,$G40=96),0,1)</f>
        <v/>
      </c>
      <c r="GO41">
        <f>GO40*IF(OR($C40=97,$G40=97),0,1)</f>
        <v/>
      </c>
      <c r="GP41">
        <f>GP40*IF(OR($C40=98,$G40=98),0,1)</f>
        <v/>
      </c>
      <c r="GQ41">
        <f>GQ40*IF(OR($C40=99,$G40=99),0,1)</f>
        <v/>
      </c>
      <c r="GR41">
        <f>GR40*IF(OR($C40=100,$G40=100),0,1)</f>
        <v/>
      </c>
      <c r="GS41">
        <f>GS40*IF(OR($C40=101,$G40=101),0,1)</f>
        <v/>
      </c>
      <c r="GT41">
        <f>GT40*IF(OR($C40=102,$G40=102),0,1)</f>
        <v/>
      </c>
      <c r="GU41">
        <f>GU40*IF(OR($C40=103,$G40=103),0,1)</f>
        <v/>
      </c>
      <c r="GV41">
        <f>GV40*IF(OR($C40=104,$G40=104),0,1)</f>
        <v/>
      </c>
      <c r="GW41">
        <f>GW40*IF(OR($C40=105,$G40=105),0,1)</f>
        <v/>
      </c>
      <c r="GX41">
        <f>GX40*IF(OR($C40=106,$G40=106),0,1)</f>
        <v/>
      </c>
      <c r="GY41">
        <f>GY40*IF(OR($C40=107,$G40=107),0,1)</f>
        <v/>
      </c>
      <c r="GZ41">
        <f>GZ40*IF(OR($C40=108,$G40=108),0,1)</f>
        <v/>
      </c>
      <c r="HA41">
        <f>HA40*IF(OR($C40=109,$G40=109),0,1)</f>
        <v/>
      </c>
      <c r="HB41">
        <f>HB40*IF(OR($C40=110,$G40=110),0,1)</f>
        <v/>
      </c>
      <c r="HC41">
        <f>HC40*IF(OR($C40=111,$G40=111),0,1)</f>
        <v/>
      </c>
      <c r="HD41">
        <f>HD40*IF(OR($C40=112,$G40=112),0,1)</f>
        <v/>
      </c>
      <c r="HE41">
        <f>HE40*IF(OR($C40=113,$G40=113),0,1)</f>
        <v/>
      </c>
      <c r="HF41">
        <f>HF40*IF(OR($C40=114,$G40=114),0,1)</f>
        <v/>
      </c>
      <c r="HG41">
        <f>HG40*IF(OR($C40=115,$G40=115),0,1)</f>
        <v/>
      </c>
      <c r="HH41">
        <f>HH40*IF(OR($C40=116,$G40=116),0,1)</f>
        <v/>
      </c>
      <c r="HI41">
        <f>HI40*IF(OR($C40=117,$G40=117),0,1)</f>
        <v/>
      </c>
      <c r="HJ41">
        <f>HJ40*IF(OR($C40=118,$G40=118),0,1)</f>
        <v/>
      </c>
      <c r="HK41">
        <f>HK40*IF(OR($C40=119,$G40=119),0,1)</f>
        <v/>
      </c>
      <c r="HL41">
        <f>HL40*IF(OR($C40=120,$G40=120),0,1)</f>
        <v/>
      </c>
      <c r="HN41">
        <f>IF('計算A'!D$106=1,CX41,1)</f>
        <v/>
      </c>
      <c r="HO41">
        <f>IF('計算A'!E$106=1,CY41,1)</f>
        <v/>
      </c>
      <c r="HP41">
        <f>IF('計算A'!F$106=1,CZ41,1)</f>
        <v/>
      </c>
      <c r="HQ41">
        <f>IF('計算A'!G$106=1,DA41,1)</f>
        <v/>
      </c>
      <c r="HR41">
        <f>IF('計算A'!H$106=1,DB41,1)</f>
        <v/>
      </c>
      <c r="HS41">
        <f>IF('計算A'!I$106=1,DC41,1)</f>
        <v/>
      </c>
      <c r="HT41">
        <f>IF('計算A'!J$106=1,DD41,1)</f>
        <v/>
      </c>
      <c r="HU41">
        <f>IF('計算A'!K$106=1,DE41,1)</f>
        <v/>
      </c>
      <c r="HV41">
        <f>IF('計算A'!L$106=1,DF41,1)</f>
        <v/>
      </c>
      <c r="HW41">
        <f>IF('計算A'!M$106=1,DG41,1)</f>
        <v/>
      </c>
      <c r="HX41">
        <f>IF('計算A'!N$106=1,DH41,1)</f>
        <v/>
      </c>
      <c r="HY41">
        <f>IF('計算A'!O$106=1,DI41,1)</f>
        <v/>
      </c>
      <c r="HZ41">
        <f>IF('計算A'!P$106=1,DJ41,1)</f>
        <v/>
      </c>
      <c r="IA41">
        <f>IF('計算A'!Q$106=1,DK41,1)</f>
        <v/>
      </c>
      <c r="IB41">
        <f>IF('計算A'!R$106=1,DL41,1)</f>
        <v/>
      </c>
      <c r="IC41">
        <f>IF('計算A'!S$106=1,DM41,1)</f>
        <v/>
      </c>
      <c r="ID41">
        <f>IF('計算A'!T$106=1,DN41,1)</f>
        <v/>
      </c>
      <c r="IE41">
        <f>IF('計算A'!U$106=1,DO41,1)</f>
        <v/>
      </c>
      <c r="IF41">
        <f>IF('計算A'!V$106=1,DP41,1)</f>
        <v/>
      </c>
      <c r="IG41">
        <f>IF('計算A'!W$106=1,DQ41,1)</f>
        <v/>
      </c>
      <c r="IH41">
        <f>IF('計算A'!X$106=1,DR41,1)</f>
        <v/>
      </c>
      <c r="II41">
        <f>IF('計算A'!Y$106=1,DS41,1)</f>
        <v/>
      </c>
      <c r="IJ41">
        <f>IF('計算A'!Z$106=1,DT41,1)</f>
        <v/>
      </c>
      <c r="IK41">
        <f>IF('計算A'!AA$106=1,DU41,1)</f>
        <v/>
      </c>
      <c r="IL41">
        <f>IF('計算A'!AB$106=1,DV41,1)</f>
        <v/>
      </c>
      <c r="IM41">
        <f>IF('計算A'!AC$106=1,DW41,1)</f>
        <v/>
      </c>
      <c r="IN41">
        <f>IF('計算A'!AD$106=1,DX41,1)</f>
        <v/>
      </c>
      <c r="IO41">
        <f>IF('計算A'!AE$106=1,DY41,1)</f>
        <v/>
      </c>
      <c r="IP41">
        <f>IF('計算A'!AF$106=1,DZ41,1)</f>
        <v/>
      </c>
      <c r="IQ41">
        <f>IF('計算A'!AG$106=1,EA41,1)</f>
        <v/>
      </c>
      <c r="IR41">
        <f>IF('計算A'!AH$106=1,EB41,1)</f>
        <v/>
      </c>
      <c r="IS41">
        <f>IF('計算A'!AI$106=1,EC41,1)</f>
        <v/>
      </c>
      <c r="IT41">
        <f>IF('計算A'!AJ$106=1,ED41,1)</f>
        <v/>
      </c>
      <c r="IU41">
        <f>IF('計算A'!AK$106=1,EE41,1)</f>
        <v/>
      </c>
      <c r="IV41">
        <f>IF('計算A'!AL$106=1,EF41,1)</f>
        <v/>
      </c>
      <c r="IW41">
        <f>IF('計算A'!AM$106=1,EG41,1)</f>
        <v/>
      </c>
      <c r="IX41">
        <f>IF('計算A'!AN$106=1,EH41,1)</f>
        <v/>
      </c>
      <c r="IY41">
        <f>IF('計算A'!AO$106=1,EI41,1)</f>
        <v/>
      </c>
      <c r="IZ41">
        <f>IF('計算A'!AP$106=1,EJ41,1)</f>
        <v/>
      </c>
      <c r="JA41">
        <f>IF('計算A'!AQ$106=1,EK41,1)</f>
        <v/>
      </c>
      <c r="JB41">
        <f>IF('計算A'!AR$106=1,EL41,1)</f>
        <v/>
      </c>
      <c r="JC41">
        <f>IF('計算A'!AS$106=1,EM41,1)</f>
        <v/>
      </c>
      <c r="JD41">
        <f>IF('計算A'!AT$106=1,EN41,1)</f>
        <v/>
      </c>
      <c r="JE41">
        <f>IF('計算A'!AU$106=1,EO41,1)</f>
        <v/>
      </c>
      <c r="JF41">
        <f>IF('計算A'!AV$106=1,EP41,1)</f>
        <v/>
      </c>
      <c r="JG41">
        <f>IF('計算A'!AW$106=1,EQ41,1)</f>
        <v/>
      </c>
      <c r="JH41">
        <f>IF('計算A'!AX$106=1,ER41,1)</f>
        <v/>
      </c>
      <c r="JI41">
        <f>IF('計算A'!AY$106=1,ES41,1)</f>
        <v/>
      </c>
      <c r="JJ41">
        <f>IF('計算A'!AZ$106=1,ET41,1)</f>
        <v/>
      </c>
      <c r="JK41">
        <f>IF('計算A'!BA$106=1,EU41,1)</f>
        <v/>
      </c>
      <c r="JL41">
        <f>IF('計算A'!BB$106=1,EV41,1)</f>
        <v/>
      </c>
      <c r="JM41">
        <f>IF('計算A'!BC$106=1,EW41,1)</f>
        <v/>
      </c>
      <c r="JN41">
        <f>IF('計算A'!BD$106=1,EX41,1)</f>
        <v/>
      </c>
      <c r="JO41">
        <f>IF('計算A'!BE$106=1,EY41,1)</f>
        <v/>
      </c>
      <c r="JP41">
        <f>IF('計算A'!BF$106=1,EZ41,1)</f>
        <v/>
      </c>
      <c r="JQ41">
        <f>IF('計算A'!BG$106=1,FA41,1)</f>
        <v/>
      </c>
      <c r="JR41">
        <f>IF('計算A'!BH$106=1,FB41,1)</f>
        <v/>
      </c>
      <c r="JS41">
        <f>IF('計算A'!BI$106=1,FC41,1)</f>
        <v/>
      </c>
      <c r="JT41">
        <f>IF('計算A'!BJ$106=1,FD41,1)</f>
        <v/>
      </c>
      <c r="JU41">
        <f>IF('計算A'!BK$106=1,FE41,1)</f>
        <v/>
      </c>
      <c r="JV41">
        <f>IF('計算A'!BL$106=1,FF41,1)</f>
        <v/>
      </c>
      <c r="JW41">
        <f>IF('計算A'!BM$106=1,FG41,1)</f>
        <v/>
      </c>
      <c r="JX41">
        <f>IF('計算A'!BN$106=1,FH41,1)</f>
        <v/>
      </c>
      <c r="JY41">
        <f>IF('計算A'!BO$106=1,FI41,1)</f>
        <v/>
      </c>
      <c r="JZ41">
        <f>IF('計算A'!BP$106=1,FJ41,1)</f>
        <v/>
      </c>
      <c r="KA41">
        <f>IF('計算A'!BQ$106=1,FK41,1)</f>
        <v/>
      </c>
      <c r="KB41">
        <f>IF('計算A'!BR$106=1,FL41,1)</f>
        <v/>
      </c>
      <c r="KC41">
        <f>IF('計算A'!BS$106=1,FM41,1)</f>
        <v/>
      </c>
      <c r="KD41">
        <f>IF('計算A'!BT$106=1,FN41,1)</f>
        <v/>
      </c>
      <c r="KE41">
        <f>IF('計算A'!BU$106=1,FO41,1)</f>
        <v/>
      </c>
      <c r="KF41">
        <f>IF('計算A'!BV$106=1,FP41,1)</f>
        <v/>
      </c>
      <c r="KG41">
        <f>IF('計算A'!BW$106=1,FQ41,1)</f>
        <v/>
      </c>
      <c r="KH41">
        <f>IF('計算A'!BX$106=1,FR41,1)</f>
        <v/>
      </c>
      <c r="KI41">
        <f>IF('計算A'!BY$106=1,FS41,1)</f>
        <v/>
      </c>
      <c r="KJ41">
        <f>IF('計算A'!BZ$106=1,FT41,1)</f>
        <v/>
      </c>
      <c r="KK41">
        <f>IF('計算A'!CA$106=1,FU41,1)</f>
        <v/>
      </c>
      <c r="KL41">
        <f>IF('計算A'!CB$106=1,FV41,1)</f>
        <v/>
      </c>
      <c r="KM41">
        <f>IF('計算A'!CC$106=1,FW41,1)</f>
        <v/>
      </c>
      <c r="KN41">
        <f>IF('計算A'!CD$106=1,FX41,1)</f>
        <v/>
      </c>
      <c r="KO41">
        <f>IF('計算A'!CE$106=1,FY41,1)</f>
        <v/>
      </c>
      <c r="KP41">
        <f>IF('計算A'!CF$106=1,FZ41,1)</f>
        <v/>
      </c>
      <c r="KQ41">
        <f>IF('計算A'!CG$106=1,GA41,1)</f>
        <v/>
      </c>
      <c r="KR41">
        <f>IF('計算A'!CH$106=1,GB41,1)</f>
        <v/>
      </c>
      <c r="KS41">
        <f>IF('計算A'!CI$106=1,GC41,1)</f>
        <v/>
      </c>
      <c r="KT41">
        <f>IF('計算A'!CJ$106=1,GD41,1)</f>
        <v/>
      </c>
      <c r="KU41">
        <f>IF('計算A'!CK$106=1,GE41,1)</f>
        <v/>
      </c>
      <c r="KV41">
        <f>IF('計算A'!CL$106=1,GF41,1)</f>
        <v/>
      </c>
      <c r="KW41">
        <f>IF('計算A'!CM$106=1,GG41,1)</f>
        <v/>
      </c>
      <c r="KX41">
        <f>IF('計算A'!CN$106=1,GH41,1)</f>
        <v/>
      </c>
      <c r="KY41">
        <f>IF('計算A'!CO$106=1,GI41,1)</f>
        <v/>
      </c>
      <c r="KZ41">
        <f>IF('計算A'!CP$106=1,GJ41,1)</f>
        <v/>
      </c>
      <c r="LA41">
        <f>IF('計算A'!CQ$106=1,GK41,1)</f>
        <v/>
      </c>
      <c r="LB41">
        <f>IF('計算A'!CR$106=1,GL41,1)</f>
        <v/>
      </c>
      <c r="LC41">
        <f>IF('計算A'!CS$106=1,GM41,1)</f>
        <v/>
      </c>
      <c r="LD41">
        <f>IF('計算A'!CT$106=1,GN41,1)</f>
        <v/>
      </c>
      <c r="LE41">
        <f>IF('計算A'!CU$106=1,GO41,1)</f>
        <v/>
      </c>
      <c r="LF41">
        <f>IF('計算A'!CV$106=1,GP41,1)</f>
        <v/>
      </c>
      <c r="LG41">
        <f>IF('計算A'!CW$106=1,GQ41,1)</f>
        <v/>
      </c>
      <c r="LH41">
        <f>IF('計算A'!CX$106=1,GR41,1)</f>
        <v/>
      </c>
      <c r="LI41">
        <f>IF('計算A'!CY$106=1,GS41,1)</f>
        <v/>
      </c>
      <c r="LJ41">
        <f>IF('計算A'!CZ$106=1,GT41,1)</f>
        <v/>
      </c>
      <c r="LK41">
        <f>IF('計算A'!DA$106=1,GU41,1)</f>
        <v/>
      </c>
      <c r="LL41">
        <f>IF('計算A'!DB$106=1,GV41,1)</f>
        <v/>
      </c>
      <c r="LM41">
        <f>IF('計算A'!DC$106=1,GW41,1)</f>
        <v/>
      </c>
      <c r="LN41">
        <f>IF('計算A'!DD$106=1,GX41,1)</f>
        <v/>
      </c>
      <c r="LO41">
        <f>IF('計算A'!DE$106=1,GY41,1)</f>
        <v/>
      </c>
      <c r="LP41">
        <f>IF('計算A'!DF$106=1,GZ41,1)</f>
        <v/>
      </c>
      <c r="LQ41">
        <f>IF('計算A'!DG$106=1,HA41,1)</f>
        <v/>
      </c>
      <c r="LR41">
        <f>IF('計算A'!DH$106=1,HB41,1)</f>
        <v/>
      </c>
      <c r="LS41">
        <f>IF('計算A'!DI$106=1,HC41,1)</f>
        <v/>
      </c>
      <c r="LT41">
        <f>IF('計算A'!DJ$106=1,HD41,1)</f>
        <v/>
      </c>
      <c r="LU41">
        <f>IF('計算A'!DK$106=1,HE41,1)</f>
        <v/>
      </c>
      <c r="LV41">
        <f>IF('計算A'!DL$106=1,HF41,1)</f>
        <v/>
      </c>
      <c r="LW41">
        <f>IF('計算A'!DM$106=1,HG41,1)</f>
        <v/>
      </c>
      <c r="LX41">
        <f>IF('計算A'!DN$106=1,HH41,1)</f>
        <v/>
      </c>
      <c r="LY41">
        <f>IF('計算A'!DO$106=1,HI41,1)</f>
        <v/>
      </c>
      <c r="LZ41">
        <f>IF('計算A'!DP$106=1,HJ41,1)</f>
        <v/>
      </c>
      <c r="MA41">
        <f>IF('計算A'!DQ$106=1,HK41,1)</f>
        <v/>
      </c>
      <c r="MB41">
        <f>IF('計算A'!DR$106=1,HL41,1)</f>
        <v/>
      </c>
      <c r="MC41" t="n">
        <v>1</v>
      </c>
      <c r="ME41">
        <f>IF($B41=0,1000000,IF(INDEX('計算A'!$D$60:$DS$104,$B41,1)*CW41=1,IF(AND($E41=2,HN41=0),1000000,INDEX('計算A'!D$110:D$114,$F41+1)+IF(AND($E41=1,HN41=0),1000,0)),1000000))</f>
        <v/>
      </c>
      <c r="MF41">
        <f>IF($B41=0,1000000,IF(INDEX('計算A'!$D$60:$DS$104,$B41,2)*CX41=1,IF(AND($E41=2,HO41=0),1000000,INDEX('計算A'!E$110:E$114,$F41+1)+IF(AND($E41=1,HO41=0),1000,0)),1000000))</f>
        <v/>
      </c>
      <c r="MG41">
        <f>IF($B41=0,1000000,IF(INDEX('計算A'!$D$60:$DS$104,$B41,3)*CY41=1,IF(AND($E41=2,HP41=0),1000000,INDEX('計算A'!F$110:F$114,$F41+1)+IF(AND($E41=1,HP41=0),1000,0)),1000000))</f>
        <v/>
      </c>
      <c r="MH41">
        <f>IF($B41=0,1000000,IF(INDEX('計算A'!$D$60:$DS$104,$B41,4)*CZ41=1,IF(AND($E41=2,HQ41=0),1000000,INDEX('計算A'!G$110:G$114,$F41+1)+IF(AND($E41=1,HQ41=0),1000,0)),1000000))</f>
        <v/>
      </c>
      <c r="MI41">
        <f>IF($B41=0,1000000,IF(INDEX('計算A'!$D$60:$DS$104,$B41,5)*DA41=1,IF(AND($E41=2,HR41=0),1000000,INDEX('計算A'!H$110:H$114,$F41+1)+IF(AND($E41=1,HR41=0),1000,0)),1000000))</f>
        <v/>
      </c>
      <c r="MJ41">
        <f>IF($B41=0,1000000,IF(INDEX('計算A'!$D$60:$DS$104,$B41,6)*DB41=1,IF(AND($E41=2,HS41=0),1000000,INDEX('計算A'!I$110:I$114,$F41+1)+IF(AND($E41=1,HS41=0),1000,0)),1000000))</f>
        <v/>
      </c>
      <c r="MK41">
        <f>IF($B41=0,1000000,IF(INDEX('計算A'!$D$60:$DS$104,$B41,7)*DC41=1,IF(AND($E41=2,HT41=0),1000000,INDEX('計算A'!J$110:J$114,$F41+1)+IF(AND($E41=1,HT41=0),1000,0)),1000000))</f>
        <v/>
      </c>
      <c r="ML41">
        <f>IF($B41=0,1000000,IF(INDEX('計算A'!$D$60:$DS$104,$B41,8)*DD41=1,IF(AND($E41=2,HU41=0),1000000,INDEX('計算A'!K$110:K$114,$F41+1)+IF(AND($E41=1,HU41=0),1000,0)),1000000))</f>
        <v/>
      </c>
      <c r="MM41">
        <f>IF($B41=0,1000000,IF(INDEX('計算A'!$D$60:$DS$104,$B41,9)*DE41=1,IF(AND($E41=2,HV41=0),1000000,INDEX('計算A'!L$110:L$114,$F41+1)+IF(AND($E41=1,HV41=0),1000,0)),1000000))</f>
        <v/>
      </c>
      <c r="MN41">
        <f>IF($B41=0,1000000,IF(INDEX('計算A'!$D$60:$DS$104,$B41,10)*DF41=1,IF(AND($E41=2,HW41=0),1000000,INDEX('計算A'!M$110:M$114,$F41+1)+IF(AND($E41=1,HW41=0),1000,0)),1000000))</f>
        <v/>
      </c>
      <c r="MO41">
        <f>IF($B41=0,1000000,IF(INDEX('計算A'!$D$60:$DS$104,$B41,11)*DG41=1,IF(AND($E41=2,HX41=0),1000000,INDEX('計算A'!N$110:N$114,$F41+1)+IF(AND($E41=1,HX41=0),1000,0)),1000000))</f>
        <v/>
      </c>
      <c r="MP41">
        <f>IF($B41=0,1000000,IF(INDEX('計算A'!$D$60:$DS$104,$B41,12)*DH41=1,IF(AND($E41=2,HY41=0),1000000,INDEX('計算A'!O$110:O$114,$F41+1)+IF(AND($E41=1,HY41=0),1000,0)),1000000))</f>
        <v/>
      </c>
      <c r="MQ41">
        <f>IF($B41=0,1000000,IF(INDEX('計算A'!$D$60:$DS$104,$B41,13)*DI41=1,IF(AND($E41=2,HZ41=0),1000000,INDEX('計算A'!P$110:P$114,$F41+1)+IF(AND($E41=1,HZ41=0),1000,0)),1000000))</f>
        <v/>
      </c>
      <c r="MR41">
        <f>IF($B41=0,1000000,IF(INDEX('計算A'!$D$60:$DS$104,$B41,14)*DJ41=1,IF(AND($E41=2,IA41=0),1000000,INDEX('計算A'!Q$110:Q$114,$F41+1)+IF(AND($E41=1,IA41=0),1000,0)),1000000))</f>
        <v/>
      </c>
      <c r="MS41">
        <f>IF($B41=0,1000000,IF(INDEX('計算A'!$D$60:$DS$104,$B41,15)*DK41=1,IF(AND($E41=2,IB41=0),1000000,INDEX('計算A'!R$110:R$114,$F41+1)+IF(AND($E41=1,IB41=0),1000,0)),1000000))</f>
        <v/>
      </c>
      <c r="MT41">
        <f>IF($B41=0,1000000,IF(INDEX('計算A'!$D$60:$DS$104,$B41,16)*DL41=1,IF(AND($E41=2,IC41=0),1000000,INDEX('計算A'!S$110:S$114,$F41+1)+IF(AND($E41=1,IC41=0),1000,0)),1000000))</f>
        <v/>
      </c>
      <c r="MU41">
        <f>IF($B41=0,1000000,IF(INDEX('計算A'!$D$60:$DS$104,$B41,17)*DM41=1,IF(AND($E41=2,ID41=0),1000000,INDEX('計算A'!T$110:T$114,$F41+1)+IF(AND($E41=1,ID41=0),1000,0)),1000000))</f>
        <v/>
      </c>
      <c r="MV41">
        <f>IF($B41=0,1000000,IF(INDEX('計算A'!$D$60:$DS$104,$B41,18)*DN41=1,IF(AND($E41=2,IE41=0),1000000,INDEX('計算A'!U$110:U$114,$F41+1)+IF(AND($E41=1,IE41=0),1000,0)),1000000))</f>
        <v/>
      </c>
      <c r="MW41">
        <f>IF($B41=0,1000000,IF(INDEX('計算A'!$D$60:$DS$104,$B41,19)*DO41=1,IF(AND($E41=2,IF41=0),1000000,INDEX('計算A'!V$110:V$114,$F41+1)+IF(AND($E41=1,IF41=0),1000,0)),1000000))</f>
        <v/>
      </c>
      <c r="MX41">
        <f>IF($B41=0,1000000,IF(INDEX('計算A'!$D$60:$DS$104,$B41,20)*DP41=1,IF(AND($E41=2,IG41=0),1000000,INDEX('計算A'!W$110:W$114,$F41+1)+IF(AND($E41=1,IG41=0),1000,0)),1000000))</f>
        <v/>
      </c>
      <c r="MY41">
        <f>IF($B41=0,1000000,IF(INDEX('計算A'!$D$60:$DS$104,$B41,21)*DQ41=1,IF(AND($E41=2,IH41=0),1000000,INDEX('計算A'!X$110:X$114,$F41+1)+IF(AND($E41=1,IH41=0),1000,0)),1000000))</f>
        <v/>
      </c>
      <c r="MZ41">
        <f>IF($B41=0,1000000,IF(INDEX('計算A'!$D$60:$DS$104,$B41,22)*DR41=1,IF(AND($E41=2,II41=0),1000000,INDEX('計算A'!Y$110:Y$114,$F41+1)+IF(AND($E41=1,II41=0),1000,0)),1000000))</f>
        <v/>
      </c>
      <c r="NA41">
        <f>IF($B41=0,1000000,IF(INDEX('計算A'!$D$60:$DS$104,$B41,23)*DS41=1,IF(AND($E41=2,IJ41=0),1000000,INDEX('計算A'!Z$110:Z$114,$F41+1)+IF(AND($E41=1,IJ41=0),1000,0)),1000000))</f>
        <v/>
      </c>
      <c r="NB41">
        <f>IF($B41=0,1000000,IF(INDEX('計算A'!$D$60:$DS$104,$B41,24)*DT41=1,IF(AND($E41=2,IK41=0),1000000,INDEX('計算A'!AA$110:AA$114,$F41+1)+IF(AND($E41=1,IK41=0),1000,0)),1000000))</f>
        <v/>
      </c>
      <c r="NC41">
        <f>IF($B41=0,1000000,IF(INDEX('計算A'!$D$60:$DS$104,$B41,25)*DU41=1,IF(AND($E41=2,IL41=0),1000000,INDEX('計算A'!AB$110:AB$114,$F41+1)+IF(AND($E41=1,IL41=0),1000,0)),1000000))</f>
        <v/>
      </c>
      <c r="ND41">
        <f>IF($B41=0,1000000,IF(INDEX('計算A'!$D$60:$DS$104,$B41,26)*DV41=1,IF(AND($E41=2,IM41=0),1000000,INDEX('計算A'!AC$110:AC$114,$F41+1)+IF(AND($E41=1,IM41=0),1000,0)),1000000))</f>
        <v/>
      </c>
      <c r="NE41">
        <f>IF($B41=0,1000000,IF(INDEX('計算A'!$D$60:$DS$104,$B41,27)*DW41=1,IF(AND($E41=2,IN41=0),1000000,INDEX('計算A'!AD$110:AD$114,$F41+1)+IF(AND($E41=1,IN41=0),1000,0)),1000000))</f>
        <v/>
      </c>
      <c r="NF41">
        <f>IF($B41=0,1000000,IF(INDEX('計算A'!$D$60:$DS$104,$B41,28)*DX41=1,IF(AND($E41=2,IO41=0),1000000,INDEX('計算A'!AE$110:AE$114,$F41+1)+IF(AND($E41=1,IO41=0),1000,0)),1000000))</f>
        <v/>
      </c>
      <c r="NG41">
        <f>IF($B41=0,1000000,IF(INDEX('計算A'!$D$60:$DS$104,$B41,29)*DY41=1,IF(AND($E41=2,IP41=0),1000000,INDEX('計算A'!AF$110:AF$114,$F41+1)+IF(AND($E41=1,IP41=0),1000,0)),1000000))</f>
        <v/>
      </c>
      <c r="NH41">
        <f>IF($B41=0,1000000,IF(INDEX('計算A'!$D$60:$DS$104,$B41,30)*DZ41=1,IF(AND($E41=2,IQ41=0),1000000,INDEX('計算A'!AG$110:AG$114,$F41+1)+IF(AND($E41=1,IQ41=0),1000,0)),1000000))</f>
        <v/>
      </c>
      <c r="NI41">
        <f>IF($B41=0,1000000,IF(INDEX('計算A'!$D$60:$DS$104,$B41,31)*EA41=1,IF(AND($E41=2,IR41=0),1000000,INDEX('計算A'!AH$110:AH$114,$F41+1)+IF(AND($E41=1,IR41=0),1000,0)),1000000))</f>
        <v/>
      </c>
      <c r="NJ41">
        <f>IF($B41=0,1000000,IF(INDEX('計算A'!$D$60:$DS$104,$B41,32)*EB41=1,IF(AND($E41=2,IS41=0),1000000,INDEX('計算A'!AI$110:AI$114,$F41+1)+IF(AND($E41=1,IS41=0),1000,0)),1000000))</f>
        <v/>
      </c>
      <c r="NK41">
        <f>IF($B41=0,1000000,IF(INDEX('計算A'!$D$60:$DS$104,$B41,33)*EC41=1,IF(AND($E41=2,IT41=0),1000000,INDEX('計算A'!AJ$110:AJ$114,$F41+1)+IF(AND($E41=1,IT41=0),1000,0)),1000000))</f>
        <v/>
      </c>
      <c r="NL41">
        <f>IF($B41=0,1000000,IF(INDEX('計算A'!$D$60:$DS$104,$B41,34)*ED41=1,IF(AND($E41=2,IU41=0),1000000,INDEX('計算A'!AK$110:AK$114,$F41+1)+IF(AND($E41=1,IU41=0),1000,0)),1000000))</f>
        <v/>
      </c>
      <c r="NM41">
        <f>IF($B41=0,1000000,IF(INDEX('計算A'!$D$60:$DS$104,$B41,35)*EE41=1,IF(AND($E41=2,IV41=0),1000000,INDEX('計算A'!AL$110:AL$114,$F41+1)+IF(AND($E41=1,IV41=0),1000,0)),1000000))</f>
        <v/>
      </c>
      <c r="NN41">
        <f>IF($B41=0,1000000,IF(INDEX('計算A'!$D$60:$DS$104,$B41,36)*EF41=1,IF(AND($E41=2,IW41=0),1000000,INDEX('計算A'!AM$110:AM$114,$F41+1)+IF(AND($E41=1,IW41=0),1000,0)),1000000))</f>
        <v/>
      </c>
      <c r="NO41">
        <f>IF($B41=0,1000000,IF(INDEX('計算A'!$D$60:$DS$104,$B41,37)*EG41=1,IF(AND($E41=2,IX41=0),1000000,INDEX('計算A'!AN$110:AN$114,$F41+1)+IF(AND($E41=1,IX41=0),1000,0)),1000000))</f>
        <v/>
      </c>
      <c r="NP41">
        <f>IF($B41=0,1000000,IF(INDEX('計算A'!$D$60:$DS$104,$B41,38)*EH41=1,IF(AND($E41=2,IY41=0),1000000,INDEX('計算A'!AO$110:AO$114,$F41+1)+IF(AND($E41=1,IY41=0),1000,0)),1000000))</f>
        <v/>
      </c>
      <c r="NQ41">
        <f>IF($B41=0,1000000,IF(INDEX('計算A'!$D$60:$DS$104,$B41,39)*EI41=1,IF(AND($E41=2,IZ41=0),1000000,INDEX('計算A'!AP$110:AP$114,$F41+1)+IF(AND($E41=1,IZ41=0),1000,0)),1000000))</f>
        <v/>
      </c>
      <c r="NR41">
        <f>IF($B41=0,1000000,IF(INDEX('計算A'!$D$60:$DS$104,$B41,40)*EJ41=1,IF(AND($E41=2,JA41=0),1000000,INDEX('計算A'!AQ$110:AQ$114,$F41+1)+IF(AND($E41=1,JA41=0),1000,0)),1000000))</f>
        <v/>
      </c>
      <c r="NS41">
        <f>IF($B41=0,1000000,IF(INDEX('計算A'!$D$60:$DS$104,$B41,41)*EK41=1,IF(AND($E41=2,JB41=0),1000000,INDEX('計算A'!AR$110:AR$114,$F41+1)+IF(AND($E41=1,JB41=0),1000,0)),1000000))</f>
        <v/>
      </c>
      <c r="NT41">
        <f>IF($B41=0,1000000,IF(INDEX('計算A'!$D$60:$DS$104,$B41,42)*EL41=1,IF(AND($E41=2,JC41=0),1000000,INDEX('計算A'!AS$110:AS$114,$F41+1)+IF(AND($E41=1,JC41=0),1000,0)),1000000))</f>
        <v/>
      </c>
      <c r="NU41">
        <f>IF($B41=0,1000000,IF(INDEX('計算A'!$D$60:$DS$104,$B41,43)*EM41=1,IF(AND($E41=2,JD41=0),1000000,INDEX('計算A'!AT$110:AT$114,$F41+1)+IF(AND($E41=1,JD41=0),1000,0)),1000000))</f>
        <v/>
      </c>
      <c r="NV41">
        <f>IF($B41=0,1000000,IF(INDEX('計算A'!$D$60:$DS$104,$B41,44)*EN41=1,IF(AND($E41=2,JE41=0),1000000,INDEX('計算A'!AU$110:AU$114,$F41+1)+IF(AND($E41=1,JE41=0),1000,0)),1000000))</f>
        <v/>
      </c>
      <c r="NW41">
        <f>IF($B41=0,1000000,IF(INDEX('計算A'!$D$60:$DS$104,$B41,45)*EO41=1,IF(AND($E41=2,JF41=0),1000000,INDEX('計算A'!AV$110:AV$114,$F41+1)+IF(AND($E41=1,JF41=0),1000,0)),1000000))</f>
        <v/>
      </c>
      <c r="NX41">
        <f>IF($B41=0,1000000,IF(INDEX('計算A'!$D$60:$DS$104,$B41,46)*EP41=1,IF(AND($E41=2,JG41=0),1000000,INDEX('計算A'!AW$110:AW$114,$F41+1)+IF(AND($E41=1,JG41=0),1000,0)),1000000))</f>
        <v/>
      </c>
      <c r="NY41">
        <f>IF($B41=0,1000000,IF(INDEX('計算A'!$D$60:$DS$104,$B41,47)*EQ41=1,IF(AND($E41=2,JH41=0),1000000,INDEX('計算A'!AX$110:AX$114,$F41+1)+IF(AND($E41=1,JH41=0),1000,0)),1000000))</f>
        <v/>
      </c>
      <c r="NZ41">
        <f>IF($B41=0,1000000,IF(INDEX('計算A'!$D$60:$DS$104,$B41,48)*ER41=1,IF(AND($E41=2,JI41=0),1000000,INDEX('計算A'!AY$110:AY$114,$F41+1)+IF(AND($E41=1,JI41=0),1000,0)),1000000))</f>
        <v/>
      </c>
      <c r="OA41">
        <f>IF($B41=0,1000000,IF(INDEX('計算A'!$D$60:$DS$104,$B41,49)*ES41=1,IF(AND($E41=2,JJ41=0),1000000,INDEX('計算A'!AZ$110:AZ$114,$F41+1)+IF(AND($E41=1,JJ41=0),1000,0)),1000000))</f>
        <v/>
      </c>
      <c r="OB41">
        <f>IF($B41=0,1000000,IF(INDEX('計算A'!$D$60:$DS$104,$B41,50)*ET41=1,IF(AND($E41=2,JK41=0),1000000,INDEX('計算A'!BA$110:BA$114,$F41+1)+IF(AND($E41=1,JK41=0),1000,0)),1000000))</f>
        <v/>
      </c>
      <c r="OC41">
        <f>IF($B41=0,1000000,IF(INDEX('計算A'!$D$60:$DS$104,$B41,51)*EU41=1,IF(AND($E41=2,JL41=0),1000000,INDEX('計算A'!BB$110:BB$114,$F41+1)+IF(AND($E41=1,JL41=0),1000,0)),1000000))</f>
        <v/>
      </c>
      <c r="OD41">
        <f>IF($B41=0,1000000,IF(INDEX('計算A'!$D$60:$DS$104,$B41,52)*EV41=1,IF(AND($E41=2,JM41=0),1000000,INDEX('計算A'!BC$110:BC$114,$F41+1)+IF(AND($E41=1,JM41=0),1000,0)),1000000))</f>
        <v/>
      </c>
      <c r="OE41">
        <f>IF($B41=0,1000000,IF(INDEX('計算A'!$D$60:$DS$104,$B41,53)*EW41=1,IF(AND($E41=2,JN41=0),1000000,INDEX('計算A'!BD$110:BD$114,$F41+1)+IF(AND($E41=1,JN41=0),1000,0)),1000000))</f>
        <v/>
      </c>
      <c r="OF41">
        <f>IF($B41=0,1000000,IF(INDEX('計算A'!$D$60:$DS$104,$B41,54)*EX41=1,IF(AND($E41=2,JO41=0),1000000,INDEX('計算A'!BE$110:BE$114,$F41+1)+IF(AND($E41=1,JO41=0),1000,0)),1000000))</f>
        <v/>
      </c>
      <c r="OG41">
        <f>IF($B41=0,1000000,IF(INDEX('計算A'!$D$60:$DS$104,$B41,55)*EY41=1,IF(AND($E41=2,JP41=0),1000000,INDEX('計算A'!BF$110:BF$114,$F41+1)+IF(AND($E41=1,JP41=0),1000,0)),1000000))</f>
        <v/>
      </c>
      <c r="OH41">
        <f>IF($B41=0,1000000,IF(INDEX('計算A'!$D$60:$DS$104,$B41,56)*EZ41=1,IF(AND($E41=2,JQ41=0),1000000,INDEX('計算A'!BG$110:BG$114,$F41+1)+IF(AND($E41=1,JQ41=0),1000,0)),1000000))</f>
        <v/>
      </c>
      <c r="OI41">
        <f>IF($B41=0,1000000,IF(INDEX('計算A'!$D$60:$DS$104,$B41,57)*FA41=1,IF(AND($E41=2,JR41=0),1000000,INDEX('計算A'!BH$110:BH$114,$F41+1)+IF(AND($E41=1,JR41=0),1000,0)),1000000))</f>
        <v/>
      </c>
      <c r="OJ41">
        <f>IF($B41=0,1000000,IF(INDEX('計算A'!$D$60:$DS$104,$B41,58)*FB41=1,IF(AND($E41=2,JS41=0),1000000,INDEX('計算A'!BI$110:BI$114,$F41+1)+IF(AND($E41=1,JS41=0),1000,0)),1000000))</f>
        <v/>
      </c>
      <c r="OK41">
        <f>IF($B41=0,1000000,IF(INDEX('計算A'!$D$60:$DS$104,$B41,59)*FC41=1,IF(AND($E41=2,JT41=0),1000000,INDEX('計算A'!BJ$110:BJ$114,$F41+1)+IF(AND($E41=1,JT41=0),1000,0)),1000000))</f>
        <v/>
      </c>
      <c r="OL41">
        <f>IF($B41=0,1000000,IF(INDEX('計算A'!$D$60:$DS$104,$B41,60)*FD41=1,IF(AND($E41=2,JU41=0),1000000,INDEX('計算A'!BK$110:BK$114,$F41+1)+IF(AND($E41=1,JU41=0),1000,0)),1000000))</f>
        <v/>
      </c>
      <c r="OM41">
        <f>IF($B41=0,1000000,IF(INDEX('計算A'!$D$60:$DS$104,$B41,61)*FE41=1,IF(AND($E41=2,JV41=0),1000000,INDEX('計算A'!BL$110:BL$114,$F41+1)+IF(AND($E41=1,JV41=0),1000,0)),1000000))</f>
        <v/>
      </c>
      <c r="ON41">
        <f>IF($B41=0,1000000,IF(INDEX('計算A'!$D$60:$DS$104,$B41,62)*FF41=1,IF(AND($E41=2,JW41=0),1000000,INDEX('計算A'!BM$110:BM$114,$F41+1)+IF(AND($E41=1,JW41=0),1000,0)),1000000))</f>
        <v/>
      </c>
      <c r="OO41">
        <f>IF($B41=0,1000000,IF(INDEX('計算A'!$D$60:$DS$104,$B41,63)*FG41=1,IF(AND($E41=2,JX41=0),1000000,INDEX('計算A'!BN$110:BN$114,$F41+1)+IF(AND($E41=1,JX41=0),1000,0)),1000000))</f>
        <v/>
      </c>
      <c r="OP41">
        <f>IF($B41=0,1000000,IF(INDEX('計算A'!$D$60:$DS$104,$B41,64)*FH41=1,IF(AND($E41=2,JY41=0),1000000,INDEX('計算A'!BO$110:BO$114,$F41+1)+IF(AND($E41=1,JY41=0),1000,0)),1000000))</f>
        <v/>
      </c>
      <c r="OQ41">
        <f>IF($B41=0,1000000,IF(INDEX('計算A'!$D$60:$DS$104,$B41,65)*FI41=1,IF(AND($E41=2,JZ41=0),1000000,INDEX('計算A'!BP$110:BP$114,$F41+1)+IF(AND($E41=1,JZ41=0),1000,0)),1000000))</f>
        <v/>
      </c>
      <c r="OR41">
        <f>IF($B41=0,1000000,IF(INDEX('計算A'!$D$60:$DS$104,$B41,66)*FJ41=1,IF(AND($E41=2,KA41=0),1000000,INDEX('計算A'!BQ$110:BQ$114,$F41+1)+IF(AND($E41=1,KA41=0),1000,0)),1000000))</f>
        <v/>
      </c>
      <c r="OS41">
        <f>IF($B41=0,1000000,IF(INDEX('計算A'!$D$60:$DS$104,$B41,67)*FK41=1,IF(AND($E41=2,KB41=0),1000000,INDEX('計算A'!BR$110:BR$114,$F41+1)+IF(AND($E41=1,KB41=0),1000,0)),1000000))</f>
        <v/>
      </c>
      <c r="OT41">
        <f>IF($B41=0,1000000,IF(INDEX('計算A'!$D$60:$DS$104,$B41,68)*FL41=1,IF(AND($E41=2,KC41=0),1000000,INDEX('計算A'!BS$110:BS$114,$F41+1)+IF(AND($E41=1,KC41=0),1000,0)),1000000))</f>
        <v/>
      </c>
      <c r="OU41">
        <f>IF($B41=0,1000000,IF(INDEX('計算A'!$D$60:$DS$104,$B41,69)*FM41=1,IF(AND($E41=2,KD41=0),1000000,INDEX('計算A'!BT$110:BT$114,$F41+1)+IF(AND($E41=1,KD41=0),1000,0)),1000000))</f>
        <v/>
      </c>
      <c r="OV41">
        <f>IF($B41=0,1000000,IF(INDEX('計算A'!$D$60:$DS$104,$B41,70)*FN41=1,IF(AND($E41=2,KE41=0),1000000,INDEX('計算A'!BU$110:BU$114,$F41+1)+IF(AND($E41=1,KE41=0),1000,0)),1000000))</f>
        <v/>
      </c>
      <c r="OW41">
        <f>IF($B41=0,1000000,IF(INDEX('計算A'!$D$60:$DS$104,$B41,71)*FO41=1,IF(AND($E41=2,KF41=0),1000000,INDEX('計算A'!BV$110:BV$114,$F41+1)+IF(AND($E41=1,KF41=0),1000,0)),1000000))</f>
        <v/>
      </c>
      <c r="OX41">
        <f>IF($B41=0,1000000,IF(INDEX('計算A'!$D$60:$DS$104,$B41,72)*FP41=1,IF(AND($E41=2,KG41=0),1000000,INDEX('計算A'!BW$110:BW$114,$F41+1)+IF(AND($E41=1,KG41=0),1000,0)),1000000))</f>
        <v/>
      </c>
      <c r="OY41">
        <f>IF($B41=0,1000000,IF(INDEX('計算A'!$D$60:$DS$104,$B41,73)*FQ41=1,IF(AND($E41=2,KH41=0),1000000,INDEX('計算A'!BX$110:BX$114,$F41+1)+IF(AND($E41=1,KH41=0),1000,0)),1000000))</f>
        <v/>
      </c>
      <c r="OZ41">
        <f>IF($B41=0,1000000,IF(INDEX('計算A'!$D$60:$DS$104,$B41,74)*FR41=1,IF(AND($E41=2,KI41=0),1000000,INDEX('計算A'!BY$110:BY$114,$F41+1)+IF(AND($E41=1,KI41=0),1000,0)),1000000))</f>
        <v/>
      </c>
      <c r="PA41">
        <f>IF($B41=0,1000000,IF(INDEX('計算A'!$D$60:$DS$104,$B41,75)*FS41=1,IF(AND($E41=2,KJ41=0),1000000,INDEX('計算A'!BZ$110:BZ$114,$F41+1)+IF(AND($E41=1,KJ41=0),1000,0)),1000000))</f>
        <v/>
      </c>
      <c r="PB41">
        <f>IF($B41=0,1000000,IF(INDEX('計算A'!$D$60:$DS$104,$B41,76)*FT41=1,IF(AND($E41=2,KK41=0),1000000,INDEX('計算A'!CA$110:CA$114,$F41+1)+IF(AND($E41=1,KK41=0),1000,0)),1000000))</f>
        <v/>
      </c>
      <c r="PC41">
        <f>IF($B41=0,1000000,IF(INDEX('計算A'!$D$60:$DS$104,$B41,77)*FU41=1,IF(AND($E41=2,KL41=0),1000000,INDEX('計算A'!CB$110:CB$114,$F41+1)+IF(AND($E41=1,KL41=0),1000,0)),1000000))</f>
        <v/>
      </c>
      <c r="PD41">
        <f>IF($B41=0,1000000,IF(INDEX('計算A'!$D$60:$DS$104,$B41,78)*FV41=1,IF(AND($E41=2,KM41=0),1000000,INDEX('計算A'!CC$110:CC$114,$F41+1)+IF(AND($E41=1,KM41=0),1000,0)),1000000))</f>
        <v/>
      </c>
      <c r="PE41">
        <f>IF($B41=0,1000000,IF(INDEX('計算A'!$D$60:$DS$104,$B41,79)*FW41=1,IF(AND($E41=2,KN41=0),1000000,INDEX('計算A'!CD$110:CD$114,$F41+1)+IF(AND($E41=1,KN41=0),1000,0)),1000000))</f>
        <v/>
      </c>
      <c r="PF41">
        <f>IF($B41=0,1000000,IF(INDEX('計算A'!$D$60:$DS$104,$B41,80)*FX41=1,IF(AND($E41=2,KO41=0),1000000,INDEX('計算A'!CE$110:CE$114,$F41+1)+IF(AND($E41=1,KO41=0),1000,0)),1000000))</f>
        <v/>
      </c>
      <c r="PG41">
        <f>IF($B41=0,1000000,IF(INDEX('計算A'!$D$60:$DS$104,$B41,81)*FY41=1,IF(AND($E41=2,KP41=0),1000000,INDEX('計算A'!CF$110:CF$114,$F41+1)+IF(AND($E41=1,KP41=0),1000,0)),1000000))</f>
        <v/>
      </c>
      <c r="PH41">
        <f>IF($B41=0,1000000,IF(INDEX('計算A'!$D$60:$DS$104,$B41,82)*FZ41=1,IF(AND($E41=2,KQ41=0),1000000,INDEX('計算A'!CG$110:CG$114,$F41+1)+IF(AND($E41=1,KQ41=0),1000,0)),1000000))</f>
        <v/>
      </c>
      <c r="PI41">
        <f>IF($B41=0,1000000,IF(INDEX('計算A'!$D$60:$DS$104,$B41,83)*GA41=1,IF(AND($E41=2,KR41=0),1000000,INDEX('計算A'!CH$110:CH$114,$F41+1)+IF(AND($E41=1,KR41=0),1000,0)),1000000))</f>
        <v/>
      </c>
      <c r="PJ41">
        <f>IF($B41=0,1000000,IF(INDEX('計算A'!$D$60:$DS$104,$B41,84)*GB41=1,IF(AND($E41=2,KS41=0),1000000,INDEX('計算A'!CI$110:CI$114,$F41+1)+IF(AND($E41=1,KS41=0),1000,0)),1000000))</f>
        <v/>
      </c>
      <c r="PK41">
        <f>IF($B41=0,1000000,IF(INDEX('計算A'!$D$60:$DS$104,$B41,85)*GC41=1,IF(AND($E41=2,KT41=0),1000000,INDEX('計算A'!CJ$110:CJ$114,$F41+1)+IF(AND($E41=1,KT41=0),1000,0)),1000000))</f>
        <v/>
      </c>
      <c r="PL41">
        <f>IF($B41=0,1000000,IF(INDEX('計算A'!$D$60:$DS$104,$B41,86)*GD41=1,IF(AND($E41=2,KU41=0),1000000,INDEX('計算A'!CK$110:CK$114,$F41+1)+IF(AND($E41=1,KU41=0),1000,0)),1000000))</f>
        <v/>
      </c>
      <c r="PM41">
        <f>IF($B41=0,1000000,IF(INDEX('計算A'!$D$60:$DS$104,$B41,87)*GE41=1,IF(AND($E41=2,KV41=0),1000000,INDEX('計算A'!CL$110:CL$114,$F41+1)+IF(AND($E41=1,KV41=0),1000,0)),1000000))</f>
        <v/>
      </c>
      <c r="PN41">
        <f>IF($B41=0,1000000,IF(INDEX('計算A'!$D$60:$DS$104,$B41,88)*GF41=1,IF(AND($E41=2,KW41=0),1000000,INDEX('計算A'!CM$110:CM$114,$F41+1)+IF(AND($E41=1,KW41=0),1000,0)),1000000))</f>
        <v/>
      </c>
      <c r="PO41">
        <f>IF($B41=0,1000000,IF(INDEX('計算A'!$D$60:$DS$104,$B41,89)*GG41=1,IF(AND($E41=2,KX41=0),1000000,INDEX('計算A'!CN$110:CN$114,$F41+1)+IF(AND($E41=1,KX41=0),1000,0)),1000000))</f>
        <v/>
      </c>
      <c r="PP41">
        <f>IF($B41=0,1000000,IF(INDEX('計算A'!$D$60:$DS$104,$B41,90)*GH41=1,IF(AND($E41=2,KY41=0),1000000,INDEX('計算A'!CO$110:CO$114,$F41+1)+IF(AND($E41=1,KY41=0),1000,0)),1000000))</f>
        <v/>
      </c>
      <c r="PQ41">
        <f>IF($B41=0,1000000,IF(INDEX('計算A'!$D$60:$DS$104,$B41,91)*GI41=1,IF(AND($E41=2,KZ41=0),1000000,INDEX('計算A'!CP$110:CP$114,$F41+1)+IF(AND($E41=1,KZ41=0),1000,0)),1000000))</f>
        <v/>
      </c>
      <c r="PR41">
        <f>IF($B41=0,1000000,IF(INDEX('計算A'!$D$60:$DS$104,$B41,92)*GJ41=1,IF(AND($E41=2,LA41=0),1000000,INDEX('計算A'!CQ$110:CQ$114,$F41+1)+IF(AND($E41=1,LA41=0),1000,0)),1000000))</f>
        <v/>
      </c>
      <c r="PS41">
        <f>IF($B41=0,1000000,IF(INDEX('計算A'!$D$60:$DS$104,$B41,93)*GK41=1,IF(AND($E41=2,LB41=0),1000000,INDEX('計算A'!CR$110:CR$114,$F41+1)+IF(AND($E41=1,LB41=0),1000,0)),1000000))</f>
        <v/>
      </c>
      <c r="PT41">
        <f>IF($B41=0,1000000,IF(INDEX('計算A'!$D$60:$DS$104,$B41,94)*GL41=1,IF(AND($E41=2,LC41=0),1000000,INDEX('計算A'!CS$110:CS$114,$F41+1)+IF(AND($E41=1,LC41=0),1000,0)),1000000))</f>
        <v/>
      </c>
      <c r="PU41">
        <f>IF($B41=0,1000000,IF(INDEX('計算A'!$D$60:$DS$104,$B41,95)*GM41=1,IF(AND($E41=2,LD41=0),1000000,INDEX('計算A'!CT$110:CT$114,$F41+1)+IF(AND($E41=1,LD41=0),1000,0)),1000000))</f>
        <v/>
      </c>
      <c r="PV41">
        <f>IF($B41=0,1000000,IF(INDEX('計算A'!$D$60:$DS$104,$B41,96)*GN41=1,IF(AND($E41=2,LE41=0),1000000,INDEX('計算A'!CU$110:CU$114,$F41+1)+IF(AND($E41=1,LE41=0),1000,0)),1000000))</f>
        <v/>
      </c>
      <c r="PW41">
        <f>IF($B41=0,1000000,IF(INDEX('計算A'!$D$60:$DS$104,$B41,97)*GO41=1,IF(AND($E41=2,LF41=0),1000000,INDEX('計算A'!CV$110:CV$114,$F41+1)+IF(AND($E41=1,LF41=0),1000,0)),1000000))</f>
        <v/>
      </c>
      <c r="PX41">
        <f>IF($B41=0,1000000,IF(INDEX('計算A'!$D$60:$DS$104,$B41,98)*GP41=1,IF(AND($E41=2,LG41=0),1000000,INDEX('計算A'!CW$110:CW$114,$F41+1)+IF(AND($E41=1,LG41=0),1000,0)),1000000))</f>
        <v/>
      </c>
      <c r="PY41">
        <f>IF($B41=0,1000000,IF(INDEX('計算A'!$D$60:$DS$104,$B41,99)*GQ41=1,IF(AND($E41=2,LH41=0),1000000,INDEX('計算A'!CX$110:CX$114,$F41+1)+IF(AND($E41=1,LH41=0),1000,0)),1000000))</f>
        <v/>
      </c>
      <c r="PZ41">
        <f>IF($B41=0,1000000,IF(INDEX('計算A'!$D$60:$DS$104,$B41,100)*GR41=1,IF(AND($E41=2,LI41=0),1000000,INDEX('計算A'!CY$110:CY$114,$F41+1)+IF(AND($E41=1,LI41=0),1000,0)),1000000))</f>
        <v/>
      </c>
      <c r="QA41">
        <f>IF($B41=0,1000000,IF(INDEX('計算A'!$D$60:$DS$104,$B41,101)*GS41=1,IF(AND($E41=2,LJ41=0),1000000,INDEX('計算A'!CZ$110:CZ$114,$F41+1)+IF(AND($E41=1,LJ41=0),1000,0)),1000000))</f>
        <v/>
      </c>
      <c r="QB41">
        <f>IF($B41=0,1000000,IF(INDEX('計算A'!$D$60:$DS$104,$B41,102)*GT41=1,IF(AND($E41=2,LK41=0),1000000,INDEX('計算A'!DA$110:DA$114,$F41+1)+IF(AND($E41=1,LK41=0),1000,0)),1000000))</f>
        <v/>
      </c>
      <c r="QC41">
        <f>IF($B41=0,1000000,IF(INDEX('計算A'!$D$60:$DS$104,$B41,103)*GU41=1,IF(AND($E41=2,LL41=0),1000000,INDEX('計算A'!DB$110:DB$114,$F41+1)+IF(AND($E41=1,LL41=0),1000,0)),1000000))</f>
        <v/>
      </c>
      <c r="QD41">
        <f>IF($B41=0,1000000,IF(INDEX('計算A'!$D$60:$DS$104,$B41,104)*GV41=1,IF(AND($E41=2,LM41=0),1000000,INDEX('計算A'!DC$110:DC$114,$F41+1)+IF(AND($E41=1,LM41=0),1000,0)),1000000))</f>
        <v/>
      </c>
      <c r="QE41">
        <f>IF($B41=0,1000000,IF(INDEX('計算A'!$D$60:$DS$104,$B41,105)*GW41=1,IF(AND($E41=2,LN41=0),1000000,INDEX('計算A'!DD$110:DD$114,$F41+1)+IF(AND($E41=1,LN41=0),1000,0)),1000000))</f>
        <v/>
      </c>
      <c r="QF41">
        <f>IF($B41=0,1000000,IF(INDEX('計算A'!$D$60:$DS$104,$B41,106)*GX41=1,IF(AND($E41=2,LO41=0),1000000,INDEX('計算A'!DE$110:DE$114,$F41+1)+IF(AND($E41=1,LO41=0),1000,0)),1000000))</f>
        <v/>
      </c>
      <c r="QG41">
        <f>IF($B41=0,1000000,IF(INDEX('計算A'!$D$60:$DS$104,$B41,107)*GY41=1,IF(AND($E41=2,LP41=0),1000000,INDEX('計算A'!DF$110:DF$114,$F41+1)+IF(AND($E41=1,LP41=0),1000,0)),1000000))</f>
        <v/>
      </c>
      <c r="QH41">
        <f>IF($B41=0,1000000,IF(INDEX('計算A'!$D$60:$DS$104,$B41,108)*GZ41=1,IF(AND($E41=2,LQ41=0),1000000,INDEX('計算A'!DG$110:DG$114,$F41+1)+IF(AND($E41=1,LQ41=0),1000,0)),1000000))</f>
        <v/>
      </c>
      <c r="QI41">
        <f>IF($B41=0,1000000,IF(INDEX('計算A'!$D$60:$DS$104,$B41,109)*HA41=1,IF(AND($E41=2,LR41=0),1000000,INDEX('計算A'!DH$110:DH$114,$F41+1)+IF(AND($E41=1,LR41=0),1000,0)),1000000))</f>
        <v/>
      </c>
      <c r="QJ41">
        <f>IF($B41=0,1000000,IF(INDEX('計算A'!$D$60:$DS$104,$B41,110)*HB41=1,IF(AND($E41=2,LS41=0),1000000,INDEX('計算A'!DI$110:DI$114,$F41+1)+IF(AND($E41=1,LS41=0),1000,0)),1000000))</f>
        <v/>
      </c>
      <c r="QK41">
        <f>IF($B41=0,1000000,IF(INDEX('計算A'!$D$60:$DS$104,$B41,111)*HC41=1,IF(AND($E41=2,LT41=0),1000000,INDEX('計算A'!DJ$110:DJ$114,$F41+1)+IF(AND($E41=1,LT41=0),1000,0)),1000000))</f>
        <v/>
      </c>
      <c r="QL41">
        <f>IF($B41=0,1000000,IF(INDEX('計算A'!$D$60:$DS$104,$B41,112)*HD41=1,IF(AND($E41=2,LU41=0),1000000,INDEX('計算A'!DK$110:DK$114,$F41+1)+IF(AND($E41=1,LU41=0),1000,0)),1000000))</f>
        <v/>
      </c>
      <c r="QM41">
        <f>IF($B41=0,1000000,IF(INDEX('計算A'!$D$60:$DS$104,$B41,113)*HE41=1,IF(AND($E41=2,LV41=0),1000000,INDEX('計算A'!DL$110:DL$114,$F41+1)+IF(AND($E41=1,LV41=0),1000,0)),1000000))</f>
        <v/>
      </c>
      <c r="QN41">
        <f>IF($B41=0,1000000,IF(INDEX('計算A'!$D$60:$DS$104,$B41,114)*HF41=1,IF(AND($E41=2,LW41=0),1000000,INDEX('計算A'!DM$110:DM$114,$F41+1)+IF(AND($E41=1,LW41=0),1000,0)),1000000))</f>
        <v/>
      </c>
      <c r="QO41">
        <f>IF($B41=0,1000000,IF(INDEX('計算A'!$D$60:$DS$104,$B41,115)*HG41=1,IF(AND($E41=2,LX41=0),1000000,INDEX('計算A'!DN$110:DN$114,$F41+1)+IF(AND($E41=1,LX41=0),1000,0)),1000000))</f>
        <v/>
      </c>
      <c r="QP41">
        <f>IF($B41=0,1000000,IF(INDEX('計算A'!$D$60:$DS$104,$B41,116)*HH41=1,IF(AND($E41=2,LY41=0),1000000,INDEX('計算A'!DO$110:DO$114,$F41+1)+IF(AND($E41=1,LY41=0),1000,0)),1000000))</f>
        <v/>
      </c>
      <c r="QQ41">
        <f>IF($B41=0,1000000,IF(INDEX('計算A'!$D$60:$DS$104,$B41,117)*HI41=1,IF(AND($E41=2,LZ41=0),1000000,INDEX('計算A'!DP$110:DP$114,$F41+1)+IF(AND($E41=1,LZ41=0),1000,0)),1000000))</f>
        <v/>
      </c>
      <c r="QR41">
        <f>IF($B41=0,1000000,IF(INDEX('計算A'!$D$60:$DS$104,$B41,118)*HJ41=1,IF(AND($E41=2,MA41=0),1000000,INDEX('計算A'!DQ$110:DQ$114,$F41+1)+IF(AND($E41=1,MA41=0),1000,0)),1000000))</f>
        <v/>
      </c>
      <c r="QS41">
        <f>IF($B41=0,1000000,IF(INDEX('計算A'!$D$60:$DS$104,$B41,119)*HK41=1,IF(AND($E41=2,MB41=0),1000000,INDEX('計算A'!DR$110:DR$114,$F41+1)+IF(AND($E41=1,MB41=0),1000,0)),1000000))</f>
        <v/>
      </c>
      <c r="QT41">
        <f>IF($B41=0,1000000,IF(INDEX('計算A'!$D$60:$DS$104,$B41,120)*HL41=1,IF(AND($E41=2,MC41=0),1000000,INDEX('計算A'!DS$110:DS$114,$F41+1)+IF(AND($E41=1,MC41=0),1000,0)),1000000))</f>
        <v/>
      </c>
    </row>
    <row r="42">
      <c r="A42" t="n">
        <v>40</v>
      </c>
      <c r="B42">
        <f>IF(MIN(BC42:CU42)&gt;=1000000,0,MATCH(MIN(BC42:CU42),BC42:CU42,0))</f>
        <v/>
      </c>
      <c r="C42">
        <f>IF(MIN(ME42:QT42)&gt;=1000000,0,MATCH(MIN(ME42:QT42),ME42:QT42,0))</f>
        <v/>
      </c>
      <c r="D42">
        <f>IF(C42&gt;0,INDEX('計算A'!$D$5:$DS$5,C42),0)</f>
        <v/>
      </c>
      <c r="E42">
        <f>IF(B42=0,0,INDEX('計算A'!$EA$10:$EA$54,B42))</f>
        <v/>
      </c>
      <c r="F42">
        <f>IF(B42=0,0,INDEX('計算A'!$DZ$10:$DZ$54,B42))</f>
        <v/>
      </c>
      <c r="G42">
        <f>IF(AND(C42&gt;0,E42&gt;0),IF(AND(INDEX('計算A'!$D$106:$DS$106,C42)=1,INDEX($HN42:$MC42,C42)=1),C42+1,0),0)</f>
        <v/>
      </c>
      <c r="I42">
        <f>MAX(I41,IF($B41=1,1,0))</f>
        <v/>
      </c>
      <c r="J42">
        <f>MAX(J41,IF($B41=2,1,0))</f>
        <v/>
      </c>
      <c r="K42">
        <f>MAX(K41,IF($B41=3,1,0))</f>
        <v/>
      </c>
      <c r="L42">
        <f>MAX(L41,IF($B41=4,1,0))</f>
        <v/>
      </c>
      <c r="M42">
        <f>MAX(M41,IF($B41=5,1,0))</f>
        <v/>
      </c>
      <c r="N42">
        <f>MAX(N41,IF($B41=6,1,0))</f>
        <v/>
      </c>
      <c r="O42">
        <f>MAX(O41,IF($B41=7,1,0))</f>
        <v/>
      </c>
      <c r="P42">
        <f>MAX(P41,IF($B41=8,1,0))</f>
        <v/>
      </c>
      <c r="Q42">
        <f>MAX(Q41,IF($B41=9,1,0))</f>
        <v/>
      </c>
      <c r="R42">
        <f>MAX(R41,IF($B41=10,1,0))</f>
        <v/>
      </c>
      <c r="S42">
        <f>MAX(S41,IF($B41=11,1,0))</f>
        <v/>
      </c>
      <c r="T42">
        <f>MAX(T41,IF($B41=12,1,0))</f>
        <v/>
      </c>
      <c r="U42">
        <f>MAX(U41,IF($B41=13,1,0))</f>
        <v/>
      </c>
      <c r="V42">
        <f>MAX(V41,IF($B41=14,1,0))</f>
        <v/>
      </c>
      <c r="W42">
        <f>MAX(W41,IF($B41=15,1,0))</f>
        <v/>
      </c>
      <c r="X42">
        <f>MAX(X41,IF($B41=16,1,0))</f>
        <v/>
      </c>
      <c r="Y42">
        <f>MAX(Y41,IF($B41=17,1,0))</f>
        <v/>
      </c>
      <c r="Z42">
        <f>MAX(Z41,IF($B41=18,1,0))</f>
        <v/>
      </c>
      <c r="AA42">
        <f>MAX(AA41,IF($B41=19,1,0))</f>
        <v/>
      </c>
      <c r="AB42">
        <f>MAX(AB41,IF($B41=20,1,0))</f>
        <v/>
      </c>
      <c r="AC42">
        <f>MAX(AC41,IF($B41=21,1,0))</f>
        <v/>
      </c>
      <c r="AD42">
        <f>MAX(AD41,IF($B41=22,1,0))</f>
        <v/>
      </c>
      <c r="AE42">
        <f>MAX(AE41,IF($B41=23,1,0))</f>
        <v/>
      </c>
      <c r="AF42">
        <f>MAX(AF41,IF($B41=24,1,0))</f>
        <v/>
      </c>
      <c r="AG42">
        <f>MAX(AG41,IF($B41=25,1,0))</f>
        <v/>
      </c>
      <c r="AH42">
        <f>MAX(AH41,IF($B41=26,1,0))</f>
        <v/>
      </c>
      <c r="AI42">
        <f>MAX(AI41,IF($B41=27,1,0))</f>
        <v/>
      </c>
      <c r="AJ42">
        <f>MAX(AJ41,IF($B41=28,1,0))</f>
        <v/>
      </c>
      <c r="AK42">
        <f>MAX(AK41,IF($B41=29,1,0))</f>
        <v/>
      </c>
      <c r="AL42">
        <f>MAX(AL41,IF($B41=30,1,0))</f>
        <v/>
      </c>
      <c r="AM42">
        <f>MAX(AM41,IF($B41=31,1,0))</f>
        <v/>
      </c>
      <c r="AN42">
        <f>MAX(AN41,IF($B41=32,1,0))</f>
        <v/>
      </c>
      <c r="AO42">
        <f>MAX(AO41,IF($B41=33,1,0))</f>
        <v/>
      </c>
      <c r="AP42">
        <f>MAX(AP41,IF($B41=34,1,0))</f>
        <v/>
      </c>
      <c r="AQ42">
        <f>MAX(AQ41,IF($B41=35,1,0))</f>
        <v/>
      </c>
      <c r="AR42">
        <f>MAX(AR41,IF($B41=36,1,0))</f>
        <v/>
      </c>
      <c r="AS42">
        <f>MAX(AS41,IF($B41=37,1,0))</f>
        <v/>
      </c>
      <c r="AT42">
        <f>MAX(AT41,IF($B41=38,1,0))</f>
        <v/>
      </c>
      <c r="AU42">
        <f>MAX(AU41,IF($B41=39,1,0))</f>
        <v/>
      </c>
      <c r="AV42">
        <f>MAX(AV41,IF($B41=40,1,0))</f>
        <v/>
      </c>
      <c r="AW42">
        <f>MAX(AW41,IF($B41=41,1,0))</f>
        <v/>
      </c>
      <c r="AX42">
        <f>MAX(AX41,IF($B41=42,1,0))</f>
        <v/>
      </c>
      <c r="AY42">
        <f>MAX(AY41,IF($B41=43,1,0))</f>
        <v/>
      </c>
      <c r="AZ42">
        <f>MAX(AZ41,IF($B41=44,1,0))</f>
        <v/>
      </c>
      <c r="BA42">
        <f>MAX(BA41,IF($B41=45,1,0))</f>
        <v/>
      </c>
      <c r="BC42">
        <f>IF(I42=1,1000000,IF('計算A'!$EA$10=2,SUMPRODUCT('計算A'!$D$60:$DS$60,$CW42:$HL42,$HN42:$MC42),SUMPRODUCT('計算A'!$D$60:$DS$60,$CW42:$HL42))*1000+1)</f>
        <v/>
      </c>
      <c r="BD42">
        <f>IF(J42=1,1000000,IF('計算A'!$EA$11=2,SUMPRODUCT('計算A'!$D$61:$DS$61,$CW42:$HL42,$HN42:$MC42),SUMPRODUCT('計算A'!$D$61:$DS$61,$CW42:$HL42))*1000+2)</f>
        <v/>
      </c>
      <c r="BE42">
        <f>IF(K42=1,1000000,IF('計算A'!$EA$12=2,SUMPRODUCT('計算A'!$D$62:$DS$62,$CW42:$HL42,$HN42:$MC42),SUMPRODUCT('計算A'!$D$62:$DS$62,$CW42:$HL42))*1000+3)</f>
        <v/>
      </c>
      <c r="BF42">
        <f>IF(L42=1,1000000,IF('計算A'!$EA$13=2,SUMPRODUCT('計算A'!$D$63:$DS$63,$CW42:$HL42,$HN42:$MC42),SUMPRODUCT('計算A'!$D$63:$DS$63,$CW42:$HL42))*1000+4)</f>
        <v/>
      </c>
      <c r="BG42">
        <f>IF(M42=1,1000000,IF('計算A'!$EA$14=2,SUMPRODUCT('計算A'!$D$64:$DS$64,$CW42:$HL42,$HN42:$MC42),SUMPRODUCT('計算A'!$D$64:$DS$64,$CW42:$HL42))*1000+5)</f>
        <v/>
      </c>
      <c r="BH42">
        <f>IF(N42=1,1000000,IF('計算A'!$EA$15=2,SUMPRODUCT('計算A'!$D$65:$DS$65,$CW42:$HL42,$HN42:$MC42),SUMPRODUCT('計算A'!$D$65:$DS$65,$CW42:$HL42))*1000+6)</f>
        <v/>
      </c>
      <c r="BI42">
        <f>IF(O42=1,1000000,IF('計算A'!$EA$16=2,SUMPRODUCT('計算A'!$D$66:$DS$66,$CW42:$HL42,$HN42:$MC42),SUMPRODUCT('計算A'!$D$66:$DS$66,$CW42:$HL42))*1000+7)</f>
        <v/>
      </c>
      <c r="BJ42">
        <f>IF(P42=1,1000000,IF('計算A'!$EA$17=2,SUMPRODUCT('計算A'!$D$67:$DS$67,$CW42:$HL42,$HN42:$MC42),SUMPRODUCT('計算A'!$D$67:$DS$67,$CW42:$HL42))*1000+8)</f>
        <v/>
      </c>
      <c r="BK42">
        <f>IF(Q42=1,1000000,IF('計算A'!$EA$18=2,SUMPRODUCT('計算A'!$D$68:$DS$68,$CW42:$HL42,$HN42:$MC42),SUMPRODUCT('計算A'!$D$68:$DS$68,$CW42:$HL42))*1000+9)</f>
        <v/>
      </c>
      <c r="BL42">
        <f>IF(R42=1,1000000,IF('計算A'!$EA$19=2,SUMPRODUCT('計算A'!$D$69:$DS$69,$CW42:$HL42,$HN42:$MC42),SUMPRODUCT('計算A'!$D$69:$DS$69,$CW42:$HL42))*1000+10)</f>
        <v/>
      </c>
      <c r="BM42">
        <f>IF(S42=1,1000000,IF('計算A'!$EA$20=2,SUMPRODUCT('計算A'!$D$70:$DS$70,$CW42:$HL42,$HN42:$MC42),SUMPRODUCT('計算A'!$D$70:$DS$70,$CW42:$HL42))*1000+11)</f>
        <v/>
      </c>
      <c r="BN42">
        <f>IF(T42=1,1000000,IF('計算A'!$EA$21=2,SUMPRODUCT('計算A'!$D$71:$DS$71,$CW42:$HL42,$HN42:$MC42),SUMPRODUCT('計算A'!$D$71:$DS$71,$CW42:$HL42))*1000+12)</f>
        <v/>
      </c>
      <c r="BO42">
        <f>IF(U42=1,1000000,IF('計算A'!$EA$22=2,SUMPRODUCT('計算A'!$D$72:$DS$72,$CW42:$HL42,$HN42:$MC42),SUMPRODUCT('計算A'!$D$72:$DS$72,$CW42:$HL42))*1000+13)</f>
        <v/>
      </c>
      <c r="BP42">
        <f>IF(V42=1,1000000,IF('計算A'!$EA$23=2,SUMPRODUCT('計算A'!$D$73:$DS$73,$CW42:$HL42,$HN42:$MC42),SUMPRODUCT('計算A'!$D$73:$DS$73,$CW42:$HL42))*1000+14)</f>
        <v/>
      </c>
      <c r="BQ42">
        <f>IF(W42=1,1000000,IF('計算A'!$EA$24=2,SUMPRODUCT('計算A'!$D$74:$DS$74,$CW42:$HL42,$HN42:$MC42),SUMPRODUCT('計算A'!$D$74:$DS$74,$CW42:$HL42))*1000+15)</f>
        <v/>
      </c>
      <c r="BR42">
        <f>IF(X42=1,1000000,IF('計算A'!$EA$25=2,SUMPRODUCT('計算A'!$D$75:$DS$75,$CW42:$HL42,$HN42:$MC42),SUMPRODUCT('計算A'!$D$75:$DS$75,$CW42:$HL42))*1000+16)</f>
        <v/>
      </c>
      <c r="BS42">
        <f>IF(Y42=1,1000000,IF('計算A'!$EA$26=2,SUMPRODUCT('計算A'!$D$76:$DS$76,$CW42:$HL42,$HN42:$MC42),SUMPRODUCT('計算A'!$D$76:$DS$76,$CW42:$HL42))*1000+17)</f>
        <v/>
      </c>
      <c r="BT42">
        <f>IF(Z42=1,1000000,IF('計算A'!$EA$27=2,SUMPRODUCT('計算A'!$D$77:$DS$77,$CW42:$HL42,$HN42:$MC42),SUMPRODUCT('計算A'!$D$77:$DS$77,$CW42:$HL42))*1000+18)</f>
        <v/>
      </c>
      <c r="BU42">
        <f>IF(AA42=1,1000000,IF('計算A'!$EA$28=2,SUMPRODUCT('計算A'!$D$78:$DS$78,$CW42:$HL42,$HN42:$MC42),SUMPRODUCT('計算A'!$D$78:$DS$78,$CW42:$HL42))*1000+19)</f>
        <v/>
      </c>
      <c r="BV42">
        <f>IF(AB42=1,1000000,IF('計算A'!$EA$29=2,SUMPRODUCT('計算A'!$D$79:$DS$79,$CW42:$HL42,$HN42:$MC42),SUMPRODUCT('計算A'!$D$79:$DS$79,$CW42:$HL42))*1000+20)</f>
        <v/>
      </c>
      <c r="BW42">
        <f>IF(AC42=1,1000000,IF('計算A'!$EA$30=2,SUMPRODUCT('計算A'!$D$80:$DS$80,$CW42:$HL42,$HN42:$MC42),SUMPRODUCT('計算A'!$D$80:$DS$80,$CW42:$HL42))*1000+21)</f>
        <v/>
      </c>
      <c r="BX42">
        <f>IF(AD42=1,1000000,IF('計算A'!$EA$31=2,SUMPRODUCT('計算A'!$D$81:$DS$81,$CW42:$HL42,$HN42:$MC42),SUMPRODUCT('計算A'!$D$81:$DS$81,$CW42:$HL42))*1000+22)</f>
        <v/>
      </c>
      <c r="BY42">
        <f>IF(AE42=1,1000000,IF('計算A'!$EA$32=2,SUMPRODUCT('計算A'!$D$82:$DS$82,$CW42:$HL42,$HN42:$MC42),SUMPRODUCT('計算A'!$D$82:$DS$82,$CW42:$HL42))*1000+23)</f>
        <v/>
      </c>
      <c r="BZ42">
        <f>IF(AF42=1,1000000,IF('計算A'!$EA$33=2,SUMPRODUCT('計算A'!$D$83:$DS$83,$CW42:$HL42,$HN42:$MC42),SUMPRODUCT('計算A'!$D$83:$DS$83,$CW42:$HL42))*1000+24)</f>
        <v/>
      </c>
      <c r="CA42">
        <f>IF(AG42=1,1000000,IF('計算A'!$EA$34=2,SUMPRODUCT('計算A'!$D$84:$DS$84,$CW42:$HL42,$HN42:$MC42),SUMPRODUCT('計算A'!$D$84:$DS$84,$CW42:$HL42))*1000+25)</f>
        <v/>
      </c>
      <c r="CB42">
        <f>IF(AH42=1,1000000,IF('計算A'!$EA$35=2,SUMPRODUCT('計算A'!$D$85:$DS$85,$CW42:$HL42,$HN42:$MC42),SUMPRODUCT('計算A'!$D$85:$DS$85,$CW42:$HL42))*1000+26)</f>
        <v/>
      </c>
      <c r="CC42">
        <f>IF(AI42=1,1000000,IF('計算A'!$EA$36=2,SUMPRODUCT('計算A'!$D$86:$DS$86,$CW42:$HL42,$HN42:$MC42),SUMPRODUCT('計算A'!$D$86:$DS$86,$CW42:$HL42))*1000+27)</f>
        <v/>
      </c>
      <c r="CD42">
        <f>IF(AJ42=1,1000000,IF('計算A'!$EA$37=2,SUMPRODUCT('計算A'!$D$87:$DS$87,$CW42:$HL42,$HN42:$MC42),SUMPRODUCT('計算A'!$D$87:$DS$87,$CW42:$HL42))*1000+28)</f>
        <v/>
      </c>
      <c r="CE42">
        <f>IF(AK42=1,1000000,IF('計算A'!$EA$38=2,SUMPRODUCT('計算A'!$D$88:$DS$88,$CW42:$HL42,$HN42:$MC42),SUMPRODUCT('計算A'!$D$88:$DS$88,$CW42:$HL42))*1000+29)</f>
        <v/>
      </c>
      <c r="CF42">
        <f>IF(AL42=1,1000000,IF('計算A'!$EA$39=2,SUMPRODUCT('計算A'!$D$89:$DS$89,$CW42:$HL42,$HN42:$MC42),SUMPRODUCT('計算A'!$D$89:$DS$89,$CW42:$HL42))*1000+30)</f>
        <v/>
      </c>
      <c r="CG42">
        <f>IF(AM42=1,1000000,IF('計算A'!$EA$40=2,SUMPRODUCT('計算A'!$D$90:$DS$90,$CW42:$HL42,$HN42:$MC42),SUMPRODUCT('計算A'!$D$90:$DS$90,$CW42:$HL42))*1000+31)</f>
        <v/>
      </c>
      <c r="CH42">
        <f>IF(AN42=1,1000000,IF('計算A'!$EA$41=2,SUMPRODUCT('計算A'!$D$91:$DS$91,$CW42:$HL42,$HN42:$MC42),SUMPRODUCT('計算A'!$D$91:$DS$91,$CW42:$HL42))*1000+32)</f>
        <v/>
      </c>
      <c r="CI42">
        <f>IF(AO42=1,1000000,IF('計算A'!$EA$42=2,SUMPRODUCT('計算A'!$D$92:$DS$92,$CW42:$HL42,$HN42:$MC42),SUMPRODUCT('計算A'!$D$92:$DS$92,$CW42:$HL42))*1000+33)</f>
        <v/>
      </c>
      <c r="CJ42">
        <f>IF(AP42=1,1000000,IF('計算A'!$EA$43=2,SUMPRODUCT('計算A'!$D$93:$DS$93,$CW42:$HL42,$HN42:$MC42),SUMPRODUCT('計算A'!$D$93:$DS$93,$CW42:$HL42))*1000+34)</f>
        <v/>
      </c>
      <c r="CK42">
        <f>IF(AQ42=1,1000000,IF('計算A'!$EA$44=2,SUMPRODUCT('計算A'!$D$94:$DS$94,$CW42:$HL42,$HN42:$MC42),SUMPRODUCT('計算A'!$D$94:$DS$94,$CW42:$HL42))*1000+35)</f>
        <v/>
      </c>
      <c r="CL42">
        <f>IF(AR42=1,1000000,IF('計算A'!$EA$45=2,SUMPRODUCT('計算A'!$D$95:$DS$95,$CW42:$HL42,$HN42:$MC42),SUMPRODUCT('計算A'!$D$95:$DS$95,$CW42:$HL42))*1000+36)</f>
        <v/>
      </c>
      <c r="CM42">
        <f>IF(AS42=1,1000000,IF('計算A'!$EA$46=2,SUMPRODUCT('計算A'!$D$96:$DS$96,$CW42:$HL42,$HN42:$MC42),SUMPRODUCT('計算A'!$D$96:$DS$96,$CW42:$HL42))*1000+37)</f>
        <v/>
      </c>
      <c r="CN42">
        <f>IF(AT42=1,1000000,IF('計算A'!$EA$47=2,SUMPRODUCT('計算A'!$D$97:$DS$97,$CW42:$HL42,$HN42:$MC42),SUMPRODUCT('計算A'!$D$97:$DS$97,$CW42:$HL42))*1000+38)</f>
        <v/>
      </c>
      <c r="CO42">
        <f>IF(AU42=1,1000000,IF('計算A'!$EA$48=2,SUMPRODUCT('計算A'!$D$98:$DS$98,$CW42:$HL42,$HN42:$MC42),SUMPRODUCT('計算A'!$D$98:$DS$98,$CW42:$HL42))*1000+39)</f>
        <v/>
      </c>
      <c r="CP42">
        <f>IF(AV42=1,1000000,IF('計算A'!$EA$49=2,SUMPRODUCT('計算A'!$D$99:$DS$99,$CW42:$HL42,$HN42:$MC42),SUMPRODUCT('計算A'!$D$99:$DS$99,$CW42:$HL42))*1000+40)</f>
        <v/>
      </c>
      <c r="CQ42">
        <f>IF(AW42=1,1000000,IF('計算A'!$EA$50=2,SUMPRODUCT('計算A'!$D$100:$DS$100,$CW42:$HL42,$HN42:$MC42),SUMPRODUCT('計算A'!$D$100:$DS$100,$CW42:$HL42))*1000+41)</f>
        <v/>
      </c>
      <c r="CR42">
        <f>IF(AX42=1,1000000,IF('計算A'!$EA$51=2,SUMPRODUCT('計算A'!$D$101:$DS$101,$CW42:$HL42,$HN42:$MC42),SUMPRODUCT('計算A'!$D$101:$DS$101,$CW42:$HL42))*1000+42)</f>
        <v/>
      </c>
      <c r="CS42">
        <f>IF(AY42=1,1000000,IF('計算A'!$EA$52=2,SUMPRODUCT('計算A'!$D$102:$DS$102,$CW42:$HL42,$HN42:$MC42),SUMPRODUCT('計算A'!$D$102:$DS$102,$CW42:$HL42))*1000+43)</f>
        <v/>
      </c>
      <c r="CT42">
        <f>IF(AZ42=1,1000000,IF('計算A'!$EA$53=2,SUMPRODUCT('計算A'!$D$103:$DS$103,$CW42:$HL42,$HN42:$MC42),SUMPRODUCT('計算A'!$D$103:$DS$103,$CW42:$HL42))*1000+44)</f>
        <v/>
      </c>
      <c r="CU42">
        <f>IF(BA42=1,1000000,IF('計算A'!$EA$54=2,SUMPRODUCT('計算A'!$D$104:$DS$104,$CW42:$HL42,$HN42:$MC42),SUMPRODUCT('計算A'!$D$104:$DS$104,$CW42:$HL42))*1000+45)</f>
        <v/>
      </c>
      <c r="CW42">
        <f>CW41*IF(OR($C41=1,$G41=1),0,1)</f>
        <v/>
      </c>
      <c r="CX42">
        <f>CX41*IF(OR($C41=2,$G41=2),0,1)</f>
        <v/>
      </c>
      <c r="CY42">
        <f>CY41*IF(OR($C41=3,$G41=3),0,1)</f>
        <v/>
      </c>
      <c r="CZ42">
        <f>CZ41*IF(OR($C41=4,$G41=4),0,1)</f>
        <v/>
      </c>
      <c r="DA42">
        <f>DA41*IF(OR($C41=5,$G41=5),0,1)</f>
        <v/>
      </c>
      <c r="DB42">
        <f>DB41*IF(OR($C41=6,$G41=6),0,1)</f>
        <v/>
      </c>
      <c r="DC42">
        <f>DC41*IF(OR($C41=7,$G41=7),0,1)</f>
        <v/>
      </c>
      <c r="DD42">
        <f>DD41*IF(OR($C41=8,$G41=8),0,1)</f>
        <v/>
      </c>
      <c r="DE42">
        <f>DE41*IF(OR($C41=9,$G41=9),0,1)</f>
        <v/>
      </c>
      <c r="DF42">
        <f>DF41*IF(OR($C41=10,$G41=10),0,1)</f>
        <v/>
      </c>
      <c r="DG42">
        <f>DG41*IF(OR($C41=11,$G41=11),0,1)</f>
        <v/>
      </c>
      <c r="DH42">
        <f>DH41*IF(OR($C41=12,$G41=12),0,1)</f>
        <v/>
      </c>
      <c r="DI42">
        <f>DI41*IF(OR($C41=13,$G41=13),0,1)</f>
        <v/>
      </c>
      <c r="DJ42">
        <f>DJ41*IF(OR($C41=14,$G41=14),0,1)</f>
        <v/>
      </c>
      <c r="DK42">
        <f>DK41*IF(OR($C41=15,$G41=15),0,1)</f>
        <v/>
      </c>
      <c r="DL42">
        <f>DL41*IF(OR($C41=16,$G41=16),0,1)</f>
        <v/>
      </c>
      <c r="DM42">
        <f>DM41*IF(OR($C41=17,$G41=17),0,1)</f>
        <v/>
      </c>
      <c r="DN42">
        <f>DN41*IF(OR($C41=18,$G41=18),0,1)</f>
        <v/>
      </c>
      <c r="DO42">
        <f>DO41*IF(OR($C41=19,$G41=19),0,1)</f>
        <v/>
      </c>
      <c r="DP42">
        <f>DP41*IF(OR($C41=20,$G41=20),0,1)</f>
        <v/>
      </c>
      <c r="DQ42">
        <f>DQ41*IF(OR($C41=21,$G41=21),0,1)</f>
        <v/>
      </c>
      <c r="DR42">
        <f>DR41*IF(OR($C41=22,$G41=22),0,1)</f>
        <v/>
      </c>
      <c r="DS42">
        <f>DS41*IF(OR($C41=23,$G41=23),0,1)</f>
        <v/>
      </c>
      <c r="DT42">
        <f>DT41*IF(OR($C41=24,$G41=24),0,1)</f>
        <v/>
      </c>
      <c r="DU42">
        <f>DU41*IF(OR($C41=25,$G41=25),0,1)</f>
        <v/>
      </c>
      <c r="DV42">
        <f>DV41*IF(OR($C41=26,$G41=26),0,1)</f>
        <v/>
      </c>
      <c r="DW42">
        <f>DW41*IF(OR($C41=27,$G41=27),0,1)</f>
        <v/>
      </c>
      <c r="DX42">
        <f>DX41*IF(OR($C41=28,$G41=28),0,1)</f>
        <v/>
      </c>
      <c r="DY42">
        <f>DY41*IF(OR($C41=29,$G41=29),0,1)</f>
        <v/>
      </c>
      <c r="DZ42">
        <f>DZ41*IF(OR($C41=30,$G41=30),0,1)</f>
        <v/>
      </c>
      <c r="EA42">
        <f>EA41*IF(OR($C41=31,$G41=31),0,1)</f>
        <v/>
      </c>
      <c r="EB42">
        <f>EB41*IF(OR($C41=32,$G41=32),0,1)</f>
        <v/>
      </c>
      <c r="EC42">
        <f>EC41*IF(OR($C41=33,$G41=33),0,1)</f>
        <v/>
      </c>
      <c r="ED42">
        <f>ED41*IF(OR($C41=34,$G41=34),0,1)</f>
        <v/>
      </c>
      <c r="EE42">
        <f>EE41*IF(OR($C41=35,$G41=35),0,1)</f>
        <v/>
      </c>
      <c r="EF42">
        <f>EF41*IF(OR($C41=36,$G41=36),0,1)</f>
        <v/>
      </c>
      <c r="EG42">
        <f>EG41*IF(OR($C41=37,$G41=37),0,1)</f>
        <v/>
      </c>
      <c r="EH42">
        <f>EH41*IF(OR($C41=38,$G41=38),0,1)</f>
        <v/>
      </c>
      <c r="EI42">
        <f>EI41*IF(OR($C41=39,$G41=39),0,1)</f>
        <v/>
      </c>
      <c r="EJ42">
        <f>EJ41*IF(OR($C41=40,$G41=40),0,1)</f>
        <v/>
      </c>
      <c r="EK42">
        <f>EK41*IF(OR($C41=41,$G41=41),0,1)</f>
        <v/>
      </c>
      <c r="EL42">
        <f>EL41*IF(OR($C41=42,$G41=42),0,1)</f>
        <v/>
      </c>
      <c r="EM42">
        <f>EM41*IF(OR($C41=43,$G41=43),0,1)</f>
        <v/>
      </c>
      <c r="EN42">
        <f>EN41*IF(OR($C41=44,$G41=44),0,1)</f>
        <v/>
      </c>
      <c r="EO42">
        <f>EO41*IF(OR($C41=45,$G41=45),0,1)</f>
        <v/>
      </c>
      <c r="EP42">
        <f>EP41*IF(OR($C41=46,$G41=46),0,1)</f>
        <v/>
      </c>
      <c r="EQ42">
        <f>EQ41*IF(OR($C41=47,$G41=47),0,1)</f>
        <v/>
      </c>
      <c r="ER42">
        <f>ER41*IF(OR($C41=48,$G41=48),0,1)</f>
        <v/>
      </c>
      <c r="ES42">
        <f>ES41*IF(OR($C41=49,$G41=49),0,1)</f>
        <v/>
      </c>
      <c r="ET42">
        <f>ET41*IF(OR($C41=50,$G41=50),0,1)</f>
        <v/>
      </c>
      <c r="EU42">
        <f>EU41*IF(OR($C41=51,$G41=51),0,1)</f>
        <v/>
      </c>
      <c r="EV42">
        <f>EV41*IF(OR($C41=52,$G41=52),0,1)</f>
        <v/>
      </c>
      <c r="EW42">
        <f>EW41*IF(OR($C41=53,$G41=53),0,1)</f>
        <v/>
      </c>
      <c r="EX42">
        <f>EX41*IF(OR($C41=54,$G41=54),0,1)</f>
        <v/>
      </c>
      <c r="EY42">
        <f>EY41*IF(OR($C41=55,$G41=55),0,1)</f>
        <v/>
      </c>
      <c r="EZ42">
        <f>EZ41*IF(OR($C41=56,$G41=56),0,1)</f>
        <v/>
      </c>
      <c r="FA42">
        <f>FA41*IF(OR($C41=57,$G41=57),0,1)</f>
        <v/>
      </c>
      <c r="FB42">
        <f>FB41*IF(OR($C41=58,$G41=58),0,1)</f>
        <v/>
      </c>
      <c r="FC42">
        <f>FC41*IF(OR($C41=59,$G41=59),0,1)</f>
        <v/>
      </c>
      <c r="FD42">
        <f>FD41*IF(OR($C41=60,$G41=60),0,1)</f>
        <v/>
      </c>
      <c r="FE42">
        <f>FE41*IF(OR($C41=61,$G41=61),0,1)</f>
        <v/>
      </c>
      <c r="FF42">
        <f>FF41*IF(OR($C41=62,$G41=62),0,1)</f>
        <v/>
      </c>
      <c r="FG42">
        <f>FG41*IF(OR($C41=63,$G41=63),0,1)</f>
        <v/>
      </c>
      <c r="FH42">
        <f>FH41*IF(OR($C41=64,$G41=64),0,1)</f>
        <v/>
      </c>
      <c r="FI42">
        <f>FI41*IF(OR($C41=65,$G41=65),0,1)</f>
        <v/>
      </c>
      <c r="FJ42">
        <f>FJ41*IF(OR($C41=66,$G41=66),0,1)</f>
        <v/>
      </c>
      <c r="FK42">
        <f>FK41*IF(OR($C41=67,$G41=67),0,1)</f>
        <v/>
      </c>
      <c r="FL42">
        <f>FL41*IF(OR($C41=68,$G41=68),0,1)</f>
        <v/>
      </c>
      <c r="FM42">
        <f>FM41*IF(OR($C41=69,$G41=69),0,1)</f>
        <v/>
      </c>
      <c r="FN42">
        <f>FN41*IF(OR($C41=70,$G41=70),0,1)</f>
        <v/>
      </c>
      <c r="FO42">
        <f>FO41*IF(OR($C41=71,$G41=71),0,1)</f>
        <v/>
      </c>
      <c r="FP42">
        <f>FP41*IF(OR($C41=72,$G41=72),0,1)</f>
        <v/>
      </c>
      <c r="FQ42">
        <f>FQ41*IF(OR($C41=73,$G41=73),0,1)</f>
        <v/>
      </c>
      <c r="FR42">
        <f>FR41*IF(OR($C41=74,$G41=74),0,1)</f>
        <v/>
      </c>
      <c r="FS42">
        <f>FS41*IF(OR($C41=75,$G41=75),0,1)</f>
        <v/>
      </c>
      <c r="FT42">
        <f>FT41*IF(OR($C41=76,$G41=76),0,1)</f>
        <v/>
      </c>
      <c r="FU42">
        <f>FU41*IF(OR($C41=77,$G41=77),0,1)</f>
        <v/>
      </c>
      <c r="FV42">
        <f>FV41*IF(OR($C41=78,$G41=78),0,1)</f>
        <v/>
      </c>
      <c r="FW42">
        <f>FW41*IF(OR($C41=79,$G41=79),0,1)</f>
        <v/>
      </c>
      <c r="FX42">
        <f>FX41*IF(OR($C41=80,$G41=80),0,1)</f>
        <v/>
      </c>
      <c r="FY42">
        <f>FY41*IF(OR($C41=81,$G41=81),0,1)</f>
        <v/>
      </c>
      <c r="FZ42">
        <f>FZ41*IF(OR($C41=82,$G41=82),0,1)</f>
        <v/>
      </c>
      <c r="GA42">
        <f>GA41*IF(OR($C41=83,$G41=83),0,1)</f>
        <v/>
      </c>
      <c r="GB42">
        <f>GB41*IF(OR($C41=84,$G41=84),0,1)</f>
        <v/>
      </c>
      <c r="GC42">
        <f>GC41*IF(OR($C41=85,$G41=85),0,1)</f>
        <v/>
      </c>
      <c r="GD42">
        <f>GD41*IF(OR($C41=86,$G41=86),0,1)</f>
        <v/>
      </c>
      <c r="GE42">
        <f>GE41*IF(OR($C41=87,$G41=87),0,1)</f>
        <v/>
      </c>
      <c r="GF42">
        <f>GF41*IF(OR($C41=88,$G41=88),0,1)</f>
        <v/>
      </c>
      <c r="GG42">
        <f>GG41*IF(OR($C41=89,$G41=89),0,1)</f>
        <v/>
      </c>
      <c r="GH42">
        <f>GH41*IF(OR($C41=90,$G41=90),0,1)</f>
        <v/>
      </c>
      <c r="GI42">
        <f>GI41*IF(OR($C41=91,$G41=91),0,1)</f>
        <v/>
      </c>
      <c r="GJ42">
        <f>GJ41*IF(OR($C41=92,$G41=92),0,1)</f>
        <v/>
      </c>
      <c r="GK42">
        <f>GK41*IF(OR($C41=93,$G41=93),0,1)</f>
        <v/>
      </c>
      <c r="GL42">
        <f>GL41*IF(OR($C41=94,$G41=94),0,1)</f>
        <v/>
      </c>
      <c r="GM42">
        <f>GM41*IF(OR($C41=95,$G41=95),0,1)</f>
        <v/>
      </c>
      <c r="GN42">
        <f>GN41*IF(OR($C41=96,$G41=96),0,1)</f>
        <v/>
      </c>
      <c r="GO42">
        <f>GO41*IF(OR($C41=97,$G41=97),0,1)</f>
        <v/>
      </c>
      <c r="GP42">
        <f>GP41*IF(OR($C41=98,$G41=98),0,1)</f>
        <v/>
      </c>
      <c r="GQ42">
        <f>GQ41*IF(OR($C41=99,$G41=99),0,1)</f>
        <v/>
      </c>
      <c r="GR42">
        <f>GR41*IF(OR($C41=100,$G41=100),0,1)</f>
        <v/>
      </c>
      <c r="GS42">
        <f>GS41*IF(OR($C41=101,$G41=101),0,1)</f>
        <v/>
      </c>
      <c r="GT42">
        <f>GT41*IF(OR($C41=102,$G41=102),0,1)</f>
        <v/>
      </c>
      <c r="GU42">
        <f>GU41*IF(OR($C41=103,$G41=103),0,1)</f>
        <v/>
      </c>
      <c r="GV42">
        <f>GV41*IF(OR($C41=104,$G41=104),0,1)</f>
        <v/>
      </c>
      <c r="GW42">
        <f>GW41*IF(OR($C41=105,$G41=105),0,1)</f>
        <v/>
      </c>
      <c r="GX42">
        <f>GX41*IF(OR($C41=106,$G41=106),0,1)</f>
        <v/>
      </c>
      <c r="GY42">
        <f>GY41*IF(OR($C41=107,$G41=107),0,1)</f>
        <v/>
      </c>
      <c r="GZ42">
        <f>GZ41*IF(OR($C41=108,$G41=108),0,1)</f>
        <v/>
      </c>
      <c r="HA42">
        <f>HA41*IF(OR($C41=109,$G41=109),0,1)</f>
        <v/>
      </c>
      <c r="HB42">
        <f>HB41*IF(OR($C41=110,$G41=110),0,1)</f>
        <v/>
      </c>
      <c r="HC42">
        <f>HC41*IF(OR($C41=111,$G41=111),0,1)</f>
        <v/>
      </c>
      <c r="HD42">
        <f>HD41*IF(OR($C41=112,$G41=112),0,1)</f>
        <v/>
      </c>
      <c r="HE42">
        <f>HE41*IF(OR($C41=113,$G41=113),0,1)</f>
        <v/>
      </c>
      <c r="HF42">
        <f>HF41*IF(OR($C41=114,$G41=114),0,1)</f>
        <v/>
      </c>
      <c r="HG42">
        <f>HG41*IF(OR($C41=115,$G41=115),0,1)</f>
        <v/>
      </c>
      <c r="HH42">
        <f>HH41*IF(OR($C41=116,$G41=116),0,1)</f>
        <v/>
      </c>
      <c r="HI42">
        <f>HI41*IF(OR($C41=117,$G41=117),0,1)</f>
        <v/>
      </c>
      <c r="HJ42">
        <f>HJ41*IF(OR($C41=118,$G41=118),0,1)</f>
        <v/>
      </c>
      <c r="HK42">
        <f>HK41*IF(OR($C41=119,$G41=119),0,1)</f>
        <v/>
      </c>
      <c r="HL42">
        <f>HL41*IF(OR($C41=120,$G41=120),0,1)</f>
        <v/>
      </c>
      <c r="HN42">
        <f>IF('計算A'!D$106=1,CX42,1)</f>
        <v/>
      </c>
      <c r="HO42">
        <f>IF('計算A'!E$106=1,CY42,1)</f>
        <v/>
      </c>
      <c r="HP42">
        <f>IF('計算A'!F$106=1,CZ42,1)</f>
        <v/>
      </c>
      <c r="HQ42">
        <f>IF('計算A'!G$106=1,DA42,1)</f>
        <v/>
      </c>
      <c r="HR42">
        <f>IF('計算A'!H$106=1,DB42,1)</f>
        <v/>
      </c>
      <c r="HS42">
        <f>IF('計算A'!I$106=1,DC42,1)</f>
        <v/>
      </c>
      <c r="HT42">
        <f>IF('計算A'!J$106=1,DD42,1)</f>
        <v/>
      </c>
      <c r="HU42">
        <f>IF('計算A'!K$106=1,DE42,1)</f>
        <v/>
      </c>
      <c r="HV42">
        <f>IF('計算A'!L$106=1,DF42,1)</f>
        <v/>
      </c>
      <c r="HW42">
        <f>IF('計算A'!M$106=1,DG42,1)</f>
        <v/>
      </c>
      <c r="HX42">
        <f>IF('計算A'!N$106=1,DH42,1)</f>
        <v/>
      </c>
      <c r="HY42">
        <f>IF('計算A'!O$106=1,DI42,1)</f>
        <v/>
      </c>
      <c r="HZ42">
        <f>IF('計算A'!P$106=1,DJ42,1)</f>
        <v/>
      </c>
      <c r="IA42">
        <f>IF('計算A'!Q$106=1,DK42,1)</f>
        <v/>
      </c>
      <c r="IB42">
        <f>IF('計算A'!R$106=1,DL42,1)</f>
        <v/>
      </c>
      <c r="IC42">
        <f>IF('計算A'!S$106=1,DM42,1)</f>
        <v/>
      </c>
      <c r="ID42">
        <f>IF('計算A'!T$106=1,DN42,1)</f>
        <v/>
      </c>
      <c r="IE42">
        <f>IF('計算A'!U$106=1,DO42,1)</f>
        <v/>
      </c>
      <c r="IF42">
        <f>IF('計算A'!V$106=1,DP42,1)</f>
        <v/>
      </c>
      <c r="IG42">
        <f>IF('計算A'!W$106=1,DQ42,1)</f>
        <v/>
      </c>
      <c r="IH42">
        <f>IF('計算A'!X$106=1,DR42,1)</f>
        <v/>
      </c>
      <c r="II42">
        <f>IF('計算A'!Y$106=1,DS42,1)</f>
        <v/>
      </c>
      <c r="IJ42">
        <f>IF('計算A'!Z$106=1,DT42,1)</f>
        <v/>
      </c>
      <c r="IK42">
        <f>IF('計算A'!AA$106=1,DU42,1)</f>
        <v/>
      </c>
      <c r="IL42">
        <f>IF('計算A'!AB$106=1,DV42,1)</f>
        <v/>
      </c>
      <c r="IM42">
        <f>IF('計算A'!AC$106=1,DW42,1)</f>
        <v/>
      </c>
      <c r="IN42">
        <f>IF('計算A'!AD$106=1,DX42,1)</f>
        <v/>
      </c>
      <c r="IO42">
        <f>IF('計算A'!AE$106=1,DY42,1)</f>
        <v/>
      </c>
      <c r="IP42">
        <f>IF('計算A'!AF$106=1,DZ42,1)</f>
        <v/>
      </c>
      <c r="IQ42">
        <f>IF('計算A'!AG$106=1,EA42,1)</f>
        <v/>
      </c>
      <c r="IR42">
        <f>IF('計算A'!AH$106=1,EB42,1)</f>
        <v/>
      </c>
      <c r="IS42">
        <f>IF('計算A'!AI$106=1,EC42,1)</f>
        <v/>
      </c>
      <c r="IT42">
        <f>IF('計算A'!AJ$106=1,ED42,1)</f>
        <v/>
      </c>
      <c r="IU42">
        <f>IF('計算A'!AK$106=1,EE42,1)</f>
        <v/>
      </c>
      <c r="IV42">
        <f>IF('計算A'!AL$106=1,EF42,1)</f>
        <v/>
      </c>
      <c r="IW42">
        <f>IF('計算A'!AM$106=1,EG42,1)</f>
        <v/>
      </c>
      <c r="IX42">
        <f>IF('計算A'!AN$106=1,EH42,1)</f>
        <v/>
      </c>
      <c r="IY42">
        <f>IF('計算A'!AO$106=1,EI42,1)</f>
        <v/>
      </c>
      <c r="IZ42">
        <f>IF('計算A'!AP$106=1,EJ42,1)</f>
        <v/>
      </c>
      <c r="JA42">
        <f>IF('計算A'!AQ$106=1,EK42,1)</f>
        <v/>
      </c>
      <c r="JB42">
        <f>IF('計算A'!AR$106=1,EL42,1)</f>
        <v/>
      </c>
      <c r="JC42">
        <f>IF('計算A'!AS$106=1,EM42,1)</f>
        <v/>
      </c>
      <c r="JD42">
        <f>IF('計算A'!AT$106=1,EN42,1)</f>
        <v/>
      </c>
      <c r="JE42">
        <f>IF('計算A'!AU$106=1,EO42,1)</f>
        <v/>
      </c>
      <c r="JF42">
        <f>IF('計算A'!AV$106=1,EP42,1)</f>
        <v/>
      </c>
      <c r="JG42">
        <f>IF('計算A'!AW$106=1,EQ42,1)</f>
        <v/>
      </c>
      <c r="JH42">
        <f>IF('計算A'!AX$106=1,ER42,1)</f>
        <v/>
      </c>
      <c r="JI42">
        <f>IF('計算A'!AY$106=1,ES42,1)</f>
        <v/>
      </c>
      <c r="JJ42">
        <f>IF('計算A'!AZ$106=1,ET42,1)</f>
        <v/>
      </c>
      <c r="JK42">
        <f>IF('計算A'!BA$106=1,EU42,1)</f>
        <v/>
      </c>
      <c r="JL42">
        <f>IF('計算A'!BB$106=1,EV42,1)</f>
        <v/>
      </c>
      <c r="JM42">
        <f>IF('計算A'!BC$106=1,EW42,1)</f>
        <v/>
      </c>
      <c r="JN42">
        <f>IF('計算A'!BD$106=1,EX42,1)</f>
        <v/>
      </c>
      <c r="JO42">
        <f>IF('計算A'!BE$106=1,EY42,1)</f>
        <v/>
      </c>
      <c r="JP42">
        <f>IF('計算A'!BF$106=1,EZ42,1)</f>
        <v/>
      </c>
      <c r="JQ42">
        <f>IF('計算A'!BG$106=1,FA42,1)</f>
        <v/>
      </c>
      <c r="JR42">
        <f>IF('計算A'!BH$106=1,FB42,1)</f>
        <v/>
      </c>
      <c r="JS42">
        <f>IF('計算A'!BI$106=1,FC42,1)</f>
        <v/>
      </c>
      <c r="JT42">
        <f>IF('計算A'!BJ$106=1,FD42,1)</f>
        <v/>
      </c>
      <c r="JU42">
        <f>IF('計算A'!BK$106=1,FE42,1)</f>
        <v/>
      </c>
      <c r="JV42">
        <f>IF('計算A'!BL$106=1,FF42,1)</f>
        <v/>
      </c>
      <c r="JW42">
        <f>IF('計算A'!BM$106=1,FG42,1)</f>
        <v/>
      </c>
      <c r="JX42">
        <f>IF('計算A'!BN$106=1,FH42,1)</f>
        <v/>
      </c>
      <c r="JY42">
        <f>IF('計算A'!BO$106=1,FI42,1)</f>
        <v/>
      </c>
      <c r="JZ42">
        <f>IF('計算A'!BP$106=1,FJ42,1)</f>
        <v/>
      </c>
      <c r="KA42">
        <f>IF('計算A'!BQ$106=1,FK42,1)</f>
        <v/>
      </c>
      <c r="KB42">
        <f>IF('計算A'!BR$106=1,FL42,1)</f>
        <v/>
      </c>
      <c r="KC42">
        <f>IF('計算A'!BS$106=1,FM42,1)</f>
        <v/>
      </c>
      <c r="KD42">
        <f>IF('計算A'!BT$106=1,FN42,1)</f>
        <v/>
      </c>
      <c r="KE42">
        <f>IF('計算A'!BU$106=1,FO42,1)</f>
        <v/>
      </c>
      <c r="KF42">
        <f>IF('計算A'!BV$106=1,FP42,1)</f>
        <v/>
      </c>
      <c r="KG42">
        <f>IF('計算A'!BW$106=1,FQ42,1)</f>
        <v/>
      </c>
      <c r="KH42">
        <f>IF('計算A'!BX$106=1,FR42,1)</f>
        <v/>
      </c>
      <c r="KI42">
        <f>IF('計算A'!BY$106=1,FS42,1)</f>
        <v/>
      </c>
      <c r="KJ42">
        <f>IF('計算A'!BZ$106=1,FT42,1)</f>
        <v/>
      </c>
      <c r="KK42">
        <f>IF('計算A'!CA$106=1,FU42,1)</f>
        <v/>
      </c>
      <c r="KL42">
        <f>IF('計算A'!CB$106=1,FV42,1)</f>
        <v/>
      </c>
      <c r="KM42">
        <f>IF('計算A'!CC$106=1,FW42,1)</f>
        <v/>
      </c>
      <c r="KN42">
        <f>IF('計算A'!CD$106=1,FX42,1)</f>
        <v/>
      </c>
      <c r="KO42">
        <f>IF('計算A'!CE$106=1,FY42,1)</f>
        <v/>
      </c>
      <c r="KP42">
        <f>IF('計算A'!CF$106=1,FZ42,1)</f>
        <v/>
      </c>
      <c r="KQ42">
        <f>IF('計算A'!CG$106=1,GA42,1)</f>
        <v/>
      </c>
      <c r="KR42">
        <f>IF('計算A'!CH$106=1,GB42,1)</f>
        <v/>
      </c>
      <c r="KS42">
        <f>IF('計算A'!CI$106=1,GC42,1)</f>
        <v/>
      </c>
      <c r="KT42">
        <f>IF('計算A'!CJ$106=1,GD42,1)</f>
        <v/>
      </c>
      <c r="KU42">
        <f>IF('計算A'!CK$106=1,GE42,1)</f>
        <v/>
      </c>
      <c r="KV42">
        <f>IF('計算A'!CL$106=1,GF42,1)</f>
        <v/>
      </c>
      <c r="KW42">
        <f>IF('計算A'!CM$106=1,GG42,1)</f>
        <v/>
      </c>
      <c r="KX42">
        <f>IF('計算A'!CN$106=1,GH42,1)</f>
        <v/>
      </c>
      <c r="KY42">
        <f>IF('計算A'!CO$106=1,GI42,1)</f>
        <v/>
      </c>
      <c r="KZ42">
        <f>IF('計算A'!CP$106=1,GJ42,1)</f>
        <v/>
      </c>
      <c r="LA42">
        <f>IF('計算A'!CQ$106=1,GK42,1)</f>
        <v/>
      </c>
      <c r="LB42">
        <f>IF('計算A'!CR$106=1,GL42,1)</f>
        <v/>
      </c>
      <c r="LC42">
        <f>IF('計算A'!CS$106=1,GM42,1)</f>
        <v/>
      </c>
      <c r="LD42">
        <f>IF('計算A'!CT$106=1,GN42,1)</f>
        <v/>
      </c>
      <c r="LE42">
        <f>IF('計算A'!CU$106=1,GO42,1)</f>
        <v/>
      </c>
      <c r="LF42">
        <f>IF('計算A'!CV$106=1,GP42,1)</f>
        <v/>
      </c>
      <c r="LG42">
        <f>IF('計算A'!CW$106=1,GQ42,1)</f>
        <v/>
      </c>
      <c r="LH42">
        <f>IF('計算A'!CX$106=1,GR42,1)</f>
        <v/>
      </c>
      <c r="LI42">
        <f>IF('計算A'!CY$106=1,GS42,1)</f>
        <v/>
      </c>
      <c r="LJ42">
        <f>IF('計算A'!CZ$106=1,GT42,1)</f>
        <v/>
      </c>
      <c r="LK42">
        <f>IF('計算A'!DA$106=1,GU42,1)</f>
        <v/>
      </c>
      <c r="LL42">
        <f>IF('計算A'!DB$106=1,GV42,1)</f>
        <v/>
      </c>
      <c r="LM42">
        <f>IF('計算A'!DC$106=1,GW42,1)</f>
        <v/>
      </c>
      <c r="LN42">
        <f>IF('計算A'!DD$106=1,GX42,1)</f>
        <v/>
      </c>
      <c r="LO42">
        <f>IF('計算A'!DE$106=1,GY42,1)</f>
        <v/>
      </c>
      <c r="LP42">
        <f>IF('計算A'!DF$106=1,GZ42,1)</f>
        <v/>
      </c>
      <c r="LQ42">
        <f>IF('計算A'!DG$106=1,HA42,1)</f>
        <v/>
      </c>
      <c r="LR42">
        <f>IF('計算A'!DH$106=1,HB42,1)</f>
        <v/>
      </c>
      <c r="LS42">
        <f>IF('計算A'!DI$106=1,HC42,1)</f>
        <v/>
      </c>
      <c r="LT42">
        <f>IF('計算A'!DJ$106=1,HD42,1)</f>
        <v/>
      </c>
      <c r="LU42">
        <f>IF('計算A'!DK$106=1,HE42,1)</f>
        <v/>
      </c>
      <c r="LV42">
        <f>IF('計算A'!DL$106=1,HF42,1)</f>
        <v/>
      </c>
      <c r="LW42">
        <f>IF('計算A'!DM$106=1,HG42,1)</f>
        <v/>
      </c>
      <c r="LX42">
        <f>IF('計算A'!DN$106=1,HH42,1)</f>
        <v/>
      </c>
      <c r="LY42">
        <f>IF('計算A'!DO$106=1,HI42,1)</f>
        <v/>
      </c>
      <c r="LZ42">
        <f>IF('計算A'!DP$106=1,HJ42,1)</f>
        <v/>
      </c>
      <c r="MA42">
        <f>IF('計算A'!DQ$106=1,HK42,1)</f>
        <v/>
      </c>
      <c r="MB42">
        <f>IF('計算A'!DR$106=1,HL42,1)</f>
        <v/>
      </c>
      <c r="MC42" t="n">
        <v>1</v>
      </c>
      <c r="ME42">
        <f>IF($B42=0,1000000,IF(INDEX('計算A'!$D$60:$DS$104,$B42,1)*CW42=1,IF(AND($E42=2,HN42=0),1000000,INDEX('計算A'!D$110:D$114,$F42+1)+IF(AND($E42=1,HN42=0),1000,0)),1000000))</f>
        <v/>
      </c>
      <c r="MF42">
        <f>IF($B42=0,1000000,IF(INDEX('計算A'!$D$60:$DS$104,$B42,2)*CX42=1,IF(AND($E42=2,HO42=0),1000000,INDEX('計算A'!E$110:E$114,$F42+1)+IF(AND($E42=1,HO42=0),1000,0)),1000000))</f>
        <v/>
      </c>
      <c r="MG42">
        <f>IF($B42=0,1000000,IF(INDEX('計算A'!$D$60:$DS$104,$B42,3)*CY42=1,IF(AND($E42=2,HP42=0),1000000,INDEX('計算A'!F$110:F$114,$F42+1)+IF(AND($E42=1,HP42=0),1000,0)),1000000))</f>
        <v/>
      </c>
      <c r="MH42">
        <f>IF($B42=0,1000000,IF(INDEX('計算A'!$D$60:$DS$104,$B42,4)*CZ42=1,IF(AND($E42=2,HQ42=0),1000000,INDEX('計算A'!G$110:G$114,$F42+1)+IF(AND($E42=1,HQ42=0),1000,0)),1000000))</f>
        <v/>
      </c>
      <c r="MI42">
        <f>IF($B42=0,1000000,IF(INDEX('計算A'!$D$60:$DS$104,$B42,5)*DA42=1,IF(AND($E42=2,HR42=0),1000000,INDEX('計算A'!H$110:H$114,$F42+1)+IF(AND($E42=1,HR42=0),1000,0)),1000000))</f>
        <v/>
      </c>
      <c r="MJ42">
        <f>IF($B42=0,1000000,IF(INDEX('計算A'!$D$60:$DS$104,$B42,6)*DB42=1,IF(AND($E42=2,HS42=0),1000000,INDEX('計算A'!I$110:I$114,$F42+1)+IF(AND($E42=1,HS42=0),1000,0)),1000000))</f>
        <v/>
      </c>
      <c r="MK42">
        <f>IF($B42=0,1000000,IF(INDEX('計算A'!$D$60:$DS$104,$B42,7)*DC42=1,IF(AND($E42=2,HT42=0),1000000,INDEX('計算A'!J$110:J$114,$F42+1)+IF(AND($E42=1,HT42=0),1000,0)),1000000))</f>
        <v/>
      </c>
      <c r="ML42">
        <f>IF($B42=0,1000000,IF(INDEX('計算A'!$D$60:$DS$104,$B42,8)*DD42=1,IF(AND($E42=2,HU42=0),1000000,INDEX('計算A'!K$110:K$114,$F42+1)+IF(AND($E42=1,HU42=0),1000,0)),1000000))</f>
        <v/>
      </c>
      <c r="MM42">
        <f>IF($B42=0,1000000,IF(INDEX('計算A'!$D$60:$DS$104,$B42,9)*DE42=1,IF(AND($E42=2,HV42=0),1000000,INDEX('計算A'!L$110:L$114,$F42+1)+IF(AND($E42=1,HV42=0),1000,0)),1000000))</f>
        <v/>
      </c>
      <c r="MN42">
        <f>IF($B42=0,1000000,IF(INDEX('計算A'!$D$60:$DS$104,$B42,10)*DF42=1,IF(AND($E42=2,HW42=0),1000000,INDEX('計算A'!M$110:M$114,$F42+1)+IF(AND($E42=1,HW42=0),1000,0)),1000000))</f>
        <v/>
      </c>
      <c r="MO42">
        <f>IF($B42=0,1000000,IF(INDEX('計算A'!$D$60:$DS$104,$B42,11)*DG42=1,IF(AND($E42=2,HX42=0),1000000,INDEX('計算A'!N$110:N$114,$F42+1)+IF(AND($E42=1,HX42=0),1000,0)),1000000))</f>
        <v/>
      </c>
      <c r="MP42">
        <f>IF($B42=0,1000000,IF(INDEX('計算A'!$D$60:$DS$104,$B42,12)*DH42=1,IF(AND($E42=2,HY42=0),1000000,INDEX('計算A'!O$110:O$114,$F42+1)+IF(AND($E42=1,HY42=0),1000,0)),1000000))</f>
        <v/>
      </c>
      <c r="MQ42">
        <f>IF($B42=0,1000000,IF(INDEX('計算A'!$D$60:$DS$104,$B42,13)*DI42=1,IF(AND($E42=2,HZ42=0),1000000,INDEX('計算A'!P$110:P$114,$F42+1)+IF(AND($E42=1,HZ42=0),1000,0)),1000000))</f>
        <v/>
      </c>
      <c r="MR42">
        <f>IF($B42=0,1000000,IF(INDEX('計算A'!$D$60:$DS$104,$B42,14)*DJ42=1,IF(AND($E42=2,IA42=0),1000000,INDEX('計算A'!Q$110:Q$114,$F42+1)+IF(AND($E42=1,IA42=0),1000,0)),1000000))</f>
        <v/>
      </c>
      <c r="MS42">
        <f>IF($B42=0,1000000,IF(INDEX('計算A'!$D$60:$DS$104,$B42,15)*DK42=1,IF(AND($E42=2,IB42=0),1000000,INDEX('計算A'!R$110:R$114,$F42+1)+IF(AND($E42=1,IB42=0),1000,0)),1000000))</f>
        <v/>
      </c>
      <c r="MT42">
        <f>IF($B42=0,1000000,IF(INDEX('計算A'!$D$60:$DS$104,$B42,16)*DL42=1,IF(AND($E42=2,IC42=0),1000000,INDEX('計算A'!S$110:S$114,$F42+1)+IF(AND($E42=1,IC42=0),1000,0)),1000000))</f>
        <v/>
      </c>
      <c r="MU42">
        <f>IF($B42=0,1000000,IF(INDEX('計算A'!$D$60:$DS$104,$B42,17)*DM42=1,IF(AND($E42=2,ID42=0),1000000,INDEX('計算A'!T$110:T$114,$F42+1)+IF(AND($E42=1,ID42=0),1000,0)),1000000))</f>
        <v/>
      </c>
      <c r="MV42">
        <f>IF($B42=0,1000000,IF(INDEX('計算A'!$D$60:$DS$104,$B42,18)*DN42=1,IF(AND($E42=2,IE42=0),1000000,INDEX('計算A'!U$110:U$114,$F42+1)+IF(AND($E42=1,IE42=0),1000,0)),1000000))</f>
        <v/>
      </c>
      <c r="MW42">
        <f>IF($B42=0,1000000,IF(INDEX('計算A'!$D$60:$DS$104,$B42,19)*DO42=1,IF(AND($E42=2,IF42=0),1000000,INDEX('計算A'!V$110:V$114,$F42+1)+IF(AND($E42=1,IF42=0),1000,0)),1000000))</f>
        <v/>
      </c>
      <c r="MX42">
        <f>IF($B42=0,1000000,IF(INDEX('計算A'!$D$60:$DS$104,$B42,20)*DP42=1,IF(AND($E42=2,IG42=0),1000000,INDEX('計算A'!W$110:W$114,$F42+1)+IF(AND($E42=1,IG42=0),1000,0)),1000000))</f>
        <v/>
      </c>
      <c r="MY42">
        <f>IF($B42=0,1000000,IF(INDEX('計算A'!$D$60:$DS$104,$B42,21)*DQ42=1,IF(AND($E42=2,IH42=0),1000000,INDEX('計算A'!X$110:X$114,$F42+1)+IF(AND($E42=1,IH42=0),1000,0)),1000000))</f>
        <v/>
      </c>
      <c r="MZ42">
        <f>IF($B42=0,1000000,IF(INDEX('計算A'!$D$60:$DS$104,$B42,22)*DR42=1,IF(AND($E42=2,II42=0),1000000,INDEX('計算A'!Y$110:Y$114,$F42+1)+IF(AND($E42=1,II42=0),1000,0)),1000000))</f>
        <v/>
      </c>
      <c r="NA42">
        <f>IF($B42=0,1000000,IF(INDEX('計算A'!$D$60:$DS$104,$B42,23)*DS42=1,IF(AND($E42=2,IJ42=0),1000000,INDEX('計算A'!Z$110:Z$114,$F42+1)+IF(AND($E42=1,IJ42=0),1000,0)),1000000))</f>
        <v/>
      </c>
      <c r="NB42">
        <f>IF($B42=0,1000000,IF(INDEX('計算A'!$D$60:$DS$104,$B42,24)*DT42=1,IF(AND($E42=2,IK42=0),1000000,INDEX('計算A'!AA$110:AA$114,$F42+1)+IF(AND($E42=1,IK42=0),1000,0)),1000000))</f>
        <v/>
      </c>
      <c r="NC42">
        <f>IF($B42=0,1000000,IF(INDEX('計算A'!$D$60:$DS$104,$B42,25)*DU42=1,IF(AND($E42=2,IL42=0),1000000,INDEX('計算A'!AB$110:AB$114,$F42+1)+IF(AND($E42=1,IL42=0),1000,0)),1000000))</f>
        <v/>
      </c>
      <c r="ND42">
        <f>IF($B42=0,1000000,IF(INDEX('計算A'!$D$60:$DS$104,$B42,26)*DV42=1,IF(AND($E42=2,IM42=0),1000000,INDEX('計算A'!AC$110:AC$114,$F42+1)+IF(AND($E42=1,IM42=0),1000,0)),1000000))</f>
        <v/>
      </c>
      <c r="NE42">
        <f>IF($B42=0,1000000,IF(INDEX('計算A'!$D$60:$DS$104,$B42,27)*DW42=1,IF(AND($E42=2,IN42=0),1000000,INDEX('計算A'!AD$110:AD$114,$F42+1)+IF(AND($E42=1,IN42=0),1000,0)),1000000))</f>
        <v/>
      </c>
      <c r="NF42">
        <f>IF($B42=0,1000000,IF(INDEX('計算A'!$D$60:$DS$104,$B42,28)*DX42=1,IF(AND($E42=2,IO42=0),1000000,INDEX('計算A'!AE$110:AE$114,$F42+1)+IF(AND($E42=1,IO42=0),1000,0)),1000000))</f>
        <v/>
      </c>
      <c r="NG42">
        <f>IF($B42=0,1000000,IF(INDEX('計算A'!$D$60:$DS$104,$B42,29)*DY42=1,IF(AND($E42=2,IP42=0),1000000,INDEX('計算A'!AF$110:AF$114,$F42+1)+IF(AND($E42=1,IP42=0),1000,0)),1000000))</f>
        <v/>
      </c>
      <c r="NH42">
        <f>IF($B42=0,1000000,IF(INDEX('計算A'!$D$60:$DS$104,$B42,30)*DZ42=1,IF(AND($E42=2,IQ42=0),1000000,INDEX('計算A'!AG$110:AG$114,$F42+1)+IF(AND($E42=1,IQ42=0),1000,0)),1000000))</f>
        <v/>
      </c>
      <c r="NI42">
        <f>IF($B42=0,1000000,IF(INDEX('計算A'!$D$60:$DS$104,$B42,31)*EA42=1,IF(AND($E42=2,IR42=0),1000000,INDEX('計算A'!AH$110:AH$114,$F42+1)+IF(AND($E42=1,IR42=0),1000,0)),1000000))</f>
        <v/>
      </c>
      <c r="NJ42">
        <f>IF($B42=0,1000000,IF(INDEX('計算A'!$D$60:$DS$104,$B42,32)*EB42=1,IF(AND($E42=2,IS42=0),1000000,INDEX('計算A'!AI$110:AI$114,$F42+1)+IF(AND($E42=1,IS42=0),1000,0)),1000000))</f>
        <v/>
      </c>
      <c r="NK42">
        <f>IF($B42=0,1000000,IF(INDEX('計算A'!$D$60:$DS$104,$B42,33)*EC42=1,IF(AND($E42=2,IT42=0),1000000,INDEX('計算A'!AJ$110:AJ$114,$F42+1)+IF(AND($E42=1,IT42=0),1000,0)),1000000))</f>
        <v/>
      </c>
      <c r="NL42">
        <f>IF($B42=0,1000000,IF(INDEX('計算A'!$D$60:$DS$104,$B42,34)*ED42=1,IF(AND($E42=2,IU42=0),1000000,INDEX('計算A'!AK$110:AK$114,$F42+1)+IF(AND($E42=1,IU42=0),1000,0)),1000000))</f>
        <v/>
      </c>
      <c r="NM42">
        <f>IF($B42=0,1000000,IF(INDEX('計算A'!$D$60:$DS$104,$B42,35)*EE42=1,IF(AND($E42=2,IV42=0),1000000,INDEX('計算A'!AL$110:AL$114,$F42+1)+IF(AND($E42=1,IV42=0),1000,0)),1000000))</f>
        <v/>
      </c>
      <c r="NN42">
        <f>IF($B42=0,1000000,IF(INDEX('計算A'!$D$60:$DS$104,$B42,36)*EF42=1,IF(AND($E42=2,IW42=0),1000000,INDEX('計算A'!AM$110:AM$114,$F42+1)+IF(AND($E42=1,IW42=0),1000,0)),1000000))</f>
        <v/>
      </c>
      <c r="NO42">
        <f>IF($B42=0,1000000,IF(INDEX('計算A'!$D$60:$DS$104,$B42,37)*EG42=1,IF(AND($E42=2,IX42=0),1000000,INDEX('計算A'!AN$110:AN$114,$F42+1)+IF(AND($E42=1,IX42=0),1000,0)),1000000))</f>
        <v/>
      </c>
      <c r="NP42">
        <f>IF($B42=0,1000000,IF(INDEX('計算A'!$D$60:$DS$104,$B42,38)*EH42=1,IF(AND($E42=2,IY42=0),1000000,INDEX('計算A'!AO$110:AO$114,$F42+1)+IF(AND($E42=1,IY42=0),1000,0)),1000000))</f>
        <v/>
      </c>
      <c r="NQ42">
        <f>IF($B42=0,1000000,IF(INDEX('計算A'!$D$60:$DS$104,$B42,39)*EI42=1,IF(AND($E42=2,IZ42=0),1000000,INDEX('計算A'!AP$110:AP$114,$F42+1)+IF(AND($E42=1,IZ42=0),1000,0)),1000000))</f>
        <v/>
      </c>
      <c r="NR42">
        <f>IF($B42=0,1000000,IF(INDEX('計算A'!$D$60:$DS$104,$B42,40)*EJ42=1,IF(AND($E42=2,JA42=0),1000000,INDEX('計算A'!AQ$110:AQ$114,$F42+1)+IF(AND($E42=1,JA42=0),1000,0)),1000000))</f>
        <v/>
      </c>
      <c r="NS42">
        <f>IF($B42=0,1000000,IF(INDEX('計算A'!$D$60:$DS$104,$B42,41)*EK42=1,IF(AND($E42=2,JB42=0),1000000,INDEX('計算A'!AR$110:AR$114,$F42+1)+IF(AND($E42=1,JB42=0),1000,0)),1000000))</f>
        <v/>
      </c>
      <c r="NT42">
        <f>IF($B42=0,1000000,IF(INDEX('計算A'!$D$60:$DS$104,$B42,42)*EL42=1,IF(AND($E42=2,JC42=0),1000000,INDEX('計算A'!AS$110:AS$114,$F42+1)+IF(AND($E42=1,JC42=0),1000,0)),1000000))</f>
        <v/>
      </c>
      <c r="NU42">
        <f>IF($B42=0,1000000,IF(INDEX('計算A'!$D$60:$DS$104,$B42,43)*EM42=1,IF(AND($E42=2,JD42=0),1000000,INDEX('計算A'!AT$110:AT$114,$F42+1)+IF(AND($E42=1,JD42=0),1000,0)),1000000))</f>
        <v/>
      </c>
      <c r="NV42">
        <f>IF($B42=0,1000000,IF(INDEX('計算A'!$D$60:$DS$104,$B42,44)*EN42=1,IF(AND($E42=2,JE42=0),1000000,INDEX('計算A'!AU$110:AU$114,$F42+1)+IF(AND($E42=1,JE42=0),1000,0)),1000000))</f>
        <v/>
      </c>
      <c r="NW42">
        <f>IF($B42=0,1000000,IF(INDEX('計算A'!$D$60:$DS$104,$B42,45)*EO42=1,IF(AND($E42=2,JF42=0),1000000,INDEX('計算A'!AV$110:AV$114,$F42+1)+IF(AND($E42=1,JF42=0),1000,0)),1000000))</f>
        <v/>
      </c>
      <c r="NX42">
        <f>IF($B42=0,1000000,IF(INDEX('計算A'!$D$60:$DS$104,$B42,46)*EP42=1,IF(AND($E42=2,JG42=0),1000000,INDEX('計算A'!AW$110:AW$114,$F42+1)+IF(AND($E42=1,JG42=0),1000,0)),1000000))</f>
        <v/>
      </c>
      <c r="NY42">
        <f>IF($B42=0,1000000,IF(INDEX('計算A'!$D$60:$DS$104,$B42,47)*EQ42=1,IF(AND($E42=2,JH42=0),1000000,INDEX('計算A'!AX$110:AX$114,$F42+1)+IF(AND($E42=1,JH42=0),1000,0)),1000000))</f>
        <v/>
      </c>
      <c r="NZ42">
        <f>IF($B42=0,1000000,IF(INDEX('計算A'!$D$60:$DS$104,$B42,48)*ER42=1,IF(AND($E42=2,JI42=0),1000000,INDEX('計算A'!AY$110:AY$114,$F42+1)+IF(AND($E42=1,JI42=0),1000,0)),1000000))</f>
        <v/>
      </c>
      <c r="OA42">
        <f>IF($B42=0,1000000,IF(INDEX('計算A'!$D$60:$DS$104,$B42,49)*ES42=1,IF(AND($E42=2,JJ42=0),1000000,INDEX('計算A'!AZ$110:AZ$114,$F42+1)+IF(AND($E42=1,JJ42=0),1000,0)),1000000))</f>
        <v/>
      </c>
      <c r="OB42">
        <f>IF($B42=0,1000000,IF(INDEX('計算A'!$D$60:$DS$104,$B42,50)*ET42=1,IF(AND($E42=2,JK42=0),1000000,INDEX('計算A'!BA$110:BA$114,$F42+1)+IF(AND($E42=1,JK42=0),1000,0)),1000000))</f>
        <v/>
      </c>
      <c r="OC42">
        <f>IF($B42=0,1000000,IF(INDEX('計算A'!$D$60:$DS$104,$B42,51)*EU42=1,IF(AND($E42=2,JL42=0),1000000,INDEX('計算A'!BB$110:BB$114,$F42+1)+IF(AND($E42=1,JL42=0),1000,0)),1000000))</f>
        <v/>
      </c>
      <c r="OD42">
        <f>IF($B42=0,1000000,IF(INDEX('計算A'!$D$60:$DS$104,$B42,52)*EV42=1,IF(AND($E42=2,JM42=0),1000000,INDEX('計算A'!BC$110:BC$114,$F42+1)+IF(AND($E42=1,JM42=0),1000,0)),1000000))</f>
        <v/>
      </c>
      <c r="OE42">
        <f>IF($B42=0,1000000,IF(INDEX('計算A'!$D$60:$DS$104,$B42,53)*EW42=1,IF(AND($E42=2,JN42=0),1000000,INDEX('計算A'!BD$110:BD$114,$F42+1)+IF(AND($E42=1,JN42=0),1000,0)),1000000))</f>
        <v/>
      </c>
      <c r="OF42">
        <f>IF($B42=0,1000000,IF(INDEX('計算A'!$D$60:$DS$104,$B42,54)*EX42=1,IF(AND($E42=2,JO42=0),1000000,INDEX('計算A'!BE$110:BE$114,$F42+1)+IF(AND($E42=1,JO42=0),1000,0)),1000000))</f>
        <v/>
      </c>
      <c r="OG42">
        <f>IF($B42=0,1000000,IF(INDEX('計算A'!$D$60:$DS$104,$B42,55)*EY42=1,IF(AND($E42=2,JP42=0),1000000,INDEX('計算A'!BF$110:BF$114,$F42+1)+IF(AND($E42=1,JP42=0),1000,0)),1000000))</f>
        <v/>
      </c>
      <c r="OH42">
        <f>IF($B42=0,1000000,IF(INDEX('計算A'!$D$60:$DS$104,$B42,56)*EZ42=1,IF(AND($E42=2,JQ42=0),1000000,INDEX('計算A'!BG$110:BG$114,$F42+1)+IF(AND($E42=1,JQ42=0),1000,0)),1000000))</f>
        <v/>
      </c>
      <c r="OI42">
        <f>IF($B42=0,1000000,IF(INDEX('計算A'!$D$60:$DS$104,$B42,57)*FA42=1,IF(AND($E42=2,JR42=0),1000000,INDEX('計算A'!BH$110:BH$114,$F42+1)+IF(AND($E42=1,JR42=0),1000,0)),1000000))</f>
        <v/>
      </c>
      <c r="OJ42">
        <f>IF($B42=0,1000000,IF(INDEX('計算A'!$D$60:$DS$104,$B42,58)*FB42=1,IF(AND($E42=2,JS42=0),1000000,INDEX('計算A'!BI$110:BI$114,$F42+1)+IF(AND($E42=1,JS42=0),1000,0)),1000000))</f>
        <v/>
      </c>
      <c r="OK42">
        <f>IF($B42=0,1000000,IF(INDEX('計算A'!$D$60:$DS$104,$B42,59)*FC42=1,IF(AND($E42=2,JT42=0),1000000,INDEX('計算A'!BJ$110:BJ$114,$F42+1)+IF(AND($E42=1,JT42=0),1000,0)),1000000))</f>
        <v/>
      </c>
      <c r="OL42">
        <f>IF($B42=0,1000000,IF(INDEX('計算A'!$D$60:$DS$104,$B42,60)*FD42=1,IF(AND($E42=2,JU42=0),1000000,INDEX('計算A'!BK$110:BK$114,$F42+1)+IF(AND($E42=1,JU42=0),1000,0)),1000000))</f>
        <v/>
      </c>
      <c r="OM42">
        <f>IF($B42=0,1000000,IF(INDEX('計算A'!$D$60:$DS$104,$B42,61)*FE42=1,IF(AND($E42=2,JV42=0),1000000,INDEX('計算A'!BL$110:BL$114,$F42+1)+IF(AND($E42=1,JV42=0),1000,0)),1000000))</f>
        <v/>
      </c>
      <c r="ON42">
        <f>IF($B42=0,1000000,IF(INDEX('計算A'!$D$60:$DS$104,$B42,62)*FF42=1,IF(AND($E42=2,JW42=0),1000000,INDEX('計算A'!BM$110:BM$114,$F42+1)+IF(AND($E42=1,JW42=0),1000,0)),1000000))</f>
        <v/>
      </c>
      <c r="OO42">
        <f>IF($B42=0,1000000,IF(INDEX('計算A'!$D$60:$DS$104,$B42,63)*FG42=1,IF(AND($E42=2,JX42=0),1000000,INDEX('計算A'!BN$110:BN$114,$F42+1)+IF(AND($E42=1,JX42=0),1000,0)),1000000))</f>
        <v/>
      </c>
      <c r="OP42">
        <f>IF($B42=0,1000000,IF(INDEX('計算A'!$D$60:$DS$104,$B42,64)*FH42=1,IF(AND($E42=2,JY42=0),1000000,INDEX('計算A'!BO$110:BO$114,$F42+1)+IF(AND($E42=1,JY42=0),1000,0)),1000000))</f>
        <v/>
      </c>
      <c r="OQ42">
        <f>IF($B42=0,1000000,IF(INDEX('計算A'!$D$60:$DS$104,$B42,65)*FI42=1,IF(AND($E42=2,JZ42=0),1000000,INDEX('計算A'!BP$110:BP$114,$F42+1)+IF(AND($E42=1,JZ42=0),1000,0)),1000000))</f>
        <v/>
      </c>
      <c r="OR42">
        <f>IF($B42=0,1000000,IF(INDEX('計算A'!$D$60:$DS$104,$B42,66)*FJ42=1,IF(AND($E42=2,KA42=0),1000000,INDEX('計算A'!BQ$110:BQ$114,$F42+1)+IF(AND($E42=1,KA42=0),1000,0)),1000000))</f>
        <v/>
      </c>
      <c r="OS42">
        <f>IF($B42=0,1000000,IF(INDEX('計算A'!$D$60:$DS$104,$B42,67)*FK42=1,IF(AND($E42=2,KB42=0),1000000,INDEX('計算A'!BR$110:BR$114,$F42+1)+IF(AND($E42=1,KB42=0),1000,0)),1000000))</f>
        <v/>
      </c>
      <c r="OT42">
        <f>IF($B42=0,1000000,IF(INDEX('計算A'!$D$60:$DS$104,$B42,68)*FL42=1,IF(AND($E42=2,KC42=0),1000000,INDEX('計算A'!BS$110:BS$114,$F42+1)+IF(AND($E42=1,KC42=0),1000,0)),1000000))</f>
        <v/>
      </c>
      <c r="OU42">
        <f>IF($B42=0,1000000,IF(INDEX('計算A'!$D$60:$DS$104,$B42,69)*FM42=1,IF(AND($E42=2,KD42=0),1000000,INDEX('計算A'!BT$110:BT$114,$F42+1)+IF(AND($E42=1,KD42=0),1000,0)),1000000))</f>
        <v/>
      </c>
      <c r="OV42">
        <f>IF($B42=0,1000000,IF(INDEX('計算A'!$D$60:$DS$104,$B42,70)*FN42=1,IF(AND($E42=2,KE42=0),1000000,INDEX('計算A'!BU$110:BU$114,$F42+1)+IF(AND($E42=1,KE42=0),1000,0)),1000000))</f>
        <v/>
      </c>
      <c r="OW42">
        <f>IF($B42=0,1000000,IF(INDEX('計算A'!$D$60:$DS$104,$B42,71)*FO42=1,IF(AND($E42=2,KF42=0),1000000,INDEX('計算A'!BV$110:BV$114,$F42+1)+IF(AND($E42=1,KF42=0),1000,0)),1000000))</f>
        <v/>
      </c>
      <c r="OX42">
        <f>IF($B42=0,1000000,IF(INDEX('計算A'!$D$60:$DS$104,$B42,72)*FP42=1,IF(AND($E42=2,KG42=0),1000000,INDEX('計算A'!BW$110:BW$114,$F42+1)+IF(AND($E42=1,KG42=0),1000,0)),1000000))</f>
        <v/>
      </c>
      <c r="OY42">
        <f>IF($B42=0,1000000,IF(INDEX('計算A'!$D$60:$DS$104,$B42,73)*FQ42=1,IF(AND($E42=2,KH42=0),1000000,INDEX('計算A'!BX$110:BX$114,$F42+1)+IF(AND($E42=1,KH42=0),1000,0)),1000000))</f>
        <v/>
      </c>
      <c r="OZ42">
        <f>IF($B42=0,1000000,IF(INDEX('計算A'!$D$60:$DS$104,$B42,74)*FR42=1,IF(AND($E42=2,KI42=0),1000000,INDEX('計算A'!BY$110:BY$114,$F42+1)+IF(AND($E42=1,KI42=0),1000,0)),1000000))</f>
        <v/>
      </c>
      <c r="PA42">
        <f>IF($B42=0,1000000,IF(INDEX('計算A'!$D$60:$DS$104,$B42,75)*FS42=1,IF(AND($E42=2,KJ42=0),1000000,INDEX('計算A'!BZ$110:BZ$114,$F42+1)+IF(AND($E42=1,KJ42=0),1000,0)),1000000))</f>
        <v/>
      </c>
      <c r="PB42">
        <f>IF($B42=0,1000000,IF(INDEX('計算A'!$D$60:$DS$104,$B42,76)*FT42=1,IF(AND($E42=2,KK42=0),1000000,INDEX('計算A'!CA$110:CA$114,$F42+1)+IF(AND($E42=1,KK42=0),1000,0)),1000000))</f>
        <v/>
      </c>
      <c r="PC42">
        <f>IF($B42=0,1000000,IF(INDEX('計算A'!$D$60:$DS$104,$B42,77)*FU42=1,IF(AND($E42=2,KL42=0),1000000,INDEX('計算A'!CB$110:CB$114,$F42+1)+IF(AND($E42=1,KL42=0),1000,0)),1000000))</f>
        <v/>
      </c>
      <c r="PD42">
        <f>IF($B42=0,1000000,IF(INDEX('計算A'!$D$60:$DS$104,$B42,78)*FV42=1,IF(AND($E42=2,KM42=0),1000000,INDEX('計算A'!CC$110:CC$114,$F42+1)+IF(AND($E42=1,KM42=0),1000,0)),1000000))</f>
        <v/>
      </c>
      <c r="PE42">
        <f>IF($B42=0,1000000,IF(INDEX('計算A'!$D$60:$DS$104,$B42,79)*FW42=1,IF(AND($E42=2,KN42=0),1000000,INDEX('計算A'!CD$110:CD$114,$F42+1)+IF(AND($E42=1,KN42=0),1000,0)),1000000))</f>
        <v/>
      </c>
      <c r="PF42">
        <f>IF($B42=0,1000000,IF(INDEX('計算A'!$D$60:$DS$104,$B42,80)*FX42=1,IF(AND($E42=2,KO42=0),1000000,INDEX('計算A'!CE$110:CE$114,$F42+1)+IF(AND($E42=1,KO42=0),1000,0)),1000000))</f>
        <v/>
      </c>
      <c r="PG42">
        <f>IF($B42=0,1000000,IF(INDEX('計算A'!$D$60:$DS$104,$B42,81)*FY42=1,IF(AND($E42=2,KP42=0),1000000,INDEX('計算A'!CF$110:CF$114,$F42+1)+IF(AND($E42=1,KP42=0),1000,0)),1000000))</f>
        <v/>
      </c>
      <c r="PH42">
        <f>IF($B42=0,1000000,IF(INDEX('計算A'!$D$60:$DS$104,$B42,82)*FZ42=1,IF(AND($E42=2,KQ42=0),1000000,INDEX('計算A'!CG$110:CG$114,$F42+1)+IF(AND($E42=1,KQ42=0),1000,0)),1000000))</f>
        <v/>
      </c>
      <c r="PI42">
        <f>IF($B42=0,1000000,IF(INDEX('計算A'!$D$60:$DS$104,$B42,83)*GA42=1,IF(AND($E42=2,KR42=0),1000000,INDEX('計算A'!CH$110:CH$114,$F42+1)+IF(AND($E42=1,KR42=0),1000,0)),1000000))</f>
        <v/>
      </c>
      <c r="PJ42">
        <f>IF($B42=0,1000000,IF(INDEX('計算A'!$D$60:$DS$104,$B42,84)*GB42=1,IF(AND($E42=2,KS42=0),1000000,INDEX('計算A'!CI$110:CI$114,$F42+1)+IF(AND($E42=1,KS42=0),1000,0)),1000000))</f>
        <v/>
      </c>
      <c r="PK42">
        <f>IF($B42=0,1000000,IF(INDEX('計算A'!$D$60:$DS$104,$B42,85)*GC42=1,IF(AND($E42=2,KT42=0),1000000,INDEX('計算A'!CJ$110:CJ$114,$F42+1)+IF(AND($E42=1,KT42=0),1000,0)),1000000))</f>
        <v/>
      </c>
      <c r="PL42">
        <f>IF($B42=0,1000000,IF(INDEX('計算A'!$D$60:$DS$104,$B42,86)*GD42=1,IF(AND($E42=2,KU42=0),1000000,INDEX('計算A'!CK$110:CK$114,$F42+1)+IF(AND($E42=1,KU42=0),1000,0)),1000000))</f>
        <v/>
      </c>
      <c r="PM42">
        <f>IF($B42=0,1000000,IF(INDEX('計算A'!$D$60:$DS$104,$B42,87)*GE42=1,IF(AND($E42=2,KV42=0),1000000,INDEX('計算A'!CL$110:CL$114,$F42+1)+IF(AND($E42=1,KV42=0),1000,0)),1000000))</f>
        <v/>
      </c>
      <c r="PN42">
        <f>IF($B42=0,1000000,IF(INDEX('計算A'!$D$60:$DS$104,$B42,88)*GF42=1,IF(AND($E42=2,KW42=0),1000000,INDEX('計算A'!CM$110:CM$114,$F42+1)+IF(AND($E42=1,KW42=0),1000,0)),1000000))</f>
        <v/>
      </c>
      <c r="PO42">
        <f>IF($B42=0,1000000,IF(INDEX('計算A'!$D$60:$DS$104,$B42,89)*GG42=1,IF(AND($E42=2,KX42=0),1000000,INDEX('計算A'!CN$110:CN$114,$F42+1)+IF(AND($E42=1,KX42=0),1000,0)),1000000))</f>
        <v/>
      </c>
      <c r="PP42">
        <f>IF($B42=0,1000000,IF(INDEX('計算A'!$D$60:$DS$104,$B42,90)*GH42=1,IF(AND($E42=2,KY42=0),1000000,INDEX('計算A'!CO$110:CO$114,$F42+1)+IF(AND($E42=1,KY42=0),1000,0)),1000000))</f>
        <v/>
      </c>
      <c r="PQ42">
        <f>IF($B42=0,1000000,IF(INDEX('計算A'!$D$60:$DS$104,$B42,91)*GI42=1,IF(AND($E42=2,KZ42=0),1000000,INDEX('計算A'!CP$110:CP$114,$F42+1)+IF(AND($E42=1,KZ42=0),1000,0)),1000000))</f>
        <v/>
      </c>
      <c r="PR42">
        <f>IF($B42=0,1000000,IF(INDEX('計算A'!$D$60:$DS$104,$B42,92)*GJ42=1,IF(AND($E42=2,LA42=0),1000000,INDEX('計算A'!CQ$110:CQ$114,$F42+1)+IF(AND($E42=1,LA42=0),1000,0)),1000000))</f>
        <v/>
      </c>
      <c r="PS42">
        <f>IF($B42=0,1000000,IF(INDEX('計算A'!$D$60:$DS$104,$B42,93)*GK42=1,IF(AND($E42=2,LB42=0),1000000,INDEX('計算A'!CR$110:CR$114,$F42+1)+IF(AND($E42=1,LB42=0),1000,0)),1000000))</f>
        <v/>
      </c>
      <c r="PT42">
        <f>IF($B42=0,1000000,IF(INDEX('計算A'!$D$60:$DS$104,$B42,94)*GL42=1,IF(AND($E42=2,LC42=0),1000000,INDEX('計算A'!CS$110:CS$114,$F42+1)+IF(AND($E42=1,LC42=0),1000,0)),1000000))</f>
        <v/>
      </c>
      <c r="PU42">
        <f>IF($B42=0,1000000,IF(INDEX('計算A'!$D$60:$DS$104,$B42,95)*GM42=1,IF(AND($E42=2,LD42=0),1000000,INDEX('計算A'!CT$110:CT$114,$F42+1)+IF(AND($E42=1,LD42=0),1000,0)),1000000))</f>
        <v/>
      </c>
      <c r="PV42">
        <f>IF($B42=0,1000000,IF(INDEX('計算A'!$D$60:$DS$104,$B42,96)*GN42=1,IF(AND($E42=2,LE42=0),1000000,INDEX('計算A'!CU$110:CU$114,$F42+1)+IF(AND($E42=1,LE42=0),1000,0)),1000000))</f>
        <v/>
      </c>
      <c r="PW42">
        <f>IF($B42=0,1000000,IF(INDEX('計算A'!$D$60:$DS$104,$B42,97)*GO42=1,IF(AND($E42=2,LF42=0),1000000,INDEX('計算A'!CV$110:CV$114,$F42+1)+IF(AND($E42=1,LF42=0),1000,0)),1000000))</f>
        <v/>
      </c>
      <c r="PX42">
        <f>IF($B42=0,1000000,IF(INDEX('計算A'!$D$60:$DS$104,$B42,98)*GP42=1,IF(AND($E42=2,LG42=0),1000000,INDEX('計算A'!CW$110:CW$114,$F42+1)+IF(AND($E42=1,LG42=0),1000,0)),1000000))</f>
        <v/>
      </c>
      <c r="PY42">
        <f>IF($B42=0,1000000,IF(INDEX('計算A'!$D$60:$DS$104,$B42,99)*GQ42=1,IF(AND($E42=2,LH42=0),1000000,INDEX('計算A'!CX$110:CX$114,$F42+1)+IF(AND($E42=1,LH42=0),1000,0)),1000000))</f>
        <v/>
      </c>
      <c r="PZ42">
        <f>IF($B42=0,1000000,IF(INDEX('計算A'!$D$60:$DS$104,$B42,100)*GR42=1,IF(AND($E42=2,LI42=0),1000000,INDEX('計算A'!CY$110:CY$114,$F42+1)+IF(AND($E42=1,LI42=0),1000,0)),1000000))</f>
        <v/>
      </c>
      <c r="QA42">
        <f>IF($B42=0,1000000,IF(INDEX('計算A'!$D$60:$DS$104,$B42,101)*GS42=1,IF(AND($E42=2,LJ42=0),1000000,INDEX('計算A'!CZ$110:CZ$114,$F42+1)+IF(AND($E42=1,LJ42=0),1000,0)),1000000))</f>
        <v/>
      </c>
      <c r="QB42">
        <f>IF($B42=0,1000000,IF(INDEX('計算A'!$D$60:$DS$104,$B42,102)*GT42=1,IF(AND($E42=2,LK42=0),1000000,INDEX('計算A'!DA$110:DA$114,$F42+1)+IF(AND($E42=1,LK42=0),1000,0)),1000000))</f>
        <v/>
      </c>
      <c r="QC42">
        <f>IF($B42=0,1000000,IF(INDEX('計算A'!$D$60:$DS$104,$B42,103)*GU42=1,IF(AND($E42=2,LL42=0),1000000,INDEX('計算A'!DB$110:DB$114,$F42+1)+IF(AND($E42=1,LL42=0),1000,0)),1000000))</f>
        <v/>
      </c>
      <c r="QD42">
        <f>IF($B42=0,1000000,IF(INDEX('計算A'!$D$60:$DS$104,$B42,104)*GV42=1,IF(AND($E42=2,LM42=0),1000000,INDEX('計算A'!DC$110:DC$114,$F42+1)+IF(AND($E42=1,LM42=0),1000,0)),1000000))</f>
        <v/>
      </c>
      <c r="QE42">
        <f>IF($B42=0,1000000,IF(INDEX('計算A'!$D$60:$DS$104,$B42,105)*GW42=1,IF(AND($E42=2,LN42=0),1000000,INDEX('計算A'!DD$110:DD$114,$F42+1)+IF(AND($E42=1,LN42=0),1000,0)),1000000))</f>
        <v/>
      </c>
      <c r="QF42">
        <f>IF($B42=0,1000000,IF(INDEX('計算A'!$D$60:$DS$104,$B42,106)*GX42=1,IF(AND($E42=2,LO42=0),1000000,INDEX('計算A'!DE$110:DE$114,$F42+1)+IF(AND($E42=1,LO42=0),1000,0)),1000000))</f>
        <v/>
      </c>
      <c r="QG42">
        <f>IF($B42=0,1000000,IF(INDEX('計算A'!$D$60:$DS$104,$B42,107)*GY42=1,IF(AND($E42=2,LP42=0),1000000,INDEX('計算A'!DF$110:DF$114,$F42+1)+IF(AND($E42=1,LP42=0),1000,0)),1000000))</f>
        <v/>
      </c>
      <c r="QH42">
        <f>IF($B42=0,1000000,IF(INDEX('計算A'!$D$60:$DS$104,$B42,108)*GZ42=1,IF(AND($E42=2,LQ42=0),1000000,INDEX('計算A'!DG$110:DG$114,$F42+1)+IF(AND($E42=1,LQ42=0),1000,0)),1000000))</f>
        <v/>
      </c>
      <c r="QI42">
        <f>IF($B42=0,1000000,IF(INDEX('計算A'!$D$60:$DS$104,$B42,109)*HA42=1,IF(AND($E42=2,LR42=0),1000000,INDEX('計算A'!DH$110:DH$114,$F42+1)+IF(AND($E42=1,LR42=0),1000,0)),1000000))</f>
        <v/>
      </c>
      <c r="QJ42">
        <f>IF($B42=0,1000000,IF(INDEX('計算A'!$D$60:$DS$104,$B42,110)*HB42=1,IF(AND($E42=2,LS42=0),1000000,INDEX('計算A'!DI$110:DI$114,$F42+1)+IF(AND($E42=1,LS42=0),1000,0)),1000000))</f>
        <v/>
      </c>
      <c r="QK42">
        <f>IF($B42=0,1000000,IF(INDEX('計算A'!$D$60:$DS$104,$B42,111)*HC42=1,IF(AND($E42=2,LT42=0),1000000,INDEX('計算A'!DJ$110:DJ$114,$F42+1)+IF(AND($E42=1,LT42=0),1000,0)),1000000))</f>
        <v/>
      </c>
      <c r="QL42">
        <f>IF($B42=0,1000000,IF(INDEX('計算A'!$D$60:$DS$104,$B42,112)*HD42=1,IF(AND($E42=2,LU42=0),1000000,INDEX('計算A'!DK$110:DK$114,$F42+1)+IF(AND($E42=1,LU42=0),1000,0)),1000000))</f>
        <v/>
      </c>
      <c r="QM42">
        <f>IF($B42=0,1000000,IF(INDEX('計算A'!$D$60:$DS$104,$B42,113)*HE42=1,IF(AND($E42=2,LV42=0),1000000,INDEX('計算A'!DL$110:DL$114,$F42+1)+IF(AND($E42=1,LV42=0),1000,0)),1000000))</f>
        <v/>
      </c>
      <c r="QN42">
        <f>IF($B42=0,1000000,IF(INDEX('計算A'!$D$60:$DS$104,$B42,114)*HF42=1,IF(AND($E42=2,LW42=0),1000000,INDEX('計算A'!DM$110:DM$114,$F42+1)+IF(AND($E42=1,LW42=0),1000,0)),1000000))</f>
        <v/>
      </c>
      <c r="QO42">
        <f>IF($B42=0,1000000,IF(INDEX('計算A'!$D$60:$DS$104,$B42,115)*HG42=1,IF(AND($E42=2,LX42=0),1000000,INDEX('計算A'!DN$110:DN$114,$F42+1)+IF(AND($E42=1,LX42=0),1000,0)),1000000))</f>
        <v/>
      </c>
      <c r="QP42">
        <f>IF($B42=0,1000000,IF(INDEX('計算A'!$D$60:$DS$104,$B42,116)*HH42=1,IF(AND($E42=2,LY42=0),1000000,INDEX('計算A'!DO$110:DO$114,$F42+1)+IF(AND($E42=1,LY42=0),1000,0)),1000000))</f>
        <v/>
      </c>
      <c r="QQ42">
        <f>IF($B42=0,1000000,IF(INDEX('計算A'!$D$60:$DS$104,$B42,117)*HI42=1,IF(AND($E42=2,LZ42=0),1000000,INDEX('計算A'!DP$110:DP$114,$F42+1)+IF(AND($E42=1,LZ42=0),1000,0)),1000000))</f>
        <v/>
      </c>
      <c r="QR42">
        <f>IF($B42=0,1000000,IF(INDEX('計算A'!$D$60:$DS$104,$B42,118)*HJ42=1,IF(AND($E42=2,MA42=0),1000000,INDEX('計算A'!DQ$110:DQ$114,$F42+1)+IF(AND($E42=1,MA42=0),1000,0)),1000000))</f>
        <v/>
      </c>
      <c r="QS42">
        <f>IF($B42=0,1000000,IF(INDEX('計算A'!$D$60:$DS$104,$B42,119)*HK42=1,IF(AND($E42=2,MB42=0),1000000,INDEX('計算A'!DR$110:DR$114,$F42+1)+IF(AND($E42=1,MB42=0),1000,0)),1000000))</f>
        <v/>
      </c>
      <c r="QT42">
        <f>IF($B42=0,1000000,IF(INDEX('計算A'!$D$60:$DS$104,$B42,120)*HL42=1,IF(AND($E42=2,MC42=0),1000000,INDEX('計算A'!DS$110:DS$114,$F42+1)+IF(AND($E42=1,MC42=0),1000,0)),1000000))</f>
        <v/>
      </c>
    </row>
    <row r="43">
      <c r="A43" t="n">
        <v>41</v>
      </c>
      <c r="B43">
        <f>IF(MIN(BC43:CU43)&gt;=1000000,0,MATCH(MIN(BC43:CU43),BC43:CU43,0))</f>
        <v/>
      </c>
      <c r="C43">
        <f>IF(MIN(ME43:QT43)&gt;=1000000,0,MATCH(MIN(ME43:QT43),ME43:QT43,0))</f>
        <v/>
      </c>
      <c r="D43">
        <f>IF(C43&gt;0,INDEX('計算A'!$D$5:$DS$5,C43),0)</f>
        <v/>
      </c>
      <c r="E43">
        <f>IF(B43=0,0,INDEX('計算A'!$EA$10:$EA$54,B43))</f>
        <v/>
      </c>
      <c r="F43">
        <f>IF(B43=0,0,INDEX('計算A'!$DZ$10:$DZ$54,B43))</f>
        <v/>
      </c>
      <c r="G43">
        <f>IF(AND(C43&gt;0,E43&gt;0),IF(AND(INDEX('計算A'!$D$106:$DS$106,C43)=1,INDEX($HN43:$MC43,C43)=1),C43+1,0),0)</f>
        <v/>
      </c>
      <c r="I43">
        <f>MAX(I42,IF($B42=1,1,0))</f>
        <v/>
      </c>
      <c r="J43">
        <f>MAX(J42,IF($B42=2,1,0))</f>
        <v/>
      </c>
      <c r="K43">
        <f>MAX(K42,IF($B42=3,1,0))</f>
        <v/>
      </c>
      <c r="L43">
        <f>MAX(L42,IF($B42=4,1,0))</f>
        <v/>
      </c>
      <c r="M43">
        <f>MAX(M42,IF($B42=5,1,0))</f>
        <v/>
      </c>
      <c r="N43">
        <f>MAX(N42,IF($B42=6,1,0))</f>
        <v/>
      </c>
      <c r="O43">
        <f>MAX(O42,IF($B42=7,1,0))</f>
        <v/>
      </c>
      <c r="P43">
        <f>MAX(P42,IF($B42=8,1,0))</f>
        <v/>
      </c>
      <c r="Q43">
        <f>MAX(Q42,IF($B42=9,1,0))</f>
        <v/>
      </c>
      <c r="R43">
        <f>MAX(R42,IF($B42=10,1,0))</f>
        <v/>
      </c>
      <c r="S43">
        <f>MAX(S42,IF($B42=11,1,0))</f>
        <v/>
      </c>
      <c r="T43">
        <f>MAX(T42,IF($B42=12,1,0))</f>
        <v/>
      </c>
      <c r="U43">
        <f>MAX(U42,IF($B42=13,1,0))</f>
        <v/>
      </c>
      <c r="V43">
        <f>MAX(V42,IF($B42=14,1,0))</f>
        <v/>
      </c>
      <c r="W43">
        <f>MAX(W42,IF($B42=15,1,0))</f>
        <v/>
      </c>
      <c r="X43">
        <f>MAX(X42,IF($B42=16,1,0))</f>
        <v/>
      </c>
      <c r="Y43">
        <f>MAX(Y42,IF($B42=17,1,0))</f>
        <v/>
      </c>
      <c r="Z43">
        <f>MAX(Z42,IF($B42=18,1,0))</f>
        <v/>
      </c>
      <c r="AA43">
        <f>MAX(AA42,IF($B42=19,1,0))</f>
        <v/>
      </c>
      <c r="AB43">
        <f>MAX(AB42,IF($B42=20,1,0))</f>
        <v/>
      </c>
      <c r="AC43">
        <f>MAX(AC42,IF($B42=21,1,0))</f>
        <v/>
      </c>
      <c r="AD43">
        <f>MAX(AD42,IF($B42=22,1,0))</f>
        <v/>
      </c>
      <c r="AE43">
        <f>MAX(AE42,IF($B42=23,1,0))</f>
        <v/>
      </c>
      <c r="AF43">
        <f>MAX(AF42,IF($B42=24,1,0))</f>
        <v/>
      </c>
      <c r="AG43">
        <f>MAX(AG42,IF($B42=25,1,0))</f>
        <v/>
      </c>
      <c r="AH43">
        <f>MAX(AH42,IF($B42=26,1,0))</f>
        <v/>
      </c>
      <c r="AI43">
        <f>MAX(AI42,IF($B42=27,1,0))</f>
        <v/>
      </c>
      <c r="AJ43">
        <f>MAX(AJ42,IF($B42=28,1,0))</f>
        <v/>
      </c>
      <c r="AK43">
        <f>MAX(AK42,IF($B42=29,1,0))</f>
        <v/>
      </c>
      <c r="AL43">
        <f>MAX(AL42,IF($B42=30,1,0))</f>
        <v/>
      </c>
      <c r="AM43">
        <f>MAX(AM42,IF($B42=31,1,0))</f>
        <v/>
      </c>
      <c r="AN43">
        <f>MAX(AN42,IF($B42=32,1,0))</f>
        <v/>
      </c>
      <c r="AO43">
        <f>MAX(AO42,IF($B42=33,1,0))</f>
        <v/>
      </c>
      <c r="AP43">
        <f>MAX(AP42,IF($B42=34,1,0))</f>
        <v/>
      </c>
      <c r="AQ43">
        <f>MAX(AQ42,IF($B42=35,1,0))</f>
        <v/>
      </c>
      <c r="AR43">
        <f>MAX(AR42,IF($B42=36,1,0))</f>
        <v/>
      </c>
      <c r="AS43">
        <f>MAX(AS42,IF($B42=37,1,0))</f>
        <v/>
      </c>
      <c r="AT43">
        <f>MAX(AT42,IF($B42=38,1,0))</f>
        <v/>
      </c>
      <c r="AU43">
        <f>MAX(AU42,IF($B42=39,1,0))</f>
        <v/>
      </c>
      <c r="AV43">
        <f>MAX(AV42,IF($B42=40,1,0))</f>
        <v/>
      </c>
      <c r="AW43">
        <f>MAX(AW42,IF($B42=41,1,0))</f>
        <v/>
      </c>
      <c r="AX43">
        <f>MAX(AX42,IF($B42=42,1,0))</f>
        <v/>
      </c>
      <c r="AY43">
        <f>MAX(AY42,IF($B42=43,1,0))</f>
        <v/>
      </c>
      <c r="AZ43">
        <f>MAX(AZ42,IF($B42=44,1,0))</f>
        <v/>
      </c>
      <c r="BA43">
        <f>MAX(BA42,IF($B42=45,1,0))</f>
        <v/>
      </c>
      <c r="BC43">
        <f>IF(I43=1,1000000,IF('計算A'!$EA$10=2,SUMPRODUCT('計算A'!$D$60:$DS$60,$CW43:$HL43,$HN43:$MC43),SUMPRODUCT('計算A'!$D$60:$DS$60,$CW43:$HL43))*1000+1)</f>
        <v/>
      </c>
      <c r="BD43">
        <f>IF(J43=1,1000000,IF('計算A'!$EA$11=2,SUMPRODUCT('計算A'!$D$61:$DS$61,$CW43:$HL43,$HN43:$MC43),SUMPRODUCT('計算A'!$D$61:$DS$61,$CW43:$HL43))*1000+2)</f>
        <v/>
      </c>
      <c r="BE43">
        <f>IF(K43=1,1000000,IF('計算A'!$EA$12=2,SUMPRODUCT('計算A'!$D$62:$DS$62,$CW43:$HL43,$HN43:$MC43),SUMPRODUCT('計算A'!$D$62:$DS$62,$CW43:$HL43))*1000+3)</f>
        <v/>
      </c>
      <c r="BF43">
        <f>IF(L43=1,1000000,IF('計算A'!$EA$13=2,SUMPRODUCT('計算A'!$D$63:$DS$63,$CW43:$HL43,$HN43:$MC43),SUMPRODUCT('計算A'!$D$63:$DS$63,$CW43:$HL43))*1000+4)</f>
        <v/>
      </c>
      <c r="BG43">
        <f>IF(M43=1,1000000,IF('計算A'!$EA$14=2,SUMPRODUCT('計算A'!$D$64:$DS$64,$CW43:$HL43,$HN43:$MC43),SUMPRODUCT('計算A'!$D$64:$DS$64,$CW43:$HL43))*1000+5)</f>
        <v/>
      </c>
      <c r="BH43">
        <f>IF(N43=1,1000000,IF('計算A'!$EA$15=2,SUMPRODUCT('計算A'!$D$65:$DS$65,$CW43:$HL43,$HN43:$MC43),SUMPRODUCT('計算A'!$D$65:$DS$65,$CW43:$HL43))*1000+6)</f>
        <v/>
      </c>
      <c r="BI43">
        <f>IF(O43=1,1000000,IF('計算A'!$EA$16=2,SUMPRODUCT('計算A'!$D$66:$DS$66,$CW43:$HL43,$HN43:$MC43),SUMPRODUCT('計算A'!$D$66:$DS$66,$CW43:$HL43))*1000+7)</f>
        <v/>
      </c>
      <c r="BJ43">
        <f>IF(P43=1,1000000,IF('計算A'!$EA$17=2,SUMPRODUCT('計算A'!$D$67:$DS$67,$CW43:$HL43,$HN43:$MC43),SUMPRODUCT('計算A'!$D$67:$DS$67,$CW43:$HL43))*1000+8)</f>
        <v/>
      </c>
      <c r="BK43">
        <f>IF(Q43=1,1000000,IF('計算A'!$EA$18=2,SUMPRODUCT('計算A'!$D$68:$DS$68,$CW43:$HL43,$HN43:$MC43),SUMPRODUCT('計算A'!$D$68:$DS$68,$CW43:$HL43))*1000+9)</f>
        <v/>
      </c>
      <c r="BL43">
        <f>IF(R43=1,1000000,IF('計算A'!$EA$19=2,SUMPRODUCT('計算A'!$D$69:$DS$69,$CW43:$HL43,$HN43:$MC43),SUMPRODUCT('計算A'!$D$69:$DS$69,$CW43:$HL43))*1000+10)</f>
        <v/>
      </c>
      <c r="BM43">
        <f>IF(S43=1,1000000,IF('計算A'!$EA$20=2,SUMPRODUCT('計算A'!$D$70:$DS$70,$CW43:$HL43,$HN43:$MC43),SUMPRODUCT('計算A'!$D$70:$DS$70,$CW43:$HL43))*1000+11)</f>
        <v/>
      </c>
      <c r="BN43">
        <f>IF(T43=1,1000000,IF('計算A'!$EA$21=2,SUMPRODUCT('計算A'!$D$71:$DS$71,$CW43:$HL43,$HN43:$MC43),SUMPRODUCT('計算A'!$D$71:$DS$71,$CW43:$HL43))*1000+12)</f>
        <v/>
      </c>
      <c r="BO43">
        <f>IF(U43=1,1000000,IF('計算A'!$EA$22=2,SUMPRODUCT('計算A'!$D$72:$DS$72,$CW43:$HL43,$HN43:$MC43),SUMPRODUCT('計算A'!$D$72:$DS$72,$CW43:$HL43))*1000+13)</f>
        <v/>
      </c>
      <c r="BP43">
        <f>IF(V43=1,1000000,IF('計算A'!$EA$23=2,SUMPRODUCT('計算A'!$D$73:$DS$73,$CW43:$HL43,$HN43:$MC43),SUMPRODUCT('計算A'!$D$73:$DS$73,$CW43:$HL43))*1000+14)</f>
        <v/>
      </c>
      <c r="BQ43">
        <f>IF(W43=1,1000000,IF('計算A'!$EA$24=2,SUMPRODUCT('計算A'!$D$74:$DS$74,$CW43:$HL43,$HN43:$MC43),SUMPRODUCT('計算A'!$D$74:$DS$74,$CW43:$HL43))*1000+15)</f>
        <v/>
      </c>
      <c r="BR43">
        <f>IF(X43=1,1000000,IF('計算A'!$EA$25=2,SUMPRODUCT('計算A'!$D$75:$DS$75,$CW43:$HL43,$HN43:$MC43),SUMPRODUCT('計算A'!$D$75:$DS$75,$CW43:$HL43))*1000+16)</f>
        <v/>
      </c>
      <c r="BS43">
        <f>IF(Y43=1,1000000,IF('計算A'!$EA$26=2,SUMPRODUCT('計算A'!$D$76:$DS$76,$CW43:$HL43,$HN43:$MC43),SUMPRODUCT('計算A'!$D$76:$DS$76,$CW43:$HL43))*1000+17)</f>
        <v/>
      </c>
      <c r="BT43">
        <f>IF(Z43=1,1000000,IF('計算A'!$EA$27=2,SUMPRODUCT('計算A'!$D$77:$DS$77,$CW43:$HL43,$HN43:$MC43),SUMPRODUCT('計算A'!$D$77:$DS$77,$CW43:$HL43))*1000+18)</f>
        <v/>
      </c>
      <c r="BU43">
        <f>IF(AA43=1,1000000,IF('計算A'!$EA$28=2,SUMPRODUCT('計算A'!$D$78:$DS$78,$CW43:$HL43,$HN43:$MC43),SUMPRODUCT('計算A'!$D$78:$DS$78,$CW43:$HL43))*1000+19)</f>
        <v/>
      </c>
      <c r="BV43">
        <f>IF(AB43=1,1000000,IF('計算A'!$EA$29=2,SUMPRODUCT('計算A'!$D$79:$DS$79,$CW43:$HL43,$HN43:$MC43),SUMPRODUCT('計算A'!$D$79:$DS$79,$CW43:$HL43))*1000+20)</f>
        <v/>
      </c>
      <c r="BW43">
        <f>IF(AC43=1,1000000,IF('計算A'!$EA$30=2,SUMPRODUCT('計算A'!$D$80:$DS$80,$CW43:$HL43,$HN43:$MC43),SUMPRODUCT('計算A'!$D$80:$DS$80,$CW43:$HL43))*1000+21)</f>
        <v/>
      </c>
      <c r="BX43">
        <f>IF(AD43=1,1000000,IF('計算A'!$EA$31=2,SUMPRODUCT('計算A'!$D$81:$DS$81,$CW43:$HL43,$HN43:$MC43),SUMPRODUCT('計算A'!$D$81:$DS$81,$CW43:$HL43))*1000+22)</f>
        <v/>
      </c>
      <c r="BY43">
        <f>IF(AE43=1,1000000,IF('計算A'!$EA$32=2,SUMPRODUCT('計算A'!$D$82:$DS$82,$CW43:$HL43,$HN43:$MC43),SUMPRODUCT('計算A'!$D$82:$DS$82,$CW43:$HL43))*1000+23)</f>
        <v/>
      </c>
      <c r="BZ43">
        <f>IF(AF43=1,1000000,IF('計算A'!$EA$33=2,SUMPRODUCT('計算A'!$D$83:$DS$83,$CW43:$HL43,$HN43:$MC43),SUMPRODUCT('計算A'!$D$83:$DS$83,$CW43:$HL43))*1000+24)</f>
        <v/>
      </c>
      <c r="CA43">
        <f>IF(AG43=1,1000000,IF('計算A'!$EA$34=2,SUMPRODUCT('計算A'!$D$84:$DS$84,$CW43:$HL43,$HN43:$MC43),SUMPRODUCT('計算A'!$D$84:$DS$84,$CW43:$HL43))*1000+25)</f>
        <v/>
      </c>
      <c r="CB43">
        <f>IF(AH43=1,1000000,IF('計算A'!$EA$35=2,SUMPRODUCT('計算A'!$D$85:$DS$85,$CW43:$HL43,$HN43:$MC43),SUMPRODUCT('計算A'!$D$85:$DS$85,$CW43:$HL43))*1000+26)</f>
        <v/>
      </c>
      <c r="CC43">
        <f>IF(AI43=1,1000000,IF('計算A'!$EA$36=2,SUMPRODUCT('計算A'!$D$86:$DS$86,$CW43:$HL43,$HN43:$MC43),SUMPRODUCT('計算A'!$D$86:$DS$86,$CW43:$HL43))*1000+27)</f>
        <v/>
      </c>
      <c r="CD43">
        <f>IF(AJ43=1,1000000,IF('計算A'!$EA$37=2,SUMPRODUCT('計算A'!$D$87:$DS$87,$CW43:$HL43,$HN43:$MC43),SUMPRODUCT('計算A'!$D$87:$DS$87,$CW43:$HL43))*1000+28)</f>
        <v/>
      </c>
      <c r="CE43">
        <f>IF(AK43=1,1000000,IF('計算A'!$EA$38=2,SUMPRODUCT('計算A'!$D$88:$DS$88,$CW43:$HL43,$HN43:$MC43),SUMPRODUCT('計算A'!$D$88:$DS$88,$CW43:$HL43))*1000+29)</f>
        <v/>
      </c>
      <c r="CF43">
        <f>IF(AL43=1,1000000,IF('計算A'!$EA$39=2,SUMPRODUCT('計算A'!$D$89:$DS$89,$CW43:$HL43,$HN43:$MC43),SUMPRODUCT('計算A'!$D$89:$DS$89,$CW43:$HL43))*1000+30)</f>
        <v/>
      </c>
      <c r="CG43">
        <f>IF(AM43=1,1000000,IF('計算A'!$EA$40=2,SUMPRODUCT('計算A'!$D$90:$DS$90,$CW43:$HL43,$HN43:$MC43),SUMPRODUCT('計算A'!$D$90:$DS$90,$CW43:$HL43))*1000+31)</f>
        <v/>
      </c>
      <c r="CH43">
        <f>IF(AN43=1,1000000,IF('計算A'!$EA$41=2,SUMPRODUCT('計算A'!$D$91:$DS$91,$CW43:$HL43,$HN43:$MC43),SUMPRODUCT('計算A'!$D$91:$DS$91,$CW43:$HL43))*1000+32)</f>
        <v/>
      </c>
      <c r="CI43">
        <f>IF(AO43=1,1000000,IF('計算A'!$EA$42=2,SUMPRODUCT('計算A'!$D$92:$DS$92,$CW43:$HL43,$HN43:$MC43),SUMPRODUCT('計算A'!$D$92:$DS$92,$CW43:$HL43))*1000+33)</f>
        <v/>
      </c>
      <c r="CJ43">
        <f>IF(AP43=1,1000000,IF('計算A'!$EA$43=2,SUMPRODUCT('計算A'!$D$93:$DS$93,$CW43:$HL43,$HN43:$MC43),SUMPRODUCT('計算A'!$D$93:$DS$93,$CW43:$HL43))*1000+34)</f>
        <v/>
      </c>
      <c r="CK43">
        <f>IF(AQ43=1,1000000,IF('計算A'!$EA$44=2,SUMPRODUCT('計算A'!$D$94:$DS$94,$CW43:$HL43,$HN43:$MC43),SUMPRODUCT('計算A'!$D$94:$DS$94,$CW43:$HL43))*1000+35)</f>
        <v/>
      </c>
      <c r="CL43">
        <f>IF(AR43=1,1000000,IF('計算A'!$EA$45=2,SUMPRODUCT('計算A'!$D$95:$DS$95,$CW43:$HL43,$HN43:$MC43),SUMPRODUCT('計算A'!$D$95:$DS$95,$CW43:$HL43))*1000+36)</f>
        <v/>
      </c>
      <c r="CM43">
        <f>IF(AS43=1,1000000,IF('計算A'!$EA$46=2,SUMPRODUCT('計算A'!$D$96:$DS$96,$CW43:$HL43,$HN43:$MC43),SUMPRODUCT('計算A'!$D$96:$DS$96,$CW43:$HL43))*1000+37)</f>
        <v/>
      </c>
      <c r="CN43">
        <f>IF(AT43=1,1000000,IF('計算A'!$EA$47=2,SUMPRODUCT('計算A'!$D$97:$DS$97,$CW43:$HL43,$HN43:$MC43),SUMPRODUCT('計算A'!$D$97:$DS$97,$CW43:$HL43))*1000+38)</f>
        <v/>
      </c>
      <c r="CO43">
        <f>IF(AU43=1,1000000,IF('計算A'!$EA$48=2,SUMPRODUCT('計算A'!$D$98:$DS$98,$CW43:$HL43,$HN43:$MC43),SUMPRODUCT('計算A'!$D$98:$DS$98,$CW43:$HL43))*1000+39)</f>
        <v/>
      </c>
      <c r="CP43">
        <f>IF(AV43=1,1000000,IF('計算A'!$EA$49=2,SUMPRODUCT('計算A'!$D$99:$DS$99,$CW43:$HL43,$HN43:$MC43),SUMPRODUCT('計算A'!$D$99:$DS$99,$CW43:$HL43))*1000+40)</f>
        <v/>
      </c>
      <c r="CQ43">
        <f>IF(AW43=1,1000000,IF('計算A'!$EA$50=2,SUMPRODUCT('計算A'!$D$100:$DS$100,$CW43:$HL43,$HN43:$MC43),SUMPRODUCT('計算A'!$D$100:$DS$100,$CW43:$HL43))*1000+41)</f>
        <v/>
      </c>
      <c r="CR43">
        <f>IF(AX43=1,1000000,IF('計算A'!$EA$51=2,SUMPRODUCT('計算A'!$D$101:$DS$101,$CW43:$HL43,$HN43:$MC43),SUMPRODUCT('計算A'!$D$101:$DS$101,$CW43:$HL43))*1000+42)</f>
        <v/>
      </c>
      <c r="CS43">
        <f>IF(AY43=1,1000000,IF('計算A'!$EA$52=2,SUMPRODUCT('計算A'!$D$102:$DS$102,$CW43:$HL43,$HN43:$MC43),SUMPRODUCT('計算A'!$D$102:$DS$102,$CW43:$HL43))*1000+43)</f>
        <v/>
      </c>
      <c r="CT43">
        <f>IF(AZ43=1,1000000,IF('計算A'!$EA$53=2,SUMPRODUCT('計算A'!$D$103:$DS$103,$CW43:$HL43,$HN43:$MC43),SUMPRODUCT('計算A'!$D$103:$DS$103,$CW43:$HL43))*1000+44)</f>
        <v/>
      </c>
      <c r="CU43">
        <f>IF(BA43=1,1000000,IF('計算A'!$EA$54=2,SUMPRODUCT('計算A'!$D$104:$DS$104,$CW43:$HL43,$HN43:$MC43),SUMPRODUCT('計算A'!$D$104:$DS$104,$CW43:$HL43))*1000+45)</f>
        <v/>
      </c>
      <c r="CW43">
        <f>CW42*IF(OR($C42=1,$G42=1),0,1)</f>
        <v/>
      </c>
      <c r="CX43">
        <f>CX42*IF(OR($C42=2,$G42=2),0,1)</f>
        <v/>
      </c>
      <c r="CY43">
        <f>CY42*IF(OR($C42=3,$G42=3),0,1)</f>
        <v/>
      </c>
      <c r="CZ43">
        <f>CZ42*IF(OR($C42=4,$G42=4),0,1)</f>
        <v/>
      </c>
      <c r="DA43">
        <f>DA42*IF(OR($C42=5,$G42=5),0,1)</f>
        <v/>
      </c>
      <c r="DB43">
        <f>DB42*IF(OR($C42=6,$G42=6),0,1)</f>
        <v/>
      </c>
      <c r="DC43">
        <f>DC42*IF(OR($C42=7,$G42=7),0,1)</f>
        <v/>
      </c>
      <c r="DD43">
        <f>DD42*IF(OR($C42=8,$G42=8),0,1)</f>
        <v/>
      </c>
      <c r="DE43">
        <f>DE42*IF(OR($C42=9,$G42=9),0,1)</f>
        <v/>
      </c>
      <c r="DF43">
        <f>DF42*IF(OR($C42=10,$G42=10),0,1)</f>
        <v/>
      </c>
      <c r="DG43">
        <f>DG42*IF(OR($C42=11,$G42=11),0,1)</f>
        <v/>
      </c>
      <c r="DH43">
        <f>DH42*IF(OR($C42=12,$G42=12),0,1)</f>
        <v/>
      </c>
      <c r="DI43">
        <f>DI42*IF(OR($C42=13,$G42=13),0,1)</f>
        <v/>
      </c>
      <c r="DJ43">
        <f>DJ42*IF(OR($C42=14,$G42=14),0,1)</f>
        <v/>
      </c>
      <c r="DK43">
        <f>DK42*IF(OR($C42=15,$G42=15),0,1)</f>
        <v/>
      </c>
      <c r="DL43">
        <f>DL42*IF(OR($C42=16,$G42=16),0,1)</f>
        <v/>
      </c>
      <c r="DM43">
        <f>DM42*IF(OR($C42=17,$G42=17),0,1)</f>
        <v/>
      </c>
      <c r="DN43">
        <f>DN42*IF(OR($C42=18,$G42=18),0,1)</f>
        <v/>
      </c>
      <c r="DO43">
        <f>DO42*IF(OR($C42=19,$G42=19),0,1)</f>
        <v/>
      </c>
      <c r="DP43">
        <f>DP42*IF(OR($C42=20,$G42=20),0,1)</f>
        <v/>
      </c>
      <c r="DQ43">
        <f>DQ42*IF(OR($C42=21,$G42=21),0,1)</f>
        <v/>
      </c>
      <c r="DR43">
        <f>DR42*IF(OR($C42=22,$G42=22),0,1)</f>
        <v/>
      </c>
      <c r="DS43">
        <f>DS42*IF(OR($C42=23,$G42=23),0,1)</f>
        <v/>
      </c>
      <c r="DT43">
        <f>DT42*IF(OR($C42=24,$G42=24),0,1)</f>
        <v/>
      </c>
      <c r="DU43">
        <f>DU42*IF(OR($C42=25,$G42=25),0,1)</f>
        <v/>
      </c>
      <c r="DV43">
        <f>DV42*IF(OR($C42=26,$G42=26),0,1)</f>
        <v/>
      </c>
      <c r="DW43">
        <f>DW42*IF(OR($C42=27,$G42=27),0,1)</f>
        <v/>
      </c>
      <c r="DX43">
        <f>DX42*IF(OR($C42=28,$G42=28),0,1)</f>
        <v/>
      </c>
      <c r="DY43">
        <f>DY42*IF(OR($C42=29,$G42=29),0,1)</f>
        <v/>
      </c>
      <c r="DZ43">
        <f>DZ42*IF(OR($C42=30,$G42=30),0,1)</f>
        <v/>
      </c>
      <c r="EA43">
        <f>EA42*IF(OR($C42=31,$G42=31),0,1)</f>
        <v/>
      </c>
      <c r="EB43">
        <f>EB42*IF(OR($C42=32,$G42=32),0,1)</f>
        <v/>
      </c>
      <c r="EC43">
        <f>EC42*IF(OR($C42=33,$G42=33),0,1)</f>
        <v/>
      </c>
      <c r="ED43">
        <f>ED42*IF(OR($C42=34,$G42=34),0,1)</f>
        <v/>
      </c>
      <c r="EE43">
        <f>EE42*IF(OR($C42=35,$G42=35),0,1)</f>
        <v/>
      </c>
      <c r="EF43">
        <f>EF42*IF(OR($C42=36,$G42=36),0,1)</f>
        <v/>
      </c>
      <c r="EG43">
        <f>EG42*IF(OR($C42=37,$G42=37),0,1)</f>
        <v/>
      </c>
      <c r="EH43">
        <f>EH42*IF(OR($C42=38,$G42=38),0,1)</f>
        <v/>
      </c>
      <c r="EI43">
        <f>EI42*IF(OR($C42=39,$G42=39),0,1)</f>
        <v/>
      </c>
      <c r="EJ43">
        <f>EJ42*IF(OR($C42=40,$G42=40),0,1)</f>
        <v/>
      </c>
      <c r="EK43">
        <f>EK42*IF(OR($C42=41,$G42=41),0,1)</f>
        <v/>
      </c>
      <c r="EL43">
        <f>EL42*IF(OR($C42=42,$G42=42),0,1)</f>
        <v/>
      </c>
      <c r="EM43">
        <f>EM42*IF(OR($C42=43,$G42=43),0,1)</f>
        <v/>
      </c>
      <c r="EN43">
        <f>EN42*IF(OR($C42=44,$G42=44),0,1)</f>
        <v/>
      </c>
      <c r="EO43">
        <f>EO42*IF(OR($C42=45,$G42=45),0,1)</f>
        <v/>
      </c>
      <c r="EP43">
        <f>EP42*IF(OR($C42=46,$G42=46),0,1)</f>
        <v/>
      </c>
      <c r="EQ43">
        <f>EQ42*IF(OR($C42=47,$G42=47),0,1)</f>
        <v/>
      </c>
      <c r="ER43">
        <f>ER42*IF(OR($C42=48,$G42=48),0,1)</f>
        <v/>
      </c>
      <c r="ES43">
        <f>ES42*IF(OR($C42=49,$G42=49),0,1)</f>
        <v/>
      </c>
      <c r="ET43">
        <f>ET42*IF(OR($C42=50,$G42=50),0,1)</f>
        <v/>
      </c>
      <c r="EU43">
        <f>EU42*IF(OR($C42=51,$G42=51),0,1)</f>
        <v/>
      </c>
      <c r="EV43">
        <f>EV42*IF(OR($C42=52,$G42=52),0,1)</f>
        <v/>
      </c>
      <c r="EW43">
        <f>EW42*IF(OR($C42=53,$G42=53),0,1)</f>
        <v/>
      </c>
      <c r="EX43">
        <f>EX42*IF(OR($C42=54,$G42=54),0,1)</f>
        <v/>
      </c>
      <c r="EY43">
        <f>EY42*IF(OR($C42=55,$G42=55),0,1)</f>
        <v/>
      </c>
      <c r="EZ43">
        <f>EZ42*IF(OR($C42=56,$G42=56),0,1)</f>
        <v/>
      </c>
      <c r="FA43">
        <f>FA42*IF(OR($C42=57,$G42=57),0,1)</f>
        <v/>
      </c>
      <c r="FB43">
        <f>FB42*IF(OR($C42=58,$G42=58),0,1)</f>
        <v/>
      </c>
      <c r="FC43">
        <f>FC42*IF(OR($C42=59,$G42=59),0,1)</f>
        <v/>
      </c>
      <c r="FD43">
        <f>FD42*IF(OR($C42=60,$G42=60),0,1)</f>
        <v/>
      </c>
      <c r="FE43">
        <f>FE42*IF(OR($C42=61,$G42=61),0,1)</f>
        <v/>
      </c>
      <c r="FF43">
        <f>FF42*IF(OR($C42=62,$G42=62),0,1)</f>
        <v/>
      </c>
      <c r="FG43">
        <f>FG42*IF(OR($C42=63,$G42=63),0,1)</f>
        <v/>
      </c>
      <c r="FH43">
        <f>FH42*IF(OR($C42=64,$G42=64),0,1)</f>
        <v/>
      </c>
      <c r="FI43">
        <f>FI42*IF(OR($C42=65,$G42=65),0,1)</f>
        <v/>
      </c>
      <c r="FJ43">
        <f>FJ42*IF(OR($C42=66,$G42=66),0,1)</f>
        <v/>
      </c>
      <c r="FK43">
        <f>FK42*IF(OR($C42=67,$G42=67),0,1)</f>
        <v/>
      </c>
      <c r="FL43">
        <f>FL42*IF(OR($C42=68,$G42=68),0,1)</f>
        <v/>
      </c>
      <c r="FM43">
        <f>FM42*IF(OR($C42=69,$G42=69),0,1)</f>
        <v/>
      </c>
      <c r="FN43">
        <f>FN42*IF(OR($C42=70,$G42=70),0,1)</f>
        <v/>
      </c>
      <c r="FO43">
        <f>FO42*IF(OR($C42=71,$G42=71),0,1)</f>
        <v/>
      </c>
      <c r="FP43">
        <f>FP42*IF(OR($C42=72,$G42=72),0,1)</f>
        <v/>
      </c>
      <c r="FQ43">
        <f>FQ42*IF(OR($C42=73,$G42=73),0,1)</f>
        <v/>
      </c>
      <c r="FR43">
        <f>FR42*IF(OR($C42=74,$G42=74),0,1)</f>
        <v/>
      </c>
      <c r="FS43">
        <f>FS42*IF(OR($C42=75,$G42=75),0,1)</f>
        <v/>
      </c>
      <c r="FT43">
        <f>FT42*IF(OR($C42=76,$G42=76),0,1)</f>
        <v/>
      </c>
      <c r="FU43">
        <f>FU42*IF(OR($C42=77,$G42=77),0,1)</f>
        <v/>
      </c>
      <c r="FV43">
        <f>FV42*IF(OR($C42=78,$G42=78),0,1)</f>
        <v/>
      </c>
      <c r="FW43">
        <f>FW42*IF(OR($C42=79,$G42=79),0,1)</f>
        <v/>
      </c>
      <c r="FX43">
        <f>FX42*IF(OR($C42=80,$G42=80),0,1)</f>
        <v/>
      </c>
      <c r="FY43">
        <f>FY42*IF(OR($C42=81,$G42=81),0,1)</f>
        <v/>
      </c>
      <c r="FZ43">
        <f>FZ42*IF(OR($C42=82,$G42=82),0,1)</f>
        <v/>
      </c>
      <c r="GA43">
        <f>GA42*IF(OR($C42=83,$G42=83),0,1)</f>
        <v/>
      </c>
      <c r="GB43">
        <f>GB42*IF(OR($C42=84,$G42=84),0,1)</f>
        <v/>
      </c>
      <c r="GC43">
        <f>GC42*IF(OR($C42=85,$G42=85),0,1)</f>
        <v/>
      </c>
      <c r="GD43">
        <f>GD42*IF(OR($C42=86,$G42=86),0,1)</f>
        <v/>
      </c>
      <c r="GE43">
        <f>GE42*IF(OR($C42=87,$G42=87),0,1)</f>
        <v/>
      </c>
      <c r="GF43">
        <f>GF42*IF(OR($C42=88,$G42=88),0,1)</f>
        <v/>
      </c>
      <c r="GG43">
        <f>GG42*IF(OR($C42=89,$G42=89),0,1)</f>
        <v/>
      </c>
      <c r="GH43">
        <f>GH42*IF(OR($C42=90,$G42=90),0,1)</f>
        <v/>
      </c>
      <c r="GI43">
        <f>GI42*IF(OR($C42=91,$G42=91),0,1)</f>
        <v/>
      </c>
      <c r="GJ43">
        <f>GJ42*IF(OR($C42=92,$G42=92),0,1)</f>
        <v/>
      </c>
      <c r="GK43">
        <f>GK42*IF(OR($C42=93,$G42=93),0,1)</f>
        <v/>
      </c>
      <c r="GL43">
        <f>GL42*IF(OR($C42=94,$G42=94),0,1)</f>
        <v/>
      </c>
      <c r="GM43">
        <f>GM42*IF(OR($C42=95,$G42=95),0,1)</f>
        <v/>
      </c>
      <c r="GN43">
        <f>GN42*IF(OR($C42=96,$G42=96),0,1)</f>
        <v/>
      </c>
      <c r="GO43">
        <f>GO42*IF(OR($C42=97,$G42=97),0,1)</f>
        <v/>
      </c>
      <c r="GP43">
        <f>GP42*IF(OR($C42=98,$G42=98),0,1)</f>
        <v/>
      </c>
      <c r="GQ43">
        <f>GQ42*IF(OR($C42=99,$G42=99),0,1)</f>
        <v/>
      </c>
      <c r="GR43">
        <f>GR42*IF(OR($C42=100,$G42=100),0,1)</f>
        <v/>
      </c>
      <c r="GS43">
        <f>GS42*IF(OR($C42=101,$G42=101),0,1)</f>
        <v/>
      </c>
      <c r="GT43">
        <f>GT42*IF(OR($C42=102,$G42=102),0,1)</f>
        <v/>
      </c>
      <c r="GU43">
        <f>GU42*IF(OR($C42=103,$G42=103),0,1)</f>
        <v/>
      </c>
      <c r="GV43">
        <f>GV42*IF(OR($C42=104,$G42=104),0,1)</f>
        <v/>
      </c>
      <c r="GW43">
        <f>GW42*IF(OR($C42=105,$G42=105),0,1)</f>
        <v/>
      </c>
      <c r="GX43">
        <f>GX42*IF(OR($C42=106,$G42=106),0,1)</f>
        <v/>
      </c>
      <c r="GY43">
        <f>GY42*IF(OR($C42=107,$G42=107),0,1)</f>
        <v/>
      </c>
      <c r="GZ43">
        <f>GZ42*IF(OR($C42=108,$G42=108),0,1)</f>
        <v/>
      </c>
      <c r="HA43">
        <f>HA42*IF(OR($C42=109,$G42=109),0,1)</f>
        <v/>
      </c>
      <c r="HB43">
        <f>HB42*IF(OR($C42=110,$G42=110),0,1)</f>
        <v/>
      </c>
      <c r="HC43">
        <f>HC42*IF(OR($C42=111,$G42=111),0,1)</f>
        <v/>
      </c>
      <c r="HD43">
        <f>HD42*IF(OR($C42=112,$G42=112),0,1)</f>
        <v/>
      </c>
      <c r="HE43">
        <f>HE42*IF(OR($C42=113,$G42=113),0,1)</f>
        <v/>
      </c>
      <c r="HF43">
        <f>HF42*IF(OR($C42=114,$G42=114),0,1)</f>
        <v/>
      </c>
      <c r="HG43">
        <f>HG42*IF(OR($C42=115,$G42=115),0,1)</f>
        <v/>
      </c>
      <c r="HH43">
        <f>HH42*IF(OR($C42=116,$G42=116),0,1)</f>
        <v/>
      </c>
      <c r="HI43">
        <f>HI42*IF(OR($C42=117,$G42=117),0,1)</f>
        <v/>
      </c>
      <c r="HJ43">
        <f>HJ42*IF(OR($C42=118,$G42=118),0,1)</f>
        <v/>
      </c>
      <c r="HK43">
        <f>HK42*IF(OR($C42=119,$G42=119),0,1)</f>
        <v/>
      </c>
      <c r="HL43">
        <f>HL42*IF(OR($C42=120,$G42=120),0,1)</f>
        <v/>
      </c>
      <c r="HN43">
        <f>IF('計算A'!D$106=1,CX43,1)</f>
        <v/>
      </c>
      <c r="HO43">
        <f>IF('計算A'!E$106=1,CY43,1)</f>
        <v/>
      </c>
      <c r="HP43">
        <f>IF('計算A'!F$106=1,CZ43,1)</f>
        <v/>
      </c>
      <c r="HQ43">
        <f>IF('計算A'!G$106=1,DA43,1)</f>
        <v/>
      </c>
      <c r="HR43">
        <f>IF('計算A'!H$106=1,DB43,1)</f>
        <v/>
      </c>
      <c r="HS43">
        <f>IF('計算A'!I$106=1,DC43,1)</f>
        <v/>
      </c>
      <c r="HT43">
        <f>IF('計算A'!J$106=1,DD43,1)</f>
        <v/>
      </c>
      <c r="HU43">
        <f>IF('計算A'!K$106=1,DE43,1)</f>
        <v/>
      </c>
      <c r="HV43">
        <f>IF('計算A'!L$106=1,DF43,1)</f>
        <v/>
      </c>
      <c r="HW43">
        <f>IF('計算A'!M$106=1,DG43,1)</f>
        <v/>
      </c>
      <c r="HX43">
        <f>IF('計算A'!N$106=1,DH43,1)</f>
        <v/>
      </c>
      <c r="HY43">
        <f>IF('計算A'!O$106=1,DI43,1)</f>
        <v/>
      </c>
      <c r="HZ43">
        <f>IF('計算A'!P$106=1,DJ43,1)</f>
        <v/>
      </c>
      <c r="IA43">
        <f>IF('計算A'!Q$106=1,DK43,1)</f>
        <v/>
      </c>
      <c r="IB43">
        <f>IF('計算A'!R$106=1,DL43,1)</f>
        <v/>
      </c>
      <c r="IC43">
        <f>IF('計算A'!S$106=1,DM43,1)</f>
        <v/>
      </c>
      <c r="ID43">
        <f>IF('計算A'!T$106=1,DN43,1)</f>
        <v/>
      </c>
      <c r="IE43">
        <f>IF('計算A'!U$106=1,DO43,1)</f>
        <v/>
      </c>
      <c r="IF43">
        <f>IF('計算A'!V$106=1,DP43,1)</f>
        <v/>
      </c>
      <c r="IG43">
        <f>IF('計算A'!W$106=1,DQ43,1)</f>
        <v/>
      </c>
      <c r="IH43">
        <f>IF('計算A'!X$106=1,DR43,1)</f>
        <v/>
      </c>
      <c r="II43">
        <f>IF('計算A'!Y$106=1,DS43,1)</f>
        <v/>
      </c>
      <c r="IJ43">
        <f>IF('計算A'!Z$106=1,DT43,1)</f>
        <v/>
      </c>
      <c r="IK43">
        <f>IF('計算A'!AA$106=1,DU43,1)</f>
        <v/>
      </c>
      <c r="IL43">
        <f>IF('計算A'!AB$106=1,DV43,1)</f>
        <v/>
      </c>
      <c r="IM43">
        <f>IF('計算A'!AC$106=1,DW43,1)</f>
        <v/>
      </c>
      <c r="IN43">
        <f>IF('計算A'!AD$106=1,DX43,1)</f>
        <v/>
      </c>
      <c r="IO43">
        <f>IF('計算A'!AE$106=1,DY43,1)</f>
        <v/>
      </c>
      <c r="IP43">
        <f>IF('計算A'!AF$106=1,DZ43,1)</f>
        <v/>
      </c>
      <c r="IQ43">
        <f>IF('計算A'!AG$106=1,EA43,1)</f>
        <v/>
      </c>
      <c r="IR43">
        <f>IF('計算A'!AH$106=1,EB43,1)</f>
        <v/>
      </c>
      <c r="IS43">
        <f>IF('計算A'!AI$106=1,EC43,1)</f>
        <v/>
      </c>
      <c r="IT43">
        <f>IF('計算A'!AJ$106=1,ED43,1)</f>
        <v/>
      </c>
      <c r="IU43">
        <f>IF('計算A'!AK$106=1,EE43,1)</f>
        <v/>
      </c>
      <c r="IV43">
        <f>IF('計算A'!AL$106=1,EF43,1)</f>
        <v/>
      </c>
      <c r="IW43">
        <f>IF('計算A'!AM$106=1,EG43,1)</f>
        <v/>
      </c>
      <c r="IX43">
        <f>IF('計算A'!AN$106=1,EH43,1)</f>
        <v/>
      </c>
      <c r="IY43">
        <f>IF('計算A'!AO$106=1,EI43,1)</f>
        <v/>
      </c>
      <c r="IZ43">
        <f>IF('計算A'!AP$106=1,EJ43,1)</f>
        <v/>
      </c>
      <c r="JA43">
        <f>IF('計算A'!AQ$106=1,EK43,1)</f>
        <v/>
      </c>
      <c r="JB43">
        <f>IF('計算A'!AR$106=1,EL43,1)</f>
        <v/>
      </c>
      <c r="JC43">
        <f>IF('計算A'!AS$106=1,EM43,1)</f>
        <v/>
      </c>
      <c r="JD43">
        <f>IF('計算A'!AT$106=1,EN43,1)</f>
        <v/>
      </c>
      <c r="JE43">
        <f>IF('計算A'!AU$106=1,EO43,1)</f>
        <v/>
      </c>
      <c r="JF43">
        <f>IF('計算A'!AV$106=1,EP43,1)</f>
        <v/>
      </c>
      <c r="JG43">
        <f>IF('計算A'!AW$106=1,EQ43,1)</f>
        <v/>
      </c>
      <c r="JH43">
        <f>IF('計算A'!AX$106=1,ER43,1)</f>
        <v/>
      </c>
      <c r="JI43">
        <f>IF('計算A'!AY$106=1,ES43,1)</f>
        <v/>
      </c>
      <c r="JJ43">
        <f>IF('計算A'!AZ$106=1,ET43,1)</f>
        <v/>
      </c>
      <c r="JK43">
        <f>IF('計算A'!BA$106=1,EU43,1)</f>
        <v/>
      </c>
      <c r="JL43">
        <f>IF('計算A'!BB$106=1,EV43,1)</f>
        <v/>
      </c>
      <c r="JM43">
        <f>IF('計算A'!BC$106=1,EW43,1)</f>
        <v/>
      </c>
      <c r="JN43">
        <f>IF('計算A'!BD$106=1,EX43,1)</f>
        <v/>
      </c>
      <c r="JO43">
        <f>IF('計算A'!BE$106=1,EY43,1)</f>
        <v/>
      </c>
      <c r="JP43">
        <f>IF('計算A'!BF$106=1,EZ43,1)</f>
        <v/>
      </c>
      <c r="JQ43">
        <f>IF('計算A'!BG$106=1,FA43,1)</f>
        <v/>
      </c>
      <c r="JR43">
        <f>IF('計算A'!BH$106=1,FB43,1)</f>
        <v/>
      </c>
      <c r="JS43">
        <f>IF('計算A'!BI$106=1,FC43,1)</f>
        <v/>
      </c>
      <c r="JT43">
        <f>IF('計算A'!BJ$106=1,FD43,1)</f>
        <v/>
      </c>
      <c r="JU43">
        <f>IF('計算A'!BK$106=1,FE43,1)</f>
        <v/>
      </c>
      <c r="JV43">
        <f>IF('計算A'!BL$106=1,FF43,1)</f>
        <v/>
      </c>
      <c r="JW43">
        <f>IF('計算A'!BM$106=1,FG43,1)</f>
        <v/>
      </c>
      <c r="JX43">
        <f>IF('計算A'!BN$106=1,FH43,1)</f>
        <v/>
      </c>
      <c r="JY43">
        <f>IF('計算A'!BO$106=1,FI43,1)</f>
        <v/>
      </c>
      <c r="JZ43">
        <f>IF('計算A'!BP$106=1,FJ43,1)</f>
        <v/>
      </c>
      <c r="KA43">
        <f>IF('計算A'!BQ$106=1,FK43,1)</f>
        <v/>
      </c>
      <c r="KB43">
        <f>IF('計算A'!BR$106=1,FL43,1)</f>
        <v/>
      </c>
      <c r="KC43">
        <f>IF('計算A'!BS$106=1,FM43,1)</f>
        <v/>
      </c>
      <c r="KD43">
        <f>IF('計算A'!BT$106=1,FN43,1)</f>
        <v/>
      </c>
      <c r="KE43">
        <f>IF('計算A'!BU$106=1,FO43,1)</f>
        <v/>
      </c>
      <c r="KF43">
        <f>IF('計算A'!BV$106=1,FP43,1)</f>
        <v/>
      </c>
      <c r="KG43">
        <f>IF('計算A'!BW$106=1,FQ43,1)</f>
        <v/>
      </c>
      <c r="KH43">
        <f>IF('計算A'!BX$106=1,FR43,1)</f>
        <v/>
      </c>
      <c r="KI43">
        <f>IF('計算A'!BY$106=1,FS43,1)</f>
        <v/>
      </c>
      <c r="KJ43">
        <f>IF('計算A'!BZ$106=1,FT43,1)</f>
        <v/>
      </c>
      <c r="KK43">
        <f>IF('計算A'!CA$106=1,FU43,1)</f>
        <v/>
      </c>
      <c r="KL43">
        <f>IF('計算A'!CB$106=1,FV43,1)</f>
        <v/>
      </c>
      <c r="KM43">
        <f>IF('計算A'!CC$106=1,FW43,1)</f>
        <v/>
      </c>
      <c r="KN43">
        <f>IF('計算A'!CD$106=1,FX43,1)</f>
        <v/>
      </c>
      <c r="KO43">
        <f>IF('計算A'!CE$106=1,FY43,1)</f>
        <v/>
      </c>
      <c r="KP43">
        <f>IF('計算A'!CF$106=1,FZ43,1)</f>
        <v/>
      </c>
      <c r="KQ43">
        <f>IF('計算A'!CG$106=1,GA43,1)</f>
        <v/>
      </c>
      <c r="KR43">
        <f>IF('計算A'!CH$106=1,GB43,1)</f>
        <v/>
      </c>
      <c r="KS43">
        <f>IF('計算A'!CI$106=1,GC43,1)</f>
        <v/>
      </c>
      <c r="KT43">
        <f>IF('計算A'!CJ$106=1,GD43,1)</f>
        <v/>
      </c>
      <c r="KU43">
        <f>IF('計算A'!CK$106=1,GE43,1)</f>
        <v/>
      </c>
      <c r="KV43">
        <f>IF('計算A'!CL$106=1,GF43,1)</f>
        <v/>
      </c>
      <c r="KW43">
        <f>IF('計算A'!CM$106=1,GG43,1)</f>
        <v/>
      </c>
      <c r="KX43">
        <f>IF('計算A'!CN$106=1,GH43,1)</f>
        <v/>
      </c>
      <c r="KY43">
        <f>IF('計算A'!CO$106=1,GI43,1)</f>
        <v/>
      </c>
      <c r="KZ43">
        <f>IF('計算A'!CP$106=1,GJ43,1)</f>
        <v/>
      </c>
      <c r="LA43">
        <f>IF('計算A'!CQ$106=1,GK43,1)</f>
        <v/>
      </c>
      <c r="LB43">
        <f>IF('計算A'!CR$106=1,GL43,1)</f>
        <v/>
      </c>
      <c r="LC43">
        <f>IF('計算A'!CS$106=1,GM43,1)</f>
        <v/>
      </c>
      <c r="LD43">
        <f>IF('計算A'!CT$106=1,GN43,1)</f>
        <v/>
      </c>
      <c r="LE43">
        <f>IF('計算A'!CU$106=1,GO43,1)</f>
        <v/>
      </c>
      <c r="LF43">
        <f>IF('計算A'!CV$106=1,GP43,1)</f>
        <v/>
      </c>
      <c r="LG43">
        <f>IF('計算A'!CW$106=1,GQ43,1)</f>
        <v/>
      </c>
      <c r="LH43">
        <f>IF('計算A'!CX$106=1,GR43,1)</f>
        <v/>
      </c>
      <c r="LI43">
        <f>IF('計算A'!CY$106=1,GS43,1)</f>
        <v/>
      </c>
      <c r="LJ43">
        <f>IF('計算A'!CZ$106=1,GT43,1)</f>
        <v/>
      </c>
      <c r="LK43">
        <f>IF('計算A'!DA$106=1,GU43,1)</f>
        <v/>
      </c>
      <c r="LL43">
        <f>IF('計算A'!DB$106=1,GV43,1)</f>
        <v/>
      </c>
      <c r="LM43">
        <f>IF('計算A'!DC$106=1,GW43,1)</f>
        <v/>
      </c>
      <c r="LN43">
        <f>IF('計算A'!DD$106=1,GX43,1)</f>
        <v/>
      </c>
      <c r="LO43">
        <f>IF('計算A'!DE$106=1,GY43,1)</f>
        <v/>
      </c>
      <c r="LP43">
        <f>IF('計算A'!DF$106=1,GZ43,1)</f>
        <v/>
      </c>
      <c r="LQ43">
        <f>IF('計算A'!DG$106=1,HA43,1)</f>
        <v/>
      </c>
      <c r="LR43">
        <f>IF('計算A'!DH$106=1,HB43,1)</f>
        <v/>
      </c>
      <c r="LS43">
        <f>IF('計算A'!DI$106=1,HC43,1)</f>
        <v/>
      </c>
      <c r="LT43">
        <f>IF('計算A'!DJ$106=1,HD43,1)</f>
        <v/>
      </c>
      <c r="LU43">
        <f>IF('計算A'!DK$106=1,HE43,1)</f>
        <v/>
      </c>
      <c r="LV43">
        <f>IF('計算A'!DL$106=1,HF43,1)</f>
        <v/>
      </c>
      <c r="LW43">
        <f>IF('計算A'!DM$106=1,HG43,1)</f>
        <v/>
      </c>
      <c r="LX43">
        <f>IF('計算A'!DN$106=1,HH43,1)</f>
        <v/>
      </c>
      <c r="LY43">
        <f>IF('計算A'!DO$106=1,HI43,1)</f>
        <v/>
      </c>
      <c r="LZ43">
        <f>IF('計算A'!DP$106=1,HJ43,1)</f>
        <v/>
      </c>
      <c r="MA43">
        <f>IF('計算A'!DQ$106=1,HK43,1)</f>
        <v/>
      </c>
      <c r="MB43">
        <f>IF('計算A'!DR$106=1,HL43,1)</f>
        <v/>
      </c>
      <c r="MC43" t="n">
        <v>1</v>
      </c>
      <c r="ME43">
        <f>IF($B43=0,1000000,IF(INDEX('計算A'!$D$60:$DS$104,$B43,1)*CW43=1,IF(AND($E43=2,HN43=0),1000000,INDEX('計算A'!D$110:D$114,$F43+1)+IF(AND($E43=1,HN43=0),1000,0)),1000000))</f>
        <v/>
      </c>
      <c r="MF43">
        <f>IF($B43=0,1000000,IF(INDEX('計算A'!$D$60:$DS$104,$B43,2)*CX43=1,IF(AND($E43=2,HO43=0),1000000,INDEX('計算A'!E$110:E$114,$F43+1)+IF(AND($E43=1,HO43=0),1000,0)),1000000))</f>
        <v/>
      </c>
      <c r="MG43">
        <f>IF($B43=0,1000000,IF(INDEX('計算A'!$D$60:$DS$104,$B43,3)*CY43=1,IF(AND($E43=2,HP43=0),1000000,INDEX('計算A'!F$110:F$114,$F43+1)+IF(AND($E43=1,HP43=0),1000,0)),1000000))</f>
        <v/>
      </c>
      <c r="MH43">
        <f>IF($B43=0,1000000,IF(INDEX('計算A'!$D$60:$DS$104,$B43,4)*CZ43=1,IF(AND($E43=2,HQ43=0),1000000,INDEX('計算A'!G$110:G$114,$F43+1)+IF(AND($E43=1,HQ43=0),1000,0)),1000000))</f>
        <v/>
      </c>
      <c r="MI43">
        <f>IF($B43=0,1000000,IF(INDEX('計算A'!$D$60:$DS$104,$B43,5)*DA43=1,IF(AND($E43=2,HR43=0),1000000,INDEX('計算A'!H$110:H$114,$F43+1)+IF(AND($E43=1,HR43=0),1000,0)),1000000))</f>
        <v/>
      </c>
      <c r="MJ43">
        <f>IF($B43=0,1000000,IF(INDEX('計算A'!$D$60:$DS$104,$B43,6)*DB43=1,IF(AND($E43=2,HS43=0),1000000,INDEX('計算A'!I$110:I$114,$F43+1)+IF(AND($E43=1,HS43=0),1000,0)),1000000))</f>
        <v/>
      </c>
      <c r="MK43">
        <f>IF($B43=0,1000000,IF(INDEX('計算A'!$D$60:$DS$104,$B43,7)*DC43=1,IF(AND($E43=2,HT43=0),1000000,INDEX('計算A'!J$110:J$114,$F43+1)+IF(AND($E43=1,HT43=0),1000,0)),1000000))</f>
        <v/>
      </c>
      <c r="ML43">
        <f>IF($B43=0,1000000,IF(INDEX('計算A'!$D$60:$DS$104,$B43,8)*DD43=1,IF(AND($E43=2,HU43=0),1000000,INDEX('計算A'!K$110:K$114,$F43+1)+IF(AND($E43=1,HU43=0),1000,0)),1000000))</f>
        <v/>
      </c>
      <c r="MM43">
        <f>IF($B43=0,1000000,IF(INDEX('計算A'!$D$60:$DS$104,$B43,9)*DE43=1,IF(AND($E43=2,HV43=0),1000000,INDEX('計算A'!L$110:L$114,$F43+1)+IF(AND($E43=1,HV43=0),1000,0)),1000000))</f>
        <v/>
      </c>
      <c r="MN43">
        <f>IF($B43=0,1000000,IF(INDEX('計算A'!$D$60:$DS$104,$B43,10)*DF43=1,IF(AND($E43=2,HW43=0),1000000,INDEX('計算A'!M$110:M$114,$F43+1)+IF(AND($E43=1,HW43=0),1000,0)),1000000))</f>
        <v/>
      </c>
      <c r="MO43">
        <f>IF($B43=0,1000000,IF(INDEX('計算A'!$D$60:$DS$104,$B43,11)*DG43=1,IF(AND($E43=2,HX43=0),1000000,INDEX('計算A'!N$110:N$114,$F43+1)+IF(AND($E43=1,HX43=0),1000,0)),1000000))</f>
        <v/>
      </c>
      <c r="MP43">
        <f>IF($B43=0,1000000,IF(INDEX('計算A'!$D$60:$DS$104,$B43,12)*DH43=1,IF(AND($E43=2,HY43=0),1000000,INDEX('計算A'!O$110:O$114,$F43+1)+IF(AND($E43=1,HY43=0),1000,0)),1000000))</f>
        <v/>
      </c>
      <c r="MQ43">
        <f>IF($B43=0,1000000,IF(INDEX('計算A'!$D$60:$DS$104,$B43,13)*DI43=1,IF(AND($E43=2,HZ43=0),1000000,INDEX('計算A'!P$110:P$114,$F43+1)+IF(AND($E43=1,HZ43=0),1000,0)),1000000))</f>
        <v/>
      </c>
      <c r="MR43">
        <f>IF($B43=0,1000000,IF(INDEX('計算A'!$D$60:$DS$104,$B43,14)*DJ43=1,IF(AND($E43=2,IA43=0),1000000,INDEX('計算A'!Q$110:Q$114,$F43+1)+IF(AND($E43=1,IA43=0),1000,0)),1000000))</f>
        <v/>
      </c>
      <c r="MS43">
        <f>IF($B43=0,1000000,IF(INDEX('計算A'!$D$60:$DS$104,$B43,15)*DK43=1,IF(AND($E43=2,IB43=0),1000000,INDEX('計算A'!R$110:R$114,$F43+1)+IF(AND($E43=1,IB43=0),1000,0)),1000000))</f>
        <v/>
      </c>
      <c r="MT43">
        <f>IF($B43=0,1000000,IF(INDEX('計算A'!$D$60:$DS$104,$B43,16)*DL43=1,IF(AND($E43=2,IC43=0),1000000,INDEX('計算A'!S$110:S$114,$F43+1)+IF(AND($E43=1,IC43=0),1000,0)),1000000))</f>
        <v/>
      </c>
      <c r="MU43">
        <f>IF($B43=0,1000000,IF(INDEX('計算A'!$D$60:$DS$104,$B43,17)*DM43=1,IF(AND($E43=2,ID43=0),1000000,INDEX('計算A'!T$110:T$114,$F43+1)+IF(AND($E43=1,ID43=0),1000,0)),1000000))</f>
        <v/>
      </c>
      <c r="MV43">
        <f>IF($B43=0,1000000,IF(INDEX('計算A'!$D$60:$DS$104,$B43,18)*DN43=1,IF(AND($E43=2,IE43=0),1000000,INDEX('計算A'!U$110:U$114,$F43+1)+IF(AND($E43=1,IE43=0),1000,0)),1000000))</f>
        <v/>
      </c>
      <c r="MW43">
        <f>IF($B43=0,1000000,IF(INDEX('計算A'!$D$60:$DS$104,$B43,19)*DO43=1,IF(AND($E43=2,IF43=0),1000000,INDEX('計算A'!V$110:V$114,$F43+1)+IF(AND($E43=1,IF43=0),1000,0)),1000000))</f>
        <v/>
      </c>
      <c r="MX43">
        <f>IF($B43=0,1000000,IF(INDEX('計算A'!$D$60:$DS$104,$B43,20)*DP43=1,IF(AND($E43=2,IG43=0),1000000,INDEX('計算A'!W$110:W$114,$F43+1)+IF(AND($E43=1,IG43=0),1000,0)),1000000))</f>
        <v/>
      </c>
      <c r="MY43">
        <f>IF($B43=0,1000000,IF(INDEX('計算A'!$D$60:$DS$104,$B43,21)*DQ43=1,IF(AND($E43=2,IH43=0),1000000,INDEX('計算A'!X$110:X$114,$F43+1)+IF(AND($E43=1,IH43=0),1000,0)),1000000))</f>
        <v/>
      </c>
      <c r="MZ43">
        <f>IF($B43=0,1000000,IF(INDEX('計算A'!$D$60:$DS$104,$B43,22)*DR43=1,IF(AND($E43=2,II43=0),1000000,INDEX('計算A'!Y$110:Y$114,$F43+1)+IF(AND($E43=1,II43=0),1000,0)),1000000))</f>
        <v/>
      </c>
      <c r="NA43">
        <f>IF($B43=0,1000000,IF(INDEX('計算A'!$D$60:$DS$104,$B43,23)*DS43=1,IF(AND($E43=2,IJ43=0),1000000,INDEX('計算A'!Z$110:Z$114,$F43+1)+IF(AND($E43=1,IJ43=0),1000,0)),1000000))</f>
        <v/>
      </c>
      <c r="NB43">
        <f>IF($B43=0,1000000,IF(INDEX('計算A'!$D$60:$DS$104,$B43,24)*DT43=1,IF(AND($E43=2,IK43=0),1000000,INDEX('計算A'!AA$110:AA$114,$F43+1)+IF(AND($E43=1,IK43=0),1000,0)),1000000))</f>
        <v/>
      </c>
      <c r="NC43">
        <f>IF($B43=0,1000000,IF(INDEX('計算A'!$D$60:$DS$104,$B43,25)*DU43=1,IF(AND($E43=2,IL43=0),1000000,INDEX('計算A'!AB$110:AB$114,$F43+1)+IF(AND($E43=1,IL43=0),1000,0)),1000000))</f>
        <v/>
      </c>
      <c r="ND43">
        <f>IF($B43=0,1000000,IF(INDEX('計算A'!$D$60:$DS$104,$B43,26)*DV43=1,IF(AND($E43=2,IM43=0),1000000,INDEX('計算A'!AC$110:AC$114,$F43+1)+IF(AND($E43=1,IM43=0),1000,0)),1000000))</f>
        <v/>
      </c>
      <c r="NE43">
        <f>IF($B43=0,1000000,IF(INDEX('計算A'!$D$60:$DS$104,$B43,27)*DW43=1,IF(AND($E43=2,IN43=0),1000000,INDEX('計算A'!AD$110:AD$114,$F43+1)+IF(AND($E43=1,IN43=0),1000,0)),1000000))</f>
        <v/>
      </c>
      <c r="NF43">
        <f>IF($B43=0,1000000,IF(INDEX('計算A'!$D$60:$DS$104,$B43,28)*DX43=1,IF(AND($E43=2,IO43=0),1000000,INDEX('計算A'!AE$110:AE$114,$F43+1)+IF(AND($E43=1,IO43=0),1000,0)),1000000))</f>
        <v/>
      </c>
      <c r="NG43">
        <f>IF($B43=0,1000000,IF(INDEX('計算A'!$D$60:$DS$104,$B43,29)*DY43=1,IF(AND($E43=2,IP43=0),1000000,INDEX('計算A'!AF$110:AF$114,$F43+1)+IF(AND($E43=1,IP43=0),1000,0)),1000000))</f>
        <v/>
      </c>
      <c r="NH43">
        <f>IF($B43=0,1000000,IF(INDEX('計算A'!$D$60:$DS$104,$B43,30)*DZ43=1,IF(AND($E43=2,IQ43=0),1000000,INDEX('計算A'!AG$110:AG$114,$F43+1)+IF(AND($E43=1,IQ43=0),1000,0)),1000000))</f>
        <v/>
      </c>
      <c r="NI43">
        <f>IF($B43=0,1000000,IF(INDEX('計算A'!$D$60:$DS$104,$B43,31)*EA43=1,IF(AND($E43=2,IR43=0),1000000,INDEX('計算A'!AH$110:AH$114,$F43+1)+IF(AND($E43=1,IR43=0),1000,0)),1000000))</f>
        <v/>
      </c>
      <c r="NJ43">
        <f>IF($B43=0,1000000,IF(INDEX('計算A'!$D$60:$DS$104,$B43,32)*EB43=1,IF(AND($E43=2,IS43=0),1000000,INDEX('計算A'!AI$110:AI$114,$F43+1)+IF(AND($E43=1,IS43=0),1000,0)),1000000))</f>
        <v/>
      </c>
      <c r="NK43">
        <f>IF($B43=0,1000000,IF(INDEX('計算A'!$D$60:$DS$104,$B43,33)*EC43=1,IF(AND($E43=2,IT43=0),1000000,INDEX('計算A'!AJ$110:AJ$114,$F43+1)+IF(AND($E43=1,IT43=0),1000,0)),1000000))</f>
        <v/>
      </c>
      <c r="NL43">
        <f>IF($B43=0,1000000,IF(INDEX('計算A'!$D$60:$DS$104,$B43,34)*ED43=1,IF(AND($E43=2,IU43=0),1000000,INDEX('計算A'!AK$110:AK$114,$F43+1)+IF(AND($E43=1,IU43=0),1000,0)),1000000))</f>
        <v/>
      </c>
      <c r="NM43">
        <f>IF($B43=0,1000000,IF(INDEX('計算A'!$D$60:$DS$104,$B43,35)*EE43=1,IF(AND($E43=2,IV43=0),1000000,INDEX('計算A'!AL$110:AL$114,$F43+1)+IF(AND($E43=1,IV43=0),1000,0)),1000000))</f>
        <v/>
      </c>
      <c r="NN43">
        <f>IF($B43=0,1000000,IF(INDEX('計算A'!$D$60:$DS$104,$B43,36)*EF43=1,IF(AND($E43=2,IW43=0),1000000,INDEX('計算A'!AM$110:AM$114,$F43+1)+IF(AND($E43=1,IW43=0),1000,0)),1000000))</f>
        <v/>
      </c>
      <c r="NO43">
        <f>IF($B43=0,1000000,IF(INDEX('計算A'!$D$60:$DS$104,$B43,37)*EG43=1,IF(AND($E43=2,IX43=0),1000000,INDEX('計算A'!AN$110:AN$114,$F43+1)+IF(AND($E43=1,IX43=0),1000,0)),1000000))</f>
        <v/>
      </c>
      <c r="NP43">
        <f>IF($B43=0,1000000,IF(INDEX('計算A'!$D$60:$DS$104,$B43,38)*EH43=1,IF(AND($E43=2,IY43=0),1000000,INDEX('計算A'!AO$110:AO$114,$F43+1)+IF(AND($E43=1,IY43=0),1000,0)),1000000))</f>
        <v/>
      </c>
      <c r="NQ43">
        <f>IF($B43=0,1000000,IF(INDEX('計算A'!$D$60:$DS$104,$B43,39)*EI43=1,IF(AND($E43=2,IZ43=0),1000000,INDEX('計算A'!AP$110:AP$114,$F43+1)+IF(AND($E43=1,IZ43=0),1000,0)),1000000))</f>
        <v/>
      </c>
      <c r="NR43">
        <f>IF($B43=0,1000000,IF(INDEX('計算A'!$D$60:$DS$104,$B43,40)*EJ43=1,IF(AND($E43=2,JA43=0),1000000,INDEX('計算A'!AQ$110:AQ$114,$F43+1)+IF(AND($E43=1,JA43=0),1000,0)),1000000))</f>
        <v/>
      </c>
      <c r="NS43">
        <f>IF($B43=0,1000000,IF(INDEX('計算A'!$D$60:$DS$104,$B43,41)*EK43=1,IF(AND($E43=2,JB43=0),1000000,INDEX('計算A'!AR$110:AR$114,$F43+1)+IF(AND($E43=1,JB43=0),1000,0)),1000000))</f>
        <v/>
      </c>
      <c r="NT43">
        <f>IF($B43=0,1000000,IF(INDEX('計算A'!$D$60:$DS$104,$B43,42)*EL43=1,IF(AND($E43=2,JC43=0),1000000,INDEX('計算A'!AS$110:AS$114,$F43+1)+IF(AND($E43=1,JC43=0),1000,0)),1000000))</f>
        <v/>
      </c>
      <c r="NU43">
        <f>IF($B43=0,1000000,IF(INDEX('計算A'!$D$60:$DS$104,$B43,43)*EM43=1,IF(AND($E43=2,JD43=0),1000000,INDEX('計算A'!AT$110:AT$114,$F43+1)+IF(AND($E43=1,JD43=0),1000,0)),1000000))</f>
        <v/>
      </c>
      <c r="NV43">
        <f>IF($B43=0,1000000,IF(INDEX('計算A'!$D$60:$DS$104,$B43,44)*EN43=1,IF(AND($E43=2,JE43=0),1000000,INDEX('計算A'!AU$110:AU$114,$F43+1)+IF(AND($E43=1,JE43=0),1000,0)),1000000))</f>
        <v/>
      </c>
      <c r="NW43">
        <f>IF($B43=0,1000000,IF(INDEX('計算A'!$D$60:$DS$104,$B43,45)*EO43=1,IF(AND($E43=2,JF43=0),1000000,INDEX('計算A'!AV$110:AV$114,$F43+1)+IF(AND($E43=1,JF43=0),1000,0)),1000000))</f>
        <v/>
      </c>
      <c r="NX43">
        <f>IF($B43=0,1000000,IF(INDEX('計算A'!$D$60:$DS$104,$B43,46)*EP43=1,IF(AND($E43=2,JG43=0),1000000,INDEX('計算A'!AW$110:AW$114,$F43+1)+IF(AND($E43=1,JG43=0),1000,0)),1000000))</f>
        <v/>
      </c>
      <c r="NY43">
        <f>IF($B43=0,1000000,IF(INDEX('計算A'!$D$60:$DS$104,$B43,47)*EQ43=1,IF(AND($E43=2,JH43=0),1000000,INDEX('計算A'!AX$110:AX$114,$F43+1)+IF(AND($E43=1,JH43=0),1000,0)),1000000))</f>
        <v/>
      </c>
      <c r="NZ43">
        <f>IF($B43=0,1000000,IF(INDEX('計算A'!$D$60:$DS$104,$B43,48)*ER43=1,IF(AND($E43=2,JI43=0),1000000,INDEX('計算A'!AY$110:AY$114,$F43+1)+IF(AND($E43=1,JI43=0),1000,0)),1000000))</f>
        <v/>
      </c>
      <c r="OA43">
        <f>IF($B43=0,1000000,IF(INDEX('計算A'!$D$60:$DS$104,$B43,49)*ES43=1,IF(AND($E43=2,JJ43=0),1000000,INDEX('計算A'!AZ$110:AZ$114,$F43+1)+IF(AND($E43=1,JJ43=0),1000,0)),1000000))</f>
        <v/>
      </c>
      <c r="OB43">
        <f>IF($B43=0,1000000,IF(INDEX('計算A'!$D$60:$DS$104,$B43,50)*ET43=1,IF(AND($E43=2,JK43=0),1000000,INDEX('計算A'!BA$110:BA$114,$F43+1)+IF(AND($E43=1,JK43=0),1000,0)),1000000))</f>
        <v/>
      </c>
      <c r="OC43">
        <f>IF($B43=0,1000000,IF(INDEX('計算A'!$D$60:$DS$104,$B43,51)*EU43=1,IF(AND($E43=2,JL43=0),1000000,INDEX('計算A'!BB$110:BB$114,$F43+1)+IF(AND($E43=1,JL43=0),1000,0)),1000000))</f>
        <v/>
      </c>
      <c r="OD43">
        <f>IF($B43=0,1000000,IF(INDEX('計算A'!$D$60:$DS$104,$B43,52)*EV43=1,IF(AND($E43=2,JM43=0),1000000,INDEX('計算A'!BC$110:BC$114,$F43+1)+IF(AND($E43=1,JM43=0),1000,0)),1000000))</f>
        <v/>
      </c>
      <c r="OE43">
        <f>IF($B43=0,1000000,IF(INDEX('計算A'!$D$60:$DS$104,$B43,53)*EW43=1,IF(AND($E43=2,JN43=0),1000000,INDEX('計算A'!BD$110:BD$114,$F43+1)+IF(AND($E43=1,JN43=0),1000,0)),1000000))</f>
        <v/>
      </c>
      <c r="OF43">
        <f>IF($B43=0,1000000,IF(INDEX('計算A'!$D$60:$DS$104,$B43,54)*EX43=1,IF(AND($E43=2,JO43=0),1000000,INDEX('計算A'!BE$110:BE$114,$F43+1)+IF(AND($E43=1,JO43=0),1000,0)),1000000))</f>
        <v/>
      </c>
      <c r="OG43">
        <f>IF($B43=0,1000000,IF(INDEX('計算A'!$D$60:$DS$104,$B43,55)*EY43=1,IF(AND($E43=2,JP43=0),1000000,INDEX('計算A'!BF$110:BF$114,$F43+1)+IF(AND($E43=1,JP43=0),1000,0)),1000000))</f>
        <v/>
      </c>
      <c r="OH43">
        <f>IF($B43=0,1000000,IF(INDEX('計算A'!$D$60:$DS$104,$B43,56)*EZ43=1,IF(AND($E43=2,JQ43=0),1000000,INDEX('計算A'!BG$110:BG$114,$F43+1)+IF(AND($E43=1,JQ43=0),1000,0)),1000000))</f>
        <v/>
      </c>
      <c r="OI43">
        <f>IF($B43=0,1000000,IF(INDEX('計算A'!$D$60:$DS$104,$B43,57)*FA43=1,IF(AND($E43=2,JR43=0),1000000,INDEX('計算A'!BH$110:BH$114,$F43+1)+IF(AND($E43=1,JR43=0),1000,0)),1000000))</f>
        <v/>
      </c>
      <c r="OJ43">
        <f>IF($B43=0,1000000,IF(INDEX('計算A'!$D$60:$DS$104,$B43,58)*FB43=1,IF(AND($E43=2,JS43=0),1000000,INDEX('計算A'!BI$110:BI$114,$F43+1)+IF(AND($E43=1,JS43=0),1000,0)),1000000))</f>
        <v/>
      </c>
      <c r="OK43">
        <f>IF($B43=0,1000000,IF(INDEX('計算A'!$D$60:$DS$104,$B43,59)*FC43=1,IF(AND($E43=2,JT43=0),1000000,INDEX('計算A'!BJ$110:BJ$114,$F43+1)+IF(AND($E43=1,JT43=0),1000,0)),1000000))</f>
        <v/>
      </c>
      <c r="OL43">
        <f>IF($B43=0,1000000,IF(INDEX('計算A'!$D$60:$DS$104,$B43,60)*FD43=1,IF(AND($E43=2,JU43=0),1000000,INDEX('計算A'!BK$110:BK$114,$F43+1)+IF(AND($E43=1,JU43=0),1000,0)),1000000))</f>
        <v/>
      </c>
      <c r="OM43">
        <f>IF($B43=0,1000000,IF(INDEX('計算A'!$D$60:$DS$104,$B43,61)*FE43=1,IF(AND($E43=2,JV43=0),1000000,INDEX('計算A'!BL$110:BL$114,$F43+1)+IF(AND($E43=1,JV43=0),1000,0)),1000000))</f>
        <v/>
      </c>
      <c r="ON43">
        <f>IF($B43=0,1000000,IF(INDEX('計算A'!$D$60:$DS$104,$B43,62)*FF43=1,IF(AND($E43=2,JW43=0),1000000,INDEX('計算A'!BM$110:BM$114,$F43+1)+IF(AND($E43=1,JW43=0),1000,0)),1000000))</f>
        <v/>
      </c>
      <c r="OO43">
        <f>IF($B43=0,1000000,IF(INDEX('計算A'!$D$60:$DS$104,$B43,63)*FG43=1,IF(AND($E43=2,JX43=0),1000000,INDEX('計算A'!BN$110:BN$114,$F43+1)+IF(AND($E43=1,JX43=0),1000,0)),1000000))</f>
        <v/>
      </c>
      <c r="OP43">
        <f>IF($B43=0,1000000,IF(INDEX('計算A'!$D$60:$DS$104,$B43,64)*FH43=1,IF(AND($E43=2,JY43=0),1000000,INDEX('計算A'!BO$110:BO$114,$F43+1)+IF(AND($E43=1,JY43=0),1000,0)),1000000))</f>
        <v/>
      </c>
      <c r="OQ43">
        <f>IF($B43=0,1000000,IF(INDEX('計算A'!$D$60:$DS$104,$B43,65)*FI43=1,IF(AND($E43=2,JZ43=0),1000000,INDEX('計算A'!BP$110:BP$114,$F43+1)+IF(AND($E43=1,JZ43=0),1000,0)),1000000))</f>
        <v/>
      </c>
      <c r="OR43">
        <f>IF($B43=0,1000000,IF(INDEX('計算A'!$D$60:$DS$104,$B43,66)*FJ43=1,IF(AND($E43=2,KA43=0),1000000,INDEX('計算A'!BQ$110:BQ$114,$F43+1)+IF(AND($E43=1,KA43=0),1000,0)),1000000))</f>
        <v/>
      </c>
      <c r="OS43">
        <f>IF($B43=0,1000000,IF(INDEX('計算A'!$D$60:$DS$104,$B43,67)*FK43=1,IF(AND($E43=2,KB43=0),1000000,INDEX('計算A'!BR$110:BR$114,$F43+1)+IF(AND($E43=1,KB43=0),1000,0)),1000000))</f>
        <v/>
      </c>
      <c r="OT43">
        <f>IF($B43=0,1000000,IF(INDEX('計算A'!$D$60:$DS$104,$B43,68)*FL43=1,IF(AND($E43=2,KC43=0),1000000,INDEX('計算A'!BS$110:BS$114,$F43+1)+IF(AND($E43=1,KC43=0),1000,0)),1000000))</f>
        <v/>
      </c>
      <c r="OU43">
        <f>IF($B43=0,1000000,IF(INDEX('計算A'!$D$60:$DS$104,$B43,69)*FM43=1,IF(AND($E43=2,KD43=0),1000000,INDEX('計算A'!BT$110:BT$114,$F43+1)+IF(AND($E43=1,KD43=0),1000,0)),1000000))</f>
        <v/>
      </c>
      <c r="OV43">
        <f>IF($B43=0,1000000,IF(INDEX('計算A'!$D$60:$DS$104,$B43,70)*FN43=1,IF(AND($E43=2,KE43=0),1000000,INDEX('計算A'!BU$110:BU$114,$F43+1)+IF(AND($E43=1,KE43=0),1000,0)),1000000))</f>
        <v/>
      </c>
      <c r="OW43">
        <f>IF($B43=0,1000000,IF(INDEX('計算A'!$D$60:$DS$104,$B43,71)*FO43=1,IF(AND($E43=2,KF43=0),1000000,INDEX('計算A'!BV$110:BV$114,$F43+1)+IF(AND($E43=1,KF43=0),1000,0)),1000000))</f>
        <v/>
      </c>
      <c r="OX43">
        <f>IF($B43=0,1000000,IF(INDEX('計算A'!$D$60:$DS$104,$B43,72)*FP43=1,IF(AND($E43=2,KG43=0),1000000,INDEX('計算A'!BW$110:BW$114,$F43+1)+IF(AND($E43=1,KG43=0),1000,0)),1000000))</f>
        <v/>
      </c>
      <c r="OY43">
        <f>IF($B43=0,1000000,IF(INDEX('計算A'!$D$60:$DS$104,$B43,73)*FQ43=1,IF(AND($E43=2,KH43=0),1000000,INDEX('計算A'!BX$110:BX$114,$F43+1)+IF(AND($E43=1,KH43=0),1000,0)),1000000))</f>
        <v/>
      </c>
      <c r="OZ43">
        <f>IF($B43=0,1000000,IF(INDEX('計算A'!$D$60:$DS$104,$B43,74)*FR43=1,IF(AND($E43=2,KI43=0),1000000,INDEX('計算A'!BY$110:BY$114,$F43+1)+IF(AND($E43=1,KI43=0),1000,0)),1000000))</f>
        <v/>
      </c>
      <c r="PA43">
        <f>IF($B43=0,1000000,IF(INDEX('計算A'!$D$60:$DS$104,$B43,75)*FS43=1,IF(AND($E43=2,KJ43=0),1000000,INDEX('計算A'!BZ$110:BZ$114,$F43+1)+IF(AND($E43=1,KJ43=0),1000,0)),1000000))</f>
        <v/>
      </c>
      <c r="PB43">
        <f>IF($B43=0,1000000,IF(INDEX('計算A'!$D$60:$DS$104,$B43,76)*FT43=1,IF(AND($E43=2,KK43=0),1000000,INDEX('計算A'!CA$110:CA$114,$F43+1)+IF(AND($E43=1,KK43=0),1000,0)),1000000))</f>
        <v/>
      </c>
      <c r="PC43">
        <f>IF($B43=0,1000000,IF(INDEX('計算A'!$D$60:$DS$104,$B43,77)*FU43=1,IF(AND($E43=2,KL43=0),1000000,INDEX('計算A'!CB$110:CB$114,$F43+1)+IF(AND($E43=1,KL43=0),1000,0)),1000000))</f>
        <v/>
      </c>
      <c r="PD43">
        <f>IF($B43=0,1000000,IF(INDEX('計算A'!$D$60:$DS$104,$B43,78)*FV43=1,IF(AND($E43=2,KM43=0),1000000,INDEX('計算A'!CC$110:CC$114,$F43+1)+IF(AND($E43=1,KM43=0),1000,0)),1000000))</f>
        <v/>
      </c>
      <c r="PE43">
        <f>IF($B43=0,1000000,IF(INDEX('計算A'!$D$60:$DS$104,$B43,79)*FW43=1,IF(AND($E43=2,KN43=0),1000000,INDEX('計算A'!CD$110:CD$114,$F43+1)+IF(AND($E43=1,KN43=0),1000,0)),1000000))</f>
        <v/>
      </c>
      <c r="PF43">
        <f>IF($B43=0,1000000,IF(INDEX('計算A'!$D$60:$DS$104,$B43,80)*FX43=1,IF(AND($E43=2,KO43=0),1000000,INDEX('計算A'!CE$110:CE$114,$F43+1)+IF(AND($E43=1,KO43=0),1000,0)),1000000))</f>
        <v/>
      </c>
      <c r="PG43">
        <f>IF($B43=0,1000000,IF(INDEX('計算A'!$D$60:$DS$104,$B43,81)*FY43=1,IF(AND($E43=2,KP43=0),1000000,INDEX('計算A'!CF$110:CF$114,$F43+1)+IF(AND($E43=1,KP43=0),1000,0)),1000000))</f>
        <v/>
      </c>
      <c r="PH43">
        <f>IF($B43=0,1000000,IF(INDEX('計算A'!$D$60:$DS$104,$B43,82)*FZ43=1,IF(AND($E43=2,KQ43=0),1000000,INDEX('計算A'!CG$110:CG$114,$F43+1)+IF(AND($E43=1,KQ43=0),1000,0)),1000000))</f>
        <v/>
      </c>
      <c r="PI43">
        <f>IF($B43=0,1000000,IF(INDEX('計算A'!$D$60:$DS$104,$B43,83)*GA43=1,IF(AND($E43=2,KR43=0),1000000,INDEX('計算A'!CH$110:CH$114,$F43+1)+IF(AND($E43=1,KR43=0),1000,0)),1000000))</f>
        <v/>
      </c>
      <c r="PJ43">
        <f>IF($B43=0,1000000,IF(INDEX('計算A'!$D$60:$DS$104,$B43,84)*GB43=1,IF(AND($E43=2,KS43=0),1000000,INDEX('計算A'!CI$110:CI$114,$F43+1)+IF(AND($E43=1,KS43=0),1000,0)),1000000))</f>
        <v/>
      </c>
      <c r="PK43">
        <f>IF($B43=0,1000000,IF(INDEX('計算A'!$D$60:$DS$104,$B43,85)*GC43=1,IF(AND($E43=2,KT43=0),1000000,INDEX('計算A'!CJ$110:CJ$114,$F43+1)+IF(AND($E43=1,KT43=0),1000,0)),1000000))</f>
        <v/>
      </c>
      <c r="PL43">
        <f>IF($B43=0,1000000,IF(INDEX('計算A'!$D$60:$DS$104,$B43,86)*GD43=1,IF(AND($E43=2,KU43=0),1000000,INDEX('計算A'!CK$110:CK$114,$F43+1)+IF(AND($E43=1,KU43=0),1000,0)),1000000))</f>
        <v/>
      </c>
      <c r="PM43">
        <f>IF($B43=0,1000000,IF(INDEX('計算A'!$D$60:$DS$104,$B43,87)*GE43=1,IF(AND($E43=2,KV43=0),1000000,INDEX('計算A'!CL$110:CL$114,$F43+1)+IF(AND($E43=1,KV43=0),1000,0)),1000000))</f>
        <v/>
      </c>
      <c r="PN43">
        <f>IF($B43=0,1000000,IF(INDEX('計算A'!$D$60:$DS$104,$B43,88)*GF43=1,IF(AND($E43=2,KW43=0),1000000,INDEX('計算A'!CM$110:CM$114,$F43+1)+IF(AND($E43=1,KW43=0),1000,0)),1000000))</f>
        <v/>
      </c>
      <c r="PO43">
        <f>IF($B43=0,1000000,IF(INDEX('計算A'!$D$60:$DS$104,$B43,89)*GG43=1,IF(AND($E43=2,KX43=0),1000000,INDEX('計算A'!CN$110:CN$114,$F43+1)+IF(AND($E43=1,KX43=0),1000,0)),1000000))</f>
        <v/>
      </c>
      <c r="PP43">
        <f>IF($B43=0,1000000,IF(INDEX('計算A'!$D$60:$DS$104,$B43,90)*GH43=1,IF(AND($E43=2,KY43=0),1000000,INDEX('計算A'!CO$110:CO$114,$F43+1)+IF(AND($E43=1,KY43=0),1000,0)),1000000))</f>
        <v/>
      </c>
      <c r="PQ43">
        <f>IF($B43=0,1000000,IF(INDEX('計算A'!$D$60:$DS$104,$B43,91)*GI43=1,IF(AND($E43=2,KZ43=0),1000000,INDEX('計算A'!CP$110:CP$114,$F43+1)+IF(AND($E43=1,KZ43=0),1000,0)),1000000))</f>
        <v/>
      </c>
      <c r="PR43">
        <f>IF($B43=0,1000000,IF(INDEX('計算A'!$D$60:$DS$104,$B43,92)*GJ43=1,IF(AND($E43=2,LA43=0),1000000,INDEX('計算A'!CQ$110:CQ$114,$F43+1)+IF(AND($E43=1,LA43=0),1000,0)),1000000))</f>
        <v/>
      </c>
      <c r="PS43">
        <f>IF($B43=0,1000000,IF(INDEX('計算A'!$D$60:$DS$104,$B43,93)*GK43=1,IF(AND($E43=2,LB43=0),1000000,INDEX('計算A'!CR$110:CR$114,$F43+1)+IF(AND($E43=1,LB43=0),1000,0)),1000000))</f>
        <v/>
      </c>
      <c r="PT43">
        <f>IF($B43=0,1000000,IF(INDEX('計算A'!$D$60:$DS$104,$B43,94)*GL43=1,IF(AND($E43=2,LC43=0),1000000,INDEX('計算A'!CS$110:CS$114,$F43+1)+IF(AND($E43=1,LC43=0),1000,0)),1000000))</f>
        <v/>
      </c>
      <c r="PU43">
        <f>IF($B43=0,1000000,IF(INDEX('計算A'!$D$60:$DS$104,$B43,95)*GM43=1,IF(AND($E43=2,LD43=0),1000000,INDEX('計算A'!CT$110:CT$114,$F43+1)+IF(AND($E43=1,LD43=0),1000,0)),1000000))</f>
        <v/>
      </c>
      <c r="PV43">
        <f>IF($B43=0,1000000,IF(INDEX('計算A'!$D$60:$DS$104,$B43,96)*GN43=1,IF(AND($E43=2,LE43=0),1000000,INDEX('計算A'!CU$110:CU$114,$F43+1)+IF(AND($E43=1,LE43=0),1000,0)),1000000))</f>
        <v/>
      </c>
      <c r="PW43">
        <f>IF($B43=0,1000000,IF(INDEX('計算A'!$D$60:$DS$104,$B43,97)*GO43=1,IF(AND($E43=2,LF43=0),1000000,INDEX('計算A'!CV$110:CV$114,$F43+1)+IF(AND($E43=1,LF43=0),1000,0)),1000000))</f>
        <v/>
      </c>
      <c r="PX43">
        <f>IF($B43=0,1000000,IF(INDEX('計算A'!$D$60:$DS$104,$B43,98)*GP43=1,IF(AND($E43=2,LG43=0),1000000,INDEX('計算A'!CW$110:CW$114,$F43+1)+IF(AND($E43=1,LG43=0),1000,0)),1000000))</f>
        <v/>
      </c>
      <c r="PY43">
        <f>IF($B43=0,1000000,IF(INDEX('計算A'!$D$60:$DS$104,$B43,99)*GQ43=1,IF(AND($E43=2,LH43=0),1000000,INDEX('計算A'!CX$110:CX$114,$F43+1)+IF(AND($E43=1,LH43=0),1000,0)),1000000))</f>
        <v/>
      </c>
      <c r="PZ43">
        <f>IF($B43=0,1000000,IF(INDEX('計算A'!$D$60:$DS$104,$B43,100)*GR43=1,IF(AND($E43=2,LI43=0),1000000,INDEX('計算A'!CY$110:CY$114,$F43+1)+IF(AND($E43=1,LI43=0),1000,0)),1000000))</f>
        <v/>
      </c>
      <c r="QA43">
        <f>IF($B43=0,1000000,IF(INDEX('計算A'!$D$60:$DS$104,$B43,101)*GS43=1,IF(AND($E43=2,LJ43=0),1000000,INDEX('計算A'!CZ$110:CZ$114,$F43+1)+IF(AND($E43=1,LJ43=0),1000,0)),1000000))</f>
        <v/>
      </c>
      <c r="QB43">
        <f>IF($B43=0,1000000,IF(INDEX('計算A'!$D$60:$DS$104,$B43,102)*GT43=1,IF(AND($E43=2,LK43=0),1000000,INDEX('計算A'!DA$110:DA$114,$F43+1)+IF(AND($E43=1,LK43=0),1000,0)),1000000))</f>
        <v/>
      </c>
      <c r="QC43">
        <f>IF($B43=0,1000000,IF(INDEX('計算A'!$D$60:$DS$104,$B43,103)*GU43=1,IF(AND($E43=2,LL43=0),1000000,INDEX('計算A'!DB$110:DB$114,$F43+1)+IF(AND($E43=1,LL43=0),1000,0)),1000000))</f>
        <v/>
      </c>
      <c r="QD43">
        <f>IF($B43=0,1000000,IF(INDEX('計算A'!$D$60:$DS$104,$B43,104)*GV43=1,IF(AND($E43=2,LM43=0),1000000,INDEX('計算A'!DC$110:DC$114,$F43+1)+IF(AND($E43=1,LM43=0),1000,0)),1000000))</f>
        <v/>
      </c>
      <c r="QE43">
        <f>IF($B43=0,1000000,IF(INDEX('計算A'!$D$60:$DS$104,$B43,105)*GW43=1,IF(AND($E43=2,LN43=0),1000000,INDEX('計算A'!DD$110:DD$114,$F43+1)+IF(AND($E43=1,LN43=0),1000,0)),1000000))</f>
        <v/>
      </c>
      <c r="QF43">
        <f>IF($B43=0,1000000,IF(INDEX('計算A'!$D$60:$DS$104,$B43,106)*GX43=1,IF(AND($E43=2,LO43=0),1000000,INDEX('計算A'!DE$110:DE$114,$F43+1)+IF(AND($E43=1,LO43=0),1000,0)),1000000))</f>
        <v/>
      </c>
      <c r="QG43">
        <f>IF($B43=0,1000000,IF(INDEX('計算A'!$D$60:$DS$104,$B43,107)*GY43=1,IF(AND($E43=2,LP43=0),1000000,INDEX('計算A'!DF$110:DF$114,$F43+1)+IF(AND($E43=1,LP43=0),1000,0)),1000000))</f>
        <v/>
      </c>
      <c r="QH43">
        <f>IF($B43=0,1000000,IF(INDEX('計算A'!$D$60:$DS$104,$B43,108)*GZ43=1,IF(AND($E43=2,LQ43=0),1000000,INDEX('計算A'!DG$110:DG$114,$F43+1)+IF(AND($E43=1,LQ43=0),1000,0)),1000000))</f>
        <v/>
      </c>
      <c r="QI43">
        <f>IF($B43=0,1000000,IF(INDEX('計算A'!$D$60:$DS$104,$B43,109)*HA43=1,IF(AND($E43=2,LR43=0),1000000,INDEX('計算A'!DH$110:DH$114,$F43+1)+IF(AND($E43=1,LR43=0),1000,0)),1000000))</f>
        <v/>
      </c>
      <c r="QJ43">
        <f>IF($B43=0,1000000,IF(INDEX('計算A'!$D$60:$DS$104,$B43,110)*HB43=1,IF(AND($E43=2,LS43=0),1000000,INDEX('計算A'!DI$110:DI$114,$F43+1)+IF(AND($E43=1,LS43=0),1000,0)),1000000))</f>
        <v/>
      </c>
      <c r="QK43">
        <f>IF($B43=0,1000000,IF(INDEX('計算A'!$D$60:$DS$104,$B43,111)*HC43=1,IF(AND($E43=2,LT43=0),1000000,INDEX('計算A'!DJ$110:DJ$114,$F43+1)+IF(AND($E43=1,LT43=0),1000,0)),1000000))</f>
        <v/>
      </c>
      <c r="QL43">
        <f>IF($B43=0,1000000,IF(INDEX('計算A'!$D$60:$DS$104,$B43,112)*HD43=1,IF(AND($E43=2,LU43=0),1000000,INDEX('計算A'!DK$110:DK$114,$F43+1)+IF(AND($E43=1,LU43=0),1000,0)),1000000))</f>
        <v/>
      </c>
      <c r="QM43">
        <f>IF($B43=0,1000000,IF(INDEX('計算A'!$D$60:$DS$104,$B43,113)*HE43=1,IF(AND($E43=2,LV43=0),1000000,INDEX('計算A'!DL$110:DL$114,$F43+1)+IF(AND($E43=1,LV43=0),1000,0)),1000000))</f>
        <v/>
      </c>
      <c r="QN43">
        <f>IF($B43=0,1000000,IF(INDEX('計算A'!$D$60:$DS$104,$B43,114)*HF43=1,IF(AND($E43=2,LW43=0),1000000,INDEX('計算A'!DM$110:DM$114,$F43+1)+IF(AND($E43=1,LW43=0),1000,0)),1000000))</f>
        <v/>
      </c>
      <c r="QO43">
        <f>IF($B43=0,1000000,IF(INDEX('計算A'!$D$60:$DS$104,$B43,115)*HG43=1,IF(AND($E43=2,LX43=0),1000000,INDEX('計算A'!DN$110:DN$114,$F43+1)+IF(AND($E43=1,LX43=0),1000,0)),1000000))</f>
        <v/>
      </c>
      <c r="QP43">
        <f>IF($B43=0,1000000,IF(INDEX('計算A'!$D$60:$DS$104,$B43,116)*HH43=1,IF(AND($E43=2,LY43=0),1000000,INDEX('計算A'!DO$110:DO$114,$F43+1)+IF(AND($E43=1,LY43=0),1000,0)),1000000))</f>
        <v/>
      </c>
      <c r="QQ43">
        <f>IF($B43=0,1000000,IF(INDEX('計算A'!$D$60:$DS$104,$B43,117)*HI43=1,IF(AND($E43=2,LZ43=0),1000000,INDEX('計算A'!DP$110:DP$114,$F43+1)+IF(AND($E43=1,LZ43=0),1000,0)),1000000))</f>
        <v/>
      </c>
      <c r="QR43">
        <f>IF($B43=0,1000000,IF(INDEX('計算A'!$D$60:$DS$104,$B43,118)*HJ43=1,IF(AND($E43=2,MA43=0),1000000,INDEX('計算A'!DQ$110:DQ$114,$F43+1)+IF(AND($E43=1,MA43=0),1000,0)),1000000))</f>
        <v/>
      </c>
      <c r="QS43">
        <f>IF($B43=0,1000000,IF(INDEX('計算A'!$D$60:$DS$104,$B43,119)*HK43=1,IF(AND($E43=2,MB43=0),1000000,INDEX('計算A'!DR$110:DR$114,$F43+1)+IF(AND($E43=1,MB43=0),1000,0)),1000000))</f>
        <v/>
      </c>
      <c r="QT43">
        <f>IF($B43=0,1000000,IF(INDEX('計算A'!$D$60:$DS$104,$B43,120)*HL43=1,IF(AND($E43=2,MC43=0),1000000,INDEX('計算A'!DS$110:DS$114,$F43+1)+IF(AND($E43=1,MC43=0),1000,0)),1000000))</f>
        <v/>
      </c>
    </row>
    <row r="44">
      <c r="A44" t="n">
        <v>42</v>
      </c>
      <c r="B44">
        <f>IF(MIN(BC44:CU44)&gt;=1000000,0,MATCH(MIN(BC44:CU44),BC44:CU44,0))</f>
        <v/>
      </c>
      <c r="C44">
        <f>IF(MIN(ME44:QT44)&gt;=1000000,0,MATCH(MIN(ME44:QT44),ME44:QT44,0))</f>
        <v/>
      </c>
      <c r="D44">
        <f>IF(C44&gt;0,INDEX('計算A'!$D$5:$DS$5,C44),0)</f>
        <v/>
      </c>
      <c r="E44">
        <f>IF(B44=0,0,INDEX('計算A'!$EA$10:$EA$54,B44))</f>
        <v/>
      </c>
      <c r="F44">
        <f>IF(B44=0,0,INDEX('計算A'!$DZ$10:$DZ$54,B44))</f>
        <v/>
      </c>
      <c r="G44">
        <f>IF(AND(C44&gt;0,E44&gt;0),IF(AND(INDEX('計算A'!$D$106:$DS$106,C44)=1,INDEX($HN44:$MC44,C44)=1),C44+1,0),0)</f>
        <v/>
      </c>
      <c r="I44">
        <f>MAX(I43,IF($B43=1,1,0))</f>
        <v/>
      </c>
      <c r="J44">
        <f>MAX(J43,IF($B43=2,1,0))</f>
        <v/>
      </c>
      <c r="K44">
        <f>MAX(K43,IF($B43=3,1,0))</f>
        <v/>
      </c>
      <c r="L44">
        <f>MAX(L43,IF($B43=4,1,0))</f>
        <v/>
      </c>
      <c r="M44">
        <f>MAX(M43,IF($B43=5,1,0))</f>
        <v/>
      </c>
      <c r="N44">
        <f>MAX(N43,IF($B43=6,1,0))</f>
        <v/>
      </c>
      <c r="O44">
        <f>MAX(O43,IF($B43=7,1,0))</f>
        <v/>
      </c>
      <c r="P44">
        <f>MAX(P43,IF($B43=8,1,0))</f>
        <v/>
      </c>
      <c r="Q44">
        <f>MAX(Q43,IF($B43=9,1,0))</f>
        <v/>
      </c>
      <c r="R44">
        <f>MAX(R43,IF($B43=10,1,0))</f>
        <v/>
      </c>
      <c r="S44">
        <f>MAX(S43,IF($B43=11,1,0))</f>
        <v/>
      </c>
      <c r="T44">
        <f>MAX(T43,IF($B43=12,1,0))</f>
        <v/>
      </c>
      <c r="U44">
        <f>MAX(U43,IF($B43=13,1,0))</f>
        <v/>
      </c>
      <c r="V44">
        <f>MAX(V43,IF($B43=14,1,0))</f>
        <v/>
      </c>
      <c r="W44">
        <f>MAX(W43,IF($B43=15,1,0))</f>
        <v/>
      </c>
      <c r="X44">
        <f>MAX(X43,IF($B43=16,1,0))</f>
        <v/>
      </c>
      <c r="Y44">
        <f>MAX(Y43,IF($B43=17,1,0))</f>
        <v/>
      </c>
      <c r="Z44">
        <f>MAX(Z43,IF($B43=18,1,0))</f>
        <v/>
      </c>
      <c r="AA44">
        <f>MAX(AA43,IF($B43=19,1,0))</f>
        <v/>
      </c>
      <c r="AB44">
        <f>MAX(AB43,IF($B43=20,1,0))</f>
        <v/>
      </c>
      <c r="AC44">
        <f>MAX(AC43,IF($B43=21,1,0))</f>
        <v/>
      </c>
      <c r="AD44">
        <f>MAX(AD43,IF($B43=22,1,0))</f>
        <v/>
      </c>
      <c r="AE44">
        <f>MAX(AE43,IF($B43=23,1,0))</f>
        <v/>
      </c>
      <c r="AF44">
        <f>MAX(AF43,IF($B43=24,1,0))</f>
        <v/>
      </c>
      <c r="AG44">
        <f>MAX(AG43,IF($B43=25,1,0))</f>
        <v/>
      </c>
      <c r="AH44">
        <f>MAX(AH43,IF($B43=26,1,0))</f>
        <v/>
      </c>
      <c r="AI44">
        <f>MAX(AI43,IF($B43=27,1,0))</f>
        <v/>
      </c>
      <c r="AJ44">
        <f>MAX(AJ43,IF($B43=28,1,0))</f>
        <v/>
      </c>
      <c r="AK44">
        <f>MAX(AK43,IF($B43=29,1,0))</f>
        <v/>
      </c>
      <c r="AL44">
        <f>MAX(AL43,IF($B43=30,1,0))</f>
        <v/>
      </c>
      <c r="AM44">
        <f>MAX(AM43,IF($B43=31,1,0))</f>
        <v/>
      </c>
      <c r="AN44">
        <f>MAX(AN43,IF($B43=32,1,0))</f>
        <v/>
      </c>
      <c r="AO44">
        <f>MAX(AO43,IF($B43=33,1,0))</f>
        <v/>
      </c>
      <c r="AP44">
        <f>MAX(AP43,IF($B43=34,1,0))</f>
        <v/>
      </c>
      <c r="AQ44">
        <f>MAX(AQ43,IF($B43=35,1,0))</f>
        <v/>
      </c>
      <c r="AR44">
        <f>MAX(AR43,IF($B43=36,1,0))</f>
        <v/>
      </c>
      <c r="AS44">
        <f>MAX(AS43,IF($B43=37,1,0))</f>
        <v/>
      </c>
      <c r="AT44">
        <f>MAX(AT43,IF($B43=38,1,0))</f>
        <v/>
      </c>
      <c r="AU44">
        <f>MAX(AU43,IF($B43=39,1,0))</f>
        <v/>
      </c>
      <c r="AV44">
        <f>MAX(AV43,IF($B43=40,1,0))</f>
        <v/>
      </c>
      <c r="AW44">
        <f>MAX(AW43,IF($B43=41,1,0))</f>
        <v/>
      </c>
      <c r="AX44">
        <f>MAX(AX43,IF($B43=42,1,0))</f>
        <v/>
      </c>
      <c r="AY44">
        <f>MAX(AY43,IF($B43=43,1,0))</f>
        <v/>
      </c>
      <c r="AZ44">
        <f>MAX(AZ43,IF($B43=44,1,0))</f>
        <v/>
      </c>
      <c r="BA44">
        <f>MAX(BA43,IF($B43=45,1,0))</f>
        <v/>
      </c>
      <c r="BC44">
        <f>IF(I44=1,1000000,IF('計算A'!$EA$10=2,SUMPRODUCT('計算A'!$D$60:$DS$60,$CW44:$HL44,$HN44:$MC44),SUMPRODUCT('計算A'!$D$60:$DS$60,$CW44:$HL44))*1000+1)</f>
        <v/>
      </c>
      <c r="BD44">
        <f>IF(J44=1,1000000,IF('計算A'!$EA$11=2,SUMPRODUCT('計算A'!$D$61:$DS$61,$CW44:$HL44,$HN44:$MC44),SUMPRODUCT('計算A'!$D$61:$DS$61,$CW44:$HL44))*1000+2)</f>
        <v/>
      </c>
      <c r="BE44">
        <f>IF(K44=1,1000000,IF('計算A'!$EA$12=2,SUMPRODUCT('計算A'!$D$62:$DS$62,$CW44:$HL44,$HN44:$MC44),SUMPRODUCT('計算A'!$D$62:$DS$62,$CW44:$HL44))*1000+3)</f>
        <v/>
      </c>
      <c r="BF44">
        <f>IF(L44=1,1000000,IF('計算A'!$EA$13=2,SUMPRODUCT('計算A'!$D$63:$DS$63,$CW44:$HL44,$HN44:$MC44),SUMPRODUCT('計算A'!$D$63:$DS$63,$CW44:$HL44))*1000+4)</f>
        <v/>
      </c>
      <c r="BG44">
        <f>IF(M44=1,1000000,IF('計算A'!$EA$14=2,SUMPRODUCT('計算A'!$D$64:$DS$64,$CW44:$HL44,$HN44:$MC44),SUMPRODUCT('計算A'!$D$64:$DS$64,$CW44:$HL44))*1000+5)</f>
        <v/>
      </c>
      <c r="BH44">
        <f>IF(N44=1,1000000,IF('計算A'!$EA$15=2,SUMPRODUCT('計算A'!$D$65:$DS$65,$CW44:$HL44,$HN44:$MC44),SUMPRODUCT('計算A'!$D$65:$DS$65,$CW44:$HL44))*1000+6)</f>
        <v/>
      </c>
      <c r="BI44">
        <f>IF(O44=1,1000000,IF('計算A'!$EA$16=2,SUMPRODUCT('計算A'!$D$66:$DS$66,$CW44:$HL44,$HN44:$MC44),SUMPRODUCT('計算A'!$D$66:$DS$66,$CW44:$HL44))*1000+7)</f>
        <v/>
      </c>
      <c r="BJ44">
        <f>IF(P44=1,1000000,IF('計算A'!$EA$17=2,SUMPRODUCT('計算A'!$D$67:$DS$67,$CW44:$HL44,$HN44:$MC44),SUMPRODUCT('計算A'!$D$67:$DS$67,$CW44:$HL44))*1000+8)</f>
        <v/>
      </c>
      <c r="BK44">
        <f>IF(Q44=1,1000000,IF('計算A'!$EA$18=2,SUMPRODUCT('計算A'!$D$68:$DS$68,$CW44:$HL44,$HN44:$MC44),SUMPRODUCT('計算A'!$D$68:$DS$68,$CW44:$HL44))*1000+9)</f>
        <v/>
      </c>
      <c r="BL44">
        <f>IF(R44=1,1000000,IF('計算A'!$EA$19=2,SUMPRODUCT('計算A'!$D$69:$DS$69,$CW44:$HL44,$HN44:$MC44),SUMPRODUCT('計算A'!$D$69:$DS$69,$CW44:$HL44))*1000+10)</f>
        <v/>
      </c>
      <c r="BM44">
        <f>IF(S44=1,1000000,IF('計算A'!$EA$20=2,SUMPRODUCT('計算A'!$D$70:$DS$70,$CW44:$HL44,$HN44:$MC44),SUMPRODUCT('計算A'!$D$70:$DS$70,$CW44:$HL44))*1000+11)</f>
        <v/>
      </c>
      <c r="BN44">
        <f>IF(T44=1,1000000,IF('計算A'!$EA$21=2,SUMPRODUCT('計算A'!$D$71:$DS$71,$CW44:$HL44,$HN44:$MC44),SUMPRODUCT('計算A'!$D$71:$DS$71,$CW44:$HL44))*1000+12)</f>
        <v/>
      </c>
      <c r="BO44">
        <f>IF(U44=1,1000000,IF('計算A'!$EA$22=2,SUMPRODUCT('計算A'!$D$72:$DS$72,$CW44:$HL44,$HN44:$MC44),SUMPRODUCT('計算A'!$D$72:$DS$72,$CW44:$HL44))*1000+13)</f>
        <v/>
      </c>
      <c r="BP44">
        <f>IF(V44=1,1000000,IF('計算A'!$EA$23=2,SUMPRODUCT('計算A'!$D$73:$DS$73,$CW44:$HL44,$HN44:$MC44),SUMPRODUCT('計算A'!$D$73:$DS$73,$CW44:$HL44))*1000+14)</f>
        <v/>
      </c>
      <c r="BQ44">
        <f>IF(W44=1,1000000,IF('計算A'!$EA$24=2,SUMPRODUCT('計算A'!$D$74:$DS$74,$CW44:$HL44,$HN44:$MC44),SUMPRODUCT('計算A'!$D$74:$DS$74,$CW44:$HL44))*1000+15)</f>
        <v/>
      </c>
      <c r="BR44">
        <f>IF(X44=1,1000000,IF('計算A'!$EA$25=2,SUMPRODUCT('計算A'!$D$75:$DS$75,$CW44:$HL44,$HN44:$MC44),SUMPRODUCT('計算A'!$D$75:$DS$75,$CW44:$HL44))*1000+16)</f>
        <v/>
      </c>
      <c r="BS44">
        <f>IF(Y44=1,1000000,IF('計算A'!$EA$26=2,SUMPRODUCT('計算A'!$D$76:$DS$76,$CW44:$HL44,$HN44:$MC44),SUMPRODUCT('計算A'!$D$76:$DS$76,$CW44:$HL44))*1000+17)</f>
        <v/>
      </c>
      <c r="BT44">
        <f>IF(Z44=1,1000000,IF('計算A'!$EA$27=2,SUMPRODUCT('計算A'!$D$77:$DS$77,$CW44:$HL44,$HN44:$MC44),SUMPRODUCT('計算A'!$D$77:$DS$77,$CW44:$HL44))*1000+18)</f>
        <v/>
      </c>
      <c r="BU44">
        <f>IF(AA44=1,1000000,IF('計算A'!$EA$28=2,SUMPRODUCT('計算A'!$D$78:$DS$78,$CW44:$HL44,$HN44:$MC44),SUMPRODUCT('計算A'!$D$78:$DS$78,$CW44:$HL44))*1000+19)</f>
        <v/>
      </c>
      <c r="BV44">
        <f>IF(AB44=1,1000000,IF('計算A'!$EA$29=2,SUMPRODUCT('計算A'!$D$79:$DS$79,$CW44:$HL44,$HN44:$MC44),SUMPRODUCT('計算A'!$D$79:$DS$79,$CW44:$HL44))*1000+20)</f>
        <v/>
      </c>
      <c r="BW44">
        <f>IF(AC44=1,1000000,IF('計算A'!$EA$30=2,SUMPRODUCT('計算A'!$D$80:$DS$80,$CW44:$HL44,$HN44:$MC44),SUMPRODUCT('計算A'!$D$80:$DS$80,$CW44:$HL44))*1000+21)</f>
        <v/>
      </c>
      <c r="BX44">
        <f>IF(AD44=1,1000000,IF('計算A'!$EA$31=2,SUMPRODUCT('計算A'!$D$81:$DS$81,$CW44:$HL44,$HN44:$MC44),SUMPRODUCT('計算A'!$D$81:$DS$81,$CW44:$HL44))*1000+22)</f>
        <v/>
      </c>
      <c r="BY44">
        <f>IF(AE44=1,1000000,IF('計算A'!$EA$32=2,SUMPRODUCT('計算A'!$D$82:$DS$82,$CW44:$HL44,$HN44:$MC44),SUMPRODUCT('計算A'!$D$82:$DS$82,$CW44:$HL44))*1000+23)</f>
        <v/>
      </c>
      <c r="BZ44">
        <f>IF(AF44=1,1000000,IF('計算A'!$EA$33=2,SUMPRODUCT('計算A'!$D$83:$DS$83,$CW44:$HL44,$HN44:$MC44),SUMPRODUCT('計算A'!$D$83:$DS$83,$CW44:$HL44))*1000+24)</f>
        <v/>
      </c>
      <c r="CA44">
        <f>IF(AG44=1,1000000,IF('計算A'!$EA$34=2,SUMPRODUCT('計算A'!$D$84:$DS$84,$CW44:$HL44,$HN44:$MC44),SUMPRODUCT('計算A'!$D$84:$DS$84,$CW44:$HL44))*1000+25)</f>
        <v/>
      </c>
      <c r="CB44">
        <f>IF(AH44=1,1000000,IF('計算A'!$EA$35=2,SUMPRODUCT('計算A'!$D$85:$DS$85,$CW44:$HL44,$HN44:$MC44),SUMPRODUCT('計算A'!$D$85:$DS$85,$CW44:$HL44))*1000+26)</f>
        <v/>
      </c>
      <c r="CC44">
        <f>IF(AI44=1,1000000,IF('計算A'!$EA$36=2,SUMPRODUCT('計算A'!$D$86:$DS$86,$CW44:$HL44,$HN44:$MC44),SUMPRODUCT('計算A'!$D$86:$DS$86,$CW44:$HL44))*1000+27)</f>
        <v/>
      </c>
      <c r="CD44">
        <f>IF(AJ44=1,1000000,IF('計算A'!$EA$37=2,SUMPRODUCT('計算A'!$D$87:$DS$87,$CW44:$HL44,$HN44:$MC44),SUMPRODUCT('計算A'!$D$87:$DS$87,$CW44:$HL44))*1000+28)</f>
        <v/>
      </c>
      <c r="CE44">
        <f>IF(AK44=1,1000000,IF('計算A'!$EA$38=2,SUMPRODUCT('計算A'!$D$88:$DS$88,$CW44:$HL44,$HN44:$MC44),SUMPRODUCT('計算A'!$D$88:$DS$88,$CW44:$HL44))*1000+29)</f>
        <v/>
      </c>
      <c r="CF44">
        <f>IF(AL44=1,1000000,IF('計算A'!$EA$39=2,SUMPRODUCT('計算A'!$D$89:$DS$89,$CW44:$HL44,$HN44:$MC44),SUMPRODUCT('計算A'!$D$89:$DS$89,$CW44:$HL44))*1000+30)</f>
        <v/>
      </c>
      <c r="CG44">
        <f>IF(AM44=1,1000000,IF('計算A'!$EA$40=2,SUMPRODUCT('計算A'!$D$90:$DS$90,$CW44:$HL44,$HN44:$MC44),SUMPRODUCT('計算A'!$D$90:$DS$90,$CW44:$HL44))*1000+31)</f>
        <v/>
      </c>
      <c r="CH44">
        <f>IF(AN44=1,1000000,IF('計算A'!$EA$41=2,SUMPRODUCT('計算A'!$D$91:$DS$91,$CW44:$HL44,$HN44:$MC44),SUMPRODUCT('計算A'!$D$91:$DS$91,$CW44:$HL44))*1000+32)</f>
        <v/>
      </c>
      <c r="CI44">
        <f>IF(AO44=1,1000000,IF('計算A'!$EA$42=2,SUMPRODUCT('計算A'!$D$92:$DS$92,$CW44:$HL44,$HN44:$MC44),SUMPRODUCT('計算A'!$D$92:$DS$92,$CW44:$HL44))*1000+33)</f>
        <v/>
      </c>
      <c r="CJ44">
        <f>IF(AP44=1,1000000,IF('計算A'!$EA$43=2,SUMPRODUCT('計算A'!$D$93:$DS$93,$CW44:$HL44,$HN44:$MC44),SUMPRODUCT('計算A'!$D$93:$DS$93,$CW44:$HL44))*1000+34)</f>
        <v/>
      </c>
      <c r="CK44">
        <f>IF(AQ44=1,1000000,IF('計算A'!$EA$44=2,SUMPRODUCT('計算A'!$D$94:$DS$94,$CW44:$HL44,$HN44:$MC44),SUMPRODUCT('計算A'!$D$94:$DS$94,$CW44:$HL44))*1000+35)</f>
        <v/>
      </c>
      <c r="CL44">
        <f>IF(AR44=1,1000000,IF('計算A'!$EA$45=2,SUMPRODUCT('計算A'!$D$95:$DS$95,$CW44:$HL44,$HN44:$MC44),SUMPRODUCT('計算A'!$D$95:$DS$95,$CW44:$HL44))*1000+36)</f>
        <v/>
      </c>
      <c r="CM44">
        <f>IF(AS44=1,1000000,IF('計算A'!$EA$46=2,SUMPRODUCT('計算A'!$D$96:$DS$96,$CW44:$HL44,$HN44:$MC44),SUMPRODUCT('計算A'!$D$96:$DS$96,$CW44:$HL44))*1000+37)</f>
        <v/>
      </c>
      <c r="CN44">
        <f>IF(AT44=1,1000000,IF('計算A'!$EA$47=2,SUMPRODUCT('計算A'!$D$97:$DS$97,$CW44:$HL44,$HN44:$MC44),SUMPRODUCT('計算A'!$D$97:$DS$97,$CW44:$HL44))*1000+38)</f>
        <v/>
      </c>
      <c r="CO44">
        <f>IF(AU44=1,1000000,IF('計算A'!$EA$48=2,SUMPRODUCT('計算A'!$D$98:$DS$98,$CW44:$HL44,$HN44:$MC44),SUMPRODUCT('計算A'!$D$98:$DS$98,$CW44:$HL44))*1000+39)</f>
        <v/>
      </c>
      <c r="CP44">
        <f>IF(AV44=1,1000000,IF('計算A'!$EA$49=2,SUMPRODUCT('計算A'!$D$99:$DS$99,$CW44:$HL44,$HN44:$MC44),SUMPRODUCT('計算A'!$D$99:$DS$99,$CW44:$HL44))*1000+40)</f>
        <v/>
      </c>
      <c r="CQ44">
        <f>IF(AW44=1,1000000,IF('計算A'!$EA$50=2,SUMPRODUCT('計算A'!$D$100:$DS$100,$CW44:$HL44,$HN44:$MC44),SUMPRODUCT('計算A'!$D$100:$DS$100,$CW44:$HL44))*1000+41)</f>
        <v/>
      </c>
      <c r="CR44">
        <f>IF(AX44=1,1000000,IF('計算A'!$EA$51=2,SUMPRODUCT('計算A'!$D$101:$DS$101,$CW44:$HL44,$HN44:$MC44),SUMPRODUCT('計算A'!$D$101:$DS$101,$CW44:$HL44))*1000+42)</f>
        <v/>
      </c>
      <c r="CS44">
        <f>IF(AY44=1,1000000,IF('計算A'!$EA$52=2,SUMPRODUCT('計算A'!$D$102:$DS$102,$CW44:$HL44,$HN44:$MC44),SUMPRODUCT('計算A'!$D$102:$DS$102,$CW44:$HL44))*1000+43)</f>
        <v/>
      </c>
      <c r="CT44">
        <f>IF(AZ44=1,1000000,IF('計算A'!$EA$53=2,SUMPRODUCT('計算A'!$D$103:$DS$103,$CW44:$HL44,$HN44:$MC44),SUMPRODUCT('計算A'!$D$103:$DS$103,$CW44:$HL44))*1000+44)</f>
        <v/>
      </c>
      <c r="CU44">
        <f>IF(BA44=1,1000000,IF('計算A'!$EA$54=2,SUMPRODUCT('計算A'!$D$104:$DS$104,$CW44:$HL44,$HN44:$MC44),SUMPRODUCT('計算A'!$D$104:$DS$104,$CW44:$HL44))*1000+45)</f>
        <v/>
      </c>
      <c r="CW44">
        <f>CW43*IF(OR($C43=1,$G43=1),0,1)</f>
        <v/>
      </c>
      <c r="CX44">
        <f>CX43*IF(OR($C43=2,$G43=2),0,1)</f>
        <v/>
      </c>
      <c r="CY44">
        <f>CY43*IF(OR($C43=3,$G43=3),0,1)</f>
        <v/>
      </c>
      <c r="CZ44">
        <f>CZ43*IF(OR($C43=4,$G43=4),0,1)</f>
        <v/>
      </c>
      <c r="DA44">
        <f>DA43*IF(OR($C43=5,$G43=5),0,1)</f>
        <v/>
      </c>
      <c r="DB44">
        <f>DB43*IF(OR($C43=6,$G43=6),0,1)</f>
        <v/>
      </c>
      <c r="DC44">
        <f>DC43*IF(OR($C43=7,$G43=7),0,1)</f>
        <v/>
      </c>
      <c r="DD44">
        <f>DD43*IF(OR($C43=8,$G43=8),0,1)</f>
        <v/>
      </c>
      <c r="DE44">
        <f>DE43*IF(OR($C43=9,$G43=9),0,1)</f>
        <v/>
      </c>
      <c r="DF44">
        <f>DF43*IF(OR($C43=10,$G43=10),0,1)</f>
        <v/>
      </c>
      <c r="DG44">
        <f>DG43*IF(OR($C43=11,$G43=11),0,1)</f>
        <v/>
      </c>
      <c r="DH44">
        <f>DH43*IF(OR($C43=12,$G43=12),0,1)</f>
        <v/>
      </c>
      <c r="DI44">
        <f>DI43*IF(OR($C43=13,$G43=13),0,1)</f>
        <v/>
      </c>
      <c r="DJ44">
        <f>DJ43*IF(OR($C43=14,$G43=14),0,1)</f>
        <v/>
      </c>
      <c r="DK44">
        <f>DK43*IF(OR($C43=15,$G43=15),0,1)</f>
        <v/>
      </c>
      <c r="DL44">
        <f>DL43*IF(OR($C43=16,$G43=16),0,1)</f>
        <v/>
      </c>
      <c r="DM44">
        <f>DM43*IF(OR($C43=17,$G43=17),0,1)</f>
        <v/>
      </c>
      <c r="DN44">
        <f>DN43*IF(OR($C43=18,$G43=18),0,1)</f>
        <v/>
      </c>
      <c r="DO44">
        <f>DO43*IF(OR($C43=19,$G43=19),0,1)</f>
        <v/>
      </c>
      <c r="DP44">
        <f>DP43*IF(OR($C43=20,$G43=20),0,1)</f>
        <v/>
      </c>
      <c r="DQ44">
        <f>DQ43*IF(OR($C43=21,$G43=21),0,1)</f>
        <v/>
      </c>
      <c r="DR44">
        <f>DR43*IF(OR($C43=22,$G43=22),0,1)</f>
        <v/>
      </c>
      <c r="DS44">
        <f>DS43*IF(OR($C43=23,$G43=23),0,1)</f>
        <v/>
      </c>
      <c r="DT44">
        <f>DT43*IF(OR($C43=24,$G43=24),0,1)</f>
        <v/>
      </c>
      <c r="DU44">
        <f>DU43*IF(OR($C43=25,$G43=25),0,1)</f>
        <v/>
      </c>
      <c r="DV44">
        <f>DV43*IF(OR($C43=26,$G43=26),0,1)</f>
        <v/>
      </c>
      <c r="DW44">
        <f>DW43*IF(OR($C43=27,$G43=27),0,1)</f>
        <v/>
      </c>
      <c r="DX44">
        <f>DX43*IF(OR($C43=28,$G43=28),0,1)</f>
        <v/>
      </c>
      <c r="DY44">
        <f>DY43*IF(OR($C43=29,$G43=29),0,1)</f>
        <v/>
      </c>
      <c r="DZ44">
        <f>DZ43*IF(OR($C43=30,$G43=30),0,1)</f>
        <v/>
      </c>
      <c r="EA44">
        <f>EA43*IF(OR($C43=31,$G43=31),0,1)</f>
        <v/>
      </c>
      <c r="EB44">
        <f>EB43*IF(OR($C43=32,$G43=32),0,1)</f>
        <v/>
      </c>
      <c r="EC44">
        <f>EC43*IF(OR($C43=33,$G43=33),0,1)</f>
        <v/>
      </c>
      <c r="ED44">
        <f>ED43*IF(OR($C43=34,$G43=34),0,1)</f>
        <v/>
      </c>
      <c r="EE44">
        <f>EE43*IF(OR($C43=35,$G43=35),0,1)</f>
        <v/>
      </c>
      <c r="EF44">
        <f>EF43*IF(OR($C43=36,$G43=36),0,1)</f>
        <v/>
      </c>
      <c r="EG44">
        <f>EG43*IF(OR($C43=37,$G43=37),0,1)</f>
        <v/>
      </c>
      <c r="EH44">
        <f>EH43*IF(OR($C43=38,$G43=38),0,1)</f>
        <v/>
      </c>
      <c r="EI44">
        <f>EI43*IF(OR($C43=39,$G43=39),0,1)</f>
        <v/>
      </c>
      <c r="EJ44">
        <f>EJ43*IF(OR($C43=40,$G43=40),0,1)</f>
        <v/>
      </c>
      <c r="EK44">
        <f>EK43*IF(OR($C43=41,$G43=41),0,1)</f>
        <v/>
      </c>
      <c r="EL44">
        <f>EL43*IF(OR($C43=42,$G43=42),0,1)</f>
        <v/>
      </c>
      <c r="EM44">
        <f>EM43*IF(OR($C43=43,$G43=43),0,1)</f>
        <v/>
      </c>
      <c r="EN44">
        <f>EN43*IF(OR($C43=44,$G43=44),0,1)</f>
        <v/>
      </c>
      <c r="EO44">
        <f>EO43*IF(OR($C43=45,$G43=45),0,1)</f>
        <v/>
      </c>
      <c r="EP44">
        <f>EP43*IF(OR($C43=46,$G43=46),0,1)</f>
        <v/>
      </c>
      <c r="EQ44">
        <f>EQ43*IF(OR($C43=47,$G43=47),0,1)</f>
        <v/>
      </c>
      <c r="ER44">
        <f>ER43*IF(OR($C43=48,$G43=48),0,1)</f>
        <v/>
      </c>
      <c r="ES44">
        <f>ES43*IF(OR($C43=49,$G43=49),0,1)</f>
        <v/>
      </c>
      <c r="ET44">
        <f>ET43*IF(OR($C43=50,$G43=50),0,1)</f>
        <v/>
      </c>
      <c r="EU44">
        <f>EU43*IF(OR($C43=51,$G43=51),0,1)</f>
        <v/>
      </c>
      <c r="EV44">
        <f>EV43*IF(OR($C43=52,$G43=52),0,1)</f>
        <v/>
      </c>
      <c r="EW44">
        <f>EW43*IF(OR($C43=53,$G43=53),0,1)</f>
        <v/>
      </c>
      <c r="EX44">
        <f>EX43*IF(OR($C43=54,$G43=54),0,1)</f>
        <v/>
      </c>
      <c r="EY44">
        <f>EY43*IF(OR($C43=55,$G43=55),0,1)</f>
        <v/>
      </c>
      <c r="EZ44">
        <f>EZ43*IF(OR($C43=56,$G43=56),0,1)</f>
        <v/>
      </c>
      <c r="FA44">
        <f>FA43*IF(OR($C43=57,$G43=57),0,1)</f>
        <v/>
      </c>
      <c r="FB44">
        <f>FB43*IF(OR($C43=58,$G43=58),0,1)</f>
        <v/>
      </c>
      <c r="FC44">
        <f>FC43*IF(OR($C43=59,$G43=59),0,1)</f>
        <v/>
      </c>
      <c r="FD44">
        <f>FD43*IF(OR($C43=60,$G43=60),0,1)</f>
        <v/>
      </c>
      <c r="FE44">
        <f>FE43*IF(OR($C43=61,$G43=61),0,1)</f>
        <v/>
      </c>
      <c r="FF44">
        <f>FF43*IF(OR($C43=62,$G43=62),0,1)</f>
        <v/>
      </c>
      <c r="FG44">
        <f>FG43*IF(OR($C43=63,$G43=63),0,1)</f>
        <v/>
      </c>
      <c r="FH44">
        <f>FH43*IF(OR($C43=64,$G43=64),0,1)</f>
        <v/>
      </c>
      <c r="FI44">
        <f>FI43*IF(OR($C43=65,$G43=65),0,1)</f>
        <v/>
      </c>
      <c r="FJ44">
        <f>FJ43*IF(OR($C43=66,$G43=66),0,1)</f>
        <v/>
      </c>
      <c r="FK44">
        <f>FK43*IF(OR($C43=67,$G43=67),0,1)</f>
        <v/>
      </c>
      <c r="FL44">
        <f>FL43*IF(OR($C43=68,$G43=68),0,1)</f>
        <v/>
      </c>
      <c r="FM44">
        <f>FM43*IF(OR($C43=69,$G43=69),0,1)</f>
        <v/>
      </c>
      <c r="FN44">
        <f>FN43*IF(OR($C43=70,$G43=70),0,1)</f>
        <v/>
      </c>
      <c r="FO44">
        <f>FO43*IF(OR($C43=71,$G43=71),0,1)</f>
        <v/>
      </c>
      <c r="FP44">
        <f>FP43*IF(OR($C43=72,$G43=72),0,1)</f>
        <v/>
      </c>
      <c r="FQ44">
        <f>FQ43*IF(OR($C43=73,$G43=73),0,1)</f>
        <v/>
      </c>
      <c r="FR44">
        <f>FR43*IF(OR($C43=74,$G43=74),0,1)</f>
        <v/>
      </c>
      <c r="FS44">
        <f>FS43*IF(OR($C43=75,$G43=75),0,1)</f>
        <v/>
      </c>
      <c r="FT44">
        <f>FT43*IF(OR($C43=76,$G43=76),0,1)</f>
        <v/>
      </c>
      <c r="FU44">
        <f>FU43*IF(OR($C43=77,$G43=77),0,1)</f>
        <v/>
      </c>
      <c r="FV44">
        <f>FV43*IF(OR($C43=78,$G43=78),0,1)</f>
        <v/>
      </c>
      <c r="FW44">
        <f>FW43*IF(OR($C43=79,$G43=79),0,1)</f>
        <v/>
      </c>
      <c r="FX44">
        <f>FX43*IF(OR($C43=80,$G43=80),0,1)</f>
        <v/>
      </c>
      <c r="FY44">
        <f>FY43*IF(OR($C43=81,$G43=81),0,1)</f>
        <v/>
      </c>
      <c r="FZ44">
        <f>FZ43*IF(OR($C43=82,$G43=82),0,1)</f>
        <v/>
      </c>
      <c r="GA44">
        <f>GA43*IF(OR($C43=83,$G43=83),0,1)</f>
        <v/>
      </c>
      <c r="GB44">
        <f>GB43*IF(OR($C43=84,$G43=84),0,1)</f>
        <v/>
      </c>
      <c r="GC44">
        <f>GC43*IF(OR($C43=85,$G43=85),0,1)</f>
        <v/>
      </c>
      <c r="GD44">
        <f>GD43*IF(OR($C43=86,$G43=86),0,1)</f>
        <v/>
      </c>
      <c r="GE44">
        <f>GE43*IF(OR($C43=87,$G43=87),0,1)</f>
        <v/>
      </c>
      <c r="GF44">
        <f>GF43*IF(OR($C43=88,$G43=88),0,1)</f>
        <v/>
      </c>
      <c r="GG44">
        <f>GG43*IF(OR($C43=89,$G43=89),0,1)</f>
        <v/>
      </c>
      <c r="GH44">
        <f>GH43*IF(OR($C43=90,$G43=90),0,1)</f>
        <v/>
      </c>
      <c r="GI44">
        <f>GI43*IF(OR($C43=91,$G43=91),0,1)</f>
        <v/>
      </c>
      <c r="GJ44">
        <f>GJ43*IF(OR($C43=92,$G43=92),0,1)</f>
        <v/>
      </c>
      <c r="GK44">
        <f>GK43*IF(OR($C43=93,$G43=93),0,1)</f>
        <v/>
      </c>
      <c r="GL44">
        <f>GL43*IF(OR($C43=94,$G43=94),0,1)</f>
        <v/>
      </c>
      <c r="GM44">
        <f>GM43*IF(OR($C43=95,$G43=95),0,1)</f>
        <v/>
      </c>
      <c r="GN44">
        <f>GN43*IF(OR($C43=96,$G43=96),0,1)</f>
        <v/>
      </c>
      <c r="GO44">
        <f>GO43*IF(OR($C43=97,$G43=97),0,1)</f>
        <v/>
      </c>
      <c r="GP44">
        <f>GP43*IF(OR($C43=98,$G43=98),0,1)</f>
        <v/>
      </c>
      <c r="GQ44">
        <f>GQ43*IF(OR($C43=99,$G43=99),0,1)</f>
        <v/>
      </c>
      <c r="GR44">
        <f>GR43*IF(OR($C43=100,$G43=100),0,1)</f>
        <v/>
      </c>
      <c r="GS44">
        <f>GS43*IF(OR($C43=101,$G43=101),0,1)</f>
        <v/>
      </c>
      <c r="GT44">
        <f>GT43*IF(OR($C43=102,$G43=102),0,1)</f>
        <v/>
      </c>
      <c r="GU44">
        <f>GU43*IF(OR($C43=103,$G43=103),0,1)</f>
        <v/>
      </c>
      <c r="GV44">
        <f>GV43*IF(OR($C43=104,$G43=104),0,1)</f>
        <v/>
      </c>
      <c r="GW44">
        <f>GW43*IF(OR($C43=105,$G43=105),0,1)</f>
        <v/>
      </c>
      <c r="GX44">
        <f>GX43*IF(OR($C43=106,$G43=106),0,1)</f>
        <v/>
      </c>
      <c r="GY44">
        <f>GY43*IF(OR($C43=107,$G43=107),0,1)</f>
        <v/>
      </c>
      <c r="GZ44">
        <f>GZ43*IF(OR($C43=108,$G43=108),0,1)</f>
        <v/>
      </c>
      <c r="HA44">
        <f>HA43*IF(OR($C43=109,$G43=109),0,1)</f>
        <v/>
      </c>
      <c r="HB44">
        <f>HB43*IF(OR($C43=110,$G43=110),0,1)</f>
        <v/>
      </c>
      <c r="HC44">
        <f>HC43*IF(OR($C43=111,$G43=111),0,1)</f>
        <v/>
      </c>
      <c r="HD44">
        <f>HD43*IF(OR($C43=112,$G43=112),0,1)</f>
        <v/>
      </c>
      <c r="HE44">
        <f>HE43*IF(OR($C43=113,$G43=113),0,1)</f>
        <v/>
      </c>
      <c r="HF44">
        <f>HF43*IF(OR($C43=114,$G43=114),0,1)</f>
        <v/>
      </c>
      <c r="HG44">
        <f>HG43*IF(OR($C43=115,$G43=115),0,1)</f>
        <v/>
      </c>
      <c r="HH44">
        <f>HH43*IF(OR($C43=116,$G43=116),0,1)</f>
        <v/>
      </c>
      <c r="HI44">
        <f>HI43*IF(OR($C43=117,$G43=117),0,1)</f>
        <v/>
      </c>
      <c r="HJ44">
        <f>HJ43*IF(OR($C43=118,$G43=118),0,1)</f>
        <v/>
      </c>
      <c r="HK44">
        <f>HK43*IF(OR($C43=119,$G43=119),0,1)</f>
        <v/>
      </c>
      <c r="HL44">
        <f>HL43*IF(OR($C43=120,$G43=120),0,1)</f>
        <v/>
      </c>
      <c r="HN44">
        <f>IF('計算A'!D$106=1,CX44,1)</f>
        <v/>
      </c>
      <c r="HO44">
        <f>IF('計算A'!E$106=1,CY44,1)</f>
        <v/>
      </c>
      <c r="HP44">
        <f>IF('計算A'!F$106=1,CZ44,1)</f>
        <v/>
      </c>
      <c r="HQ44">
        <f>IF('計算A'!G$106=1,DA44,1)</f>
        <v/>
      </c>
      <c r="HR44">
        <f>IF('計算A'!H$106=1,DB44,1)</f>
        <v/>
      </c>
      <c r="HS44">
        <f>IF('計算A'!I$106=1,DC44,1)</f>
        <v/>
      </c>
      <c r="HT44">
        <f>IF('計算A'!J$106=1,DD44,1)</f>
        <v/>
      </c>
      <c r="HU44">
        <f>IF('計算A'!K$106=1,DE44,1)</f>
        <v/>
      </c>
      <c r="HV44">
        <f>IF('計算A'!L$106=1,DF44,1)</f>
        <v/>
      </c>
      <c r="HW44">
        <f>IF('計算A'!M$106=1,DG44,1)</f>
        <v/>
      </c>
      <c r="HX44">
        <f>IF('計算A'!N$106=1,DH44,1)</f>
        <v/>
      </c>
      <c r="HY44">
        <f>IF('計算A'!O$106=1,DI44,1)</f>
        <v/>
      </c>
      <c r="HZ44">
        <f>IF('計算A'!P$106=1,DJ44,1)</f>
        <v/>
      </c>
      <c r="IA44">
        <f>IF('計算A'!Q$106=1,DK44,1)</f>
        <v/>
      </c>
      <c r="IB44">
        <f>IF('計算A'!R$106=1,DL44,1)</f>
        <v/>
      </c>
      <c r="IC44">
        <f>IF('計算A'!S$106=1,DM44,1)</f>
        <v/>
      </c>
      <c r="ID44">
        <f>IF('計算A'!T$106=1,DN44,1)</f>
        <v/>
      </c>
      <c r="IE44">
        <f>IF('計算A'!U$106=1,DO44,1)</f>
        <v/>
      </c>
      <c r="IF44">
        <f>IF('計算A'!V$106=1,DP44,1)</f>
        <v/>
      </c>
      <c r="IG44">
        <f>IF('計算A'!W$106=1,DQ44,1)</f>
        <v/>
      </c>
      <c r="IH44">
        <f>IF('計算A'!X$106=1,DR44,1)</f>
        <v/>
      </c>
      <c r="II44">
        <f>IF('計算A'!Y$106=1,DS44,1)</f>
        <v/>
      </c>
      <c r="IJ44">
        <f>IF('計算A'!Z$106=1,DT44,1)</f>
        <v/>
      </c>
      <c r="IK44">
        <f>IF('計算A'!AA$106=1,DU44,1)</f>
        <v/>
      </c>
      <c r="IL44">
        <f>IF('計算A'!AB$106=1,DV44,1)</f>
        <v/>
      </c>
      <c r="IM44">
        <f>IF('計算A'!AC$106=1,DW44,1)</f>
        <v/>
      </c>
      <c r="IN44">
        <f>IF('計算A'!AD$106=1,DX44,1)</f>
        <v/>
      </c>
      <c r="IO44">
        <f>IF('計算A'!AE$106=1,DY44,1)</f>
        <v/>
      </c>
      <c r="IP44">
        <f>IF('計算A'!AF$106=1,DZ44,1)</f>
        <v/>
      </c>
      <c r="IQ44">
        <f>IF('計算A'!AG$106=1,EA44,1)</f>
        <v/>
      </c>
      <c r="IR44">
        <f>IF('計算A'!AH$106=1,EB44,1)</f>
        <v/>
      </c>
      <c r="IS44">
        <f>IF('計算A'!AI$106=1,EC44,1)</f>
        <v/>
      </c>
      <c r="IT44">
        <f>IF('計算A'!AJ$106=1,ED44,1)</f>
        <v/>
      </c>
      <c r="IU44">
        <f>IF('計算A'!AK$106=1,EE44,1)</f>
        <v/>
      </c>
      <c r="IV44">
        <f>IF('計算A'!AL$106=1,EF44,1)</f>
        <v/>
      </c>
      <c r="IW44">
        <f>IF('計算A'!AM$106=1,EG44,1)</f>
        <v/>
      </c>
      <c r="IX44">
        <f>IF('計算A'!AN$106=1,EH44,1)</f>
        <v/>
      </c>
      <c r="IY44">
        <f>IF('計算A'!AO$106=1,EI44,1)</f>
        <v/>
      </c>
      <c r="IZ44">
        <f>IF('計算A'!AP$106=1,EJ44,1)</f>
        <v/>
      </c>
      <c r="JA44">
        <f>IF('計算A'!AQ$106=1,EK44,1)</f>
        <v/>
      </c>
      <c r="JB44">
        <f>IF('計算A'!AR$106=1,EL44,1)</f>
        <v/>
      </c>
      <c r="JC44">
        <f>IF('計算A'!AS$106=1,EM44,1)</f>
        <v/>
      </c>
      <c r="JD44">
        <f>IF('計算A'!AT$106=1,EN44,1)</f>
        <v/>
      </c>
      <c r="JE44">
        <f>IF('計算A'!AU$106=1,EO44,1)</f>
        <v/>
      </c>
      <c r="JF44">
        <f>IF('計算A'!AV$106=1,EP44,1)</f>
        <v/>
      </c>
      <c r="JG44">
        <f>IF('計算A'!AW$106=1,EQ44,1)</f>
        <v/>
      </c>
      <c r="JH44">
        <f>IF('計算A'!AX$106=1,ER44,1)</f>
        <v/>
      </c>
      <c r="JI44">
        <f>IF('計算A'!AY$106=1,ES44,1)</f>
        <v/>
      </c>
      <c r="JJ44">
        <f>IF('計算A'!AZ$106=1,ET44,1)</f>
        <v/>
      </c>
      <c r="JK44">
        <f>IF('計算A'!BA$106=1,EU44,1)</f>
        <v/>
      </c>
      <c r="JL44">
        <f>IF('計算A'!BB$106=1,EV44,1)</f>
        <v/>
      </c>
      <c r="JM44">
        <f>IF('計算A'!BC$106=1,EW44,1)</f>
        <v/>
      </c>
      <c r="JN44">
        <f>IF('計算A'!BD$106=1,EX44,1)</f>
        <v/>
      </c>
      <c r="JO44">
        <f>IF('計算A'!BE$106=1,EY44,1)</f>
        <v/>
      </c>
      <c r="JP44">
        <f>IF('計算A'!BF$106=1,EZ44,1)</f>
        <v/>
      </c>
      <c r="JQ44">
        <f>IF('計算A'!BG$106=1,FA44,1)</f>
        <v/>
      </c>
      <c r="JR44">
        <f>IF('計算A'!BH$106=1,FB44,1)</f>
        <v/>
      </c>
      <c r="JS44">
        <f>IF('計算A'!BI$106=1,FC44,1)</f>
        <v/>
      </c>
      <c r="JT44">
        <f>IF('計算A'!BJ$106=1,FD44,1)</f>
        <v/>
      </c>
      <c r="JU44">
        <f>IF('計算A'!BK$106=1,FE44,1)</f>
        <v/>
      </c>
      <c r="JV44">
        <f>IF('計算A'!BL$106=1,FF44,1)</f>
        <v/>
      </c>
      <c r="JW44">
        <f>IF('計算A'!BM$106=1,FG44,1)</f>
        <v/>
      </c>
      <c r="JX44">
        <f>IF('計算A'!BN$106=1,FH44,1)</f>
        <v/>
      </c>
      <c r="JY44">
        <f>IF('計算A'!BO$106=1,FI44,1)</f>
        <v/>
      </c>
      <c r="JZ44">
        <f>IF('計算A'!BP$106=1,FJ44,1)</f>
        <v/>
      </c>
      <c r="KA44">
        <f>IF('計算A'!BQ$106=1,FK44,1)</f>
        <v/>
      </c>
      <c r="KB44">
        <f>IF('計算A'!BR$106=1,FL44,1)</f>
        <v/>
      </c>
      <c r="KC44">
        <f>IF('計算A'!BS$106=1,FM44,1)</f>
        <v/>
      </c>
      <c r="KD44">
        <f>IF('計算A'!BT$106=1,FN44,1)</f>
        <v/>
      </c>
      <c r="KE44">
        <f>IF('計算A'!BU$106=1,FO44,1)</f>
        <v/>
      </c>
      <c r="KF44">
        <f>IF('計算A'!BV$106=1,FP44,1)</f>
        <v/>
      </c>
      <c r="KG44">
        <f>IF('計算A'!BW$106=1,FQ44,1)</f>
        <v/>
      </c>
      <c r="KH44">
        <f>IF('計算A'!BX$106=1,FR44,1)</f>
        <v/>
      </c>
      <c r="KI44">
        <f>IF('計算A'!BY$106=1,FS44,1)</f>
        <v/>
      </c>
      <c r="KJ44">
        <f>IF('計算A'!BZ$106=1,FT44,1)</f>
        <v/>
      </c>
      <c r="KK44">
        <f>IF('計算A'!CA$106=1,FU44,1)</f>
        <v/>
      </c>
      <c r="KL44">
        <f>IF('計算A'!CB$106=1,FV44,1)</f>
        <v/>
      </c>
      <c r="KM44">
        <f>IF('計算A'!CC$106=1,FW44,1)</f>
        <v/>
      </c>
      <c r="KN44">
        <f>IF('計算A'!CD$106=1,FX44,1)</f>
        <v/>
      </c>
      <c r="KO44">
        <f>IF('計算A'!CE$106=1,FY44,1)</f>
        <v/>
      </c>
      <c r="KP44">
        <f>IF('計算A'!CF$106=1,FZ44,1)</f>
        <v/>
      </c>
      <c r="KQ44">
        <f>IF('計算A'!CG$106=1,GA44,1)</f>
        <v/>
      </c>
      <c r="KR44">
        <f>IF('計算A'!CH$106=1,GB44,1)</f>
        <v/>
      </c>
      <c r="KS44">
        <f>IF('計算A'!CI$106=1,GC44,1)</f>
        <v/>
      </c>
      <c r="KT44">
        <f>IF('計算A'!CJ$106=1,GD44,1)</f>
        <v/>
      </c>
      <c r="KU44">
        <f>IF('計算A'!CK$106=1,GE44,1)</f>
        <v/>
      </c>
      <c r="KV44">
        <f>IF('計算A'!CL$106=1,GF44,1)</f>
        <v/>
      </c>
      <c r="KW44">
        <f>IF('計算A'!CM$106=1,GG44,1)</f>
        <v/>
      </c>
      <c r="KX44">
        <f>IF('計算A'!CN$106=1,GH44,1)</f>
        <v/>
      </c>
      <c r="KY44">
        <f>IF('計算A'!CO$106=1,GI44,1)</f>
        <v/>
      </c>
      <c r="KZ44">
        <f>IF('計算A'!CP$106=1,GJ44,1)</f>
        <v/>
      </c>
      <c r="LA44">
        <f>IF('計算A'!CQ$106=1,GK44,1)</f>
        <v/>
      </c>
      <c r="LB44">
        <f>IF('計算A'!CR$106=1,GL44,1)</f>
        <v/>
      </c>
      <c r="LC44">
        <f>IF('計算A'!CS$106=1,GM44,1)</f>
        <v/>
      </c>
      <c r="LD44">
        <f>IF('計算A'!CT$106=1,GN44,1)</f>
        <v/>
      </c>
      <c r="LE44">
        <f>IF('計算A'!CU$106=1,GO44,1)</f>
        <v/>
      </c>
      <c r="LF44">
        <f>IF('計算A'!CV$106=1,GP44,1)</f>
        <v/>
      </c>
      <c r="LG44">
        <f>IF('計算A'!CW$106=1,GQ44,1)</f>
        <v/>
      </c>
      <c r="LH44">
        <f>IF('計算A'!CX$106=1,GR44,1)</f>
        <v/>
      </c>
      <c r="LI44">
        <f>IF('計算A'!CY$106=1,GS44,1)</f>
        <v/>
      </c>
      <c r="LJ44">
        <f>IF('計算A'!CZ$106=1,GT44,1)</f>
        <v/>
      </c>
      <c r="LK44">
        <f>IF('計算A'!DA$106=1,GU44,1)</f>
        <v/>
      </c>
      <c r="LL44">
        <f>IF('計算A'!DB$106=1,GV44,1)</f>
        <v/>
      </c>
      <c r="LM44">
        <f>IF('計算A'!DC$106=1,GW44,1)</f>
        <v/>
      </c>
      <c r="LN44">
        <f>IF('計算A'!DD$106=1,GX44,1)</f>
        <v/>
      </c>
      <c r="LO44">
        <f>IF('計算A'!DE$106=1,GY44,1)</f>
        <v/>
      </c>
      <c r="LP44">
        <f>IF('計算A'!DF$106=1,GZ44,1)</f>
        <v/>
      </c>
      <c r="LQ44">
        <f>IF('計算A'!DG$106=1,HA44,1)</f>
        <v/>
      </c>
      <c r="LR44">
        <f>IF('計算A'!DH$106=1,HB44,1)</f>
        <v/>
      </c>
      <c r="LS44">
        <f>IF('計算A'!DI$106=1,HC44,1)</f>
        <v/>
      </c>
      <c r="LT44">
        <f>IF('計算A'!DJ$106=1,HD44,1)</f>
        <v/>
      </c>
      <c r="LU44">
        <f>IF('計算A'!DK$106=1,HE44,1)</f>
        <v/>
      </c>
      <c r="LV44">
        <f>IF('計算A'!DL$106=1,HF44,1)</f>
        <v/>
      </c>
      <c r="LW44">
        <f>IF('計算A'!DM$106=1,HG44,1)</f>
        <v/>
      </c>
      <c r="LX44">
        <f>IF('計算A'!DN$106=1,HH44,1)</f>
        <v/>
      </c>
      <c r="LY44">
        <f>IF('計算A'!DO$106=1,HI44,1)</f>
        <v/>
      </c>
      <c r="LZ44">
        <f>IF('計算A'!DP$106=1,HJ44,1)</f>
        <v/>
      </c>
      <c r="MA44">
        <f>IF('計算A'!DQ$106=1,HK44,1)</f>
        <v/>
      </c>
      <c r="MB44">
        <f>IF('計算A'!DR$106=1,HL44,1)</f>
        <v/>
      </c>
      <c r="MC44" t="n">
        <v>1</v>
      </c>
      <c r="ME44">
        <f>IF($B44=0,1000000,IF(INDEX('計算A'!$D$60:$DS$104,$B44,1)*CW44=1,IF(AND($E44=2,HN44=0),1000000,INDEX('計算A'!D$110:D$114,$F44+1)+IF(AND($E44=1,HN44=0),1000,0)),1000000))</f>
        <v/>
      </c>
      <c r="MF44">
        <f>IF($B44=0,1000000,IF(INDEX('計算A'!$D$60:$DS$104,$B44,2)*CX44=1,IF(AND($E44=2,HO44=0),1000000,INDEX('計算A'!E$110:E$114,$F44+1)+IF(AND($E44=1,HO44=0),1000,0)),1000000))</f>
        <v/>
      </c>
      <c r="MG44">
        <f>IF($B44=0,1000000,IF(INDEX('計算A'!$D$60:$DS$104,$B44,3)*CY44=1,IF(AND($E44=2,HP44=0),1000000,INDEX('計算A'!F$110:F$114,$F44+1)+IF(AND($E44=1,HP44=0),1000,0)),1000000))</f>
        <v/>
      </c>
      <c r="MH44">
        <f>IF($B44=0,1000000,IF(INDEX('計算A'!$D$60:$DS$104,$B44,4)*CZ44=1,IF(AND($E44=2,HQ44=0),1000000,INDEX('計算A'!G$110:G$114,$F44+1)+IF(AND($E44=1,HQ44=0),1000,0)),1000000))</f>
        <v/>
      </c>
      <c r="MI44">
        <f>IF($B44=0,1000000,IF(INDEX('計算A'!$D$60:$DS$104,$B44,5)*DA44=1,IF(AND($E44=2,HR44=0),1000000,INDEX('計算A'!H$110:H$114,$F44+1)+IF(AND($E44=1,HR44=0),1000,0)),1000000))</f>
        <v/>
      </c>
      <c r="MJ44">
        <f>IF($B44=0,1000000,IF(INDEX('計算A'!$D$60:$DS$104,$B44,6)*DB44=1,IF(AND($E44=2,HS44=0),1000000,INDEX('計算A'!I$110:I$114,$F44+1)+IF(AND($E44=1,HS44=0),1000,0)),1000000))</f>
        <v/>
      </c>
      <c r="MK44">
        <f>IF($B44=0,1000000,IF(INDEX('計算A'!$D$60:$DS$104,$B44,7)*DC44=1,IF(AND($E44=2,HT44=0),1000000,INDEX('計算A'!J$110:J$114,$F44+1)+IF(AND($E44=1,HT44=0),1000,0)),1000000))</f>
        <v/>
      </c>
      <c r="ML44">
        <f>IF($B44=0,1000000,IF(INDEX('計算A'!$D$60:$DS$104,$B44,8)*DD44=1,IF(AND($E44=2,HU44=0),1000000,INDEX('計算A'!K$110:K$114,$F44+1)+IF(AND($E44=1,HU44=0),1000,0)),1000000))</f>
        <v/>
      </c>
      <c r="MM44">
        <f>IF($B44=0,1000000,IF(INDEX('計算A'!$D$60:$DS$104,$B44,9)*DE44=1,IF(AND($E44=2,HV44=0),1000000,INDEX('計算A'!L$110:L$114,$F44+1)+IF(AND($E44=1,HV44=0),1000,0)),1000000))</f>
        <v/>
      </c>
      <c r="MN44">
        <f>IF($B44=0,1000000,IF(INDEX('計算A'!$D$60:$DS$104,$B44,10)*DF44=1,IF(AND($E44=2,HW44=0),1000000,INDEX('計算A'!M$110:M$114,$F44+1)+IF(AND($E44=1,HW44=0),1000,0)),1000000))</f>
        <v/>
      </c>
      <c r="MO44">
        <f>IF($B44=0,1000000,IF(INDEX('計算A'!$D$60:$DS$104,$B44,11)*DG44=1,IF(AND($E44=2,HX44=0),1000000,INDEX('計算A'!N$110:N$114,$F44+1)+IF(AND($E44=1,HX44=0),1000,0)),1000000))</f>
        <v/>
      </c>
      <c r="MP44">
        <f>IF($B44=0,1000000,IF(INDEX('計算A'!$D$60:$DS$104,$B44,12)*DH44=1,IF(AND($E44=2,HY44=0),1000000,INDEX('計算A'!O$110:O$114,$F44+1)+IF(AND($E44=1,HY44=0),1000,0)),1000000))</f>
        <v/>
      </c>
      <c r="MQ44">
        <f>IF($B44=0,1000000,IF(INDEX('計算A'!$D$60:$DS$104,$B44,13)*DI44=1,IF(AND($E44=2,HZ44=0),1000000,INDEX('計算A'!P$110:P$114,$F44+1)+IF(AND($E44=1,HZ44=0),1000,0)),1000000))</f>
        <v/>
      </c>
      <c r="MR44">
        <f>IF($B44=0,1000000,IF(INDEX('計算A'!$D$60:$DS$104,$B44,14)*DJ44=1,IF(AND($E44=2,IA44=0),1000000,INDEX('計算A'!Q$110:Q$114,$F44+1)+IF(AND($E44=1,IA44=0),1000,0)),1000000))</f>
        <v/>
      </c>
      <c r="MS44">
        <f>IF($B44=0,1000000,IF(INDEX('計算A'!$D$60:$DS$104,$B44,15)*DK44=1,IF(AND($E44=2,IB44=0),1000000,INDEX('計算A'!R$110:R$114,$F44+1)+IF(AND($E44=1,IB44=0),1000,0)),1000000))</f>
        <v/>
      </c>
      <c r="MT44">
        <f>IF($B44=0,1000000,IF(INDEX('計算A'!$D$60:$DS$104,$B44,16)*DL44=1,IF(AND($E44=2,IC44=0),1000000,INDEX('計算A'!S$110:S$114,$F44+1)+IF(AND($E44=1,IC44=0),1000,0)),1000000))</f>
        <v/>
      </c>
      <c r="MU44">
        <f>IF($B44=0,1000000,IF(INDEX('計算A'!$D$60:$DS$104,$B44,17)*DM44=1,IF(AND($E44=2,ID44=0),1000000,INDEX('計算A'!T$110:T$114,$F44+1)+IF(AND($E44=1,ID44=0),1000,0)),1000000))</f>
        <v/>
      </c>
      <c r="MV44">
        <f>IF($B44=0,1000000,IF(INDEX('計算A'!$D$60:$DS$104,$B44,18)*DN44=1,IF(AND($E44=2,IE44=0),1000000,INDEX('計算A'!U$110:U$114,$F44+1)+IF(AND($E44=1,IE44=0),1000,0)),1000000))</f>
        <v/>
      </c>
      <c r="MW44">
        <f>IF($B44=0,1000000,IF(INDEX('計算A'!$D$60:$DS$104,$B44,19)*DO44=1,IF(AND($E44=2,IF44=0),1000000,INDEX('計算A'!V$110:V$114,$F44+1)+IF(AND($E44=1,IF44=0),1000,0)),1000000))</f>
        <v/>
      </c>
      <c r="MX44">
        <f>IF($B44=0,1000000,IF(INDEX('計算A'!$D$60:$DS$104,$B44,20)*DP44=1,IF(AND($E44=2,IG44=0),1000000,INDEX('計算A'!W$110:W$114,$F44+1)+IF(AND($E44=1,IG44=0),1000,0)),1000000))</f>
        <v/>
      </c>
      <c r="MY44">
        <f>IF($B44=0,1000000,IF(INDEX('計算A'!$D$60:$DS$104,$B44,21)*DQ44=1,IF(AND($E44=2,IH44=0),1000000,INDEX('計算A'!X$110:X$114,$F44+1)+IF(AND($E44=1,IH44=0),1000,0)),1000000))</f>
        <v/>
      </c>
      <c r="MZ44">
        <f>IF($B44=0,1000000,IF(INDEX('計算A'!$D$60:$DS$104,$B44,22)*DR44=1,IF(AND($E44=2,II44=0),1000000,INDEX('計算A'!Y$110:Y$114,$F44+1)+IF(AND($E44=1,II44=0),1000,0)),1000000))</f>
        <v/>
      </c>
      <c r="NA44">
        <f>IF($B44=0,1000000,IF(INDEX('計算A'!$D$60:$DS$104,$B44,23)*DS44=1,IF(AND($E44=2,IJ44=0),1000000,INDEX('計算A'!Z$110:Z$114,$F44+1)+IF(AND($E44=1,IJ44=0),1000,0)),1000000))</f>
        <v/>
      </c>
      <c r="NB44">
        <f>IF($B44=0,1000000,IF(INDEX('計算A'!$D$60:$DS$104,$B44,24)*DT44=1,IF(AND($E44=2,IK44=0),1000000,INDEX('計算A'!AA$110:AA$114,$F44+1)+IF(AND($E44=1,IK44=0),1000,0)),1000000))</f>
        <v/>
      </c>
      <c r="NC44">
        <f>IF($B44=0,1000000,IF(INDEX('計算A'!$D$60:$DS$104,$B44,25)*DU44=1,IF(AND($E44=2,IL44=0),1000000,INDEX('計算A'!AB$110:AB$114,$F44+1)+IF(AND($E44=1,IL44=0),1000,0)),1000000))</f>
        <v/>
      </c>
      <c r="ND44">
        <f>IF($B44=0,1000000,IF(INDEX('計算A'!$D$60:$DS$104,$B44,26)*DV44=1,IF(AND($E44=2,IM44=0),1000000,INDEX('計算A'!AC$110:AC$114,$F44+1)+IF(AND($E44=1,IM44=0),1000,0)),1000000))</f>
        <v/>
      </c>
      <c r="NE44">
        <f>IF($B44=0,1000000,IF(INDEX('計算A'!$D$60:$DS$104,$B44,27)*DW44=1,IF(AND($E44=2,IN44=0),1000000,INDEX('計算A'!AD$110:AD$114,$F44+1)+IF(AND($E44=1,IN44=0),1000,0)),1000000))</f>
        <v/>
      </c>
      <c r="NF44">
        <f>IF($B44=0,1000000,IF(INDEX('計算A'!$D$60:$DS$104,$B44,28)*DX44=1,IF(AND($E44=2,IO44=0),1000000,INDEX('計算A'!AE$110:AE$114,$F44+1)+IF(AND($E44=1,IO44=0),1000,0)),1000000))</f>
        <v/>
      </c>
      <c r="NG44">
        <f>IF($B44=0,1000000,IF(INDEX('計算A'!$D$60:$DS$104,$B44,29)*DY44=1,IF(AND($E44=2,IP44=0),1000000,INDEX('計算A'!AF$110:AF$114,$F44+1)+IF(AND($E44=1,IP44=0),1000,0)),1000000))</f>
        <v/>
      </c>
      <c r="NH44">
        <f>IF($B44=0,1000000,IF(INDEX('計算A'!$D$60:$DS$104,$B44,30)*DZ44=1,IF(AND($E44=2,IQ44=0),1000000,INDEX('計算A'!AG$110:AG$114,$F44+1)+IF(AND($E44=1,IQ44=0),1000,0)),1000000))</f>
        <v/>
      </c>
      <c r="NI44">
        <f>IF($B44=0,1000000,IF(INDEX('計算A'!$D$60:$DS$104,$B44,31)*EA44=1,IF(AND($E44=2,IR44=0),1000000,INDEX('計算A'!AH$110:AH$114,$F44+1)+IF(AND($E44=1,IR44=0),1000,0)),1000000))</f>
        <v/>
      </c>
      <c r="NJ44">
        <f>IF($B44=0,1000000,IF(INDEX('計算A'!$D$60:$DS$104,$B44,32)*EB44=1,IF(AND($E44=2,IS44=0),1000000,INDEX('計算A'!AI$110:AI$114,$F44+1)+IF(AND($E44=1,IS44=0),1000,0)),1000000))</f>
        <v/>
      </c>
      <c r="NK44">
        <f>IF($B44=0,1000000,IF(INDEX('計算A'!$D$60:$DS$104,$B44,33)*EC44=1,IF(AND($E44=2,IT44=0),1000000,INDEX('計算A'!AJ$110:AJ$114,$F44+1)+IF(AND($E44=1,IT44=0),1000,0)),1000000))</f>
        <v/>
      </c>
      <c r="NL44">
        <f>IF($B44=0,1000000,IF(INDEX('計算A'!$D$60:$DS$104,$B44,34)*ED44=1,IF(AND($E44=2,IU44=0),1000000,INDEX('計算A'!AK$110:AK$114,$F44+1)+IF(AND($E44=1,IU44=0),1000,0)),1000000))</f>
        <v/>
      </c>
      <c r="NM44">
        <f>IF($B44=0,1000000,IF(INDEX('計算A'!$D$60:$DS$104,$B44,35)*EE44=1,IF(AND($E44=2,IV44=0),1000000,INDEX('計算A'!AL$110:AL$114,$F44+1)+IF(AND($E44=1,IV44=0),1000,0)),1000000))</f>
        <v/>
      </c>
      <c r="NN44">
        <f>IF($B44=0,1000000,IF(INDEX('計算A'!$D$60:$DS$104,$B44,36)*EF44=1,IF(AND($E44=2,IW44=0),1000000,INDEX('計算A'!AM$110:AM$114,$F44+1)+IF(AND($E44=1,IW44=0),1000,0)),1000000))</f>
        <v/>
      </c>
      <c r="NO44">
        <f>IF($B44=0,1000000,IF(INDEX('計算A'!$D$60:$DS$104,$B44,37)*EG44=1,IF(AND($E44=2,IX44=0),1000000,INDEX('計算A'!AN$110:AN$114,$F44+1)+IF(AND($E44=1,IX44=0),1000,0)),1000000))</f>
        <v/>
      </c>
      <c r="NP44">
        <f>IF($B44=0,1000000,IF(INDEX('計算A'!$D$60:$DS$104,$B44,38)*EH44=1,IF(AND($E44=2,IY44=0),1000000,INDEX('計算A'!AO$110:AO$114,$F44+1)+IF(AND($E44=1,IY44=0),1000,0)),1000000))</f>
        <v/>
      </c>
      <c r="NQ44">
        <f>IF($B44=0,1000000,IF(INDEX('計算A'!$D$60:$DS$104,$B44,39)*EI44=1,IF(AND($E44=2,IZ44=0),1000000,INDEX('計算A'!AP$110:AP$114,$F44+1)+IF(AND($E44=1,IZ44=0),1000,0)),1000000))</f>
        <v/>
      </c>
      <c r="NR44">
        <f>IF($B44=0,1000000,IF(INDEX('計算A'!$D$60:$DS$104,$B44,40)*EJ44=1,IF(AND($E44=2,JA44=0),1000000,INDEX('計算A'!AQ$110:AQ$114,$F44+1)+IF(AND($E44=1,JA44=0),1000,0)),1000000))</f>
        <v/>
      </c>
      <c r="NS44">
        <f>IF($B44=0,1000000,IF(INDEX('計算A'!$D$60:$DS$104,$B44,41)*EK44=1,IF(AND($E44=2,JB44=0),1000000,INDEX('計算A'!AR$110:AR$114,$F44+1)+IF(AND($E44=1,JB44=0),1000,0)),1000000))</f>
        <v/>
      </c>
      <c r="NT44">
        <f>IF($B44=0,1000000,IF(INDEX('計算A'!$D$60:$DS$104,$B44,42)*EL44=1,IF(AND($E44=2,JC44=0),1000000,INDEX('計算A'!AS$110:AS$114,$F44+1)+IF(AND($E44=1,JC44=0),1000,0)),1000000))</f>
        <v/>
      </c>
      <c r="NU44">
        <f>IF($B44=0,1000000,IF(INDEX('計算A'!$D$60:$DS$104,$B44,43)*EM44=1,IF(AND($E44=2,JD44=0),1000000,INDEX('計算A'!AT$110:AT$114,$F44+1)+IF(AND($E44=1,JD44=0),1000,0)),1000000))</f>
        <v/>
      </c>
      <c r="NV44">
        <f>IF($B44=0,1000000,IF(INDEX('計算A'!$D$60:$DS$104,$B44,44)*EN44=1,IF(AND($E44=2,JE44=0),1000000,INDEX('計算A'!AU$110:AU$114,$F44+1)+IF(AND($E44=1,JE44=0),1000,0)),1000000))</f>
        <v/>
      </c>
      <c r="NW44">
        <f>IF($B44=0,1000000,IF(INDEX('計算A'!$D$60:$DS$104,$B44,45)*EO44=1,IF(AND($E44=2,JF44=0),1000000,INDEX('計算A'!AV$110:AV$114,$F44+1)+IF(AND($E44=1,JF44=0),1000,0)),1000000))</f>
        <v/>
      </c>
      <c r="NX44">
        <f>IF($B44=0,1000000,IF(INDEX('計算A'!$D$60:$DS$104,$B44,46)*EP44=1,IF(AND($E44=2,JG44=0),1000000,INDEX('計算A'!AW$110:AW$114,$F44+1)+IF(AND($E44=1,JG44=0),1000,0)),1000000))</f>
        <v/>
      </c>
      <c r="NY44">
        <f>IF($B44=0,1000000,IF(INDEX('計算A'!$D$60:$DS$104,$B44,47)*EQ44=1,IF(AND($E44=2,JH44=0),1000000,INDEX('計算A'!AX$110:AX$114,$F44+1)+IF(AND($E44=1,JH44=0),1000,0)),1000000))</f>
        <v/>
      </c>
      <c r="NZ44">
        <f>IF($B44=0,1000000,IF(INDEX('計算A'!$D$60:$DS$104,$B44,48)*ER44=1,IF(AND($E44=2,JI44=0),1000000,INDEX('計算A'!AY$110:AY$114,$F44+1)+IF(AND($E44=1,JI44=0),1000,0)),1000000))</f>
        <v/>
      </c>
      <c r="OA44">
        <f>IF($B44=0,1000000,IF(INDEX('計算A'!$D$60:$DS$104,$B44,49)*ES44=1,IF(AND($E44=2,JJ44=0),1000000,INDEX('計算A'!AZ$110:AZ$114,$F44+1)+IF(AND($E44=1,JJ44=0),1000,0)),1000000))</f>
        <v/>
      </c>
      <c r="OB44">
        <f>IF($B44=0,1000000,IF(INDEX('計算A'!$D$60:$DS$104,$B44,50)*ET44=1,IF(AND($E44=2,JK44=0),1000000,INDEX('計算A'!BA$110:BA$114,$F44+1)+IF(AND($E44=1,JK44=0),1000,0)),1000000))</f>
        <v/>
      </c>
      <c r="OC44">
        <f>IF($B44=0,1000000,IF(INDEX('計算A'!$D$60:$DS$104,$B44,51)*EU44=1,IF(AND($E44=2,JL44=0),1000000,INDEX('計算A'!BB$110:BB$114,$F44+1)+IF(AND($E44=1,JL44=0),1000,0)),1000000))</f>
        <v/>
      </c>
      <c r="OD44">
        <f>IF($B44=0,1000000,IF(INDEX('計算A'!$D$60:$DS$104,$B44,52)*EV44=1,IF(AND($E44=2,JM44=0),1000000,INDEX('計算A'!BC$110:BC$114,$F44+1)+IF(AND($E44=1,JM44=0),1000,0)),1000000))</f>
        <v/>
      </c>
      <c r="OE44">
        <f>IF($B44=0,1000000,IF(INDEX('計算A'!$D$60:$DS$104,$B44,53)*EW44=1,IF(AND($E44=2,JN44=0),1000000,INDEX('計算A'!BD$110:BD$114,$F44+1)+IF(AND($E44=1,JN44=0),1000,0)),1000000))</f>
        <v/>
      </c>
      <c r="OF44">
        <f>IF($B44=0,1000000,IF(INDEX('計算A'!$D$60:$DS$104,$B44,54)*EX44=1,IF(AND($E44=2,JO44=0),1000000,INDEX('計算A'!BE$110:BE$114,$F44+1)+IF(AND($E44=1,JO44=0),1000,0)),1000000))</f>
        <v/>
      </c>
      <c r="OG44">
        <f>IF($B44=0,1000000,IF(INDEX('計算A'!$D$60:$DS$104,$B44,55)*EY44=1,IF(AND($E44=2,JP44=0),1000000,INDEX('計算A'!BF$110:BF$114,$F44+1)+IF(AND($E44=1,JP44=0),1000,0)),1000000))</f>
        <v/>
      </c>
      <c r="OH44">
        <f>IF($B44=0,1000000,IF(INDEX('計算A'!$D$60:$DS$104,$B44,56)*EZ44=1,IF(AND($E44=2,JQ44=0),1000000,INDEX('計算A'!BG$110:BG$114,$F44+1)+IF(AND($E44=1,JQ44=0),1000,0)),1000000))</f>
        <v/>
      </c>
      <c r="OI44">
        <f>IF($B44=0,1000000,IF(INDEX('計算A'!$D$60:$DS$104,$B44,57)*FA44=1,IF(AND($E44=2,JR44=0),1000000,INDEX('計算A'!BH$110:BH$114,$F44+1)+IF(AND($E44=1,JR44=0),1000,0)),1000000))</f>
        <v/>
      </c>
      <c r="OJ44">
        <f>IF($B44=0,1000000,IF(INDEX('計算A'!$D$60:$DS$104,$B44,58)*FB44=1,IF(AND($E44=2,JS44=0),1000000,INDEX('計算A'!BI$110:BI$114,$F44+1)+IF(AND($E44=1,JS44=0),1000,0)),1000000))</f>
        <v/>
      </c>
      <c r="OK44">
        <f>IF($B44=0,1000000,IF(INDEX('計算A'!$D$60:$DS$104,$B44,59)*FC44=1,IF(AND($E44=2,JT44=0),1000000,INDEX('計算A'!BJ$110:BJ$114,$F44+1)+IF(AND($E44=1,JT44=0),1000,0)),1000000))</f>
        <v/>
      </c>
      <c r="OL44">
        <f>IF($B44=0,1000000,IF(INDEX('計算A'!$D$60:$DS$104,$B44,60)*FD44=1,IF(AND($E44=2,JU44=0),1000000,INDEX('計算A'!BK$110:BK$114,$F44+1)+IF(AND($E44=1,JU44=0),1000,0)),1000000))</f>
        <v/>
      </c>
      <c r="OM44">
        <f>IF($B44=0,1000000,IF(INDEX('計算A'!$D$60:$DS$104,$B44,61)*FE44=1,IF(AND($E44=2,JV44=0),1000000,INDEX('計算A'!BL$110:BL$114,$F44+1)+IF(AND($E44=1,JV44=0),1000,0)),1000000))</f>
        <v/>
      </c>
      <c r="ON44">
        <f>IF($B44=0,1000000,IF(INDEX('計算A'!$D$60:$DS$104,$B44,62)*FF44=1,IF(AND($E44=2,JW44=0),1000000,INDEX('計算A'!BM$110:BM$114,$F44+1)+IF(AND($E44=1,JW44=0),1000,0)),1000000))</f>
        <v/>
      </c>
      <c r="OO44">
        <f>IF($B44=0,1000000,IF(INDEX('計算A'!$D$60:$DS$104,$B44,63)*FG44=1,IF(AND($E44=2,JX44=0),1000000,INDEX('計算A'!BN$110:BN$114,$F44+1)+IF(AND($E44=1,JX44=0),1000,0)),1000000))</f>
        <v/>
      </c>
      <c r="OP44">
        <f>IF($B44=0,1000000,IF(INDEX('計算A'!$D$60:$DS$104,$B44,64)*FH44=1,IF(AND($E44=2,JY44=0),1000000,INDEX('計算A'!BO$110:BO$114,$F44+1)+IF(AND($E44=1,JY44=0),1000,0)),1000000))</f>
        <v/>
      </c>
      <c r="OQ44">
        <f>IF($B44=0,1000000,IF(INDEX('計算A'!$D$60:$DS$104,$B44,65)*FI44=1,IF(AND($E44=2,JZ44=0),1000000,INDEX('計算A'!BP$110:BP$114,$F44+1)+IF(AND($E44=1,JZ44=0),1000,0)),1000000))</f>
        <v/>
      </c>
      <c r="OR44">
        <f>IF($B44=0,1000000,IF(INDEX('計算A'!$D$60:$DS$104,$B44,66)*FJ44=1,IF(AND($E44=2,KA44=0),1000000,INDEX('計算A'!BQ$110:BQ$114,$F44+1)+IF(AND($E44=1,KA44=0),1000,0)),1000000))</f>
        <v/>
      </c>
      <c r="OS44">
        <f>IF($B44=0,1000000,IF(INDEX('計算A'!$D$60:$DS$104,$B44,67)*FK44=1,IF(AND($E44=2,KB44=0),1000000,INDEX('計算A'!BR$110:BR$114,$F44+1)+IF(AND($E44=1,KB44=0),1000,0)),1000000))</f>
        <v/>
      </c>
      <c r="OT44">
        <f>IF($B44=0,1000000,IF(INDEX('計算A'!$D$60:$DS$104,$B44,68)*FL44=1,IF(AND($E44=2,KC44=0),1000000,INDEX('計算A'!BS$110:BS$114,$F44+1)+IF(AND($E44=1,KC44=0),1000,0)),1000000))</f>
        <v/>
      </c>
      <c r="OU44">
        <f>IF($B44=0,1000000,IF(INDEX('計算A'!$D$60:$DS$104,$B44,69)*FM44=1,IF(AND($E44=2,KD44=0),1000000,INDEX('計算A'!BT$110:BT$114,$F44+1)+IF(AND($E44=1,KD44=0),1000,0)),1000000))</f>
        <v/>
      </c>
      <c r="OV44">
        <f>IF($B44=0,1000000,IF(INDEX('計算A'!$D$60:$DS$104,$B44,70)*FN44=1,IF(AND($E44=2,KE44=0),1000000,INDEX('計算A'!BU$110:BU$114,$F44+1)+IF(AND($E44=1,KE44=0),1000,0)),1000000))</f>
        <v/>
      </c>
      <c r="OW44">
        <f>IF($B44=0,1000000,IF(INDEX('計算A'!$D$60:$DS$104,$B44,71)*FO44=1,IF(AND($E44=2,KF44=0),1000000,INDEX('計算A'!BV$110:BV$114,$F44+1)+IF(AND($E44=1,KF44=0),1000,0)),1000000))</f>
        <v/>
      </c>
      <c r="OX44">
        <f>IF($B44=0,1000000,IF(INDEX('計算A'!$D$60:$DS$104,$B44,72)*FP44=1,IF(AND($E44=2,KG44=0),1000000,INDEX('計算A'!BW$110:BW$114,$F44+1)+IF(AND($E44=1,KG44=0),1000,0)),1000000))</f>
        <v/>
      </c>
      <c r="OY44">
        <f>IF($B44=0,1000000,IF(INDEX('計算A'!$D$60:$DS$104,$B44,73)*FQ44=1,IF(AND($E44=2,KH44=0),1000000,INDEX('計算A'!BX$110:BX$114,$F44+1)+IF(AND($E44=1,KH44=0),1000,0)),1000000))</f>
        <v/>
      </c>
      <c r="OZ44">
        <f>IF($B44=0,1000000,IF(INDEX('計算A'!$D$60:$DS$104,$B44,74)*FR44=1,IF(AND($E44=2,KI44=0),1000000,INDEX('計算A'!BY$110:BY$114,$F44+1)+IF(AND($E44=1,KI44=0),1000,0)),1000000))</f>
        <v/>
      </c>
      <c r="PA44">
        <f>IF($B44=0,1000000,IF(INDEX('計算A'!$D$60:$DS$104,$B44,75)*FS44=1,IF(AND($E44=2,KJ44=0),1000000,INDEX('計算A'!BZ$110:BZ$114,$F44+1)+IF(AND($E44=1,KJ44=0),1000,0)),1000000))</f>
        <v/>
      </c>
      <c r="PB44">
        <f>IF($B44=0,1000000,IF(INDEX('計算A'!$D$60:$DS$104,$B44,76)*FT44=1,IF(AND($E44=2,KK44=0),1000000,INDEX('計算A'!CA$110:CA$114,$F44+1)+IF(AND($E44=1,KK44=0),1000,0)),1000000))</f>
        <v/>
      </c>
      <c r="PC44">
        <f>IF($B44=0,1000000,IF(INDEX('計算A'!$D$60:$DS$104,$B44,77)*FU44=1,IF(AND($E44=2,KL44=0),1000000,INDEX('計算A'!CB$110:CB$114,$F44+1)+IF(AND($E44=1,KL44=0),1000,0)),1000000))</f>
        <v/>
      </c>
      <c r="PD44">
        <f>IF($B44=0,1000000,IF(INDEX('計算A'!$D$60:$DS$104,$B44,78)*FV44=1,IF(AND($E44=2,KM44=0),1000000,INDEX('計算A'!CC$110:CC$114,$F44+1)+IF(AND($E44=1,KM44=0),1000,0)),1000000))</f>
        <v/>
      </c>
      <c r="PE44">
        <f>IF($B44=0,1000000,IF(INDEX('計算A'!$D$60:$DS$104,$B44,79)*FW44=1,IF(AND($E44=2,KN44=0),1000000,INDEX('計算A'!CD$110:CD$114,$F44+1)+IF(AND($E44=1,KN44=0),1000,0)),1000000))</f>
        <v/>
      </c>
      <c r="PF44">
        <f>IF($B44=0,1000000,IF(INDEX('計算A'!$D$60:$DS$104,$B44,80)*FX44=1,IF(AND($E44=2,KO44=0),1000000,INDEX('計算A'!CE$110:CE$114,$F44+1)+IF(AND($E44=1,KO44=0),1000,0)),1000000))</f>
        <v/>
      </c>
      <c r="PG44">
        <f>IF($B44=0,1000000,IF(INDEX('計算A'!$D$60:$DS$104,$B44,81)*FY44=1,IF(AND($E44=2,KP44=0),1000000,INDEX('計算A'!CF$110:CF$114,$F44+1)+IF(AND($E44=1,KP44=0),1000,0)),1000000))</f>
        <v/>
      </c>
      <c r="PH44">
        <f>IF($B44=0,1000000,IF(INDEX('計算A'!$D$60:$DS$104,$B44,82)*FZ44=1,IF(AND($E44=2,KQ44=0),1000000,INDEX('計算A'!CG$110:CG$114,$F44+1)+IF(AND($E44=1,KQ44=0),1000,0)),1000000))</f>
        <v/>
      </c>
      <c r="PI44">
        <f>IF($B44=0,1000000,IF(INDEX('計算A'!$D$60:$DS$104,$B44,83)*GA44=1,IF(AND($E44=2,KR44=0),1000000,INDEX('計算A'!CH$110:CH$114,$F44+1)+IF(AND($E44=1,KR44=0),1000,0)),1000000))</f>
        <v/>
      </c>
      <c r="PJ44">
        <f>IF($B44=0,1000000,IF(INDEX('計算A'!$D$60:$DS$104,$B44,84)*GB44=1,IF(AND($E44=2,KS44=0),1000000,INDEX('計算A'!CI$110:CI$114,$F44+1)+IF(AND($E44=1,KS44=0),1000,0)),1000000))</f>
        <v/>
      </c>
      <c r="PK44">
        <f>IF($B44=0,1000000,IF(INDEX('計算A'!$D$60:$DS$104,$B44,85)*GC44=1,IF(AND($E44=2,KT44=0),1000000,INDEX('計算A'!CJ$110:CJ$114,$F44+1)+IF(AND($E44=1,KT44=0),1000,0)),1000000))</f>
        <v/>
      </c>
      <c r="PL44">
        <f>IF($B44=0,1000000,IF(INDEX('計算A'!$D$60:$DS$104,$B44,86)*GD44=1,IF(AND($E44=2,KU44=0),1000000,INDEX('計算A'!CK$110:CK$114,$F44+1)+IF(AND($E44=1,KU44=0),1000,0)),1000000))</f>
        <v/>
      </c>
      <c r="PM44">
        <f>IF($B44=0,1000000,IF(INDEX('計算A'!$D$60:$DS$104,$B44,87)*GE44=1,IF(AND($E44=2,KV44=0),1000000,INDEX('計算A'!CL$110:CL$114,$F44+1)+IF(AND($E44=1,KV44=0),1000,0)),1000000))</f>
        <v/>
      </c>
      <c r="PN44">
        <f>IF($B44=0,1000000,IF(INDEX('計算A'!$D$60:$DS$104,$B44,88)*GF44=1,IF(AND($E44=2,KW44=0),1000000,INDEX('計算A'!CM$110:CM$114,$F44+1)+IF(AND($E44=1,KW44=0),1000,0)),1000000))</f>
        <v/>
      </c>
      <c r="PO44">
        <f>IF($B44=0,1000000,IF(INDEX('計算A'!$D$60:$DS$104,$B44,89)*GG44=1,IF(AND($E44=2,KX44=0),1000000,INDEX('計算A'!CN$110:CN$114,$F44+1)+IF(AND($E44=1,KX44=0),1000,0)),1000000))</f>
        <v/>
      </c>
      <c r="PP44">
        <f>IF($B44=0,1000000,IF(INDEX('計算A'!$D$60:$DS$104,$B44,90)*GH44=1,IF(AND($E44=2,KY44=0),1000000,INDEX('計算A'!CO$110:CO$114,$F44+1)+IF(AND($E44=1,KY44=0),1000,0)),1000000))</f>
        <v/>
      </c>
      <c r="PQ44">
        <f>IF($B44=0,1000000,IF(INDEX('計算A'!$D$60:$DS$104,$B44,91)*GI44=1,IF(AND($E44=2,KZ44=0),1000000,INDEX('計算A'!CP$110:CP$114,$F44+1)+IF(AND($E44=1,KZ44=0),1000,0)),1000000))</f>
        <v/>
      </c>
      <c r="PR44">
        <f>IF($B44=0,1000000,IF(INDEX('計算A'!$D$60:$DS$104,$B44,92)*GJ44=1,IF(AND($E44=2,LA44=0),1000000,INDEX('計算A'!CQ$110:CQ$114,$F44+1)+IF(AND($E44=1,LA44=0),1000,0)),1000000))</f>
        <v/>
      </c>
      <c r="PS44">
        <f>IF($B44=0,1000000,IF(INDEX('計算A'!$D$60:$DS$104,$B44,93)*GK44=1,IF(AND($E44=2,LB44=0),1000000,INDEX('計算A'!CR$110:CR$114,$F44+1)+IF(AND($E44=1,LB44=0),1000,0)),1000000))</f>
        <v/>
      </c>
      <c r="PT44">
        <f>IF($B44=0,1000000,IF(INDEX('計算A'!$D$60:$DS$104,$B44,94)*GL44=1,IF(AND($E44=2,LC44=0),1000000,INDEX('計算A'!CS$110:CS$114,$F44+1)+IF(AND($E44=1,LC44=0),1000,0)),1000000))</f>
        <v/>
      </c>
      <c r="PU44">
        <f>IF($B44=0,1000000,IF(INDEX('計算A'!$D$60:$DS$104,$B44,95)*GM44=1,IF(AND($E44=2,LD44=0),1000000,INDEX('計算A'!CT$110:CT$114,$F44+1)+IF(AND($E44=1,LD44=0),1000,0)),1000000))</f>
        <v/>
      </c>
      <c r="PV44">
        <f>IF($B44=0,1000000,IF(INDEX('計算A'!$D$60:$DS$104,$B44,96)*GN44=1,IF(AND($E44=2,LE44=0),1000000,INDEX('計算A'!CU$110:CU$114,$F44+1)+IF(AND($E44=1,LE44=0),1000,0)),1000000))</f>
        <v/>
      </c>
      <c r="PW44">
        <f>IF($B44=0,1000000,IF(INDEX('計算A'!$D$60:$DS$104,$B44,97)*GO44=1,IF(AND($E44=2,LF44=0),1000000,INDEX('計算A'!CV$110:CV$114,$F44+1)+IF(AND($E44=1,LF44=0),1000,0)),1000000))</f>
        <v/>
      </c>
      <c r="PX44">
        <f>IF($B44=0,1000000,IF(INDEX('計算A'!$D$60:$DS$104,$B44,98)*GP44=1,IF(AND($E44=2,LG44=0),1000000,INDEX('計算A'!CW$110:CW$114,$F44+1)+IF(AND($E44=1,LG44=0),1000,0)),1000000))</f>
        <v/>
      </c>
      <c r="PY44">
        <f>IF($B44=0,1000000,IF(INDEX('計算A'!$D$60:$DS$104,$B44,99)*GQ44=1,IF(AND($E44=2,LH44=0),1000000,INDEX('計算A'!CX$110:CX$114,$F44+1)+IF(AND($E44=1,LH44=0),1000,0)),1000000))</f>
        <v/>
      </c>
      <c r="PZ44">
        <f>IF($B44=0,1000000,IF(INDEX('計算A'!$D$60:$DS$104,$B44,100)*GR44=1,IF(AND($E44=2,LI44=0),1000000,INDEX('計算A'!CY$110:CY$114,$F44+1)+IF(AND($E44=1,LI44=0),1000,0)),1000000))</f>
        <v/>
      </c>
      <c r="QA44">
        <f>IF($B44=0,1000000,IF(INDEX('計算A'!$D$60:$DS$104,$B44,101)*GS44=1,IF(AND($E44=2,LJ44=0),1000000,INDEX('計算A'!CZ$110:CZ$114,$F44+1)+IF(AND($E44=1,LJ44=0),1000,0)),1000000))</f>
        <v/>
      </c>
      <c r="QB44">
        <f>IF($B44=0,1000000,IF(INDEX('計算A'!$D$60:$DS$104,$B44,102)*GT44=1,IF(AND($E44=2,LK44=0),1000000,INDEX('計算A'!DA$110:DA$114,$F44+1)+IF(AND($E44=1,LK44=0),1000,0)),1000000))</f>
        <v/>
      </c>
      <c r="QC44">
        <f>IF($B44=0,1000000,IF(INDEX('計算A'!$D$60:$DS$104,$B44,103)*GU44=1,IF(AND($E44=2,LL44=0),1000000,INDEX('計算A'!DB$110:DB$114,$F44+1)+IF(AND($E44=1,LL44=0),1000,0)),1000000))</f>
        <v/>
      </c>
      <c r="QD44">
        <f>IF($B44=0,1000000,IF(INDEX('計算A'!$D$60:$DS$104,$B44,104)*GV44=1,IF(AND($E44=2,LM44=0),1000000,INDEX('計算A'!DC$110:DC$114,$F44+1)+IF(AND($E44=1,LM44=0),1000,0)),1000000))</f>
        <v/>
      </c>
      <c r="QE44">
        <f>IF($B44=0,1000000,IF(INDEX('計算A'!$D$60:$DS$104,$B44,105)*GW44=1,IF(AND($E44=2,LN44=0),1000000,INDEX('計算A'!DD$110:DD$114,$F44+1)+IF(AND($E44=1,LN44=0),1000,0)),1000000))</f>
        <v/>
      </c>
      <c r="QF44">
        <f>IF($B44=0,1000000,IF(INDEX('計算A'!$D$60:$DS$104,$B44,106)*GX44=1,IF(AND($E44=2,LO44=0),1000000,INDEX('計算A'!DE$110:DE$114,$F44+1)+IF(AND($E44=1,LO44=0),1000,0)),1000000))</f>
        <v/>
      </c>
      <c r="QG44">
        <f>IF($B44=0,1000000,IF(INDEX('計算A'!$D$60:$DS$104,$B44,107)*GY44=1,IF(AND($E44=2,LP44=0),1000000,INDEX('計算A'!DF$110:DF$114,$F44+1)+IF(AND($E44=1,LP44=0),1000,0)),1000000))</f>
        <v/>
      </c>
      <c r="QH44">
        <f>IF($B44=0,1000000,IF(INDEX('計算A'!$D$60:$DS$104,$B44,108)*GZ44=1,IF(AND($E44=2,LQ44=0),1000000,INDEX('計算A'!DG$110:DG$114,$F44+1)+IF(AND($E44=1,LQ44=0),1000,0)),1000000))</f>
        <v/>
      </c>
      <c r="QI44">
        <f>IF($B44=0,1000000,IF(INDEX('計算A'!$D$60:$DS$104,$B44,109)*HA44=1,IF(AND($E44=2,LR44=0),1000000,INDEX('計算A'!DH$110:DH$114,$F44+1)+IF(AND($E44=1,LR44=0),1000,0)),1000000))</f>
        <v/>
      </c>
      <c r="QJ44">
        <f>IF($B44=0,1000000,IF(INDEX('計算A'!$D$60:$DS$104,$B44,110)*HB44=1,IF(AND($E44=2,LS44=0),1000000,INDEX('計算A'!DI$110:DI$114,$F44+1)+IF(AND($E44=1,LS44=0),1000,0)),1000000))</f>
        <v/>
      </c>
      <c r="QK44">
        <f>IF($B44=0,1000000,IF(INDEX('計算A'!$D$60:$DS$104,$B44,111)*HC44=1,IF(AND($E44=2,LT44=0),1000000,INDEX('計算A'!DJ$110:DJ$114,$F44+1)+IF(AND($E44=1,LT44=0),1000,0)),1000000))</f>
        <v/>
      </c>
      <c r="QL44">
        <f>IF($B44=0,1000000,IF(INDEX('計算A'!$D$60:$DS$104,$B44,112)*HD44=1,IF(AND($E44=2,LU44=0),1000000,INDEX('計算A'!DK$110:DK$114,$F44+1)+IF(AND($E44=1,LU44=0),1000,0)),1000000))</f>
        <v/>
      </c>
      <c r="QM44">
        <f>IF($B44=0,1000000,IF(INDEX('計算A'!$D$60:$DS$104,$B44,113)*HE44=1,IF(AND($E44=2,LV44=0),1000000,INDEX('計算A'!DL$110:DL$114,$F44+1)+IF(AND($E44=1,LV44=0),1000,0)),1000000))</f>
        <v/>
      </c>
      <c r="QN44">
        <f>IF($B44=0,1000000,IF(INDEX('計算A'!$D$60:$DS$104,$B44,114)*HF44=1,IF(AND($E44=2,LW44=0),1000000,INDEX('計算A'!DM$110:DM$114,$F44+1)+IF(AND($E44=1,LW44=0),1000,0)),1000000))</f>
        <v/>
      </c>
      <c r="QO44">
        <f>IF($B44=0,1000000,IF(INDEX('計算A'!$D$60:$DS$104,$B44,115)*HG44=1,IF(AND($E44=2,LX44=0),1000000,INDEX('計算A'!DN$110:DN$114,$F44+1)+IF(AND($E44=1,LX44=0),1000,0)),1000000))</f>
        <v/>
      </c>
      <c r="QP44">
        <f>IF($B44=0,1000000,IF(INDEX('計算A'!$D$60:$DS$104,$B44,116)*HH44=1,IF(AND($E44=2,LY44=0),1000000,INDEX('計算A'!DO$110:DO$114,$F44+1)+IF(AND($E44=1,LY44=0),1000,0)),1000000))</f>
        <v/>
      </c>
      <c r="QQ44">
        <f>IF($B44=0,1000000,IF(INDEX('計算A'!$D$60:$DS$104,$B44,117)*HI44=1,IF(AND($E44=2,LZ44=0),1000000,INDEX('計算A'!DP$110:DP$114,$F44+1)+IF(AND($E44=1,LZ44=0),1000,0)),1000000))</f>
        <v/>
      </c>
      <c r="QR44">
        <f>IF($B44=0,1000000,IF(INDEX('計算A'!$D$60:$DS$104,$B44,118)*HJ44=1,IF(AND($E44=2,MA44=0),1000000,INDEX('計算A'!DQ$110:DQ$114,$F44+1)+IF(AND($E44=1,MA44=0),1000,0)),1000000))</f>
        <v/>
      </c>
      <c r="QS44">
        <f>IF($B44=0,1000000,IF(INDEX('計算A'!$D$60:$DS$104,$B44,119)*HK44=1,IF(AND($E44=2,MB44=0),1000000,INDEX('計算A'!DR$110:DR$114,$F44+1)+IF(AND($E44=1,MB44=0),1000,0)),1000000))</f>
        <v/>
      </c>
      <c r="QT44">
        <f>IF($B44=0,1000000,IF(INDEX('計算A'!$D$60:$DS$104,$B44,120)*HL44=1,IF(AND($E44=2,MC44=0),1000000,INDEX('計算A'!DS$110:DS$114,$F44+1)+IF(AND($E44=1,MC44=0),1000,0)),1000000))</f>
        <v/>
      </c>
    </row>
    <row r="45">
      <c r="A45" t="n">
        <v>43</v>
      </c>
      <c r="B45">
        <f>IF(MIN(BC45:CU45)&gt;=1000000,0,MATCH(MIN(BC45:CU45),BC45:CU45,0))</f>
        <v/>
      </c>
      <c r="C45">
        <f>IF(MIN(ME45:QT45)&gt;=1000000,0,MATCH(MIN(ME45:QT45),ME45:QT45,0))</f>
        <v/>
      </c>
      <c r="D45">
        <f>IF(C45&gt;0,INDEX('計算A'!$D$5:$DS$5,C45),0)</f>
        <v/>
      </c>
      <c r="E45">
        <f>IF(B45=0,0,INDEX('計算A'!$EA$10:$EA$54,B45))</f>
        <v/>
      </c>
      <c r="F45">
        <f>IF(B45=0,0,INDEX('計算A'!$DZ$10:$DZ$54,B45))</f>
        <v/>
      </c>
      <c r="G45">
        <f>IF(AND(C45&gt;0,E45&gt;0),IF(AND(INDEX('計算A'!$D$106:$DS$106,C45)=1,INDEX($HN45:$MC45,C45)=1),C45+1,0),0)</f>
        <v/>
      </c>
      <c r="I45">
        <f>MAX(I44,IF($B44=1,1,0))</f>
        <v/>
      </c>
      <c r="J45">
        <f>MAX(J44,IF($B44=2,1,0))</f>
        <v/>
      </c>
      <c r="K45">
        <f>MAX(K44,IF($B44=3,1,0))</f>
        <v/>
      </c>
      <c r="L45">
        <f>MAX(L44,IF($B44=4,1,0))</f>
        <v/>
      </c>
      <c r="M45">
        <f>MAX(M44,IF($B44=5,1,0))</f>
        <v/>
      </c>
      <c r="N45">
        <f>MAX(N44,IF($B44=6,1,0))</f>
        <v/>
      </c>
      <c r="O45">
        <f>MAX(O44,IF($B44=7,1,0))</f>
        <v/>
      </c>
      <c r="P45">
        <f>MAX(P44,IF($B44=8,1,0))</f>
        <v/>
      </c>
      <c r="Q45">
        <f>MAX(Q44,IF($B44=9,1,0))</f>
        <v/>
      </c>
      <c r="R45">
        <f>MAX(R44,IF($B44=10,1,0))</f>
        <v/>
      </c>
      <c r="S45">
        <f>MAX(S44,IF($B44=11,1,0))</f>
        <v/>
      </c>
      <c r="T45">
        <f>MAX(T44,IF($B44=12,1,0))</f>
        <v/>
      </c>
      <c r="U45">
        <f>MAX(U44,IF($B44=13,1,0))</f>
        <v/>
      </c>
      <c r="V45">
        <f>MAX(V44,IF($B44=14,1,0))</f>
        <v/>
      </c>
      <c r="W45">
        <f>MAX(W44,IF($B44=15,1,0))</f>
        <v/>
      </c>
      <c r="X45">
        <f>MAX(X44,IF($B44=16,1,0))</f>
        <v/>
      </c>
      <c r="Y45">
        <f>MAX(Y44,IF($B44=17,1,0))</f>
        <v/>
      </c>
      <c r="Z45">
        <f>MAX(Z44,IF($B44=18,1,0))</f>
        <v/>
      </c>
      <c r="AA45">
        <f>MAX(AA44,IF($B44=19,1,0))</f>
        <v/>
      </c>
      <c r="AB45">
        <f>MAX(AB44,IF($B44=20,1,0))</f>
        <v/>
      </c>
      <c r="AC45">
        <f>MAX(AC44,IF($B44=21,1,0))</f>
        <v/>
      </c>
      <c r="AD45">
        <f>MAX(AD44,IF($B44=22,1,0))</f>
        <v/>
      </c>
      <c r="AE45">
        <f>MAX(AE44,IF($B44=23,1,0))</f>
        <v/>
      </c>
      <c r="AF45">
        <f>MAX(AF44,IF($B44=24,1,0))</f>
        <v/>
      </c>
      <c r="AG45">
        <f>MAX(AG44,IF($B44=25,1,0))</f>
        <v/>
      </c>
      <c r="AH45">
        <f>MAX(AH44,IF($B44=26,1,0))</f>
        <v/>
      </c>
      <c r="AI45">
        <f>MAX(AI44,IF($B44=27,1,0))</f>
        <v/>
      </c>
      <c r="AJ45">
        <f>MAX(AJ44,IF($B44=28,1,0))</f>
        <v/>
      </c>
      <c r="AK45">
        <f>MAX(AK44,IF($B44=29,1,0))</f>
        <v/>
      </c>
      <c r="AL45">
        <f>MAX(AL44,IF($B44=30,1,0))</f>
        <v/>
      </c>
      <c r="AM45">
        <f>MAX(AM44,IF($B44=31,1,0))</f>
        <v/>
      </c>
      <c r="AN45">
        <f>MAX(AN44,IF($B44=32,1,0))</f>
        <v/>
      </c>
      <c r="AO45">
        <f>MAX(AO44,IF($B44=33,1,0))</f>
        <v/>
      </c>
      <c r="AP45">
        <f>MAX(AP44,IF($B44=34,1,0))</f>
        <v/>
      </c>
      <c r="AQ45">
        <f>MAX(AQ44,IF($B44=35,1,0))</f>
        <v/>
      </c>
      <c r="AR45">
        <f>MAX(AR44,IF($B44=36,1,0))</f>
        <v/>
      </c>
      <c r="AS45">
        <f>MAX(AS44,IF($B44=37,1,0))</f>
        <v/>
      </c>
      <c r="AT45">
        <f>MAX(AT44,IF($B44=38,1,0))</f>
        <v/>
      </c>
      <c r="AU45">
        <f>MAX(AU44,IF($B44=39,1,0))</f>
        <v/>
      </c>
      <c r="AV45">
        <f>MAX(AV44,IF($B44=40,1,0))</f>
        <v/>
      </c>
      <c r="AW45">
        <f>MAX(AW44,IF($B44=41,1,0))</f>
        <v/>
      </c>
      <c r="AX45">
        <f>MAX(AX44,IF($B44=42,1,0))</f>
        <v/>
      </c>
      <c r="AY45">
        <f>MAX(AY44,IF($B44=43,1,0))</f>
        <v/>
      </c>
      <c r="AZ45">
        <f>MAX(AZ44,IF($B44=44,1,0))</f>
        <v/>
      </c>
      <c r="BA45">
        <f>MAX(BA44,IF($B44=45,1,0))</f>
        <v/>
      </c>
      <c r="BC45">
        <f>IF(I45=1,1000000,IF('計算A'!$EA$10=2,SUMPRODUCT('計算A'!$D$60:$DS$60,$CW45:$HL45,$HN45:$MC45),SUMPRODUCT('計算A'!$D$60:$DS$60,$CW45:$HL45))*1000+1)</f>
        <v/>
      </c>
      <c r="BD45">
        <f>IF(J45=1,1000000,IF('計算A'!$EA$11=2,SUMPRODUCT('計算A'!$D$61:$DS$61,$CW45:$HL45,$HN45:$MC45),SUMPRODUCT('計算A'!$D$61:$DS$61,$CW45:$HL45))*1000+2)</f>
        <v/>
      </c>
      <c r="BE45">
        <f>IF(K45=1,1000000,IF('計算A'!$EA$12=2,SUMPRODUCT('計算A'!$D$62:$DS$62,$CW45:$HL45,$HN45:$MC45),SUMPRODUCT('計算A'!$D$62:$DS$62,$CW45:$HL45))*1000+3)</f>
        <v/>
      </c>
      <c r="BF45">
        <f>IF(L45=1,1000000,IF('計算A'!$EA$13=2,SUMPRODUCT('計算A'!$D$63:$DS$63,$CW45:$HL45,$HN45:$MC45),SUMPRODUCT('計算A'!$D$63:$DS$63,$CW45:$HL45))*1000+4)</f>
        <v/>
      </c>
      <c r="BG45">
        <f>IF(M45=1,1000000,IF('計算A'!$EA$14=2,SUMPRODUCT('計算A'!$D$64:$DS$64,$CW45:$HL45,$HN45:$MC45),SUMPRODUCT('計算A'!$D$64:$DS$64,$CW45:$HL45))*1000+5)</f>
        <v/>
      </c>
      <c r="BH45">
        <f>IF(N45=1,1000000,IF('計算A'!$EA$15=2,SUMPRODUCT('計算A'!$D$65:$DS$65,$CW45:$HL45,$HN45:$MC45),SUMPRODUCT('計算A'!$D$65:$DS$65,$CW45:$HL45))*1000+6)</f>
        <v/>
      </c>
      <c r="BI45">
        <f>IF(O45=1,1000000,IF('計算A'!$EA$16=2,SUMPRODUCT('計算A'!$D$66:$DS$66,$CW45:$HL45,$HN45:$MC45),SUMPRODUCT('計算A'!$D$66:$DS$66,$CW45:$HL45))*1000+7)</f>
        <v/>
      </c>
      <c r="BJ45">
        <f>IF(P45=1,1000000,IF('計算A'!$EA$17=2,SUMPRODUCT('計算A'!$D$67:$DS$67,$CW45:$HL45,$HN45:$MC45),SUMPRODUCT('計算A'!$D$67:$DS$67,$CW45:$HL45))*1000+8)</f>
        <v/>
      </c>
      <c r="BK45">
        <f>IF(Q45=1,1000000,IF('計算A'!$EA$18=2,SUMPRODUCT('計算A'!$D$68:$DS$68,$CW45:$HL45,$HN45:$MC45),SUMPRODUCT('計算A'!$D$68:$DS$68,$CW45:$HL45))*1000+9)</f>
        <v/>
      </c>
      <c r="BL45">
        <f>IF(R45=1,1000000,IF('計算A'!$EA$19=2,SUMPRODUCT('計算A'!$D$69:$DS$69,$CW45:$HL45,$HN45:$MC45),SUMPRODUCT('計算A'!$D$69:$DS$69,$CW45:$HL45))*1000+10)</f>
        <v/>
      </c>
      <c r="BM45">
        <f>IF(S45=1,1000000,IF('計算A'!$EA$20=2,SUMPRODUCT('計算A'!$D$70:$DS$70,$CW45:$HL45,$HN45:$MC45),SUMPRODUCT('計算A'!$D$70:$DS$70,$CW45:$HL45))*1000+11)</f>
        <v/>
      </c>
      <c r="BN45">
        <f>IF(T45=1,1000000,IF('計算A'!$EA$21=2,SUMPRODUCT('計算A'!$D$71:$DS$71,$CW45:$HL45,$HN45:$MC45),SUMPRODUCT('計算A'!$D$71:$DS$71,$CW45:$HL45))*1000+12)</f>
        <v/>
      </c>
      <c r="BO45">
        <f>IF(U45=1,1000000,IF('計算A'!$EA$22=2,SUMPRODUCT('計算A'!$D$72:$DS$72,$CW45:$HL45,$HN45:$MC45),SUMPRODUCT('計算A'!$D$72:$DS$72,$CW45:$HL45))*1000+13)</f>
        <v/>
      </c>
      <c r="BP45">
        <f>IF(V45=1,1000000,IF('計算A'!$EA$23=2,SUMPRODUCT('計算A'!$D$73:$DS$73,$CW45:$HL45,$HN45:$MC45),SUMPRODUCT('計算A'!$D$73:$DS$73,$CW45:$HL45))*1000+14)</f>
        <v/>
      </c>
      <c r="BQ45">
        <f>IF(W45=1,1000000,IF('計算A'!$EA$24=2,SUMPRODUCT('計算A'!$D$74:$DS$74,$CW45:$HL45,$HN45:$MC45),SUMPRODUCT('計算A'!$D$74:$DS$74,$CW45:$HL45))*1000+15)</f>
        <v/>
      </c>
      <c r="BR45">
        <f>IF(X45=1,1000000,IF('計算A'!$EA$25=2,SUMPRODUCT('計算A'!$D$75:$DS$75,$CW45:$HL45,$HN45:$MC45),SUMPRODUCT('計算A'!$D$75:$DS$75,$CW45:$HL45))*1000+16)</f>
        <v/>
      </c>
      <c r="BS45">
        <f>IF(Y45=1,1000000,IF('計算A'!$EA$26=2,SUMPRODUCT('計算A'!$D$76:$DS$76,$CW45:$HL45,$HN45:$MC45),SUMPRODUCT('計算A'!$D$76:$DS$76,$CW45:$HL45))*1000+17)</f>
        <v/>
      </c>
      <c r="BT45">
        <f>IF(Z45=1,1000000,IF('計算A'!$EA$27=2,SUMPRODUCT('計算A'!$D$77:$DS$77,$CW45:$HL45,$HN45:$MC45),SUMPRODUCT('計算A'!$D$77:$DS$77,$CW45:$HL45))*1000+18)</f>
        <v/>
      </c>
      <c r="BU45">
        <f>IF(AA45=1,1000000,IF('計算A'!$EA$28=2,SUMPRODUCT('計算A'!$D$78:$DS$78,$CW45:$HL45,$HN45:$MC45),SUMPRODUCT('計算A'!$D$78:$DS$78,$CW45:$HL45))*1000+19)</f>
        <v/>
      </c>
      <c r="BV45">
        <f>IF(AB45=1,1000000,IF('計算A'!$EA$29=2,SUMPRODUCT('計算A'!$D$79:$DS$79,$CW45:$HL45,$HN45:$MC45),SUMPRODUCT('計算A'!$D$79:$DS$79,$CW45:$HL45))*1000+20)</f>
        <v/>
      </c>
      <c r="BW45">
        <f>IF(AC45=1,1000000,IF('計算A'!$EA$30=2,SUMPRODUCT('計算A'!$D$80:$DS$80,$CW45:$HL45,$HN45:$MC45),SUMPRODUCT('計算A'!$D$80:$DS$80,$CW45:$HL45))*1000+21)</f>
        <v/>
      </c>
      <c r="BX45">
        <f>IF(AD45=1,1000000,IF('計算A'!$EA$31=2,SUMPRODUCT('計算A'!$D$81:$DS$81,$CW45:$HL45,$HN45:$MC45),SUMPRODUCT('計算A'!$D$81:$DS$81,$CW45:$HL45))*1000+22)</f>
        <v/>
      </c>
      <c r="BY45">
        <f>IF(AE45=1,1000000,IF('計算A'!$EA$32=2,SUMPRODUCT('計算A'!$D$82:$DS$82,$CW45:$HL45,$HN45:$MC45),SUMPRODUCT('計算A'!$D$82:$DS$82,$CW45:$HL45))*1000+23)</f>
        <v/>
      </c>
      <c r="BZ45">
        <f>IF(AF45=1,1000000,IF('計算A'!$EA$33=2,SUMPRODUCT('計算A'!$D$83:$DS$83,$CW45:$HL45,$HN45:$MC45),SUMPRODUCT('計算A'!$D$83:$DS$83,$CW45:$HL45))*1000+24)</f>
        <v/>
      </c>
      <c r="CA45">
        <f>IF(AG45=1,1000000,IF('計算A'!$EA$34=2,SUMPRODUCT('計算A'!$D$84:$DS$84,$CW45:$HL45,$HN45:$MC45),SUMPRODUCT('計算A'!$D$84:$DS$84,$CW45:$HL45))*1000+25)</f>
        <v/>
      </c>
      <c r="CB45">
        <f>IF(AH45=1,1000000,IF('計算A'!$EA$35=2,SUMPRODUCT('計算A'!$D$85:$DS$85,$CW45:$HL45,$HN45:$MC45),SUMPRODUCT('計算A'!$D$85:$DS$85,$CW45:$HL45))*1000+26)</f>
        <v/>
      </c>
      <c r="CC45">
        <f>IF(AI45=1,1000000,IF('計算A'!$EA$36=2,SUMPRODUCT('計算A'!$D$86:$DS$86,$CW45:$HL45,$HN45:$MC45),SUMPRODUCT('計算A'!$D$86:$DS$86,$CW45:$HL45))*1000+27)</f>
        <v/>
      </c>
      <c r="CD45">
        <f>IF(AJ45=1,1000000,IF('計算A'!$EA$37=2,SUMPRODUCT('計算A'!$D$87:$DS$87,$CW45:$HL45,$HN45:$MC45),SUMPRODUCT('計算A'!$D$87:$DS$87,$CW45:$HL45))*1000+28)</f>
        <v/>
      </c>
      <c r="CE45">
        <f>IF(AK45=1,1000000,IF('計算A'!$EA$38=2,SUMPRODUCT('計算A'!$D$88:$DS$88,$CW45:$HL45,$HN45:$MC45),SUMPRODUCT('計算A'!$D$88:$DS$88,$CW45:$HL45))*1000+29)</f>
        <v/>
      </c>
      <c r="CF45">
        <f>IF(AL45=1,1000000,IF('計算A'!$EA$39=2,SUMPRODUCT('計算A'!$D$89:$DS$89,$CW45:$HL45,$HN45:$MC45),SUMPRODUCT('計算A'!$D$89:$DS$89,$CW45:$HL45))*1000+30)</f>
        <v/>
      </c>
      <c r="CG45">
        <f>IF(AM45=1,1000000,IF('計算A'!$EA$40=2,SUMPRODUCT('計算A'!$D$90:$DS$90,$CW45:$HL45,$HN45:$MC45),SUMPRODUCT('計算A'!$D$90:$DS$90,$CW45:$HL45))*1000+31)</f>
        <v/>
      </c>
      <c r="CH45">
        <f>IF(AN45=1,1000000,IF('計算A'!$EA$41=2,SUMPRODUCT('計算A'!$D$91:$DS$91,$CW45:$HL45,$HN45:$MC45),SUMPRODUCT('計算A'!$D$91:$DS$91,$CW45:$HL45))*1000+32)</f>
        <v/>
      </c>
      <c r="CI45">
        <f>IF(AO45=1,1000000,IF('計算A'!$EA$42=2,SUMPRODUCT('計算A'!$D$92:$DS$92,$CW45:$HL45,$HN45:$MC45),SUMPRODUCT('計算A'!$D$92:$DS$92,$CW45:$HL45))*1000+33)</f>
        <v/>
      </c>
      <c r="CJ45">
        <f>IF(AP45=1,1000000,IF('計算A'!$EA$43=2,SUMPRODUCT('計算A'!$D$93:$DS$93,$CW45:$HL45,$HN45:$MC45),SUMPRODUCT('計算A'!$D$93:$DS$93,$CW45:$HL45))*1000+34)</f>
        <v/>
      </c>
      <c r="CK45">
        <f>IF(AQ45=1,1000000,IF('計算A'!$EA$44=2,SUMPRODUCT('計算A'!$D$94:$DS$94,$CW45:$HL45,$HN45:$MC45),SUMPRODUCT('計算A'!$D$94:$DS$94,$CW45:$HL45))*1000+35)</f>
        <v/>
      </c>
      <c r="CL45">
        <f>IF(AR45=1,1000000,IF('計算A'!$EA$45=2,SUMPRODUCT('計算A'!$D$95:$DS$95,$CW45:$HL45,$HN45:$MC45),SUMPRODUCT('計算A'!$D$95:$DS$95,$CW45:$HL45))*1000+36)</f>
        <v/>
      </c>
      <c r="CM45">
        <f>IF(AS45=1,1000000,IF('計算A'!$EA$46=2,SUMPRODUCT('計算A'!$D$96:$DS$96,$CW45:$HL45,$HN45:$MC45),SUMPRODUCT('計算A'!$D$96:$DS$96,$CW45:$HL45))*1000+37)</f>
        <v/>
      </c>
      <c r="CN45">
        <f>IF(AT45=1,1000000,IF('計算A'!$EA$47=2,SUMPRODUCT('計算A'!$D$97:$DS$97,$CW45:$HL45,$HN45:$MC45),SUMPRODUCT('計算A'!$D$97:$DS$97,$CW45:$HL45))*1000+38)</f>
        <v/>
      </c>
      <c r="CO45">
        <f>IF(AU45=1,1000000,IF('計算A'!$EA$48=2,SUMPRODUCT('計算A'!$D$98:$DS$98,$CW45:$HL45,$HN45:$MC45),SUMPRODUCT('計算A'!$D$98:$DS$98,$CW45:$HL45))*1000+39)</f>
        <v/>
      </c>
      <c r="CP45">
        <f>IF(AV45=1,1000000,IF('計算A'!$EA$49=2,SUMPRODUCT('計算A'!$D$99:$DS$99,$CW45:$HL45,$HN45:$MC45),SUMPRODUCT('計算A'!$D$99:$DS$99,$CW45:$HL45))*1000+40)</f>
        <v/>
      </c>
      <c r="CQ45">
        <f>IF(AW45=1,1000000,IF('計算A'!$EA$50=2,SUMPRODUCT('計算A'!$D$100:$DS$100,$CW45:$HL45,$HN45:$MC45),SUMPRODUCT('計算A'!$D$100:$DS$100,$CW45:$HL45))*1000+41)</f>
        <v/>
      </c>
      <c r="CR45">
        <f>IF(AX45=1,1000000,IF('計算A'!$EA$51=2,SUMPRODUCT('計算A'!$D$101:$DS$101,$CW45:$HL45,$HN45:$MC45),SUMPRODUCT('計算A'!$D$101:$DS$101,$CW45:$HL45))*1000+42)</f>
        <v/>
      </c>
      <c r="CS45">
        <f>IF(AY45=1,1000000,IF('計算A'!$EA$52=2,SUMPRODUCT('計算A'!$D$102:$DS$102,$CW45:$HL45,$HN45:$MC45),SUMPRODUCT('計算A'!$D$102:$DS$102,$CW45:$HL45))*1000+43)</f>
        <v/>
      </c>
      <c r="CT45">
        <f>IF(AZ45=1,1000000,IF('計算A'!$EA$53=2,SUMPRODUCT('計算A'!$D$103:$DS$103,$CW45:$HL45,$HN45:$MC45),SUMPRODUCT('計算A'!$D$103:$DS$103,$CW45:$HL45))*1000+44)</f>
        <v/>
      </c>
      <c r="CU45">
        <f>IF(BA45=1,1000000,IF('計算A'!$EA$54=2,SUMPRODUCT('計算A'!$D$104:$DS$104,$CW45:$HL45,$HN45:$MC45),SUMPRODUCT('計算A'!$D$104:$DS$104,$CW45:$HL45))*1000+45)</f>
        <v/>
      </c>
      <c r="CW45">
        <f>CW44*IF(OR($C44=1,$G44=1),0,1)</f>
        <v/>
      </c>
      <c r="CX45">
        <f>CX44*IF(OR($C44=2,$G44=2),0,1)</f>
        <v/>
      </c>
      <c r="CY45">
        <f>CY44*IF(OR($C44=3,$G44=3),0,1)</f>
        <v/>
      </c>
      <c r="CZ45">
        <f>CZ44*IF(OR($C44=4,$G44=4),0,1)</f>
        <v/>
      </c>
      <c r="DA45">
        <f>DA44*IF(OR($C44=5,$G44=5),0,1)</f>
        <v/>
      </c>
      <c r="DB45">
        <f>DB44*IF(OR($C44=6,$G44=6),0,1)</f>
        <v/>
      </c>
      <c r="DC45">
        <f>DC44*IF(OR($C44=7,$G44=7),0,1)</f>
        <v/>
      </c>
      <c r="DD45">
        <f>DD44*IF(OR($C44=8,$G44=8),0,1)</f>
        <v/>
      </c>
      <c r="DE45">
        <f>DE44*IF(OR($C44=9,$G44=9),0,1)</f>
        <v/>
      </c>
      <c r="DF45">
        <f>DF44*IF(OR($C44=10,$G44=10),0,1)</f>
        <v/>
      </c>
      <c r="DG45">
        <f>DG44*IF(OR($C44=11,$G44=11),0,1)</f>
        <v/>
      </c>
      <c r="DH45">
        <f>DH44*IF(OR($C44=12,$G44=12),0,1)</f>
        <v/>
      </c>
      <c r="DI45">
        <f>DI44*IF(OR($C44=13,$G44=13),0,1)</f>
        <v/>
      </c>
      <c r="DJ45">
        <f>DJ44*IF(OR($C44=14,$G44=14),0,1)</f>
        <v/>
      </c>
      <c r="DK45">
        <f>DK44*IF(OR($C44=15,$G44=15),0,1)</f>
        <v/>
      </c>
      <c r="DL45">
        <f>DL44*IF(OR($C44=16,$G44=16),0,1)</f>
        <v/>
      </c>
      <c r="DM45">
        <f>DM44*IF(OR($C44=17,$G44=17),0,1)</f>
        <v/>
      </c>
      <c r="DN45">
        <f>DN44*IF(OR($C44=18,$G44=18),0,1)</f>
        <v/>
      </c>
      <c r="DO45">
        <f>DO44*IF(OR($C44=19,$G44=19),0,1)</f>
        <v/>
      </c>
      <c r="DP45">
        <f>DP44*IF(OR($C44=20,$G44=20),0,1)</f>
        <v/>
      </c>
      <c r="DQ45">
        <f>DQ44*IF(OR($C44=21,$G44=21),0,1)</f>
        <v/>
      </c>
      <c r="DR45">
        <f>DR44*IF(OR($C44=22,$G44=22),0,1)</f>
        <v/>
      </c>
      <c r="DS45">
        <f>DS44*IF(OR($C44=23,$G44=23),0,1)</f>
        <v/>
      </c>
      <c r="DT45">
        <f>DT44*IF(OR($C44=24,$G44=24),0,1)</f>
        <v/>
      </c>
      <c r="DU45">
        <f>DU44*IF(OR($C44=25,$G44=25),0,1)</f>
        <v/>
      </c>
      <c r="DV45">
        <f>DV44*IF(OR($C44=26,$G44=26),0,1)</f>
        <v/>
      </c>
      <c r="DW45">
        <f>DW44*IF(OR($C44=27,$G44=27),0,1)</f>
        <v/>
      </c>
      <c r="DX45">
        <f>DX44*IF(OR($C44=28,$G44=28),0,1)</f>
        <v/>
      </c>
      <c r="DY45">
        <f>DY44*IF(OR($C44=29,$G44=29),0,1)</f>
        <v/>
      </c>
      <c r="DZ45">
        <f>DZ44*IF(OR($C44=30,$G44=30),0,1)</f>
        <v/>
      </c>
      <c r="EA45">
        <f>EA44*IF(OR($C44=31,$G44=31),0,1)</f>
        <v/>
      </c>
      <c r="EB45">
        <f>EB44*IF(OR($C44=32,$G44=32),0,1)</f>
        <v/>
      </c>
      <c r="EC45">
        <f>EC44*IF(OR($C44=33,$G44=33),0,1)</f>
        <v/>
      </c>
      <c r="ED45">
        <f>ED44*IF(OR($C44=34,$G44=34),0,1)</f>
        <v/>
      </c>
      <c r="EE45">
        <f>EE44*IF(OR($C44=35,$G44=35),0,1)</f>
        <v/>
      </c>
      <c r="EF45">
        <f>EF44*IF(OR($C44=36,$G44=36),0,1)</f>
        <v/>
      </c>
      <c r="EG45">
        <f>EG44*IF(OR($C44=37,$G44=37),0,1)</f>
        <v/>
      </c>
      <c r="EH45">
        <f>EH44*IF(OR($C44=38,$G44=38),0,1)</f>
        <v/>
      </c>
      <c r="EI45">
        <f>EI44*IF(OR($C44=39,$G44=39),0,1)</f>
        <v/>
      </c>
      <c r="EJ45">
        <f>EJ44*IF(OR($C44=40,$G44=40),0,1)</f>
        <v/>
      </c>
      <c r="EK45">
        <f>EK44*IF(OR($C44=41,$G44=41),0,1)</f>
        <v/>
      </c>
      <c r="EL45">
        <f>EL44*IF(OR($C44=42,$G44=42),0,1)</f>
        <v/>
      </c>
      <c r="EM45">
        <f>EM44*IF(OR($C44=43,$G44=43),0,1)</f>
        <v/>
      </c>
      <c r="EN45">
        <f>EN44*IF(OR($C44=44,$G44=44),0,1)</f>
        <v/>
      </c>
      <c r="EO45">
        <f>EO44*IF(OR($C44=45,$G44=45),0,1)</f>
        <v/>
      </c>
      <c r="EP45">
        <f>EP44*IF(OR($C44=46,$G44=46),0,1)</f>
        <v/>
      </c>
      <c r="EQ45">
        <f>EQ44*IF(OR($C44=47,$G44=47),0,1)</f>
        <v/>
      </c>
      <c r="ER45">
        <f>ER44*IF(OR($C44=48,$G44=48),0,1)</f>
        <v/>
      </c>
      <c r="ES45">
        <f>ES44*IF(OR($C44=49,$G44=49),0,1)</f>
        <v/>
      </c>
      <c r="ET45">
        <f>ET44*IF(OR($C44=50,$G44=50),0,1)</f>
        <v/>
      </c>
      <c r="EU45">
        <f>EU44*IF(OR($C44=51,$G44=51),0,1)</f>
        <v/>
      </c>
      <c r="EV45">
        <f>EV44*IF(OR($C44=52,$G44=52),0,1)</f>
        <v/>
      </c>
      <c r="EW45">
        <f>EW44*IF(OR($C44=53,$G44=53),0,1)</f>
        <v/>
      </c>
      <c r="EX45">
        <f>EX44*IF(OR($C44=54,$G44=54),0,1)</f>
        <v/>
      </c>
      <c r="EY45">
        <f>EY44*IF(OR($C44=55,$G44=55),0,1)</f>
        <v/>
      </c>
      <c r="EZ45">
        <f>EZ44*IF(OR($C44=56,$G44=56),0,1)</f>
        <v/>
      </c>
      <c r="FA45">
        <f>FA44*IF(OR($C44=57,$G44=57),0,1)</f>
        <v/>
      </c>
      <c r="FB45">
        <f>FB44*IF(OR($C44=58,$G44=58),0,1)</f>
        <v/>
      </c>
      <c r="FC45">
        <f>FC44*IF(OR($C44=59,$G44=59),0,1)</f>
        <v/>
      </c>
      <c r="FD45">
        <f>FD44*IF(OR($C44=60,$G44=60),0,1)</f>
        <v/>
      </c>
      <c r="FE45">
        <f>FE44*IF(OR($C44=61,$G44=61),0,1)</f>
        <v/>
      </c>
      <c r="FF45">
        <f>FF44*IF(OR($C44=62,$G44=62),0,1)</f>
        <v/>
      </c>
      <c r="FG45">
        <f>FG44*IF(OR($C44=63,$G44=63),0,1)</f>
        <v/>
      </c>
      <c r="FH45">
        <f>FH44*IF(OR($C44=64,$G44=64),0,1)</f>
        <v/>
      </c>
      <c r="FI45">
        <f>FI44*IF(OR($C44=65,$G44=65),0,1)</f>
        <v/>
      </c>
      <c r="FJ45">
        <f>FJ44*IF(OR($C44=66,$G44=66),0,1)</f>
        <v/>
      </c>
      <c r="FK45">
        <f>FK44*IF(OR($C44=67,$G44=67),0,1)</f>
        <v/>
      </c>
      <c r="FL45">
        <f>FL44*IF(OR($C44=68,$G44=68),0,1)</f>
        <v/>
      </c>
      <c r="FM45">
        <f>FM44*IF(OR($C44=69,$G44=69),0,1)</f>
        <v/>
      </c>
      <c r="FN45">
        <f>FN44*IF(OR($C44=70,$G44=70),0,1)</f>
        <v/>
      </c>
      <c r="FO45">
        <f>FO44*IF(OR($C44=71,$G44=71),0,1)</f>
        <v/>
      </c>
      <c r="FP45">
        <f>FP44*IF(OR($C44=72,$G44=72),0,1)</f>
        <v/>
      </c>
      <c r="FQ45">
        <f>FQ44*IF(OR($C44=73,$G44=73),0,1)</f>
        <v/>
      </c>
      <c r="FR45">
        <f>FR44*IF(OR($C44=74,$G44=74),0,1)</f>
        <v/>
      </c>
      <c r="FS45">
        <f>FS44*IF(OR($C44=75,$G44=75),0,1)</f>
        <v/>
      </c>
      <c r="FT45">
        <f>FT44*IF(OR($C44=76,$G44=76),0,1)</f>
        <v/>
      </c>
      <c r="FU45">
        <f>FU44*IF(OR($C44=77,$G44=77),0,1)</f>
        <v/>
      </c>
      <c r="FV45">
        <f>FV44*IF(OR($C44=78,$G44=78),0,1)</f>
        <v/>
      </c>
      <c r="FW45">
        <f>FW44*IF(OR($C44=79,$G44=79),0,1)</f>
        <v/>
      </c>
      <c r="FX45">
        <f>FX44*IF(OR($C44=80,$G44=80),0,1)</f>
        <v/>
      </c>
      <c r="FY45">
        <f>FY44*IF(OR($C44=81,$G44=81),0,1)</f>
        <v/>
      </c>
      <c r="FZ45">
        <f>FZ44*IF(OR($C44=82,$G44=82),0,1)</f>
        <v/>
      </c>
      <c r="GA45">
        <f>GA44*IF(OR($C44=83,$G44=83),0,1)</f>
        <v/>
      </c>
      <c r="GB45">
        <f>GB44*IF(OR($C44=84,$G44=84),0,1)</f>
        <v/>
      </c>
      <c r="GC45">
        <f>GC44*IF(OR($C44=85,$G44=85),0,1)</f>
        <v/>
      </c>
      <c r="GD45">
        <f>GD44*IF(OR($C44=86,$G44=86),0,1)</f>
        <v/>
      </c>
      <c r="GE45">
        <f>GE44*IF(OR($C44=87,$G44=87),0,1)</f>
        <v/>
      </c>
      <c r="GF45">
        <f>GF44*IF(OR($C44=88,$G44=88),0,1)</f>
        <v/>
      </c>
      <c r="GG45">
        <f>GG44*IF(OR($C44=89,$G44=89),0,1)</f>
        <v/>
      </c>
      <c r="GH45">
        <f>GH44*IF(OR($C44=90,$G44=90),0,1)</f>
        <v/>
      </c>
      <c r="GI45">
        <f>GI44*IF(OR($C44=91,$G44=91),0,1)</f>
        <v/>
      </c>
      <c r="GJ45">
        <f>GJ44*IF(OR($C44=92,$G44=92),0,1)</f>
        <v/>
      </c>
      <c r="GK45">
        <f>GK44*IF(OR($C44=93,$G44=93),0,1)</f>
        <v/>
      </c>
      <c r="GL45">
        <f>GL44*IF(OR($C44=94,$G44=94),0,1)</f>
        <v/>
      </c>
      <c r="GM45">
        <f>GM44*IF(OR($C44=95,$G44=95),0,1)</f>
        <v/>
      </c>
      <c r="GN45">
        <f>GN44*IF(OR($C44=96,$G44=96),0,1)</f>
        <v/>
      </c>
      <c r="GO45">
        <f>GO44*IF(OR($C44=97,$G44=97),0,1)</f>
        <v/>
      </c>
      <c r="GP45">
        <f>GP44*IF(OR($C44=98,$G44=98),0,1)</f>
        <v/>
      </c>
      <c r="GQ45">
        <f>GQ44*IF(OR($C44=99,$G44=99),0,1)</f>
        <v/>
      </c>
      <c r="GR45">
        <f>GR44*IF(OR($C44=100,$G44=100),0,1)</f>
        <v/>
      </c>
      <c r="GS45">
        <f>GS44*IF(OR($C44=101,$G44=101),0,1)</f>
        <v/>
      </c>
      <c r="GT45">
        <f>GT44*IF(OR($C44=102,$G44=102),0,1)</f>
        <v/>
      </c>
      <c r="GU45">
        <f>GU44*IF(OR($C44=103,$G44=103),0,1)</f>
        <v/>
      </c>
      <c r="GV45">
        <f>GV44*IF(OR($C44=104,$G44=104),0,1)</f>
        <v/>
      </c>
      <c r="GW45">
        <f>GW44*IF(OR($C44=105,$G44=105),0,1)</f>
        <v/>
      </c>
      <c r="GX45">
        <f>GX44*IF(OR($C44=106,$G44=106),0,1)</f>
        <v/>
      </c>
      <c r="GY45">
        <f>GY44*IF(OR($C44=107,$G44=107),0,1)</f>
        <v/>
      </c>
      <c r="GZ45">
        <f>GZ44*IF(OR($C44=108,$G44=108),0,1)</f>
        <v/>
      </c>
      <c r="HA45">
        <f>HA44*IF(OR($C44=109,$G44=109),0,1)</f>
        <v/>
      </c>
      <c r="HB45">
        <f>HB44*IF(OR($C44=110,$G44=110),0,1)</f>
        <v/>
      </c>
      <c r="HC45">
        <f>HC44*IF(OR($C44=111,$G44=111),0,1)</f>
        <v/>
      </c>
      <c r="HD45">
        <f>HD44*IF(OR($C44=112,$G44=112),0,1)</f>
        <v/>
      </c>
      <c r="HE45">
        <f>HE44*IF(OR($C44=113,$G44=113),0,1)</f>
        <v/>
      </c>
      <c r="HF45">
        <f>HF44*IF(OR($C44=114,$G44=114),0,1)</f>
        <v/>
      </c>
      <c r="HG45">
        <f>HG44*IF(OR($C44=115,$G44=115),0,1)</f>
        <v/>
      </c>
      <c r="HH45">
        <f>HH44*IF(OR($C44=116,$G44=116),0,1)</f>
        <v/>
      </c>
      <c r="HI45">
        <f>HI44*IF(OR($C44=117,$G44=117),0,1)</f>
        <v/>
      </c>
      <c r="HJ45">
        <f>HJ44*IF(OR($C44=118,$G44=118),0,1)</f>
        <v/>
      </c>
      <c r="HK45">
        <f>HK44*IF(OR($C44=119,$G44=119),0,1)</f>
        <v/>
      </c>
      <c r="HL45">
        <f>HL44*IF(OR($C44=120,$G44=120),0,1)</f>
        <v/>
      </c>
      <c r="HN45">
        <f>IF('計算A'!D$106=1,CX45,1)</f>
        <v/>
      </c>
      <c r="HO45">
        <f>IF('計算A'!E$106=1,CY45,1)</f>
        <v/>
      </c>
      <c r="HP45">
        <f>IF('計算A'!F$106=1,CZ45,1)</f>
        <v/>
      </c>
      <c r="HQ45">
        <f>IF('計算A'!G$106=1,DA45,1)</f>
        <v/>
      </c>
      <c r="HR45">
        <f>IF('計算A'!H$106=1,DB45,1)</f>
        <v/>
      </c>
      <c r="HS45">
        <f>IF('計算A'!I$106=1,DC45,1)</f>
        <v/>
      </c>
      <c r="HT45">
        <f>IF('計算A'!J$106=1,DD45,1)</f>
        <v/>
      </c>
      <c r="HU45">
        <f>IF('計算A'!K$106=1,DE45,1)</f>
        <v/>
      </c>
      <c r="HV45">
        <f>IF('計算A'!L$106=1,DF45,1)</f>
        <v/>
      </c>
      <c r="HW45">
        <f>IF('計算A'!M$106=1,DG45,1)</f>
        <v/>
      </c>
      <c r="HX45">
        <f>IF('計算A'!N$106=1,DH45,1)</f>
        <v/>
      </c>
      <c r="HY45">
        <f>IF('計算A'!O$106=1,DI45,1)</f>
        <v/>
      </c>
      <c r="HZ45">
        <f>IF('計算A'!P$106=1,DJ45,1)</f>
        <v/>
      </c>
      <c r="IA45">
        <f>IF('計算A'!Q$106=1,DK45,1)</f>
        <v/>
      </c>
      <c r="IB45">
        <f>IF('計算A'!R$106=1,DL45,1)</f>
        <v/>
      </c>
      <c r="IC45">
        <f>IF('計算A'!S$106=1,DM45,1)</f>
        <v/>
      </c>
      <c r="ID45">
        <f>IF('計算A'!T$106=1,DN45,1)</f>
        <v/>
      </c>
      <c r="IE45">
        <f>IF('計算A'!U$106=1,DO45,1)</f>
        <v/>
      </c>
      <c r="IF45">
        <f>IF('計算A'!V$106=1,DP45,1)</f>
        <v/>
      </c>
      <c r="IG45">
        <f>IF('計算A'!W$106=1,DQ45,1)</f>
        <v/>
      </c>
      <c r="IH45">
        <f>IF('計算A'!X$106=1,DR45,1)</f>
        <v/>
      </c>
      <c r="II45">
        <f>IF('計算A'!Y$106=1,DS45,1)</f>
        <v/>
      </c>
      <c r="IJ45">
        <f>IF('計算A'!Z$106=1,DT45,1)</f>
        <v/>
      </c>
      <c r="IK45">
        <f>IF('計算A'!AA$106=1,DU45,1)</f>
        <v/>
      </c>
      <c r="IL45">
        <f>IF('計算A'!AB$106=1,DV45,1)</f>
        <v/>
      </c>
      <c r="IM45">
        <f>IF('計算A'!AC$106=1,DW45,1)</f>
        <v/>
      </c>
      <c r="IN45">
        <f>IF('計算A'!AD$106=1,DX45,1)</f>
        <v/>
      </c>
      <c r="IO45">
        <f>IF('計算A'!AE$106=1,DY45,1)</f>
        <v/>
      </c>
      <c r="IP45">
        <f>IF('計算A'!AF$106=1,DZ45,1)</f>
        <v/>
      </c>
      <c r="IQ45">
        <f>IF('計算A'!AG$106=1,EA45,1)</f>
        <v/>
      </c>
      <c r="IR45">
        <f>IF('計算A'!AH$106=1,EB45,1)</f>
        <v/>
      </c>
      <c r="IS45">
        <f>IF('計算A'!AI$106=1,EC45,1)</f>
        <v/>
      </c>
      <c r="IT45">
        <f>IF('計算A'!AJ$106=1,ED45,1)</f>
        <v/>
      </c>
      <c r="IU45">
        <f>IF('計算A'!AK$106=1,EE45,1)</f>
        <v/>
      </c>
      <c r="IV45">
        <f>IF('計算A'!AL$106=1,EF45,1)</f>
        <v/>
      </c>
      <c r="IW45">
        <f>IF('計算A'!AM$106=1,EG45,1)</f>
        <v/>
      </c>
      <c r="IX45">
        <f>IF('計算A'!AN$106=1,EH45,1)</f>
        <v/>
      </c>
      <c r="IY45">
        <f>IF('計算A'!AO$106=1,EI45,1)</f>
        <v/>
      </c>
      <c r="IZ45">
        <f>IF('計算A'!AP$106=1,EJ45,1)</f>
        <v/>
      </c>
      <c r="JA45">
        <f>IF('計算A'!AQ$106=1,EK45,1)</f>
        <v/>
      </c>
      <c r="JB45">
        <f>IF('計算A'!AR$106=1,EL45,1)</f>
        <v/>
      </c>
      <c r="JC45">
        <f>IF('計算A'!AS$106=1,EM45,1)</f>
        <v/>
      </c>
      <c r="JD45">
        <f>IF('計算A'!AT$106=1,EN45,1)</f>
        <v/>
      </c>
      <c r="JE45">
        <f>IF('計算A'!AU$106=1,EO45,1)</f>
        <v/>
      </c>
      <c r="JF45">
        <f>IF('計算A'!AV$106=1,EP45,1)</f>
        <v/>
      </c>
      <c r="JG45">
        <f>IF('計算A'!AW$106=1,EQ45,1)</f>
        <v/>
      </c>
      <c r="JH45">
        <f>IF('計算A'!AX$106=1,ER45,1)</f>
        <v/>
      </c>
      <c r="JI45">
        <f>IF('計算A'!AY$106=1,ES45,1)</f>
        <v/>
      </c>
      <c r="JJ45">
        <f>IF('計算A'!AZ$106=1,ET45,1)</f>
        <v/>
      </c>
      <c r="JK45">
        <f>IF('計算A'!BA$106=1,EU45,1)</f>
        <v/>
      </c>
      <c r="JL45">
        <f>IF('計算A'!BB$106=1,EV45,1)</f>
        <v/>
      </c>
      <c r="JM45">
        <f>IF('計算A'!BC$106=1,EW45,1)</f>
        <v/>
      </c>
      <c r="JN45">
        <f>IF('計算A'!BD$106=1,EX45,1)</f>
        <v/>
      </c>
      <c r="JO45">
        <f>IF('計算A'!BE$106=1,EY45,1)</f>
        <v/>
      </c>
      <c r="JP45">
        <f>IF('計算A'!BF$106=1,EZ45,1)</f>
        <v/>
      </c>
      <c r="JQ45">
        <f>IF('計算A'!BG$106=1,FA45,1)</f>
        <v/>
      </c>
      <c r="JR45">
        <f>IF('計算A'!BH$106=1,FB45,1)</f>
        <v/>
      </c>
      <c r="JS45">
        <f>IF('計算A'!BI$106=1,FC45,1)</f>
        <v/>
      </c>
      <c r="JT45">
        <f>IF('計算A'!BJ$106=1,FD45,1)</f>
        <v/>
      </c>
      <c r="JU45">
        <f>IF('計算A'!BK$106=1,FE45,1)</f>
        <v/>
      </c>
      <c r="JV45">
        <f>IF('計算A'!BL$106=1,FF45,1)</f>
        <v/>
      </c>
      <c r="JW45">
        <f>IF('計算A'!BM$106=1,FG45,1)</f>
        <v/>
      </c>
      <c r="JX45">
        <f>IF('計算A'!BN$106=1,FH45,1)</f>
        <v/>
      </c>
      <c r="JY45">
        <f>IF('計算A'!BO$106=1,FI45,1)</f>
        <v/>
      </c>
      <c r="JZ45">
        <f>IF('計算A'!BP$106=1,FJ45,1)</f>
        <v/>
      </c>
      <c r="KA45">
        <f>IF('計算A'!BQ$106=1,FK45,1)</f>
        <v/>
      </c>
      <c r="KB45">
        <f>IF('計算A'!BR$106=1,FL45,1)</f>
        <v/>
      </c>
      <c r="KC45">
        <f>IF('計算A'!BS$106=1,FM45,1)</f>
        <v/>
      </c>
      <c r="KD45">
        <f>IF('計算A'!BT$106=1,FN45,1)</f>
        <v/>
      </c>
      <c r="KE45">
        <f>IF('計算A'!BU$106=1,FO45,1)</f>
        <v/>
      </c>
      <c r="KF45">
        <f>IF('計算A'!BV$106=1,FP45,1)</f>
        <v/>
      </c>
      <c r="KG45">
        <f>IF('計算A'!BW$106=1,FQ45,1)</f>
        <v/>
      </c>
      <c r="KH45">
        <f>IF('計算A'!BX$106=1,FR45,1)</f>
        <v/>
      </c>
      <c r="KI45">
        <f>IF('計算A'!BY$106=1,FS45,1)</f>
        <v/>
      </c>
      <c r="KJ45">
        <f>IF('計算A'!BZ$106=1,FT45,1)</f>
        <v/>
      </c>
      <c r="KK45">
        <f>IF('計算A'!CA$106=1,FU45,1)</f>
        <v/>
      </c>
      <c r="KL45">
        <f>IF('計算A'!CB$106=1,FV45,1)</f>
        <v/>
      </c>
      <c r="KM45">
        <f>IF('計算A'!CC$106=1,FW45,1)</f>
        <v/>
      </c>
      <c r="KN45">
        <f>IF('計算A'!CD$106=1,FX45,1)</f>
        <v/>
      </c>
      <c r="KO45">
        <f>IF('計算A'!CE$106=1,FY45,1)</f>
        <v/>
      </c>
      <c r="KP45">
        <f>IF('計算A'!CF$106=1,FZ45,1)</f>
        <v/>
      </c>
      <c r="KQ45">
        <f>IF('計算A'!CG$106=1,GA45,1)</f>
        <v/>
      </c>
      <c r="KR45">
        <f>IF('計算A'!CH$106=1,GB45,1)</f>
        <v/>
      </c>
      <c r="KS45">
        <f>IF('計算A'!CI$106=1,GC45,1)</f>
        <v/>
      </c>
      <c r="KT45">
        <f>IF('計算A'!CJ$106=1,GD45,1)</f>
        <v/>
      </c>
      <c r="KU45">
        <f>IF('計算A'!CK$106=1,GE45,1)</f>
        <v/>
      </c>
      <c r="KV45">
        <f>IF('計算A'!CL$106=1,GF45,1)</f>
        <v/>
      </c>
      <c r="KW45">
        <f>IF('計算A'!CM$106=1,GG45,1)</f>
        <v/>
      </c>
      <c r="KX45">
        <f>IF('計算A'!CN$106=1,GH45,1)</f>
        <v/>
      </c>
      <c r="KY45">
        <f>IF('計算A'!CO$106=1,GI45,1)</f>
        <v/>
      </c>
      <c r="KZ45">
        <f>IF('計算A'!CP$106=1,GJ45,1)</f>
        <v/>
      </c>
      <c r="LA45">
        <f>IF('計算A'!CQ$106=1,GK45,1)</f>
        <v/>
      </c>
      <c r="LB45">
        <f>IF('計算A'!CR$106=1,GL45,1)</f>
        <v/>
      </c>
      <c r="LC45">
        <f>IF('計算A'!CS$106=1,GM45,1)</f>
        <v/>
      </c>
      <c r="LD45">
        <f>IF('計算A'!CT$106=1,GN45,1)</f>
        <v/>
      </c>
      <c r="LE45">
        <f>IF('計算A'!CU$106=1,GO45,1)</f>
        <v/>
      </c>
      <c r="LF45">
        <f>IF('計算A'!CV$106=1,GP45,1)</f>
        <v/>
      </c>
      <c r="LG45">
        <f>IF('計算A'!CW$106=1,GQ45,1)</f>
        <v/>
      </c>
      <c r="LH45">
        <f>IF('計算A'!CX$106=1,GR45,1)</f>
        <v/>
      </c>
      <c r="LI45">
        <f>IF('計算A'!CY$106=1,GS45,1)</f>
        <v/>
      </c>
      <c r="LJ45">
        <f>IF('計算A'!CZ$106=1,GT45,1)</f>
        <v/>
      </c>
      <c r="LK45">
        <f>IF('計算A'!DA$106=1,GU45,1)</f>
        <v/>
      </c>
      <c r="LL45">
        <f>IF('計算A'!DB$106=1,GV45,1)</f>
        <v/>
      </c>
      <c r="LM45">
        <f>IF('計算A'!DC$106=1,GW45,1)</f>
        <v/>
      </c>
      <c r="LN45">
        <f>IF('計算A'!DD$106=1,GX45,1)</f>
        <v/>
      </c>
      <c r="LO45">
        <f>IF('計算A'!DE$106=1,GY45,1)</f>
        <v/>
      </c>
      <c r="LP45">
        <f>IF('計算A'!DF$106=1,GZ45,1)</f>
        <v/>
      </c>
      <c r="LQ45">
        <f>IF('計算A'!DG$106=1,HA45,1)</f>
        <v/>
      </c>
      <c r="LR45">
        <f>IF('計算A'!DH$106=1,HB45,1)</f>
        <v/>
      </c>
      <c r="LS45">
        <f>IF('計算A'!DI$106=1,HC45,1)</f>
        <v/>
      </c>
      <c r="LT45">
        <f>IF('計算A'!DJ$106=1,HD45,1)</f>
        <v/>
      </c>
      <c r="LU45">
        <f>IF('計算A'!DK$106=1,HE45,1)</f>
        <v/>
      </c>
      <c r="LV45">
        <f>IF('計算A'!DL$106=1,HF45,1)</f>
        <v/>
      </c>
      <c r="LW45">
        <f>IF('計算A'!DM$106=1,HG45,1)</f>
        <v/>
      </c>
      <c r="LX45">
        <f>IF('計算A'!DN$106=1,HH45,1)</f>
        <v/>
      </c>
      <c r="LY45">
        <f>IF('計算A'!DO$106=1,HI45,1)</f>
        <v/>
      </c>
      <c r="LZ45">
        <f>IF('計算A'!DP$106=1,HJ45,1)</f>
        <v/>
      </c>
      <c r="MA45">
        <f>IF('計算A'!DQ$106=1,HK45,1)</f>
        <v/>
      </c>
      <c r="MB45">
        <f>IF('計算A'!DR$106=1,HL45,1)</f>
        <v/>
      </c>
      <c r="MC45" t="n">
        <v>1</v>
      </c>
      <c r="ME45">
        <f>IF($B45=0,1000000,IF(INDEX('計算A'!$D$60:$DS$104,$B45,1)*CW45=1,IF(AND($E45=2,HN45=0),1000000,INDEX('計算A'!D$110:D$114,$F45+1)+IF(AND($E45=1,HN45=0),1000,0)),1000000))</f>
        <v/>
      </c>
      <c r="MF45">
        <f>IF($B45=0,1000000,IF(INDEX('計算A'!$D$60:$DS$104,$B45,2)*CX45=1,IF(AND($E45=2,HO45=0),1000000,INDEX('計算A'!E$110:E$114,$F45+1)+IF(AND($E45=1,HO45=0),1000,0)),1000000))</f>
        <v/>
      </c>
      <c r="MG45">
        <f>IF($B45=0,1000000,IF(INDEX('計算A'!$D$60:$DS$104,$B45,3)*CY45=1,IF(AND($E45=2,HP45=0),1000000,INDEX('計算A'!F$110:F$114,$F45+1)+IF(AND($E45=1,HP45=0),1000,0)),1000000))</f>
        <v/>
      </c>
      <c r="MH45">
        <f>IF($B45=0,1000000,IF(INDEX('計算A'!$D$60:$DS$104,$B45,4)*CZ45=1,IF(AND($E45=2,HQ45=0),1000000,INDEX('計算A'!G$110:G$114,$F45+1)+IF(AND($E45=1,HQ45=0),1000,0)),1000000))</f>
        <v/>
      </c>
      <c r="MI45">
        <f>IF($B45=0,1000000,IF(INDEX('計算A'!$D$60:$DS$104,$B45,5)*DA45=1,IF(AND($E45=2,HR45=0),1000000,INDEX('計算A'!H$110:H$114,$F45+1)+IF(AND($E45=1,HR45=0),1000,0)),1000000))</f>
        <v/>
      </c>
      <c r="MJ45">
        <f>IF($B45=0,1000000,IF(INDEX('計算A'!$D$60:$DS$104,$B45,6)*DB45=1,IF(AND($E45=2,HS45=0),1000000,INDEX('計算A'!I$110:I$114,$F45+1)+IF(AND($E45=1,HS45=0),1000,0)),1000000))</f>
        <v/>
      </c>
      <c r="MK45">
        <f>IF($B45=0,1000000,IF(INDEX('計算A'!$D$60:$DS$104,$B45,7)*DC45=1,IF(AND($E45=2,HT45=0),1000000,INDEX('計算A'!J$110:J$114,$F45+1)+IF(AND($E45=1,HT45=0),1000,0)),1000000))</f>
        <v/>
      </c>
      <c r="ML45">
        <f>IF($B45=0,1000000,IF(INDEX('計算A'!$D$60:$DS$104,$B45,8)*DD45=1,IF(AND($E45=2,HU45=0),1000000,INDEX('計算A'!K$110:K$114,$F45+1)+IF(AND($E45=1,HU45=0),1000,0)),1000000))</f>
        <v/>
      </c>
      <c r="MM45">
        <f>IF($B45=0,1000000,IF(INDEX('計算A'!$D$60:$DS$104,$B45,9)*DE45=1,IF(AND($E45=2,HV45=0),1000000,INDEX('計算A'!L$110:L$114,$F45+1)+IF(AND($E45=1,HV45=0),1000,0)),1000000))</f>
        <v/>
      </c>
      <c r="MN45">
        <f>IF($B45=0,1000000,IF(INDEX('計算A'!$D$60:$DS$104,$B45,10)*DF45=1,IF(AND($E45=2,HW45=0),1000000,INDEX('計算A'!M$110:M$114,$F45+1)+IF(AND($E45=1,HW45=0),1000,0)),1000000))</f>
        <v/>
      </c>
      <c r="MO45">
        <f>IF($B45=0,1000000,IF(INDEX('計算A'!$D$60:$DS$104,$B45,11)*DG45=1,IF(AND($E45=2,HX45=0),1000000,INDEX('計算A'!N$110:N$114,$F45+1)+IF(AND($E45=1,HX45=0),1000,0)),1000000))</f>
        <v/>
      </c>
      <c r="MP45">
        <f>IF($B45=0,1000000,IF(INDEX('計算A'!$D$60:$DS$104,$B45,12)*DH45=1,IF(AND($E45=2,HY45=0),1000000,INDEX('計算A'!O$110:O$114,$F45+1)+IF(AND($E45=1,HY45=0),1000,0)),1000000))</f>
        <v/>
      </c>
      <c r="MQ45">
        <f>IF($B45=0,1000000,IF(INDEX('計算A'!$D$60:$DS$104,$B45,13)*DI45=1,IF(AND($E45=2,HZ45=0),1000000,INDEX('計算A'!P$110:P$114,$F45+1)+IF(AND($E45=1,HZ45=0),1000,0)),1000000))</f>
        <v/>
      </c>
      <c r="MR45">
        <f>IF($B45=0,1000000,IF(INDEX('計算A'!$D$60:$DS$104,$B45,14)*DJ45=1,IF(AND($E45=2,IA45=0),1000000,INDEX('計算A'!Q$110:Q$114,$F45+1)+IF(AND($E45=1,IA45=0),1000,0)),1000000))</f>
        <v/>
      </c>
      <c r="MS45">
        <f>IF($B45=0,1000000,IF(INDEX('計算A'!$D$60:$DS$104,$B45,15)*DK45=1,IF(AND($E45=2,IB45=0),1000000,INDEX('計算A'!R$110:R$114,$F45+1)+IF(AND($E45=1,IB45=0),1000,0)),1000000))</f>
        <v/>
      </c>
      <c r="MT45">
        <f>IF($B45=0,1000000,IF(INDEX('計算A'!$D$60:$DS$104,$B45,16)*DL45=1,IF(AND($E45=2,IC45=0),1000000,INDEX('計算A'!S$110:S$114,$F45+1)+IF(AND($E45=1,IC45=0),1000,0)),1000000))</f>
        <v/>
      </c>
      <c r="MU45">
        <f>IF($B45=0,1000000,IF(INDEX('計算A'!$D$60:$DS$104,$B45,17)*DM45=1,IF(AND($E45=2,ID45=0),1000000,INDEX('計算A'!T$110:T$114,$F45+1)+IF(AND($E45=1,ID45=0),1000,0)),1000000))</f>
        <v/>
      </c>
      <c r="MV45">
        <f>IF($B45=0,1000000,IF(INDEX('計算A'!$D$60:$DS$104,$B45,18)*DN45=1,IF(AND($E45=2,IE45=0),1000000,INDEX('計算A'!U$110:U$114,$F45+1)+IF(AND($E45=1,IE45=0),1000,0)),1000000))</f>
        <v/>
      </c>
      <c r="MW45">
        <f>IF($B45=0,1000000,IF(INDEX('計算A'!$D$60:$DS$104,$B45,19)*DO45=1,IF(AND($E45=2,IF45=0),1000000,INDEX('計算A'!V$110:V$114,$F45+1)+IF(AND($E45=1,IF45=0),1000,0)),1000000))</f>
        <v/>
      </c>
      <c r="MX45">
        <f>IF($B45=0,1000000,IF(INDEX('計算A'!$D$60:$DS$104,$B45,20)*DP45=1,IF(AND($E45=2,IG45=0),1000000,INDEX('計算A'!W$110:W$114,$F45+1)+IF(AND($E45=1,IG45=0),1000,0)),1000000))</f>
        <v/>
      </c>
      <c r="MY45">
        <f>IF($B45=0,1000000,IF(INDEX('計算A'!$D$60:$DS$104,$B45,21)*DQ45=1,IF(AND($E45=2,IH45=0),1000000,INDEX('計算A'!X$110:X$114,$F45+1)+IF(AND($E45=1,IH45=0),1000,0)),1000000))</f>
        <v/>
      </c>
      <c r="MZ45">
        <f>IF($B45=0,1000000,IF(INDEX('計算A'!$D$60:$DS$104,$B45,22)*DR45=1,IF(AND($E45=2,II45=0),1000000,INDEX('計算A'!Y$110:Y$114,$F45+1)+IF(AND($E45=1,II45=0),1000,0)),1000000))</f>
        <v/>
      </c>
      <c r="NA45">
        <f>IF($B45=0,1000000,IF(INDEX('計算A'!$D$60:$DS$104,$B45,23)*DS45=1,IF(AND($E45=2,IJ45=0),1000000,INDEX('計算A'!Z$110:Z$114,$F45+1)+IF(AND($E45=1,IJ45=0),1000,0)),1000000))</f>
        <v/>
      </c>
      <c r="NB45">
        <f>IF($B45=0,1000000,IF(INDEX('計算A'!$D$60:$DS$104,$B45,24)*DT45=1,IF(AND($E45=2,IK45=0),1000000,INDEX('計算A'!AA$110:AA$114,$F45+1)+IF(AND($E45=1,IK45=0),1000,0)),1000000))</f>
        <v/>
      </c>
      <c r="NC45">
        <f>IF($B45=0,1000000,IF(INDEX('計算A'!$D$60:$DS$104,$B45,25)*DU45=1,IF(AND($E45=2,IL45=0),1000000,INDEX('計算A'!AB$110:AB$114,$F45+1)+IF(AND($E45=1,IL45=0),1000,0)),1000000))</f>
        <v/>
      </c>
      <c r="ND45">
        <f>IF($B45=0,1000000,IF(INDEX('計算A'!$D$60:$DS$104,$B45,26)*DV45=1,IF(AND($E45=2,IM45=0),1000000,INDEX('計算A'!AC$110:AC$114,$F45+1)+IF(AND($E45=1,IM45=0),1000,0)),1000000))</f>
        <v/>
      </c>
      <c r="NE45">
        <f>IF($B45=0,1000000,IF(INDEX('計算A'!$D$60:$DS$104,$B45,27)*DW45=1,IF(AND($E45=2,IN45=0),1000000,INDEX('計算A'!AD$110:AD$114,$F45+1)+IF(AND($E45=1,IN45=0),1000,0)),1000000))</f>
        <v/>
      </c>
      <c r="NF45">
        <f>IF($B45=0,1000000,IF(INDEX('計算A'!$D$60:$DS$104,$B45,28)*DX45=1,IF(AND($E45=2,IO45=0),1000000,INDEX('計算A'!AE$110:AE$114,$F45+1)+IF(AND($E45=1,IO45=0),1000,0)),1000000))</f>
        <v/>
      </c>
      <c r="NG45">
        <f>IF($B45=0,1000000,IF(INDEX('計算A'!$D$60:$DS$104,$B45,29)*DY45=1,IF(AND($E45=2,IP45=0),1000000,INDEX('計算A'!AF$110:AF$114,$F45+1)+IF(AND($E45=1,IP45=0),1000,0)),1000000))</f>
        <v/>
      </c>
      <c r="NH45">
        <f>IF($B45=0,1000000,IF(INDEX('計算A'!$D$60:$DS$104,$B45,30)*DZ45=1,IF(AND($E45=2,IQ45=0),1000000,INDEX('計算A'!AG$110:AG$114,$F45+1)+IF(AND($E45=1,IQ45=0),1000,0)),1000000))</f>
        <v/>
      </c>
      <c r="NI45">
        <f>IF($B45=0,1000000,IF(INDEX('計算A'!$D$60:$DS$104,$B45,31)*EA45=1,IF(AND($E45=2,IR45=0),1000000,INDEX('計算A'!AH$110:AH$114,$F45+1)+IF(AND($E45=1,IR45=0),1000,0)),1000000))</f>
        <v/>
      </c>
      <c r="NJ45">
        <f>IF($B45=0,1000000,IF(INDEX('計算A'!$D$60:$DS$104,$B45,32)*EB45=1,IF(AND($E45=2,IS45=0),1000000,INDEX('計算A'!AI$110:AI$114,$F45+1)+IF(AND($E45=1,IS45=0),1000,0)),1000000))</f>
        <v/>
      </c>
      <c r="NK45">
        <f>IF($B45=0,1000000,IF(INDEX('計算A'!$D$60:$DS$104,$B45,33)*EC45=1,IF(AND($E45=2,IT45=0),1000000,INDEX('計算A'!AJ$110:AJ$114,$F45+1)+IF(AND($E45=1,IT45=0),1000,0)),1000000))</f>
        <v/>
      </c>
      <c r="NL45">
        <f>IF($B45=0,1000000,IF(INDEX('計算A'!$D$60:$DS$104,$B45,34)*ED45=1,IF(AND($E45=2,IU45=0),1000000,INDEX('計算A'!AK$110:AK$114,$F45+1)+IF(AND($E45=1,IU45=0),1000,0)),1000000))</f>
        <v/>
      </c>
      <c r="NM45">
        <f>IF($B45=0,1000000,IF(INDEX('計算A'!$D$60:$DS$104,$B45,35)*EE45=1,IF(AND($E45=2,IV45=0),1000000,INDEX('計算A'!AL$110:AL$114,$F45+1)+IF(AND($E45=1,IV45=0),1000,0)),1000000))</f>
        <v/>
      </c>
      <c r="NN45">
        <f>IF($B45=0,1000000,IF(INDEX('計算A'!$D$60:$DS$104,$B45,36)*EF45=1,IF(AND($E45=2,IW45=0),1000000,INDEX('計算A'!AM$110:AM$114,$F45+1)+IF(AND($E45=1,IW45=0),1000,0)),1000000))</f>
        <v/>
      </c>
      <c r="NO45">
        <f>IF($B45=0,1000000,IF(INDEX('計算A'!$D$60:$DS$104,$B45,37)*EG45=1,IF(AND($E45=2,IX45=0),1000000,INDEX('計算A'!AN$110:AN$114,$F45+1)+IF(AND($E45=1,IX45=0),1000,0)),1000000))</f>
        <v/>
      </c>
      <c r="NP45">
        <f>IF($B45=0,1000000,IF(INDEX('計算A'!$D$60:$DS$104,$B45,38)*EH45=1,IF(AND($E45=2,IY45=0),1000000,INDEX('計算A'!AO$110:AO$114,$F45+1)+IF(AND($E45=1,IY45=0),1000,0)),1000000))</f>
        <v/>
      </c>
      <c r="NQ45">
        <f>IF($B45=0,1000000,IF(INDEX('計算A'!$D$60:$DS$104,$B45,39)*EI45=1,IF(AND($E45=2,IZ45=0),1000000,INDEX('計算A'!AP$110:AP$114,$F45+1)+IF(AND($E45=1,IZ45=0),1000,0)),1000000))</f>
        <v/>
      </c>
      <c r="NR45">
        <f>IF($B45=0,1000000,IF(INDEX('計算A'!$D$60:$DS$104,$B45,40)*EJ45=1,IF(AND($E45=2,JA45=0),1000000,INDEX('計算A'!AQ$110:AQ$114,$F45+1)+IF(AND($E45=1,JA45=0),1000,0)),1000000))</f>
        <v/>
      </c>
      <c r="NS45">
        <f>IF($B45=0,1000000,IF(INDEX('計算A'!$D$60:$DS$104,$B45,41)*EK45=1,IF(AND($E45=2,JB45=0),1000000,INDEX('計算A'!AR$110:AR$114,$F45+1)+IF(AND($E45=1,JB45=0),1000,0)),1000000))</f>
        <v/>
      </c>
      <c r="NT45">
        <f>IF($B45=0,1000000,IF(INDEX('計算A'!$D$60:$DS$104,$B45,42)*EL45=1,IF(AND($E45=2,JC45=0),1000000,INDEX('計算A'!AS$110:AS$114,$F45+1)+IF(AND($E45=1,JC45=0),1000,0)),1000000))</f>
        <v/>
      </c>
      <c r="NU45">
        <f>IF($B45=0,1000000,IF(INDEX('計算A'!$D$60:$DS$104,$B45,43)*EM45=1,IF(AND($E45=2,JD45=0),1000000,INDEX('計算A'!AT$110:AT$114,$F45+1)+IF(AND($E45=1,JD45=0),1000,0)),1000000))</f>
        <v/>
      </c>
      <c r="NV45">
        <f>IF($B45=0,1000000,IF(INDEX('計算A'!$D$60:$DS$104,$B45,44)*EN45=1,IF(AND($E45=2,JE45=0),1000000,INDEX('計算A'!AU$110:AU$114,$F45+1)+IF(AND($E45=1,JE45=0),1000,0)),1000000))</f>
        <v/>
      </c>
      <c r="NW45">
        <f>IF($B45=0,1000000,IF(INDEX('計算A'!$D$60:$DS$104,$B45,45)*EO45=1,IF(AND($E45=2,JF45=0),1000000,INDEX('計算A'!AV$110:AV$114,$F45+1)+IF(AND($E45=1,JF45=0),1000,0)),1000000))</f>
        <v/>
      </c>
      <c r="NX45">
        <f>IF($B45=0,1000000,IF(INDEX('計算A'!$D$60:$DS$104,$B45,46)*EP45=1,IF(AND($E45=2,JG45=0),1000000,INDEX('計算A'!AW$110:AW$114,$F45+1)+IF(AND($E45=1,JG45=0),1000,0)),1000000))</f>
        <v/>
      </c>
      <c r="NY45">
        <f>IF($B45=0,1000000,IF(INDEX('計算A'!$D$60:$DS$104,$B45,47)*EQ45=1,IF(AND($E45=2,JH45=0),1000000,INDEX('計算A'!AX$110:AX$114,$F45+1)+IF(AND($E45=1,JH45=0),1000,0)),1000000))</f>
        <v/>
      </c>
      <c r="NZ45">
        <f>IF($B45=0,1000000,IF(INDEX('計算A'!$D$60:$DS$104,$B45,48)*ER45=1,IF(AND($E45=2,JI45=0),1000000,INDEX('計算A'!AY$110:AY$114,$F45+1)+IF(AND($E45=1,JI45=0),1000,0)),1000000))</f>
        <v/>
      </c>
      <c r="OA45">
        <f>IF($B45=0,1000000,IF(INDEX('計算A'!$D$60:$DS$104,$B45,49)*ES45=1,IF(AND($E45=2,JJ45=0),1000000,INDEX('計算A'!AZ$110:AZ$114,$F45+1)+IF(AND($E45=1,JJ45=0),1000,0)),1000000))</f>
        <v/>
      </c>
      <c r="OB45">
        <f>IF($B45=0,1000000,IF(INDEX('計算A'!$D$60:$DS$104,$B45,50)*ET45=1,IF(AND($E45=2,JK45=0),1000000,INDEX('計算A'!BA$110:BA$114,$F45+1)+IF(AND($E45=1,JK45=0),1000,0)),1000000))</f>
        <v/>
      </c>
      <c r="OC45">
        <f>IF($B45=0,1000000,IF(INDEX('計算A'!$D$60:$DS$104,$B45,51)*EU45=1,IF(AND($E45=2,JL45=0),1000000,INDEX('計算A'!BB$110:BB$114,$F45+1)+IF(AND($E45=1,JL45=0),1000,0)),1000000))</f>
        <v/>
      </c>
      <c r="OD45">
        <f>IF($B45=0,1000000,IF(INDEX('計算A'!$D$60:$DS$104,$B45,52)*EV45=1,IF(AND($E45=2,JM45=0),1000000,INDEX('計算A'!BC$110:BC$114,$F45+1)+IF(AND($E45=1,JM45=0),1000,0)),1000000))</f>
        <v/>
      </c>
      <c r="OE45">
        <f>IF($B45=0,1000000,IF(INDEX('計算A'!$D$60:$DS$104,$B45,53)*EW45=1,IF(AND($E45=2,JN45=0),1000000,INDEX('計算A'!BD$110:BD$114,$F45+1)+IF(AND($E45=1,JN45=0),1000,0)),1000000))</f>
        <v/>
      </c>
      <c r="OF45">
        <f>IF($B45=0,1000000,IF(INDEX('計算A'!$D$60:$DS$104,$B45,54)*EX45=1,IF(AND($E45=2,JO45=0),1000000,INDEX('計算A'!BE$110:BE$114,$F45+1)+IF(AND($E45=1,JO45=0),1000,0)),1000000))</f>
        <v/>
      </c>
      <c r="OG45">
        <f>IF($B45=0,1000000,IF(INDEX('計算A'!$D$60:$DS$104,$B45,55)*EY45=1,IF(AND($E45=2,JP45=0),1000000,INDEX('計算A'!BF$110:BF$114,$F45+1)+IF(AND($E45=1,JP45=0),1000,0)),1000000))</f>
        <v/>
      </c>
      <c r="OH45">
        <f>IF($B45=0,1000000,IF(INDEX('計算A'!$D$60:$DS$104,$B45,56)*EZ45=1,IF(AND($E45=2,JQ45=0),1000000,INDEX('計算A'!BG$110:BG$114,$F45+1)+IF(AND($E45=1,JQ45=0),1000,0)),1000000))</f>
        <v/>
      </c>
      <c r="OI45">
        <f>IF($B45=0,1000000,IF(INDEX('計算A'!$D$60:$DS$104,$B45,57)*FA45=1,IF(AND($E45=2,JR45=0),1000000,INDEX('計算A'!BH$110:BH$114,$F45+1)+IF(AND($E45=1,JR45=0),1000,0)),1000000))</f>
        <v/>
      </c>
      <c r="OJ45">
        <f>IF($B45=0,1000000,IF(INDEX('計算A'!$D$60:$DS$104,$B45,58)*FB45=1,IF(AND($E45=2,JS45=0),1000000,INDEX('計算A'!BI$110:BI$114,$F45+1)+IF(AND($E45=1,JS45=0),1000,0)),1000000))</f>
        <v/>
      </c>
      <c r="OK45">
        <f>IF($B45=0,1000000,IF(INDEX('計算A'!$D$60:$DS$104,$B45,59)*FC45=1,IF(AND($E45=2,JT45=0),1000000,INDEX('計算A'!BJ$110:BJ$114,$F45+1)+IF(AND($E45=1,JT45=0),1000,0)),1000000))</f>
        <v/>
      </c>
      <c r="OL45">
        <f>IF($B45=0,1000000,IF(INDEX('計算A'!$D$60:$DS$104,$B45,60)*FD45=1,IF(AND($E45=2,JU45=0),1000000,INDEX('計算A'!BK$110:BK$114,$F45+1)+IF(AND($E45=1,JU45=0),1000,0)),1000000))</f>
        <v/>
      </c>
      <c r="OM45">
        <f>IF($B45=0,1000000,IF(INDEX('計算A'!$D$60:$DS$104,$B45,61)*FE45=1,IF(AND($E45=2,JV45=0),1000000,INDEX('計算A'!BL$110:BL$114,$F45+1)+IF(AND($E45=1,JV45=0),1000,0)),1000000))</f>
        <v/>
      </c>
      <c r="ON45">
        <f>IF($B45=0,1000000,IF(INDEX('計算A'!$D$60:$DS$104,$B45,62)*FF45=1,IF(AND($E45=2,JW45=0),1000000,INDEX('計算A'!BM$110:BM$114,$F45+1)+IF(AND($E45=1,JW45=0),1000,0)),1000000))</f>
        <v/>
      </c>
      <c r="OO45">
        <f>IF($B45=0,1000000,IF(INDEX('計算A'!$D$60:$DS$104,$B45,63)*FG45=1,IF(AND($E45=2,JX45=0),1000000,INDEX('計算A'!BN$110:BN$114,$F45+1)+IF(AND($E45=1,JX45=0),1000,0)),1000000))</f>
        <v/>
      </c>
      <c r="OP45">
        <f>IF($B45=0,1000000,IF(INDEX('計算A'!$D$60:$DS$104,$B45,64)*FH45=1,IF(AND($E45=2,JY45=0),1000000,INDEX('計算A'!BO$110:BO$114,$F45+1)+IF(AND($E45=1,JY45=0),1000,0)),1000000))</f>
        <v/>
      </c>
      <c r="OQ45">
        <f>IF($B45=0,1000000,IF(INDEX('計算A'!$D$60:$DS$104,$B45,65)*FI45=1,IF(AND($E45=2,JZ45=0),1000000,INDEX('計算A'!BP$110:BP$114,$F45+1)+IF(AND($E45=1,JZ45=0),1000,0)),1000000))</f>
        <v/>
      </c>
      <c r="OR45">
        <f>IF($B45=0,1000000,IF(INDEX('計算A'!$D$60:$DS$104,$B45,66)*FJ45=1,IF(AND($E45=2,KA45=0),1000000,INDEX('計算A'!BQ$110:BQ$114,$F45+1)+IF(AND($E45=1,KA45=0),1000,0)),1000000))</f>
        <v/>
      </c>
      <c r="OS45">
        <f>IF($B45=0,1000000,IF(INDEX('計算A'!$D$60:$DS$104,$B45,67)*FK45=1,IF(AND($E45=2,KB45=0),1000000,INDEX('計算A'!BR$110:BR$114,$F45+1)+IF(AND($E45=1,KB45=0),1000,0)),1000000))</f>
        <v/>
      </c>
      <c r="OT45">
        <f>IF($B45=0,1000000,IF(INDEX('計算A'!$D$60:$DS$104,$B45,68)*FL45=1,IF(AND($E45=2,KC45=0),1000000,INDEX('計算A'!BS$110:BS$114,$F45+1)+IF(AND($E45=1,KC45=0),1000,0)),1000000))</f>
        <v/>
      </c>
      <c r="OU45">
        <f>IF($B45=0,1000000,IF(INDEX('計算A'!$D$60:$DS$104,$B45,69)*FM45=1,IF(AND($E45=2,KD45=0),1000000,INDEX('計算A'!BT$110:BT$114,$F45+1)+IF(AND($E45=1,KD45=0),1000,0)),1000000))</f>
        <v/>
      </c>
      <c r="OV45">
        <f>IF($B45=0,1000000,IF(INDEX('計算A'!$D$60:$DS$104,$B45,70)*FN45=1,IF(AND($E45=2,KE45=0),1000000,INDEX('計算A'!BU$110:BU$114,$F45+1)+IF(AND($E45=1,KE45=0),1000,0)),1000000))</f>
        <v/>
      </c>
      <c r="OW45">
        <f>IF($B45=0,1000000,IF(INDEX('計算A'!$D$60:$DS$104,$B45,71)*FO45=1,IF(AND($E45=2,KF45=0),1000000,INDEX('計算A'!BV$110:BV$114,$F45+1)+IF(AND($E45=1,KF45=0),1000,0)),1000000))</f>
        <v/>
      </c>
      <c r="OX45">
        <f>IF($B45=0,1000000,IF(INDEX('計算A'!$D$60:$DS$104,$B45,72)*FP45=1,IF(AND($E45=2,KG45=0),1000000,INDEX('計算A'!BW$110:BW$114,$F45+1)+IF(AND($E45=1,KG45=0),1000,0)),1000000))</f>
        <v/>
      </c>
      <c r="OY45">
        <f>IF($B45=0,1000000,IF(INDEX('計算A'!$D$60:$DS$104,$B45,73)*FQ45=1,IF(AND($E45=2,KH45=0),1000000,INDEX('計算A'!BX$110:BX$114,$F45+1)+IF(AND($E45=1,KH45=0),1000,0)),1000000))</f>
        <v/>
      </c>
      <c r="OZ45">
        <f>IF($B45=0,1000000,IF(INDEX('計算A'!$D$60:$DS$104,$B45,74)*FR45=1,IF(AND($E45=2,KI45=0),1000000,INDEX('計算A'!BY$110:BY$114,$F45+1)+IF(AND($E45=1,KI45=0),1000,0)),1000000))</f>
        <v/>
      </c>
      <c r="PA45">
        <f>IF($B45=0,1000000,IF(INDEX('計算A'!$D$60:$DS$104,$B45,75)*FS45=1,IF(AND($E45=2,KJ45=0),1000000,INDEX('計算A'!BZ$110:BZ$114,$F45+1)+IF(AND($E45=1,KJ45=0),1000,0)),1000000))</f>
        <v/>
      </c>
      <c r="PB45">
        <f>IF($B45=0,1000000,IF(INDEX('計算A'!$D$60:$DS$104,$B45,76)*FT45=1,IF(AND($E45=2,KK45=0),1000000,INDEX('計算A'!CA$110:CA$114,$F45+1)+IF(AND($E45=1,KK45=0),1000,0)),1000000))</f>
        <v/>
      </c>
      <c r="PC45">
        <f>IF($B45=0,1000000,IF(INDEX('計算A'!$D$60:$DS$104,$B45,77)*FU45=1,IF(AND($E45=2,KL45=0),1000000,INDEX('計算A'!CB$110:CB$114,$F45+1)+IF(AND($E45=1,KL45=0),1000,0)),1000000))</f>
        <v/>
      </c>
      <c r="PD45">
        <f>IF($B45=0,1000000,IF(INDEX('計算A'!$D$60:$DS$104,$B45,78)*FV45=1,IF(AND($E45=2,KM45=0),1000000,INDEX('計算A'!CC$110:CC$114,$F45+1)+IF(AND($E45=1,KM45=0),1000,0)),1000000))</f>
        <v/>
      </c>
      <c r="PE45">
        <f>IF($B45=0,1000000,IF(INDEX('計算A'!$D$60:$DS$104,$B45,79)*FW45=1,IF(AND($E45=2,KN45=0),1000000,INDEX('計算A'!CD$110:CD$114,$F45+1)+IF(AND($E45=1,KN45=0),1000,0)),1000000))</f>
        <v/>
      </c>
      <c r="PF45">
        <f>IF($B45=0,1000000,IF(INDEX('計算A'!$D$60:$DS$104,$B45,80)*FX45=1,IF(AND($E45=2,KO45=0),1000000,INDEX('計算A'!CE$110:CE$114,$F45+1)+IF(AND($E45=1,KO45=0),1000,0)),1000000))</f>
        <v/>
      </c>
      <c r="PG45">
        <f>IF($B45=0,1000000,IF(INDEX('計算A'!$D$60:$DS$104,$B45,81)*FY45=1,IF(AND($E45=2,KP45=0),1000000,INDEX('計算A'!CF$110:CF$114,$F45+1)+IF(AND($E45=1,KP45=0),1000,0)),1000000))</f>
        <v/>
      </c>
      <c r="PH45">
        <f>IF($B45=0,1000000,IF(INDEX('計算A'!$D$60:$DS$104,$B45,82)*FZ45=1,IF(AND($E45=2,KQ45=0),1000000,INDEX('計算A'!CG$110:CG$114,$F45+1)+IF(AND($E45=1,KQ45=0),1000,0)),1000000))</f>
        <v/>
      </c>
      <c r="PI45">
        <f>IF($B45=0,1000000,IF(INDEX('計算A'!$D$60:$DS$104,$B45,83)*GA45=1,IF(AND($E45=2,KR45=0),1000000,INDEX('計算A'!CH$110:CH$114,$F45+1)+IF(AND($E45=1,KR45=0),1000,0)),1000000))</f>
        <v/>
      </c>
      <c r="PJ45">
        <f>IF($B45=0,1000000,IF(INDEX('計算A'!$D$60:$DS$104,$B45,84)*GB45=1,IF(AND($E45=2,KS45=0),1000000,INDEX('計算A'!CI$110:CI$114,$F45+1)+IF(AND($E45=1,KS45=0),1000,0)),1000000))</f>
        <v/>
      </c>
      <c r="PK45">
        <f>IF($B45=0,1000000,IF(INDEX('計算A'!$D$60:$DS$104,$B45,85)*GC45=1,IF(AND($E45=2,KT45=0),1000000,INDEX('計算A'!CJ$110:CJ$114,$F45+1)+IF(AND($E45=1,KT45=0),1000,0)),1000000))</f>
        <v/>
      </c>
      <c r="PL45">
        <f>IF($B45=0,1000000,IF(INDEX('計算A'!$D$60:$DS$104,$B45,86)*GD45=1,IF(AND($E45=2,KU45=0),1000000,INDEX('計算A'!CK$110:CK$114,$F45+1)+IF(AND($E45=1,KU45=0),1000,0)),1000000))</f>
        <v/>
      </c>
      <c r="PM45">
        <f>IF($B45=0,1000000,IF(INDEX('計算A'!$D$60:$DS$104,$B45,87)*GE45=1,IF(AND($E45=2,KV45=0),1000000,INDEX('計算A'!CL$110:CL$114,$F45+1)+IF(AND($E45=1,KV45=0),1000,0)),1000000))</f>
        <v/>
      </c>
      <c r="PN45">
        <f>IF($B45=0,1000000,IF(INDEX('計算A'!$D$60:$DS$104,$B45,88)*GF45=1,IF(AND($E45=2,KW45=0),1000000,INDEX('計算A'!CM$110:CM$114,$F45+1)+IF(AND($E45=1,KW45=0),1000,0)),1000000))</f>
        <v/>
      </c>
      <c r="PO45">
        <f>IF($B45=0,1000000,IF(INDEX('計算A'!$D$60:$DS$104,$B45,89)*GG45=1,IF(AND($E45=2,KX45=0),1000000,INDEX('計算A'!CN$110:CN$114,$F45+1)+IF(AND($E45=1,KX45=0),1000,0)),1000000))</f>
        <v/>
      </c>
      <c r="PP45">
        <f>IF($B45=0,1000000,IF(INDEX('計算A'!$D$60:$DS$104,$B45,90)*GH45=1,IF(AND($E45=2,KY45=0),1000000,INDEX('計算A'!CO$110:CO$114,$F45+1)+IF(AND($E45=1,KY45=0),1000,0)),1000000))</f>
        <v/>
      </c>
      <c r="PQ45">
        <f>IF($B45=0,1000000,IF(INDEX('計算A'!$D$60:$DS$104,$B45,91)*GI45=1,IF(AND($E45=2,KZ45=0),1000000,INDEX('計算A'!CP$110:CP$114,$F45+1)+IF(AND($E45=1,KZ45=0),1000,0)),1000000))</f>
        <v/>
      </c>
      <c r="PR45">
        <f>IF($B45=0,1000000,IF(INDEX('計算A'!$D$60:$DS$104,$B45,92)*GJ45=1,IF(AND($E45=2,LA45=0),1000000,INDEX('計算A'!CQ$110:CQ$114,$F45+1)+IF(AND($E45=1,LA45=0),1000,0)),1000000))</f>
        <v/>
      </c>
      <c r="PS45">
        <f>IF($B45=0,1000000,IF(INDEX('計算A'!$D$60:$DS$104,$B45,93)*GK45=1,IF(AND($E45=2,LB45=0),1000000,INDEX('計算A'!CR$110:CR$114,$F45+1)+IF(AND($E45=1,LB45=0),1000,0)),1000000))</f>
        <v/>
      </c>
      <c r="PT45">
        <f>IF($B45=0,1000000,IF(INDEX('計算A'!$D$60:$DS$104,$B45,94)*GL45=1,IF(AND($E45=2,LC45=0),1000000,INDEX('計算A'!CS$110:CS$114,$F45+1)+IF(AND($E45=1,LC45=0),1000,0)),1000000))</f>
        <v/>
      </c>
      <c r="PU45">
        <f>IF($B45=0,1000000,IF(INDEX('計算A'!$D$60:$DS$104,$B45,95)*GM45=1,IF(AND($E45=2,LD45=0),1000000,INDEX('計算A'!CT$110:CT$114,$F45+1)+IF(AND($E45=1,LD45=0),1000,0)),1000000))</f>
        <v/>
      </c>
      <c r="PV45">
        <f>IF($B45=0,1000000,IF(INDEX('計算A'!$D$60:$DS$104,$B45,96)*GN45=1,IF(AND($E45=2,LE45=0),1000000,INDEX('計算A'!CU$110:CU$114,$F45+1)+IF(AND($E45=1,LE45=0),1000,0)),1000000))</f>
        <v/>
      </c>
      <c r="PW45">
        <f>IF($B45=0,1000000,IF(INDEX('計算A'!$D$60:$DS$104,$B45,97)*GO45=1,IF(AND($E45=2,LF45=0),1000000,INDEX('計算A'!CV$110:CV$114,$F45+1)+IF(AND($E45=1,LF45=0),1000,0)),1000000))</f>
        <v/>
      </c>
      <c r="PX45">
        <f>IF($B45=0,1000000,IF(INDEX('計算A'!$D$60:$DS$104,$B45,98)*GP45=1,IF(AND($E45=2,LG45=0),1000000,INDEX('計算A'!CW$110:CW$114,$F45+1)+IF(AND($E45=1,LG45=0),1000,0)),1000000))</f>
        <v/>
      </c>
      <c r="PY45">
        <f>IF($B45=0,1000000,IF(INDEX('計算A'!$D$60:$DS$104,$B45,99)*GQ45=1,IF(AND($E45=2,LH45=0),1000000,INDEX('計算A'!CX$110:CX$114,$F45+1)+IF(AND($E45=1,LH45=0),1000,0)),1000000))</f>
        <v/>
      </c>
      <c r="PZ45">
        <f>IF($B45=0,1000000,IF(INDEX('計算A'!$D$60:$DS$104,$B45,100)*GR45=1,IF(AND($E45=2,LI45=0),1000000,INDEX('計算A'!CY$110:CY$114,$F45+1)+IF(AND($E45=1,LI45=0),1000,0)),1000000))</f>
        <v/>
      </c>
      <c r="QA45">
        <f>IF($B45=0,1000000,IF(INDEX('計算A'!$D$60:$DS$104,$B45,101)*GS45=1,IF(AND($E45=2,LJ45=0),1000000,INDEX('計算A'!CZ$110:CZ$114,$F45+1)+IF(AND($E45=1,LJ45=0),1000,0)),1000000))</f>
        <v/>
      </c>
      <c r="QB45">
        <f>IF($B45=0,1000000,IF(INDEX('計算A'!$D$60:$DS$104,$B45,102)*GT45=1,IF(AND($E45=2,LK45=0),1000000,INDEX('計算A'!DA$110:DA$114,$F45+1)+IF(AND($E45=1,LK45=0),1000,0)),1000000))</f>
        <v/>
      </c>
      <c r="QC45">
        <f>IF($B45=0,1000000,IF(INDEX('計算A'!$D$60:$DS$104,$B45,103)*GU45=1,IF(AND($E45=2,LL45=0),1000000,INDEX('計算A'!DB$110:DB$114,$F45+1)+IF(AND($E45=1,LL45=0),1000,0)),1000000))</f>
        <v/>
      </c>
      <c r="QD45">
        <f>IF($B45=0,1000000,IF(INDEX('計算A'!$D$60:$DS$104,$B45,104)*GV45=1,IF(AND($E45=2,LM45=0),1000000,INDEX('計算A'!DC$110:DC$114,$F45+1)+IF(AND($E45=1,LM45=0),1000,0)),1000000))</f>
        <v/>
      </c>
      <c r="QE45">
        <f>IF($B45=0,1000000,IF(INDEX('計算A'!$D$60:$DS$104,$B45,105)*GW45=1,IF(AND($E45=2,LN45=0),1000000,INDEX('計算A'!DD$110:DD$114,$F45+1)+IF(AND($E45=1,LN45=0),1000,0)),1000000))</f>
        <v/>
      </c>
      <c r="QF45">
        <f>IF($B45=0,1000000,IF(INDEX('計算A'!$D$60:$DS$104,$B45,106)*GX45=1,IF(AND($E45=2,LO45=0),1000000,INDEX('計算A'!DE$110:DE$114,$F45+1)+IF(AND($E45=1,LO45=0),1000,0)),1000000))</f>
        <v/>
      </c>
      <c r="QG45">
        <f>IF($B45=0,1000000,IF(INDEX('計算A'!$D$60:$DS$104,$B45,107)*GY45=1,IF(AND($E45=2,LP45=0),1000000,INDEX('計算A'!DF$110:DF$114,$F45+1)+IF(AND($E45=1,LP45=0),1000,0)),1000000))</f>
        <v/>
      </c>
      <c r="QH45">
        <f>IF($B45=0,1000000,IF(INDEX('計算A'!$D$60:$DS$104,$B45,108)*GZ45=1,IF(AND($E45=2,LQ45=0),1000000,INDEX('計算A'!DG$110:DG$114,$F45+1)+IF(AND($E45=1,LQ45=0),1000,0)),1000000))</f>
        <v/>
      </c>
      <c r="QI45">
        <f>IF($B45=0,1000000,IF(INDEX('計算A'!$D$60:$DS$104,$B45,109)*HA45=1,IF(AND($E45=2,LR45=0),1000000,INDEX('計算A'!DH$110:DH$114,$F45+1)+IF(AND($E45=1,LR45=0),1000,0)),1000000))</f>
        <v/>
      </c>
      <c r="QJ45">
        <f>IF($B45=0,1000000,IF(INDEX('計算A'!$D$60:$DS$104,$B45,110)*HB45=1,IF(AND($E45=2,LS45=0),1000000,INDEX('計算A'!DI$110:DI$114,$F45+1)+IF(AND($E45=1,LS45=0),1000,0)),1000000))</f>
        <v/>
      </c>
      <c r="QK45">
        <f>IF($B45=0,1000000,IF(INDEX('計算A'!$D$60:$DS$104,$B45,111)*HC45=1,IF(AND($E45=2,LT45=0),1000000,INDEX('計算A'!DJ$110:DJ$114,$F45+1)+IF(AND($E45=1,LT45=0),1000,0)),1000000))</f>
        <v/>
      </c>
      <c r="QL45">
        <f>IF($B45=0,1000000,IF(INDEX('計算A'!$D$60:$DS$104,$B45,112)*HD45=1,IF(AND($E45=2,LU45=0),1000000,INDEX('計算A'!DK$110:DK$114,$F45+1)+IF(AND($E45=1,LU45=0),1000,0)),1000000))</f>
        <v/>
      </c>
      <c r="QM45">
        <f>IF($B45=0,1000000,IF(INDEX('計算A'!$D$60:$DS$104,$B45,113)*HE45=1,IF(AND($E45=2,LV45=0),1000000,INDEX('計算A'!DL$110:DL$114,$F45+1)+IF(AND($E45=1,LV45=0),1000,0)),1000000))</f>
        <v/>
      </c>
      <c r="QN45">
        <f>IF($B45=0,1000000,IF(INDEX('計算A'!$D$60:$DS$104,$B45,114)*HF45=1,IF(AND($E45=2,LW45=0),1000000,INDEX('計算A'!DM$110:DM$114,$F45+1)+IF(AND($E45=1,LW45=0),1000,0)),1000000))</f>
        <v/>
      </c>
      <c r="QO45">
        <f>IF($B45=0,1000000,IF(INDEX('計算A'!$D$60:$DS$104,$B45,115)*HG45=1,IF(AND($E45=2,LX45=0),1000000,INDEX('計算A'!DN$110:DN$114,$F45+1)+IF(AND($E45=1,LX45=0),1000,0)),1000000))</f>
        <v/>
      </c>
      <c r="QP45">
        <f>IF($B45=0,1000000,IF(INDEX('計算A'!$D$60:$DS$104,$B45,116)*HH45=1,IF(AND($E45=2,LY45=0),1000000,INDEX('計算A'!DO$110:DO$114,$F45+1)+IF(AND($E45=1,LY45=0),1000,0)),1000000))</f>
        <v/>
      </c>
      <c r="QQ45">
        <f>IF($B45=0,1000000,IF(INDEX('計算A'!$D$60:$DS$104,$B45,117)*HI45=1,IF(AND($E45=2,LZ45=0),1000000,INDEX('計算A'!DP$110:DP$114,$F45+1)+IF(AND($E45=1,LZ45=0),1000,0)),1000000))</f>
        <v/>
      </c>
      <c r="QR45">
        <f>IF($B45=0,1000000,IF(INDEX('計算A'!$D$60:$DS$104,$B45,118)*HJ45=1,IF(AND($E45=2,MA45=0),1000000,INDEX('計算A'!DQ$110:DQ$114,$F45+1)+IF(AND($E45=1,MA45=0),1000,0)),1000000))</f>
        <v/>
      </c>
      <c r="QS45">
        <f>IF($B45=0,1000000,IF(INDEX('計算A'!$D$60:$DS$104,$B45,119)*HK45=1,IF(AND($E45=2,MB45=0),1000000,INDEX('計算A'!DR$110:DR$114,$F45+1)+IF(AND($E45=1,MB45=0),1000,0)),1000000))</f>
        <v/>
      </c>
      <c r="QT45">
        <f>IF($B45=0,1000000,IF(INDEX('計算A'!$D$60:$DS$104,$B45,120)*HL45=1,IF(AND($E45=2,MC45=0),1000000,INDEX('計算A'!DS$110:DS$114,$F45+1)+IF(AND($E45=1,MC45=0),1000,0)),1000000))</f>
        <v/>
      </c>
    </row>
    <row r="46">
      <c r="A46" t="n">
        <v>44</v>
      </c>
      <c r="B46">
        <f>IF(MIN(BC46:CU46)&gt;=1000000,0,MATCH(MIN(BC46:CU46),BC46:CU46,0))</f>
        <v/>
      </c>
      <c r="C46">
        <f>IF(MIN(ME46:QT46)&gt;=1000000,0,MATCH(MIN(ME46:QT46),ME46:QT46,0))</f>
        <v/>
      </c>
      <c r="D46">
        <f>IF(C46&gt;0,INDEX('計算A'!$D$5:$DS$5,C46),0)</f>
        <v/>
      </c>
      <c r="E46">
        <f>IF(B46=0,0,INDEX('計算A'!$EA$10:$EA$54,B46))</f>
        <v/>
      </c>
      <c r="F46">
        <f>IF(B46=0,0,INDEX('計算A'!$DZ$10:$DZ$54,B46))</f>
        <v/>
      </c>
      <c r="G46">
        <f>IF(AND(C46&gt;0,E46&gt;0),IF(AND(INDEX('計算A'!$D$106:$DS$106,C46)=1,INDEX($HN46:$MC46,C46)=1),C46+1,0),0)</f>
        <v/>
      </c>
      <c r="I46">
        <f>MAX(I45,IF($B45=1,1,0))</f>
        <v/>
      </c>
      <c r="J46">
        <f>MAX(J45,IF($B45=2,1,0))</f>
        <v/>
      </c>
      <c r="K46">
        <f>MAX(K45,IF($B45=3,1,0))</f>
        <v/>
      </c>
      <c r="L46">
        <f>MAX(L45,IF($B45=4,1,0))</f>
        <v/>
      </c>
      <c r="M46">
        <f>MAX(M45,IF($B45=5,1,0))</f>
        <v/>
      </c>
      <c r="N46">
        <f>MAX(N45,IF($B45=6,1,0))</f>
        <v/>
      </c>
      <c r="O46">
        <f>MAX(O45,IF($B45=7,1,0))</f>
        <v/>
      </c>
      <c r="P46">
        <f>MAX(P45,IF($B45=8,1,0))</f>
        <v/>
      </c>
      <c r="Q46">
        <f>MAX(Q45,IF($B45=9,1,0))</f>
        <v/>
      </c>
      <c r="R46">
        <f>MAX(R45,IF($B45=10,1,0))</f>
        <v/>
      </c>
      <c r="S46">
        <f>MAX(S45,IF($B45=11,1,0))</f>
        <v/>
      </c>
      <c r="T46">
        <f>MAX(T45,IF($B45=12,1,0))</f>
        <v/>
      </c>
      <c r="U46">
        <f>MAX(U45,IF($B45=13,1,0))</f>
        <v/>
      </c>
      <c r="V46">
        <f>MAX(V45,IF($B45=14,1,0))</f>
        <v/>
      </c>
      <c r="W46">
        <f>MAX(W45,IF($B45=15,1,0))</f>
        <v/>
      </c>
      <c r="X46">
        <f>MAX(X45,IF($B45=16,1,0))</f>
        <v/>
      </c>
      <c r="Y46">
        <f>MAX(Y45,IF($B45=17,1,0))</f>
        <v/>
      </c>
      <c r="Z46">
        <f>MAX(Z45,IF($B45=18,1,0))</f>
        <v/>
      </c>
      <c r="AA46">
        <f>MAX(AA45,IF($B45=19,1,0))</f>
        <v/>
      </c>
      <c r="AB46">
        <f>MAX(AB45,IF($B45=20,1,0))</f>
        <v/>
      </c>
      <c r="AC46">
        <f>MAX(AC45,IF($B45=21,1,0))</f>
        <v/>
      </c>
      <c r="AD46">
        <f>MAX(AD45,IF($B45=22,1,0))</f>
        <v/>
      </c>
      <c r="AE46">
        <f>MAX(AE45,IF($B45=23,1,0))</f>
        <v/>
      </c>
      <c r="AF46">
        <f>MAX(AF45,IF($B45=24,1,0))</f>
        <v/>
      </c>
      <c r="AG46">
        <f>MAX(AG45,IF($B45=25,1,0))</f>
        <v/>
      </c>
      <c r="AH46">
        <f>MAX(AH45,IF($B45=26,1,0))</f>
        <v/>
      </c>
      <c r="AI46">
        <f>MAX(AI45,IF($B45=27,1,0))</f>
        <v/>
      </c>
      <c r="AJ46">
        <f>MAX(AJ45,IF($B45=28,1,0))</f>
        <v/>
      </c>
      <c r="AK46">
        <f>MAX(AK45,IF($B45=29,1,0))</f>
        <v/>
      </c>
      <c r="AL46">
        <f>MAX(AL45,IF($B45=30,1,0))</f>
        <v/>
      </c>
      <c r="AM46">
        <f>MAX(AM45,IF($B45=31,1,0))</f>
        <v/>
      </c>
      <c r="AN46">
        <f>MAX(AN45,IF($B45=32,1,0))</f>
        <v/>
      </c>
      <c r="AO46">
        <f>MAX(AO45,IF($B45=33,1,0))</f>
        <v/>
      </c>
      <c r="AP46">
        <f>MAX(AP45,IF($B45=34,1,0))</f>
        <v/>
      </c>
      <c r="AQ46">
        <f>MAX(AQ45,IF($B45=35,1,0))</f>
        <v/>
      </c>
      <c r="AR46">
        <f>MAX(AR45,IF($B45=36,1,0))</f>
        <v/>
      </c>
      <c r="AS46">
        <f>MAX(AS45,IF($B45=37,1,0))</f>
        <v/>
      </c>
      <c r="AT46">
        <f>MAX(AT45,IF($B45=38,1,0))</f>
        <v/>
      </c>
      <c r="AU46">
        <f>MAX(AU45,IF($B45=39,1,0))</f>
        <v/>
      </c>
      <c r="AV46">
        <f>MAX(AV45,IF($B45=40,1,0))</f>
        <v/>
      </c>
      <c r="AW46">
        <f>MAX(AW45,IF($B45=41,1,0))</f>
        <v/>
      </c>
      <c r="AX46">
        <f>MAX(AX45,IF($B45=42,1,0))</f>
        <v/>
      </c>
      <c r="AY46">
        <f>MAX(AY45,IF($B45=43,1,0))</f>
        <v/>
      </c>
      <c r="AZ46">
        <f>MAX(AZ45,IF($B45=44,1,0))</f>
        <v/>
      </c>
      <c r="BA46">
        <f>MAX(BA45,IF($B45=45,1,0))</f>
        <v/>
      </c>
      <c r="BC46">
        <f>IF(I46=1,1000000,IF('計算A'!$EA$10=2,SUMPRODUCT('計算A'!$D$60:$DS$60,$CW46:$HL46,$HN46:$MC46),SUMPRODUCT('計算A'!$D$60:$DS$60,$CW46:$HL46))*1000+1)</f>
        <v/>
      </c>
      <c r="BD46">
        <f>IF(J46=1,1000000,IF('計算A'!$EA$11=2,SUMPRODUCT('計算A'!$D$61:$DS$61,$CW46:$HL46,$HN46:$MC46),SUMPRODUCT('計算A'!$D$61:$DS$61,$CW46:$HL46))*1000+2)</f>
        <v/>
      </c>
      <c r="BE46">
        <f>IF(K46=1,1000000,IF('計算A'!$EA$12=2,SUMPRODUCT('計算A'!$D$62:$DS$62,$CW46:$HL46,$HN46:$MC46),SUMPRODUCT('計算A'!$D$62:$DS$62,$CW46:$HL46))*1000+3)</f>
        <v/>
      </c>
      <c r="BF46">
        <f>IF(L46=1,1000000,IF('計算A'!$EA$13=2,SUMPRODUCT('計算A'!$D$63:$DS$63,$CW46:$HL46,$HN46:$MC46),SUMPRODUCT('計算A'!$D$63:$DS$63,$CW46:$HL46))*1000+4)</f>
        <v/>
      </c>
      <c r="BG46">
        <f>IF(M46=1,1000000,IF('計算A'!$EA$14=2,SUMPRODUCT('計算A'!$D$64:$DS$64,$CW46:$HL46,$HN46:$MC46),SUMPRODUCT('計算A'!$D$64:$DS$64,$CW46:$HL46))*1000+5)</f>
        <v/>
      </c>
      <c r="BH46">
        <f>IF(N46=1,1000000,IF('計算A'!$EA$15=2,SUMPRODUCT('計算A'!$D$65:$DS$65,$CW46:$HL46,$HN46:$MC46),SUMPRODUCT('計算A'!$D$65:$DS$65,$CW46:$HL46))*1000+6)</f>
        <v/>
      </c>
      <c r="BI46">
        <f>IF(O46=1,1000000,IF('計算A'!$EA$16=2,SUMPRODUCT('計算A'!$D$66:$DS$66,$CW46:$HL46,$HN46:$MC46),SUMPRODUCT('計算A'!$D$66:$DS$66,$CW46:$HL46))*1000+7)</f>
        <v/>
      </c>
      <c r="BJ46">
        <f>IF(P46=1,1000000,IF('計算A'!$EA$17=2,SUMPRODUCT('計算A'!$D$67:$DS$67,$CW46:$HL46,$HN46:$MC46),SUMPRODUCT('計算A'!$D$67:$DS$67,$CW46:$HL46))*1000+8)</f>
        <v/>
      </c>
      <c r="BK46">
        <f>IF(Q46=1,1000000,IF('計算A'!$EA$18=2,SUMPRODUCT('計算A'!$D$68:$DS$68,$CW46:$HL46,$HN46:$MC46),SUMPRODUCT('計算A'!$D$68:$DS$68,$CW46:$HL46))*1000+9)</f>
        <v/>
      </c>
      <c r="BL46">
        <f>IF(R46=1,1000000,IF('計算A'!$EA$19=2,SUMPRODUCT('計算A'!$D$69:$DS$69,$CW46:$HL46,$HN46:$MC46),SUMPRODUCT('計算A'!$D$69:$DS$69,$CW46:$HL46))*1000+10)</f>
        <v/>
      </c>
      <c r="BM46">
        <f>IF(S46=1,1000000,IF('計算A'!$EA$20=2,SUMPRODUCT('計算A'!$D$70:$DS$70,$CW46:$HL46,$HN46:$MC46),SUMPRODUCT('計算A'!$D$70:$DS$70,$CW46:$HL46))*1000+11)</f>
        <v/>
      </c>
      <c r="BN46">
        <f>IF(T46=1,1000000,IF('計算A'!$EA$21=2,SUMPRODUCT('計算A'!$D$71:$DS$71,$CW46:$HL46,$HN46:$MC46),SUMPRODUCT('計算A'!$D$71:$DS$71,$CW46:$HL46))*1000+12)</f>
        <v/>
      </c>
      <c r="BO46">
        <f>IF(U46=1,1000000,IF('計算A'!$EA$22=2,SUMPRODUCT('計算A'!$D$72:$DS$72,$CW46:$HL46,$HN46:$MC46),SUMPRODUCT('計算A'!$D$72:$DS$72,$CW46:$HL46))*1000+13)</f>
        <v/>
      </c>
      <c r="BP46">
        <f>IF(V46=1,1000000,IF('計算A'!$EA$23=2,SUMPRODUCT('計算A'!$D$73:$DS$73,$CW46:$HL46,$HN46:$MC46),SUMPRODUCT('計算A'!$D$73:$DS$73,$CW46:$HL46))*1000+14)</f>
        <v/>
      </c>
      <c r="BQ46">
        <f>IF(W46=1,1000000,IF('計算A'!$EA$24=2,SUMPRODUCT('計算A'!$D$74:$DS$74,$CW46:$HL46,$HN46:$MC46),SUMPRODUCT('計算A'!$D$74:$DS$74,$CW46:$HL46))*1000+15)</f>
        <v/>
      </c>
      <c r="BR46">
        <f>IF(X46=1,1000000,IF('計算A'!$EA$25=2,SUMPRODUCT('計算A'!$D$75:$DS$75,$CW46:$HL46,$HN46:$MC46),SUMPRODUCT('計算A'!$D$75:$DS$75,$CW46:$HL46))*1000+16)</f>
        <v/>
      </c>
      <c r="BS46">
        <f>IF(Y46=1,1000000,IF('計算A'!$EA$26=2,SUMPRODUCT('計算A'!$D$76:$DS$76,$CW46:$HL46,$HN46:$MC46),SUMPRODUCT('計算A'!$D$76:$DS$76,$CW46:$HL46))*1000+17)</f>
        <v/>
      </c>
      <c r="BT46">
        <f>IF(Z46=1,1000000,IF('計算A'!$EA$27=2,SUMPRODUCT('計算A'!$D$77:$DS$77,$CW46:$HL46,$HN46:$MC46),SUMPRODUCT('計算A'!$D$77:$DS$77,$CW46:$HL46))*1000+18)</f>
        <v/>
      </c>
      <c r="BU46">
        <f>IF(AA46=1,1000000,IF('計算A'!$EA$28=2,SUMPRODUCT('計算A'!$D$78:$DS$78,$CW46:$HL46,$HN46:$MC46),SUMPRODUCT('計算A'!$D$78:$DS$78,$CW46:$HL46))*1000+19)</f>
        <v/>
      </c>
      <c r="BV46">
        <f>IF(AB46=1,1000000,IF('計算A'!$EA$29=2,SUMPRODUCT('計算A'!$D$79:$DS$79,$CW46:$HL46,$HN46:$MC46),SUMPRODUCT('計算A'!$D$79:$DS$79,$CW46:$HL46))*1000+20)</f>
        <v/>
      </c>
      <c r="BW46">
        <f>IF(AC46=1,1000000,IF('計算A'!$EA$30=2,SUMPRODUCT('計算A'!$D$80:$DS$80,$CW46:$HL46,$HN46:$MC46),SUMPRODUCT('計算A'!$D$80:$DS$80,$CW46:$HL46))*1000+21)</f>
        <v/>
      </c>
      <c r="BX46">
        <f>IF(AD46=1,1000000,IF('計算A'!$EA$31=2,SUMPRODUCT('計算A'!$D$81:$DS$81,$CW46:$HL46,$HN46:$MC46),SUMPRODUCT('計算A'!$D$81:$DS$81,$CW46:$HL46))*1000+22)</f>
        <v/>
      </c>
      <c r="BY46">
        <f>IF(AE46=1,1000000,IF('計算A'!$EA$32=2,SUMPRODUCT('計算A'!$D$82:$DS$82,$CW46:$HL46,$HN46:$MC46),SUMPRODUCT('計算A'!$D$82:$DS$82,$CW46:$HL46))*1000+23)</f>
        <v/>
      </c>
      <c r="BZ46">
        <f>IF(AF46=1,1000000,IF('計算A'!$EA$33=2,SUMPRODUCT('計算A'!$D$83:$DS$83,$CW46:$HL46,$HN46:$MC46),SUMPRODUCT('計算A'!$D$83:$DS$83,$CW46:$HL46))*1000+24)</f>
        <v/>
      </c>
      <c r="CA46">
        <f>IF(AG46=1,1000000,IF('計算A'!$EA$34=2,SUMPRODUCT('計算A'!$D$84:$DS$84,$CW46:$HL46,$HN46:$MC46),SUMPRODUCT('計算A'!$D$84:$DS$84,$CW46:$HL46))*1000+25)</f>
        <v/>
      </c>
      <c r="CB46">
        <f>IF(AH46=1,1000000,IF('計算A'!$EA$35=2,SUMPRODUCT('計算A'!$D$85:$DS$85,$CW46:$HL46,$HN46:$MC46),SUMPRODUCT('計算A'!$D$85:$DS$85,$CW46:$HL46))*1000+26)</f>
        <v/>
      </c>
      <c r="CC46">
        <f>IF(AI46=1,1000000,IF('計算A'!$EA$36=2,SUMPRODUCT('計算A'!$D$86:$DS$86,$CW46:$HL46,$HN46:$MC46),SUMPRODUCT('計算A'!$D$86:$DS$86,$CW46:$HL46))*1000+27)</f>
        <v/>
      </c>
      <c r="CD46">
        <f>IF(AJ46=1,1000000,IF('計算A'!$EA$37=2,SUMPRODUCT('計算A'!$D$87:$DS$87,$CW46:$HL46,$HN46:$MC46),SUMPRODUCT('計算A'!$D$87:$DS$87,$CW46:$HL46))*1000+28)</f>
        <v/>
      </c>
      <c r="CE46">
        <f>IF(AK46=1,1000000,IF('計算A'!$EA$38=2,SUMPRODUCT('計算A'!$D$88:$DS$88,$CW46:$HL46,$HN46:$MC46),SUMPRODUCT('計算A'!$D$88:$DS$88,$CW46:$HL46))*1000+29)</f>
        <v/>
      </c>
      <c r="CF46">
        <f>IF(AL46=1,1000000,IF('計算A'!$EA$39=2,SUMPRODUCT('計算A'!$D$89:$DS$89,$CW46:$HL46,$HN46:$MC46),SUMPRODUCT('計算A'!$D$89:$DS$89,$CW46:$HL46))*1000+30)</f>
        <v/>
      </c>
      <c r="CG46">
        <f>IF(AM46=1,1000000,IF('計算A'!$EA$40=2,SUMPRODUCT('計算A'!$D$90:$DS$90,$CW46:$HL46,$HN46:$MC46),SUMPRODUCT('計算A'!$D$90:$DS$90,$CW46:$HL46))*1000+31)</f>
        <v/>
      </c>
      <c r="CH46">
        <f>IF(AN46=1,1000000,IF('計算A'!$EA$41=2,SUMPRODUCT('計算A'!$D$91:$DS$91,$CW46:$HL46,$HN46:$MC46),SUMPRODUCT('計算A'!$D$91:$DS$91,$CW46:$HL46))*1000+32)</f>
        <v/>
      </c>
      <c r="CI46">
        <f>IF(AO46=1,1000000,IF('計算A'!$EA$42=2,SUMPRODUCT('計算A'!$D$92:$DS$92,$CW46:$HL46,$HN46:$MC46),SUMPRODUCT('計算A'!$D$92:$DS$92,$CW46:$HL46))*1000+33)</f>
        <v/>
      </c>
      <c r="CJ46">
        <f>IF(AP46=1,1000000,IF('計算A'!$EA$43=2,SUMPRODUCT('計算A'!$D$93:$DS$93,$CW46:$HL46,$HN46:$MC46),SUMPRODUCT('計算A'!$D$93:$DS$93,$CW46:$HL46))*1000+34)</f>
        <v/>
      </c>
      <c r="CK46">
        <f>IF(AQ46=1,1000000,IF('計算A'!$EA$44=2,SUMPRODUCT('計算A'!$D$94:$DS$94,$CW46:$HL46,$HN46:$MC46),SUMPRODUCT('計算A'!$D$94:$DS$94,$CW46:$HL46))*1000+35)</f>
        <v/>
      </c>
      <c r="CL46">
        <f>IF(AR46=1,1000000,IF('計算A'!$EA$45=2,SUMPRODUCT('計算A'!$D$95:$DS$95,$CW46:$HL46,$HN46:$MC46),SUMPRODUCT('計算A'!$D$95:$DS$95,$CW46:$HL46))*1000+36)</f>
        <v/>
      </c>
      <c r="CM46">
        <f>IF(AS46=1,1000000,IF('計算A'!$EA$46=2,SUMPRODUCT('計算A'!$D$96:$DS$96,$CW46:$HL46,$HN46:$MC46),SUMPRODUCT('計算A'!$D$96:$DS$96,$CW46:$HL46))*1000+37)</f>
        <v/>
      </c>
      <c r="CN46">
        <f>IF(AT46=1,1000000,IF('計算A'!$EA$47=2,SUMPRODUCT('計算A'!$D$97:$DS$97,$CW46:$HL46,$HN46:$MC46),SUMPRODUCT('計算A'!$D$97:$DS$97,$CW46:$HL46))*1000+38)</f>
        <v/>
      </c>
      <c r="CO46">
        <f>IF(AU46=1,1000000,IF('計算A'!$EA$48=2,SUMPRODUCT('計算A'!$D$98:$DS$98,$CW46:$HL46,$HN46:$MC46),SUMPRODUCT('計算A'!$D$98:$DS$98,$CW46:$HL46))*1000+39)</f>
        <v/>
      </c>
      <c r="CP46">
        <f>IF(AV46=1,1000000,IF('計算A'!$EA$49=2,SUMPRODUCT('計算A'!$D$99:$DS$99,$CW46:$HL46,$HN46:$MC46),SUMPRODUCT('計算A'!$D$99:$DS$99,$CW46:$HL46))*1000+40)</f>
        <v/>
      </c>
      <c r="CQ46">
        <f>IF(AW46=1,1000000,IF('計算A'!$EA$50=2,SUMPRODUCT('計算A'!$D$100:$DS$100,$CW46:$HL46,$HN46:$MC46),SUMPRODUCT('計算A'!$D$100:$DS$100,$CW46:$HL46))*1000+41)</f>
        <v/>
      </c>
      <c r="CR46">
        <f>IF(AX46=1,1000000,IF('計算A'!$EA$51=2,SUMPRODUCT('計算A'!$D$101:$DS$101,$CW46:$HL46,$HN46:$MC46),SUMPRODUCT('計算A'!$D$101:$DS$101,$CW46:$HL46))*1000+42)</f>
        <v/>
      </c>
      <c r="CS46">
        <f>IF(AY46=1,1000000,IF('計算A'!$EA$52=2,SUMPRODUCT('計算A'!$D$102:$DS$102,$CW46:$HL46,$HN46:$MC46),SUMPRODUCT('計算A'!$D$102:$DS$102,$CW46:$HL46))*1000+43)</f>
        <v/>
      </c>
      <c r="CT46">
        <f>IF(AZ46=1,1000000,IF('計算A'!$EA$53=2,SUMPRODUCT('計算A'!$D$103:$DS$103,$CW46:$HL46,$HN46:$MC46),SUMPRODUCT('計算A'!$D$103:$DS$103,$CW46:$HL46))*1000+44)</f>
        <v/>
      </c>
      <c r="CU46">
        <f>IF(BA46=1,1000000,IF('計算A'!$EA$54=2,SUMPRODUCT('計算A'!$D$104:$DS$104,$CW46:$HL46,$HN46:$MC46),SUMPRODUCT('計算A'!$D$104:$DS$104,$CW46:$HL46))*1000+45)</f>
        <v/>
      </c>
      <c r="CW46">
        <f>CW45*IF(OR($C45=1,$G45=1),0,1)</f>
        <v/>
      </c>
      <c r="CX46">
        <f>CX45*IF(OR($C45=2,$G45=2),0,1)</f>
        <v/>
      </c>
      <c r="CY46">
        <f>CY45*IF(OR($C45=3,$G45=3),0,1)</f>
        <v/>
      </c>
      <c r="CZ46">
        <f>CZ45*IF(OR($C45=4,$G45=4),0,1)</f>
        <v/>
      </c>
      <c r="DA46">
        <f>DA45*IF(OR($C45=5,$G45=5),0,1)</f>
        <v/>
      </c>
      <c r="DB46">
        <f>DB45*IF(OR($C45=6,$G45=6),0,1)</f>
        <v/>
      </c>
      <c r="DC46">
        <f>DC45*IF(OR($C45=7,$G45=7),0,1)</f>
        <v/>
      </c>
      <c r="DD46">
        <f>DD45*IF(OR($C45=8,$G45=8),0,1)</f>
        <v/>
      </c>
      <c r="DE46">
        <f>DE45*IF(OR($C45=9,$G45=9),0,1)</f>
        <v/>
      </c>
      <c r="DF46">
        <f>DF45*IF(OR($C45=10,$G45=10),0,1)</f>
        <v/>
      </c>
      <c r="DG46">
        <f>DG45*IF(OR($C45=11,$G45=11),0,1)</f>
        <v/>
      </c>
      <c r="DH46">
        <f>DH45*IF(OR($C45=12,$G45=12),0,1)</f>
        <v/>
      </c>
      <c r="DI46">
        <f>DI45*IF(OR($C45=13,$G45=13),0,1)</f>
        <v/>
      </c>
      <c r="DJ46">
        <f>DJ45*IF(OR($C45=14,$G45=14),0,1)</f>
        <v/>
      </c>
      <c r="DK46">
        <f>DK45*IF(OR($C45=15,$G45=15),0,1)</f>
        <v/>
      </c>
      <c r="DL46">
        <f>DL45*IF(OR($C45=16,$G45=16),0,1)</f>
        <v/>
      </c>
      <c r="DM46">
        <f>DM45*IF(OR($C45=17,$G45=17),0,1)</f>
        <v/>
      </c>
      <c r="DN46">
        <f>DN45*IF(OR($C45=18,$G45=18),0,1)</f>
        <v/>
      </c>
      <c r="DO46">
        <f>DO45*IF(OR($C45=19,$G45=19),0,1)</f>
        <v/>
      </c>
      <c r="DP46">
        <f>DP45*IF(OR($C45=20,$G45=20),0,1)</f>
        <v/>
      </c>
      <c r="DQ46">
        <f>DQ45*IF(OR($C45=21,$G45=21),0,1)</f>
        <v/>
      </c>
      <c r="DR46">
        <f>DR45*IF(OR($C45=22,$G45=22),0,1)</f>
        <v/>
      </c>
      <c r="DS46">
        <f>DS45*IF(OR($C45=23,$G45=23),0,1)</f>
        <v/>
      </c>
      <c r="DT46">
        <f>DT45*IF(OR($C45=24,$G45=24),0,1)</f>
        <v/>
      </c>
      <c r="DU46">
        <f>DU45*IF(OR($C45=25,$G45=25),0,1)</f>
        <v/>
      </c>
      <c r="DV46">
        <f>DV45*IF(OR($C45=26,$G45=26),0,1)</f>
        <v/>
      </c>
      <c r="DW46">
        <f>DW45*IF(OR($C45=27,$G45=27),0,1)</f>
        <v/>
      </c>
      <c r="DX46">
        <f>DX45*IF(OR($C45=28,$G45=28),0,1)</f>
        <v/>
      </c>
      <c r="DY46">
        <f>DY45*IF(OR($C45=29,$G45=29),0,1)</f>
        <v/>
      </c>
      <c r="DZ46">
        <f>DZ45*IF(OR($C45=30,$G45=30),0,1)</f>
        <v/>
      </c>
      <c r="EA46">
        <f>EA45*IF(OR($C45=31,$G45=31),0,1)</f>
        <v/>
      </c>
      <c r="EB46">
        <f>EB45*IF(OR($C45=32,$G45=32),0,1)</f>
        <v/>
      </c>
      <c r="EC46">
        <f>EC45*IF(OR($C45=33,$G45=33),0,1)</f>
        <v/>
      </c>
      <c r="ED46">
        <f>ED45*IF(OR($C45=34,$G45=34),0,1)</f>
        <v/>
      </c>
      <c r="EE46">
        <f>EE45*IF(OR($C45=35,$G45=35),0,1)</f>
        <v/>
      </c>
      <c r="EF46">
        <f>EF45*IF(OR($C45=36,$G45=36),0,1)</f>
        <v/>
      </c>
      <c r="EG46">
        <f>EG45*IF(OR($C45=37,$G45=37),0,1)</f>
        <v/>
      </c>
      <c r="EH46">
        <f>EH45*IF(OR($C45=38,$G45=38),0,1)</f>
        <v/>
      </c>
      <c r="EI46">
        <f>EI45*IF(OR($C45=39,$G45=39),0,1)</f>
        <v/>
      </c>
      <c r="EJ46">
        <f>EJ45*IF(OR($C45=40,$G45=40),0,1)</f>
        <v/>
      </c>
      <c r="EK46">
        <f>EK45*IF(OR($C45=41,$G45=41),0,1)</f>
        <v/>
      </c>
      <c r="EL46">
        <f>EL45*IF(OR($C45=42,$G45=42),0,1)</f>
        <v/>
      </c>
      <c r="EM46">
        <f>EM45*IF(OR($C45=43,$G45=43),0,1)</f>
        <v/>
      </c>
      <c r="EN46">
        <f>EN45*IF(OR($C45=44,$G45=44),0,1)</f>
        <v/>
      </c>
      <c r="EO46">
        <f>EO45*IF(OR($C45=45,$G45=45),0,1)</f>
        <v/>
      </c>
      <c r="EP46">
        <f>EP45*IF(OR($C45=46,$G45=46),0,1)</f>
        <v/>
      </c>
      <c r="EQ46">
        <f>EQ45*IF(OR($C45=47,$G45=47),0,1)</f>
        <v/>
      </c>
      <c r="ER46">
        <f>ER45*IF(OR($C45=48,$G45=48),0,1)</f>
        <v/>
      </c>
      <c r="ES46">
        <f>ES45*IF(OR($C45=49,$G45=49),0,1)</f>
        <v/>
      </c>
      <c r="ET46">
        <f>ET45*IF(OR($C45=50,$G45=50),0,1)</f>
        <v/>
      </c>
      <c r="EU46">
        <f>EU45*IF(OR($C45=51,$G45=51),0,1)</f>
        <v/>
      </c>
      <c r="EV46">
        <f>EV45*IF(OR($C45=52,$G45=52),0,1)</f>
        <v/>
      </c>
      <c r="EW46">
        <f>EW45*IF(OR($C45=53,$G45=53),0,1)</f>
        <v/>
      </c>
      <c r="EX46">
        <f>EX45*IF(OR($C45=54,$G45=54),0,1)</f>
        <v/>
      </c>
      <c r="EY46">
        <f>EY45*IF(OR($C45=55,$G45=55),0,1)</f>
        <v/>
      </c>
      <c r="EZ46">
        <f>EZ45*IF(OR($C45=56,$G45=56),0,1)</f>
        <v/>
      </c>
      <c r="FA46">
        <f>FA45*IF(OR($C45=57,$G45=57),0,1)</f>
        <v/>
      </c>
      <c r="FB46">
        <f>FB45*IF(OR($C45=58,$G45=58),0,1)</f>
        <v/>
      </c>
      <c r="FC46">
        <f>FC45*IF(OR($C45=59,$G45=59),0,1)</f>
        <v/>
      </c>
      <c r="FD46">
        <f>FD45*IF(OR($C45=60,$G45=60),0,1)</f>
        <v/>
      </c>
      <c r="FE46">
        <f>FE45*IF(OR($C45=61,$G45=61),0,1)</f>
        <v/>
      </c>
      <c r="FF46">
        <f>FF45*IF(OR($C45=62,$G45=62),0,1)</f>
        <v/>
      </c>
      <c r="FG46">
        <f>FG45*IF(OR($C45=63,$G45=63),0,1)</f>
        <v/>
      </c>
      <c r="FH46">
        <f>FH45*IF(OR($C45=64,$G45=64),0,1)</f>
        <v/>
      </c>
      <c r="FI46">
        <f>FI45*IF(OR($C45=65,$G45=65),0,1)</f>
        <v/>
      </c>
      <c r="FJ46">
        <f>FJ45*IF(OR($C45=66,$G45=66),0,1)</f>
        <v/>
      </c>
      <c r="FK46">
        <f>FK45*IF(OR($C45=67,$G45=67),0,1)</f>
        <v/>
      </c>
      <c r="FL46">
        <f>FL45*IF(OR($C45=68,$G45=68),0,1)</f>
        <v/>
      </c>
      <c r="FM46">
        <f>FM45*IF(OR($C45=69,$G45=69),0,1)</f>
        <v/>
      </c>
      <c r="FN46">
        <f>FN45*IF(OR($C45=70,$G45=70),0,1)</f>
        <v/>
      </c>
      <c r="FO46">
        <f>FO45*IF(OR($C45=71,$G45=71),0,1)</f>
        <v/>
      </c>
      <c r="FP46">
        <f>FP45*IF(OR($C45=72,$G45=72),0,1)</f>
        <v/>
      </c>
      <c r="FQ46">
        <f>FQ45*IF(OR($C45=73,$G45=73),0,1)</f>
        <v/>
      </c>
      <c r="FR46">
        <f>FR45*IF(OR($C45=74,$G45=74),0,1)</f>
        <v/>
      </c>
      <c r="FS46">
        <f>FS45*IF(OR($C45=75,$G45=75),0,1)</f>
        <v/>
      </c>
      <c r="FT46">
        <f>FT45*IF(OR($C45=76,$G45=76),0,1)</f>
        <v/>
      </c>
      <c r="FU46">
        <f>FU45*IF(OR($C45=77,$G45=77),0,1)</f>
        <v/>
      </c>
      <c r="FV46">
        <f>FV45*IF(OR($C45=78,$G45=78),0,1)</f>
        <v/>
      </c>
      <c r="FW46">
        <f>FW45*IF(OR($C45=79,$G45=79),0,1)</f>
        <v/>
      </c>
      <c r="FX46">
        <f>FX45*IF(OR($C45=80,$G45=80),0,1)</f>
        <v/>
      </c>
      <c r="FY46">
        <f>FY45*IF(OR($C45=81,$G45=81),0,1)</f>
        <v/>
      </c>
      <c r="FZ46">
        <f>FZ45*IF(OR($C45=82,$G45=82),0,1)</f>
        <v/>
      </c>
      <c r="GA46">
        <f>GA45*IF(OR($C45=83,$G45=83),0,1)</f>
        <v/>
      </c>
      <c r="GB46">
        <f>GB45*IF(OR($C45=84,$G45=84),0,1)</f>
        <v/>
      </c>
      <c r="GC46">
        <f>GC45*IF(OR($C45=85,$G45=85),0,1)</f>
        <v/>
      </c>
      <c r="GD46">
        <f>GD45*IF(OR($C45=86,$G45=86),0,1)</f>
        <v/>
      </c>
      <c r="GE46">
        <f>GE45*IF(OR($C45=87,$G45=87),0,1)</f>
        <v/>
      </c>
      <c r="GF46">
        <f>GF45*IF(OR($C45=88,$G45=88),0,1)</f>
        <v/>
      </c>
      <c r="GG46">
        <f>GG45*IF(OR($C45=89,$G45=89),0,1)</f>
        <v/>
      </c>
      <c r="GH46">
        <f>GH45*IF(OR($C45=90,$G45=90),0,1)</f>
        <v/>
      </c>
      <c r="GI46">
        <f>GI45*IF(OR($C45=91,$G45=91),0,1)</f>
        <v/>
      </c>
      <c r="GJ46">
        <f>GJ45*IF(OR($C45=92,$G45=92),0,1)</f>
        <v/>
      </c>
      <c r="GK46">
        <f>GK45*IF(OR($C45=93,$G45=93),0,1)</f>
        <v/>
      </c>
      <c r="GL46">
        <f>GL45*IF(OR($C45=94,$G45=94),0,1)</f>
        <v/>
      </c>
      <c r="GM46">
        <f>GM45*IF(OR($C45=95,$G45=95),0,1)</f>
        <v/>
      </c>
      <c r="GN46">
        <f>GN45*IF(OR($C45=96,$G45=96),0,1)</f>
        <v/>
      </c>
      <c r="GO46">
        <f>GO45*IF(OR($C45=97,$G45=97),0,1)</f>
        <v/>
      </c>
      <c r="GP46">
        <f>GP45*IF(OR($C45=98,$G45=98),0,1)</f>
        <v/>
      </c>
      <c r="GQ46">
        <f>GQ45*IF(OR($C45=99,$G45=99),0,1)</f>
        <v/>
      </c>
      <c r="GR46">
        <f>GR45*IF(OR($C45=100,$G45=100),0,1)</f>
        <v/>
      </c>
      <c r="GS46">
        <f>GS45*IF(OR($C45=101,$G45=101),0,1)</f>
        <v/>
      </c>
      <c r="GT46">
        <f>GT45*IF(OR($C45=102,$G45=102),0,1)</f>
        <v/>
      </c>
      <c r="GU46">
        <f>GU45*IF(OR($C45=103,$G45=103),0,1)</f>
        <v/>
      </c>
      <c r="GV46">
        <f>GV45*IF(OR($C45=104,$G45=104),0,1)</f>
        <v/>
      </c>
      <c r="GW46">
        <f>GW45*IF(OR($C45=105,$G45=105),0,1)</f>
        <v/>
      </c>
      <c r="GX46">
        <f>GX45*IF(OR($C45=106,$G45=106),0,1)</f>
        <v/>
      </c>
      <c r="GY46">
        <f>GY45*IF(OR($C45=107,$G45=107),0,1)</f>
        <v/>
      </c>
      <c r="GZ46">
        <f>GZ45*IF(OR($C45=108,$G45=108),0,1)</f>
        <v/>
      </c>
      <c r="HA46">
        <f>HA45*IF(OR($C45=109,$G45=109),0,1)</f>
        <v/>
      </c>
      <c r="HB46">
        <f>HB45*IF(OR($C45=110,$G45=110),0,1)</f>
        <v/>
      </c>
      <c r="HC46">
        <f>HC45*IF(OR($C45=111,$G45=111),0,1)</f>
        <v/>
      </c>
      <c r="HD46">
        <f>HD45*IF(OR($C45=112,$G45=112),0,1)</f>
        <v/>
      </c>
      <c r="HE46">
        <f>HE45*IF(OR($C45=113,$G45=113),0,1)</f>
        <v/>
      </c>
      <c r="HF46">
        <f>HF45*IF(OR($C45=114,$G45=114),0,1)</f>
        <v/>
      </c>
      <c r="HG46">
        <f>HG45*IF(OR($C45=115,$G45=115),0,1)</f>
        <v/>
      </c>
      <c r="HH46">
        <f>HH45*IF(OR($C45=116,$G45=116),0,1)</f>
        <v/>
      </c>
      <c r="HI46">
        <f>HI45*IF(OR($C45=117,$G45=117),0,1)</f>
        <v/>
      </c>
      <c r="HJ46">
        <f>HJ45*IF(OR($C45=118,$G45=118),0,1)</f>
        <v/>
      </c>
      <c r="HK46">
        <f>HK45*IF(OR($C45=119,$G45=119),0,1)</f>
        <v/>
      </c>
      <c r="HL46">
        <f>HL45*IF(OR($C45=120,$G45=120),0,1)</f>
        <v/>
      </c>
      <c r="HN46">
        <f>IF('計算A'!D$106=1,CX46,1)</f>
        <v/>
      </c>
      <c r="HO46">
        <f>IF('計算A'!E$106=1,CY46,1)</f>
        <v/>
      </c>
      <c r="HP46">
        <f>IF('計算A'!F$106=1,CZ46,1)</f>
        <v/>
      </c>
      <c r="HQ46">
        <f>IF('計算A'!G$106=1,DA46,1)</f>
        <v/>
      </c>
      <c r="HR46">
        <f>IF('計算A'!H$106=1,DB46,1)</f>
        <v/>
      </c>
      <c r="HS46">
        <f>IF('計算A'!I$106=1,DC46,1)</f>
        <v/>
      </c>
      <c r="HT46">
        <f>IF('計算A'!J$106=1,DD46,1)</f>
        <v/>
      </c>
      <c r="HU46">
        <f>IF('計算A'!K$106=1,DE46,1)</f>
        <v/>
      </c>
      <c r="HV46">
        <f>IF('計算A'!L$106=1,DF46,1)</f>
        <v/>
      </c>
      <c r="HW46">
        <f>IF('計算A'!M$106=1,DG46,1)</f>
        <v/>
      </c>
      <c r="HX46">
        <f>IF('計算A'!N$106=1,DH46,1)</f>
        <v/>
      </c>
      <c r="HY46">
        <f>IF('計算A'!O$106=1,DI46,1)</f>
        <v/>
      </c>
      <c r="HZ46">
        <f>IF('計算A'!P$106=1,DJ46,1)</f>
        <v/>
      </c>
      <c r="IA46">
        <f>IF('計算A'!Q$106=1,DK46,1)</f>
        <v/>
      </c>
      <c r="IB46">
        <f>IF('計算A'!R$106=1,DL46,1)</f>
        <v/>
      </c>
      <c r="IC46">
        <f>IF('計算A'!S$106=1,DM46,1)</f>
        <v/>
      </c>
      <c r="ID46">
        <f>IF('計算A'!T$106=1,DN46,1)</f>
        <v/>
      </c>
      <c r="IE46">
        <f>IF('計算A'!U$106=1,DO46,1)</f>
        <v/>
      </c>
      <c r="IF46">
        <f>IF('計算A'!V$106=1,DP46,1)</f>
        <v/>
      </c>
      <c r="IG46">
        <f>IF('計算A'!W$106=1,DQ46,1)</f>
        <v/>
      </c>
      <c r="IH46">
        <f>IF('計算A'!X$106=1,DR46,1)</f>
        <v/>
      </c>
      <c r="II46">
        <f>IF('計算A'!Y$106=1,DS46,1)</f>
        <v/>
      </c>
      <c r="IJ46">
        <f>IF('計算A'!Z$106=1,DT46,1)</f>
        <v/>
      </c>
      <c r="IK46">
        <f>IF('計算A'!AA$106=1,DU46,1)</f>
        <v/>
      </c>
      <c r="IL46">
        <f>IF('計算A'!AB$106=1,DV46,1)</f>
        <v/>
      </c>
      <c r="IM46">
        <f>IF('計算A'!AC$106=1,DW46,1)</f>
        <v/>
      </c>
      <c r="IN46">
        <f>IF('計算A'!AD$106=1,DX46,1)</f>
        <v/>
      </c>
      <c r="IO46">
        <f>IF('計算A'!AE$106=1,DY46,1)</f>
        <v/>
      </c>
      <c r="IP46">
        <f>IF('計算A'!AF$106=1,DZ46,1)</f>
        <v/>
      </c>
      <c r="IQ46">
        <f>IF('計算A'!AG$106=1,EA46,1)</f>
        <v/>
      </c>
      <c r="IR46">
        <f>IF('計算A'!AH$106=1,EB46,1)</f>
        <v/>
      </c>
      <c r="IS46">
        <f>IF('計算A'!AI$106=1,EC46,1)</f>
        <v/>
      </c>
      <c r="IT46">
        <f>IF('計算A'!AJ$106=1,ED46,1)</f>
        <v/>
      </c>
      <c r="IU46">
        <f>IF('計算A'!AK$106=1,EE46,1)</f>
        <v/>
      </c>
      <c r="IV46">
        <f>IF('計算A'!AL$106=1,EF46,1)</f>
        <v/>
      </c>
      <c r="IW46">
        <f>IF('計算A'!AM$106=1,EG46,1)</f>
        <v/>
      </c>
      <c r="IX46">
        <f>IF('計算A'!AN$106=1,EH46,1)</f>
        <v/>
      </c>
      <c r="IY46">
        <f>IF('計算A'!AO$106=1,EI46,1)</f>
        <v/>
      </c>
      <c r="IZ46">
        <f>IF('計算A'!AP$106=1,EJ46,1)</f>
        <v/>
      </c>
      <c r="JA46">
        <f>IF('計算A'!AQ$106=1,EK46,1)</f>
        <v/>
      </c>
      <c r="JB46">
        <f>IF('計算A'!AR$106=1,EL46,1)</f>
        <v/>
      </c>
      <c r="JC46">
        <f>IF('計算A'!AS$106=1,EM46,1)</f>
        <v/>
      </c>
      <c r="JD46">
        <f>IF('計算A'!AT$106=1,EN46,1)</f>
        <v/>
      </c>
      <c r="JE46">
        <f>IF('計算A'!AU$106=1,EO46,1)</f>
        <v/>
      </c>
      <c r="JF46">
        <f>IF('計算A'!AV$106=1,EP46,1)</f>
        <v/>
      </c>
      <c r="JG46">
        <f>IF('計算A'!AW$106=1,EQ46,1)</f>
        <v/>
      </c>
      <c r="JH46">
        <f>IF('計算A'!AX$106=1,ER46,1)</f>
        <v/>
      </c>
      <c r="JI46">
        <f>IF('計算A'!AY$106=1,ES46,1)</f>
        <v/>
      </c>
      <c r="JJ46">
        <f>IF('計算A'!AZ$106=1,ET46,1)</f>
        <v/>
      </c>
      <c r="JK46">
        <f>IF('計算A'!BA$106=1,EU46,1)</f>
        <v/>
      </c>
      <c r="JL46">
        <f>IF('計算A'!BB$106=1,EV46,1)</f>
        <v/>
      </c>
      <c r="JM46">
        <f>IF('計算A'!BC$106=1,EW46,1)</f>
        <v/>
      </c>
      <c r="JN46">
        <f>IF('計算A'!BD$106=1,EX46,1)</f>
        <v/>
      </c>
      <c r="JO46">
        <f>IF('計算A'!BE$106=1,EY46,1)</f>
        <v/>
      </c>
      <c r="JP46">
        <f>IF('計算A'!BF$106=1,EZ46,1)</f>
        <v/>
      </c>
      <c r="JQ46">
        <f>IF('計算A'!BG$106=1,FA46,1)</f>
        <v/>
      </c>
      <c r="JR46">
        <f>IF('計算A'!BH$106=1,FB46,1)</f>
        <v/>
      </c>
      <c r="JS46">
        <f>IF('計算A'!BI$106=1,FC46,1)</f>
        <v/>
      </c>
      <c r="JT46">
        <f>IF('計算A'!BJ$106=1,FD46,1)</f>
        <v/>
      </c>
      <c r="JU46">
        <f>IF('計算A'!BK$106=1,FE46,1)</f>
        <v/>
      </c>
      <c r="JV46">
        <f>IF('計算A'!BL$106=1,FF46,1)</f>
        <v/>
      </c>
      <c r="JW46">
        <f>IF('計算A'!BM$106=1,FG46,1)</f>
        <v/>
      </c>
      <c r="JX46">
        <f>IF('計算A'!BN$106=1,FH46,1)</f>
        <v/>
      </c>
      <c r="JY46">
        <f>IF('計算A'!BO$106=1,FI46,1)</f>
        <v/>
      </c>
      <c r="JZ46">
        <f>IF('計算A'!BP$106=1,FJ46,1)</f>
        <v/>
      </c>
      <c r="KA46">
        <f>IF('計算A'!BQ$106=1,FK46,1)</f>
        <v/>
      </c>
      <c r="KB46">
        <f>IF('計算A'!BR$106=1,FL46,1)</f>
        <v/>
      </c>
      <c r="KC46">
        <f>IF('計算A'!BS$106=1,FM46,1)</f>
        <v/>
      </c>
      <c r="KD46">
        <f>IF('計算A'!BT$106=1,FN46,1)</f>
        <v/>
      </c>
      <c r="KE46">
        <f>IF('計算A'!BU$106=1,FO46,1)</f>
        <v/>
      </c>
      <c r="KF46">
        <f>IF('計算A'!BV$106=1,FP46,1)</f>
        <v/>
      </c>
      <c r="KG46">
        <f>IF('計算A'!BW$106=1,FQ46,1)</f>
        <v/>
      </c>
      <c r="KH46">
        <f>IF('計算A'!BX$106=1,FR46,1)</f>
        <v/>
      </c>
      <c r="KI46">
        <f>IF('計算A'!BY$106=1,FS46,1)</f>
        <v/>
      </c>
      <c r="KJ46">
        <f>IF('計算A'!BZ$106=1,FT46,1)</f>
        <v/>
      </c>
      <c r="KK46">
        <f>IF('計算A'!CA$106=1,FU46,1)</f>
        <v/>
      </c>
      <c r="KL46">
        <f>IF('計算A'!CB$106=1,FV46,1)</f>
        <v/>
      </c>
      <c r="KM46">
        <f>IF('計算A'!CC$106=1,FW46,1)</f>
        <v/>
      </c>
      <c r="KN46">
        <f>IF('計算A'!CD$106=1,FX46,1)</f>
        <v/>
      </c>
      <c r="KO46">
        <f>IF('計算A'!CE$106=1,FY46,1)</f>
        <v/>
      </c>
      <c r="KP46">
        <f>IF('計算A'!CF$106=1,FZ46,1)</f>
        <v/>
      </c>
      <c r="KQ46">
        <f>IF('計算A'!CG$106=1,GA46,1)</f>
        <v/>
      </c>
      <c r="KR46">
        <f>IF('計算A'!CH$106=1,GB46,1)</f>
        <v/>
      </c>
      <c r="KS46">
        <f>IF('計算A'!CI$106=1,GC46,1)</f>
        <v/>
      </c>
      <c r="KT46">
        <f>IF('計算A'!CJ$106=1,GD46,1)</f>
        <v/>
      </c>
      <c r="KU46">
        <f>IF('計算A'!CK$106=1,GE46,1)</f>
        <v/>
      </c>
      <c r="KV46">
        <f>IF('計算A'!CL$106=1,GF46,1)</f>
        <v/>
      </c>
      <c r="KW46">
        <f>IF('計算A'!CM$106=1,GG46,1)</f>
        <v/>
      </c>
      <c r="KX46">
        <f>IF('計算A'!CN$106=1,GH46,1)</f>
        <v/>
      </c>
      <c r="KY46">
        <f>IF('計算A'!CO$106=1,GI46,1)</f>
        <v/>
      </c>
      <c r="KZ46">
        <f>IF('計算A'!CP$106=1,GJ46,1)</f>
        <v/>
      </c>
      <c r="LA46">
        <f>IF('計算A'!CQ$106=1,GK46,1)</f>
        <v/>
      </c>
      <c r="LB46">
        <f>IF('計算A'!CR$106=1,GL46,1)</f>
        <v/>
      </c>
      <c r="LC46">
        <f>IF('計算A'!CS$106=1,GM46,1)</f>
        <v/>
      </c>
      <c r="LD46">
        <f>IF('計算A'!CT$106=1,GN46,1)</f>
        <v/>
      </c>
      <c r="LE46">
        <f>IF('計算A'!CU$106=1,GO46,1)</f>
        <v/>
      </c>
      <c r="LF46">
        <f>IF('計算A'!CV$106=1,GP46,1)</f>
        <v/>
      </c>
      <c r="LG46">
        <f>IF('計算A'!CW$106=1,GQ46,1)</f>
        <v/>
      </c>
      <c r="LH46">
        <f>IF('計算A'!CX$106=1,GR46,1)</f>
        <v/>
      </c>
      <c r="LI46">
        <f>IF('計算A'!CY$106=1,GS46,1)</f>
        <v/>
      </c>
      <c r="LJ46">
        <f>IF('計算A'!CZ$106=1,GT46,1)</f>
        <v/>
      </c>
      <c r="LK46">
        <f>IF('計算A'!DA$106=1,GU46,1)</f>
        <v/>
      </c>
      <c r="LL46">
        <f>IF('計算A'!DB$106=1,GV46,1)</f>
        <v/>
      </c>
      <c r="LM46">
        <f>IF('計算A'!DC$106=1,GW46,1)</f>
        <v/>
      </c>
      <c r="LN46">
        <f>IF('計算A'!DD$106=1,GX46,1)</f>
        <v/>
      </c>
      <c r="LO46">
        <f>IF('計算A'!DE$106=1,GY46,1)</f>
        <v/>
      </c>
      <c r="LP46">
        <f>IF('計算A'!DF$106=1,GZ46,1)</f>
        <v/>
      </c>
      <c r="LQ46">
        <f>IF('計算A'!DG$106=1,HA46,1)</f>
        <v/>
      </c>
      <c r="LR46">
        <f>IF('計算A'!DH$106=1,HB46,1)</f>
        <v/>
      </c>
      <c r="LS46">
        <f>IF('計算A'!DI$106=1,HC46,1)</f>
        <v/>
      </c>
      <c r="LT46">
        <f>IF('計算A'!DJ$106=1,HD46,1)</f>
        <v/>
      </c>
      <c r="LU46">
        <f>IF('計算A'!DK$106=1,HE46,1)</f>
        <v/>
      </c>
      <c r="LV46">
        <f>IF('計算A'!DL$106=1,HF46,1)</f>
        <v/>
      </c>
      <c r="LW46">
        <f>IF('計算A'!DM$106=1,HG46,1)</f>
        <v/>
      </c>
      <c r="LX46">
        <f>IF('計算A'!DN$106=1,HH46,1)</f>
        <v/>
      </c>
      <c r="LY46">
        <f>IF('計算A'!DO$106=1,HI46,1)</f>
        <v/>
      </c>
      <c r="LZ46">
        <f>IF('計算A'!DP$106=1,HJ46,1)</f>
        <v/>
      </c>
      <c r="MA46">
        <f>IF('計算A'!DQ$106=1,HK46,1)</f>
        <v/>
      </c>
      <c r="MB46">
        <f>IF('計算A'!DR$106=1,HL46,1)</f>
        <v/>
      </c>
      <c r="MC46" t="n">
        <v>1</v>
      </c>
      <c r="ME46">
        <f>IF($B46=0,1000000,IF(INDEX('計算A'!$D$60:$DS$104,$B46,1)*CW46=1,IF(AND($E46=2,HN46=0),1000000,INDEX('計算A'!D$110:D$114,$F46+1)+IF(AND($E46=1,HN46=0),1000,0)),1000000))</f>
        <v/>
      </c>
      <c r="MF46">
        <f>IF($B46=0,1000000,IF(INDEX('計算A'!$D$60:$DS$104,$B46,2)*CX46=1,IF(AND($E46=2,HO46=0),1000000,INDEX('計算A'!E$110:E$114,$F46+1)+IF(AND($E46=1,HO46=0),1000,0)),1000000))</f>
        <v/>
      </c>
      <c r="MG46">
        <f>IF($B46=0,1000000,IF(INDEX('計算A'!$D$60:$DS$104,$B46,3)*CY46=1,IF(AND($E46=2,HP46=0),1000000,INDEX('計算A'!F$110:F$114,$F46+1)+IF(AND($E46=1,HP46=0),1000,0)),1000000))</f>
        <v/>
      </c>
      <c r="MH46">
        <f>IF($B46=0,1000000,IF(INDEX('計算A'!$D$60:$DS$104,$B46,4)*CZ46=1,IF(AND($E46=2,HQ46=0),1000000,INDEX('計算A'!G$110:G$114,$F46+1)+IF(AND($E46=1,HQ46=0),1000,0)),1000000))</f>
        <v/>
      </c>
      <c r="MI46">
        <f>IF($B46=0,1000000,IF(INDEX('計算A'!$D$60:$DS$104,$B46,5)*DA46=1,IF(AND($E46=2,HR46=0),1000000,INDEX('計算A'!H$110:H$114,$F46+1)+IF(AND($E46=1,HR46=0),1000,0)),1000000))</f>
        <v/>
      </c>
      <c r="MJ46">
        <f>IF($B46=0,1000000,IF(INDEX('計算A'!$D$60:$DS$104,$B46,6)*DB46=1,IF(AND($E46=2,HS46=0),1000000,INDEX('計算A'!I$110:I$114,$F46+1)+IF(AND($E46=1,HS46=0),1000,0)),1000000))</f>
        <v/>
      </c>
      <c r="MK46">
        <f>IF($B46=0,1000000,IF(INDEX('計算A'!$D$60:$DS$104,$B46,7)*DC46=1,IF(AND($E46=2,HT46=0),1000000,INDEX('計算A'!J$110:J$114,$F46+1)+IF(AND($E46=1,HT46=0),1000,0)),1000000))</f>
        <v/>
      </c>
      <c r="ML46">
        <f>IF($B46=0,1000000,IF(INDEX('計算A'!$D$60:$DS$104,$B46,8)*DD46=1,IF(AND($E46=2,HU46=0),1000000,INDEX('計算A'!K$110:K$114,$F46+1)+IF(AND($E46=1,HU46=0),1000,0)),1000000))</f>
        <v/>
      </c>
      <c r="MM46">
        <f>IF($B46=0,1000000,IF(INDEX('計算A'!$D$60:$DS$104,$B46,9)*DE46=1,IF(AND($E46=2,HV46=0),1000000,INDEX('計算A'!L$110:L$114,$F46+1)+IF(AND($E46=1,HV46=0),1000,0)),1000000))</f>
        <v/>
      </c>
      <c r="MN46">
        <f>IF($B46=0,1000000,IF(INDEX('計算A'!$D$60:$DS$104,$B46,10)*DF46=1,IF(AND($E46=2,HW46=0),1000000,INDEX('計算A'!M$110:M$114,$F46+1)+IF(AND($E46=1,HW46=0),1000,0)),1000000))</f>
        <v/>
      </c>
      <c r="MO46">
        <f>IF($B46=0,1000000,IF(INDEX('計算A'!$D$60:$DS$104,$B46,11)*DG46=1,IF(AND($E46=2,HX46=0),1000000,INDEX('計算A'!N$110:N$114,$F46+1)+IF(AND($E46=1,HX46=0),1000,0)),1000000))</f>
        <v/>
      </c>
      <c r="MP46">
        <f>IF($B46=0,1000000,IF(INDEX('計算A'!$D$60:$DS$104,$B46,12)*DH46=1,IF(AND($E46=2,HY46=0),1000000,INDEX('計算A'!O$110:O$114,$F46+1)+IF(AND($E46=1,HY46=0),1000,0)),1000000))</f>
        <v/>
      </c>
      <c r="MQ46">
        <f>IF($B46=0,1000000,IF(INDEX('計算A'!$D$60:$DS$104,$B46,13)*DI46=1,IF(AND($E46=2,HZ46=0),1000000,INDEX('計算A'!P$110:P$114,$F46+1)+IF(AND($E46=1,HZ46=0),1000,0)),1000000))</f>
        <v/>
      </c>
      <c r="MR46">
        <f>IF($B46=0,1000000,IF(INDEX('計算A'!$D$60:$DS$104,$B46,14)*DJ46=1,IF(AND($E46=2,IA46=0),1000000,INDEX('計算A'!Q$110:Q$114,$F46+1)+IF(AND($E46=1,IA46=0),1000,0)),1000000))</f>
        <v/>
      </c>
      <c r="MS46">
        <f>IF($B46=0,1000000,IF(INDEX('計算A'!$D$60:$DS$104,$B46,15)*DK46=1,IF(AND($E46=2,IB46=0),1000000,INDEX('計算A'!R$110:R$114,$F46+1)+IF(AND($E46=1,IB46=0),1000,0)),1000000))</f>
        <v/>
      </c>
      <c r="MT46">
        <f>IF($B46=0,1000000,IF(INDEX('計算A'!$D$60:$DS$104,$B46,16)*DL46=1,IF(AND($E46=2,IC46=0),1000000,INDEX('計算A'!S$110:S$114,$F46+1)+IF(AND($E46=1,IC46=0),1000,0)),1000000))</f>
        <v/>
      </c>
      <c r="MU46">
        <f>IF($B46=0,1000000,IF(INDEX('計算A'!$D$60:$DS$104,$B46,17)*DM46=1,IF(AND($E46=2,ID46=0),1000000,INDEX('計算A'!T$110:T$114,$F46+1)+IF(AND($E46=1,ID46=0),1000,0)),1000000))</f>
        <v/>
      </c>
      <c r="MV46">
        <f>IF($B46=0,1000000,IF(INDEX('計算A'!$D$60:$DS$104,$B46,18)*DN46=1,IF(AND($E46=2,IE46=0),1000000,INDEX('計算A'!U$110:U$114,$F46+1)+IF(AND($E46=1,IE46=0),1000,0)),1000000))</f>
        <v/>
      </c>
      <c r="MW46">
        <f>IF($B46=0,1000000,IF(INDEX('計算A'!$D$60:$DS$104,$B46,19)*DO46=1,IF(AND($E46=2,IF46=0),1000000,INDEX('計算A'!V$110:V$114,$F46+1)+IF(AND($E46=1,IF46=0),1000,0)),1000000))</f>
        <v/>
      </c>
      <c r="MX46">
        <f>IF($B46=0,1000000,IF(INDEX('計算A'!$D$60:$DS$104,$B46,20)*DP46=1,IF(AND($E46=2,IG46=0),1000000,INDEX('計算A'!W$110:W$114,$F46+1)+IF(AND($E46=1,IG46=0),1000,0)),1000000))</f>
        <v/>
      </c>
      <c r="MY46">
        <f>IF($B46=0,1000000,IF(INDEX('計算A'!$D$60:$DS$104,$B46,21)*DQ46=1,IF(AND($E46=2,IH46=0),1000000,INDEX('計算A'!X$110:X$114,$F46+1)+IF(AND($E46=1,IH46=0),1000,0)),1000000))</f>
        <v/>
      </c>
      <c r="MZ46">
        <f>IF($B46=0,1000000,IF(INDEX('計算A'!$D$60:$DS$104,$B46,22)*DR46=1,IF(AND($E46=2,II46=0),1000000,INDEX('計算A'!Y$110:Y$114,$F46+1)+IF(AND($E46=1,II46=0),1000,0)),1000000))</f>
        <v/>
      </c>
      <c r="NA46">
        <f>IF($B46=0,1000000,IF(INDEX('計算A'!$D$60:$DS$104,$B46,23)*DS46=1,IF(AND($E46=2,IJ46=0),1000000,INDEX('計算A'!Z$110:Z$114,$F46+1)+IF(AND($E46=1,IJ46=0),1000,0)),1000000))</f>
        <v/>
      </c>
      <c r="NB46">
        <f>IF($B46=0,1000000,IF(INDEX('計算A'!$D$60:$DS$104,$B46,24)*DT46=1,IF(AND($E46=2,IK46=0),1000000,INDEX('計算A'!AA$110:AA$114,$F46+1)+IF(AND($E46=1,IK46=0),1000,0)),1000000))</f>
        <v/>
      </c>
      <c r="NC46">
        <f>IF($B46=0,1000000,IF(INDEX('計算A'!$D$60:$DS$104,$B46,25)*DU46=1,IF(AND($E46=2,IL46=0),1000000,INDEX('計算A'!AB$110:AB$114,$F46+1)+IF(AND($E46=1,IL46=0),1000,0)),1000000))</f>
        <v/>
      </c>
      <c r="ND46">
        <f>IF($B46=0,1000000,IF(INDEX('計算A'!$D$60:$DS$104,$B46,26)*DV46=1,IF(AND($E46=2,IM46=0),1000000,INDEX('計算A'!AC$110:AC$114,$F46+1)+IF(AND($E46=1,IM46=0),1000,0)),1000000))</f>
        <v/>
      </c>
      <c r="NE46">
        <f>IF($B46=0,1000000,IF(INDEX('計算A'!$D$60:$DS$104,$B46,27)*DW46=1,IF(AND($E46=2,IN46=0),1000000,INDEX('計算A'!AD$110:AD$114,$F46+1)+IF(AND($E46=1,IN46=0),1000,0)),1000000))</f>
        <v/>
      </c>
      <c r="NF46">
        <f>IF($B46=0,1000000,IF(INDEX('計算A'!$D$60:$DS$104,$B46,28)*DX46=1,IF(AND($E46=2,IO46=0),1000000,INDEX('計算A'!AE$110:AE$114,$F46+1)+IF(AND($E46=1,IO46=0),1000,0)),1000000))</f>
        <v/>
      </c>
      <c r="NG46">
        <f>IF($B46=0,1000000,IF(INDEX('計算A'!$D$60:$DS$104,$B46,29)*DY46=1,IF(AND($E46=2,IP46=0),1000000,INDEX('計算A'!AF$110:AF$114,$F46+1)+IF(AND($E46=1,IP46=0),1000,0)),1000000))</f>
        <v/>
      </c>
      <c r="NH46">
        <f>IF($B46=0,1000000,IF(INDEX('計算A'!$D$60:$DS$104,$B46,30)*DZ46=1,IF(AND($E46=2,IQ46=0),1000000,INDEX('計算A'!AG$110:AG$114,$F46+1)+IF(AND($E46=1,IQ46=0),1000,0)),1000000))</f>
        <v/>
      </c>
      <c r="NI46">
        <f>IF($B46=0,1000000,IF(INDEX('計算A'!$D$60:$DS$104,$B46,31)*EA46=1,IF(AND($E46=2,IR46=0),1000000,INDEX('計算A'!AH$110:AH$114,$F46+1)+IF(AND($E46=1,IR46=0),1000,0)),1000000))</f>
        <v/>
      </c>
      <c r="NJ46">
        <f>IF($B46=0,1000000,IF(INDEX('計算A'!$D$60:$DS$104,$B46,32)*EB46=1,IF(AND($E46=2,IS46=0),1000000,INDEX('計算A'!AI$110:AI$114,$F46+1)+IF(AND($E46=1,IS46=0),1000,0)),1000000))</f>
        <v/>
      </c>
      <c r="NK46">
        <f>IF($B46=0,1000000,IF(INDEX('計算A'!$D$60:$DS$104,$B46,33)*EC46=1,IF(AND($E46=2,IT46=0),1000000,INDEX('計算A'!AJ$110:AJ$114,$F46+1)+IF(AND($E46=1,IT46=0),1000,0)),1000000))</f>
        <v/>
      </c>
      <c r="NL46">
        <f>IF($B46=0,1000000,IF(INDEX('計算A'!$D$60:$DS$104,$B46,34)*ED46=1,IF(AND($E46=2,IU46=0),1000000,INDEX('計算A'!AK$110:AK$114,$F46+1)+IF(AND($E46=1,IU46=0),1000,0)),1000000))</f>
        <v/>
      </c>
      <c r="NM46">
        <f>IF($B46=0,1000000,IF(INDEX('計算A'!$D$60:$DS$104,$B46,35)*EE46=1,IF(AND($E46=2,IV46=0),1000000,INDEX('計算A'!AL$110:AL$114,$F46+1)+IF(AND($E46=1,IV46=0),1000,0)),1000000))</f>
        <v/>
      </c>
      <c r="NN46">
        <f>IF($B46=0,1000000,IF(INDEX('計算A'!$D$60:$DS$104,$B46,36)*EF46=1,IF(AND($E46=2,IW46=0),1000000,INDEX('計算A'!AM$110:AM$114,$F46+1)+IF(AND($E46=1,IW46=0),1000,0)),1000000))</f>
        <v/>
      </c>
      <c r="NO46">
        <f>IF($B46=0,1000000,IF(INDEX('計算A'!$D$60:$DS$104,$B46,37)*EG46=1,IF(AND($E46=2,IX46=0),1000000,INDEX('計算A'!AN$110:AN$114,$F46+1)+IF(AND($E46=1,IX46=0),1000,0)),1000000))</f>
        <v/>
      </c>
      <c r="NP46">
        <f>IF($B46=0,1000000,IF(INDEX('計算A'!$D$60:$DS$104,$B46,38)*EH46=1,IF(AND($E46=2,IY46=0),1000000,INDEX('計算A'!AO$110:AO$114,$F46+1)+IF(AND($E46=1,IY46=0),1000,0)),1000000))</f>
        <v/>
      </c>
      <c r="NQ46">
        <f>IF($B46=0,1000000,IF(INDEX('計算A'!$D$60:$DS$104,$B46,39)*EI46=1,IF(AND($E46=2,IZ46=0),1000000,INDEX('計算A'!AP$110:AP$114,$F46+1)+IF(AND($E46=1,IZ46=0),1000,0)),1000000))</f>
        <v/>
      </c>
      <c r="NR46">
        <f>IF($B46=0,1000000,IF(INDEX('計算A'!$D$60:$DS$104,$B46,40)*EJ46=1,IF(AND($E46=2,JA46=0),1000000,INDEX('計算A'!AQ$110:AQ$114,$F46+1)+IF(AND($E46=1,JA46=0),1000,0)),1000000))</f>
        <v/>
      </c>
      <c r="NS46">
        <f>IF($B46=0,1000000,IF(INDEX('計算A'!$D$60:$DS$104,$B46,41)*EK46=1,IF(AND($E46=2,JB46=0),1000000,INDEX('計算A'!AR$110:AR$114,$F46+1)+IF(AND($E46=1,JB46=0),1000,0)),1000000))</f>
        <v/>
      </c>
      <c r="NT46">
        <f>IF($B46=0,1000000,IF(INDEX('計算A'!$D$60:$DS$104,$B46,42)*EL46=1,IF(AND($E46=2,JC46=0),1000000,INDEX('計算A'!AS$110:AS$114,$F46+1)+IF(AND($E46=1,JC46=0),1000,0)),1000000))</f>
        <v/>
      </c>
      <c r="NU46">
        <f>IF($B46=0,1000000,IF(INDEX('計算A'!$D$60:$DS$104,$B46,43)*EM46=1,IF(AND($E46=2,JD46=0),1000000,INDEX('計算A'!AT$110:AT$114,$F46+1)+IF(AND($E46=1,JD46=0),1000,0)),1000000))</f>
        <v/>
      </c>
      <c r="NV46">
        <f>IF($B46=0,1000000,IF(INDEX('計算A'!$D$60:$DS$104,$B46,44)*EN46=1,IF(AND($E46=2,JE46=0),1000000,INDEX('計算A'!AU$110:AU$114,$F46+1)+IF(AND($E46=1,JE46=0),1000,0)),1000000))</f>
        <v/>
      </c>
      <c r="NW46">
        <f>IF($B46=0,1000000,IF(INDEX('計算A'!$D$60:$DS$104,$B46,45)*EO46=1,IF(AND($E46=2,JF46=0),1000000,INDEX('計算A'!AV$110:AV$114,$F46+1)+IF(AND($E46=1,JF46=0),1000,0)),1000000))</f>
        <v/>
      </c>
      <c r="NX46">
        <f>IF($B46=0,1000000,IF(INDEX('計算A'!$D$60:$DS$104,$B46,46)*EP46=1,IF(AND($E46=2,JG46=0),1000000,INDEX('計算A'!AW$110:AW$114,$F46+1)+IF(AND($E46=1,JG46=0),1000,0)),1000000))</f>
        <v/>
      </c>
      <c r="NY46">
        <f>IF($B46=0,1000000,IF(INDEX('計算A'!$D$60:$DS$104,$B46,47)*EQ46=1,IF(AND($E46=2,JH46=0),1000000,INDEX('計算A'!AX$110:AX$114,$F46+1)+IF(AND($E46=1,JH46=0),1000,0)),1000000))</f>
        <v/>
      </c>
      <c r="NZ46">
        <f>IF($B46=0,1000000,IF(INDEX('計算A'!$D$60:$DS$104,$B46,48)*ER46=1,IF(AND($E46=2,JI46=0),1000000,INDEX('計算A'!AY$110:AY$114,$F46+1)+IF(AND($E46=1,JI46=0),1000,0)),1000000))</f>
        <v/>
      </c>
      <c r="OA46">
        <f>IF($B46=0,1000000,IF(INDEX('計算A'!$D$60:$DS$104,$B46,49)*ES46=1,IF(AND($E46=2,JJ46=0),1000000,INDEX('計算A'!AZ$110:AZ$114,$F46+1)+IF(AND($E46=1,JJ46=0),1000,0)),1000000))</f>
        <v/>
      </c>
      <c r="OB46">
        <f>IF($B46=0,1000000,IF(INDEX('計算A'!$D$60:$DS$104,$B46,50)*ET46=1,IF(AND($E46=2,JK46=0),1000000,INDEX('計算A'!BA$110:BA$114,$F46+1)+IF(AND($E46=1,JK46=0),1000,0)),1000000))</f>
        <v/>
      </c>
      <c r="OC46">
        <f>IF($B46=0,1000000,IF(INDEX('計算A'!$D$60:$DS$104,$B46,51)*EU46=1,IF(AND($E46=2,JL46=0),1000000,INDEX('計算A'!BB$110:BB$114,$F46+1)+IF(AND($E46=1,JL46=0),1000,0)),1000000))</f>
        <v/>
      </c>
      <c r="OD46">
        <f>IF($B46=0,1000000,IF(INDEX('計算A'!$D$60:$DS$104,$B46,52)*EV46=1,IF(AND($E46=2,JM46=0),1000000,INDEX('計算A'!BC$110:BC$114,$F46+1)+IF(AND($E46=1,JM46=0),1000,0)),1000000))</f>
        <v/>
      </c>
      <c r="OE46">
        <f>IF($B46=0,1000000,IF(INDEX('計算A'!$D$60:$DS$104,$B46,53)*EW46=1,IF(AND($E46=2,JN46=0),1000000,INDEX('計算A'!BD$110:BD$114,$F46+1)+IF(AND($E46=1,JN46=0),1000,0)),1000000))</f>
        <v/>
      </c>
      <c r="OF46">
        <f>IF($B46=0,1000000,IF(INDEX('計算A'!$D$60:$DS$104,$B46,54)*EX46=1,IF(AND($E46=2,JO46=0),1000000,INDEX('計算A'!BE$110:BE$114,$F46+1)+IF(AND($E46=1,JO46=0),1000,0)),1000000))</f>
        <v/>
      </c>
      <c r="OG46">
        <f>IF($B46=0,1000000,IF(INDEX('計算A'!$D$60:$DS$104,$B46,55)*EY46=1,IF(AND($E46=2,JP46=0),1000000,INDEX('計算A'!BF$110:BF$114,$F46+1)+IF(AND($E46=1,JP46=0),1000,0)),1000000))</f>
        <v/>
      </c>
      <c r="OH46">
        <f>IF($B46=0,1000000,IF(INDEX('計算A'!$D$60:$DS$104,$B46,56)*EZ46=1,IF(AND($E46=2,JQ46=0),1000000,INDEX('計算A'!BG$110:BG$114,$F46+1)+IF(AND($E46=1,JQ46=0),1000,0)),1000000))</f>
        <v/>
      </c>
      <c r="OI46">
        <f>IF($B46=0,1000000,IF(INDEX('計算A'!$D$60:$DS$104,$B46,57)*FA46=1,IF(AND($E46=2,JR46=0),1000000,INDEX('計算A'!BH$110:BH$114,$F46+1)+IF(AND($E46=1,JR46=0),1000,0)),1000000))</f>
        <v/>
      </c>
      <c r="OJ46">
        <f>IF($B46=0,1000000,IF(INDEX('計算A'!$D$60:$DS$104,$B46,58)*FB46=1,IF(AND($E46=2,JS46=0),1000000,INDEX('計算A'!BI$110:BI$114,$F46+1)+IF(AND($E46=1,JS46=0),1000,0)),1000000))</f>
        <v/>
      </c>
      <c r="OK46">
        <f>IF($B46=0,1000000,IF(INDEX('計算A'!$D$60:$DS$104,$B46,59)*FC46=1,IF(AND($E46=2,JT46=0),1000000,INDEX('計算A'!BJ$110:BJ$114,$F46+1)+IF(AND($E46=1,JT46=0),1000,0)),1000000))</f>
        <v/>
      </c>
      <c r="OL46">
        <f>IF($B46=0,1000000,IF(INDEX('計算A'!$D$60:$DS$104,$B46,60)*FD46=1,IF(AND($E46=2,JU46=0),1000000,INDEX('計算A'!BK$110:BK$114,$F46+1)+IF(AND($E46=1,JU46=0),1000,0)),1000000))</f>
        <v/>
      </c>
      <c r="OM46">
        <f>IF($B46=0,1000000,IF(INDEX('計算A'!$D$60:$DS$104,$B46,61)*FE46=1,IF(AND($E46=2,JV46=0),1000000,INDEX('計算A'!BL$110:BL$114,$F46+1)+IF(AND($E46=1,JV46=0),1000,0)),1000000))</f>
        <v/>
      </c>
      <c r="ON46">
        <f>IF($B46=0,1000000,IF(INDEX('計算A'!$D$60:$DS$104,$B46,62)*FF46=1,IF(AND($E46=2,JW46=0),1000000,INDEX('計算A'!BM$110:BM$114,$F46+1)+IF(AND($E46=1,JW46=0),1000,0)),1000000))</f>
        <v/>
      </c>
      <c r="OO46">
        <f>IF($B46=0,1000000,IF(INDEX('計算A'!$D$60:$DS$104,$B46,63)*FG46=1,IF(AND($E46=2,JX46=0),1000000,INDEX('計算A'!BN$110:BN$114,$F46+1)+IF(AND($E46=1,JX46=0),1000,0)),1000000))</f>
        <v/>
      </c>
      <c r="OP46">
        <f>IF($B46=0,1000000,IF(INDEX('計算A'!$D$60:$DS$104,$B46,64)*FH46=1,IF(AND($E46=2,JY46=0),1000000,INDEX('計算A'!BO$110:BO$114,$F46+1)+IF(AND($E46=1,JY46=0),1000,0)),1000000))</f>
        <v/>
      </c>
      <c r="OQ46">
        <f>IF($B46=0,1000000,IF(INDEX('計算A'!$D$60:$DS$104,$B46,65)*FI46=1,IF(AND($E46=2,JZ46=0),1000000,INDEX('計算A'!BP$110:BP$114,$F46+1)+IF(AND($E46=1,JZ46=0),1000,0)),1000000))</f>
        <v/>
      </c>
      <c r="OR46">
        <f>IF($B46=0,1000000,IF(INDEX('計算A'!$D$60:$DS$104,$B46,66)*FJ46=1,IF(AND($E46=2,KA46=0),1000000,INDEX('計算A'!BQ$110:BQ$114,$F46+1)+IF(AND($E46=1,KA46=0),1000,0)),1000000))</f>
        <v/>
      </c>
      <c r="OS46">
        <f>IF($B46=0,1000000,IF(INDEX('計算A'!$D$60:$DS$104,$B46,67)*FK46=1,IF(AND($E46=2,KB46=0),1000000,INDEX('計算A'!BR$110:BR$114,$F46+1)+IF(AND($E46=1,KB46=0),1000,0)),1000000))</f>
        <v/>
      </c>
      <c r="OT46">
        <f>IF($B46=0,1000000,IF(INDEX('計算A'!$D$60:$DS$104,$B46,68)*FL46=1,IF(AND($E46=2,KC46=0),1000000,INDEX('計算A'!BS$110:BS$114,$F46+1)+IF(AND($E46=1,KC46=0),1000,0)),1000000))</f>
        <v/>
      </c>
      <c r="OU46">
        <f>IF($B46=0,1000000,IF(INDEX('計算A'!$D$60:$DS$104,$B46,69)*FM46=1,IF(AND($E46=2,KD46=0),1000000,INDEX('計算A'!BT$110:BT$114,$F46+1)+IF(AND($E46=1,KD46=0),1000,0)),1000000))</f>
        <v/>
      </c>
      <c r="OV46">
        <f>IF($B46=0,1000000,IF(INDEX('計算A'!$D$60:$DS$104,$B46,70)*FN46=1,IF(AND($E46=2,KE46=0),1000000,INDEX('計算A'!BU$110:BU$114,$F46+1)+IF(AND($E46=1,KE46=0),1000,0)),1000000))</f>
        <v/>
      </c>
      <c r="OW46">
        <f>IF($B46=0,1000000,IF(INDEX('計算A'!$D$60:$DS$104,$B46,71)*FO46=1,IF(AND($E46=2,KF46=0),1000000,INDEX('計算A'!BV$110:BV$114,$F46+1)+IF(AND($E46=1,KF46=0),1000,0)),1000000))</f>
        <v/>
      </c>
      <c r="OX46">
        <f>IF($B46=0,1000000,IF(INDEX('計算A'!$D$60:$DS$104,$B46,72)*FP46=1,IF(AND($E46=2,KG46=0),1000000,INDEX('計算A'!BW$110:BW$114,$F46+1)+IF(AND($E46=1,KG46=0),1000,0)),1000000))</f>
        <v/>
      </c>
      <c r="OY46">
        <f>IF($B46=0,1000000,IF(INDEX('計算A'!$D$60:$DS$104,$B46,73)*FQ46=1,IF(AND($E46=2,KH46=0),1000000,INDEX('計算A'!BX$110:BX$114,$F46+1)+IF(AND($E46=1,KH46=0),1000,0)),1000000))</f>
        <v/>
      </c>
      <c r="OZ46">
        <f>IF($B46=0,1000000,IF(INDEX('計算A'!$D$60:$DS$104,$B46,74)*FR46=1,IF(AND($E46=2,KI46=0),1000000,INDEX('計算A'!BY$110:BY$114,$F46+1)+IF(AND($E46=1,KI46=0),1000,0)),1000000))</f>
        <v/>
      </c>
      <c r="PA46">
        <f>IF($B46=0,1000000,IF(INDEX('計算A'!$D$60:$DS$104,$B46,75)*FS46=1,IF(AND($E46=2,KJ46=0),1000000,INDEX('計算A'!BZ$110:BZ$114,$F46+1)+IF(AND($E46=1,KJ46=0),1000,0)),1000000))</f>
        <v/>
      </c>
      <c r="PB46">
        <f>IF($B46=0,1000000,IF(INDEX('計算A'!$D$60:$DS$104,$B46,76)*FT46=1,IF(AND($E46=2,KK46=0),1000000,INDEX('計算A'!CA$110:CA$114,$F46+1)+IF(AND($E46=1,KK46=0),1000,0)),1000000))</f>
        <v/>
      </c>
      <c r="PC46">
        <f>IF($B46=0,1000000,IF(INDEX('計算A'!$D$60:$DS$104,$B46,77)*FU46=1,IF(AND($E46=2,KL46=0),1000000,INDEX('計算A'!CB$110:CB$114,$F46+1)+IF(AND($E46=1,KL46=0),1000,0)),1000000))</f>
        <v/>
      </c>
      <c r="PD46">
        <f>IF($B46=0,1000000,IF(INDEX('計算A'!$D$60:$DS$104,$B46,78)*FV46=1,IF(AND($E46=2,KM46=0),1000000,INDEX('計算A'!CC$110:CC$114,$F46+1)+IF(AND($E46=1,KM46=0),1000,0)),1000000))</f>
        <v/>
      </c>
      <c r="PE46">
        <f>IF($B46=0,1000000,IF(INDEX('計算A'!$D$60:$DS$104,$B46,79)*FW46=1,IF(AND($E46=2,KN46=0),1000000,INDEX('計算A'!CD$110:CD$114,$F46+1)+IF(AND($E46=1,KN46=0),1000,0)),1000000))</f>
        <v/>
      </c>
      <c r="PF46">
        <f>IF($B46=0,1000000,IF(INDEX('計算A'!$D$60:$DS$104,$B46,80)*FX46=1,IF(AND($E46=2,KO46=0),1000000,INDEX('計算A'!CE$110:CE$114,$F46+1)+IF(AND($E46=1,KO46=0),1000,0)),1000000))</f>
        <v/>
      </c>
      <c r="PG46">
        <f>IF($B46=0,1000000,IF(INDEX('計算A'!$D$60:$DS$104,$B46,81)*FY46=1,IF(AND($E46=2,KP46=0),1000000,INDEX('計算A'!CF$110:CF$114,$F46+1)+IF(AND($E46=1,KP46=0),1000,0)),1000000))</f>
        <v/>
      </c>
      <c r="PH46">
        <f>IF($B46=0,1000000,IF(INDEX('計算A'!$D$60:$DS$104,$B46,82)*FZ46=1,IF(AND($E46=2,KQ46=0),1000000,INDEX('計算A'!CG$110:CG$114,$F46+1)+IF(AND($E46=1,KQ46=0),1000,0)),1000000))</f>
        <v/>
      </c>
      <c r="PI46">
        <f>IF($B46=0,1000000,IF(INDEX('計算A'!$D$60:$DS$104,$B46,83)*GA46=1,IF(AND($E46=2,KR46=0),1000000,INDEX('計算A'!CH$110:CH$114,$F46+1)+IF(AND($E46=1,KR46=0),1000,0)),1000000))</f>
        <v/>
      </c>
      <c r="PJ46">
        <f>IF($B46=0,1000000,IF(INDEX('計算A'!$D$60:$DS$104,$B46,84)*GB46=1,IF(AND($E46=2,KS46=0),1000000,INDEX('計算A'!CI$110:CI$114,$F46+1)+IF(AND($E46=1,KS46=0),1000,0)),1000000))</f>
        <v/>
      </c>
      <c r="PK46">
        <f>IF($B46=0,1000000,IF(INDEX('計算A'!$D$60:$DS$104,$B46,85)*GC46=1,IF(AND($E46=2,KT46=0),1000000,INDEX('計算A'!CJ$110:CJ$114,$F46+1)+IF(AND($E46=1,KT46=0),1000,0)),1000000))</f>
        <v/>
      </c>
      <c r="PL46">
        <f>IF($B46=0,1000000,IF(INDEX('計算A'!$D$60:$DS$104,$B46,86)*GD46=1,IF(AND($E46=2,KU46=0),1000000,INDEX('計算A'!CK$110:CK$114,$F46+1)+IF(AND($E46=1,KU46=0),1000,0)),1000000))</f>
        <v/>
      </c>
      <c r="PM46">
        <f>IF($B46=0,1000000,IF(INDEX('計算A'!$D$60:$DS$104,$B46,87)*GE46=1,IF(AND($E46=2,KV46=0),1000000,INDEX('計算A'!CL$110:CL$114,$F46+1)+IF(AND($E46=1,KV46=0),1000,0)),1000000))</f>
        <v/>
      </c>
      <c r="PN46">
        <f>IF($B46=0,1000000,IF(INDEX('計算A'!$D$60:$DS$104,$B46,88)*GF46=1,IF(AND($E46=2,KW46=0),1000000,INDEX('計算A'!CM$110:CM$114,$F46+1)+IF(AND($E46=1,KW46=0),1000,0)),1000000))</f>
        <v/>
      </c>
      <c r="PO46">
        <f>IF($B46=0,1000000,IF(INDEX('計算A'!$D$60:$DS$104,$B46,89)*GG46=1,IF(AND($E46=2,KX46=0),1000000,INDEX('計算A'!CN$110:CN$114,$F46+1)+IF(AND($E46=1,KX46=0),1000,0)),1000000))</f>
        <v/>
      </c>
      <c r="PP46">
        <f>IF($B46=0,1000000,IF(INDEX('計算A'!$D$60:$DS$104,$B46,90)*GH46=1,IF(AND($E46=2,KY46=0),1000000,INDEX('計算A'!CO$110:CO$114,$F46+1)+IF(AND($E46=1,KY46=0),1000,0)),1000000))</f>
        <v/>
      </c>
      <c r="PQ46">
        <f>IF($B46=0,1000000,IF(INDEX('計算A'!$D$60:$DS$104,$B46,91)*GI46=1,IF(AND($E46=2,KZ46=0),1000000,INDEX('計算A'!CP$110:CP$114,$F46+1)+IF(AND($E46=1,KZ46=0),1000,0)),1000000))</f>
        <v/>
      </c>
      <c r="PR46">
        <f>IF($B46=0,1000000,IF(INDEX('計算A'!$D$60:$DS$104,$B46,92)*GJ46=1,IF(AND($E46=2,LA46=0),1000000,INDEX('計算A'!CQ$110:CQ$114,$F46+1)+IF(AND($E46=1,LA46=0),1000,0)),1000000))</f>
        <v/>
      </c>
      <c r="PS46">
        <f>IF($B46=0,1000000,IF(INDEX('計算A'!$D$60:$DS$104,$B46,93)*GK46=1,IF(AND($E46=2,LB46=0),1000000,INDEX('計算A'!CR$110:CR$114,$F46+1)+IF(AND($E46=1,LB46=0),1000,0)),1000000))</f>
        <v/>
      </c>
      <c r="PT46">
        <f>IF($B46=0,1000000,IF(INDEX('計算A'!$D$60:$DS$104,$B46,94)*GL46=1,IF(AND($E46=2,LC46=0),1000000,INDEX('計算A'!CS$110:CS$114,$F46+1)+IF(AND($E46=1,LC46=0),1000,0)),1000000))</f>
        <v/>
      </c>
      <c r="PU46">
        <f>IF($B46=0,1000000,IF(INDEX('計算A'!$D$60:$DS$104,$B46,95)*GM46=1,IF(AND($E46=2,LD46=0),1000000,INDEX('計算A'!CT$110:CT$114,$F46+1)+IF(AND($E46=1,LD46=0),1000,0)),1000000))</f>
        <v/>
      </c>
      <c r="PV46">
        <f>IF($B46=0,1000000,IF(INDEX('計算A'!$D$60:$DS$104,$B46,96)*GN46=1,IF(AND($E46=2,LE46=0),1000000,INDEX('計算A'!CU$110:CU$114,$F46+1)+IF(AND($E46=1,LE46=0),1000,0)),1000000))</f>
        <v/>
      </c>
      <c r="PW46">
        <f>IF($B46=0,1000000,IF(INDEX('計算A'!$D$60:$DS$104,$B46,97)*GO46=1,IF(AND($E46=2,LF46=0),1000000,INDEX('計算A'!CV$110:CV$114,$F46+1)+IF(AND($E46=1,LF46=0),1000,0)),1000000))</f>
        <v/>
      </c>
      <c r="PX46">
        <f>IF($B46=0,1000000,IF(INDEX('計算A'!$D$60:$DS$104,$B46,98)*GP46=1,IF(AND($E46=2,LG46=0),1000000,INDEX('計算A'!CW$110:CW$114,$F46+1)+IF(AND($E46=1,LG46=0),1000,0)),1000000))</f>
        <v/>
      </c>
      <c r="PY46">
        <f>IF($B46=0,1000000,IF(INDEX('計算A'!$D$60:$DS$104,$B46,99)*GQ46=1,IF(AND($E46=2,LH46=0),1000000,INDEX('計算A'!CX$110:CX$114,$F46+1)+IF(AND($E46=1,LH46=0),1000,0)),1000000))</f>
        <v/>
      </c>
      <c r="PZ46">
        <f>IF($B46=0,1000000,IF(INDEX('計算A'!$D$60:$DS$104,$B46,100)*GR46=1,IF(AND($E46=2,LI46=0),1000000,INDEX('計算A'!CY$110:CY$114,$F46+1)+IF(AND($E46=1,LI46=0),1000,0)),1000000))</f>
        <v/>
      </c>
      <c r="QA46">
        <f>IF($B46=0,1000000,IF(INDEX('計算A'!$D$60:$DS$104,$B46,101)*GS46=1,IF(AND($E46=2,LJ46=0),1000000,INDEX('計算A'!CZ$110:CZ$114,$F46+1)+IF(AND($E46=1,LJ46=0),1000,0)),1000000))</f>
        <v/>
      </c>
      <c r="QB46">
        <f>IF($B46=0,1000000,IF(INDEX('計算A'!$D$60:$DS$104,$B46,102)*GT46=1,IF(AND($E46=2,LK46=0),1000000,INDEX('計算A'!DA$110:DA$114,$F46+1)+IF(AND($E46=1,LK46=0),1000,0)),1000000))</f>
        <v/>
      </c>
      <c r="QC46">
        <f>IF($B46=0,1000000,IF(INDEX('計算A'!$D$60:$DS$104,$B46,103)*GU46=1,IF(AND($E46=2,LL46=0),1000000,INDEX('計算A'!DB$110:DB$114,$F46+1)+IF(AND($E46=1,LL46=0),1000,0)),1000000))</f>
        <v/>
      </c>
      <c r="QD46">
        <f>IF($B46=0,1000000,IF(INDEX('計算A'!$D$60:$DS$104,$B46,104)*GV46=1,IF(AND($E46=2,LM46=0),1000000,INDEX('計算A'!DC$110:DC$114,$F46+1)+IF(AND($E46=1,LM46=0),1000,0)),1000000))</f>
        <v/>
      </c>
      <c r="QE46">
        <f>IF($B46=0,1000000,IF(INDEX('計算A'!$D$60:$DS$104,$B46,105)*GW46=1,IF(AND($E46=2,LN46=0),1000000,INDEX('計算A'!DD$110:DD$114,$F46+1)+IF(AND($E46=1,LN46=0),1000,0)),1000000))</f>
        <v/>
      </c>
      <c r="QF46">
        <f>IF($B46=0,1000000,IF(INDEX('計算A'!$D$60:$DS$104,$B46,106)*GX46=1,IF(AND($E46=2,LO46=0),1000000,INDEX('計算A'!DE$110:DE$114,$F46+1)+IF(AND($E46=1,LO46=0),1000,0)),1000000))</f>
        <v/>
      </c>
      <c r="QG46">
        <f>IF($B46=0,1000000,IF(INDEX('計算A'!$D$60:$DS$104,$B46,107)*GY46=1,IF(AND($E46=2,LP46=0),1000000,INDEX('計算A'!DF$110:DF$114,$F46+1)+IF(AND($E46=1,LP46=0),1000,0)),1000000))</f>
        <v/>
      </c>
      <c r="QH46">
        <f>IF($B46=0,1000000,IF(INDEX('計算A'!$D$60:$DS$104,$B46,108)*GZ46=1,IF(AND($E46=2,LQ46=0),1000000,INDEX('計算A'!DG$110:DG$114,$F46+1)+IF(AND($E46=1,LQ46=0),1000,0)),1000000))</f>
        <v/>
      </c>
      <c r="QI46">
        <f>IF($B46=0,1000000,IF(INDEX('計算A'!$D$60:$DS$104,$B46,109)*HA46=1,IF(AND($E46=2,LR46=0),1000000,INDEX('計算A'!DH$110:DH$114,$F46+1)+IF(AND($E46=1,LR46=0),1000,0)),1000000))</f>
        <v/>
      </c>
      <c r="QJ46">
        <f>IF($B46=0,1000000,IF(INDEX('計算A'!$D$60:$DS$104,$B46,110)*HB46=1,IF(AND($E46=2,LS46=0),1000000,INDEX('計算A'!DI$110:DI$114,$F46+1)+IF(AND($E46=1,LS46=0),1000,0)),1000000))</f>
        <v/>
      </c>
      <c r="QK46">
        <f>IF($B46=0,1000000,IF(INDEX('計算A'!$D$60:$DS$104,$B46,111)*HC46=1,IF(AND($E46=2,LT46=0),1000000,INDEX('計算A'!DJ$110:DJ$114,$F46+1)+IF(AND($E46=1,LT46=0),1000,0)),1000000))</f>
        <v/>
      </c>
      <c r="QL46">
        <f>IF($B46=0,1000000,IF(INDEX('計算A'!$D$60:$DS$104,$B46,112)*HD46=1,IF(AND($E46=2,LU46=0),1000000,INDEX('計算A'!DK$110:DK$114,$F46+1)+IF(AND($E46=1,LU46=0),1000,0)),1000000))</f>
        <v/>
      </c>
      <c r="QM46">
        <f>IF($B46=0,1000000,IF(INDEX('計算A'!$D$60:$DS$104,$B46,113)*HE46=1,IF(AND($E46=2,LV46=0),1000000,INDEX('計算A'!DL$110:DL$114,$F46+1)+IF(AND($E46=1,LV46=0),1000,0)),1000000))</f>
        <v/>
      </c>
      <c r="QN46">
        <f>IF($B46=0,1000000,IF(INDEX('計算A'!$D$60:$DS$104,$B46,114)*HF46=1,IF(AND($E46=2,LW46=0),1000000,INDEX('計算A'!DM$110:DM$114,$F46+1)+IF(AND($E46=1,LW46=0),1000,0)),1000000))</f>
        <v/>
      </c>
      <c r="QO46">
        <f>IF($B46=0,1000000,IF(INDEX('計算A'!$D$60:$DS$104,$B46,115)*HG46=1,IF(AND($E46=2,LX46=0),1000000,INDEX('計算A'!DN$110:DN$114,$F46+1)+IF(AND($E46=1,LX46=0),1000,0)),1000000))</f>
        <v/>
      </c>
      <c r="QP46">
        <f>IF($B46=0,1000000,IF(INDEX('計算A'!$D$60:$DS$104,$B46,116)*HH46=1,IF(AND($E46=2,LY46=0),1000000,INDEX('計算A'!DO$110:DO$114,$F46+1)+IF(AND($E46=1,LY46=0),1000,0)),1000000))</f>
        <v/>
      </c>
      <c r="QQ46">
        <f>IF($B46=0,1000000,IF(INDEX('計算A'!$D$60:$DS$104,$B46,117)*HI46=1,IF(AND($E46=2,LZ46=0),1000000,INDEX('計算A'!DP$110:DP$114,$F46+1)+IF(AND($E46=1,LZ46=0),1000,0)),1000000))</f>
        <v/>
      </c>
      <c r="QR46">
        <f>IF($B46=0,1000000,IF(INDEX('計算A'!$D$60:$DS$104,$B46,118)*HJ46=1,IF(AND($E46=2,MA46=0),1000000,INDEX('計算A'!DQ$110:DQ$114,$F46+1)+IF(AND($E46=1,MA46=0),1000,0)),1000000))</f>
        <v/>
      </c>
      <c r="QS46">
        <f>IF($B46=0,1000000,IF(INDEX('計算A'!$D$60:$DS$104,$B46,119)*HK46=1,IF(AND($E46=2,MB46=0),1000000,INDEX('計算A'!DR$110:DR$114,$F46+1)+IF(AND($E46=1,MB46=0),1000,0)),1000000))</f>
        <v/>
      </c>
      <c r="QT46">
        <f>IF($B46=0,1000000,IF(INDEX('計算A'!$D$60:$DS$104,$B46,120)*HL46=1,IF(AND($E46=2,MC46=0),1000000,INDEX('計算A'!DS$110:DS$114,$F46+1)+IF(AND($E46=1,MC46=0),1000,0)),1000000))</f>
        <v/>
      </c>
    </row>
    <row r="47">
      <c r="A47" t="n">
        <v>45</v>
      </c>
      <c r="B47">
        <f>IF(MIN(BC47:CU47)&gt;=1000000,0,MATCH(MIN(BC47:CU47),BC47:CU47,0))</f>
        <v/>
      </c>
      <c r="C47">
        <f>IF(MIN(ME47:QT47)&gt;=1000000,0,MATCH(MIN(ME47:QT47),ME47:QT47,0))</f>
        <v/>
      </c>
      <c r="D47">
        <f>IF(C47&gt;0,INDEX('計算A'!$D$5:$DS$5,C47),0)</f>
        <v/>
      </c>
      <c r="E47">
        <f>IF(B47=0,0,INDEX('計算A'!$EA$10:$EA$54,B47))</f>
        <v/>
      </c>
      <c r="F47">
        <f>IF(B47=0,0,INDEX('計算A'!$DZ$10:$DZ$54,B47))</f>
        <v/>
      </c>
      <c r="G47">
        <f>IF(AND(C47&gt;0,E47&gt;0),IF(AND(INDEX('計算A'!$D$106:$DS$106,C47)=1,INDEX($HN47:$MC47,C47)=1),C47+1,0),0)</f>
        <v/>
      </c>
      <c r="I47">
        <f>MAX(I46,IF($B46=1,1,0))</f>
        <v/>
      </c>
      <c r="J47">
        <f>MAX(J46,IF($B46=2,1,0))</f>
        <v/>
      </c>
      <c r="K47">
        <f>MAX(K46,IF($B46=3,1,0))</f>
        <v/>
      </c>
      <c r="L47">
        <f>MAX(L46,IF($B46=4,1,0))</f>
        <v/>
      </c>
      <c r="M47">
        <f>MAX(M46,IF($B46=5,1,0))</f>
        <v/>
      </c>
      <c r="N47">
        <f>MAX(N46,IF($B46=6,1,0))</f>
        <v/>
      </c>
      <c r="O47">
        <f>MAX(O46,IF($B46=7,1,0))</f>
        <v/>
      </c>
      <c r="P47">
        <f>MAX(P46,IF($B46=8,1,0))</f>
        <v/>
      </c>
      <c r="Q47">
        <f>MAX(Q46,IF($B46=9,1,0))</f>
        <v/>
      </c>
      <c r="R47">
        <f>MAX(R46,IF($B46=10,1,0))</f>
        <v/>
      </c>
      <c r="S47">
        <f>MAX(S46,IF($B46=11,1,0))</f>
        <v/>
      </c>
      <c r="T47">
        <f>MAX(T46,IF($B46=12,1,0))</f>
        <v/>
      </c>
      <c r="U47">
        <f>MAX(U46,IF($B46=13,1,0))</f>
        <v/>
      </c>
      <c r="V47">
        <f>MAX(V46,IF($B46=14,1,0))</f>
        <v/>
      </c>
      <c r="W47">
        <f>MAX(W46,IF($B46=15,1,0))</f>
        <v/>
      </c>
      <c r="X47">
        <f>MAX(X46,IF($B46=16,1,0))</f>
        <v/>
      </c>
      <c r="Y47">
        <f>MAX(Y46,IF($B46=17,1,0))</f>
        <v/>
      </c>
      <c r="Z47">
        <f>MAX(Z46,IF($B46=18,1,0))</f>
        <v/>
      </c>
      <c r="AA47">
        <f>MAX(AA46,IF($B46=19,1,0))</f>
        <v/>
      </c>
      <c r="AB47">
        <f>MAX(AB46,IF($B46=20,1,0))</f>
        <v/>
      </c>
      <c r="AC47">
        <f>MAX(AC46,IF($B46=21,1,0))</f>
        <v/>
      </c>
      <c r="AD47">
        <f>MAX(AD46,IF($B46=22,1,0))</f>
        <v/>
      </c>
      <c r="AE47">
        <f>MAX(AE46,IF($B46=23,1,0))</f>
        <v/>
      </c>
      <c r="AF47">
        <f>MAX(AF46,IF($B46=24,1,0))</f>
        <v/>
      </c>
      <c r="AG47">
        <f>MAX(AG46,IF($B46=25,1,0))</f>
        <v/>
      </c>
      <c r="AH47">
        <f>MAX(AH46,IF($B46=26,1,0))</f>
        <v/>
      </c>
      <c r="AI47">
        <f>MAX(AI46,IF($B46=27,1,0))</f>
        <v/>
      </c>
      <c r="AJ47">
        <f>MAX(AJ46,IF($B46=28,1,0))</f>
        <v/>
      </c>
      <c r="AK47">
        <f>MAX(AK46,IF($B46=29,1,0))</f>
        <v/>
      </c>
      <c r="AL47">
        <f>MAX(AL46,IF($B46=30,1,0))</f>
        <v/>
      </c>
      <c r="AM47">
        <f>MAX(AM46,IF($B46=31,1,0))</f>
        <v/>
      </c>
      <c r="AN47">
        <f>MAX(AN46,IF($B46=32,1,0))</f>
        <v/>
      </c>
      <c r="AO47">
        <f>MAX(AO46,IF($B46=33,1,0))</f>
        <v/>
      </c>
      <c r="AP47">
        <f>MAX(AP46,IF($B46=34,1,0))</f>
        <v/>
      </c>
      <c r="AQ47">
        <f>MAX(AQ46,IF($B46=35,1,0))</f>
        <v/>
      </c>
      <c r="AR47">
        <f>MAX(AR46,IF($B46=36,1,0))</f>
        <v/>
      </c>
      <c r="AS47">
        <f>MAX(AS46,IF($B46=37,1,0))</f>
        <v/>
      </c>
      <c r="AT47">
        <f>MAX(AT46,IF($B46=38,1,0))</f>
        <v/>
      </c>
      <c r="AU47">
        <f>MAX(AU46,IF($B46=39,1,0))</f>
        <v/>
      </c>
      <c r="AV47">
        <f>MAX(AV46,IF($B46=40,1,0))</f>
        <v/>
      </c>
      <c r="AW47">
        <f>MAX(AW46,IF($B46=41,1,0))</f>
        <v/>
      </c>
      <c r="AX47">
        <f>MAX(AX46,IF($B46=42,1,0))</f>
        <v/>
      </c>
      <c r="AY47">
        <f>MAX(AY46,IF($B46=43,1,0))</f>
        <v/>
      </c>
      <c r="AZ47">
        <f>MAX(AZ46,IF($B46=44,1,0))</f>
        <v/>
      </c>
      <c r="BA47">
        <f>MAX(BA46,IF($B46=45,1,0))</f>
        <v/>
      </c>
      <c r="BC47">
        <f>IF(I47=1,1000000,IF('計算A'!$EA$10=2,SUMPRODUCT('計算A'!$D$60:$DS$60,$CW47:$HL47,$HN47:$MC47),SUMPRODUCT('計算A'!$D$60:$DS$60,$CW47:$HL47))*1000+1)</f>
        <v/>
      </c>
      <c r="BD47">
        <f>IF(J47=1,1000000,IF('計算A'!$EA$11=2,SUMPRODUCT('計算A'!$D$61:$DS$61,$CW47:$HL47,$HN47:$MC47),SUMPRODUCT('計算A'!$D$61:$DS$61,$CW47:$HL47))*1000+2)</f>
        <v/>
      </c>
      <c r="BE47">
        <f>IF(K47=1,1000000,IF('計算A'!$EA$12=2,SUMPRODUCT('計算A'!$D$62:$DS$62,$CW47:$HL47,$HN47:$MC47),SUMPRODUCT('計算A'!$D$62:$DS$62,$CW47:$HL47))*1000+3)</f>
        <v/>
      </c>
      <c r="BF47">
        <f>IF(L47=1,1000000,IF('計算A'!$EA$13=2,SUMPRODUCT('計算A'!$D$63:$DS$63,$CW47:$HL47,$HN47:$MC47),SUMPRODUCT('計算A'!$D$63:$DS$63,$CW47:$HL47))*1000+4)</f>
        <v/>
      </c>
      <c r="BG47">
        <f>IF(M47=1,1000000,IF('計算A'!$EA$14=2,SUMPRODUCT('計算A'!$D$64:$DS$64,$CW47:$HL47,$HN47:$MC47),SUMPRODUCT('計算A'!$D$64:$DS$64,$CW47:$HL47))*1000+5)</f>
        <v/>
      </c>
      <c r="BH47">
        <f>IF(N47=1,1000000,IF('計算A'!$EA$15=2,SUMPRODUCT('計算A'!$D$65:$DS$65,$CW47:$HL47,$HN47:$MC47),SUMPRODUCT('計算A'!$D$65:$DS$65,$CW47:$HL47))*1000+6)</f>
        <v/>
      </c>
      <c r="BI47">
        <f>IF(O47=1,1000000,IF('計算A'!$EA$16=2,SUMPRODUCT('計算A'!$D$66:$DS$66,$CW47:$HL47,$HN47:$MC47),SUMPRODUCT('計算A'!$D$66:$DS$66,$CW47:$HL47))*1000+7)</f>
        <v/>
      </c>
      <c r="BJ47">
        <f>IF(P47=1,1000000,IF('計算A'!$EA$17=2,SUMPRODUCT('計算A'!$D$67:$DS$67,$CW47:$HL47,$HN47:$MC47),SUMPRODUCT('計算A'!$D$67:$DS$67,$CW47:$HL47))*1000+8)</f>
        <v/>
      </c>
      <c r="BK47">
        <f>IF(Q47=1,1000000,IF('計算A'!$EA$18=2,SUMPRODUCT('計算A'!$D$68:$DS$68,$CW47:$HL47,$HN47:$MC47),SUMPRODUCT('計算A'!$D$68:$DS$68,$CW47:$HL47))*1000+9)</f>
        <v/>
      </c>
      <c r="BL47">
        <f>IF(R47=1,1000000,IF('計算A'!$EA$19=2,SUMPRODUCT('計算A'!$D$69:$DS$69,$CW47:$HL47,$HN47:$MC47),SUMPRODUCT('計算A'!$D$69:$DS$69,$CW47:$HL47))*1000+10)</f>
        <v/>
      </c>
      <c r="BM47">
        <f>IF(S47=1,1000000,IF('計算A'!$EA$20=2,SUMPRODUCT('計算A'!$D$70:$DS$70,$CW47:$HL47,$HN47:$MC47),SUMPRODUCT('計算A'!$D$70:$DS$70,$CW47:$HL47))*1000+11)</f>
        <v/>
      </c>
      <c r="BN47">
        <f>IF(T47=1,1000000,IF('計算A'!$EA$21=2,SUMPRODUCT('計算A'!$D$71:$DS$71,$CW47:$HL47,$HN47:$MC47),SUMPRODUCT('計算A'!$D$71:$DS$71,$CW47:$HL47))*1000+12)</f>
        <v/>
      </c>
      <c r="BO47">
        <f>IF(U47=1,1000000,IF('計算A'!$EA$22=2,SUMPRODUCT('計算A'!$D$72:$DS$72,$CW47:$HL47,$HN47:$MC47),SUMPRODUCT('計算A'!$D$72:$DS$72,$CW47:$HL47))*1000+13)</f>
        <v/>
      </c>
      <c r="BP47">
        <f>IF(V47=1,1000000,IF('計算A'!$EA$23=2,SUMPRODUCT('計算A'!$D$73:$DS$73,$CW47:$HL47,$HN47:$MC47),SUMPRODUCT('計算A'!$D$73:$DS$73,$CW47:$HL47))*1000+14)</f>
        <v/>
      </c>
      <c r="BQ47">
        <f>IF(W47=1,1000000,IF('計算A'!$EA$24=2,SUMPRODUCT('計算A'!$D$74:$DS$74,$CW47:$HL47,$HN47:$MC47),SUMPRODUCT('計算A'!$D$74:$DS$74,$CW47:$HL47))*1000+15)</f>
        <v/>
      </c>
      <c r="BR47">
        <f>IF(X47=1,1000000,IF('計算A'!$EA$25=2,SUMPRODUCT('計算A'!$D$75:$DS$75,$CW47:$HL47,$HN47:$MC47),SUMPRODUCT('計算A'!$D$75:$DS$75,$CW47:$HL47))*1000+16)</f>
        <v/>
      </c>
      <c r="BS47">
        <f>IF(Y47=1,1000000,IF('計算A'!$EA$26=2,SUMPRODUCT('計算A'!$D$76:$DS$76,$CW47:$HL47,$HN47:$MC47),SUMPRODUCT('計算A'!$D$76:$DS$76,$CW47:$HL47))*1000+17)</f>
        <v/>
      </c>
      <c r="BT47">
        <f>IF(Z47=1,1000000,IF('計算A'!$EA$27=2,SUMPRODUCT('計算A'!$D$77:$DS$77,$CW47:$HL47,$HN47:$MC47),SUMPRODUCT('計算A'!$D$77:$DS$77,$CW47:$HL47))*1000+18)</f>
        <v/>
      </c>
      <c r="BU47">
        <f>IF(AA47=1,1000000,IF('計算A'!$EA$28=2,SUMPRODUCT('計算A'!$D$78:$DS$78,$CW47:$HL47,$HN47:$MC47),SUMPRODUCT('計算A'!$D$78:$DS$78,$CW47:$HL47))*1000+19)</f>
        <v/>
      </c>
      <c r="BV47">
        <f>IF(AB47=1,1000000,IF('計算A'!$EA$29=2,SUMPRODUCT('計算A'!$D$79:$DS$79,$CW47:$HL47,$HN47:$MC47),SUMPRODUCT('計算A'!$D$79:$DS$79,$CW47:$HL47))*1000+20)</f>
        <v/>
      </c>
      <c r="BW47">
        <f>IF(AC47=1,1000000,IF('計算A'!$EA$30=2,SUMPRODUCT('計算A'!$D$80:$DS$80,$CW47:$HL47,$HN47:$MC47),SUMPRODUCT('計算A'!$D$80:$DS$80,$CW47:$HL47))*1000+21)</f>
        <v/>
      </c>
      <c r="BX47">
        <f>IF(AD47=1,1000000,IF('計算A'!$EA$31=2,SUMPRODUCT('計算A'!$D$81:$DS$81,$CW47:$HL47,$HN47:$MC47),SUMPRODUCT('計算A'!$D$81:$DS$81,$CW47:$HL47))*1000+22)</f>
        <v/>
      </c>
      <c r="BY47">
        <f>IF(AE47=1,1000000,IF('計算A'!$EA$32=2,SUMPRODUCT('計算A'!$D$82:$DS$82,$CW47:$HL47,$HN47:$MC47),SUMPRODUCT('計算A'!$D$82:$DS$82,$CW47:$HL47))*1000+23)</f>
        <v/>
      </c>
      <c r="BZ47">
        <f>IF(AF47=1,1000000,IF('計算A'!$EA$33=2,SUMPRODUCT('計算A'!$D$83:$DS$83,$CW47:$HL47,$HN47:$MC47),SUMPRODUCT('計算A'!$D$83:$DS$83,$CW47:$HL47))*1000+24)</f>
        <v/>
      </c>
      <c r="CA47">
        <f>IF(AG47=1,1000000,IF('計算A'!$EA$34=2,SUMPRODUCT('計算A'!$D$84:$DS$84,$CW47:$HL47,$HN47:$MC47),SUMPRODUCT('計算A'!$D$84:$DS$84,$CW47:$HL47))*1000+25)</f>
        <v/>
      </c>
      <c r="CB47">
        <f>IF(AH47=1,1000000,IF('計算A'!$EA$35=2,SUMPRODUCT('計算A'!$D$85:$DS$85,$CW47:$HL47,$HN47:$MC47),SUMPRODUCT('計算A'!$D$85:$DS$85,$CW47:$HL47))*1000+26)</f>
        <v/>
      </c>
      <c r="CC47">
        <f>IF(AI47=1,1000000,IF('計算A'!$EA$36=2,SUMPRODUCT('計算A'!$D$86:$DS$86,$CW47:$HL47,$HN47:$MC47),SUMPRODUCT('計算A'!$D$86:$DS$86,$CW47:$HL47))*1000+27)</f>
        <v/>
      </c>
      <c r="CD47">
        <f>IF(AJ47=1,1000000,IF('計算A'!$EA$37=2,SUMPRODUCT('計算A'!$D$87:$DS$87,$CW47:$HL47,$HN47:$MC47),SUMPRODUCT('計算A'!$D$87:$DS$87,$CW47:$HL47))*1000+28)</f>
        <v/>
      </c>
      <c r="CE47">
        <f>IF(AK47=1,1000000,IF('計算A'!$EA$38=2,SUMPRODUCT('計算A'!$D$88:$DS$88,$CW47:$HL47,$HN47:$MC47),SUMPRODUCT('計算A'!$D$88:$DS$88,$CW47:$HL47))*1000+29)</f>
        <v/>
      </c>
      <c r="CF47">
        <f>IF(AL47=1,1000000,IF('計算A'!$EA$39=2,SUMPRODUCT('計算A'!$D$89:$DS$89,$CW47:$HL47,$HN47:$MC47),SUMPRODUCT('計算A'!$D$89:$DS$89,$CW47:$HL47))*1000+30)</f>
        <v/>
      </c>
      <c r="CG47">
        <f>IF(AM47=1,1000000,IF('計算A'!$EA$40=2,SUMPRODUCT('計算A'!$D$90:$DS$90,$CW47:$HL47,$HN47:$MC47),SUMPRODUCT('計算A'!$D$90:$DS$90,$CW47:$HL47))*1000+31)</f>
        <v/>
      </c>
      <c r="CH47">
        <f>IF(AN47=1,1000000,IF('計算A'!$EA$41=2,SUMPRODUCT('計算A'!$D$91:$DS$91,$CW47:$HL47,$HN47:$MC47),SUMPRODUCT('計算A'!$D$91:$DS$91,$CW47:$HL47))*1000+32)</f>
        <v/>
      </c>
      <c r="CI47">
        <f>IF(AO47=1,1000000,IF('計算A'!$EA$42=2,SUMPRODUCT('計算A'!$D$92:$DS$92,$CW47:$HL47,$HN47:$MC47),SUMPRODUCT('計算A'!$D$92:$DS$92,$CW47:$HL47))*1000+33)</f>
        <v/>
      </c>
      <c r="CJ47">
        <f>IF(AP47=1,1000000,IF('計算A'!$EA$43=2,SUMPRODUCT('計算A'!$D$93:$DS$93,$CW47:$HL47,$HN47:$MC47),SUMPRODUCT('計算A'!$D$93:$DS$93,$CW47:$HL47))*1000+34)</f>
        <v/>
      </c>
      <c r="CK47">
        <f>IF(AQ47=1,1000000,IF('計算A'!$EA$44=2,SUMPRODUCT('計算A'!$D$94:$DS$94,$CW47:$HL47,$HN47:$MC47),SUMPRODUCT('計算A'!$D$94:$DS$94,$CW47:$HL47))*1000+35)</f>
        <v/>
      </c>
      <c r="CL47">
        <f>IF(AR47=1,1000000,IF('計算A'!$EA$45=2,SUMPRODUCT('計算A'!$D$95:$DS$95,$CW47:$HL47,$HN47:$MC47),SUMPRODUCT('計算A'!$D$95:$DS$95,$CW47:$HL47))*1000+36)</f>
        <v/>
      </c>
      <c r="CM47">
        <f>IF(AS47=1,1000000,IF('計算A'!$EA$46=2,SUMPRODUCT('計算A'!$D$96:$DS$96,$CW47:$HL47,$HN47:$MC47),SUMPRODUCT('計算A'!$D$96:$DS$96,$CW47:$HL47))*1000+37)</f>
        <v/>
      </c>
      <c r="CN47">
        <f>IF(AT47=1,1000000,IF('計算A'!$EA$47=2,SUMPRODUCT('計算A'!$D$97:$DS$97,$CW47:$HL47,$HN47:$MC47),SUMPRODUCT('計算A'!$D$97:$DS$97,$CW47:$HL47))*1000+38)</f>
        <v/>
      </c>
      <c r="CO47">
        <f>IF(AU47=1,1000000,IF('計算A'!$EA$48=2,SUMPRODUCT('計算A'!$D$98:$DS$98,$CW47:$HL47,$HN47:$MC47),SUMPRODUCT('計算A'!$D$98:$DS$98,$CW47:$HL47))*1000+39)</f>
        <v/>
      </c>
      <c r="CP47">
        <f>IF(AV47=1,1000000,IF('計算A'!$EA$49=2,SUMPRODUCT('計算A'!$D$99:$DS$99,$CW47:$HL47,$HN47:$MC47),SUMPRODUCT('計算A'!$D$99:$DS$99,$CW47:$HL47))*1000+40)</f>
        <v/>
      </c>
      <c r="CQ47">
        <f>IF(AW47=1,1000000,IF('計算A'!$EA$50=2,SUMPRODUCT('計算A'!$D$100:$DS$100,$CW47:$HL47,$HN47:$MC47),SUMPRODUCT('計算A'!$D$100:$DS$100,$CW47:$HL47))*1000+41)</f>
        <v/>
      </c>
      <c r="CR47">
        <f>IF(AX47=1,1000000,IF('計算A'!$EA$51=2,SUMPRODUCT('計算A'!$D$101:$DS$101,$CW47:$HL47,$HN47:$MC47),SUMPRODUCT('計算A'!$D$101:$DS$101,$CW47:$HL47))*1000+42)</f>
        <v/>
      </c>
      <c r="CS47">
        <f>IF(AY47=1,1000000,IF('計算A'!$EA$52=2,SUMPRODUCT('計算A'!$D$102:$DS$102,$CW47:$HL47,$HN47:$MC47),SUMPRODUCT('計算A'!$D$102:$DS$102,$CW47:$HL47))*1000+43)</f>
        <v/>
      </c>
      <c r="CT47">
        <f>IF(AZ47=1,1000000,IF('計算A'!$EA$53=2,SUMPRODUCT('計算A'!$D$103:$DS$103,$CW47:$HL47,$HN47:$MC47),SUMPRODUCT('計算A'!$D$103:$DS$103,$CW47:$HL47))*1000+44)</f>
        <v/>
      </c>
      <c r="CU47">
        <f>IF(BA47=1,1000000,IF('計算A'!$EA$54=2,SUMPRODUCT('計算A'!$D$104:$DS$104,$CW47:$HL47,$HN47:$MC47),SUMPRODUCT('計算A'!$D$104:$DS$104,$CW47:$HL47))*1000+45)</f>
        <v/>
      </c>
      <c r="CW47">
        <f>CW46*IF(OR($C46=1,$G46=1),0,1)</f>
        <v/>
      </c>
      <c r="CX47">
        <f>CX46*IF(OR($C46=2,$G46=2),0,1)</f>
        <v/>
      </c>
      <c r="CY47">
        <f>CY46*IF(OR($C46=3,$G46=3),0,1)</f>
        <v/>
      </c>
      <c r="CZ47">
        <f>CZ46*IF(OR($C46=4,$G46=4),0,1)</f>
        <v/>
      </c>
      <c r="DA47">
        <f>DA46*IF(OR($C46=5,$G46=5),0,1)</f>
        <v/>
      </c>
      <c r="DB47">
        <f>DB46*IF(OR($C46=6,$G46=6),0,1)</f>
        <v/>
      </c>
      <c r="DC47">
        <f>DC46*IF(OR($C46=7,$G46=7),0,1)</f>
        <v/>
      </c>
      <c r="DD47">
        <f>DD46*IF(OR($C46=8,$G46=8),0,1)</f>
        <v/>
      </c>
      <c r="DE47">
        <f>DE46*IF(OR($C46=9,$G46=9),0,1)</f>
        <v/>
      </c>
      <c r="DF47">
        <f>DF46*IF(OR($C46=10,$G46=10),0,1)</f>
        <v/>
      </c>
      <c r="DG47">
        <f>DG46*IF(OR($C46=11,$G46=11),0,1)</f>
        <v/>
      </c>
      <c r="DH47">
        <f>DH46*IF(OR($C46=12,$G46=12),0,1)</f>
        <v/>
      </c>
      <c r="DI47">
        <f>DI46*IF(OR($C46=13,$G46=13),0,1)</f>
        <v/>
      </c>
      <c r="DJ47">
        <f>DJ46*IF(OR($C46=14,$G46=14),0,1)</f>
        <v/>
      </c>
      <c r="DK47">
        <f>DK46*IF(OR($C46=15,$G46=15),0,1)</f>
        <v/>
      </c>
      <c r="DL47">
        <f>DL46*IF(OR($C46=16,$G46=16),0,1)</f>
        <v/>
      </c>
      <c r="DM47">
        <f>DM46*IF(OR($C46=17,$G46=17),0,1)</f>
        <v/>
      </c>
      <c r="DN47">
        <f>DN46*IF(OR($C46=18,$G46=18),0,1)</f>
        <v/>
      </c>
      <c r="DO47">
        <f>DO46*IF(OR($C46=19,$G46=19),0,1)</f>
        <v/>
      </c>
      <c r="DP47">
        <f>DP46*IF(OR($C46=20,$G46=20),0,1)</f>
        <v/>
      </c>
      <c r="DQ47">
        <f>DQ46*IF(OR($C46=21,$G46=21),0,1)</f>
        <v/>
      </c>
      <c r="DR47">
        <f>DR46*IF(OR($C46=22,$G46=22),0,1)</f>
        <v/>
      </c>
      <c r="DS47">
        <f>DS46*IF(OR($C46=23,$G46=23),0,1)</f>
        <v/>
      </c>
      <c r="DT47">
        <f>DT46*IF(OR($C46=24,$G46=24),0,1)</f>
        <v/>
      </c>
      <c r="DU47">
        <f>DU46*IF(OR($C46=25,$G46=25),0,1)</f>
        <v/>
      </c>
      <c r="DV47">
        <f>DV46*IF(OR($C46=26,$G46=26),0,1)</f>
        <v/>
      </c>
      <c r="DW47">
        <f>DW46*IF(OR($C46=27,$G46=27),0,1)</f>
        <v/>
      </c>
      <c r="DX47">
        <f>DX46*IF(OR($C46=28,$G46=28),0,1)</f>
        <v/>
      </c>
      <c r="DY47">
        <f>DY46*IF(OR($C46=29,$G46=29),0,1)</f>
        <v/>
      </c>
      <c r="DZ47">
        <f>DZ46*IF(OR($C46=30,$G46=30),0,1)</f>
        <v/>
      </c>
      <c r="EA47">
        <f>EA46*IF(OR($C46=31,$G46=31),0,1)</f>
        <v/>
      </c>
      <c r="EB47">
        <f>EB46*IF(OR($C46=32,$G46=32),0,1)</f>
        <v/>
      </c>
      <c r="EC47">
        <f>EC46*IF(OR($C46=33,$G46=33),0,1)</f>
        <v/>
      </c>
      <c r="ED47">
        <f>ED46*IF(OR($C46=34,$G46=34),0,1)</f>
        <v/>
      </c>
      <c r="EE47">
        <f>EE46*IF(OR($C46=35,$G46=35),0,1)</f>
        <v/>
      </c>
      <c r="EF47">
        <f>EF46*IF(OR($C46=36,$G46=36),0,1)</f>
        <v/>
      </c>
      <c r="EG47">
        <f>EG46*IF(OR($C46=37,$G46=37),0,1)</f>
        <v/>
      </c>
      <c r="EH47">
        <f>EH46*IF(OR($C46=38,$G46=38),0,1)</f>
        <v/>
      </c>
      <c r="EI47">
        <f>EI46*IF(OR($C46=39,$G46=39),0,1)</f>
        <v/>
      </c>
      <c r="EJ47">
        <f>EJ46*IF(OR($C46=40,$G46=40),0,1)</f>
        <v/>
      </c>
      <c r="EK47">
        <f>EK46*IF(OR($C46=41,$G46=41),0,1)</f>
        <v/>
      </c>
      <c r="EL47">
        <f>EL46*IF(OR($C46=42,$G46=42),0,1)</f>
        <v/>
      </c>
      <c r="EM47">
        <f>EM46*IF(OR($C46=43,$G46=43),0,1)</f>
        <v/>
      </c>
      <c r="EN47">
        <f>EN46*IF(OR($C46=44,$G46=44),0,1)</f>
        <v/>
      </c>
      <c r="EO47">
        <f>EO46*IF(OR($C46=45,$G46=45),0,1)</f>
        <v/>
      </c>
      <c r="EP47">
        <f>EP46*IF(OR($C46=46,$G46=46),0,1)</f>
        <v/>
      </c>
      <c r="EQ47">
        <f>EQ46*IF(OR($C46=47,$G46=47),0,1)</f>
        <v/>
      </c>
      <c r="ER47">
        <f>ER46*IF(OR($C46=48,$G46=48),0,1)</f>
        <v/>
      </c>
      <c r="ES47">
        <f>ES46*IF(OR($C46=49,$G46=49),0,1)</f>
        <v/>
      </c>
      <c r="ET47">
        <f>ET46*IF(OR($C46=50,$G46=50),0,1)</f>
        <v/>
      </c>
      <c r="EU47">
        <f>EU46*IF(OR($C46=51,$G46=51),0,1)</f>
        <v/>
      </c>
      <c r="EV47">
        <f>EV46*IF(OR($C46=52,$G46=52),0,1)</f>
        <v/>
      </c>
      <c r="EW47">
        <f>EW46*IF(OR($C46=53,$G46=53),0,1)</f>
        <v/>
      </c>
      <c r="EX47">
        <f>EX46*IF(OR($C46=54,$G46=54),0,1)</f>
        <v/>
      </c>
      <c r="EY47">
        <f>EY46*IF(OR($C46=55,$G46=55),0,1)</f>
        <v/>
      </c>
      <c r="EZ47">
        <f>EZ46*IF(OR($C46=56,$G46=56),0,1)</f>
        <v/>
      </c>
      <c r="FA47">
        <f>FA46*IF(OR($C46=57,$G46=57),0,1)</f>
        <v/>
      </c>
      <c r="FB47">
        <f>FB46*IF(OR($C46=58,$G46=58),0,1)</f>
        <v/>
      </c>
      <c r="FC47">
        <f>FC46*IF(OR($C46=59,$G46=59),0,1)</f>
        <v/>
      </c>
      <c r="FD47">
        <f>FD46*IF(OR($C46=60,$G46=60),0,1)</f>
        <v/>
      </c>
      <c r="FE47">
        <f>FE46*IF(OR($C46=61,$G46=61),0,1)</f>
        <v/>
      </c>
      <c r="FF47">
        <f>FF46*IF(OR($C46=62,$G46=62),0,1)</f>
        <v/>
      </c>
      <c r="FG47">
        <f>FG46*IF(OR($C46=63,$G46=63),0,1)</f>
        <v/>
      </c>
      <c r="FH47">
        <f>FH46*IF(OR($C46=64,$G46=64),0,1)</f>
        <v/>
      </c>
      <c r="FI47">
        <f>FI46*IF(OR($C46=65,$G46=65),0,1)</f>
        <v/>
      </c>
      <c r="FJ47">
        <f>FJ46*IF(OR($C46=66,$G46=66),0,1)</f>
        <v/>
      </c>
      <c r="FK47">
        <f>FK46*IF(OR($C46=67,$G46=67),0,1)</f>
        <v/>
      </c>
      <c r="FL47">
        <f>FL46*IF(OR($C46=68,$G46=68),0,1)</f>
        <v/>
      </c>
      <c r="FM47">
        <f>FM46*IF(OR($C46=69,$G46=69),0,1)</f>
        <v/>
      </c>
      <c r="FN47">
        <f>FN46*IF(OR($C46=70,$G46=70),0,1)</f>
        <v/>
      </c>
      <c r="FO47">
        <f>FO46*IF(OR($C46=71,$G46=71),0,1)</f>
        <v/>
      </c>
      <c r="FP47">
        <f>FP46*IF(OR($C46=72,$G46=72),0,1)</f>
        <v/>
      </c>
      <c r="FQ47">
        <f>FQ46*IF(OR($C46=73,$G46=73),0,1)</f>
        <v/>
      </c>
      <c r="FR47">
        <f>FR46*IF(OR($C46=74,$G46=74),0,1)</f>
        <v/>
      </c>
      <c r="FS47">
        <f>FS46*IF(OR($C46=75,$G46=75),0,1)</f>
        <v/>
      </c>
      <c r="FT47">
        <f>FT46*IF(OR($C46=76,$G46=76),0,1)</f>
        <v/>
      </c>
      <c r="FU47">
        <f>FU46*IF(OR($C46=77,$G46=77),0,1)</f>
        <v/>
      </c>
      <c r="FV47">
        <f>FV46*IF(OR($C46=78,$G46=78),0,1)</f>
        <v/>
      </c>
      <c r="FW47">
        <f>FW46*IF(OR($C46=79,$G46=79),0,1)</f>
        <v/>
      </c>
      <c r="FX47">
        <f>FX46*IF(OR($C46=80,$G46=80),0,1)</f>
        <v/>
      </c>
      <c r="FY47">
        <f>FY46*IF(OR($C46=81,$G46=81),0,1)</f>
        <v/>
      </c>
      <c r="FZ47">
        <f>FZ46*IF(OR($C46=82,$G46=82),0,1)</f>
        <v/>
      </c>
      <c r="GA47">
        <f>GA46*IF(OR($C46=83,$G46=83),0,1)</f>
        <v/>
      </c>
      <c r="GB47">
        <f>GB46*IF(OR($C46=84,$G46=84),0,1)</f>
        <v/>
      </c>
      <c r="GC47">
        <f>GC46*IF(OR($C46=85,$G46=85),0,1)</f>
        <v/>
      </c>
      <c r="GD47">
        <f>GD46*IF(OR($C46=86,$G46=86),0,1)</f>
        <v/>
      </c>
      <c r="GE47">
        <f>GE46*IF(OR($C46=87,$G46=87),0,1)</f>
        <v/>
      </c>
      <c r="GF47">
        <f>GF46*IF(OR($C46=88,$G46=88),0,1)</f>
        <v/>
      </c>
      <c r="GG47">
        <f>GG46*IF(OR($C46=89,$G46=89),0,1)</f>
        <v/>
      </c>
      <c r="GH47">
        <f>GH46*IF(OR($C46=90,$G46=90),0,1)</f>
        <v/>
      </c>
      <c r="GI47">
        <f>GI46*IF(OR($C46=91,$G46=91),0,1)</f>
        <v/>
      </c>
      <c r="GJ47">
        <f>GJ46*IF(OR($C46=92,$G46=92),0,1)</f>
        <v/>
      </c>
      <c r="GK47">
        <f>GK46*IF(OR($C46=93,$G46=93),0,1)</f>
        <v/>
      </c>
      <c r="GL47">
        <f>GL46*IF(OR($C46=94,$G46=94),0,1)</f>
        <v/>
      </c>
      <c r="GM47">
        <f>GM46*IF(OR($C46=95,$G46=95),0,1)</f>
        <v/>
      </c>
      <c r="GN47">
        <f>GN46*IF(OR($C46=96,$G46=96),0,1)</f>
        <v/>
      </c>
      <c r="GO47">
        <f>GO46*IF(OR($C46=97,$G46=97),0,1)</f>
        <v/>
      </c>
      <c r="GP47">
        <f>GP46*IF(OR($C46=98,$G46=98),0,1)</f>
        <v/>
      </c>
      <c r="GQ47">
        <f>GQ46*IF(OR($C46=99,$G46=99),0,1)</f>
        <v/>
      </c>
      <c r="GR47">
        <f>GR46*IF(OR($C46=100,$G46=100),0,1)</f>
        <v/>
      </c>
      <c r="GS47">
        <f>GS46*IF(OR($C46=101,$G46=101),0,1)</f>
        <v/>
      </c>
      <c r="GT47">
        <f>GT46*IF(OR($C46=102,$G46=102),0,1)</f>
        <v/>
      </c>
      <c r="GU47">
        <f>GU46*IF(OR($C46=103,$G46=103),0,1)</f>
        <v/>
      </c>
      <c r="GV47">
        <f>GV46*IF(OR($C46=104,$G46=104),0,1)</f>
        <v/>
      </c>
      <c r="GW47">
        <f>GW46*IF(OR($C46=105,$G46=105),0,1)</f>
        <v/>
      </c>
      <c r="GX47">
        <f>GX46*IF(OR($C46=106,$G46=106),0,1)</f>
        <v/>
      </c>
      <c r="GY47">
        <f>GY46*IF(OR($C46=107,$G46=107),0,1)</f>
        <v/>
      </c>
      <c r="GZ47">
        <f>GZ46*IF(OR($C46=108,$G46=108),0,1)</f>
        <v/>
      </c>
      <c r="HA47">
        <f>HA46*IF(OR($C46=109,$G46=109),0,1)</f>
        <v/>
      </c>
      <c r="HB47">
        <f>HB46*IF(OR($C46=110,$G46=110),0,1)</f>
        <v/>
      </c>
      <c r="HC47">
        <f>HC46*IF(OR($C46=111,$G46=111),0,1)</f>
        <v/>
      </c>
      <c r="HD47">
        <f>HD46*IF(OR($C46=112,$G46=112),0,1)</f>
        <v/>
      </c>
      <c r="HE47">
        <f>HE46*IF(OR($C46=113,$G46=113),0,1)</f>
        <v/>
      </c>
      <c r="HF47">
        <f>HF46*IF(OR($C46=114,$G46=114),0,1)</f>
        <v/>
      </c>
      <c r="HG47">
        <f>HG46*IF(OR($C46=115,$G46=115),0,1)</f>
        <v/>
      </c>
      <c r="HH47">
        <f>HH46*IF(OR($C46=116,$G46=116),0,1)</f>
        <v/>
      </c>
      <c r="HI47">
        <f>HI46*IF(OR($C46=117,$G46=117),0,1)</f>
        <v/>
      </c>
      <c r="HJ47">
        <f>HJ46*IF(OR($C46=118,$G46=118),0,1)</f>
        <v/>
      </c>
      <c r="HK47">
        <f>HK46*IF(OR($C46=119,$G46=119),0,1)</f>
        <v/>
      </c>
      <c r="HL47">
        <f>HL46*IF(OR($C46=120,$G46=120),0,1)</f>
        <v/>
      </c>
      <c r="HN47">
        <f>IF('計算A'!D$106=1,CX47,1)</f>
        <v/>
      </c>
      <c r="HO47">
        <f>IF('計算A'!E$106=1,CY47,1)</f>
        <v/>
      </c>
      <c r="HP47">
        <f>IF('計算A'!F$106=1,CZ47,1)</f>
        <v/>
      </c>
      <c r="HQ47">
        <f>IF('計算A'!G$106=1,DA47,1)</f>
        <v/>
      </c>
      <c r="HR47">
        <f>IF('計算A'!H$106=1,DB47,1)</f>
        <v/>
      </c>
      <c r="HS47">
        <f>IF('計算A'!I$106=1,DC47,1)</f>
        <v/>
      </c>
      <c r="HT47">
        <f>IF('計算A'!J$106=1,DD47,1)</f>
        <v/>
      </c>
      <c r="HU47">
        <f>IF('計算A'!K$106=1,DE47,1)</f>
        <v/>
      </c>
      <c r="HV47">
        <f>IF('計算A'!L$106=1,DF47,1)</f>
        <v/>
      </c>
      <c r="HW47">
        <f>IF('計算A'!M$106=1,DG47,1)</f>
        <v/>
      </c>
      <c r="HX47">
        <f>IF('計算A'!N$106=1,DH47,1)</f>
        <v/>
      </c>
      <c r="HY47">
        <f>IF('計算A'!O$106=1,DI47,1)</f>
        <v/>
      </c>
      <c r="HZ47">
        <f>IF('計算A'!P$106=1,DJ47,1)</f>
        <v/>
      </c>
      <c r="IA47">
        <f>IF('計算A'!Q$106=1,DK47,1)</f>
        <v/>
      </c>
      <c r="IB47">
        <f>IF('計算A'!R$106=1,DL47,1)</f>
        <v/>
      </c>
      <c r="IC47">
        <f>IF('計算A'!S$106=1,DM47,1)</f>
        <v/>
      </c>
      <c r="ID47">
        <f>IF('計算A'!T$106=1,DN47,1)</f>
        <v/>
      </c>
      <c r="IE47">
        <f>IF('計算A'!U$106=1,DO47,1)</f>
        <v/>
      </c>
      <c r="IF47">
        <f>IF('計算A'!V$106=1,DP47,1)</f>
        <v/>
      </c>
      <c r="IG47">
        <f>IF('計算A'!W$106=1,DQ47,1)</f>
        <v/>
      </c>
      <c r="IH47">
        <f>IF('計算A'!X$106=1,DR47,1)</f>
        <v/>
      </c>
      <c r="II47">
        <f>IF('計算A'!Y$106=1,DS47,1)</f>
        <v/>
      </c>
      <c r="IJ47">
        <f>IF('計算A'!Z$106=1,DT47,1)</f>
        <v/>
      </c>
      <c r="IK47">
        <f>IF('計算A'!AA$106=1,DU47,1)</f>
        <v/>
      </c>
      <c r="IL47">
        <f>IF('計算A'!AB$106=1,DV47,1)</f>
        <v/>
      </c>
      <c r="IM47">
        <f>IF('計算A'!AC$106=1,DW47,1)</f>
        <v/>
      </c>
      <c r="IN47">
        <f>IF('計算A'!AD$106=1,DX47,1)</f>
        <v/>
      </c>
      <c r="IO47">
        <f>IF('計算A'!AE$106=1,DY47,1)</f>
        <v/>
      </c>
      <c r="IP47">
        <f>IF('計算A'!AF$106=1,DZ47,1)</f>
        <v/>
      </c>
      <c r="IQ47">
        <f>IF('計算A'!AG$106=1,EA47,1)</f>
        <v/>
      </c>
      <c r="IR47">
        <f>IF('計算A'!AH$106=1,EB47,1)</f>
        <v/>
      </c>
      <c r="IS47">
        <f>IF('計算A'!AI$106=1,EC47,1)</f>
        <v/>
      </c>
      <c r="IT47">
        <f>IF('計算A'!AJ$106=1,ED47,1)</f>
        <v/>
      </c>
      <c r="IU47">
        <f>IF('計算A'!AK$106=1,EE47,1)</f>
        <v/>
      </c>
      <c r="IV47">
        <f>IF('計算A'!AL$106=1,EF47,1)</f>
        <v/>
      </c>
      <c r="IW47">
        <f>IF('計算A'!AM$106=1,EG47,1)</f>
        <v/>
      </c>
      <c r="IX47">
        <f>IF('計算A'!AN$106=1,EH47,1)</f>
        <v/>
      </c>
      <c r="IY47">
        <f>IF('計算A'!AO$106=1,EI47,1)</f>
        <v/>
      </c>
      <c r="IZ47">
        <f>IF('計算A'!AP$106=1,EJ47,1)</f>
        <v/>
      </c>
      <c r="JA47">
        <f>IF('計算A'!AQ$106=1,EK47,1)</f>
        <v/>
      </c>
      <c r="JB47">
        <f>IF('計算A'!AR$106=1,EL47,1)</f>
        <v/>
      </c>
      <c r="JC47">
        <f>IF('計算A'!AS$106=1,EM47,1)</f>
        <v/>
      </c>
      <c r="JD47">
        <f>IF('計算A'!AT$106=1,EN47,1)</f>
        <v/>
      </c>
      <c r="JE47">
        <f>IF('計算A'!AU$106=1,EO47,1)</f>
        <v/>
      </c>
      <c r="JF47">
        <f>IF('計算A'!AV$106=1,EP47,1)</f>
        <v/>
      </c>
      <c r="JG47">
        <f>IF('計算A'!AW$106=1,EQ47,1)</f>
        <v/>
      </c>
      <c r="JH47">
        <f>IF('計算A'!AX$106=1,ER47,1)</f>
        <v/>
      </c>
      <c r="JI47">
        <f>IF('計算A'!AY$106=1,ES47,1)</f>
        <v/>
      </c>
      <c r="JJ47">
        <f>IF('計算A'!AZ$106=1,ET47,1)</f>
        <v/>
      </c>
      <c r="JK47">
        <f>IF('計算A'!BA$106=1,EU47,1)</f>
        <v/>
      </c>
      <c r="JL47">
        <f>IF('計算A'!BB$106=1,EV47,1)</f>
        <v/>
      </c>
      <c r="JM47">
        <f>IF('計算A'!BC$106=1,EW47,1)</f>
        <v/>
      </c>
      <c r="JN47">
        <f>IF('計算A'!BD$106=1,EX47,1)</f>
        <v/>
      </c>
      <c r="JO47">
        <f>IF('計算A'!BE$106=1,EY47,1)</f>
        <v/>
      </c>
      <c r="JP47">
        <f>IF('計算A'!BF$106=1,EZ47,1)</f>
        <v/>
      </c>
      <c r="JQ47">
        <f>IF('計算A'!BG$106=1,FA47,1)</f>
        <v/>
      </c>
      <c r="JR47">
        <f>IF('計算A'!BH$106=1,FB47,1)</f>
        <v/>
      </c>
      <c r="JS47">
        <f>IF('計算A'!BI$106=1,FC47,1)</f>
        <v/>
      </c>
      <c r="JT47">
        <f>IF('計算A'!BJ$106=1,FD47,1)</f>
        <v/>
      </c>
      <c r="JU47">
        <f>IF('計算A'!BK$106=1,FE47,1)</f>
        <v/>
      </c>
      <c r="JV47">
        <f>IF('計算A'!BL$106=1,FF47,1)</f>
        <v/>
      </c>
      <c r="JW47">
        <f>IF('計算A'!BM$106=1,FG47,1)</f>
        <v/>
      </c>
      <c r="JX47">
        <f>IF('計算A'!BN$106=1,FH47,1)</f>
        <v/>
      </c>
      <c r="JY47">
        <f>IF('計算A'!BO$106=1,FI47,1)</f>
        <v/>
      </c>
      <c r="JZ47">
        <f>IF('計算A'!BP$106=1,FJ47,1)</f>
        <v/>
      </c>
      <c r="KA47">
        <f>IF('計算A'!BQ$106=1,FK47,1)</f>
        <v/>
      </c>
      <c r="KB47">
        <f>IF('計算A'!BR$106=1,FL47,1)</f>
        <v/>
      </c>
      <c r="KC47">
        <f>IF('計算A'!BS$106=1,FM47,1)</f>
        <v/>
      </c>
      <c r="KD47">
        <f>IF('計算A'!BT$106=1,FN47,1)</f>
        <v/>
      </c>
      <c r="KE47">
        <f>IF('計算A'!BU$106=1,FO47,1)</f>
        <v/>
      </c>
      <c r="KF47">
        <f>IF('計算A'!BV$106=1,FP47,1)</f>
        <v/>
      </c>
      <c r="KG47">
        <f>IF('計算A'!BW$106=1,FQ47,1)</f>
        <v/>
      </c>
      <c r="KH47">
        <f>IF('計算A'!BX$106=1,FR47,1)</f>
        <v/>
      </c>
      <c r="KI47">
        <f>IF('計算A'!BY$106=1,FS47,1)</f>
        <v/>
      </c>
      <c r="KJ47">
        <f>IF('計算A'!BZ$106=1,FT47,1)</f>
        <v/>
      </c>
      <c r="KK47">
        <f>IF('計算A'!CA$106=1,FU47,1)</f>
        <v/>
      </c>
      <c r="KL47">
        <f>IF('計算A'!CB$106=1,FV47,1)</f>
        <v/>
      </c>
      <c r="KM47">
        <f>IF('計算A'!CC$106=1,FW47,1)</f>
        <v/>
      </c>
      <c r="KN47">
        <f>IF('計算A'!CD$106=1,FX47,1)</f>
        <v/>
      </c>
      <c r="KO47">
        <f>IF('計算A'!CE$106=1,FY47,1)</f>
        <v/>
      </c>
      <c r="KP47">
        <f>IF('計算A'!CF$106=1,FZ47,1)</f>
        <v/>
      </c>
      <c r="KQ47">
        <f>IF('計算A'!CG$106=1,GA47,1)</f>
        <v/>
      </c>
      <c r="KR47">
        <f>IF('計算A'!CH$106=1,GB47,1)</f>
        <v/>
      </c>
      <c r="KS47">
        <f>IF('計算A'!CI$106=1,GC47,1)</f>
        <v/>
      </c>
      <c r="KT47">
        <f>IF('計算A'!CJ$106=1,GD47,1)</f>
        <v/>
      </c>
      <c r="KU47">
        <f>IF('計算A'!CK$106=1,GE47,1)</f>
        <v/>
      </c>
      <c r="KV47">
        <f>IF('計算A'!CL$106=1,GF47,1)</f>
        <v/>
      </c>
      <c r="KW47">
        <f>IF('計算A'!CM$106=1,GG47,1)</f>
        <v/>
      </c>
      <c r="KX47">
        <f>IF('計算A'!CN$106=1,GH47,1)</f>
        <v/>
      </c>
      <c r="KY47">
        <f>IF('計算A'!CO$106=1,GI47,1)</f>
        <v/>
      </c>
      <c r="KZ47">
        <f>IF('計算A'!CP$106=1,GJ47,1)</f>
        <v/>
      </c>
      <c r="LA47">
        <f>IF('計算A'!CQ$106=1,GK47,1)</f>
        <v/>
      </c>
      <c r="LB47">
        <f>IF('計算A'!CR$106=1,GL47,1)</f>
        <v/>
      </c>
      <c r="LC47">
        <f>IF('計算A'!CS$106=1,GM47,1)</f>
        <v/>
      </c>
      <c r="LD47">
        <f>IF('計算A'!CT$106=1,GN47,1)</f>
        <v/>
      </c>
      <c r="LE47">
        <f>IF('計算A'!CU$106=1,GO47,1)</f>
        <v/>
      </c>
      <c r="LF47">
        <f>IF('計算A'!CV$106=1,GP47,1)</f>
        <v/>
      </c>
      <c r="LG47">
        <f>IF('計算A'!CW$106=1,GQ47,1)</f>
        <v/>
      </c>
      <c r="LH47">
        <f>IF('計算A'!CX$106=1,GR47,1)</f>
        <v/>
      </c>
      <c r="LI47">
        <f>IF('計算A'!CY$106=1,GS47,1)</f>
        <v/>
      </c>
      <c r="LJ47">
        <f>IF('計算A'!CZ$106=1,GT47,1)</f>
        <v/>
      </c>
      <c r="LK47">
        <f>IF('計算A'!DA$106=1,GU47,1)</f>
        <v/>
      </c>
      <c r="LL47">
        <f>IF('計算A'!DB$106=1,GV47,1)</f>
        <v/>
      </c>
      <c r="LM47">
        <f>IF('計算A'!DC$106=1,GW47,1)</f>
        <v/>
      </c>
      <c r="LN47">
        <f>IF('計算A'!DD$106=1,GX47,1)</f>
        <v/>
      </c>
      <c r="LO47">
        <f>IF('計算A'!DE$106=1,GY47,1)</f>
        <v/>
      </c>
      <c r="LP47">
        <f>IF('計算A'!DF$106=1,GZ47,1)</f>
        <v/>
      </c>
      <c r="LQ47">
        <f>IF('計算A'!DG$106=1,HA47,1)</f>
        <v/>
      </c>
      <c r="LR47">
        <f>IF('計算A'!DH$106=1,HB47,1)</f>
        <v/>
      </c>
      <c r="LS47">
        <f>IF('計算A'!DI$106=1,HC47,1)</f>
        <v/>
      </c>
      <c r="LT47">
        <f>IF('計算A'!DJ$106=1,HD47,1)</f>
        <v/>
      </c>
      <c r="LU47">
        <f>IF('計算A'!DK$106=1,HE47,1)</f>
        <v/>
      </c>
      <c r="LV47">
        <f>IF('計算A'!DL$106=1,HF47,1)</f>
        <v/>
      </c>
      <c r="LW47">
        <f>IF('計算A'!DM$106=1,HG47,1)</f>
        <v/>
      </c>
      <c r="LX47">
        <f>IF('計算A'!DN$106=1,HH47,1)</f>
        <v/>
      </c>
      <c r="LY47">
        <f>IF('計算A'!DO$106=1,HI47,1)</f>
        <v/>
      </c>
      <c r="LZ47">
        <f>IF('計算A'!DP$106=1,HJ47,1)</f>
        <v/>
      </c>
      <c r="MA47">
        <f>IF('計算A'!DQ$106=1,HK47,1)</f>
        <v/>
      </c>
      <c r="MB47">
        <f>IF('計算A'!DR$106=1,HL47,1)</f>
        <v/>
      </c>
      <c r="MC47" t="n">
        <v>1</v>
      </c>
      <c r="ME47">
        <f>IF($B47=0,1000000,IF(INDEX('計算A'!$D$60:$DS$104,$B47,1)*CW47=1,IF(AND($E47=2,HN47=0),1000000,INDEX('計算A'!D$110:D$114,$F47+1)+IF(AND($E47=1,HN47=0),1000,0)),1000000))</f>
        <v/>
      </c>
      <c r="MF47">
        <f>IF($B47=0,1000000,IF(INDEX('計算A'!$D$60:$DS$104,$B47,2)*CX47=1,IF(AND($E47=2,HO47=0),1000000,INDEX('計算A'!E$110:E$114,$F47+1)+IF(AND($E47=1,HO47=0),1000,0)),1000000))</f>
        <v/>
      </c>
      <c r="MG47">
        <f>IF($B47=0,1000000,IF(INDEX('計算A'!$D$60:$DS$104,$B47,3)*CY47=1,IF(AND($E47=2,HP47=0),1000000,INDEX('計算A'!F$110:F$114,$F47+1)+IF(AND($E47=1,HP47=0),1000,0)),1000000))</f>
        <v/>
      </c>
      <c r="MH47">
        <f>IF($B47=0,1000000,IF(INDEX('計算A'!$D$60:$DS$104,$B47,4)*CZ47=1,IF(AND($E47=2,HQ47=0),1000000,INDEX('計算A'!G$110:G$114,$F47+1)+IF(AND($E47=1,HQ47=0),1000,0)),1000000))</f>
        <v/>
      </c>
      <c r="MI47">
        <f>IF($B47=0,1000000,IF(INDEX('計算A'!$D$60:$DS$104,$B47,5)*DA47=1,IF(AND($E47=2,HR47=0),1000000,INDEX('計算A'!H$110:H$114,$F47+1)+IF(AND($E47=1,HR47=0),1000,0)),1000000))</f>
        <v/>
      </c>
      <c r="MJ47">
        <f>IF($B47=0,1000000,IF(INDEX('計算A'!$D$60:$DS$104,$B47,6)*DB47=1,IF(AND($E47=2,HS47=0),1000000,INDEX('計算A'!I$110:I$114,$F47+1)+IF(AND($E47=1,HS47=0),1000,0)),1000000))</f>
        <v/>
      </c>
      <c r="MK47">
        <f>IF($B47=0,1000000,IF(INDEX('計算A'!$D$60:$DS$104,$B47,7)*DC47=1,IF(AND($E47=2,HT47=0),1000000,INDEX('計算A'!J$110:J$114,$F47+1)+IF(AND($E47=1,HT47=0),1000,0)),1000000))</f>
        <v/>
      </c>
      <c r="ML47">
        <f>IF($B47=0,1000000,IF(INDEX('計算A'!$D$60:$DS$104,$B47,8)*DD47=1,IF(AND($E47=2,HU47=0),1000000,INDEX('計算A'!K$110:K$114,$F47+1)+IF(AND($E47=1,HU47=0),1000,0)),1000000))</f>
        <v/>
      </c>
      <c r="MM47">
        <f>IF($B47=0,1000000,IF(INDEX('計算A'!$D$60:$DS$104,$B47,9)*DE47=1,IF(AND($E47=2,HV47=0),1000000,INDEX('計算A'!L$110:L$114,$F47+1)+IF(AND($E47=1,HV47=0),1000,0)),1000000))</f>
        <v/>
      </c>
      <c r="MN47">
        <f>IF($B47=0,1000000,IF(INDEX('計算A'!$D$60:$DS$104,$B47,10)*DF47=1,IF(AND($E47=2,HW47=0),1000000,INDEX('計算A'!M$110:M$114,$F47+1)+IF(AND($E47=1,HW47=0),1000,0)),1000000))</f>
        <v/>
      </c>
      <c r="MO47">
        <f>IF($B47=0,1000000,IF(INDEX('計算A'!$D$60:$DS$104,$B47,11)*DG47=1,IF(AND($E47=2,HX47=0),1000000,INDEX('計算A'!N$110:N$114,$F47+1)+IF(AND($E47=1,HX47=0),1000,0)),1000000))</f>
        <v/>
      </c>
      <c r="MP47">
        <f>IF($B47=0,1000000,IF(INDEX('計算A'!$D$60:$DS$104,$B47,12)*DH47=1,IF(AND($E47=2,HY47=0),1000000,INDEX('計算A'!O$110:O$114,$F47+1)+IF(AND($E47=1,HY47=0),1000,0)),1000000))</f>
        <v/>
      </c>
      <c r="MQ47">
        <f>IF($B47=0,1000000,IF(INDEX('計算A'!$D$60:$DS$104,$B47,13)*DI47=1,IF(AND($E47=2,HZ47=0),1000000,INDEX('計算A'!P$110:P$114,$F47+1)+IF(AND($E47=1,HZ47=0),1000,0)),1000000))</f>
        <v/>
      </c>
      <c r="MR47">
        <f>IF($B47=0,1000000,IF(INDEX('計算A'!$D$60:$DS$104,$B47,14)*DJ47=1,IF(AND($E47=2,IA47=0),1000000,INDEX('計算A'!Q$110:Q$114,$F47+1)+IF(AND($E47=1,IA47=0),1000,0)),1000000))</f>
        <v/>
      </c>
      <c r="MS47">
        <f>IF($B47=0,1000000,IF(INDEX('計算A'!$D$60:$DS$104,$B47,15)*DK47=1,IF(AND($E47=2,IB47=0),1000000,INDEX('計算A'!R$110:R$114,$F47+1)+IF(AND($E47=1,IB47=0),1000,0)),1000000))</f>
        <v/>
      </c>
      <c r="MT47">
        <f>IF($B47=0,1000000,IF(INDEX('計算A'!$D$60:$DS$104,$B47,16)*DL47=1,IF(AND($E47=2,IC47=0),1000000,INDEX('計算A'!S$110:S$114,$F47+1)+IF(AND($E47=1,IC47=0),1000,0)),1000000))</f>
        <v/>
      </c>
      <c r="MU47">
        <f>IF($B47=0,1000000,IF(INDEX('計算A'!$D$60:$DS$104,$B47,17)*DM47=1,IF(AND($E47=2,ID47=0),1000000,INDEX('計算A'!T$110:T$114,$F47+1)+IF(AND($E47=1,ID47=0),1000,0)),1000000))</f>
        <v/>
      </c>
      <c r="MV47">
        <f>IF($B47=0,1000000,IF(INDEX('計算A'!$D$60:$DS$104,$B47,18)*DN47=1,IF(AND($E47=2,IE47=0),1000000,INDEX('計算A'!U$110:U$114,$F47+1)+IF(AND($E47=1,IE47=0),1000,0)),1000000))</f>
        <v/>
      </c>
      <c r="MW47">
        <f>IF($B47=0,1000000,IF(INDEX('計算A'!$D$60:$DS$104,$B47,19)*DO47=1,IF(AND($E47=2,IF47=0),1000000,INDEX('計算A'!V$110:V$114,$F47+1)+IF(AND($E47=1,IF47=0),1000,0)),1000000))</f>
        <v/>
      </c>
      <c r="MX47">
        <f>IF($B47=0,1000000,IF(INDEX('計算A'!$D$60:$DS$104,$B47,20)*DP47=1,IF(AND($E47=2,IG47=0),1000000,INDEX('計算A'!W$110:W$114,$F47+1)+IF(AND($E47=1,IG47=0),1000,0)),1000000))</f>
        <v/>
      </c>
      <c r="MY47">
        <f>IF($B47=0,1000000,IF(INDEX('計算A'!$D$60:$DS$104,$B47,21)*DQ47=1,IF(AND($E47=2,IH47=0),1000000,INDEX('計算A'!X$110:X$114,$F47+1)+IF(AND($E47=1,IH47=0),1000,0)),1000000))</f>
        <v/>
      </c>
      <c r="MZ47">
        <f>IF($B47=0,1000000,IF(INDEX('計算A'!$D$60:$DS$104,$B47,22)*DR47=1,IF(AND($E47=2,II47=0),1000000,INDEX('計算A'!Y$110:Y$114,$F47+1)+IF(AND($E47=1,II47=0),1000,0)),1000000))</f>
        <v/>
      </c>
      <c r="NA47">
        <f>IF($B47=0,1000000,IF(INDEX('計算A'!$D$60:$DS$104,$B47,23)*DS47=1,IF(AND($E47=2,IJ47=0),1000000,INDEX('計算A'!Z$110:Z$114,$F47+1)+IF(AND($E47=1,IJ47=0),1000,0)),1000000))</f>
        <v/>
      </c>
      <c r="NB47">
        <f>IF($B47=0,1000000,IF(INDEX('計算A'!$D$60:$DS$104,$B47,24)*DT47=1,IF(AND($E47=2,IK47=0),1000000,INDEX('計算A'!AA$110:AA$114,$F47+1)+IF(AND($E47=1,IK47=0),1000,0)),1000000))</f>
        <v/>
      </c>
      <c r="NC47">
        <f>IF($B47=0,1000000,IF(INDEX('計算A'!$D$60:$DS$104,$B47,25)*DU47=1,IF(AND($E47=2,IL47=0),1000000,INDEX('計算A'!AB$110:AB$114,$F47+1)+IF(AND($E47=1,IL47=0),1000,0)),1000000))</f>
        <v/>
      </c>
      <c r="ND47">
        <f>IF($B47=0,1000000,IF(INDEX('計算A'!$D$60:$DS$104,$B47,26)*DV47=1,IF(AND($E47=2,IM47=0),1000000,INDEX('計算A'!AC$110:AC$114,$F47+1)+IF(AND($E47=1,IM47=0),1000,0)),1000000))</f>
        <v/>
      </c>
      <c r="NE47">
        <f>IF($B47=0,1000000,IF(INDEX('計算A'!$D$60:$DS$104,$B47,27)*DW47=1,IF(AND($E47=2,IN47=0),1000000,INDEX('計算A'!AD$110:AD$114,$F47+1)+IF(AND($E47=1,IN47=0),1000,0)),1000000))</f>
        <v/>
      </c>
      <c r="NF47">
        <f>IF($B47=0,1000000,IF(INDEX('計算A'!$D$60:$DS$104,$B47,28)*DX47=1,IF(AND($E47=2,IO47=0),1000000,INDEX('計算A'!AE$110:AE$114,$F47+1)+IF(AND($E47=1,IO47=0),1000,0)),1000000))</f>
        <v/>
      </c>
      <c r="NG47">
        <f>IF($B47=0,1000000,IF(INDEX('計算A'!$D$60:$DS$104,$B47,29)*DY47=1,IF(AND($E47=2,IP47=0),1000000,INDEX('計算A'!AF$110:AF$114,$F47+1)+IF(AND($E47=1,IP47=0),1000,0)),1000000))</f>
        <v/>
      </c>
      <c r="NH47">
        <f>IF($B47=0,1000000,IF(INDEX('計算A'!$D$60:$DS$104,$B47,30)*DZ47=1,IF(AND($E47=2,IQ47=0),1000000,INDEX('計算A'!AG$110:AG$114,$F47+1)+IF(AND($E47=1,IQ47=0),1000,0)),1000000))</f>
        <v/>
      </c>
      <c r="NI47">
        <f>IF($B47=0,1000000,IF(INDEX('計算A'!$D$60:$DS$104,$B47,31)*EA47=1,IF(AND($E47=2,IR47=0),1000000,INDEX('計算A'!AH$110:AH$114,$F47+1)+IF(AND($E47=1,IR47=0),1000,0)),1000000))</f>
        <v/>
      </c>
      <c r="NJ47">
        <f>IF($B47=0,1000000,IF(INDEX('計算A'!$D$60:$DS$104,$B47,32)*EB47=1,IF(AND($E47=2,IS47=0),1000000,INDEX('計算A'!AI$110:AI$114,$F47+1)+IF(AND($E47=1,IS47=0),1000,0)),1000000))</f>
        <v/>
      </c>
      <c r="NK47">
        <f>IF($B47=0,1000000,IF(INDEX('計算A'!$D$60:$DS$104,$B47,33)*EC47=1,IF(AND($E47=2,IT47=0),1000000,INDEX('計算A'!AJ$110:AJ$114,$F47+1)+IF(AND($E47=1,IT47=0),1000,0)),1000000))</f>
        <v/>
      </c>
      <c r="NL47">
        <f>IF($B47=0,1000000,IF(INDEX('計算A'!$D$60:$DS$104,$B47,34)*ED47=1,IF(AND($E47=2,IU47=0),1000000,INDEX('計算A'!AK$110:AK$114,$F47+1)+IF(AND($E47=1,IU47=0),1000,0)),1000000))</f>
        <v/>
      </c>
      <c r="NM47">
        <f>IF($B47=0,1000000,IF(INDEX('計算A'!$D$60:$DS$104,$B47,35)*EE47=1,IF(AND($E47=2,IV47=0),1000000,INDEX('計算A'!AL$110:AL$114,$F47+1)+IF(AND($E47=1,IV47=0),1000,0)),1000000))</f>
        <v/>
      </c>
      <c r="NN47">
        <f>IF($B47=0,1000000,IF(INDEX('計算A'!$D$60:$DS$104,$B47,36)*EF47=1,IF(AND($E47=2,IW47=0),1000000,INDEX('計算A'!AM$110:AM$114,$F47+1)+IF(AND($E47=1,IW47=0),1000,0)),1000000))</f>
        <v/>
      </c>
      <c r="NO47">
        <f>IF($B47=0,1000000,IF(INDEX('計算A'!$D$60:$DS$104,$B47,37)*EG47=1,IF(AND($E47=2,IX47=0),1000000,INDEX('計算A'!AN$110:AN$114,$F47+1)+IF(AND($E47=1,IX47=0),1000,0)),1000000))</f>
        <v/>
      </c>
      <c r="NP47">
        <f>IF($B47=0,1000000,IF(INDEX('計算A'!$D$60:$DS$104,$B47,38)*EH47=1,IF(AND($E47=2,IY47=0),1000000,INDEX('計算A'!AO$110:AO$114,$F47+1)+IF(AND($E47=1,IY47=0),1000,0)),1000000))</f>
        <v/>
      </c>
      <c r="NQ47">
        <f>IF($B47=0,1000000,IF(INDEX('計算A'!$D$60:$DS$104,$B47,39)*EI47=1,IF(AND($E47=2,IZ47=0),1000000,INDEX('計算A'!AP$110:AP$114,$F47+1)+IF(AND($E47=1,IZ47=0),1000,0)),1000000))</f>
        <v/>
      </c>
      <c r="NR47">
        <f>IF($B47=0,1000000,IF(INDEX('計算A'!$D$60:$DS$104,$B47,40)*EJ47=1,IF(AND($E47=2,JA47=0),1000000,INDEX('計算A'!AQ$110:AQ$114,$F47+1)+IF(AND($E47=1,JA47=0),1000,0)),1000000))</f>
        <v/>
      </c>
      <c r="NS47">
        <f>IF($B47=0,1000000,IF(INDEX('計算A'!$D$60:$DS$104,$B47,41)*EK47=1,IF(AND($E47=2,JB47=0),1000000,INDEX('計算A'!AR$110:AR$114,$F47+1)+IF(AND($E47=1,JB47=0),1000,0)),1000000))</f>
        <v/>
      </c>
      <c r="NT47">
        <f>IF($B47=0,1000000,IF(INDEX('計算A'!$D$60:$DS$104,$B47,42)*EL47=1,IF(AND($E47=2,JC47=0),1000000,INDEX('計算A'!AS$110:AS$114,$F47+1)+IF(AND($E47=1,JC47=0),1000,0)),1000000))</f>
        <v/>
      </c>
      <c r="NU47">
        <f>IF($B47=0,1000000,IF(INDEX('計算A'!$D$60:$DS$104,$B47,43)*EM47=1,IF(AND($E47=2,JD47=0),1000000,INDEX('計算A'!AT$110:AT$114,$F47+1)+IF(AND($E47=1,JD47=0),1000,0)),1000000))</f>
        <v/>
      </c>
      <c r="NV47">
        <f>IF($B47=0,1000000,IF(INDEX('計算A'!$D$60:$DS$104,$B47,44)*EN47=1,IF(AND($E47=2,JE47=0),1000000,INDEX('計算A'!AU$110:AU$114,$F47+1)+IF(AND($E47=1,JE47=0),1000,0)),1000000))</f>
        <v/>
      </c>
      <c r="NW47">
        <f>IF($B47=0,1000000,IF(INDEX('計算A'!$D$60:$DS$104,$B47,45)*EO47=1,IF(AND($E47=2,JF47=0),1000000,INDEX('計算A'!AV$110:AV$114,$F47+1)+IF(AND($E47=1,JF47=0),1000,0)),1000000))</f>
        <v/>
      </c>
      <c r="NX47">
        <f>IF($B47=0,1000000,IF(INDEX('計算A'!$D$60:$DS$104,$B47,46)*EP47=1,IF(AND($E47=2,JG47=0),1000000,INDEX('計算A'!AW$110:AW$114,$F47+1)+IF(AND($E47=1,JG47=0),1000,0)),1000000))</f>
        <v/>
      </c>
      <c r="NY47">
        <f>IF($B47=0,1000000,IF(INDEX('計算A'!$D$60:$DS$104,$B47,47)*EQ47=1,IF(AND($E47=2,JH47=0),1000000,INDEX('計算A'!AX$110:AX$114,$F47+1)+IF(AND($E47=1,JH47=0),1000,0)),1000000))</f>
        <v/>
      </c>
      <c r="NZ47">
        <f>IF($B47=0,1000000,IF(INDEX('計算A'!$D$60:$DS$104,$B47,48)*ER47=1,IF(AND($E47=2,JI47=0),1000000,INDEX('計算A'!AY$110:AY$114,$F47+1)+IF(AND($E47=1,JI47=0),1000,0)),1000000))</f>
        <v/>
      </c>
      <c r="OA47">
        <f>IF($B47=0,1000000,IF(INDEX('計算A'!$D$60:$DS$104,$B47,49)*ES47=1,IF(AND($E47=2,JJ47=0),1000000,INDEX('計算A'!AZ$110:AZ$114,$F47+1)+IF(AND($E47=1,JJ47=0),1000,0)),1000000))</f>
        <v/>
      </c>
      <c r="OB47">
        <f>IF($B47=0,1000000,IF(INDEX('計算A'!$D$60:$DS$104,$B47,50)*ET47=1,IF(AND($E47=2,JK47=0),1000000,INDEX('計算A'!BA$110:BA$114,$F47+1)+IF(AND($E47=1,JK47=0),1000,0)),1000000))</f>
        <v/>
      </c>
      <c r="OC47">
        <f>IF($B47=0,1000000,IF(INDEX('計算A'!$D$60:$DS$104,$B47,51)*EU47=1,IF(AND($E47=2,JL47=0),1000000,INDEX('計算A'!BB$110:BB$114,$F47+1)+IF(AND($E47=1,JL47=0),1000,0)),1000000))</f>
        <v/>
      </c>
      <c r="OD47">
        <f>IF($B47=0,1000000,IF(INDEX('計算A'!$D$60:$DS$104,$B47,52)*EV47=1,IF(AND($E47=2,JM47=0),1000000,INDEX('計算A'!BC$110:BC$114,$F47+1)+IF(AND($E47=1,JM47=0),1000,0)),1000000))</f>
        <v/>
      </c>
      <c r="OE47">
        <f>IF($B47=0,1000000,IF(INDEX('計算A'!$D$60:$DS$104,$B47,53)*EW47=1,IF(AND($E47=2,JN47=0),1000000,INDEX('計算A'!BD$110:BD$114,$F47+1)+IF(AND($E47=1,JN47=0),1000,0)),1000000))</f>
        <v/>
      </c>
      <c r="OF47">
        <f>IF($B47=0,1000000,IF(INDEX('計算A'!$D$60:$DS$104,$B47,54)*EX47=1,IF(AND($E47=2,JO47=0),1000000,INDEX('計算A'!BE$110:BE$114,$F47+1)+IF(AND($E47=1,JO47=0),1000,0)),1000000))</f>
        <v/>
      </c>
      <c r="OG47">
        <f>IF($B47=0,1000000,IF(INDEX('計算A'!$D$60:$DS$104,$B47,55)*EY47=1,IF(AND($E47=2,JP47=0),1000000,INDEX('計算A'!BF$110:BF$114,$F47+1)+IF(AND($E47=1,JP47=0),1000,0)),1000000))</f>
        <v/>
      </c>
      <c r="OH47">
        <f>IF($B47=0,1000000,IF(INDEX('計算A'!$D$60:$DS$104,$B47,56)*EZ47=1,IF(AND($E47=2,JQ47=0),1000000,INDEX('計算A'!BG$110:BG$114,$F47+1)+IF(AND($E47=1,JQ47=0),1000,0)),1000000))</f>
        <v/>
      </c>
      <c r="OI47">
        <f>IF($B47=0,1000000,IF(INDEX('計算A'!$D$60:$DS$104,$B47,57)*FA47=1,IF(AND($E47=2,JR47=0),1000000,INDEX('計算A'!BH$110:BH$114,$F47+1)+IF(AND($E47=1,JR47=0),1000,0)),1000000))</f>
        <v/>
      </c>
      <c r="OJ47">
        <f>IF($B47=0,1000000,IF(INDEX('計算A'!$D$60:$DS$104,$B47,58)*FB47=1,IF(AND($E47=2,JS47=0),1000000,INDEX('計算A'!BI$110:BI$114,$F47+1)+IF(AND($E47=1,JS47=0),1000,0)),1000000))</f>
        <v/>
      </c>
      <c r="OK47">
        <f>IF($B47=0,1000000,IF(INDEX('計算A'!$D$60:$DS$104,$B47,59)*FC47=1,IF(AND($E47=2,JT47=0),1000000,INDEX('計算A'!BJ$110:BJ$114,$F47+1)+IF(AND($E47=1,JT47=0),1000,0)),1000000))</f>
        <v/>
      </c>
      <c r="OL47">
        <f>IF($B47=0,1000000,IF(INDEX('計算A'!$D$60:$DS$104,$B47,60)*FD47=1,IF(AND($E47=2,JU47=0),1000000,INDEX('計算A'!BK$110:BK$114,$F47+1)+IF(AND($E47=1,JU47=0),1000,0)),1000000))</f>
        <v/>
      </c>
      <c r="OM47">
        <f>IF($B47=0,1000000,IF(INDEX('計算A'!$D$60:$DS$104,$B47,61)*FE47=1,IF(AND($E47=2,JV47=0),1000000,INDEX('計算A'!BL$110:BL$114,$F47+1)+IF(AND($E47=1,JV47=0),1000,0)),1000000))</f>
        <v/>
      </c>
      <c r="ON47">
        <f>IF($B47=0,1000000,IF(INDEX('計算A'!$D$60:$DS$104,$B47,62)*FF47=1,IF(AND($E47=2,JW47=0),1000000,INDEX('計算A'!BM$110:BM$114,$F47+1)+IF(AND($E47=1,JW47=0),1000,0)),1000000))</f>
        <v/>
      </c>
      <c r="OO47">
        <f>IF($B47=0,1000000,IF(INDEX('計算A'!$D$60:$DS$104,$B47,63)*FG47=1,IF(AND($E47=2,JX47=0),1000000,INDEX('計算A'!BN$110:BN$114,$F47+1)+IF(AND($E47=1,JX47=0),1000,0)),1000000))</f>
        <v/>
      </c>
      <c r="OP47">
        <f>IF($B47=0,1000000,IF(INDEX('計算A'!$D$60:$DS$104,$B47,64)*FH47=1,IF(AND($E47=2,JY47=0),1000000,INDEX('計算A'!BO$110:BO$114,$F47+1)+IF(AND($E47=1,JY47=0),1000,0)),1000000))</f>
        <v/>
      </c>
      <c r="OQ47">
        <f>IF($B47=0,1000000,IF(INDEX('計算A'!$D$60:$DS$104,$B47,65)*FI47=1,IF(AND($E47=2,JZ47=0),1000000,INDEX('計算A'!BP$110:BP$114,$F47+1)+IF(AND($E47=1,JZ47=0),1000,0)),1000000))</f>
        <v/>
      </c>
      <c r="OR47">
        <f>IF($B47=0,1000000,IF(INDEX('計算A'!$D$60:$DS$104,$B47,66)*FJ47=1,IF(AND($E47=2,KA47=0),1000000,INDEX('計算A'!BQ$110:BQ$114,$F47+1)+IF(AND($E47=1,KA47=0),1000,0)),1000000))</f>
        <v/>
      </c>
      <c r="OS47">
        <f>IF($B47=0,1000000,IF(INDEX('計算A'!$D$60:$DS$104,$B47,67)*FK47=1,IF(AND($E47=2,KB47=0),1000000,INDEX('計算A'!BR$110:BR$114,$F47+1)+IF(AND($E47=1,KB47=0),1000,0)),1000000))</f>
        <v/>
      </c>
      <c r="OT47">
        <f>IF($B47=0,1000000,IF(INDEX('計算A'!$D$60:$DS$104,$B47,68)*FL47=1,IF(AND($E47=2,KC47=0),1000000,INDEX('計算A'!BS$110:BS$114,$F47+1)+IF(AND($E47=1,KC47=0),1000,0)),1000000))</f>
        <v/>
      </c>
      <c r="OU47">
        <f>IF($B47=0,1000000,IF(INDEX('計算A'!$D$60:$DS$104,$B47,69)*FM47=1,IF(AND($E47=2,KD47=0),1000000,INDEX('計算A'!BT$110:BT$114,$F47+1)+IF(AND($E47=1,KD47=0),1000,0)),1000000))</f>
        <v/>
      </c>
      <c r="OV47">
        <f>IF($B47=0,1000000,IF(INDEX('計算A'!$D$60:$DS$104,$B47,70)*FN47=1,IF(AND($E47=2,KE47=0),1000000,INDEX('計算A'!BU$110:BU$114,$F47+1)+IF(AND($E47=1,KE47=0),1000,0)),1000000))</f>
        <v/>
      </c>
      <c r="OW47">
        <f>IF($B47=0,1000000,IF(INDEX('計算A'!$D$60:$DS$104,$B47,71)*FO47=1,IF(AND($E47=2,KF47=0),1000000,INDEX('計算A'!BV$110:BV$114,$F47+1)+IF(AND($E47=1,KF47=0),1000,0)),1000000))</f>
        <v/>
      </c>
      <c r="OX47">
        <f>IF($B47=0,1000000,IF(INDEX('計算A'!$D$60:$DS$104,$B47,72)*FP47=1,IF(AND($E47=2,KG47=0),1000000,INDEX('計算A'!BW$110:BW$114,$F47+1)+IF(AND($E47=1,KG47=0),1000,0)),1000000))</f>
        <v/>
      </c>
      <c r="OY47">
        <f>IF($B47=0,1000000,IF(INDEX('計算A'!$D$60:$DS$104,$B47,73)*FQ47=1,IF(AND($E47=2,KH47=0),1000000,INDEX('計算A'!BX$110:BX$114,$F47+1)+IF(AND($E47=1,KH47=0),1000,0)),1000000))</f>
        <v/>
      </c>
      <c r="OZ47">
        <f>IF($B47=0,1000000,IF(INDEX('計算A'!$D$60:$DS$104,$B47,74)*FR47=1,IF(AND($E47=2,KI47=0),1000000,INDEX('計算A'!BY$110:BY$114,$F47+1)+IF(AND($E47=1,KI47=0),1000,0)),1000000))</f>
        <v/>
      </c>
      <c r="PA47">
        <f>IF($B47=0,1000000,IF(INDEX('計算A'!$D$60:$DS$104,$B47,75)*FS47=1,IF(AND($E47=2,KJ47=0),1000000,INDEX('計算A'!BZ$110:BZ$114,$F47+1)+IF(AND($E47=1,KJ47=0),1000,0)),1000000))</f>
        <v/>
      </c>
      <c r="PB47">
        <f>IF($B47=0,1000000,IF(INDEX('計算A'!$D$60:$DS$104,$B47,76)*FT47=1,IF(AND($E47=2,KK47=0),1000000,INDEX('計算A'!CA$110:CA$114,$F47+1)+IF(AND($E47=1,KK47=0),1000,0)),1000000))</f>
        <v/>
      </c>
      <c r="PC47">
        <f>IF($B47=0,1000000,IF(INDEX('計算A'!$D$60:$DS$104,$B47,77)*FU47=1,IF(AND($E47=2,KL47=0),1000000,INDEX('計算A'!CB$110:CB$114,$F47+1)+IF(AND($E47=1,KL47=0),1000,0)),1000000))</f>
        <v/>
      </c>
      <c r="PD47">
        <f>IF($B47=0,1000000,IF(INDEX('計算A'!$D$60:$DS$104,$B47,78)*FV47=1,IF(AND($E47=2,KM47=0),1000000,INDEX('計算A'!CC$110:CC$114,$F47+1)+IF(AND($E47=1,KM47=0),1000,0)),1000000))</f>
        <v/>
      </c>
      <c r="PE47">
        <f>IF($B47=0,1000000,IF(INDEX('計算A'!$D$60:$DS$104,$B47,79)*FW47=1,IF(AND($E47=2,KN47=0),1000000,INDEX('計算A'!CD$110:CD$114,$F47+1)+IF(AND($E47=1,KN47=0),1000,0)),1000000))</f>
        <v/>
      </c>
      <c r="PF47">
        <f>IF($B47=0,1000000,IF(INDEX('計算A'!$D$60:$DS$104,$B47,80)*FX47=1,IF(AND($E47=2,KO47=0),1000000,INDEX('計算A'!CE$110:CE$114,$F47+1)+IF(AND($E47=1,KO47=0),1000,0)),1000000))</f>
        <v/>
      </c>
      <c r="PG47">
        <f>IF($B47=0,1000000,IF(INDEX('計算A'!$D$60:$DS$104,$B47,81)*FY47=1,IF(AND($E47=2,KP47=0),1000000,INDEX('計算A'!CF$110:CF$114,$F47+1)+IF(AND($E47=1,KP47=0),1000,0)),1000000))</f>
        <v/>
      </c>
      <c r="PH47">
        <f>IF($B47=0,1000000,IF(INDEX('計算A'!$D$60:$DS$104,$B47,82)*FZ47=1,IF(AND($E47=2,KQ47=0),1000000,INDEX('計算A'!CG$110:CG$114,$F47+1)+IF(AND($E47=1,KQ47=0),1000,0)),1000000))</f>
        <v/>
      </c>
      <c r="PI47">
        <f>IF($B47=0,1000000,IF(INDEX('計算A'!$D$60:$DS$104,$B47,83)*GA47=1,IF(AND($E47=2,KR47=0),1000000,INDEX('計算A'!CH$110:CH$114,$F47+1)+IF(AND($E47=1,KR47=0),1000,0)),1000000))</f>
        <v/>
      </c>
      <c r="PJ47">
        <f>IF($B47=0,1000000,IF(INDEX('計算A'!$D$60:$DS$104,$B47,84)*GB47=1,IF(AND($E47=2,KS47=0),1000000,INDEX('計算A'!CI$110:CI$114,$F47+1)+IF(AND($E47=1,KS47=0),1000,0)),1000000))</f>
        <v/>
      </c>
      <c r="PK47">
        <f>IF($B47=0,1000000,IF(INDEX('計算A'!$D$60:$DS$104,$B47,85)*GC47=1,IF(AND($E47=2,KT47=0),1000000,INDEX('計算A'!CJ$110:CJ$114,$F47+1)+IF(AND($E47=1,KT47=0),1000,0)),1000000))</f>
        <v/>
      </c>
      <c r="PL47">
        <f>IF($B47=0,1000000,IF(INDEX('計算A'!$D$60:$DS$104,$B47,86)*GD47=1,IF(AND($E47=2,KU47=0),1000000,INDEX('計算A'!CK$110:CK$114,$F47+1)+IF(AND($E47=1,KU47=0),1000,0)),1000000))</f>
        <v/>
      </c>
      <c r="PM47">
        <f>IF($B47=0,1000000,IF(INDEX('計算A'!$D$60:$DS$104,$B47,87)*GE47=1,IF(AND($E47=2,KV47=0),1000000,INDEX('計算A'!CL$110:CL$114,$F47+1)+IF(AND($E47=1,KV47=0),1000,0)),1000000))</f>
        <v/>
      </c>
      <c r="PN47">
        <f>IF($B47=0,1000000,IF(INDEX('計算A'!$D$60:$DS$104,$B47,88)*GF47=1,IF(AND($E47=2,KW47=0),1000000,INDEX('計算A'!CM$110:CM$114,$F47+1)+IF(AND($E47=1,KW47=0),1000,0)),1000000))</f>
        <v/>
      </c>
      <c r="PO47">
        <f>IF($B47=0,1000000,IF(INDEX('計算A'!$D$60:$DS$104,$B47,89)*GG47=1,IF(AND($E47=2,KX47=0),1000000,INDEX('計算A'!CN$110:CN$114,$F47+1)+IF(AND($E47=1,KX47=0),1000,0)),1000000))</f>
        <v/>
      </c>
      <c r="PP47">
        <f>IF($B47=0,1000000,IF(INDEX('計算A'!$D$60:$DS$104,$B47,90)*GH47=1,IF(AND($E47=2,KY47=0),1000000,INDEX('計算A'!CO$110:CO$114,$F47+1)+IF(AND($E47=1,KY47=0),1000,0)),1000000))</f>
        <v/>
      </c>
      <c r="PQ47">
        <f>IF($B47=0,1000000,IF(INDEX('計算A'!$D$60:$DS$104,$B47,91)*GI47=1,IF(AND($E47=2,KZ47=0),1000000,INDEX('計算A'!CP$110:CP$114,$F47+1)+IF(AND($E47=1,KZ47=0),1000,0)),1000000))</f>
        <v/>
      </c>
      <c r="PR47">
        <f>IF($B47=0,1000000,IF(INDEX('計算A'!$D$60:$DS$104,$B47,92)*GJ47=1,IF(AND($E47=2,LA47=0),1000000,INDEX('計算A'!CQ$110:CQ$114,$F47+1)+IF(AND($E47=1,LA47=0),1000,0)),1000000))</f>
        <v/>
      </c>
      <c r="PS47">
        <f>IF($B47=0,1000000,IF(INDEX('計算A'!$D$60:$DS$104,$B47,93)*GK47=1,IF(AND($E47=2,LB47=0),1000000,INDEX('計算A'!CR$110:CR$114,$F47+1)+IF(AND($E47=1,LB47=0),1000,0)),1000000))</f>
        <v/>
      </c>
      <c r="PT47">
        <f>IF($B47=0,1000000,IF(INDEX('計算A'!$D$60:$DS$104,$B47,94)*GL47=1,IF(AND($E47=2,LC47=0),1000000,INDEX('計算A'!CS$110:CS$114,$F47+1)+IF(AND($E47=1,LC47=0),1000,0)),1000000))</f>
        <v/>
      </c>
      <c r="PU47">
        <f>IF($B47=0,1000000,IF(INDEX('計算A'!$D$60:$DS$104,$B47,95)*GM47=1,IF(AND($E47=2,LD47=0),1000000,INDEX('計算A'!CT$110:CT$114,$F47+1)+IF(AND($E47=1,LD47=0),1000,0)),1000000))</f>
        <v/>
      </c>
      <c r="PV47">
        <f>IF($B47=0,1000000,IF(INDEX('計算A'!$D$60:$DS$104,$B47,96)*GN47=1,IF(AND($E47=2,LE47=0),1000000,INDEX('計算A'!CU$110:CU$114,$F47+1)+IF(AND($E47=1,LE47=0),1000,0)),1000000))</f>
        <v/>
      </c>
      <c r="PW47">
        <f>IF($B47=0,1000000,IF(INDEX('計算A'!$D$60:$DS$104,$B47,97)*GO47=1,IF(AND($E47=2,LF47=0),1000000,INDEX('計算A'!CV$110:CV$114,$F47+1)+IF(AND($E47=1,LF47=0),1000,0)),1000000))</f>
        <v/>
      </c>
      <c r="PX47">
        <f>IF($B47=0,1000000,IF(INDEX('計算A'!$D$60:$DS$104,$B47,98)*GP47=1,IF(AND($E47=2,LG47=0),1000000,INDEX('計算A'!CW$110:CW$114,$F47+1)+IF(AND($E47=1,LG47=0),1000,0)),1000000))</f>
        <v/>
      </c>
      <c r="PY47">
        <f>IF($B47=0,1000000,IF(INDEX('計算A'!$D$60:$DS$104,$B47,99)*GQ47=1,IF(AND($E47=2,LH47=0),1000000,INDEX('計算A'!CX$110:CX$114,$F47+1)+IF(AND($E47=1,LH47=0),1000,0)),1000000))</f>
        <v/>
      </c>
      <c r="PZ47">
        <f>IF($B47=0,1000000,IF(INDEX('計算A'!$D$60:$DS$104,$B47,100)*GR47=1,IF(AND($E47=2,LI47=0),1000000,INDEX('計算A'!CY$110:CY$114,$F47+1)+IF(AND($E47=1,LI47=0),1000,0)),1000000))</f>
        <v/>
      </c>
      <c r="QA47">
        <f>IF($B47=0,1000000,IF(INDEX('計算A'!$D$60:$DS$104,$B47,101)*GS47=1,IF(AND($E47=2,LJ47=0),1000000,INDEX('計算A'!CZ$110:CZ$114,$F47+1)+IF(AND($E47=1,LJ47=0),1000,0)),1000000))</f>
        <v/>
      </c>
      <c r="QB47">
        <f>IF($B47=0,1000000,IF(INDEX('計算A'!$D$60:$DS$104,$B47,102)*GT47=1,IF(AND($E47=2,LK47=0),1000000,INDEX('計算A'!DA$110:DA$114,$F47+1)+IF(AND($E47=1,LK47=0),1000,0)),1000000))</f>
        <v/>
      </c>
      <c r="QC47">
        <f>IF($B47=0,1000000,IF(INDEX('計算A'!$D$60:$DS$104,$B47,103)*GU47=1,IF(AND($E47=2,LL47=0),1000000,INDEX('計算A'!DB$110:DB$114,$F47+1)+IF(AND($E47=1,LL47=0),1000,0)),1000000))</f>
        <v/>
      </c>
      <c r="QD47">
        <f>IF($B47=0,1000000,IF(INDEX('計算A'!$D$60:$DS$104,$B47,104)*GV47=1,IF(AND($E47=2,LM47=0),1000000,INDEX('計算A'!DC$110:DC$114,$F47+1)+IF(AND($E47=1,LM47=0),1000,0)),1000000))</f>
        <v/>
      </c>
      <c r="QE47">
        <f>IF($B47=0,1000000,IF(INDEX('計算A'!$D$60:$DS$104,$B47,105)*GW47=1,IF(AND($E47=2,LN47=0),1000000,INDEX('計算A'!DD$110:DD$114,$F47+1)+IF(AND($E47=1,LN47=0),1000,0)),1000000))</f>
        <v/>
      </c>
      <c r="QF47">
        <f>IF($B47=0,1000000,IF(INDEX('計算A'!$D$60:$DS$104,$B47,106)*GX47=1,IF(AND($E47=2,LO47=0),1000000,INDEX('計算A'!DE$110:DE$114,$F47+1)+IF(AND($E47=1,LO47=0),1000,0)),1000000))</f>
        <v/>
      </c>
      <c r="QG47">
        <f>IF($B47=0,1000000,IF(INDEX('計算A'!$D$60:$DS$104,$B47,107)*GY47=1,IF(AND($E47=2,LP47=0),1000000,INDEX('計算A'!DF$110:DF$114,$F47+1)+IF(AND($E47=1,LP47=0),1000,0)),1000000))</f>
        <v/>
      </c>
      <c r="QH47">
        <f>IF($B47=0,1000000,IF(INDEX('計算A'!$D$60:$DS$104,$B47,108)*GZ47=1,IF(AND($E47=2,LQ47=0),1000000,INDEX('計算A'!DG$110:DG$114,$F47+1)+IF(AND($E47=1,LQ47=0),1000,0)),1000000))</f>
        <v/>
      </c>
      <c r="QI47">
        <f>IF($B47=0,1000000,IF(INDEX('計算A'!$D$60:$DS$104,$B47,109)*HA47=1,IF(AND($E47=2,LR47=0),1000000,INDEX('計算A'!DH$110:DH$114,$F47+1)+IF(AND($E47=1,LR47=0),1000,0)),1000000))</f>
        <v/>
      </c>
      <c r="QJ47">
        <f>IF($B47=0,1000000,IF(INDEX('計算A'!$D$60:$DS$104,$B47,110)*HB47=1,IF(AND($E47=2,LS47=0),1000000,INDEX('計算A'!DI$110:DI$114,$F47+1)+IF(AND($E47=1,LS47=0),1000,0)),1000000))</f>
        <v/>
      </c>
      <c r="QK47">
        <f>IF($B47=0,1000000,IF(INDEX('計算A'!$D$60:$DS$104,$B47,111)*HC47=1,IF(AND($E47=2,LT47=0),1000000,INDEX('計算A'!DJ$110:DJ$114,$F47+1)+IF(AND($E47=1,LT47=0),1000,0)),1000000))</f>
        <v/>
      </c>
      <c r="QL47">
        <f>IF($B47=0,1000000,IF(INDEX('計算A'!$D$60:$DS$104,$B47,112)*HD47=1,IF(AND($E47=2,LU47=0),1000000,INDEX('計算A'!DK$110:DK$114,$F47+1)+IF(AND($E47=1,LU47=0),1000,0)),1000000))</f>
        <v/>
      </c>
      <c r="QM47">
        <f>IF($B47=0,1000000,IF(INDEX('計算A'!$D$60:$DS$104,$B47,113)*HE47=1,IF(AND($E47=2,LV47=0),1000000,INDEX('計算A'!DL$110:DL$114,$F47+1)+IF(AND($E47=1,LV47=0),1000,0)),1000000))</f>
        <v/>
      </c>
      <c r="QN47">
        <f>IF($B47=0,1000000,IF(INDEX('計算A'!$D$60:$DS$104,$B47,114)*HF47=1,IF(AND($E47=2,LW47=0),1000000,INDEX('計算A'!DM$110:DM$114,$F47+1)+IF(AND($E47=1,LW47=0),1000,0)),1000000))</f>
        <v/>
      </c>
      <c r="QO47">
        <f>IF($B47=0,1000000,IF(INDEX('計算A'!$D$60:$DS$104,$B47,115)*HG47=1,IF(AND($E47=2,LX47=0),1000000,INDEX('計算A'!DN$110:DN$114,$F47+1)+IF(AND($E47=1,LX47=0),1000,0)),1000000))</f>
        <v/>
      </c>
      <c r="QP47">
        <f>IF($B47=0,1000000,IF(INDEX('計算A'!$D$60:$DS$104,$B47,116)*HH47=1,IF(AND($E47=2,LY47=0),1000000,INDEX('計算A'!DO$110:DO$114,$F47+1)+IF(AND($E47=1,LY47=0),1000,0)),1000000))</f>
        <v/>
      </c>
      <c r="QQ47">
        <f>IF($B47=0,1000000,IF(INDEX('計算A'!$D$60:$DS$104,$B47,117)*HI47=1,IF(AND($E47=2,LZ47=0),1000000,INDEX('計算A'!DP$110:DP$114,$F47+1)+IF(AND($E47=1,LZ47=0),1000,0)),1000000))</f>
        <v/>
      </c>
      <c r="QR47">
        <f>IF($B47=0,1000000,IF(INDEX('計算A'!$D$60:$DS$104,$B47,118)*HJ47=1,IF(AND($E47=2,MA47=0),1000000,INDEX('計算A'!DQ$110:DQ$114,$F47+1)+IF(AND($E47=1,MA47=0),1000,0)),1000000))</f>
        <v/>
      </c>
      <c r="QS47">
        <f>IF($B47=0,1000000,IF(INDEX('計算A'!$D$60:$DS$104,$B47,119)*HK47=1,IF(AND($E47=2,MB47=0),1000000,INDEX('計算A'!DR$110:DR$114,$F47+1)+IF(AND($E47=1,MB47=0),1000,0)),1000000))</f>
        <v/>
      </c>
      <c r="QT47">
        <f>IF($B47=0,1000000,IF(INDEX('計算A'!$D$60:$DS$104,$B47,120)*HL47=1,IF(AND($E47=2,MC47=0),1000000,INDEX('計算A'!DS$110:DS$114,$F47+1)+IF(AND($E47=1,MC47=0),1000,0)),1000000))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2026-10-22T02:55:55Z</dcterms:created>
  <dcterms:modified xmlns:dcterms="http://purl.org/dc/terms/" xmlns:xsi="http://www.w3.org/2001/XMLSchema-instance" xsi:type="dcterms:W3CDTF">2026-10-22T02:55:56Z</dcterms:modified>
</cp:coreProperties>
</file>