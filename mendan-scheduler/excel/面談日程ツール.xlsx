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使い方"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割り当て" sheetId="5" state="visible" r:id="rId5"/>
    <sheet xmlns:r="http://schemas.openxmlformats.org/officeDocument/2006/relationships" name="自動案" sheetId="6" state="visible" r:id="rId6"/>
    <sheet xmlns:r="http://schemas.openxmlformats.org/officeDocument/2006/relationships" name="計算A" sheetId="7" state="hidden" r:id="rId7"/>
    <sheet xmlns:r="http://schemas.openxmlformats.org/officeDocument/2006/relationships" name="計算B" sheetId="8" state="hidden" r:id="rId8"/>
  </sheets>
  <definedNames>
    <definedName name="_xlnm._FilterDatabase" localSheetId="2" hidden="1">'名簿'!$A$4:$M$49</definedName>
  </definedNames>
  <calcPr calcId="124519" fullCalcOnLoad="1"/>
</workbook>
</file>

<file path=xl/styles.xml><?xml version="1.0" encoding="utf-8"?>
<styleSheet xmlns="http://schemas.openxmlformats.org/spreadsheetml/2006/main">
  <numFmts count="2">
    <numFmt numFmtId="164" formatCode="yyyy-mm-dd"/>
    <numFmt numFmtId="165" formatCode="m/d"/>
  </numFmts>
  <fonts count="21">
    <font>
      <name val="Calibri"/>
      <family val="2"/>
      <color theme="1"/>
      <sz val="11"/>
      <scheme val="minor"/>
    </font>
    <font>
      <name val="BIZ UDPゴシック"/>
      <b val="1"/>
      <sz val="18"/>
    </font>
    <font>
      <name val="BIZ UDPゴシック"/>
      <sz val="11"/>
    </font>
    <font>
      <name val="BIZ UDPゴシック"/>
      <b val="1"/>
      <sz val="12"/>
    </font>
    <font>
      <name val="BIZ UDPゴシック"/>
      <color rgb="009A6A00"/>
    </font>
    <font>
      <name val="BIZ UDPゴシック"/>
      <b val="1"/>
      <sz val="16"/>
    </font>
    <font>
      <name val="BIZ UDPゴシック"/>
    </font>
    <font>
      <name val="BIZ UDPゴシック"/>
      <color rgb="00666666"/>
      <sz val="9"/>
    </font>
    <font>
      <name val="BIZ UDPゴシック"/>
      <b val="1"/>
    </font>
    <font>
      <name val="BIZ UDPゴシック"/>
      <color rgb="00999999"/>
      <sz val="9"/>
    </font>
    <font>
      <name val="BIZ UDPゴシック"/>
      <color rgb="00444444"/>
      <sz val="10"/>
    </font>
    <font>
      <name val="BIZ UDPゴシック"/>
      <color rgb="002D5FA8"/>
      <u val="single"/>
    </font>
    <font>
      <name val="BIZ UDPゴシック"/>
      <b val="1"/>
      <sz val="14"/>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13"/>
    </font>
    <font>
      <name val="BIZ UDPゴシック"/>
      <sz val="9"/>
    </font>
    <font>
      <name val="BIZ UDPゴシック"/>
      <b val="1"/>
      <color rgb="00B23A3A"/>
    </font>
    <font>
      <name val="BIZ UDPゴシック"/>
      <b val="1"/>
      <color rgb="009A6A00"/>
    </font>
  </fonts>
  <fills count="10">
    <fill>
      <patternFill/>
    </fill>
    <fill>
      <patternFill patternType="gray125"/>
    </fill>
    <fill>
      <patternFill patternType="solid">
        <fgColor rgb="00FFF8D6"/>
        <bgColor rgb="00FFF8D6"/>
      </patternFill>
    </fill>
    <fill>
      <patternFill patternType="solid">
        <fgColor rgb="00E3EAE6"/>
        <bgColor rgb="00E3EAE6"/>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s>
  <borders count="6">
    <border>
      <left/>
      <right/>
      <top/>
      <bottom/>
      <diagonal/>
    </border>
    <border>
      <left style="thin">
        <color rgb="00888888"/>
      </left>
      <right style="thin">
        <color rgb="00888888"/>
      </right>
      <top style="thin">
        <color rgb="00888888"/>
      </top>
      <bottom style="thin">
        <color rgb="00888888"/>
      </bottom>
    </border>
    <border>
      <left/>
      <right/>
      <top style="thin">
        <color rgb="00888888"/>
      </top>
      <bottom/>
      <diagonal/>
    </border>
    <border>
      <left/>
      <right style="thin">
        <color rgb="00888888"/>
      </right>
      <top style="thin">
        <color rgb="00888888"/>
      </top>
      <bottom/>
      <diagonal/>
    </border>
    <border>
      <left/>
      <right/>
      <top style="thin">
        <color rgb="00888888"/>
      </top>
      <bottom style="thin">
        <color rgb="00888888"/>
      </bottom>
      <diagonal/>
    </border>
    <border>
      <left/>
      <right style="thin">
        <color rgb="00888888"/>
      </right>
      <top style="thin">
        <color rgb="00888888"/>
      </top>
      <bottom style="thin">
        <color rgb="00888888"/>
      </bottom>
      <diagonal/>
    </border>
  </borders>
  <cellStyleXfs count="1">
    <xf numFmtId="0" fontId="0" fillId="0" borderId="0"/>
  </cellStyleXfs>
  <cellXfs count="4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0" borderId="0" pivotButton="0" quotePrefix="0" xfId="0"/>
    <xf numFmtId="20" fontId="6" fillId="2" borderId="1" applyAlignment="1" pivotButton="0" quotePrefix="0" xfId="0">
      <alignment horizontal="center" vertical="center" wrapText="1"/>
    </xf>
    <xf numFmtId="1" fontId="6" fillId="2" borderId="1" applyAlignment="1" pivotButton="0" quotePrefix="0" xfId="0">
      <alignment horizontal="center" vertical="center" wrapText="1"/>
    </xf>
    <xf numFmtId="0" fontId="6" fillId="0" borderId="0" applyAlignment="1" pivotButton="0" quotePrefix="0" xfId="0">
      <alignment horizontal="center" vertical="center" wrapText="1"/>
    </xf>
    <xf numFmtId="0" fontId="7" fillId="0" borderId="0" pivotButton="0" quotePrefix="0" xfId="0"/>
    <xf numFmtId="0" fontId="6" fillId="2" borderId="1" pivotButton="0" quotePrefix="0" xfId="0"/>
    <xf numFmtId="0" fontId="0" fillId="0" borderId="4" pivotButton="0" quotePrefix="0" xfId="0"/>
    <xf numFmtId="0" fontId="0" fillId="0" borderId="5" pivotButton="0" quotePrefix="0" xfId="0"/>
    <xf numFmtId="0" fontId="8" fillId="3" borderId="1" applyAlignment="1" pivotButton="0" quotePrefix="0" xfId="0">
      <alignment horizontal="center" vertical="center" wrapText="1"/>
    </xf>
    <xf numFmtId="165" fontId="6"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0" borderId="1" pivotButton="0" quotePrefix="0" xfId="0"/>
    <xf numFmtId="0" fontId="9" fillId="0" borderId="0" applyAlignment="1" pivotButton="0" quotePrefix="0" xfId="0">
      <alignment horizontal="center" vertical="center" wrapText="1"/>
    </xf>
    <xf numFmtId="20" fontId="6" fillId="0" borderId="1" applyAlignment="1" pivotButton="0" quotePrefix="0" xfId="0">
      <alignment horizontal="center" vertical="center" wrapText="1"/>
    </xf>
    <xf numFmtId="0" fontId="10" fillId="0" borderId="0" pivotButton="0" quotePrefix="0" xfId="0"/>
    <xf numFmtId="0" fontId="6" fillId="2" borderId="1" applyAlignment="1" pivotButton="0" quotePrefix="0" xfId="0">
      <alignment vertical="center"/>
    </xf>
    <xf numFmtId="0" fontId="11" fillId="0" borderId="0" applyAlignment="1" pivotButton="0" quotePrefix="0" xfId="0">
      <alignment horizontal="center" vertical="center" wrapText="1"/>
    </xf>
    <xf numFmtId="0" fontId="12" fillId="0" borderId="0" pivotButton="0" quotePrefix="0" xfId="0"/>
    <xf numFmtId="0" fontId="6" fillId="0" borderId="0" applyAlignment="1" pivotButton="0" quotePrefix="0" xfId="0">
      <alignment horizontal="right" vertical="center"/>
    </xf>
    <xf numFmtId="0" fontId="6" fillId="0" borderId="0" applyAlignment="1" pivotButton="0" quotePrefix="0" xfId="0">
      <alignment horizontal="right"/>
    </xf>
    <xf numFmtId="0" fontId="8" fillId="0" borderId="0" pivotButton="0" quotePrefix="0" xfId="0"/>
    <xf numFmtId="0" fontId="6" fillId="3" borderId="1" pivotButton="0" quotePrefix="0" xfId="0"/>
    <xf numFmtId="0" fontId="13" fillId="0" borderId="1" applyAlignment="1" pivotButton="0" quotePrefix="0" xfId="0">
      <alignment horizontal="center" vertical="center" wrapText="1"/>
    </xf>
    <xf numFmtId="0" fontId="15" fillId="4"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6"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9" borderId="1" applyAlignment="1" pivotButton="0" quotePrefix="0" xfId="0">
      <alignment horizontal="center" vertical="center" wrapText="1"/>
    </xf>
    <xf numFmtId="0" fontId="3" fillId="2" borderId="1" pivotButton="0" quotePrefix="0" xfId="0"/>
    <xf numFmtId="0" fontId="14" fillId="0" borderId="0" pivotButton="0" quotePrefix="0" xfId="0"/>
    <xf numFmtId="0" fontId="6" fillId="0" borderId="0" applyAlignment="1" pivotButton="0" quotePrefix="0" xfId="0">
      <alignment vertical="top" wrapText="1"/>
    </xf>
    <xf numFmtId="0" fontId="17" fillId="0" borderId="0" pivotButton="0" quotePrefix="0" xfId="0"/>
    <xf numFmtId="0" fontId="18" fillId="0" borderId="1" applyAlignment="1" pivotButton="0" quotePrefix="0" xfId="0">
      <alignment vertical="top" wrapText="1"/>
    </xf>
    <xf numFmtId="0" fontId="19" fillId="0" borderId="0" pivotButton="0" quotePrefix="0" xfId="0"/>
    <xf numFmtId="0" fontId="19" fillId="0" borderId="0" applyAlignment="1" pivotButton="0" quotePrefix="0" xfId="0">
      <alignment vertical="top" wrapText="1"/>
    </xf>
    <xf numFmtId="0" fontId="20" fillId="0" borderId="0" pivotButton="0" quotePrefix="0" xfId="0"/>
  </cellXfs>
  <cellStyles count="1">
    <cellStyle name="Normal" xfId="0" builtinId="0" hidden="0"/>
  </cellStyles>
  <dxfs count="13">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dxf>
    <dxf>
      <font>
        <name val="BIZ UDPゴシック"/>
        <b val="1"/>
        <color rgb="00FFFFFF"/>
      </font>
      <fill>
        <patternFill patternType="solid">
          <fgColor rgb="00B23A3A"/>
          <bgColor rgb="00B23A3A"/>
        </patternFill>
      </fill>
    </dxf>
    <dxf>
      <fill>
        <patternFill patternType="solid">
          <fgColor rgb="00F2B36B"/>
          <bgColor rgb="00F2B36B"/>
        </patternFill>
      </fill>
    </dxf>
    <dxf>
      <font>
        <name val="BIZ UDPゴシック"/>
        <b val="1"/>
        <color rgb="001F3F7A"/>
      </font>
      <fill>
        <patternFill patternType="solid">
          <fgColor rgb="00C5D7F4"/>
          <bgColor rgb="00C5D7F4"/>
        </patternFill>
      </fill>
    </dxf>
    <dxf>
      <fill>
        <patternFill patternType="solid">
          <fgColor rgb="00D6F0DF"/>
          <bgColor rgb="00D6F0DF"/>
        </patternFill>
      </fill>
    </dxf>
    <dxf>
      <fill>
        <patternFill patternType="lightUp">
          <fgColor rgb="00BBBBBB"/>
        </patternFill>
      </fill>
    </dxf>
    <dxf>
      <font>
        <name val="BIZ UDPゴシック"/>
        <b val="1"/>
        <color rgb="00B23A3A"/>
      </font>
      <fill>
        <patternFill patternType="solid">
          <fgColor rgb="00F6DEDB"/>
          <bgColor rgb="00F6DEDB"/>
        </patternFill>
      </fill>
    </dxf>
    <dxf>
      <fill>
        <patternFill patternType="solid">
          <fgColor rgb="00FBE0C2"/>
          <bgColor rgb="00FBE0C2"/>
        </patternFill>
      </fill>
    </dxf>
    <dxf>
      <font>
        <name val="BIZ UDPゴシック"/>
        <b val="1"/>
      </font>
      <fill>
        <patternFill patternType="solid">
          <fgColor rgb="00D6F0DF"/>
          <bgColor rgb="00D6F0D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31"/>
  <sheetViews>
    <sheetView showGridLines="0" workbookViewId="0">
      <selection activeCell="A1" sqref="A1"/>
    </sheetView>
  </sheetViews>
  <sheetFormatPr baseColWidth="8" defaultRowHeight="15"/>
  <cols>
    <col width="3" customWidth="1" min="1" max="1"/>
    <col width="110" customWidth="1" min="2" max="2"/>
  </cols>
  <sheetData>
    <row r="1">
      <c r="B1" s="1" t="inlineStr">
        <is>
          <t>面談日程ツール（Excel版）</t>
        </is>
      </c>
    </row>
    <row r="2">
      <c r="B2" s="2" t="inlineStr">
        <is>
          <t>マクロは使っていません。ふつうのExcelファイルとして開けます。黄色のセルが入力する場所です。</t>
        </is>
      </c>
    </row>
    <row r="3">
      <c r="B3" s="2" t="inlineStr"/>
    </row>
    <row r="4">
      <c r="B4" s="3" t="inlineStr">
        <is>
          <t>1. 「設定」シート</t>
        </is>
      </c>
    </row>
    <row r="5">
      <c r="B5" s="2" t="inlineStr">
        <is>
          <t>・面談の日付（上から順に、最大10日）、最初の枠・最後の枠の時刻、1枠の長さを入れます（1日最大12枠）。</t>
        </is>
      </c>
    </row>
    <row r="6">
      <c r="B6" s="2" t="inlineStr">
        <is>
          <t>・空けたい日や休憩の時刻には「〇」を選びます。自動案では、ほかに入る枠がないときだけ使われます。</t>
        </is>
      </c>
    </row>
    <row r="7">
      <c r="B7" s="3" t="inlineStr">
        <is>
          <t>2. 「名簿」シート</t>
        </is>
      </c>
    </row>
    <row r="8">
      <c r="B8" s="2" t="inlineStr">
        <is>
          <t>・Excelの名簿から「出席番号」と「名前」をコピーして、A列・B列（5行目から）に貼り付けます（最大45人）。</t>
        </is>
      </c>
    </row>
    <row r="9">
      <c r="B9" s="2" t="inlineStr">
        <is>
          <t>・他のクラスに兄弟がいる家庭は、C列で「〇」を選び、D列に兄弟のクラスなどをメモします。</t>
        </is>
      </c>
    </row>
    <row r="10">
      <c r="B10" s="2" t="inlineStr">
        <is>
          <t>・名簿の行は並べ替えないでください（×入力の内容とずれてしまいます）。絞り込み（フィルター）は使えます。</t>
        </is>
      </c>
    </row>
    <row r="11">
      <c r="B11" s="3" t="inlineStr">
        <is>
          <t>3. 「×入力」シート</t>
        </is>
      </c>
    </row>
    <row r="12">
      <c r="B12" s="2" t="inlineStr">
        <is>
          <t>・1人ずつ、予定表と同じ形の表があります。名簿の「×入力へ」をクリックすると、その人の表に移動します。</t>
        </is>
      </c>
    </row>
    <row r="13">
      <c r="B13" s="2" t="inlineStr">
        <is>
          <t>・都合の悪い枠に「×」を入れます（何か文字が入っていれば×として扱います）。消すときは Delete キー。</t>
        </is>
      </c>
    </row>
    <row r="14">
      <c r="B14" s="2" t="inlineStr">
        <is>
          <t>・まとめて入れるとき：マウスでなぞって範囲を選び、「×」と打って Ctrl + Enter を押すと、選んだ枠が全部×になります。</t>
        </is>
      </c>
    </row>
    <row r="15">
      <c r="B15" s="2" t="inlineStr">
        <is>
          <t>・その日全部（縦の列）・その時間全部（横の列）も、同じようになぞって選んで Ctrl + Enter でできます。</t>
        </is>
      </c>
    </row>
    <row r="16">
      <c r="B16" s="2" t="inlineStr">
        <is>
          <t>・×が1つもない家庭は「提出状況」で「×なし（どこでもOK）」、提出していない家庭は「未提出」を選びます。</t>
        </is>
      </c>
    </row>
    <row r="17">
      <c r="B17" s="3" t="inlineStr">
        <is>
          <t>4. 「自動案」シート</t>
        </is>
      </c>
    </row>
    <row r="18">
      <c r="B18" s="2" t="inlineStr">
        <is>
          <t>・入れられる枠が少ない家庭から順に、自動で割り当てた案が表示されます（未入力・未提出の家庭は外れます）。</t>
        </is>
      </c>
    </row>
    <row r="19">
      <c r="B19" s="2" t="inlineStr">
        <is>
          <t>・案でよければ、表（C6:L17）をコピーして、「割り当て」シートの同じ場所に「値の貼り付け」をします。</t>
        </is>
      </c>
    </row>
    <row r="20">
      <c r="B20" s="2" t="inlineStr">
        <is>
          <t>・「割り当て」シートですでに決めた人はそのまま残り、残りの人だけで案が作られます。やり直したいときは割り当ての表を消します。</t>
        </is>
      </c>
    </row>
    <row r="21">
      <c r="B21" s="3" t="inlineStr">
        <is>
          <t>5. 「割り当て」シート</t>
        </is>
      </c>
    </row>
    <row r="22">
      <c r="B22" s="2" t="inlineStr">
        <is>
          <t>・各枠のセルで、プルダウンから児童を選びます。</t>
        </is>
      </c>
    </row>
    <row r="23">
      <c r="B23" s="2" t="inlineStr">
        <is>
          <t>・右の「児童を選ぶ」で児童を選ぶと、表の色が変わります：緑＝入れられる空き枠／黄＝入れられる（ほかの人がいる）／ピンク＝×の枠／青＝今いる枠。</t>
        </is>
      </c>
    </row>
    <row r="24">
      <c r="B24" s="2" t="inlineStr">
        <is>
          <t>・赤い枠は「×の枠に入れてしまった」、オレンジの枠は「同じ人が2か所に入っている」です。</t>
        </is>
      </c>
    </row>
    <row r="25">
      <c r="B25" s="2" t="inlineStr">
        <is>
          <t>・下の「候補」の表には、その枠に入れられる、まだ決まっていない児童が表示されます。「1人」の枠は先に決めると楽です。</t>
        </is>
      </c>
    </row>
    <row r="26">
      <c r="B26" s="3" t="inlineStr">
        <is>
          <t>6. 結果</t>
        </is>
      </c>
    </row>
    <row r="27">
      <c r="B27" s="2" t="inlineStr">
        <is>
          <t>・「名簿」シートの右側に、決まった日時・注意（×の枠／2か所／未割り当て）・自動案が表示されます。</t>
        </is>
      </c>
    </row>
    <row r="28">
      <c r="B28" s="2" t="inlineStr">
        <is>
          <t>・CSVが必要なときは「名簿」シートを開いて［ファイル］→［名前を付けて保存］→ 種類を「CSV UTF-8」にします。</t>
        </is>
      </c>
    </row>
    <row r="29">
      <c r="B29" s="2" t="inlineStr">
        <is>
          <t>・兄弟ありの家庭だけ見たいときは、名簿の「兄弟」の列でフィルターをかけます。</t>
        </is>
      </c>
    </row>
    <row r="30">
      <c r="B30" s="2" t="inlineStr"/>
    </row>
    <row r="31">
      <c r="B31" s="4" t="inlineStr">
        <is>
          <t>※ 「計算A」「計算B」は計算用の隠しシートです。さわらないでください。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selection activeCell="A1" sqref="A1"/>
    </sheetView>
  </sheetViews>
  <sheetFormatPr baseColWidth="8" defaultRowHeight="15"/>
  <cols>
    <col width="16" customWidth="1" min="1" max="1"/>
    <col width="14" customWidth="1" min="2" max="2"/>
    <col width="7" customWidth="1" min="3" max="3"/>
    <col width="12" customWidth="1" min="4" max="4"/>
    <col width="18" customWidth="1" min="5" max="5"/>
    <col width="4" customWidth="1" min="6" max="6"/>
    <col width="10" customWidth="1" min="7" max="7"/>
    <col width="12" customWidth="1" min="8" max="8"/>
    <col width="10" customWidth="1" min="9" max="9"/>
  </cols>
  <sheetData>
    <row r="1">
      <c r="A1" s="5" t="inlineStr">
        <is>
          <t>設定</t>
        </is>
      </c>
    </row>
    <row r="3">
      <c r="A3" s="6" t="inlineStr">
        <is>
          <t>最初の枠</t>
        </is>
      </c>
      <c r="B3" s="7" t="n">
        <v>0.5625</v>
      </c>
    </row>
    <row r="4">
      <c r="A4" s="6" t="inlineStr">
        <is>
          <t>最後の枠</t>
        </is>
      </c>
      <c r="B4" s="7" t="n">
        <v>0.6458333333333334</v>
      </c>
    </row>
    <row r="5">
      <c r="A5" s="6" t="inlineStr">
        <is>
          <t>1枠の長さ（分）</t>
        </is>
      </c>
      <c r="B5" s="8" t="n">
        <v>15</v>
      </c>
    </row>
    <row r="6">
      <c r="A6" s="6" t="inlineStr">
        <is>
          <t>1日の枠の数</t>
        </is>
      </c>
      <c r="B6" s="9">
        <f>MIN(12,MAX(1,ROUND((B4-B3)*1440/B5,0)+1))</f>
        <v/>
      </c>
      <c r="C6" s="10" t="inlineStr">
        <is>
          <t>（最大12枠）</t>
        </is>
      </c>
    </row>
    <row r="8">
      <c r="A8" s="6" t="inlineStr">
        <is>
          <t>自動案の詰め方</t>
        </is>
      </c>
      <c r="B8" s="11" t="inlineStr">
        <is>
          <t>早い時間から（各日の最後を空ける）</t>
        </is>
      </c>
      <c r="C8" s="12" t="n"/>
      <c r="D8" s="12" t="n"/>
      <c r="E8" s="13" t="n"/>
    </row>
    <row r="10">
      <c r="B10" s="14" t="inlineStr">
        <is>
          <t>日付</t>
        </is>
      </c>
      <c r="C10" s="14" t="inlineStr">
        <is>
          <t>曜日</t>
        </is>
      </c>
      <c r="D10" s="14" t="inlineStr">
        <is>
          <t>空ける日</t>
        </is>
      </c>
      <c r="E10" s="14" t="inlineStr">
        <is>
          <t>表示</t>
        </is>
      </c>
      <c r="G10" s="14" t="inlineStr">
        <is>
          <t>時刻</t>
        </is>
      </c>
      <c r="H10" s="14" t="inlineStr">
        <is>
          <t>休憩（空ける）</t>
        </is>
      </c>
      <c r="I10" s="14" t="inlineStr">
        <is>
          <t>表示</t>
        </is>
      </c>
    </row>
    <row r="11">
      <c r="A11" s="9" t="inlineStr">
        <is>
          <t>1日目</t>
        </is>
      </c>
      <c r="B11" s="15" t="n">
        <v>46350</v>
      </c>
      <c r="C11" s="16">
        <f>IF(B11="","",CHOOSE(WEEKDAY(B11),"日","月","火","水","木","金","土"))</f>
        <v/>
      </c>
      <c r="D11" s="17" t="n"/>
      <c r="E11" s="18">
        <f>IF(B11="","",MONTH(B11)&amp;"月"&amp;DAY(B11)&amp;"日（"&amp;C11&amp;"）")</f>
        <v/>
      </c>
      <c r="F11" s="19" t="n">
        <v>1</v>
      </c>
      <c r="G11" s="20">
        <f>IF(F11&lt;=$B$6,$B$3+(F11-1)*$B$5/1440,"")</f>
        <v/>
      </c>
      <c r="H11" s="17" t="n"/>
      <c r="I11" s="16">
        <f>IF(G11="","",TEXT(G11,"h:mm")&amp;"〜")</f>
        <v/>
      </c>
    </row>
    <row r="12">
      <c r="A12" s="9" t="inlineStr">
        <is>
          <t>2日目</t>
        </is>
      </c>
      <c r="B12" s="15" t="n">
        <v>46351</v>
      </c>
      <c r="C12" s="16">
        <f>IF(B12="","",CHOOSE(WEEKDAY(B12),"日","月","火","水","木","金","土"))</f>
        <v/>
      </c>
      <c r="D12" s="17" t="n"/>
      <c r="E12" s="18">
        <f>IF(B12="","",MONTH(B12)&amp;"月"&amp;DAY(B12)&amp;"日（"&amp;C12&amp;"）")</f>
        <v/>
      </c>
      <c r="F12" s="19" t="n">
        <v>2</v>
      </c>
      <c r="G12" s="20">
        <f>IF(F12&lt;=$B$6,$B$3+(F12-1)*$B$5/1440,"")</f>
        <v/>
      </c>
      <c r="H12" s="17" t="n"/>
      <c r="I12" s="16">
        <f>IF(G12="","",TEXT(G12,"h:mm")&amp;"〜")</f>
        <v/>
      </c>
    </row>
    <row r="13">
      <c r="A13" s="9" t="inlineStr">
        <is>
          <t>3日目</t>
        </is>
      </c>
      <c r="B13" s="15" t="n">
        <v>46352</v>
      </c>
      <c r="C13" s="16">
        <f>IF(B13="","",CHOOSE(WEEKDAY(B13),"日","月","火","水","木","金","土"))</f>
        <v/>
      </c>
      <c r="D13" s="17" t="n"/>
      <c r="E13" s="18">
        <f>IF(B13="","",MONTH(B13)&amp;"月"&amp;DAY(B13)&amp;"日（"&amp;C13&amp;"）")</f>
        <v/>
      </c>
      <c r="F13" s="19" t="n">
        <v>3</v>
      </c>
      <c r="G13" s="20">
        <f>IF(F13&lt;=$B$6,$B$3+(F13-1)*$B$5/1440,"")</f>
        <v/>
      </c>
      <c r="H13" s="17" t="n"/>
      <c r="I13" s="16">
        <f>IF(G13="","",TEXT(G13,"h:mm")&amp;"〜")</f>
        <v/>
      </c>
    </row>
    <row r="14">
      <c r="A14" s="9" t="inlineStr">
        <is>
          <t>4日目</t>
        </is>
      </c>
      <c r="B14" s="15" t="n">
        <v>46353</v>
      </c>
      <c r="C14" s="16">
        <f>IF(B14="","",CHOOSE(WEEKDAY(B14),"日","月","火","水","木","金","土"))</f>
        <v/>
      </c>
      <c r="D14" s="17" t="n"/>
      <c r="E14" s="18">
        <f>IF(B14="","",MONTH(B14)&amp;"月"&amp;DAY(B14)&amp;"日（"&amp;C14&amp;"）")</f>
        <v/>
      </c>
      <c r="F14" s="19" t="n">
        <v>4</v>
      </c>
      <c r="G14" s="20">
        <f>IF(F14&lt;=$B$6,$B$3+(F14-1)*$B$5/1440,"")</f>
        <v/>
      </c>
      <c r="H14" s="17" t="n"/>
      <c r="I14" s="16">
        <f>IF(G14="","",TEXT(G14,"h:mm")&amp;"〜")</f>
        <v/>
      </c>
    </row>
    <row r="15">
      <c r="A15" s="9" t="inlineStr">
        <is>
          <t>5日目</t>
        </is>
      </c>
      <c r="B15" s="15" t="n">
        <v>46356</v>
      </c>
      <c r="C15" s="16">
        <f>IF(B15="","",CHOOSE(WEEKDAY(B15),"日","月","火","水","木","金","土"))</f>
        <v/>
      </c>
      <c r="D15" s="17" t="n"/>
      <c r="E15" s="18">
        <f>IF(B15="","",MONTH(B15)&amp;"月"&amp;DAY(B15)&amp;"日（"&amp;C15&amp;"）")</f>
        <v/>
      </c>
      <c r="F15" s="19" t="n">
        <v>5</v>
      </c>
      <c r="G15" s="20">
        <f>IF(F15&lt;=$B$6,$B$3+(F15-1)*$B$5/1440,"")</f>
        <v/>
      </c>
      <c r="H15" s="17" t="n"/>
      <c r="I15" s="16">
        <f>IF(G15="","",TEXT(G15,"h:mm")&amp;"〜")</f>
        <v/>
      </c>
    </row>
    <row r="16">
      <c r="A16" s="9" t="inlineStr">
        <is>
          <t>6日目</t>
        </is>
      </c>
      <c r="B16" s="15" t="n"/>
      <c r="C16" s="16">
        <f>IF(B16="","",CHOOSE(WEEKDAY(B16),"日","月","火","水","木","金","土"))</f>
        <v/>
      </c>
      <c r="D16" s="17" t="n"/>
      <c r="E16" s="18">
        <f>IF(B16="","",MONTH(B16)&amp;"月"&amp;DAY(B16)&amp;"日（"&amp;C16&amp;"）")</f>
        <v/>
      </c>
      <c r="F16" s="19" t="n">
        <v>6</v>
      </c>
      <c r="G16" s="20">
        <f>IF(F16&lt;=$B$6,$B$3+(F16-1)*$B$5/1440,"")</f>
        <v/>
      </c>
      <c r="H16" s="17" t="n"/>
      <c r="I16" s="16">
        <f>IF(G16="","",TEXT(G16,"h:mm")&amp;"〜")</f>
        <v/>
      </c>
    </row>
    <row r="17">
      <c r="A17" s="9" t="inlineStr">
        <is>
          <t>7日目</t>
        </is>
      </c>
      <c r="B17" s="15" t="n"/>
      <c r="C17" s="16">
        <f>IF(B17="","",CHOOSE(WEEKDAY(B17),"日","月","火","水","木","金","土"))</f>
        <v/>
      </c>
      <c r="D17" s="17" t="n"/>
      <c r="E17" s="18">
        <f>IF(B17="","",MONTH(B17)&amp;"月"&amp;DAY(B17)&amp;"日（"&amp;C17&amp;"）")</f>
        <v/>
      </c>
      <c r="F17" s="19" t="n">
        <v>7</v>
      </c>
      <c r="G17" s="20">
        <f>IF(F17&lt;=$B$6,$B$3+(F17-1)*$B$5/1440,"")</f>
        <v/>
      </c>
      <c r="H17" s="17" t="n"/>
      <c r="I17" s="16">
        <f>IF(G17="","",TEXT(G17,"h:mm")&amp;"〜")</f>
        <v/>
      </c>
    </row>
    <row r="18">
      <c r="A18" s="9" t="inlineStr">
        <is>
          <t>8日目</t>
        </is>
      </c>
      <c r="B18" s="15" t="n"/>
      <c r="C18" s="16">
        <f>IF(B18="","",CHOOSE(WEEKDAY(B18),"日","月","火","水","木","金","土"))</f>
        <v/>
      </c>
      <c r="D18" s="17" t="n"/>
      <c r="E18" s="18">
        <f>IF(B18="","",MONTH(B18)&amp;"月"&amp;DAY(B18)&amp;"日（"&amp;C18&amp;"）")</f>
        <v/>
      </c>
      <c r="F18" s="19" t="n">
        <v>8</v>
      </c>
      <c r="G18" s="20">
        <f>IF(F18&lt;=$B$6,$B$3+(F18-1)*$B$5/1440,"")</f>
        <v/>
      </c>
      <c r="H18" s="17" t="n"/>
      <c r="I18" s="16">
        <f>IF(G18="","",TEXT(G18,"h:mm")&amp;"〜")</f>
        <v/>
      </c>
    </row>
    <row r="19">
      <c r="A19" s="9" t="inlineStr">
        <is>
          <t>9日目</t>
        </is>
      </c>
      <c r="B19" s="15" t="n"/>
      <c r="C19" s="16">
        <f>IF(B19="","",CHOOSE(WEEKDAY(B19),"日","月","火","水","木","金","土"))</f>
        <v/>
      </c>
      <c r="D19" s="17" t="n"/>
      <c r="E19" s="18">
        <f>IF(B19="","",MONTH(B19)&amp;"月"&amp;DAY(B19)&amp;"日（"&amp;C19&amp;"）")</f>
        <v/>
      </c>
      <c r="F19" s="19" t="n">
        <v>9</v>
      </c>
      <c r="G19" s="20">
        <f>IF(F19&lt;=$B$6,$B$3+(F19-1)*$B$5/1440,"")</f>
        <v/>
      </c>
      <c r="H19" s="17" t="n"/>
      <c r="I19" s="16">
        <f>IF(G19="","",TEXT(G19,"h:mm")&amp;"〜")</f>
        <v/>
      </c>
    </row>
    <row r="20">
      <c r="A20" s="9" t="inlineStr">
        <is>
          <t>10日目</t>
        </is>
      </c>
      <c r="B20" s="15" t="n"/>
      <c r="C20" s="16">
        <f>IF(B20="","",CHOOSE(WEEKDAY(B20),"日","月","火","水","木","金","土"))</f>
        <v/>
      </c>
      <c r="D20" s="17" t="n"/>
      <c r="E20" s="18">
        <f>IF(B20="","",MONTH(B20)&amp;"月"&amp;DAY(B20)&amp;"日（"&amp;C20&amp;"）")</f>
        <v/>
      </c>
      <c r="F20" s="19" t="n">
        <v>10</v>
      </c>
      <c r="G20" s="20">
        <f>IF(F20&lt;=$B$6,$B$3+(F20-1)*$B$5/1440,"")</f>
        <v/>
      </c>
      <c r="H20" s="17" t="n"/>
      <c r="I20" s="16">
        <f>IF(G20="","",TEXT(G20,"h:mm")&amp;"〜")</f>
        <v/>
      </c>
    </row>
    <row r="21">
      <c r="F21" s="19" t="n">
        <v>11</v>
      </c>
      <c r="G21" s="20">
        <f>IF(F21&lt;=$B$6,$B$3+(F21-1)*$B$5/1440,"")</f>
        <v/>
      </c>
      <c r="H21" s="17" t="n"/>
      <c r="I21" s="16">
        <f>IF(G21="","",TEXT(G21,"h:mm")&amp;"〜")</f>
        <v/>
      </c>
    </row>
    <row r="22">
      <c r="A22" s="10" t="inlineStr">
        <is>
          <t>※ 日付は上から詰めて入れてください。曜日・表示・時刻は自動で出ます。</t>
        </is>
      </c>
      <c r="F22" s="19" t="n">
        <v>12</v>
      </c>
      <c r="G22" s="20">
        <f>IF(F22&lt;=$B$6,$B$3+(F22-1)*$B$5/1440,"")</f>
        <v/>
      </c>
      <c r="H22" s="17" t="n"/>
      <c r="I22" s="16">
        <f>IF(G22="","",TEXT(G22,"h:mm")&amp;"〜")</f>
        <v/>
      </c>
    </row>
  </sheetData>
  <mergeCells count="1">
    <mergeCell ref="B8:E8"/>
  </mergeCells>
  <dataValidations count="2">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showDropDown="0" showInputMessage="0" showErrorMessage="0" allowBlank="1" type="list">
      <formula1>"〇"</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6" customWidth="1" min="3" max="3"/>
    <col width="18" customWidth="1" min="4" max="4"/>
    <col width="18" customWidth="1" min="5" max="5"/>
    <col width="10" customWidth="1" min="6" max="6"/>
    <col width="7" customWidth="1" min="7" max="7"/>
    <col width="9" customWidth="1" min="8" max="8"/>
    <col width="7" customWidth="1" min="9" max="9"/>
    <col width="15" customWidth="1" min="10" max="10"/>
    <col width="8" customWidth="1" min="11" max="11"/>
    <col width="22" customWidth="1" min="12" max="12"/>
    <col width="22" customWidth="1" min="13" max="13"/>
    <col width="9" customWidth="1" min="14" max="14"/>
  </cols>
  <sheetData>
    <row r="1">
      <c r="A1" s="5" t="inlineStr">
        <is>
          <t>名簿・結果</t>
        </is>
      </c>
    </row>
    <row r="2">
      <c r="A2" s="21" t="inlineStr">
        <is>
          <t>黄色の列（番号・名前・兄弟・兄弟メモ）を入力します。Excelの名簿から番号と名前をA5に貼り付けてください（最大45人）。行の並べ替えはしないでください。</t>
        </is>
      </c>
    </row>
    <row r="4" ht="32" customHeight="1">
      <c r="A4" s="14" t="inlineStr">
        <is>
          <t>番号</t>
        </is>
      </c>
      <c r="B4" s="14" t="inlineStr">
        <is>
          <t>名前</t>
        </is>
      </c>
      <c r="C4" s="14" t="inlineStr">
        <is>
          <t>兄弟</t>
        </is>
      </c>
      <c r="D4" s="14" t="inlineStr">
        <is>
          <t>兄弟メモ</t>
        </is>
      </c>
      <c r="E4" s="14" t="inlineStr">
        <is>
          <t>表示名</t>
        </is>
      </c>
      <c r="F4" s="14" t="inlineStr">
        <is>
          <t>状況</t>
        </is>
      </c>
      <c r="G4" s="14" t="inlineStr">
        <is>
          <t>×の数</t>
        </is>
      </c>
      <c r="H4" s="14" t="inlineStr">
        <is>
          <t>入れられる空き枠</t>
        </is>
      </c>
      <c r="I4" s="14" t="inlineStr">
        <is>
          <t>決める順</t>
        </is>
      </c>
      <c r="J4" s="14" t="inlineStr">
        <is>
          <t>日付</t>
        </is>
      </c>
      <c r="K4" s="14" t="inlineStr">
        <is>
          <t>時刻</t>
        </is>
      </c>
      <c r="L4" s="14" t="inlineStr">
        <is>
          <t>注意</t>
        </is>
      </c>
      <c r="M4" s="14" t="inlineStr">
        <is>
          <t>自動案</t>
        </is>
      </c>
    </row>
    <row r="5">
      <c r="A5" s="17" t="n"/>
      <c r="B5" s="22" t="n"/>
      <c r="C5" s="17" t="n"/>
      <c r="D5" s="22" t="n"/>
      <c r="E5" s="18">
        <f>IF(B5="","",IF(A5="","",A5&amp;" ")&amp;B5)</f>
        <v/>
      </c>
      <c r="F5" s="16">
        <f>IF(B5="","",IF('×入力'!F5="未提出","未提出",IF(G5&gt;0,"入力済み",IF('×入力'!F5="×なし（どこでもOK）","×なし","未入力"))))</f>
        <v/>
      </c>
      <c r="G5" s="16">
        <f>IF(B5="","",'計算A'!DX10)</f>
        <v/>
      </c>
      <c r="H5" s="16">
        <f>IF(OR(F5="入力済み",F5="×なし"),'計算A'!DW10,"")</f>
        <v/>
      </c>
      <c r="I5" s="16">
        <f>IF('計算A'!C10=1,COUNTIFS('計算A'!$C$10:$C$54,1,'計算A'!$DW$10:$DW$54,"&lt;"&amp;'計算A'!DW10)+1,"")</f>
        <v/>
      </c>
      <c r="J5" s="18">
        <f>IF('計算A'!DY10=0,"",INDEX('設定'!$E$11:$E$20,INDEX('計算A'!$D$2:$DS$2,'計算A'!DY10)))</f>
        <v/>
      </c>
      <c r="K5" s="16">
        <f>IF('計算A'!DY10=0,"",INDEX('設定'!$I$11:$I$22,INDEX('計算A'!$D$3:$DS$3,'計算A'!DY10)))</f>
        <v/>
      </c>
      <c r="L5" s="18">
        <f>IF(E5="","",IF(COUNTIF('割り当て'!$C$6:$L$17,E5)&gt;1,"2か所以上に入っています",IF('計算A'!DY10&gt;0,IF(INDEX('計算A'!$D$10:$DS$10,'計算A'!DY10)=1,"×の枠に入っています",""),IF(OR(F5="入力済み",F5="×なし"),"未割り当て",""))))</f>
        <v/>
      </c>
      <c r="M5" s="18">
        <f>IF('計算A'!DU10=0,IF('計算A'!DV10=1,"入る枠がありません",""),INDEX('計算A'!$D$8:$DS$8,'計算A'!DU10))</f>
        <v/>
      </c>
      <c r="N5" s="23">
        <f>HYPERLINK("#'×入力'!B5","×入力へ")</f>
        <v/>
      </c>
    </row>
    <row r="6">
      <c r="A6" s="17" t="n"/>
      <c r="B6" s="22" t="n"/>
      <c r="C6" s="17" t="n"/>
      <c r="D6" s="22" t="n"/>
      <c r="E6" s="18">
        <f>IF(B6="","",IF(A6="","",A6&amp;" ")&amp;B6)</f>
        <v/>
      </c>
      <c r="F6" s="16">
        <f>IF(B6="","",IF('×入力'!F20="未提出","未提出",IF(G6&gt;0,"入力済み",IF('×入力'!F20="×なし（どこでもOK）","×なし","未入力"))))</f>
        <v/>
      </c>
      <c r="G6" s="16">
        <f>IF(B6="","",'計算A'!DX11)</f>
        <v/>
      </c>
      <c r="H6" s="16">
        <f>IF(OR(F6="入力済み",F6="×なし"),'計算A'!DW11,"")</f>
        <v/>
      </c>
      <c r="I6" s="16">
        <f>IF('計算A'!C11=1,COUNTIFS('計算A'!$C$10:$C$54,1,'計算A'!$DW$10:$DW$54,"&lt;"&amp;'計算A'!DW11)+1,"")</f>
        <v/>
      </c>
      <c r="J6" s="18">
        <f>IF('計算A'!DY11=0,"",INDEX('設定'!$E$11:$E$20,INDEX('計算A'!$D$2:$DS$2,'計算A'!DY11)))</f>
        <v/>
      </c>
      <c r="K6" s="16">
        <f>IF('計算A'!DY11=0,"",INDEX('設定'!$I$11:$I$22,INDEX('計算A'!$D$3:$DS$3,'計算A'!DY11)))</f>
        <v/>
      </c>
      <c r="L6" s="18">
        <f>IF(E6="","",IF(COUNTIF('割り当て'!$C$6:$L$17,E6)&gt;1,"2か所以上に入っています",IF('計算A'!DY11&gt;0,IF(INDEX('計算A'!$D$11:$DS$11,'計算A'!DY11)=1,"×の枠に入っています",""),IF(OR(F6="入力済み",F6="×なし"),"未割り当て",""))))</f>
        <v/>
      </c>
      <c r="M6" s="18">
        <f>IF('計算A'!DU11=0,IF('計算A'!DV11=1,"入る枠がありません",""),INDEX('計算A'!$D$8:$DS$8,'計算A'!DU11))</f>
        <v/>
      </c>
      <c r="N6" s="23">
        <f>HYPERLINK("#'×入力'!B20","×入力へ")</f>
        <v/>
      </c>
    </row>
    <row r="7">
      <c r="A7" s="17" t="n"/>
      <c r="B7" s="22" t="n"/>
      <c r="C7" s="17" t="n"/>
      <c r="D7" s="22" t="n"/>
      <c r="E7" s="18">
        <f>IF(B7="","",IF(A7="","",A7&amp;" ")&amp;B7)</f>
        <v/>
      </c>
      <c r="F7" s="16">
        <f>IF(B7="","",IF('×入力'!F35="未提出","未提出",IF(G7&gt;0,"入力済み",IF('×入力'!F35="×なし（どこでもOK）","×なし","未入力"))))</f>
        <v/>
      </c>
      <c r="G7" s="16">
        <f>IF(B7="","",'計算A'!DX12)</f>
        <v/>
      </c>
      <c r="H7" s="16">
        <f>IF(OR(F7="入力済み",F7="×なし"),'計算A'!DW12,"")</f>
        <v/>
      </c>
      <c r="I7" s="16">
        <f>IF('計算A'!C12=1,COUNTIFS('計算A'!$C$10:$C$54,1,'計算A'!$DW$10:$DW$54,"&lt;"&amp;'計算A'!DW12)+1,"")</f>
        <v/>
      </c>
      <c r="J7" s="18">
        <f>IF('計算A'!DY12=0,"",INDEX('設定'!$E$11:$E$20,INDEX('計算A'!$D$2:$DS$2,'計算A'!DY12)))</f>
        <v/>
      </c>
      <c r="K7" s="16">
        <f>IF('計算A'!DY12=0,"",INDEX('設定'!$I$11:$I$22,INDEX('計算A'!$D$3:$DS$3,'計算A'!DY12)))</f>
        <v/>
      </c>
      <c r="L7" s="18">
        <f>IF(E7="","",IF(COUNTIF('割り当て'!$C$6:$L$17,E7)&gt;1,"2か所以上に入っています",IF('計算A'!DY12&gt;0,IF(INDEX('計算A'!$D$12:$DS$12,'計算A'!DY12)=1,"×の枠に入っています",""),IF(OR(F7="入力済み",F7="×なし"),"未割り当て",""))))</f>
        <v/>
      </c>
      <c r="M7" s="18">
        <f>IF('計算A'!DU12=0,IF('計算A'!DV12=1,"入る枠がありません",""),INDEX('計算A'!$D$8:$DS$8,'計算A'!DU12))</f>
        <v/>
      </c>
      <c r="N7" s="23">
        <f>HYPERLINK("#'×入力'!B35","×入力へ")</f>
        <v/>
      </c>
    </row>
    <row r="8">
      <c r="A8" s="17" t="n"/>
      <c r="B8" s="22" t="n"/>
      <c r="C8" s="17" t="n"/>
      <c r="D8" s="22" t="n"/>
      <c r="E8" s="18">
        <f>IF(B8="","",IF(A8="","",A8&amp;" ")&amp;B8)</f>
        <v/>
      </c>
      <c r="F8" s="16">
        <f>IF(B8="","",IF('×入力'!F50="未提出","未提出",IF(G8&gt;0,"入力済み",IF('×入力'!F50="×なし（どこでもOK）","×なし","未入力"))))</f>
        <v/>
      </c>
      <c r="G8" s="16">
        <f>IF(B8="","",'計算A'!DX13)</f>
        <v/>
      </c>
      <c r="H8" s="16">
        <f>IF(OR(F8="入力済み",F8="×なし"),'計算A'!DW13,"")</f>
        <v/>
      </c>
      <c r="I8" s="16">
        <f>IF('計算A'!C13=1,COUNTIFS('計算A'!$C$10:$C$54,1,'計算A'!$DW$10:$DW$54,"&lt;"&amp;'計算A'!DW13)+1,"")</f>
        <v/>
      </c>
      <c r="J8" s="18">
        <f>IF('計算A'!DY13=0,"",INDEX('設定'!$E$11:$E$20,INDEX('計算A'!$D$2:$DS$2,'計算A'!DY13)))</f>
        <v/>
      </c>
      <c r="K8" s="16">
        <f>IF('計算A'!DY13=0,"",INDEX('設定'!$I$11:$I$22,INDEX('計算A'!$D$3:$DS$3,'計算A'!DY13)))</f>
        <v/>
      </c>
      <c r="L8" s="18">
        <f>IF(E8="","",IF(COUNTIF('割り当て'!$C$6:$L$17,E8)&gt;1,"2か所以上に入っています",IF('計算A'!DY13&gt;0,IF(INDEX('計算A'!$D$13:$DS$13,'計算A'!DY13)=1,"×の枠に入っています",""),IF(OR(F8="入力済み",F8="×なし"),"未割り当て",""))))</f>
        <v/>
      </c>
      <c r="M8" s="18">
        <f>IF('計算A'!DU13=0,IF('計算A'!DV13=1,"入る枠がありません",""),INDEX('計算A'!$D$8:$DS$8,'計算A'!DU13))</f>
        <v/>
      </c>
      <c r="N8" s="23">
        <f>HYPERLINK("#'×入力'!B50","×入力へ")</f>
        <v/>
      </c>
    </row>
    <row r="9">
      <c r="A9" s="17" t="n"/>
      <c r="B9" s="22" t="n"/>
      <c r="C9" s="17" t="n"/>
      <c r="D9" s="22" t="n"/>
      <c r="E9" s="18">
        <f>IF(B9="","",IF(A9="","",A9&amp;" ")&amp;B9)</f>
        <v/>
      </c>
      <c r="F9" s="16">
        <f>IF(B9="","",IF('×入力'!F65="未提出","未提出",IF(G9&gt;0,"入力済み",IF('×入力'!F65="×なし（どこでもOK）","×なし","未入力"))))</f>
        <v/>
      </c>
      <c r="G9" s="16">
        <f>IF(B9="","",'計算A'!DX14)</f>
        <v/>
      </c>
      <c r="H9" s="16">
        <f>IF(OR(F9="入力済み",F9="×なし"),'計算A'!DW14,"")</f>
        <v/>
      </c>
      <c r="I9" s="16">
        <f>IF('計算A'!C14=1,COUNTIFS('計算A'!$C$10:$C$54,1,'計算A'!$DW$10:$DW$54,"&lt;"&amp;'計算A'!DW14)+1,"")</f>
        <v/>
      </c>
      <c r="J9" s="18">
        <f>IF('計算A'!DY14=0,"",INDEX('設定'!$E$11:$E$20,INDEX('計算A'!$D$2:$DS$2,'計算A'!DY14)))</f>
        <v/>
      </c>
      <c r="K9" s="16">
        <f>IF('計算A'!DY14=0,"",INDEX('設定'!$I$11:$I$22,INDEX('計算A'!$D$3:$DS$3,'計算A'!DY14)))</f>
        <v/>
      </c>
      <c r="L9" s="18">
        <f>IF(E9="","",IF(COUNTIF('割り当て'!$C$6:$L$17,E9)&gt;1,"2か所以上に入っています",IF('計算A'!DY14&gt;0,IF(INDEX('計算A'!$D$14:$DS$14,'計算A'!DY14)=1,"×の枠に入っています",""),IF(OR(F9="入力済み",F9="×なし"),"未割り当て",""))))</f>
        <v/>
      </c>
      <c r="M9" s="18">
        <f>IF('計算A'!DU14=0,IF('計算A'!DV14=1,"入る枠がありません",""),INDEX('計算A'!$D$8:$DS$8,'計算A'!DU14))</f>
        <v/>
      </c>
      <c r="N9" s="23">
        <f>HYPERLINK("#'×入力'!B65","×入力へ")</f>
        <v/>
      </c>
    </row>
    <row r="10">
      <c r="A10" s="17" t="n"/>
      <c r="B10" s="22" t="n"/>
      <c r="C10" s="17" t="n"/>
      <c r="D10" s="22" t="n"/>
      <c r="E10" s="18">
        <f>IF(B10="","",IF(A10="","",A10&amp;" ")&amp;B10)</f>
        <v/>
      </c>
      <c r="F10" s="16">
        <f>IF(B10="","",IF('×入力'!F80="未提出","未提出",IF(G10&gt;0,"入力済み",IF('×入力'!F80="×なし（どこでもOK）","×なし","未入力"))))</f>
        <v/>
      </c>
      <c r="G10" s="16">
        <f>IF(B10="","",'計算A'!DX15)</f>
        <v/>
      </c>
      <c r="H10" s="16">
        <f>IF(OR(F10="入力済み",F10="×なし"),'計算A'!DW15,"")</f>
        <v/>
      </c>
      <c r="I10" s="16">
        <f>IF('計算A'!C15=1,COUNTIFS('計算A'!$C$10:$C$54,1,'計算A'!$DW$10:$DW$54,"&lt;"&amp;'計算A'!DW15)+1,"")</f>
        <v/>
      </c>
      <c r="J10" s="18">
        <f>IF('計算A'!DY15=0,"",INDEX('設定'!$E$11:$E$20,INDEX('計算A'!$D$2:$DS$2,'計算A'!DY15)))</f>
        <v/>
      </c>
      <c r="K10" s="16">
        <f>IF('計算A'!DY15=0,"",INDEX('設定'!$I$11:$I$22,INDEX('計算A'!$D$3:$DS$3,'計算A'!DY15)))</f>
        <v/>
      </c>
      <c r="L10" s="18">
        <f>IF(E10="","",IF(COUNTIF('割り当て'!$C$6:$L$17,E10)&gt;1,"2か所以上に入っています",IF('計算A'!DY15&gt;0,IF(INDEX('計算A'!$D$15:$DS$15,'計算A'!DY15)=1,"×の枠に入っています",""),IF(OR(F10="入力済み",F10="×なし"),"未割り当て",""))))</f>
        <v/>
      </c>
      <c r="M10" s="18">
        <f>IF('計算A'!DU15=0,IF('計算A'!DV15=1,"入る枠がありません",""),INDEX('計算A'!$D$8:$DS$8,'計算A'!DU15))</f>
        <v/>
      </c>
      <c r="N10" s="23">
        <f>HYPERLINK("#'×入力'!B80","×入力へ")</f>
        <v/>
      </c>
    </row>
    <row r="11">
      <c r="A11" s="17" t="n"/>
      <c r="B11" s="22" t="n"/>
      <c r="C11" s="17" t="n"/>
      <c r="D11" s="22" t="n"/>
      <c r="E11" s="18">
        <f>IF(B11="","",IF(A11="","",A11&amp;" ")&amp;B11)</f>
        <v/>
      </c>
      <c r="F11" s="16">
        <f>IF(B11="","",IF('×入力'!F95="未提出","未提出",IF(G11&gt;0,"入力済み",IF('×入力'!F95="×なし（どこでもOK）","×なし","未入力"))))</f>
        <v/>
      </c>
      <c r="G11" s="16">
        <f>IF(B11="","",'計算A'!DX16)</f>
        <v/>
      </c>
      <c r="H11" s="16">
        <f>IF(OR(F11="入力済み",F11="×なし"),'計算A'!DW16,"")</f>
        <v/>
      </c>
      <c r="I11" s="16">
        <f>IF('計算A'!C16=1,COUNTIFS('計算A'!$C$10:$C$54,1,'計算A'!$DW$10:$DW$54,"&lt;"&amp;'計算A'!DW16)+1,"")</f>
        <v/>
      </c>
      <c r="J11" s="18">
        <f>IF('計算A'!DY16=0,"",INDEX('設定'!$E$11:$E$20,INDEX('計算A'!$D$2:$DS$2,'計算A'!DY16)))</f>
        <v/>
      </c>
      <c r="K11" s="16">
        <f>IF('計算A'!DY16=0,"",INDEX('設定'!$I$11:$I$22,INDEX('計算A'!$D$3:$DS$3,'計算A'!DY16)))</f>
        <v/>
      </c>
      <c r="L11" s="18">
        <f>IF(E11="","",IF(COUNTIF('割り当て'!$C$6:$L$17,E11)&gt;1,"2か所以上に入っています",IF('計算A'!DY16&gt;0,IF(INDEX('計算A'!$D$16:$DS$16,'計算A'!DY16)=1,"×の枠に入っています",""),IF(OR(F11="入力済み",F11="×なし"),"未割り当て",""))))</f>
        <v/>
      </c>
      <c r="M11" s="18">
        <f>IF('計算A'!DU16=0,IF('計算A'!DV16=1,"入る枠がありません",""),INDEX('計算A'!$D$8:$DS$8,'計算A'!DU16))</f>
        <v/>
      </c>
      <c r="N11" s="23">
        <f>HYPERLINK("#'×入力'!B95","×入力へ")</f>
        <v/>
      </c>
    </row>
    <row r="12">
      <c r="A12" s="17" t="n"/>
      <c r="B12" s="22" t="n"/>
      <c r="C12" s="17" t="n"/>
      <c r="D12" s="22" t="n"/>
      <c r="E12" s="18">
        <f>IF(B12="","",IF(A12="","",A12&amp;" ")&amp;B12)</f>
        <v/>
      </c>
      <c r="F12" s="16">
        <f>IF(B12="","",IF('×入力'!F110="未提出","未提出",IF(G12&gt;0,"入力済み",IF('×入力'!F110="×なし（どこでもOK）","×なし","未入力"))))</f>
        <v/>
      </c>
      <c r="G12" s="16">
        <f>IF(B12="","",'計算A'!DX17)</f>
        <v/>
      </c>
      <c r="H12" s="16">
        <f>IF(OR(F12="入力済み",F12="×なし"),'計算A'!DW17,"")</f>
        <v/>
      </c>
      <c r="I12" s="16">
        <f>IF('計算A'!C17=1,COUNTIFS('計算A'!$C$10:$C$54,1,'計算A'!$DW$10:$DW$54,"&lt;"&amp;'計算A'!DW17)+1,"")</f>
        <v/>
      </c>
      <c r="J12" s="18">
        <f>IF('計算A'!DY17=0,"",INDEX('設定'!$E$11:$E$20,INDEX('計算A'!$D$2:$DS$2,'計算A'!DY17)))</f>
        <v/>
      </c>
      <c r="K12" s="16">
        <f>IF('計算A'!DY17=0,"",INDEX('設定'!$I$11:$I$22,INDEX('計算A'!$D$3:$DS$3,'計算A'!DY17)))</f>
        <v/>
      </c>
      <c r="L12" s="18">
        <f>IF(E12="","",IF(COUNTIF('割り当て'!$C$6:$L$17,E12)&gt;1,"2か所以上に入っています",IF('計算A'!DY17&gt;0,IF(INDEX('計算A'!$D$17:$DS$17,'計算A'!DY17)=1,"×の枠に入っています",""),IF(OR(F12="入力済み",F12="×なし"),"未割り当て",""))))</f>
        <v/>
      </c>
      <c r="M12" s="18">
        <f>IF('計算A'!DU17=0,IF('計算A'!DV17=1,"入る枠がありません",""),INDEX('計算A'!$D$8:$DS$8,'計算A'!DU17))</f>
        <v/>
      </c>
      <c r="N12" s="23">
        <f>HYPERLINK("#'×入力'!B110","×入力へ")</f>
        <v/>
      </c>
    </row>
    <row r="13">
      <c r="A13" s="17" t="n"/>
      <c r="B13" s="22" t="n"/>
      <c r="C13" s="17" t="n"/>
      <c r="D13" s="22" t="n"/>
      <c r="E13" s="18">
        <f>IF(B13="","",IF(A13="","",A13&amp;" ")&amp;B13)</f>
        <v/>
      </c>
      <c r="F13" s="16">
        <f>IF(B13="","",IF('×入力'!F125="未提出","未提出",IF(G13&gt;0,"入力済み",IF('×入力'!F125="×なし（どこでもOK）","×なし","未入力"))))</f>
        <v/>
      </c>
      <c r="G13" s="16">
        <f>IF(B13="","",'計算A'!DX18)</f>
        <v/>
      </c>
      <c r="H13" s="16">
        <f>IF(OR(F13="入力済み",F13="×なし"),'計算A'!DW18,"")</f>
        <v/>
      </c>
      <c r="I13" s="16">
        <f>IF('計算A'!C18=1,COUNTIFS('計算A'!$C$10:$C$54,1,'計算A'!$DW$10:$DW$54,"&lt;"&amp;'計算A'!DW18)+1,"")</f>
        <v/>
      </c>
      <c r="J13" s="18">
        <f>IF('計算A'!DY18=0,"",INDEX('設定'!$E$11:$E$20,INDEX('計算A'!$D$2:$DS$2,'計算A'!DY18)))</f>
        <v/>
      </c>
      <c r="K13" s="16">
        <f>IF('計算A'!DY18=0,"",INDEX('設定'!$I$11:$I$22,INDEX('計算A'!$D$3:$DS$3,'計算A'!DY18)))</f>
        <v/>
      </c>
      <c r="L13" s="18">
        <f>IF(E13="","",IF(COUNTIF('割り当て'!$C$6:$L$17,E13)&gt;1,"2か所以上に入っています",IF('計算A'!DY18&gt;0,IF(INDEX('計算A'!$D$18:$DS$18,'計算A'!DY18)=1,"×の枠に入っています",""),IF(OR(F13="入力済み",F13="×なし"),"未割り当て",""))))</f>
        <v/>
      </c>
      <c r="M13" s="18">
        <f>IF('計算A'!DU18=0,IF('計算A'!DV18=1,"入る枠がありません",""),INDEX('計算A'!$D$8:$DS$8,'計算A'!DU18))</f>
        <v/>
      </c>
      <c r="N13" s="23">
        <f>HYPERLINK("#'×入力'!B125","×入力へ")</f>
        <v/>
      </c>
    </row>
    <row r="14">
      <c r="A14" s="17" t="n"/>
      <c r="B14" s="22" t="n"/>
      <c r="C14" s="17" t="n"/>
      <c r="D14" s="22" t="n"/>
      <c r="E14" s="18">
        <f>IF(B14="","",IF(A14="","",A14&amp;" ")&amp;B14)</f>
        <v/>
      </c>
      <c r="F14" s="16">
        <f>IF(B14="","",IF('×入力'!F140="未提出","未提出",IF(G14&gt;0,"入力済み",IF('×入力'!F140="×なし（どこでもOK）","×なし","未入力"))))</f>
        <v/>
      </c>
      <c r="G14" s="16">
        <f>IF(B14="","",'計算A'!DX19)</f>
        <v/>
      </c>
      <c r="H14" s="16">
        <f>IF(OR(F14="入力済み",F14="×なし"),'計算A'!DW19,"")</f>
        <v/>
      </c>
      <c r="I14" s="16">
        <f>IF('計算A'!C19=1,COUNTIFS('計算A'!$C$10:$C$54,1,'計算A'!$DW$10:$DW$54,"&lt;"&amp;'計算A'!DW19)+1,"")</f>
        <v/>
      </c>
      <c r="J14" s="18">
        <f>IF('計算A'!DY19=0,"",INDEX('設定'!$E$11:$E$20,INDEX('計算A'!$D$2:$DS$2,'計算A'!DY19)))</f>
        <v/>
      </c>
      <c r="K14" s="16">
        <f>IF('計算A'!DY19=0,"",INDEX('設定'!$I$11:$I$22,INDEX('計算A'!$D$3:$DS$3,'計算A'!DY19)))</f>
        <v/>
      </c>
      <c r="L14" s="18">
        <f>IF(E14="","",IF(COUNTIF('割り当て'!$C$6:$L$17,E14)&gt;1,"2か所以上に入っています",IF('計算A'!DY19&gt;0,IF(INDEX('計算A'!$D$19:$DS$19,'計算A'!DY19)=1,"×の枠に入っています",""),IF(OR(F14="入力済み",F14="×なし"),"未割り当て",""))))</f>
        <v/>
      </c>
      <c r="M14" s="18">
        <f>IF('計算A'!DU19=0,IF('計算A'!DV19=1,"入る枠がありません",""),INDEX('計算A'!$D$8:$DS$8,'計算A'!DU19))</f>
        <v/>
      </c>
      <c r="N14" s="23">
        <f>HYPERLINK("#'×入力'!B140","×入力へ")</f>
        <v/>
      </c>
    </row>
    <row r="15">
      <c r="A15" s="17" t="n"/>
      <c r="B15" s="22" t="n"/>
      <c r="C15" s="17" t="n"/>
      <c r="D15" s="22" t="n"/>
      <c r="E15" s="18">
        <f>IF(B15="","",IF(A15="","",A15&amp;" ")&amp;B15)</f>
        <v/>
      </c>
      <c r="F15" s="16">
        <f>IF(B15="","",IF('×入力'!F155="未提出","未提出",IF(G15&gt;0,"入力済み",IF('×入力'!F155="×なし（どこでもOK）","×なし","未入力"))))</f>
        <v/>
      </c>
      <c r="G15" s="16">
        <f>IF(B15="","",'計算A'!DX20)</f>
        <v/>
      </c>
      <c r="H15" s="16">
        <f>IF(OR(F15="入力済み",F15="×なし"),'計算A'!DW20,"")</f>
        <v/>
      </c>
      <c r="I15" s="16">
        <f>IF('計算A'!C20=1,COUNTIFS('計算A'!$C$10:$C$54,1,'計算A'!$DW$10:$DW$54,"&lt;"&amp;'計算A'!DW20)+1,"")</f>
        <v/>
      </c>
      <c r="J15" s="18">
        <f>IF('計算A'!DY20=0,"",INDEX('設定'!$E$11:$E$20,INDEX('計算A'!$D$2:$DS$2,'計算A'!DY20)))</f>
        <v/>
      </c>
      <c r="K15" s="16">
        <f>IF('計算A'!DY20=0,"",INDEX('設定'!$I$11:$I$22,INDEX('計算A'!$D$3:$DS$3,'計算A'!DY20)))</f>
        <v/>
      </c>
      <c r="L15" s="18">
        <f>IF(E15="","",IF(COUNTIF('割り当て'!$C$6:$L$17,E15)&gt;1,"2か所以上に入っています",IF('計算A'!DY20&gt;0,IF(INDEX('計算A'!$D$20:$DS$20,'計算A'!DY20)=1,"×の枠に入っています",""),IF(OR(F15="入力済み",F15="×なし"),"未割り当て",""))))</f>
        <v/>
      </c>
      <c r="M15" s="18">
        <f>IF('計算A'!DU20=0,IF('計算A'!DV20=1,"入る枠がありません",""),INDEX('計算A'!$D$8:$DS$8,'計算A'!DU20))</f>
        <v/>
      </c>
      <c r="N15" s="23">
        <f>HYPERLINK("#'×入力'!B155","×入力へ")</f>
        <v/>
      </c>
    </row>
    <row r="16">
      <c r="A16" s="17" t="n"/>
      <c r="B16" s="22" t="n"/>
      <c r="C16" s="17" t="n"/>
      <c r="D16" s="22" t="n"/>
      <c r="E16" s="18">
        <f>IF(B16="","",IF(A16="","",A16&amp;" ")&amp;B16)</f>
        <v/>
      </c>
      <c r="F16" s="16">
        <f>IF(B16="","",IF('×入力'!F170="未提出","未提出",IF(G16&gt;0,"入力済み",IF('×入力'!F170="×なし（どこでもOK）","×なし","未入力"))))</f>
        <v/>
      </c>
      <c r="G16" s="16">
        <f>IF(B16="","",'計算A'!DX21)</f>
        <v/>
      </c>
      <c r="H16" s="16">
        <f>IF(OR(F16="入力済み",F16="×なし"),'計算A'!DW21,"")</f>
        <v/>
      </c>
      <c r="I16" s="16">
        <f>IF('計算A'!C21=1,COUNTIFS('計算A'!$C$10:$C$54,1,'計算A'!$DW$10:$DW$54,"&lt;"&amp;'計算A'!DW21)+1,"")</f>
        <v/>
      </c>
      <c r="J16" s="18">
        <f>IF('計算A'!DY21=0,"",INDEX('設定'!$E$11:$E$20,INDEX('計算A'!$D$2:$DS$2,'計算A'!DY21)))</f>
        <v/>
      </c>
      <c r="K16" s="16">
        <f>IF('計算A'!DY21=0,"",INDEX('設定'!$I$11:$I$22,INDEX('計算A'!$D$3:$DS$3,'計算A'!DY21)))</f>
        <v/>
      </c>
      <c r="L16" s="18">
        <f>IF(E16="","",IF(COUNTIF('割り当て'!$C$6:$L$17,E16)&gt;1,"2か所以上に入っています",IF('計算A'!DY21&gt;0,IF(INDEX('計算A'!$D$21:$DS$21,'計算A'!DY21)=1,"×の枠に入っています",""),IF(OR(F16="入力済み",F16="×なし"),"未割り当て",""))))</f>
        <v/>
      </c>
      <c r="M16" s="18">
        <f>IF('計算A'!DU21=0,IF('計算A'!DV21=1,"入る枠がありません",""),INDEX('計算A'!$D$8:$DS$8,'計算A'!DU21))</f>
        <v/>
      </c>
      <c r="N16" s="23">
        <f>HYPERLINK("#'×入力'!B170","×入力へ")</f>
        <v/>
      </c>
    </row>
    <row r="17">
      <c r="A17" s="17" t="n"/>
      <c r="B17" s="22" t="n"/>
      <c r="C17" s="17" t="n"/>
      <c r="D17" s="22" t="n"/>
      <c r="E17" s="18">
        <f>IF(B17="","",IF(A17="","",A17&amp;" ")&amp;B17)</f>
        <v/>
      </c>
      <c r="F17" s="16">
        <f>IF(B17="","",IF('×入力'!F185="未提出","未提出",IF(G17&gt;0,"入力済み",IF('×入力'!F185="×なし（どこでもOK）","×なし","未入力"))))</f>
        <v/>
      </c>
      <c r="G17" s="16">
        <f>IF(B17="","",'計算A'!DX22)</f>
        <v/>
      </c>
      <c r="H17" s="16">
        <f>IF(OR(F17="入力済み",F17="×なし"),'計算A'!DW22,"")</f>
        <v/>
      </c>
      <c r="I17" s="16">
        <f>IF('計算A'!C22=1,COUNTIFS('計算A'!$C$10:$C$54,1,'計算A'!$DW$10:$DW$54,"&lt;"&amp;'計算A'!DW22)+1,"")</f>
        <v/>
      </c>
      <c r="J17" s="18">
        <f>IF('計算A'!DY22=0,"",INDEX('設定'!$E$11:$E$20,INDEX('計算A'!$D$2:$DS$2,'計算A'!DY22)))</f>
        <v/>
      </c>
      <c r="K17" s="16">
        <f>IF('計算A'!DY22=0,"",INDEX('設定'!$I$11:$I$22,INDEX('計算A'!$D$3:$DS$3,'計算A'!DY22)))</f>
        <v/>
      </c>
      <c r="L17" s="18">
        <f>IF(E17="","",IF(COUNTIF('割り当て'!$C$6:$L$17,E17)&gt;1,"2か所以上に入っています",IF('計算A'!DY22&gt;0,IF(INDEX('計算A'!$D$22:$DS$22,'計算A'!DY22)=1,"×の枠に入っています",""),IF(OR(F17="入力済み",F17="×なし"),"未割り当て",""))))</f>
        <v/>
      </c>
      <c r="M17" s="18">
        <f>IF('計算A'!DU22=0,IF('計算A'!DV22=1,"入る枠がありません",""),INDEX('計算A'!$D$8:$DS$8,'計算A'!DU22))</f>
        <v/>
      </c>
      <c r="N17" s="23">
        <f>HYPERLINK("#'×入力'!B185","×入力へ")</f>
        <v/>
      </c>
    </row>
    <row r="18">
      <c r="A18" s="17" t="n"/>
      <c r="B18" s="22" t="n"/>
      <c r="C18" s="17" t="n"/>
      <c r="D18" s="22" t="n"/>
      <c r="E18" s="18">
        <f>IF(B18="","",IF(A18="","",A18&amp;" ")&amp;B18)</f>
        <v/>
      </c>
      <c r="F18" s="16">
        <f>IF(B18="","",IF('×入力'!F200="未提出","未提出",IF(G18&gt;0,"入力済み",IF('×入力'!F200="×なし（どこでもOK）","×なし","未入力"))))</f>
        <v/>
      </c>
      <c r="G18" s="16">
        <f>IF(B18="","",'計算A'!DX23)</f>
        <v/>
      </c>
      <c r="H18" s="16">
        <f>IF(OR(F18="入力済み",F18="×なし"),'計算A'!DW23,"")</f>
        <v/>
      </c>
      <c r="I18" s="16">
        <f>IF('計算A'!C23=1,COUNTIFS('計算A'!$C$10:$C$54,1,'計算A'!$DW$10:$DW$54,"&lt;"&amp;'計算A'!DW23)+1,"")</f>
        <v/>
      </c>
      <c r="J18" s="18">
        <f>IF('計算A'!DY23=0,"",INDEX('設定'!$E$11:$E$20,INDEX('計算A'!$D$2:$DS$2,'計算A'!DY23)))</f>
        <v/>
      </c>
      <c r="K18" s="16">
        <f>IF('計算A'!DY23=0,"",INDEX('設定'!$I$11:$I$22,INDEX('計算A'!$D$3:$DS$3,'計算A'!DY23)))</f>
        <v/>
      </c>
      <c r="L18" s="18">
        <f>IF(E18="","",IF(COUNTIF('割り当て'!$C$6:$L$17,E18)&gt;1,"2か所以上に入っています",IF('計算A'!DY23&gt;0,IF(INDEX('計算A'!$D$23:$DS$23,'計算A'!DY23)=1,"×の枠に入っています",""),IF(OR(F18="入力済み",F18="×なし"),"未割り当て",""))))</f>
        <v/>
      </c>
      <c r="M18" s="18">
        <f>IF('計算A'!DU23=0,IF('計算A'!DV23=1,"入る枠がありません",""),INDEX('計算A'!$D$8:$DS$8,'計算A'!DU23))</f>
        <v/>
      </c>
      <c r="N18" s="23">
        <f>HYPERLINK("#'×入力'!B200","×入力へ")</f>
        <v/>
      </c>
    </row>
    <row r="19">
      <c r="A19" s="17" t="n"/>
      <c r="B19" s="22" t="n"/>
      <c r="C19" s="17" t="n"/>
      <c r="D19" s="22" t="n"/>
      <c r="E19" s="18">
        <f>IF(B19="","",IF(A19="","",A19&amp;" ")&amp;B19)</f>
        <v/>
      </c>
      <c r="F19" s="16">
        <f>IF(B19="","",IF('×入力'!F215="未提出","未提出",IF(G19&gt;0,"入力済み",IF('×入力'!F215="×なし（どこでもOK）","×なし","未入力"))))</f>
        <v/>
      </c>
      <c r="G19" s="16">
        <f>IF(B19="","",'計算A'!DX24)</f>
        <v/>
      </c>
      <c r="H19" s="16">
        <f>IF(OR(F19="入力済み",F19="×なし"),'計算A'!DW24,"")</f>
        <v/>
      </c>
      <c r="I19" s="16">
        <f>IF('計算A'!C24=1,COUNTIFS('計算A'!$C$10:$C$54,1,'計算A'!$DW$10:$DW$54,"&lt;"&amp;'計算A'!DW24)+1,"")</f>
        <v/>
      </c>
      <c r="J19" s="18">
        <f>IF('計算A'!DY24=0,"",INDEX('設定'!$E$11:$E$20,INDEX('計算A'!$D$2:$DS$2,'計算A'!DY24)))</f>
        <v/>
      </c>
      <c r="K19" s="16">
        <f>IF('計算A'!DY24=0,"",INDEX('設定'!$I$11:$I$22,INDEX('計算A'!$D$3:$DS$3,'計算A'!DY24)))</f>
        <v/>
      </c>
      <c r="L19" s="18">
        <f>IF(E19="","",IF(COUNTIF('割り当て'!$C$6:$L$17,E19)&gt;1,"2か所以上に入っています",IF('計算A'!DY24&gt;0,IF(INDEX('計算A'!$D$24:$DS$24,'計算A'!DY24)=1,"×の枠に入っています",""),IF(OR(F19="入力済み",F19="×なし"),"未割り当て",""))))</f>
        <v/>
      </c>
      <c r="M19" s="18">
        <f>IF('計算A'!DU24=0,IF('計算A'!DV24=1,"入る枠がありません",""),INDEX('計算A'!$D$8:$DS$8,'計算A'!DU24))</f>
        <v/>
      </c>
      <c r="N19" s="23">
        <f>HYPERLINK("#'×入力'!B215","×入力へ")</f>
        <v/>
      </c>
    </row>
    <row r="20">
      <c r="A20" s="17" t="n"/>
      <c r="B20" s="22" t="n"/>
      <c r="C20" s="17" t="n"/>
      <c r="D20" s="22" t="n"/>
      <c r="E20" s="18">
        <f>IF(B20="","",IF(A20="","",A20&amp;" ")&amp;B20)</f>
        <v/>
      </c>
      <c r="F20" s="16">
        <f>IF(B20="","",IF('×入力'!F230="未提出","未提出",IF(G20&gt;0,"入力済み",IF('×入力'!F230="×なし（どこでもOK）","×なし","未入力"))))</f>
        <v/>
      </c>
      <c r="G20" s="16">
        <f>IF(B20="","",'計算A'!DX25)</f>
        <v/>
      </c>
      <c r="H20" s="16">
        <f>IF(OR(F20="入力済み",F20="×なし"),'計算A'!DW25,"")</f>
        <v/>
      </c>
      <c r="I20" s="16">
        <f>IF('計算A'!C25=1,COUNTIFS('計算A'!$C$10:$C$54,1,'計算A'!$DW$10:$DW$54,"&lt;"&amp;'計算A'!DW25)+1,"")</f>
        <v/>
      </c>
      <c r="J20" s="18">
        <f>IF('計算A'!DY25=0,"",INDEX('設定'!$E$11:$E$20,INDEX('計算A'!$D$2:$DS$2,'計算A'!DY25)))</f>
        <v/>
      </c>
      <c r="K20" s="16">
        <f>IF('計算A'!DY25=0,"",INDEX('設定'!$I$11:$I$22,INDEX('計算A'!$D$3:$DS$3,'計算A'!DY25)))</f>
        <v/>
      </c>
      <c r="L20" s="18">
        <f>IF(E20="","",IF(COUNTIF('割り当て'!$C$6:$L$17,E20)&gt;1,"2か所以上に入っています",IF('計算A'!DY25&gt;0,IF(INDEX('計算A'!$D$25:$DS$25,'計算A'!DY25)=1,"×の枠に入っています",""),IF(OR(F20="入力済み",F20="×なし"),"未割り当て",""))))</f>
        <v/>
      </c>
      <c r="M20" s="18">
        <f>IF('計算A'!DU25=0,IF('計算A'!DV25=1,"入る枠がありません",""),INDEX('計算A'!$D$8:$DS$8,'計算A'!DU25))</f>
        <v/>
      </c>
      <c r="N20" s="23">
        <f>HYPERLINK("#'×入力'!B230","×入力へ")</f>
        <v/>
      </c>
    </row>
    <row r="21">
      <c r="A21" s="17" t="n"/>
      <c r="B21" s="22" t="n"/>
      <c r="C21" s="17" t="n"/>
      <c r="D21" s="22" t="n"/>
      <c r="E21" s="18">
        <f>IF(B21="","",IF(A21="","",A21&amp;" ")&amp;B21)</f>
        <v/>
      </c>
      <c r="F21" s="16">
        <f>IF(B21="","",IF('×入力'!F245="未提出","未提出",IF(G21&gt;0,"入力済み",IF('×入力'!F245="×なし（どこでもOK）","×なし","未入力"))))</f>
        <v/>
      </c>
      <c r="G21" s="16">
        <f>IF(B21="","",'計算A'!DX26)</f>
        <v/>
      </c>
      <c r="H21" s="16">
        <f>IF(OR(F21="入力済み",F21="×なし"),'計算A'!DW26,"")</f>
        <v/>
      </c>
      <c r="I21" s="16">
        <f>IF('計算A'!C26=1,COUNTIFS('計算A'!$C$10:$C$54,1,'計算A'!$DW$10:$DW$54,"&lt;"&amp;'計算A'!DW26)+1,"")</f>
        <v/>
      </c>
      <c r="J21" s="18">
        <f>IF('計算A'!DY26=0,"",INDEX('設定'!$E$11:$E$20,INDEX('計算A'!$D$2:$DS$2,'計算A'!DY26)))</f>
        <v/>
      </c>
      <c r="K21" s="16">
        <f>IF('計算A'!DY26=0,"",INDEX('設定'!$I$11:$I$22,INDEX('計算A'!$D$3:$DS$3,'計算A'!DY26)))</f>
        <v/>
      </c>
      <c r="L21" s="18">
        <f>IF(E21="","",IF(COUNTIF('割り当て'!$C$6:$L$17,E21)&gt;1,"2か所以上に入っています",IF('計算A'!DY26&gt;0,IF(INDEX('計算A'!$D$26:$DS$26,'計算A'!DY26)=1,"×の枠に入っています",""),IF(OR(F21="入力済み",F21="×なし"),"未割り当て",""))))</f>
        <v/>
      </c>
      <c r="M21" s="18">
        <f>IF('計算A'!DU26=0,IF('計算A'!DV26=1,"入る枠がありません",""),INDEX('計算A'!$D$8:$DS$8,'計算A'!DU26))</f>
        <v/>
      </c>
      <c r="N21" s="23">
        <f>HYPERLINK("#'×入力'!B245","×入力へ")</f>
        <v/>
      </c>
    </row>
    <row r="22">
      <c r="A22" s="17" t="n"/>
      <c r="B22" s="22" t="n"/>
      <c r="C22" s="17" t="n"/>
      <c r="D22" s="22" t="n"/>
      <c r="E22" s="18">
        <f>IF(B22="","",IF(A22="","",A22&amp;" ")&amp;B22)</f>
        <v/>
      </c>
      <c r="F22" s="16">
        <f>IF(B22="","",IF('×入力'!F260="未提出","未提出",IF(G22&gt;0,"入力済み",IF('×入力'!F260="×なし（どこでもOK）","×なし","未入力"))))</f>
        <v/>
      </c>
      <c r="G22" s="16">
        <f>IF(B22="","",'計算A'!DX27)</f>
        <v/>
      </c>
      <c r="H22" s="16">
        <f>IF(OR(F22="入力済み",F22="×なし"),'計算A'!DW27,"")</f>
        <v/>
      </c>
      <c r="I22" s="16">
        <f>IF('計算A'!C27=1,COUNTIFS('計算A'!$C$10:$C$54,1,'計算A'!$DW$10:$DW$54,"&lt;"&amp;'計算A'!DW27)+1,"")</f>
        <v/>
      </c>
      <c r="J22" s="18">
        <f>IF('計算A'!DY27=0,"",INDEX('設定'!$E$11:$E$20,INDEX('計算A'!$D$2:$DS$2,'計算A'!DY27)))</f>
        <v/>
      </c>
      <c r="K22" s="16">
        <f>IF('計算A'!DY27=0,"",INDEX('設定'!$I$11:$I$22,INDEX('計算A'!$D$3:$DS$3,'計算A'!DY27)))</f>
        <v/>
      </c>
      <c r="L22" s="18">
        <f>IF(E22="","",IF(COUNTIF('割り当て'!$C$6:$L$17,E22)&gt;1,"2か所以上に入っています",IF('計算A'!DY27&gt;0,IF(INDEX('計算A'!$D$27:$DS$27,'計算A'!DY27)=1,"×の枠に入っています",""),IF(OR(F22="入力済み",F22="×なし"),"未割り当て",""))))</f>
        <v/>
      </c>
      <c r="M22" s="18">
        <f>IF('計算A'!DU27=0,IF('計算A'!DV27=1,"入る枠がありません",""),INDEX('計算A'!$D$8:$DS$8,'計算A'!DU27))</f>
        <v/>
      </c>
      <c r="N22" s="23">
        <f>HYPERLINK("#'×入力'!B260","×入力へ")</f>
        <v/>
      </c>
    </row>
    <row r="23">
      <c r="A23" s="17" t="n"/>
      <c r="B23" s="22" t="n"/>
      <c r="C23" s="17" t="n"/>
      <c r="D23" s="22" t="n"/>
      <c r="E23" s="18">
        <f>IF(B23="","",IF(A23="","",A23&amp;" ")&amp;B23)</f>
        <v/>
      </c>
      <c r="F23" s="16">
        <f>IF(B23="","",IF('×入力'!F275="未提出","未提出",IF(G23&gt;0,"入力済み",IF('×入力'!F275="×なし（どこでもOK）","×なし","未入力"))))</f>
        <v/>
      </c>
      <c r="G23" s="16">
        <f>IF(B23="","",'計算A'!DX28)</f>
        <v/>
      </c>
      <c r="H23" s="16">
        <f>IF(OR(F23="入力済み",F23="×なし"),'計算A'!DW28,"")</f>
        <v/>
      </c>
      <c r="I23" s="16">
        <f>IF('計算A'!C28=1,COUNTIFS('計算A'!$C$10:$C$54,1,'計算A'!$DW$10:$DW$54,"&lt;"&amp;'計算A'!DW28)+1,"")</f>
        <v/>
      </c>
      <c r="J23" s="18">
        <f>IF('計算A'!DY28=0,"",INDEX('設定'!$E$11:$E$20,INDEX('計算A'!$D$2:$DS$2,'計算A'!DY28)))</f>
        <v/>
      </c>
      <c r="K23" s="16">
        <f>IF('計算A'!DY28=0,"",INDEX('設定'!$I$11:$I$22,INDEX('計算A'!$D$3:$DS$3,'計算A'!DY28)))</f>
        <v/>
      </c>
      <c r="L23" s="18">
        <f>IF(E23="","",IF(COUNTIF('割り当て'!$C$6:$L$17,E23)&gt;1,"2か所以上に入っています",IF('計算A'!DY28&gt;0,IF(INDEX('計算A'!$D$28:$DS$28,'計算A'!DY28)=1,"×の枠に入っています",""),IF(OR(F23="入力済み",F23="×なし"),"未割り当て",""))))</f>
        <v/>
      </c>
      <c r="M23" s="18">
        <f>IF('計算A'!DU28=0,IF('計算A'!DV28=1,"入る枠がありません",""),INDEX('計算A'!$D$8:$DS$8,'計算A'!DU28))</f>
        <v/>
      </c>
      <c r="N23" s="23">
        <f>HYPERLINK("#'×入力'!B275","×入力へ")</f>
        <v/>
      </c>
    </row>
    <row r="24">
      <c r="A24" s="17" t="n"/>
      <c r="B24" s="22" t="n"/>
      <c r="C24" s="17" t="n"/>
      <c r="D24" s="22" t="n"/>
      <c r="E24" s="18">
        <f>IF(B24="","",IF(A24="","",A24&amp;" ")&amp;B24)</f>
        <v/>
      </c>
      <c r="F24" s="16">
        <f>IF(B24="","",IF('×入力'!F290="未提出","未提出",IF(G24&gt;0,"入力済み",IF('×入力'!F290="×なし（どこでもOK）","×なし","未入力"))))</f>
        <v/>
      </c>
      <c r="G24" s="16">
        <f>IF(B24="","",'計算A'!DX29)</f>
        <v/>
      </c>
      <c r="H24" s="16">
        <f>IF(OR(F24="入力済み",F24="×なし"),'計算A'!DW29,"")</f>
        <v/>
      </c>
      <c r="I24" s="16">
        <f>IF('計算A'!C29=1,COUNTIFS('計算A'!$C$10:$C$54,1,'計算A'!$DW$10:$DW$54,"&lt;"&amp;'計算A'!DW29)+1,"")</f>
        <v/>
      </c>
      <c r="J24" s="18">
        <f>IF('計算A'!DY29=0,"",INDEX('設定'!$E$11:$E$20,INDEX('計算A'!$D$2:$DS$2,'計算A'!DY29)))</f>
        <v/>
      </c>
      <c r="K24" s="16">
        <f>IF('計算A'!DY29=0,"",INDEX('設定'!$I$11:$I$22,INDEX('計算A'!$D$3:$DS$3,'計算A'!DY29)))</f>
        <v/>
      </c>
      <c r="L24" s="18">
        <f>IF(E24="","",IF(COUNTIF('割り当て'!$C$6:$L$17,E24)&gt;1,"2か所以上に入っています",IF('計算A'!DY29&gt;0,IF(INDEX('計算A'!$D$29:$DS$29,'計算A'!DY29)=1,"×の枠に入っています",""),IF(OR(F24="入力済み",F24="×なし"),"未割り当て",""))))</f>
        <v/>
      </c>
      <c r="M24" s="18">
        <f>IF('計算A'!DU29=0,IF('計算A'!DV29=1,"入る枠がありません",""),INDEX('計算A'!$D$8:$DS$8,'計算A'!DU29))</f>
        <v/>
      </c>
      <c r="N24" s="23">
        <f>HYPERLINK("#'×入力'!B290","×入力へ")</f>
        <v/>
      </c>
    </row>
    <row r="25">
      <c r="A25" s="17" t="n"/>
      <c r="B25" s="22" t="n"/>
      <c r="C25" s="17" t="n"/>
      <c r="D25" s="22" t="n"/>
      <c r="E25" s="18">
        <f>IF(B25="","",IF(A25="","",A25&amp;" ")&amp;B25)</f>
        <v/>
      </c>
      <c r="F25" s="16">
        <f>IF(B25="","",IF('×入力'!F305="未提出","未提出",IF(G25&gt;0,"入力済み",IF('×入力'!F305="×なし（どこでもOK）","×なし","未入力"))))</f>
        <v/>
      </c>
      <c r="G25" s="16">
        <f>IF(B25="","",'計算A'!DX30)</f>
        <v/>
      </c>
      <c r="H25" s="16">
        <f>IF(OR(F25="入力済み",F25="×なし"),'計算A'!DW30,"")</f>
        <v/>
      </c>
      <c r="I25" s="16">
        <f>IF('計算A'!C30=1,COUNTIFS('計算A'!$C$10:$C$54,1,'計算A'!$DW$10:$DW$54,"&lt;"&amp;'計算A'!DW30)+1,"")</f>
        <v/>
      </c>
      <c r="J25" s="18">
        <f>IF('計算A'!DY30=0,"",INDEX('設定'!$E$11:$E$20,INDEX('計算A'!$D$2:$DS$2,'計算A'!DY30)))</f>
        <v/>
      </c>
      <c r="K25" s="16">
        <f>IF('計算A'!DY30=0,"",INDEX('設定'!$I$11:$I$22,INDEX('計算A'!$D$3:$DS$3,'計算A'!DY30)))</f>
        <v/>
      </c>
      <c r="L25" s="18">
        <f>IF(E25="","",IF(COUNTIF('割り当て'!$C$6:$L$17,E25)&gt;1,"2か所以上に入っています",IF('計算A'!DY30&gt;0,IF(INDEX('計算A'!$D$30:$DS$30,'計算A'!DY30)=1,"×の枠に入っています",""),IF(OR(F25="入力済み",F25="×なし"),"未割り当て",""))))</f>
        <v/>
      </c>
      <c r="M25" s="18">
        <f>IF('計算A'!DU30=0,IF('計算A'!DV30=1,"入る枠がありません",""),INDEX('計算A'!$D$8:$DS$8,'計算A'!DU30))</f>
        <v/>
      </c>
      <c r="N25" s="23">
        <f>HYPERLINK("#'×入力'!B305","×入力へ")</f>
        <v/>
      </c>
    </row>
    <row r="26">
      <c r="A26" s="17" t="n"/>
      <c r="B26" s="22" t="n"/>
      <c r="C26" s="17" t="n"/>
      <c r="D26" s="22" t="n"/>
      <c r="E26" s="18">
        <f>IF(B26="","",IF(A26="","",A26&amp;" ")&amp;B26)</f>
        <v/>
      </c>
      <c r="F26" s="16">
        <f>IF(B26="","",IF('×入力'!F320="未提出","未提出",IF(G26&gt;0,"入力済み",IF('×入力'!F320="×なし（どこでもOK）","×なし","未入力"))))</f>
        <v/>
      </c>
      <c r="G26" s="16">
        <f>IF(B26="","",'計算A'!DX31)</f>
        <v/>
      </c>
      <c r="H26" s="16">
        <f>IF(OR(F26="入力済み",F26="×なし"),'計算A'!DW31,"")</f>
        <v/>
      </c>
      <c r="I26" s="16">
        <f>IF('計算A'!C31=1,COUNTIFS('計算A'!$C$10:$C$54,1,'計算A'!$DW$10:$DW$54,"&lt;"&amp;'計算A'!DW31)+1,"")</f>
        <v/>
      </c>
      <c r="J26" s="18">
        <f>IF('計算A'!DY31=0,"",INDEX('設定'!$E$11:$E$20,INDEX('計算A'!$D$2:$DS$2,'計算A'!DY31)))</f>
        <v/>
      </c>
      <c r="K26" s="16">
        <f>IF('計算A'!DY31=0,"",INDEX('設定'!$I$11:$I$22,INDEX('計算A'!$D$3:$DS$3,'計算A'!DY31)))</f>
        <v/>
      </c>
      <c r="L26" s="18">
        <f>IF(E26="","",IF(COUNTIF('割り当て'!$C$6:$L$17,E26)&gt;1,"2か所以上に入っています",IF('計算A'!DY31&gt;0,IF(INDEX('計算A'!$D$31:$DS$31,'計算A'!DY31)=1,"×の枠に入っています",""),IF(OR(F26="入力済み",F26="×なし"),"未割り当て",""))))</f>
        <v/>
      </c>
      <c r="M26" s="18">
        <f>IF('計算A'!DU31=0,IF('計算A'!DV31=1,"入る枠がありません",""),INDEX('計算A'!$D$8:$DS$8,'計算A'!DU31))</f>
        <v/>
      </c>
      <c r="N26" s="23">
        <f>HYPERLINK("#'×入力'!B320","×入力へ")</f>
        <v/>
      </c>
    </row>
    <row r="27">
      <c r="A27" s="17" t="n"/>
      <c r="B27" s="22" t="n"/>
      <c r="C27" s="17" t="n"/>
      <c r="D27" s="22" t="n"/>
      <c r="E27" s="18">
        <f>IF(B27="","",IF(A27="","",A27&amp;" ")&amp;B27)</f>
        <v/>
      </c>
      <c r="F27" s="16">
        <f>IF(B27="","",IF('×入力'!F335="未提出","未提出",IF(G27&gt;0,"入力済み",IF('×入力'!F335="×なし（どこでもOK）","×なし","未入力"))))</f>
        <v/>
      </c>
      <c r="G27" s="16">
        <f>IF(B27="","",'計算A'!DX32)</f>
        <v/>
      </c>
      <c r="H27" s="16">
        <f>IF(OR(F27="入力済み",F27="×なし"),'計算A'!DW32,"")</f>
        <v/>
      </c>
      <c r="I27" s="16">
        <f>IF('計算A'!C32=1,COUNTIFS('計算A'!$C$10:$C$54,1,'計算A'!$DW$10:$DW$54,"&lt;"&amp;'計算A'!DW32)+1,"")</f>
        <v/>
      </c>
      <c r="J27" s="18">
        <f>IF('計算A'!DY32=0,"",INDEX('設定'!$E$11:$E$20,INDEX('計算A'!$D$2:$DS$2,'計算A'!DY32)))</f>
        <v/>
      </c>
      <c r="K27" s="16">
        <f>IF('計算A'!DY32=0,"",INDEX('設定'!$I$11:$I$22,INDEX('計算A'!$D$3:$DS$3,'計算A'!DY32)))</f>
        <v/>
      </c>
      <c r="L27" s="18">
        <f>IF(E27="","",IF(COUNTIF('割り当て'!$C$6:$L$17,E27)&gt;1,"2か所以上に入っています",IF('計算A'!DY32&gt;0,IF(INDEX('計算A'!$D$32:$DS$32,'計算A'!DY32)=1,"×の枠に入っています",""),IF(OR(F27="入力済み",F27="×なし"),"未割り当て",""))))</f>
        <v/>
      </c>
      <c r="M27" s="18">
        <f>IF('計算A'!DU32=0,IF('計算A'!DV32=1,"入る枠がありません",""),INDEX('計算A'!$D$8:$DS$8,'計算A'!DU32))</f>
        <v/>
      </c>
      <c r="N27" s="23">
        <f>HYPERLINK("#'×入力'!B335","×入力へ")</f>
        <v/>
      </c>
    </row>
    <row r="28">
      <c r="A28" s="17" t="n"/>
      <c r="B28" s="22" t="n"/>
      <c r="C28" s="17" t="n"/>
      <c r="D28" s="22" t="n"/>
      <c r="E28" s="18">
        <f>IF(B28="","",IF(A28="","",A28&amp;" ")&amp;B28)</f>
        <v/>
      </c>
      <c r="F28" s="16">
        <f>IF(B28="","",IF('×入力'!F350="未提出","未提出",IF(G28&gt;0,"入力済み",IF('×入力'!F350="×なし（どこでもOK）","×なし","未入力"))))</f>
        <v/>
      </c>
      <c r="G28" s="16">
        <f>IF(B28="","",'計算A'!DX33)</f>
        <v/>
      </c>
      <c r="H28" s="16">
        <f>IF(OR(F28="入力済み",F28="×なし"),'計算A'!DW33,"")</f>
        <v/>
      </c>
      <c r="I28" s="16">
        <f>IF('計算A'!C33=1,COUNTIFS('計算A'!$C$10:$C$54,1,'計算A'!$DW$10:$DW$54,"&lt;"&amp;'計算A'!DW33)+1,"")</f>
        <v/>
      </c>
      <c r="J28" s="18">
        <f>IF('計算A'!DY33=0,"",INDEX('設定'!$E$11:$E$20,INDEX('計算A'!$D$2:$DS$2,'計算A'!DY33)))</f>
        <v/>
      </c>
      <c r="K28" s="16">
        <f>IF('計算A'!DY33=0,"",INDEX('設定'!$I$11:$I$22,INDEX('計算A'!$D$3:$DS$3,'計算A'!DY33)))</f>
        <v/>
      </c>
      <c r="L28" s="18">
        <f>IF(E28="","",IF(COUNTIF('割り当て'!$C$6:$L$17,E28)&gt;1,"2か所以上に入っています",IF('計算A'!DY33&gt;0,IF(INDEX('計算A'!$D$33:$DS$33,'計算A'!DY33)=1,"×の枠に入っています",""),IF(OR(F28="入力済み",F28="×なし"),"未割り当て",""))))</f>
        <v/>
      </c>
      <c r="M28" s="18">
        <f>IF('計算A'!DU33=0,IF('計算A'!DV33=1,"入る枠がありません",""),INDEX('計算A'!$D$8:$DS$8,'計算A'!DU33))</f>
        <v/>
      </c>
      <c r="N28" s="23">
        <f>HYPERLINK("#'×入力'!B350","×入力へ")</f>
        <v/>
      </c>
    </row>
    <row r="29">
      <c r="A29" s="17" t="n"/>
      <c r="B29" s="22" t="n"/>
      <c r="C29" s="17" t="n"/>
      <c r="D29" s="22" t="n"/>
      <c r="E29" s="18">
        <f>IF(B29="","",IF(A29="","",A29&amp;" ")&amp;B29)</f>
        <v/>
      </c>
      <c r="F29" s="16">
        <f>IF(B29="","",IF('×入力'!F365="未提出","未提出",IF(G29&gt;0,"入力済み",IF('×入力'!F365="×なし（どこでもOK）","×なし","未入力"))))</f>
        <v/>
      </c>
      <c r="G29" s="16">
        <f>IF(B29="","",'計算A'!DX34)</f>
        <v/>
      </c>
      <c r="H29" s="16">
        <f>IF(OR(F29="入力済み",F29="×なし"),'計算A'!DW34,"")</f>
        <v/>
      </c>
      <c r="I29" s="16">
        <f>IF('計算A'!C34=1,COUNTIFS('計算A'!$C$10:$C$54,1,'計算A'!$DW$10:$DW$54,"&lt;"&amp;'計算A'!DW34)+1,"")</f>
        <v/>
      </c>
      <c r="J29" s="18">
        <f>IF('計算A'!DY34=0,"",INDEX('設定'!$E$11:$E$20,INDEX('計算A'!$D$2:$DS$2,'計算A'!DY34)))</f>
        <v/>
      </c>
      <c r="K29" s="16">
        <f>IF('計算A'!DY34=0,"",INDEX('設定'!$I$11:$I$22,INDEX('計算A'!$D$3:$DS$3,'計算A'!DY34)))</f>
        <v/>
      </c>
      <c r="L29" s="18">
        <f>IF(E29="","",IF(COUNTIF('割り当て'!$C$6:$L$17,E29)&gt;1,"2か所以上に入っています",IF('計算A'!DY34&gt;0,IF(INDEX('計算A'!$D$34:$DS$34,'計算A'!DY34)=1,"×の枠に入っています",""),IF(OR(F29="入力済み",F29="×なし"),"未割り当て",""))))</f>
        <v/>
      </c>
      <c r="M29" s="18">
        <f>IF('計算A'!DU34=0,IF('計算A'!DV34=1,"入る枠がありません",""),INDEX('計算A'!$D$8:$DS$8,'計算A'!DU34))</f>
        <v/>
      </c>
      <c r="N29" s="23">
        <f>HYPERLINK("#'×入力'!B365","×入力へ")</f>
        <v/>
      </c>
    </row>
    <row r="30">
      <c r="A30" s="17" t="n"/>
      <c r="B30" s="22" t="n"/>
      <c r="C30" s="17" t="n"/>
      <c r="D30" s="22" t="n"/>
      <c r="E30" s="18">
        <f>IF(B30="","",IF(A30="","",A30&amp;" ")&amp;B30)</f>
        <v/>
      </c>
      <c r="F30" s="16">
        <f>IF(B30="","",IF('×入力'!F380="未提出","未提出",IF(G30&gt;0,"入力済み",IF('×入力'!F380="×なし（どこでもOK）","×なし","未入力"))))</f>
        <v/>
      </c>
      <c r="G30" s="16">
        <f>IF(B30="","",'計算A'!DX35)</f>
        <v/>
      </c>
      <c r="H30" s="16">
        <f>IF(OR(F30="入力済み",F30="×なし"),'計算A'!DW35,"")</f>
        <v/>
      </c>
      <c r="I30" s="16">
        <f>IF('計算A'!C35=1,COUNTIFS('計算A'!$C$10:$C$54,1,'計算A'!$DW$10:$DW$54,"&lt;"&amp;'計算A'!DW35)+1,"")</f>
        <v/>
      </c>
      <c r="J30" s="18">
        <f>IF('計算A'!DY35=0,"",INDEX('設定'!$E$11:$E$20,INDEX('計算A'!$D$2:$DS$2,'計算A'!DY35)))</f>
        <v/>
      </c>
      <c r="K30" s="16">
        <f>IF('計算A'!DY35=0,"",INDEX('設定'!$I$11:$I$22,INDEX('計算A'!$D$3:$DS$3,'計算A'!DY35)))</f>
        <v/>
      </c>
      <c r="L30" s="18">
        <f>IF(E30="","",IF(COUNTIF('割り当て'!$C$6:$L$17,E30)&gt;1,"2か所以上に入っています",IF('計算A'!DY35&gt;0,IF(INDEX('計算A'!$D$35:$DS$35,'計算A'!DY35)=1,"×の枠に入っています",""),IF(OR(F30="入力済み",F30="×なし"),"未割り当て",""))))</f>
        <v/>
      </c>
      <c r="M30" s="18">
        <f>IF('計算A'!DU35=0,IF('計算A'!DV35=1,"入る枠がありません",""),INDEX('計算A'!$D$8:$DS$8,'計算A'!DU35))</f>
        <v/>
      </c>
      <c r="N30" s="23">
        <f>HYPERLINK("#'×入力'!B380","×入力へ")</f>
        <v/>
      </c>
    </row>
    <row r="31">
      <c r="A31" s="17" t="n"/>
      <c r="B31" s="22" t="n"/>
      <c r="C31" s="17" t="n"/>
      <c r="D31" s="22" t="n"/>
      <c r="E31" s="18">
        <f>IF(B31="","",IF(A31="","",A31&amp;" ")&amp;B31)</f>
        <v/>
      </c>
      <c r="F31" s="16">
        <f>IF(B31="","",IF('×入力'!F395="未提出","未提出",IF(G31&gt;0,"入力済み",IF('×入力'!F395="×なし（どこでもOK）","×なし","未入力"))))</f>
        <v/>
      </c>
      <c r="G31" s="16">
        <f>IF(B31="","",'計算A'!DX36)</f>
        <v/>
      </c>
      <c r="H31" s="16">
        <f>IF(OR(F31="入力済み",F31="×なし"),'計算A'!DW36,"")</f>
        <v/>
      </c>
      <c r="I31" s="16">
        <f>IF('計算A'!C36=1,COUNTIFS('計算A'!$C$10:$C$54,1,'計算A'!$DW$10:$DW$54,"&lt;"&amp;'計算A'!DW36)+1,"")</f>
        <v/>
      </c>
      <c r="J31" s="18">
        <f>IF('計算A'!DY36=0,"",INDEX('設定'!$E$11:$E$20,INDEX('計算A'!$D$2:$DS$2,'計算A'!DY36)))</f>
        <v/>
      </c>
      <c r="K31" s="16">
        <f>IF('計算A'!DY36=0,"",INDEX('設定'!$I$11:$I$22,INDEX('計算A'!$D$3:$DS$3,'計算A'!DY36)))</f>
        <v/>
      </c>
      <c r="L31" s="18">
        <f>IF(E31="","",IF(COUNTIF('割り当て'!$C$6:$L$17,E31)&gt;1,"2か所以上に入っています",IF('計算A'!DY36&gt;0,IF(INDEX('計算A'!$D$36:$DS$36,'計算A'!DY36)=1,"×の枠に入っています",""),IF(OR(F31="入力済み",F31="×なし"),"未割り当て",""))))</f>
        <v/>
      </c>
      <c r="M31" s="18">
        <f>IF('計算A'!DU36=0,IF('計算A'!DV36=1,"入る枠がありません",""),INDEX('計算A'!$D$8:$DS$8,'計算A'!DU36))</f>
        <v/>
      </c>
      <c r="N31" s="23">
        <f>HYPERLINK("#'×入力'!B395","×入力へ")</f>
        <v/>
      </c>
    </row>
    <row r="32">
      <c r="A32" s="17" t="n"/>
      <c r="B32" s="22" t="n"/>
      <c r="C32" s="17" t="n"/>
      <c r="D32" s="22" t="n"/>
      <c r="E32" s="18">
        <f>IF(B32="","",IF(A32="","",A32&amp;" ")&amp;B32)</f>
        <v/>
      </c>
      <c r="F32" s="16">
        <f>IF(B32="","",IF('×入力'!F410="未提出","未提出",IF(G32&gt;0,"入力済み",IF('×入力'!F410="×なし（どこでもOK）","×なし","未入力"))))</f>
        <v/>
      </c>
      <c r="G32" s="16">
        <f>IF(B32="","",'計算A'!DX37)</f>
        <v/>
      </c>
      <c r="H32" s="16">
        <f>IF(OR(F32="入力済み",F32="×なし"),'計算A'!DW37,"")</f>
        <v/>
      </c>
      <c r="I32" s="16">
        <f>IF('計算A'!C37=1,COUNTIFS('計算A'!$C$10:$C$54,1,'計算A'!$DW$10:$DW$54,"&lt;"&amp;'計算A'!DW37)+1,"")</f>
        <v/>
      </c>
      <c r="J32" s="18">
        <f>IF('計算A'!DY37=0,"",INDEX('設定'!$E$11:$E$20,INDEX('計算A'!$D$2:$DS$2,'計算A'!DY37)))</f>
        <v/>
      </c>
      <c r="K32" s="16">
        <f>IF('計算A'!DY37=0,"",INDEX('設定'!$I$11:$I$22,INDEX('計算A'!$D$3:$DS$3,'計算A'!DY37)))</f>
        <v/>
      </c>
      <c r="L32" s="18">
        <f>IF(E32="","",IF(COUNTIF('割り当て'!$C$6:$L$17,E32)&gt;1,"2か所以上に入っています",IF('計算A'!DY37&gt;0,IF(INDEX('計算A'!$D$37:$DS$37,'計算A'!DY37)=1,"×の枠に入っています",""),IF(OR(F32="入力済み",F32="×なし"),"未割り当て",""))))</f>
        <v/>
      </c>
      <c r="M32" s="18">
        <f>IF('計算A'!DU37=0,IF('計算A'!DV37=1,"入る枠がありません",""),INDEX('計算A'!$D$8:$DS$8,'計算A'!DU37))</f>
        <v/>
      </c>
      <c r="N32" s="23">
        <f>HYPERLINK("#'×入力'!B410","×入力へ")</f>
        <v/>
      </c>
    </row>
    <row r="33">
      <c r="A33" s="17" t="n"/>
      <c r="B33" s="22" t="n"/>
      <c r="C33" s="17" t="n"/>
      <c r="D33" s="22" t="n"/>
      <c r="E33" s="18">
        <f>IF(B33="","",IF(A33="","",A33&amp;" ")&amp;B33)</f>
        <v/>
      </c>
      <c r="F33" s="16">
        <f>IF(B33="","",IF('×入力'!F425="未提出","未提出",IF(G33&gt;0,"入力済み",IF('×入力'!F425="×なし（どこでもOK）","×なし","未入力"))))</f>
        <v/>
      </c>
      <c r="G33" s="16">
        <f>IF(B33="","",'計算A'!DX38)</f>
        <v/>
      </c>
      <c r="H33" s="16">
        <f>IF(OR(F33="入力済み",F33="×なし"),'計算A'!DW38,"")</f>
        <v/>
      </c>
      <c r="I33" s="16">
        <f>IF('計算A'!C38=1,COUNTIFS('計算A'!$C$10:$C$54,1,'計算A'!$DW$10:$DW$54,"&lt;"&amp;'計算A'!DW38)+1,"")</f>
        <v/>
      </c>
      <c r="J33" s="18">
        <f>IF('計算A'!DY38=0,"",INDEX('設定'!$E$11:$E$20,INDEX('計算A'!$D$2:$DS$2,'計算A'!DY38)))</f>
        <v/>
      </c>
      <c r="K33" s="16">
        <f>IF('計算A'!DY38=0,"",INDEX('設定'!$I$11:$I$22,INDEX('計算A'!$D$3:$DS$3,'計算A'!DY38)))</f>
        <v/>
      </c>
      <c r="L33" s="18">
        <f>IF(E33="","",IF(COUNTIF('割り当て'!$C$6:$L$17,E33)&gt;1,"2か所以上に入っています",IF('計算A'!DY38&gt;0,IF(INDEX('計算A'!$D$38:$DS$38,'計算A'!DY38)=1,"×の枠に入っています",""),IF(OR(F33="入力済み",F33="×なし"),"未割り当て",""))))</f>
        <v/>
      </c>
      <c r="M33" s="18">
        <f>IF('計算A'!DU38=0,IF('計算A'!DV38=1,"入る枠がありません",""),INDEX('計算A'!$D$8:$DS$8,'計算A'!DU38))</f>
        <v/>
      </c>
      <c r="N33" s="23">
        <f>HYPERLINK("#'×入力'!B425","×入力へ")</f>
        <v/>
      </c>
    </row>
    <row r="34">
      <c r="A34" s="17" t="n"/>
      <c r="B34" s="22" t="n"/>
      <c r="C34" s="17" t="n"/>
      <c r="D34" s="22" t="n"/>
      <c r="E34" s="18">
        <f>IF(B34="","",IF(A34="","",A34&amp;" ")&amp;B34)</f>
        <v/>
      </c>
      <c r="F34" s="16">
        <f>IF(B34="","",IF('×入力'!F440="未提出","未提出",IF(G34&gt;0,"入力済み",IF('×入力'!F440="×なし（どこでもOK）","×なし","未入力"))))</f>
        <v/>
      </c>
      <c r="G34" s="16">
        <f>IF(B34="","",'計算A'!DX39)</f>
        <v/>
      </c>
      <c r="H34" s="16">
        <f>IF(OR(F34="入力済み",F34="×なし"),'計算A'!DW39,"")</f>
        <v/>
      </c>
      <c r="I34" s="16">
        <f>IF('計算A'!C39=1,COUNTIFS('計算A'!$C$10:$C$54,1,'計算A'!$DW$10:$DW$54,"&lt;"&amp;'計算A'!DW39)+1,"")</f>
        <v/>
      </c>
      <c r="J34" s="18">
        <f>IF('計算A'!DY39=0,"",INDEX('設定'!$E$11:$E$20,INDEX('計算A'!$D$2:$DS$2,'計算A'!DY39)))</f>
        <v/>
      </c>
      <c r="K34" s="16">
        <f>IF('計算A'!DY39=0,"",INDEX('設定'!$I$11:$I$22,INDEX('計算A'!$D$3:$DS$3,'計算A'!DY39)))</f>
        <v/>
      </c>
      <c r="L34" s="18">
        <f>IF(E34="","",IF(COUNTIF('割り当て'!$C$6:$L$17,E34)&gt;1,"2か所以上に入っています",IF('計算A'!DY39&gt;0,IF(INDEX('計算A'!$D$39:$DS$39,'計算A'!DY39)=1,"×の枠に入っています",""),IF(OR(F34="入力済み",F34="×なし"),"未割り当て",""))))</f>
        <v/>
      </c>
      <c r="M34" s="18">
        <f>IF('計算A'!DU39=0,IF('計算A'!DV39=1,"入る枠がありません",""),INDEX('計算A'!$D$8:$DS$8,'計算A'!DU39))</f>
        <v/>
      </c>
      <c r="N34" s="23">
        <f>HYPERLINK("#'×入力'!B440","×入力へ")</f>
        <v/>
      </c>
    </row>
    <row r="35">
      <c r="A35" s="17" t="n"/>
      <c r="B35" s="22" t="n"/>
      <c r="C35" s="17" t="n"/>
      <c r="D35" s="22" t="n"/>
      <c r="E35" s="18">
        <f>IF(B35="","",IF(A35="","",A35&amp;" ")&amp;B35)</f>
        <v/>
      </c>
      <c r="F35" s="16">
        <f>IF(B35="","",IF('×入力'!F455="未提出","未提出",IF(G35&gt;0,"入力済み",IF('×入力'!F455="×なし（どこでもOK）","×なし","未入力"))))</f>
        <v/>
      </c>
      <c r="G35" s="16">
        <f>IF(B35="","",'計算A'!DX40)</f>
        <v/>
      </c>
      <c r="H35" s="16">
        <f>IF(OR(F35="入力済み",F35="×なし"),'計算A'!DW40,"")</f>
        <v/>
      </c>
      <c r="I35" s="16">
        <f>IF('計算A'!C40=1,COUNTIFS('計算A'!$C$10:$C$54,1,'計算A'!$DW$10:$DW$54,"&lt;"&amp;'計算A'!DW40)+1,"")</f>
        <v/>
      </c>
      <c r="J35" s="18">
        <f>IF('計算A'!DY40=0,"",INDEX('設定'!$E$11:$E$20,INDEX('計算A'!$D$2:$DS$2,'計算A'!DY40)))</f>
        <v/>
      </c>
      <c r="K35" s="16">
        <f>IF('計算A'!DY40=0,"",INDEX('設定'!$I$11:$I$22,INDEX('計算A'!$D$3:$DS$3,'計算A'!DY40)))</f>
        <v/>
      </c>
      <c r="L35" s="18">
        <f>IF(E35="","",IF(COUNTIF('割り当て'!$C$6:$L$17,E35)&gt;1,"2か所以上に入っています",IF('計算A'!DY40&gt;0,IF(INDEX('計算A'!$D$40:$DS$40,'計算A'!DY40)=1,"×の枠に入っています",""),IF(OR(F35="入力済み",F35="×なし"),"未割り当て",""))))</f>
        <v/>
      </c>
      <c r="M35" s="18">
        <f>IF('計算A'!DU40=0,IF('計算A'!DV40=1,"入る枠がありません",""),INDEX('計算A'!$D$8:$DS$8,'計算A'!DU40))</f>
        <v/>
      </c>
      <c r="N35" s="23">
        <f>HYPERLINK("#'×入力'!B455","×入力へ")</f>
        <v/>
      </c>
    </row>
    <row r="36">
      <c r="A36" s="17" t="n"/>
      <c r="B36" s="22" t="n"/>
      <c r="C36" s="17" t="n"/>
      <c r="D36" s="22" t="n"/>
      <c r="E36" s="18">
        <f>IF(B36="","",IF(A36="","",A36&amp;" ")&amp;B36)</f>
        <v/>
      </c>
      <c r="F36" s="16">
        <f>IF(B36="","",IF('×入力'!F470="未提出","未提出",IF(G36&gt;0,"入力済み",IF('×入力'!F470="×なし（どこでもOK）","×なし","未入力"))))</f>
        <v/>
      </c>
      <c r="G36" s="16">
        <f>IF(B36="","",'計算A'!DX41)</f>
        <v/>
      </c>
      <c r="H36" s="16">
        <f>IF(OR(F36="入力済み",F36="×なし"),'計算A'!DW41,"")</f>
        <v/>
      </c>
      <c r="I36" s="16">
        <f>IF('計算A'!C41=1,COUNTIFS('計算A'!$C$10:$C$54,1,'計算A'!$DW$10:$DW$54,"&lt;"&amp;'計算A'!DW41)+1,"")</f>
        <v/>
      </c>
      <c r="J36" s="18">
        <f>IF('計算A'!DY41=0,"",INDEX('設定'!$E$11:$E$20,INDEX('計算A'!$D$2:$DS$2,'計算A'!DY41)))</f>
        <v/>
      </c>
      <c r="K36" s="16">
        <f>IF('計算A'!DY41=0,"",INDEX('設定'!$I$11:$I$22,INDEX('計算A'!$D$3:$DS$3,'計算A'!DY41)))</f>
        <v/>
      </c>
      <c r="L36" s="18">
        <f>IF(E36="","",IF(COUNTIF('割り当て'!$C$6:$L$17,E36)&gt;1,"2か所以上に入っています",IF('計算A'!DY41&gt;0,IF(INDEX('計算A'!$D$41:$DS$41,'計算A'!DY41)=1,"×の枠に入っています",""),IF(OR(F36="入力済み",F36="×なし"),"未割り当て",""))))</f>
        <v/>
      </c>
      <c r="M36" s="18">
        <f>IF('計算A'!DU41=0,IF('計算A'!DV41=1,"入る枠がありません",""),INDEX('計算A'!$D$8:$DS$8,'計算A'!DU41))</f>
        <v/>
      </c>
      <c r="N36" s="23">
        <f>HYPERLINK("#'×入力'!B470","×入力へ")</f>
        <v/>
      </c>
    </row>
    <row r="37">
      <c r="A37" s="17" t="n"/>
      <c r="B37" s="22" t="n"/>
      <c r="C37" s="17" t="n"/>
      <c r="D37" s="22" t="n"/>
      <c r="E37" s="18">
        <f>IF(B37="","",IF(A37="","",A37&amp;" ")&amp;B37)</f>
        <v/>
      </c>
      <c r="F37" s="16">
        <f>IF(B37="","",IF('×入力'!F485="未提出","未提出",IF(G37&gt;0,"入力済み",IF('×入力'!F485="×なし（どこでもOK）","×なし","未入力"))))</f>
        <v/>
      </c>
      <c r="G37" s="16">
        <f>IF(B37="","",'計算A'!DX42)</f>
        <v/>
      </c>
      <c r="H37" s="16">
        <f>IF(OR(F37="入力済み",F37="×なし"),'計算A'!DW42,"")</f>
        <v/>
      </c>
      <c r="I37" s="16">
        <f>IF('計算A'!C42=1,COUNTIFS('計算A'!$C$10:$C$54,1,'計算A'!$DW$10:$DW$54,"&lt;"&amp;'計算A'!DW42)+1,"")</f>
        <v/>
      </c>
      <c r="J37" s="18">
        <f>IF('計算A'!DY42=0,"",INDEX('設定'!$E$11:$E$20,INDEX('計算A'!$D$2:$DS$2,'計算A'!DY42)))</f>
        <v/>
      </c>
      <c r="K37" s="16">
        <f>IF('計算A'!DY42=0,"",INDEX('設定'!$I$11:$I$22,INDEX('計算A'!$D$3:$DS$3,'計算A'!DY42)))</f>
        <v/>
      </c>
      <c r="L37" s="18">
        <f>IF(E37="","",IF(COUNTIF('割り当て'!$C$6:$L$17,E37)&gt;1,"2か所以上に入っています",IF('計算A'!DY42&gt;0,IF(INDEX('計算A'!$D$42:$DS$42,'計算A'!DY42)=1,"×の枠に入っています",""),IF(OR(F37="入力済み",F37="×なし"),"未割り当て",""))))</f>
        <v/>
      </c>
      <c r="M37" s="18">
        <f>IF('計算A'!DU42=0,IF('計算A'!DV42=1,"入る枠がありません",""),INDEX('計算A'!$D$8:$DS$8,'計算A'!DU42))</f>
        <v/>
      </c>
      <c r="N37" s="23">
        <f>HYPERLINK("#'×入力'!B485","×入力へ")</f>
        <v/>
      </c>
    </row>
    <row r="38">
      <c r="A38" s="17" t="n"/>
      <c r="B38" s="22" t="n"/>
      <c r="C38" s="17" t="n"/>
      <c r="D38" s="22" t="n"/>
      <c r="E38" s="18">
        <f>IF(B38="","",IF(A38="","",A38&amp;" ")&amp;B38)</f>
        <v/>
      </c>
      <c r="F38" s="16">
        <f>IF(B38="","",IF('×入力'!F500="未提出","未提出",IF(G38&gt;0,"入力済み",IF('×入力'!F500="×なし（どこでもOK）","×なし","未入力"))))</f>
        <v/>
      </c>
      <c r="G38" s="16">
        <f>IF(B38="","",'計算A'!DX43)</f>
        <v/>
      </c>
      <c r="H38" s="16">
        <f>IF(OR(F38="入力済み",F38="×なし"),'計算A'!DW43,"")</f>
        <v/>
      </c>
      <c r="I38" s="16">
        <f>IF('計算A'!C43=1,COUNTIFS('計算A'!$C$10:$C$54,1,'計算A'!$DW$10:$DW$54,"&lt;"&amp;'計算A'!DW43)+1,"")</f>
        <v/>
      </c>
      <c r="J38" s="18">
        <f>IF('計算A'!DY43=0,"",INDEX('設定'!$E$11:$E$20,INDEX('計算A'!$D$2:$DS$2,'計算A'!DY43)))</f>
        <v/>
      </c>
      <c r="K38" s="16">
        <f>IF('計算A'!DY43=0,"",INDEX('設定'!$I$11:$I$22,INDEX('計算A'!$D$3:$DS$3,'計算A'!DY43)))</f>
        <v/>
      </c>
      <c r="L38" s="18">
        <f>IF(E38="","",IF(COUNTIF('割り当て'!$C$6:$L$17,E38)&gt;1,"2か所以上に入っています",IF('計算A'!DY43&gt;0,IF(INDEX('計算A'!$D$43:$DS$43,'計算A'!DY43)=1,"×の枠に入っています",""),IF(OR(F38="入力済み",F38="×なし"),"未割り当て",""))))</f>
        <v/>
      </c>
      <c r="M38" s="18">
        <f>IF('計算A'!DU43=0,IF('計算A'!DV43=1,"入る枠がありません",""),INDEX('計算A'!$D$8:$DS$8,'計算A'!DU43))</f>
        <v/>
      </c>
      <c r="N38" s="23">
        <f>HYPERLINK("#'×入力'!B500","×入力へ")</f>
        <v/>
      </c>
    </row>
    <row r="39">
      <c r="A39" s="17" t="n"/>
      <c r="B39" s="22" t="n"/>
      <c r="C39" s="17" t="n"/>
      <c r="D39" s="22" t="n"/>
      <c r="E39" s="18">
        <f>IF(B39="","",IF(A39="","",A39&amp;" ")&amp;B39)</f>
        <v/>
      </c>
      <c r="F39" s="16">
        <f>IF(B39="","",IF('×入力'!F515="未提出","未提出",IF(G39&gt;0,"入力済み",IF('×入力'!F515="×なし（どこでもOK）","×なし","未入力"))))</f>
        <v/>
      </c>
      <c r="G39" s="16">
        <f>IF(B39="","",'計算A'!DX44)</f>
        <v/>
      </c>
      <c r="H39" s="16">
        <f>IF(OR(F39="入力済み",F39="×なし"),'計算A'!DW44,"")</f>
        <v/>
      </c>
      <c r="I39" s="16">
        <f>IF('計算A'!C44=1,COUNTIFS('計算A'!$C$10:$C$54,1,'計算A'!$DW$10:$DW$54,"&lt;"&amp;'計算A'!DW44)+1,"")</f>
        <v/>
      </c>
      <c r="J39" s="18">
        <f>IF('計算A'!DY44=0,"",INDEX('設定'!$E$11:$E$20,INDEX('計算A'!$D$2:$DS$2,'計算A'!DY44)))</f>
        <v/>
      </c>
      <c r="K39" s="16">
        <f>IF('計算A'!DY44=0,"",INDEX('設定'!$I$11:$I$22,INDEX('計算A'!$D$3:$DS$3,'計算A'!DY44)))</f>
        <v/>
      </c>
      <c r="L39" s="18">
        <f>IF(E39="","",IF(COUNTIF('割り当て'!$C$6:$L$17,E39)&gt;1,"2か所以上に入っています",IF('計算A'!DY44&gt;0,IF(INDEX('計算A'!$D$44:$DS$44,'計算A'!DY44)=1,"×の枠に入っています",""),IF(OR(F39="入力済み",F39="×なし"),"未割り当て",""))))</f>
        <v/>
      </c>
      <c r="M39" s="18">
        <f>IF('計算A'!DU44=0,IF('計算A'!DV44=1,"入る枠がありません",""),INDEX('計算A'!$D$8:$DS$8,'計算A'!DU44))</f>
        <v/>
      </c>
      <c r="N39" s="23">
        <f>HYPERLINK("#'×入力'!B515","×入力へ")</f>
        <v/>
      </c>
    </row>
    <row r="40">
      <c r="A40" s="17" t="n"/>
      <c r="B40" s="22" t="n"/>
      <c r="C40" s="17" t="n"/>
      <c r="D40" s="22" t="n"/>
      <c r="E40" s="18">
        <f>IF(B40="","",IF(A40="","",A40&amp;" ")&amp;B40)</f>
        <v/>
      </c>
      <c r="F40" s="16">
        <f>IF(B40="","",IF('×入力'!F530="未提出","未提出",IF(G40&gt;0,"入力済み",IF('×入力'!F530="×なし（どこでもOK）","×なし","未入力"))))</f>
        <v/>
      </c>
      <c r="G40" s="16">
        <f>IF(B40="","",'計算A'!DX45)</f>
        <v/>
      </c>
      <c r="H40" s="16">
        <f>IF(OR(F40="入力済み",F40="×なし"),'計算A'!DW45,"")</f>
        <v/>
      </c>
      <c r="I40" s="16">
        <f>IF('計算A'!C45=1,COUNTIFS('計算A'!$C$10:$C$54,1,'計算A'!$DW$10:$DW$54,"&lt;"&amp;'計算A'!DW45)+1,"")</f>
        <v/>
      </c>
      <c r="J40" s="18">
        <f>IF('計算A'!DY45=0,"",INDEX('設定'!$E$11:$E$20,INDEX('計算A'!$D$2:$DS$2,'計算A'!DY45)))</f>
        <v/>
      </c>
      <c r="K40" s="16">
        <f>IF('計算A'!DY45=0,"",INDEX('設定'!$I$11:$I$22,INDEX('計算A'!$D$3:$DS$3,'計算A'!DY45)))</f>
        <v/>
      </c>
      <c r="L40" s="18">
        <f>IF(E40="","",IF(COUNTIF('割り当て'!$C$6:$L$17,E40)&gt;1,"2か所以上に入っています",IF('計算A'!DY45&gt;0,IF(INDEX('計算A'!$D$45:$DS$45,'計算A'!DY45)=1,"×の枠に入っています",""),IF(OR(F40="入力済み",F40="×なし"),"未割り当て",""))))</f>
        <v/>
      </c>
      <c r="M40" s="18">
        <f>IF('計算A'!DU45=0,IF('計算A'!DV45=1,"入る枠がありません",""),INDEX('計算A'!$D$8:$DS$8,'計算A'!DU45))</f>
        <v/>
      </c>
      <c r="N40" s="23">
        <f>HYPERLINK("#'×入力'!B530","×入力へ")</f>
        <v/>
      </c>
    </row>
    <row r="41">
      <c r="A41" s="17" t="n"/>
      <c r="B41" s="22" t="n"/>
      <c r="C41" s="17" t="n"/>
      <c r="D41" s="22" t="n"/>
      <c r="E41" s="18">
        <f>IF(B41="","",IF(A41="","",A41&amp;" ")&amp;B41)</f>
        <v/>
      </c>
      <c r="F41" s="16">
        <f>IF(B41="","",IF('×入力'!F545="未提出","未提出",IF(G41&gt;0,"入力済み",IF('×入力'!F545="×なし（どこでもOK）","×なし","未入力"))))</f>
        <v/>
      </c>
      <c r="G41" s="16">
        <f>IF(B41="","",'計算A'!DX46)</f>
        <v/>
      </c>
      <c r="H41" s="16">
        <f>IF(OR(F41="入力済み",F41="×なし"),'計算A'!DW46,"")</f>
        <v/>
      </c>
      <c r="I41" s="16">
        <f>IF('計算A'!C46=1,COUNTIFS('計算A'!$C$10:$C$54,1,'計算A'!$DW$10:$DW$54,"&lt;"&amp;'計算A'!DW46)+1,"")</f>
        <v/>
      </c>
      <c r="J41" s="18">
        <f>IF('計算A'!DY46=0,"",INDEX('設定'!$E$11:$E$20,INDEX('計算A'!$D$2:$DS$2,'計算A'!DY46)))</f>
        <v/>
      </c>
      <c r="K41" s="16">
        <f>IF('計算A'!DY46=0,"",INDEX('設定'!$I$11:$I$22,INDEX('計算A'!$D$3:$DS$3,'計算A'!DY46)))</f>
        <v/>
      </c>
      <c r="L41" s="18">
        <f>IF(E41="","",IF(COUNTIF('割り当て'!$C$6:$L$17,E41)&gt;1,"2か所以上に入っています",IF('計算A'!DY46&gt;0,IF(INDEX('計算A'!$D$46:$DS$46,'計算A'!DY46)=1,"×の枠に入っています",""),IF(OR(F41="入力済み",F41="×なし"),"未割り当て",""))))</f>
        <v/>
      </c>
      <c r="M41" s="18">
        <f>IF('計算A'!DU46=0,IF('計算A'!DV46=1,"入る枠がありません",""),INDEX('計算A'!$D$8:$DS$8,'計算A'!DU46))</f>
        <v/>
      </c>
      <c r="N41" s="23">
        <f>HYPERLINK("#'×入力'!B545","×入力へ")</f>
        <v/>
      </c>
    </row>
    <row r="42">
      <c r="A42" s="17" t="n"/>
      <c r="B42" s="22" t="n"/>
      <c r="C42" s="17" t="n"/>
      <c r="D42" s="22" t="n"/>
      <c r="E42" s="18">
        <f>IF(B42="","",IF(A42="","",A42&amp;" ")&amp;B42)</f>
        <v/>
      </c>
      <c r="F42" s="16">
        <f>IF(B42="","",IF('×入力'!F560="未提出","未提出",IF(G42&gt;0,"入力済み",IF('×入力'!F560="×なし（どこでもOK）","×なし","未入力"))))</f>
        <v/>
      </c>
      <c r="G42" s="16">
        <f>IF(B42="","",'計算A'!DX47)</f>
        <v/>
      </c>
      <c r="H42" s="16">
        <f>IF(OR(F42="入力済み",F42="×なし"),'計算A'!DW47,"")</f>
        <v/>
      </c>
      <c r="I42" s="16">
        <f>IF('計算A'!C47=1,COUNTIFS('計算A'!$C$10:$C$54,1,'計算A'!$DW$10:$DW$54,"&lt;"&amp;'計算A'!DW47)+1,"")</f>
        <v/>
      </c>
      <c r="J42" s="18">
        <f>IF('計算A'!DY47=0,"",INDEX('設定'!$E$11:$E$20,INDEX('計算A'!$D$2:$DS$2,'計算A'!DY47)))</f>
        <v/>
      </c>
      <c r="K42" s="16">
        <f>IF('計算A'!DY47=0,"",INDEX('設定'!$I$11:$I$22,INDEX('計算A'!$D$3:$DS$3,'計算A'!DY47)))</f>
        <v/>
      </c>
      <c r="L42" s="18">
        <f>IF(E42="","",IF(COUNTIF('割り当て'!$C$6:$L$17,E42)&gt;1,"2か所以上に入っています",IF('計算A'!DY47&gt;0,IF(INDEX('計算A'!$D$47:$DS$47,'計算A'!DY47)=1,"×の枠に入っています",""),IF(OR(F42="入力済み",F42="×なし"),"未割り当て",""))))</f>
        <v/>
      </c>
      <c r="M42" s="18">
        <f>IF('計算A'!DU47=0,IF('計算A'!DV47=1,"入る枠がありません",""),INDEX('計算A'!$D$8:$DS$8,'計算A'!DU47))</f>
        <v/>
      </c>
      <c r="N42" s="23">
        <f>HYPERLINK("#'×入力'!B560","×入力へ")</f>
        <v/>
      </c>
    </row>
    <row r="43">
      <c r="A43" s="17" t="n"/>
      <c r="B43" s="22" t="n"/>
      <c r="C43" s="17" t="n"/>
      <c r="D43" s="22" t="n"/>
      <c r="E43" s="18">
        <f>IF(B43="","",IF(A43="","",A43&amp;" ")&amp;B43)</f>
        <v/>
      </c>
      <c r="F43" s="16">
        <f>IF(B43="","",IF('×入力'!F575="未提出","未提出",IF(G43&gt;0,"入力済み",IF('×入力'!F575="×なし（どこでもOK）","×なし","未入力"))))</f>
        <v/>
      </c>
      <c r="G43" s="16">
        <f>IF(B43="","",'計算A'!DX48)</f>
        <v/>
      </c>
      <c r="H43" s="16">
        <f>IF(OR(F43="入力済み",F43="×なし"),'計算A'!DW48,"")</f>
        <v/>
      </c>
      <c r="I43" s="16">
        <f>IF('計算A'!C48=1,COUNTIFS('計算A'!$C$10:$C$54,1,'計算A'!$DW$10:$DW$54,"&lt;"&amp;'計算A'!DW48)+1,"")</f>
        <v/>
      </c>
      <c r="J43" s="18">
        <f>IF('計算A'!DY48=0,"",INDEX('設定'!$E$11:$E$20,INDEX('計算A'!$D$2:$DS$2,'計算A'!DY48)))</f>
        <v/>
      </c>
      <c r="K43" s="16">
        <f>IF('計算A'!DY48=0,"",INDEX('設定'!$I$11:$I$22,INDEX('計算A'!$D$3:$DS$3,'計算A'!DY48)))</f>
        <v/>
      </c>
      <c r="L43" s="18">
        <f>IF(E43="","",IF(COUNTIF('割り当て'!$C$6:$L$17,E43)&gt;1,"2か所以上に入っています",IF('計算A'!DY48&gt;0,IF(INDEX('計算A'!$D$48:$DS$48,'計算A'!DY48)=1,"×の枠に入っています",""),IF(OR(F43="入力済み",F43="×なし"),"未割り当て",""))))</f>
        <v/>
      </c>
      <c r="M43" s="18">
        <f>IF('計算A'!DU48=0,IF('計算A'!DV48=1,"入る枠がありません",""),INDEX('計算A'!$D$8:$DS$8,'計算A'!DU48))</f>
        <v/>
      </c>
      <c r="N43" s="23">
        <f>HYPERLINK("#'×入力'!B575","×入力へ")</f>
        <v/>
      </c>
    </row>
    <row r="44">
      <c r="A44" s="17" t="n"/>
      <c r="B44" s="22" t="n"/>
      <c r="C44" s="17" t="n"/>
      <c r="D44" s="22" t="n"/>
      <c r="E44" s="18">
        <f>IF(B44="","",IF(A44="","",A44&amp;" ")&amp;B44)</f>
        <v/>
      </c>
      <c r="F44" s="16">
        <f>IF(B44="","",IF('×入力'!F590="未提出","未提出",IF(G44&gt;0,"入力済み",IF('×入力'!F590="×なし（どこでもOK）","×なし","未入力"))))</f>
        <v/>
      </c>
      <c r="G44" s="16">
        <f>IF(B44="","",'計算A'!DX49)</f>
        <v/>
      </c>
      <c r="H44" s="16">
        <f>IF(OR(F44="入力済み",F44="×なし"),'計算A'!DW49,"")</f>
        <v/>
      </c>
      <c r="I44" s="16">
        <f>IF('計算A'!C49=1,COUNTIFS('計算A'!$C$10:$C$54,1,'計算A'!$DW$10:$DW$54,"&lt;"&amp;'計算A'!DW49)+1,"")</f>
        <v/>
      </c>
      <c r="J44" s="18">
        <f>IF('計算A'!DY49=0,"",INDEX('設定'!$E$11:$E$20,INDEX('計算A'!$D$2:$DS$2,'計算A'!DY49)))</f>
        <v/>
      </c>
      <c r="K44" s="16">
        <f>IF('計算A'!DY49=0,"",INDEX('設定'!$I$11:$I$22,INDEX('計算A'!$D$3:$DS$3,'計算A'!DY49)))</f>
        <v/>
      </c>
      <c r="L44" s="18">
        <f>IF(E44="","",IF(COUNTIF('割り当て'!$C$6:$L$17,E44)&gt;1,"2か所以上に入っています",IF('計算A'!DY49&gt;0,IF(INDEX('計算A'!$D$49:$DS$49,'計算A'!DY49)=1,"×の枠に入っています",""),IF(OR(F44="入力済み",F44="×なし"),"未割り当て",""))))</f>
        <v/>
      </c>
      <c r="M44" s="18">
        <f>IF('計算A'!DU49=0,IF('計算A'!DV49=1,"入る枠がありません",""),INDEX('計算A'!$D$8:$DS$8,'計算A'!DU49))</f>
        <v/>
      </c>
      <c r="N44" s="23">
        <f>HYPERLINK("#'×入力'!B590","×入力へ")</f>
        <v/>
      </c>
    </row>
    <row r="45">
      <c r="A45" s="17" t="n"/>
      <c r="B45" s="22" t="n"/>
      <c r="C45" s="17" t="n"/>
      <c r="D45" s="22" t="n"/>
      <c r="E45" s="18">
        <f>IF(B45="","",IF(A45="","",A45&amp;" ")&amp;B45)</f>
        <v/>
      </c>
      <c r="F45" s="16">
        <f>IF(B45="","",IF('×入力'!F605="未提出","未提出",IF(G45&gt;0,"入力済み",IF('×入力'!F605="×なし（どこでもOK）","×なし","未入力"))))</f>
        <v/>
      </c>
      <c r="G45" s="16">
        <f>IF(B45="","",'計算A'!DX50)</f>
        <v/>
      </c>
      <c r="H45" s="16">
        <f>IF(OR(F45="入力済み",F45="×なし"),'計算A'!DW50,"")</f>
        <v/>
      </c>
      <c r="I45" s="16">
        <f>IF('計算A'!C50=1,COUNTIFS('計算A'!$C$10:$C$54,1,'計算A'!$DW$10:$DW$54,"&lt;"&amp;'計算A'!DW50)+1,"")</f>
        <v/>
      </c>
      <c r="J45" s="18">
        <f>IF('計算A'!DY50=0,"",INDEX('設定'!$E$11:$E$20,INDEX('計算A'!$D$2:$DS$2,'計算A'!DY50)))</f>
        <v/>
      </c>
      <c r="K45" s="16">
        <f>IF('計算A'!DY50=0,"",INDEX('設定'!$I$11:$I$22,INDEX('計算A'!$D$3:$DS$3,'計算A'!DY50)))</f>
        <v/>
      </c>
      <c r="L45" s="18">
        <f>IF(E45="","",IF(COUNTIF('割り当て'!$C$6:$L$17,E45)&gt;1,"2か所以上に入っています",IF('計算A'!DY50&gt;0,IF(INDEX('計算A'!$D$50:$DS$50,'計算A'!DY50)=1,"×の枠に入っています",""),IF(OR(F45="入力済み",F45="×なし"),"未割り当て",""))))</f>
        <v/>
      </c>
      <c r="M45" s="18">
        <f>IF('計算A'!DU50=0,IF('計算A'!DV50=1,"入る枠がありません",""),INDEX('計算A'!$D$8:$DS$8,'計算A'!DU50))</f>
        <v/>
      </c>
      <c r="N45" s="23">
        <f>HYPERLINK("#'×入力'!B605","×入力へ")</f>
        <v/>
      </c>
    </row>
    <row r="46">
      <c r="A46" s="17" t="n"/>
      <c r="B46" s="22" t="n"/>
      <c r="C46" s="17" t="n"/>
      <c r="D46" s="22" t="n"/>
      <c r="E46" s="18">
        <f>IF(B46="","",IF(A46="","",A46&amp;" ")&amp;B46)</f>
        <v/>
      </c>
      <c r="F46" s="16">
        <f>IF(B46="","",IF('×入力'!F620="未提出","未提出",IF(G46&gt;0,"入力済み",IF('×入力'!F620="×なし（どこでもOK）","×なし","未入力"))))</f>
        <v/>
      </c>
      <c r="G46" s="16">
        <f>IF(B46="","",'計算A'!DX51)</f>
        <v/>
      </c>
      <c r="H46" s="16">
        <f>IF(OR(F46="入力済み",F46="×なし"),'計算A'!DW51,"")</f>
        <v/>
      </c>
      <c r="I46" s="16">
        <f>IF('計算A'!C51=1,COUNTIFS('計算A'!$C$10:$C$54,1,'計算A'!$DW$10:$DW$54,"&lt;"&amp;'計算A'!DW51)+1,"")</f>
        <v/>
      </c>
      <c r="J46" s="18">
        <f>IF('計算A'!DY51=0,"",INDEX('設定'!$E$11:$E$20,INDEX('計算A'!$D$2:$DS$2,'計算A'!DY51)))</f>
        <v/>
      </c>
      <c r="K46" s="16">
        <f>IF('計算A'!DY51=0,"",INDEX('設定'!$I$11:$I$22,INDEX('計算A'!$D$3:$DS$3,'計算A'!DY51)))</f>
        <v/>
      </c>
      <c r="L46" s="18">
        <f>IF(E46="","",IF(COUNTIF('割り当て'!$C$6:$L$17,E46)&gt;1,"2か所以上に入っています",IF('計算A'!DY51&gt;0,IF(INDEX('計算A'!$D$51:$DS$51,'計算A'!DY51)=1,"×の枠に入っています",""),IF(OR(F46="入力済み",F46="×なし"),"未割り当て",""))))</f>
        <v/>
      </c>
      <c r="M46" s="18">
        <f>IF('計算A'!DU51=0,IF('計算A'!DV51=1,"入る枠がありません",""),INDEX('計算A'!$D$8:$DS$8,'計算A'!DU51))</f>
        <v/>
      </c>
      <c r="N46" s="23">
        <f>HYPERLINK("#'×入力'!B620","×入力へ")</f>
        <v/>
      </c>
    </row>
    <row r="47">
      <c r="A47" s="17" t="n"/>
      <c r="B47" s="22" t="n"/>
      <c r="C47" s="17" t="n"/>
      <c r="D47" s="22" t="n"/>
      <c r="E47" s="18">
        <f>IF(B47="","",IF(A47="","",A47&amp;" ")&amp;B47)</f>
        <v/>
      </c>
      <c r="F47" s="16">
        <f>IF(B47="","",IF('×入力'!F635="未提出","未提出",IF(G47&gt;0,"入力済み",IF('×入力'!F635="×なし（どこでもOK）","×なし","未入力"))))</f>
        <v/>
      </c>
      <c r="G47" s="16">
        <f>IF(B47="","",'計算A'!DX52)</f>
        <v/>
      </c>
      <c r="H47" s="16">
        <f>IF(OR(F47="入力済み",F47="×なし"),'計算A'!DW52,"")</f>
        <v/>
      </c>
      <c r="I47" s="16">
        <f>IF('計算A'!C52=1,COUNTIFS('計算A'!$C$10:$C$54,1,'計算A'!$DW$10:$DW$54,"&lt;"&amp;'計算A'!DW52)+1,"")</f>
        <v/>
      </c>
      <c r="J47" s="18">
        <f>IF('計算A'!DY52=0,"",INDEX('設定'!$E$11:$E$20,INDEX('計算A'!$D$2:$DS$2,'計算A'!DY52)))</f>
        <v/>
      </c>
      <c r="K47" s="16">
        <f>IF('計算A'!DY52=0,"",INDEX('設定'!$I$11:$I$22,INDEX('計算A'!$D$3:$DS$3,'計算A'!DY52)))</f>
        <v/>
      </c>
      <c r="L47" s="18">
        <f>IF(E47="","",IF(COUNTIF('割り当て'!$C$6:$L$17,E47)&gt;1,"2か所以上に入っています",IF('計算A'!DY52&gt;0,IF(INDEX('計算A'!$D$52:$DS$52,'計算A'!DY52)=1,"×の枠に入っています",""),IF(OR(F47="入力済み",F47="×なし"),"未割り当て",""))))</f>
        <v/>
      </c>
      <c r="M47" s="18">
        <f>IF('計算A'!DU52=0,IF('計算A'!DV52=1,"入る枠がありません",""),INDEX('計算A'!$D$8:$DS$8,'計算A'!DU52))</f>
        <v/>
      </c>
      <c r="N47" s="23">
        <f>HYPERLINK("#'×入力'!B635","×入力へ")</f>
        <v/>
      </c>
    </row>
    <row r="48">
      <c r="A48" s="17" t="n"/>
      <c r="B48" s="22" t="n"/>
      <c r="C48" s="17" t="n"/>
      <c r="D48" s="22" t="n"/>
      <c r="E48" s="18">
        <f>IF(B48="","",IF(A48="","",A48&amp;" ")&amp;B48)</f>
        <v/>
      </c>
      <c r="F48" s="16">
        <f>IF(B48="","",IF('×入力'!F650="未提出","未提出",IF(G48&gt;0,"入力済み",IF('×入力'!F650="×なし（どこでもOK）","×なし","未入力"))))</f>
        <v/>
      </c>
      <c r="G48" s="16">
        <f>IF(B48="","",'計算A'!DX53)</f>
        <v/>
      </c>
      <c r="H48" s="16">
        <f>IF(OR(F48="入力済み",F48="×なし"),'計算A'!DW53,"")</f>
        <v/>
      </c>
      <c r="I48" s="16">
        <f>IF('計算A'!C53=1,COUNTIFS('計算A'!$C$10:$C$54,1,'計算A'!$DW$10:$DW$54,"&lt;"&amp;'計算A'!DW53)+1,"")</f>
        <v/>
      </c>
      <c r="J48" s="18">
        <f>IF('計算A'!DY53=0,"",INDEX('設定'!$E$11:$E$20,INDEX('計算A'!$D$2:$DS$2,'計算A'!DY53)))</f>
        <v/>
      </c>
      <c r="K48" s="16">
        <f>IF('計算A'!DY53=0,"",INDEX('設定'!$I$11:$I$22,INDEX('計算A'!$D$3:$DS$3,'計算A'!DY53)))</f>
        <v/>
      </c>
      <c r="L48" s="18">
        <f>IF(E48="","",IF(COUNTIF('割り当て'!$C$6:$L$17,E48)&gt;1,"2か所以上に入っています",IF('計算A'!DY53&gt;0,IF(INDEX('計算A'!$D$53:$DS$53,'計算A'!DY53)=1,"×の枠に入っています",""),IF(OR(F48="入力済み",F48="×なし"),"未割り当て",""))))</f>
        <v/>
      </c>
      <c r="M48" s="18">
        <f>IF('計算A'!DU53=0,IF('計算A'!DV53=1,"入る枠がありません",""),INDEX('計算A'!$D$8:$DS$8,'計算A'!DU53))</f>
        <v/>
      </c>
      <c r="N48" s="23">
        <f>HYPERLINK("#'×入力'!B650","×入力へ")</f>
        <v/>
      </c>
    </row>
    <row r="49">
      <c r="A49" s="17" t="n"/>
      <c r="B49" s="22" t="n"/>
      <c r="C49" s="17" t="n"/>
      <c r="D49" s="22" t="n"/>
      <c r="E49" s="18">
        <f>IF(B49="","",IF(A49="","",A49&amp;" ")&amp;B49)</f>
        <v/>
      </c>
      <c r="F49" s="16">
        <f>IF(B49="","",IF('×入力'!F665="未提出","未提出",IF(G49&gt;0,"入力済み",IF('×入力'!F665="×なし（どこでもOK）","×なし","未入力"))))</f>
        <v/>
      </c>
      <c r="G49" s="16">
        <f>IF(B49="","",'計算A'!DX54)</f>
        <v/>
      </c>
      <c r="H49" s="16">
        <f>IF(OR(F49="入力済み",F49="×なし"),'計算A'!DW54,"")</f>
        <v/>
      </c>
      <c r="I49" s="16">
        <f>IF('計算A'!C54=1,COUNTIFS('計算A'!$C$10:$C$54,1,'計算A'!$DW$10:$DW$54,"&lt;"&amp;'計算A'!DW54)+1,"")</f>
        <v/>
      </c>
      <c r="J49" s="18">
        <f>IF('計算A'!DY54=0,"",INDEX('設定'!$E$11:$E$20,INDEX('計算A'!$D$2:$DS$2,'計算A'!DY54)))</f>
        <v/>
      </c>
      <c r="K49" s="16">
        <f>IF('計算A'!DY54=0,"",INDEX('設定'!$I$11:$I$22,INDEX('計算A'!$D$3:$DS$3,'計算A'!DY54)))</f>
        <v/>
      </c>
      <c r="L49" s="18">
        <f>IF(E49="","",IF(COUNTIF('割り当て'!$C$6:$L$17,E49)&gt;1,"2か所以上に入っています",IF('計算A'!DY54&gt;0,IF(INDEX('計算A'!$D$54:$DS$54,'計算A'!DY54)=1,"×の枠に入っています",""),IF(OR(F49="入力済み",F49="×なし"),"未割り当て",""))))</f>
        <v/>
      </c>
      <c r="M49" s="18">
        <f>IF('計算A'!DU54=0,IF('計算A'!DV54=1,"入る枠がありません",""),INDEX('計算A'!$D$8:$DS$8,'計算A'!DU54))</f>
        <v/>
      </c>
      <c r="N49" s="23">
        <f>HYPERLINK("#'×入力'!B665","×入力へ")</f>
        <v/>
      </c>
    </row>
  </sheetData>
  <autoFilter ref="A4:M49"/>
  <conditionalFormatting sqref="L5:L49">
    <cfRule type="expression" priority="1" dxfId="0">
      <formula>L5="未割り当て"</formula>
    </cfRule>
    <cfRule type="expression" priority="2" dxfId="1">
      <formula>L5&lt;&gt;""</formula>
    </cfRule>
  </conditionalFormatting>
  <conditionalFormatting sqref="M5:M49">
    <cfRule type="expression" priority="3" dxfId="1">
      <formula>M5="入る枠がありません"</formula>
    </cfRule>
  </conditionalFormatting>
  <conditionalFormatting sqref="F5:F49">
    <cfRule type="expression" priority="4" dxfId="2">
      <formula>OR(F5="未入力",F5="未提出")</formula>
    </cfRule>
  </conditionalFormatting>
  <conditionalFormatting sqref="H5:H49">
    <cfRule type="expression" priority="5" dxfId="3">
      <formula>AND(I5&lt;&gt;"",H5&lt;=2)</formula>
    </cfRule>
  </conditionalFormatting>
  <dataValidations count="1">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L678"/>
  <sheetViews>
    <sheetView showGridLines="0" workbookViewId="0">
      <pane ySplit="4" topLeftCell="A5" activePane="bottomLeft" state="frozen"/>
      <selection pane="bottomLeft" activeCell="A1" sqref="A1"/>
    </sheetView>
  </sheetViews>
  <sheetFormatPr baseColWidth="8" defaultRowHeight="15"/>
  <cols>
    <col width="2"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B1" s="5" t="inlineStr">
        <is>
          <t>×入力</t>
        </is>
      </c>
    </row>
    <row r="2">
      <c r="B2" s="21" t="inlineStr">
        <is>
          <t>都合の悪い枠に「×」。まとめて入れるときは、なぞって選んで「×」と打ち Ctrl + Enter。消すときは Delete。</t>
        </is>
      </c>
    </row>
    <row r="3">
      <c r="B3" s="21" t="inlineStr">
        <is>
          <t>×が1つもない家庭は「提出状況」で「×なし（どこでもOK）」、出していない家庭は「未提出」を選びます。名簿の「×入力へ」で各児童の表に移動できます。</t>
        </is>
      </c>
    </row>
    <row r="5" ht="26" customHeight="1">
      <c r="B5" s="24">
        <f>IF('名簿'!B5="","（名簿 1行目：なし）",'名簿'!E5)</f>
        <v/>
      </c>
      <c r="E5" s="25" t="inlineStr">
        <is>
          <t>提出状況 ▶</t>
        </is>
      </c>
      <c r="F5" s="17" t="n"/>
      <c r="G5" s="13" t="n"/>
      <c r="H5" s="26" t="inlineStr">
        <is>
          <t>状況：</t>
        </is>
      </c>
      <c r="I5" s="27">
        <f>'名簿'!F5</f>
        <v/>
      </c>
      <c r="J5" s="26" t="inlineStr">
        <is>
          <t>×の数：</t>
        </is>
      </c>
      <c r="K5" s="27">
        <f>'名簿'!G5</f>
        <v/>
      </c>
    </row>
    <row r="6">
      <c r="B6" s="28" t="inlineStr"/>
      <c r="C6" s="14">
        <f>'設定'!$E$11</f>
        <v/>
      </c>
      <c r="D6" s="14">
        <f>'設定'!$E$12</f>
        <v/>
      </c>
      <c r="E6" s="14">
        <f>'設定'!$E$13</f>
        <v/>
      </c>
      <c r="F6" s="14">
        <f>'設定'!$E$14</f>
        <v/>
      </c>
      <c r="G6" s="14">
        <f>'設定'!$E$15</f>
        <v/>
      </c>
      <c r="H6" s="14">
        <f>'設定'!$E$16</f>
        <v/>
      </c>
      <c r="I6" s="14">
        <f>'設定'!$E$17</f>
        <v/>
      </c>
      <c r="J6" s="14">
        <f>'設定'!$E$18</f>
        <v/>
      </c>
      <c r="K6" s="14">
        <f>'設定'!$E$19</f>
        <v/>
      </c>
      <c r="L6" s="14">
        <f>'設定'!$E$20</f>
        <v/>
      </c>
    </row>
    <row r="7" ht="22" customHeight="1">
      <c r="B7" s="14">
        <f>'設定'!$I$11</f>
        <v/>
      </c>
      <c r="C7" s="29" t="n"/>
      <c r="D7" s="29" t="n"/>
      <c r="E7" s="29" t="n"/>
      <c r="F7" s="29" t="n"/>
      <c r="G7" s="29" t="n"/>
      <c r="H7" s="29" t="n"/>
      <c r="I7" s="29" t="n"/>
      <c r="J7" s="29" t="n"/>
      <c r="K7" s="29" t="n"/>
      <c r="L7" s="29" t="n"/>
    </row>
    <row r="8" ht="22" customHeight="1">
      <c r="B8" s="14">
        <f>'設定'!$I$12</f>
        <v/>
      </c>
      <c r="C8" s="29" t="n"/>
      <c r="D8" s="29" t="n"/>
      <c r="E8" s="29" t="n"/>
      <c r="F8" s="29" t="n"/>
      <c r="G8" s="29" t="n"/>
      <c r="H8" s="29" t="n"/>
      <c r="I8" s="29" t="n"/>
      <c r="J8" s="29" t="n"/>
      <c r="K8" s="29" t="n"/>
      <c r="L8" s="29" t="n"/>
    </row>
    <row r="9" ht="22" customHeight="1">
      <c r="B9" s="14">
        <f>'設定'!$I$13</f>
        <v/>
      </c>
      <c r="C9" s="29" t="n"/>
      <c r="D9" s="29" t="n"/>
      <c r="E9" s="29" t="n"/>
      <c r="F9" s="29" t="n"/>
      <c r="G9" s="29" t="n"/>
      <c r="H9" s="29" t="n"/>
      <c r="I9" s="29" t="n"/>
      <c r="J9" s="29" t="n"/>
      <c r="K9" s="29" t="n"/>
      <c r="L9" s="29" t="n"/>
    </row>
    <row r="10" ht="22" customHeight="1">
      <c r="B10" s="14">
        <f>'設定'!$I$14</f>
        <v/>
      </c>
      <c r="C10" s="29" t="n"/>
      <c r="D10" s="29" t="n"/>
      <c r="E10" s="29" t="n"/>
      <c r="F10" s="29" t="n"/>
      <c r="G10" s="29" t="n"/>
      <c r="H10" s="29" t="n"/>
      <c r="I10" s="29" t="n"/>
      <c r="J10" s="29" t="n"/>
      <c r="K10" s="29" t="n"/>
      <c r="L10" s="29" t="n"/>
    </row>
    <row r="11" ht="22" customHeight="1">
      <c r="B11" s="14">
        <f>'設定'!$I$15</f>
        <v/>
      </c>
      <c r="C11" s="29" t="n"/>
      <c r="D11" s="29" t="n"/>
      <c r="E11" s="29" t="n"/>
      <c r="F11" s="29" t="n"/>
      <c r="G11" s="29" t="n"/>
      <c r="H11" s="29" t="n"/>
      <c r="I11" s="29" t="n"/>
      <c r="J11" s="29" t="n"/>
      <c r="K11" s="29" t="n"/>
      <c r="L11" s="29" t="n"/>
    </row>
    <row r="12" ht="22" customHeight="1">
      <c r="B12" s="14">
        <f>'設定'!$I$16</f>
        <v/>
      </c>
      <c r="C12" s="29" t="n"/>
      <c r="D12" s="29" t="n"/>
      <c r="E12" s="29" t="n"/>
      <c r="F12" s="29" t="n"/>
      <c r="G12" s="29" t="n"/>
      <c r="H12" s="29" t="n"/>
      <c r="I12" s="29" t="n"/>
      <c r="J12" s="29" t="n"/>
      <c r="K12" s="29" t="n"/>
      <c r="L12" s="29" t="n"/>
    </row>
    <row r="13" ht="22" customHeight="1">
      <c r="B13" s="14">
        <f>'設定'!$I$17</f>
        <v/>
      </c>
      <c r="C13" s="29" t="n"/>
      <c r="D13" s="29" t="n"/>
      <c r="E13" s="29" t="n"/>
      <c r="F13" s="29" t="n"/>
      <c r="G13" s="29" t="n"/>
      <c r="H13" s="29" t="n"/>
      <c r="I13" s="29" t="n"/>
      <c r="J13" s="29" t="n"/>
      <c r="K13" s="29" t="n"/>
      <c r="L13" s="29" t="n"/>
    </row>
    <row r="14" ht="22" customHeight="1">
      <c r="B14" s="14">
        <f>'設定'!$I$18</f>
        <v/>
      </c>
      <c r="C14" s="29" t="n"/>
      <c r="D14" s="29" t="n"/>
      <c r="E14" s="29" t="n"/>
      <c r="F14" s="29" t="n"/>
      <c r="G14" s="29" t="n"/>
      <c r="H14" s="29" t="n"/>
      <c r="I14" s="29" t="n"/>
      <c r="J14" s="29" t="n"/>
      <c r="K14" s="29" t="n"/>
      <c r="L14" s="29" t="n"/>
    </row>
    <row r="15" ht="22" customHeight="1">
      <c r="B15" s="14">
        <f>'設定'!$I$19</f>
        <v/>
      </c>
      <c r="C15" s="29" t="n"/>
      <c r="D15" s="29" t="n"/>
      <c r="E15" s="29" t="n"/>
      <c r="F15" s="29" t="n"/>
      <c r="G15" s="29" t="n"/>
      <c r="H15" s="29" t="n"/>
      <c r="I15" s="29" t="n"/>
      <c r="J15" s="29" t="n"/>
      <c r="K15" s="29" t="n"/>
      <c r="L15" s="29" t="n"/>
    </row>
    <row r="16" ht="22" customHeight="1">
      <c r="B16" s="14">
        <f>'設定'!$I$20</f>
        <v/>
      </c>
      <c r="C16" s="29" t="n"/>
      <c r="D16" s="29" t="n"/>
      <c r="E16" s="29" t="n"/>
      <c r="F16" s="29" t="n"/>
      <c r="G16" s="29" t="n"/>
      <c r="H16" s="29" t="n"/>
      <c r="I16" s="29" t="n"/>
      <c r="J16" s="29" t="n"/>
      <c r="K16" s="29" t="n"/>
      <c r="L16" s="29" t="n"/>
    </row>
    <row r="17" ht="22" customHeight="1">
      <c r="B17" s="14">
        <f>'設定'!$I$21</f>
        <v/>
      </c>
      <c r="C17" s="29" t="n"/>
      <c r="D17" s="29" t="n"/>
      <c r="E17" s="29" t="n"/>
      <c r="F17" s="29" t="n"/>
      <c r="G17" s="29" t="n"/>
      <c r="H17" s="29" t="n"/>
      <c r="I17" s="29" t="n"/>
      <c r="J17" s="29" t="n"/>
      <c r="K17" s="29" t="n"/>
      <c r="L17" s="29" t="n"/>
    </row>
    <row r="18" ht="22" customHeight="1">
      <c r="B18" s="14">
        <f>'設定'!$I$22</f>
        <v/>
      </c>
      <c r="C18" s="29" t="n"/>
      <c r="D18" s="29" t="n"/>
      <c r="E18" s="29" t="n"/>
      <c r="F18" s="29" t="n"/>
      <c r="G18" s="29" t="n"/>
      <c r="H18" s="29" t="n"/>
      <c r="I18" s="29" t="n"/>
      <c r="J18" s="29" t="n"/>
      <c r="K18" s="29" t="n"/>
      <c r="L18" s="29" t="n"/>
    </row>
    <row r="20" ht="26" customHeight="1">
      <c r="B20" s="24">
        <f>IF('名簿'!B6="","（名簿 2行目：なし）",'名簿'!E6)</f>
        <v/>
      </c>
      <c r="E20" s="25" t="inlineStr">
        <is>
          <t>提出状況 ▶</t>
        </is>
      </c>
      <c r="F20" s="17" t="n"/>
      <c r="G20" s="13" t="n"/>
      <c r="H20" s="26" t="inlineStr">
        <is>
          <t>状況：</t>
        </is>
      </c>
      <c r="I20" s="27">
        <f>'名簿'!F6</f>
        <v/>
      </c>
      <c r="J20" s="26" t="inlineStr">
        <is>
          <t>×の数：</t>
        </is>
      </c>
      <c r="K20" s="27">
        <f>'名簿'!G6</f>
        <v/>
      </c>
    </row>
    <row r="21">
      <c r="B21" s="28" t="inlineStr"/>
      <c r="C21" s="14">
        <f>'設定'!$E$11</f>
        <v/>
      </c>
      <c r="D21" s="14">
        <f>'設定'!$E$12</f>
        <v/>
      </c>
      <c r="E21" s="14">
        <f>'設定'!$E$13</f>
        <v/>
      </c>
      <c r="F21" s="14">
        <f>'設定'!$E$14</f>
        <v/>
      </c>
      <c r="G21" s="14">
        <f>'設定'!$E$15</f>
        <v/>
      </c>
      <c r="H21" s="14">
        <f>'設定'!$E$16</f>
        <v/>
      </c>
      <c r="I21" s="14">
        <f>'設定'!$E$17</f>
        <v/>
      </c>
      <c r="J21" s="14">
        <f>'設定'!$E$18</f>
        <v/>
      </c>
      <c r="K21" s="14">
        <f>'設定'!$E$19</f>
        <v/>
      </c>
      <c r="L21" s="14">
        <f>'設定'!$E$20</f>
        <v/>
      </c>
    </row>
    <row r="22" ht="22" customHeight="1">
      <c r="B22" s="14">
        <f>'設定'!$I$11</f>
        <v/>
      </c>
      <c r="C22" s="29" t="n"/>
      <c r="D22" s="29" t="n"/>
      <c r="E22" s="29" t="n"/>
      <c r="F22" s="29" t="n"/>
      <c r="G22" s="29" t="n"/>
      <c r="H22" s="29" t="n"/>
      <c r="I22" s="29" t="n"/>
      <c r="J22" s="29" t="n"/>
      <c r="K22" s="29" t="n"/>
      <c r="L22" s="29" t="n"/>
    </row>
    <row r="23" ht="22" customHeight="1">
      <c r="B23" s="14">
        <f>'設定'!$I$12</f>
        <v/>
      </c>
      <c r="C23" s="29" t="n"/>
      <c r="D23" s="29" t="n"/>
      <c r="E23" s="29" t="n"/>
      <c r="F23" s="29" t="n"/>
      <c r="G23" s="29" t="n"/>
      <c r="H23" s="29" t="n"/>
      <c r="I23" s="29" t="n"/>
      <c r="J23" s="29" t="n"/>
      <c r="K23" s="29" t="n"/>
      <c r="L23" s="29" t="n"/>
    </row>
    <row r="24" ht="22" customHeight="1">
      <c r="B24" s="14">
        <f>'設定'!$I$13</f>
        <v/>
      </c>
      <c r="C24" s="29" t="n"/>
      <c r="D24" s="29" t="n"/>
      <c r="E24" s="29" t="n"/>
      <c r="F24" s="29" t="n"/>
      <c r="G24" s="29" t="n"/>
      <c r="H24" s="29" t="n"/>
      <c r="I24" s="29" t="n"/>
      <c r="J24" s="29" t="n"/>
      <c r="K24" s="29" t="n"/>
      <c r="L24" s="29" t="n"/>
    </row>
    <row r="25" ht="22" customHeight="1">
      <c r="B25" s="14">
        <f>'設定'!$I$14</f>
        <v/>
      </c>
      <c r="C25" s="29" t="n"/>
      <c r="D25" s="29" t="n"/>
      <c r="E25" s="29" t="n"/>
      <c r="F25" s="29" t="n"/>
      <c r="G25" s="29" t="n"/>
      <c r="H25" s="29" t="n"/>
      <c r="I25" s="29" t="n"/>
      <c r="J25" s="29" t="n"/>
      <c r="K25" s="29" t="n"/>
      <c r="L25" s="29" t="n"/>
    </row>
    <row r="26" ht="22" customHeight="1">
      <c r="B26" s="14">
        <f>'設定'!$I$15</f>
        <v/>
      </c>
      <c r="C26" s="29" t="n"/>
      <c r="D26" s="29" t="n"/>
      <c r="E26" s="29" t="n"/>
      <c r="F26" s="29" t="n"/>
      <c r="G26" s="29" t="n"/>
      <c r="H26" s="29" t="n"/>
      <c r="I26" s="29" t="n"/>
      <c r="J26" s="29" t="n"/>
      <c r="K26" s="29" t="n"/>
      <c r="L26" s="29" t="n"/>
    </row>
    <row r="27" ht="22" customHeight="1">
      <c r="B27" s="14">
        <f>'設定'!$I$16</f>
        <v/>
      </c>
      <c r="C27" s="29" t="n"/>
      <c r="D27" s="29" t="n"/>
      <c r="E27" s="29" t="n"/>
      <c r="F27" s="29" t="n"/>
      <c r="G27" s="29" t="n"/>
      <c r="H27" s="29" t="n"/>
      <c r="I27" s="29" t="n"/>
      <c r="J27" s="29" t="n"/>
      <c r="K27" s="29" t="n"/>
      <c r="L27" s="29" t="n"/>
    </row>
    <row r="28" ht="22" customHeight="1">
      <c r="B28" s="14">
        <f>'設定'!$I$17</f>
        <v/>
      </c>
      <c r="C28" s="29" t="n"/>
      <c r="D28" s="29" t="n"/>
      <c r="E28" s="29" t="n"/>
      <c r="F28" s="29" t="n"/>
      <c r="G28" s="29" t="n"/>
      <c r="H28" s="29" t="n"/>
      <c r="I28" s="29" t="n"/>
      <c r="J28" s="29" t="n"/>
      <c r="K28" s="29" t="n"/>
      <c r="L28" s="29" t="n"/>
    </row>
    <row r="29" ht="22" customHeight="1">
      <c r="B29" s="14">
        <f>'設定'!$I$18</f>
        <v/>
      </c>
      <c r="C29" s="29" t="n"/>
      <c r="D29" s="29" t="n"/>
      <c r="E29" s="29" t="n"/>
      <c r="F29" s="29" t="n"/>
      <c r="G29" s="29" t="n"/>
      <c r="H29" s="29" t="n"/>
      <c r="I29" s="29" t="n"/>
      <c r="J29" s="29" t="n"/>
      <c r="K29" s="29" t="n"/>
      <c r="L29" s="29" t="n"/>
    </row>
    <row r="30" ht="22" customHeight="1">
      <c r="B30" s="14">
        <f>'設定'!$I$19</f>
        <v/>
      </c>
      <c r="C30" s="29" t="n"/>
      <c r="D30" s="29" t="n"/>
      <c r="E30" s="29" t="n"/>
      <c r="F30" s="29" t="n"/>
      <c r="G30" s="29" t="n"/>
      <c r="H30" s="29" t="n"/>
      <c r="I30" s="29" t="n"/>
      <c r="J30" s="29" t="n"/>
      <c r="K30" s="29" t="n"/>
      <c r="L30" s="29" t="n"/>
    </row>
    <row r="31" ht="22" customHeight="1">
      <c r="B31" s="14">
        <f>'設定'!$I$20</f>
        <v/>
      </c>
      <c r="C31" s="29" t="n"/>
      <c r="D31" s="29" t="n"/>
      <c r="E31" s="29" t="n"/>
      <c r="F31" s="29" t="n"/>
      <c r="G31" s="29" t="n"/>
      <c r="H31" s="29" t="n"/>
      <c r="I31" s="29" t="n"/>
      <c r="J31" s="29" t="n"/>
      <c r="K31" s="29" t="n"/>
      <c r="L31" s="29" t="n"/>
    </row>
    <row r="32" ht="22" customHeight="1">
      <c r="B32" s="14">
        <f>'設定'!$I$21</f>
        <v/>
      </c>
      <c r="C32" s="29" t="n"/>
      <c r="D32" s="29" t="n"/>
      <c r="E32" s="29" t="n"/>
      <c r="F32" s="29" t="n"/>
      <c r="G32" s="29" t="n"/>
      <c r="H32" s="29" t="n"/>
      <c r="I32" s="29" t="n"/>
      <c r="J32" s="29" t="n"/>
      <c r="K32" s="29" t="n"/>
      <c r="L32" s="29" t="n"/>
    </row>
    <row r="33" ht="22" customHeight="1">
      <c r="B33" s="14">
        <f>'設定'!$I$22</f>
        <v/>
      </c>
      <c r="C33" s="29" t="n"/>
      <c r="D33" s="29" t="n"/>
      <c r="E33" s="29" t="n"/>
      <c r="F33" s="29" t="n"/>
      <c r="G33" s="29" t="n"/>
      <c r="H33" s="29" t="n"/>
      <c r="I33" s="29" t="n"/>
      <c r="J33" s="29" t="n"/>
      <c r="K33" s="29" t="n"/>
      <c r="L33" s="29" t="n"/>
    </row>
    <row r="35" ht="26" customHeight="1">
      <c r="B35" s="24">
        <f>IF('名簿'!B7="","（名簿 3行目：なし）",'名簿'!E7)</f>
        <v/>
      </c>
      <c r="E35" s="25" t="inlineStr">
        <is>
          <t>提出状況 ▶</t>
        </is>
      </c>
      <c r="F35" s="17" t="n"/>
      <c r="G35" s="13" t="n"/>
      <c r="H35" s="26" t="inlineStr">
        <is>
          <t>状況：</t>
        </is>
      </c>
      <c r="I35" s="27">
        <f>'名簿'!F7</f>
        <v/>
      </c>
      <c r="J35" s="26" t="inlineStr">
        <is>
          <t>×の数：</t>
        </is>
      </c>
      <c r="K35" s="27">
        <f>'名簿'!G7</f>
        <v/>
      </c>
    </row>
    <row r="36">
      <c r="B36" s="28" t="inlineStr"/>
      <c r="C36" s="14">
        <f>'設定'!$E$11</f>
        <v/>
      </c>
      <c r="D36" s="14">
        <f>'設定'!$E$12</f>
        <v/>
      </c>
      <c r="E36" s="14">
        <f>'設定'!$E$13</f>
        <v/>
      </c>
      <c r="F36" s="14">
        <f>'設定'!$E$14</f>
        <v/>
      </c>
      <c r="G36" s="14">
        <f>'設定'!$E$15</f>
        <v/>
      </c>
      <c r="H36" s="14">
        <f>'設定'!$E$16</f>
        <v/>
      </c>
      <c r="I36" s="14">
        <f>'設定'!$E$17</f>
        <v/>
      </c>
      <c r="J36" s="14">
        <f>'設定'!$E$18</f>
        <v/>
      </c>
      <c r="K36" s="14">
        <f>'設定'!$E$19</f>
        <v/>
      </c>
      <c r="L36" s="14">
        <f>'設定'!$E$20</f>
        <v/>
      </c>
    </row>
    <row r="37" ht="22" customHeight="1">
      <c r="B37" s="14">
        <f>'設定'!$I$11</f>
        <v/>
      </c>
      <c r="C37" s="29" t="n"/>
      <c r="D37" s="29" t="n"/>
      <c r="E37" s="29" t="n"/>
      <c r="F37" s="29" t="n"/>
      <c r="G37" s="29" t="n"/>
      <c r="H37" s="29" t="n"/>
      <c r="I37" s="29" t="n"/>
      <c r="J37" s="29" t="n"/>
      <c r="K37" s="29" t="n"/>
      <c r="L37" s="29" t="n"/>
    </row>
    <row r="38" ht="22" customHeight="1">
      <c r="B38" s="14">
        <f>'設定'!$I$12</f>
        <v/>
      </c>
      <c r="C38" s="29" t="n"/>
      <c r="D38" s="29" t="n"/>
      <c r="E38" s="29" t="n"/>
      <c r="F38" s="29" t="n"/>
      <c r="G38" s="29" t="n"/>
      <c r="H38" s="29" t="n"/>
      <c r="I38" s="29" t="n"/>
      <c r="J38" s="29" t="n"/>
      <c r="K38" s="29" t="n"/>
      <c r="L38" s="29" t="n"/>
    </row>
    <row r="39" ht="22" customHeight="1">
      <c r="B39" s="14">
        <f>'設定'!$I$13</f>
        <v/>
      </c>
      <c r="C39" s="29" t="n"/>
      <c r="D39" s="29" t="n"/>
      <c r="E39" s="29" t="n"/>
      <c r="F39" s="29" t="n"/>
      <c r="G39" s="29" t="n"/>
      <c r="H39" s="29" t="n"/>
      <c r="I39" s="29" t="n"/>
      <c r="J39" s="29" t="n"/>
      <c r="K39" s="29" t="n"/>
      <c r="L39" s="29" t="n"/>
    </row>
    <row r="40" ht="22" customHeight="1">
      <c r="B40" s="14">
        <f>'設定'!$I$14</f>
        <v/>
      </c>
      <c r="C40" s="29" t="n"/>
      <c r="D40" s="29" t="n"/>
      <c r="E40" s="29" t="n"/>
      <c r="F40" s="29" t="n"/>
      <c r="G40" s="29" t="n"/>
      <c r="H40" s="29" t="n"/>
      <c r="I40" s="29" t="n"/>
      <c r="J40" s="29" t="n"/>
      <c r="K40" s="29" t="n"/>
      <c r="L40" s="29" t="n"/>
    </row>
    <row r="41" ht="22" customHeight="1">
      <c r="B41" s="14">
        <f>'設定'!$I$15</f>
        <v/>
      </c>
      <c r="C41" s="29" t="n"/>
      <c r="D41" s="29" t="n"/>
      <c r="E41" s="29" t="n"/>
      <c r="F41" s="29" t="n"/>
      <c r="G41" s="29" t="n"/>
      <c r="H41" s="29" t="n"/>
      <c r="I41" s="29" t="n"/>
      <c r="J41" s="29" t="n"/>
      <c r="K41" s="29" t="n"/>
      <c r="L41" s="29" t="n"/>
    </row>
    <row r="42" ht="22" customHeight="1">
      <c r="B42" s="14">
        <f>'設定'!$I$16</f>
        <v/>
      </c>
      <c r="C42" s="29" t="n"/>
      <c r="D42" s="29" t="n"/>
      <c r="E42" s="29" t="n"/>
      <c r="F42" s="29" t="n"/>
      <c r="G42" s="29" t="n"/>
      <c r="H42" s="29" t="n"/>
      <c r="I42" s="29" t="n"/>
      <c r="J42" s="29" t="n"/>
      <c r="K42" s="29" t="n"/>
      <c r="L42" s="29" t="n"/>
    </row>
    <row r="43" ht="22" customHeight="1">
      <c r="B43" s="14">
        <f>'設定'!$I$17</f>
        <v/>
      </c>
      <c r="C43" s="29" t="n"/>
      <c r="D43" s="29" t="n"/>
      <c r="E43" s="29" t="n"/>
      <c r="F43" s="29" t="n"/>
      <c r="G43" s="29" t="n"/>
      <c r="H43" s="29" t="n"/>
      <c r="I43" s="29" t="n"/>
      <c r="J43" s="29" t="n"/>
      <c r="K43" s="29" t="n"/>
      <c r="L43" s="29" t="n"/>
    </row>
    <row r="44" ht="22" customHeight="1">
      <c r="B44" s="14">
        <f>'設定'!$I$18</f>
        <v/>
      </c>
      <c r="C44" s="29" t="n"/>
      <c r="D44" s="29" t="n"/>
      <c r="E44" s="29" t="n"/>
      <c r="F44" s="29" t="n"/>
      <c r="G44" s="29" t="n"/>
      <c r="H44" s="29" t="n"/>
      <c r="I44" s="29" t="n"/>
      <c r="J44" s="29" t="n"/>
      <c r="K44" s="29" t="n"/>
      <c r="L44" s="29" t="n"/>
    </row>
    <row r="45" ht="22" customHeight="1">
      <c r="B45" s="14">
        <f>'設定'!$I$19</f>
        <v/>
      </c>
      <c r="C45" s="29" t="n"/>
      <c r="D45" s="29" t="n"/>
      <c r="E45" s="29" t="n"/>
      <c r="F45" s="29" t="n"/>
      <c r="G45" s="29" t="n"/>
      <c r="H45" s="29" t="n"/>
      <c r="I45" s="29" t="n"/>
      <c r="J45" s="29" t="n"/>
      <c r="K45" s="29" t="n"/>
      <c r="L45" s="29" t="n"/>
    </row>
    <row r="46" ht="22" customHeight="1">
      <c r="B46" s="14">
        <f>'設定'!$I$20</f>
        <v/>
      </c>
      <c r="C46" s="29" t="n"/>
      <c r="D46" s="29" t="n"/>
      <c r="E46" s="29" t="n"/>
      <c r="F46" s="29" t="n"/>
      <c r="G46" s="29" t="n"/>
      <c r="H46" s="29" t="n"/>
      <c r="I46" s="29" t="n"/>
      <c r="J46" s="29" t="n"/>
      <c r="K46" s="29" t="n"/>
      <c r="L46" s="29" t="n"/>
    </row>
    <row r="47" ht="22" customHeight="1">
      <c r="B47" s="14">
        <f>'設定'!$I$21</f>
        <v/>
      </c>
      <c r="C47" s="29" t="n"/>
      <c r="D47" s="29" t="n"/>
      <c r="E47" s="29" t="n"/>
      <c r="F47" s="29" t="n"/>
      <c r="G47" s="29" t="n"/>
      <c r="H47" s="29" t="n"/>
      <c r="I47" s="29" t="n"/>
      <c r="J47" s="29" t="n"/>
      <c r="K47" s="29" t="n"/>
      <c r="L47" s="29" t="n"/>
    </row>
    <row r="48" ht="22" customHeight="1">
      <c r="B48" s="14">
        <f>'設定'!$I$22</f>
        <v/>
      </c>
      <c r="C48" s="29" t="n"/>
      <c r="D48" s="29" t="n"/>
      <c r="E48" s="29" t="n"/>
      <c r="F48" s="29" t="n"/>
      <c r="G48" s="29" t="n"/>
      <c r="H48" s="29" t="n"/>
      <c r="I48" s="29" t="n"/>
      <c r="J48" s="29" t="n"/>
      <c r="K48" s="29" t="n"/>
      <c r="L48" s="29" t="n"/>
    </row>
    <row r="50" ht="26" customHeight="1">
      <c r="B50" s="24">
        <f>IF('名簿'!B8="","（名簿 4行目：なし）",'名簿'!E8)</f>
        <v/>
      </c>
      <c r="E50" s="25" t="inlineStr">
        <is>
          <t>提出状況 ▶</t>
        </is>
      </c>
      <c r="F50" s="17" t="n"/>
      <c r="G50" s="13" t="n"/>
      <c r="H50" s="26" t="inlineStr">
        <is>
          <t>状況：</t>
        </is>
      </c>
      <c r="I50" s="27">
        <f>'名簿'!F8</f>
        <v/>
      </c>
      <c r="J50" s="26" t="inlineStr">
        <is>
          <t>×の数：</t>
        </is>
      </c>
      <c r="K50" s="27">
        <f>'名簿'!G8</f>
        <v/>
      </c>
    </row>
    <row r="51">
      <c r="B51" s="28" t="inlineStr"/>
      <c r="C51" s="14">
        <f>'設定'!$E$11</f>
        <v/>
      </c>
      <c r="D51" s="14">
        <f>'設定'!$E$12</f>
        <v/>
      </c>
      <c r="E51" s="14">
        <f>'設定'!$E$13</f>
        <v/>
      </c>
      <c r="F51" s="14">
        <f>'設定'!$E$14</f>
        <v/>
      </c>
      <c r="G51" s="14">
        <f>'設定'!$E$15</f>
        <v/>
      </c>
      <c r="H51" s="14">
        <f>'設定'!$E$16</f>
        <v/>
      </c>
      <c r="I51" s="14">
        <f>'設定'!$E$17</f>
        <v/>
      </c>
      <c r="J51" s="14">
        <f>'設定'!$E$18</f>
        <v/>
      </c>
      <c r="K51" s="14">
        <f>'設定'!$E$19</f>
        <v/>
      </c>
      <c r="L51" s="14">
        <f>'設定'!$E$20</f>
        <v/>
      </c>
    </row>
    <row r="52" ht="22" customHeight="1">
      <c r="B52" s="14">
        <f>'設定'!$I$11</f>
        <v/>
      </c>
      <c r="C52" s="29" t="n"/>
      <c r="D52" s="29" t="n"/>
      <c r="E52" s="29" t="n"/>
      <c r="F52" s="29" t="n"/>
      <c r="G52" s="29" t="n"/>
      <c r="H52" s="29" t="n"/>
      <c r="I52" s="29" t="n"/>
      <c r="J52" s="29" t="n"/>
      <c r="K52" s="29" t="n"/>
      <c r="L52" s="29" t="n"/>
    </row>
    <row r="53" ht="22" customHeight="1">
      <c r="B53" s="14">
        <f>'設定'!$I$12</f>
        <v/>
      </c>
      <c r="C53" s="29" t="n"/>
      <c r="D53" s="29" t="n"/>
      <c r="E53" s="29" t="n"/>
      <c r="F53" s="29" t="n"/>
      <c r="G53" s="29" t="n"/>
      <c r="H53" s="29" t="n"/>
      <c r="I53" s="29" t="n"/>
      <c r="J53" s="29" t="n"/>
      <c r="K53" s="29" t="n"/>
      <c r="L53" s="29" t="n"/>
    </row>
    <row r="54" ht="22" customHeight="1">
      <c r="B54" s="14">
        <f>'設定'!$I$13</f>
        <v/>
      </c>
      <c r="C54" s="29" t="n"/>
      <c r="D54" s="29" t="n"/>
      <c r="E54" s="29" t="n"/>
      <c r="F54" s="29" t="n"/>
      <c r="G54" s="29" t="n"/>
      <c r="H54" s="29" t="n"/>
      <c r="I54" s="29" t="n"/>
      <c r="J54" s="29" t="n"/>
      <c r="K54" s="29" t="n"/>
      <c r="L54" s="29" t="n"/>
    </row>
    <row r="55" ht="22" customHeight="1">
      <c r="B55" s="14">
        <f>'設定'!$I$14</f>
        <v/>
      </c>
      <c r="C55" s="29" t="n"/>
      <c r="D55" s="29" t="n"/>
      <c r="E55" s="29" t="n"/>
      <c r="F55" s="29" t="n"/>
      <c r="G55" s="29" t="n"/>
      <c r="H55" s="29" t="n"/>
      <c r="I55" s="29" t="n"/>
      <c r="J55" s="29" t="n"/>
      <c r="K55" s="29" t="n"/>
      <c r="L55" s="29" t="n"/>
    </row>
    <row r="56" ht="22" customHeight="1">
      <c r="B56" s="14">
        <f>'設定'!$I$15</f>
        <v/>
      </c>
      <c r="C56" s="29" t="n"/>
      <c r="D56" s="29" t="n"/>
      <c r="E56" s="29" t="n"/>
      <c r="F56" s="29" t="n"/>
      <c r="G56" s="29" t="n"/>
      <c r="H56" s="29" t="n"/>
      <c r="I56" s="29" t="n"/>
      <c r="J56" s="29" t="n"/>
      <c r="K56" s="29" t="n"/>
      <c r="L56" s="29" t="n"/>
    </row>
    <row r="57" ht="22" customHeight="1">
      <c r="B57" s="14">
        <f>'設定'!$I$16</f>
        <v/>
      </c>
      <c r="C57" s="29" t="n"/>
      <c r="D57" s="29" t="n"/>
      <c r="E57" s="29" t="n"/>
      <c r="F57" s="29" t="n"/>
      <c r="G57" s="29" t="n"/>
      <c r="H57" s="29" t="n"/>
      <c r="I57" s="29" t="n"/>
      <c r="J57" s="29" t="n"/>
      <c r="K57" s="29" t="n"/>
      <c r="L57" s="29" t="n"/>
    </row>
    <row r="58" ht="22" customHeight="1">
      <c r="B58" s="14">
        <f>'設定'!$I$17</f>
        <v/>
      </c>
      <c r="C58" s="29" t="n"/>
      <c r="D58" s="29" t="n"/>
      <c r="E58" s="29" t="n"/>
      <c r="F58" s="29" t="n"/>
      <c r="G58" s="29" t="n"/>
      <c r="H58" s="29" t="n"/>
      <c r="I58" s="29" t="n"/>
      <c r="J58" s="29" t="n"/>
      <c r="K58" s="29" t="n"/>
      <c r="L58" s="29" t="n"/>
    </row>
    <row r="59" ht="22" customHeight="1">
      <c r="B59" s="14">
        <f>'設定'!$I$18</f>
        <v/>
      </c>
      <c r="C59" s="29" t="n"/>
      <c r="D59" s="29" t="n"/>
      <c r="E59" s="29" t="n"/>
      <c r="F59" s="29" t="n"/>
      <c r="G59" s="29" t="n"/>
      <c r="H59" s="29" t="n"/>
      <c r="I59" s="29" t="n"/>
      <c r="J59" s="29" t="n"/>
      <c r="K59" s="29" t="n"/>
      <c r="L59" s="29" t="n"/>
    </row>
    <row r="60" ht="22" customHeight="1">
      <c r="B60" s="14">
        <f>'設定'!$I$19</f>
        <v/>
      </c>
      <c r="C60" s="29" t="n"/>
      <c r="D60" s="29" t="n"/>
      <c r="E60" s="29" t="n"/>
      <c r="F60" s="29" t="n"/>
      <c r="G60" s="29" t="n"/>
      <c r="H60" s="29" t="n"/>
      <c r="I60" s="29" t="n"/>
      <c r="J60" s="29" t="n"/>
      <c r="K60" s="29" t="n"/>
      <c r="L60" s="29" t="n"/>
    </row>
    <row r="61" ht="22" customHeight="1">
      <c r="B61" s="14">
        <f>'設定'!$I$20</f>
        <v/>
      </c>
      <c r="C61" s="29" t="n"/>
      <c r="D61" s="29" t="n"/>
      <c r="E61" s="29" t="n"/>
      <c r="F61" s="29" t="n"/>
      <c r="G61" s="29" t="n"/>
      <c r="H61" s="29" t="n"/>
      <c r="I61" s="29" t="n"/>
      <c r="J61" s="29" t="n"/>
      <c r="K61" s="29" t="n"/>
      <c r="L61" s="29" t="n"/>
    </row>
    <row r="62" ht="22" customHeight="1">
      <c r="B62" s="14">
        <f>'設定'!$I$21</f>
        <v/>
      </c>
      <c r="C62" s="29" t="n"/>
      <c r="D62" s="29" t="n"/>
      <c r="E62" s="29" t="n"/>
      <c r="F62" s="29" t="n"/>
      <c r="G62" s="29" t="n"/>
      <c r="H62" s="29" t="n"/>
      <c r="I62" s="29" t="n"/>
      <c r="J62" s="29" t="n"/>
      <c r="K62" s="29" t="n"/>
      <c r="L62" s="29" t="n"/>
    </row>
    <row r="63" ht="22" customHeight="1">
      <c r="B63" s="14">
        <f>'設定'!$I$22</f>
        <v/>
      </c>
      <c r="C63" s="29" t="n"/>
      <c r="D63" s="29" t="n"/>
      <c r="E63" s="29" t="n"/>
      <c r="F63" s="29" t="n"/>
      <c r="G63" s="29" t="n"/>
      <c r="H63" s="29" t="n"/>
      <c r="I63" s="29" t="n"/>
      <c r="J63" s="29" t="n"/>
      <c r="K63" s="29" t="n"/>
      <c r="L63" s="29" t="n"/>
    </row>
    <row r="65" ht="26" customHeight="1">
      <c r="B65" s="24">
        <f>IF('名簿'!B9="","（名簿 5行目：なし）",'名簿'!E9)</f>
        <v/>
      </c>
      <c r="E65" s="25" t="inlineStr">
        <is>
          <t>提出状況 ▶</t>
        </is>
      </c>
      <c r="F65" s="17" t="n"/>
      <c r="G65" s="13" t="n"/>
      <c r="H65" s="26" t="inlineStr">
        <is>
          <t>状況：</t>
        </is>
      </c>
      <c r="I65" s="27">
        <f>'名簿'!F9</f>
        <v/>
      </c>
      <c r="J65" s="26" t="inlineStr">
        <is>
          <t>×の数：</t>
        </is>
      </c>
      <c r="K65" s="27">
        <f>'名簿'!G9</f>
        <v/>
      </c>
    </row>
    <row r="66">
      <c r="B66" s="28" t="inlineStr"/>
      <c r="C66" s="14">
        <f>'設定'!$E$11</f>
        <v/>
      </c>
      <c r="D66" s="14">
        <f>'設定'!$E$12</f>
        <v/>
      </c>
      <c r="E66" s="14">
        <f>'設定'!$E$13</f>
        <v/>
      </c>
      <c r="F66" s="14">
        <f>'設定'!$E$14</f>
        <v/>
      </c>
      <c r="G66" s="14">
        <f>'設定'!$E$15</f>
        <v/>
      </c>
      <c r="H66" s="14">
        <f>'設定'!$E$16</f>
        <v/>
      </c>
      <c r="I66" s="14">
        <f>'設定'!$E$17</f>
        <v/>
      </c>
      <c r="J66" s="14">
        <f>'設定'!$E$18</f>
        <v/>
      </c>
      <c r="K66" s="14">
        <f>'設定'!$E$19</f>
        <v/>
      </c>
      <c r="L66" s="14">
        <f>'設定'!$E$20</f>
        <v/>
      </c>
    </row>
    <row r="67" ht="22" customHeight="1">
      <c r="B67" s="14">
        <f>'設定'!$I$11</f>
        <v/>
      </c>
      <c r="C67" s="29" t="n"/>
      <c r="D67" s="29" t="n"/>
      <c r="E67" s="29" t="n"/>
      <c r="F67" s="29" t="n"/>
      <c r="G67" s="29" t="n"/>
      <c r="H67" s="29" t="n"/>
      <c r="I67" s="29" t="n"/>
      <c r="J67" s="29" t="n"/>
      <c r="K67" s="29" t="n"/>
      <c r="L67" s="29" t="n"/>
    </row>
    <row r="68" ht="22" customHeight="1">
      <c r="B68" s="14">
        <f>'設定'!$I$12</f>
        <v/>
      </c>
      <c r="C68" s="29" t="n"/>
      <c r="D68" s="29" t="n"/>
      <c r="E68" s="29" t="n"/>
      <c r="F68" s="29" t="n"/>
      <c r="G68" s="29" t="n"/>
      <c r="H68" s="29" t="n"/>
      <c r="I68" s="29" t="n"/>
      <c r="J68" s="29" t="n"/>
      <c r="K68" s="29" t="n"/>
      <c r="L68" s="29" t="n"/>
    </row>
    <row r="69" ht="22" customHeight="1">
      <c r="B69" s="14">
        <f>'設定'!$I$13</f>
        <v/>
      </c>
      <c r="C69" s="29" t="n"/>
      <c r="D69" s="29" t="n"/>
      <c r="E69" s="29" t="n"/>
      <c r="F69" s="29" t="n"/>
      <c r="G69" s="29" t="n"/>
      <c r="H69" s="29" t="n"/>
      <c r="I69" s="29" t="n"/>
      <c r="J69" s="29" t="n"/>
      <c r="K69" s="29" t="n"/>
      <c r="L69" s="29" t="n"/>
    </row>
    <row r="70" ht="22" customHeight="1">
      <c r="B70" s="14">
        <f>'設定'!$I$14</f>
        <v/>
      </c>
      <c r="C70" s="29" t="n"/>
      <c r="D70" s="29" t="n"/>
      <c r="E70" s="29" t="n"/>
      <c r="F70" s="29" t="n"/>
      <c r="G70" s="29" t="n"/>
      <c r="H70" s="29" t="n"/>
      <c r="I70" s="29" t="n"/>
      <c r="J70" s="29" t="n"/>
      <c r="K70" s="29" t="n"/>
      <c r="L70" s="29" t="n"/>
    </row>
    <row r="71" ht="22" customHeight="1">
      <c r="B71" s="14">
        <f>'設定'!$I$15</f>
        <v/>
      </c>
      <c r="C71" s="29" t="n"/>
      <c r="D71" s="29" t="n"/>
      <c r="E71" s="29" t="n"/>
      <c r="F71" s="29" t="n"/>
      <c r="G71" s="29" t="n"/>
      <c r="H71" s="29" t="n"/>
      <c r="I71" s="29" t="n"/>
      <c r="J71" s="29" t="n"/>
      <c r="K71" s="29" t="n"/>
      <c r="L71" s="29" t="n"/>
    </row>
    <row r="72" ht="22" customHeight="1">
      <c r="B72" s="14">
        <f>'設定'!$I$16</f>
        <v/>
      </c>
      <c r="C72" s="29" t="n"/>
      <c r="D72" s="29" t="n"/>
      <c r="E72" s="29" t="n"/>
      <c r="F72" s="29" t="n"/>
      <c r="G72" s="29" t="n"/>
      <c r="H72" s="29" t="n"/>
      <c r="I72" s="29" t="n"/>
      <c r="J72" s="29" t="n"/>
      <c r="K72" s="29" t="n"/>
      <c r="L72" s="29" t="n"/>
    </row>
    <row r="73" ht="22" customHeight="1">
      <c r="B73" s="14">
        <f>'設定'!$I$17</f>
        <v/>
      </c>
      <c r="C73" s="29" t="n"/>
      <c r="D73" s="29" t="n"/>
      <c r="E73" s="29" t="n"/>
      <c r="F73" s="29" t="n"/>
      <c r="G73" s="29" t="n"/>
      <c r="H73" s="29" t="n"/>
      <c r="I73" s="29" t="n"/>
      <c r="J73" s="29" t="n"/>
      <c r="K73" s="29" t="n"/>
      <c r="L73" s="29" t="n"/>
    </row>
    <row r="74" ht="22" customHeight="1">
      <c r="B74" s="14">
        <f>'設定'!$I$18</f>
        <v/>
      </c>
      <c r="C74" s="29" t="n"/>
      <c r="D74" s="29" t="n"/>
      <c r="E74" s="29" t="n"/>
      <c r="F74" s="29" t="n"/>
      <c r="G74" s="29" t="n"/>
      <c r="H74" s="29" t="n"/>
      <c r="I74" s="29" t="n"/>
      <c r="J74" s="29" t="n"/>
      <c r="K74" s="29" t="n"/>
      <c r="L74" s="29" t="n"/>
    </row>
    <row r="75" ht="22" customHeight="1">
      <c r="B75" s="14">
        <f>'設定'!$I$19</f>
        <v/>
      </c>
      <c r="C75" s="29" t="n"/>
      <c r="D75" s="29" t="n"/>
      <c r="E75" s="29" t="n"/>
      <c r="F75" s="29" t="n"/>
      <c r="G75" s="29" t="n"/>
      <c r="H75" s="29" t="n"/>
      <c r="I75" s="29" t="n"/>
      <c r="J75" s="29" t="n"/>
      <c r="K75" s="29" t="n"/>
      <c r="L75" s="29" t="n"/>
    </row>
    <row r="76" ht="22" customHeight="1">
      <c r="B76" s="14">
        <f>'設定'!$I$20</f>
        <v/>
      </c>
      <c r="C76" s="29" t="n"/>
      <c r="D76" s="29" t="n"/>
      <c r="E76" s="29" t="n"/>
      <c r="F76" s="29" t="n"/>
      <c r="G76" s="29" t="n"/>
      <c r="H76" s="29" t="n"/>
      <c r="I76" s="29" t="n"/>
      <c r="J76" s="29" t="n"/>
      <c r="K76" s="29" t="n"/>
      <c r="L76" s="29" t="n"/>
    </row>
    <row r="77" ht="22" customHeight="1">
      <c r="B77" s="14">
        <f>'設定'!$I$21</f>
        <v/>
      </c>
      <c r="C77" s="29" t="n"/>
      <c r="D77" s="29" t="n"/>
      <c r="E77" s="29" t="n"/>
      <c r="F77" s="29" t="n"/>
      <c r="G77" s="29" t="n"/>
      <c r="H77" s="29" t="n"/>
      <c r="I77" s="29" t="n"/>
      <c r="J77" s="29" t="n"/>
      <c r="K77" s="29" t="n"/>
      <c r="L77" s="29" t="n"/>
    </row>
    <row r="78" ht="22" customHeight="1">
      <c r="B78" s="14">
        <f>'設定'!$I$22</f>
        <v/>
      </c>
      <c r="C78" s="29" t="n"/>
      <c r="D78" s="29" t="n"/>
      <c r="E78" s="29" t="n"/>
      <c r="F78" s="29" t="n"/>
      <c r="G78" s="29" t="n"/>
      <c r="H78" s="29" t="n"/>
      <c r="I78" s="29" t="n"/>
      <c r="J78" s="29" t="n"/>
      <c r="K78" s="29" t="n"/>
      <c r="L78" s="29" t="n"/>
    </row>
    <row r="80" ht="26" customHeight="1">
      <c r="B80" s="24">
        <f>IF('名簿'!B10="","（名簿 6行目：なし）",'名簿'!E10)</f>
        <v/>
      </c>
      <c r="E80" s="25" t="inlineStr">
        <is>
          <t>提出状況 ▶</t>
        </is>
      </c>
      <c r="F80" s="17" t="n"/>
      <c r="G80" s="13" t="n"/>
      <c r="H80" s="26" t="inlineStr">
        <is>
          <t>状況：</t>
        </is>
      </c>
      <c r="I80" s="27">
        <f>'名簿'!F10</f>
        <v/>
      </c>
      <c r="J80" s="26" t="inlineStr">
        <is>
          <t>×の数：</t>
        </is>
      </c>
      <c r="K80" s="27">
        <f>'名簿'!G10</f>
        <v/>
      </c>
    </row>
    <row r="81">
      <c r="B81" s="28" t="inlineStr"/>
      <c r="C81" s="14">
        <f>'設定'!$E$11</f>
        <v/>
      </c>
      <c r="D81" s="14">
        <f>'設定'!$E$12</f>
        <v/>
      </c>
      <c r="E81" s="14">
        <f>'設定'!$E$13</f>
        <v/>
      </c>
      <c r="F81" s="14">
        <f>'設定'!$E$14</f>
        <v/>
      </c>
      <c r="G81" s="14">
        <f>'設定'!$E$15</f>
        <v/>
      </c>
      <c r="H81" s="14">
        <f>'設定'!$E$16</f>
        <v/>
      </c>
      <c r="I81" s="14">
        <f>'設定'!$E$17</f>
        <v/>
      </c>
      <c r="J81" s="14">
        <f>'設定'!$E$18</f>
        <v/>
      </c>
      <c r="K81" s="14">
        <f>'設定'!$E$19</f>
        <v/>
      </c>
      <c r="L81" s="14">
        <f>'設定'!$E$20</f>
        <v/>
      </c>
    </row>
    <row r="82" ht="22" customHeight="1">
      <c r="B82" s="14">
        <f>'設定'!$I$11</f>
        <v/>
      </c>
      <c r="C82" s="29" t="n"/>
      <c r="D82" s="29" t="n"/>
      <c r="E82" s="29" t="n"/>
      <c r="F82" s="29" t="n"/>
      <c r="G82" s="29" t="n"/>
      <c r="H82" s="29" t="n"/>
      <c r="I82" s="29" t="n"/>
      <c r="J82" s="29" t="n"/>
      <c r="K82" s="29" t="n"/>
      <c r="L82" s="29" t="n"/>
    </row>
    <row r="83" ht="22" customHeight="1">
      <c r="B83" s="14">
        <f>'設定'!$I$12</f>
        <v/>
      </c>
      <c r="C83" s="29" t="n"/>
      <c r="D83" s="29" t="n"/>
      <c r="E83" s="29" t="n"/>
      <c r="F83" s="29" t="n"/>
      <c r="G83" s="29" t="n"/>
      <c r="H83" s="29" t="n"/>
      <c r="I83" s="29" t="n"/>
      <c r="J83" s="29" t="n"/>
      <c r="K83" s="29" t="n"/>
      <c r="L83" s="29" t="n"/>
    </row>
    <row r="84" ht="22" customHeight="1">
      <c r="B84" s="14">
        <f>'設定'!$I$13</f>
        <v/>
      </c>
      <c r="C84" s="29" t="n"/>
      <c r="D84" s="29" t="n"/>
      <c r="E84" s="29" t="n"/>
      <c r="F84" s="29" t="n"/>
      <c r="G84" s="29" t="n"/>
      <c r="H84" s="29" t="n"/>
      <c r="I84" s="29" t="n"/>
      <c r="J84" s="29" t="n"/>
      <c r="K84" s="29" t="n"/>
      <c r="L84" s="29" t="n"/>
    </row>
    <row r="85" ht="22" customHeight="1">
      <c r="B85" s="14">
        <f>'設定'!$I$14</f>
        <v/>
      </c>
      <c r="C85" s="29" t="n"/>
      <c r="D85" s="29" t="n"/>
      <c r="E85" s="29" t="n"/>
      <c r="F85" s="29" t="n"/>
      <c r="G85" s="29" t="n"/>
      <c r="H85" s="29" t="n"/>
      <c r="I85" s="29" t="n"/>
      <c r="J85" s="29" t="n"/>
      <c r="K85" s="29" t="n"/>
      <c r="L85" s="29" t="n"/>
    </row>
    <row r="86" ht="22" customHeight="1">
      <c r="B86" s="14">
        <f>'設定'!$I$15</f>
        <v/>
      </c>
      <c r="C86" s="29" t="n"/>
      <c r="D86" s="29" t="n"/>
      <c r="E86" s="29" t="n"/>
      <c r="F86" s="29" t="n"/>
      <c r="G86" s="29" t="n"/>
      <c r="H86" s="29" t="n"/>
      <c r="I86" s="29" t="n"/>
      <c r="J86" s="29" t="n"/>
      <c r="K86" s="29" t="n"/>
      <c r="L86" s="29" t="n"/>
    </row>
    <row r="87" ht="22" customHeight="1">
      <c r="B87" s="14">
        <f>'設定'!$I$16</f>
        <v/>
      </c>
      <c r="C87" s="29" t="n"/>
      <c r="D87" s="29" t="n"/>
      <c r="E87" s="29" t="n"/>
      <c r="F87" s="29" t="n"/>
      <c r="G87" s="29" t="n"/>
      <c r="H87" s="29" t="n"/>
      <c r="I87" s="29" t="n"/>
      <c r="J87" s="29" t="n"/>
      <c r="K87" s="29" t="n"/>
      <c r="L87" s="29" t="n"/>
    </row>
    <row r="88" ht="22" customHeight="1">
      <c r="B88" s="14">
        <f>'設定'!$I$17</f>
        <v/>
      </c>
      <c r="C88" s="29" t="n"/>
      <c r="D88" s="29" t="n"/>
      <c r="E88" s="29" t="n"/>
      <c r="F88" s="29" t="n"/>
      <c r="G88" s="29" t="n"/>
      <c r="H88" s="29" t="n"/>
      <c r="I88" s="29" t="n"/>
      <c r="J88" s="29" t="n"/>
      <c r="K88" s="29" t="n"/>
      <c r="L88" s="29" t="n"/>
    </row>
    <row r="89" ht="22" customHeight="1">
      <c r="B89" s="14">
        <f>'設定'!$I$18</f>
        <v/>
      </c>
      <c r="C89" s="29" t="n"/>
      <c r="D89" s="29" t="n"/>
      <c r="E89" s="29" t="n"/>
      <c r="F89" s="29" t="n"/>
      <c r="G89" s="29" t="n"/>
      <c r="H89" s="29" t="n"/>
      <c r="I89" s="29" t="n"/>
      <c r="J89" s="29" t="n"/>
      <c r="K89" s="29" t="n"/>
      <c r="L89" s="29" t="n"/>
    </row>
    <row r="90" ht="22" customHeight="1">
      <c r="B90" s="14">
        <f>'設定'!$I$19</f>
        <v/>
      </c>
      <c r="C90" s="29" t="n"/>
      <c r="D90" s="29" t="n"/>
      <c r="E90" s="29" t="n"/>
      <c r="F90" s="29" t="n"/>
      <c r="G90" s="29" t="n"/>
      <c r="H90" s="29" t="n"/>
      <c r="I90" s="29" t="n"/>
      <c r="J90" s="29" t="n"/>
      <c r="K90" s="29" t="n"/>
      <c r="L90" s="29" t="n"/>
    </row>
    <row r="91" ht="22" customHeight="1">
      <c r="B91" s="14">
        <f>'設定'!$I$20</f>
        <v/>
      </c>
      <c r="C91" s="29" t="n"/>
      <c r="D91" s="29" t="n"/>
      <c r="E91" s="29" t="n"/>
      <c r="F91" s="29" t="n"/>
      <c r="G91" s="29" t="n"/>
      <c r="H91" s="29" t="n"/>
      <c r="I91" s="29" t="n"/>
      <c r="J91" s="29" t="n"/>
      <c r="K91" s="29" t="n"/>
      <c r="L91" s="29" t="n"/>
    </row>
    <row r="92" ht="22" customHeight="1">
      <c r="B92" s="14">
        <f>'設定'!$I$21</f>
        <v/>
      </c>
      <c r="C92" s="29" t="n"/>
      <c r="D92" s="29" t="n"/>
      <c r="E92" s="29" t="n"/>
      <c r="F92" s="29" t="n"/>
      <c r="G92" s="29" t="n"/>
      <c r="H92" s="29" t="n"/>
      <c r="I92" s="29" t="n"/>
      <c r="J92" s="29" t="n"/>
      <c r="K92" s="29" t="n"/>
      <c r="L92" s="29" t="n"/>
    </row>
    <row r="93" ht="22" customHeight="1">
      <c r="B93" s="14">
        <f>'設定'!$I$22</f>
        <v/>
      </c>
      <c r="C93" s="29" t="n"/>
      <c r="D93" s="29" t="n"/>
      <c r="E93" s="29" t="n"/>
      <c r="F93" s="29" t="n"/>
      <c r="G93" s="29" t="n"/>
      <c r="H93" s="29" t="n"/>
      <c r="I93" s="29" t="n"/>
      <c r="J93" s="29" t="n"/>
      <c r="K93" s="29" t="n"/>
      <c r="L93" s="29" t="n"/>
    </row>
    <row r="95" ht="26" customHeight="1">
      <c r="B95" s="24">
        <f>IF('名簿'!B11="","（名簿 7行目：なし）",'名簿'!E11)</f>
        <v/>
      </c>
      <c r="E95" s="25" t="inlineStr">
        <is>
          <t>提出状況 ▶</t>
        </is>
      </c>
      <c r="F95" s="17" t="n"/>
      <c r="G95" s="13" t="n"/>
      <c r="H95" s="26" t="inlineStr">
        <is>
          <t>状況：</t>
        </is>
      </c>
      <c r="I95" s="27">
        <f>'名簿'!F11</f>
        <v/>
      </c>
      <c r="J95" s="26" t="inlineStr">
        <is>
          <t>×の数：</t>
        </is>
      </c>
      <c r="K95" s="27">
        <f>'名簿'!G11</f>
        <v/>
      </c>
    </row>
    <row r="96">
      <c r="B96" s="28" t="inlineStr"/>
      <c r="C96" s="14">
        <f>'設定'!$E$11</f>
        <v/>
      </c>
      <c r="D96" s="14">
        <f>'設定'!$E$12</f>
        <v/>
      </c>
      <c r="E96" s="14">
        <f>'設定'!$E$13</f>
        <v/>
      </c>
      <c r="F96" s="14">
        <f>'設定'!$E$14</f>
        <v/>
      </c>
      <c r="G96" s="14">
        <f>'設定'!$E$15</f>
        <v/>
      </c>
      <c r="H96" s="14">
        <f>'設定'!$E$16</f>
        <v/>
      </c>
      <c r="I96" s="14">
        <f>'設定'!$E$17</f>
        <v/>
      </c>
      <c r="J96" s="14">
        <f>'設定'!$E$18</f>
        <v/>
      </c>
      <c r="K96" s="14">
        <f>'設定'!$E$19</f>
        <v/>
      </c>
      <c r="L96" s="14">
        <f>'設定'!$E$20</f>
        <v/>
      </c>
    </row>
    <row r="97" ht="22" customHeight="1">
      <c r="B97" s="14">
        <f>'設定'!$I$11</f>
        <v/>
      </c>
      <c r="C97" s="29" t="n"/>
      <c r="D97" s="29" t="n"/>
      <c r="E97" s="29" t="n"/>
      <c r="F97" s="29" t="n"/>
      <c r="G97" s="29" t="n"/>
      <c r="H97" s="29" t="n"/>
      <c r="I97" s="29" t="n"/>
      <c r="J97" s="29" t="n"/>
      <c r="K97" s="29" t="n"/>
      <c r="L97" s="29" t="n"/>
    </row>
    <row r="98" ht="22" customHeight="1">
      <c r="B98" s="14">
        <f>'設定'!$I$12</f>
        <v/>
      </c>
      <c r="C98" s="29" t="n"/>
      <c r="D98" s="29" t="n"/>
      <c r="E98" s="29" t="n"/>
      <c r="F98" s="29" t="n"/>
      <c r="G98" s="29" t="n"/>
      <c r="H98" s="29" t="n"/>
      <c r="I98" s="29" t="n"/>
      <c r="J98" s="29" t="n"/>
      <c r="K98" s="29" t="n"/>
      <c r="L98" s="29" t="n"/>
    </row>
    <row r="99" ht="22" customHeight="1">
      <c r="B99" s="14">
        <f>'設定'!$I$13</f>
        <v/>
      </c>
      <c r="C99" s="29" t="n"/>
      <c r="D99" s="29" t="n"/>
      <c r="E99" s="29" t="n"/>
      <c r="F99" s="29" t="n"/>
      <c r="G99" s="29" t="n"/>
      <c r="H99" s="29" t="n"/>
      <c r="I99" s="29" t="n"/>
      <c r="J99" s="29" t="n"/>
      <c r="K99" s="29" t="n"/>
      <c r="L99" s="29" t="n"/>
    </row>
    <row r="100" ht="22" customHeight="1">
      <c r="B100" s="14">
        <f>'設定'!$I$14</f>
        <v/>
      </c>
      <c r="C100" s="29" t="n"/>
      <c r="D100" s="29" t="n"/>
      <c r="E100" s="29" t="n"/>
      <c r="F100" s="29" t="n"/>
      <c r="G100" s="29" t="n"/>
      <c r="H100" s="29" t="n"/>
      <c r="I100" s="29" t="n"/>
      <c r="J100" s="29" t="n"/>
      <c r="K100" s="29" t="n"/>
      <c r="L100" s="29" t="n"/>
    </row>
    <row r="101" ht="22" customHeight="1">
      <c r="B101" s="14">
        <f>'設定'!$I$15</f>
        <v/>
      </c>
      <c r="C101" s="29" t="n"/>
      <c r="D101" s="29" t="n"/>
      <c r="E101" s="29" t="n"/>
      <c r="F101" s="29" t="n"/>
      <c r="G101" s="29" t="n"/>
      <c r="H101" s="29" t="n"/>
      <c r="I101" s="29" t="n"/>
      <c r="J101" s="29" t="n"/>
      <c r="K101" s="29" t="n"/>
      <c r="L101" s="29" t="n"/>
    </row>
    <row r="102" ht="22" customHeight="1">
      <c r="B102" s="14">
        <f>'設定'!$I$16</f>
        <v/>
      </c>
      <c r="C102" s="29" t="n"/>
      <c r="D102" s="29" t="n"/>
      <c r="E102" s="29" t="n"/>
      <c r="F102" s="29" t="n"/>
      <c r="G102" s="29" t="n"/>
      <c r="H102" s="29" t="n"/>
      <c r="I102" s="29" t="n"/>
      <c r="J102" s="29" t="n"/>
      <c r="K102" s="29" t="n"/>
      <c r="L102" s="29" t="n"/>
    </row>
    <row r="103" ht="22" customHeight="1">
      <c r="B103" s="14">
        <f>'設定'!$I$17</f>
        <v/>
      </c>
      <c r="C103" s="29" t="n"/>
      <c r="D103" s="29" t="n"/>
      <c r="E103" s="29" t="n"/>
      <c r="F103" s="29" t="n"/>
      <c r="G103" s="29" t="n"/>
      <c r="H103" s="29" t="n"/>
      <c r="I103" s="29" t="n"/>
      <c r="J103" s="29" t="n"/>
      <c r="K103" s="29" t="n"/>
      <c r="L103" s="29" t="n"/>
    </row>
    <row r="104" ht="22" customHeight="1">
      <c r="B104" s="14">
        <f>'設定'!$I$18</f>
        <v/>
      </c>
      <c r="C104" s="29" t="n"/>
      <c r="D104" s="29" t="n"/>
      <c r="E104" s="29" t="n"/>
      <c r="F104" s="29" t="n"/>
      <c r="G104" s="29" t="n"/>
      <c r="H104" s="29" t="n"/>
      <c r="I104" s="29" t="n"/>
      <c r="J104" s="29" t="n"/>
      <c r="K104" s="29" t="n"/>
      <c r="L104" s="29" t="n"/>
    </row>
    <row r="105" ht="22" customHeight="1">
      <c r="B105" s="14">
        <f>'設定'!$I$19</f>
        <v/>
      </c>
      <c r="C105" s="29" t="n"/>
      <c r="D105" s="29" t="n"/>
      <c r="E105" s="29" t="n"/>
      <c r="F105" s="29" t="n"/>
      <c r="G105" s="29" t="n"/>
      <c r="H105" s="29" t="n"/>
      <c r="I105" s="29" t="n"/>
      <c r="J105" s="29" t="n"/>
      <c r="K105" s="29" t="n"/>
      <c r="L105" s="29" t="n"/>
    </row>
    <row r="106" ht="22" customHeight="1">
      <c r="B106" s="14">
        <f>'設定'!$I$20</f>
        <v/>
      </c>
      <c r="C106" s="29" t="n"/>
      <c r="D106" s="29" t="n"/>
      <c r="E106" s="29" t="n"/>
      <c r="F106" s="29" t="n"/>
      <c r="G106" s="29" t="n"/>
      <c r="H106" s="29" t="n"/>
      <c r="I106" s="29" t="n"/>
      <c r="J106" s="29" t="n"/>
      <c r="K106" s="29" t="n"/>
      <c r="L106" s="29" t="n"/>
    </row>
    <row r="107" ht="22" customHeight="1">
      <c r="B107" s="14">
        <f>'設定'!$I$21</f>
        <v/>
      </c>
      <c r="C107" s="29" t="n"/>
      <c r="D107" s="29" t="n"/>
      <c r="E107" s="29" t="n"/>
      <c r="F107" s="29" t="n"/>
      <c r="G107" s="29" t="n"/>
      <c r="H107" s="29" t="n"/>
      <c r="I107" s="29" t="n"/>
      <c r="J107" s="29" t="n"/>
      <c r="K107" s="29" t="n"/>
      <c r="L107" s="29" t="n"/>
    </row>
    <row r="108" ht="22" customHeight="1">
      <c r="B108" s="14">
        <f>'設定'!$I$22</f>
        <v/>
      </c>
      <c r="C108" s="29" t="n"/>
      <c r="D108" s="29" t="n"/>
      <c r="E108" s="29" t="n"/>
      <c r="F108" s="29" t="n"/>
      <c r="G108" s="29" t="n"/>
      <c r="H108" s="29" t="n"/>
      <c r="I108" s="29" t="n"/>
      <c r="J108" s="29" t="n"/>
      <c r="K108" s="29" t="n"/>
      <c r="L108" s="29" t="n"/>
    </row>
    <row r="110" ht="26" customHeight="1">
      <c r="B110" s="24">
        <f>IF('名簿'!B12="","（名簿 8行目：なし）",'名簿'!E12)</f>
        <v/>
      </c>
      <c r="E110" s="25" t="inlineStr">
        <is>
          <t>提出状況 ▶</t>
        </is>
      </c>
      <c r="F110" s="17" t="n"/>
      <c r="G110" s="13" t="n"/>
      <c r="H110" s="26" t="inlineStr">
        <is>
          <t>状況：</t>
        </is>
      </c>
      <c r="I110" s="27">
        <f>'名簿'!F12</f>
        <v/>
      </c>
      <c r="J110" s="26" t="inlineStr">
        <is>
          <t>×の数：</t>
        </is>
      </c>
      <c r="K110" s="27">
        <f>'名簿'!G12</f>
        <v/>
      </c>
    </row>
    <row r="111">
      <c r="B111" s="28" t="inlineStr"/>
      <c r="C111" s="14">
        <f>'設定'!$E$11</f>
        <v/>
      </c>
      <c r="D111" s="14">
        <f>'設定'!$E$12</f>
        <v/>
      </c>
      <c r="E111" s="14">
        <f>'設定'!$E$13</f>
        <v/>
      </c>
      <c r="F111" s="14">
        <f>'設定'!$E$14</f>
        <v/>
      </c>
      <c r="G111" s="14">
        <f>'設定'!$E$15</f>
        <v/>
      </c>
      <c r="H111" s="14">
        <f>'設定'!$E$16</f>
        <v/>
      </c>
      <c r="I111" s="14">
        <f>'設定'!$E$17</f>
        <v/>
      </c>
      <c r="J111" s="14">
        <f>'設定'!$E$18</f>
        <v/>
      </c>
      <c r="K111" s="14">
        <f>'設定'!$E$19</f>
        <v/>
      </c>
      <c r="L111" s="14">
        <f>'設定'!$E$20</f>
        <v/>
      </c>
    </row>
    <row r="112" ht="22" customHeight="1">
      <c r="B112" s="14">
        <f>'設定'!$I$11</f>
        <v/>
      </c>
      <c r="C112" s="29" t="n"/>
      <c r="D112" s="29" t="n"/>
      <c r="E112" s="29" t="n"/>
      <c r="F112" s="29" t="n"/>
      <c r="G112" s="29" t="n"/>
      <c r="H112" s="29" t="n"/>
      <c r="I112" s="29" t="n"/>
      <c r="J112" s="29" t="n"/>
      <c r="K112" s="29" t="n"/>
      <c r="L112" s="29" t="n"/>
    </row>
    <row r="113" ht="22" customHeight="1">
      <c r="B113" s="14">
        <f>'設定'!$I$12</f>
        <v/>
      </c>
      <c r="C113" s="29" t="n"/>
      <c r="D113" s="29" t="n"/>
      <c r="E113" s="29" t="n"/>
      <c r="F113" s="29" t="n"/>
      <c r="G113" s="29" t="n"/>
      <c r="H113" s="29" t="n"/>
      <c r="I113" s="29" t="n"/>
      <c r="J113" s="29" t="n"/>
      <c r="K113" s="29" t="n"/>
      <c r="L113" s="29" t="n"/>
    </row>
    <row r="114" ht="22" customHeight="1">
      <c r="B114" s="14">
        <f>'設定'!$I$13</f>
        <v/>
      </c>
      <c r="C114" s="29" t="n"/>
      <c r="D114" s="29" t="n"/>
      <c r="E114" s="29" t="n"/>
      <c r="F114" s="29" t="n"/>
      <c r="G114" s="29" t="n"/>
      <c r="H114" s="29" t="n"/>
      <c r="I114" s="29" t="n"/>
      <c r="J114" s="29" t="n"/>
      <c r="K114" s="29" t="n"/>
      <c r="L114" s="29" t="n"/>
    </row>
    <row r="115" ht="22" customHeight="1">
      <c r="B115" s="14">
        <f>'設定'!$I$14</f>
        <v/>
      </c>
      <c r="C115" s="29" t="n"/>
      <c r="D115" s="29" t="n"/>
      <c r="E115" s="29" t="n"/>
      <c r="F115" s="29" t="n"/>
      <c r="G115" s="29" t="n"/>
      <c r="H115" s="29" t="n"/>
      <c r="I115" s="29" t="n"/>
      <c r="J115" s="29" t="n"/>
      <c r="K115" s="29" t="n"/>
      <c r="L115" s="29" t="n"/>
    </row>
    <row r="116" ht="22" customHeight="1">
      <c r="B116" s="14">
        <f>'設定'!$I$15</f>
        <v/>
      </c>
      <c r="C116" s="29" t="n"/>
      <c r="D116" s="29" t="n"/>
      <c r="E116" s="29" t="n"/>
      <c r="F116" s="29" t="n"/>
      <c r="G116" s="29" t="n"/>
      <c r="H116" s="29" t="n"/>
      <c r="I116" s="29" t="n"/>
      <c r="J116" s="29" t="n"/>
      <c r="K116" s="29" t="n"/>
      <c r="L116" s="29" t="n"/>
    </row>
    <row r="117" ht="22" customHeight="1">
      <c r="B117" s="14">
        <f>'設定'!$I$16</f>
        <v/>
      </c>
      <c r="C117" s="29" t="n"/>
      <c r="D117" s="29" t="n"/>
      <c r="E117" s="29" t="n"/>
      <c r="F117" s="29" t="n"/>
      <c r="G117" s="29" t="n"/>
      <c r="H117" s="29" t="n"/>
      <c r="I117" s="29" t="n"/>
      <c r="J117" s="29" t="n"/>
      <c r="K117" s="29" t="n"/>
      <c r="L117" s="29" t="n"/>
    </row>
    <row r="118" ht="22" customHeight="1">
      <c r="B118" s="14">
        <f>'設定'!$I$17</f>
        <v/>
      </c>
      <c r="C118" s="29" t="n"/>
      <c r="D118" s="29" t="n"/>
      <c r="E118" s="29" t="n"/>
      <c r="F118" s="29" t="n"/>
      <c r="G118" s="29" t="n"/>
      <c r="H118" s="29" t="n"/>
      <c r="I118" s="29" t="n"/>
      <c r="J118" s="29" t="n"/>
      <c r="K118" s="29" t="n"/>
      <c r="L118" s="29" t="n"/>
    </row>
    <row r="119" ht="22" customHeight="1">
      <c r="B119" s="14">
        <f>'設定'!$I$18</f>
        <v/>
      </c>
      <c r="C119" s="29" t="n"/>
      <c r="D119" s="29" t="n"/>
      <c r="E119" s="29" t="n"/>
      <c r="F119" s="29" t="n"/>
      <c r="G119" s="29" t="n"/>
      <c r="H119" s="29" t="n"/>
      <c r="I119" s="29" t="n"/>
      <c r="J119" s="29" t="n"/>
      <c r="K119" s="29" t="n"/>
      <c r="L119" s="29" t="n"/>
    </row>
    <row r="120" ht="22" customHeight="1">
      <c r="B120" s="14">
        <f>'設定'!$I$19</f>
        <v/>
      </c>
      <c r="C120" s="29" t="n"/>
      <c r="D120" s="29" t="n"/>
      <c r="E120" s="29" t="n"/>
      <c r="F120" s="29" t="n"/>
      <c r="G120" s="29" t="n"/>
      <c r="H120" s="29" t="n"/>
      <c r="I120" s="29" t="n"/>
      <c r="J120" s="29" t="n"/>
      <c r="K120" s="29" t="n"/>
      <c r="L120" s="29" t="n"/>
    </row>
    <row r="121" ht="22" customHeight="1">
      <c r="B121" s="14">
        <f>'設定'!$I$20</f>
        <v/>
      </c>
      <c r="C121" s="29" t="n"/>
      <c r="D121" s="29" t="n"/>
      <c r="E121" s="29" t="n"/>
      <c r="F121" s="29" t="n"/>
      <c r="G121" s="29" t="n"/>
      <c r="H121" s="29" t="n"/>
      <c r="I121" s="29" t="n"/>
      <c r="J121" s="29" t="n"/>
      <c r="K121" s="29" t="n"/>
      <c r="L121" s="29" t="n"/>
    </row>
    <row r="122" ht="22" customHeight="1">
      <c r="B122" s="14">
        <f>'設定'!$I$21</f>
        <v/>
      </c>
      <c r="C122" s="29" t="n"/>
      <c r="D122" s="29" t="n"/>
      <c r="E122" s="29" t="n"/>
      <c r="F122" s="29" t="n"/>
      <c r="G122" s="29" t="n"/>
      <c r="H122" s="29" t="n"/>
      <c r="I122" s="29" t="n"/>
      <c r="J122" s="29" t="n"/>
      <c r="K122" s="29" t="n"/>
      <c r="L122" s="29" t="n"/>
    </row>
    <row r="123" ht="22" customHeight="1">
      <c r="B123" s="14">
        <f>'設定'!$I$22</f>
        <v/>
      </c>
      <c r="C123" s="29" t="n"/>
      <c r="D123" s="29" t="n"/>
      <c r="E123" s="29" t="n"/>
      <c r="F123" s="29" t="n"/>
      <c r="G123" s="29" t="n"/>
      <c r="H123" s="29" t="n"/>
      <c r="I123" s="29" t="n"/>
      <c r="J123" s="29" t="n"/>
      <c r="K123" s="29" t="n"/>
      <c r="L123" s="29" t="n"/>
    </row>
    <row r="125" ht="26" customHeight="1">
      <c r="B125" s="24">
        <f>IF('名簿'!B13="","（名簿 9行目：なし）",'名簿'!E13)</f>
        <v/>
      </c>
      <c r="E125" s="25" t="inlineStr">
        <is>
          <t>提出状況 ▶</t>
        </is>
      </c>
      <c r="F125" s="17" t="n"/>
      <c r="G125" s="13" t="n"/>
      <c r="H125" s="26" t="inlineStr">
        <is>
          <t>状況：</t>
        </is>
      </c>
      <c r="I125" s="27">
        <f>'名簿'!F13</f>
        <v/>
      </c>
      <c r="J125" s="26" t="inlineStr">
        <is>
          <t>×の数：</t>
        </is>
      </c>
      <c r="K125" s="27">
        <f>'名簿'!G13</f>
        <v/>
      </c>
    </row>
    <row r="126">
      <c r="B126" s="28" t="inlineStr"/>
      <c r="C126" s="14">
        <f>'設定'!$E$11</f>
        <v/>
      </c>
      <c r="D126" s="14">
        <f>'設定'!$E$12</f>
        <v/>
      </c>
      <c r="E126" s="14">
        <f>'設定'!$E$13</f>
        <v/>
      </c>
      <c r="F126" s="14">
        <f>'設定'!$E$14</f>
        <v/>
      </c>
      <c r="G126" s="14">
        <f>'設定'!$E$15</f>
        <v/>
      </c>
      <c r="H126" s="14">
        <f>'設定'!$E$16</f>
        <v/>
      </c>
      <c r="I126" s="14">
        <f>'設定'!$E$17</f>
        <v/>
      </c>
      <c r="J126" s="14">
        <f>'設定'!$E$18</f>
        <v/>
      </c>
      <c r="K126" s="14">
        <f>'設定'!$E$19</f>
        <v/>
      </c>
      <c r="L126" s="14">
        <f>'設定'!$E$20</f>
        <v/>
      </c>
    </row>
    <row r="127" ht="22" customHeight="1">
      <c r="B127" s="14">
        <f>'設定'!$I$11</f>
        <v/>
      </c>
      <c r="C127" s="29" t="n"/>
      <c r="D127" s="29" t="n"/>
      <c r="E127" s="29" t="n"/>
      <c r="F127" s="29" t="n"/>
      <c r="G127" s="29" t="n"/>
      <c r="H127" s="29" t="n"/>
      <c r="I127" s="29" t="n"/>
      <c r="J127" s="29" t="n"/>
      <c r="K127" s="29" t="n"/>
      <c r="L127" s="29" t="n"/>
    </row>
    <row r="128" ht="22" customHeight="1">
      <c r="B128" s="14">
        <f>'設定'!$I$12</f>
        <v/>
      </c>
      <c r="C128" s="29" t="n"/>
      <c r="D128" s="29" t="n"/>
      <c r="E128" s="29" t="n"/>
      <c r="F128" s="29" t="n"/>
      <c r="G128" s="29" t="n"/>
      <c r="H128" s="29" t="n"/>
      <c r="I128" s="29" t="n"/>
      <c r="J128" s="29" t="n"/>
      <c r="K128" s="29" t="n"/>
      <c r="L128" s="29" t="n"/>
    </row>
    <row r="129" ht="22" customHeight="1">
      <c r="B129" s="14">
        <f>'設定'!$I$13</f>
        <v/>
      </c>
      <c r="C129" s="29" t="n"/>
      <c r="D129" s="29" t="n"/>
      <c r="E129" s="29" t="n"/>
      <c r="F129" s="29" t="n"/>
      <c r="G129" s="29" t="n"/>
      <c r="H129" s="29" t="n"/>
      <c r="I129" s="29" t="n"/>
      <c r="J129" s="29" t="n"/>
      <c r="K129" s="29" t="n"/>
      <c r="L129" s="29" t="n"/>
    </row>
    <row r="130" ht="22" customHeight="1">
      <c r="B130" s="14">
        <f>'設定'!$I$14</f>
        <v/>
      </c>
      <c r="C130" s="29" t="n"/>
      <c r="D130" s="29" t="n"/>
      <c r="E130" s="29" t="n"/>
      <c r="F130" s="29" t="n"/>
      <c r="G130" s="29" t="n"/>
      <c r="H130" s="29" t="n"/>
      <c r="I130" s="29" t="n"/>
      <c r="J130" s="29" t="n"/>
      <c r="K130" s="29" t="n"/>
      <c r="L130" s="29" t="n"/>
    </row>
    <row r="131" ht="22" customHeight="1">
      <c r="B131" s="14">
        <f>'設定'!$I$15</f>
        <v/>
      </c>
      <c r="C131" s="29" t="n"/>
      <c r="D131" s="29" t="n"/>
      <c r="E131" s="29" t="n"/>
      <c r="F131" s="29" t="n"/>
      <c r="G131" s="29" t="n"/>
      <c r="H131" s="29" t="n"/>
      <c r="I131" s="29" t="n"/>
      <c r="J131" s="29" t="n"/>
      <c r="K131" s="29" t="n"/>
      <c r="L131" s="29" t="n"/>
    </row>
    <row r="132" ht="22" customHeight="1">
      <c r="B132" s="14">
        <f>'設定'!$I$16</f>
        <v/>
      </c>
      <c r="C132" s="29" t="n"/>
      <c r="D132" s="29" t="n"/>
      <c r="E132" s="29" t="n"/>
      <c r="F132" s="29" t="n"/>
      <c r="G132" s="29" t="n"/>
      <c r="H132" s="29" t="n"/>
      <c r="I132" s="29" t="n"/>
      <c r="J132" s="29" t="n"/>
      <c r="K132" s="29" t="n"/>
      <c r="L132" s="29" t="n"/>
    </row>
    <row r="133" ht="22" customHeight="1">
      <c r="B133" s="14">
        <f>'設定'!$I$17</f>
        <v/>
      </c>
      <c r="C133" s="29" t="n"/>
      <c r="D133" s="29" t="n"/>
      <c r="E133" s="29" t="n"/>
      <c r="F133" s="29" t="n"/>
      <c r="G133" s="29" t="n"/>
      <c r="H133" s="29" t="n"/>
      <c r="I133" s="29" t="n"/>
      <c r="J133" s="29" t="n"/>
      <c r="K133" s="29" t="n"/>
      <c r="L133" s="29" t="n"/>
    </row>
    <row r="134" ht="22" customHeight="1">
      <c r="B134" s="14">
        <f>'設定'!$I$18</f>
        <v/>
      </c>
      <c r="C134" s="29" t="n"/>
      <c r="D134" s="29" t="n"/>
      <c r="E134" s="29" t="n"/>
      <c r="F134" s="29" t="n"/>
      <c r="G134" s="29" t="n"/>
      <c r="H134" s="29" t="n"/>
      <c r="I134" s="29" t="n"/>
      <c r="J134" s="29" t="n"/>
      <c r="K134" s="29" t="n"/>
      <c r="L134" s="29" t="n"/>
    </row>
    <row r="135" ht="22" customHeight="1">
      <c r="B135" s="14">
        <f>'設定'!$I$19</f>
        <v/>
      </c>
      <c r="C135" s="29" t="n"/>
      <c r="D135" s="29" t="n"/>
      <c r="E135" s="29" t="n"/>
      <c r="F135" s="29" t="n"/>
      <c r="G135" s="29" t="n"/>
      <c r="H135" s="29" t="n"/>
      <c r="I135" s="29" t="n"/>
      <c r="J135" s="29" t="n"/>
      <c r="K135" s="29" t="n"/>
      <c r="L135" s="29" t="n"/>
    </row>
    <row r="136" ht="22" customHeight="1">
      <c r="B136" s="14">
        <f>'設定'!$I$20</f>
        <v/>
      </c>
      <c r="C136" s="29" t="n"/>
      <c r="D136" s="29" t="n"/>
      <c r="E136" s="29" t="n"/>
      <c r="F136" s="29" t="n"/>
      <c r="G136" s="29" t="n"/>
      <c r="H136" s="29" t="n"/>
      <c r="I136" s="29" t="n"/>
      <c r="J136" s="29" t="n"/>
      <c r="K136" s="29" t="n"/>
      <c r="L136" s="29" t="n"/>
    </row>
    <row r="137" ht="22" customHeight="1">
      <c r="B137" s="14">
        <f>'設定'!$I$21</f>
        <v/>
      </c>
      <c r="C137" s="29" t="n"/>
      <c r="D137" s="29" t="n"/>
      <c r="E137" s="29" t="n"/>
      <c r="F137" s="29" t="n"/>
      <c r="G137" s="29" t="n"/>
      <c r="H137" s="29" t="n"/>
      <c r="I137" s="29" t="n"/>
      <c r="J137" s="29" t="n"/>
      <c r="K137" s="29" t="n"/>
      <c r="L137" s="29" t="n"/>
    </row>
    <row r="138" ht="22" customHeight="1">
      <c r="B138" s="14">
        <f>'設定'!$I$22</f>
        <v/>
      </c>
      <c r="C138" s="29" t="n"/>
      <c r="D138" s="29" t="n"/>
      <c r="E138" s="29" t="n"/>
      <c r="F138" s="29" t="n"/>
      <c r="G138" s="29" t="n"/>
      <c r="H138" s="29" t="n"/>
      <c r="I138" s="29" t="n"/>
      <c r="J138" s="29" t="n"/>
      <c r="K138" s="29" t="n"/>
      <c r="L138" s="29" t="n"/>
    </row>
    <row r="140" ht="26" customHeight="1">
      <c r="B140" s="24">
        <f>IF('名簿'!B14="","（名簿 10行目：なし）",'名簿'!E14)</f>
        <v/>
      </c>
      <c r="E140" s="25" t="inlineStr">
        <is>
          <t>提出状況 ▶</t>
        </is>
      </c>
      <c r="F140" s="17" t="n"/>
      <c r="G140" s="13" t="n"/>
      <c r="H140" s="26" t="inlineStr">
        <is>
          <t>状況：</t>
        </is>
      </c>
      <c r="I140" s="27">
        <f>'名簿'!F14</f>
        <v/>
      </c>
      <c r="J140" s="26" t="inlineStr">
        <is>
          <t>×の数：</t>
        </is>
      </c>
      <c r="K140" s="27">
        <f>'名簿'!G14</f>
        <v/>
      </c>
    </row>
    <row r="141">
      <c r="B141" s="28" t="inlineStr"/>
      <c r="C141" s="14">
        <f>'設定'!$E$11</f>
        <v/>
      </c>
      <c r="D141" s="14">
        <f>'設定'!$E$12</f>
        <v/>
      </c>
      <c r="E141" s="14">
        <f>'設定'!$E$13</f>
        <v/>
      </c>
      <c r="F141" s="14">
        <f>'設定'!$E$14</f>
        <v/>
      </c>
      <c r="G141" s="14">
        <f>'設定'!$E$15</f>
        <v/>
      </c>
      <c r="H141" s="14">
        <f>'設定'!$E$16</f>
        <v/>
      </c>
      <c r="I141" s="14">
        <f>'設定'!$E$17</f>
        <v/>
      </c>
      <c r="J141" s="14">
        <f>'設定'!$E$18</f>
        <v/>
      </c>
      <c r="K141" s="14">
        <f>'設定'!$E$19</f>
        <v/>
      </c>
      <c r="L141" s="14">
        <f>'設定'!$E$20</f>
        <v/>
      </c>
    </row>
    <row r="142" ht="22" customHeight="1">
      <c r="B142" s="14">
        <f>'設定'!$I$11</f>
        <v/>
      </c>
      <c r="C142" s="29" t="n"/>
      <c r="D142" s="29" t="n"/>
      <c r="E142" s="29" t="n"/>
      <c r="F142" s="29" t="n"/>
      <c r="G142" s="29" t="n"/>
      <c r="H142" s="29" t="n"/>
      <c r="I142" s="29" t="n"/>
      <c r="J142" s="29" t="n"/>
      <c r="K142" s="29" t="n"/>
      <c r="L142" s="29" t="n"/>
    </row>
    <row r="143" ht="22" customHeight="1">
      <c r="B143" s="14">
        <f>'設定'!$I$12</f>
        <v/>
      </c>
      <c r="C143" s="29" t="n"/>
      <c r="D143" s="29" t="n"/>
      <c r="E143" s="29" t="n"/>
      <c r="F143" s="29" t="n"/>
      <c r="G143" s="29" t="n"/>
      <c r="H143" s="29" t="n"/>
      <c r="I143" s="29" t="n"/>
      <c r="J143" s="29" t="n"/>
      <c r="K143" s="29" t="n"/>
      <c r="L143" s="29" t="n"/>
    </row>
    <row r="144" ht="22" customHeight="1">
      <c r="B144" s="14">
        <f>'設定'!$I$13</f>
        <v/>
      </c>
      <c r="C144" s="29" t="n"/>
      <c r="D144" s="29" t="n"/>
      <c r="E144" s="29" t="n"/>
      <c r="F144" s="29" t="n"/>
      <c r="G144" s="29" t="n"/>
      <c r="H144" s="29" t="n"/>
      <c r="I144" s="29" t="n"/>
      <c r="J144" s="29" t="n"/>
      <c r="K144" s="29" t="n"/>
      <c r="L144" s="29" t="n"/>
    </row>
    <row r="145" ht="22" customHeight="1">
      <c r="B145" s="14">
        <f>'設定'!$I$14</f>
        <v/>
      </c>
      <c r="C145" s="29" t="n"/>
      <c r="D145" s="29" t="n"/>
      <c r="E145" s="29" t="n"/>
      <c r="F145" s="29" t="n"/>
      <c r="G145" s="29" t="n"/>
      <c r="H145" s="29" t="n"/>
      <c r="I145" s="29" t="n"/>
      <c r="J145" s="29" t="n"/>
      <c r="K145" s="29" t="n"/>
      <c r="L145" s="29" t="n"/>
    </row>
    <row r="146" ht="22" customHeight="1">
      <c r="B146" s="14">
        <f>'設定'!$I$15</f>
        <v/>
      </c>
      <c r="C146" s="29" t="n"/>
      <c r="D146" s="29" t="n"/>
      <c r="E146" s="29" t="n"/>
      <c r="F146" s="29" t="n"/>
      <c r="G146" s="29" t="n"/>
      <c r="H146" s="29" t="n"/>
      <c r="I146" s="29" t="n"/>
      <c r="J146" s="29" t="n"/>
      <c r="K146" s="29" t="n"/>
      <c r="L146" s="29" t="n"/>
    </row>
    <row r="147" ht="22" customHeight="1">
      <c r="B147" s="14">
        <f>'設定'!$I$16</f>
        <v/>
      </c>
      <c r="C147" s="29" t="n"/>
      <c r="D147" s="29" t="n"/>
      <c r="E147" s="29" t="n"/>
      <c r="F147" s="29" t="n"/>
      <c r="G147" s="29" t="n"/>
      <c r="H147" s="29" t="n"/>
      <c r="I147" s="29" t="n"/>
      <c r="J147" s="29" t="n"/>
      <c r="K147" s="29" t="n"/>
      <c r="L147" s="29" t="n"/>
    </row>
    <row r="148" ht="22" customHeight="1">
      <c r="B148" s="14">
        <f>'設定'!$I$17</f>
        <v/>
      </c>
      <c r="C148" s="29" t="n"/>
      <c r="D148" s="29" t="n"/>
      <c r="E148" s="29" t="n"/>
      <c r="F148" s="29" t="n"/>
      <c r="G148" s="29" t="n"/>
      <c r="H148" s="29" t="n"/>
      <c r="I148" s="29" t="n"/>
      <c r="J148" s="29" t="n"/>
      <c r="K148" s="29" t="n"/>
      <c r="L148" s="29" t="n"/>
    </row>
    <row r="149" ht="22" customHeight="1">
      <c r="B149" s="14">
        <f>'設定'!$I$18</f>
        <v/>
      </c>
      <c r="C149" s="29" t="n"/>
      <c r="D149" s="29" t="n"/>
      <c r="E149" s="29" t="n"/>
      <c r="F149" s="29" t="n"/>
      <c r="G149" s="29" t="n"/>
      <c r="H149" s="29" t="n"/>
      <c r="I149" s="29" t="n"/>
      <c r="J149" s="29" t="n"/>
      <c r="K149" s="29" t="n"/>
      <c r="L149" s="29" t="n"/>
    </row>
    <row r="150" ht="22" customHeight="1">
      <c r="B150" s="14">
        <f>'設定'!$I$19</f>
        <v/>
      </c>
      <c r="C150" s="29" t="n"/>
      <c r="D150" s="29" t="n"/>
      <c r="E150" s="29" t="n"/>
      <c r="F150" s="29" t="n"/>
      <c r="G150" s="29" t="n"/>
      <c r="H150" s="29" t="n"/>
      <c r="I150" s="29" t="n"/>
      <c r="J150" s="29" t="n"/>
      <c r="K150" s="29" t="n"/>
      <c r="L150" s="29" t="n"/>
    </row>
    <row r="151" ht="22" customHeight="1">
      <c r="B151" s="14">
        <f>'設定'!$I$20</f>
        <v/>
      </c>
      <c r="C151" s="29" t="n"/>
      <c r="D151" s="29" t="n"/>
      <c r="E151" s="29" t="n"/>
      <c r="F151" s="29" t="n"/>
      <c r="G151" s="29" t="n"/>
      <c r="H151" s="29" t="n"/>
      <c r="I151" s="29" t="n"/>
      <c r="J151" s="29" t="n"/>
      <c r="K151" s="29" t="n"/>
      <c r="L151" s="29" t="n"/>
    </row>
    <row r="152" ht="22" customHeight="1">
      <c r="B152" s="14">
        <f>'設定'!$I$21</f>
        <v/>
      </c>
      <c r="C152" s="29" t="n"/>
      <c r="D152" s="29" t="n"/>
      <c r="E152" s="29" t="n"/>
      <c r="F152" s="29" t="n"/>
      <c r="G152" s="29" t="n"/>
      <c r="H152" s="29" t="n"/>
      <c r="I152" s="29" t="n"/>
      <c r="J152" s="29" t="n"/>
      <c r="K152" s="29" t="n"/>
      <c r="L152" s="29" t="n"/>
    </row>
    <row r="153" ht="22" customHeight="1">
      <c r="B153" s="14">
        <f>'設定'!$I$22</f>
        <v/>
      </c>
      <c r="C153" s="29" t="n"/>
      <c r="D153" s="29" t="n"/>
      <c r="E153" s="29" t="n"/>
      <c r="F153" s="29" t="n"/>
      <c r="G153" s="29" t="n"/>
      <c r="H153" s="29" t="n"/>
      <c r="I153" s="29" t="n"/>
      <c r="J153" s="29" t="n"/>
      <c r="K153" s="29" t="n"/>
      <c r="L153" s="29" t="n"/>
    </row>
    <row r="155" ht="26" customHeight="1">
      <c r="B155" s="24">
        <f>IF('名簿'!B15="","（名簿 11行目：なし）",'名簿'!E15)</f>
        <v/>
      </c>
      <c r="E155" s="25" t="inlineStr">
        <is>
          <t>提出状況 ▶</t>
        </is>
      </c>
      <c r="F155" s="17" t="n"/>
      <c r="G155" s="13" t="n"/>
      <c r="H155" s="26" t="inlineStr">
        <is>
          <t>状況：</t>
        </is>
      </c>
      <c r="I155" s="27">
        <f>'名簿'!F15</f>
        <v/>
      </c>
      <c r="J155" s="26" t="inlineStr">
        <is>
          <t>×の数：</t>
        </is>
      </c>
      <c r="K155" s="27">
        <f>'名簿'!G15</f>
        <v/>
      </c>
    </row>
    <row r="156">
      <c r="B156" s="28" t="inlineStr"/>
      <c r="C156" s="14">
        <f>'設定'!$E$11</f>
        <v/>
      </c>
      <c r="D156" s="14">
        <f>'設定'!$E$12</f>
        <v/>
      </c>
      <c r="E156" s="14">
        <f>'設定'!$E$13</f>
        <v/>
      </c>
      <c r="F156" s="14">
        <f>'設定'!$E$14</f>
        <v/>
      </c>
      <c r="G156" s="14">
        <f>'設定'!$E$15</f>
        <v/>
      </c>
      <c r="H156" s="14">
        <f>'設定'!$E$16</f>
        <v/>
      </c>
      <c r="I156" s="14">
        <f>'設定'!$E$17</f>
        <v/>
      </c>
      <c r="J156" s="14">
        <f>'設定'!$E$18</f>
        <v/>
      </c>
      <c r="K156" s="14">
        <f>'設定'!$E$19</f>
        <v/>
      </c>
      <c r="L156" s="14">
        <f>'設定'!$E$20</f>
        <v/>
      </c>
    </row>
    <row r="157" ht="22" customHeight="1">
      <c r="B157" s="14">
        <f>'設定'!$I$11</f>
        <v/>
      </c>
      <c r="C157" s="29" t="n"/>
      <c r="D157" s="29" t="n"/>
      <c r="E157" s="29" t="n"/>
      <c r="F157" s="29" t="n"/>
      <c r="G157" s="29" t="n"/>
      <c r="H157" s="29" t="n"/>
      <c r="I157" s="29" t="n"/>
      <c r="J157" s="29" t="n"/>
      <c r="K157" s="29" t="n"/>
      <c r="L157" s="29" t="n"/>
    </row>
    <row r="158" ht="22" customHeight="1">
      <c r="B158" s="14">
        <f>'設定'!$I$12</f>
        <v/>
      </c>
      <c r="C158" s="29" t="n"/>
      <c r="D158" s="29" t="n"/>
      <c r="E158" s="29" t="n"/>
      <c r="F158" s="29" t="n"/>
      <c r="G158" s="29" t="n"/>
      <c r="H158" s="29" t="n"/>
      <c r="I158" s="29" t="n"/>
      <c r="J158" s="29" t="n"/>
      <c r="K158" s="29" t="n"/>
      <c r="L158" s="29" t="n"/>
    </row>
    <row r="159" ht="22" customHeight="1">
      <c r="B159" s="14">
        <f>'設定'!$I$13</f>
        <v/>
      </c>
      <c r="C159" s="29" t="n"/>
      <c r="D159" s="29" t="n"/>
      <c r="E159" s="29" t="n"/>
      <c r="F159" s="29" t="n"/>
      <c r="G159" s="29" t="n"/>
      <c r="H159" s="29" t="n"/>
      <c r="I159" s="29" t="n"/>
      <c r="J159" s="29" t="n"/>
      <c r="K159" s="29" t="n"/>
      <c r="L159" s="29" t="n"/>
    </row>
    <row r="160" ht="22" customHeight="1">
      <c r="B160" s="14">
        <f>'設定'!$I$14</f>
        <v/>
      </c>
      <c r="C160" s="29" t="n"/>
      <c r="D160" s="29" t="n"/>
      <c r="E160" s="29" t="n"/>
      <c r="F160" s="29" t="n"/>
      <c r="G160" s="29" t="n"/>
      <c r="H160" s="29" t="n"/>
      <c r="I160" s="29" t="n"/>
      <c r="J160" s="29" t="n"/>
      <c r="K160" s="29" t="n"/>
      <c r="L160" s="29" t="n"/>
    </row>
    <row r="161" ht="22" customHeight="1">
      <c r="B161" s="14">
        <f>'設定'!$I$15</f>
        <v/>
      </c>
      <c r="C161" s="29" t="n"/>
      <c r="D161" s="29" t="n"/>
      <c r="E161" s="29" t="n"/>
      <c r="F161" s="29" t="n"/>
      <c r="G161" s="29" t="n"/>
      <c r="H161" s="29" t="n"/>
      <c r="I161" s="29" t="n"/>
      <c r="J161" s="29" t="n"/>
      <c r="K161" s="29" t="n"/>
      <c r="L161" s="29" t="n"/>
    </row>
    <row r="162" ht="22" customHeight="1">
      <c r="B162" s="14">
        <f>'設定'!$I$16</f>
        <v/>
      </c>
      <c r="C162" s="29" t="n"/>
      <c r="D162" s="29" t="n"/>
      <c r="E162" s="29" t="n"/>
      <c r="F162" s="29" t="n"/>
      <c r="G162" s="29" t="n"/>
      <c r="H162" s="29" t="n"/>
      <c r="I162" s="29" t="n"/>
      <c r="J162" s="29" t="n"/>
      <c r="K162" s="29" t="n"/>
      <c r="L162" s="29" t="n"/>
    </row>
    <row r="163" ht="22" customHeight="1">
      <c r="B163" s="14">
        <f>'設定'!$I$17</f>
        <v/>
      </c>
      <c r="C163" s="29" t="n"/>
      <c r="D163" s="29" t="n"/>
      <c r="E163" s="29" t="n"/>
      <c r="F163" s="29" t="n"/>
      <c r="G163" s="29" t="n"/>
      <c r="H163" s="29" t="n"/>
      <c r="I163" s="29" t="n"/>
      <c r="J163" s="29" t="n"/>
      <c r="K163" s="29" t="n"/>
      <c r="L163" s="29" t="n"/>
    </row>
    <row r="164" ht="22" customHeight="1">
      <c r="B164" s="14">
        <f>'設定'!$I$18</f>
        <v/>
      </c>
      <c r="C164" s="29" t="n"/>
      <c r="D164" s="29" t="n"/>
      <c r="E164" s="29" t="n"/>
      <c r="F164" s="29" t="n"/>
      <c r="G164" s="29" t="n"/>
      <c r="H164" s="29" t="n"/>
      <c r="I164" s="29" t="n"/>
      <c r="J164" s="29" t="n"/>
      <c r="K164" s="29" t="n"/>
      <c r="L164" s="29" t="n"/>
    </row>
    <row r="165" ht="22" customHeight="1">
      <c r="B165" s="14">
        <f>'設定'!$I$19</f>
        <v/>
      </c>
      <c r="C165" s="29" t="n"/>
      <c r="D165" s="29" t="n"/>
      <c r="E165" s="29" t="n"/>
      <c r="F165" s="29" t="n"/>
      <c r="G165" s="29" t="n"/>
      <c r="H165" s="29" t="n"/>
      <c r="I165" s="29" t="n"/>
      <c r="J165" s="29" t="n"/>
      <c r="K165" s="29" t="n"/>
      <c r="L165" s="29" t="n"/>
    </row>
    <row r="166" ht="22" customHeight="1">
      <c r="B166" s="14">
        <f>'設定'!$I$20</f>
        <v/>
      </c>
      <c r="C166" s="29" t="n"/>
      <c r="D166" s="29" t="n"/>
      <c r="E166" s="29" t="n"/>
      <c r="F166" s="29" t="n"/>
      <c r="G166" s="29" t="n"/>
      <c r="H166" s="29" t="n"/>
      <c r="I166" s="29" t="n"/>
      <c r="J166" s="29" t="n"/>
      <c r="K166" s="29" t="n"/>
      <c r="L166" s="29" t="n"/>
    </row>
    <row r="167" ht="22" customHeight="1">
      <c r="B167" s="14">
        <f>'設定'!$I$21</f>
        <v/>
      </c>
      <c r="C167" s="29" t="n"/>
      <c r="D167" s="29" t="n"/>
      <c r="E167" s="29" t="n"/>
      <c r="F167" s="29" t="n"/>
      <c r="G167" s="29" t="n"/>
      <c r="H167" s="29" t="n"/>
      <c r="I167" s="29" t="n"/>
      <c r="J167" s="29" t="n"/>
      <c r="K167" s="29" t="n"/>
      <c r="L167" s="29" t="n"/>
    </row>
    <row r="168" ht="22" customHeight="1">
      <c r="B168" s="14">
        <f>'設定'!$I$22</f>
        <v/>
      </c>
      <c r="C168" s="29" t="n"/>
      <c r="D168" s="29" t="n"/>
      <c r="E168" s="29" t="n"/>
      <c r="F168" s="29" t="n"/>
      <c r="G168" s="29" t="n"/>
      <c r="H168" s="29" t="n"/>
      <c r="I168" s="29" t="n"/>
      <c r="J168" s="29" t="n"/>
      <c r="K168" s="29" t="n"/>
      <c r="L168" s="29" t="n"/>
    </row>
    <row r="170" ht="26" customHeight="1">
      <c r="B170" s="24">
        <f>IF('名簿'!B16="","（名簿 12行目：なし）",'名簿'!E16)</f>
        <v/>
      </c>
      <c r="E170" s="25" t="inlineStr">
        <is>
          <t>提出状況 ▶</t>
        </is>
      </c>
      <c r="F170" s="17" t="n"/>
      <c r="G170" s="13" t="n"/>
      <c r="H170" s="26" t="inlineStr">
        <is>
          <t>状況：</t>
        </is>
      </c>
      <c r="I170" s="27">
        <f>'名簿'!F16</f>
        <v/>
      </c>
      <c r="J170" s="26" t="inlineStr">
        <is>
          <t>×の数：</t>
        </is>
      </c>
      <c r="K170" s="27">
        <f>'名簿'!G16</f>
        <v/>
      </c>
    </row>
    <row r="171">
      <c r="B171" s="28" t="inlineStr"/>
      <c r="C171" s="14">
        <f>'設定'!$E$11</f>
        <v/>
      </c>
      <c r="D171" s="14">
        <f>'設定'!$E$12</f>
        <v/>
      </c>
      <c r="E171" s="14">
        <f>'設定'!$E$13</f>
        <v/>
      </c>
      <c r="F171" s="14">
        <f>'設定'!$E$14</f>
        <v/>
      </c>
      <c r="G171" s="14">
        <f>'設定'!$E$15</f>
        <v/>
      </c>
      <c r="H171" s="14">
        <f>'設定'!$E$16</f>
        <v/>
      </c>
      <c r="I171" s="14">
        <f>'設定'!$E$17</f>
        <v/>
      </c>
      <c r="J171" s="14">
        <f>'設定'!$E$18</f>
        <v/>
      </c>
      <c r="K171" s="14">
        <f>'設定'!$E$19</f>
        <v/>
      </c>
      <c r="L171" s="14">
        <f>'設定'!$E$20</f>
        <v/>
      </c>
    </row>
    <row r="172" ht="22" customHeight="1">
      <c r="B172" s="14">
        <f>'設定'!$I$11</f>
        <v/>
      </c>
      <c r="C172" s="29" t="n"/>
      <c r="D172" s="29" t="n"/>
      <c r="E172" s="29" t="n"/>
      <c r="F172" s="29" t="n"/>
      <c r="G172" s="29" t="n"/>
      <c r="H172" s="29" t="n"/>
      <c r="I172" s="29" t="n"/>
      <c r="J172" s="29" t="n"/>
      <c r="K172" s="29" t="n"/>
      <c r="L172" s="29" t="n"/>
    </row>
    <row r="173" ht="22" customHeight="1">
      <c r="B173" s="14">
        <f>'設定'!$I$12</f>
        <v/>
      </c>
      <c r="C173" s="29" t="n"/>
      <c r="D173" s="29" t="n"/>
      <c r="E173" s="29" t="n"/>
      <c r="F173" s="29" t="n"/>
      <c r="G173" s="29" t="n"/>
      <c r="H173" s="29" t="n"/>
      <c r="I173" s="29" t="n"/>
      <c r="J173" s="29" t="n"/>
      <c r="K173" s="29" t="n"/>
      <c r="L173" s="29" t="n"/>
    </row>
    <row r="174" ht="22" customHeight="1">
      <c r="B174" s="14">
        <f>'設定'!$I$13</f>
        <v/>
      </c>
      <c r="C174" s="29" t="n"/>
      <c r="D174" s="29" t="n"/>
      <c r="E174" s="29" t="n"/>
      <c r="F174" s="29" t="n"/>
      <c r="G174" s="29" t="n"/>
      <c r="H174" s="29" t="n"/>
      <c r="I174" s="29" t="n"/>
      <c r="J174" s="29" t="n"/>
      <c r="K174" s="29" t="n"/>
      <c r="L174" s="29" t="n"/>
    </row>
    <row r="175" ht="22" customHeight="1">
      <c r="B175" s="14">
        <f>'設定'!$I$14</f>
        <v/>
      </c>
      <c r="C175" s="29" t="n"/>
      <c r="D175" s="29" t="n"/>
      <c r="E175" s="29" t="n"/>
      <c r="F175" s="29" t="n"/>
      <c r="G175" s="29" t="n"/>
      <c r="H175" s="29" t="n"/>
      <c r="I175" s="29" t="n"/>
      <c r="J175" s="29" t="n"/>
      <c r="K175" s="29" t="n"/>
      <c r="L175" s="29" t="n"/>
    </row>
    <row r="176" ht="22" customHeight="1">
      <c r="B176" s="14">
        <f>'設定'!$I$15</f>
        <v/>
      </c>
      <c r="C176" s="29" t="n"/>
      <c r="D176" s="29" t="n"/>
      <c r="E176" s="29" t="n"/>
      <c r="F176" s="29" t="n"/>
      <c r="G176" s="29" t="n"/>
      <c r="H176" s="29" t="n"/>
      <c r="I176" s="29" t="n"/>
      <c r="J176" s="29" t="n"/>
      <c r="K176" s="29" t="n"/>
      <c r="L176" s="29" t="n"/>
    </row>
    <row r="177" ht="22" customHeight="1">
      <c r="B177" s="14">
        <f>'設定'!$I$16</f>
        <v/>
      </c>
      <c r="C177" s="29" t="n"/>
      <c r="D177" s="29" t="n"/>
      <c r="E177" s="29" t="n"/>
      <c r="F177" s="29" t="n"/>
      <c r="G177" s="29" t="n"/>
      <c r="H177" s="29" t="n"/>
      <c r="I177" s="29" t="n"/>
      <c r="J177" s="29" t="n"/>
      <c r="K177" s="29" t="n"/>
      <c r="L177" s="29" t="n"/>
    </row>
    <row r="178" ht="22" customHeight="1">
      <c r="B178" s="14">
        <f>'設定'!$I$17</f>
        <v/>
      </c>
      <c r="C178" s="29" t="n"/>
      <c r="D178" s="29" t="n"/>
      <c r="E178" s="29" t="n"/>
      <c r="F178" s="29" t="n"/>
      <c r="G178" s="29" t="n"/>
      <c r="H178" s="29" t="n"/>
      <c r="I178" s="29" t="n"/>
      <c r="J178" s="29" t="n"/>
      <c r="K178" s="29" t="n"/>
      <c r="L178" s="29" t="n"/>
    </row>
    <row r="179" ht="22" customHeight="1">
      <c r="B179" s="14">
        <f>'設定'!$I$18</f>
        <v/>
      </c>
      <c r="C179" s="29" t="n"/>
      <c r="D179" s="29" t="n"/>
      <c r="E179" s="29" t="n"/>
      <c r="F179" s="29" t="n"/>
      <c r="G179" s="29" t="n"/>
      <c r="H179" s="29" t="n"/>
      <c r="I179" s="29" t="n"/>
      <c r="J179" s="29" t="n"/>
      <c r="K179" s="29" t="n"/>
      <c r="L179" s="29" t="n"/>
    </row>
    <row r="180" ht="22" customHeight="1">
      <c r="B180" s="14">
        <f>'設定'!$I$19</f>
        <v/>
      </c>
      <c r="C180" s="29" t="n"/>
      <c r="D180" s="29" t="n"/>
      <c r="E180" s="29" t="n"/>
      <c r="F180" s="29" t="n"/>
      <c r="G180" s="29" t="n"/>
      <c r="H180" s="29" t="n"/>
      <c r="I180" s="29" t="n"/>
      <c r="J180" s="29" t="n"/>
      <c r="K180" s="29" t="n"/>
      <c r="L180" s="29" t="n"/>
    </row>
    <row r="181" ht="22" customHeight="1">
      <c r="B181" s="14">
        <f>'設定'!$I$20</f>
        <v/>
      </c>
      <c r="C181" s="29" t="n"/>
      <c r="D181" s="29" t="n"/>
      <c r="E181" s="29" t="n"/>
      <c r="F181" s="29" t="n"/>
      <c r="G181" s="29" t="n"/>
      <c r="H181" s="29" t="n"/>
      <c r="I181" s="29" t="n"/>
      <c r="J181" s="29" t="n"/>
      <c r="K181" s="29" t="n"/>
      <c r="L181" s="29" t="n"/>
    </row>
    <row r="182" ht="22" customHeight="1">
      <c r="B182" s="14">
        <f>'設定'!$I$21</f>
        <v/>
      </c>
      <c r="C182" s="29" t="n"/>
      <c r="D182" s="29" t="n"/>
      <c r="E182" s="29" t="n"/>
      <c r="F182" s="29" t="n"/>
      <c r="G182" s="29" t="n"/>
      <c r="H182" s="29" t="n"/>
      <c r="I182" s="29" t="n"/>
      <c r="J182" s="29" t="n"/>
      <c r="K182" s="29" t="n"/>
      <c r="L182" s="29" t="n"/>
    </row>
    <row r="183" ht="22" customHeight="1">
      <c r="B183" s="14">
        <f>'設定'!$I$22</f>
        <v/>
      </c>
      <c r="C183" s="29" t="n"/>
      <c r="D183" s="29" t="n"/>
      <c r="E183" s="29" t="n"/>
      <c r="F183" s="29" t="n"/>
      <c r="G183" s="29" t="n"/>
      <c r="H183" s="29" t="n"/>
      <c r="I183" s="29" t="n"/>
      <c r="J183" s="29" t="n"/>
      <c r="K183" s="29" t="n"/>
      <c r="L183" s="29" t="n"/>
    </row>
    <row r="185" ht="26" customHeight="1">
      <c r="B185" s="24">
        <f>IF('名簿'!B17="","（名簿 13行目：なし）",'名簿'!E17)</f>
        <v/>
      </c>
      <c r="E185" s="25" t="inlineStr">
        <is>
          <t>提出状況 ▶</t>
        </is>
      </c>
      <c r="F185" s="17" t="n"/>
      <c r="G185" s="13" t="n"/>
      <c r="H185" s="26" t="inlineStr">
        <is>
          <t>状況：</t>
        </is>
      </c>
      <c r="I185" s="27">
        <f>'名簿'!F17</f>
        <v/>
      </c>
      <c r="J185" s="26" t="inlineStr">
        <is>
          <t>×の数：</t>
        </is>
      </c>
      <c r="K185" s="27">
        <f>'名簿'!G17</f>
        <v/>
      </c>
    </row>
    <row r="186">
      <c r="B186" s="28" t="inlineStr"/>
      <c r="C186" s="14">
        <f>'設定'!$E$11</f>
        <v/>
      </c>
      <c r="D186" s="14">
        <f>'設定'!$E$12</f>
        <v/>
      </c>
      <c r="E186" s="14">
        <f>'設定'!$E$13</f>
        <v/>
      </c>
      <c r="F186" s="14">
        <f>'設定'!$E$14</f>
        <v/>
      </c>
      <c r="G186" s="14">
        <f>'設定'!$E$15</f>
        <v/>
      </c>
      <c r="H186" s="14">
        <f>'設定'!$E$16</f>
        <v/>
      </c>
      <c r="I186" s="14">
        <f>'設定'!$E$17</f>
        <v/>
      </c>
      <c r="J186" s="14">
        <f>'設定'!$E$18</f>
        <v/>
      </c>
      <c r="K186" s="14">
        <f>'設定'!$E$19</f>
        <v/>
      </c>
      <c r="L186" s="14">
        <f>'設定'!$E$20</f>
        <v/>
      </c>
    </row>
    <row r="187" ht="22" customHeight="1">
      <c r="B187" s="14">
        <f>'設定'!$I$11</f>
        <v/>
      </c>
      <c r="C187" s="29" t="n"/>
      <c r="D187" s="29" t="n"/>
      <c r="E187" s="29" t="n"/>
      <c r="F187" s="29" t="n"/>
      <c r="G187" s="29" t="n"/>
      <c r="H187" s="29" t="n"/>
      <c r="I187" s="29" t="n"/>
      <c r="J187" s="29" t="n"/>
      <c r="K187" s="29" t="n"/>
      <c r="L187" s="29" t="n"/>
    </row>
    <row r="188" ht="22" customHeight="1">
      <c r="B188" s="14">
        <f>'設定'!$I$12</f>
        <v/>
      </c>
      <c r="C188" s="29" t="n"/>
      <c r="D188" s="29" t="n"/>
      <c r="E188" s="29" t="n"/>
      <c r="F188" s="29" t="n"/>
      <c r="G188" s="29" t="n"/>
      <c r="H188" s="29" t="n"/>
      <c r="I188" s="29" t="n"/>
      <c r="J188" s="29" t="n"/>
      <c r="K188" s="29" t="n"/>
      <c r="L188" s="29" t="n"/>
    </row>
    <row r="189" ht="22" customHeight="1">
      <c r="B189" s="14">
        <f>'設定'!$I$13</f>
        <v/>
      </c>
      <c r="C189" s="29" t="n"/>
      <c r="D189" s="29" t="n"/>
      <c r="E189" s="29" t="n"/>
      <c r="F189" s="29" t="n"/>
      <c r="G189" s="29" t="n"/>
      <c r="H189" s="29" t="n"/>
      <c r="I189" s="29" t="n"/>
      <c r="J189" s="29" t="n"/>
      <c r="K189" s="29" t="n"/>
      <c r="L189" s="29" t="n"/>
    </row>
    <row r="190" ht="22" customHeight="1">
      <c r="B190" s="14">
        <f>'設定'!$I$14</f>
        <v/>
      </c>
      <c r="C190" s="29" t="n"/>
      <c r="D190" s="29" t="n"/>
      <c r="E190" s="29" t="n"/>
      <c r="F190" s="29" t="n"/>
      <c r="G190" s="29" t="n"/>
      <c r="H190" s="29" t="n"/>
      <c r="I190" s="29" t="n"/>
      <c r="J190" s="29" t="n"/>
      <c r="K190" s="29" t="n"/>
      <c r="L190" s="29" t="n"/>
    </row>
    <row r="191" ht="22" customHeight="1">
      <c r="B191" s="14">
        <f>'設定'!$I$15</f>
        <v/>
      </c>
      <c r="C191" s="29" t="n"/>
      <c r="D191" s="29" t="n"/>
      <c r="E191" s="29" t="n"/>
      <c r="F191" s="29" t="n"/>
      <c r="G191" s="29" t="n"/>
      <c r="H191" s="29" t="n"/>
      <c r="I191" s="29" t="n"/>
      <c r="J191" s="29" t="n"/>
      <c r="K191" s="29" t="n"/>
      <c r="L191" s="29" t="n"/>
    </row>
    <row r="192" ht="22" customHeight="1">
      <c r="B192" s="14">
        <f>'設定'!$I$16</f>
        <v/>
      </c>
      <c r="C192" s="29" t="n"/>
      <c r="D192" s="29" t="n"/>
      <c r="E192" s="29" t="n"/>
      <c r="F192" s="29" t="n"/>
      <c r="G192" s="29" t="n"/>
      <c r="H192" s="29" t="n"/>
      <c r="I192" s="29" t="n"/>
      <c r="J192" s="29" t="n"/>
      <c r="K192" s="29" t="n"/>
      <c r="L192" s="29" t="n"/>
    </row>
    <row r="193" ht="22" customHeight="1">
      <c r="B193" s="14">
        <f>'設定'!$I$17</f>
        <v/>
      </c>
      <c r="C193" s="29" t="n"/>
      <c r="D193" s="29" t="n"/>
      <c r="E193" s="29" t="n"/>
      <c r="F193" s="29" t="n"/>
      <c r="G193" s="29" t="n"/>
      <c r="H193" s="29" t="n"/>
      <c r="I193" s="29" t="n"/>
      <c r="J193" s="29" t="n"/>
      <c r="K193" s="29" t="n"/>
      <c r="L193" s="29" t="n"/>
    </row>
    <row r="194" ht="22" customHeight="1">
      <c r="B194" s="14">
        <f>'設定'!$I$18</f>
        <v/>
      </c>
      <c r="C194" s="29" t="n"/>
      <c r="D194" s="29" t="n"/>
      <c r="E194" s="29" t="n"/>
      <c r="F194" s="29" t="n"/>
      <c r="G194" s="29" t="n"/>
      <c r="H194" s="29" t="n"/>
      <c r="I194" s="29" t="n"/>
      <c r="J194" s="29" t="n"/>
      <c r="K194" s="29" t="n"/>
      <c r="L194" s="29" t="n"/>
    </row>
    <row r="195" ht="22" customHeight="1">
      <c r="B195" s="14">
        <f>'設定'!$I$19</f>
        <v/>
      </c>
      <c r="C195" s="29" t="n"/>
      <c r="D195" s="29" t="n"/>
      <c r="E195" s="29" t="n"/>
      <c r="F195" s="29" t="n"/>
      <c r="G195" s="29" t="n"/>
      <c r="H195" s="29" t="n"/>
      <c r="I195" s="29" t="n"/>
      <c r="J195" s="29" t="n"/>
      <c r="K195" s="29" t="n"/>
      <c r="L195" s="29" t="n"/>
    </row>
    <row r="196" ht="22" customHeight="1">
      <c r="B196" s="14">
        <f>'設定'!$I$20</f>
        <v/>
      </c>
      <c r="C196" s="29" t="n"/>
      <c r="D196" s="29" t="n"/>
      <c r="E196" s="29" t="n"/>
      <c r="F196" s="29" t="n"/>
      <c r="G196" s="29" t="n"/>
      <c r="H196" s="29" t="n"/>
      <c r="I196" s="29" t="n"/>
      <c r="J196" s="29" t="n"/>
      <c r="K196" s="29" t="n"/>
      <c r="L196" s="29" t="n"/>
    </row>
    <row r="197" ht="22" customHeight="1">
      <c r="B197" s="14">
        <f>'設定'!$I$21</f>
        <v/>
      </c>
      <c r="C197" s="29" t="n"/>
      <c r="D197" s="29" t="n"/>
      <c r="E197" s="29" t="n"/>
      <c r="F197" s="29" t="n"/>
      <c r="G197" s="29" t="n"/>
      <c r="H197" s="29" t="n"/>
      <c r="I197" s="29" t="n"/>
      <c r="J197" s="29" t="n"/>
      <c r="K197" s="29" t="n"/>
      <c r="L197" s="29" t="n"/>
    </row>
    <row r="198" ht="22" customHeight="1">
      <c r="B198" s="14">
        <f>'設定'!$I$22</f>
        <v/>
      </c>
      <c r="C198" s="29" t="n"/>
      <c r="D198" s="29" t="n"/>
      <c r="E198" s="29" t="n"/>
      <c r="F198" s="29" t="n"/>
      <c r="G198" s="29" t="n"/>
      <c r="H198" s="29" t="n"/>
      <c r="I198" s="29" t="n"/>
      <c r="J198" s="29" t="n"/>
      <c r="K198" s="29" t="n"/>
      <c r="L198" s="29" t="n"/>
    </row>
    <row r="200" ht="26" customHeight="1">
      <c r="B200" s="24">
        <f>IF('名簿'!B18="","（名簿 14行目：なし）",'名簿'!E18)</f>
        <v/>
      </c>
      <c r="E200" s="25" t="inlineStr">
        <is>
          <t>提出状況 ▶</t>
        </is>
      </c>
      <c r="F200" s="17" t="n"/>
      <c r="G200" s="13" t="n"/>
      <c r="H200" s="26" t="inlineStr">
        <is>
          <t>状況：</t>
        </is>
      </c>
      <c r="I200" s="27">
        <f>'名簿'!F18</f>
        <v/>
      </c>
      <c r="J200" s="26" t="inlineStr">
        <is>
          <t>×の数：</t>
        </is>
      </c>
      <c r="K200" s="27">
        <f>'名簿'!G18</f>
        <v/>
      </c>
    </row>
    <row r="201">
      <c r="B201" s="28" t="inlineStr"/>
      <c r="C201" s="14">
        <f>'設定'!$E$11</f>
        <v/>
      </c>
      <c r="D201" s="14">
        <f>'設定'!$E$12</f>
        <v/>
      </c>
      <c r="E201" s="14">
        <f>'設定'!$E$13</f>
        <v/>
      </c>
      <c r="F201" s="14">
        <f>'設定'!$E$14</f>
        <v/>
      </c>
      <c r="G201" s="14">
        <f>'設定'!$E$15</f>
        <v/>
      </c>
      <c r="H201" s="14">
        <f>'設定'!$E$16</f>
        <v/>
      </c>
      <c r="I201" s="14">
        <f>'設定'!$E$17</f>
        <v/>
      </c>
      <c r="J201" s="14">
        <f>'設定'!$E$18</f>
        <v/>
      </c>
      <c r="K201" s="14">
        <f>'設定'!$E$19</f>
        <v/>
      </c>
      <c r="L201" s="14">
        <f>'設定'!$E$20</f>
        <v/>
      </c>
    </row>
    <row r="202" ht="22" customHeight="1">
      <c r="B202" s="14">
        <f>'設定'!$I$11</f>
        <v/>
      </c>
      <c r="C202" s="29" t="n"/>
      <c r="D202" s="29" t="n"/>
      <c r="E202" s="29" t="n"/>
      <c r="F202" s="29" t="n"/>
      <c r="G202" s="29" t="n"/>
      <c r="H202" s="29" t="n"/>
      <c r="I202" s="29" t="n"/>
      <c r="J202" s="29" t="n"/>
      <c r="K202" s="29" t="n"/>
      <c r="L202" s="29" t="n"/>
    </row>
    <row r="203" ht="22" customHeight="1">
      <c r="B203" s="14">
        <f>'設定'!$I$12</f>
        <v/>
      </c>
      <c r="C203" s="29" t="n"/>
      <c r="D203" s="29" t="n"/>
      <c r="E203" s="29" t="n"/>
      <c r="F203" s="29" t="n"/>
      <c r="G203" s="29" t="n"/>
      <c r="H203" s="29" t="n"/>
      <c r="I203" s="29" t="n"/>
      <c r="J203" s="29" t="n"/>
      <c r="K203" s="29" t="n"/>
      <c r="L203" s="29" t="n"/>
    </row>
    <row r="204" ht="22" customHeight="1">
      <c r="B204" s="14">
        <f>'設定'!$I$13</f>
        <v/>
      </c>
      <c r="C204" s="29" t="n"/>
      <c r="D204" s="29" t="n"/>
      <c r="E204" s="29" t="n"/>
      <c r="F204" s="29" t="n"/>
      <c r="G204" s="29" t="n"/>
      <c r="H204" s="29" t="n"/>
      <c r="I204" s="29" t="n"/>
      <c r="J204" s="29" t="n"/>
      <c r="K204" s="29" t="n"/>
      <c r="L204" s="29" t="n"/>
    </row>
    <row r="205" ht="22" customHeight="1">
      <c r="B205" s="14">
        <f>'設定'!$I$14</f>
        <v/>
      </c>
      <c r="C205" s="29" t="n"/>
      <c r="D205" s="29" t="n"/>
      <c r="E205" s="29" t="n"/>
      <c r="F205" s="29" t="n"/>
      <c r="G205" s="29" t="n"/>
      <c r="H205" s="29" t="n"/>
      <c r="I205" s="29" t="n"/>
      <c r="J205" s="29" t="n"/>
      <c r="K205" s="29" t="n"/>
      <c r="L205" s="29" t="n"/>
    </row>
    <row r="206" ht="22" customHeight="1">
      <c r="B206" s="14">
        <f>'設定'!$I$15</f>
        <v/>
      </c>
      <c r="C206" s="29" t="n"/>
      <c r="D206" s="29" t="n"/>
      <c r="E206" s="29" t="n"/>
      <c r="F206" s="29" t="n"/>
      <c r="G206" s="29" t="n"/>
      <c r="H206" s="29" t="n"/>
      <c r="I206" s="29" t="n"/>
      <c r="J206" s="29" t="n"/>
      <c r="K206" s="29" t="n"/>
      <c r="L206" s="29" t="n"/>
    </row>
    <row r="207" ht="22" customHeight="1">
      <c r="B207" s="14">
        <f>'設定'!$I$16</f>
        <v/>
      </c>
      <c r="C207" s="29" t="n"/>
      <c r="D207" s="29" t="n"/>
      <c r="E207" s="29" t="n"/>
      <c r="F207" s="29" t="n"/>
      <c r="G207" s="29" t="n"/>
      <c r="H207" s="29" t="n"/>
      <c r="I207" s="29" t="n"/>
      <c r="J207" s="29" t="n"/>
      <c r="K207" s="29" t="n"/>
      <c r="L207" s="29" t="n"/>
    </row>
    <row r="208" ht="22" customHeight="1">
      <c r="B208" s="14">
        <f>'設定'!$I$17</f>
        <v/>
      </c>
      <c r="C208" s="29" t="n"/>
      <c r="D208" s="29" t="n"/>
      <c r="E208" s="29" t="n"/>
      <c r="F208" s="29" t="n"/>
      <c r="G208" s="29" t="n"/>
      <c r="H208" s="29" t="n"/>
      <c r="I208" s="29" t="n"/>
      <c r="J208" s="29" t="n"/>
      <c r="K208" s="29" t="n"/>
      <c r="L208" s="29" t="n"/>
    </row>
    <row r="209" ht="22" customHeight="1">
      <c r="B209" s="14">
        <f>'設定'!$I$18</f>
        <v/>
      </c>
      <c r="C209" s="29" t="n"/>
      <c r="D209" s="29" t="n"/>
      <c r="E209" s="29" t="n"/>
      <c r="F209" s="29" t="n"/>
      <c r="G209" s="29" t="n"/>
      <c r="H209" s="29" t="n"/>
      <c r="I209" s="29" t="n"/>
      <c r="J209" s="29" t="n"/>
      <c r="K209" s="29" t="n"/>
      <c r="L209" s="29" t="n"/>
    </row>
    <row r="210" ht="22" customHeight="1">
      <c r="B210" s="14">
        <f>'設定'!$I$19</f>
        <v/>
      </c>
      <c r="C210" s="29" t="n"/>
      <c r="D210" s="29" t="n"/>
      <c r="E210" s="29" t="n"/>
      <c r="F210" s="29" t="n"/>
      <c r="G210" s="29" t="n"/>
      <c r="H210" s="29" t="n"/>
      <c r="I210" s="29" t="n"/>
      <c r="J210" s="29" t="n"/>
      <c r="K210" s="29" t="n"/>
      <c r="L210" s="29" t="n"/>
    </row>
    <row r="211" ht="22" customHeight="1">
      <c r="B211" s="14">
        <f>'設定'!$I$20</f>
        <v/>
      </c>
      <c r="C211" s="29" t="n"/>
      <c r="D211" s="29" t="n"/>
      <c r="E211" s="29" t="n"/>
      <c r="F211" s="29" t="n"/>
      <c r="G211" s="29" t="n"/>
      <c r="H211" s="29" t="n"/>
      <c r="I211" s="29" t="n"/>
      <c r="J211" s="29" t="n"/>
      <c r="K211" s="29" t="n"/>
      <c r="L211" s="29" t="n"/>
    </row>
    <row r="212" ht="22" customHeight="1">
      <c r="B212" s="14">
        <f>'設定'!$I$21</f>
        <v/>
      </c>
      <c r="C212" s="29" t="n"/>
      <c r="D212" s="29" t="n"/>
      <c r="E212" s="29" t="n"/>
      <c r="F212" s="29" t="n"/>
      <c r="G212" s="29" t="n"/>
      <c r="H212" s="29" t="n"/>
      <c r="I212" s="29" t="n"/>
      <c r="J212" s="29" t="n"/>
      <c r="K212" s="29" t="n"/>
      <c r="L212" s="29" t="n"/>
    </row>
    <row r="213" ht="22" customHeight="1">
      <c r="B213" s="14">
        <f>'設定'!$I$22</f>
        <v/>
      </c>
      <c r="C213" s="29" t="n"/>
      <c r="D213" s="29" t="n"/>
      <c r="E213" s="29" t="n"/>
      <c r="F213" s="29" t="n"/>
      <c r="G213" s="29" t="n"/>
      <c r="H213" s="29" t="n"/>
      <c r="I213" s="29" t="n"/>
      <c r="J213" s="29" t="n"/>
      <c r="K213" s="29" t="n"/>
      <c r="L213" s="29" t="n"/>
    </row>
    <row r="215" ht="26" customHeight="1">
      <c r="B215" s="24">
        <f>IF('名簿'!B19="","（名簿 15行目：なし）",'名簿'!E19)</f>
        <v/>
      </c>
      <c r="E215" s="25" t="inlineStr">
        <is>
          <t>提出状況 ▶</t>
        </is>
      </c>
      <c r="F215" s="17" t="n"/>
      <c r="G215" s="13" t="n"/>
      <c r="H215" s="26" t="inlineStr">
        <is>
          <t>状況：</t>
        </is>
      </c>
      <c r="I215" s="27">
        <f>'名簿'!F19</f>
        <v/>
      </c>
      <c r="J215" s="26" t="inlineStr">
        <is>
          <t>×の数：</t>
        </is>
      </c>
      <c r="K215" s="27">
        <f>'名簿'!G19</f>
        <v/>
      </c>
    </row>
    <row r="216">
      <c r="B216" s="28" t="inlineStr"/>
      <c r="C216" s="14">
        <f>'設定'!$E$11</f>
        <v/>
      </c>
      <c r="D216" s="14">
        <f>'設定'!$E$12</f>
        <v/>
      </c>
      <c r="E216" s="14">
        <f>'設定'!$E$13</f>
        <v/>
      </c>
      <c r="F216" s="14">
        <f>'設定'!$E$14</f>
        <v/>
      </c>
      <c r="G216" s="14">
        <f>'設定'!$E$15</f>
        <v/>
      </c>
      <c r="H216" s="14">
        <f>'設定'!$E$16</f>
        <v/>
      </c>
      <c r="I216" s="14">
        <f>'設定'!$E$17</f>
        <v/>
      </c>
      <c r="J216" s="14">
        <f>'設定'!$E$18</f>
        <v/>
      </c>
      <c r="K216" s="14">
        <f>'設定'!$E$19</f>
        <v/>
      </c>
      <c r="L216" s="14">
        <f>'設定'!$E$20</f>
        <v/>
      </c>
    </row>
    <row r="217" ht="22" customHeight="1">
      <c r="B217" s="14">
        <f>'設定'!$I$11</f>
        <v/>
      </c>
      <c r="C217" s="29" t="n"/>
      <c r="D217" s="29" t="n"/>
      <c r="E217" s="29" t="n"/>
      <c r="F217" s="29" t="n"/>
      <c r="G217" s="29" t="n"/>
      <c r="H217" s="29" t="n"/>
      <c r="I217" s="29" t="n"/>
      <c r="J217" s="29" t="n"/>
      <c r="K217" s="29" t="n"/>
      <c r="L217" s="29" t="n"/>
    </row>
    <row r="218" ht="22" customHeight="1">
      <c r="B218" s="14">
        <f>'設定'!$I$12</f>
        <v/>
      </c>
      <c r="C218" s="29" t="n"/>
      <c r="D218" s="29" t="n"/>
      <c r="E218" s="29" t="n"/>
      <c r="F218" s="29" t="n"/>
      <c r="G218" s="29" t="n"/>
      <c r="H218" s="29" t="n"/>
      <c r="I218" s="29" t="n"/>
      <c r="J218" s="29" t="n"/>
      <c r="K218" s="29" t="n"/>
      <c r="L218" s="29" t="n"/>
    </row>
    <row r="219" ht="22" customHeight="1">
      <c r="B219" s="14">
        <f>'設定'!$I$13</f>
        <v/>
      </c>
      <c r="C219" s="29" t="n"/>
      <c r="D219" s="29" t="n"/>
      <c r="E219" s="29" t="n"/>
      <c r="F219" s="29" t="n"/>
      <c r="G219" s="29" t="n"/>
      <c r="H219" s="29" t="n"/>
      <c r="I219" s="29" t="n"/>
      <c r="J219" s="29" t="n"/>
      <c r="K219" s="29" t="n"/>
      <c r="L219" s="29" t="n"/>
    </row>
    <row r="220" ht="22" customHeight="1">
      <c r="B220" s="14">
        <f>'設定'!$I$14</f>
        <v/>
      </c>
      <c r="C220" s="29" t="n"/>
      <c r="D220" s="29" t="n"/>
      <c r="E220" s="29" t="n"/>
      <c r="F220" s="29" t="n"/>
      <c r="G220" s="29" t="n"/>
      <c r="H220" s="29" t="n"/>
      <c r="I220" s="29" t="n"/>
      <c r="J220" s="29" t="n"/>
      <c r="K220" s="29" t="n"/>
      <c r="L220" s="29" t="n"/>
    </row>
    <row r="221" ht="22" customHeight="1">
      <c r="B221" s="14">
        <f>'設定'!$I$15</f>
        <v/>
      </c>
      <c r="C221" s="29" t="n"/>
      <c r="D221" s="29" t="n"/>
      <c r="E221" s="29" t="n"/>
      <c r="F221" s="29" t="n"/>
      <c r="G221" s="29" t="n"/>
      <c r="H221" s="29" t="n"/>
      <c r="I221" s="29" t="n"/>
      <c r="J221" s="29" t="n"/>
      <c r="K221" s="29" t="n"/>
      <c r="L221" s="29" t="n"/>
    </row>
    <row r="222" ht="22" customHeight="1">
      <c r="B222" s="14">
        <f>'設定'!$I$16</f>
        <v/>
      </c>
      <c r="C222" s="29" t="n"/>
      <c r="D222" s="29" t="n"/>
      <c r="E222" s="29" t="n"/>
      <c r="F222" s="29" t="n"/>
      <c r="G222" s="29" t="n"/>
      <c r="H222" s="29" t="n"/>
      <c r="I222" s="29" t="n"/>
      <c r="J222" s="29" t="n"/>
      <c r="K222" s="29" t="n"/>
      <c r="L222" s="29" t="n"/>
    </row>
    <row r="223" ht="22" customHeight="1">
      <c r="B223" s="14">
        <f>'設定'!$I$17</f>
        <v/>
      </c>
      <c r="C223" s="29" t="n"/>
      <c r="D223" s="29" t="n"/>
      <c r="E223" s="29" t="n"/>
      <c r="F223" s="29" t="n"/>
      <c r="G223" s="29" t="n"/>
      <c r="H223" s="29" t="n"/>
      <c r="I223" s="29" t="n"/>
      <c r="J223" s="29" t="n"/>
      <c r="K223" s="29" t="n"/>
      <c r="L223" s="29" t="n"/>
    </row>
    <row r="224" ht="22" customHeight="1">
      <c r="B224" s="14">
        <f>'設定'!$I$18</f>
        <v/>
      </c>
      <c r="C224" s="29" t="n"/>
      <c r="D224" s="29" t="n"/>
      <c r="E224" s="29" t="n"/>
      <c r="F224" s="29" t="n"/>
      <c r="G224" s="29" t="n"/>
      <c r="H224" s="29" t="n"/>
      <c r="I224" s="29" t="n"/>
      <c r="J224" s="29" t="n"/>
      <c r="K224" s="29" t="n"/>
      <c r="L224" s="29" t="n"/>
    </row>
    <row r="225" ht="22" customHeight="1">
      <c r="B225" s="14">
        <f>'設定'!$I$19</f>
        <v/>
      </c>
      <c r="C225" s="29" t="n"/>
      <c r="D225" s="29" t="n"/>
      <c r="E225" s="29" t="n"/>
      <c r="F225" s="29" t="n"/>
      <c r="G225" s="29" t="n"/>
      <c r="H225" s="29" t="n"/>
      <c r="I225" s="29" t="n"/>
      <c r="J225" s="29" t="n"/>
      <c r="K225" s="29" t="n"/>
      <c r="L225" s="29" t="n"/>
    </row>
    <row r="226" ht="22" customHeight="1">
      <c r="B226" s="14">
        <f>'設定'!$I$20</f>
        <v/>
      </c>
      <c r="C226" s="29" t="n"/>
      <c r="D226" s="29" t="n"/>
      <c r="E226" s="29" t="n"/>
      <c r="F226" s="29" t="n"/>
      <c r="G226" s="29" t="n"/>
      <c r="H226" s="29" t="n"/>
      <c r="I226" s="29" t="n"/>
      <c r="J226" s="29" t="n"/>
      <c r="K226" s="29" t="n"/>
      <c r="L226" s="29" t="n"/>
    </row>
    <row r="227" ht="22" customHeight="1">
      <c r="B227" s="14">
        <f>'設定'!$I$21</f>
        <v/>
      </c>
      <c r="C227" s="29" t="n"/>
      <c r="D227" s="29" t="n"/>
      <c r="E227" s="29" t="n"/>
      <c r="F227" s="29" t="n"/>
      <c r="G227" s="29" t="n"/>
      <c r="H227" s="29" t="n"/>
      <c r="I227" s="29" t="n"/>
      <c r="J227" s="29" t="n"/>
      <c r="K227" s="29" t="n"/>
      <c r="L227" s="29" t="n"/>
    </row>
    <row r="228" ht="22" customHeight="1">
      <c r="B228" s="14">
        <f>'設定'!$I$22</f>
        <v/>
      </c>
      <c r="C228" s="29" t="n"/>
      <c r="D228" s="29" t="n"/>
      <c r="E228" s="29" t="n"/>
      <c r="F228" s="29" t="n"/>
      <c r="G228" s="29" t="n"/>
      <c r="H228" s="29" t="n"/>
      <c r="I228" s="29" t="n"/>
      <c r="J228" s="29" t="n"/>
      <c r="K228" s="29" t="n"/>
      <c r="L228" s="29" t="n"/>
    </row>
    <row r="230" ht="26" customHeight="1">
      <c r="B230" s="24">
        <f>IF('名簿'!B20="","（名簿 16行目：なし）",'名簿'!E20)</f>
        <v/>
      </c>
      <c r="E230" s="25" t="inlineStr">
        <is>
          <t>提出状況 ▶</t>
        </is>
      </c>
      <c r="F230" s="17" t="n"/>
      <c r="G230" s="13" t="n"/>
      <c r="H230" s="26" t="inlineStr">
        <is>
          <t>状況：</t>
        </is>
      </c>
      <c r="I230" s="27">
        <f>'名簿'!F20</f>
        <v/>
      </c>
      <c r="J230" s="26" t="inlineStr">
        <is>
          <t>×の数：</t>
        </is>
      </c>
      <c r="K230" s="27">
        <f>'名簿'!G20</f>
        <v/>
      </c>
    </row>
    <row r="231">
      <c r="B231" s="28" t="inlineStr"/>
      <c r="C231" s="14">
        <f>'設定'!$E$11</f>
        <v/>
      </c>
      <c r="D231" s="14">
        <f>'設定'!$E$12</f>
        <v/>
      </c>
      <c r="E231" s="14">
        <f>'設定'!$E$13</f>
        <v/>
      </c>
      <c r="F231" s="14">
        <f>'設定'!$E$14</f>
        <v/>
      </c>
      <c r="G231" s="14">
        <f>'設定'!$E$15</f>
        <v/>
      </c>
      <c r="H231" s="14">
        <f>'設定'!$E$16</f>
        <v/>
      </c>
      <c r="I231" s="14">
        <f>'設定'!$E$17</f>
        <v/>
      </c>
      <c r="J231" s="14">
        <f>'設定'!$E$18</f>
        <v/>
      </c>
      <c r="K231" s="14">
        <f>'設定'!$E$19</f>
        <v/>
      </c>
      <c r="L231" s="14">
        <f>'設定'!$E$20</f>
        <v/>
      </c>
    </row>
    <row r="232" ht="22" customHeight="1">
      <c r="B232" s="14">
        <f>'設定'!$I$11</f>
        <v/>
      </c>
      <c r="C232" s="29" t="n"/>
      <c r="D232" s="29" t="n"/>
      <c r="E232" s="29" t="n"/>
      <c r="F232" s="29" t="n"/>
      <c r="G232" s="29" t="n"/>
      <c r="H232" s="29" t="n"/>
      <c r="I232" s="29" t="n"/>
      <c r="J232" s="29" t="n"/>
      <c r="K232" s="29" t="n"/>
      <c r="L232" s="29" t="n"/>
    </row>
    <row r="233" ht="22" customHeight="1">
      <c r="B233" s="14">
        <f>'設定'!$I$12</f>
        <v/>
      </c>
      <c r="C233" s="29" t="n"/>
      <c r="D233" s="29" t="n"/>
      <c r="E233" s="29" t="n"/>
      <c r="F233" s="29" t="n"/>
      <c r="G233" s="29" t="n"/>
      <c r="H233" s="29" t="n"/>
      <c r="I233" s="29" t="n"/>
      <c r="J233" s="29" t="n"/>
      <c r="K233" s="29" t="n"/>
      <c r="L233" s="29" t="n"/>
    </row>
    <row r="234" ht="22" customHeight="1">
      <c r="B234" s="14">
        <f>'設定'!$I$13</f>
        <v/>
      </c>
      <c r="C234" s="29" t="n"/>
      <c r="D234" s="29" t="n"/>
      <c r="E234" s="29" t="n"/>
      <c r="F234" s="29" t="n"/>
      <c r="G234" s="29" t="n"/>
      <c r="H234" s="29" t="n"/>
      <c r="I234" s="29" t="n"/>
      <c r="J234" s="29" t="n"/>
      <c r="K234" s="29" t="n"/>
      <c r="L234" s="29" t="n"/>
    </row>
    <row r="235" ht="22" customHeight="1">
      <c r="B235" s="14">
        <f>'設定'!$I$14</f>
        <v/>
      </c>
      <c r="C235" s="29" t="n"/>
      <c r="D235" s="29" t="n"/>
      <c r="E235" s="29" t="n"/>
      <c r="F235" s="29" t="n"/>
      <c r="G235" s="29" t="n"/>
      <c r="H235" s="29" t="n"/>
      <c r="I235" s="29" t="n"/>
      <c r="J235" s="29" t="n"/>
      <c r="K235" s="29" t="n"/>
      <c r="L235" s="29" t="n"/>
    </row>
    <row r="236" ht="22" customHeight="1">
      <c r="B236" s="14">
        <f>'設定'!$I$15</f>
        <v/>
      </c>
      <c r="C236" s="29" t="n"/>
      <c r="D236" s="29" t="n"/>
      <c r="E236" s="29" t="n"/>
      <c r="F236" s="29" t="n"/>
      <c r="G236" s="29" t="n"/>
      <c r="H236" s="29" t="n"/>
      <c r="I236" s="29" t="n"/>
      <c r="J236" s="29" t="n"/>
      <c r="K236" s="29" t="n"/>
      <c r="L236" s="29" t="n"/>
    </row>
    <row r="237" ht="22" customHeight="1">
      <c r="B237" s="14">
        <f>'設定'!$I$16</f>
        <v/>
      </c>
      <c r="C237" s="29" t="n"/>
      <c r="D237" s="29" t="n"/>
      <c r="E237" s="29" t="n"/>
      <c r="F237" s="29" t="n"/>
      <c r="G237" s="29" t="n"/>
      <c r="H237" s="29" t="n"/>
      <c r="I237" s="29" t="n"/>
      <c r="J237" s="29" t="n"/>
      <c r="K237" s="29" t="n"/>
      <c r="L237" s="29" t="n"/>
    </row>
    <row r="238" ht="22" customHeight="1">
      <c r="B238" s="14">
        <f>'設定'!$I$17</f>
        <v/>
      </c>
      <c r="C238" s="29" t="n"/>
      <c r="D238" s="29" t="n"/>
      <c r="E238" s="29" t="n"/>
      <c r="F238" s="29" t="n"/>
      <c r="G238" s="29" t="n"/>
      <c r="H238" s="29" t="n"/>
      <c r="I238" s="29" t="n"/>
      <c r="J238" s="29" t="n"/>
      <c r="K238" s="29" t="n"/>
      <c r="L238" s="29" t="n"/>
    </row>
    <row r="239" ht="22" customHeight="1">
      <c r="B239" s="14">
        <f>'設定'!$I$18</f>
        <v/>
      </c>
      <c r="C239" s="29" t="n"/>
      <c r="D239" s="29" t="n"/>
      <c r="E239" s="29" t="n"/>
      <c r="F239" s="29" t="n"/>
      <c r="G239" s="29" t="n"/>
      <c r="H239" s="29" t="n"/>
      <c r="I239" s="29" t="n"/>
      <c r="J239" s="29" t="n"/>
      <c r="K239" s="29" t="n"/>
      <c r="L239" s="29" t="n"/>
    </row>
    <row r="240" ht="22" customHeight="1">
      <c r="B240" s="14">
        <f>'設定'!$I$19</f>
        <v/>
      </c>
      <c r="C240" s="29" t="n"/>
      <c r="D240" s="29" t="n"/>
      <c r="E240" s="29" t="n"/>
      <c r="F240" s="29" t="n"/>
      <c r="G240" s="29" t="n"/>
      <c r="H240" s="29" t="n"/>
      <c r="I240" s="29" t="n"/>
      <c r="J240" s="29" t="n"/>
      <c r="K240" s="29" t="n"/>
      <c r="L240" s="29" t="n"/>
    </row>
    <row r="241" ht="22" customHeight="1">
      <c r="B241" s="14">
        <f>'設定'!$I$20</f>
        <v/>
      </c>
      <c r="C241" s="29" t="n"/>
      <c r="D241" s="29" t="n"/>
      <c r="E241" s="29" t="n"/>
      <c r="F241" s="29" t="n"/>
      <c r="G241" s="29" t="n"/>
      <c r="H241" s="29" t="n"/>
      <c r="I241" s="29" t="n"/>
      <c r="J241" s="29" t="n"/>
      <c r="K241" s="29" t="n"/>
      <c r="L241" s="29" t="n"/>
    </row>
    <row r="242" ht="22" customHeight="1">
      <c r="B242" s="14">
        <f>'設定'!$I$21</f>
        <v/>
      </c>
      <c r="C242" s="29" t="n"/>
      <c r="D242" s="29" t="n"/>
      <c r="E242" s="29" t="n"/>
      <c r="F242" s="29" t="n"/>
      <c r="G242" s="29" t="n"/>
      <c r="H242" s="29" t="n"/>
      <c r="I242" s="29" t="n"/>
      <c r="J242" s="29" t="n"/>
      <c r="K242" s="29" t="n"/>
      <c r="L242" s="29" t="n"/>
    </row>
    <row r="243" ht="22" customHeight="1">
      <c r="B243" s="14">
        <f>'設定'!$I$22</f>
        <v/>
      </c>
      <c r="C243" s="29" t="n"/>
      <c r="D243" s="29" t="n"/>
      <c r="E243" s="29" t="n"/>
      <c r="F243" s="29" t="n"/>
      <c r="G243" s="29" t="n"/>
      <c r="H243" s="29" t="n"/>
      <c r="I243" s="29" t="n"/>
      <c r="J243" s="29" t="n"/>
      <c r="K243" s="29" t="n"/>
      <c r="L243" s="29" t="n"/>
    </row>
    <row r="245" ht="26" customHeight="1">
      <c r="B245" s="24">
        <f>IF('名簿'!B21="","（名簿 17行目：なし）",'名簿'!E21)</f>
        <v/>
      </c>
      <c r="E245" s="25" t="inlineStr">
        <is>
          <t>提出状況 ▶</t>
        </is>
      </c>
      <c r="F245" s="17" t="n"/>
      <c r="G245" s="13" t="n"/>
      <c r="H245" s="26" t="inlineStr">
        <is>
          <t>状況：</t>
        </is>
      </c>
      <c r="I245" s="27">
        <f>'名簿'!F21</f>
        <v/>
      </c>
      <c r="J245" s="26" t="inlineStr">
        <is>
          <t>×の数：</t>
        </is>
      </c>
      <c r="K245" s="27">
        <f>'名簿'!G21</f>
        <v/>
      </c>
    </row>
    <row r="246">
      <c r="B246" s="28" t="inlineStr"/>
      <c r="C246" s="14">
        <f>'設定'!$E$11</f>
        <v/>
      </c>
      <c r="D246" s="14">
        <f>'設定'!$E$12</f>
        <v/>
      </c>
      <c r="E246" s="14">
        <f>'設定'!$E$13</f>
        <v/>
      </c>
      <c r="F246" s="14">
        <f>'設定'!$E$14</f>
        <v/>
      </c>
      <c r="G246" s="14">
        <f>'設定'!$E$15</f>
        <v/>
      </c>
      <c r="H246" s="14">
        <f>'設定'!$E$16</f>
        <v/>
      </c>
      <c r="I246" s="14">
        <f>'設定'!$E$17</f>
        <v/>
      </c>
      <c r="J246" s="14">
        <f>'設定'!$E$18</f>
        <v/>
      </c>
      <c r="K246" s="14">
        <f>'設定'!$E$19</f>
        <v/>
      </c>
      <c r="L246" s="14">
        <f>'設定'!$E$20</f>
        <v/>
      </c>
    </row>
    <row r="247" ht="22" customHeight="1">
      <c r="B247" s="14">
        <f>'設定'!$I$11</f>
        <v/>
      </c>
      <c r="C247" s="29" t="n"/>
      <c r="D247" s="29" t="n"/>
      <c r="E247" s="29" t="n"/>
      <c r="F247" s="29" t="n"/>
      <c r="G247" s="29" t="n"/>
      <c r="H247" s="29" t="n"/>
      <c r="I247" s="29" t="n"/>
      <c r="J247" s="29" t="n"/>
      <c r="K247" s="29" t="n"/>
      <c r="L247" s="29" t="n"/>
    </row>
    <row r="248" ht="22" customHeight="1">
      <c r="B248" s="14">
        <f>'設定'!$I$12</f>
        <v/>
      </c>
      <c r="C248" s="29" t="n"/>
      <c r="D248" s="29" t="n"/>
      <c r="E248" s="29" t="n"/>
      <c r="F248" s="29" t="n"/>
      <c r="G248" s="29" t="n"/>
      <c r="H248" s="29" t="n"/>
      <c r="I248" s="29" t="n"/>
      <c r="J248" s="29" t="n"/>
      <c r="K248" s="29" t="n"/>
      <c r="L248" s="29" t="n"/>
    </row>
    <row r="249" ht="22" customHeight="1">
      <c r="B249" s="14">
        <f>'設定'!$I$13</f>
        <v/>
      </c>
      <c r="C249" s="29" t="n"/>
      <c r="D249" s="29" t="n"/>
      <c r="E249" s="29" t="n"/>
      <c r="F249" s="29" t="n"/>
      <c r="G249" s="29" t="n"/>
      <c r="H249" s="29" t="n"/>
      <c r="I249" s="29" t="n"/>
      <c r="J249" s="29" t="n"/>
      <c r="K249" s="29" t="n"/>
      <c r="L249" s="29" t="n"/>
    </row>
    <row r="250" ht="22" customHeight="1">
      <c r="B250" s="14">
        <f>'設定'!$I$14</f>
        <v/>
      </c>
      <c r="C250" s="29" t="n"/>
      <c r="D250" s="29" t="n"/>
      <c r="E250" s="29" t="n"/>
      <c r="F250" s="29" t="n"/>
      <c r="G250" s="29" t="n"/>
      <c r="H250" s="29" t="n"/>
      <c r="I250" s="29" t="n"/>
      <c r="J250" s="29" t="n"/>
      <c r="K250" s="29" t="n"/>
      <c r="L250" s="29" t="n"/>
    </row>
    <row r="251" ht="22" customHeight="1">
      <c r="B251" s="14">
        <f>'設定'!$I$15</f>
        <v/>
      </c>
      <c r="C251" s="29" t="n"/>
      <c r="D251" s="29" t="n"/>
      <c r="E251" s="29" t="n"/>
      <c r="F251" s="29" t="n"/>
      <c r="G251" s="29" t="n"/>
      <c r="H251" s="29" t="n"/>
      <c r="I251" s="29" t="n"/>
      <c r="J251" s="29" t="n"/>
      <c r="K251" s="29" t="n"/>
      <c r="L251" s="29" t="n"/>
    </row>
    <row r="252" ht="22" customHeight="1">
      <c r="B252" s="14">
        <f>'設定'!$I$16</f>
        <v/>
      </c>
      <c r="C252" s="29" t="n"/>
      <c r="D252" s="29" t="n"/>
      <c r="E252" s="29" t="n"/>
      <c r="F252" s="29" t="n"/>
      <c r="G252" s="29" t="n"/>
      <c r="H252" s="29" t="n"/>
      <c r="I252" s="29" t="n"/>
      <c r="J252" s="29" t="n"/>
      <c r="K252" s="29" t="n"/>
      <c r="L252" s="29" t="n"/>
    </row>
    <row r="253" ht="22" customHeight="1">
      <c r="B253" s="14">
        <f>'設定'!$I$17</f>
        <v/>
      </c>
      <c r="C253" s="29" t="n"/>
      <c r="D253" s="29" t="n"/>
      <c r="E253" s="29" t="n"/>
      <c r="F253" s="29" t="n"/>
      <c r="G253" s="29" t="n"/>
      <c r="H253" s="29" t="n"/>
      <c r="I253" s="29" t="n"/>
      <c r="J253" s="29" t="n"/>
      <c r="K253" s="29" t="n"/>
      <c r="L253" s="29" t="n"/>
    </row>
    <row r="254" ht="22" customHeight="1">
      <c r="B254" s="14">
        <f>'設定'!$I$18</f>
        <v/>
      </c>
      <c r="C254" s="29" t="n"/>
      <c r="D254" s="29" t="n"/>
      <c r="E254" s="29" t="n"/>
      <c r="F254" s="29" t="n"/>
      <c r="G254" s="29" t="n"/>
      <c r="H254" s="29" t="n"/>
      <c r="I254" s="29" t="n"/>
      <c r="J254" s="29" t="n"/>
      <c r="K254" s="29" t="n"/>
      <c r="L254" s="29" t="n"/>
    </row>
    <row r="255" ht="22" customHeight="1">
      <c r="B255" s="14">
        <f>'設定'!$I$19</f>
        <v/>
      </c>
      <c r="C255" s="29" t="n"/>
      <c r="D255" s="29" t="n"/>
      <c r="E255" s="29" t="n"/>
      <c r="F255" s="29" t="n"/>
      <c r="G255" s="29" t="n"/>
      <c r="H255" s="29" t="n"/>
      <c r="I255" s="29" t="n"/>
      <c r="J255" s="29" t="n"/>
      <c r="K255" s="29" t="n"/>
      <c r="L255" s="29" t="n"/>
    </row>
    <row r="256" ht="22" customHeight="1">
      <c r="B256" s="14">
        <f>'設定'!$I$20</f>
        <v/>
      </c>
      <c r="C256" s="29" t="n"/>
      <c r="D256" s="29" t="n"/>
      <c r="E256" s="29" t="n"/>
      <c r="F256" s="29" t="n"/>
      <c r="G256" s="29" t="n"/>
      <c r="H256" s="29" t="n"/>
      <c r="I256" s="29" t="n"/>
      <c r="J256" s="29" t="n"/>
      <c r="K256" s="29" t="n"/>
      <c r="L256" s="29" t="n"/>
    </row>
    <row r="257" ht="22" customHeight="1">
      <c r="B257" s="14">
        <f>'設定'!$I$21</f>
        <v/>
      </c>
      <c r="C257" s="29" t="n"/>
      <c r="D257" s="29" t="n"/>
      <c r="E257" s="29" t="n"/>
      <c r="F257" s="29" t="n"/>
      <c r="G257" s="29" t="n"/>
      <c r="H257" s="29" t="n"/>
      <c r="I257" s="29" t="n"/>
      <c r="J257" s="29" t="n"/>
      <c r="K257" s="29" t="n"/>
      <c r="L257" s="29" t="n"/>
    </row>
    <row r="258" ht="22" customHeight="1">
      <c r="B258" s="14">
        <f>'設定'!$I$22</f>
        <v/>
      </c>
      <c r="C258" s="29" t="n"/>
      <c r="D258" s="29" t="n"/>
      <c r="E258" s="29" t="n"/>
      <c r="F258" s="29" t="n"/>
      <c r="G258" s="29" t="n"/>
      <c r="H258" s="29" t="n"/>
      <c r="I258" s="29" t="n"/>
      <c r="J258" s="29" t="n"/>
      <c r="K258" s="29" t="n"/>
      <c r="L258" s="29" t="n"/>
    </row>
    <row r="260" ht="26" customHeight="1">
      <c r="B260" s="24">
        <f>IF('名簿'!B22="","（名簿 18行目：なし）",'名簿'!E22)</f>
        <v/>
      </c>
      <c r="E260" s="25" t="inlineStr">
        <is>
          <t>提出状況 ▶</t>
        </is>
      </c>
      <c r="F260" s="17" t="n"/>
      <c r="G260" s="13" t="n"/>
      <c r="H260" s="26" t="inlineStr">
        <is>
          <t>状況：</t>
        </is>
      </c>
      <c r="I260" s="27">
        <f>'名簿'!F22</f>
        <v/>
      </c>
      <c r="J260" s="26" t="inlineStr">
        <is>
          <t>×の数：</t>
        </is>
      </c>
      <c r="K260" s="27">
        <f>'名簿'!G22</f>
        <v/>
      </c>
    </row>
    <row r="261">
      <c r="B261" s="28" t="inlineStr"/>
      <c r="C261" s="14">
        <f>'設定'!$E$11</f>
        <v/>
      </c>
      <c r="D261" s="14">
        <f>'設定'!$E$12</f>
        <v/>
      </c>
      <c r="E261" s="14">
        <f>'設定'!$E$13</f>
        <v/>
      </c>
      <c r="F261" s="14">
        <f>'設定'!$E$14</f>
        <v/>
      </c>
      <c r="G261" s="14">
        <f>'設定'!$E$15</f>
        <v/>
      </c>
      <c r="H261" s="14">
        <f>'設定'!$E$16</f>
        <v/>
      </c>
      <c r="I261" s="14">
        <f>'設定'!$E$17</f>
        <v/>
      </c>
      <c r="J261" s="14">
        <f>'設定'!$E$18</f>
        <v/>
      </c>
      <c r="K261" s="14">
        <f>'設定'!$E$19</f>
        <v/>
      </c>
      <c r="L261" s="14">
        <f>'設定'!$E$20</f>
        <v/>
      </c>
    </row>
    <row r="262" ht="22" customHeight="1">
      <c r="B262" s="14">
        <f>'設定'!$I$11</f>
        <v/>
      </c>
      <c r="C262" s="29" t="n"/>
      <c r="D262" s="29" t="n"/>
      <c r="E262" s="29" t="n"/>
      <c r="F262" s="29" t="n"/>
      <c r="G262" s="29" t="n"/>
      <c r="H262" s="29" t="n"/>
      <c r="I262" s="29" t="n"/>
      <c r="J262" s="29" t="n"/>
      <c r="K262" s="29" t="n"/>
      <c r="L262" s="29" t="n"/>
    </row>
    <row r="263" ht="22" customHeight="1">
      <c r="B263" s="14">
        <f>'設定'!$I$12</f>
        <v/>
      </c>
      <c r="C263" s="29" t="n"/>
      <c r="D263" s="29" t="n"/>
      <c r="E263" s="29" t="n"/>
      <c r="F263" s="29" t="n"/>
      <c r="G263" s="29" t="n"/>
      <c r="H263" s="29" t="n"/>
      <c r="I263" s="29" t="n"/>
      <c r="J263" s="29" t="n"/>
      <c r="K263" s="29" t="n"/>
      <c r="L263" s="29" t="n"/>
    </row>
    <row r="264" ht="22" customHeight="1">
      <c r="B264" s="14">
        <f>'設定'!$I$13</f>
        <v/>
      </c>
      <c r="C264" s="29" t="n"/>
      <c r="D264" s="29" t="n"/>
      <c r="E264" s="29" t="n"/>
      <c r="F264" s="29" t="n"/>
      <c r="G264" s="29" t="n"/>
      <c r="H264" s="29" t="n"/>
      <c r="I264" s="29" t="n"/>
      <c r="J264" s="29" t="n"/>
      <c r="K264" s="29" t="n"/>
      <c r="L264" s="29" t="n"/>
    </row>
    <row r="265" ht="22" customHeight="1">
      <c r="B265" s="14">
        <f>'設定'!$I$14</f>
        <v/>
      </c>
      <c r="C265" s="29" t="n"/>
      <c r="D265" s="29" t="n"/>
      <c r="E265" s="29" t="n"/>
      <c r="F265" s="29" t="n"/>
      <c r="G265" s="29" t="n"/>
      <c r="H265" s="29" t="n"/>
      <c r="I265" s="29" t="n"/>
      <c r="J265" s="29" t="n"/>
      <c r="K265" s="29" t="n"/>
      <c r="L265" s="29" t="n"/>
    </row>
    <row r="266" ht="22" customHeight="1">
      <c r="B266" s="14">
        <f>'設定'!$I$15</f>
        <v/>
      </c>
      <c r="C266" s="29" t="n"/>
      <c r="D266" s="29" t="n"/>
      <c r="E266" s="29" t="n"/>
      <c r="F266" s="29" t="n"/>
      <c r="G266" s="29" t="n"/>
      <c r="H266" s="29" t="n"/>
      <c r="I266" s="29" t="n"/>
      <c r="J266" s="29" t="n"/>
      <c r="K266" s="29" t="n"/>
      <c r="L266" s="29" t="n"/>
    </row>
    <row r="267" ht="22" customHeight="1">
      <c r="B267" s="14">
        <f>'設定'!$I$16</f>
        <v/>
      </c>
      <c r="C267" s="29" t="n"/>
      <c r="D267" s="29" t="n"/>
      <c r="E267" s="29" t="n"/>
      <c r="F267" s="29" t="n"/>
      <c r="G267" s="29" t="n"/>
      <c r="H267" s="29" t="n"/>
      <c r="I267" s="29" t="n"/>
      <c r="J267" s="29" t="n"/>
      <c r="K267" s="29" t="n"/>
      <c r="L267" s="29" t="n"/>
    </row>
    <row r="268" ht="22" customHeight="1">
      <c r="B268" s="14">
        <f>'設定'!$I$17</f>
        <v/>
      </c>
      <c r="C268" s="29" t="n"/>
      <c r="D268" s="29" t="n"/>
      <c r="E268" s="29" t="n"/>
      <c r="F268" s="29" t="n"/>
      <c r="G268" s="29" t="n"/>
      <c r="H268" s="29" t="n"/>
      <c r="I268" s="29" t="n"/>
      <c r="J268" s="29" t="n"/>
      <c r="K268" s="29" t="n"/>
      <c r="L268" s="29" t="n"/>
    </row>
    <row r="269" ht="22" customHeight="1">
      <c r="B269" s="14">
        <f>'設定'!$I$18</f>
        <v/>
      </c>
      <c r="C269" s="29" t="n"/>
      <c r="D269" s="29" t="n"/>
      <c r="E269" s="29" t="n"/>
      <c r="F269" s="29" t="n"/>
      <c r="G269" s="29" t="n"/>
      <c r="H269" s="29" t="n"/>
      <c r="I269" s="29" t="n"/>
      <c r="J269" s="29" t="n"/>
      <c r="K269" s="29" t="n"/>
      <c r="L269" s="29" t="n"/>
    </row>
    <row r="270" ht="22" customHeight="1">
      <c r="B270" s="14">
        <f>'設定'!$I$19</f>
        <v/>
      </c>
      <c r="C270" s="29" t="n"/>
      <c r="D270" s="29" t="n"/>
      <c r="E270" s="29" t="n"/>
      <c r="F270" s="29" t="n"/>
      <c r="G270" s="29" t="n"/>
      <c r="H270" s="29" t="n"/>
      <c r="I270" s="29" t="n"/>
      <c r="J270" s="29" t="n"/>
      <c r="K270" s="29" t="n"/>
      <c r="L270" s="29" t="n"/>
    </row>
    <row r="271" ht="22" customHeight="1">
      <c r="B271" s="14">
        <f>'設定'!$I$20</f>
        <v/>
      </c>
      <c r="C271" s="29" t="n"/>
      <c r="D271" s="29" t="n"/>
      <c r="E271" s="29" t="n"/>
      <c r="F271" s="29" t="n"/>
      <c r="G271" s="29" t="n"/>
      <c r="H271" s="29" t="n"/>
      <c r="I271" s="29" t="n"/>
      <c r="J271" s="29" t="n"/>
      <c r="K271" s="29" t="n"/>
      <c r="L271" s="29" t="n"/>
    </row>
    <row r="272" ht="22" customHeight="1">
      <c r="B272" s="14">
        <f>'設定'!$I$21</f>
        <v/>
      </c>
      <c r="C272" s="29" t="n"/>
      <c r="D272" s="29" t="n"/>
      <c r="E272" s="29" t="n"/>
      <c r="F272" s="29" t="n"/>
      <c r="G272" s="29" t="n"/>
      <c r="H272" s="29" t="n"/>
      <c r="I272" s="29" t="n"/>
      <c r="J272" s="29" t="n"/>
      <c r="K272" s="29" t="n"/>
      <c r="L272" s="29" t="n"/>
    </row>
    <row r="273" ht="22" customHeight="1">
      <c r="B273" s="14">
        <f>'設定'!$I$22</f>
        <v/>
      </c>
      <c r="C273" s="29" t="n"/>
      <c r="D273" s="29" t="n"/>
      <c r="E273" s="29" t="n"/>
      <c r="F273" s="29" t="n"/>
      <c r="G273" s="29" t="n"/>
      <c r="H273" s="29" t="n"/>
      <c r="I273" s="29" t="n"/>
      <c r="J273" s="29" t="n"/>
      <c r="K273" s="29" t="n"/>
      <c r="L273" s="29" t="n"/>
    </row>
    <row r="275" ht="26" customHeight="1">
      <c r="B275" s="24">
        <f>IF('名簿'!B23="","（名簿 19行目：なし）",'名簿'!E23)</f>
        <v/>
      </c>
      <c r="E275" s="25" t="inlineStr">
        <is>
          <t>提出状況 ▶</t>
        </is>
      </c>
      <c r="F275" s="17" t="n"/>
      <c r="G275" s="13" t="n"/>
      <c r="H275" s="26" t="inlineStr">
        <is>
          <t>状況：</t>
        </is>
      </c>
      <c r="I275" s="27">
        <f>'名簿'!F23</f>
        <v/>
      </c>
      <c r="J275" s="26" t="inlineStr">
        <is>
          <t>×の数：</t>
        </is>
      </c>
      <c r="K275" s="27">
        <f>'名簿'!G23</f>
        <v/>
      </c>
    </row>
    <row r="276">
      <c r="B276" s="28" t="inlineStr"/>
      <c r="C276" s="14">
        <f>'設定'!$E$11</f>
        <v/>
      </c>
      <c r="D276" s="14">
        <f>'設定'!$E$12</f>
        <v/>
      </c>
      <c r="E276" s="14">
        <f>'設定'!$E$13</f>
        <v/>
      </c>
      <c r="F276" s="14">
        <f>'設定'!$E$14</f>
        <v/>
      </c>
      <c r="G276" s="14">
        <f>'設定'!$E$15</f>
        <v/>
      </c>
      <c r="H276" s="14">
        <f>'設定'!$E$16</f>
        <v/>
      </c>
      <c r="I276" s="14">
        <f>'設定'!$E$17</f>
        <v/>
      </c>
      <c r="J276" s="14">
        <f>'設定'!$E$18</f>
        <v/>
      </c>
      <c r="K276" s="14">
        <f>'設定'!$E$19</f>
        <v/>
      </c>
      <c r="L276" s="14">
        <f>'設定'!$E$20</f>
        <v/>
      </c>
    </row>
    <row r="277" ht="22" customHeight="1">
      <c r="B277" s="14">
        <f>'設定'!$I$11</f>
        <v/>
      </c>
      <c r="C277" s="29" t="n"/>
      <c r="D277" s="29" t="n"/>
      <c r="E277" s="29" t="n"/>
      <c r="F277" s="29" t="n"/>
      <c r="G277" s="29" t="n"/>
      <c r="H277" s="29" t="n"/>
      <c r="I277" s="29" t="n"/>
      <c r="J277" s="29" t="n"/>
      <c r="K277" s="29" t="n"/>
      <c r="L277" s="29" t="n"/>
    </row>
    <row r="278" ht="22" customHeight="1">
      <c r="B278" s="14">
        <f>'設定'!$I$12</f>
        <v/>
      </c>
      <c r="C278" s="29" t="n"/>
      <c r="D278" s="29" t="n"/>
      <c r="E278" s="29" t="n"/>
      <c r="F278" s="29" t="n"/>
      <c r="G278" s="29" t="n"/>
      <c r="H278" s="29" t="n"/>
      <c r="I278" s="29" t="n"/>
      <c r="J278" s="29" t="n"/>
      <c r="K278" s="29" t="n"/>
      <c r="L278" s="29" t="n"/>
    </row>
    <row r="279" ht="22" customHeight="1">
      <c r="B279" s="14">
        <f>'設定'!$I$13</f>
        <v/>
      </c>
      <c r="C279" s="29" t="n"/>
      <c r="D279" s="29" t="n"/>
      <c r="E279" s="29" t="n"/>
      <c r="F279" s="29" t="n"/>
      <c r="G279" s="29" t="n"/>
      <c r="H279" s="29" t="n"/>
      <c r="I279" s="29" t="n"/>
      <c r="J279" s="29" t="n"/>
      <c r="K279" s="29" t="n"/>
      <c r="L279" s="29" t="n"/>
    </row>
    <row r="280" ht="22" customHeight="1">
      <c r="B280" s="14">
        <f>'設定'!$I$14</f>
        <v/>
      </c>
      <c r="C280" s="29" t="n"/>
      <c r="D280" s="29" t="n"/>
      <c r="E280" s="29" t="n"/>
      <c r="F280" s="29" t="n"/>
      <c r="G280" s="29" t="n"/>
      <c r="H280" s="29" t="n"/>
      <c r="I280" s="29" t="n"/>
      <c r="J280" s="29" t="n"/>
      <c r="K280" s="29" t="n"/>
      <c r="L280" s="29" t="n"/>
    </row>
    <row r="281" ht="22" customHeight="1">
      <c r="B281" s="14">
        <f>'設定'!$I$15</f>
        <v/>
      </c>
      <c r="C281" s="29" t="n"/>
      <c r="D281" s="29" t="n"/>
      <c r="E281" s="29" t="n"/>
      <c r="F281" s="29" t="n"/>
      <c r="G281" s="29" t="n"/>
      <c r="H281" s="29" t="n"/>
      <c r="I281" s="29" t="n"/>
      <c r="J281" s="29" t="n"/>
      <c r="K281" s="29" t="n"/>
      <c r="L281" s="29" t="n"/>
    </row>
    <row r="282" ht="22" customHeight="1">
      <c r="B282" s="14">
        <f>'設定'!$I$16</f>
        <v/>
      </c>
      <c r="C282" s="29" t="n"/>
      <c r="D282" s="29" t="n"/>
      <c r="E282" s="29" t="n"/>
      <c r="F282" s="29" t="n"/>
      <c r="G282" s="29" t="n"/>
      <c r="H282" s="29" t="n"/>
      <c r="I282" s="29" t="n"/>
      <c r="J282" s="29" t="n"/>
      <c r="K282" s="29" t="n"/>
      <c r="L282" s="29" t="n"/>
    </row>
    <row r="283" ht="22" customHeight="1">
      <c r="B283" s="14">
        <f>'設定'!$I$17</f>
        <v/>
      </c>
      <c r="C283" s="29" t="n"/>
      <c r="D283" s="29" t="n"/>
      <c r="E283" s="29" t="n"/>
      <c r="F283" s="29" t="n"/>
      <c r="G283" s="29" t="n"/>
      <c r="H283" s="29" t="n"/>
      <c r="I283" s="29" t="n"/>
      <c r="J283" s="29" t="n"/>
      <c r="K283" s="29" t="n"/>
      <c r="L283" s="29" t="n"/>
    </row>
    <row r="284" ht="22" customHeight="1">
      <c r="B284" s="14">
        <f>'設定'!$I$18</f>
        <v/>
      </c>
      <c r="C284" s="29" t="n"/>
      <c r="D284" s="29" t="n"/>
      <c r="E284" s="29" t="n"/>
      <c r="F284" s="29" t="n"/>
      <c r="G284" s="29" t="n"/>
      <c r="H284" s="29" t="n"/>
      <c r="I284" s="29" t="n"/>
      <c r="J284" s="29" t="n"/>
      <c r="K284" s="29" t="n"/>
      <c r="L284" s="29" t="n"/>
    </row>
    <row r="285" ht="22" customHeight="1">
      <c r="B285" s="14">
        <f>'設定'!$I$19</f>
        <v/>
      </c>
      <c r="C285" s="29" t="n"/>
      <c r="D285" s="29" t="n"/>
      <c r="E285" s="29" t="n"/>
      <c r="F285" s="29" t="n"/>
      <c r="G285" s="29" t="n"/>
      <c r="H285" s="29" t="n"/>
      <c r="I285" s="29" t="n"/>
      <c r="J285" s="29" t="n"/>
      <c r="K285" s="29" t="n"/>
      <c r="L285" s="29" t="n"/>
    </row>
    <row r="286" ht="22" customHeight="1">
      <c r="B286" s="14">
        <f>'設定'!$I$20</f>
        <v/>
      </c>
      <c r="C286" s="29" t="n"/>
      <c r="D286" s="29" t="n"/>
      <c r="E286" s="29" t="n"/>
      <c r="F286" s="29" t="n"/>
      <c r="G286" s="29" t="n"/>
      <c r="H286" s="29" t="n"/>
      <c r="I286" s="29" t="n"/>
      <c r="J286" s="29" t="n"/>
      <c r="K286" s="29" t="n"/>
      <c r="L286" s="29" t="n"/>
    </row>
    <row r="287" ht="22" customHeight="1">
      <c r="B287" s="14">
        <f>'設定'!$I$21</f>
        <v/>
      </c>
      <c r="C287" s="29" t="n"/>
      <c r="D287" s="29" t="n"/>
      <c r="E287" s="29" t="n"/>
      <c r="F287" s="29" t="n"/>
      <c r="G287" s="29" t="n"/>
      <c r="H287" s="29" t="n"/>
      <c r="I287" s="29" t="n"/>
      <c r="J287" s="29" t="n"/>
      <c r="K287" s="29" t="n"/>
      <c r="L287" s="29" t="n"/>
    </row>
    <row r="288" ht="22" customHeight="1">
      <c r="B288" s="14">
        <f>'設定'!$I$22</f>
        <v/>
      </c>
      <c r="C288" s="29" t="n"/>
      <c r="D288" s="29" t="n"/>
      <c r="E288" s="29" t="n"/>
      <c r="F288" s="29" t="n"/>
      <c r="G288" s="29" t="n"/>
      <c r="H288" s="29" t="n"/>
      <c r="I288" s="29" t="n"/>
      <c r="J288" s="29" t="n"/>
      <c r="K288" s="29" t="n"/>
      <c r="L288" s="29" t="n"/>
    </row>
    <row r="290" ht="26" customHeight="1">
      <c r="B290" s="24">
        <f>IF('名簿'!B24="","（名簿 20行目：なし）",'名簿'!E24)</f>
        <v/>
      </c>
      <c r="E290" s="25" t="inlineStr">
        <is>
          <t>提出状況 ▶</t>
        </is>
      </c>
      <c r="F290" s="17" t="n"/>
      <c r="G290" s="13" t="n"/>
      <c r="H290" s="26" t="inlineStr">
        <is>
          <t>状況：</t>
        </is>
      </c>
      <c r="I290" s="27">
        <f>'名簿'!F24</f>
        <v/>
      </c>
      <c r="J290" s="26" t="inlineStr">
        <is>
          <t>×の数：</t>
        </is>
      </c>
      <c r="K290" s="27">
        <f>'名簿'!G24</f>
        <v/>
      </c>
    </row>
    <row r="291">
      <c r="B291" s="28" t="inlineStr"/>
      <c r="C291" s="14">
        <f>'設定'!$E$11</f>
        <v/>
      </c>
      <c r="D291" s="14">
        <f>'設定'!$E$12</f>
        <v/>
      </c>
      <c r="E291" s="14">
        <f>'設定'!$E$13</f>
        <v/>
      </c>
      <c r="F291" s="14">
        <f>'設定'!$E$14</f>
        <v/>
      </c>
      <c r="G291" s="14">
        <f>'設定'!$E$15</f>
        <v/>
      </c>
      <c r="H291" s="14">
        <f>'設定'!$E$16</f>
        <v/>
      </c>
      <c r="I291" s="14">
        <f>'設定'!$E$17</f>
        <v/>
      </c>
      <c r="J291" s="14">
        <f>'設定'!$E$18</f>
        <v/>
      </c>
      <c r="K291" s="14">
        <f>'設定'!$E$19</f>
        <v/>
      </c>
      <c r="L291" s="14">
        <f>'設定'!$E$20</f>
        <v/>
      </c>
    </row>
    <row r="292" ht="22" customHeight="1">
      <c r="B292" s="14">
        <f>'設定'!$I$11</f>
        <v/>
      </c>
      <c r="C292" s="29" t="n"/>
      <c r="D292" s="29" t="n"/>
      <c r="E292" s="29" t="n"/>
      <c r="F292" s="29" t="n"/>
      <c r="G292" s="29" t="n"/>
      <c r="H292" s="29" t="n"/>
      <c r="I292" s="29" t="n"/>
      <c r="J292" s="29" t="n"/>
      <c r="K292" s="29" t="n"/>
      <c r="L292" s="29" t="n"/>
    </row>
    <row r="293" ht="22" customHeight="1">
      <c r="B293" s="14">
        <f>'設定'!$I$12</f>
        <v/>
      </c>
      <c r="C293" s="29" t="n"/>
      <c r="D293" s="29" t="n"/>
      <c r="E293" s="29" t="n"/>
      <c r="F293" s="29" t="n"/>
      <c r="G293" s="29" t="n"/>
      <c r="H293" s="29" t="n"/>
      <c r="I293" s="29" t="n"/>
      <c r="J293" s="29" t="n"/>
      <c r="K293" s="29" t="n"/>
      <c r="L293" s="29" t="n"/>
    </row>
    <row r="294" ht="22" customHeight="1">
      <c r="B294" s="14">
        <f>'設定'!$I$13</f>
        <v/>
      </c>
      <c r="C294" s="29" t="n"/>
      <c r="D294" s="29" t="n"/>
      <c r="E294" s="29" t="n"/>
      <c r="F294" s="29" t="n"/>
      <c r="G294" s="29" t="n"/>
      <c r="H294" s="29" t="n"/>
      <c r="I294" s="29" t="n"/>
      <c r="J294" s="29" t="n"/>
      <c r="K294" s="29" t="n"/>
      <c r="L294" s="29" t="n"/>
    </row>
    <row r="295" ht="22" customHeight="1">
      <c r="B295" s="14">
        <f>'設定'!$I$14</f>
        <v/>
      </c>
      <c r="C295" s="29" t="n"/>
      <c r="D295" s="29" t="n"/>
      <c r="E295" s="29" t="n"/>
      <c r="F295" s="29" t="n"/>
      <c r="G295" s="29" t="n"/>
      <c r="H295" s="29" t="n"/>
      <c r="I295" s="29" t="n"/>
      <c r="J295" s="29" t="n"/>
      <c r="K295" s="29" t="n"/>
      <c r="L295" s="29" t="n"/>
    </row>
    <row r="296" ht="22" customHeight="1">
      <c r="B296" s="14">
        <f>'設定'!$I$15</f>
        <v/>
      </c>
      <c r="C296" s="29" t="n"/>
      <c r="D296" s="29" t="n"/>
      <c r="E296" s="29" t="n"/>
      <c r="F296" s="29" t="n"/>
      <c r="G296" s="29" t="n"/>
      <c r="H296" s="29" t="n"/>
      <c r="I296" s="29" t="n"/>
      <c r="J296" s="29" t="n"/>
      <c r="K296" s="29" t="n"/>
      <c r="L296" s="29" t="n"/>
    </row>
    <row r="297" ht="22" customHeight="1">
      <c r="B297" s="14">
        <f>'設定'!$I$16</f>
        <v/>
      </c>
      <c r="C297" s="29" t="n"/>
      <c r="D297" s="29" t="n"/>
      <c r="E297" s="29" t="n"/>
      <c r="F297" s="29" t="n"/>
      <c r="G297" s="29" t="n"/>
      <c r="H297" s="29" t="n"/>
      <c r="I297" s="29" t="n"/>
      <c r="J297" s="29" t="n"/>
      <c r="K297" s="29" t="n"/>
      <c r="L297" s="29" t="n"/>
    </row>
    <row r="298" ht="22" customHeight="1">
      <c r="B298" s="14">
        <f>'設定'!$I$17</f>
        <v/>
      </c>
      <c r="C298" s="29" t="n"/>
      <c r="D298" s="29" t="n"/>
      <c r="E298" s="29" t="n"/>
      <c r="F298" s="29" t="n"/>
      <c r="G298" s="29" t="n"/>
      <c r="H298" s="29" t="n"/>
      <c r="I298" s="29" t="n"/>
      <c r="J298" s="29" t="n"/>
      <c r="K298" s="29" t="n"/>
      <c r="L298" s="29" t="n"/>
    </row>
    <row r="299" ht="22" customHeight="1">
      <c r="B299" s="14">
        <f>'設定'!$I$18</f>
        <v/>
      </c>
      <c r="C299" s="29" t="n"/>
      <c r="D299" s="29" t="n"/>
      <c r="E299" s="29" t="n"/>
      <c r="F299" s="29" t="n"/>
      <c r="G299" s="29" t="n"/>
      <c r="H299" s="29" t="n"/>
      <c r="I299" s="29" t="n"/>
      <c r="J299" s="29" t="n"/>
      <c r="K299" s="29" t="n"/>
      <c r="L299" s="29" t="n"/>
    </row>
    <row r="300" ht="22" customHeight="1">
      <c r="B300" s="14">
        <f>'設定'!$I$19</f>
        <v/>
      </c>
      <c r="C300" s="29" t="n"/>
      <c r="D300" s="29" t="n"/>
      <c r="E300" s="29" t="n"/>
      <c r="F300" s="29" t="n"/>
      <c r="G300" s="29" t="n"/>
      <c r="H300" s="29" t="n"/>
      <c r="I300" s="29" t="n"/>
      <c r="J300" s="29" t="n"/>
      <c r="K300" s="29" t="n"/>
      <c r="L300" s="29" t="n"/>
    </row>
    <row r="301" ht="22" customHeight="1">
      <c r="B301" s="14">
        <f>'設定'!$I$20</f>
        <v/>
      </c>
      <c r="C301" s="29" t="n"/>
      <c r="D301" s="29" t="n"/>
      <c r="E301" s="29" t="n"/>
      <c r="F301" s="29" t="n"/>
      <c r="G301" s="29" t="n"/>
      <c r="H301" s="29" t="n"/>
      <c r="I301" s="29" t="n"/>
      <c r="J301" s="29" t="n"/>
      <c r="K301" s="29" t="n"/>
      <c r="L301" s="29" t="n"/>
    </row>
    <row r="302" ht="22" customHeight="1">
      <c r="B302" s="14">
        <f>'設定'!$I$21</f>
        <v/>
      </c>
      <c r="C302" s="29" t="n"/>
      <c r="D302" s="29" t="n"/>
      <c r="E302" s="29" t="n"/>
      <c r="F302" s="29" t="n"/>
      <c r="G302" s="29" t="n"/>
      <c r="H302" s="29" t="n"/>
      <c r="I302" s="29" t="n"/>
      <c r="J302" s="29" t="n"/>
      <c r="K302" s="29" t="n"/>
      <c r="L302" s="29" t="n"/>
    </row>
    <row r="303" ht="22" customHeight="1">
      <c r="B303" s="14">
        <f>'設定'!$I$22</f>
        <v/>
      </c>
      <c r="C303" s="29" t="n"/>
      <c r="D303" s="29" t="n"/>
      <c r="E303" s="29" t="n"/>
      <c r="F303" s="29" t="n"/>
      <c r="G303" s="29" t="n"/>
      <c r="H303" s="29" t="n"/>
      <c r="I303" s="29" t="n"/>
      <c r="J303" s="29" t="n"/>
      <c r="K303" s="29" t="n"/>
      <c r="L303" s="29" t="n"/>
    </row>
    <row r="305" ht="26" customHeight="1">
      <c r="B305" s="24">
        <f>IF('名簿'!B25="","（名簿 21行目：なし）",'名簿'!E25)</f>
        <v/>
      </c>
      <c r="E305" s="25" t="inlineStr">
        <is>
          <t>提出状況 ▶</t>
        </is>
      </c>
      <c r="F305" s="17" t="n"/>
      <c r="G305" s="13" t="n"/>
      <c r="H305" s="26" t="inlineStr">
        <is>
          <t>状況：</t>
        </is>
      </c>
      <c r="I305" s="27">
        <f>'名簿'!F25</f>
        <v/>
      </c>
      <c r="J305" s="26" t="inlineStr">
        <is>
          <t>×の数：</t>
        </is>
      </c>
      <c r="K305" s="27">
        <f>'名簿'!G25</f>
        <v/>
      </c>
    </row>
    <row r="306">
      <c r="B306" s="28" t="inlineStr"/>
      <c r="C306" s="14">
        <f>'設定'!$E$11</f>
        <v/>
      </c>
      <c r="D306" s="14">
        <f>'設定'!$E$12</f>
        <v/>
      </c>
      <c r="E306" s="14">
        <f>'設定'!$E$13</f>
        <v/>
      </c>
      <c r="F306" s="14">
        <f>'設定'!$E$14</f>
        <v/>
      </c>
      <c r="G306" s="14">
        <f>'設定'!$E$15</f>
        <v/>
      </c>
      <c r="H306" s="14">
        <f>'設定'!$E$16</f>
        <v/>
      </c>
      <c r="I306" s="14">
        <f>'設定'!$E$17</f>
        <v/>
      </c>
      <c r="J306" s="14">
        <f>'設定'!$E$18</f>
        <v/>
      </c>
      <c r="K306" s="14">
        <f>'設定'!$E$19</f>
        <v/>
      </c>
      <c r="L306" s="14">
        <f>'設定'!$E$20</f>
        <v/>
      </c>
    </row>
    <row r="307" ht="22" customHeight="1">
      <c r="B307" s="14">
        <f>'設定'!$I$11</f>
        <v/>
      </c>
      <c r="C307" s="29" t="n"/>
      <c r="D307" s="29" t="n"/>
      <c r="E307" s="29" t="n"/>
      <c r="F307" s="29" t="n"/>
      <c r="G307" s="29" t="n"/>
      <c r="H307" s="29" t="n"/>
      <c r="I307" s="29" t="n"/>
      <c r="J307" s="29" t="n"/>
      <c r="K307" s="29" t="n"/>
      <c r="L307" s="29" t="n"/>
    </row>
    <row r="308" ht="22" customHeight="1">
      <c r="B308" s="14">
        <f>'設定'!$I$12</f>
        <v/>
      </c>
      <c r="C308" s="29" t="n"/>
      <c r="D308" s="29" t="n"/>
      <c r="E308" s="29" t="n"/>
      <c r="F308" s="29" t="n"/>
      <c r="G308" s="29" t="n"/>
      <c r="H308" s="29" t="n"/>
      <c r="I308" s="29" t="n"/>
      <c r="J308" s="29" t="n"/>
      <c r="K308" s="29" t="n"/>
      <c r="L308" s="29" t="n"/>
    </row>
    <row r="309" ht="22" customHeight="1">
      <c r="B309" s="14">
        <f>'設定'!$I$13</f>
        <v/>
      </c>
      <c r="C309" s="29" t="n"/>
      <c r="D309" s="29" t="n"/>
      <c r="E309" s="29" t="n"/>
      <c r="F309" s="29" t="n"/>
      <c r="G309" s="29" t="n"/>
      <c r="H309" s="29" t="n"/>
      <c r="I309" s="29" t="n"/>
      <c r="J309" s="29" t="n"/>
      <c r="K309" s="29" t="n"/>
      <c r="L309" s="29" t="n"/>
    </row>
    <row r="310" ht="22" customHeight="1">
      <c r="B310" s="14">
        <f>'設定'!$I$14</f>
        <v/>
      </c>
      <c r="C310" s="29" t="n"/>
      <c r="D310" s="29" t="n"/>
      <c r="E310" s="29" t="n"/>
      <c r="F310" s="29" t="n"/>
      <c r="G310" s="29" t="n"/>
      <c r="H310" s="29" t="n"/>
      <c r="I310" s="29" t="n"/>
      <c r="J310" s="29" t="n"/>
      <c r="K310" s="29" t="n"/>
      <c r="L310" s="29" t="n"/>
    </row>
    <row r="311" ht="22" customHeight="1">
      <c r="B311" s="14">
        <f>'設定'!$I$15</f>
        <v/>
      </c>
      <c r="C311" s="29" t="n"/>
      <c r="D311" s="29" t="n"/>
      <c r="E311" s="29" t="n"/>
      <c r="F311" s="29" t="n"/>
      <c r="G311" s="29" t="n"/>
      <c r="H311" s="29" t="n"/>
      <c r="I311" s="29" t="n"/>
      <c r="J311" s="29" t="n"/>
      <c r="K311" s="29" t="n"/>
      <c r="L311" s="29" t="n"/>
    </row>
    <row r="312" ht="22" customHeight="1">
      <c r="B312" s="14">
        <f>'設定'!$I$16</f>
        <v/>
      </c>
      <c r="C312" s="29" t="n"/>
      <c r="D312" s="29" t="n"/>
      <c r="E312" s="29" t="n"/>
      <c r="F312" s="29" t="n"/>
      <c r="G312" s="29" t="n"/>
      <c r="H312" s="29" t="n"/>
      <c r="I312" s="29" t="n"/>
      <c r="J312" s="29" t="n"/>
      <c r="K312" s="29" t="n"/>
      <c r="L312" s="29" t="n"/>
    </row>
    <row r="313" ht="22" customHeight="1">
      <c r="B313" s="14">
        <f>'設定'!$I$17</f>
        <v/>
      </c>
      <c r="C313" s="29" t="n"/>
      <c r="D313" s="29" t="n"/>
      <c r="E313" s="29" t="n"/>
      <c r="F313" s="29" t="n"/>
      <c r="G313" s="29" t="n"/>
      <c r="H313" s="29" t="n"/>
      <c r="I313" s="29" t="n"/>
      <c r="J313" s="29" t="n"/>
      <c r="K313" s="29" t="n"/>
      <c r="L313" s="29" t="n"/>
    </row>
    <row r="314" ht="22" customHeight="1">
      <c r="B314" s="14">
        <f>'設定'!$I$18</f>
        <v/>
      </c>
      <c r="C314" s="29" t="n"/>
      <c r="D314" s="29" t="n"/>
      <c r="E314" s="29" t="n"/>
      <c r="F314" s="29" t="n"/>
      <c r="G314" s="29" t="n"/>
      <c r="H314" s="29" t="n"/>
      <c r="I314" s="29" t="n"/>
      <c r="J314" s="29" t="n"/>
      <c r="K314" s="29" t="n"/>
      <c r="L314" s="29" t="n"/>
    </row>
    <row r="315" ht="22" customHeight="1">
      <c r="B315" s="14">
        <f>'設定'!$I$19</f>
        <v/>
      </c>
      <c r="C315" s="29" t="n"/>
      <c r="D315" s="29" t="n"/>
      <c r="E315" s="29" t="n"/>
      <c r="F315" s="29" t="n"/>
      <c r="G315" s="29" t="n"/>
      <c r="H315" s="29" t="n"/>
      <c r="I315" s="29" t="n"/>
      <c r="J315" s="29" t="n"/>
      <c r="K315" s="29" t="n"/>
      <c r="L315" s="29" t="n"/>
    </row>
    <row r="316" ht="22" customHeight="1">
      <c r="B316" s="14">
        <f>'設定'!$I$20</f>
        <v/>
      </c>
      <c r="C316" s="29" t="n"/>
      <c r="D316" s="29" t="n"/>
      <c r="E316" s="29" t="n"/>
      <c r="F316" s="29" t="n"/>
      <c r="G316" s="29" t="n"/>
      <c r="H316" s="29" t="n"/>
      <c r="I316" s="29" t="n"/>
      <c r="J316" s="29" t="n"/>
      <c r="K316" s="29" t="n"/>
      <c r="L316" s="29" t="n"/>
    </row>
    <row r="317" ht="22" customHeight="1">
      <c r="B317" s="14">
        <f>'設定'!$I$21</f>
        <v/>
      </c>
      <c r="C317" s="29" t="n"/>
      <c r="D317" s="29" t="n"/>
      <c r="E317" s="29" t="n"/>
      <c r="F317" s="29" t="n"/>
      <c r="G317" s="29" t="n"/>
      <c r="H317" s="29" t="n"/>
      <c r="I317" s="29" t="n"/>
      <c r="J317" s="29" t="n"/>
      <c r="K317" s="29" t="n"/>
      <c r="L317" s="29" t="n"/>
    </row>
    <row r="318" ht="22" customHeight="1">
      <c r="B318" s="14">
        <f>'設定'!$I$22</f>
        <v/>
      </c>
      <c r="C318" s="29" t="n"/>
      <c r="D318" s="29" t="n"/>
      <c r="E318" s="29" t="n"/>
      <c r="F318" s="29" t="n"/>
      <c r="G318" s="29" t="n"/>
      <c r="H318" s="29" t="n"/>
      <c r="I318" s="29" t="n"/>
      <c r="J318" s="29" t="n"/>
      <c r="K318" s="29" t="n"/>
      <c r="L318" s="29" t="n"/>
    </row>
    <row r="320" ht="26" customHeight="1">
      <c r="B320" s="24">
        <f>IF('名簿'!B26="","（名簿 22行目：なし）",'名簿'!E26)</f>
        <v/>
      </c>
      <c r="E320" s="25" t="inlineStr">
        <is>
          <t>提出状況 ▶</t>
        </is>
      </c>
      <c r="F320" s="17" t="n"/>
      <c r="G320" s="13" t="n"/>
      <c r="H320" s="26" t="inlineStr">
        <is>
          <t>状況：</t>
        </is>
      </c>
      <c r="I320" s="27">
        <f>'名簿'!F26</f>
        <v/>
      </c>
      <c r="J320" s="26" t="inlineStr">
        <is>
          <t>×の数：</t>
        </is>
      </c>
      <c r="K320" s="27">
        <f>'名簿'!G26</f>
        <v/>
      </c>
    </row>
    <row r="321">
      <c r="B321" s="28" t="inlineStr"/>
      <c r="C321" s="14">
        <f>'設定'!$E$11</f>
        <v/>
      </c>
      <c r="D321" s="14">
        <f>'設定'!$E$12</f>
        <v/>
      </c>
      <c r="E321" s="14">
        <f>'設定'!$E$13</f>
        <v/>
      </c>
      <c r="F321" s="14">
        <f>'設定'!$E$14</f>
        <v/>
      </c>
      <c r="G321" s="14">
        <f>'設定'!$E$15</f>
        <v/>
      </c>
      <c r="H321" s="14">
        <f>'設定'!$E$16</f>
        <v/>
      </c>
      <c r="I321" s="14">
        <f>'設定'!$E$17</f>
        <v/>
      </c>
      <c r="J321" s="14">
        <f>'設定'!$E$18</f>
        <v/>
      </c>
      <c r="K321" s="14">
        <f>'設定'!$E$19</f>
        <v/>
      </c>
      <c r="L321" s="14">
        <f>'設定'!$E$20</f>
        <v/>
      </c>
    </row>
    <row r="322" ht="22" customHeight="1">
      <c r="B322" s="14">
        <f>'設定'!$I$11</f>
        <v/>
      </c>
      <c r="C322" s="29" t="n"/>
      <c r="D322" s="29" t="n"/>
      <c r="E322" s="29" t="n"/>
      <c r="F322" s="29" t="n"/>
      <c r="G322" s="29" t="n"/>
      <c r="H322" s="29" t="n"/>
      <c r="I322" s="29" t="n"/>
      <c r="J322" s="29" t="n"/>
      <c r="K322" s="29" t="n"/>
      <c r="L322" s="29" t="n"/>
    </row>
    <row r="323" ht="22" customHeight="1">
      <c r="B323" s="14">
        <f>'設定'!$I$12</f>
        <v/>
      </c>
      <c r="C323" s="29" t="n"/>
      <c r="D323" s="29" t="n"/>
      <c r="E323" s="29" t="n"/>
      <c r="F323" s="29" t="n"/>
      <c r="G323" s="29" t="n"/>
      <c r="H323" s="29" t="n"/>
      <c r="I323" s="29" t="n"/>
      <c r="J323" s="29" t="n"/>
      <c r="K323" s="29" t="n"/>
      <c r="L323" s="29" t="n"/>
    </row>
    <row r="324" ht="22" customHeight="1">
      <c r="B324" s="14">
        <f>'設定'!$I$13</f>
        <v/>
      </c>
      <c r="C324" s="29" t="n"/>
      <c r="D324" s="29" t="n"/>
      <c r="E324" s="29" t="n"/>
      <c r="F324" s="29" t="n"/>
      <c r="G324" s="29" t="n"/>
      <c r="H324" s="29" t="n"/>
      <c r="I324" s="29" t="n"/>
      <c r="J324" s="29" t="n"/>
      <c r="K324" s="29" t="n"/>
      <c r="L324" s="29" t="n"/>
    </row>
    <row r="325" ht="22" customHeight="1">
      <c r="B325" s="14">
        <f>'設定'!$I$14</f>
        <v/>
      </c>
      <c r="C325" s="29" t="n"/>
      <c r="D325" s="29" t="n"/>
      <c r="E325" s="29" t="n"/>
      <c r="F325" s="29" t="n"/>
      <c r="G325" s="29" t="n"/>
      <c r="H325" s="29" t="n"/>
      <c r="I325" s="29" t="n"/>
      <c r="J325" s="29" t="n"/>
      <c r="K325" s="29" t="n"/>
      <c r="L325" s="29" t="n"/>
    </row>
    <row r="326" ht="22" customHeight="1">
      <c r="B326" s="14">
        <f>'設定'!$I$15</f>
        <v/>
      </c>
      <c r="C326" s="29" t="n"/>
      <c r="D326" s="29" t="n"/>
      <c r="E326" s="29" t="n"/>
      <c r="F326" s="29" t="n"/>
      <c r="G326" s="29" t="n"/>
      <c r="H326" s="29" t="n"/>
      <c r="I326" s="29" t="n"/>
      <c r="J326" s="29" t="n"/>
      <c r="K326" s="29" t="n"/>
      <c r="L326" s="29" t="n"/>
    </row>
    <row r="327" ht="22" customHeight="1">
      <c r="B327" s="14">
        <f>'設定'!$I$16</f>
        <v/>
      </c>
      <c r="C327" s="29" t="n"/>
      <c r="D327" s="29" t="n"/>
      <c r="E327" s="29" t="n"/>
      <c r="F327" s="29" t="n"/>
      <c r="G327" s="29" t="n"/>
      <c r="H327" s="29" t="n"/>
      <c r="I327" s="29" t="n"/>
      <c r="J327" s="29" t="n"/>
      <c r="K327" s="29" t="n"/>
      <c r="L327" s="29" t="n"/>
    </row>
    <row r="328" ht="22" customHeight="1">
      <c r="B328" s="14">
        <f>'設定'!$I$17</f>
        <v/>
      </c>
      <c r="C328" s="29" t="n"/>
      <c r="D328" s="29" t="n"/>
      <c r="E328" s="29" t="n"/>
      <c r="F328" s="29" t="n"/>
      <c r="G328" s="29" t="n"/>
      <c r="H328" s="29" t="n"/>
      <c r="I328" s="29" t="n"/>
      <c r="J328" s="29" t="n"/>
      <c r="K328" s="29" t="n"/>
      <c r="L328" s="29" t="n"/>
    </row>
    <row r="329" ht="22" customHeight="1">
      <c r="B329" s="14">
        <f>'設定'!$I$18</f>
        <v/>
      </c>
      <c r="C329" s="29" t="n"/>
      <c r="D329" s="29" t="n"/>
      <c r="E329" s="29" t="n"/>
      <c r="F329" s="29" t="n"/>
      <c r="G329" s="29" t="n"/>
      <c r="H329" s="29" t="n"/>
      <c r="I329" s="29" t="n"/>
      <c r="J329" s="29" t="n"/>
      <c r="K329" s="29" t="n"/>
      <c r="L329" s="29" t="n"/>
    </row>
    <row r="330" ht="22" customHeight="1">
      <c r="B330" s="14">
        <f>'設定'!$I$19</f>
        <v/>
      </c>
      <c r="C330" s="29" t="n"/>
      <c r="D330" s="29" t="n"/>
      <c r="E330" s="29" t="n"/>
      <c r="F330" s="29" t="n"/>
      <c r="G330" s="29" t="n"/>
      <c r="H330" s="29" t="n"/>
      <c r="I330" s="29" t="n"/>
      <c r="J330" s="29" t="n"/>
      <c r="K330" s="29" t="n"/>
      <c r="L330" s="29" t="n"/>
    </row>
    <row r="331" ht="22" customHeight="1">
      <c r="B331" s="14">
        <f>'設定'!$I$20</f>
        <v/>
      </c>
      <c r="C331" s="29" t="n"/>
      <c r="D331" s="29" t="n"/>
      <c r="E331" s="29" t="n"/>
      <c r="F331" s="29" t="n"/>
      <c r="G331" s="29" t="n"/>
      <c r="H331" s="29" t="n"/>
      <c r="I331" s="29" t="n"/>
      <c r="J331" s="29" t="n"/>
      <c r="K331" s="29" t="n"/>
      <c r="L331" s="29" t="n"/>
    </row>
    <row r="332" ht="22" customHeight="1">
      <c r="B332" s="14">
        <f>'設定'!$I$21</f>
        <v/>
      </c>
      <c r="C332" s="29" t="n"/>
      <c r="D332" s="29" t="n"/>
      <c r="E332" s="29" t="n"/>
      <c r="F332" s="29" t="n"/>
      <c r="G332" s="29" t="n"/>
      <c r="H332" s="29" t="n"/>
      <c r="I332" s="29" t="n"/>
      <c r="J332" s="29" t="n"/>
      <c r="K332" s="29" t="n"/>
      <c r="L332" s="29" t="n"/>
    </row>
    <row r="333" ht="22" customHeight="1">
      <c r="B333" s="14">
        <f>'設定'!$I$22</f>
        <v/>
      </c>
      <c r="C333" s="29" t="n"/>
      <c r="D333" s="29" t="n"/>
      <c r="E333" s="29" t="n"/>
      <c r="F333" s="29" t="n"/>
      <c r="G333" s="29" t="n"/>
      <c r="H333" s="29" t="n"/>
      <c r="I333" s="29" t="n"/>
      <c r="J333" s="29" t="n"/>
      <c r="K333" s="29" t="n"/>
      <c r="L333" s="29" t="n"/>
    </row>
    <row r="335" ht="26" customHeight="1">
      <c r="B335" s="24">
        <f>IF('名簿'!B27="","（名簿 23行目：なし）",'名簿'!E27)</f>
        <v/>
      </c>
      <c r="E335" s="25" t="inlineStr">
        <is>
          <t>提出状況 ▶</t>
        </is>
      </c>
      <c r="F335" s="17" t="n"/>
      <c r="G335" s="13" t="n"/>
      <c r="H335" s="26" t="inlineStr">
        <is>
          <t>状況：</t>
        </is>
      </c>
      <c r="I335" s="27">
        <f>'名簿'!F27</f>
        <v/>
      </c>
      <c r="J335" s="26" t="inlineStr">
        <is>
          <t>×の数：</t>
        </is>
      </c>
      <c r="K335" s="27">
        <f>'名簿'!G27</f>
        <v/>
      </c>
    </row>
    <row r="336">
      <c r="B336" s="28" t="inlineStr"/>
      <c r="C336" s="14">
        <f>'設定'!$E$11</f>
        <v/>
      </c>
      <c r="D336" s="14">
        <f>'設定'!$E$12</f>
        <v/>
      </c>
      <c r="E336" s="14">
        <f>'設定'!$E$13</f>
        <v/>
      </c>
      <c r="F336" s="14">
        <f>'設定'!$E$14</f>
        <v/>
      </c>
      <c r="G336" s="14">
        <f>'設定'!$E$15</f>
        <v/>
      </c>
      <c r="H336" s="14">
        <f>'設定'!$E$16</f>
        <v/>
      </c>
      <c r="I336" s="14">
        <f>'設定'!$E$17</f>
        <v/>
      </c>
      <c r="J336" s="14">
        <f>'設定'!$E$18</f>
        <v/>
      </c>
      <c r="K336" s="14">
        <f>'設定'!$E$19</f>
        <v/>
      </c>
      <c r="L336" s="14">
        <f>'設定'!$E$20</f>
        <v/>
      </c>
    </row>
    <row r="337" ht="22" customHeight="1">
      <c r="B337" s="14">
        <f>'設定'!$I$11</f>
        <v/>
      </c>
      <c r="C337" s="29" t="n"/>
      <c r="D337" s="29" t="n"/>
      <c r="E337" s="29" t="n"/>
      <c r="F337" s="29" t="n"/>
      <c r="G337" s="29" t="n"/>
      <c r="H337" s="29" t="n"/>
      <c r="I337" s="29" t="n"/>
      <c r="J337" s="29" t="n"/>
      <c r="K337" s="29" t="n"/>
      <c r="L337" s="29" t="n"/>
    </row>
    <row r="338" ht="22" customHeight="1">
      <c r="B338" s="14">
        <f>'設定'!$I$12</f>
        <v/>
      </c>
      <c r="C338" s="29" t="n"/>
      <c r="D338" s="29" t="n"/>
      <c r="E338" s="29" t="n"/>
      <c r="F338" s="29" t="n"/>
      <c r="G338" s="29" t="n"/>
      <c r="H338" s="29" t="n"/>
      <c r="I338" s="29" t="n"/>
      <c r="J338" s="29" t="n"/>
      <c r="K338" s="29" t="n"/>
      <c r="L338" s="29" t="n"/>
    </row>
    <row r="339" ht="22" customHeight="1">
      <c r="B339" s="14">
        <f>'設定'!$I$13</f>
        <v/>
      </c>
      <c r="C339" s="29" t="n"/>
      <c r="D339" s="29" t="n"/>
      <c r="E339" s="29" t="n"/>
      <c r="F339" s="29" t="n"/>
      <c r="G339" s="29" t="n"/>
      <c r="H339" s="29" t="n"/>
      <c r="I339" s="29" t="n"/>
      <c r="J339" s="29" t="n"/>
      <c r="K339" s="29" t="n"/>
      <c r="L339" s="29" t="n"/>
    </row>
    <row r="340" ht="22" customHeight="1">
      <c r="B340" s="14">
        <f>'設定'!$I$14</f>
        <v/>
      </c>
      <c r="C340" s="29" t="n"/>
      <c r="D340" s="29" t="n"/>
      <c r="E340" s="29" t="n"/>
      <c r="F340" s="29" t="n"/>
      <c r="G340" s="29" t="n"/>
      <c r="H340" s="29" t="n"/>
      <c r="I340" s="29" t="n"/>
      <c r="J340" s="29" t="n"/>
      <c r="K340" s="29" t="n"/>
      <c r="L340" s="29" t="n"/>
    </row>
    <row r="341" ht="22" customHeight="1">
      <c r="B341" s="14">
        <f>'設定'!$I$15</f>
        <v/>
      </c>
      <c r="C341" s="29" t="n"/>
      <c r="D341" s="29" t="n"/>
      <c r="E341" s="29" t="n"/>
      <c r="F341" s="29" t="n"/>
      <c r="G341" s="29" t="n"/>
      <c r="H341" s="29" t="n"/>
      <c r="I341" s="29" t="n"/>
      <c r="J341" s="29" t="n"/>
      <c r="K341" s="29" t="n"/>
      <c r="L341" s="29" t="n"/>
    </row>
    <row r="342" ht="22" customHeight="1">
      <c r="B342" s="14">
        <f>'設定'!$I$16</f>
        <v/>
      </c>
      <c r="C342" s="29" t="n"/>
      <c r="D342" s="29" t="n"/>
      <c r="E342" s="29" t="n"/>
      <c r="F342" s="29" t="n"/>
      <c r="G342" s="29" t="n"/>
      <c r="H342" s="29" t="n"/>
      <c r="I342" s="29" t="n"/>
      <c r="J342" s="29" t="n"/>
      <c r="K342" s="29" t="n"/>
      <c r="L342" s="29" t="n"/>
    </row>
    <row r="343" ht="22" customHeight="1">
      <c r="B343" s="14">
        <f>'設定'!$I$17</f>
        <v/>
      </c>
      <c r="C343" s="29" t="n"/>
      <c r="D343" s="29" t="n"/>
      <c r="E343" s="29" t="n"/>
      <c r="F343" s="29" t="n"/>
      <c r="G343" s="29" t="n"/>
      <c r="H343" s="29" t="n"/>
      <c r="I343" s="29" t="n"/>
      <c r="J343" s="29" t="n"/>
      <c r="K343" s="29" t="n"/>
      <c r="L343" s="29" t="n"/>
    </row>
    <row r="344" ht="22" customHeight="1">
      <c r="B344" s="14">
        <f>'設定'!$I$18</f>
        <v/>
      </c>
      <c r="C344" s="29" t="n"/>
      <c r="D344" s="29" t="n"/>
      <c r="E344" s="29" t="n"/>
      <c r="F344" s="29" t="n"/>
      <c r="G344" s="29" t="n"/>
      <c r="H344" s="29" t="n"/>
      <c r="I344" s="29" t="n"/>
      <c r="J344" s="29" t="n"/>
      <c r="K344" s="29" t="n"/>
      <c r="L344" s="29" t="n"/>
    </row>
    <row r="345" ht="22" customHeight="1">
      <c r="B345" s="14">
        <f>'設定'!$I$19</f>
        <v/>
      </c>
      <c r="C345" s="29" t="n"/>
      <c r="D345" s="29" t="n"/>
      <c r="E345" s="29" t="n"/>
      <c r="F345" s="29" t="n"/>
      <c r="G345" s="29" t="n"/>
      <c r="H345" s="29" t="n"/>
      <c r="I345" s="29" t="n"/>
      <c r="J345" s="29" t="n"/>
      <c r="K345" s="29" t="n"/>
      <c r="L345" s="29" t="n"/>
    </row>
    <row r="346" ht="22" customHeight="1">
      <c r="B346" s="14">
        <f>'設定'!$I$20</f>
        <v/>
      </c>
      <c r="C346" s="29" t="n"/>
      <c r="D346" s="29" t="n"/>
      <c r="E346" s="29" t="n"/>
      <c r="F346" s="29" t="n"/>
      <c r="G346" s="29" t="n"/>
      <c r="H346" s="29" t="n"/>
      <c r="I346" s="29" t="n"/>
      <c r="J346" s="29" t="n"/>
      <c r="K346" s="29" t="n"/>
      <c r="L346" s="29" t="n"/>
    </row>
    <row r="347" ht="22" customHeight="1">
      <c r="B347" s="14">
        <f>'設定'!$I$21</f>
        <v/>
      </c>
      <c r="C347" s="29" t="n"/>
      <c r="D347" s="29" t="n"/>
      <c r="E347" s="29" t="n"/>
      <c r="F347" s="29" t="n"/>
      <c r="G347" s="29" t="n"/>
      <c r="H347" s="29" t="n"/>
      <c r="I347" s="29" t="n"/>
      <c r="J347" s="29" t="n"/>
      <c r="K347" s="29" t="n"/>
      <c r="L347" s="29" t="n"/>
    </row>
    <row r="348" ht="22" customHeight="1">
      <c r="B348" s="14">
        <f>'設定'!$I$22</f>
        <v/>
      </c>
      <c r="C348" s="29" t="n"/>
      <c r="D348" s="29" t="n"/>
      <c r="E348" s="29" t="n"/>
      <c r="F348" s="29" t="n"/>
      <c r="G348" s="29" t="n"/>
      <c r="H348" s="29" t="n"/>
      <c r="I348" s="29" t="n"/>
      <c r="J348" s="29" t="n"/>
      <c r="K348" s="29" t="n"/>
      <c r="L348" s="29" t="n"/>
    </row>
    <row r="350" ht="26" customHeight="1">
      <c r="B350" s="24">
        <f>IF('名簿'!B28="","（名簿 24行目：なし）",'名簿'!E28)</f>
        <v/>
      </c>
      <c r="E350" s="25" t="inlineStr">
        <is>
          <t>提出状況 ▶</t>
        </is>
      </c>
      <c r="F350" s="17" t="n"/>
      <c r="G350" s="13" t="n"/>
      <c r="H350" s="26" t="inlineStr">
        <is>
          <t>状況：</t>
        </is>
      </c>
      <c r="I350" s="27">
        <f>'名簿'!F28</f>
        <v/>
      </c>
      <c r="J350" s="26" t="inlineStr">
        <is>
          <t>×の数：</t>
        </is>
      </c>
      <c r="K350" s="27">
        <f>'名簿'!G28</f>
        <v/>
      </c>
    </row>
    <row r="351">
      <c r="B351" s="28" t="inlineStr"/>
      <c r="C351" s="14">
        <f>'設定'!$E$11</f>
        <v/>
      </c>
      <c r="D351" s="14">
        <f>'設定'!$E$12</f>
        <v/>
      </c>
      <c r="E351" s="14">
        <f>'設定'!$E$13</f>
        <v/>
      </c>
      <c r="F351" s="14">
        <f>'設定'!$E$14</f>
        <v/>
      </c>
      <c r="G351" s="14">
        <f>'設定'!$E$15</f>
        <v/>
      </c>
      <c r="H351" s="14">
        <f>'設定'!$E$16</f>
        <v/>
      </c>
      <c r="I351" s="14">
        <f>'設定'!$E$17</f>
        <v/>
      </c>
      <c r="J351" s="14">
        <f>'設定'!$E$18</f>
        <v/>
      </c>
      <c r="K351" s="14">
        <f>'設定'!$E$19</f>
        <v/>
      </c>
      <c r="L351" s="14">
        <f>'設定'!$E$20</f>
        <v/>
      </c>
    </row>
    <row r="352" ht="22" customHeight="1">
      <c r="B352" s="14">
        <f>'設定'!$I$11</f>
        <v/>
      </c>
      <c r="C352" s="29" t="n"/>
      <c r="D352" s="29" t="n"/>
      <c r="E352" s="29" t="n"/>
      <c r="F352" s="29" t="n"/>
      <c r="G352" s="29" t="n"/>
      <c r="H352" s="29" t="n"/>
      <c r="I352" s="29" t="n"/>
      <c r="J352" s="29" t="n"/>
      <c r="K352" s="29" t="n"/>
      <c r="L352" s="29" t="n"/>
    </row>
    <row r="353" ht="22" customHeight="1">
      <c r="B353" s="14">
        <f>'設定'!$I$12</f>
        <v/>
      </c>
      <c r="C353" s="29" t="n"/>
      <c r="D353" s="29" t="n"/>
      <c r="E353" s="29" t="n"/>
      <c r="F353" s="29" t="n"/>
      <c r="G353" s="29" t="n"/>
      <c r="H353" s="29" t="n"/>
      <c r="I353" s="29" t="n"/>
      <c r="J353" s="29" t="n"/>
      <c r="K353" s="29" t="n"/>
      <c r="L353" s="29" t="n"/>
    </row>
    <row r="354" ht="22" customHeight="1">
      <c r="B354" s="14">
        <f>'設定'!$I$13</f>
        <v/>
      </c>
      <c r="C354" s="29" t="n"/>
      <c r="D354" s="29" t="n"/>
      <c r="E354" s="29" t="n"/>
      <c r="F354" s="29" t="n"/>
      <c r="G354" s="29" t="n"/>
      <c r="H354" s="29" t="n"/>
      <c r="I354" s="29" t="n"/>
      <c r="J354" s="29" t="n"/>
      <c r="K354" s="29" t="n"/>
      <c r="L354" s="29" t="n"/>
    </row>
    <row r="355" ht="22" customHeight="1">
      <c r="B355" s="14">
        <f>'設定'!$I$14</f>
        <v/>
      </c>
      <c r="C355" s="29" t="n"/>
      <c r="D355" s="29" t="n"/>
      <c r="E355" s="29" t="n"/>
      <c r="F355" s="29" t="n"/>
      <c r="G355" s="29" t="n"/>
      <c r="H355" s="29" t="n"/>
      <c r="I355" s="29" t="n"/>
      <c r="J355" s="29" t="n"/>
      <c r="K355" s="29" t="n"/>
      <c r="L355" s="29" t="n"/>
    </row>
    <row r="356" ht="22" customHeight="1">
      <c r="B356" s="14">
        <f>'設定'!$I$15</f>
        <v/>
      </c>
      <c r="C356" s="29" t="n"/>
      <c r="D356" s="29" t="n"/>
      <c r="E356" s="29" t="n"/>
      <c r="F356" s="29" t="n"/>
      <c r="G356" s="29" t="n"/>
      <c r="H356" s="29" t="n"/>
      <c r="I356" s="29" t="n"/>
      <c r="J356" s="29" t="n"/>
      <c r="K356" s="29" t="n"/>
      <c r="L356" s="29" t="n"/>
    </row>
    <row r="357" ht="22" customHeight="1">
      <c r="B357" s="14">
        <f>'設定'!$I$16</f>
        <v/>
      </c>
      <c r="C357" s="29" t="n"/>
      <c r="D357" s="29" t="n"/>
      <c r="E357" s="29" t="n"/>
      <c r="F357" s="29" t="n"/>
      <c r="G357" s="29" t="n"/>
      <c r="H357" s="29" t="n"/>
      <c r="I357" s="29" t="n"/>
      <c r="J357" s="29" t="n"/>
      <c r="K357" s="29" t="n"/>
      <c r="L357" s="29" t="n"/>
    </row>
    <row r="358" ht="22" customHeight="1">
      <c r="B358" s="14">
        <f>'設定'!$I$17</f>
        <v/>
      </c>
      <c r="C358" s="29" t="n"/>
      <c r="D358" s="29" t="n"/>
      <c r="E358" s="29" t="n"/>
      <c r="F358" s="29" t="n"/>
      <c r="G358" s="29" t="n"/>
      <c r="H358" s="29" t="n"/>
      <c r="I358" s="29" t="n"/>
      <c r="J358" s="29" t="n"/>
      <c r="K358" s="29" t="n"/>
      <c r="L358" s="29" t="n"/>
    </row>
    <row r="359" ht="22" customHeight="1">
      <c r="B359" s="14">
        <f>'設定'!$I$18</f>
        <v/>
      </c>
      <c r="C359" s="29" t="n"/>
      <c r="D359" s="29" t="n"/>
      <c r="E359" s="29" t="n"/>
      <c r="F359" s="29" t="n"/>
      <c r="G359" s="29" t="n"/>
      <c r="H359" s="29" t="n"/>
      <c r="I359" s="29" t="n"/>
      <c r="J359" s="29" t="n"/>
      <c r="K359" s="29" t="n"/>
      <c r="L359" s="29" t="n"/>
    </row>
    <row r="360" ht="22" customHeight="1">
      <c r="B360" s="14">
        <f>'設定'!$I$19</f>
        <v/>
      </c>
      <c r="C360" s="29" t="n"/>
      <c r="D360" s="29" t="n"/>
      <c r="E360" s="29" t="n"/>
      <c r="F360" s="29" t="n"/>
      <c r="G360" s="29" t="n"/>
      <c r="H360" s="29" t="n"/>
      <c r="I360" s="29" t="n"/>
      <c r="J360" s="29" t="n"/>
      <c r="K360" s="29" t="n"/>
      <c r="L360" s="29" t="n"/>
    </row>
    <row r="361" ht="22" customHeight="1">
      <c r="B361" s="14">
        <f>'設定'!$I$20</f>
        <v/>
      </c>
      <c r="C361" s="29" t="n"/>
      <c r="D361" s="29" t="n"/>
      <c r="E361" s="29" t="n"/>
      <c r="F361" s="29" t="n"/>
      <c r="G361" s="29" t="n"/>
      <c r="H361" s="29" t="n"/>
      <c r="I361" s="29" t="n"/>
      <c r="J361" s="29" t="n"/>
      <c r="K361" s="29" t="n"/>
      <c r="L361" s="29" t="n"/>
    </row>
    <row r="362" ht="22" customHeight="1">
      <c r="B362" s="14">
        <f>'設定'!$I$21</f>
        <v/>
      </c>
      <c r="C362" s="29" t="n"/>
      <c r="D362" s="29" t="n"/>
      <c r="E362" s="29" t="n"/>
      <c r="F362" s="29" t="n"/>
      <c r="G362" s="29" t="n"/>
      <c r="H362" s="29" t="n"/>
      <c r="I362" s="29" t="n"/>
      <c r="J362" s="29" t="n"/>
      <c r="K362" s="29" t="n"/>
      <c r="L362" s="29" t="n"/>
    </row>
    <row r="363" ht="22" customHeight="1">
      <c r="B363" s="14">
        <f>'設定'!$I$22</f>
        <v/>
      </c>
      <c r="C363" s="29" t="n"/>
      <c r="D363" s="29" t="n"/>
      <c r="E363" s="29" t="n"/>
      <c r="F363" s="29" t="n"/>
      <c r="G363" s="29" t="n"/>
      <c r="H363" s="29" t="n"/>
      <c r="I363" s="29" t="n"/>
      <c r="J363" s="29" t="n"/>
      <c r="K363" s="29" t="n"/>
      <c r="L363" s="29" t="n"/>
    </row>
    <row r="365" ht="26" customHeight="1">
      <c r="B365" s="24">
        <f>IF('名簿'!B29="","（名簿 25行目：なし）",'名簿'!E29)</f>
        <v/>
      </c>
      <c r="E365" s="25" t="inlineStr">
        <is>
          <t>提出状況 ▶</t>
        </is>
      </c>
      <c r="F365" s="17" t="n"/>
      <c r="G365" s="13" t="n"/>
      <c r="H365" s="26" t="inlineStr">
        <is>
          <t>状況：</t>
        </is>
      </c>
      <c r="I365" s="27">
        <f>'名簿'!F29</f>
        <v/>
      </c>
      <c r="J365" s="26" t="inlineStr">
        <is>
          <t>×の数：</t>
        </is>
      </c>
      <c r="K365" s="27">
        <f>'名簿'!G29</f>
        <v/>
      </c>
    </row>
    <row r="366">
      <c r="B366" s="28" t="inlineStr"/>
      <c r="C366" s="14">
        <f>'設定'!$E$11</f>
        <v/>
      </c>
      <c r="D366" s="14">
        <f>'設定'!$E$12</f>
        <v/>
      </c>
      <c r="E366" s="14">
        <f>'設定'!$E$13</f>
        <v/>
      </c>
      <c r="F366" s="14">
        <f>'設定'!$E$14</f>
        <v/>
      </c>
      <c r="G366" s="14">
        <f>'設定'!$E$15</f>
        <v/>
      </c>
      <c r="H366" s="14">
        <f>'設定'!$E$16</f>
        <v/>
      </c>
      <c r="I366" s="14">
        <f>'設定'!$E$17</f>
        <v/>
      </c>
      <c r="J366" s="14">
        <f>'設定'!$E$18</f>
        <v/>
      </c>
      <c r="K366" s="14">
        <f>'設定'!$E$19</f>
        <v/>
      </c>
      <c r="L366" s="14">
        <f>'設定'!$E$20</f>
        <v/>
      </c>
    </row>
    <row r="367" ht="22" customHeight="1">
      <c r="B367" s="14">
        <f>'設定'!$I$11</f>
        <v/>
      </c>
      <c r="C367" s="29" t="n"/>
      <c r="D367" s="29" t="n"/>
      <c r="E367" s="29" t="n"/>
      <c r="F367" s="29" t="n"/>
      <c r="G367" s="29" t="n"/>
      <c r="H367" s="29" t="n"/>
      <c r="I367" s="29" t="n"/>
      <c r="J367" s="29" t="n"/>
      <c r="K367" s="29" t="n"/>
      <c r="L367" s="29" t="n"/>
    </row>
    <row r="368" ht="22" customHeight="1">
      <c r="B368" s="14">
        <f>'設定'!$I$12</f>
        <v/>
      </c>
      <c r="C368" s="29" t="n"/>
      <c r="D368" s="29" t="n"/>
      <c r="E368" s="29" t="n"/>
      <c r="F368" s="29" t="n"/>
      <c r="G368" s="29" t="n"/>
      <c r="H368" s="29" t="n"/>
      <c r="I368" s="29" t="n"/>
      <c r="J368" s="29" t="n"/>
      <c r="K368" s="29" t="n"/>
      <c r="L368" s="29" t="n"/>
    </row>
    <row r="369" ht="22" customHeight="1">
      <c r="B369" s="14">
        <f>'設定'!$I$13</f>
        <v/>
      </c>
      <c r="C369" s="29" t="n"/>
      <c r="D369" s="29" t="n"/>
      <c r="E369" s="29" t="n"/>
      <c r="F369" s="29" t="n"/>
      <c r="G369" s="29" t="n"/>
      <c r="H369" s="29" t="n"/>
      <c r="I369" s="29" t="n"/>
      <c r="J369" s="29" t="n"/>
      <c r="K369" s="29" t="n"/>
      <c r="L369" s="29" t="n"/>
    </row>
    <row r="370" ht="22" customHeight="1">
      <c r="B370" s="14">
        <f>'設定'!$I$14</f>
        <v/>
      </c>
      <c r="C370" s="29" t="n"/>
      <c r="D370" s="29" t="n"/>
      <c r="E370" s="29" t="n"/>
      <c r="F370" s="29" t="n"/>
      <c r="G370" s="29" t="n"/>
      <c r="H370" s="29" t="n"/>
      <c r="I370" s="29" t="n"/>
      <c r="J370" s="29" t="n"/>
      <c r="K370" s="29" t="n"/>
      <c r="L370" s="29" t="n"/>
    </row>
    <row r="371" ht="22" customHeight="1">
      <c r="B371" s="14">
        <f>'設定'!$I$15</f>
        <v/>
      </c>
      <c r="C371" s="29" t="n"/>
      <c r="D371" s="29" t="n"/>
      <c r="E371" s="29" t="n"/>
      <c r="F371" s="29" t="n"/>
      <c r="G371" s="29" t="n"/>
      <c r="H371" s="29" t="n"/>
      <c r="I371" s="29" t="n"/>
      <c r="J371" s="29" t="n"/>
      <c r="K371" s="29" t="n"/>
      <c r="L371" s="29" t="n"/>
    </row>
    <row r="372" ht="22" customHeight="1">
      <c r="B372" s="14">
        <f>'設定'!$I$16</f>
        <v/>
      </c>
      <c r="C372" s="29" t="n"/>
      <c r="D372" s="29" t="n"/>
      <c r="E372" s="29" t="n"/>
      <c r="F372" s="29" t="n"/>
      <c r="G372" s="29" t="n"/>
      <c r="H372" s="29" t="n"/>
      <c r="I372" s="29" t="n"/>
      <c r="J372" s="29" t="n"/>
      <c r="K372" s="29" t="n"/>
      <c r="L372" s="29" t="n"/>
    </row>
    <row r="373" ht="22" customHeight="1">
      <c r="B373" s="14">
        <f>'設定'!$I$17</f>
        <v/>
      </c>
      <c r="C373" s="29" t="n"/>
      <c r="D373" s="29" t="n"/>
      <c r="E373" s="29" t="n"/>
      <c r="F373" s="29" t="n"/>
      <c r="G373" s="29" t="n"/>
      <c r="H373" s="29" t="n"/>
      <c r="I373" s="29" t="n"/>
      <c r="J373" s="29" t="n"/>
      <c r="K373" s="29" t="n"/>
      <c r="L373" s="29" t="n"/>
    </row>
    <row r="374" ht="22" customHeight="1">
      <c r="B374" s="14">
        <f>'設定'!$I$18</f>
        <v/>
      </c>
      <c r="C374" s="29" t="n"/>
      <c r="D374" s="29" t="n"/>
      <c r="E374" s="29" t="n"/>
      <c r="F374" s="29" t="n"/>
      <c r="G374" s="29" t="n"/>
      <c r="H374" s="29" t="n"/>
      <c r="I374" s="29" t="n"/>
      <c r="J374" s="29" t="n"/>
      <c r="K374" s="29" t="n"/>
      <c r="L374" s="29" t="n"/>
    </row>
    <row r="375" ht="22" customHeight="1">
      <c r="B375" s="14">
        <f>'設定'!$I$19</f>
        <v/>
      </c>
      <c r="C375" s="29" t="n"/>
      <c r="D375" s="29" t="n"/>
      <c r="E375" s="29" t="n"/>
      <c r="F375" s="29" t="n"/>
      <c r="G375" s="29" t="n"/>
      <c r="H375" s="29" t="n"/>
      <c r="I375" s="29" t="n"/>
      <c r="J375" s="29" t="n"/>
      <c r="K375" s="29" t="n"/>
      <c r="L375" s="29" t="n"/>
    </row>
    <row r="376" ht="22" customHeight="1">
      <c r="B376" s="14">
        <f>'設定'!$I$20</f>
        <v/>
      </c>
      <c r="C376" s="29" t="n"/>
      <c r="D376" s="29" t="n"/>
      <c r="E376" s="29" t="n"/>
      <c r="F376" s="29" t="n"/>
      <c r="G376" s="29" t="n"/>
      <c r="H376" s="29" t="n"/>
      <c r="I376" s="29" t="n"/>
      <c r="J376" s="29" t="n"/>
      <c r="K376" s="29" t="n"/>
      <c r="L376" s="29" t="n"/>
    </row>
    <row r="377" ht="22" customHeight="1">
      <c r="B377" s="14">
        <f>'設定'!$I$21</f>
        <v/>
      </c>
      <c r="C377" s="29" t="n"/>
      <c r="D377" s="29" t="n"/>
      <c r="E377" s="29" t="n"/>
      <c r="F377" s="29" t="n"/>
      <c r="G377" s="29" t="n"/>
      <c r="H377" s="29" t="n"/>
      <c r="I377" s="29" t="n"/>
      <c r="J377" s="29" t="n"/>
      <c r="K377" s="29" t="n"/>
      <c r="L377" s="29" t="n"/>
    </row>
    <row r="378" ht="22" customHeight="1">
      <c r="B378" s="14">
        <f>'設定'!$I$22</f>
        <v/>
      </c>
      <c r="C378" s="29" t="n"/>
      <c r="D378" s="29" t="n"/>
      <c r="E378" s="29" t="n"/>
      <c r="F378" s="29" t="n"/>
      <c r="G378" s="29" t="n"/>
      <c r="H378" s="29" t="n"/>
      <c r="I378" s="29" t="n"/>
      <c r="J378" s="29" t="n"/>
      <c r="K378" s="29" t="n"/>
      <c r="L378" s="29" t="n"/>
    </row>
    <row r="380" ht="26" customHeight="1">
      <c r="B380" s="24">
        <f>IF('名簿'!B30="","（名簿 26行目：なし）",'名簿'!E30)</f>
        <v/>
      </c>
      <c r="E380" s="25" t="inlineStr">
        <is>
          <t>提出状況 ▶</t>
        </is>
      </c>
      <c r="F380" s="17" t="n"/>
      <c r="G380" s="13" t="n"/>
      <c r="H380" s="26" t="inlineStr">
        <is>
          <t>状況：</t>
        </is>
      </c>
      <c r="I380" s="27">
        <f>'名簿'!F30</f>
        <v/>
      </c>
      <c r="J380" s="26" t="inlineStr">
        <is>
          <t>×の数：</t>
        </is>
      </c>
      <c r="K380" s="27">
        <f>'名簿'!G30</f>
        <v/>
      </c>
    </row>
    <row r="381">
      <c r="B381" s="28" t="inlineStr"/>
      <c r="C381" s="14">
        <f>'設定'!$E$11</f>
        <v/>
      </c>
      <c r="D381" s="14">
        <f>'設定'!$E$12</f>
        <v/>
      </c>
      <c r="E381" s="14">
        <f>'設定'!$E$13</f>
        <v/>
      </c>
      <c r="F381" s="14">
        <f>'設定'!$E$14</f>
        <v/>
      </c>
      <c r="G381" s="14">
        <f>'設定'!$E$15</f>
        <v/>
      </c>
      <c r="H381" s="14">
        <f>'設定'!$E$16</f>
        <v/>
      </c>
      <c r="I381" s="14">
        <f>'設定'!$E$17</f>
        <v/>
      </c>
      <c r="J381" s="14">
        <f>'設定'!$E$18</f>
        <v/>
      </c>
      <c r="K381" s="14">
        <f>'設定'!$E$19</f>
        <v/>
      </c>
      <c r="L381" s="14">
        <f>'設定'!$E$20</f>
        <v/>
      </c>
    </row>
    <row r="382" ht="22" customHeight="1">
      <c r="B382" s="14">
        <f>'設定'!$I$11</f>
        <v/>
      </c>
      <c r="C382" s="29" t="n"/>
      <c r="D382" s="29" t="n"/>
      <c r="E382" s="29" t="n"/>
      <c r="F382" s="29" t="n"/>
      <c r="G382" s="29" t="n"/>
      <c r="H382" s="29" t="n"/>
      <c r="I382" s="29" t="n"/>
      <c r="J382" s="29" t="n"/>
      <c r="K382" s="29" t="n"/>
      <c r="L382" s="29" t="n"/>
    </row>
    <row r="383" ht="22" customHeight="1">
      <c r="B383" s="14">
        <f>'設定'!$I$12</f>
        <v/>
      </c>
      <c r="C383" s="29" t="n"/>
      <c r="D383" s="29" t="n"/>
      <c r="E383" s="29" t="n"/>
      <c r="F383" s="29" t="n"/>
      <c r="G383" s="29" t="n"/>
      <c r="H383" s="29" t="n"/>
      <c r="I383" s="29" t="n"/>
      <c r="J383" s="29" t="n"/>
      <c r="K383" s="29" t="n"/>
      <c r="L383" s="29" t="n"/>
    </row>
    <row r="384" ht="22" customHeight="1">
      <c r="B384" s="14">
        <f>'設定'!$I$13</f>
        <v/>
      </c>
      <c r="C384" s="29" t="n"/>
      <c r="D384" s="29" t="n"/>
      <c r="E384" s="29" t="n"/>
      <c r="F384" s="29" t="n"/>
      <c r="G384" s="29" t="n"/>
      <c r="H384" s="29" t="n"/>
      <c r="I384" s="29" t="n"/>
      <c r="J384" s="29" t="n"/>
      <c r="K384" s="29" t="n"/>
      <c r="L384" s="29" t="n"/>
    </row>
    <row r="385" ht="22" customHeight="1">
      <c r="B385" s="14">
        <f>'設定'!$I$14</f>
        <v/>
      </c>
      <c r="C385" s="29" t="n"/>
      <c r="D385" s="29" t="n"/>
      <c r="E385" s="29" t="n"/>
      <c r="F385" s="29" t="n"/>
      <c r="G385" s="29" t="n"/>
      <c r="H385" s="29" t="n"/>
      <c r="I385" s="29" t="n"/>
      <c r="J385" s="29" t="n"/>
      <c r="K385" s="29" t="n"/>
      <c r="L385" s="29" t="n"/>
    </row>
    <row r="386" ht="22" customHeight="1">
      <c r="B386" s="14">
        <f>'設定'!$I$15</f>
        <v/>
      </c>
      <c r="C386" s="29" t="n"/>
      <c r="D386" s="29" t="n"/>
      <c r="E386" s="29" t="n"/>
      <c r="F386" s="29" t="n"/>
      <c r="G386" s="29" t="n"/>
      <c r="H386" s="29" t="n"/>
      <c r="I386" s="29" t="n"/>
      <c r="J386" s="29" t="n"/>
      <c r="K386" s="29" t="n"/>
      <c r="L386" s="29" t="n"/>
    </row>
    <row r="387" ht="22" customHeight="1">
      <c r="B387" s="14">
        <f>'設定'!$I$16</f>
        <v/>
      </c>
      <c r="C387" s="29" t="n"/>
      <c r="D387" s="29" t="n"/>
      <c r="E387" s="29" t="n"/>
      <c r="F387" s="29" t="n"/>
      <c r="G387" s="29" t="n"/>
      <c r="H387" s="29" t="n"/>
      <c r="I387" s="29" t="n"/>
      <c r="J387" s="29" t="n"/>
      <c r="K387" s="29" t="n"/>
      <c r="L387" s="29" t="n"/>
    </row>
    <row r="388" ht="22" customHeight="1">
      <c r="B388" s="14">
        <f>'設定'!$I$17</f>
        <v/>
      </c>
      <c r="C388" s="29" t="n"/>
      <c r="D388" s="29" t="n"/>
      <c r="E388" s="29" t="n"/>
      <c r="F388" s="29" t="n"/>
      <c r="G388" s="29" t="n"/>
      <c r="H388" s="29" t="n"/>
      <c r="I388" s="29" t="n"/>
      <c r="J388" s="29" t="n"/>
      <c r="K388" s="29" t="n"/>
      <c r="L388" s="29" t="n"/>
    </row>
    <row r="389" ht="22" customHeight="1">
      <c r="B389" s="14">
        <f>'設定'!$I$18</f>
        <v/>
      </c>
      <c r="C389" s="29" t="n"/>
      <c r="D389" s="29" t="n"/>
      <c r="E389" s="29" t="n"/>
      <c r="F389" s="29" t="n"/>
      <c r="G389" s="29" t="n"/>
      <c r="H389" s="29" t="n"/>
      <c r="I389" s="29" t="n"/>
      <c r="J389" s="29" t="n"/>
      <c r="K389" s="29" t="n"/>
      <c r="L389" s="29" t="n"/>
    </row>
    <row r="390" ht="22" customHeight="1">
      <c r="B390" s="14">
        <f>'設定'!$I$19</f>
        <v/>
      </c>
      <c r="C390" s="29" t="n"/>
      <c r="D390" s="29" t="n"/>
      <c r="E390" s="29" t="n"/>
      <c r="F390" s="29" t="n"/>
      <c r="G390" s="29" t="n"/>
      <c r="H390" s="29" t="n"/>
      <c r="I390" s="29" t="n"/>
      <c r="J390" s="29" t="n"/>
      <c r="K390" s="29" t="n"/>
      <c r="L390" s="29" t="n"/>
    </row>
    <row r="391" ht="22" customHeight="1">
      <c r="B391" s="14">
        <f>'設定'!$I$20</f>
        <v/>
      </c>
      <c r="C391" s="29" t="n"/>
      <c r="D391" s="29" t="n"/>
      <c r="E391" s="29" t="n"/>
      <c r="F391" s="29" t="n"/>
      <c r="G391" s="29" t="n"/>
      <c r="H391" s="29" t="n"/>
      <c r="I391" s="29" t="n"/>
      <c r="J391" s="29" t="n"/>
      <c r="K391" s="29" t="n"/>
      <c r="L391" s="29" t="n"/>
    </row>
    <row r="392" ht="22" customHeight="1">
      <c r="B392" s="14">
        <f>'設定'!$I$21</f>
        <v/>
      </c>
      <c r="C392" s="29" t="n"/>
      <c r="D392" s="29" t="n"/>
      <c r="E392" s="29" t="n"/>
      <c r="F392" s="29" t="n"/>
      <c r="G392" s="29" t="n"/>
      <c r="H392" s="29" t="n"/>
      <c r="I392" s="29" t="n"/>
      <c r="J392" s="29" t="n"/>
      <c r="K392" s="29" t="n"/>
      <c r="L392" s="29" t="n"/>
    </row>
    <row r="393" ht="22" customHeight="1">
      <c r="B393" s="14">
        <f>'設定'!$I$22</f>
        <v/>
      </c>
      <c r="C393" s="29" t="n"/>
      <c r="D393" s="29" t="n"/>
      <c r="E393" s="29" t="n"/>
      <c r="F393" s="29" t="n"/>
      <c r="G393" s="29" t="n"/>
      <c r="H393" s="29" t="n"/>
      <c r="I393" s="29" t="n"/>
      <c r="J393" s="29" t="n"/>
      <c r="K393" s="29" t="n"/>
      <c r="L393" s="29" t="n"/>
    </row>
    <row r="395" ht="26" customHeight="1">
      <c r="B395" s="24">
        <f>IF('名簿'!B31="","（名簿 27行目：なし）",'名簿'!E31)</f>
        <v/>
      </c>
      <c r="E395" s="25" t="inlineStr">
        <is>
          <t>提出状況 ▶</t>
        </is>
      </c>
      <c r="F395" s="17" t="n"/>
      <c r="G395" s="13" t="n"/>
      <c r="H395" s="26" t="inlineStr">
        <is>
          <t>状況：</t>
        </is>
      </c>
      <c r="I395" s="27">
        <f>'名簿'!F31</f>
        <v/>
      </c>
      <c r="J395" s="26" t="inlineStr">
        <is>
          <t>×の数：</t>
        </is>
      </c>
      <c r="K395" s="27">
        <f>'名簿'!G31</f>
        <v/>
      </c>
    </row>
    <row r="396">
      <c r="B396" s="28" t="inlineStr"/>
      <c r="C396" s="14">
        <f>'設定'!$E$11</f>
        <v/>
      </c>
      <c r="D396" s="14">
        <f>'設定'!$E$12</f>
        <v/>
      </c>
      <c r="E396" s="14">
        <f>'設定'!$E$13</f>
        <v/>
      </c>
      <c r="F396" s="14">
        <f>'設定'!$E$14</f>
        <v/>
      </c>
      <c r="G396" s="14">
        <f>'設定'!$E$15</f>
        <v/>
      </c>
      <c r="H396" s="14">
        <f>'設定'!$E$16</f>
        <v/>
      </c>
      <c r="I396" s="14">
        <f>'設定'!$E$17</f>
        <v/>
      </c>
      <c r="J396" s="14">
        <f>'設定'!$E$18</f>
        <v/>
      </c>
      <c r="K396" s="14">
        <f>'設定'!$E$19</f>
        <v/>
      </c>
      <c r="L396" s="14">
        <f>'設定'!$E$20</f>
        <v/>
      </c>
    </row>
    <row r="397" ht="22" customHeight="1">
      <c r="B397" s="14">
        <f>'設定'!$I$11</f>
        <v/>
      </c>
      <c r="C397" s="29" t="n"/>
      <c r="D397" s="29" t="n"/>
      <c r="E397" s="29" t="n"/>
      <c r="F397" s="29" t="n"/>
      <c r="G397" s="29" t="n"/>
      <c r="H397" s="29" t="n"/>
      <c r="I397" s="29" t="n"/>
      <c r="J397" s="29" t="n"/>
      <c r="K397" s="29" t="n"/>
      <c r="L397" s="29" t="n"/>
    </row>
    <row r="398" ht="22" customHeight="1">
      <c r="B398" s="14">
        <f>'設定'!$I$12</f>
        <v/>
      </c>
      <c r="C398" s="29" t="n"/>
      <c r="D398" s="29" t="n"/>
      <c r="E398" s="29" t="n"/>
      <c r="F398" s="29" t="n"/>
      <c r="G398" s="29" t="n"/>
      <c r="H398" s="29" t="n"/>
      <c r="I398" s="29" t="n"/>
      <c r="J398" s="29" t="n"/>
      <c r="K398" s="29" t="n"/>
      <c r="L398" s="29" t="n"/>
    </row>
    <row r="399" ht="22" customHeight="1">
      <c r="B399" s="14">
        <f>'設定'!$I$13</f>
        <v/>
      </c>
      <c r="C399" s="29" t="n"/>
      <c r="D399" s="29" t="n"/>
      <c r="E399" s="29" t="n"/>
      <c r="F399" s="29" t="n"/>
      <c r="G399" s="29" t="n"/>
      <c r="H399" s="29" t="n"/>
      <c r="I399" s="29" t="n"/>
      <c r="J399" s="29" t="n"/>
      <c r="K399" s="29" t="n"/>
      <c r="L399" s="29" t="n"/>
    </row>
    <row r="400" ht="22" customHeight="1">
      <c r="B400" s="14">
        <f>'設定'!$I$14</f>
        <v/>
      </c>
      <c r="C400" s="29" t="n"/>
      <c r="D400" s="29" t="n"/>
      <c r="E400" s="29" t="n"/>
      <c r="F400" s="29" t="n"/>
      <c r="G400" s="29" t="n"/>
      <c r="H400" s="29" t="n"/>
      <c r="I400" s="29" t="n"/>
      <c r="J400" s="29" t="n"/>
      <c r="K400" s="29" t="n"/>
      <c r="L400" s="29" t="n"/>
    </row>
    <row r="401" ht="22" customHeight="1">
      <c r="B401" s="14">
        <f>'設定'!$I$15</f>
        <v/>
      </c>
      <c r="C401" s="29" t="n"/>
      <c r="D401" s="29" t="n"/>
      <c r="E401" s="29" t="n"/>
      <c r="F401" s="29" t="n"/>
      <c r="G401" s="29" t="n"/>
      <c r="H401" s="29" t="n"/>
      <c r="I401" s="29" t="n"/>
      <c r="J401" s="29" t="n"/>
      <c r="K401" s="29" t="n"/>
      <c r="L401" s="29" t="n"/>
    </row>
    <row r="402" ht="22" customHeight="1">
      <c r="B402" s="14">
        <f>'設定'!$I$16</f>
        <v/>
      </c>
      <c r="C402" s="29" t="n"/>
      <c r="D402" s="29" t="n"/>
      <c r="E402" s="29" t="n"/>
      <c r="F402" s="29" t="n"/>
      <c r="G402" s="29" t="n"/>
      <c r="H402" s="29" t="n"/>
      <c r="I402" s="29" t="n"/>
      <c r="J402" s="29" t="n"/>
      <c r="K402" s="29" t="n"/>
      <c r="L402" s="29" t="n"/>
    </row>
    <row r="403" ht="22" customHeight="1">
      <c r="B403" s="14">
        <f>'設定'!$I$17</f>
        <v/>
      </c>
      <c r="C403" s="29" t="n"/>
      <c r="D403" s="29" t="n"/>
      <c r="E403" s="29" t="n"/>
      <c r="F403" s="29" t="n"/>
      <c r="G403" s="29" t="n"/>
      <c r="H403" s="29" t="n"/>
      <c r="I403" s="29" t="n"/>
      <c r="J403" s="29" t="n"/>
      <c r="K403" s="29" t="n"/>
      <c r="L403" s="29" t="n"/>
    </row>
    <row r="404" ht="22" customHeight="1">
      <c r="B404" s="14">
        <f>'設定'!$I$18</f>
        <v/>
      </c>
      <c r="C404" s="29" t="n"/>
      <c r="D404" s="29" t="n"/>
      <c r="E404" s="29" t="n"/>
      <c r="F404" s="29" t="n"/>
      <c r="G404" s="29" t="n"/>
      <c r="H404" s="29" t="n"/>
      <c r="I404" s="29" t="n"/>
      <c r="J404" s="29" t="n"/>
      <c r="K404" s="29" t="n"/>
      <c r="L404" s="29" t="n"/>
    </row>
    <row r="405" ht="22" customHeight="1">
      <c r="B405" s="14">
        <f>'設定'!$I$19</f>
        <v/>
      </c>
      <c r="C405" s="29" t="n"/>
      <c r="D405" s="29" t="n"/>
      <c r="E405" s="29" t="n"/>
      <c r="F405" s="29" t="n"/>
      <c r="G405" s="29" t="n"/>
      <c r="H405" s="29" t="n"/>
      <c r="I405" s="29" t="n"/>
      <c r="J405" s="29" t="n"/>
      <c r="K405" s="29" t="n"/>
      <c r="L405" s="29" t="n"/>
    </row>
    <row r="406" ht="22" customHeight="1">
      <c r="B406" s="14">
        <f>'設定'!$I$20</f>
        <v/>
      </c>
      <c r="C406" s="29" t="n"/>
      <c r="D406" s="29" t="n"/>
      <c r="E406" s="29" t="n"/>
      <c r="F406" s="29" t="n"/>
      <c r="G406" s="29" t="n"/>
      <c r="H406" s="29" t="n"/>
      <c r="I406" s="29" t="n"/>
      <c r="J406" s="29" t="n"/>
      <c r="K406" s="29" t="n"/>
      <c r="L406" s="29" t="n"/>
    </row>
    <row r="407" ht="22" customHeight="1">
      <c r="B407" s="14">
        <f>'設定'!$I$21</f>
        <v/>
      </c>
      <c r="C407" s="29" t="n"/>
      <c r="D407" s="29" t="n"/>
      <c r="E407" s="29" t="n"/>
      <c r="F407" s="29" t="n"/>
      <c r="G407" s="29" t="n"/>
      <c r="H407" s="29" t="n"/>
      <c r="I407" s="29" t="n"/>
      <c r="J407" s="29" t="n"/>
      <c r="K407" s="29" t="n"/>
      <c r="L407" s="29" t="n"/>
    </row>
    <row r="408" ht="22" customHeight="1">
      <c r="B408" s="14">
        <f>'設定'!$I$22</f>
        <v/>
      </c>
      <c r="C408" s="29" t="n"/>
      <c r="D408" s="29" t="n"/>
      <c r="E408" s="29" t="n"/>
      <c r="F408" s="29" t="n"/>
      <c r="G408" s="29" t="n"/>
      <c r="H408" s="29" t="n"/>
      <c r="I408" s="29" t="n"/>
      <c r="J408" s="29" t="n"/>
      <c r="K408" s="29" t="n"/>
      <c r="L408" s="29" t="n"/>
    </row>
    <row r="410" ht="26" customHeight="1">
      <c r="B410" s="24">
        <f>IF('名簿'!B32="","（名簿 28行目：なし）",'名簿'!E32)</f>
        <v/>
      </c>
      <c r="E410" s="25" t="inlineStr">
        <is>
          <t>提出状況 ▶</t>
        </is>
      </c>
      <c r="F410" s="17" t="n"/>
      <c r="G410" s="13" t="n"/>
      <c r="H410" s="26" t="inlineStr">
        <is>
          <t>状況：</t>
        </is>
      </c>
      <c r="I410" s="27">
        <f>'名簿'!F32</f>
        <v/>
      </c>
      <c r="J410" s="26" t="inlineStr">
        <is>
          <t>×の数：</t>
        </is>
      </c>
      <c r="K410" s="27">
        <f>'名簿'!G32</f>
        <v/>
      </c>
    </row>
    <row r="411">
      <c r="B411" s="28" t="inlineStr"/>
      <c r="C411" s="14">
        <f>'設定'!$E$11</f>
        <v/>
      </c>
      <c r="D411" s="14">
        <f>'設定'!$E$12</f>
        <v/>
      </c>
      <c r="E411" s="14">
        <f>'設定'!$E$13</f>
        <v/>
      </c>
      <c r="F411" s="14">
        <f>'設定'!$E$14</f>
        <v/>
      </c>
      <c r="G411" s="14">
        <f>'設定'!$E$15</f>
        <v/>
      </c>
      <c r="H411" s="14">
        <f>'設定'!$E$16</f>
        <v/>
      </c>
      <c r="I411" s="14">
        <f>'設定'!$E$17</f>
        <v/>
      </c>
      <c r="J411" s="14">
        <f>'設定'!$E$18</f>
        <v/>
      </c>
      <c r="K411" s="14">
        <f>'設定'!$E$19</f>
        <v/>
      </c>
      <c r="L411" s="14">
        <f>'設定'!$E$20</f>
        <v/>
      </c>
    </row>
    <row r="412" ht="22" customHeight="1">
      <c r="B412" s="14">
        <f>'設定'!$I$11</f>
        <v/>
      </c>
      <c r="C412" s="29" t="n"/>
      <c r="D412" s="29" t="n"/>
      <c r="E412" s="29" t="n"/>
      <c r="F412" s="29" t="n"/>
      <c r="G412" s="29" t="n"/>
      <c r="H412" s="29" t="n"/>
      <c r="I412" s="29" t="n"/>
      <c r="J412" s="29" t="n"/>
      <c r="K412" s="29" t="n"/>
      <c r="L412" s="29" t="n"/>
    </row>
    <row r="413" ht="22" customHeight="1">
      <c r="B413" s="14">
        <f>'設定'!$I$12</f>
        <v/>
      </c>
      <c r="C413" s="29" t="n"/>
      <c r="D413" s="29" t="n"/>
      <c r="E413" s="29" t="n"/>
      <c r="F413" s="29" t="n"/>
      <c r="G413" s="29" t="n"/>
      <c r="H413" s="29" t="n"/>
      <c r="I413" s="29" t="n"/>
      <c r="J413" s="29" t="n"/>
      <c r="K413" s="29" t="n"/>
      <c r="L413" s="29" t="n"/>
    </row>
    <row r="414" ht="22" customHeight="1">
      <c r="B414" s="14">
        <f>'設定'!$I$13</f>
        <v/>
      </c>
      <c r="C414" s="29" t="n"/>
      <c r="D414" s="29" t="n"/>
      <c r="E414" s="29" t="n"/>
      <c r="F414" s="29" t="n"/>
      <c r="G414" s="29" t="n"/>
      <c r="H414" s="29" t="n"/>
      <c r="I414" s="29" t="n"/>
      <c r="J414" s="29" t="n"/>
      <c r="K414" s="29" t="n"/>
      <c r="L414" s="29" t="n"/>
    </row>
    <row r="415" ht="22" customHeight="1">
      <c r="B415" s="14">
        <f>'設定'!$I$14</f>
        <v/>
      </c>
      <c r="C415" s="29" t="n"/>
      <c r="D415" s="29" t="n"/>
      <c r="E415" s="29" t="n"/>
      <c r="F415" s="29" t="n"/>
      <c r="G415" s="29" t="n"/>
      <c r="H415" s="29" t="n"/>
      <c r="I415" s="29" t="n"/>
      <c r="J415" s="29" t="n"/>
      <c r="K415" s="29" t="n"/>
      <c r="L415" s="29" t="n"/>
    </row>
    <row r="416" ht="22" customHeight="1">
      <c r="B416" s="14">
        <f>'設定'!$I$15</f>
        <v/>
      </c>
      <c r="C416" s="29" t="n"/>
      <c r="D416" s="29" t="n"/>
      <c r="E416" s="29" t="n"/>
      <c r="F416" s="29" t="n"/>
      <c r="G416" s="29" t="n"/>
      <c r="H416" s="29" t="n"/>
      <c r="I416" s="29" t="n"/>
      <c r="J416" s="29" t="n"/>
      <c r="K416" s="29" t="n"/>
      <c r="L416" s="29" t="n"/>
    </row>
    <row r="417" ht="22" customHeight="1">
      <c r="B417" s="14">
        <f>'設定'!$I$16</f>
        <v/>
      </c>
      <c r="C417" s="29" t="n"/>
      <c r="D417" s="29" t="n"/>
      <c r="E417" s="29" t="n"/>
      <c r="F417" s="29" t="n"/>
      <c r="G417" s="29" t="n"/>
      <c r="H417" s="29" t="n"/>
      <c r="I417" s="29" t="n"/>
      <c r="J417" s="29" t="n"/>
      <c r="K417" s="29" t="n"/>
      <c r="L417" s="29" t="n"/>
    </row>
    <row r="418" ht="22" customHeight="1">
      <c r="B418" s="14">
        <f>'設定'!$I$17</f>
        <v/>
      </c>
      <c r="C418" s="29" t="n"/>
      <c r="D418" s="29" t="n"/>
      <c r="E418" s="29" t="n"/>
      <c r="F418" s="29" t="n"/>
      <c r="G418" s="29" t="n"/>
      <c r="H418" s="29" t="n"/>
      <c r="I418" s="29" t="n"/>
      <c r="J418" s="29" t="n"/>
      <c r="K418" s="29" t="n"/>
      <c r="L418" s="29" t="n"/>
    </row>
    <row r="419" ht="22" customHeight="1">
      <c r="B419" s="14">
        <f>'設定'!$I$18</f>
        <v/>
      </c>
      <c r="C419" s="29" t="n"/>
      <c r="D419" s="29" t="n"/>
      <c r="E419" s="29" t="n"/>
      <c r="F419" s="29" t="n"/>
      <c r="G419" s="29" t="n"/>
      <c r="H419" s="29" t="n"/>
      <c r="I419" s="29" t="n"/>
      <c r="J419" s="29" t="n"/>
      <c r="K419" s="29" t="n"/>
      <c r="L419" s="29" t="n"/>
    </row>
    <row r="420" ht="22" customHeight="1">
      <c r="B420" s="14">
        <f>'設定'!$I$19</f>
        <v/>
      </c>
      <c r="C420" s="29" t="n"/>
      <c r="D420" s="29" t="n"/>
      <c r="E420" s="29" t="n"/>
      <c r="F420" s="29" t="n"/>
      <c r="G420" s="29" t="n"/>
      <c r="H420" s="29" t="n"/>
      <c r="I420" s="29" t="n"/>
      <c r="J420" s="29" t="n"/>
      <c r="K420" s="29" t="n"/>
      <c r="L420" s="29" t="n"/>
    </row>
    <row r="421" ht="22" customHeight="1">
      <c r="B421" s="14">
        <f>'設定'!$I$20</f>
        <v/>
      </c>
      <c r="C421" s="29" t="n"/>
      <c r="D421" s="29" t="n"/>
      <c r="E421" s="29" t="n"/>
      <c r="F421" s="29" t="n"/>
      <c r="G421" s="29" t="n"/>
      <c r="H421" s="29" t="n"/>
      <c r="I421" s="29" t="n"/>
      <c r="J421" s="29" t="n"/>
      <c r="K421" s="29" t="n"/>
      <c r="L421" s="29" t="n"/>
    </row>
    <row r="422" ht="22" customHeight="1">
      <c r="B422" s="14">
        <f>'設定'!$I$21</f>
        <v/>
      </c>
      <c r="C422" s="29" t="n"/>
      <c r="D422" s="29" t="n"/>
      <c r="E422" s="29" t="n"/>
      <c r="F422" s="29" t="n"/>
      <c r="G422" s="29" t="n"/>
      <c r="H422" s="29" t="n"/>
      <c r="I422" s="29" t="n"/>
      <c r="J422" s="29" t="n"/>
      <c r="K422" s="29" t="n"/>
      <c r="L422" s="29" t="n"/>
    </row>
    <row r="423" ht="22" customHeight="1">
      <c r="B423" s="14">
        <f>'設定'!$I$22</f>
        <v/>
      </c>
      <c r="C423" s="29" t="n"/>
      <c r="D423" s="29" t="n"/>
      <c r="E423" s="29" t="n"/>
      <c r="F423" s="29" t="n"/>
      <c r="G423" s="29" t="n"/>
      <c r="H423" s="29" t="n"/>
      <c r="I423" s="29" t="n"/>
      <c r="J423" s="29" t="n"/>
      <c r="K423" s="29" t="n"/>
      <c r="L423" s="29" t="n"/>
    </row>
    <row r="425" ht="26" customHeight="1">
      <c r="B425" s="24">
        <f>IF('名簿'!B33="","（名簿 29行目：なし）",'名簿'!E33)</f>
        <v/>
      </c>
      <c r="E425" s="25" t="inlineStr">
        <is>
          <t>提出状況 ▶</t>
        </is>
      </c>
      <c r="F425" s="17" t="n"/>
      <c r="G425" s="13" t="n"/>
      <c r="H425" s="26" t="inlineStr">
        <is>
          <t>状況：</t>
        </is>
      </c>
      <c r="I425" s="27">
        <f>'名簿'!F33</f>
        <v/>
      </c>
      <c r="J425" s="26" t="inlineStr">
        <is>
          <t>×の数：</t>
        </is>
      </c>
      <c r="K425" s="27">
        <f>'名簿'!G33</f>
        <v/>
      </c>
    </row>
    <row r="426">
      <c r="B426" s="28" t="inlineStr"/>
      <c r="C426" s="14">
        <f>'設定'!$E$11</f>
        <v/>
      </c>
      <c r="D426" s="14">
        <f>'設定'!$E$12</f>
        <v/>
      </c>
      <c r="E426" s="14">
        <f>'設定'!$E$13</f>
        <v/>
      </c>
      <c r="F426" s="14">
        <f>'設定'!$E$14</f>
        <v/>
      </c>
      <c r="G426" s="14">
        <f>'設定'!$E$15</f>
        <v/>
      </c>
      <c r="H426" s="14">
        <f>'設定'!$E$16</f>
        <v/>
      </c>
      <c r="I426" s="14">
        <f>'設定'!$E$17</f>
        <v/>
      </c>
      <c r="J426" s="14">
        <f>'設定'!$E$18</f>
        <v/>
      </c>
      <c r="K426" s="14">
        <f>'設定'!$E$19</f>
        <v/>
      </c>
      <c r="L426" s="14">
        <f>'設定'!$E$20</f>
        <v/>
      </c>
    </row>
    <row r="427" ht="22" customHeight="1">
      <c r="B427" s="14">
        <f>'設定'!$I$11</f>
        <v/>
      </c>
      <c r="C427" s="29" t="n"/>
      <c r="D427" s="29" t="n"/>
      <c r="E427" s="29" t="n"/>
      <c r="F427" s="29" t="n"/>
      <c r="G427" s="29" t="n"/>
      <c r="H427" s="29" t="n"/>
      <c r="I427" s="29" t="n"/>
      <c r="J427" s="29" t="n"/>
      <c r="K427" s="29" t="n"/>
      <c r="L427" s="29" t="n"/>
    </row>
    <row r="428" ht="22" customHeight="1">
      <c r="B428" s="14">
        <f>'設定'!$I$12</f>
        <v/>
      </c>
      <c r="C428" s="29" t="n"/>
      <c r="D428" s="29" t="n"/>
      <c r="E428" s="29" t="n"/>
      <c r="F428" s="29" t="n"/>
      <c r="G428" s="29" t="n"/>
      <c r="H428" s="29" t="n"/>
      <c r="I428" s="29" t="n"/>
      <c r="J428" s="29" t="n"/>
      <c r="K428" s="29" t="n"/>
      <c r="L428" s="29" t="n"/>
    </row>
    <row r="429" ht="22" customHeight="1">
      <c r="B429" s="14">
        <f>'設定'!$I$13</f>
        <v/>
      </c>
      <c r="C429" s="29" t="n"/>
      <c r="D429" s="29" t="n"/>
      <c r="E429" s="29" t="n"/>
      <c r="F429" s="29" t="n"/>
      <c r="G429" s="29" t="n"/>
      <c r="H429" s="29" t="n"/>
      <c r="I429" s="29" t="n"/>
      <c r="J429" s="29" t="n"/>
      <c r="K429" s="29" t="n"/>
      <c r="L429" s="29" t="n"/>
    </row>
    <row r="430" ht="22" customHeight="1">
      <c r="B430" s="14">
        <f>'設定'!$I$14</f>
        <v/>
      </c>
      <c r="C430" s="29" t="n"/>
      <c r="D430" s="29" t="n"/>
      <c r="E430" s="29" t="n"/>
      <c r="F430" s="29" t="n"/>
      <c r="G430" s="29" t="n"/>
      <c r="H430" s="29" t="n"/>
      <c r="I430" s="29" t="n"/>
      <c r="J430" s="29" t="n"/>
      <c r="K430" s="29" t="n"/>
      <c r="L430" s="29" t="n"/>
    </row>
    <row r="431" ht="22" customHeight="1">
      <c r="B431" s="14">
        <f>'設定'!$I$15</f>
        <v/>
      </c>
      <c r="C431" s="29" t="n"/>
      <c r="D431" s="29" t="n"/>
      <c r="E431" s="29" t="n"/>
      <c r="F431" s="29" t="n"/>
      <c r="G431" s="29" t="n"/>
      <c r="H431" s="29" t="n"/>
      <c r="I431" s="29" t="n"/>
      <c r="J431" s="29" t="n"/>
      <c r="K431" s="29" t="n"/>
      <c r="L431" s="29" t="n"/>
    </row>
    <row r="432" ht="22" customHeight="1">
      <c r="B432" s="14">
        <f>'設定'!$I$16</f>
        <v/>
      </c>
      <c r="C432" s="29" t="n"/>
      <c r="D432" s="29" t="n"/>
      <c r="E432" s="29" t="n"/>
      <c r="F432" s="29" t="n"/>
      <c r="G432" s="29" t="n"/>
      <c r="H432" s="29" t="n"/>
      <c r="I432" s="29" t="n"/>
      <c r="J432" s="29" t="n"/>
      <c r="K432" s="29" t="n"/>
      <c r="L432" s="29" t="n"/>
    </row>
    <row r="433" ht="22" customHeight="1">
      <c r="B433" s="14">
        <f>'設定'!$I$17</f>
        <v/>
      </c>
      <c r="C433" s="29" t="n"/>
      <c r="D433" s="29" t="n"/>
      <c r="E433" s="29" t="n"/>
      <c r="F433" s="29" t="n"/>
      <c r="G433" s="29" t="n"/>
      <c r="H433" s="29" t="n"/>
      <c r="I433" s="29" t="n"/>
      <c r="J433" s="29" t="n"/>
      <c r="K433" s="29" t="n"/>
      <c r="L433" s="29" t="n"/>
    </row>
    <row r="434" ht="22" customHeight="1">
      <c r="B434" s="14">
        <f>'設定'!$I$18</f>
        <v/>
      </c>
      <c r="C434" s="29" t="n"/>
      <c r="D434" s="29" t="n"/>
      <c r="E434" s="29" t="n"/>
      <c r="F434" s="29" t="n"/>
      <c r="G434" s="29" t="n"/>
      <c r="H434" s="29" t="n"/>
      <c r="I434" s="29" t="n"/>
      <c r="J434" s="29" t="n"/>
      <c r="K434" s="29" t="n"/>
      <c r="L434" s="29" t="n"/>
    </row>
    <row r="435" ht="22" customHeight="1">
      <c r="B435" s="14">
        <f>'設定'!$I$19</f>
        <v/>
      </c>
      <c r="C435" s="29" t="n"/>
      <c r="D435" s="29" t="n"/>
      <c r="E435" s="29" t="n"/>
      <c r="F435" s="29" t="n"/>
      <c r="G435" s="29" t="n"/>
      <c r="H435" s="29" t="n"/>
      <c r="I435" s="29" t="n"/>
      <c r="J435" s="29" t="n"/>
      <c r="K435" s="29" t="n"/>
      <c r="L435" s="29" t="n"/>
    </row>
    <row r="436" ht="22" customHeight="1">
      <c r="B436" s="14">
        <f>'設定'!$I$20</f>
        <v/>
      </c>
      <c r="C436" s="29" t="n"/>
      <c r="D436" s="29" t="n"/>
      <c r="E436" s="29" t="n"/>
      <c r="F436" s="29" t="n"/>
      <c r="G436" s="29" t="n"/>
      <c r="H436" s="29" t="n"/>
      <c r="I436" s="29" t="n"/>
      <c r="J436" s="29" t="n"/>
      <c r="K436" s="29" t="n"/>
      <c r="L436" s="29" t="n"/>
    </row>
    <row r="437" ht="22" customHeight="1">
      <c r="B437" s="14">
        <f>'設定'!$I$21</f>
        <v/>
      </c>
      <c r="C437" s="29" t="n"/>
      <c r="D437" s="29" t="n"/>
      <c r="E437" s="29" t="n"/>
      <c r="F437" s="29" t="n"/>
      <c r="G437" s="29" t="n"/>
      <c r="H437" s="29" t="n"/>
      <c r="I437" s="29" t="n"/>
      <c r="J437" s="29" t="n"/>
      <c r="K437" s="29" t="n"/>
      <c r="L437" s="29" t="n"/>
    </row>
    <row r="438" ht="22" customHeight="1">
      <c r="B438" s="14">
        <f>'設定'!$I$22</f>
        <v/>
      </c>
      <c r="C438" s="29" t="n"/>
      <c r="D438" s="29" t="n"/>
      <c r="E438" s="29" t="n"/>
      <c r="F438" s="29" t="n"/>
      <c r="G438" s="29" t="n"/>
      <c r="H438" s="29" t="n"/>
      <c r="I438" s="29" t="n"/>
      <c r="J438" s="29" t="n"/>
      <c r="K438" s="29" t="n"/>
      <c r="L438" s="29" t="n"/>
    </row>
    <row r="440" ht="26" customHeight="1">
      <c r="B440" s="24">
        <f>IF('名簿'!B34="","（名簿 30行目：なし）",'名簿'!E34)</f>
        <v/>
      </c>
      <c r="E440" s="25" t="inlineStr">
        <is>
          <t>提出状況 ▶</t>
        </is>
      </c>
      <c r="F440" s="17" t="n"/>
      <c r="G440" s="13" t="n"/>
      <c r="H440" s="26" t="inlineStr">
        <is>
          <t>状況：</t>
        </is>
      </c>
      <c r="I440" s="27">
        <f>'名簿'!F34</f>
        <v/>
      </c>
      <c r="J440" s="26" t="inlineStr">
        <is>
          <t>×の数：</t>
        </is>
      </c>
      <c r="K440" s="27">
        <f>'名簿'!G34</f>
        <v/>
      </c>
    </row>
    <row r="441">
      <c r="B441" s="28" t="inlineStr"/>
      <c r="C441" s="14">
        <f>'設定'!$E$11</f>
        <v/>
      </c>
      <c r="D441" s="14">
        <f>'設定'!$E$12</f>
        <v/>
      </c>
      <c r="E441" s="14">
        <f>'設定'!$E$13</f>
        <v/>
      </c>
      <c r="F441" s="14">
        <f>'設定'!$E$14</f>
        <v/>
      </c>
      <c r="G441" s="14">
        <f>'設定'!$E$15</f>
        <v/>
      </c>
      <c r="H441" s="14">
        <f>'設定'!$E$16</f>
        <v/>
      </c>
      <c r="I441" s="14">
        <f>'設定'!$E$17</f>
        <v/>
      </c>
      <c r="J441" s="14">
        <f>'設定'!$E$18</f>
        <v/>
      </c>
      <c r="K441" s="14">
        <f>'設定'!$E$19</f>
        <v/>
      </c>
      <c r="L441" s="14">
        <f>'設定'!$E$20</f>
        <v/>
      </c>
    </row>
    <row r="442" ht="22" customHeight="1">
      <c r="B442" s="14">
        <f>'設定'!$I$11</f>
        <v/>
      </c>
      <c r="C442" s="29" t="n"/>
      <c r="D442" s="29" t="n"/>
      <c r="E442" s="29" t="n"/>
      <c r="F442" s="29" t="n"/>
      <c r="G442" s="29" t="n"/>
      <c r="H442" s="29" t="n"/>
      <c r="I442" s="29" t="n"/>
      <c r="J442" s="29" t="n"/>
      <c r="K442" s="29" t="n"/>
      <c r="L442" s="29" t="n"/>
    </row>
    <row r="443" ht="22" customHeight="1">
      <c r="B443" s="14">
        <f>'設定'!$I$12</f>
        <v/>
      </c>
      <c r="C443" s="29" t="n"/>
      <c r="D443" s="29" t="n"/>
      <c r="E443" s="29" t="n"/>
      <c r="F443" s="29" t="n"/>
      <c r="G443" s="29" t="n"/>
      <c r="H443" s="29" t="n"/>
      <c r="I443" s="29" t="n"/>
      <c r="J443" s="29" t="n"/>
      <c r="K443" s="29" t="n"/>
      <c r="L443" s="29" t="n"/>
    </row>
    <row r="444" ht="22" customHeight="1">
      <c r="B444" s="14">
        <f>'設定'!$I$13</f>
        <v/>
      </c>
      <c r="C444" s="29" t="n"/>
      <c r="D444" s="29" t="n"/>
      <c r="E444" s="29" t="n"/>
      <c r="F444" s="29" t="n"/>
      <c r="G444" s="29" t="n"/>
      <c r="H444" s="29" t="n"/>
      <c r="I444" s="29" t="n"/>
      <c r="J444" s="29" t="n"/>
      <c r="K444" s="29" t="n"/>
      <c r="L444" s="29" t="n"/>
    </row>
    <row r="445" ht="22" customHeight="1">
      <c r="B445" s="14">
        <f>'設定'!$I$14</f>
        <v/>
      </c>
      <c r="C445" s="29" t="n"/>
      <c r="D445" s="29" t="n"/>
      <c r="E445" s="29" t="n"/>
      <c r="F445" s="29" t="n"/>
      <c r="G445" s="29" t="n"/>
      <c r="H445" s="29" t="n"/>
      <c r="I445" s="29" t="n"/>
      <c r="J445" s="29" t="n"/>
      <c r="K445" s="29" t="n"/>
      <c r="L445" s="29" t="n"/>
    </row>
    <row r="446" ht="22" customHeight="1">
      <c r="B446" s="14">
        <f>'設定'!$I$15</f>
        <v/>
      </c>
      <c r="C446" s="29" t="n"/>
      <c r="D446" s="29" t="n"/>
      <c r="E446" s="29" t="n"/>
      <c r="F446" s="29" t="n"/>
      <c r="G446" s="29" t="n"/>
      <c r="H446" s="29" t="n"/>
      <c r="I446" s="29" t="n"/>
      <c r="J446" s="29" t="n"/>
      <c r="K446" s="29" t="n"/>
      <c r="L446" s="29" t="n"/>
    </row>
    <row r="447" ht="22" customHeight="1">
      <c r="B447" s="14">
        <f>'設定'!$I$16</f>
        <v/>
      </c>
      <c r="C447" s="29" t="n"/>
      <c r="D447" s="29" t="n"/>
      <c r="E447" s="29" t="n"/>
      <c r="F447" s="29" t="n"/>
      <c r="G447" s="29" t="n"/>
      <c r="H447" s="29" t="n"/>
      <c r="I447" s="29" t="n"/>
      <c r="J447" s="29" t="n"/>
      <c r="K447" s="29" t="n"/>
      <c r="L447" s="29" t="n"/>
    </row>
    <row r="448" ht="22" customHeight="1">
      <c r="B448" s="14">
        <f>'設定'!$I$17</f>
        <v/>
      </c>
      <c r="C448" s="29" t="n"/>
      <c r="D448" s="29" t="n"/>
      <c r="E448" s="29" t="n"/>
      <c r="F448" s="29" t="n"/>
      <c r="G448" s="29" t="n"/>
      <c r="H448" s="29" t="n"/>
      <c r="I448" s="29" t="n"/>
      <c r="J448" s="29" t="n"/>
      <c r="K448" s="29" t="n"/>
      <c r="L448" s="29" t="n"/>
    </row>
    <row r="449" ht="22" customHeight="1">
      <c r="B449" s="14">
        <f>'設定'!$I$18</f>
        <v/>
      </c>
      <c r="C449" s="29" t="n"/>
      <c r="D449" s="29" t="n"/>
      <c r="E449" s="29" t="n"/>
      <c r="F449" s="29" t="n"/>
      <c r="G449" s="29" t="n"/>
      <c r="H449" s="29" t="n"/>
      <c r="I449" s="29" t="n"/>
      <c r="J449" s="29" t="n"/>
      <c r="K449" s="29" t="n"/>
      <c r="L449" s="29" t="n"/>
    </row>
    <row r="450" ht="22" customHeight="1">
      <c r="B450" s="14">
        <f>'設定'!$I$19</f>
        <v/>
      </c>
      <c r="C450" s="29" t="n"/>
      <c r="D450" s="29" t="n"/>
      <c r="E450" s="29" t="n"/>
      <c r="F450" s="29" t="n"/>
      <c r="G450" s="29" t="n"/>
      <c r="H450" s="29" t="n"/>
      <c r="I450" s="29" t="n"/>
      <c r="J450" s="29" t="n"/>
      <c r="K450" s="29" t="n"/>
      <c r="L450" s="29" t="n"/>
    </row>
    <row r="451" ht="22" customHeight="1">
      <c r="B451" s="14">
        <f>'設定'!$I$20</f>
        <v/>
      </c>
      <c r="C451" s="29" t="n"/>
      <c r="D451" s="29" t="n"/>
      <c r="E451" s="29" t="n"/>
      <c r="F451" s="29" t="n"/>
      <c r="G451" s="29" t="n"/>
      <c r="H451" s="29" t="n"/>
      <c r="I451" s="29" t="n"/>
      <c r="J451" s="29" t="n"/>
      <c r="K451" s="29" t="n"/>
      <c r="L451" s="29" t="n"/>
    </row>
    <row r="452" ht="22" customHeight="1">
      <c r="B452" s="14">
        <f>'設定'!$I$21</f>
        <v/>
      </c>
      <c r="C452" s="29" t="n"/>
      <c r="D452" s="29" t="n"/>
      <c r="E452" s="29" t="n"/>
      <c r="F452" s="29" t="n"/>
      <c r="G452" s="29" t="n"/>
      <c r="H452" s="29" t="n"/>
      <c r="I452" s="29" t="n"/>
      <c r="J452" s="29" t="n"/>
      <c r="K452" s="29" t="n"/>
      <c r="L452" s="29" t="n"/>
    </row>
    <row r="453" ht="22" customHeight="1">
      <c r="B453" s="14">
        <f>'設定'!$I$22</f>
        <v/>
      </c>
      <c r="C453" s="29" t="n"/>
      <c r="D453" s="29" t="n"/>
      <c r="E453" s="29" t="n"/>
      <c r="F453" s="29" t="n"/>
      <c r="G453" s="29" t="n"/>
      <c r="H453" s="29" t="n"/>
      <c r="I453" s="29" t="n"/>
      <c r="J453" s="29" t="n"/>
      <c r="K453" s="29" t="n"/>
      <c r="L453" s="29" t="n"/>
    </row>
    <row r="455" ht="26" customHeight="1">
      <c r="B455" s="24">
        <f>IF('名簿'!B35="","（名簿 31行目：なし）",'名簿'!E35)</f>
        <v/>
      </c>
      <c r="E455" s="25" t="inlineStr">
        <is>
          <t>提出状況 ▶</t>
        </is>
      </c>
      <c r="F455" s="17" t="n"/>
      <c r="G455" s="13" t="n"/>
      <c r="H455" s="26" t="inlineStr">
        <is>
          <t>状況：</t>
        </is>
      </c>
      <c r="I455" s="27">
        <f>'名簿'!F35</f>
        <v/>
      </c>
      <c r="J455" s="26" t="inlineStr">
        <is>
          <t>×の数：</t>
        </is>
      </c>
      <c r="K455" s="27">
        <f>'名簿'!G35</f>
        <v/>
      </c>
    </row>
    <row r="456">
      <c r="B456" s="28" t="inlineStr"/>
      <c r="C456" s="14">
        <f>'設定'!$E$11</f>
        <v/>
      </c>
      <c r="D456" s="14">
        <f>'設定'!$E$12</f>
        <v/>
      </c>
      <c r="E456" s="14">
        <f>'設定'!$E$13</f>
        <v/>
      </c>
      <c r="F456" s="14">
        <f>'設定'!$E$14</f>
        <v/>
      </c>
      <c r="G456" s="14">
        <f>'設定'!$E$15</f>
        <v/>
      </c>
      <c r="H456" s="14">
        <f>'設定'!$E$16</f>
        <v/>
      </c>
      <c r="I456" s="14">
        <f>'設定'!$E$17</f>
        <v/>
      </c>
      <c r="J456" s="14">
        <f>'設定'!$E$18</f>
        <v/>
      </c>
      <c r="K456" s="14">
        <f>'設定'!$E$19</f>
        <v/>
      </c>
      <c r="L456" s="14">
        <f>'設定'!$E$20</f>
        <v/>
      </c>
    </row>
    <row r="457" ht="22" customHeight="1">
      <c r="B457" s="14">
        <f>'設定'!$I$11</f>
        <v/>
      </c>
      <c r="C457" s="29" t="n"/>
      <c r="D457" s="29" t="n"/>
      <c r="E457" s="29" t="n"/>
      <c r="F457" s="29" t="n"/>
      <c r="G457" s="29" t="n"/>
      <c r="H457" s="29" t="n"/>
      <c r="I457" s="29" t="n"/>
      <c r="J457" s="29" t="n"/>
      <c r="K457" s="29" t="n"/>
      <c r="L457" s="29" t="n"/>
    </row>
    <row r="458" ht="22" customHeight="1">
      <c r="B458" s="14">
        <f>'設定'!$I$12</f>
        <v/>
      </c>
      <c r="C458" s="29" t="n"/>
      <c r="D458" s="29" t="n"/>
      <c r="E458" s="29" t="n"/>
      <c r="F458" s="29" t="n"/>
      <c r="G458" s="29" t="n"/>
      <c r="H458" s="29" t="n"/>
      <c r="I458" s="29" t="n"/>
      <c r="J458" s="29" t="n"/>
      <c r="K458" s="29" t="n"/>
      <c r="L458" s="29" t="n"/>
    </row>
    <row r="459" ht="22" customHeight="1">
      <c r="B459" s="14">
        <f>'設定'!$I$13</f>
        <v/>
      </c>
      <c r="C459" s="29" t="n"/>
      <c r="D459" s="29" t="n"/>
      <c r="E459" s="29" t="n"/>
      <c r="F459" s="29" t="n"/>
      <c r="G459" s="29" t="n"/>
      <c r="H459" s="29" t="n"/>
      <c r="I459" s="29" t="n"/>
      <c r="J459" s="29" t="n"/>
      <c r="K459" s="29" t="n"/>
      <c r="L459" s="29" t="n"/>
    </row>
    <row r="460" ht="22" customHeight="1">
      <c r="B460" s="14">
        <f>'設定'!$I$14</f>
        <v/>
      </c>
      <c r="C460" s="29" t="n"/>
      <c r="D460" s="29" t="n"/>
      <c r="E460" s="29" t="n"/>
      <c r="F460" s="29" t="n"/>
      <c r="G460" s="29" t="n"/>
      <c r="H460" s="29" t="n"/>
      <c r="I460" s="29" t="n"/>
      <c r="J460" s="29" t="n"/>
      <c r="K460" s="29" t="n"/>
      <c r="L460" s="29" t="n"/>
    </row>
    <row r="461" ht="22" customHeight="1">
      <c r="B461" s="14">
        <f>'設定'!$I$15</f>
        <v/>
      </c>
      <c r="C461" s="29" t="n"/>
      <c r="D461" s="29" t="n"/>
      <c r="E461" s="29" t="n"/>
      <c r="F461" s="29" t="n"/>
      <c r="G461" s="29" t="n"/>
      <c r="H461" s="29" t="n"/>
      <c r="I461" s="29" t="n"/>
      <c r="J461" s="29" t="n"/>
      <c r="K461" s="29" t="n"/>
      <c r="L461" s="29" t="n"/>
    </row>
    <row r="462" ht="22" customHeight="1">
      <c r="B462" s="14">
        <f>'設定'!$I$16</f>
        <v/>
      </c>
      <c r="C462" s="29" t="n"/>
      <c r="D462" s="29" t="n"/>
      <c r="E462" s="29" t="n"/>
      <c r="F462" s="29" t="n"/>
      <c r="G462" s="29" t="n"/>
      <c r="H462" s="29" t="n"/>
      <c r="I462" s="29" t="n"/>
      <c r="J462" s="29" t="n"/>
      <c r="K462" s="29" t="n"/>
      <c r="L462" s="29" t="n"/>
    </row>
    <row r="463" ht="22" customHeight="1">
      <c r="B463" s="14">
        <f>'設定'!$I$17</f>
        <v/>
      </c>
      <c r="C463" s="29" t="n"/>
      <c r="D463" s="29" t="n"/>
      <c r="E463" s="29" t="n"/>
      <c r="F463" s="29" t="n"/>
      <c r="G463" s="29" t="n"/>
      <c r="H463" s="29" t="n"/>
      <c r="I463" s="29" t="n"/>
      <c r="J463" s="29" t="n"/>
      <c r="K463" s="29" t="n"/>
      <c r="L463" s="29" t="n"/>
    </row>
    <row r="464" ht="22" customHeight="1">
      <c r="B464" s="14">
        <f>'設定'!$I$18</f>
        <v/>
      </c>
      <c r="C464" s="29" t="n"/>
      <c r="D464" s="29" t="n"/>
      <c r="E464" s="29" t="n"/>
      <c r="F464" s="29" t="n"/>
      <c r="G464" s="29" t="n"/>
      <c r="H464" s="29" t="n"/>
      <c r="I464" s="29" t="n"/>
      <c r="J464" s="29" t="n"/>
      <c r="K464" s="29" t="n"/>
      <c r="L464" s="29" t="n"/>
    </row>
    <row r="465" ht="22" customHeight="1">
      <c r="B465" s="14">
        <f>'設定'!$I$19</f>
        <v/>
      </c>
      <c r="C465" s="29" t="n"/>
      <c r="D465" s="29" t="n"/>
      <c r="E465" s="29" t="n"/>
      <c r="F465" s="29" t="n"/>
      <c r="G465" s="29" t="n"/>
      <c r="H465" s="29" t="n"/>
      <c r="I465" s="29" t="n"/>
      <c r="J465" s="29" t="n"/>
      <c r="K465" s="29" t="n"/>
      <c r="L465" s="29" t="n"/>
    </row>
    <row r="466" ht="22" customHeight="1">
      <c r="B466" s="14">
        <f>'設定'!$I$20</f>
        <v/>
      </c>
      <c r="C466" s="29" t="n"/>
      <c r="D466" s="29" t="n"/>
      <c r="E466" s="29" t="n"/>
      <c r="F466" s="29" t="n"/>
      <c r="G466" s="29" t="n"/>
      <c r="H466" s="29" t="n"/>
      <c r="I466" s="29" t="n"/>
      <c r="J466" s="29" t="n"/>
      <c r="K466" s="29" t="n"/>
      <c r="L466" s="29" t="n"/>
    </row>
    <row r="467" ht="22" customHeight="1">
      <c r="B467" s="14">
        <f>'設定'!$I$21</f>
        <v/>
      </c>
      <c r="C467" s="29" t="n"/>
      <c r="D467" s="29" t="n"/>
      <c r="E467" s="29" t="n"/>
      <c r="F467" s="29" t="n"/>
      <c r="G467" s="29" t="n"/>
      <c r="H467" s="29" t="n"/>
      <c r="I467" s="29" t="n"/>
      <c r="J467" s="29" t="n"/>
      <c r="K467" s="29" t="n"/>
      <c r="L467" s="29" t="n"/>
    </row>
    <row r="468" ht="22" customHeight="1">
      <c r="B468" s="14">
        <f>'設定'!$I$22</f>
        <v/>
      </c>
      <c r="C468" s="29" t="n"/>
      <c r="D468" s="29" t="n"/>
      <c r="E468" s="29" t="n"/>
      <c r="F468" s="29" t="n"/>
      <c r="G468" s="29" t="n"/>
      <c r="H468" s="29" t="n"/>
      <c r="I468" s="29" t="n"/>
      <c r="J468" s="29" t="n"/>
      <c r="K468" s="29" t="n"/>
      <c r="L468" s="29" t="n"/>
    </row>
    <row r="470" ht="26" customHeight="1">
      <c r="B470" s="24">
        <f>IF('名簿'!B36="","（名簿 32行目：なし）",'名簿'!E36)</f>
        <v/>
      </c>
      <c r="E470" s="25" t="inlineStr">
        <is>
          <t>提出状況 ▶</t>
        </is>
      </c>
      <c r="F470" s="17" t="n"/>
      <c r="G470" s="13" t="n"/>
      <c r="H470" s="26" t="inlineStr">
        <is>
          <t>状況：</t>
        </is>
      </c>
      <c r="I470" s="27">
        <f>'名簿'!F36</f>
        <v/>
      </c>
      <c r="J470" s="26" t="inlineStr">
        <is>
          <t>×の数：</t>
        </is>
      </c>
      <c r="K470" s="27">
        <f>'名簿'!G36</f>
        <v/>
      </c>
    </row>
    <row r="471">
      <c r="B471" s="28" t="inlineStr"/>
      <c r="C471" s="14">
        <f>'設定'!$E$11</f>
        <v/>
      </c>
      <c r="D471" s="14">
        <f>'設定'!$E$12</f>
        <v/>
      </c>
      <c r="E471" s="14">
        <f>'設定'!$E$13</f>
        <v/>
      </c>
      <c r="F471" s="14">
        <f>'設定'!$E$14</f>
        <v/>
      </c>
      <c r="G471" s="14">
        <f>'設定'!$E$15</f>
        <v/>
      </c>
      <c r="H471" s="14">
        <f>'設定'!$E$16</f>
        <v/>
      </c>
      <c r="I471" s="14">
        <f>'設定'!$E$17</f>
        <v/>
      </c>
      <c r="J471" s="14">
        <f>'設定'!$E$18</f>
        <v/>
      </c>
      <c r="K471" s="14">
        <f>'設定'!$E$19</f>
        <v/>
      </c>
      <c r="L471" s="14">
        <f>'設定'!$E$20</f>
        <v/>
      </c>
    </row>
    <row r="472" ht="22" customHeight="1">
      <c r="B472" s="14">
        <f>'設定'!$I$11</f>
        <v/>
      </c>
      <c r="C472" s="29" t="n"/>
      <c r="D472" s="29" t="n"/>
      <c r="E472" s="29" t="n"/>
      <c r="F472" s="29" t="n"/>
      <c r="G472" s="29" t="n"/>
      <c r="H472" s="29" t="n"/>
      <c r="I472" s="29" t="n"/>
      <c r="J472" s="29" t="n"/>
      <c r="K472" s="29" t="n"/>
      <c r="L472" s="29" t="n"/>
    </row>
    <row r="473" ht="22" customHeight="1">
      <c r="B473" s="14">
        <f>'設定'!$I$12</f>
        <v/>
      </c>
      <c r="C473" s="29" t="n"/>
      <c r="D473" s="29" t="n"/>
      <c r="E473" s="29" t="n"/>
      <c r="F473" s="29" t="n"/>
      <c r="G473" s="29" t="n"/>
      <c r="H473" s="29" t="n"/>
      <c r="I473" s="29" t="n"/>
      <c r="J473" s="29" t="n"/>
      <c r="K473" s="29" t="n"/>
      <c r="L473" s="29" t="n"/>
    </row>
    <row r="474" ht="22" customHeight="1">
      <c r="B474" s="14">
        <f>'設定'!$I$13</f>
        <v/>
      </c>
      <c r="C474" s="29" t="n"/>
      <c r="D474" s="29" t="n"/>
      <c r="E474" s="29" t="n"/>
      <c r="F474" s="29" t="n"/>
      <c r="G474" s="29" t="n"/>
      <c r="H474" s="29" t="n"/>
      <c r="I474" s="29" t="n"/>
      <c r="J474" s="29" t="n"/>
      <c r="K474" s="29" t="n"/>
      <c r="L474" s="29" t="n"/>
    </row>
    <row r="475" ht="22" customHeight="1">
      <c r="B475" s="14">
        <f>'設定'!$I$14</f>
        <v/>
      </c>
      <c r="C475" s="29" t="n"/>
      <c r="D475" s="29" t="n"/>
      <c r="E475" s="29" t="n"/>
      <c r="F475" s="29" t="n"/>
      <c r="G475" s="29" t="n"/>
      <c r="H475" s="29" t="n"/>
      <c r="I475" s="29" t="n"/>
      <c r="J475" s="29" t="n"/>
      <c r="K475" s="29" t="n"/>
      <c r="L475" s="29" t="n"/>
    </row>
    <row r="476" ht="22" customHeight="1">
      <c r="B476" s="14">
        <f>'設定'!$I$15</f>
        <v/>
      </c>
      <c r="C476" s="29" t="n"/>
      <c r="D476" s="29" t="n"/>
      <c r="E476" s="29" t="n"/>
      <c r="F476" s="29" t="n"/>
      <c r="G476" s="29" t="n"/>
      <c r="H476" s="29" t="n"/>
      <c r="I476" s="29" t="n"/>
      <c r="J476" s="29" t="n"/>
      <c r="K476" s="29" t="n"/>
      <c r="L476" s="29" t="n"/>
    </row>
    <row r="477" ht="22" customHeight="1">
      <c r="B477" s="14">
        <f>'設定'!$I$16</f>
        <v/>
      </c>
      <c r="C477" s="29" t="n"/>
      <c r="D477" s="29" t="n"/>
      <c r="E477" s="29" t="n"/>
      <c r="F477" s="29" t="n"/>
      <c r="G477" s="29" t="n"/>
      <c r="H477" s="29" t="n"/>
      <c r="I477" s="29" t="n"/>
      <c r="J477" s="29" t="n"/>
      <c r="K477" s="29" t="n"/>
      <c r="L477" s="29" t="n"/>
    </row>
    <row r="478" ht="22" customHeight="1">
      <c r="B478" s="14">
        <f>'設定'!$I$17</f>
        <v/>
      </c>
      <c r="C478" s="29" t="n"/>
      <c r="D478" s="29" t="n"/>
      <c r="E478" s="29" t="n"/>
      <c r="F478" s="29" t="n"/>
      <c r="G478" s="29" t="n"/>
      <c r="H478" s="29" t="n"/>
      <c r="I478" s="29" t="n"/>
      <c r="J478" s="29" t="n"/>
      <c r="K478" s="29" t="n"/>
      <c r="L478" s="29" t="n"/>
    </row>
    <row r="479" ht="22" customHeight="1">
      <c r="B479" s="14">
        <f>'設定'!$I$18</f>
        <v/>
      </c>
      <c r="C479" s="29" t="n"/>
      <c r="D479" s="29" t="n"/>
      <c r="E479" s="29" t="n"/>
      <c r="F479" s="29" t="n"/>
      <c r="G479" s="29" t="n"/>
      <c r="H479" s="29" t="n"/>
      <c r="I479" s="29" t="n"/>
      <c r="J479" s="29" t="n"/>
      <c r="K479" s="29" t="n"/>
      <c r="L479" s="29" t="n"/>
    </row>
    <row r="480" ht="22" customHeight="1">
      <c r="B480" s="14">
        <f>'設定'!$I$19</f>
        <v/>
      </c>
      <c r="C480" s="29" t="n"/>
      <c r="D480" s="29" t="n"/>
      <c r="E480" s="29" t="n"/>
      <c r="F480" s="29" t="n"/>
      <c r="G480" s="29" t="n"/>
      <c r="H480" s="29" t="n"/>
      <c r="I480" s="29" t="n"/>
      <c r="J480" s="29" t="n"/>
      <c r="K480" s="29" t="n"/>
      <c r="L480" s="29" t="n"/>
    </row>
    <row r="481" ht="22" customHeight="1">
      <c r="B481" s="14">
        <f>'設定'!$I$20</f>
        <v/>
      </c>
      <c r="C481" s="29" t="n"/>
      <c r="D481" s="29" t="n"/>
      <c r="E481" s="29" t="n"/>
      <c r="F481" s="29" t="n"/>
      <c r="G481" s="29" t="n"/>
      <c r="H481" s="29" t="n"/>
      <c r="I481" s="29" t="n"/>
      <c r="J481" s="29" t="n"/>
      <c r="K481" s="29" t="n"/>
      <c r="L481" s="29" t="n"/>
    </row>
    <row r="482" ht="22" customHeight="1">
      <c r="B482" s="14">
        <f>'設定'!$I$21</f>
        <v/>
      </c>
      <c r="C482" s="29" t="n"/>
      <c r="D482" s="29" t="n"/>
      <c r="E482" s="29" t="n"/>
      <c r="F482" s="29" t="n"/>
      <c r="G482" s="29" t="n"/>
      <c r="H482" s="29" t="n"/>
      <c r="I482" s="29" t="n"/>
      <c r="J482" s="29" t="n"/>
      <c r="K482" s="29" t="n"/>
      <c r="L482" s="29" t="n"/>
    </row>
    <row r="483" ht="22" customHeight="1">
      <c r="B483" s="14">
        <f>'設定'!$I$22</f>
        <v/>
      </c>
      <c r="C483" s="29" t="n"/>
      <c r="D483" s="29" t="n"/>
      <c r="E483" s="29" t="n"/>
      <c r="F483" s="29" t="n"/>
      <c r="G483" s="29" t="n"/>
      <c r="H483" s="29" t="n"/>
      <c r="I483" s="29" t="n"/>
      <c r="J483" s="29" t="n"/>
      <c r="K483" s="29" t="n"/>
      <c r="L483" s="29" t="n"/>
    </row>
    <row r="485" ht="26" customHeight="1">
      <c r="B485" s="24">
        <f>IF('名簿'!B37="","（名簿 33行目：なし）",'名簿'!E37)</f>
        <v/>
      </c>
      <c r="E485" s="25" t="inlineStr">
        <is>
          <t>提出状況 ▶</t>
        </is>
      </c>
      <c r="F485" s="17" t="n"/>
      <c r="G485" s="13" t="n"/>
      <c r="H485" s="26" t="inlineStr">
        <is>
          <t>状況：</t>
        </is>
      </c>
      <c r="I485" s="27">
        <f>'名簿'!F37</f>
        <v/>
      </c>
      <c r="J485" s="26" t="inlineStr">
        <is>
          <t>×の数：</t>
        </is>
      </c>
      <c r="K485" s="27">
        <f>'名簿'!G37</f>
        <v/>
      </c>
    </row>
    <row r="486">
      <c r="B486" s="28" t="inlineStr"/>
      <c r="C486" s="14">
        <f>'設定'!$E$11</f>
        <v/>
      </c>
      <c r="D486" s="14">
        <f>'設定'!$E$12</f>
        <v/>
      </c>
      <c r="E486" s="14">
        <f>'設定'!$E$13</f>
        <v/>
      </c>
      <c r="F486" s="14">
        <f>'設定'!$E$14</f>
        <v/>
      </c>
      <c r="G486" s="14">
        <f>'設定'!$E$15</f>
        <v/>
      </c>
      <c r="H486" s="14">
        <f>'設定'!$E$16</f>
        <v/>
      </c>
      <c r="I486" s="14">
        <f>'設定'!$E$17</f>
        <v/>
      </c>
      <c r="J486" s="14">
        <f>'設定'!$E$18</f>
        <v/>
      </c>
      <c r="K486" s="14">
        <f>'設定'!$E$19</f>
        <v/>
      </c>
      <c r="L486" s="14">
        <f>'設定'!$E$20</f>
        <v/>
      </c>
    </row>
    <row r="487" ht="22" customHeight="1">
      <c r="B487" s="14">
        <f>'設定'!$I$11</f>
        <v/>
      </c>
      <c r="C487" s="29" t="n"/>
      <c r="D487" s="29" t="n"/>
      <c r="E487" s="29" t="n"/>
      <c r="F487" s="29" t="n"/>
      <c r="G487" s="29" t="n"/>
      <c r="H487" s="29" t="n"/>
      <c r="I487" s="29" t="n"/>
      <c r="J487" s="29" t="n"/>
      <c r="K487" s="29" t="n"/>
      <c r="L487" s="29" t="n"/>
    </row>
    <row r="488" ht="22" customHeight="1">
      <c r="B488" s="14">
        <f>'設定'!$I$12</f>
        <v/>
      </c>
      <c r="C488" s="29" t="n"/>
      <c r="D488" s="29" t="n"/>
      <c r="E488" s="29" t="n"/>
      <c r="F488" s="29" t="n"/>
      <c r="G488" s="29" t="n"/>
      <c r="H488" s="29" t="n"/>
      <c r="I488" s="29" t="n"/>
      <c r="J488" s="29" t="n"/>
      <c r="K488" s="29" t="n"/>
      <c r="L488" s="29" t="n"/>
    </row>
    <row r="489" ht="22" customHeight="1">
      <c r="B489" s="14">
        <f>'設定'!$I$13</f>
        <v/>
      </c>
      <c r="C489" s="29" t="n"/>
      <c r="D489" s="29" t="n"/>
      <c r="E489" s="29" t="n"/>
      <c r="F489" s="29" t="n"/>
      <c r="G489" s="29" t="n"/>
      <c r="H489" s="29" t="n"/>
      <c r="I489" s="29" t="n"/>
      <c r="J489" s="29" t="n"/>
      <c r="K489" s="29" t="n"/>
      <c r="L489" s="29" t="n"/>
    </row>
    <row r="490" ht="22" customHeight="1">
      <c r="B490" s="14">
        <f>'設定'!$I$14</f>
        <v/>
      </c>
      <c r="C490" s="29" t="n"/>
      <c r="D490" s="29" t="n"/>
      <c r="E490" s="29" t="n"/>
      <c r="F490" s="29" t="n"/>
      <c r="G490" s="29" t="n"/>
      <c r="H490" s="29" t="n"/>
      <c r="I490" s="29" t="n"/>
      <c r="J490" s="29" t="n"/>
      <c r="K490" s="29" t="n"/>
      <c r="L490" s="29" t="n"/>
    </row>
    <row r="491" ht="22" customHeight="1">
      <c r="B491" s="14">
        <f>'設定'!$I$15</f>
        <v/>
      </c>
      <c r="C491" s="29" t="n"/>
      <c r="D491" s="29" t="n"/>
      <c r="E491" s="29" t="n"/>
      <c r="F491" s="29" t="n"/>
      <c r="G491" s="29" t="n"/>
      <c r="H491" s="29" t="n"/>
      <c r="I491" s="29" t="n"/>
      <c r="J491" s="29" t="n"/>
      <c r="K491" s="29" t="n"/>
      <c r="L491" s="29" t="n"/>
    </row>
    <row r="492" ht="22" customHeight="1">
      <c r="B492" s="14">
        <f>'設定'!$I$16</f>
        <v/>
      </c>
      <c r="C492" s="29" t="n"/>
      <c r="D492" s="29" t="n"/>
      <c r="E492" s="29" t="n"/>
      <c r="F492" s="29" t="n"/>
      <c r="G492" s="29" t="n"/>
      <c r="H492" s="29" t="n"/>
      <c r="I492" s="29" t="n"/>
      <c r="J492" s="29" t="n"/>
      <c r="K492" s="29" t="n"/>
      <c r="L492" s="29" t="n"/>
    </row>
    <row r="493" ht="22" customHeight="1">
      <c r="B493" s="14">
        <f>'設定'!$I$17</f>
        <v/>
      </c>
      <c r="C493" s="29" t="n"/>
      <c r="D493" s="29" t="n"/>
      <c r="E493" s="29" t="n"/>
      <c r="F493" s="29" t="n"/>
      <c r="G493" s="29" t="n"/>
      <c r="H493" s="29" t="n"/>
      <c r="I493" s="29" t="n"/>
      <c r="J493" s="29" t="n"/>
      <c r="K493" s="29" t="n"/>
      <c r="L493" s="29" t="n"/>
    </row>
    <row r="494" ht="22" customHeight="1">
      <c r="B494" s="14">
        <f>'設定'!$I$18</f>
        <v/>
      </c>
      <c r="C494" s="29" t="n"/>
      <c r="D494" s="29" t="n"/>
      <c r="E494" s="29" t="n"/>
      <c r="F494" s="29" t="n"/>
      <c r="G494" s="29" t="n"/>
      <c r="H494" s="29" t="n"/>
      <c r="I494" s="29" t="n"/>
      <c r="J494" s="29" t="n"/>
      <c r="K494" s="29" t="n"/>
      <c r="L494" s="29" t="n"/>
    </row>
    <row r="495" ht="22" customHeight="1">
      <c r="B495" s="14">
        <f>'設定'!$I$19</f>
        <v/>
      </c>
      <c r="C495" s="29" t="n"/>
      <c r="D495" s="29" t="n"/>
      <c r="E495" s="29" t="n"/>
      <c r="F495" s="29" t="n"/>
      <c r="G495" s="29" t="n"/>
      <c r="H495" s="29" t="n"/>
      <c r="I495" s="29" t="n"/>
      <c r="J495" s="29" t="n"/>
      <c r="K495" s="29" t="n"/>
      <c r="L495" s="29" t="n"/>
    </row>
    <row r="496" ht="22" customHeight="1">
      <c r="B496" s="14">
        <f>'設定'!$I$20</f>
        <v/>
      </c>
      <c r="C496" s="29" t="n"/>
      <c r="D496" s="29" t="n"/>
      <c r="E496" s="29" t="n"/>
      <c r="F496" s="29" t="n"/>
      <c r="G496" s="29" t="n"/>
      <c r="H496" s="29" t="n"/>
      <c r="I496" s="29" t="n"/>
      <c r="J496" s="29" t="n"/>
      <c r="K496" s="29" t="n"/>
      <c r="L496" s="29" t="n"/>
    </row>
    <row r="497" ht="22" customHeight="1">
      <c r="B497" s="14">
        <f>'設定'!$I$21</f>
        <v/>
      </c>
      <c r="C497" s="29" t="n"/>
      <c r="D497" s="29" t="n"/>
      <c r="E497" s="29" t="n"/>
      <c r="F497" s="29" t="n"/>
      <c r="G497" s="29" t="n"/>
      <c r="H497" s="29" t="n"/>
      <c r="I497" s="29" t="n"/>
      <c r="J497" s="29" t="n"/>
      <c r="K497" s="29" t="n"/>
      <c r="L497" s="29" t="n"/>
    </row>
    <row r="498" ht="22" customHeight="1">
      <c r="B498" s="14">
        <f>'設定'!$I$22</f>
        <v/>
      </c>
      <c r="C498" s="29" t="n"/>
      <c r="D498" s="29" t="n"/>
      <c r="E498" s="29" t="n"/>
      <c r="F498" s="29" t="n"/>
      <c r="G498" s="29" t="n"/>
      <c r="H498" s="29" t="n"/>
      <c r="I498" s="29" t="n"/>
      <c r="J498" s="29" t="n"/>
      <c r="K498" s="29" t="n"/>
      <c r="L498" s="29" t="n"/>
    </row>
    <row r="500" ht="26" customHeight="1">
      <c r="B500" s="24">
        <f>IF('名簿'!B38="","（名簿 34行目：なし）",'名簿'!E38)</f>
        <v/>
      </c>
      <c r="E500" s="25" t="inlineStr">
        <is>
          <t>提出状況 ▶</t>
        </is>
      </c>
      <c r="F500" s="17" t="n"/>
      <c r="G500" s="13" t="n"/>
      <c r="H500" s="26" t="inlineStr">
        <is>
          <t>状況：</t>
        </is>
      </c>
      <c r="I500" s="27">
        <f>'名簿'!F38</f>
        <v/>
      </c>
      <c r="J500" s="26" t="inlineStr">
        <is>
          <t>×の数：</t>
        </is>
      </c>
      <c r="K500" s="27">
        <f>'名簿'!G38</f>
        <v/>
      </c>
    </row>
    <row r="501">
      <c r="B501" s="28" t="inlineStr"/>
      <c r="C501" s="14">
        <f>'設定'!$E$11</f>
        <v/>
      </c>
      <c r="D501" s="14">
        <f>'設定'!$E$12</f>
        <v/>
      </c>
      <c r="E501" s="14">
        <f>'設定'!$E$13</f>
        <v/>
      </c>
      <c r="F501" s="14">
        <f>'設定'!$E$14</f>
        <v/>
      </c>
      <c r="G501" s="14">
        <f>'設定'!$E$15</f>
        <v/>
      </c>
      <c r="H501" s="14">
        <f>'設定'!$E$16</f>
        <v/>
      </c>
      <c r="I501" s="14">
        <f>'設定'!$E$17</f>
        <v/>
      </c>
      <c r="J501" s="14">
        <f>'設定'!$E$18</f>
        <v/>
      </c>
      <c r="K501" s="14">
        <f>'設定'!$E$19</f>
        <v/>
      </c>
      <c r="L501" s="14">
        <f>'設定'!$E$20</f>
        <v/>
      </c>
    </row>
    <row r="502" ht="22" customHeight="1">
      <c r="B502" s="14">
        <f>'設定'!$I$11</f>
        <v/>
      </c>
      <c r="C502" s="29" t="n"/>
      <c r="D502" s="29" t="n"/>
      <c r="E502" s="29" t="n"/>
      <c r="F502" s="29" t="n"/>
      <c r="G502" s="29" t="n"/>
      <c r="H502" s="29" t="n"/>
      <c r="I502" s="29" t="n"/>
      <c r="J502" s="29" t="n"/>
      <c r="K502" s="29" t="n"/>
      <c r="L502" s="29" t="n"/>
    </row>
    <row r="503" ht="22" customHeight="1">
      <c r="B503" s="14">
        <f>'設定'!$I$12</f>
        <v/>
      </c>
      <c r="C503" s="29" t="n"/>
      <c r="D503" s="29" t="n"/>
      <c r="E503" s="29" t="n"/>
      <c r="F503" s="29" t="n"/>
      <c r="G503" s="29" t="n"/>
      <c r="H503" s="29" t="n"/>
      <c r="I503" s="29" t="n"/>
      <c r="J503" s="29" t="n"/>
      <c r="K503" s="29" t="n"/>
      <c r="L503" s="29" t="n"/>
    </row>
    <row r="504" ht="22" customHeight="1">
      <c r="B504" s="14">
        <f>'設定'!$I$13</f>
        <v/>
      </c>
      <c r="C504" s="29" t="n"/>
      <c r="D504" s="29" t="n"/>
      <c r="E504" s="29" t="n"/>
      <c r="F504" s="29" t="n"/>
      <c r="G504" s="29" t="n"/>
      <c r="H504" s="29" t="n"/>
      <c r="I504" s="29" t="n"/>
      <c r="J504" s="29" t="n"/>
      <c r="K504" s="29" t="n"/>
      <c r="L504" s="29" t="n"/>
    </row>
    <row r="505" ht="22" customHeight="1">
      <c r="B505" s="14">
        <f>'設定'!$I$14</f>
        <v/>
      </c>
      <c r="C505" s="29" t="n"/>
      <c r="D505" s="29" t="n"/>
      <c r="E505" s="29" t="n"/>
      <c r="F505" s="29" t="n"/>
      <c r="G505" s="29" t="n"/>
      <c r="H505" s="29" t="n"/>
      <c r="I505" s="29" t="n"/>
      <c r="J505" s="29" t="n"/>
      <c r="K505" s="29" t="n"/>
      <c r="L505" s="29" t="n"/>
    </row>
    <row r="506" ht="22" customHeight="1">
      <c r="B506" s="14">
        <f>'設定'!$I$15</f>
        <v/>
      </c>
      <c r="C506" s="29" t="n"/>
      <c r="D506" s="29" t="n"/>
      <c r="E506" s="29" t="n"/>
      <c r="F506" s="29" t="n"/>
      <c r="G506" s="29" t="n"/>
      <c r="H506" s="29" t="n"/>
      <c r="I506" s="29" t="n"/>
      <c r="J506" s="29" t="n"/>
      <c r="K506" s="29" t="n"/>
      <c r="L506" s="29" t="n"/>
    </row>
    <row r="507" ht="22" customHeight="1">
      <c r="B507" s="14">
        <f>'設定'!$I$16</f>
        <v/>
      </c>
      <c r="C507" s="29" t="n"/>
      <c r="D507" s="29" t="n"/>
      <c r="E507" s="29" t="n"/>
      <c r="F507" s="29" t="n"/>
      <c r="G507" s="29" t="n"/>
      <c r="H507" s="29" t="n"/>
      <c r="I507" s="29" t="n"/>
      <c r="J507" s="29" t="n"/>
      <c r="K507" s="29" t="n"/>
      <c r="L507" s="29" t="n"/>
    </row>
    <row r="508" ht="22" customHeight="1">
      <c r="B508" s="14">
        <f>'設定'!$I$17</f>
        <v/>
      </c>
      <c r="C508" s="29" t="n"/>
      <c r="D508" s="29" t="n"/>
      <c r="E508" s="29" t="n"/>
      <c r="F508" s="29" t="n"/>
      <c r="G508" s="29" t="n"/>
      <c r="H508" s="29" t="n"/>
      <c r="I508" s="29" t="n"/>
      <c r="J508" s="29" t="n"/>
      <c r="K508" s="29" t="n"/>
      <c r="L508" s="29" t="n"/>
    </row>
    <row r="509" ht="22" customHeight="1">
      <c r="B509" s="14">
        <f>'設定'!$I$18</f>
        <v/>
      </c>
      <c r="C509" s="29" t="n"/>
      <c r="D509" s="29" t="n"/>
      <c r="E509" s="29" t="n"/>
      <c r="F509" s="29" t="n"/>
      <c r="G509" s="29" t="n"/>
      <c r="H509" s="29" t="n"/>
      <c r="I509" s="29" t="n"/>
      <c r="J509" s="29" t="n"/>
      <c r="K509" s="29" t="n"/>
      <c r="L509" s="29" t="n"/>
    </row>
    <row r="510" ht="22" customHeight="1">
      <c r="B510" s="14">
        <f>'設定'!$I$19</f>
        <v/>
      </c>
      <c r="C510" s="29" t="n"/>
      <c r="D510" s="29" t="n"/>
      <c r="E510" s="29" t="n"/>
      <c r="F510" s="29" t="n"/>
      <c r="G510" s="29" t="n"/>
      <c r="H510" s="29" t="n"/>
      <c r="I510" s="29" t="n"/>
      <c r="J510" s="29" t="n"/>
      <c r="K510" s="29" t="n"/>
      <c r="L510" s="29" t="n"/>
    </row>
    <row r="511" ht="22" customHeight="1">
      <c r="B511" s="14">
        <f>'設定'!$I$20</f>
        <v/>
      </c>
      <c r="C511" s="29" t="n"/>
      <c r="D511" s="29" t="n"/>
      <c r="E511" s="29" t="n"/>
      <c r="F511" s="29" t="n"/>
      <c r="G511" s="29" t="n"/>
      <c r="H511" s="29" t="n"/>
      <c r="I511" s="29" t="n"/>
      <c r="J511" s="29" t="n"/>
      <c r="K511" s="29" t="n"/>
      <c r="L511" s="29" t="n"/>
    </row>
    <row r="512" ht="22" customHeight="1">
      <c r="B512" s="14">
        <f>'設定'!$I$21</f>
        <v/>
      </c>
      <c r="C512" s="29" t="n"/>
      <c r="D512" s="29" t="n"/>
      <c r="E512" s="29" t="n"/>
      <c r="F512" s="29" t="n"/>
      <c r="G512" s="29" t="n"/>
      <c r="H512" s="29" t="n"/>
      <c r="I512" s="29" t="n"/>
      <c r="J512" s="29" t="n"/>
      <c r="K512" s="29" t="n"/>
      <c r="L512" s="29" t="n"/>
    </row>
    <row r="513" ht="22" customHeight="1">
      <c r="B513" s="14">
        <f>'設定'!$I$22</f>
        <v/>
      </c>
      <c r="C513" s="29" t="n"/>
      <c r="D513" s="29" t="n"/>
      <c r="E513" s="29" t="n"/>
      <c r="F513" s="29" t="n"/>
      <c r="G513" s="29" t="n"/>
      <c r="H513" s="29" t="n"/>
      <c r="I513" s="29" t="n"/>
      <c r="J513" s="29" t="n"/>
      <c r="K513" s="29" t="n"/>
      <c r="L513" s="29" t="n"/>
    </row>
    <row r="515" ht="26" customHeight="1">
      <c r="B515" s="24">
        <f>IF('名簿'!B39="","（名簿 35行目：なし）",'名簿'!E39)</f>
        <v/>
      </c>
      <c r="E515" s="25" t="inlineStr">
        <is>
          <t>提出状況 ▶</t>
        </is>
      </c>
      <c r="F515" s="17" t="n"/>
      <c r="G515" s="13" t="n"/>
      <c r="H515" s="26" t="inlineStr">
        <is>
          <t>状況：</t>
        </is>
      </c>
      <c r="I515" s="27">
        <f>'名簿'!F39</f>
        <v/>
      </c>
      <c r="J515" s="26" t="inlineStr">
        <is>
          <t>×の数：</t>
        </is>
      </c>
      <c r="K515" s="27">
        <f>'名簿'!G39</f>
        <v/>
      </c>
    </row>
    <row r="516">
      <c r="B516" s="28" t="inlineStr"/>
      <c r="C516" s="14">
        <f>'設定'!$E$11</f>
        <v/>
      </c>
      <c r="D516" s="14">
        <f>'設定'!$E$12</f>
        <v/>
      </c>
      <c r="E516" s="14">
        <f>'設定'!$E$13</f>
        <v/>
      </c>
      <c r="F516" s="14">
        <f>'設定'!$E$14</f>
        <v/>
      </c>
      <c r="G516" s="14">
        <f>'設定'!$E$15</f>
        <v/>
      </c>
      <c r="H516" s="14">
        <f>'設定'!$E$16</f>
        <v/>
      </c>
      <c r="I516" s="14">
        <f>'設定'!$E$17</f>
        <v/>
      </c>
      <c r="J516" s="14">
        <f>'設定'!$E$18</f>
        <v/>
      </c>
      <c r="K516" s="14">
        <f>'設定'!$E$19</f>
        <v/>
      </c>
      <c r="L516" s="14">
        <f>'設定'!$E$20</f>
        <v/>
      </c>
    </row>
    <row r="517" ht="22" customHeight="1">
      <c r="B517" s="14">
        <f>'設定'!$I$11</f>
        <v/>
      </c>
      <c r="C517" s="29" t="n"/>
      <c r="D517" s="29" t="n"/>
      <c r="E517" s="29" t="n"/>
      <c r="F517" s="29" t="n"/>
      <c r="G517" s="29" t="n"/>
      <c r="H517" s="29" t="n"/>
      <c r="I517" s="29" t="n"/>
      <c r="J517" s="29" t="n"/>
      <c r="K517" s="29" t="n"/>
      <c r="L517" s="29" t="n"/>
    </row>
    <row r="518" ht="22" customHeight="1">
      <c r="B518" s="14">
        <f>'設定'!$I$12</f>
        <v/>
      </c>
      <c r="C518" s="29" t="n"/>
      <c r="D518" s="29" t="n"/>
      <c r="E518" s="29" t="n"/>
      <c r="F518" s="29" t="n"/>
      <c r="G518" s="29" t="n"/>
      <c r="H518" s="29" t="n"/>
      <c r="I518" s="29" t="n"/>
      <c r="J518" s="29" t="n"/>
      <c r="K518" s="29" t="n"/>
      <c r="L518" s="29" t="n"/>
    </row>
    <row r="519" ht="22" customHeight="1">
      <c r="B519" s="14">
        <f>'設定'!$I$13</f>
        <v/>
      </c>
      <c r="C519" s="29" t="n"/>
      <c r="D519" s="29" t="n"/>
      <c r="E519" s="29" t="n"/>
      <c r="F519" s="29" t="n"/>
      <c r="G519" s="29" t="n"/>
      <c r="H519" s="29" t="n"/>
      <c r="I519" s="29" t="n"/>
      <c r="J519" s="29" t="n"/>
      <c r="K519" s="29" t="n"/>
      <c r="L519" s="29" t="n"/>
    </row>
    <row r="520" ht="22" customHeight="1">
      <c r="B520" s="14">
        <f>'設定'!$I$14</f>
        <v/>
      </c>
      <c r="C520" s="29" t="n"/>
      <c r="D520" s="29" t="n"/>
      <c r="E520" s="29" t="n"/>
      <c r="F520" s="29" t="n"/>
      <c r="G520" s="29" t="n"/>
      <c r="H520" s="29" t="n"/>
      <c r="I520" s="29" t="n"/>
      <c r="J520" s="29" t="n"/>
      <c r="K520" s="29" t="n"/>
      <c r="L520" s="29" t="n"/>
    </row>
    <row r="521" ht="22" customHeight="1">
      <c r="B521" s="14">
        <f>'設定'!$I$15</f>
        <v/>
      </c>
      <c r="C521" s="29" t="n"/>
      <c r="D521" s="29" t="n"/>
      <c r="E521" s="29" t="n"/>
      <c r="F521" s="29" t="n"/>
      <c r="G521" s="29" t="n"/>
      <c r="H521" s="29" t="n"/>
      <c r="I521" s="29" t="n"/>
      <c r="J521" s="29" t="n"/>
      <c r="K521" s="29" t="n"/>
      <c r="L521" s="29" t="n"/>
    </row>
    <row r="522" ht="22" customHeight="1">
      <c r="B522" s="14">
        <f>'設定'!$I$16</f>
        <v/>
      </c>
      <c r="C522" s="29" t="n"/>
      <c r="D522" s="29" t="n"/>
      <c r="E522" s="29" t="n"/>
      <c r="F522" s="29" t="n"/>
      <c r="G522" s="29" t="n"/>
      <c r="H522" s="29" t="n"/>
      <c r="I522" s="29" t="n"/>
      <c r="J522" s="29" t="n"/>
      <c r="K522" s="29" t="n"/>
      <c r="L522" s="29" t="n"/>
    </row>
    <row r="523" ht="22" customHeight="1">
      <c r="B523" s="14">
        <f>'設定'!$I$17</f>
        <v/>
      </c>
      <c r="C523" s="29" t="n"/>
      <c r="D523" s="29" t="n"/>
      <c r="E523" s="29" t="n"/>
      <c r="F523" s="29" t="n"/>
      <c r="G523" s="29" t="n"/>
      <c r="H523" s="29" t="n"/>
      <c r="I523" s="29" t="n"/>
      <c r="J523" s="29" t="n"/>
      <c r="K523" s="29" t="n"/>
      <c r="L523" s="29" t="n"/>
    </row>
    <row r="524" ht="22" customHeight="1">
      <c r="B524" s="14">
        <f>'設定'!$I$18</f>
        <v/>
      </c>
      <c r="C524" s="29" t="n"/>
      <c r="D524" s="29" t="n"/>
      <c r="E524" s="29" t="n"/>
      <c r="F524" s="29" t="n"/>
      <c r="G524" s="29" t="n"/>
      <c r="H524" s="29" t="n"/>
      <c r="I524" s="29" t="n"/>
      <c r="J524" s="29" t="n"/>
      <c r="K524" s="29" t="n"/>
      <c r="L524" s="29" t="n"/>
    </row>
    <row r="525" ht="22" customHeight="1">
      <c r="B525" s="14">
        <f>'設定'!$I$19</f>
        <v/>
      </c>
      <c r="C525" s="29" t="n"/>
      <c r="D525" s="29" t="n"/>
      <c r="E525" s="29" t="n"/>
      <c r="F525" s="29" t="n"/>
      <c r="G525" s="29" t="n"/>
      <c r="H525" s="29" t="n"/>
      <c r="I525" s="29" t="n"/>
      <c r="J525" s="29" t="n"/>
      <c r="K525" s="29" t="n"/>
      <c r="L525" s="29" t="n"/>
    </row>
    <row r="526" ht="22" customHeight="1">
      <c r="B526" s="14">
        <f>'設定'!$I$20</f>
        <v/>
      </c>
      <c r="C526" s="29" t="n"/>
      <c r="D526" s="29" t="n"/>
      <c r="E526" s="29" t="n"/>
      <c r="F526" s="29" t="n"/>
      <c r="G526" s="29" t="n"/>
      <c r="H526" s="29" t="n"/>
      <c r="I526" s="29" t="n"/>
      <c r="J526" s="29" t="n"/>
      <c r="K526" s="29" t="n"/>
      <c r="L526" s="29" t="n"/>
    </row>
    <row r="527" ht="22" customHeight="1">
      <c r="B527" s="14">
        <f>'設定'!$I$21</f>
        <v/>
      </c>
      <c r="C527" s="29" t="n"/>
      <c r="D527" s="29" t="n"/>
      <c r="E527" s="29" t="n"/>
      <c r="F527" s="29" t="n"/>
      <c r="G527" s="29" t="n"/>
      <c r="H527" s="29" t="n"/>
      <c r="I527" s="29" t="n"/>
      <c r="J527" s="29" t="n"/>
      <c r="K527" s="29" t="n"/>
      <c r="L527" s="29" t="n"/>
    </row>
    <row r="528" ht="22" customHeight="1">
      <c r="B528" s="14">
        <f>'設定'!$I$22</f>
        <v/>
      </c>
      <c r="C528" s="29" t="n"/>
      <c r="D528" s="29" t="n"/>
      <c r="E528" s="29" t="n"/>
      <c r="F528" s="29" t="n"/>
      <c r="G528" s="29" t="n"/>
      <c r="H528" s="29" t="n"/>
      <c r="I528" s="29" t="n"/>
      <c r="J528" s="29" t="n"/>
      <c r="K528" s="29" t="n"/>
      <c r="L528" s="29" t="n"/>
    </row>
    <row r="530" ht="26" customHeight="1">
      <c r="B530" s="24">
        <f>IF('名簿'!B40="","（名簿 36行目：なし）",'名簿'!E40)</f>
        <v/>
      </c>
      <c r="E530" s="25" t="inlineStr">
        <is>
          <t>提出状況 ▶</t>
        </is>
      </c>
      <c r="F530" s="17" t="n"/>
      <c r="G530" s="13" t="n"/>
      <c r="H530" s="26" t="inlineStr">
        <is>
          <t>状況：</t>
        </is>
      </c>
      <c r="I530" s="27">
        <f>'名簿'!F40</f>
        <v/>
      </c>
      <c r="J530" s="26" t="inlineStr">
        <is>
          <t>×の数：</t>
        </is>
      </c>
      <c r="K530" s="27">
        <f>'名簿'!G40</f>
        <v/>
      </c>
    </row>
    <row r="531">
      <c r="B531" s="28" t="inlineStr"/>
      <c r="C531" s="14">
        <f>'設定'!$E$11</f>
        <v/>
      </c>
      <c r="D531" s="14">
        <f>'設定'!$E$12</f>
        <v/>
      </c>
      <c r="E531" s="14">
        <f>'設定'!$E$13</f>
        <v/>
      </c>
      <c r="F531" s="14">
        <f>'設定'!$E$14</f>
        <v/>
      </c>
      <c r="G531" s="14">
        <f>'設定'!$E$15</f>
        <v/>
      </c>
      <c r="H531" s="14">
        <f>'設定'!$E$16</f>
        <v/>
      </c>
      <c r="I531" s="14">
        <f>'設定'!$E$17</f>
        <v/>
      </c>
      <c r="J531" s="14">
        <f>'設定'!$E$18</f>
        <v/>
      </c>
      <c r="K531" s="14">
        <f>'設定'!$E$19</f>
        <v/>
      </c>
      <c r="L531" s="14">
        <f>'設定'!$E$20</f>
        <v/>
      </c>
    </row>
    <row r="532" ht="22" customHeight="1">
      <c r="B532" s="14">
        <f>'設定'!$I$11</f>
        <v/>
      </c>
      <c r="C532" s="29" t="n"/>
      <c r="D532" s="29" t="n"/>
      <c r="E532" s="29" t="n"/>
      <c r="F532" s="29" t="n"/>
      <c r="G532" s="29" t="n"/>
      <c r="H532" s="29" t="n"/>
      <c r="I532" s="29" t="n"/>
      <c r="J532" s="29" t="n"/>
      <c r="K532" s="29" t="n"/>
      <c r="L532" s="29" t="n"/>
    </row>
    <row r="533" ht="22" customHeight="1">
      <c r="B533" s="14">
        <f>'設定'!$I$12</f>
        <v/>
      </c>
      <c r="C533" s="29" t="n"/>
      <c r="D533" s="29" t="n"/>
      <c r="E533" s="29" t="n"/>
      <c r="F533" s="29" t="n"/>
      <c r="G533" s="29" t="n"/>
      <c r="H533" s="29" t="n"/>
      <c r="I533" s="29" t="n"/>
      <c r="J533" s="29" t="n"/>
      <c r="K533" s="29" t="n"/>
      <c r="L533" s="29" t="n"/>
    </row>
    <row r="534" ht="22" customHeight="1">
      <c r="B534" s="14">
        <f>'設定'!$I$13</f>
        <v/>
      </c>
      <c r="C534" s="29" t="n"/>
      <c r="D534" s="29" t="n"/>
      <c r="E534" s="29" t="n"/>
      <c r="F534" s="29" t="n"/>
      <c r="G534" s="29" t="n"/>
      <c r="H534" s="29" t="n"/>
      <c r="I534" s="29" t="n"/>
      <c r="J534" s="29" t="n"/>
      <c r="K534" s="29" t="n"/>
      <c r="L534" s="29" t="n"/>
    </row>
    <row r="535" ht="22" customHeight="1">
      <c r="B535" s="14">
        <f>'設定'!$I$14</f>
        <v/>
      </c>
      <c r="C535" s="29" t="n"/>
      <c r="D535" s="29" t="n"/>
      <c r="E535" s="29" t="n"/>
      <c r="F535" s="29" t="n"/>
      <c r="G535" s="29" t="n"/>
      <c r="H535" s="29" t="n"/>
      <c r="I535" s="29" t="n"/>
      <c r="J535" s="29" t="n"/>
      <c r="K535" s="29" t="n"/>
      <c r="L535" s="29" t="n"/>
    </row>
    <row r="536" ht="22" customHeight="1">
      <c r="B536" s="14">
        <f>'設定'!$I$15</f>
        <v/>
      </c>
      <c r="C536" s="29" t="n"/>
      <c r="D536" s="29" t="n"/>
      <c r="E536" s="29" t="n"/>
      <c r="F536" s="29" t="n"/>
      <c r="G536" s="29" t="n"/>
      <c r="H536" s="29" t="n"/>
      <c r="I536" s="29" t="n"/>
      <c r="J536" s="29" t="n"/>
      <c r="K536" s="29" t="n"/>
      <c r="L536" s="29" t="n"/>
    </row>
    <row r="537" ht="22" customHeight="1">
      <c r="B537" s="14">
        <f>'設定'!$I$16</f>
        <v/>
      </c>
      <c r="C537" s="29" t="n"/>
      <c r="D537" s="29" t="n"/>
      <c r="E537" s="29" t="n"/>
      <c r="F537" s="29" t="n"/>
      <c r="G537" s="29" t="n"/>
      <c r="H537" s="29" t="n"/>
      <c r="I537" s="29" t="n"/>
      <c r="J537" s="29" t="n"/>
      <c r="K537" s="29" t="n"/>
      <c r="L537" s="29" t="n"/>
    </row>
    <row r="538" ht="22" customHeight="1">
      <c r="B538" s="14">
        <f>'設定'!$I$17</f>
        <v/>
      </c>
      <c r="C538" s="29" t="n"/>
      <c r="D538" s="29" t="n"/>
      <c r="E538" s="29" t="n"/>
      <c r="F538" s="29" t="n"/>
      <c r="G538" s="29" t="n"/>
      <c r="H538" s="29" t="n"/>
      <c r="I538" s="29" t="n"/>
      <c r="J538" s="29" t="n"/>
      <c r="K538" s="29" t="n"/>
      <c r="L538" s="29" t="n"/>
    </row>
    <row r="539" ht="22" customHeight="1">
      <c r="B539" s="14">
        <f>'設定'!$I$18</f>
        <v/>
      </c>
      <c r="C539" s="29" t="n"/>
      <c r="D539" s="29" t="n"/>
      <c r="E539" s="29" t="n"/>
      <c r="F539" s="29" t="n"/>
      <c r="G539" s="29" t="n"/>
      <c r="H539" s="29" t="n"/>
      <c r="I539" s="29" t="n"/>
      <c r="J539" s="29" t="n"/>
      <c r="K539" s="29" t="n"/>
      <c r="L539" s="29" t="n"/>
    </row>
    <row r="540" ht="22" customHeight="1">
      <c r="B540" s="14">
        <f>'設定'!$I$19</f>
        <v/>
      </c>
      <c r="C540" s="29" t="n"/>
      <c r="D540" s="29" t="n"/>
      <c r="E540" s="29" t="n"/>
      <c r="F540" s="29" t="n"/>
      <c r="G540" s="29" t="n"/>
      <c r="H540" s="29" t="n"/>
      <c r="I540" s="29" t="n"/>
      <c r="J540" s="29" t="n"/>
      <c r="K540" s="29" t="n"/>
      <c r="L540" s="29" t="n"/>
    </row>
    <row r="541" ht="22" customHeight="1">
      <c r="B541" s="14">
        <f>'設定'!$I$20</f>
        <v/>
      </c>
      <c r="C541" s="29" t="n"/>
      <c r="D541" s="29" t="n"/>
      <c r="E541" s="29" t="n"/>
      <c r="F541" s="29" t="n"/>
      <c r="G541" s="29" t="n"/>
      <c r="H541" s="29" t="n"/>
      <c r="I541" s="29" t="n"/>
      <c r="J541" s="29" t="n"/>
      <c r="K541" s="29" t="n"/>
      <c r="L541" s="29" t="n"/>
    </row>
    <row r="542" ht="22" customHeight="1">
      <c r="B542" s="14">
        <f>'設定'!$I$21</f>
        <v/>
      </c>
      <c r="C542" s="29" t="n"/>
      <c r="D542" s="29" t="n"/>
      <c r="E542" s="29" t="n"/>
      <c r="F542" s="29" t="n"/>
      <c r="G542" s="29" t="n"/>
      <c r="H542" s="29" t="n"/>
      <c r="I542" s="29" t="n"/>
      <c r="J542" s="29" t="n"/>
      <c r="K542" s="29" t="n"/>
      <c r="L542" s="29" t="n"/>
    </row>
    <row r="543" ht="22" customHeight="1">
      <c r="B543" s="14">
        <f>'設定'!$I$22</f>
        <v/>
      </c>
      <c r="C543" s="29" t="n"/>
      <c r="D543" s="29" t="n"/>
      <c r="E543" s="29" t="n"/>
      <c r="F543" s="29" t="n"/>
      <c r="G543" s="29" t="n"/>
      <c r="H543" s="29" t="n"/>
      <c r="I543" s="29" t="n"/>
      <c r="J543" s="29" t="n"/>
      <c r="K543" s="29" t="n"/>
      <c r="L543" s="29" t="n"/>
    </row>
    <row r="545" ht="26" customHeight="1">
      <c r="B545" s="24">
        <f>IF('名簿'!B41="","（名簿 37行目：なし）",'名簿'!E41)</f>
        <v/>
      </c>
      <c r="E545" s="25" t="inlineStr">
        <is>
          <t>提出状況 ▶</t>
        </is>
      </c>
      <c r="F545" s="17" t="n"/>
      <c r="G545" s="13" t="n"/>
      <c r="H545" s="26" t="inlineStr">
        <is>
          <t>状況：</t>
        </is>
      </c>
      <c r="I545" s="27">
        <f>'名簿'!F41</f>
        <v/>
      </c>
      <c r="J545" s="26" t="inlineStr">
        <is>
          <t>×の数：</t>
        </is>
      </c>
      <c r="K545" s="27">
        <f>'名簿'!G41</f>
        <v/>
      </c>
    </row>
    <row r="546">
      <c r="B546" s="28" t="inlineStr"/>
      <c r="C546" s="14">
        <f>'設定'!$E$11</f>
        <v/>
      </c>
      <c r="D546" s="14">
        <f>'設定'!$E$12</f>
        <v/>
      </c>
      <c r="E546" s="14">
        <f>'設定'!$E$13</f>
        <v/>
      </c>
      <c r="F546" s="14">
        <f>'設定'!$E$14</f>
        <v/>
      </c>
      <c r="G546" s="14">
        <f>'設定'!$E$15</f>
        <v/>
      </c>
      <c r="H546" s="14">
        <f>'設定'!$E$16</f>
        <v/>
      </c>
      <c r="I546" s="14">
        <f>'設定'!$E$17</f>
        <v/>
      </c>
      <c r="J546" s="14">
        <f>'設定'!$E$18</f>
        <v/>
      </c>
      <c r="K546" s="14">
        <f>'設定'!$E$19</f>
        <v/>
      </c>
      <c r="L546" s="14">
        <f>'設定'!$E$20</f>
        <v/>
      </c>
    </row>
    <row r="547" ht="22" customHeight="1">
      <c r="B547" s="14">
        <f>'設定'!$I$11</f>
        <v/>
      </c>
      <c r="C547" s="29" t="n"/>
      <c r="D547" s="29" t="n"/>
      <c r="E547" s="29" t="n"/>
      <c r="F547" s="29" t="n"/>
      <c r="G547" s="29" t="n"/>
      <c r="H547" s="29" t="n"/>
      <c r="I547" s="29" t="n"/>
      <c r="J547" s="29" t="n"/>
      <c r="K547" s="29" t="n"/>
      <c r="L547" s="29" t="n"/>
    </row>
    <row r="548" ht="22" customHeight="1">
      <c r="B548" s="14">
        <f>'設定'!$I$12</f>
        <v/>
      </c>
      <c r="C548" s="29" t="n"/>
      <c r="D548" s="29" t="n"/>
      <c r="E548" s="29" t="n"/>
      <c r="F548" s="29" t="n"/>
      <c r="G548" s="29" t="n"/>
      <c r="H548" s="29" t="n"/>
      <c r="I548" s="29" t="n"/>
      <c r="J548" s="29" t="n"/>
      <c r="K548" s="29" t="n"/>
      <c r="L548" s="29" t="n"/>
    </row>
    <row r="549" ht="22" customHeight="1">
      <c r="B549" s="14">
        <f>'設定'!$I$13</f>
        <v/>
      </c>
      <c r="C549" s="29" t="n"/>
      <c r="D549" s="29" t="n"/>
      <c r="E549" s="29" t="n"/>
      <c r="F549" s="29" t="n"/>
      <c r="G549" s="29" t="n"/>
      <c r="H549" s="29" t="n"/>
      <c r="I549" s="29" t="n"/>
      <c r="J549" s="29" t="n"/>
      <c r="K549" s="29" t="n"/>
      <c r="L549" s="29" t="n"/>
    </row>
    <row r="550" ht="22" customHeight="1">
      <c r="B550" s="14">
        <f>'設定'!$I$14</f>
        <v/>
      </c>
      <c r="C550" s="29" t="n"/>
      <c r="D550" s="29" t="n"/>
      <c r="E550" s="29" t="n"/>
      <c r="F550" s="29" t="n"/>
      <c r="G550" s="29" t="n"/>
      <c r="H550" s="29" t="n"/>
      <c r="I550" s="29" t="n"/>
      <c r="J550" s="29" t="n"/>
      <c r="K550" s="29" t="n"/>
      <c r="L550" s="29" t="n"/>
    </row>
    <row r="551" ht="22" customHeight="1">
      <c r="B551" s="14">
        <f>'設定'!$I$15</f>
        <v/>
      </c>
      <c r="C551" s="29" t="n"/>
      <c r="D551" s="29" t="n"/>
      <c r="E551" s="29" t="n"/>
      <c r="F551" s="29" t="n"/>
      <c r="G551" s="29" t="n"/>
      <c r="H551" s="29" t="n"/>
      <c r="I551" s="29" t="n"/>
      <c r="J551" s="29" t="n"/>
      <c r="K551" s="29" t="n"/>
      <c r="L551" s="29" t="n"/>
    </row>
    <row r="552" ht="22" customHeight="1">
      <c r="B552" s="14">
        <f>'設定'!$I$16</f>
        <v/>
      </c>
      <c r="C552" s="29" t="n"/>
      <c r="D552" s="29" t="n"/>
      <c r="E552" s="29" t="n"/>
      <c r="F552" s="29" t="n"/>
      <c r="G552" s="29" t="n"/>
      <c r="H552" s="29" t="n"/>
      <c r="I552" s="29" t="n"/>
      <c r="J552" s="29" t="n"/>
      <c r="K552" s="29" t="n"/>
      <c r="L552" s="29" t="n"/>
    </row>
    <row r="553" ht="22" customHeight="1">
      <c r="B553" s="14">
        <f>'設定'!$I$17</f>
        <v/>
      </c>
      <c r="C553" s="29" t="n"/>
      <c r="D553" s="29" t="n"/>
      <c r="E553" s="29" t="n"/>
      <c r="F553" s="29" t="n"/>
      <c r="G553" s="29" t="n"/>
      <c r="H553" s="29" t="n"/>
      <c r="I553" s="29" t="n"/>
      <c r="J553" s="29" t="n"/>
      <c r="K553" s="29" t="n"/>
      <c r="L553" s="29" t="n"/>
    </row>
    <row r="554" ht="22" customHeight="1">
      <c r="B554" s="14">
        <f>'設定'!$I$18</f>
        <v/>
      </c>
      <c r="C554" s="29" t="n"/>
      <c r="D554" s="29" t="n"/>
      <c r="E554" s="29" t="n"/>
      <c r="F554" s="29" t="n"/>
      <c r="G554" s="29" t="n"/>
      <c r="H554" s="29" t="n"/>
      <c r="I554" s="29" t="n"/>
      <c r="J554" s="29" t="n"/>
      <c r="K554" s="29" t="n"/>
      <c r="L554" s="29" t="n"/>
    </row>
    <row r="555" ht="22" customHeight="1">
      <c r="B555" s="14">
        <f>'設定'!$I$19</f>
        <v/>
      </c>
      <c r="C555" s="29" t="n"/>
      <c r="D555" s="29" t="n"/>
      <c r="E555" s="29" t="n"/>
      <c r="F555" s="29" t="n"/>
      <c r="G555" s="29" t="n"/>
      <c r="H555" s="29" t="n"/>
      <c r="I555" s="29" t="n"/>
      <c r="J555" s="29" t="n"/>
      <c r="K555" s="29" t="n"/>
      <c r="L555" s="29" t="n"/>
    </row>
    <row r="556" ht="22" customHeight="1">
      <c r="B556" s="14">
        <f>'設定'!$I$20</f>
        <v/>
      </c>
      <c r="C556" s="29" t="n"/>
      <c r="D556" s="29" t="n"/>
      <c r="E556" s="29" t="n"/>
      <c r="F556" s="29" t="n"/>
      <c r="G556" s="29" t="n"/>
      <c r="H556" s="29" t="n"/>
      <c r="I556" s="29" t="n"/>
      <c r="J556" s="29" t="n"/>
      <c r="K556" s="29" t="n"/>
      <c r="L556" s="29" t="n"/>
    </row>
    <row r="557" ht="22" customHeight="1">
      <c r="B557" s="14">
        <f>'設定'!$I$21</f>
        <v/>
      </c>
      <c r="C557" s="29" t="n"/>
      <c r="D557" s="29" t="n"/>
      <c r="E557" s="29" t="n"/>
      <c r="F557" s="29" t="n"/>
      <c r="G557" s="29" t="n"/>
      <c r="H557" s="29" t="n"/>
      <c r="I557" s="29" t="n"/>
      <c r="J557" s="29" t="n"/>
      <c r="K557" s="29" t="n"/>
      <c r="L557" s="29" t="n"/>
    </row>
    <row r="558" ht="22" customHeight="1">
      <c r="B558" s="14">
        <f>'設定'!$I$22</f>
        <v/>
      </c>
      <c r="C558" s="29" t="n"/>
      <c r="D558" s="29" t="n"/>
      <c r="E558" s="29" t="n"/>
      <c r="F558" s="29" t="n"/>
      <c r="G558" s="29" t="n"/>
      <c r="H558" s="29" t="n"/>
      <c r="I558" s="29" t="n"/>
      <c r="J558" s="29" t="n"/>
      <c r="K558" s="29" t="n"/>
      <c r="L558" s="29" t="n"/>
    </row>
    <row r="560" ht="26" customHeight="1">
      <c r="B560" s="24">
        <f>IF('名簿'!B42="","（名簿 38行目：なし）",'名簿'!E42)</f>
        <v/>
      </c>
      <c r="E560" s="25" t="inlineStr">
        <is>
          <t>提出状況 ▶</t>
        </is>
      </c>
      <c r="F560" s="17" t="n"/>
      <c r="G560" s="13" t="n"/>
      <c r="H560" s="26" t="inlineStr">
        <is>
          <t>状況：</t>
        </is>
      </c>
      <c r="I560" s="27">
        <f>'名簿'!F42</f>
        <v/>
      </c>
      <c r="J560" s="26" t="inlineStr">
        <is>
          <t>×の数：</t>
        </is>
      </c>
      <c r="K560" s="27">
        <f>'名簿'!G42</f>
        <v/>
      </c>
    </row>
    <row r="561">
      <c r="B561" s="28" t="inlineStr"/>
      <c r="C561" s="14">
        <f>'設定'!$E$11</f>
        <v/>
      </c>
      <c r="D561" s="14">
        <f>'設定'!$E$12</f>
        <v/>
      </c>
      <c r="E561" s="14">
        <f>'設定'!$E$13</f>
        <v/>
      </c>
      <c r="F561" s="14">
        <f>'設定'!$E$14</f>
        <v/>
      </c>
      <c r="G561" s="14">
        <f>'設定'!$E$15</f>
        <v/>
      </c>
      <c r="H561" s="14">
        <f>'設定'!$E$16</f>
        <v/>
      </c>
      <c r="I561" s="14">
        <f>'設定'!$E$17</f>
        <v/>
      </c>
      <c r="J561" s="14">
        <f>'設定'!$E$18</f>
        <v/>
      </c>
      <c r="K561" s="14">
        <f>'設定'!$E$19</f>
        <v/>
      </c>
      <c r="L561" s="14">
        <f>'設定'!$E$20</f>
        <v/>
      </c>
    </row>
    <row r="562" ht="22" customHeight="1">
      <c r="B562" s="14">
        <f>'設定'!$I$11</f>
        <v/>
      </c>
      <c r="C562" s="29" t="n"/>
      <c r="D562" s="29" t="n"/>
      <c r="E562" s="29" t="n"/>
      <c r="F562" s="29" t="n"/>
      <c r="G562" s="29" t="n"/>
      <c r="H562" s="29" t="n"/>
      <c r="I562" s="29" t="n"/>
      <c r="J562" s="29" t="n"/>
      <c r="K562" s="29" t="n"/>
      <c r="L562" s="29" t="n"/>
    </row>
    <row r="563" ht="22" customHeight="1">
      <c r="B563" s="14">
        <f>'設定'!$I$12</f>
        <v/>
      </c>
      <c r="C563" s="29" t="n"/>
      <c r="D563" s="29" t="n"/>
      <c r="E563" s="29" t="n"/>
      <c r="F563" s="29" t="n"/>
      <c r="G563" s="29" t="n"/>
      <c r="H563" s="29" t="n"/>
      <c r="I563" s="29" t="n"/>
      <c r="J563" s="29" t="n"/>
      <c r="K563" s="29" t="n"/>
      <c r="L563" s="29" t="n"/>
    </row>
    <row r="564" ht="22" customHeight="1">
      <c r="B564" s="14">
        <f>'設定'!$I$13</f>
        <v/>
      </c>
      <c r="C564" s="29" t="n"/>
      <c r="D564" s="29" t="n"/>
      <c r="E564" s="29" t="n"/>
      <c r="F564" s="29" t="n"/>
      <c r="G564" s="29" t="n"/>
      <c r="H564" s="29" t="n"/>
      <c r="I564" s="29" t="n"/>
      <c r="J564" s="29" t="n"/>
      <c r="K564" s="29" t="n"/>
      <c r="L564" s="29" t="n"/>
    </row>
    <row r="565" ht="22" customHeight="1">
      <c r="B565" s="14">
        <f>'設定'!$I$14</f>
        <v/>
      </c>
      <c r="C565" s="29" t="n"/>
      <c r="D565" s="29" t="n"/>
      <c r="E565" s="29" t="n"/>
      <c r="F565" s="29" t="n"/>
      <c r="G565" s="29" t="n"/>
      <c r="H565" s="29" t="n"/>
      <c r="I565" s="29" t="n"/>
      <c r="J565" s="29" t="n"/>
      <c r="K565" s="29" t="n"/>
      <c r="L565" s="29" t="n"/>
    </row>
    <row r="566" ht="22" customHeight="1">
      <c r="B566" s="14">
        <f>'設定'!$I$15</f>
        <v/>
      </c>
      <c r="C566" s="29" t="n"/>
      <c r="D566" s="29" t="n"/>
      <c r="E566" s="29" t="n"/>
      <c r="F566" s="29" t="n"/>
      <c r="G566" s="29" t="n"/>
      <c r="H566" s="29" t="n"/>
      <c r="I566" s="29" t="n"/>
      <c r="J566" s="29" t="n"/>
      <c r="K566" s="29" t="n"/>
      <c r="L566" s="29" t="n"/>
    </row>
    <row r="567" ht="22" customHeight="1">
      <c r="B567" s="14">
        <f>'設定'!$I$16</f>
        <v/>
      </c>
      <c r="C567" s="29" t="n"/>
      <c r="D567" s="29" t="n"/>
      <c r="E567" s="29" t="n"/>
      <c r="F567" s="29" t="n"/>
      <c r="G567" s="29" t="n"/>
      <c r="H567" s="29" t="n"/>
      <c r="I567" s="29" t="n"/>
      <c r="J567" s="29" t="n"/>
      <c r="K567" s="29" t="n"/>
      <c r="L567" s="29" t="n"/>
    </row>
    <row r="568" ht="22" customHeight="1">
      <c r="B568" s="14">
        <f>'設定'!$I$17</f>
        <v/>
      </c>
      <c r="C568" s="29" t="n"/>
      <c r="D568" s="29" t="n"/>
      <c r="E568" s="29" t="n"/>
      <c r="F568" s="29" t="n"/>
      <c r="G568" s="29" t="n"/>
      <c r="H568" s="29" t="n"/>
      <c r="I568" s="29" t="n"/>
      <c r="J568" s="29" t="n"/>
      <c r="K568" s="29" t="n"/>
      <c r="L568" s="29" t="n"/>
    </row>
    <row r="569" ht="22" customHeight="1">
      <c r="B569" s="14">
        <f>'設定'!$I$18</f>
        <v/>
      </c>
      <c r="C569" s="29" t="n"/>
      <c r="D569" s="29" t="n"/>
      <c r="E569" s="29" t="n"/>
      <c r="F569" s="29" t="n"/>
      <c r="G569" s="29" t="n"/>
      <c r="H569" s="29" t="n"/>
      <c r="I569" s="29" t="n"/>
      <c r="J569" s="29" t="n"/>
      <c r="K569" s="29" t="n"/>
      <c r="L569" s="29" t="n"/>
    </row>
    <row r="570" ht="22" customHeight="1">
      <c r="B570" s="14">
        <f>'設定'!$I$19</f>
        <v/>
      </c>
      <c r="C570" s="29" t="n"/>
      <c r="D570" s="29" t="n"/>
      <c r="E570" s="29" t="n"/>
      <c r="F570" s="29" t="n"/>
      <c r="G570" s="29" t="n"/>
      <c r="H570" s="29" t="n"/>
      <c r="I570" s="29" t="n"/>
      <c r="J570" s="29" t="n"/>
      <c r="K570" s="29" t="n"/>
      <c r="L570" s="29" t="n"/>
    </row>
    <row r="571" ht="22" customHeight="1">
      <c r="B571" s="14">
        <f>'設定'!$I$20</f>
        <v/>
      </c>
      <c r="C571" s="29" t="n"/>
      <c r="D571" s="29" t="n"/>
      <c r="E571" s="29" t="n"/>
      <c r="F571" s="29" t="n"/>
      <c r="G571" s="29" t="n"/>
      <c r="H571" s="29" t="n"/>
      <c r="I571" s="29" t="n"/>
      <c r="J571" s="29" t="n"/>
      <c r="K571" s="29" t="n"/>
      <c r="L571" s="29" t="n"/>
    </row>
    <row r="572" ht="22" customHeight="1">
      <c r="B572" s="14">
        <f>'設定'!$I$21</f>
        <v/>
      </c>
      <c r="C572" s="29" t="n"/>
      <c r="D572" s="29" t="n"/>
      <c r="E572" s="29" t="n"/>
      <c r="F572" s="29" t="n"/>
      <c r="G572" s="29" t="n"/>
      <c r="H572" s="29" t="n"/>
      <c r="I572" s="29" t="n"/>
      <c r="J572" s="29" t="n"/>
      <c r="K572" s="29" t="n"/>
      <c r="L572" s="29" t="n"/>
    </row>
    <row r="573" ht="22" customHeight="1">
      <c r="B573" s="14">
        <f>'設定'!$I$22</f>
        <v/>
      </c>
      <c r="C573" s="29" t="n"/>
      <c r="D573" s="29" t="n"/>
      <c r="E573" s="29" t="n"/>
      <c r="F573" s="29" t="n"/>
      <c r="G573" s="29" t="n"/>
      <c r="H573" s="29" t="n"/>
      <c r="I573" s="29" t="n"/>
      <c r="J573" s="29" t="n"/>
      <c r="K573" s="29" t="n"/>
      <c r="L573" s="29" t="n"/>
    </row>
    <row r="575" ht="26" customHeight="1">
      <c r="B575" s="24">
        <f>IF('名簿'!B43="","（名簿 39行目：なし）",'名簿'!E43)</f>
        <v/>
      </c>
      <c r="E575" s="25" t="inlineStr">
        <is>
          <t>提出状況 ▶</t>
        </is>
      </c>
      <c r="F575" s="17" t="n"/>
      <c r="G575" s="13" t="n"/>
      <c r="H575" s="26" t="inlineStr">
        <is>
          <t>状況：</t>
        </is>
      </c>
      <c r="I575" s="27">
        <f>'名簿'!F43</f>
        <v/>
      </c>
      <c r="J575" s="26" t="inlineStr">
        <is>
          <t>×の数：</t>
        </is>
      </c>
      <c r="K575" s="27">
        <f>'名簿'!G43</f>
        <v/>
      </c>
    </row>
    <row r="576">
      <c r="B576" s="28" t="inlineStr"/>
      <c r="C576" s="14">
        <f>'設定'!$E$11</f>
        <v/>
      </c>
      <c r="D576" s="14">
        <f>'設定'!$E$12</f>
        <v/>
      </c>
      <c r="E576" s="14">
        <f>'設定'!$E$13</f>
        <v/>
      </c>
      <c r="F576" s="14">
        <f>'設定'!$E$14</f>
        <v/>
      </c>
      <c r="G576" s="14">
        <f>'設定'!$E$15</f>
        <v/>
      </c>
      <c r="H576" s="14">
        <f>'設定'!$E$16</f>
        <v/>
      </c>
      <c r="I576" s="14">
        <f>'設定'!$E$17</f>
        <v/>
      </c>
      <c r="J576" s="14">
        <f>'設定'!$E$18</f>
        <v/>
      </c>
      <c r="K576" s="14">
        <f>'設定'!$E$19</f>
        <v/>
      </c>
      <c r="L576" s="14">
        <f>'設定'!$E$20</f>
        <v/>
      </c>
    </row>
    <row r="577" ht="22" customHeight="1">
      <c r="B577" s="14">
        <f>'設定'!$I$11</f>
        <v/>
      </c>
      <c r="C577" s="29" t="n"/>
      <c r="D577" s="29" t="n"/>
      <c r="E577" s="29" t="n"/>
      <c r="F577" s="29" t="n"/>
      <c r="G577" s="29" t="n"/>
      <c r="H577" s="29" t="n"/>
      <c r="I577" s="29" t="n"/>
      <c r="J577" s="29" t="n"/>
      <c r="K577" s="29" t="n"/>
      <c r="L577" s="29" t="n"/>
    </row>
    <row r="578" ht="22" customHeight="1">
      <c r="B578" s="14">
        <f>'設定'!$I$12</f>
        <v/>
      </c>
      <c r="C578" s="29" t="n"/>
      <c r="D578" s="29" t="n"/>
      <c r="E578" s="29" t="n"/>
      <c r="F578" s="29" t="n"/>
      <c r="G578" s="29" t="n"/>
      <c r="H578" s="29" t="n"/>
      <c r="I578" s="29" t="n"/>
      <c r="J578" s="29" t="n"/>
      <c r="K578" s="29" t="n"/>
      <c r="L578" s="29" t="n"/>
    </row>
    <row r="579" ht="22" customHeight="1">
      <c r="B579" s="14">
        <f>'設定'!$I$13</f>
        <v/>
      </c>
      <c r="C579" s="29" t="n"/>
      <c r="D579" s="29" t="n"/>
      <c r="E579" s="29" t="n"/>
      <c r="F579" s="29" t="n"/>
      <c r="G579" s="29" t="n"/>
      <c r="H579" s="29" t="n"/>
      <c r="I579" s="29" t="n"/>
      <c r="J579" s="29" t="n"/>
      <c r="K579" s="29" t="n"/>
      <c r="L579" s="29" t="n"/>
    </row>
    <row r="580" ht="22" customHeight="1">
      <c r="B580" s="14">
        <f>'設定'!$I$14</f>
        <v/>
      </c>
      <c r="C580" s="29" t="n"/>
      <c r="D580" s="29" t="n"/>
      <c r="E580" s="29" t="n"/>
      <c r="F580" s="29" t="n"/>
      <c r="G580" s="29" t="n"/>
      <c r="H580" s="29" t="n"/>
      <c r="I580" s="29" t="n"/>
      <c r="J580" s="29" t="n"/>
      <c r="K580" s="29" t="n"/>
      <c r="L580" s="29" t="n"/>
    </row>
    <row r="581" ht="22" customHeight="1">
      <c r="B581" s="14">
        <f>'設定'!$I$15</f>
        <v/>
      </c>
      <c r="C581" s="29" t="n"/>
      <c r="D581" s="29" t="n"/>
      <c r="E581" s="29" t="n"/>
      <c r="F581" s="29" t="n"/>
      <c r="G581" s="29" t="n"/>
      <c r="H581" s="29" t="n"/>
      <c r="I581" s="29" t="n"/>
      <c r="J581" s="29" t="n"/>
      <c r="K581" s="29" t="n"/>
      <c r="L581" s="29" t="n"/>
    </row>
    <row r="582" ht="22" customHeight="1">
      <c r="B582" s="14">
        <f>'設定'!$I$16</f>
        <v/>
      </c>
      <c r="C582" s="29" t="n"/>
      <c r="D582" s="29" t="n"/>
      <c r="E582" s="29" t="n"/>
      <c r="F582" s="29" t="n"/>
      <c r="G582" s="29" t="n"/>
      <c r="H582" s="29" t="n"/>
      <c r="I582" s="29" t="n"/>
      <c r="J582" s="29" t="n"/>
      <c r="K582" s="29" t="n"/>
      <c r="L582" s="29" t="n"/>
    </row>
    <row r="583" ht="22" customHeight="1">
      <c r="B583" s="14">
        <f>'設定'!$I$17</f>
        <v/>
      </c>
      <c r="C583" s="29" t="n"/>
      <c r="D583" s="29" t="n"/>
      <c r="E583" s="29" t="n"/>
      <c r="F583" s="29" t="n"/>
      <c r="G583" s="29" t="n"/>
      <c r="H583" s="29" t="n"/>
      <c r="I583" s="29" t="n"/>
      <c r="J583" s="29" t="n"/>
      <c r="K583" s="29" t="n"/>
      <c r="L583" s="29" t="n"/>
    </row>
    <row r="584" ht="22" customHeight="1">
      <c r="B584" s="14">
        <f>'設定'!$I$18</f>
        <v/>
      </c>
      <c r="C584" s="29" t="n"/>
      <c r="D584" s="29" t="n"/>
      <c r="E584" s="29" t="n"/>
      <c r="F584" s="29" t="n"/>
      <c r="G584" s="29" t="n"/>
      <c r="H584" s="29" t="n"/>
      <c r="I584" s="29" t="n"/>
      <c r="J584" s="29" t="n"/>
      <c r="K584" s="29" t="n"/>
      <c r="L584" s="29" t="n"/>
    </row>
    <row r="585" ht="22" customHeight="1">
      <c r="B585" s="14">
        <f>'設定'!$I$19</f>
        <v/>
      </c>
      <c r="C585" s="29" t="n"/>
      <c r="D585" s="29" t="n"/>
      <c r="E585" s="29" t="n"/>
      <c r="F585" s="29" t="n"/>
      <c r="G585" s="29" t="n"/>
      <c r="H585" s="29" t="n"/>
      <c r="I585" s="29" t="n"/>
      <c r="J585" s="29" t="n"/>
      <c r="K585" s="29" t="n"/>
      <c r="L585" s="29" t="n"/>
    </row>
    <row r="586" ht="22" customHeight="1">
      <c r="B586" s="14">
        <f>'設定'!$I$20</f>
        <v/>
      </c>
      <c r="C586" s="29" t="n"/>
      <c r="D586" s="29" t="n"/>
      <c r="E586" s="29" t="n"/>
      <c r="F586" s="29" t="n"/>
      <c r="G586" s="29" t="n"/>
      <c r="H586" s="29" t="n"/>
      <c r="I586" s="29" t="n"/>
      <c r="J586" s="29" t="n"/>
      <c r="K586" s="29" t="n"/>
      <c r="L586" s="29" t="n"/>
    </row>
    <row r="587" ht="22" customHeight="1">
      <c r="B587" s="14">
        <f>'設定'!$I$21</f>
        <v/>
      </c>
      <c r="C587" s="29" t="n"/>
      <c r="D587" s="29" t="n"/>
      <c r="E587" s="29" t="n"/>
      <c r="F587" s="29" t="n"/>
      <c r="G587" s="29" t="n"/>
      <c r="H587" s="29" t="n"/>
      <c r="I587" s="29" t="n"/>
      <c r="J587" s="29" t="n"/>
      <c r="K587" s="29" t="n"/>
      <c r="L587" s="29" t="n"/>
    </row>
    <row r="588" ht="22" customHeight="1">
      <c r="B588" s="14">
        <f>'設定'!$I$22</f>
        <v/>
      </c>
      <c r="C588" s="29" t="n"/>
      <c r="D588" s="29" t="n"/>
      <c r="E588" s="29" t="n"/>
      <c r="F588" s="29" t="n"/>
      <c r="G588" s="29" t="n"/>
      <c r="H588" s="29" t="n"/>
      <c r="I588" s="29" t="n"/>
      <c r="J588" s="29" t="n"/>
      <c r="K588" s="29" t="n"/>
      <c r="L588" s="29" t="n"/>
    </row>
    <row r="590" ht="26" customHeight="1">
      <c r="B590" s="24">
        <f>IF('名簿'!B44="","（名簿 40行目：なし）",'名簿'!E44)</f>
        <v/>
      </c>
      <c r="E590" s="25" t="inlineStr">
        <is>
          <t>提出状況 ▶</t>
        </is>
      </c>
      <c r="F590" s="17" t="n"/>
      <c r="G590" s="13" t="n"/>
      <c r="H590" s="26" t="inlineStr">
        <is>
          <t>状況：</t>
        </is>
      </c>
      <c r="I590" s="27">
        <f>'名簿'!F44</f>
        <v/>
      </c>
      <c r="J590" s="26" t="inlineStr">
        <is>
          <t>×の数：</t>
        </is>
      </c>
      <c r="K590" s="27">
        <f>'名簿'!G44</f>
        <v/>
      </c>
    </row>
    <row r="591">
      <c r="B591" s="28" t="inlineStr"/>
      <c r="C591" s="14">
        <f>'設定'!$E$11</f>
        <v/>
      </c>
      <c r="D591" s="14">
        <f>'設定'!$E$12</f>
        <v/>
      </c>
      <c r="E591" s="14">
        <f>'設定'!$E$13</f>
        <v/>
      </c>
      <c r="F591" s="14">
        <f>'設定'!$E$14</f>
        <v/>
      </c>
      <c r="G591" s="14">
        <f>'設定'!$E$15</f>
        <v/>
      </c>
      <c r="H591" s="14">
        <f>'設定'!$E$16</f>
        <v/>
      </c>
      <c r="I591" s="14">
        <f>'設定'!$E$17</f>
        <v/>
      </c>
      <c r="J591" s="14">
        <f>'設定'!$E$18</f>
        <v/>
      </c>
      <c r="K591" s="14">
        <f>'設定'!$E$19</f>
        <v/>
      </c>
      <c r="L591" s="14">
        <f>'設定'!$E$20</f>
        <v/>
      </c>
    </row>
    <row r="592" ht="22" customHeight="1">
      <c r="B592" s="14">
        <f>'設定'!$I$11</f>
        <v/>
      </c>
      <c r="C592" s="29" t="n"/>
      <c r="D592" s="29" t="n"/>
      <c r="E592" s="29" t="n"/>
      <c r="F592" s="29" t="n"/>
      <c r="G592" s="29" t="n"/>
      <c r="H592" s="29" t="n"/>
      <c r="I592" s="29" t="n"/>
      <c r="J592" s="29" t="n"/>
      <c r="K592" s="29" t="n"/>
      <c r="L592" s="29" t="n"/>
    </row>
    <row r="593" ht="22" customHeight="1">
      <c r="B593" s="14">
        <f>'設定'!$I$12</f>
        <v/>
      </c>
      <c r="C593" s="29" t="n"/>
      <c r="D593" s="29" t="n"/>
      <c r="E593" s="29" t="n"/>
      <c r="F593" s="29" t="n"/>
      <c r="G593" s="29" t="n"/>
      <c r="H593" s="29" t="n"/>
      <c r="I593" s="29" t="n"/>
      <c r="J593" s="29" t="n"/>
      <c r="K593" s="29" t="n"/>
      <c r="L593" s="29" t="n"/>
    </row>
    <row r="594" ht="22" customHeight="1">
      <c r="B594" s="14">
        <f>'設定'!$I$13</f>
        <v/>
      </c>
      <c r="C594" s="29" t="n"/>
      <c r="D594" s="29" t="n"/>
      <c r="E594" s="29" t="n"/>
      <c r="F594" s="29" t="n"/>
      <c r="G594" s="29" t="n"/>
      <c r="H594" s="29" t="n"/>
      <c r="I594" s="29" t="n"/>
      <c r="J594" s="29" t="n"/>
      <c r="K594" s="29" t="n"/>
      <c r="L594" s="29" t="n"/>
    </row>
    <row r="595" ht="22" customHeight="1">
      <c r="B595" s="14">
        <f>'設定'!$I$14</f>
        <v/>
      </c>
      <c r="C595" s="29" t="n"/>
      <c r="D595" s="29" t="n"/>
      <c r="E595" s="29" t="n"/>
      <c r="F595" s="29" t="n"/>
      <c r="G595" s="29" t="n"/>
      <c r="H595" s="29" t="n"/>
      <c r="I595" s="29" t="n"/>
      <c r="J595" s="29" t="n"/>
      <c r="K595" s="29" t="n"/>
      <c r="L595" s="29" t="n"/>
    </row>
    <row r="596" ht="22" customHeight="1">
      <c r="B596" s="14">
        <f>'設定'!$I$15</f>
        <v/>
      </c>
      <c r="C596" s="29" t="n"/>
      <c r="D596" s="29" t="n"/>
      <c r="E596" s="29" t="n"/>
      <c r="F596" s="29" t="n"/>
      <c r="G596" s="29" t="n"/>
      <c r="H596" s="29" t="n"/>
      <c r="I596" s="29" t="n"/>
      <c r="J596" s="29" t="n"/>
      <c r="K596" s="29" t="n"/>
      <c r="L596" s="29" t="n"/>
    </row>
    <row r="597" ht="22" customHeight="1">
      <c r="B597" s="14">
        <f>'設定'!$I$16</f>
        <v/>
      </c>
      <c r="C597" s="29" t="n"/>
      <c r="D597" s="29" t="n"/>
      <c r="E597" s="29" t="n"/>
      <c r="F597" s="29" t="n"/>
      <c r="G597" s="29" t="n"/>
      <c r="H597" s="29" t="n"/>
      <c r="I597" s="29" t="n"/>
      <c r="J597" s="29" t="n"/>
      <c r="K597" s="29" t="n"/>
      <c r="L597" s="29" t="n"/>
    </row>
    <row r="598" ht="22" customHeight="1">
      <c r="B598" s="14">
        <f>'設定'!$I$17</f>
        <v/>
      </c>
      <c r="C598" s="29" t="n"/>
      <c r="D598" s="29" t="n"/>
      <c r="E598" s="29" t="n"/>
      <c r="F598" s="29" t="n"/>
      <c r="G598" s="29" t="n"/>
      <c r="H598" s="29" t="n"/>
      <c r="I598" s="29" t="n"/>
      <c r="J598" s="29" t="n"/>
      <c r="K598" s="29" t="n"/>
      <c r="L598" s="29" t="n"/>
    </row>
    <row r="599" ht="22" customHeight="1">
      <c r="B599" s="14">
        <f>'設定'!$I$18</f>
        <v/>
      </c>
      <c r="C599" s="29" t="n"/>
      <c r="D599" s="29" t="n"/>
      <c r="E599" s="29" t="n"/>
      <c r="F599" s="29" t="n"/>
      <c r="G599" s="29" t="n"/>
      <c r="H599" s="29" t="n"/>
      <c r="I599" s="29" t="n"/>
      <c r="J599" s="29" t="n"/>
      <c r="K599" s="29" t="n"/>
      <c r="L599" s="29" t="n"/>
    </row>
    <row r="600" ht="22" customHeight="1">
      <c r="B600" s="14">
        <f>'設定'!$I$19</f>
        <v/>
      </c>
      <c r="C600" s="29" t="n"/>
      <c r="D600" s="29" t="n"/>
      <c r="E600" s="29" t="n"/>
      <c r="F600" s="29" t="n"/>
      <c r="G600" s="29" t="n"/>
      <c r="H600" s="29" t="n"/>
      <c r="I600" s="29" t="n"/>
      <c r="J600" s="29" t="n"/>
      <c r="K600" s="29" t="n"/>
      <c r="L600" s="29" t="n"/>
    </row>
    <row r="601" ht="22" customHeight="1">
      <c r="B601" s="14">
        <f>'設定'!$I$20</f>
        <v/>
      </c>
      <c r="C601" s="29" t="n"/>
      <c r="D601" s="29" t="n"/>
      <c r="E601" s="29" t="n"/>
      <c r="F601" s="29" t="n"/>
      <c r="G601" s="29" t="n"/>
      <c r="H601" s="29" t="n"/>
      <c r="I601" s="29" t="n"/>
      <c r="J601" s="29" t="n"/>
      <c r="K601" s="29" t="n"/>
      <c r="L601" s="29" t="n"/>
    </row>
    <row r="602" ht="22" customHeight="1">
      <c r="B602" s="14">
        <f>'設定'!$I$21</f>
        <v/>
      </c>
      <c r="C602" s="29" t="n"/>
      <c r="D602" s="29" t="n"/>
      <c r="E602" s="29" t="n"/>
      <c r="F602" s="29" t="n"/>
      <c r="G602" s="29" t="n"/>
      <c r="H602" s="29" t="n"/>
      <c r="I602" s="29" t="n"/>
      <c r="J602" s="29" t="n"/>
      <c r="K602" s="29" t="n"/>
      <c r="L602" s="29" t="n"/>
    </row>
    <row r="603" ht="22" customHeight="1">
      <c r="B603" s="14">
        <f>'設定'!$I$22</f>
        <v/>
      </c>
      <c r="C603" s="29" t="n"/>
      <c r="D603" s="29" t="n"/>
      <c r="E603" s="29" t="n"/>
      <c r="F603" s="29" t="n"/>
      <c r="G603" s="29" t="n"/>
      <c r="H603" s="29" t="n"/>
      <c r="I603" s="29" t="n"/>
      <c r="J603" s="29" t="n"/>
      <c r="K603" s="29" t="n"/>
      <c r="L603" s="29" t="n"/>
    </row>
    <row r="605" ht="26" customHeight="1">
      <c r="B605" s="24">
        <f>IF('名簿'!B45="","（名簿 41行目：なし）",'名簿'!E45)</f>
        <v/>
      </c>
      <c r="E605" s="25" t="inlineStr">
        <is>
          <t>提出状況 ▶</t>
        </is>
      </c>
      <c r="F605" s="17" t="n"/>
      <c r="G605" s="13" t="n"/>
      <c r="H605" s="26" t="inlineStr">
        <is>
          <t>状況：</t>
        </is>
      </c>
      <c r="I605" s="27">
        <f>'名簿'!F45</f>
        <v/>
      </c>
      <c r="J605" s="26" t="inlineStr">
        <is>
          <t>×の数：</t>
        </is>
      </c>
      <c r="K605" s="27">
        <f>'名簿'!G45</f>
        <v/>
      </c>
    </row>
    <row r="606">
      <c r="B606" s="28" t="inlineStr"/>
      <c r="C606" s="14">
        <f>'設定'!$E$11</f>
        <v/>
      </c>
      <c r="D606" s="14">
        <f>'設定'!$E$12</f>
        <v/>
      </c>
      <c r="E606" s="14">
        <f>'設定'!$E$13</f>
        <v/>
      </c>
      <c r="F606" s="14">
        <f>'設定'!$E$14</f>
        <v/>
      </c>
      <c r="G606" s="14">
        <f>'設定'!$E$15</f>
        <v/>
      </c>
      <c r="H606" s="14">
        <f>'設定'!$E$16</f>
        <v/>
      </c>
      <c r="I606" s="14">
        <f>'設定'!$E$17</f>
        <v/>
      </c>
      <c r="J606" s="14">
        <f>'設定'!$E$18</f>
        <v/>
      </c>
      <c r="K606" s="14">
        <f>'設定'!$E$19</f>
        <v/>
      </c>
      <c r="L606" s="14">
        <f>'設定'!$E$20</f>
        <v/>
      </c>
    </row>
    <row r="607" ht="22" customHeight="1">
      <c r="B607" s="14">
        <f>'設定'!$I$11</f>
        <v/>
      </c>
      <c r="C607" s="29" t="n"/>
      <c r="D607" s="29" t="n"/>
      <c r="E607" s="29" t="n"/>
      <c r="F607" s="29" t="n"/>
      <c r="G607" s="29" t="n"/>
      <c r="H607" s="29" t="n"/>
      <c r="I607" s="29" t="n"/>
      <c r="J607" s="29" t="n"/>
      <c r="K607" s="29" t="n"/>
      <c r="L607" s="29" t="n"/>
    </row>
    <row r="608" ht="22" customHeight="1">
      <c r="B608" s="14">
        <f>'設定'!$I$12</f>
        <v/>
      </c>
      <c r="C608" s="29" t="n"/>
      <c r="D608" s="29" t="n"/>
      <c r="E608" s="29" t="n"/>
      <c r="F608" s="29" t="n"/>
      <c r="G608" s="29" t="n"/>
      <c r="H608" s="29" t="n"/>
      <c r="I608" s="29" t="n"/>
      <c r="J608" s="29" t="n"/>
      <c r="K608" s="29" t="n"/>
      <c r="L608" s="29" t="n"/>
    </row>
    <row r="609" ht="22" customHeight="1">
      <c r="B609" s="14">
        <f>'設定'!$I$13</f>
        <v/>
      </c>
      <c r="C609" s="29" t="n"/>
      <c r="D609" s="29" t="n"/>
      <c r="E609" s="29" t="n"/>
      <c r="F609" s="29" t="n"/>
      <c r="G609" s="29" t="n"/>
      <c r="H609" s="29" t="n"/>
      <c r="I609" s="29" t="n"/>
      <c r="J609" s="29" t="n"/>
      <c r="K609" s="29" t="n"/>
      <c r="L609" s="29" t="n"/>
    </row>
    <row r="610" ht="22" customHeight="1">
      <c r="B610" s="14">
        <f>'設定'!$I$14</f>
        <v/>
      </c>
      <c r="C610" s="29" t="n"/>
      <c r="D610" s="29" t="n"/>
      <c r="E610" s="29" t="n"/>
      <c r="F610" s="29" t="n"/>
      <c r="G610" s="29" t="n"/>
      <c r="H610" s="29" t="n"/>
      <c r="I610" s="29" t="n"/>
      <c r="J610" s="29" t="n"/>
      <c r="K610" s="29" t="n"/>
      <c r="L610" s="29" t="n"/>
    </row>
    <row r="611" ht="22" customHeight="1">
      <c r="B611" s="14">
        <f>'設定'!$I$15</f>
        <v/>
      </c>
      <c r="C611" s="29" t="n"/>
      <c r="D611" s="29" t="n"/>
      <c r="E611" s="29" t="n"/>
      <c r="F611" s="29" t="n"/>
      <c r="G611" s="29" t="n"/>
      <c r="H611" s="29" t="n"/>
      <c r="I611" s="29" t="n"/>
      <c r="J611" s="29" t="n"/>
      <c r="K611" s="29" t="n"/>
      <c r="L611" s="29" t="n"/>
    </row>
    <row r="612" ht="22" customHeight="1">
      <c r="B612" s="14">
        <f>'設定'!$I$16</f>
        <v/>
      </c>
      <c r="C612" s="29" t="n"/>
      <c r="D612" s="29" t="n"/>
      <c r="E612" s="29" t="n"/>
      <c r="F612" s="29" t="n"/>
      <c r="G612" s="29" t="n"/>
      <c r="H612" s="29" t="n"/>
      <c r="I612" s="29" t="n"/>
      <c r="J612" s="29" t="n"/>
      <c r="K612" s="29" t="n"/>
      <c r="L612" s="29" t="n"/>
    </row>
    <row r="613" ht="22" customHeight="1">
      <c r="B613" s="14">
        <f>'設定'!$I$17</f>
        <v/>
      </c>
      <c r="C613" s="29" t="n"/>
      <c r="D613" s="29" t="n"/>
      <c r="E613" s="29" t="n"/>
      <c r="F613" s="29" t="n"/>
      <c r="G613" s="29" t="n"/>
      <c r="H613" s="29" t="n"/>
      <c r="I613" s="29" t="n"/>
      <c r="J613" s="29" t="n"/>
      <c r="K613" s="29" t="n"/>
      <c r="L613" s="29" t="n"/>
    </row>
    <row r="614" ht="22" customHeight="1">
      <c r="B614" s="14">
        <f>'設定'!$I$18</f>
        <v/>
      </c>
      <c r="C614" s="29" t="n"/>
      <c r="D614" s="29" t="n"/>
      <c r="E614" s="29" t="n"/>
      <c r="F614" s="29" t="n"/>
      <c r="G614" s="29" t="n"/>
      <c r="H614" s="29" t="n"/>
      <c r="I614" s="29" t="n"/>
      <c r="J614" s="29" t="n"/>
      <c r="K614" s="29" t="n"/>
      <c r="L614" s="29" t="n"/>
    </row>
    <row r="615" ht="22" customHeight="1">
      <c r="B615" s="14">
        <f>'設定'!$I$19</f>
        <v/>
      </c>
      <c r="C615" s="29" t="n"/>
      <c r="D615" s="29" t="n"/>
      <c r="E615" s="29" t="n"/>
      <c r="F615" s="29" t="n"/>
      <c r="G615" s="29" t="n"/>
      <c r="H615" s="29" t="n"/>
      <c r="I615" s="29" t="n"/>
      <c r="J615" s="29" t="n"/>
      <c r="K615" s="29" t="n"/>
      <c r="L615" s="29" t="n"/>
    </row>
    <row r="616" ht="22" customHeight="1">
      <c r="B616" s="14">
        <f>'設定'!$I$20</f>
        <v/>
      </c>
      <c r="C616" s="29" t="n"/>
      <c r="D616" s="29" t="n"/>
      <c r="E616" s="29" t="n"/>
      <c r="F616" s="29" t="n"/>
      <c r="G616" s="29" t="n"/>
      <c r="H616" s="29" t="n"/>
      <c r="I616" s="29" t="n"/>
      <c r="J616" s="29" t="n"/>
      <c r="K616" s="29" t="n"/>
      <c r="L616" s="29" t="n"/>
    </row>
    <row r="617" ht="22" customHeight="1">
      <c r="B617" s="14">
        <f>'設定'!$I$21</f>
        <v/>
      </c>
      <c r="C617" s="29" t="n"/>
      <c r="D617" s="29" t="n"/>
      <c r="E617" s="29" t="n"/>
      <c r="F617" s="29" t="n"/>
      <c r="G617" s="29" t="n"/>
      <c r="H617" s="29" t="n"/>
      <c r="I617" s="29" t="n"/>
      <c r="J617" s="29" t="n"/>
      <c r="K617" s="29" t="n"/>
      <c r="L617" s="29" t="n"/>
    </row>
    <row r="618" ht="22" customHeight="1">
      <c r="B618" s="14">
        <f>'設定'!$I$22</f>
        <v/>
      </c>
      <c r="C618" s="29" t="n"/>
      <c r="D618" s="29" t="n"/>
      <c r="E618" s="29" t="n"/>
      <c r="F618" s="29" t="n"/>
      <c r="G618" s="29" t="n"/>
      <c r="H618" s="29" t="n"/>
      <c r="I618" s="29" t="n"/>
      <c r="J618" s="29" t="n"/>
      <c r="K618" s="29" t="n"/>
      <c r="L618" s="29" t="n"/>
    </row>
    <row r="620" ht="26" customHeight="1">
      <c r="B620" s="24">
        <f>IF('名簿'!B46="","（名簿 42行目：なし）",'名簿'!E46)</f>
        <v/>
      </c>
      <c r="E620" s="25" t="inlineStr">
        <is>
          <t>提出状況 ▶</t>
        </is>
      </c>
      <c r="F620" s="17" t="n"/>
      <c r="G620" s="13" t="n"/>
      <c r="H620" s="26" t="inlineStr">
        <is>
          <t>状況：</t>
        </is>
      </c>
      <c r="I620" s="27">
        <f>'名簿'!F46</f>
        <v/>
      </c>
      <c r="J620" s="26" t="inlineStr">
        <is>
          <t>×の数：</t>
        </is>
      </c>
      <c r="K620" s="27">
        <f>'名簿'!G46</f>
        <v/>
      </c>
    </row>
    <row r="621">
      <c r="B621" s="28" t="inlineStr"/>
      <c r="C621" s="14">
        <f>'設定'!$E$11</f>
        <v/>
      </c>
      <c r="D621" s="14">
        <f>'設定'!$E$12</f>
        <v/>
      </c>
      <c r="E621" s="14">
        <f>'設定'!$E$13</f>
        <v/>
      </c>
      <c r="F621" s="14">
        <f>'設定'!$E$14</f>
        <v/>
      </c>
      <c r="G621" s="14">
        <f>'設定'!$E$15</f>
        <v/>
      </c>
      <c r="H621" s="14">
        <f>'設定'!$E$16</f>
        <v/>
      </c>
      <c r="I621" s="14">
        <f>'設定'!$E$17</f>
        <v/>
      </c>
      <c r="J621" s="14">
        <f>'設定'!$E$18</f>
        <v/>
      </c>
      <c r="K621" s="14">
        <f>'設定'!$E$19</f>
        <v/>
      </c>
      <c r="L621" s="14">
        <f>'設定'!$E$20</f>
        <v/>
      </c>
    </row>
    <row r="622" ht="22" customHeight="1">
      <c r="B622" s="14">
        <f>'設定'!$I$11</f>
        <v/>
      </c>
      <c r="C622" s="29" t="n"/>
      <c r="D622" s="29" t="n"/>
      <c r="E622" s="29" t="n"/>
      <c r="F622" s="29" t="n"/>
      <c r="G622" s="29" t="n"/>
      <c r="H622" s="29" t="n"/>
      <c r="I622" s="29" t="n"/>
      <c r="J622" s="29" t="n"/>
      <c r="K622" s="29" t="n"/>
      <c r="L622" s="29" t="n"/>
    </row>
    <row r="623" ht="22" customHeight="1">
      <c r="B623" s="14">
        <f>'設定'!$I$12</f>
        <v/>
      </c>
      <c r="C623" s="29" t="n"/>
      <c r="D623" s="29" t="n"/>
      <c r="E623" s="29" t="n"/>
      <c r="F623" s="29" t="n"/>
      <c r="G623" s="29" t="n"/>
      <c r="H623" s="29" t="n"/>
      <c r="I623" s="29" t="n"/>
      <c r="J623" s="29" t="n"/>
      <c r="K623" s="29" t="n"/>
      <c r="L623" s="29" t="n"/>
    </row>
    <row r="624" ht="22" customHeight="1">
      <c r="B624" s="14">
        <f>'設定'!$I$13</f>
        <v/>
      </c>
      <c r="C624" s="29" t="n"/>
      <c r="D624" s="29" t="n"/>
      <c r="E624" s="29" t="n"/>
      <c r="F624" s="29" t="n"/>
      <c r="G624" s="29" t="n"/>
      <c r="H624" s="29" t="n"/>
      <c r="I624" s="29" t="n"/>
      <c r="J624" s="29" t="n"/>
      <c r="K624" s="29" t="n"/>
      <c r="L624" s="29" t="n"/>
    </row>
    <row r="625" ht="22" customHeight="1">
      <c r="B625" s="14">
        <f>'設定'!$I$14</f>
        <v/>
      </c>
      <c r="C625" s="29" t="n"/>
      <c r="D625" s="29" t="n"/>
      <c r="E625" s="29" t="n"/>
      <c r="F625" s="29" t="n"/>
      <c r="G625" s="29" t="n"/>
      <c r="H625" s="29" t="n"/>
      <c r="I625" s="29" t="n"/>
      <c r="J625" s="29" t="n"/>
      <c r="K625" s="29" t="n"/>
      <c r="L625" s="29" t="n"/>
    </row>
    <row r="626" ht="22" customHeight="1">
      <c r="B626" s="14">
        <f>'設定'!$I$15</f>
        <v/>
      </c>
      <c r="C626" s="29" t="n"/>
      <c r="D626" s="29" t="n"/>
      <c r="E626" s="29" t="n"/>
      <c r="F626" s="29" t="n"/>
      <c r="G626" s="29" t="n"/>
      <c r="H626" s="29" t="n"/>
      <c r="I626" s="29" t="n"/>
      <c r="J626" s="29" t="n"/>
      <c r="K626" s="29" t="n"/>
      <c r="L626" s="29" t="n"/>
    </row>
    <row r="627" ht="22" customHeight="1">
      <c r="B627" s="14">
        <f>'設定'!$I$16</f>
        <v/>
      </c>
      <c r="C627" s="29" t="n"/>
      <c r="D627" s="29" t="n"/>
      <c r="E627" s="29" t="n"/>
      <c r="F627" s="29" t="n"/>
      <c r="G627" s="29" t="n"/>
      <c r="H627" s="29" t="n"/>
      <c r="I627" s="29" t="n"/>
      <c r="J627" s="29" t="n"/>
      <c r="K627" s="29" t="n"/>
      <c r="L627" s="29" t="n"/>
    </row>
    <row r="628" ht="22" customHeight="1">
      <c r="B628" s="14">
        <f>'設定'!$I$17</f>
        <v/>
      </c>
      <c r="C628" s="29" t="n"/>
      <c r="D628" s="29" t="n"/>
      <c r="E628" s="29" t="n"/>
      <c r="F628" s="29" t="n"/>
      <c r="G628" s="29" t="n"/>
      <c r="H628" s="29" t="n"/>
      <c r="I628" s="29" t="n"/>
      <c r="J628" s="29" t="n"/>
      <c r="K628" s="29" t="n"/>
      <c r="L628" s="29" t="n"/>
    </row>
    <row r="629" ht="22" customHeight="1">
      <c r="B629" s="14">
        <f>'設定'!$I$18</f>
        <v/>
      </c>
      <c r="C629" s="29" t="n"/>
      <c r="D629" s="29" t="n"/>
      <c r="E629" s="29" t="n"/>
      <c r="F629" s="29" t="n"/>
      <c r="G629" s="29" t="n"/>
      <c r="H629" s="29" t="n"/>
      <c r="I629" s="29" t="n"/>
      <c r="J629" s="29" t="n"/>
      <c r="K629" s="29" t="n"/>
      <c r="L629" s="29" t="n"/>
    </row>
    <row r="630" ht="22" customHeight="1">
      <c r="B630" s="14">
        <f>'設定'!$I$19</f>
        <v/>
      </c>
      <c r="C630" s="29" t="n"/>
      <c r="D630" s="29" t="n"/>
      <c r="E630" s="29" t="n"/>
      <c r="F630" s="29" t="n"/>
      <c r="G630" s="29" t="n"/>
      <c r="H630" s="29" t="n"/>
      <c r="I630" s="29" t="n"/>
      <c r="J630" s="29" t="n"/>
      <c r="K630" s="29" t="n"/>
      <c r="L630" s="29" t="n"/>
    </row>
    <row r="631" ht="22" customHeight="1">
      <c r="B631" s="14">
        <f>'設定'!$I$20</f>
        <v/>
      </c>
      <c r="C631" s="29" t="n"/>
      <c r="D631" s="29" t="n"/>
      <c r="E631" s="29" t="n"/>
      <c r="F631" s="29" t="n"/>
      <c r="G631" s="29" t="n"/>
      <c r="H631" s="29" t="n"/>
      <c r="I631" s="29" t="n"/>
      <c r="J631" s="29" t="n"/>
      <c r="K631" s="29" t="n"/>
      <c r="L631" s="29" t="n"/>
    </row>
    <row r="632" ht="22" customHeight="1">
      <c r="B632" s="14">
        <f>'設定'!$I$21</f>
        <v/>
      </c>
      <c r="C632" s="29" t="n"/>
      <c r="D632" s="29" t="n"/>
      <c r="E632" s="29" t="n"/>
      <c r="F632" s="29" t="n"/>
      <c r="G632" s="29" t="n"/>
      <c r="H632" s="29" t="n"/>
      <c r="I632" s="29" t="n"/>
      <c r="J632" s="29" t="n"/>
      <c r="K632" s="29" t="n"/>
      <c r="L632" s="29" t="n"/>
    </row>
    <row r="633" ht="22" customHeight="1">
      <c r="B633" s="14">
        <f>'設定'!$I$22</f>
        <v/>
      </c>
      <c r="C633" s="29" t="n"/>
      <c r="D633" s="29" t="n"/>
      <c r="E633" s="29" t="n"/>
      <c r="F633" s="29" t="n"/>
      <c r="G633" s="29" t="n"/>
      <c r="H633" s="29" t="n"/>
      <c r="I633" s="29" t="n"/>
      <c r="J633" s="29" t="n"/>
      <c r="K633" s="29" t="n"/>
      <c r="L633" s="29" t="n"/>
    </row>
    <row r="635" ht="26" customHeight="1">
      <c r="B635" s="24">
        <f>IF('名簿'!B47="","（名簿 43行目：なし）",'名簿'!E47)</f>
        <v/>
      </c>
      <c r="E635" s="25" t="inlineStr">
        <is>
          <t>提出状況 ▶</t>
        </is>
      </c>
      <c r="F635" s="17" t="n"/>
      <c r="G635" s="13" t="n"/>
      <c r="H635" s="26" t="inlineStr">
        <is>
          <t>状況：</t>
        </is>
      </c>
      <c r="I635" s="27">
        <f>'名簿'!F47</f>
        <v/>
      </c>
      <c r="J635" s="26" t="inlineStr">
        <is>
          <t>×の数：</t>
        </is>
      </c>
      <c r="K635" s="27">
        <f>'名簿'!G47</f>
        <v/>
      </c>
    </row>
    <row r="636">
      <c r="B636" s="28" t="inlineStr"/>
      <c r="C636" s="14">
        <f>'設定'!$E$11</f>
        <v/>
      </c>
      <c r="D636" s="14">
        <f>'設定'!$E$12</f>
        <v/>
      </c>
      <c r="E636" s="14">
        <f>'設定'!$E$13</f>
        <v/>
      </c>
      <c r="F636" s="14">
        <f>'設定'!$E$14</f>
        <v/>
      </c>
      <c r="G636" s="14">
        <f>'設定'!$E$15</f>
        <v/>
      </c>
      <c r="H636" s="14">
        <f>'設定'!$E$16</f>
        <v/>
      </c>
      <c r="I636" s="14">
        <f>'設定'!$E$17</f>
        <v/>
      </c>
      <c r="J636" s="14">
        <f>'設定'!$E$18</f>
        <v/>
      </c>
      <c r="K636" s="14">
        <f>'設定'!$E$19</f>
        <v/>
      </c>
      <c r="L636" s="14">
        <f>'設定'!$E$20</f>
        <v/>
      </c>
    </row>
    <row r="637" ht="22" customHeight="1">
      <c r="B637" s="14">
        <f>'設定'!$I$11</f>
        <v/>
      </c>
      <c r="C637" s="29" t="n"/>
      <c r="D637" s="29" t="n"/>
      <c r="E637" s="29" t="n"/>
      <c r="F637" s="29" t="n"/>
      <c r="G637" s="29" t="n"/>
      <c r="H637" s="29" t="n"/>
      <c r="I637" s="29" t="n"/>
      <c r="J637" s="29" t="n"/>
      <c r="K637" s="29" t="n"/>
      <c r="L637" s="29" t="n"/>
    </row>
    <row r="638" ht="22" customHeight="1">
      <c r="B638" s="14">
        <f>'設定'!$I$12</f>
        <v/>
      </c>
      <c r="C638" s="29" t="n"/>
      <c r="D638" s="29" t="n"/>
      <c r="E638" s="29" t="n"/>
      <c r="F638" s="29" t="n"/>
      <c r="G638" s="29" t="n"/>
      <c r="H638" s="29" t="n"/>
      <c r="I638" s="29" t="n"/>
      <c r="J638" s="29" t="n"/>
      <c r="K638" s="29" t="n"/>
      <c r="L638" s="29" t="n"/>
    </row>
    <row r="639" ht="22" customHeight="1">
      <c r="B639" s="14">
        <f>'設定'!$I$13</f>
        <v/>
      </c>
      <c r="C639" s="29" t="n"/>
      <c r="D639" s="29" t="n"/>
      <c r="E639" s="29" t="n"/>
      <c r="F639" s="29" t="n"/>
      <c r="G639" s="29" t="n"/>
      <c r="H639" s="29" t="n"/>
      <c r="I639" s="29" t="n"/>
      <c r="J639" s="29" t="n"/>
      <c r="K639" s="29" t="n"/>
      <c r="L639" s="29" t="n"/>
    </row>
    <row r="640" ht="22" customHeight="1">
      <c r="B640" s="14">
        <f>'設定'!$I$14</f>
        <v/>
      </c>
      <c r="C640" s="29" t="n"/>
      <c r="D640" s="29" t="n"/>
      <c r="E640" s="29" t="n"/>
      <c r="F640" s="29" t="n"/>
      <c r="G640" s="29" t="n"/>
      <c r="H640" s="29" t="n"/>
      <c r="I640" s="29" t="n"/>
      <c r="J640" s="29" t="n"/>
      <c r="K640" s="29" t="n"/>
      <c r="L640" s="29" t="n"/>
    </row>
    <row r="641" ht="22" customHeight="1">
      <c r="B641" s="14">
        <f>'設定'!$I$15</f>
        <v/>
      </c>
      <c r="C641" s="29" t="n"/>
      <c r="D641" s="29" t="n"/>
      <c r="E641" s="29" t="n"/>
      <c r="F641" s="29" t="n"/>
      <c r="G641" s="29" t="n"/>
      <c r="H641" s="29" t="n"/>
      <c r="I641" s="29" t="n"/>
      <c r="J641" s="29" t="n"/>
      <c r="K641" s="29" t="n"/>
      <c r="L641" s="29" t="n"/>
    </row>
    <row r="642" ht="22" customHeight="1">
      <c r="B642" s="14">
        <f>'設定'!$I$16</f>
        <v/>
      </c>
      <c r="C642" s="29" t="n"/>
      <c r="D642" s="29" t="n"/>
      <c r="E642" s="29" t="n"/>
      <c r="F642" s="29" t="n"/>
      <c r="G642" s="29" t="n"/>
      <c r="H642" s="29" t="n"/>
      <c r="I642" s="29" t="n"/>
      <c r="J642" s="29" t="n"/>
      <c r="K642" s="29" t="n"/>
      <c r="L642" s="29" t="n"/>
    </row>
    <row r="643" ht="22" customHeight="1">
      <c r="B643" s="14">
        <f>'設定'!$I$17</f>
        <v/>
      </c>
      <c r="C643" s="29" t="n"/>
      <c r="D643" s="29" t="n"/>
      <c r="E643" s="29" t="n"/>
      <c r="F643" s="29" t="n"/>
      <c r="G643" s="29" t="n"/>
      <c r="H643" s="29" t="n"/>
      <c r="I643" s="29" t="n"/>
      <c r="J643" s="29" t="n"/>
      <c r="K643" s="29" t="n"/>
      <c r="L643" s="29" t="n"/>
    </row>
    <row r="644" ht="22" customHeight="1">
      <c r="B644" s="14">
        <f>'設定'!$I$18</f>
        <v/>
      </c>
      <c r="C644" s="29" t="n"/>
      <c r="D644" s="29" t="n"/>
      <c r="E644" s="29" t="n"/>
      <c r="F644" s="29" t="n"/>
      <c r="G644" s="29" t="n"/>
      <c r="H644" s="29" t="n"/>
      <c r="I644" s="29" t="n"/>
      <c r="J644" s="29" t="n"/>
      <c r="K644" s="29" t="n"/>
      <c r="L644" s="29" t="n"/>
    </row>
    <row r="645" ht="22" customHeight="1">
      <c r="B645" s="14">
        <f>'設定'!$I$19</f>
        <v/>
      </c>
      <c r="C645" s="29" t="n"/>
      <c r="D645" s="29" t="n"/>
      <c r="E645" s="29" t="n"/>
      <c r="F645" s="29" t="n"/>
      <c r="G645" s="29" t="n"/>
      <c r="H645" s="29" t="n"/>
      <c r="I645" s="29" t="n"/>
      <c r="J645" s="29" t="n"/>
      <c r="K645" s="29" t="n"/>
      <c r="L645" s="29" t="n"/>
    </row>
    <row r="646" ht="22" customHeight="1">
      <c r="B646" s="14">
        <f>'設定'!$I$20</f>
        <v/>
      </c>
      <c r="C646" s="29" t="n"/>
      <c r="D646" s="29" t="n"/>
      <c r="E646" s="29" t="n"/>
      <c r="F646" s="29" t="n"/>
      <c r="G646" s="29" t="n"/>
      <c r="H646" s="29" t="n"/>
      <c r="I646" s="29" t="n"/>
      <c r="J646" s="29" t="n"/>
      <c r="K646" s="29" t="n"/>
      <c r="L646" s="29" t="n"/>
    </row>
    <row r="647" ht="22" customHeight="1">
      <c r="B647" s="14">
        <f>'設定'!$I$21</f>
        <v/>
      </c>
      <c r="C647" s="29" t="n"/>
      <c r="D647" s="29" t="n"/>
      <c r="E647" s="29" t="n"/>
      <c r="F647" s="29" t="n"/>
      <c r="G647" s="29" t="n"/>
      <c r="H647" s="29" t="n"/>
      <c r="I647" s="29" t="n"/>
      <c r="J647" s="29" t="n"/>
      <c r="K647" s="29" t="n"/>
      <c r="L647" s="29" t="n"/>
    </row>
    <row r="648" ht="22" customHeight="1">
      <c r="B648" s="14">
        <f>'設定'!$I$22</f>
        <v/>
      </c>
      <c r="C648" s="29" t="n"/>
      <c r="D648" s="29" t="n"/>
      <c r="E648" s="29" t="n"/>
      <c r="F648" s="29" t="n"/>
      <c r="G648" s="29" t="n"/>
      <c r="H648" s="29" t="n"/>
      <c r="I648" s="29" t="n"/>
      <c r="J648" s="29" t="n"/>
      <c r="K648" s="29" t="n"/>
      <c r="L648" s="29" t="n"/>
    </row>
    <row r="650" ht="26" customHeight="1">
      <c r="B650" s="24">
        <f>IF('名簿'!B48="","（名簿 44行目：なし）",'名簿'!E48)</f>
        <v/>
      </c>
      <c r="E650" s="25" t="inlineStr">
        <is>
          <t>提出状況 ▶</t>
        </is>
      </c>
      <c r="F650" s="17" t="n"/>
      <c r="G650" s="13" t="n"/>
      <c r="H650" s="26" t="inlineStr">
        <is>
          <t>状況：</t>
        </is>
      </c>
      <c r="I650" s="27">
        <f>'名簿'!F48</f>
        <v/>
      </c>
      <c r="J650" s="26" t="inlineStr">
        <is>
          <t>×の数：</t>
        </is>
      </c>
      <c r="K650" s="27">
        <f>'名簿'!G48</f>
        <v/>
      </c>
    </row>
    <row r="651">
      <c r="B651" s="28" t="inlineStr"/>
      <c r="C651" s="14">
        <f>'設定'!$E$11</f>
        <v/>
      </c>
      <c r="D651" s="14">
        <f>'設定'!$E$12</f>
        <v/>
      </c>
      <c r="E651" s="14">
        <f>'設定'!$E$13</f>
        <v/>
      </c>
      <c r="F651" s="14">
        <f>'設定'!$E$14</f>
        <v/>
      </c>
      <c r="G651" s="14">
        <f>'設定'!$E$15</f>
        <v/>
      </c>
      <c r="H651" s="14">
        <f>'設定'!$E$16</f>
        <v/>
      </c>
      <c r="I651" s="14">
        <f>'設定'!$E$17</f>
        <v/>
      </c>
      <c r="J651" s="14">
        <f>'設定'!$E$18</f>
        <v/>
      </c>
      <c r="K651" s="14">
        <f>'設定'!$E$19</f>
        <v/>
      </c>
      <c r="L651" s="14">
        <f>'設定'!$E$20</f>
        <v/>
      </c>
    </row>
    <row r="652" ht="22" customHeight="1">
      <c r="B652" s="14">
        <f>'設定'!$I$11</f>
        <v/>
      </c>
      <c r="C652" s="29" t="n"/>
      <c r="D652" s="29" t="n"/>
      <c r="E652" s="29" t="n"/>
      <c r="F652" s="29" t="n"/>
      <c r="G652" s="29" t="n"/>
      <c r="H652" s="29" t="n"/>
      <c r="I652" s="29" t="n"/>
      <c r="J652" s="29" t="n"/>
      <c r="K652" s="29" t="n"/>
      <c r="L652" s="29" t="n"/>
    </row>
    <row r="653" ht="22" customHeight="1">
      <c r="B653" s="14">
        <f>'設定'!$I$12</f>
        <v/>
      </c>
      <c r="C653" s="29" t="n"/>
      <c r="D653" s="29" t="n"/>
      <c r="E653" s="29" t="n"/>
      <c r="F653" s="29" t="n"/>
      <c r="G653" s="29" t="n"/>
      <c r="H653" s="29" t="n"/>
      <c r="I653" s="29" t="n"/>
      <c r="J653" s="29" t="n"/>
      <c r="K653" s="29" t="n"/>
      <c r="L653" s="29" t="n"/>
    </row>
    <row r="654" ht="22" customHeight="1">
      <c r="B654" s="14">
        <f>'設定'!$I$13</f>
        <v/>
      </c>
      <c r="C654" s="29" t="n"/>
      <c r="D654" s="29" t="n"/>
      <c r="E654" s="29" t="n"/>
      <c r="F654" s="29" t="n"/>
      <c r="G654" s="29" t="n"/>
      <c r="H654" s="29" t="n"/>
      <c r="I654" s="29" t="n"/>
      <c r="J654" s="29" t="n"/>
      <c r="K654" s="29" t="n"/>
      <c r="L654" s="29" t="n"/>
    </row>
    <row r="655" ht="22" customHeight="1">
      <c r="B655" s="14">
        <f>'設定'!$I$14</f>
        <v/>
      </c>
      <c r="C655" s="29" t="n"/>
      <c r="D655" s="29" t="n"/>
      <c r="E655" s="29" t="n"/>
      <c r="F655" s="29" t="n"/>
      <c r="G655" s="29" t="n"/>
      <c r="H655" s="29" t="n"/>
      <c r="I655" s="29" t="n"/>
      <c r="J655" s="29" t="n"/>
      <c r="K655" s="29" t="n"/>
      <c r="L655" s="29" t="n"/>
    </row>
    <row r="656" ht="22" customHeight="1">
      <c r="B656" s="14">
        <f>'設定'!$I$15</f>
        <v/>
      </c>
      <c r="C656" s="29" t="n"/>
      <c r="D656" s="29" t="n"/>
      <c r="E656" s="29" t="n"/>
      <c r="F656" s="29" t="n"/>
      <c r="G656" s="29" t="n"/>
      <c r="H656" s="29" t="n"/>
      <c r="I656" s="29" t="n"/>
      <c r="J656" s="29" t="n"/>
      <c r="K656" s="29" t="n"/>
      <c r="L656" s="29" t="n"/>
    </row>
    <row r="657" ht="22" customHeight="1">
      <c r="B657" s="14">
        <f>'設定'!$I$16</f>
        <v/>
      </c>
      <c r="C657" s="29" t="n"/>
      <c r="D657" s="29" t="n"/>
      <c r="E657" s="29" t="n"/>
      <c r="F657" s="29" t="n"/>
      <c r="G657" s="29" t="n"/>
      <c r="H657" s="29" t="n"/>
      <c r="I657" s="29" t="n"/>
      <c r="J657" s="29" t="n"/>
      <c r="K657" s="29" t="n"/>
      <c r="L657" s="29" t="n"/>
    </row>
    <row r="658" ht="22" customHeight="1">
      <c r="B658" s="14">
        <f>'設定'!$I$17</f>
        <v/>
      </c>
      <c r="C658" s="29" t="n"/>
      <c r="D658" s="29" t="n"/>
      <c r="E658" s="29" t="n"/>
      <c r="F658" s="29" t="n"/>
      <c r="G658" s="29" t="n"/>
      <c r="H658" s="29" t="n"/>
      <c r="I658" s="29" t="n"/>
      <c r="J658" s="29" t="n"/>
      <c r="K658" s="29" t="n"/>
      <c r="L658" s="29" t="n"/>
    </row>
    <row r="659" ht="22" customHeight="1">
      <c r="B659" s="14">
        <f>'設定'!$I$18</f>
        <v/>
      </c>
      <c r="C659" s="29" t="n"/>
      <c r="D659" s="29" t="n"/>
      <c r="E659" s="29" t="n"/>
      <c r="F659" s="29" t="n"/>
      <c r="G659" s="29" t="n"/>
      <c r="H659" s="29" t="n"/>
      <c r="I659" s="29" t="n"/>
      <c r="J659" s="29" t="n"/>
      <c r="K659" s="29" t="n"/>
      <c r="L659" s="29" t="n"/>
    </row>
    <row r="660" ht="22" customHeight="1">
      <c r="B660" s="14">
        <f>'設定'!$I$19</f>
        <v/>
      </c>
      <c r="C660" s="29" t="n"/>
      <c r="D660" s="29" t="n"/>
      <c r="E660" s="29" t="n"/>
      <c r="F660" s="29" t="n"/>
      <c r="G660" s="29" t="n"/>
      <c r="H660" s="29" t="n"/>
      <c r="I660" s="29" t="n"/>
      <c r="J660" s="29" t="n"/>
      <c r="K660" s="29" t="n"/>
      <c r="L660" s="29" t="n"/>
    </row>
    <row r="661" ht="22" customHeight="1">
      <c r="B661" s="14">
        <f>'設定'!$I$20</f>
        <v/>
      </c>
      <c r="C661" s="29" t="n"/>
      <c r="D661" s="29" t="n"/>
      <c r="E661" s="29" t="n"/>
      <c r="F661" s="29" t="n"/>
      <c r="G661" s="29" t="n"/>
      <c r="H661" s="29" t="n"/>
      <c r="I661" s="29" t="n"/>
      <c r="J661" s="29" t="n"/>
      <c r="K661" s="29" t="n"/>
      <c r="L661" s="29" t="n"/>
    </row>
    <row r="662" ht="22" customHeight="1">
      <c r="B662" s="14">
        <f>'設定'!$I$21</f>
        <v/>
      </c>
      <c r="C662" s="29" t="n"/>
      <c r="D662" s="29" t="n"/>
      <c r="E662" s="29" t="n"/>
      <c r="F662" s="29" t="n"/>
      <c r="G662" s="29" t="n"/>
      <c r="H662" s="29" t="n"/>
      <c r="I662" s="29" t="n"/>
      <c r="J662" s="29" t="n"/>
      <c r="K662" s="29" t="n"/>
      <c r="L662" s="29" t="n"/>
    </row>
    <row r="663" ht="22" customHeight="1">
      <c r="B663" s="14">
        <f>'設定'!$I$22</f>
        <v/>
      </c>
      <c r="C663" s="29" t="n"/>
      <c r="D663" s="29" t="n"/>
      <c r="E663" s="29" t="n"/>
      <c r="F663" s="29" t="n"/>
      <c r="G663" s="29" t="n"/>
      <c r="H663" s="29" t="n"/>
      <c r="I663" s="29" t="n"/>
      <c r="J663" s="29" t="n"/>
      <c r="K663" s="29" t="n"/>
      <c r="L663" s="29" t="n"/>
    </row>
    <row r="665" ht="26" customHeight="1">
      <c r="B665" s="24">
        <f>IF('名簿'!B49="","（名簿 45行目：なし）",'名簿'!E49)</f>
        <v/>
      </c>
      <c r="E665" s="25" t="inlineStr">
        <is>
          <t>提出状況 ▶</t>
        </is>
      </c>
      <c r="F665" s="17" t="n"/>
      <c r="G665" s="13" t="n"/>
      <c r="H665" s="26" t="inlineStr">
        <is>
          <t>状況：</t>
        </is>
      </c>
      <c r="I665" s="27">
        <f>'名簿'!F49</f>
        <v/>
      </c>
      <c r="J665" s="26" t="inlineStr">
        <is>
          <t>×の数：</t>
        </is>
      </c>
      <c r="K665" s="27">
        <f>'名簿'!G49</f>
        <v/>
      </c>
    </row>
    <row r="666">
      <c r="B666" s="28" t="inlineStr"/>
      <c r="C666" s="14">
        <f>'設定'!$E$11</f>
        <v/>
      </c>
      <c r="D666" s="14">
        <f>'設定'!$E$12</f>
        <v/>
      </c>
      <c r="E666" s="14">
        <f>'設定'!$E$13</f>
        <v/>
      </c>
      <c r="F666" s="14">
        <f>'設定'!$E$14</f>
        <v/>
      </c>
      <c r="G666" s="14">
        <f>'設定'!$E$15</f>
        <v/>
      </c>
      <c r="H666" s="14">
        <f>'設定'!$E$16</f>
        <v/>
      </c>
      <c r="I666" s="14">
        <f>'設定'!$E$17</f>
        <v/>
      </c>
      <c r="J666" s="14">
        <f>'設定'!$E$18</f>
        <v/>
      </c>
      <c r="K666" s="14">
        <f>'設定'!$E$19</f>
        <v/>
      </c>
      <c r="L666" s="14">
        <f>'設定'!$E$20</f>
        <v/>
      </c>
    </row>
    <row r="667" ht="22" customHeight="1">
      <c r="B667" s="14">
        <f>'設定'!$I$11</f>
        <v/>
      </c>
      <c r="C667" s="29" t="n"/>
      <c r="D667" s="29" t="n"/>
      <c r="E667" s="29" t="n"/>
      <c r="F667" s="29" t="n"/>
      <c r="G667" s="29" t="n"/>
      <c r="H667" s="29" t="n"/>
      <c r="I667" s="29" t="n"/>
      <c r="J667" s="29" t="n"/>
      <c r="K667" s="29" t="n"/>
      <c r="L667" s="29" t="n"/>
    </row>
    <row r="668" ht="22" customHeight="1">
      <c r="B668" s="14">
        <f>'設定'!$I$12</f>
        <v/>
      </c>
      <c r="C668" s="29" t="n"/>
      <c r="D668" s="29" t="n"/>
      <c r="E668" s="29" t="n"/>
      <c r="F668" s="29" t="n"/>
      <c r="G668" s="29" t="n"/>
      <c r="H668" s="29" t="n"/>
      <c r="I668" s="29" t="n"/>
      <c r="J668" s="29" t="n"/>
      <c r="K668" s="29" t="n"/>
      <c r="L668" s="29" t="n"/>
    </row>
    <row r="669" ht="22" customHeight="1">
      <c r="B669" s="14">
        <f>'設定'!$I$13</f>
        <v/>
      </c>
      <c r="C669" s="29" t="n"/>
      <c r="D669" s="29" t="n"/>
      <c r="E669" s="29" t="n"/>
      <c r="F669" s="29" t="n"/>
      <c r="G669" s="29" t="n"/>
      <c r="H669" s="29" t="n"/>
      <c r="I669" s="29" t="n"/>
      <c r="J669" s="29" t="n"/>
      <c r="K669" s="29" t="n"/>
      <c r="L669" s="29" t="n"/>
    </row>
    <row r="670" ht="22" customHeight="1">
      <c r="B670" s="14">
        <f>'設定'!$I$14</f>
        <v/>
      </c>
      <c r="C670" s="29" t="n"/>
      <c r="D670" s="29" t="n"/>
      <c r="E670" s="29" t="n"/>
      <c r="F670" s="29" t="n"/>
      <c r="G670" s="29" t="n"/>
      <c r="H670" s="29" t="n"/>
      <c r="I670" s="29" t="n"/>
      <c r="J670" s="29" t="n"/>
      <c r="K670" s="29" t="n"/>
      <c r="L670" s="29" t="n"/>
    </row>
    <row r="671" ht="22" customHeight="1">
      <c r="B671" s="14">
        <f>'設定'!$I$15</f>
        <v/>
      </c>
      <c r="C671" s="29" t="n"/>
      <c r="D671" s="29" t="n"/>
      <c r="E671" s="29" t="n"/>
      <c r="F671" s="29" t="n"/>
      <c r="G671" s="29" t="n"/>
      <c r="H671" s="29" t="n"/>
      <c r="I671" s="29" t="n"/>
      <c r="J671" s="29" t="n"/>
      <c r="K671" s="29" t="n"/>
      <c r="L671" s="29" t="n"/>
    </row>
    <row r="672" ht="22" customHeight="1">
      <c r="B672" s="14">
        <f>'設定'!$I$16</f>
        <v/>
      </c>
      <c r="C672" s="29" t="n"/>
      <c r="D672" s="29" t="n"/>
      <c r="E672" s="29" t="n"/>
      <c r="F672" s="29" t="n"/>
      <c r="G672" s="29" t="n"/>
      <c r="H672" s="29" t="n"/>
      <c r="I672" s="29" t="n"/>
      <c r="J672" s="29" t="n"/>
      <c r="K672" s="29" t="n"/>
      <c r="L672" s="29" t="n"/>
    </row>
    <row r="673" ht="22" customHeight="1">
      <c r="B673" s="14">
        <f>'設定'!$I$17</f>
        <v/>
      </c>
      <c r="C673" s="29" t="n"/>
      <c r="D673" s="29" t="n"/>
      <c r="E673" s="29" t="n"/>
      <c r="F673" s="29" t="n"/>
      <c r="G673" s="29" t="n"/>
      <c r="H673" s="29" t="n"/>
      <c r="I673" s="29" t="n"/>
      <c r="J673" s="29" t="n"/>
      <c r="K673" s="29" t="n"/>
      <c r="L673" s="29" t="n"/>
    </row>
    <row r="674" ht="22" customHeight="1">
      <c r="B674" s="14">
        <f>'設定'!$I$18</f>
        <v/>
      </c>
      <c r="C674" s="29" t="n"/>
      <c r="D674" s="29" t="n"/>
      <c r="E674" s="29" t="n"/>
      <c r="F674" s="29" t="n"/>
      <c r="G674" s="29" t="n"/>
      <c r="H674" s="29" t="n"/>
      <c r="I674" s="29" t="n"/>
      <c r="J674" s="29" t="n"/>
      <c r="K674" s="29" t="n"/>
      <c r="L674" s="29" t="n"/>
    </row>
    <row r="675" ht="22" customHeight="1">
      <c r="B675" s="14">
        <f>'設定'!$I$19</f>
        <v/>
      </c>
      <c r="C675" s="29" t="n"/>
      <c r="D675" s="29" t="n"/>
      <c r="E675" s="29" t="n"/>
      <c r="F675" s="29" t="n"/>
      <c r="G675" s="29" t="n"/>
      <c r="H675" s="29" t="n"/>
      <c r="I675" s="29" t="n"/>
      <c r="J675" s="29" t="n"/>
      <c r="K675" s="29" t="n"/>
      <c r="L675" s="29" t="n"/>
    </row>
    <row r="676" ht="22" customHeight="1">
      <c r="B676" s="14">
        <f>'設定'!$I$20</f>
        <v/>
      </c>
      <c r="C676" s="29" t="n"/>
      <c r="D676" s="29" t="n"/>
      <c r="E676" s="29" t="n"/>
      <c r="F676" s="29" t="n"/>
      <c r="G676" s="29" t="n"/>
      <c r="H676" s="29" t="n"/>
      <c r="I676" s="29" t="n"/>
      <c r="J676" s="29" t="n"/>
      <c r="K676" s="29" t="n"/>
      <c r="L676" s="29" t="n"/>
    </row>
    <row r="677" ht="22" customHeight="1">
      <c r="B677" s="14">
        <f>'設定'!$I$21</f>
        <v/>
      </c>
      <c r="C677" s="29" t="n"/>
      <c r="D677" s="29" t="n"/>
      <c r="E677" s="29" t="n"/>
      <c r="F677" s="29" t="n"/>
      <c r="G677" s="29" t="n"/>
      <c r="H677" s="29" t="n"/>
      <c r="I677" s="29" t="n"/>
      <c r="J677" s="29" t="n"/>
      <c r="K677" s="29" t="n"/>
      <c r="L677" s="29" t="n"/>
    </row>
    <row r="678" ht="22" customHeight="1">
      <c r="B678" s="14">
        <f>'設定'!$I$22</f>
        <v/>
      </c>
      <c r="C678" s="29" t="n"/>
      <c r="D678" s="29" t="n"/>
      <c r="E678" s="29" t="n"/>
      <c r="F678" s="29" t="n"/>
      <c r="G678" s="29" t="n"/>
      <c r="H678" s="29" t="n"/>
      <c r="I678" s="29" t="n"/>
      <c r="J678" s="29" t="n"/>
      <c r="K678" s="29" t="n"/>
      <c r="L678" s="29" t="n"/>
    </row>
  </sheetData>
  <mergeCells count="45">
    <mergeCell ref="F275:G275"/>
    <mergeCell ref="F545:G545"/>
    <mergeCell ref="F485:G485"/>
    <mergeCell ref="F65:G65"/>
    <mergeCell ref="F590:G590"/>
    <mergeCell ref="F410:G410"/>
    <mergeCell ref="F575:G575"/>
    <mergeCell ref="F560:G560"/>
    <mergeCell ref="F320:G320"/>
    <mergeCell ref="F305:G305"/>
    <mergeCell ref="F365:G365"/>
    <mergeCell ref="F605:G605"/>
    <mergeCell ref="F335:G335"/>
    <mergeCell ref="F95:G95"/>
    <mergeCell ref="F5:G5"/>
    <mergeCell ref="F20:G20"/>
    <mergeCell ref="F80:G80"/>
    <mergeCell ref="F620:G620"/>
    <mergeCell ref="F50:G50"/>
    <mergeCell ref="F110:G110"/>
    <mergeCell ref="F470:G470"/>
    <mergeCell ref="F35:G35"/>
    <mergeCell ref="F395:G395"/>
    <mergeCell ref="F650:G650"/>
    <mergeCell ref="F215:G215"/>
    <mergeCell ref="F200:G200"/>
    <mergeCell ref="F635:G635"/>
    <mergeCell ref="F125:G125"/>
    <mergeCell ref="F380:G380"/>
    <mergeCell ref="F185:G185"/>
    <mergeCell ref="F155:G155"/>
    <mergeCell ref="F230:G230"/>
    <mergeCell ref="F140:G140"/>
    <mergeCell ref="F500:G500"/>
    <mergeCell ref="F425:G425"/>
    <mergeCell ref="F665:G665"/>
    <mergeCell ref="F350:G350"/>
    <mergeCell ref="F170:G170"/>
    <mergeCell ref="F530:G530"/>
    <mergeCell ref="F260:G260"/>
    <mergeCell ref="F515:G515"/>
    <mergeCell ref="F245:G245"/>
    <mergeCell ref="F440:G440"/>
    <mergeCell ref="F290:G290"/>
    <mergeCell ref="F455:G455"/>
  </mergeCells>
  <conditionalFormatting sqref="C7:L18 C22:L33 C37:L48 C52:L63 C67:L78 C82:L93 C97:L108 C112:L123 C127:L138 C142:L153 C157:L168 C172:L183 C187:L198 C202:L213 C217:L228 C232:L243 C247:L258 C262:L273 C277:L288 C292:L303 C307:L318 C322:L333 C337:L348 C352:L363 C367:L378 C382:L393 C397:L408 C412:L423 C427:L438 C442:L453 C457:L468 C472:L483 C487:L498 C502:L513 C517:L528 C532:L543 C547:L558 C562:L573 C577:L588 C592:L603 C607:L618 C622:L633 C637:L648 C652:L663 C667:L678">
    <cfRule type="expression" priority="1" dxfId="4" stopIfTrue="1">
      <formula>OR(INDEX('設定'!$B$11:$B$20,COLUMN(C7)-2)="",MOD(ROW(C7)-5,15)-1&gt;'設定'!$B$6)</formula>
    </cfRule>
    <cfRule type="expression" priority="2" dxfId="3">
      <formula>C7&lt;&gt;""</formula>
    </cfRule>
  </conditionalFormatting>
  <dataValidations count="1">
    <dataValidation sqref="F5 F20 F35 F50 F65 F80 F95 F110 F125 F140 F155 F170 F185 F200 F215 F230 F245 F260 F275 F290 F305 F320 F335 F350 F365 F380 F395 F410 F425 F440 F455 F470 F485 F500 F515 F530 F545 F560 F575 F590 F605 F620 F635 F650 F665" showDropDown="0" showInputMessage="0" showErrorMessage="0" allowBlank="1" type="list">
      <formula1>"×なし（どこでもOK）,未提出"</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O3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s>
  <sheetData>
    <row r="1">
      <c r="B1" s="5" t="inlineStr">
        <is>
          <t>割り当て</t>
        </is>
      </c>
    </row>
    <row r="2">
      <c r="B2" s="21" t="inlineStr">
        <is>
          <t>各枠のプルダウンで児童を選びます。右の「児童を選ぶ」で選んだ児童の入れられる枠に色がつきます。</t>
        </is>
      </c>
    </row>
    <row r="3" ht="28" customHeight="1">
      <c r="C3" s="30" t="inlineStr">
        <is>
          <t>選んだ児童</t>
        </is>
      </c>
      <c r="D3" s="31" t="inlineStr">
        <is>
          <t>入れられる</t>
        </is>
      </c>
      <c r="E3" s="32" t="inlineStr">
        <is>
          <t>入れられる（他の人あり）</t>
        </is>
      </c>
      <c r="F3" s="33" t="inlineStr">
        <is>
          <t>×の枠</t>
        </is>
      </c>
      <c r="G3" s="34" t="inlineStr">
        <is>
          <t>×の枠に入れた！</t>
        </is>
      </c>
      <c r="H3" s="35" t="inlineStr">
        <is>
          <t>2か所に入っている</t>
        </is>
      </c>
    </row>
    <row r="4">
      <c r="N4" s="27" t="inlineStr">
        <is>
          <t>児童を選ぶ ▼</t>
        </is>
      </c>
    </row>
    <row r="5">
      <c r="B5" s="28" t="inlineStr"/>
      <c r="C5" s="14">
        <f>'設定'!$E$11</f>
        <v/>
      </c>
      <c r="D5" s="14">
        <f>'設定'!$E$12</f>
        <v/>
      </c>
      <c r="E5" s="14">
        <f>'設定'!$E$13</f>
        <v/>
      </c>
      <c r="F5" s="14">
        <f>'設定'!$E$14</f>
        <v/>
      </c>
      <c r="G5" s="14">
        <f>'設定'!$E$15</f>
        <v/>
      </c>
      <c r="H5" s="14">
        <f>'設定'!$E$16</f>
        <v/>
      </c>
      <c r="I5" s="14">
        <f>'設定'!$E$17</f>
        <v/>
      </c>
      <c r="J5" s="14">
        <f>'設定'!$E$18</f>
        <v/>
      </c>
      <c r="K5" s="14">
        <f>'設定'!$E$19</f>
        <v/>
      </c>
      <c r="L5" s="14">
        <f>'設定'!$E$20</f>
        <v/>
      </c>
      <c r="N5" s="36" t="n"/>
      <c r="O5" s="13" t="n"/>
    </row>
    <row r="6" ht="30" customHeight="1">
      <c r="B6" s="14">
        <f>'設定'!$I$11</f>
        <v/>
      </c>
      <c r="C6" s="16" t="n"/>
      <c r="D6" s="16" t="n"/>
      <c r="E6" s="16" t="n"/>
      <c r="F6" s="16" t="n"/>
      <c r="G6" s="16" t="n"/>
      <c r="H6" s="16" t="n"/>
      <c r="I6" s="16" t="n"/>
      <c r="J6" s="16" t="n"/>
      <c r="K6" s="16" t="n"/>
      <c r="L6" s="16" t="n"/>
    </row>
    <row r="7" ht="30" customHeight="1">
      <c r="B7" s="14">
        <f>'設定'!$I$12</f>
        <v/>
      </c>
      <c r="C7" s="16" t="n"/>
      <c r="D7" s="16" t="n"/>
      <c r="E7" s="16" t="n"/>
      <c r="F7" s="16" t="n"/>
      <c r="G7" s="16" t="n"/>
      <c r="H7" s="16" t="n"/>
      <c r="I7" s="16" t="n"/>
      <c r="J7" s="16" t="n"/>
      <c r="K7" s="16" t="n"/>
      <c r="L7" s="16" t="n"/>
      <c r="N7" s="37" t="inlineStr">
        <is>
          <t>状況</t>
        </is>
      </c>
      <c r="O7" s="27">
        <f>IF('計算A'!$B$8=0,"",INDEX('名簿'!$F$5:$F$49,'計算A'!$B$8))</f>
        <v/>
      </c>
    </row>
    <row r="8" ht="30" customHeight="1">
      <c r="B8" s="14">
        <f>'設定'!$I$13</f>
        <v/>
      </c>
      <c r="C8" s="16" t="n"/>
      <c r="D8" s="16" t="n"/>
      <c r="E8" s="16" t="n"/>
      <c r="F8" s="16" t="n"/>
      <c r="G8" s="16" t="n"/>
      <c r="H8" s="16" t="n"/>
      <c r="I8" s="16" t="n"/>
      <c r="J8" s="16" t="n"/>
      <c r="K8" s="16" t="n"/>
      <c r="L8" s="16" t="n"/>
      <c r="N8" s="37" t="inlineStr">
        <is>
          <t>×の数</t>
        </is>
      </c>
      <c r="O8" s="27">
        <f>IF('計算A'!$B$8=0,"",INDEX('名簿'!$G$5:$G$49,'計算A'!$B$8))</f>
        <v/>
      </c>
    </row>
    <row r="9" ht="30" customHeight="1">
      <c r="B9" s="14">
        <f>'設定'!$I$14</f>
        <v/>
      </c>
      <c r="C9" s="16" t="n"/>
      <c r="D9" s="16" t="n"/>
      <c r="E9" s="16" t="n"/>
      <c r="F9" s="16" t="n"/>
      <c r="G9" s="16" t="n"/>
      <c r="H9" s="16" t="n"/>
      <c r="I9" s="16" t="n"/>
      <c r="J9" s="16" t="n"/>
      <c r="K9" s="16" t="n"/>
      <c r="L9" s="16" t="n"/>
      <c r="N9" s="37" t="inlineStr">
        <is>
          <t>今の枠</t>
        </is>
      </c>
      <c r="O9" s="27">
        <f>IF('計算A'!$B$8=0,"",INDEX('名簿'!$J$5:$J$49,'計算A'!$B$8)&amp;" "&amp;INDEX('名簿'!$K$5:$K$49,'計算A'!$B$8))</f>
        <v/>
      </c>
    </row>
    <row r="10" ht="30" customHeight="1">
      <c r="B10" s="14">
        <f>'設定'!$I$15</f>
        <v/>
      </c>
      <c r="C10" s="16" t="n"/>
      <c r="D10" s="16" t="n"/>
      <c r="E10" s="16" t="n"/>
      <c r="F10" s="16" t="n"/>
      <c r="G10" s="16" t="n"/>
      <c r="H10" s="16" t="n"/>
      <c r="I10" s="16" t="n"/>
      <c r="J10" s="16" t="n"/>
      <c r="K10" s="16" t="n"/>
      <c r="L10" s="16" t="n"/>
      <c r="N10" s="37" t="inlineStr">
        <is>
          <t>兄弟</t>
        </is>
      </c>
      <c r="O10" s="27">
        <f>IF('計算A'!$B$8=0,"",IF(INDEX('名簿'!$C$5:$C$49,'計算A'!$B$8)="","",INDEX('名簿'!$C$5:$C$49,'計算A'!$B$8)&amp;" "&amp;INDEX('名簿'!$D$5:$D$49,'計算A'!$B$8)))</f>
        <v/>
      </c>
    </row>
    <row r="11" ht="30" customHeight="1">
      <c r="B11" s="14">
        <f>'設定'!$I$16</f>
        <v/>
      </c>
      <c r="C11" s="16" t="n"/>
      <c r="D11" s="16" t="n"/>
      <c r="E11" s="16" t="n"/>
      <c r="F11" s="16" t="n"/>
      <c r="G11" s="16" t="n"/>
      <c r="H11" s="16" t="n"/>
      <c r="I11" s="16" t="n"/>
      <c r="J11" s="16" t="n"/>
      <c r="K11" s="16" t="n"/>
      <c r="L11" s="16" t="n"/>
      <c r="N11" s="37" t="inlineStr">
        <is>
          <t>入れられる空き枠</t>
        </is>
      </c>
      <c r="O11" s="38">
        <f t="array" ref="O11">IFERROR(IF('計算A'!$B$8=0,"",_xlfn.TEXTJOIN("、",TRUE,IF((INDEX('計算A'!$D$60:$DS$104,'計算A'!$B$8,0)=1)*('計算A'!$D$7:$DS$7=0),'計算A'!$D$8:$DS$8,""))),"")</f>
        <v/>
      </c>
    </row>
    <row r="12" ht="30" customHeight="1">
      <c r="B12" s="14">
        <f>'設定'!$I$17</f>
        <v/>
      </c>
      <c r="C12" s="16" t="n"/>
      <c r="D12" s="16" t="n"/>
      <c r="E12" s="16" t="n"/>
      <c r="F12" s="16" t="n"/>
      <c r="G12" s="16" t="n"/>
      <c r="H12" s="16" t="n"/>
      <c r="I12" s="16" t="n"/>
      <c r="J12" s="16" t="n"/>
      <c r="K12" s="16" t="n"/>
      <c r="L12" s="16" t="n"/>
    </row>
    <row r="13" ht="30" customHeight="1">
      <c r="B13" s="14">
        <f>'設定'!$I$18</f>
        <v/>
      </c>
      <c r="C13" s="16" t="n"/>
      <c r="D13" s="16" t="n"/>
      <c r="E13" s="16" t="n"/>
      <c r="F13" s="16" t="n"/>
      <c r="G13" s="16" t="n"/>
      <c r="H13" s="16" t="n"/>
      <c r="I13" s="16" t="n"/>
      <c r="J13" s="16" t="n"/>
      <c r="K13" s="16" t="n"/>
      <c r="L13" s="16" t="n"/>
    </row>
    <row r="14" ht="30" customHeight="1">
      <c r="B14" s="14">
        <f>'設定'!$I$19</f>
        <v/>
      </c>
      <c r="C14" s="16" t="n"/>
      <c r="D14" s="16" t="n"/>
      <c r="E14" s="16" t="n"/>
      <c r="F14" s="16" t="n"/>
      <c r="G14" s="16" t="n"/>
      <c r="H14" s="16" t="n"/>
      <c r="I14" s="16" t="n"/>
      <c r="J14" s="16" t="n"/>
      <c r="K14" s="16" t="n"/>
      <c r="L14" s="16" t="n"/>
    </row>
    <row r="15" ht="30" customHeight="1">
      <c r="B15" s="14">
        <f>'設定'!$I$20</f>
        <v/>
      </c>
      <c r="C15" s="16" t="n"/>
      <c r="D15" s="16" t="n"/>
      <c r="E15" s="16" t="n"/>
      <c r="F15" s="16" t="n"/>
      <c r="G15" s="16" t="n"/>
      <c r="H15" s="16" t="n"/>
      <c r="I15" s="16" t="n"/>
      <c r="J15" s="16" t="n"/>
      <c r="K15" s="16" t="n"/>
      <c r="L15" s="16" t="n"/>
    </row>
    <row r="16" ht="30" customHeight="1">
      <c r="B16" s="14">
        <f>'設定'!$I$21</f>
        <v/>
      </c>
      <c r="C16" s="16" t="n"/>
      <c r="D16" s="16" t="n"/>
      <c r="E16" s="16" t="n"/>
      <c r="F16" s="16" t="n"/>
      <c r="G16" s="16" t="n"/>
      <c r="H16" s="16" t="n"/>
      <c r="I16" s="16" t="n"/>
      <c r="J16" s="16" t="n"/>
      <c r="K16" s="16" t="n"/>
      <c r="L16" s="16" t="n"/>
    </row>
    <row r="17" ht="30" customHeight="1">
      <c r="B17" s="14">
        <f>'設定'!$I$22</f>
        <v/>
      </c>
      <c r="C17" s="16" t="n"/>
      <c r="D17" s="16" t="n"/>
      <c r="E17" s="16" t="n"/>
      <c r="F17" s="16" t="n"/>
      <c r="G17" s="16" t="n"/>
      <c r="H17" s="16" t="n"/>
      <c r="I17" s="16" t="n"/>
      <c r="J17" s="16" t="n"/>
      <c r="K17" s="16" t="n"/>
      <c r="L17" s="16" t="n"/>
    </row>
    <row r="19">
      <c r="B19" s="39" t="inlineStr">
        <is>
          <t>候補（その枠に入れられる、まだ決まっていない児童）</t>
        </is>
      </c>
    </row>
    <row r="20">
      <c r="B20" s="21" t="inlineStr">
        <is>
          <t>未入力・未提出の家庭は含みません。0人の枠は赤、1人の枠はオレンジです。</t>
        </is>
      </c>
    </row>
    <row r="21">
      <c r="B21" s="28" t="inlineStr"/>
      <c r="C21" s="14">
        <f>'設定'!$E$11</f>
        <v/>
      </c>
      <c r="D21" s="14">
        <f>'設定'!$E$12</f>
        <v/>
      </c>
      <c r="E21" s="14">
        <f>'設定'!$E$13</f>
        <v/>
      </c>
      <c r="F21" s="14">
        <f>'設定'!$E$14</f>
        <v/>
      </c>
      <c r="G21" s="14">
        <f>'設定'!$E$15</f>
        <v/>
      </c>
      <c r="H21" s="14">
        <f>'設定'!$E$16</f>
        <v/>
      </c>
      <c r="I21" s="14">
        <f>'設定'!$E$17</f>
        <v/>
      </c>
      <c r="J21" s="14">
        <f>'設定'!$E$18</f>
        <v/>
      </c>
      <c r="K21" s="14">
        <f>'設定'!$E$19</f>
        <v/>
      </c>
      <c r="L21" s="14">
        <f>'設定'!$E$20</f>
        <v/>
      </c>
    </row>
    <row r="22" ht="48" customHeight="1">
      <c r="B22" s="14">
        <f>'設定'!$I$11</f>
        <v/>
      </c>
      <c r="C22" s="40">
        <f t="array" ref="C22">IF('計算A'!D$4=0,"",IF(C6&lt;&gt;"","（決定）",SUMPRODUCT(('計算A'!D$60:D$104=1)*('計算A'!$C$10:$C$54=1))&amp;"人："&amp;_xlfn.TEXTJOIN("、",TRUE,IF(('計算A'!D$60:D$104=1)*('計算A'!$C$10:$C$54=1),'計算A'!$B$10:$B$54,""))))</f>
        <v/>
      </c>
      <c r="D22" s="40">
        <f t="array" ref="D22">IF('計算A'!P$4=0,"",IF(D6&lt;&gt;"","（決定）",SUMPRODUCT(('計算A'!P$60:P$104=1)*('計算A'!$C$10:$C$54=1))&amp;"人："&amp;_xlfn.TEXTJOIN("、",TRUE,IF(('計算A'!P$60:P$104=1)*('計算A'!$C$10:$C$54=1),'計算A'!$B$10:$B$54,""))))</f>
        <v/>
      </c>
      <c r="E22" s="40">
        <f t="array" ref="E22">IF('計算A'!AB$4=0,"",IF(E6&lt;&gt;"","（決定）",SUMPRODUCT(('計算A'!AB$60:AB$104=1)*('計算A'!$C$10:$C$54=1))&amp;"人："&amp;_xlfn.TEXTJOIN("、",TRUE,IF(('計算A'!AB$60:AB$104=1)*('計算A'!$C$10:$C$54=1),'計算A'!$B$10:$B$54,""))))</f>
        <v/>
      </c>
      <c r="F22" s="40">
        <f t="array" ref="F22">IF('計算A'!AN$4=0,"",IF(F6&lt;&gt;"","（決定）",SUMPRODUCT(('計算A'!AN$60:AN$104=1)*('計算A'!$C$10:$C$54=1))&amp;"人："&amp;_xlfn.TEXTJOIN("、",TRUE,IF(('計算A'!AN$60:AN$104=1)*('計算A'!$C$10:$C$54=1),'計算A'!$B$10:$B$54,""))))</f>
        <v/>
      </c>
      <c r="G22" s="40">
        <f t="array" ref="G22">IF('計算A'!AZ$4=0,"",IF(G6&lt;&gt;"","（決定）",SUMPRODUCT(('計算A'!AZ$60:AZ$104=1)*('計算A'!$C$10:$C$54=1))&amp;"人："&amp;_xlfn.TEXTJOIN("、",TRUE,IF(('計算A'!AZ$60:AZ$104=1)*('計算A'!$C$10:$C$54=1),'計算A'!$B$10:$B$54,""))))</f>
        <v/>
      </c>
      <c r="H22" s="40">
        <f t="array" ref="H22">IF('計算A'!BL$4=0,"",IF(H6&lt;&gt;"","（決定）",SUMPRODUCT(('計算A'!BL$60:BL$104=1)*('計算A'!$C$10:$C$54=1))&amp;"人："&amp;_xlfn.TEXTJOIN("、",TRUE,IF(('計算A'!BL$60:BL$104=1)*('計算A'!$C$10:$C$54=1),'計算A'!$B$10:$B$54,""))))</f>
        <v/>
      </c>
      <c r="I22" s="40">
        <f t="array" ref="I22">IF('計算A'!BX$4=0,"",IF(I6&lt;&gt;"","（決定）",SUMPRODUCT(('計算A'!BX$60:BX$104=1)*('計算A'!$C$10:$C$54=1))&amp;"人："&amp;_xlfn.TEXTJOIN("、",TRUE,IF(('計算A'!BX$60:BX$104=1)*('計算A'!$C$10:$C$54=1),'計算A'!$B$10:$B$54,""))))</f>
        <v/>
      </c>
      <c r="J22" s="40">
        <f t="array" ref="J22">IF('計算A'!CJ$4=0,"",IF(J6&lt;&gt;"","（決定）",SUMPRODUCT(('計算A'!CJ$60:CJ$104=1)*('計算A'!$C$10:$C$54=1))&amp;"人："&amp;_xlfn.TEXTJOIN("、",TRUE,IF(('計算A'!CJ$60:CJ$104=1)*('計算A'!$C$10:$C$54=1),'計算A'!$B$10:$B$54,""))))</f>
        <v/>
      </c>
      <c r="K22" s="40">
        <f t="array" ref="K22">IF('計算A'!CV$4=0,"",IF(K6&lt;&gt;"","（決定）",SUMPRODUCT(('計算A'!CV$60:CV$104=1)*('計算A'!$C$10:$C$54=1))&amp;"人："&amp;_xlfn.TEXTJOIN("、",TRUE,IF(('計算A'!CV$60:CV$104=1)*('計算A'!$C$10:$C$54=1),'計算A'!$B$10:$B$54,""))))</f>
        <v/>
      </c>
      <c r="L22" s="40">
        <f t="array" ref="L22">IF('計算A'!DH$4=0,"",IF(L6&lt;&gt;"","（決定）",SUMPRODUCT(('計算A'!DH$60:DH$104=1)*('計算A'!$C$10:$C$54=1))&amp;"人："&amp;_xlfn.TEXTJOIN("、",TRUE,IF(('計算A'!DH$60:DH$104=1)*('計算A'!$C$10:$C$54=1),'計算A'!$B$10:$B$54,""))))</f>
        <v/>
      </c>
    </row>
    <row r="23" ht="48" customHeight="1">
      <c r="B23" s="14">
        <f>'設定'!$I$12</f>
        <v/>
      </c>
      <c r="C23" s="40">
        <f t="array" ref="C23">IF('計算A'!E$4=0,"",IF(C7&lt;&gt;"","（決定）",SUMPRODUCT(('計算A'!E$60:E$104=1)*('計算A'!$C$10:$C$54=1))&amp;"人："&amp;_xlfn.TEXTJOIN("、",TRUE,IF(('計算A'!E$60:E$104=1)*('計算A'!$C$10:$C$54=1),'計算A'!$B$10:$B$54,""))))</f>
        <v/>
      </c>
      <c r="D23" s="40">
        <f t="array" ref="D23">IF('計算A'!Q$4=0,"",IF(D7&lt;&gt;"","（決定）",SUMPRODUCT(('計算A'!Q$60:Q$104=1)*('計算A'!$C$10:$C$54=1))&amp;"人："&amp;_xlfn.TEXTJOIN("、",TRUE,IF(('計算A'!Q$60:Q$104=1)*('計算A'!$C$10:$C$54=1),'計算A'!$B$10:$B$54,""))))</f>
        <v/>
      </c>
      <c r="E23" s="40">
        <f t="array" ref="E23">IF('計算A'!AC$4=0,"",IF(E7&lt;&gt;"","（決定）",SUMPRODUCT(('計算A'!AC$60:AC$104=1)*('計算A'!$C$10:$C$54=1))&amp;"人："&amp;_xlfn.TEXTJOIN("、",TRUE,IF(('計算A'!AC$60:AC$104=1)*('計算A'!$C$10:$C$54=1),'計算A'!$B$10:$B$54,""))))</f>
        <v/>
      </c>
      <c r="F23" s="40">
        <f t="array" ref="F23">IF('計算A'!AO$4=0,"",IF(F7&lt;&gt;"","（決定）",SUMPRODUCT(('計算A'!AO$60:AO$104=1)*('計算A'!$C$10:$C$54=1))&amp;"人："&amp;_xlfn.TEXTJOIN("、",TRUE,IF(('計算A'!AO$60:AO$104=1)*('計算A'!$C$10:$C$54=1),'計算A'!$B$10:$B$54,""))))</f>
        <v/>
      </c>
      <c r="G23" s="40">
        <f t="array" ref="G23">IF('計算A'!BA$4=0,"",IF(G7&lt;&gt;"","（決定）",SUMPRODUCT(('計算A'!BA$60:BA$104=1)*('計算A'!$C$10:$C$54=1))&amp;"人："&amp;_xlfn.TEXTJOIN("、",TRUE,IF(('計算A'!BA$60:BA$104=1)*('計算A'!$C$10:$C$54=1),'計算A'!$B$10:$B$54,""))))</f>
        <v/>
      </c>
      <c r="H23" s="40">
        <f t="array" ref="H23">IF('計算A'!BM$4=0,"",IF(H7&lt;&gt;"","（決定）",SUMPRODUCT(('計算A'!BM$60:BM$104=1)*('計算A'!$C$10:$C$54=1))&amp;"人："&amp;_xlfn.TEXTJOIN("、",TRUE,IF(('計算A'!BM$60:BM$104=1)*('計算A'!$C$10:$C$54=1),'計算A'!$B$10:$B$54,""))))</f>
        <v/>
      </c>
      <c r="I23" s="40">
        <f t="array" ref="I23">IF('計算A'!BY$4=0,"",IF(I7&lt;&gt;"","（決定）",SUMPRODUCT(('計算A'!BY$60:BY$104=1)*('計算A'!$C$10:$C$54=1))&amp;"人："&amp;_xlfn.TEXTJOIN("、",TRUE,IF(('計算A'!BY$60:BY$104=1)*('計算A'!$C$10:$C$54=1),'計算A'!$B$10:$B$54,""))))</f>
        <v/>
      </c>
      <c r="J23" s="40">
        <f t="array" ref="J23">IF('計算A'!CK$4=0,"",IF(J7&lt;&gt;"","（決定）",SUMPRODUCT(('計算A'!CK$60:CK$104=1)*('計算A'!$C$10:$C$54=1))&amp;"人："&amp;_xlfn.TEXTJOIN("、",TRUE,IF(('計算A'!CK$60:CK$104=1)*('計算A'!$C$10:$C$54=1),'計算A'!$B$10:$B$54,""))))</f>
        <v/>
      </c>
      <c r="K23" s="40">
        <f t="array" ref="K23">IF('計算A'!CW$4=0,"",IF(K7&lt;&gt;"","（決定）",SUMPRODUCT(('計算A'!CW$60:CW$104=1)*('計算A'!$C$10:$C$54=1))&amp;"人："&amp;_xlfn.TEXTJOIN("、",TRUE,IF(('計算A'!CW$60:CW$104=1)*('計算A'!$C$10:$C$54=1),'計算A'!$B$10:$B$54,""))))</f>
        <v/>
      </c>
      <c r="L23" s="40">
        <f t="array" ref="L23">IF('計算A'!DI$4=0,"",IF(L7&lt;&gt;"","（決定）",SUMPRODUCT(('計算A'!DI$60:DI$104=1)*('計算A'!$C$10:$C$54=1))&amp;"人："&amp;_xlfn.TEXTJOIN("、",TRUE,IF(('計算A'!DI$60:DI$104=1)*('計算A'!$C$10:$C$54=1),'計算A'!$B$10:$B$54,""))))</f>
        <v/>
      </c>
    </row>
    <row r="24" ht="48" customHeight="1">
      <c r="B24" s="14">
        <f>'設定'!$I$13</f>
        <v/>
      </c>
      <c r="C24" s="40">
        <f t="array" ref="C24">IF('計算A'!F$4=0,"",IF(C8&lt;&gt;"","（決定）",SUMPRODUCT(('計算A'!F$60:F$104=1)*('計算A'!$C$10:$C$54=1))&amp;"人："&amp;_xlfn.TEXTJOIN("、",TRUE,IF(('計算A'!F$60:F$104=1)*('計算A'!$C$10:$C$54=1),'計算A'!$B$10:$B$54,""))))</f>
        <v/>
      </c>
      <c r="D24" s="40">
        <f t="array" ref="D24">IF('計算A'!R$4=0,"",IF(D8&lt;&gt;"","（決定）",SUMPRODUCT(('計算A'!R$60:R$104=1)*('計算A'!$C$10:$C$54=1))&amp;"人："&amp;_xlfn.TEXTJOIN("、",TRUE,IF(('計算A'!R$60:R$104=1)*('計算A'!$C$10:$C$54=1),'計算A'!$B$10:$B$54,""))))</f>
        <v/>
      </c>
      <c r="E24" s="40">
        <f t="array" ref="E24">IF('計算A'!AD$4=0,"",IF(E8&lt;&gt;"","（決定）",SUMPRODUCT(('計算A'!AD$60:AD$104=1)*('計算A'!$C$10:$C$54=1))&amp;"人："&amp;_xlfn.TEXTJOIN("、",TRUE,IF(('計算A'!AD$60:AD$104=1)*('計算A'!$C$10:$C$54=1),'計算A'!$B$10:$B$54,""))))</f>
        <v/>
      </c>
      <c r="F24" s="40">
        <f t="array" ref="F24">IF('計算A'!AP$4=0,"",IF(F8&lt;&gt;"","（決定）",SUMPRODUCT(('計算A'!AP$60:AP$104=1)*('計算A'!$C$10:$C$54=1))&amp;"人："&amp;_xlfn.TEXTJOIN("、",TRUE,IF(('計算A'!AP$60:AP$104=1)*('計算A'!$C$10:$C$54=1),'計算A'!$B$10:$B$54,""))))</f>
        <v/>
      </c>
      <c r="G24" s="40">
        <f t="array" ref="G24">IF('計算A'!BB$4=0,"",IF(G8&lt;&gt;"","（決定）",SUMPRODUCT(('計算A'!BB$60:BB$104=1)*('計算A'!$C$10:$C$54=1))&amp;"人："&amp;_xlfn.TEXTJOIN("、",TRUE,IF(('計算A'!BB$60:BB$104=1)*('計算A'!$C$10:$C$54=1),'計算A'!$B$10:$B$54,""))))</f>
        <v/>
      </c>
      <c r="H24" s="40">
        <f t="array" ref="H24">IF('計算A'!BN$4=0,"",IF(H8&lt;&gt;"","（決定）",SUMPRODUCT(('計算A'!BN$60:BN$104=1)*('計算A'!$C$10:$C$54=1))&amp;"人："&amp;_xlfn.TEXTJOIN("、",TRUE,IF(('計算A'!BN$60:BN$104=1)*('計算A'!$C$10:$C$54=1),'計算A'!$B$10:$B$54,""))))</f>
        <v/>
      </c>
      <c r="I24" s="40">
        <f t="array" ref="I24">IF('計算A'!BZ$4=0,"",IF(I8&lt;&gt;"","（決定）",SUMPRODUCT(('計算A'!BZ$60:BZ$104=1)*('計算A'!$C$10:$C$54=1))&amp;"人："&amp;_xlfn.TEXTJOIN("、",TRUE,IF(('計算A'!BZ$60:BZ$104=1)*('計算A'!$C$10:$C$54=1),'計算A'!$B$10:$B$54,""))))</f>
        <v/>
      </c>
      <c r="J24" s="40">
        <f t="array" ref="J24">IF('計算A'!CL$4=0,"",IF(J8&lt;&gt;"","（決定）",SUMPRODUCT(('計算A'!CL$60:CL$104=1)*('計算A'!$C$10:$C$54=1))&amp;"人："&amp;_xlfn.TEXTJOIN("、",TRUE,IF(('計算A'!CL$60:CL$104=1)*('計算A'!$C$10:$C$54=1),'計算A'!$B$10:$B$54,""))))</f>
        <v/>
      </c>
      <c r="K24" s="40">
        <f t="array" ref="K24">IF('計算A'!CX$4=0,"",IF(K8&lt;&gt;"","（決定）",SUMPRODUCT(('計算A'!CX$60:CX$104=1)*('計算A'!$C$10:$C$54=1))&amp;"人："&amp;_xlfn.TEXTJOIN("、",TRUE,IF(('計算A'!CX$60:CX$104=1)*('計算A'!$C$10:$C$54=1),'計算A'!$B$10:$B$54,""))))</f>
        <v/>
      </c>
      <c r="L24" s="40">
        <f t="array" ref="L24">IF('計算A'!DJ$4=0,"",IF(L8&lt;&gt;"","（決定）",SUMPRODUCT(('計算A'!DJ$60:DJ$104=1)*('計算A'!$C$10:$C$54=1))&amp;"人："&amp;_xlfn.TEXTJOIN("、",TRUE,IF(('計算A'!DJ$60:DJ$104=1)*('計算A'!$C$10:$C$54=1),'計算A'!$B$10:$B$54,""))))</f>
        <v/>
      </c>
    </row>
    <row r="25" ht="48" customHeight="1">
      <c r="B25" s="14">
        <f>'設定'!$I$14</f>
        <v/>
      </c>
      <c r="C25" s="40">
        <f t="array" ref="C25">IF('計算A'!G$4=0,"",IF(C9&lt;&gt;"","（決定）",SUMPRODUCT(('計算A'!G$60:G$104=1)*('計算A'!$C$10:$C$54=1))&amp;"人："&amp;_xlfn.TEXTJOIN("、",TRUE,IF(('計算A'!G$60:G$104=1)*('計算A'!$C$10:$C$54=1),'計算A'!$B$10:$B$54,""))))</f>
        <v/>
      </c>
      <c r="D25" s="40">
        <f t="array" ref="D25">IF('計算A'!S$4=0,"",IF(D9&lt;&gt;"","（決定）",SUMPRODUCT(('計算A'!S$60:S$104=1)*('計算A'!$C$10:$C$54=1))&amp;"人："&amp;_xlfn.TEXTJOIN("、",TRUE,IF(('計算A'!S$60:S$104=1)*('計算A'!$C$10:$C$54=1),'計算A'!$B$10:$B$54,""))))</f>
        <v/>
      </c>
      <c r="E25" s="40">
        <f t="array" ref="E25">IF('計算A'!AE$4=0,"",IF(E9&lt;&gt;"","（決定）",SUMPRODUCT(('計算A'!AE$60:AE$104=1)*('計算A'!$C$10:$C$54=1))&amp;"人："&amp;_xlfn.TEXTJOIN("、",TRUE,IF(('計算A'!AE$60:AE$104=1)*('計算A'!$C$10:$C$54=1),'計算A'!$B$10:$B$54,""))))</f>
        <v/>
      </c>
      <c r="F25" s="40">
        <f t="array" ref="F25">IF('計算A'!AQ$4=0,"",IF(F9&lt;&gt;"","（決定）",SUMPRODUCT(('計算A'!AQ$60:AQ$104=1)*('計算A'!$C$10:$C$54=1))&amp;"人："&amp;_xlfn.TEXTJOIN("、",TRUE,IF(('計算A'!AQ$60:AQ$104=1)*('計算A'!$C$10:$C$54=1),'計算A'!$B$10:$B$54,""))))</f>
        <v/>
      </c>
      <c r="G25" s="40">
        <f t="array" ref="G25">IF('計算A'!BC$4=0,"",IF(G9&lt;&gt;"","（決定）",SUMPRODUCT(('計算A'!BC$60:BC$104=1)*('計算A'!$C$10:$C$54=1))&amp;"人："&amp;_xlfn.TEXTJOIN("、",TRUE,IF(('計算A'!BC$60:BC$104=1)*('計算A'!$C$10:$C$54=1),'計算A'!$B$10:$B$54,""))))</f>
        <v/>
      </c>
      <c r="H25" s="40">
        <f t="array" ref="H25">IF('計算A'!BO$4=0,"",IF(H9&lt;&gt;"","（決定）",SUMPRODUCT(('計算A'!BO$60:BO$104=1)*('計算A'!$C$10:$C$54=1))&amp;"人："&amp;_xlfn.TEXTJOIN("、",TRUE,IF(('計算A'!BO$60:BO$104=1)*('計算A'!$C$10:$C$54=1),'計算A'!$B$10:$B$54,""))))</f>
        <v/>
      </c>
      <c r="I25" s="40">
        <f t="array" ref="I25">IF('計算A'!CA$4=0,"",IF(I9&lt;&gt;"","（決定）",SUMPRODUCT(('計算A'!CA$60:CA$104=1)*('計算A'!$C$10:$C$54=1))&amp;"人："&amp;_xlfn.TEXTJOIN("、",TRUE,IF(('計算A'!CA$60:CA$104=1)*('計算A'!$C$10:$C$54=1),'計算A'!$B$10:$B$54,""))))</f>
        <v/>
      </c>
      <c r="J25" s="40">
        <f t="array" ref="J25">IF('計算A'!CM$4=0,"",IF(J9&lt;&gt;"","（決定）",SUMPRODUCT(('計算A'!CM$60:CM$104=1)*('計算A'!$C$10:$C$54=1))&amp;"人："&amp;_xlfn.TEXTJOIN("、",TRUE,IF(('計算A'!CM$60:CM$104=1)*('計算A'!$C$10:$C$54=1),'計算A'!$B$10:$B$54,""))))</f>
        <v/>
      </c>
      <c r="K25" s="40">
        <f t="array" ref="K25">IF('計算A'!CY$4=0,"",IF(K9&lt;&gt;"","（決定）",SUMPRODUCT(('計算A'!CY$60:CY$104=1)*('計算A'!$C$10:$C$54=1))&amp;"人："&amp;_xlfn.TEXTJOIN("、",TRUE,IF(('計算A'!CY$60:CY$104=1)*('計算A'!$C$10:$C$54=1),'計算A'!$B$10:$B$54,""))))</f>
        <v/>
      </c>
      <c r="L25" s="40">
        <f t="array" ref="L25">IF('計算A'!DK$4=0,"",IF(L9&lt;&gt;"","（決定）",SUMPRODUCT(('計算A'!DK$60:DK$104=1)*('計算A'!$C$10:$C$54=1))&amp;"人："&amp;_xlfn.TEXTJOIN("、",TRUE,IF(('計算A'!DK$60:DK$104=1)*('計算A'!$C$10:$C$54=1),'計算A'!$B$10:$B$54,""))))</f>
        <v/>
      </c>
    </row>
    <row r="26" ht="48" customHeight="1">
      <c r="B26" s="14">
        <f>'設定'!$I$15</f>
        <v/>
      </c>
      <c r="C26" s="40">
        <f t="array" ref="C26">IF('計算A'!H$4=0,"",IF(C10&lt;&gt;"","（決定）",SUMPRODUCT(('計算A'!H$60:H$104=1)*('計算A'!$C$10:$C$54=1))&amp;"人："&amp;_xlfn.TEXTJOIN("、",TRUE,IF(('計算A'!H$60:H$104=1)*('計算A'!$C$10:$C$54=1),'計算A'!$B$10:$B$54,""))))</f>
        <v/>
      </c>
      <c r="D26" s="40">
        <f t="array" ref="D26">IF('計算A'!T$4=0,"",IF(D10&lt;&gt;"","（決定）",SUMPRODUCT(('計算A'!T$60:T$104=1)*('計算A'!$C$10:$C$54=1))&amp;"人："&amp;_xlfn.TEXTJOIN("、",TRUE,IF(('計算A'!T$60:T$104=1)*('計算A'!$C$10:$C$54=1),'計算A'!$B$10:$B$54,""))))</f>
        <v/>
      </c>
      <c r="E26" s="40">
        <f t="array" ref="E26">IF('計算A'!AF$4=0,"",IF(E10&lt;&gt;"","（決定）",SUMPRODUCT(('計算A'!AF$60:AF$104=1)*('計算A'!$C$10:$C$54=1))&amp;"人："&amp;_xlfn.TEXTJOIN("、",TRUE,IF(('計算A'!AF$60:AF$104=1)*('計算A'!$C$10:$C$54=1),'計算A'!$B$10:$B$54,""))))</f>
        <v/>
      </c>
      <c r="F26" s="40">
        <f t="array" ref="F26">IF('計算A'!AR$4=0,"",IF(F10&lt;&gt;"","（決定）",SUMPRODUCT(('計算A'!AR$60:AR$104=1)*('計算A'!$C$10:$C$54=1))&amp;"人："&amp;_xlfn.TEXTJOIN("、",TRUE,IF(('計算A'!AR$60:AR$104=1)*('計算A'!$C$10:$C$54=1),'計算A'!$B$10:$B$54,""))))</f>
        <v/>
      </c>
      <c r="G26" s="40">
        <f t="array" ref="G26">IF('計算A'!BD$4=0,"",IF(G10&lt;&gt;"","（決定）",SUMPRODUCT(('計算A'!BD$60:BD$104=1)*('計算A'!$C$10:$C$54=1))&amp;"人："&amp;_xlfn.TEXTJOIN("、",TRUE,IF(('計算A'!BD$60:BD$104=1)*('計算A'!$C$10:$C$54=1),'計算A'!$B$10:$B$54,""))))</f>
        <v/>
      </c>
      <c r="H26" s="40">
        <f t="array" ref="H26">IF('計算A'!BP$4=0,"",IF(H10&lt;&gt;"","（決定）",SUMPRODUCT(('計算A'!BP$60:BP$104=1)*('計算A'!$C$10:$C$54=1))&amp;"人："&amp;_xlfn.TEXTJOIN("、",TRUE,IF(('計算A'!BP$60:BP$104=1)*('計算A'!$C$10:$C$54=1),'計算A'!$B$10:$B$54,""))))</f>
        <v/>
      </c>
      <c r="I26" s="40">
        <f t="array" ref="I26">IF('計算A'!CB$4=0,"",IF(I10&lt;&gt;"","（決定）",SUMPRODUCT(('計算A'!CB$60:CB$104=1)*('計算A'!$C$10:$C$54=1))&amp;"人："&amp;_xlfn.TEXTJOIN("、",TRUE,IF(('計算A'!CB$60:CB$104=1)*('計算A'!$C$10:$C$54=1),'計算A'!$B$10:$B$54,""))))</f>
        <v/>
      </c>
      <c r="J26" s="40">
        <f t="array" ref="J26">IF('計算A'!CN$4=0,"",IF(J10&lt;&gt;"","（決定）",SUMPRODUCT(('計算A'!CN$60:CN$104=1)*('計算A'!$C$10:$C$54=1))&amp;"人："&amp;_xlfn.TEXTJOIN("、",TRUE,IF(('計算A'!CN$60:CN$104=1)*('計算A'!$C$10:$C$54=1),'計算A'!$B$10:$B$54,""))))</f>
        <v/>
      </c>
      <c r="K26" s="40">
        <f t="array" ref="K26">IF('計算A'!CZ$4=0,"",IF(K10&lt;&gt;"","（決定）",SUMPRODUCT(('計算A'!CZ$60:CZ$104=1)*('計算A'!$C$10:$C$54=1))&amp;"人："&amp;_xlfn.TEXTJOIN("、",TRUE,IF(('計算A'!CZ$60:CZ$104=1)*('計算A'!$C$10:$C$54=1),'計算A'!$B$10:$B$54,""))))</f>
        <v/>
      </c>
      <c r="L26" s="40">
        <f t="array" ref="L26">IF('計算A'!DL$4=0,"",IF(L10&lt;&gt;"","（決定）",SUMPRODUCT(('計算A'!DL$60:DL$104=1)*('計算A'!$C$10:$C$54=1))&amp;"人："&amp;_xlfn.TEXTJOIN("、",TRUE,IF(('計算A'!DL$60:DL$104=1)*('計算A'!$C$10:$C$54=1),'計算A'!$B$10:$B$54,""))))</f>
        <v/>
      </c>
    </row>
    <row r="27" ht="48" customHeight="1">
      <c r="B27" s="14">
        <f>'設定'!$I$16</f>
        <v/>
      </c>
      <c r="C27" s="40">
        <f t="array" ref="C27">IF('計算A'!I$4=0,"",IF(C11&lt;&gt;"","（決定）",SUMPRODUCT(('計算A'!I$60:I$104=1)*('計算A'!$C$10:$C$54=1))&amp;"人："&amp;_xlfn.TEXTJOIN("、",TRUE,IF(('計算A'!I$60:I$104=1)*('計算A'!$C$10:$C$54=1),'計算A'!$B$10:$B$54,""))))</f>
        <v/>
      </c>
      <c r="D27" s="40">
        <f t="array" ref="D27">IF('計算A'!U$4=0,"",IF(D11&lt;&gt;"","（決定）",SUMPRODUCT(('計算A'!U$60:U$104=1)*('計算A'!$C$10:$C$54=1))&amp;"人："&amp;_xlfn.TEXTJOIN("、",TRUE,IF(('計算A'!U$60:U$104=1)*('計算A'!$C$10:$C$54=1),'計算A'!$B$10:$B$54,""))))</f>
        <v/>
      </c>
      <c r="E27" s="40">
        <f t="array" ref="E27">IF('計算A'!AG$4=0,"",IF(E11&lt;&gt;"","（決定）",SUMPRODUCT(('計算A'!AG$60:AG$104=1)*('計算A'!$C$10:$C$54=1))&amp;"人："&amp;_xlfn.TEXTJOIN("、",TRUE,IF(('計算A'!AG$60:AG$104=1)*('計算A'!$C$10:$C$54=1),'計算A'!$B$10:$B$54,""))))</f>
        <v/>
      </c>
      <c r="F27" s="40">
        <f t="array" ref="F27">IF('計算A'!AS$4=0,"",IF(F11&lt;&gt;"","（決定）",SUMPRODUCT(('計算A'!AS$60:AS$104=1)*('計算A'!$C$10:$C$54=1))&amp;"人："&amp;_xlfn.TEXTJOIN("、",TRUE,IF(('計算A'!AS$60:AS$104=1)*('計算A'!$C$10:$C$54=1),'計算A'!$B$10:$B$54,""))))</f>
        <v/>
      </c>
      <c r="G27" s="40">
        <f t="array" ref="G27">IF('計算A'!BE$4=0,"",IF(G11&lt;&gt;"","（決定）",SUMPRODUCT(('計算A'!BE$60:BE$104=1)*('計算A'!$C$10:$C$54=1))&amp;"人："&amp;_xlfn.TEXTJOIN("、",TRUE,IF(('計算A'!BE$60:BE$104=1)*('計算A'!$C$10:$C$54=1),'計算A'!$B$10:$B$54,""))))</f>
        <v/>
      </c>
      <c r="H27" s="40">
        <f t="array" ref="H27">IF('計算A'!BQ$4=0,"",IF(H11&lt;&gt;"","（決定）",SUMPRODUCT(('計算A'!BQ$60:BQ$104=1)*('計算A'!$C$10:$C$54=1))&amp;"人："&amp;_xlfn.TEXTJOIN("、",TRUE,IF(('計算A'!BQ$60:BQ$104=1)*('計算A'!$C$10:$C$54=1),'計算A'!$B$10:$B$54,""))))</f>
        <v/>
      </c>
      <c r="I27" s="40">
        <f t="array" ref="I27">IF('計算A'!CC$4=0,"",IF(I11&lt;&gt;"","（決定）",SUMPRODUCT(('計算A'!CC$60:CC$104=1)*('計算A'!$C$10:$C$54=1))&amp;"人："&amp;_xlfn.TEXTJOIN("、",TRUE,IF(('計算A'!CC$60:CC$104=1)*('計算A'!$C$10:$C$54=1),'計算A'!$B$10:$B$54,""))))</f>
        <v/>
      </c>
      <c r="J27" s="40">
        <f t="array" ref="J27">IF('計算A'!CO$4=0,"",IF(J11&lt;&gt;"","（決定）",SUMPRODUCT(('計算A'!CO$60:CO$104=1)*('計算A'!$C$10:$C$54=1))&amp;"人："&amp;_xlfn.TEXTJOIN("、",TRUE,IF(('計算A'!CO$60:CO$104=1)*('計算A'!$C$10:$C$54=1),'計算A'!$B$10:$B$54,""))))</f>
        <v/>
      </c>
      <c r="K27" s="40">
        <f t="array" ref="K27">IF('計算A'!DA$4=0,"",IF(K11&lt;&gt;"","（決定）",SUMPRODUCT(('計算A'!DA$60:DA$104=1)*('計算A'!$C$10:$C$54=1))&amp;"人："&amp;_xlfn.TEXTJOIN("、",TRUE,IF(('計算A'!DA$60:DA$104=1)*('計算A'!$C$10:$C$54=1),'計算A'!$B$10:$B$54,""))))</f>
        <v/>
      </c>
      <c r="L27" s="40">
        <f t="array" ref="L27">IF('計算A'!DM$4=0,"",IF(L11&lt;&gt;"","（決定）",SUMPRODUCT(('計算A'!DM$60:DM$104=1)*('計算A'!$C$10:$C$54=1))&amp;"人："&amp;_xlfn.TEXTJOIN("、",TRUE,IF(('計算A'!DM$60:DM$104=1)*('計算A'!$C$10:$C$54=1),'計算A'!$B$10:$B$54,""))))</f>
        <v/>
      </c>
    </row>
    <row r="28" ht="48" customHeight="1">
      <c r="B28" s="14">
        <f>'設定'!$I$17</f>
        <v/>
      </c>
      <c r="C28" s="40">
        <f t="array" ref="C28">IF('計算A'!J$4=0,"",IF(C12&lt;&gt;"","（決定）",SUMPRODUCT(('計算A'!J$60:J$104=1)*('計算A'!$C$10:$C$54=1))&amp;"人："&amp;_xlfn.TEXTJOIN("、",TRUE,IF(('計算A'!J$60:J$104=1)*('計算A'!$C$10:$C$54=1),'計算A'!$B$10:$B$54,""))))</f>
        <v/>
      </c>
      <c r="D28" s="40">
        <f t="array" ref="D28">IF('計算A'!V$4=0,"",IF(D12&lt;&gt;"","（決定）",SUMPRODUCT(('計算A'!V$60:V$104=1)*('計算A'!$C$10:$C$54=1))&amp;"人："&amp;_xlfn.TEXTJOIN("、",TRUE,IF(('計算A'!V$60:V$104=1)*('計算A'!$C$10:$C$54=1),'計算A'!$B$10:$B$54,""))))</f>
        <v/>
      </c>
      <c r="E28" s="40">
        <f t="array" ref="E28">IF('計算A'!AH$4=0,"",IF(E12&lt;&gt;"","（決定）",SUMPRODUCT(('計算A'!AH$60:AH$104=1)*('計算A'!$C$10:$C$54=1))&amp;"人："&amp;_xlfn.TEXTJOIN("、",TRUE,IF(('計算A'!AH$60:AH$104=1)*('計算A'!$C$10:$C$54=1),'計算A'!$B$10:$B$54,""))))</f>
        <v/>
      </c>
      <c r="F28" s="40">
        <f t="array" ref="F28">IF('計算A'!AT$4=0,"",IF(F12&lt;&gt;"","（決定）",SUMPRODUCT(('計算A'!AT$60:AT$104=1)*('計算A'!$C$10:$C$54=1))&amp;"人："&amp;_xlfn.TEXTJOIN("、",TRUE,IF(('計算A'!AT$60:AT$104=1)*('計算A'!$C$10:$C$54=1),'計算A'!$B$10:$B$54,""))))</f>
        <v/>
      </c>
      <c r="G28" s="40">
        <f t="array" ref="G28">IF('計算A'!BF$4=0,"",IF(G12&lt;&gt;"","（決定）",SUMPRODUCT(('計算A'!BF$60:BF$104=1)*('計算A'!$C$10:$C$54=1))&amp;"人："&amp;_xlfn.TEXTJOIN("、",TRUE,IF(('計算A'!BF$60:BF$104=1)*('計算A'!$C$10:$C$54=1),'計算A'!$B$10:$B$54,""))))</f>
        <v/>
      </c>
      <c r="H28" s="40">
        <f t="array" ref="H28">IF('計算A'!BR$4=0,"",IF(H12&lt;&gt;"","（決定）",SUMPRODUCT(('計算A'!BR$60:BR$104=1)*('計算A'!$C$10:$C$54=1))&amp;"人："&amp;_xlfn.TEXTJOIN("、",TRUE,IF(('計算A'!BR$60:BR$104=1)*('計算A'!$C$10:$C$54=1),'計算A'!$B$10:$B$54,""))))</f>
        <v/>
      </c>
      <c r="I28" s="40">
        <f t="array" ref="I28">IF('計算A'!CD$4=0,"",IF(I12&lt;&gt;"","（決定）",SUMPRODUCT(('計算A'!CD$60:CD$104=1)*('計算A'!$C$10:$C$54=1))&amp;"人："&amp;_xlfn.TEXTJOIN("、",TRUE,IF(('計算A'!CD$60:CD$104=1)*('計算A'!$C$10:$C$54=1),'計算A'!$B$10:$B$54,""))))</f>
        <v/>
      </c>
      <c r="J28" s="40">
        <f t="array" ref="J28">IF('計算A'!CP$4=0,"",IF(J12&lt;&gt;"","（決定）",SUMPRODUCT(('計算A'!CP$60:CP$104=1)*('計算A'!$C$10:$C$54=1))&amp;"人："&amp;_xlfn.TEXTJOIN("、",TRUE,IF(('計算A'!CP$60:CP$104=1)*('計算A'!$C$10:$C$54=1),'計算A'!$B$10:$B$54,""))))</f>
        <v/>
      </c>
      <c r="K28" s="40">
        <f t="array" ref="K28">IF('計算A'!DB$4=0,"",IF(K12&lt;&gt;"","（決定）",SUMPRODUCT(('計算A'!DB$60:DB$104=1)*('計算A'!$C$10:$C$54=1))&amp;"人："&amp;_xlfn.TEXTJOIN("、",TRUE,IF(('計算A'!DB$60:DB$104=1)*('計算A'!$C$10:$C$54=1),'計算A'!$B$10:$B$54,""))))</f>
        <v/>
      </c>
      <c r="L28" s="40">
        <f t="array" ref="L28">IF('計算A'!DN$4=0,"",IF(L12&lt;&gt;"","（決定）",SUMPRODUCT(('計算A'!DN$60:DN$104=1)*('計算A'!$C$10:$C$54=1))&amp;"人："&amp;_xlfn.TEXTJOIN("、",TRUE,IF(('計算A'!DN$60:DN$104=1)*('計算A'!$C$10:$C$54=1),'計算A'!$B$10:$B$54,""))))</f>
        <v/>
      </c>
    </row>
    <row r="29" ht="48" customHeight="1">
      <c r="B29" s="14">
        <f>'設定'!$I$18</f>
        <v/>
      </c>
      <c r="C29" s="40">
        <f t="array" ref="C29">IF('計算A'!K$4=0,"",IF(C13&lt;&gt;"","（決定）",SUMPRODUCT(('計算A'!K$60:K$104=1)*('計算A'!$C$10:$C$54=1))&amp;"人："&amp;_xlfn.TEXTJOIN("、",TRUE,IF(('計算A'!K$60:K$104=1)*('計算A'!$C$10:$C$54=1),'計算A'!$B$10:$B$54,""))))</f>
        <v/>
      </c>
      <c r="D29" s="40">
        <f t="array" ref="D29">IF('計算A'!W$4=0,"",IF(D13&lt;&gt;"","（決定）",SUMPRODUCT(('計算A'!W$60:W$104=1)*('計算A'!$C$10:$C$54=1))&amp;"人："&amp;_xlfn.TEXTJOIN("、",TRUE,IF(('計算A'!W$60:W$104=1)*('計算A'!$C$10:$C$54=1),'計算A'!$B$10:$B$54,""))))</f>
        <v/>
      </c>
      <c r="E29" s="40">
        <f t="array" ref="E29">IF('計算A'!AI$4=0,"",IF(E13&lt;&gt;"","（決定）",SUMPRODUCT(('計算A'!AI$60:AI$104=1)*('計算A'!$C$10:$C$54=1))&amp;"人："&amp;_xlfn.TEXTJOIN("、",TRUE,IF(('計算A'!AI$60:AI$104=1)*('計算A'!$C$10:$C$54=1),'計算A'!$B$10:$B$54,""))))</f>
        <v/>
      </c>
      <c r="F29" s="40">
        <f t="array" ref="F29">IF('計算A'!AU$4=0,"",IF(F13&lt;&gt;"","（決定）",SUMPRODUCT(('計算A'!AU$60:AU$104=1)*('計算A'!$C$10:$C$54=1))&amp;"人："&amp;_xlfn.TEXTJOIN("、",TRUE,IF(('計算A'!AU$60:AU$104=1)*('計算A'!$C$10:$C$54=1),'計算A'!$B$10:$B$54,""))))</f>
        <v/>
      </c>
      <c r="G29" s="40">
        <f t="array" ref="G29">IF('計算A'!BG$4=0,"",IF(G13&lt;&gt;"","（決定）",SUMPRODUCT(('計算A'!BG$60:BG$104=1)*('計算A'!$C$10:$C$54=1))&amp;"人："&amp;_xlfn.TEXTJOIN("、",TRUE,IF(('計算A'!BG$60:BG$104=1)*('計算A'!$C$10:$C$54=1),'計算A'!$B$10:$B$54,""))))</f>
        <v/>
      </c>
      <c r="H29" s="40">
        <f t="array" ref="H29">IF('計算A'!BS$4=0,"",IF(H13&lt;&gt;"","（決定）",SUMPRODUCT(('計算A'!BS$60:BS$104=1)*('計算A'!$C$10:$C$54=1))&amp;"人："&amp;_xlfn.TEXTJOIN("、",TRUE,IF(('計算A'!BS$60:BS$104=1)*('計算A'!$C$10:$C$54=1),'計算A'!$B$10:$B$54,""))))</f>
        <v/>
      </c>
      <c r="I29" s="40">
        <f t="array" ref="I29">IF('計算A'!CE$4=0,"",IF(I13&lt;&gt;"","（決定）",SUMPRODUCT(('計算A'!CE$60:CE$104=1)*('計算A'!$C$10:$C$54=1))&amp;"人："&amp;_xlfn.TEXTJOIN("、",TRUE,IF(('計算A'!CE$60:CE$104=1)*('計算A'!$C$10:$C$54=1),'計算A'!$B$10:$B$54,""))))</f>
        <v/>
      </c>
      <c r="J29" s="40">
        <f t="array" ref="J29">IF('計算A'!CQ$4=0,"",IF(J13&lt;&gt;"","（決定）",SUMPRODUCT(('計算A'!CQ$60:CQ$104=1)*('計算A'!$C$10:$C$54=1))&amp;"人："&amp;_xlfn.TEXTJOIN("、",TRUE,IF(('計算A'!CQ$60:CQ$104=1)*('計算A'!$C$10:$C$54=1),'計算A'!$B$10:$B$54,""))))</f>
        <v/>
      </c>
      <c r="K29" s="40">
        <f t="array" ref="K29">IF('計算A'!DC$4=0,"",IF(K13&lt;&gt;"","（決定）",SUMPRODUCT(('計算A'!DC$60:DC$104=1)*('計算A'!$C$10:$C$54=1))&amp;"人："&amp;_xlfn.TEXTJOIN("、",TRUE,IF(('計算A'!DC$60:DC$104=1)*('計算A'!$C$10:$C$54=1),'計算A'!$B$10:$B$54,""))))</f>
        <v/>
      </c>
      <c r="L29" s="40">
        <f t="array" ref="L29">IF('計算A'!DO$4=0,"",IF(L13&lt;&gt;"","（決定）",SUMPRODUCT(('計算A'!DO$60:DO$104=1)*('計算A'!$C$10:$C$54=1))&amp;"人："&amp;_xlfn.TEXTJOIN("、",TRUE,IF(('計算A'!DO$60:DO$104=1)*('計算A'!$C$10:$C$54=1),'計算A'!$B$10:$B$54,""))))</f>
        <v/>
      </c>
    </row>
    <row r="30" ht="48" customHeight="1">
      <c r="B30" s="14">
        <f>'設定'!$I$19</f>
        <v/>
      </c>
      <c r="C30" s="40">
        <f t="array" ref="C30">IF('計算A'!L$4=0,"",IF(C14&lt;&gt;"","（決定）",SUMPRODUCT(('計算A'!L$60:L$104=1)*('計算A'!$C$10:$C$54=1))&amp;"人："&amp;_xlfn.TEXTJOIN("、",TRUE,IF(('計算A'!L$60:L$104=1)*('計算A'!$C$10:$C$54=1),'計算A'!$B$10:$B$54,""))))</f>
        <v/>
      </c>
      <c r="D30" s="40">
        <f t="array" ref="D30">IF('計算A'!X$4=0,"",IF(D14&lt;&gt;"","（決定）",SUMPRODUCT(('計算A'!X$60:X$104=1)*('計算A'!$C$10:$C$54=1))&amp;"人："&amp;_xlfn.TEXTJOIN("、",TRUE,IF(('計算A'!X$60:X$104=1)*('計算A'!$C$10:$C$54=1),'計算A'!$B$10:$B$54,""))))</f>
        <v/>
      </c>
      <c r="E30" s="40">
        <f t="array" ref="E30">IF('計算A'!AJ$4=0,"",IF(E14&lt;&gt;"","（決定）",SUMPRODUCT(('計算A'!AJ$60:AJ$104=1)*('計算A'!$C$10:$C$54=1))&amp;"人："&amp;_xlfn.TEXTJOIN("、",TRUE,IF(('計算A'!AJ$60:AJ$104=1)*('計算A'!$C$10:$C$54=1),'計算A'!$B$10:$B$54,""))))</f>
        <v/>
      </c>
      <c r="F30" s="40">
        <f t="array" ref="F30">IF('計算A'!AV$4=0,"",IF(F14&lt;&gt;"","（決定）",SUMPRODUCT(('計算A'!AV$60:AV$104=1)*('計算A'!$C$10:$C$54=1))&amp;"人："&amp;_xlfn.TEXTJOIN("、",TRUE,IF(('計算A'!AV$60:AV$104=1)*('計算A'!$C$10:$C$54=1),'計算A'!$B$10:$B$54,""))))</f>
        <v/>
      </c>
      <c r="G30" s="40">
        <f t="array" ref="G30">IF('計算A'!BH$4=0,"",IF(G14&lt;&gt;"","（決定）",SUMPRODUCT(('計算A'!BH$60:BH$104=1)*('計算A'!$C$10:$C$54=1))&amp;"人："&amp;_xlfn.TEXTJOIN("、",TRUE,IF(('計算A'!BH$60:BH$104=1)*('計算A'!$C$10:$C$54=1),'計算A'!$B$10:$B$54,""))))</f>
        <v/>
      </c>
      <c r="H30" s="40">
        <f t="array" ref="H30">IF('計算A'!BT$4=0,"",IF(H14&lt;&gt;"","（決定）",SUMPRODUCT(('計算A'!BT$60:BT$104=1)*('計算A'!$C$10:$C$54=1))&amp;"人："&amp;_xlfn.TEXTJOIN("、",TRUE,IF(('計算A'!BT$60:BT$104=1)*('計算A'!$C$10:$C$54=1),'計算A'!$B$10:$B$54,""))))</f>
        <v/>
      </c>
      <c r="I30" s="40">
        <f t="array" ref="I30">IF('計算A'!CF$4=0,"",IF(I14&lt;&gt;"","（決定）",SUMPRODUCT(('計算A'!CF$60:CF$104=1)*('計算A'!$C$10:$C$54=1))&amp;"人："&amp;_xlfn.TEXTJOIN("、",TRUE,IF(('計算A'!CF$60:CF$104=1)*('計算A'!$C$10:$C$54=1),'計算A'!$B$10:$B$54,""))))</f>
        <v/>
      </c>
      <c r="J30" s="40">
        <f t="array" ref="J30">IF('計算A'!CR$4=0,"",IF(J14&lt;&gt;"","（決定）",SUMPRODUCT(('計算A'!CR$60:CR$104=1)*('計算A'!$C$10:$C$54=1))&amp;"人："&amp;_xlfn.TEXTJOIN("、",TRUE,IF(('計算A'!CR$60:CR$104=1)*('計算A'!$C$10:$C$54=1),'計算A'!$B$10:$B$54,""))))</f>
        <v/>
      </c>
      <c r="K30" s="40">
        <f t="array" ref="K30">IF('計算A'!DD$4=0,"",IF(K14&lt;&gt;"","（決定）",SUMPRODUCT(('計算A'!DD$60:DD$104=1)*('計算A'!$C$10:$C$54=1))&amp;"人："&amp;_xlfn.TEXTJOIN("、",TRUE,IF(('計算A'!DD$60:DD$104=1)*('計算A'!$C$10:$C$54=1),'計算A'!$B$10:$B$54,""))))</f>
        <v/>
      </c>
      <c r="L30" s="40">
        <f t="array" ref="L30">IF('計算A'!DP$4=0,"",IF(L14&lt;&gt;"","（決定）",SUMPRODUCT(('計算A'!DP$60:DP$104=1)*('計算A'!$C$10:$C$54=1))&amp;"人："&amp;_xlfn.TEXTJOIN("、",TRUE,IF(('計算A'!DP$60:DP$104=1)*('計算A'!$C$10:$C$54=1),'計算A'!$B$10:$B$54,""))))</f>
        <v/>
      </c>
    </row>
    <row r="31" ht="48" customHeight="1">
      <c r="B31" s="14">
        <f>'設定'!$I$20</f>
        <v/>
      </c>
      <c r="C31" s="40">
        <f t="array" ref="C31">IF('計算A'!M$4=0,"",IF(C15&lt;&gt;"","（決定）",SUMPRODUCT(('計算A'!M$60:M$104=1)*('計算A'!$C$10:$C$54=1))&amp;"人："&amp;_xlfn.TEXTJOIN("、",TRUE,IF(('計算A'!M$60:M$104=1)*('計算A'!$C$10:$C$54=1),'計算A'!$B$10:$B$54,""))))</f>
        <v/>
      </c>
      <c r="D31" s="40">
        <f t="array" ref="D31">IF('計算A'!Y$4=0,"",IF(D15&lt;&gt;"","（決定）",SUMPRODUCT(('計算A'!Y$60:Y$104=1)*('計算A'!$C$10:$C$54=1))&amp;"人："&amp;_xlfn.TEXTJOIN("、",TRUE,IF(('計算A'!Y$60:Y$104=1)*('計算A'!$C$10:$C$54=1),'計算A'!$B$10:$B$54,""))))</f>
        <v/>
      </c>
      <c r="E31" s="40">
        <f t="array" ref="E31">IF('計算A'!AK$4=0,"",IF(E15&lt;&gt;"","（決定）",SUMPRODUCT(('計算A'!AK$60:AK$104=1)*('計算A'!$C$10:$C$54=1))&amp;"人："&amp;_xlfn.TEXTJOIN("、",TRUE,IF(('計算A'!AK$60:AK$104=1)*('計算A'!$C$10:$C$54=1),'計算A'!$B$10:$B$54,""))))</f>
        <v/>
      </c>
      <c r="F31" s="40">
        <f t="array" ref="F31">IF('計算A'!AW$4=0,"",IF(F15&lt;&gt;"","（決定）",SUMPRODUCT(('計算A'!AW$60:AW$104=1)*('計算A'!$C$10:$C$54=1))&amp;"人："&amp;_xlfn.TEXTJOIN("、",TRUE,IF(('計算A'!AW$60:AW$104=1)*('計算A'!$C$10:$C$54=1),'計算A'!$B$10:$B$54,""))))</f>
        <v/>
      </c>
      <c r="G31" s="40">
        <f t="array" ref="G31">IF('計算A'!BI$4=0,"",IF(G15&lt;&gt;"","（決定）",SUMPRODUCT(('計算A'!BI$60:BI$104=1)*('計算A'!$C$10:$C$54=1))&amp;"人："&amp;_xlfn.TEXTJOIN("、",TRUE,IF(('計算A'!BI$60:BI$104=1)*('計算A'!$C$10:$C$54=1),'計算A'!$B$10:$B$54,""))))</f>
        <v/>
      </c>
      <c r="H31" s="40">
        <f t="array" ref="H31">IF('計算A'!BU$4=0,"",IF(H15&lt;&gt;"","（決定）",SUMPRODUCT(('計算A'!BU$60:BU$104=1)*('計算A'!$C$10:$C$54=1))&amp;"人："&amp;_xlfn.TEXTJOIN("、",TRUE,IF(('計算A'!BU$60:BU$104=1)*('計算A'!$C$10:$C$54=1),'計算A'!$B$10:$B$54,""))))</f>
        <v/>
      </c>
      <c r="I31" s="40">
        <f t="array" ref="I31">IF('計算A'!CG$4=0,"",IF(I15&lt;&gt;"","（決定）",SUMPRODUCT(('計算A'!CG$60:CG$104=1)*('計算A'!$C$10:$C$54=1))&amp;"人："&amp;_xlfn.TEXTJOIN("、",TRUE,IF(('計算A'!CG$60:CG$104=1)*('計算A'!$C$10:$C$54=1),'計算A'!$B$10:$B$54,""))))</f>
        <v/>
      </c>
      <c r="J31" s="40">
        <f t="array" ref="J31">IF('計算A'!CS$4=0,"",IF(J15&lt;&gt;"","（決定）",SUMPRODUCT(('計算A'!CS$60:CS$104=1)*('計算A'!$C$10:$C$54=1))&amp;"人："&amp;_xlfn.TEXTJOIN("、",TRUE,IF(('計算A'!CS$60:CS$104=1)*('計算A'!$C$10:$C$54=1),'計算A'!$B$10:$B$54,""))))</f>
        <v/>
      </c>
      <c r="K31" s="40">
        <f t="array" ref="K31">IF('計算A'!DE$4=0,"",IF(K15&lt;&gt;"","（決定）",SUMPRODUCT(('計算A'!DE$60:DE$104=1)*('計算A'!$C$10:$C$54=1))&amp;"人："&amp;_xlfn.TEXTJOIN("、",TRUE,IF(('計算A'!DE$60:DE$104=1)*('計算A'!$C$10:$C$54=1),'計算A'!$B$10:$B$54,""))))</f>
        <v/>
      </c>
      <c r="L31" s="40">
        <f t="array" ref="L31">IF('計算A'!DQ$4=0,"",IF(L15&lt;&gt;"","（決定）",SUMPRODUCT(('計算A'!DQ$60:DQ$104=1)*('計算A'!$C$10:$C$54=1))&amp;"人："&amp;_xlfn.TEXTJOIN("、",TRUE,IF(('計算A'!DQ$60:DQ$104=1)*('計算A'!$C$10:$C$54=1),'計算A'!$B$10:$B$54,""))))</f>
        <v/>
      </c>
    </row>
    <row r="32" ht="48" customHeight="1">
      <c r="B32" s="14">
        <f>'設定'!$I$21</f>
        <v/>
      </c>
      <c r="C32" s="40">
        <f t="array" ref="C32">IF('計算A'!N$4=0,"",IF(C16&lt;&gt;"","（決定）",SUMPRODUCT(('計算A'!N$60:N$104=1)*('計算A'!$C$10:$C$54=1))&amp;"人："&amp;_xlfn.TEXTJOIN("、",TRUE,IF(('計算A'!N$60:N$104=1)*('計算A'!$C$10:$C$54=1),'計算A'!$B$10:$B$54,""))))</f>
        <v/>
      </c>
      <c r="D32" s="40">
        <f t="array" ref="D32">IF('計算A'!Z$4=0,"",IF(D16&lt;&gt;"","（決定）",SUMPRODUCT(('計算A'!Z$60:Z$104=1)*('計算A'!$C$10:$C$54=1))&amp;"人："&amp;_xlfn.TEXTJOIN("、",TRUE,IF(('計算A'!Z$60:Z$104=1)*('計算A'!$C$10:$C$54=1),'計算A'!$B$10:$B$54,""))))</f>
        <v/>
      </c>
      <c r="E32" s="40">
        <f t="array" ref="E32">IF('計算A'!AL$4=0,"",IF(E16&lt;&gt;"","（決定）",SUMPRODUCT(('計算A'!AL$60:AL$104=1)*('計算A'!$C$10:$C$54=1))&amp;"人："&amp;_xlfn.TEXTJOIN("、",TRUE,IF(('計算A'!AL$60:AL$104=1)*('計算A'!$C$10:$C$54=1),'計算A'!$B$10:$B$54,""))))</f>
        <v/>
      </c>
      <c r="F32" s="40">
        <f t="array" ref="F32">IF('計算A'!AX$4=0,"",IF(F16&lt;&gt;"","（決定）",SUMPRODUCT(('計算A'!AX$60:AX$104=1)*('計算A'!$C$10:$C$54=1))&amp;"人："&amp;_xlfn.TEXTJOIN("、",TRUE,IF(('計算A'!AX$60:AX$104=1)*('計算A'!$C$10:$C$54=1),'計算A'!$B$10:$B$54,""))))</f>
        <v/>
      </c>
      <c r="G32" s="40">
        <f t="array" ref="G32">IF('計算A'!BJ$4=0,"",IF(G16&lt;&gt;"","（決定）",SUMPRODUCT(('計算A'!BJ$60:BJ$104=1)*('計算A'!$C$10:$C$54=1))&amp;"人："&amp;_xlfn.TEXTJOIN("、",TRUE,IF(('計算A'!BJ$60:BJ$104=1)*('計算A'!$C$10:$C$54=1),'計算A'!$B$10:$B$54,""))))</f>
        <v/>
      </c>
      <c r="H32" s="40">
        <f t="array" ref="H32">IF('計算A'!BV$4=0,"",IF(H16&lt;&gt;"","（決定）",SUMPRODUCT(('計算A'!BV$60:BV$104=1)*('計算A'!$C$10:$C$54=1))&amp;"人："&amp;_xlfn.TEXTJOIN("、",TRUE,IF(('計算A'!BV$60:BV$104=1)*('計算A'!$C$10:$C$54=1),'計算A'!$B$10:$B$54,""))))</f>
        <v/>
      </c>
      <c r="I32" s="40">
        <f t="array" ref="I32">IF('計算A'!CH$4=0,"",IF(I16&lt;&gt;"","（決定）",SUMPRODUCT(('計算A'!CH$60:CH$104=1)*('計算A'!$C$10:$C$54=1))&amp;"人："&amp;_xlfn.TEXTJOIN("、",TRUE,IF(('計算A'!CH$60:CH$104=1)*('計算A'!$C$10:$C$54=1),'計算A'!$B$10:$B$54,""))))</f>
        <v/>
      </c>
      <c r="J32" s="40">
        <f t="array" ref="J32">IF('計算A'!CT$4=0,"",IF(J16&lt;&gt;"","（決定）",SUMPRODUCT(('計算A'!CT$60:CT$104=1)*('計算A'!$C$10:$C$54=1))&amp;"人："&amp;_xlfn.TEXTJOIN("、",TRUE,IF(('計算A'!CT$60:CT$104=1)*('計算A'!$C$10:$C$54=1),'計算A'!$B$10:$B$54,""))))</f>
        <v/>
      </c>
      <c r="K32" s="40">
        <f t="array" ref="K32">IF('計算A'!DF$4=0,"",IF(K16&lt;&gt;"","（決定）",SUMPRODUCT(('計算A'!DF$60:DF$104=1)*('計算A'!$C$10:$C$54=1))&amp;"人："&amp;_xlfn.TEXTJOIN("、",TRUE,IF(('計算A'!DF$60:DF$104=1)*('計算A'!$C$10:$C$54=1),'計算A'!$B$10:$B$54,""))))</f>
        <v/>
      </c>
      <c r="L32" s="40">
        <f t="array" ref="L32">IF('計算A'!DR$4=0,"",IF(L16&lt;&gt;"","（決定）",SUMPRODUCT(('計算A'!DR$60:DR$104=1)*('計算A'!$C$10:$C$54=1))&amp;"人："&amp;_xlfn.TEXTJOIN("、",TRUE,IF(('計算A'!DR$60:DR$104=1)*('計算A'!$C$10:$C$54=1),'計算A'!$B$10:$B$54,""))))</f>
        <v/>
      </c>
    </row>
    <row r="33" ht="48" customHeight="1">
      <c r="B33" s="14">
        <f>'設定'!$I$22</f>
        <v/>
      </c>
      <c r="C33" s="40">
        <f t="array" ref="C33">IF('計算A'!O$4=0,"",IF(C17&lt;&gt;"","（決定）",SUMPRODUCT(('計算A'!O$60:O$104=1)*('計算A'!$C$10:$C$54=1))&amp;"人："&amp;_xlfn.TEXTJOIN("、",TRUE,IF(('計算A'!O$60:O$104=1)*('計算A'!$C$10:$C$54=1),'計算A'!$B$10:$B$54,""))))</f>
        <v/>
      </c>
      <c r="D33" s="40">
        <f t="array" ref="D33">IF('計算A'!AA$4=0,"",IF(D17&lt;&gt;"","（決定）",SUMPRODUCT(('計算A'!AA$60:AA$104=1)*('計算A'!$C$10:$C$54=1))&amp;"人："&amp;_xlfn.TEXTJOIN("、",TRUE,IF(('計算A'!AA$60:AA$104=1)*('計算A'!$C$10:$C$54=1),'計算A'!$B$10:$B$54,""))))</f>
        <v/>
      </c>
      <c r="E33" s="40">
        <f t="array" ref="E33">IF('計算A'!AM$4=0,"",IF(E17&lt;&gt;"","（決定）",SUMPRODUCT(('計算A'!AM$60:AM$104=1)*('計算A'!$C$10:$C$54=1))&amp;"人："&amp;_xlfn.TEXTJOIN("、",TRUE,IF(('計算A'!AM$60:AM$104=1)*('計算A'!$C$10:$C$54=1),'計算A'!$B$10:$B$54,""))))</f>
        <v/>
      </c>
      <c r="F33" s="40">
        <f t="array" ref="F33">IF('計算A'!AY$4=0,"",IF(F17&lt;&gt;"","（決定）",SUMPRODUCT(('計算A'!AY$60:AY$104=1)*('計算A'!$C$10:$C$54=1))&amp;"人："&amp;_xlfn.TEXTJOIN("、",TRUE,IF(('計算A'!AY$60:AY$104=1)*('計算A'!$C$10:$C$54=1),'計算A'!$B$10:$B$54,""))))</f>
        <v/>
      </c>
      <c r="G33" s="40">
        <f t="array" ref="G33">IF('計算A'!BK$4=0,"",IF(G17&lt;&gt;"","（決定）",SUMPRODUCT(('計算A'!BK$60:BK$104=1)*('計算A'!$C$10:$C$54=1))&amp;"人："&amp;_xlfn.TEXTJOIN("、",TRUE,IF(('計算A'!BK$60:BK$104=1)*('計算A'!$C$10:$C$54=1),'計算A'!$B$10:$B$54,""))))</f>
        <v/>
      </c>
      <c r="H33" s="40">
        <f t="array" ref="H33">IF('計算A'!BW$4=0,"",IF(H17&lt;&gt;"","（決定）",SUMPRODUCT(('計算A'!BW$60:BW$104=1)*('計算A'!$C$10:$C$54=1))&amp;"人："&amp;_xlfn.TEXTJOIN("、",TRUE,IF(('計算A'!BW$60:BW$104=1)*('計算A'!$C$10:$C$54=1),'計算A'!$B$10:$B$54,""))))</f>
        <v/>
      </c>
      <c r="I33" s="40">
        <f t="array" ref="I33">IF('計算A'!CI$4=0,"",IF(I17&lt;&gt;"","（決定）",SUMPRODUCT(('計算A'!CI$60:CI$104=1)*('計算A'!$C$10:$C$54=1))&amp;"人："&amp;_xlfn.TEXTJOIN("、",TRUE,IF(('計算A'!CI$60:CI$104=1)*('計算A'!$C$10:$C$54=1),'計算A'!$B$10:$B$54,""))))</f>
        <v/>
      </c>
      <c r="J33" s="40">
        <f t="array" ref="J33">IF('計算A'!CU$4=0,"",IF(J17&lt;&gt;"","（決定）",SUMPRODUCT(('計算A'!CU$60:CU$104=1)*('計算A'!$C$10:$C$54=1))&amp;"人："&amp;_xlfn.TEXTJOIN("、",TRUE,IF(('計算A'!CU$60:CU$104=1)*('計算A'!$C$10:$C$54=1),'計算A'!$B$10:$B$54,""))))</f>
        <v/>
      </c>
      <c r="K33" s="40">
        <f t="array" ref="K33">IF('計算A'!DG$4=0,"",IF(K17&lt;&gt;"","（決定）",SUMPRODUCT(('計算A'!DG$60:DG$104=1)*('計算A'!$C$10:$C$54=1))&amp;"人："&amp;_xlfn.TEXTJOIN("、",TRUE,IF(('計算A'!DG$60:DG$104=1)*('計算A'!$C$10:$C$54=1),'計算A'!$B$10:$B$54,""))))</f>
        <v/>
      </c>
      <c r="L33" s="40">
        <f t="array" ref="L33">IF('計算A'!DS$4=0,"",IF(L17&lt;&gt;"","（決定）",SUMPRODUCT(('計算A'!DS$60:DS$104=1)*('計算A'!$C$10:$C$54=1))&amp;"人："&amp;_xlfn.TEXTJOIN("、",TRUE,IF(('計算A'!DS$60:DS$104=1)*('計算A'!$C$10:$C$54=1),'計算A'!$B$10:$B$54,""))))</f>
        <v/>
      </c>
    </row>
  </sheetData>
  <mergeCells count="2">
    <mergeCell ref="N5:O5"/>
    <mergeCell ref="O11:O17"/>
  </mergeCells>
  <conditionalFormatting sqref="C6:L17">
    <cfRule type="expression" priority="1" dxfId="4" stopIfTrue="1">
      <formula>INDEX('計算A'!$D$4:$DS$4,(COLUMN(C6)-3)*12+ROW(C6)-5)=0</formula>
    </cfRule>
    <cfRule type="expression" priority="2" dxfId="5" stopIfTrue="1">
      <formula>AND(C6&lt;&gt;"",IFERROR(INDEX('計算A'!$D$10:$DS$54,MATCH(C6,'計算A'!$B$10:$B$54,0),(COLUMN(C6)-3)*12+ROW(C6)-5)=1,FALSE))</formula>
    </cfRule>
    <cfRule type="expression" priority="3" dxfId="6" stopIfTrue="1">
      <formula>AND(C6&lt;&gt;"",COUNTIF($C$6:$L$17,C6)&gt;1)</formula>
    </cfRule>
    <cfRule type="expression" priority="4" dxfId="7" stopIfTrue="1">
      <formula>AND(C6&lt;&gt;"",C6=$N$5)</formula>
    </cfRule>
    <cfRule type="expression" priority="5" dxfId="3" stopIfTrue="1">
      <formula>IF('計算A'!$B$8&gt;0,INDEX('計算A'!$D$10:$DS$54,'計算A'!$B$8,(COLUMN(C6)-3)*12+ROW(C6)-5)=1,FALSE)</formula>
    </cfRule>
    <cfRule type="expression" priority="6" dxfId="8" stopIfTrue="1">
      <formula>IF('計算A'!$B$8&gt;0,AND(C6="",INDEX('計算A'!$D$60:$DS$104,'計算A'!$B$8,(COLUMN(C6)-3)*12+ROW(C6)-5)=1),FALSE)</formula>
    </cfRule>
    <cfRule type="expression" priority="7" dxfId="2" stopIfTrue="1">
      <formula>IF('計算A'!$B$8&gt;0,AND(C6&lt;&gt;"",INDEX('計算A'!$D$60:$DS$104,'計算A'!$B$8,(COLUMN(C6)-3)*12+ROW(C6)-5)=1),FALSE)</formula>
    </cfRule>
    <cfRule type="expression" priority="8" dxfId="9" stopIfTrue="1">
      <formula>AND(C6="",INDEX('計算A'!$D$5:$DS$5,(COLUMN(C6)-3)*12+ROW(C6)-5)=1)</formula>
    </cfRule>
  </conditionalFormatting>
  <conditionalFormatting sqref="C22:L33">
    <cfRule type="expression" priority="9" dxfId="4" stopIfTrue="1">
      <formula>INDEX('計算A'!$D$4:$DS$4,(COLUMN(C22)-3)*12+ROW(C22)-21)=0</formula>
    </cfRule>
    <cfRule type="expression" priority="10" dxfId="10" stopIfTrue="1">
      <formula>LEFT(C22,2)="0人"</formula>
    </cfRule>
    <cfRule type="expression" priority="11" dxfId="11">
      <formula>LEFT(C22,2)="1人"</formula>
    </cfRule>
  </conditionalFormatting>
  <dataValidations count="1">
    <dataValidation sqref="C6:L17 N5" showDropDown="0" showInputMessage="0" showErrorMessage="1" allowBlank="1" error="名簿にある児童を選んでください。" type="list">
      <formula1>='名簿'!$E$5:$E$49</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O17"/>
  <sheetViews>
    <sheetView showGridLines="0" workbookViewId="0">
      <selection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c r="B1" s="5" t="inlineStr">
        <is>
          <t>自動案</t>
        </is>
      </c>
    </row>
    <row r="2">
      <c r="B2" s="21" t="inlineStr">
        <is>
          <t>入れられる枠が少ない家庭から順に、自動で割り当てた案です。緑が新しく入った人。よければ表（C6:L17）をコピーし、「割り当て」の同じ場所に［値の貼り付け］をします。</t>
        </is>
      </c>
    </row>
    <row r="5">
      <c r="B5" s="28" t="inlineStr"/>
      <c r="C5" s="14">
        <f>'設定'!$E$11</f>
        <v/>
      </c>
      <c r="D5" s="14">
        <f>'設定'!$E$12</f>
        <v/>
      </c>
      <c r="E5" s="14">
        <f>'設定'!$E$13</f>
        <v/>
      </c>
      <c r="F5" s="14">
        <f>'設定'!$E$14</f>
        <v/>
      </c>
      <c r="G5" s="14">
        <f>'設定'!$E$15</f>
        <v/>
      </c>
      <c r="H5" s="14">
        <f>'設定'!$E$16</f>
        <v/>
      </c>
      <c r="I5" s="14">
        <f>'設定'!$E$17</f>
        <v/>
      </c>
      <c r="J5" s="14">
        <f>'設定'!$E$18</f>
        <v/>
      </c>
      <c r="K5" s="14">
        <f>'設定'!$E$19</f>
        <v/>
      </c>
      <c r="L5" s="14">
        <f>'設定'!$E$20</f>
        <v/>
      </c>
      <c r="N5" s="37" t="inlineStr">
        <is>
          <t>割り当て済み（割り当てシート）</t>
        </is>
      </c>
      <c r="O5" s="27">
        <f>SUMPRODUCT(('割り当て'!$C$6:$L$17&lt;&gt;"")*1)&amp;" 人"</f>
        <v/>
      </c>
    </row>
    <row r="6" ht="30" customHeight="1">
      <c r="B6" s="14">
        <f>'設定'!$I$11</f>
        <v/>
      </c>
      <c r="C6" s="16">
        <f>IF('計算A'!D$4=0,"",IF('割り当て'!C6&lt;&gt;"",'割り当て'!C6,IFERROR(INDEX('名簿'!$E$5:$E$49,INDEX('計算B'!$B$3:$B$47,MATCH(1,'計算B'!$C$3:$C$47,0))),"")))</f>
        <v/>
      </c>
      <c r="D6" s="16">
        <f>IF('計算A'!P$4=0,"",IF('割り当て'!D6&lt;&gt;"",'割り当て'!D6,IFERROR(INDEX('名簿'!$E$5:$E$49,INDEX('計算B'!$B$3:$B$47,MATCH(13,'計算B'!$C$3:$C$47,0))),"")))</f>
        <v/>
      </c>
      <c r="E6" s="16">
        <f>IF('計算A'!AB$4=0,"",IF('割り当て'!E6&lt;&gt;"",'割り当て'!E6,IFERROR(INDEX('名簿'!$E$5:$E$49,INDEX('計算B'!$B$3:$B$47,MATCH(25,'計算B'!$C$3:$C$47,0))),"")))</f>
        <v/>
      </c>
      <c r="F6" s="16">
        <f>IF('計算A'!AN$4=0,"",IF('割り当て'!F6&lt;&gt;"",'割り当て'!F6,IFERROR(INDEX('名簿'!$E$5:$E$49,INDEX('計算B'!$B$3:$B$47,MATCH(37,'計算B'!$C$3:$C$47,0))),"")))</f>
        <v/>
      </c>
      <c r="G6" s="16">
        <f>IF('計算A'!AZ$4=0,"",IF('割り当て'!G6&lt;&gt;"",'割り当て'!G6,IFERROR(INDEX('名簿'!$E$5:$E$49,INDEX('計算B'!$B$3:$B$47,MATCH(49,'計算B'!$C$3:$C$47,0))),"")))</f>
        <v/>
      </c>
      <c r="H6" s="16">
        <f>IF('計算A'!BL$4=0,"",IF('割り当て'!H6&lt;&gt;"",'割り当て'!H6,IFERROR(INDEX('名簿'!$E$5:$E$49,INDEX('計算B'!$B$3:$B$47,MATCH(61,'計算B'!$C$3:$C$47,0))),"")))</f>
        <v/>
      </c>
      <c r="I6" s="16">
        <f>IF('計算A'!BX$4=0,"",IF('割り当て'!I6&lt;&gt;"",'割り当て'!I6,IFERROR(INDEX('名簿'!$E$5:$E$49,INDEX('計算B'!$B$3:$B$47,MATCH(73,'計算B'!$C$3:$C$47,0))),"")))</f>
        <v/>
      </c>
      <c r="J6" s="16">
        <f>IF('計算A'!CJ$4=0,"",IF('割り当て'!J6&lt;&gt;"",'割り当て'!J6,IFERROR(INDEX('名簿'!$E$5:$E$49,INDEX('計算B'!$B$3:$B$47,MATCH(85,'計算B'!$C$3:$C$47,0))),"")))</f>
        <v/>
      </c>
      <c r="K6" s="16">
        <f>IF('計算A'!CV$4=0,"",IF('割り当て'!K6&lt;&gt;"",'割り当て'!K6,IFERROR(INDEX('名簿'!$E$5:$E$49,INDEX('計算B'!$B$3:$B$47,MATCH(97,'計算B'!$C$3:$C$47,0))),"")))</f>
        <v/>
      </c>
      <c r="L6" s="16">
        <f>IF('計算A'!DH$4=0,"",IF('割り当て'!L6&lt;&gt;"",'割り当て'!L6,IFERROR(INDEX('名簿'!$E$5:$E$49,INDEX('計算B'!$B$3:$B$47,MATCH(109,'計算B'!$C$3:$C$47,0))),"")))</f>
        <v/>
      </c>
      <c r="N6" s="37" t="inlineStr">
        <is>
          <t>自動で新しく入った</t>
        </is>
      </c>
      <c r="O6" s="27">
        <f>SUMPRODUCT(('計算B'!$B$3:$B$47&gt;0)*('計算B'!$C$3:$C$47&gt;0))&amp;" 人"</f>
        <v/>
      </c>
    </row>
    <row r="7" ht="30" customHeight="1">
      <c r="B7" s="14">
        <f>'設定'!$I$12</f>
        <v/>
      </c>
      <c r="C7" s="16">
        <f>IF('計算A'!E$4=0,"",IF('割り当て'!C7&lt;&gt;"",'割り当て'!C7,IFERROR(INDEX('名簿'!$E$5:$E$49,INDEX('計算B'!$B$3:$B$47,MATCH(2,'計算B'!$C$3:$C$47,0))),"")))</f>
        <v/>
      </c>
      <c r="D7" s="16">
        <f>IF('計算A'!Q$4=0,"",IF('割り当て'!D7&lt;&gt;"",'割り当て'!D7,IFERROR(INDEX('名簿'!$E$5:$E$49,INDEX('計算B'!$B$3:$B$47,MATCH(14,'計算B'!$C$3:$C$47,0))),"")))</f>
        <v/>
      </c>
      <c r="E7" s="16">
        <f>IF('計算A'!AC$4=0,"",IF('割り当て'!E7&lt;&gt;"",'割り当て'!E7,IFERROR(INDEX('名簿'!$E$5:$E$49,INDEX('計算B'!$B$3:$B$47,MATCH(26,'計算B'!$C$3:$C$47,0))),"")))</f>
        <v/>
      </c>
      <c r="F7" s="16">
        <f>IF('計算A'!AO$4=0,"",IF('割り当て'!F7&lt;&gt;"",'割り当て'!F7,IFERROR(INDEX('名簿'!$E$5:$E$49,INDEX('計算B'!$B$3:$B$47,MATCH(38,'計算B'!$C$3:$C$47,0))),"")))</f>
        <v/>
      </c>
      <c r="G7" s="16">
        <f>IF('計算A'!BA$4=0,"",IF('割り当て'!G7&lt;&gt;"",'割り当て'!G7,IFERROR(INDEX('名簿'!$E$5:$E$49,INDEX('計算B'!$B$3:$B$47,MATCH(50,'計算B'!$C$3:$C$47,0))),"")))</f>
        <v/>
      </c>
      <c r="H7" s="16">
        <f>IF('計算A'!BM$4=0,"",IF('割り当て'!H7&lt;&gt;"",'割り当て'!H7,IFERROR(INDEX('名簿'!$E$5:$E$49,INDEX('計算B'!$B$3:$B$47,MATCH(62,'計算B'!$C$3:$C$47,0))),"")))</f>
        <v/>
      </c>
      <c r="I7" s="16">
        <f>IF('計算A'!BY$4=0,"",IF('割り当て'!I7&lt;&gt;"",'割り当て'!I7,IFERROR(INDEX('名簿'!$E$5:$E$49,INDEX('計算B'!$B$3:$B$47,MATCH(74,'計算B'!$C$3:$C$47,0))),"")))</f>
        <v/>
      </c>
      <c r="J7" s="16">
        <f>IF('計算A'!CK$4=0,"",IF('割り当て'!J7&lt;&gt;"",'割り当て'!J7,IFERROR(INDEX('名簿'!$E$5:$E$49,INDEX('計算B'!$B$3:$B$47,MATCH(86,'計算B'!$C$3:$C$47,0))),"")))</f>
        <v/>
      </c>
      <c r="K7" s="16">
        <f>IF('計算A'!CW$4=0,"",IF('割り当て'!K7&lt;&gt;"",'割り当て'!K7,IFERROR(INDEX('名簿'!$E$5:$E$49,INDEX('計算B'!$B$3:$B$47,MATCH(98,'計算B'!$C$3:$C$47,0))),"")))</f>
        <v/>
      </c>
      <c r="L7" s="16">
        <f>IF('計算A'!DI$4=0,"",IF('割り当て'!L7&lt;&gt;"",'割り当て'!L7,IFERROR(INDEX('名簿'!$E$5:$E$49,INDEX('計算B'!$B$3:$B$47,MATCH(110,'計算B'!$C$3:$C$47,0))),"")))</f>
        <v/>
      </c>
    </row>
    <row r="8" ht="30" customHeight="1">
      <c r="B8" s="14">
        <f>'設定'!$I$13</f>
        <v/>
      </c>
      <c r="C8" s="16">
        <f>IF('計算A'!F$4=0,"",IF('割り当て'!C8&lt;&gt;"",'割り当て'!C8,IFERROR(INDEX('名簿'!$E$5:$E$49,INDEX('計算B'!$B$3:$B$47,MATCH(3,'計算B'!$C$3:$C$47,0))),"")))</f>
        <v/>
      </c>
      <c r="D8" s="16">
        <f>IF('計算A'!R$4=0,"",IF('割り当て'!D8&lt;&gt;"",'割り当て'!D8,IFERROR(INDEX('名簿'!$E$5:$E$49,INDEX('計算B'!$B$3:$B$47,MATCH(15,'計算B'!$C$3:$C$47,0))),"")))</f>
        <v/>
      </c>
      <c r="E8" s="16">
        <f>IF('計算A'!AD$4=0,"",IF('割り当て'!E8&lt;&gt;"",'割り当て'!E8,IFERROR(INDEX('名簿'!$E$5:$E$49,INDEX('計算B'!$B$3:$B$47,MATCH(27,'計算B'!$C$3:$C$47,0))),"")))</f>
        <v/>
      </c>
      <c r="F8" s="16">
        <f>IF('計算A'!AP$4=0,"",IF('割り当て'!F8&lt;&gt;"",'割り当て'!F8,IFERROR(INDEX('名簿'!$E$5:$E$49,INDEX('計算B'!$B$3:$B$47,MATCH(39,'計算B'!$C$3:$C$47,0))),"")))</f>
        <v/>
      </c>
      <c r="G8" s="16">
        <f>IF('計算A'!BB$4=0,"",IF('割り当て'!G8&lt;&gt;"",'割り当て'!G8,IFERROR(INDEX('名簿'!$E$5:$E$49,INDEX('計算B'!$B$3:$B$47,MATCH(51,'計算B'!$C$3:$C$47,0))),"")))</f>
        <v/>
      </c>
      <c r="H8" s="16">
        <f>IF('計算A'!BN$4=0,"",IF('割り当て'!H8&lt;&gt;"",'割り当て'!H8,IFERROR(INDEX('名簿'!$E$5:$E$49,INDEX('計算B'!$B$3:$B$47,MATCH(63,'計算B'!$C$3:$C$47,0))),"")))</f>
        <v/>
      </c>
      <c r="I8" s="16">
        <f>IF('計算A'!BZ$4=0,"",IF('割り当て'!I8&lt;&gt;"",'割り当て'!I8,IFERROR(INDEX('名簿'!$E$5:$E$49,INDEX('計算B'!$B$3:$B$47,MATCH(75,'計算B'!$C$3:$C$47,0))),"")))</f>
        <v/>
      </c>
      <c r="J8" s="16">
        <f>IF('計算A'!CL$4=0,"",IF('割り当て'!J8&lt;&gt;"",'割り当て'!J8,IFERROR(INDEX('名簿'!$E$5:$E$49,INDEX('計算B'!$B$3:$B$47,MATCH(87,'計算B'!$C$3:$C$47,0))),"")))</f>
        <v/>
      </c>
      <c r="K8" s="16">
        <f>IF('計算A'!CX$4=0,"",IF('割り当て'!K8&lt;&gt;"",'割り当て'!K8,IFERROR(INDEX('名簿'!$E$5:$E$49,INDEX('計算B'!$B$3:$B$47,MATCH(99,'計算B'!$C$3:$C$47,0))),"")))</f>
        <v/>
      </c>
      <c r="L8" s="16">
        <f>IF('計算A'!DJ$4=0,"",IF('割り当て'!L8&lt;&gt;"",'割り当て'!L8,IFERROR(INDEX('名簿'!$E$5:$E$49,INDEX('計算B'!$B$3:$B$47,MATCH(111,'計算B'!$C$3:$C$47,0))),"")))</f>
        <v/>
      </c>
      <c r="N8" s="41" t="inlineStr">
        <is>
          <t>×のため入る枠がない</t>
        </is>
      </c>
      <c r="O8" s="42">
        <f t="array" ref="O8">_xlfn.TEXTJOIN("、",TRUE,IF('計算A'!$DV$10:$DV$54=1,'計算A'!$B$10:$B$54,""))</f>
        <v/>
      </c>
    </row>
    <row r="9" ht="30" customHeight="1">
      <c r="B9" s="14">
        <f>'設定'!$I$14</f>
        <v/>
      </c>
      <c r="C9" s="16">
        <f>IF('計算A'!G$4=0,"",IF('割り当て'!C9&lt;&gt;"",'割り当て'!C9,IFERROR(INDEX('名簿'!$E$5:$E$49,INDEX('計算B'!$B$3:$B$47,MATCH(4,'計算B'!$C$3:$C$47,0))),"")))</f>
        <v/>
      </c>
      <c r="D9" s="16">
        <f>IF('計算A'!S$4=0,"",IF('割り当て'!D9&lt;&gt;"",'割り当て'!D9,IFERROR(INDEX('名簿'!$E$5:$E$49,INDEX('計算B'!$B$3:$B$47,MATCH(16,'計算B'!$C$3:$C$47,0))),"")))</f>
        <v/>
      </c>
      <c r="E9" s="16">
        <f>IF('計算A'!AE$4=0,"",IF('割り当て'!E9&lt;&gt;"",'割り当て'!E9,IFERROR(INDEX('名簿'!$E$5:$E$49,INDEX('計算B'!$B$3:$B$47,MATCH(28,'計算B'!$C$3:$C$47,0))),"")))</f>
        <v/>
      </c>
      <c r="F9" s="16">
        <f>IF('計算A'!AQ$4=0,"",IF('割り当て'!F9&lt;&gt;"",'割り当て'!F9,IFERROR(INDEX('名簿'!$E$5:$E$49,INDEX('計算B'!$B$3:$B$47,MATCH(40,'計算B'!$C$3:$C$47,0))),"")))</f>
        <v/>
      </c>
      <c r="G9" s="16">
        <f>IF('計算A'!BC$4=0,"",IF('割り当て'!G9&lt;&gt;"",'割り当て'!G9,IFERROR(INDEX('名簿'!$E$5:$E$49,INDEX('計算B'!$B$3:$B$47,MATCH(52,'計算B'!$C$3:$C$47,0))),"")))</f>
        <v/>
      </c>
      <c r="H9" s="16">
        <f>IF('計算A'!BO$4=0,"",IF('割り当て'!H9&lt;&gt;"",'割り当て'!H9,IFERROR(INDEX('名簿'!$E$5:$E$49,INDEX('計算B'!$B$3:$B$47,MATCH(64,'計算B'!$C$3:$C$47,0))),"")))</f>
        <v/>
      </c>
      <c r="I9" s="16">
        <f>IF('計算A'!CA$4=0,"",IF('割り当て'!I9&lt;&gt;"",'割り当て'!I9,IFERROR(INDEX('名簿'!$E$5:$E$49,INDEX('計算B'!$B$3:$B$47,MATCH(76,'計算B'!$C$3:$C$47,0))),"")))</f>
        <v/>
      </c>
      <c r="J9" s="16">
        <f>IF('計算A'!CM$4=0,"",IF('割り当て'!J9&lt;&gt;"",'割り当て'!J9,IFERROR(INDEX('名簿'!$E$5:$E$49,INDEX('計算B'!$B$3:$B$47,MATCH(88,'計算B'!$C$3:$C$47,0))),"")))</f>
        <v/>
      </c>
      <c r="K9" s="16">
        <f>IF('計算A'!CY$4=0,"",IF('割り当て'!K9&lt;&gt;"",'割り当て'!K9,IFERROR(INDEX('名簿'!$E$5:$E$49,INDEX('計算B'!$B$3:$B$47,MATCH(100,'計算B'!$C$3:$C$47,0))),"")))</f>
        <v/>
      </c>
      <c r="L9" s="16">
        <f>IF('計算A'!DK$4=0,"",IF('割り当て'!L9&lt;&gt;"",'割り当て'!L9,IFERROR(INDEX('名簿'!$E$5:$E$49,INDEX('計算B'!$B$3:$B$47,MATCH(112,'計算B'!$C$3:$C$47,0))),"")))</f>
        <v/>
      </c>
    </row>
    <row r="10" ht="30" customHeight="1">
      <c r="B10" s="14">
        <f>'設定'!$I$15</f>
        <v/>
      </c>
      <c r="C10" s="16">
        <f>IF('計算A'!H$4=0,"",IF('割り当て'!C10&lt;&gt;"",'割り当て'!C10,IFERROR(INDEX('名簿'!$E$5:$E$49,INDEX('計算B'!$B$3:$B$47,MATCH(5,'計算B'!$C$3:$C$47,0))),"")))</f>
        <v/>
      </c>
      <c r="D10" s="16">
        <f>IF('計算A'!T$4=0,"",IF('割り当て'!D10&lt;&gt;"",'割り当て'!D10,IFERROR(INDEX('名簿'!$E$5:$E$49,INDEX('計算B'!$B$3:$B$47,MATCH(17,'計算B'!$C$3:$C$47,0))),"")))</f>
        <v/>
      </c>
      <c r="E10" s="16">
        <f>IF('計算A'!AF$4=0,"",IF('割り当て'!E10&lt;&gt;"",'割り当て'!E10,IFERROR(INDEX('名簿'!$E$5:$E$49,INDEX('計算B'!$B$3:$B$47,MATCH(29,'計算B'!$C$3:$C$47,0))),"")))</f>
        <v/>
      </c>
      <c r="F10" s="16">
        <f>IF('計算A'!AR$4=0,"",IF('割り当て'!F10&lt;&gt;"",'割り当て'!F10,IFERROR(INDEX('名簿'!$E$5:$E$49,INDEX('計算B'!$B$3:$B$47,MATCH(41,'計算B'!$C$3:$C$47,0))),"")))</f>
        <v/>
      </c>
      <c r="G10" s="16">
        <f>IF('計算A'!BD$4=0,"",IF('割り当て'!G10&lt;&gt;"",'割り当て'!G10,IFERROR(INDEX('名簿'!$E$5:$E$49,INDEX('計算B'!$B$3:$B$47,MATCH(53,'計算B'!$C$3:$C$47,0))),"")))</f>
        <v/>
      </c>
      <c r="H10" s="16">
        <f>IF('計算A'!BP$4=0,"",IF('割り当て'!H10&lt;&gt;"",'割り当て'!H10,IFERROR(INDEX('名簿'!$E$5:$E$49,INDEX('計算B'!$B$3:$B$47,MATCH(65,'計算B'!$C$3:$C$47,0))),"")))</f>
        <v/>
      </c>
      <c r="I10" s="16">
        <f>IF('計算A'!CB$4=0,"",IF('割り当て'!I10&lt;&gt;"",'割り当て'!I10,IFERROR(INDEX('名簿'!$E$5:$E$49,INDEX('計算B'!$B$3:$B$47,MATCH(77,'計算B'!$C$3:$C$47,0))),"")))</f>
        <v/>
      </c>
      <c r="J10" s="16">
        <f>IF('計算A'!CN$4=0,"",IF('割り当て'!J10&lt;&gt;"",'割り当て'!J10,IFERROR(INDEX('名簿'!$E$5:$E$49,INDEX('計算B'!$B$3:$B$47,MATCH(89,'計算B'!$C$3:$C$47,0))),"")))</f>
        <v/>
      </c>
      <c r="K10" s="16">
        <f>IF('計算A'!CZ$4=0,"",IF('割り当て'!K10&lt;&gt;"",'割り当て'!K10,IFERROR(INDEX('名簿'!$E$5:$E$49,INDEX('計算B'!$B$3:$B$47,MATCH(101,'計算B'!$C$3:$C$47,0))),"")))</f>
        <v/>
      </c>
      <c r="L10" s="16">
        <f>IF('計算A'!DL$4=0,"",IF('割り当て'!L10&lt;&gt;"",'割り当て'!L10,IFERROR(INDEX('名簿'!$E$5:$E$49,INDEX('計算B'!$B$3:$B$47,MATCH(113,'計算B'!$C$3:$C$47,0))),"")))</f>
        <v/>
      </c>
      <c r="N10" s="43" t="inlineStr">
        <is>
          <t>未入力・未提出で外した</t>
        </is>
      </c>
      <c r="O10" s="38">
        <f t="array" ref="O10">_xlfn.TEXTJOIN("、",TRUE,IF((('名簿'!$F$5:$F$49="未入力")+('名簿'!$F$5:$F$49="未提出"))*('計算A'!$DY$10:$DY$54=0),'名簿'!$E$5:$E$49,""))</f>
        <v/>
      </c>
    </row>
    <row r="11" ht="30" customHeight="1">
      <c r="B11" s="14">
        <f>'設定'!$I$16</f>
        <v/>
      </c>
      <c r="C11" s="16">
        <f>IF('計算A'!I$4=0,"",IF('割り当て'!C11&lt;&gt;"",'割り当て'!C11,IFERROR(INDEX('名簿'!$E$5:$E$49,INDEX('計算B'!$B$3:$B$47,MATCH(6,'計算B'!$C$3:$C$47,0))),"")))</f>
        <v/>
      </c>
      <c r="D11" s="16">
        <f>IF('計算A'!U$4=0,"",IF('割り当て'!D11&lt;&gt;"",'割り当て'!D11,IFERROR(INDEX('名簿'!$E$5:$E$49,INDEX('計算B'!$B$3:$B$47,MATCH(18,'計算B'!$C$3:$C$47,0))),"")))</f>
        <v/>
      </c>
      <c r="E11" s="16">
        <f>IF('計算A'!AG$4=0,"",IF('割り当て'!E11&lt;&gt;"",'割り当て'!E11,IFERROR(INDEX('名簿'!$E$5:$E$49,INDEX('計算B'!$B$3:$B$47,MATCH(30,'計算B'!$C$3:$C$47,0))),"")))</f>
        <v/>
      </c>
      <c r="F11" s="16">
        <f>IF('計算A'!AS$4=0,"",IF('割り当て'!F11&lt;&gt;"",'割り当て'!F11,IFERROR(INDEX('名簿'!$E$5:$E$49,INDEX('計算B'!$B$3:$B$47,MATCH(42,'計算B'!$C$3:$C$47,0))),"")))</f>
        <v/>
      </c>
      <c r="G11" s="16">
        <f>IF('計算A'!BE$4=0,"",IF('割り当て'!G11&lt;&gt;"",'割り当て'!G11,IFERROR(INDEX('名簿'!$E$5:$E$49,INDEX('計算B'!$B$3:$B$47,MATCH(54,'計算B'!$C$3:$C$47,0))),"")))</f>
        <v/>
      </c>
      <c r="H11" s="16">
        <f>IF('計算A'!BQ$4=0,"",IF('割り当て'!H11&lt;&gt;"",'割り当て'!H11,IFERROR(INDEX('名簿'!$E$5:$E$49,INDEX('計算B'!$B$3:$B$47,MATCH(66,'計算B'!$C$3:$C$47,0))),"")))</f>
        <v/>
      </c>
      <c r="I11" s="16">
        <f>IF('計算A'!CC$4=0,"",IF('割り当て'!I11&lt;&gt;"",'割り当て'!I11,IFERROR(INDEX('名簿'!$E$5:$E$49,INDEX('計算B'!$B$3:$B$47,MATCH(78,'計算B'!$C$3:$C$47,0))),"")))</f>
        <v/>
      </c>
      <c r="J11" s="16">
        <f>IF('計算A'!CO$4=0,"",IF('割り当て'!J11&lt;&gt;"",'割り当て'!J11,IFERROR(INDEX('名簿'!$E$5:$E$49,INDEX('計算B'!$B$3:$B$47,MATCH(90,'計算B'!$C$3:$C$47,0))),"")))</f>
        <v/>
      </c>
      <c r="K11" s="16">
        <f>IF('計算A'!DA$4=0,"",IF('割り当て'!K11&lt;&gt;"",'割り当て'!K11,IFERROR(INDEX('名簿'!$E$5:$E$49,INDEX('計算B'!$B$3:$B$47,MATCH(102,'計算B'!$C$3:$C$47,0))),"")))</f>
        <v/>
      </c>
      <c r="L11" s="16">
        <f>IF('計算A'!DM$4=0,"",IF('割り当て'!L11&lt;&gt;"",'割り当て'!L11,IFERROR(INDEX('名簿'!$E$5:$E$49,INDEX('計算B'!$B$3:$B$47,MATCH(114,'計算B'!$C$3:$C$47,0))),"")))</f>
        <v/>
      </c>
    </row>
    <row r="12" ht="30" customHeight="1">
      <c r="B12" s="14">
        <f>'設定'!$I$17</f>
        <v/>
      </c>
      <c r="C12" s="16">
        <f>IF('計算A'!J$4=0,"",IF('割り当て'!C12&lt;&gt;"",'割り当て'!C12,IFERROR(INDEX('名簿'!$E$5:$E$49,INDEX('計算B'!$B$3:$B$47,MATCH(7,'計算B'!$C$3:$C$47,0))),"")))</f>
        <v/>
      </c>
      <c r="D12" s="16">
        <f>IF('計算A'!V$4=0,"",IF('割り当て'!D12&lt;&gt;"",'割り当て'!D12,IFERROR(INDEX('名簿'!$E$5:$E$49,INDEX('計算B'!$B$3:$B$47,MATCH(19,'計算B'!$C$3:$C$47,0))),"")))</f>
        <v/>
      </c>
      <c r="E12" s="16">
        <f>IF('計算A'!AH$4=0,"",IF('割り当て'!E12&lt;&gt;"",'割り当て'!E12,IFERROR(INDEX('名簿'!$E$5:$E$49,INDEX('計算B'!$B$3:$B$47,MATCH(31,'計算B'!$C$3:$C$47,0))),"")))</f>
        <v/>
      </c>
      <c r="F12" s="16">
        <f>IF('計算A'!AT$4=0,"",IF('割り当て'!F12&lt;&gt;"",'割り当て'!F12,IFERROR(INDEX('名簿'!$E$5:$E$49,INDEX('計算B'!$B$3:$B$47,MATCH(43,'計算B'!$C$3:$C$47,0))),"")))</f>
        <v/>
      </c>
      <c r="G12" s="16">
        <f>IF('計算A'!BF$4=0,"",IF('割り当て'!G12&lt;&gt;"",'割り当て'!G12,IFERROR(INDEX('名簿'!$E$5:$E$49,INDEX('計算B'!$B$3:$B$47,MATCH(55,'計算B'!$C$3:$C$47,0))),"")))</f>
        <v/>
      </c>
      <c r="H12" s="16">
        <f>IF('計算A'!BR$4=0,"",IF('割り当て'!H12&lt;&gt;"",'割り当て'!H12,IFERROR(INDEX('名簿'!$E$5:$E$49,INDEX('計算B'!$B$3:$B$47,MATCH(67,'計算B'!$C$3:$C$47,0))),"")))</f>
        <v/>
      </c>
      <c r="I12" s="16">
        <f>IF('計算A'!CD$4=0,"",IF('割り当て'!I12&lt;&gt;"",'割り当て'!I12,IFERROR(INDEX('名簿'!$E$5:$E$49,INDEX('計算B'!$B$3:$B$47,MATCH(79,'計算B'!$C$3:$C$47,0))),"")))</f>
        <v/>
      </c>
      <c r="J12" s="16">
        <f>IF('計算A'!CP$4=0,"",IF('割り当て'!J12&lt;&gt;"",'割り当て'!J12,IFERROR(INDEX('名簿'!$E$5:$E$49,INDEX('計算B'!$B$3:$B$47,MATCH(91,'計算B'!$C$3:$C$47,0))),"")))</f>
        <v/>
      </c>
      <c r="K12" s="16">
        <f>IF('計算A'!DB$4=0,"",IF('割り当て'!K12&lt;&gt;"",'割り当て'!K12,IFERROR(INDEX('名簿'!$E$5:$E$49,INDEX('計算B'!$B$3:$B$47,MATCH(103,'計算B'!$C$3:$C$47,0))),"")))</f>
        <v/>
      </c>
      <c r="L12" s="16">
        <f>IF('計算A'!DN$4=0,"",IF('割り当て'!L12&lt;&gt;"",'割り当て'!L12,IFERROR(INDEX('名簿'!$E$5:$E$49,INDEX('計算B'!$B$3:$B$47,MATCH(115,'計算B'!$C$3:$C$47,0))),"")))</f>
        <v/>
      </c>
      <c r="N12" s="37" t="inlineStr">
        <is>
          <t>空けたい枠を使った</t>
        </is>
      </c>
      <c r="O12" s="27">
        <f>SUM('計算B'!$D$3:$D$47)&amp;" 枠"</f>
        <v/>
      </c>
    </row>
    <row r="13" ht="30" customHeight="1">
      <c r="B13" s="14">
        <f>'設定'!$I$18</f>
        <v/>
      </c>
      <c r="C13" s="16">
        <f>IF('計算A'!K$4=0,"",IF('割り当て'!C13&lt;&gt;"",'割り当て'!C13,IFERROR(INDEX('名簿'!$E$5:$E$49,INDEX('計算B'!$B$3:$B$47,MATCH(8,'計算B'!$C$3:$C$47,0))),"")))</f>
        <v/>
      </c>
      <c r="D13" s="16">
        <f>IF('計算A'!W$4=0,"",IF('割り当て'!D13&lt;&gt;"",'割り当て'!D13,IFERROR(INDEX('名簿'!$E$5:$E$49,INDEX('計算B'!$B$3:$B$47,MATCH(20,'計算B'!$C$3:$C$47,0))),"")))</f>
        <v/>
      </c>
      <c r="E13" s="16">
        <f>IF('計算A'!AI$4=0,"",IF('割り当て'!E13&lt;&gt;"",'割り当て'!E13,IFERROR(INDEX('名簿'!$E$5:$E$49,INDEX('計算B'!$B$3:$B$47,MATCH(32,'計算B'!$C$3:$C$47,0))),"")))</f>
        <v/>
      </c>
      <c r="F13" s="16">
        <f>IF('計算A'!AU$4=0,"",IF('割り当て'!F13&lt;&gt;"",'割り当て'!F13,IFERROR(INDEX('名簿'!$E$5:$E$49,INDEX('計算B'!$B$3:$B$47,MATCH(44,'計算B'!$C$3:$C$47,0))),"")))</f>
        <v/>
      </c>
      <c r="G13" s="16">
        <f>IF('計算A'!BG$4=0,"",IF('割り当て'!G13&lt;&gt;"",'割り当て'!G13,IFERROR(INDEX('名簿'!$E$5:$E$49,INDEX('計算B'!$B$3:$B$47,MATCH(56,'計算B'!$C$3:$C$47,0))),"")))</f>
        <v/>
      </c>
      <c r="H13" s="16">
        <f>IF('計算A'!BS$4=0,"",IF('割り当て'!H13&lt;&gt;"",'割り当て'!H13,IFERROR(INDEX('名簿'!$E$5:$E$49,INDEX('計算B'!$B$3:$B$47,MATCH(68,'計算B'!$C$3:$C$47,0))),"")))</f>
        <v/>
      </c>
      <c r="I13" s="16">
        <f>IF('計算A'!CE$4=0,"",IF('割り当て'!I13&lt;&gt;"",'割り当て'!I13,IFERROR(INDEX('名簿'!$E$5:$E$49,INDEX('計算B'!$B$3:$B$47,MATCH(80,'計算B'!$C$3:$C$47,0))),"")))</f>
        <v/>
      </c>
      <c r="J13" s="16">
        <f>IF('計算A'!CQ$4=0,"",IF('割り当て'!J13&lt;&gt;"",'割り当て'!J13,IFERROR(INDEX('名簿'!$E$5:$E$49,INDEX('計算B'!$B$3:$B$47,MATCH(92,'計算B'!$C$3:$C$47,0))),"")))</f>
        <v/>
      </c>
      <c r="K13" s="16">
        <f>IF('計算A'!DC$4=0,"",IF('割り当て'!K13&lt;&gt;"",'割り当て'!K13,IFERROR(INDEX('名簿'!$E$5:$E$49,INDEX('計算B'!$B$3:$B$47,MATCH(104,'計算B'!$C$3:$C$47,0))),"")))</f>
        <v/>
      </c>
      <c r="L13" s="16">
        <f>IF('計算A'!DO$4=0,"",IF('割り当て'!L13&lt;&gt;"",'割り当て'!L13,IFERROR(INDEX('名簿'!$E$5:$E$49,INDEX('計算B'!$B$3:$B$47,MATCH(116,'計算B'!$C$3:$C$47,0))),"")))</f>
        <v/>
      </c>
    </row>
    <row r="14" ht="30" customHeight="1">
      <c r="B14" s="14">
        <f>'設定'!$I$19</f>
        <v/>
      </c>
      <c r="C14" s="16">
        <f>IF('計算A'!L$4=0,"",IF('割り当て'!C14&lt;&gt;"",'割り当て'!C14,IFERROR(INDEX('名簿'!$E$5:$E$49,INDEX('計算B'!$B$3:$B$47,MATCH(9,'計算B'!$C$3:$C$47,0))),"")))</f>
        <v/>
      </c>
      <c r="D14" s="16">
        <f>IF('計算A'!X$4=0,"",IF('割り当て'!D14&lt;&gt;"",'割り当て'!D14,IFERROR(INDEX('名簿'!$E$5:$E$49,INDEX('計算B'!$B$3:$B$47,MATCH(21,'計算B'!$C$3:$C$47,0))),"")))</f>
        <v/>
      </c>
      <c r="E14" s="16">
        <f>IF('計算A'!AJ$4=0,"",IF('割り当て'!E14&lt;&gt;"",'割り当て'!E14,IFERROR(INDEX('名簿'!$E$5:$E$49,INDEX('計算B'!$B$3:$B$47,MATCH(33,'計算B'!$C$3:$C$47,0))),"")))</f>
        <v/>
      </c>
      <c r="F14" s="16">
        <f>IF('計算A'!AV$4=0,"",IF('割り当て'!F14&lt;&gt;"",'割り当て'!F14,IFERROR(INDEX('名簿'!$E$5:$E$49,INDEX('計算B'!$B$3:$B$47,MATCH(45,'計算B'!$C$3:$C$47,0))),"")))</f>
        <v/>
      </c>
      <c r="G14" s="16">
        <f>IF('計算A'!BH$4=0,"",IF('割り当て'!G14&lt;&gt;"",'割り当て'!G14,IFERROR(INDEX('名簿'!$E$5:$E$49,INDEX('計算B'!$B$3:$B$47,MATCH(57,'計算B'!$C$3:$C$47,0))),"")))</f>
        <v/>
      </c>
      <c r="H14" s="16">
        <f>IF('計算A'!BT$4=0,"",IF('割り当て'!H14&lt;&gt;"",'割り当て'!H14,IFERROR(INDEX('名簿'!$E$5:$E$49,INDEX('計算B'!$B$3:$B$47,MATCH(69,'計算B'!$C$3:$C$47,0))),"")))</f>
        <v/>
      </c>
      <c r="I14" s="16">
        <f>IF('計算A'!CF$4=0,"",IF('割り当て'!I14&lt;&gt;"",'割り当て'!I14,IFERROR(INDEX('名簿'!$E$5:$E$49,INDEX('計算B'!$B$3:$B$47,MATCH(81,'計算B'!$C$3:$C$47,0))),"")))</f>
        <v/>
      </c>
      <c r="J14" s="16">
        <f>IF('計算A'!CR$4=0,"",IF('割り当て'!J14&lt;&gt;"",'割り当て'!J14,IFERROR(INDEX('名簿'!$E$5:$E$49,INDEX('計算B'!$B$3:$B$47,MATCH(93,'計算B'!$C$3:$C$47,0))),"")))</f>
        <v/>
      </c>
      <c r="K14" s="16">
        <f>IF('計算A'!DD$4=0,"",IF('割り当て'!K14&lt;&gt;"",'割り当て'!K14,IFERROR(INDEX('名簿'!$E$5:$E$49,INDEX('計算B'!$B$3:$B$47,MATCH(105,'計算B'!$C$3:$C$47,0))),"")))</f>
        <v/>
      </c>
      <c r="L14" s="16">
        <f>IF('計算A'!DP$4=0,"",IF('割り当て'!L14&lt;&gt;"",'割り当て'!L14,IFERROR(INDEX('名簿'!$E$5:$E$49,INDEX('計算B'!$B$3:$B$47,MATCH(117,'計算B'!$C$3:$C$47,0))),"")))</f>
        <v/>
      </c>
    </row>
    <row r="15" ht="30" customHeight="1">
      <c r="B15" s="14">
        <f>'設定'!$I$20</f>
        <v/>
      </c>
      <c r="C15" s="16">
        <f>IF('計算A'!M$4=0,"",IF('割り当て'!C15&lt;&gt;"",'割り当て'!C15,IFERROR(INDEX('名簿'!$E$5:$E$49,INDEX('計算B'!$B$3:$B$47,MATCH(10,'計算B'!$C$3:$C$47,0))),"")))</f>
        <v/>
      </c>
      <c r="D15" s="16">
        <f>IF('計算A'!Y$4=0,"",IF('割り当て'!D15&lt;&gt;"",'割り当て'!D15,IFERROR(INDEX('名簿'!$E$5:$E$49,INDEX('計算B'!$B$3:$B$47,MATCH(22,'計算B'!$C$3:$C$47,0))),"")))</f>
        <v/>
      </c>
      <c r="E15" s="16">
        <f>IF('計算A'!AK$4=0,"",IF('割り当て'!E15&lt;&gt;"",'割り当て'!E15,IFERROR(INDEX('名簿'!$E$5:$E$49,INDEX('計算B'!$B$3:$B$47,MATCH(34,'計算B'!$C$3:$C$47,0))),"")))</f>
        <v/>
      </c>
      <c r="F15" s="16">
        <f>IF('計算A'!AW$4=0,"",IF('割り当て'!F15&lt;&gt;"",'割り当て'!F15,IFERROR(INDEX('名簿'!$E$5:$E$49,INDEX('計算B'!$B$3:$B$47,MATCH(46,'計算B'!$C$3:$C$47,0))),"")))</f>
        <v/>
      </c>
      <c r="G15" s="16">
        <f>IF('計算A'!BI$4=0,"",IF('割り当て'!G15&lt;&gt;"",'割り当て'!G15,IFERROR(INDEX('名簿'!$E$5:$E$49,INDEX('計算B'!$B$3:$B$47,MATCH(58,'計算B'!$C$3:$C$47,0))),"")))</f>
        <v/>
      </c>
      <c r="H15" s="16">
        <f>IF('計算A'!BU$4=0,"",IF('割り当て'!H15&lt;&gt;"",'割り当て'!H15,IFERROR(INDEX('名簿'!$E$5:$E$49,INDEX('計算B'!$B$3:$B$47,MATCH(70,'計算B'!$C$3:$C$47,0))),"")))</f>
        <v/>
      </c>
      <c r="I15" s="16">
        <f>IF('計算A'!CG$4=0,"",IF('割り当て'!I15&lt;&gt;"",'割り当て'!I15,IFERROR(INDEX('名簿'!$E$5:$E$49,INDEX('計算B'!$B$3:$B$47,MATCH(82,'計算B'!$C$3:$C$47,0))),"")))</f>
        <v/>
      </c>
      <c r="J15" s="16">
        <f>IF('計算A'!CS$4=0,"",IF('割り当て'!J15&lt;&gt;"",'割り当て'!J15,IFERROR(INDEX('名簿'!$E$5:$E$49,INDEX('計算B'!$B$3:$B$47,MATCH(94,'計算B'!$C$3:$C$47,0))),"")))</f>
        <v/>
      </c>
      <c r="K15" s="16">
        <f>IF('計算A'!DE$4=0,"",IF('割り当て'!K15&lt;&gt;"",'割り当て'!K15,IFERROR(INDEX('名簿'!$E$5:$E$49,INDEX('計算B'!$B$3:$B$47,MATCH(106,'計算B'!$C$3:$C$47,0))),"")))</f>
        <v/>
      </c>
      <c r="L15" s="16">
        <f>IF('計算A'!DQ$4=0,"",IF('割り当て'!L15&lt;&gt;"",'割り当て'!L15,IFERROR(INDEX('名簿'!$E$5:$E$49,INDEX('計算B'!$B$3:$B$47,MATCH(118,'計算B'!$C$3:$C$47,0))),"")))</f>
        <v/>
      </c>
    </row>
    <row r="16" ht="30" customHeight="1">
      <c r="B16" s="14">
        <f>'設定'!$I$21</f>
        <v/>
      </c>
      <c r="C16" s="16">
        <f>IF('計算A'!N$4=0,"",IF('割り当て'!C16&lt;&gt;"",'割り当て'!C16,IFERROR(INDEX('名簿'!$E$5:$E$49,INDEX('計算B'!$B$3:$B$47,MATCH(11,'計算B'!$C$3:$C$47,0))),"")))</f>
        <v/>
      </c>
      <c r="D16" s="16">
        <f>IF('計算A'!Z$4=0,"",IF('割り当て'!D16&lt;&gt;"",'割り当て'!D16,IFERROR(INDEX('名簿'!$E$5:$E$49,INDEX('計算B'!$B$3:$B$47,MATCH(23,'計算B'!$C$3:$C$47,0))),"")))</f>
        <v/>
      </c>
      <c r="E16" s="16">
        <f>IF('計算A'!AL$4=0,"",IF('割り当て'!E16&lt;&gt;"",'割り当て'!E16,IFERROR(INDEX('名簿'!$E$5:$E$49,INDEX('計算B'!$B$3:$B$47,MATCH(35,'計算B'!$C$3:$C$47,0))),"")))</f>
        <v/>
      </c>
      <c r="F16" s="16">
        <f>IF('計算A'!AX$4=0,"",IF('割り当て'!F16&lt;&gt;"",'割り当て'!F16,IFERROR(INDEX('名簿'!$E$5:$E$49,INDEX('計算B'!$B$3:$B$47,MATCH(47,'計算B'!$C$3:$C$47,0))),"")))</f>
        <v/>
      </c>
      <c r="G16" s="16">
        <f>IF('計算A'!BJ$4=0,"",IF('割り当て'!G16&lt;&gt;"",'割り当て'!G16,IFERROR(INDEX('名簿'!$E$5:$E$49,INDEX('計算B'!$B$3:$B$47,MATCH(59,'計算B'!$C$3:$C$47,0))),"")))</f>
        <v/>
      </c>
      <c r="H16" s="16">
        <f>IF('計算A'!BV$4=0,"",IF('割り当て'!H16&lt;&gt;"",'割り当て'!H16,IFERROR(INDEX('名簿'!$E$5:$E$49,INDEX('計算B'!$B$3:$B$47,MATCH(71,'計算B'!$C$3:$C$47,0))),"")))</f>
        <v/>
      </c>
      <c r="I16" s="16">
        <f>IF('計算A'!CH$4=0,"",IF('割り当て'!I16&lt;&gt;"",'割り当て'!I16,IFERROR(INDEX('名簿'!$E$5:$E$49,INDEX('計算B'!$B$3:$B$47,MATCH(83,'計算B'!$C$3:$C$47,0))),"")))</f>
        <v/>
      </c>
      <c r="J16" s="16">
        <f>IF('計算A'!CT$4=0,"",IF('割り当て'!J16&lt;&gt;"",'割り当て'!J16,IFERROR(INDEX('名簿'!$E$5:$E$49,INDEX('計算B'!$B$3:$B$47,MATCH(95,'計算B'!$C$3:$C$47,0))),"")))</f>
        <v/>
      </c>
      <c r="K16" s="16">
        <f>IF('計算A'!DF$4=0,"",IF('割り当て'!K16&lt;&gt;"",'割り当て'!K16,IFERROR(INDEX('名簿'!$E$5:$E$49,INDEX('計算B'!$B$3:$B$47,MATCH(107,'計算B'!$C$3:$C$47,0))),"")))</f>
        <v/>
      </c>
      <c r="L16" s="16">
        <f>IF('計算A'!DR$4=0,"",IF('割り当て'!L16&lt;&gt;"",'割り当て'!L16,IFERROR(INDEX('名簿'!$E$5:$E$49,INDEX('計算B'!$B$3:$B$47,MATCH(119,'計算B'!$C$3:$C$47,0))),"")))</f>
        <v/>
      </c>
    </row>
    <row r="17" ht="30" customHeight="1">
      <c r="B17" s="14">
        <f>'設定'!$I$22</f>
        <v/>
      </c>
      <c r="C17" s="16">
        <f>IF('計算A'!O$4=0,"",IF('割り当て'!C17&lt;&gt;"",'割り当て'!C17,IFERROR(INDEX('名簿'!$E$5:$E$49,INDEX('計算B'!$B$3:$B$47,MATCH(12,'計算B'!$C$3:$C$47,0))),"")))</f>
        <v/>
      </c>
      <c r="D17" s="16">
        <f>IF('計算A'!AA$4=0,"",IF('割り当て'!D17&lt;&gt;"",'割り当て'!D17,IFERROR(INDEX('名簿'!$E$5:$E$49,INDEX('計算B'!$B$3:$B$47,MATCH(24,'計算B'!$C$3:$C$47,0))),"")))</f>
        <v/>
      </c>
      <c r="E17" s="16">
        <f>IF('計算A'!AM$4=0,"",IF('割り当て'!E17&lt;&gt;"",'割り当て'!E17,IFERROR(INDEX('名簿'!$E$5:$E$49,INDEX('計算B'!$B$3:$B$47,MATCH(36,'計算B'!$C$3:$C$47,0))),"")))</f>
        <v/>
      </c>
      <c r="F17" s="16">
        <f>IF('計算A'!AY$4=0,"",IF('割り当て'!F17&lt;&gt;"",'割り当て'!F17,IFERROR(INDEX('名簿'!$E$5:$E$49,INDEX('計算B'!$B$3:$B$47,MATCH(48,'計算B'!$C$3:$C$47,0))),"")))</f>
        <v/>
      </c>
      <c r="G17" s="16">
        <f>IF('計算A'!BK$4=0,"",IF('割り当て'!G17&lt;&gt;"",'割り当て'!G17,IFERROR(INDEX('名簿'!$E$5:$E$49,INDEX('計算B'!$B$3:$B$47,MATCH(60,'計算B'!$C$3:$C$47,0))),"")))</f>
        <v/>
      </c>
      <c r="H17" s="16">
        <f>IF('計算A'!BW$4=0,"",IF('割り当て'!H17&lt;&gt;"",'割り当て'!H17,IFERROR(INDEX('名簿'!$E$5:$E$49,INDEX('計算B'!$B$3:$B$47,MATCH(72,'計算B'!$C$3:$C$47,0))),"")))</f>
        <v/>
      </c>
      <c r="I17" s="16">
        <f>IF('計算A'!CI$4=0,"",IF('割り当て'!I17&lt;&gt;"",'割り当て'!I17,IFERROR(INDEX('名簿'!$E$5:$E$49,INDEX('計算B'!$B$3:$B$47,MATCH(84,'計算B'!$C$3:$C$47,0))),"")))</f>
        <v/>
      </c>
      <c r="J17" s="16">
        <f>IF('計算A'!CU$4=0,"",IF('割り当て'!J17&lt;&gt;"",'割り当て'!J17,IFERROR(INDEX('名簿'!$E$5:$E$49,INDEX('計算B'!$B$3:$B$47,MATCH(96,'計算B'!$C$3:$C$47,0))),"")))</f>
        <v/>
      </c>
      <c r="K17" s="16">
        <f>IF('計算A'!DG$4=0,"",IF('割り当て'!K17&lt;&gt;"",'割り当て'!K17,IFERROR(INDEX('名簿'!$E$5:$E$49,INDEX('計算B'!$B$3:$B$47,MATCH(108,'計算B'!$C$3:$C$47,0))),"")))</f>
        <v/>
      </c>
      <c r="L17" s="16">
        <f>IF('計算A'!DS$4=0,"",IF('割り当て'!L17&lt;&gt;"",'割り当て'!L17,IFERROR(INDEX('名簿'!$E$5:$E$49,INDEX('計算B'!$B$3:$B$47,MATCH(120,'計算B'!$C$3:$C$47,0))),"")))</f>
        <v/>
      </c>
    </row>
  </sheetData>
  <mergeCells count="2">
    <mergeCell ref="O8:O9"/>
    <mergeCell ref="O10:O11"/>
  </mergeCells>
  <conditionalFormatting sqref="C6:L17">
    <cfRule type="expression" priority="1" dxfId="4" stopIfTrue="1">
      <formula>INDEX('計算A'!$D$4:$DS$4,(COLUMN(C6)-3)*12+ROW(C6)-5)=0</formula>
    </cfRule>
    <cfRule type="expression" priority="2" dxfId="12">
      <formula>AND(C6&lt;&gt;"",'割り当て'!C6="")</formula>
    </cfRule>
    <cfRule type="expression" priority="3" dxfId="9">
      <formula>AND(C6="",INDEX('計算A'!$D$5:$DS$5,(COLUMN(C6)-3)*12+ROW(C6)-5)=1)</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Y104"/>
  <sheetViews>
    <sheetView showGridLines="0" workbookViewId="0">
      <selection activeCell="A1" sqref="A1"/>
    </sheetView>
  </sheetViews>
  <sheetFormatPr baseColWidth="8" defaultRowHeight="15"/>
  <sheetData>
    <row r="1">
      <c r="A1" s="41" t="inlineStr">
        <is>
          <t>計算用（さわらないでください）</t>
        </is>
      </c>
      <c r="C1" s="6"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row>
    <row r="2">
      <c r="C2" s="6" t="inlineStr">
        <is>
          <t>日</t>
        </is>
      </c>
      <c r="D2" t="n">
        <v>1</v>
      </c>
      <c r="E2" t="n">
        <v>1</v>
      </c>
      <c r="F2" t="n">
        <v>1</v>
      </c>
      <c r="G2" t="n">
        <v>1</v>
      </c>
      <c r="H2" t="n">
        <v>1</v>
      </c>
      <c r="I2" t="n">
        <v>1</v>
      </c>
      <c r="J2" t="n">
        <v>1</v>
      </c>
      <c r="K2" t="n">
        <v>1</v>
      </c>
      <c r="L2" t="n">
        <v>1</v>
      </c>
      <c r="M2" t="n">
        <v>1</v>
      </c>
      <c r="N2" t="n">
        <v>1</v>
      </c>
      <c r="O2" t="n">
        <v>1</v>
      </c>
      <c r="P2" t="n">
        <v>2</v>
      </c>
      <c r="Q2" t="n">
        <v>2</v>
      </c>
      <c r="R2" t="n">
        <v>2</v>
      </c>
      <c r="S2" t="n">
        <v>2</v>
      </c>
      <c r="T2" t="n">
        <v>2</v>
      </c>
      <c r="U2" t="n">
        <v>2</v>
      </c>
      <c r="V2" t="n">
        <v>2</v>
      </c>
      <c r="W2" t="n">
        <v>2</v>
      </c>
      <c r="X2" t="n">
        <v>2</v>
      </c>
      <c r="Y2" t="n">
        <v>2</v>
      </c>
      <c r="Z2" t="n">
        <v>2</v>
      </c>
      <c r="AA2" t="n">
        <v>2</v>
      </c>
      <c r="AB2" t="n">
        <v>3</v>
      </c>
      <c r="AC2" t="n">
        <v>3</v>
      </c>
      <c r="AD2" t="n">
        <v>3</v>
      </c>
      <c r="AE2" t="n">
        <v>3</v>
      </c>
      <c r="AF2" t="n">
        <v>3</v>
      </c>
      <c r="AG2" t="n">
        <v>3</v>
      </c>
      <c r="AH2" t="n">
        <v>3</v>
      </c>
      <c r="AI2" t="n">
        <v>3</v>
      </c>
      <c r="AJ2" t="n">
        <v>3</v>
      </c>
      <c r="AK2" t="n">
        <v>3</v>
      </c>
      <c r="AL2" t="n">
        <v>3</v>
      </c>
      <c r="AM2" t="n">
        <v>3</v>
      </c>
      <c r="AN2" t="n">
        <v>4</v>
      </c>
      <c r="AO2" t="n">
        <v>4</v>
      </c>
      <c r="AP2" t="n">
        <v>4</v>
      </c>
      <c r="AQ2" t="n">
        <v>4</v>
      </c>
      <c r="AR2" t="n">
        <v>4</v>
      </c>
      <c r="AS2" t="n">
        <v>4</v>
      </c>
      <c r="AT2" t="n">
        <v>4</v>
      </c>
      <c r="AU2" t="n">
        <v>4</v>
      </c>
      <c r="AV2" t="n">
        <v>4</v>
      </c>
      <c r="AW2" t="n">
        <v>4</v>
      </c>
      <c r="AX2" t="n">
        <v>4</v>
      </c>
      <c r="AY2" t="n">
        <v>4</v>
      </c>
      <c r="AZ2" t="n">
        <v>5</v>
      </c>
      <c r="BA2" t="n">
        <v>5</v>
      </c>
      <c r="BB2" t="n">
        <v>5</v>
      </c>
      <c r="BC2" t="n">
        <v>5</v>
      </c>
      <c r="BD2" t="n">
        <v>5</v>
      </c>
      <c r="BE2" t="n">
        <v>5</v>
      </c>
      <c r="BF2" t="n">
        <v>5</v>
      </c>
      <c r="BG2" t="n">
        <v>5</v>
      </c>
      <c r="BH2" t="n">
        <v>5</v>
      </c>
      <c r="BI2" t="n">
        <v>5</v>
      </c>
      <c r="BJ2" t="n">
        <v>5</v>
      </c>
      <c r="BK2" t="n">
        <v>5</v>
      </c>
      <c r="BL2" t="n">
        <v>6</v>
      </c>
      <c r="BM2" t="n">
        <v>6</v>
      </c>
      <c r="BN2" t="n">
        <v>6</v>
      </c>
      <c r="BO2" t="n">
        <v>6</v>
      </c>
      <c r="BP2" t="n">
        <v>6</v>
      </c>
      <c r="BQ2" t="n">
        <v>6</v>
      </c>
      <c r="BR2" t="n">
        <v>6</v>
      </c>
      <c r="BS2" t="n">
        <v>6</v>
      </c>
      <c r="BT2" t="n">
        <v>6</v>
      </c>
      <c r="BU2" t="n">
        <v>6</v>
      </c>
      <c r="BV2" t="n">
        <v>6</v>
      </c>
      <c r="BW2" t="n">
        <v>6</v>
      </c>
      <c r="BX2" t="n">
        <v>7</v>
      </c>
      <c r="BY2" t="n">
        <v>7</v>
      </c>
      <c r="BZ2" t="n">
        <v>7</v>
      </c>
      <c r="CA2" t="n">
        <v>7</v>
      </c>
      <c r="CB2" t="n">
        <v>7</v>
      </c>
      <c r="CC2" t="n">
        <v>7</v>
      </c>
      <c r="CD2" t="n">
        <v>7</v>
      </c>
      <c r="CE2" t="n">
        <v>7</v>
      </c>
      <c r="CF2" t="n">
        <v>7</v>
      </c>
      <c r="CG2" t="n">
        <v>7</v>
      </c>
      <c r="CH2" t="n">
        <v>7</v>
      </c>
      <c r="CI2" t="n">
        <v>7</v>
      </c>
      <c r="CJ2" t="n">
        <v>8</v>
      </c>
      <c r="CK2" t="n">
        <v>8</v>
      </c>
      <c r="CL2" t="n">
        <v>8</v>
      </c>
      <c r="CM2" t="n">
        <v>8</v>
      </c>
      <c r="CN2" t="n">
        <v>8</v>
      </c>
      <c r="CO2" t="n">
        <v>8</v>
      </c>
      <c r="CP2" t="n">
        <v>8</v>
      </c>
      <c r="CQ2" t="n">
        <v>8</v>
      </c>
      <c r="CR2" t="n">
        <v>8</v>
      </c>
      <c r="CS2" t="n">
        <v>8</v>
      </c>
      <c r="CT2" t="n">
        <v>8</v>
      </c>
      <c r="CU2" t="n">
        <v>8</v>
      </c>
      <c r="CV2" t="n">
        <v>9</v>
      </c>
      <c r="CW2" t="n">
        <v>9</v>
      </c>
      <c r="CX2" t="n">
        <v>9</v>
      </c>
      <c r="CY2" t="n">
        <v>9</v>
      </c>
      <c r="CZ2" t="n">
        <v>9</v>
      </c>
      <c r="DA2" t="n">
        <v>9</v>
      </c>
      <c r="DB2" t="n">
        <v>9</v>
      </c>
      <c r="DC2" t="n">
        <v>9</v>
      </c>
      <c r="DD2" t="n">
        <v>9</v>
      </c>
      <c r="DE2" t="n">
        <v>9</v>
      </c>
      <c r="DF2" t="n">
        <v>9</v>
      </c>
      <c r="DG2" t="n">
        <v>9</v>
      </c>
      <c r="DH2" t="n">
        <v>10</v>
      </c>
      <c r="DI2" t="n">
        <v>10</v>
      </c>
      <c r="DJ2" t="n">
        <v>10</v>
      </c>
      <c r="DK2" t="n">
        <v>10</v>
      </c>
      <c r="DL2" t="n">
        <v>10</v>
      </c>
      <c r="DM2" t="n">
        <v>10</v>
      </c>
      <c r="DN2" t="n">
        <v>10</v>
      </c>
      <c r="DO2" t="n">
        <v>10</v>
      </c>
      <c r="DP2" t="n">
        <v>10</v>
      </c>
      <c r="DQ2" t="n">
        <v>10</v>
      </c>
      <c r="DR2" t="n">
        <v>10</v>
      </c>
      <c r="DS2" t="n">
        <v>10</v>
      </c>
    </row>
    <row r="3">
      <c r="C3" s="6" t="inlineStr">
        <is>
          <t>時</t>
        </is>
      </c>
      <c r="D3" t="n">
        <v>1</v>
      </c>
      <c r="E3" t="n">
        <v>2</v>
      </c>
      <c r="F3" t="n">
        <v>3</v>
      </c>
      <c r="G3" t="n">
        <v>4</v>
      </c>
      <c r="H3" t="n">
        <v>5</v>
      </c>
      <c r="I3" t="n">
        <v>6</v>
      </c>
      <c r="J3" t="n">
        <v>7</v>
      </c>
      <c r="K3" t="n">
        <v>8</v>
      </c>
      <c r="L3" t="n">
        <v>9</v>
      </c>
      <c r="M3" t="n">
        <v>10</v>
      </c>
      <c r="N3" t="n">
        <v>11</v>
      </c>
      <c r="O3" t="n">
        <v>12</v>
      </c>
      <c r="P3" t="n">
        <v>1</v>
      </c>
      <c r="Q3" t="n">
        <v>2</v>
      </c>
      <c r="R3" t="n">
        <v>3</v>
      </c>
      <c r="S3" t="n">
        <v>4</v>
      </c>
      <c r="T3" t="n">
        <v>5</v>
      </c>
      <c r="U3" t="n">
        <v>6</v>
      </c>
      <c r="V3" t="n">
        <v>7</v>
      </c>
      <c r="W3" t="n">
        <v>8</v>
      </c>
      <c r="X3" t="n">
        <v>9</v>
      </c>
      <c r="Y3" t="n">
        <v>10</v>
      </c>
      <c r="Z3" t="n">
        <v>11</v>
      </c>
      <c r="AA3" t="n">
        <v>12</v>
      </c>
      <c r="AB3" t="n">
        <v>1</v>
      </c>
      <c r="AC3" t="n">
        <v>2</v>
      </c>
      <c r="AD3" t="n">
        <v>3</v>
      </c>
      <c r="AE3" t="n">
        <v>4</v>
      </c>
      <c r="AF3" t="n">
        <v>5</v>
      </c>
      <c r="AG3" t="n">
        <v>6</v>
      </c>
      <c r="AH3" t="n">
        <v>7</v>
      </c>
      <c r="AI3" t="n">
        <v>8</v>
      </c>
      <c r="AJ3" t="n">
        <v>9</v>
      </c>
      <c r="AK3" t="n">
        <v>10</v>
      </c>
      <c r="AL3" t="n">
        <v>11</v>
      </c>
      <c r="AM3" t="n">
        <v>12</v>
      </c>
      <c r="AN3" t="n">
        <v>1</v>
      </c>
      <c r="AO3" t="n">
        <v>2</v>
      </c>
      <c r="AP3" t="n">
        <v>3</v>
      </c>
      <c r="AQ3" t="n">
        <v>4</v>
      </c>
      <c r="AR3" t="n">
        <v>5</v>
      </c>
      <c r="AS3" t="n">
        <v>6</v>
      </c>
      <c r="AT3" t="n">
        <v>7</v>
      </c>
      <c r="AU3" t="n">
        <v>8</v>
      </c>
      <c r="AV3" t="n">
        <v>9</v>
      </c>
      <c r="AW3" t="n">
        <v>10</v>
      </c>
      <c r="AX3" t="n">
        <v>11</v>
      </c>
      <c r="AY3" t="n">
        <v>12</v>
      </c>
      <c r="AZ3" t="n">
        <v>1</v>
      </c>
      <c r="BA3" t="n">
        <v>2</v>
      </c>
      <c r="BB3" t="n">
        <v>3</v>
      </c>
      <c r="BC3" t="n">
        <v>4</v>
      </c>
      <c r="BD3" t="n">
        <v>5</v>
      </c>
      <c r="BE3" t="n">
        <v>6</v>
      </c>
      <c r="BF3" t="n">
        <v>7</v>
      </c>
      <c r="BG3" t="n">
        <v>8</v>
      </c>
      <c r="BH3" t="n">
        <v>9</v>
      </c>
      <c r="BI3" t="n">
        <v>10</v>
      </c>
      <c r="BJ3" t="n">
        <v>11</v>
      </c>
      <c r="BK3" t="n">
        <v>12</v>
      </c>
      <c r="BL3" t="n">
        <v>1</v>
      </c>
      <c r="BM3" t="n">
        <v>2</v>
      </c>
      <c r="BN3" t="n">
        <v>3</v>
      </c>
      <c r="BO3" t="n">
        <v>4</v>
      </c>
      <c r="BP3" t="n">
        <v>5</v>
      </c>
      <c r="BQ3" t="n">
        <v>6</v>
      </c>
      <c r="BR3" t="n">
        <v>7</v>
      </c>
      <c r="BS3" t="n">
        <v>8</v>
      </c>
      <c r="BT3" t="n">
        <v>9</v>
      </c>
      <c r="BU3" t="n">
        <v>10</v>
      </c>
      <c r="BV3" t="n">
        <v>11</v>
      </c>
      <c r="BW3" t="n">
        <v>12</v>
      </c>
      <c r="BX3" t="n">
        <v>1</v>
      </c>
      <c r="BY3" t="n">
        <v>2</v>
      </c>
      <c r="BZ3" t="n">
        <v>3</v>
      </c>
      <c r="CA3" t="n">
        <v>4</v>
      </c>
      <c r="CB3" t="n">
        <v>5</v>
      </c>
      <c r="CC3" t="n">
        <v>6</v>
      </c>
      <c r="CD3" t="n">
        <v>7</v>
      </c>
      <c r="CE3" t="n">
        <v>8</v>
      </c>
      <c r="CF3" t="n">
        <v>9</v>
      </c>
      <c r="CG3" t="n">
        <v>10</v>
      </c>
      <c r="CH3" t="n">
        <v>11</v>
      </c>
      <c r="CI3" t="n">
        <v>12</v>
      </c>
      <c r="CJ3" t="n">
        <v>1</v>
      </c>
      <c r="CK3" t="n">
        <v>2</v>
      </c>
      <c r="CL3" t="n">
        <v>3</v>
      </c>
      <c r="CM3" t="n">
        <v>4</v>
      </c>
      <c r="CN3" t="n">
        <v>5</v>
      </c>
      <c r="CO3" t="n">
        <v>6</v>
      </c>
      <c r="CP3" t="n">
        <v>7</v>
      </c>
      <c r="CQ3" t="n">
        <v>8</v>
      </c>
      <c r="CR3" t="n">
        <v>9</v>
      </c>
      <c r="CS3" t="n">
        <v>10</v>
      </c>
      <c r="CT3" t="n">
        <v>11</v>
      </c>
      <c r="CU3" t="n">
        <v>12</v>
      </c>
      <c r="CV3" t="n">
        <v>1</v>
      </c>
      <c r="CW3" t="n">
        <v>2</v>
      </c>
      <c r="CX3" t="n">
        <v>3</v>
      </c>
      <c r="CY3" t="n">
        <v>4</v>
      </c>
      <c r="CZ3" t="n">
        <v>5</v>
      </c>
      <c r="DA3" t="n">
        <v>6</v>
      </c>
      <c r="DB3" t="n">
        <v>7</v>
      </c>
      <c r="DC3" t="n">
        <v>8</v>
      </c>
      <c r="DD3" t="n">
        <v>9</v>
      </c>
      <c r="DE3" t="n">
        <v>10</v>
      </c>
      <c r="DF3" t="n">
        <v>11</v>
      </c>
      <c r="DG3" t="n">
        <v>12</v>
      </c>
      <c r="DH3" t="n">
        <v>1</v>
      </c>
      <c r="DI3" t="n">
        <v>2</v>
      </c>
      <c r="DJ3" t="n">
        <v>3</v>
      </c>
      <c r="DK3" t="n">
        <v>4</v>
      </c>
      <c r="DL3" t="n">
        <v>5</v>
      </c>
      <c r="DM3" t="n">
        <v>6</v>
      </c>
      <c r="DN3" t="n">
        <v>7</v>
      </c>
      <c r="DO3" t="n">
        <v>8</v>
      </c>
      <c r="DP3" t="n">
        <v>9</v>
      </c>
      <c r="DQ3" t="n">
        <v>10</v>
      </c>
      <c r="DR3" t="n">
        <v>11</v>
      </c>
      <c r="DS3" t="n">
        <v>12</v>
      </c>
    </row>
    <row r="4">
      <c r="C4" s="6" t="inlineStr">
        <is>
          <t>使える</t>
        </is>
      </c>
      <c r="D4">
        <f>IF(AND(INDEX('設定'!$B$11:$B$20,D2)&lt;&gt;"",D3&lt;='設定'!$B$6),1,0)</f>
        <v/>
      </c>
      <c r="E4">
        <f>IF(AND(INDEX('設定'!$B$11:$B$20,E2)&lt;&gt;"",E3&lt;='設定'!$B$6),1,0)</f>
        <v/>
      </c>
      <c r="F4">
        <f>IF(AND(INDEX('設定'!$B$11:$B$20,F2)&lt;&gt;"",F3&lt;='設定'!$B$6),1,0)</f>
        <v/>
      </c>
      <c r="G4">
        <f>IF(AND(INDEX('設定'!$B$11:$B$20,G2)&lt;&gt;"",G3&lt;='設定'!$B$6),1,0)</f>
        <v/>
      </c>
      <c r="H4">
        <f>IF(AND(INDEX('設定'!$B$11:$B$20,H2)&lt;&gt;"",H3&lt;='設定'!$B$6),1,0)</f>
        <v/>
      </c>
      <c r="I4">
        <f>IF(AND(INDEX('設定'!$B$11:$B$20,I2)&lt;&gt;"",I3&lt;='設定'!$B$6),1,0)</f>
        <v/>
      </c>
      <c r="J4">
        <f>IF(AND(INDEX('設定'!$B$11:$B$20,J2)&lt;&gt;"",J3&lt;='設定'!$B$6),1,0)</f>
        <v/>
      </c>
      <c r="K4">
        <f>IF(AND(INDEX('設定'!$B$11:$B$20,K2)&lt;&gt;"",K3&lt;='設定'!$B$6),1,0)</f>
        <v/>
      </c>
      <c r="L4">
        <f>IF(AND(INDEX('設定'!$B$11:$B$20,L2)&lt;&gt;"",L3&lt;='設定'!$B$6),1,0)</f>
        <v/>
      </c>
      <c r="M4">
        <f>IF(AND(INDEX('設定'!$B$11:$B$20,M2)&lt;&gt;"",M3&lt;='設定'!$B$6),1,0)</f>
        <v/>
      </c>
      <c r="N4">
        <f>IF(AND(INDEX('設定'!$B$11:$B$20,N2)&lt;&gt;"",N3&lt;='設定'!$B$6),1,0)</f>
        <v/>
      </c>
      <c r="O4">
        <f>IF(AND(INDEX('設定'!$B$11:$B$20,O2)&lt;&gt;"",O3&lt;='設定'!$B$6),1,0)</f>
        <v/>
      </c>
      <c r="P4">
        <f>IF(AND(INDEX('設定'!$B$11:$B$20,P2)&lt;&gt;"",P3&lt;='設定'!$B$6),1,0)</f>
        <v/>
      </c>
      <c r="Q4">
        <f>IF(AND(INDEX('設定'!$B$11:$B$20,Q2)&lt;&gt;"",Q3&lt;='設定'!$B$6),1,0)</f>
        <v/>
      </c>
      <c r="R4">
        <f>IF(AND(INDEX('設定'!$B$11:$B$20,R2)&lt;&gt;"",R3&lt;='設定'!$B$6),1,0)</f>
        <v/>
      </c>
      <c r="S4">
        <f>IF(AND(INDEX('設定'!$B$11:$B$20,S2)&lt;&gt;"",S3&lt;='設定'!$B$6),1,0)</f>
        <v/>
      </c>
      <c r="T4">
        <f>IF(AND(INDEX('設定'!$B$11:$B$20,T2)&lt;&gt;"",T3&lt;='設定'!$B$6),1,0)</f>
        <v/>
      </c>
      <c r="U4">
        <f>IF(AND(INDEX('設定'!$B$11:$B$20,U2)&lt;&gt;"",U3&lt;='設定'!$B$6),1,0)</f>
        <v/>
      </c>
      <c r="V4">
        <f>IF(AND(INDEX('設定'!$B$11:$B$20,V2)&lt;&gt;"",V3&lt;='設定'!$B$6),1,0)</f>
        <v/>
      </c>
      <c r="W4">
        <f>IF(AND(INDEX('設定'!$B$11:$B$20,W2)&lt;&gt;"",W3&lt;='設定'!$B$6),1,0)</f>
        <v/>
      </c>
      <c r="X4">
        <f>IF(AND(INDEX('設定'!$B$11:$B$20,X2)&lt;&gt;"",X3&lt;='設定'!$B$6),1,0)</f>
        <v/>
      </c>
      <c r="Y4">
        <f>IF(AND(INDEX('設定'!$B$11:$B$20,Y2)&lt;&gt;"",Y3&lt;='設定'!$B$6),1,0)</f>
        <v/>
      </c>
      <c r="Z4">
        <f>IF(AND(INDEX('設定'!$B$11:$B$20,Z2)&lt;&gt;"",Z3&lt;='設定'!$B$6),1,0)</f>
        <v/>
      </c>
      <c r="AA4">
        <f>IF(AND(INDEX('設定'!$B$11:$B$20,AA2)&lt;&gt;"",AA3&lt;='設定'!$B$6),1,0)</f>
        <v/>
      </c>
      <c r="AB4">
        <f>IF(AND(INDEX('設定'!$B$11:$B$20,AB2)&lt;&gt;"",AB3&lt;='設定'!$B$6),1,0)</f>
        <v/>
      </c>
      <c r="AC4">
        <f>IF(AND(INDEX('設定'!$B$11:$B$20,AC2)&lt;&gt;"",AC3&lt;='設定'!$B$6),1,0)</f>
        <v/>
      </c>
      <c r="AD4">
        <f>IF(AND(INDEX('設定'!$B$11:$B$20,AD2)&lt;&gt;"",AD3&lt;='設定'!$B$6),1,0)</f>
        <v/>
      </c>
      <c r="AE4">
        <f>IF(AND(INDEX('設定'!$B$11:$B$20,AE2)&lt;&gt;"",AE3&lt;='設定'!$B$6),1,0)</f>
        <v/>
      </c>
      <c r="AF4">
        <f>IF(AND(INDEX('設定'!$B$11:$B$20,AF2)&lt;&gt;"",AF3&lt;='設定'!$B$6),1,0)</f>
        <v/>
      </c>
      <c r="AG4">
        <f>IF(AND(INDEX('設定'!$B$11:$B$20,AG2)&lt;&gt;"",AG3&lt;='設定'!$B$6),1,0)</f>
        <v/>
      </c>
      <c r="AH4">
        <f>IF(AND(INDEX('設定'!$B$11:$B$20,AH2)&lt;&gt;"",AH3&lt;='設定'!$B$6),1,0)</f>
        <v/>
      </c>
      <c r="AI4">
        <f>IF(AND(INDEX('設定'!$B$11:$B$20,AI2)&lt;&gt;"",AI3&lt;='設定'!$B$6),1,0)</f>
        <v/>
      </c>
      <c r="AJ4">
        <f>IF(AND(INDEX('設定'!$B$11:$B$20,AJ2)&lt;&gt;"",AJ3&lt;='設定'!$B$6),1,0)</f>
        <v/>
      </c>
      <c r="AK4">
        <f>IF(AND(INDEX('設定'!$B$11:$B$20,AK2)&lt;&gt;"",AK3&lt;='設定'!$B$6),1,0)</f>
        <v/>
      </c>
      <c r="AL4">
        <f>IF(AND(INDEX('設定'!$B$11:$B$20,AL2)&lt;&gt;"",AL3&lt;='設定'!$B$6),1,0)</f>
        <v/>
      </c>
      <c r="AM4">
        <f>IF(AND(INDEX('設定'!$B$11:$B$20,AM2)&lt;&gt;"",AM3&lt;='設定'!$B$6),1,0)</f>
        <v/>
      </c>
      <c r="AN4">
        <f>IF(AND(INDEX('設定'!$B$11:$B$20,AN2)&lt;&gt;"",AN3&lt;='設定'!$B$6),1,0)</f>
        <v/>
      </c>
      <c r="AO4">
        <f>IF(AND(INDEX('設定'!$B$11:$B$20,AO2)&lt;&gt;"",AO3&lt;='設定'!$B$6),1,0)</f>
        <v/>
      </c>
      <c r="AP4">
        <f>IF(AND(INDEX('設定'!$B$11:$B$20,AP2)&lt;&gt;"",AP3&lt;='設定'!$B$6),1,0)</f>
        <v/>
      </c>
      <c r="AQ4">
        <f>IF(AND(INDEX('設定'!$B$11:$B$20,AQ2)&lt;&gt;"",AQ3&lt;='設定'!$B$6),1,0)</f>
        <v/>
      </c>
      <c r="AR4">
        <f>IF(AND(INDEX('設定'!$B$11:$B$20,AR2)&lt;&gt;"",AR3&lt;='設定'!$B$6),1,0)</f>
        <v/>
      </c>
      <c r="AS4">
        <f>IF(AND(INDEX('設定'!$B$11:$B$20,AS2)&lt;&gt;"",AS3&lt;='設定'!$B$6),1,0)</f>
        <v/>
      </c>
      <c r="AT4">
        <f>IF(AND(INDEX('設定'!$B$11:$B$20,AT2)&lt;&gt;"",AT3&lt;='設定'!$B$6),1,0)</f>
        <v/>
      </c>
      <c r="AU4">
        <f>IF(AND(INDEX('設定'!$B$11:$B$20,AU2)&lt;&gt;"",AU3&lt;='設定'!$B$6),1,0)</f>
        <v/>
      </c>
      <c r="AV4">
        <f>IF(AND(INDEX('設定'!$B$11:$B$20,AV2)&lt;&gt;"",AV3&lt;='設定'!$B$6),1,0)</f>
        <v/>
      </c>
      <c r="AW4">
        <f>IF(AND(INDEX('設定'!$B$11:$B$20,AW2)&lt;&gt;"",AW3&lt;='設定'!$B$6),1,0)</f>
        <v/>
      </c>
      <c r="AX4">
        <f>IF(AND(INDEX('設定'!$B$11:$B$20,AX2)&lt;&gt;"",AX3&lt;='設定'!$B$6),1,0)</f>
        <v/>
      </c>
      <c r="AY4">
        <f>IF(AND(INDEX('設定'!$B$11:$B$20,AY2)&lt;&gt;"",AY3&lt;='設定'!$B$6),1,0)</f>
        <v/>
      </c>
      <c r="AZ4">
        <f>IF(AND(INDEX('設定'!$B$11:$B$20,AZ2)&lt;&gt;"",AZ3&lt;='設定'!$B$6),1,0)</f>
        <v/>
      </c>
      <c r="BA4">
        <f>IF(AND(INDEX('設定'!$B$11:$B$20,BA2)&lt;&gt;"",BA3&lt;='設定'!$B$6),1,0)</f>
        <v/>
      </c>
      <c r="BB4">
        <f>IF(AND(INDEX('設定'!$B$11:$B$20,BB2)&lt;&gt;"",BB3&lt;='設定'!$B$6),1,0)</f>
        <v/>
      </c>
      <c r="BC4">
        <f>IF(AND(INDEX('設定'!$B$11:$B$20,BC2)&lt;&gt;"",BC3&lt;='設定'!$B$6),1,0)</f>
        <v/>
      </c>
      <c r="BD4">
        <f>IF(AND(INDEX('設定'!$B$11:$B$20,BD2)&lt;&gt;"",BD3&lt;='設定'!$B$6),1,0)</f>
        <v/>
      </c>
      <c r="BE4">
        <f>IF(AND(INDEX('設定'!$B$11:$B$20,BE2)&lt;&gt;"",BE3&lt;='設定'!$B$6),1,0)</f>
        <v/>
      </c>
      <c r="BF4">
        <f>IF(AND(INDEX('設定'!$B$11:$B$20,BF2)&lt;&gt;"",BF3&lt;='設定'!$B$6),1,0)</f>
        <v/>
      </c>
      <c r="BG4">
        <f>IF(AND(INDEX('設定'!$B$11:$B$20,BG2)&lt;&gt;"",BG3&lt;='設定'!$B$6),1,0)</f>
        <v/>
      </c>
      <c r="BH4">
        <f>IF(AND(INDEX('設定'!$B$11:$B$20,BH2)&lt;&gt;"",BH3&lt;='設定'!$B$6),1,0)</f>
        <v/>
      </c>
      <c r="BI4">
        <f>IF(AND(INDEX('設定'!$B$11:$B$20,BI2)&lt;&gt;"",BI3&lt;='設定'!$B$6),1,0)</f>
        <v/>
      </c>
      <c r="BJ4">
        <f>IF(AND(INDEX('設定'!$B$11:$B$20,BJ2)&lt;&gt;"",BJ3&lt;='設定'!$B$6),1,0)</f>
        <v/>
      </c>
      <c r="BK4">
        <f>IF(AND(INDEX('設定'!$B$11:$B$20,BK2)&lt;&gt;"",BK3&lt;='設定'!$B$6),1,0)</f>
        <v/>
      </c>
      <c r="BL4">
        <f>IF(AND(INDEX('設定'!$B$11:$B$20,BL2)&lt;&gt;"",BL3&lt;='設定'!$B$6),1,0)</f>
        <v/>
      </c>
      <c r="BM4">
        <f>IF(AND(INDEX('設定'!$B$11:$B$20,BM2)&lt;&gt;"",BM3&lt;='設定'!$B$6),1,0)</f>
        <v/>
      </c>
      <c r="BN4">
        <f>IF(AND(INDEX('設定'!$B$11:$B$20,BN2)&lt;&gt;"",BN3&lt;='設定'!$B$6),1,0)</f>
        <v/>
      </c>
      <c r="BO4">
        <f>IF(AND(INDEX('設定'!$B$11:$B$20,BO2)&lt;&gt;"",BO3&lt;='設定'!$B$6),1,0)</f>
        <v/>
      </c>
      <c r="BP4">
        <f>IF(AND(INDEX('設定'!$B$11:$B$20,BP2)&lt;&gt;"",BP3&lt;='設定'!$B$6),1,0)</f>
        <v/>
      </c>
      <c r="BQ4">
        <f>IF(AND(INDEX('設定'!$B$11:$B$20,BQ2)&lt;&gt;"",BQ3&lt;='設定'!$B$6),1,0)</f>
        <v/>
      </c>
      <c r="BR4">
        <f>IF(AND(INDEX('設定'!$B$11:$B$20,BR2)&lt;&gt;"",BR3&lt;='設定'!$B$6),1,0)</f>
        <v/>
      </c>
      <c r="BS4">
        <f>IF(AND(INDEX('設定'!$B$11:$B$20,BS2)&lt;&gt;"",BS3&lt;='設定'!$B$6),1,0)</f>
        <v/>
      </c>
      <c r="BT4">
        <f>IF(AND(INDEX('設定'!$B$11:$B$20,BT2)&lt;&gt;"",BT3&lt;='設定'!$B$6),1,0)</f>
        <v/>
      </c>
      <c r="BU4">
        <f>IF(AND(INDEX('設定'!$B$11:$B$20,BU2)&lt;&gt;"",BU3&lt;='設定'!$B$6),1,0)</f>
        <v/>
      </c>
      <c r="BV4">
        <f>IF(AND(INDEX('設定'!$B$11:$B$20,BV2)&lt;&gt;"",BV3&lt;='設定'!$B$6),1,0)</f>
        <v/>
      </c>
      <c r="BW4">
        <f>IF(AND(INDEX('設定'!$B$11:$B$20,BW2)&lt;&gt;"",BW3&lt;='設定'!$B$6),1,0)</f>
        <v/>
      </c>
      <c r="BX4">
        <f>IF(AND(INDEX('設定'!$B$11:$B$20,BX2)&lt;&gt;"",BX3&lt;='設定'!$B$6),1,0)</f>
        <v/>
      </c>
      <c r="BY4">
        <f>IF(AND(INDEX('設定'!$B$11:$B$20,BY2)&lt;&gt;"",BY3&lt;='設定'!$B$6),1,0)</f>
        <v/>
      </c>
      <c r="BZ4">
        <f>IF(AND(INDEX('設定'!$B$11:$B$20,BZ2)&lt;&gt;"",BZ3&lt;='設定'!$B$6),1,0)</f>
        <v/>
      </c>
      <c r="CA4">
        <f>IF(AND(INDEX('設定'!$B$11:$B$20,CA2)&lt;&gt;"",CA3&lt;='設定'!$B$6),1,0)</f>
        <v/>
      </c>
      <c r="CB4">
        <f>IF(AND(INDEX('設定'!$B$11:$B$20,CB2)&lt;&gt;"",CB3&lt;='設定'!$B$6),1,0)</f>
        <v/>
      </c>
      <c r="CC4">
        <f>IF(AND(INDEX('設定'!$B$11:$B$20,CC2)&lt;&gt;"",CC3&lt;='設定'!$B$6),1,0)</f>
        <v/>
      </c>
      <c r="CD4">
        <f>IF(AND(INDEX('設定'!$B$11:$B$20,CD2)&lt;&gt;"",CD3&lt;='設定'!$B$6),1,0)</f>
        <v/>
      </c>
      <c r="CE4">
        <f>IF(AND(INDEX('設定'!$B$11:$B$20,CE2)&lt;&gt;"",CE3&lt;='設定'!$B$6),1,0)</f>
        <v/>
      </c>
      <c r="CF4">
        <f>IF(AND(INDEX('設定'!$B$11:$B$20,CF2)&lt;&gt;"",CF3&lt;='設定'!$B$6),1,0)</f>
        <v/>
      </c>
      <c r="CG4">
        <f>IF(AND(INDEX('設定'!$B$11:$B$20,CG2)&lt;&gt;"",CG3&lt;='設定'!$B$6),1,0)</f>
        <v/>
      </c>
      <c r="CH4">
        <f>IF(AND(INDEX('設定'!$B$11:$B$20,CH2)&lt;&gt;"",CH3&lt;='設定'!$B$6),1,0)</f>
        <v/>
      </c>
      <c r="CI4">
        <f>IF(AND(INDEX('設定'!$B$11:$B$20,CI2)&lt;&gt;"",CI3&lt;='設定'!$B$6),1,0)</f>
        <v/>
      </c>
      <c r="CJ4">
        <f>IF(AND(INDEX('設定'!$B$11:$B$20,CJ2)&lt;&gt;"",CJ3&lt;='設定'!$B$6),1,0)</f>
        <v/>
      </c>
      <c r="CK4">
        <f>IF(AND(INDEX('設定'!$B$11:$B$20,CK2)&lt;&gt;"",CK3&lt;='設定'!$B$6),1,0)</f>
        <v/>
      </c>
      <c r="CL4">
        <f>IF(AND(INDEX('設定'!$B$11:$B$20,CL2)&lt;&gt;"",CL3&lt;='設定'!$B$6),1,0)</f>
        <v/>
      </c>
      <c r="CM4">
        <f>IF(AND(INDEX('設定'!$B$11:$B$20,CM2)&lt;&gt;"",CM3&lt;='設定'!$B$6),1,0)</f>
        <v/>
      </c>
      <c r="CN4">
        <f>IF(AND(INDEX('設定'!$B$11:$B$20,CN2)&lt;&gt;"",CN3&lt;='設定'!$B$6),1,0)</f>
        <v/>
      </c>
      <c r="CO4">
        <f>IF(AND(INDEX('設定'!$B$11:$B$20,CO2)&lt;&gt;"",CO3&lt;='設定'!$B$6),1,0)</f>
        <v/>
      </c>
      <c r="CP4">
        <f>IF(AND(INDEX('設定'!$B$11:$B$20,CP2)&lt;&gt;"",CP3&lt;='設定'!$B$6),1,0)</f>
        <v/>
      </c>
      <c r="CQ4">
        <f>IF(AND(INDEX('設定'!$B$11:$B$20,CQ2)&lt;&gt;"",CQ3&lt;='設定'!$B$6),1,0)</f>
        <v/>
      </c>
      <c r="CR4">
        <f>IF(AND(INDEX('設定'!$B$11:$B$20,CR2)&lt;&gt;"",CR3&lt;='設定'!$B$6),1,0)</f>
        <v/>
      </c>
      <c r="CS4">
        <f>IF(AND(INDEX('設定'!$B$11:$B$20,CS2)&lt;&gt;"",CS3&lt;='設定'!$B$6),1,0)</f>
        <v/>
      </c>
      <c r="CT4">
        <f>IF(AND(INDEX('設定'!$B$11:$B$20,CT2)&lt;&gt;"",CT3&lt;='設定'!$B$6),1,0)</f>
        <v/>
      </c>
      <c r="CU4">
        <f>IF(AND(INDEX('設定'!$B$11:$B$20,CU2)&lt;&gt;"",CU3&lt;='設定'!$B$6),1,0)</f>
        <v/>
      </c>
      <c r="CV4">
        <f>IF(AND(INDEX('設定'!$B$11:$B$20,CV2)&lt;&gt;"",CV3&lt;='設定'!$B$6),1,0)</f>
        <v/>
      </c>
      <c r="CW4">
        <f>IF(AND(INDEX('設定'!$B$11:$B$20,CW2)&lt;&gt;"",CW3&lt;='設定'!$B$6),1,0)</f>
        <v/>
      </c>
      <c r="CX4">
        <f>IF(AND(INDEX('設定'!$B$11:$B$20,CX2)&lt;&gt;"",CX3&lt;='設定'!$B$6),1,0)</f>
        <v/>
      </c>
      <c r="CY4">
        <f>IF(AND(INDEX('設定'!$B$11:$B$20,CY2)&lt;&gt;"",CY3&lt;='設定'!$B$6),1,0)</f>
        <v/>
      </c>
      <c r="CZ4">
        <f>IF(AND(INDEX('設定'!$B$11:$B$20,CZ2)&lt;&gt;"",CZ3&lt;='設定'!$B$6),1,0)</f>
        <v/>
      </c>
      <c r="DA4">
        <f>IF(AND(INDEX('設定'!$B$11:$B$20,DA2)&lt;&gt;"",DA3&lt;='設定'!$B$6),1,0)</f>
        <v/>
      </c>
      <c r="DB4">
        <f>IF(AND(INDEX('設定'!$B$11:$B$20,DB2)&lt;&gt;"",DB3&lt;='設定'!$B$6),1,0)</f>
        <v/>
      </c>
      <c r="DC4">
        <f>IF(AND(INDEX('設定'!$B$11:$B$20,DC2)&lt;&gt;"",DC3&lt;='設定'!$B$6),1,0)</f>
        <v/>
      </c>
      <c r="DD4">
        <f>IF(AND(INDEX('設定'!$B$11:$B$20,DD2)&lt;&gt;"",DD3&lt;='設定'!$B$6),1,0)</f>
        <v/>
      </c>
      <c r="DE4">
        <f>IF(AND(INDEX('設定'!$B$11:$B$20,DE2)&lt;&gt;"",DE3&lt;='設定'!$B$6),1,0)</f>
        <v/>
      </c>
      <c r="DF4">
        <f>IF(AND(INDEX('設定'!$B$11:$B$20,DF2)&lt;&gt;"",DF3&lt;='設定'!$B$6),1,0)</f>
        <v/>
      </c>
      <c r="DG4">
        <f>IF(AND(INDEX('設定'!$B$11:$B$20,DG2)&lt;&gt;"",DG3&lt;='設定'!$B$6),1,0)</f>
        <v/>
      </c>
      <c r="DH4">
        <f>IF(AND(INDEX('設定'!$B$11:$B$20,DH2)&lt;&gt;"",DH3&lt;='設定'!$B$6),1,0)</f>
        <v/>
      </c>
      <c r="DI4">
        <f>IF(AND(INDEX('設定'!$B$11:$B$20,DI2)&lt;&gt;"",DI3&lt;='設定'!$B$6),1,0)</f>
        <v/>
      </c>
      <c r="DJ4">
        <f>IF(AND(INDEX('設定'!$B$11:$B$20,DJ2)&lt;&gt;"",DJ3&lt;='設定'!$B$6),1,0)</f>
        <v/>
      </c>
      <c r="DK4">
        <f>IF(AND(INDEX('設定'!$B$11:$B$20,DK2)&lt;&gt;"",DK3&lt;='設定'!$B$6),1,0)</f>
        <v/>
      </c>
      <c r="DL4">
        <f>IF(AND(INDEX('設定'!$B$11:$B$20,DL2)&lt;&gt;"",DL3&lt;='設定'!$B$6),1,0)</f>
        <v/>
      </c>
      <c r="DM4">
        <f>IF(AND(INDEX('設定'!$B$11:$B$20,DM2)&lt;&gt;"",DM3&lt;='設定'!$B$6),1,0)</f>
        <v/>
      </c>
      <c r="DN4">
        <f>IF(AND(INDEX('設定'!$B$11:$B$20,DN2)&lt;&gt;"",DN3&lt;='設定'!$B$6),1,0)</f>
        <v/>
      </c>
      <c r="DO4">
        <f>IF(AND(INDEX('設定'!$B$11:$B$20,DO2)&lt;&gt;"",DO3&lt;='設定'!$B$6),1,0)</f>
        <v/>
      </c>
      <c r="DP4">
        <f>IF(AND(INDEX('設定'!$B$11:$B$20,DP2)&lt;&gt;"",DP3&lt;='設定'!$B$6),1,0)</f>
        <v/>
      </c>
      <c r="DQ4">
        <f>IF(AND(INDEX('設定'!$B$11:$B$20,DQ2)&lt;&gt;"",DQ3&lt;='設定'!$B$6),1,0)</f>
        <v/>
      </c>
      <c r="DR4">
        <f>IF(AND(INDEX('設定'!$B$11:$B$20,DR2)&lt;&gt;"",DR3&lt;='設定'!$B$6),1,0)</f>
        <v/>
      </c>
      <c r="DS4">
        <f>IF(AND(INDEX('設定'!$B$11:$B$20,DS2)&lt;&gt;"",DS3&lt;='設定'!$B$6),1,0)</f>
        <v/>
      </c>
    </row>
    <row r="5">
      <c r="C5" s="6" t="inlineStr">
        <is>
          <t>空けたい</t>
        </is>
      </c>
      <c r="D5">
        <f>IF(OR(INDEX('設定'!$D$11:$D$20,D2)&lt;&gt;"",INDEX('設定'!$H$11:$H$22,D3)&lt;&gt;""),1,0)</f>
        <v/>
      </c>
      <c r="E5">
        <f>IF(OR(INDEX('設定'!$D$11:$D$20,E2)&lt;&gt;"",INDEX('設定'!$H$11:$H$22,E3)&lt;&gt;""),1,0)</f>
        <v/>
      </c>
      <c r="F5">
        <f>IF(OR(INDEX('設定'!$D$11:$D$20,F2)&lt;&gt;"",INDEX('設定'!$H$11:$H$22,F3)&lt;&gt;""),1,0)</f>
        <v/>
      </c>
      <c r="G5">
        <f>IF(OR(INDEX('設定'!$D$11:$D$20,G2)&lt;&gt;"",INDEX('設定'!$H$11:$H$22,G3)&lt;&gt;""),1,0)</f>
        <v/>
      </c>
      <c r="H5">
        <f>IF(OR(INDEX('設定'!$D$11:$D$20,H2)&lt;&gt;"",INDEX('設定'!$H$11:$H$22,H3)&lt;&gt;""),1,0)</f>
        <v/>
      </c>
      <c r="I5">
        <f>IF(OR(INDEX('設定'!$D$11:$D$20,I2)&lt;&gt;"",INDEX('設定'!$H$11:$H$22,I3)&lt;&gt;""),1,0)</f>
        <v/>
      </c>
      <c r="J5">
        <f>IF(OR(INDEX('設定'!$D$11:$D$20,J2)&lt;&gt;"",INDEX('設定'!$H$11:$H$22,J3)&lt;&gt;""),1,0)</f>
        <v/>
      </c>
      <c r="K5">
        <f>IF(OR(INDEX('設定'!$D$11:$D$20,K2)&lt;&gt;"",INDEX('設定'!$H$11:$H$22,K3)&lt;&gt;""),1,0)</f>
        <v/>
      </c>
      <c r="L5">
        <f>IF(OR(INDEX('設定'!$D$11:$D$20,L2)&lt;&gt;"",INDEX('設定'!$H$11:$H$22,L3)&lt;&gt;""),1,0)</f>
        <v/>
      </c>
      <c r="M5">
        <f>IF(OR(INDEX('設定'!$D$11:$D$20,M2)&lt;&gt;"",INDEX('設定'!$H$11:$H$22,M3)&lt;&gt;""),1,0)</f>
        <v/>
      </c>
      <c r="N5">
        <f>IF(OR(INDEX('設定'!$D$11:$D$20,N2)&lt;&gt;"",INDEX('設定'!$H$11:$H$22,N3)&lt;&gt;""),1,0)</f>
        <v/>
      </c>
      <c r="O5">
        <f>IF(OR(INDEX('設定'!$D$11:$D$20,O2)&lt;&gt;"",INDEX('設定'!$H$11:$H$22,O3)&lt;&gt;""),1,0)</f>
        <v/>
      </c>
      <c r="P5">
        <f>IF(OR(INDEX('設定'!$D$11:$D$20,P2)&lt;&gt;"",INDEX('設定'!$H$11:$H$22,P3)&lt;&gt;""),1,0)</f>
        <v/>
      </c>
      <c r="Q5">
        <f>IF(OR(INDEX('設定'!$D$11:$D$20,Q2)&lt;&gt;"",INDEX('設定'!$H$11:$H$22,Q3)&lt;&gt;""),1,0)</f>
        <v/>
      </c>
      <c r="R5">
        <f>IF(OR(INDEX('設定'!$D$11:$D$20,R2)&lt;&gt;"",INDEX('設定'!$H$11:$H$22,R3)&lt;&gt;""),1,0)</f>
        <v/>
      </c>
      <c r="S5">
        <f>IF(OR(INDEX('設定'!$D$11:$D$20,S2)&lt;&gt;"",INDEX('設定'!$H$11:$H$22,S3)&lt;&gt;""),1,0)</f>
        <v/>
      </c>
      <c r="T5">
        <f>IF(OR(INDEX('設定'!$D$11:$D$20,T2)&lt;&gt;"",INDEX('設定'!$H$11:$H$22,T3)&lt;&gt;""),1,0)</f>
        <v/>
      </c>
      <c r="U5">
        <f>IF(OR(INDEX('設定'!$D$11:$D$20,U2)&lt;&gt;"",INDEX('設定'!$H$11:$H$22,U3)&lt;&gt;""),1,0)</f>
        <v/>
      </c>
      <c r="V5">
        <f>IF(OR(INDEX('設定'!$D$11:$D$20,V2)&lt;&gt;"",INDEX('設定'!$H$11:$H$22,V3)&lt;&gt;""),1,0)</f>
        <v/>
      </c>
      <c r="W5">
        <f>IF(OR(INDEX('設定'!$D$11:$D$20,W2)&lt;&gt;"",INDEX('設定'!$H$11:$H$22,W3)&lt;&gt;""),1,0)</f>
        <v/>
      </c>
      <c r="X5">
        <f>IF(OR(INDEX('設定'!$D$11:$D$20,X2)&lt;&gt;"",INDEX('設定'!$H$11:$H$22,X3)&lt;&gt;""),1,0)</f>
        <v/>
      </c>
      <c r="Y5">
        <f>IF(OR(INDEX('設定'!$D$11:$D$20,Y2)&lt;&gt;"",INDEX('設定'!$H$11:$H$22,Y3)&lt;&gt;""),1,0)</f>
        <v/>
      </c>
      <c r="Z5">
        <f>IF(OR(INDEX('設定'!$D$11:$D$20,Z2)&lt;&gt;"",INDEX('設定'!$H$11:$H$22,Z3)&lt;&gt;""),1,0)</f>
        <v/>
      </c>
      <c r="AA5">
        <f>IF(OR(INDEX('設定'!$D$11:$D$20,AA2)&lt;&gt;"",INDEX('設定'!$H$11:$H$22,AA3)&lt;&gt;""),1,0)</f>
        <v/>
      </c>
      <c r="AB5">
        <f>IF(OR(INDEX('設定'!$D$11:$D$20,AB2)&lt;&gt;"",INDEX('設定'!$H$11:$H$22,AB3)&lt;&gt;""),1,0)</f>
        <v/>
      </c>
      <c r="AC5">
        <f>IF(OR(INDEX('設定'!$D$11:$D$20,AC2)&lt;&gt;"",INDEX('設定'!$H$11:$H$22,AC3)&lt;&gt;""),1,0)</f>
        <v/>
      </c>
      <c r="AD5">
        <f>IF(OR(INDEX('設定'!$D$11:$D$20,AD2)&lt;&gt;"",INDEX('設定'!$H$11:$H$22,AD3)&lt;&gt;""),1,0)</f>
        <v/>
      </c>
      <c r="AE5">
        <f>IF(OR(INDEX('設定'!$D$11:$D$20,AE2)&lt;&gt;"",INDEX('設定'!$H$11:$H$22,AE3)&lt;&gt;""),1,0)</f>
        <v/>
      </c>
      <c r="AF5">
        <f>IF(OR(INDEX('設定'!$D$11:$D$20,AF2)&lt;&gt;"",INDEX('設定'!$H$11:$H$22,AF3)&lt;&gt;""),1,0)</f>
        <v/>
      </c>
      <c r="AG5">
        <f>IF(OR(INDEX('設定'!$D$11:$D$20,AG2)&lt;&gt;"",INDEX('設定'!$H$11:$H$22,AG3)&lt;&gt;""),1,0)</f>
        <v/>
      </c>
      <c r="AH5">
        <f>IF(OR(INDEX('設定'!$D$11:$D$20,AH2)&lt;&gt;"",INDEX('設定'!$H$11:$H$22,AH3)&lt;&gt;""),1,0)</f>
        <v/>
      </c>
      <c r="AI5">
        <f>IF(OR(INDEX('設定'!$D$11:$D$20,AI2)&lt;&gt;"",INDEX('設定'!$H$11:$H$22,AI3)&lt;&gt;""),1,0)</f>
        <v/>
      </c>
      <c r="AJ5">
        <f>IF(OR(INDEX('設定'!$D$11:$D$20,AJ2)&lt;&gt;"",INDEX('設定'!$H$11:$H$22,AJ3)&lt;&gt;""),1,0)</f>
        <v/>
      </c>
      <c r="AK5">
        <f>IF(OR(INDEX('設定'!$D$11:$D$20,AK2)&lt;&gt;"",INDEX('設定'!$H$11:$H$22,AK3)&lt;&gt;""),1,0)</f>
        <v/>
      </c>
      <c r="AL5">
        <f>IF(OR(INDEX('設定'!$D$11:$D$20,AL2)&lt;&gt;"",INDEX('設定'!$H$11:$H$22,AL3)&lt;&gt;""),1,0)</f>
        <v/>
      </c>
      <c r="AM5">
        <f>IF(OR(INDEX('設定'!$D$11:$D$20,AM2)&lt;&gt;"",INDEX('設定'!$H$11:$H$22,AM3)&lt;&gt;""),1,0)</f>
        <v/>
      </c>
      <c r="AN5">
        <f>IF(OR(INDEX('設定'!$D$11:$D$20,AN2)&lt;&gt;"",INDEX('設定'!$H$11:$H$22,AN3)&lt;&gt;""),1,0)</f>
        <v/>
      </c>
      <c r="AO5">
        <f>IF(OR(INDEX('設定'!$D$11:$D$20,AO2)&lt;&gt;"",INDEX('設定'!$H$11:$H$22,AO3)&lt;&gt;""),1,0)</f>
        <v/>
      </c>
      <c r="AP5">
        <f>IF(OR(INDEX('設定'!$D$11:$D$20,AP2)&lt;&gt;"",INDEX('設定'!$H$11:$H$22,AP3)&lt;&gt;""),1,0)</f>
        <v/>
      </c>
      <c r="AQ5">
        <f>IF(OR(INDEX('設定'!$D$11:$D$20,AQ2)&lt;&gt;"",INDEX('設定'!$H$11:$H$22,AQ3)&lt;&gt;""),1,0)</f>
        <v/>
      </c>
      <c r="AR5">
        <f>IF(OR(INDEX('設定'!$D$11:$D$20,AR2)&lt;&gt;"",INDEX('設定'!$H$11:$H$22,AR3)&lt;&gt;""),1,0)</f>
        <v/>
      </c>
      <c r="AS5">
        <f>IF(OR(INDEX('設定'!$D$11:$D$20,AS2)&lt;&gt;"",INDEX('設定'!$H$11:$H$22,AS3)&lt;&gt;""),1,0)</f>
        <v/>
      </c>
      <c r="AT5">
        <f>IF(OR(INDEX('設定'!$D$11:$D$20,AT2)&lt;&gt;"",INDEX('設定'!$H$11:$H$22,AT3)&lt;&gt;""),1,0)</f>
        <v/>
      </c>
      <c r="AU5">
        <f>IF(OR(INDEX('設定'!$D$11:$D$20,AU2)&lt;&gt;"",INDEX('設定'!$H$11:$H$22,AU3)&lt;&gt;""),1,0)</f>
        <v/>
      </c>
      <c r="AV5">
        <f>IF(OR(INDEX('設定'!$D$11:$D$20,AV2)&lt;&gt;"",INDEX('設定'!$H$11:$H$22,AV3)&lt;&gt;""),1,0)</f>
        <v/>
      </c>
      <c r="AW5">
        <f>IF(OR(INDEX('設定'!$D$11:$D$20,AW2)&lt;&gt;"",INDEX('設定'!$H$11:$H$22,AW3)&lt;&gt;""),1,0)</f>
        <v/>
      </c>
      <c r="AX5">
        <f>IF(OR(INDEX('設定'!$D$11:$D$20,AX2)&lt;&gt;"",INDEX('設定'!$H$11:$H$22,AX3)&lt;&gt;""),1,0)</f>
        <v/>
      </c>
      <c r="AY5">
        <f>IF(OR(INDEX('設定'!$D$11:$D$20,AY2)&lt;&gt;"",INDEX('設定'!$H$11:$H$22,AY3)&lt;&gt;""),1,0)</f>
        <v/>
      </c>
      <c r="AZ5">
        <f>IF(OR(INDEX('設定'!$D$11:$D$20,AZ2)&lt;&gt;"",INDEX('設定'!$H$11:$H$22,AZ3)&lt;&gt;""),1,0)</f>
        <v/>
      </c>
      <c r="BA5">
        <f>IF(OR(INDEX('設定'!$D$11:$D$20,BA2)&lt;&gt;"",INDEX('設定'!$H$11:$H$22,BA3)&lt;&gt;""),1,0)</f>
        <v/>
      </c>
      <c r="BB5">
        <f>IF(OR(INDEX('設定'!$D$11:$D$20,BB2)&lt;&gt;"",INDEX('設定'!$H$11:$H$22,BB3)&lt;&gt;""),1,0)</f>
        <v/>
      </c>
      <c r="BC5">
        <f>IF(OR(INDEX('設定'!$D$11:$D$20,BC2)&lt;&gt;"",INDEX('設定'!$H$11:$H$22,BC3)&lt;&gt;""),1,0)</f>
        <v/>
      </c>
      <c r="BD5">
        <f>IF(OR(INDEX('設定'!$D$11:$D$20,BD2)&lt;&gt;"",INDEX('設定'!$H$11:$H$22,BD3)&lt;&gt;""),1,0)</f>
        <v/>
      </c>
      <c r="BE5">
        <f>IF(OR(INDEX('設定'!$D$11:$D$20,BE2)&lt;&gt;"",INDEX('設定'!$H$11:$H$22,BE3)&lt;&gt;""),1,0)</f>
        <v/>
      </c>
      <c r="BF5">
        <f>IF(OR(INDEX('設定'!$D$11:$D$20,BF2)&lt;&gt;"",INDEX('設定'!$H$11:$H$22,BF3)&lt;&gt;""),1,0)</f>
        <v/>
      </c>
      <c r="BG5">
        <f>IF(OR(INDEX('設定'!$D$11:$D$20,BG2)&lt;&gt;"",INDEX('設定'!$H$11:$H$22,BG3)&lt;&gt;""),1,0)</f>
        <v/>
      </c>
      <c r="BH5">
        <f>IF(OR(INDEX('設定'!$D$11:$D$20,BH2)&lt;&gt;"",INDEX('設定'!$H$11:$H$22,BH3)&lt;&gt;""),1,0)</f>
        <v/>
      </c>
      <c r="BI5">
        <f>IF(OR(INDEX('設定'!$D$11:$D$20,BI2)&lt;&gt;"",INDEX('設定'!$H$11:$H$22,BI3)&lt;&gt;""),1,0)</f>
        <v/>
      </c>
      <c r="BJ5">
        <f>IF(OR(INDEX('設定'!$D$11:$D$20,BJ2)&lt;&gt;"",INDEX('設定'!$H$11:$H$22,BJ3)&lt;&gt;""),1,0)</f>
        <v/>
      </c>
      <c r="BK5">
        <f>IF(OR(INDEX('設定'!$D$11:$D$20,BK2)&lt;&gt;"",INDEX('設定'!$H$11:$H$22,BK3)&lt;&gt;""),1,0)</f>
        <v/>
      </c>
      <c r="BL5">
        <f>IF(OR(INDEX('設定'!$D$11:$D$20,BL2)&lt;&gt;"",INDEX('設定'!$H$11:$H$22,BL3)&lt;&gt;""),1,0)</f>
        <v/>
      </c>
      <c r="BM5">
        <f>IF(OR(INDEX('設定'!$D$11:$D$20,BM2)&lt;&gt;"",INDEX('設定'!$H$11:$H$22,BM3)&lt;&gt;""),1,0)</f>
        <v/>
      </c>
      <c r="BN5">
        <f>IF(OR(INDEX('設定'!$D$11:$D$20,BN2)&lt;&gt;"",INDEX('設定'!$H$11:$H$22,BN3)&lt;&gt;""),1,0)</f>
        <v/>
      </c>
      <c r="BO5">
        <f>IF(OR(INDEX('設定'!$D$11:$D$20,BO2)&lt;&gt;"",INDEX('設定'!$H$11:$H$22,BO3)&lt;&gt;""),1,0)</f>
        <v/>
      </c>
      <c r="BP5">
        <f>IF(OR(INDEX('設定'!$D$11:$D$20,BP2)&lt;&gt;"",INDEX('設定'!$H$11:$H$22,BP3)&lt;&gt;""),1,0)</f>
        <v/>
      </c>
      <c r="BQ5">
        <f>IF(OR(INDEX('設定'!$D$11:$D$20,BQ2)&lt;&gt;"",INDEX('設定'!$H$11:$H$22,BQ3)&lt;&gt;""),1,0)</f>
        <v/>
      </c>
      <c r="BR5">
        <f>IF(OR(INDEX('設定'!$D$11:$D$20,BR2)&lt;&gt;"",INDEX('設定'!$H$11:$H$22,BR3)&lt;&gt;""),1,0)</f>
        <v/>
      </c>
      <c r="BS5">
        <f>IF(OR(INDEX('設定'!$D$11:$D$20,BS2)&lt;&gt;"",INDEX('設定'!$H$11:$H$22,BS3)&lt;&gt;""),1,0)</f>
        <v/>
      </c>
      <c r="BT5">
        <f>IF(OR(INDEX('設定'!$D$11:$D$20,BT2)&lt;&gt;"",INDEX('設定'!$H$11:$H$22,BT3)&lt;&gt;""),1,0)</f>
        <v/>
      </c>
      <c r="BU5">
        <f>IF(OR(INDEX('設定'!$D$11:$D$20,BU2)&lt;&gt;"",INDEX('設定'!$H$11:$H$22,BU3)&lt;&gt;""),1,0)</f>
        <v/>
      </c>
      <c r="BV5">
        <f>IF(OR(INDEX('設定'!$D$11:$D$20,BV2)&lt;&gt;"",INDEX('設定'!$H$11:$H$22,BV3)&lt;&gt;""),1,0)</f>
        <v/>
      </c>
      <c r="BW5">
        <f>IF(OR(INDEX('設定'!$D$11:$D$20,BW2)&lt;&gt;"",INDEX('設定'!$H$11:$H$22,BW3)&lt;&gt;""),1,0)</f>
        <v/>
      </c>
      <c r="BX5">
        <f>IF(OR(INDEX('設定'!$D$11:$D$20,BX2)&lt;&gt;"",INDEX('設定'!$H$11:$H$22,BX3)&lt;&gt;""),1,0)</f>
        <v/>
      </c>
      <c r="BY5">
        <f>IF(OR(INDEX('設定'!$D$11:$D$20,BY2)&lt;&gt;"",INDEX('設定'!$H$11:$H$22,BY3)&lt;&gt;""),1,0)</f>
        <v/>
      </c>
      <c r="BZ5">
        <f>IF(OR(INDEX('設定'!$D$11:$D$20,BZ2)&lt;&gt;"",INDEX('設定'!$H$11:$H$22,BZ3)&lt;&gt;""),1,0)</f>
        <v/>
      </c>
      <c r="CA5">
        <f>IF(OR(INDEX('設定'!$D$11:$D$20,CA2)&lt;&gt;"",INDEX('設定'!$H$11:$H$22,CA3)&lt;&gt;""),1,0)</f>
        <v/>
      </c>
      <c r="CB5">
        <f>IF(OR(INDEX('設定'!$D$11:$D$20,CB2)&lt;&gt;"",INDEX('設定'!$H$11:$H$22,CB3)&lt;&gt;""),1,0)</f>
        <v/>
      </c>
      <c r="CC5">
        <f>IF(OR(INDEX('設定'!$D$11:$D$20,CC2)&lt;&gt;"",INDEX('設定'!$H$11:$H$22,CC3)&lt;&gt;""),1,0)</f>
        <v/>
      </c>
      <c r="CD5">
        <f>IF(OR(INDEX('設定'!$D$11:$D$20,CD2)&lt;&gt;"",INDEX('設定'!$H$11:$H$22,CD3)&lt;&gt;""),1,0)</f>
        <v/>
      </c>
      <c r="CE5">
        <f>IF(OR(INDEX('設定'!$D$11:$D$20,CE2)&lt;&gt;"",INDEX('設定'!$H$11:$H$22,CE3)&lt;&gt;""),1,0)</f>
        <v/>
      </c>
      <c r="CF5">
        <f>IF(OR(INDEX('設定'!$D$11:$D$20,CF2)&lt;&gt;"",INDEX('設定'!$H$11:$H$22,CF3)&lt;&gt;""),1,0)</f>
        <v/>
      </c>
      <c r="CG5">
        <f>IF(OR(INDEX('設定'!$D$11:$D$20,CG2)&lt;&gt;"",INDEX('設定'!$H$11:$H$22,CG3)&lt;&gt;""),1,0)</f>
        <v/>
      </c>
      <c r="CH5">
        <f>IF(OR(INDEX('設定'!$D$11:$D$20,CH2)&lt;&gt;"",INDEX('設定'!$H$11:$H$22,CH3)&lt;&gt;""),1,0)</f>
        <v/>
      </c>
      <c r="CI5">
        <f>IF(OR(INDEX('設定'!$D$11:$D$20,CI2)&lt;&gt;"",INDEX('設定'!$H$11:$H$22,CI3)&lt;&gt;""),1,0)</f>
        <v/>
      </c>
      <c r="CJ5">
        <f>IF(OR(INDEX('設定'!$D$11:$D$20,CJ2)&lt;&gt;"",INDEX('設定'!$H$11:$H$22,CJ3)&lt;&gt;""),1,0)</f>
        <v/>
      </c>
      <c r="CK5">
        <f>IF(OR(INDEX('設定'!$D$11:$D$20,CK2)&lt;&gt;"",INDEX('設定'!$H$11:$H$22,CK3)&lt;&gt;""),1,0)</f>
        <v/>
      </c>
      <c r="CL5">
        <f>IF(OR(INDEX('設定'!$D$11:$D$20,CL2)&lt;&gt;"",INDEX('設定'!$H$11:$H$22,CL3)&lt;&gt;""),1,0)</f>
        <v/>
      </c>
      <c r="CM5">
        <f>IF(OR(INDEX('設定'!$D$11:$D$20,CM2)&lt;&gt;"",INDEX('設定'!$H$11:$H$22,CM3)&lt;&gt;""),1,0)</f>
        <v/>
      </c>
      <c r="CN5">
        <f>IF(OR(INDEX('設定'!$D$11:$D$20,CN2)&lt;&gt;"",INDEX('設定'!$H$11:$H$22,CN3)&lt;&gt;""),1,0)</f>
        <v/>
      </c>
      <c r="CO5">
        <f>IF(OR(INDEX('設定'!$D$11:$D$20,CO2)&lt;&gt;"",INDEX('設定'!$H$11:$H$22,CO3)&lt;&gt;""),1,0)</f>
        <v/>
      </c>
      <c r="CP5">
        <f>IF(OR(INDEX('設定'!$D$11:$D$20,CP2)&lt;&gt;"",INDEX('設定'!$H$11:$H$22,CP3)&lt;&gt;""),1,0)</f>
        <v/>
      </c>
      <c r="CQ5">
        <f>IF(OR(INDEX('設定'!$D$11:$D$20,CQ2)&lt;&gt;"",INDEX('設定'!$H$11:$H$22,CQ3)&lt;&gt;""),1,0)</f>
        <v/>
      </c>
      <c r="CR5">
        <f>IF(OR(INDEX('設定'!$D$11:$D$20,CR2)&lt;&gt;"",INDEX('設定'!$H$11:$H$22,CR3)&lt;&gt;""),1,0)</f>
        <v/>
      </c>
      <c r="CS5">
        <f>IF(OR(INDEX('設定'!$D$11:$D$20,CS2)&lt;&gt;"",INDEX('設定'!$H$11:$H$22,CS3)&lt;&gt;""),1,0)</f>
        <v/>
      </c>
      <c r="CT5">
        <f>IF(OR(INDEX('設定'!$D$11:$D$20,CT2)&lt;&gt;"",INDEX('設定'!$H$11:$H$22,CT3)&lt;&gt;""),1,0)</f>
        <v/>
      </c>
      <c r="CU5">
        <f>IF(OR(INDEX('設定'!$D$11:$D$20,CU2)&lt;&gt;"",INDEX('設定'!$H$11:$H$22,CU3)&lt;&gt;""),1,0)</f>
        <v/>
      </c>
      <c r="CV5">
        <f>IF(OR(INDEX('設定'!$D$11:$D$20,CV2)&lt;&gt;"",INDEX('設定'!$H$11:$H$22,CV3)&lt;&gt;""),1,0)</f>
        <v/>
      </c>
      <c r="CW5">
        <f>IF(OR(INDEX('設定'!$D$11:$D$20,CW2)&lt;&gt;"",INDEX('設定'!$H$11:$H$22,CW3)&lt;&gt;""),1,0)</f>
        <v/>
      </c>
      <c r="CX5">
        <f>IF(OR(INDEX('設定'!$D$11:$D$20,CX2)&lt;&gt;"",INDEX('設定'!$H$11:$H$22,CX3)&lt;&gt;""),1,0)</f>
        <v/>
      </c>
      <c r="CY5">
        <f>IF(OR(INDEX('設定'!$D$11:$D$20,CY2)&lt;&gt;"",INDEX('設定'!$H$11:$H$22,CY3)&lt;&gt;""),1,0)</f>
        <v/>
      </c>
      <c r="CZ5">
        <f>IF(OR(INDEX('設定'!$D$11:$D$20,CZ2)&lt;&gt;"",INDEX('設定'!$H$11:$H$22,CZ3)&lt;&gt;""),1,0)</f>
        <v/>
      </c>
      <c r="DA5">
        <f>IF(OR(INDEX('設定'!$D$11:$D$20,DA2)&lt;&gt;"",INDEX('設定'!$H$11:$H$22,DA3)&lt;&gt;""),1,0)</f>
        <v/>
      </c>
      <c r="DB5">
        <f>IF(OR(INDEX('設定'!$D$11:$D$20,DB2)&lt;&gt;"",INDEX('設定'!$H$11:$H$22,DB3)&lt;&gt;""),1,0)</f>
        <v/>
      </c>
      <c r="DC5">
        <f>IF(OR(INDEX('設定'!$D$11:$D$20,DC2)&lt;&gt;"",INDEX('設定'!$H$11:$H$22,DC3)&lt;&gt;""),1,0)</f>
        <v/>
      </c>
      <c r="DD5">
        <f>IF(OR(INDEX('設定'!$D$11:$D$20,DD2)&lt;&gt;"",INDEX('設定'!$H$11:$H$22,DD3)&lt;&gt;""),1,0)</f>
        <v/>
      </c>
      <c r="DE5">
        <f>IF(OR(INDEX('設定'!$D$11:$D$20,DE2)&lt;&gt;"",INDEX('設定'!$H$11:$H$22,DE3)&lt;&gt;""),1,0)</f>
        <v/>
      </c>
      <c r="DF5">
        <f>IF(OR(INDEX('設定'!$D$11:$D$20,DF2)&lt;&gt;"",INDEX('設定'!$H$11:$H$22,DF3)&lt;&gt;""),1,0)</f>
        <v/>
      </c>
      <c r="DG5">
        <f>IF(OR(INDEX('設定'!$D$11:$D$20,DG2)&lt;&gt;"",INDEX('設定'!$H$11:$H$22,DG3)&lt;&gt;""),1,0)</f>
        <v/>
      </c>
      <c r="DH5">
        <f>IF(OR(INDEX('設定'!$D$11:$D$20,DH2)&lt;&gt;"",INDEX('設定'!$H$11:$H$22,DH3)&lt;&gt;""),1,0)</f>
        <v/>
      </c>
      <c r="DI5">
        <f>IF(OR(INDEX('設定'!$D$11:$D$20,DI2)&lt;&gt;"",INDEX('設定'!$H$11:$H$22,DI3)&lt;&gt;""),1,0)</f>
        <v/>
      </c>
      <c r="DJ5">
        <f>IF(OR(INDEX('設定'!$D$11:$D$20,DJ2)&lt;&gt;"",INDEX('設定'!$H$11:$H$22,DJ3)&lt;&gt;""),1,0)</f>
        <v/>
      </c>
      <c r="DK5">
        <f>IF(OR(INDEX('設定'!$D$11:$D$20,DK2)&lt;&gt;"",INDEX('設定'!$H$11:$H$22,DK3)&lt;&gt;""),1,0)</f>
        <v/>
      </c>
      <c r="DL5">
        <f>IF(OR(INDEX('設定'!$D$11:$D$20,DL2)&lt;&gt;"",INDEX('設定'!$H$11:$H$22,DL3)&lt;&gt;""),1,0)</f>
        <v/>
      </c>
      <c r="DM5">
        <f>IF(OR(INDEX('設定'!$D$11:$D$20,DM2)&lt;&gt;"",INDEX('設定'!$H$11:$H$22,DM3)&lt;&gt;""),1,0)</f>
        <v/>
      </c>
      <c r="DN5">
        <f>IF(OR(INDEX('設定'!$D$11:$D$20,DN2)&lt;&gt;"",INDEX('設定'!$H$11:$H$22,DN3)&lt;&gt;""),1,0)</f>
        <v/>
      </c>
      <c r="DO5">
        <f>IF(OR(INDEX('設定'!$D$11:$D$20,DO2)&lt;&gt;"",INDEX('設定'!$H$11:$H$22,DO3)&lt;&gt;""),1,0)</f>
        <v/>
      </c>
      <c r="DP5">
        <f>IF(OR(INDEX('設定'!$D$11:$D$20,DP2)&lt;&gt;"",INDEX('設定'!$H$11:$H$22,DP3)&lt;&gt;""),1,0)</f>
        <v/>
      </c>
      <c r="DQ5">
        <f>IF(OR(INDEX('設定'!$D$11:$D$20,DQ2)&lt;&gt;"",INDEX('設定'!$H$11:$H$22,DQ3)&lt;&gt;""),1,0)</f>
        <v/>
      </c>
      <c r="DR5">
        <f>IF(OR(INDEX('設定'!$D$11:$D$20,DR2)&lt;&gt;"",INDEX('設定'!$H$11:$H$22,DR3)&lt;&gt;""),1,0)</f>
        <v/>
      </c>
      <c r="DS5">
        <f>IF(OR(INDEX('設定'!$D$11:$D$20,DS2)&lt;&gt;"",INDEX('設定'!$H$11:$H$22,DS3)&lt;&gt;""),1,0)</f>
        <v/>
      </c>
    </row>
    <row r="6">
      <c r="C6" s="6" t="inlineStr">
        <is>
          <t>優先順</t>
        </is>
      </c>
      <c r="D6">
        <f>IF(LEFT('設定'!$B$8,3)="日付順",(D2-1)*12+D3,(D3-1)*10+D2)+D5*10000</f>
        <v/>
      </c>
      <c r="E6">
        <f>IF(LEFT('設定'!$B$8,3)="日付順",(E2-1)*12+E3,(E3-1)*10+E2)+E5*10000</f>
        <v/>
      </c>
      <c r="F6">
        <f>IF(LEFT('設定'!$B$8,3)="日付順",(F2-1)*12+F3,(F3-1)*10+F2)+F5*10000</f>
        <v/>
      </c>
      <c r="G6">
        <f>IF(LEFT('設定'!$B$8,3)="日付順",(G2-1)*12+G3,(G3-1)*10+G2)+G5*10000</f>
        <v/>
      </c>
      <c r="H6">
        <f>IF(LEFT('設定'!$B$8,3)="日付順",(H2-1)*12+H3,(H3-1)*10+H2)+H5*10000</f>
        <v/>
      </c>
      <c r="I6">
        <f>IF(LEFT('設定'!$B$8,3)="日付順",(I2-1)*12+I3,(I3-1)*10+I2)+I5*10000</f>
        <v/>
      </c>
      <c r="J6">
        <f>IF(LEFT('設定'!$B$8,3)="日付順",(J2-1)*12+J3,(J3-1)*10+J2)+J5*10000</f>
        <v/>
      </c>
      <c r="K6">
        <f>IF(LEFT('設定'!$B$8,3)="日付順",(K2-1)*12+K3,(K3-1)*10+K2)+K5*10000</f>
        <v/>
      </c>
      <c r="L6">
        <f>IF(LEFT('設定'!$B$8,3)="日付順",(L2-1)*12+L3,(L3-1)*10+L2)+L5*10000</f>
        <v/>
      </c>
      <c r="M6">
        <f>IF(LEFT('設定'!$B$8,3)="日付順",(M2-1)*12+M3,(M3-1)*10+M2)+M5*10000</f>
        <v/>
      </c>
      <c r="N6">
        <f>IF(LEFT('設定'!$B$8,3)="日付順",(N2-1)*12+N3,(N3-1)*10+N2)+N5*10000</f>
        <v/>
      </c>
      <c r="O6">
        <f>IF(LEFT('設定'!$B$8,3)="日付順",(O2-1)*12+O3,(O3-1)*10+O2)+O5*10000</f>
        <v/>
      </c>
      <c r="P6">
        <f>IF(LEFT('設定'!$B$8,3)="日付順",(P2-1)*12+P3,(P3-1)*10+P2)+P5*10000</f>
        <v/>
      </c>
      <c r="Q6">
        <f>IF(LEFT('設定'!$B$8,3)="日付順",(Q2-1)*12+Q3,(Q3-1)*10+Q2)+Q5*10000</f>
        <v/>
      </c>
      <c r="R6">
        <f>IF(LEFT('設定'!$B$8,3)="日付順",(R2-1)*12+R3,(R3-1)*10+R2)+R5*10000</f>
        <v/>
      </c>
      <c r="S6">
        <f>IF(LEFT('設定'!$B$8,3)="日付順",(S2-1)*12+S3,(S3-1)*10+S2)+S5*10000</f>
        <v/>
      </c>
      <c r="T6">
        <f>IF(LEFT('設定'!$B$8,3)="日付順",(T2-1)*12+T3,(T3-1)*10+T2)+T5*10000</f>
        <v/>
      </c>
      <c r="U6">
        <f>IF(LEFT('設定'!$B$8,3)="日付順",(U2-1)*12+U3,(U3-1)*10+U2)+U5*10000</f>
        <v/>
      </c>
      <c r="V6">
        <f>IF(LEFT('設定'!$B$8,3)="日付順",(V2-1)*12+V3,(V3-1)*10+V2)+V5*10000</f>
        <v/>
      </c>
      <c r="W6">
        <f>IF(LEFT('設定'!$B$8,3)="日付順",(W2-1)*12+W3,(W3-1)*10+W2)+W5*10000</f>
        <v/>
      </c>
      <c r="X6">
        <f>IF(LEFT('設定'!$B$8,3)="日付順",(X2-1)*12+X3,(X3-1)*10+X2)+X5*10000</f>
        <v/>
      </c>
      <c r="Y6">
        <f>IF(LEFT('設定'!$B$8,3)="日付順",(Y2-1)*12+Y3,(Y3-1)*10+Y2)+Y5*10000</f>
        <v/>
      </c>
      <c r="Z6">
        <f>IF(LEFT('設定'!$B$8,3)="日付順",(Z2-1)*12+Z3,(Z3-1)*10+Z2)+Z5*10000</f>
        <v/>
      </c>
      <c r="AA6">
        <f>IF(LEFT('設定'!$B$8,3)="日付順",(AA2-1)*12+AA3,(AA3-1)*10+AA2)+AA5*10000</f>
        <v/>
      </c>
      <c r="AB6">
        <f>IF(LEFT('設定'!$B$8,3)="日付順",(AB2-1)*12+AB3,(AB3-1)*10+AB2)+AB5*10000</f>
        <v/>
      </c>
      <c r="AC6">
        <f>IF(LEFT('設定'!$B$8,3)="日付順",(AC2-1)*12+AC3,(AC3-1)*10+AC2)+AC5*10000</f>
        <v/>
      </c>
      <c r="AD6">
        <f>IF(LEFT('設定'!$B$8,3)="日付順",(AD2-1)*12+AD3,(AD3-1)*10+AD2)+AD5*10000</f>
        <v/>
      </c>
      <c r="AE6">
        <f>IF(LEFT('設定'!$B$8,3)="日付順",(AE2-1)*12+AE3,(AE3-1)*10+AE2)+AE5*10000</f>
        <v/>
      </c>
      <c r="AF6">
        <f>IF(LEFT('設定'!$B$8,3)="日付順",(AF2-1)*12+AF3,(AF3-1)*10+AF2)+AF5*10000</f>
        <v/>
      </c>
      <c r="AG6">
        <f>IF(LEFT('設定'!$B$8,3)="日付順",(AG2-1)*12+AG3,(AG3-1)*10+AG2)+AG5*10000</f>
        <v/>
      </c>
      <c r="AH6">
        <f>IF(LEFT('設定'!$B$8,3)="日付順",(AH2-1)*12+AH3,(AH3-1)*10+AH2)+AH5*10000</f>
        <v/>
      </c>
      <c r="AI6">
        <f>IF(LEFT('設定'!$B$8,3)="日付順",(AI2-1)*12+AI3,(AI3-1)*10+AI2)+AI5*10000</f>
        <v/>
      </c>
      <c r="AJ6">
        <f>IF(LEFT('設定'!$B$8,3)="日付順",(AJ2-1)*12+AJ3,(AJ3-1)*10+AJ2)+AJ5*10000</f>
        <v/>
      </c>
      <c r="AK6">
        <f>IF(LEFT('設定'!$B$8,3)="日付順",(AK2-1)*12+AK3,(AK3-1)*10+AK2)+AK5*10000</f>
        <v/>
      </c>
      <c r="AL6">
        <f>IF(LEFT('設定'!$B$8,3)="日付順",(AL2-1)*12+AL3,(AL3-1)*10+AL2)+AL5*10000</f>
        <v/>
      </c>
      <c r="AM6">
        <f>IF(LEFT('設定'!$B$8,3)="日付順",(AM2-1)*12+AM3,(AM3-1)*10+AM2)+AM5*10000</f>
        <v/>
      </c>
      <c r="AN6">
        <f>IF(LEFT('設定'!$B$8,3)="日付順",(AN2-1)*12+AN3,(AN3-1)*10+AN2)+AN5*10000</f>
        <v/>
      </c>
      <c r="AO6">
        <f>IF(LEFT('設定'!$B$8,3)="日付順",(AO2-1)*12+AO3,(AO3-1)*10+AO2)+AO5*10000</f>
        <v/>
      </c>
      <c r="AP6">
        <f>IF(LEFT('設定'!$B$8,3)="日付順",(AP2-1)*12+AP3,(AP3-1)*10+AP2)+AP5*10000</f>
        <v/>
      </c>
      <c r="AQ6">
        <f>IF(LEFT('設定'!$B$8,3)="日付順",(AQ2-1)*12+AQ3,(AQ3-1)*10+AQ2)+AQ5*10000</f>
        <v/>
      </c>
      <c r="AR6">
        <f>IF(LEFT('設定'!$B$8,3)="日付順",(AR2-1)*12+AR3,(AR3-1)*10+AR2)+AR5*10000</f>
        <v/>
      </c>
      <c r="AS6">
        <f>IF(LEFT('設定'!$B$8,3)="日付順",(AS2-1)*12+AS3,(AS3-1)*10+AS2)+AS5*10000</f>
        <v/>
      </c>
      <c r="AT6">
        <f>IF(LEFT('設定'!$B$8,3)="日付順",(AT2-1)*12+AT3,(AT3-1)*10+AT2)+AT5*10000</f>
        <v/>
      </c>
      <c r="AU6">
        <f>IF(LEFT('設定'!$B$8,3)="日付順",(AU2-1)*12+AU3,(AU3-1)*10+AU2)+AU5*10000</f>
        <v/>
      </c>
      <c r="AV6">
        <f>IF(LEFT('設定'!$B$8,3)="日付順",(AV2-1)*12+AV3,(AV3-1)*10+AV2)+AV5*10000</f>
        <v/>
      </c>
      <c r="AW6">
        <f>IF(LEFT('設定'!$B$8,3)="日付順",(AW2-1)*12+AW3,(AW3-1)*10+AW2)+AW5*10000</f>
        <v/>
      </c>
      <c r="AX6">
        <f>IF(LEFT('設定'!$B$8,3)="日付順",(AX2-1)*12+AX3,(AX3-1)*10+AX2)+AX5*10000</f>
        <v/>
      </c>
      <c r="AY6">
        <f>IF(LEFT('設定'!$B$8,3)="日付順",(AY2-1)*12+AY3,(AY3-1)*10+AY2)+AY5*10000</f>
        <v/>
      </c>
      <c r="AZ6">
        <f>IF(LEFT('設定'!$B$8,3)="日付順",(AZ2-1)*12+AZ3,(AZ3-1)*10+AZ2)+AZ5*10000</f>
        <v/>
      </c>
      <c r="BA6">
        <f>IF(LEFT('設定'!$B$8,3)="日付順",(BA2-1)*12+BA3,(BA3-1)*10+BA2)+BA5*10000</f>
        <v/>
      </c>
      <c r="BB6">
        <f>IF(LEFT('設定'!$B$8,3)="日付順",(BB2-1)*12+BB3,(BB3-1)*10+BB2)+BB5*10000</f>
        <v/>
      </c>
      <c r="BC6">
        <f>IF(LEFT('設定'!$B$8,3)="日付順",(BC2-1)*12+BC3,(BC3-1)*10+BC2)+BC5*10000</f>
        <v/>
      </c>
      <c r="BD6">
        <f>IF(LEFT('設定'!$B$8,3)="日付順",(BD2-1)*12+BD3,(BD3-1)*10+BD2)+BD5*10000</f>
        <v/>
      </c>
      <c r="BE6">
        <f>IF(LEFT('設定'!$B$8,3)="日付順",(BE2-1)*12+BE3,(BE3-1)*10+BE2)+BE5*10000</f>
        <v/>
      </c>
      <c r="BF6">
        <f>IF(LEFT('設定'!$B$8,3)="日付順",(BF2-1)*12+BF3,(BF3-1)*10+BF2)+BF5*10000</f>
        <v/>
      </c>
      <c r="BG6">
        <f>IF(LEFT('設定'!$B$8,3)="日付順",(BG2-1)*12+BG3,(BG3-1)*10+BG2)+BG5*10000</f>
        <v/>
      </c>
      <c r="BH6">
        <f>IF(LEFT('設定'!$B$8,3)="日付順",(BH2-1)*12+BH3,(BH3-1)*10+BH2)+BH5*10000</f>
        <v/>
      </c>
      <c r="BI6">
        <f>IF(LEFT('設定'!$B$8,3)="日付順",(BI2-1)*12+BI3,(BI3-1)*10+BI2)+BI5*10000</f>
        <v/>
      </c>
      <c r="BJ6">
        <f>IF(LEFT('設定'!$B$8,3)="日付順",(BJ2-1)*12+BJ3,(BJ3-1)*10+BJ2)+BJ5*10000</f>
        <v/>
      </c>
      <c r="BK6">
        <f>IF(LEFT('設定'!$B$8,3)="日付順",(BK2-1)*12+BK3,(BK3-1)*10+BK2)+BK5*10000</f>
        <v/>
      </c>
      <c r="BL6">
        <f>IF(LEFT('設定'!$B$8,3)="日付順",(BL2-1)*12+BL3,(BL3-1)*10+BL2)+BL5*10000</f>
        <v/>
      </c>
      <c r="BM6">
        <f>IF(LEFT('設定'!$B$8,3)="日付順",(BM2-1)*12+BM3,(BM3-1)*10+BM2)+BM5*10000</f>
        <v/>
      </c>
      <c r="BN6">
        <f>IF(LEFT('設定'!$B$8,3)="日付順",(BN2-1)*12+BN3,(BN3-1)*10+BN2)+BN5*10000</f>
        <v/>
      </c>
      <c r="BO6">
        <f>IF(LEFT('設定'!$B$8,3)="日付順",(BO2-1)*12+BO3,(BO3-1)*10+BO2)+BO5*10000</f>
        <v/>
      </c>
      <c r="BP6">
        <f>IF(LEFT('設定'!$B$8,3)="日付順",(BP2-1)*12+BP3,(BP3-1)*10+BP2)+BP5*10000</f>
        <v/>
      </c>
      <c r="BQ6">
        <f>IF(LEFT('設定'!$B$8,3)="日付順",(BQ2-1)*12+BQ3,(BQ3-1)*10+BQ2)+BQ5*10000</f>
        <v/>
      </c>
      <c r="BR6">
        <f>IF(LEFT('設定'!$B$8,3)="日付順",(BR2-1)*12+BR3,(BR3-1)*10+BR2)+BR5*10000</f>
        <v/>
      </c>
      <c r="BS6">
        <f>IF(LEFT('設定'!$B$8,3)="日付順",(BS2-1)*12+BS3,(BS3-1)*10+BS2)+BS5*10000</f>
        <v/>
      </c>
      <c r="BT6">
        <f>IF(LEFT('設定'!$B$8,3)="日付順",(BT2-1)*12+BT3,(BT3-1)*10+BT2)+BT5*10000</f>
        <v/>
      </c>
      <c r="BU6">
        <f>IF(LEFT('設定'!$B$8,3)="日付順",(BU2-1)*12+BU3,(BU3-1)*10+BU2)+BU5*10000</f>
        <v/>
      </c>
      <c r="BV6">
        <f>IF(LEFT('設定'!$B$8,3)="日付順",(BV2-1)*12+BV3,(BV3-1)*10+BV2)+BV5*10000</f>
        <v/>
      </c>
      <c r="BW6">
        <f>IF(LEFT('設定'!$B$8,3)="日付順",(BW2-1)*12+BW3,(BW3-1)*10+BW2)+BW5*10000</f>
        <v/>
      </c>
      <c r="BX6">
        <f>IF(LEFT('設定'!$B$8,3)="日付順",(BX2-1)*12+BX3,(BX3-1)*10+BX2)+BX5*10000</f>
        <v/>
      </c>
      <c r="BY6">
        <f>IF(LEFT('設定'!$B$8,3)="日付順",(BY2-1)*12+BY3,(BY3-1)*10+BY2)+BY5*10000</f>
        <v/>
      </c>
      <c r="BZ6">
        <f>IF(LEFT('設定'!$B$8,3)="日付順",(BZ2-1)*12+BZ3,(BZ3-1)*10+BZ2)+BZ5*10000</f>
        <v/>
      </c>
      <c r="CA6">
        <f>IF(LEFT('設定'!$B$8,3)="日付順",(CA2-1)*12+CA3,(CA3-1)*10+CA2)+CA5*10000</f>
        <v/>
      </c>
      <c r="CB6">
        <f>IF(LEFT('設定'!$B$8,3)="日付順",(CB2-1)*12+CB3,(CB3-1)*10+CB2)+CB5*10000</f>
        <v/>
      </c>
      <c r="CC6">
        <f>IF(LEFT('設定'!$B$8,3)="日付順",(CC2-1)*12+CC3,(CC3-1)*10+CC2)+CC5*10000</f>
        <v/>
      </c>
      <c r="CD6">
        <f>IF(LEFT('設定'!$B$8,3)="日付順",(CD2-1)*12+CD3,(CD3-1)*10+CD2)+CD5*10000</f>
        <v/>
      </c>
      <c r="CE6">
        <f>IF(LEFT('設定'!$B$8,3)="日付順",(CE2-1)*12+CE3,(CE3-1)*10+CE2)+CE5*10000</f>
        <v/>
      </c>
      <c r="CF6">
        <f>IF(LEFT('設定'!$B$8,3)="日付順",(CF2-1)*12+CF3,(CF3-1)*10+CF2)+CF5*10000</f>
        <v/>
      </c>
      <c r="CG6">
        <f>IF(LEFT('設定'!$B$8,3)="日付順",(CG2-1)*12+CG3,(CG3-1)*10+CG2)+CG5*10000</f>
        <v/>
      </c>
      <c r="CH6">
        <f>IF(LEFT('設定'!$B$8,3)="日付順",(CH2-1)*12+CH3,(CH3-1)*10+CH2)+CH5*10000</f>
        <v/>
      </c>
      <c r="CI6">
        <f>IF(LEFT('設定'!$B$8,3)="日付順",(CI2-1)*12+CI3,(CI3-1)*10+CI2)+CI5*10000</f>
        <v/>
      </c>
      <c r="CJ6">
        <f>IF(LEFT('設定'!$B$8,3)="日付順",(CJ2-1)*12+CJ3,(CJ3-1)*10+CJ2)+CJ5*10000</f>
        <v/>
      </c>
      <c r="CK6">
        <f>IF(LEFT('設定'!$B$8,3)="日付順",(CK2-1)*12+CK3,(CK3-1)*10+CK2)+CK5*10000</f>
        <v/>
      </c>
      <c r="CL6">
        <f>IF(LEFT('設定'!$B$8,3)="日付順",(CL2-1)*12+CL3,(CL3-1)*10+CL2)+CL5*10000</f>
        <v/>
      </c>
      <c r="CM6">
        <f>IF(LEFT('設定'!$B$8,3)="日付順",(CM2-1)*12+CM3,(CM3-1)*10+CM2)+CM5*10000</f>
        <v/>
      </c>
      <c r="CN6">
        <f>IF(LEFT('設定'!$B$8,3)="日付順",(CN2-1)*12+CN3,(CN3-1)*10+CN2)+CN5*10000</f>
        <v/>
      </c>
      <c r="CO6">
        <f>IF(LEFT('設定'!$B$8,3)="日付順",(CO2-1)*12+CO3,(CO3-1)*10+CO2)+CO5*10000</f>
        <v/>
      </c>
      <c r="CP6">
        <f>IF(LEFT('設定'!$B$8,3)="日付順",(CP2-1)*12+CP3,(CP3-1)*10+CP2)+CP5*10000</f>
        <v/>
      </c>
      <c r="CQ6">
        <f>IF(LEFT('設定'!$B$8,3)="日付順",(CQ2-1)*12+CQ3,(CQ3-1)*10+CQ2)+CQ5*10000</f>
        <v/>
      </c>
      <c r="CR6">
        <f>IF(LEFT('設定'!$B$8,3)="日付順",(CR2-1)*12+CR3,(CR3-1)*10+CR2)+CR5*10000</f>
        <v/>
      </c>
      <c r="CS6">
        <f>IF(LEFT('設定'!$B$8,3)="日付順",(CS2-1)*12+CS3,(CS3-1)*10+CS2)+CS5*10000</f>
        <v/>
      </c>
      <c r="CT6">
        <f>IF(LEFT('設定'!$B$8,3)="日付順",(CT2-1)*12+CT3,(CT3-1)*10+CT2)+CT5*10000</f>
        <v/>
      </c>
      <c r="CU6">
        <f>IF(LEFT('設定'!$B$8,3)="日付順",(CU2-1)*12+CU3,(CU3-1)*10+CU2)+CU5*10000</f>
        <v/>
      </c>
      <c r="CV6">
        <f>IF(LEFT('設定'!$B$8,3)="日付順",(CV2-1)*12+CV3,(CV3-1)*10+CV2)+CV5*10000</f>
        <v/>
      </c>
      <c r="CW6">
        <f>IF(LEFT('設定'!$B$8,3)="日付順",(CW2-1)*12+CW3,(CW3-1)*10+CW2)+CW5*10000</f>
        <v/>
      </c>
      <c r="CX6">
        <f>IF(LEFT('設定'!$B$8,3)="日付順",(CX2-1)*12+CX3,(CX3-1)*10+CX2)+CX5*10000</f>
        <v/>
      </c>
      <c r="CY6">
        <f>IF(LEFT('設定'!$B$8,3)="日付順",(CY2-1)*12+CY3,(CY3-1)*10+CY2)+CY5*10000</f>
        <v/>
      </c>
      <c r="CZ6">
        <f>IF(LEFT('設定'!$B$8,3)="日付順",(CZ2-1)*12+CZ3,(CZ3-1)*10+CZ2)+CZ5*10000</f>
        <v/>
      </c>
      <c r="DA6">
        <f>IF(LEFT('設定'!$B$8,3)="日付順",(DA2-1)*12+DA3,(DA3-1)*10+DA2)+DA5*10000</f>
        <v/>
      </c>
      <c r="DB6">
        <f>IF(LEFT('設定'!$B$8,3)="日付順",(DB2-1)*12+DB3,(DB3-1)*10+DB2)+DB5*10000</f>
        <v/>
      </c>
      <c r="DC6">
        <f>IF(LEFT('設定'!$B$8,3)="日付順",(DC2-1)*12+DC3,(DC3-1)*10+DC2)+DC5*10000</f>
        <v/>
      </c>
      <c r="DD6">
        <f>IF(LEFT('設定'!$B$8,3)="日付順",(DD2-1)*12+DD3,(DD3-1)*10+DD2)+DD5*10000</f>
        <v/>
      </c>
      <c r="DE6">
        <f>IF(LEFT('設定'!$B$8,3)="日付順",(DE2-1)*12+DE3,(DE3-1)*10+DE2)+DE5*10000</f>
        <v/>
      </c>
      <c r="DF6">
        <f>IF(LEFT('設定'!$B$8,3)="日付順",(DF2-1)*12+DF3,(DF3-1)*10+DF2)+DF5*10000</f>
        <v/>
      </c>
      <c r="DG6">
        <f>IF(LEFT('設定'!$B$8,3)="日付順",(DG2-1)*12+DG3,(DG3-1)*10+DG2)+DG5*10000</f>
        <v/>
      </c>
      <c r="DH6">
        <f>IF(LEFT('設定'!$B$8,3)="日付順",(DH2-1)*12+DH3,(DH3-1)*10+DH2)+DH5*10000</f>
        <v/>
      </c>
      <c r="DI6">
        <f>IF(LEFT('設定'!$B$8,3)="日付順",(DI2-1)*12+DI3,(DI3-1)*10+DI2)+DI5*10000</f>
        <v/>
      </c>
      <c r="DJ6">
        <f>IF(LEFT('設定'!$B$8,3)="日付順",(DJ2-1)*12+DJ3,(DJ3-1)*10+DJ2)+DJ5*10000</f>
        <v/>
      </c>
      <c r="DK6">
        <f>IF(LEFT('設定'!$B$8,3)="日付順",(DK2-1)*12+DK3,(DK3-1)*10+DK2)+DK5*10000</f>
        <v/>
      </c>
      <c r="DL6">
        <f>IF(LEFT('設定'!$B$8,3)="日付順",(DL2-1)*12+DL3,(DL3-1)*10+DL2)+DL5*10000</f>
        <v/>
      </c>
      <c r="DM6">
        <f>IF(LEFT('設定'!$B$8,3)="日付順",(DM2-1)*12+DM3,(DM3-1)*10+DM2)+DM5*10000</f>
        <v/>
      </c>
      <c r="DN6">
        <f>IF(LEFT('設定'!$B$8,3)="日付順",(DN2-1)*12+DN3,(DN3-1)*10+DN2)+DN5*10000</f>
        <v/>
      </c>
      <c r="DO6">
        <f>IF(LEFT('設定'!$B$8,3)="日付順",(DO2-1)*12+DO3,(DO3-1)*10+DO2)+DO5*10000</f>
        <v/>
      </c>
      <c r="DP6">
        <f>IF(LEFT('設定'!$B$8,3)="日付順",(DP2-1)*12+DP3,(DP3-1)*10+DP2)+DP5*10000</f>
        <v/>
      </c>
      <c r="DQ6">
        <f>IF(LEFT('設定'!$B$8,3)="日付順",(DQ2-1)*12+DQ3,(DQ3-1)*10+DQ2)+DQ5*10000</f>
        <v/>
      </c>
      <c r="DR6">
        <f>IF(LEFT('設定'!$B$8,3)="日付順",(DR2-1)*12+DR3,(DR3-1)*10+DR2)+DR5*10000</f>
        <v/>
      </c>
      <c r="DS6">
        <f>IF(LEFT('設定'!$B$8,3)="日付順",(DS2-1)*12+DS3,(DS3-1)*10+DS2)+DS5*10000</f>
        <v/>
      </c>
    </row>
    <row r="7">
      <c r="C7" s="6" t="inlineStr">
        <is>
          <t>決定済み</t>
        </is>
      </c>
      <c r="D7">
        <f>IF(INDEX('割り当て'!$C$6:$L$17,D3,D2)&lt;&gt;"",1,0)</f>
        <v/>
      </c>
      <c r="E7">
        <f>IF(INDEX('割り当て'!$C$6:$L$17,E3,E2)&lt;&gt;"",1,0)</f>
        <v/>
      </c>
      <c r="F7">
        <f>IF(INDEX('割り当て'!$C$6:$L$17,F3,F2)&lt;&gt;"",1,0)</f>
        <v/>
      </c>
      <c r="G7">
        <f>IF(INDEX('割り当て'!$C$6:$L$17,G3,G2)&lt;&gt;"",1,0)</f>
        <v/>
      </c>
      <c r="H7">
        <f>IF(INDEX('割り当て'!$C$6:$L$17,H3,H2)&lt;&gt;"",1,0)</f>
        <v/>
      </c>
      <c r="I7">
        <f>IF(INDEX('割り当て'!$C$6:$L$17,I3,I2)&lt;&gt;"",1,0)</f>
        <v/>
      </c>
      <c r="J7">
        <f>IF(INDEX('割り当て'!$C$6:$L$17,J3,J2)&lt;&gt;"",1,0)</f>
        <v/>
      </c>
      <c r="K7">
        <f>IF(INDEX('割り当て'!$C$6:$L$17,K3,K2)&lt;&gt;"",1,0)</f>
        <v/>
      </c>
      <c r="L7">
        <f>IF(INDEX('割り当て'!$C$6:$L$17,L3,L2)&lt;&gt;"",1,0)</f>
        <v/>
      </c>
      <c r="M7">
        <f>IF(INDEX('割り当て'!$C$6:$L$17,M3,M2)&lt;&gt;"",1,0)</f>
        <v/>
      </c>
      <c r="N7">
        <f>IF(INDEX('割り当て'!$C$6:$L$17,N3,N2)&lt;&gt;"",1,0)</f>
        <v/>
      </c>
      <c r="O7">
        <f>IF(INDEX('割り当て'!$C$6:$L$17,O3,O2)&lt;&gt;"",1,0)</f>
        <v/>
      </c>
      <c r="P7">
        <f>IF(INDEX('割り当て'!$C$6:$L$17,P3,P2)&lt;&gt;"",1,0)</f>
        <v/>
      </c>
      <c r="Q7">
        <f>IF(INDEX('割り当て'!$C$6:$L$17,Q3,Q2)&lt;&gt;"",1,0)</f>
        <v/>
      </c>
      <c r="R7">
        <f>IF(INDEX('割り当て'!$C$6:$L$17,R3,R2)&lt;&gt;"",1,0)</f>
        <v/>
      </c>
      <c r="S7">
        <f>IF(INDEX('割り当て'!$C$6:$L$17,S3,S2)&lt;&gt;"",1,0)</f>
        <v/>
      </c>
      <c r="T7">
        <f>IF(INDEX('割り当て'!$C$6:$L$17,T3,T2)&lt;&gt;"",1,0)</f>
        <v/>
      </c>
      <c r="U7">
        <f>IF(INDEX('割り当て'!$C$6:$L$17,U3,U2)&lt;&gt;"",1,0)</f>
        <v/>
      </c>
      <c r="V7">
        <f>IF(INDEX('割り当て'!$C$6:$L$17,V3,V2)&lt;&gt;"",1,0)</f>
        <v/>
      </c>
      <c r="W7">
        <f>IF(INDEX('割り当て'!$C$6:$L$17,W3,W2)&lt;&gt;"",1,0)</f>
        <v/>
      </c>
      <c r="X7">
        <f>IF(INDEX('割り当て'!$C$6:$L$17,X3,X2)&lt;&gt;"",1,0)</f>
        <v/>
      </c>
      <c r="Y7">
        <f>IF(INDEX('割り当て'!$C$6:$L$17,Y3,Y2)&lt;&gt;"",1,0)</f>
        <v/>
      </c>
      <c r="Z7">
        <f>IF(INDEX('割り当て'!$C$6:$L$17,Z3,Z2)&lt;&gt;"",1,0)</f>
        <v/>
      </c>
      <c r="AA7">
        <f>IF(INDEX('割り当て'!$C$6:$L$17,AA3,AA2)&lt;&gt;"",1,0)</f>
        <v/>
      </c>
      <c r="AB7">
        <f>IF(INDEX('割り当て'!$C$6:$L$17,AB3,AB2)&lt;&gt;"",1,0)</f>
        <v/>
      </c>
      <c r="AC7">
        <f>IF(INDEX('割り当て'!$C$6:$L$17,AC3,AC2)&lt;&gt;"",1,0)</f>
        <v/>
      </c>
      <c r="AD7">
        <f>IF(INDEX('割り当て'!$C$6:$L$17,AD3,AD2)&lt;&gt;"",1,0)</f>
        <v/>
      </c>
      <c r="AE7">
        <f>IF(INDEX('割り当て'!$C$6:$L$17,AE3,AE2)&lt;&gt;"",1,0)</f>
        <v/>
      </c>
      <c r="AF7">
        <f>IF(INDEX('割り当て'!$C$6:$L$17,AF3,AF2)&lt;&gt;"",1,0)</f>
        <v/>
      </c>
      <c r="AG7">
        <f>IF(INDEX('割り当て'!$C$6:$L$17,AG3,AG2)&lt;&gt;"",1,0)</f>
        <v/>
      </c>
      <c r="AH7">
        <f>IF(INDEX('割り当て'!$C$6:$L$17,AH3,AH2)&lt;&gt;"",1,0)</f>
        <v/>
      </c>
      <c r="AI7">
        <f>IF(INDEX('割り当て'!$C$6:$L$17,AI3,AI2)&lt;&gt;"",1,0)</f>
        <v/>
      </c>
      <c r="AJ7">
        <f>IF(INDEX('割り当て'!$C$6:$L$17,AJ3,AJ2)&lt;&gt;"",1,0)</f>
        <v/>
      </c>
      <c r="AK7">
        <f>IF(INDEX('割り当て'!$C$6:$L$17,AK3,AK2)&lt;&gt;"",1,0)</f>
        <v/>
      </c>
      <c r="AL7">
        <f>IF(INDEX('割り当て'!$C$6:$L$17,AL3,AL2)&lt;&gt;"",1,0)</f>
        <v/>
      </c>
      <c r="AM7">
        <f>IF(INDEX('割り当て'!$C$6:$L$17,AM3,AM2)&lt;&gt;"",1,0)</f>
        <v/>
      </c>
      <c r="AN7">
        <f>IF(INDEX('割り当て'!$C$6:$L$17,AN3,AN2)&lt;&gt;"",1,0)</f>
        <v/>
      </c>
      <c r="AO7">
        <f>IF(INDEX('割り当て'!$C$6:$L$17,AO3,AO2)&lt;&gt;"",1,0)</f>
        <v/>
      </c>
      <c r="AP7">
        <f>IF(INDEX('割り当て'!$C$6:$L$17,AP3,AP2)&lt;&gt;"",1,0)</f>
        <v/>
      </c>
      <c r="AQ7">
        <f>IF(INDEX('割り当て'!$C$6:$L$17,AQ3,AQ2)&lt;&gt;"",1,0)</f>
        <v/>
      </c>
      <c r="AR7">
        <f>IF(INDEX('割り当て'!$C$6:$L$17,AR3,AR2)&lt;&gt;"",1,0)</f>
        <v/>
      </c>
      <c r="AS7">
        <f>IF(INDEX('割り当て'!$C$6:$L$17,AS3,AS2)&lt;&gt;"",1,0)</f>
        <v/>
      </c>
      <c r="AT7">
        <f>IF(INDEX('割り当て'!$C$6:$L$17,AT3,AT2)&lt;&gt;"",1,0)</f>
        <v/>
      </c>
      <c r="AU7">
        <f>IF(INDEX('割り当て'!$C$6:$L$17,AU3,AU2)&lt;&gt;"",1,0)</f>
        <v/>
      </c>
      <c r="AV7">
        <f>IF(INDEX('割り当て'!$C$6:$L$17,AV3,AV2)&lt;&gt;"",1,0)</f>
        <v/>
      </c>
      <c r="AW7">
        <f>IF(INDEX('割り当て'!$C$6:$L$17,AW3,AW2)&lt;&gt;"",1,0)</f>
        <v/>
      </c>
      <c r="AX7">
        <f>IF(INDEX('割り当て'!$C$6:$L$17,AX3,AX2)&lt;&gt;"",1,0)</f>
        <v/>
      </c>
      <c r="AY7">
        <f>IF(INDEX('割り当て'!$C$6:$L$17,AY3,AY2)&lt;&gt;"",1,0)</f>
        <v/>
      </c>
      <c r="AZ7">
        <f>IF(INDEX('割り当て'!$C$6:$L$17,AZ3,AZ2)&lt;&gt;"",1,0)</f>
        <v/>
      </c>
      <c r="BA7">
        <f>IF(INDEX('割り当て'!$C$6:$L$17,BA3,BA2)&lt;&gt;"",1,0)</f>
        <v/>
      </c>
      <c r="BB7">
        <f>IF(INDEX('割り当て'!$C$6:$L$17,BB3,BB2)&lt;&gt;"",1,0)</f>
        <v/>
      </c>
      <c r="BC7">
        <f>IF(INDEX('割り当て'!$C$6:$L$17,BC3,BC2)&lt;&gt;"",1,0)</f>
        <v/>
      </c>
      <c r="BD7">
        <f>IF(INDEX('割り当て'!$C$6:$L$17,BD3,BD2)&lt;&gt;"",1,0)</f>
        <v/>
      </c>
      <c r="BE7">
        <f>IF(INDEX('割り当て'!$C$6:$L$17,BE3,BE2)&lt;&gt;"",1,0)</f>
        <v/>
      </c>
      <c r="BF7">
        <f>IF(INDEX('割り当て'!$C$6:$L$17,BF3,BF2)&lt;&gt;"",1,0)</f>
        <v/>
      </c>
      <c r="BG7">
        <f>IF(INDEX('割り当て'!$C$6:$L$17,BG3,BG2)&lt;&gt;"",1,0)</f>
        <v/>
      </c>
      <c r="BH7">
        <f>IF(INDEX('割り当て'!$C$6:$L$17,BH3,BH2)&lt;&gt;"",1,0)</f>
        <v/>
      </c>
      <c r="BI7">
        <f>IF(INDEX('割り当て'!$C$6:$L$17,BI3,BI2)&lt;&gt;"",1,0)</f>
        <v/>
      </c>
      <c r="BJ7">
        <f>IF(INDEX('割り当て'!$C$6:$L$17,BJ3,BJ2)&lt;&gt;"",1,0)</f>
        <v/>
      </c>
      <c r="BK7">
        <f>IF(INDEX('割り当て'!$C$6:$L$17,BK3,BK2)&lt;&gt;"",1,0)</f>
        <v/>
      </c>
      <c r="BL7">
        <f>IF(INDEX('割り当て'!$C$6:$L$17,BL3,BL2)&lt;&gt;"",1,0)</f>
        <v/>
      </c>
      <c r="BM7">
        <f>IF(INDEX('割り当て'!$C$6:$L$17,BM3,BM2)&lt;&gt;"",1,0)</f>
        <v/>
      </c>
      <c r="BN7">
        <f>IF(INDEX('割り当て'!$C$6:$L$17,BN3,BN2)&lt;&gt;"",1,0)</f>
        <v/>
      </c>
      <c r="BO7">
        <f>IF(INDEX('割り当て'!$C$6:$L$17,BO3,BO2)&lt;&gt;"",1,0)</f>
        <v/>
      </c>
      <c r="BP7">
        <f>IF(INDEX('割り当て'!$C$6:$L$17,BP3,BP2)&lt;&gt;"",1,0)</f>
        <v/>
      </c>
      <c r="BQ7">
        <f>IF(INDEX('割り当て'!$C$6:$L$17,BQ3,BQ2)&lt;&gt;"",1,0)</f>
        <v/>
      </c>
      <c r="BR7">
        <f>IF(INDEX('割り当て'!$C$6:$L$17,BR3,BR2)&lt;&gt;"",1,0)</f>
        <v/>
      </c>
      <c r="BS7">
        <f>IF(INDEX('割り当て'!$C$6:$L$17,BS3,BS2)&lt;&gt;"",1,0)</f>
        <v/>
      </c>
      <c r="BT7">
        <f>IF(INDEX('割り当て'!$C$6:$L$17,BT3,BT2)&lt;&gt;"",1,0)</f>
        <v/>
      </c>
      <c r="BU7">
        <f>IF(INDEX('割り当て'!$C$6:$L$17,BU3,BU2)&lt;&gt;"",1,0)</f>
        <v/>
      </c>
      <c r="BV7">
        <f>IF(INDEX('割り当て'!$C$6:$L$17,BV3,BV2)&lt;&gt;"",1,0)</f>
        <v/>
      </c>
      <c r="BW7">
        <f>IF(INDEX('割り当て'!$C$6:$L$17,BW3,BW2)&lt;&gt;"",1,0)</f>
        <v/>
      </c>
      <c r="BX7">
        <f>IF(INDEX('割り当て'!$C$6:$L$17,BX3,BX2)&lt;&gt;"",1,0)</f>
        <v/>
      </c>
      <c r="BY7">
        <f>IF(INDEX('割り当て'!$C$6:$L$17,BY3,BY2)&lt;&gt;"",1,0)</f>
        <v/>
      </c>
      <c r="BZ7">
        <f>IF(INDEX('割り当て'!$C$6:$L$17,BZ3,BZ2)&lt;&gt;"",1,0)</f>
        <v/>
      </c>
      <c r="CA7">
        <f>IF(INDEX('割り当て'!$C$6:$L$17,CA3,CA2)&lt;&gt;"",1,0)</f>
        <v/>
      </c>
      <c r="CB7">
        <f>IF(INDEX('割り当て'!$C$6:$L$17,CB3,CB2)&lt;&gt;"",1,0)</f>
        <v/>
      </c>
      <c r="CC7">
        <f>IF(INDEX('割り当て'!$C$6:$L$17,CC3,CC2)&lt;&gt;"",1,0)</f>
        <v/>
      </c>
      <c r="CD7">
        <f>IF(INDEX('割り当て'!$C$6:$L$17,CD3,CD2)&lt;&gt;"",1,0)</f>
        <v/>
      </c>
      <c r="CE7">
        <f>IF(INDEX('割り当て'!$C$6:$L$17,CE3,CE2)&lt;&gt;"",1,0)</f>
        <v/>
      </c>
      <c r="CF7">
        <f>IF(INDEX('割り当て'!$C$6:$L$17,CF3,CF2)&lt;&gt;"",1,0)</f>
        <v/>
      </c>
      <c r="CG7">
        <f>IF(INDEX('割り当て'!$C$6:$L$17,CG3,CG2)&lt;&gt;"",1,0)</f>
        <v/>
      </c>
      <c r="CH7">
        <f>IF(INDEX('割り当て'!$C$6:$L$17,CH3,CH2)&lt;&gt;"",1,0)</f>
        <v/>
      </c>
      <c r="CI7">
        <f>IF(INDEX('割り当て'!$C$6:$L$17,CI3,CI2)&lt;&gt;"",1,0)</f>
        <v/>
      </c>
      <c r="CJ7">
        <f>IF(INDEX('割り当て'!$C$6:$L$17,CJ3,CJ2)&lt;&gt;"",1,0)</f>
        <v/>
      </c>
      <c r="CK7">
        <f>IF(INDEX('割り当て'!$C$6:$L$17,CK3,CK2)&lt;&gt;"",1,0)</f>
        <v/>
      </c>
      <c r="CL7">
        <f>IF(INDEX('割り当て'!$C$6:$L$17,CL3,CL2)&lt;&gt;"",1,0)</f>
        <v/>
      </c>
      <c r="CM7">
        <f>IF(INDEX('割り当て'!$C$6:$L$17,CM3,CM2)&lt;&gt;"",1,0)</f>
        <v/>
      </c>
      <c r="CN7">
        <f>IF(INDEX('割り当て'!$C$6:$L$17,CN3,CN2)&lt;&gt;"",1,0)</f>
        <v/>
      </c>
      <c r="CO7">
        <f>IF(INDEX('割り当て'!$C$6:$L$17,CO3,CO2)&lt;&gt;"",1,0)</f>
        <v/>
      </c>
      <c r="CP7">
        <f>IF(INDEX('割り当て'!$C$6:$L$17,CP3,CP2)&lt;&gt;"",1,0)</f>
        <v/>
      </c>
      <c r="CQ7">
        <f>IF(INDEX('割り当て'!$C$6:$L$17,CQ3,CQ2)&lt;&gt;"",1,0)</f>
        <v/>
      </c>
      <c r="CR7">
        <f>IF(INDEX('割り当て'!$C$6:$L$17,CR3,CR2)&lt;&gt;"",1,0)</f>
        <v/>
      </c>
      <c r="CS7">
        <f>IF(INDEX('割り当て'!$C$6:$L$17,CS3,CS2)&lt;&gt;"",1,0)</f>
        <v/>
      </c>
      <c r="CT7">
        <f>IF(INDEX('割り当て'!$C$6:$L$17,CT3,CT2)&lt;&gt;"",1,0)</f>
        <v/>
      </c>
      <c r="CU7">
        <f>IF(INDEX('割り当て'!$C$6:$L$17,CU3,CU2)&lt;&gt;"",1,0)</f>
        <v/>
      </c>
      <c r="CV7">
        <f>IF(INDEX('割り当て'!$C$6:$L$17,CV3,CV2)&lt;&gt;"",1,0)</f>
        <v/>
      </c>
      <c r="CW7">
        <f>IF(INDEX('割り当て'!$C$6:$L$17,CW3,CW2)&lt;&gt;"",1,0)</f>
        <v/>
      </c>
      <c r="CX7">
        <f>IF(INDEX('割り当て'!$C$6:$L$17,CX3,CX2)&lt;&gt;"",1,0)</f>
        <v/>
      </c>
      <c r="CY7">
        <f>IF(INDEX('割り当て'!$C$6:$L$17,CY3,CY2)&lt;&gt;"",1,0)</f>
        <v/>
      </c>
      <c r="CZ7">
        <f>IF(INDEX('割り当て'!$C$6:$L$17,CZ3,CZ2)&lt;&gt;"",1,0)</f>
        <v/>
      </c>
      <c r="DA7">
        <f>IF(INDEX('割り当て'!$C$6:$L$17,DA3,DA2)&lt;&gt;"",1,0)</f>
        <v/>
      </c>
      <c r="DB7">
        <f>IF(INDEX('割り当て'!$C$6:$L$17,DB3,DB2)&lt;&gt;"",1,0)</f>
        <v/>
      </c>
      <c r="DC7">
        <f>IF(INDEX('割り当て'!$C$6:$L$17,DC3,DC2)&lt;&gt;"",1,0)</f>
        <v/>
      </c>
      <c r="DD7">
        <f>IF(INDEX('割り当て'!$C$6:$L$17,DD3,DD2)&lt;&gt;"",1,0)</f>
        <v/>
      </c>
      <c r="DE7">
        <f>IF(INDEX('割り当て'!$C$6:$L$17,DE3,DE2)&lt;&gt;"",1,0)</f>
        <v/>
      </c>
      <c r="DF7">
        <f>IF(INDEX('割り当て'!$C$6:$L$17,DF3,DF2)&lt;&gt;"",1,0)</f>
        <v/>
      </c>
      <c r="DG7">
        <f>IF(INDEX('割り当て'!$C$6:$L$17,DG3,DG2)&lt;&gt;"",1,0)</f>
        <v/>
      </c>
      <c r="DH7">
        <f>IF(INDEX('割り当て'!$C$6:$L$17,DH3,DH2)&lt;&gt;"",1,0)</f>
        <v/>
      </c>
      <c r="DI7">
        <f>IF(INDEX('割り当て'!$C$6:$L$17,DI3,DI2)&lt;&gt;"",1,0)</f>
        <v/>
      </c>
      <c r="DJ7">
        <f>IF(INDEX('割り当て'!$C$6:$L$17,DJ3,DJ2)&lt;&gt;"",1,0)</f>
        <v/>
      </c>
      <c r="DK7">
        <f>IF(INDEX('割り当て'!$C$6:$L$17,DK3,DK2)&lt;&gt;"",1,0)</f>
        <v/>
      </c>
      <c r="DL7">
        <f>IF(INDEX('割り当て'!$C$6:$L$17,DL3,DL2)&lt;&gt;"",1,0)</f>
        <v/>
      </c>
      <c r="DM7">
        <f>IF(INDEX('割り当て'!$C$6:$L$17,DM3,DM2)&lt;&gt;"",1,0)</f>
        <v/>
      </c>
      <c r="DN7">
        <f>IF(INDEX('割り当て'!$C$6:$L$17,DN3,DN2)&lt;&gt;"",1,0)</f>
        <v/>
      </c>
      <c r="DO7">
        <f>IF(INDEX('割り当て'!$C$6:$L$17,DO3,DO2)&lt;&gt;"",1,0)</f>
        <v/>
      </c>
      <c r="DP7">
        <f>IF(INDEX('割り当て'!$C$6:$L$17,DP3,DP2)&lt;&gt;"",1,0)</f>
        <v/>
      </c>
      <c r="DQ7">
        <f>IF(INDEX('割り当て'!$C$6:$L$17,DQ3,DQ2)&lt;&gt;"",1,0)</f>
        <v/>
      </c>
      <c r="DR7">
        <f>IF(INDEX('割り当て'!$C$6:$L$17,DR3,DR2)&lt;&gt;"",1,0)</f>
        <v/>
      </c>
      <c r="DS7">
        <f>IF(INDEX('割り当て'!$C$6:$L$17,DS3,DS2)&lt;&gt;"",1,0)</f>
        <v/>
      </c>
    </row>
    <row r="8">
      <c r="A8" s="6" t="inlineStr">
        <is>
          <t>選択中→</t>
        </is>
      </c>
      <c r="B8" s="6">
        <f>IFERROR(MATCH('割り当て'!$N$5,$B$10:$B$54,0),0)</f>
        <v/>
      </c>
      <c r="C8" s="6" t="inlineStr">
        <is>
          <t>表示</t>
        </is>
      </c>
      <c r="D8">
        <f>IF(D4=1,INDEX('設定'!$E$11:$E$20,D2)&amp;" "&amp;INDEX('設定'!$I$11:$I$22,D3),"")</f>
        <v/>
      </c>
      <c r="E8">
        <f>IF(E4=1,INDEX('設定'!$E$11:$E$20,E2)&amp;" "&amp;INDEX('設定'!$I$11:$I$22,E3),"")</f>
        <v/>
      </c>
      <c r="F8">
        <f>IF(F4=1,INDEX('設定'!$E$11:$E$20,F2)&amp;" "&amp;INDEX('設定'!$I$11:$I$22,F3),"")</f>
        <v/>
      </c>
      <c r="G8">
        <f>IF(G4=1,INDEX('設定'!$E$11:$E$20,G2)&amp;" "&amp;INDEX('設定'!$I$11:$I$22,G3),"")</f>
        <v/>
      </c>
      <c r="H8">
        <f>IF(H4=1,INDEX('設定'!$E$11:$E$20,H2)&amp;" "&amp;INDEX('設定'!$I$11:$I$22,H3),"")</f>
        <v/>
      </c>
      <c r="I8">
        <f>IF(I4=1,INDEX('設定'!$E$11:$E$20,I2)&amp;" "&amp;INDEX('設定'!$I$11:$I$22,I3),"")</f>
        <v/>
      </c>
      <c r="J8">
        <f>IF(J4=1,INDEX('設定'!$E$11:$E$20,J2)&amp;" "&amp;INDEX('設定'!$I$11:$I$22,J3),"")</f>
        <v/>
      </c>
      <c r="K8">
        <f>IF(K4=1,INDEX('設定'!$E$11:$E$20,K2)&amp;" "&amp;INDEX('設定'!$I$11:$I$22,K3),"")</f>
        <v/>
      </c>
      <c r="L8">
        <f>IF(L4=1,INDEX('設定'!$E$11:$E$20,L2)&amp;" "&amp;INDEX('設定'!$I$11:$I$22,L3),"")</f>
        <v/>
      </c>
      <c r="M8">
        <f>IF(M4=1,INDEX('設定'!$E$11:$E$20,M2)&amp;" "&amp;INDEX('設定'!$I$11:$I$22,M3),"")</f>
        <v/>
      </c>
      <c r="N8">
        <f>IF(N4=1,INDEX('設定'!$E$11:$E$20,N2)&amp;" "&amp;INDEX('設定'!$I$11:$I$22,N3),"")</f>
        <v/>
      </c>
      <c r="O8">
        <f>IF(O4=1,INDEX('設定'!$E$11:$E$20,O2)&amp;" "&amp;INDEX('設定'!$I$11:$I$22,O3),"")</f>
        <v/>
      </c>
      <c r="P8">
        <f>IF(P4=1,INDEX('設定'!$E$11:$E$20,P2)&amp;" "&amp;INDEX('設定'!$I$11:$I$22,P3),"")</f>
        <v/>
      </c>
      <c r="Q8">
        <f>IF(Q4=1,INDEX('設定'!$E$11:$E$20,Q2)&amp;" "&amp;INDEX('設定'!$I$11:$I$22,Q3),"")</f>
        <v/>
      </c>
      <c r="R8">
        <f>IF(R4=1,INDEX('設定'!$E$11:$E$20,R2)&amp;" "&amp;INDEX('設定'!$I$11:$I$22,R3),"")</f>
        <v/>
      </c>
      <c r="S8">
        <f>IF(S4=1,INDEX('設定'!$E$11:$E$20,S2)&amp;" "&amp;INDEX('設定'!$I$11:$I$22,S3),"")</f>
        <v/>
      </c>
      <c r="T8">
        <f>IF(T4=1,INDEX('設定'!$E$11:$E$20,T2)&amp;" "&amp;INDEX('設定'!$I$11:$I$22,T3),"")</f>
        <v/>
      </c>
      <c r="U8">
        <f>IF(U4=1,INDEX('設定'!$E$11:$E$20,U2)&amp;" "&amp;INDEX('設定'!$I$11:$I$22,U3),"")</f>
        <v/>
      </c>
      <c r="V8">
        <f>IF(V4=1,INDEX('設定'!$E$11:$E$20,V2)&amp;" "&amp;INDEX('設定'!$I$11:$I$22,V3),"")</f>
        <v/>
      </c>
      <c r="W8">
        <f>IF(W4=1,INDEX('設定'!$E$11:$E$20,W2)&amp;" "&amp;INDEX('設定'!$I$11:$I$22,W3),"")</f>
        <v/>
      </c>
      <c r="X8">
        <f>IF(X4=1,INDEX('設定'!$E$11:$E$20,X2)&amp;" "&amp;INDEX('設定'!$I$11:$I$22,X3),"")</f>
        <v/>
      </c>
      <c r="Y8">
        <f>IF(Y4=1,INDEX('設定'!$E$11:$E$20,Y2)&amp;" "&amp;INDEX('設定'!$I$11:$I$22,Y3),"")</f>
        <v/>
      </c>
      <c r="Z8">
        <f>IF(Z4=1,INDEX('設定'!$E$11:$E$20,Z2)&amp;" "&amp;INDEX('設定'!$I$11:$I$22,Z3),"")</f>
        <v/>
      </c>
      <c r="AA8">
        <f>IF(AA4=1,INDEX('設定'!$E$11:$E$20,AA2)&amp;" "&amp;INDEX('設定'!$I$11:$I$22,AA3),"")</f>
        <v/>
      </c>
      <c r="AB8">
        <f>IF(AB4=1,INDEX('設定'!$E$11:$E$20,AB2)&amp;" "&amp;INDEX('設定'!$I$11:$I$22,AB3),"")</f>
        <v/>
      </c>
      <c r="AC8">
        <f>IF(AC4=1,INDEX('設定'!$E$11:$E$20,AC2)&amp;" "&amp;INDEX('設定'!$I$11:$I$22,AC3),"")</f>
        <v/>
      </c>
      <c r="AD8">
        <f>IF(AD4=1,INDEX('設定'!$E$11:$E$20,AD2)&amp;" "&amp;INDEX('設定'!$I$11:$I$22,AD3),"")</f>
        <v/>
      </c>
      <c r="AE8">
        <f>IF(AE4=1,INDEX('設定'!$E$11:$E$20,AE2)&amp;" "&amp;INDEX('設定'!$I$11:$I$22,AE3),"")</f>
        <v/>
      </c>
      <c r="AF8">
        <f>IF(AF4=1,INDEX('設定'!$E$11:$E$20,AF2)&amp;" "&amp;INDEX('設定'!$I$11:$I$22,AF3),"")</f>
        <v/>
      </c>
      <c r="AG8">
        <f>IF(AG4=1,INDEX('設定'!$E$11:$E$20,AG2)&amp;" "&amp;INDEX('設定'!$I$11:$I$22,AG3),"")</f>
        <v/>
      </c>
      <c r="AH8">
        <f>IF(AH4=1,INDEX('設定'!$E$11:$E$20,AH2)&amp;" "&amp;INDEX('設定'!$I$11:$I$22,AH3),"")</f>
        <v/>
      </c>
      <c r="AI8">
        <f>IF(AI4=1,INDEX('設定'!$E$11:$E$20,AI2)&amp;" "&amp;INDEX('設定'!$I$11:$I$22,AI3),"")</f>
        <v/>
      </c>
      <c r="AJ8">
        <f>IF(AJ4=1,INDEX('設定'!$E$11:$E$20,AJ2)&amp;" "&amp;INDEX('設定'!$I$11:$I$22,AJ3),"")</f>
        <v/>
      </c>
      <c r="AK8">
        <f>IF(AK4=1,INDEX('設定'!$E$11:$E$20,AK2)&amp;" "&amp;INDEX('設定'!$I$11:$I$22,AK3),"")</f>
        <v/>
      </c>
      <c r="AL8">
        <f>IF(AL4=1,INDEX('設定'!$E$11:$E$20,AL2)&amp;" "&amp;INDEX('設定'!$I$11:$I$22,AL3),"")</f>
        <v/>
      </c>
      <c r="AM8">
        <f>IF(AM4=1,INDEX('設定'!$E$11:$E$20,AM2)&amp;" "&amp;INDEX('設定'!$I$11:$I$22,AM3),"")</f>
        <v/>
      </c>
      <c r="AN8">
        <f>IF(AN4=1,INDEX('設定'!$E$11:$E$20,AN2)&amp;" "&amp;INDEX('設定'!$I$11:$I$22,AN3),"")</f>
        <v/>
      </c>
      <c r="AO8">
        <f>IF(AO4=1,INDEX('設定'!$E$11:$E$20,AO2)&amp;" "&amp;INDEX('設定'!$I$11:$I$22,AO3),"")</f>
        <v/>
      </c>
      <c r="AP8">
        <f>IF(AP4=1,INDEX('設定'!$E$11:$E$20,AP2)&amp;" "&amp;INDEX('設定'!$I$11:$I$22,AP3),"")</f>
        <v/>
      </c>
      <c r="AQ8">
        <f>IF(AQ4=1,INDEX('設定'!$E$11:$E$20,AQ2)&amp;" "&amp;INDEX('設定'!$I$11:$I$22,AQ3),"")</f>
        <v/>
      </c>
      <c r="AR8">
        <f>IF(AR4=1,INDEX('設定'!$E$11:$E$20,AR2)&amp;" "&amp;INDEX('設定'!$I$11:$I$22,AR3),"")</f>
        <v/>
      </c>
      <c r="AS8">
        <f>IF(AS4=1,INDEX('設定'!$E$11:$E$20,AS2)&amp;" "&amp;INDEX('設定'!$I$11:$I$22,AS3),"")</f>
        <v/>
      </c>
      <c r="AT8">
        <f>IF(AT4=1,INDEX('設定'!$E$11:$E$20,AT2)&amp;" "&amp;INDEX('設定'!$I$11:$I$22,AT3),"")</f>
        <v/>
      </c>
      <c r="AU8">
        <f>IF(AU4=1,INDEX('設定'!$E$11:$E$20,AU2)&amp;" "&amp;INDEX('設定'!$I$11:$I$22,AU3),"")</f>
        <v/>
      </c>
      <c r="AV8">
        <f>IF(AV4=1,INDEX('設定'!$E$11:$E$20,AV2)&amp;" "&amp;INDEX('設定'!$I$11:$I$22,AV3),"")</f>
        <v/>
      </c>
      <c r="AW8">
        <f>IF(AW4=1,INDEX('設定'!$E$11:$E$20,AW2)&amp;" "&amp;INDEX('設定'!$I$11:$I$22,AW3),"")</f>
        <v/>
      </c>
      <c r="AX8">
        <f>IF(AX4=1,INDEX('設定'!$E$11:$E$20,AX2)&amp;" "&amp;INDEX('設定'!$I$11:$I$22,AX3),"")</f>
        <v/>
      </c>
      <c r="AY8">
        <f>IF(AY4=1,INDEX('設定'!$E$11:$E$20,AY2)&amp;" "&amp;INDEX('設定'!$I$11:$I$22,AY3),"")</f>
        <v/>
      </c>
      <c r="AZ8">
        <f>IF(AZ4=1,INDEX('設定'!$E$11:$E$20,AZ2)&amp;" "&amp;INDEX('設定'!$I$11:$I$22,AZ3),"")</f>
        <v/>
      </c>
      <c r="BA8">
        <f>IF(BA4=1,INDEX('設定'!$E$11:$E$20,BA2)&amp;" "&amp;INDEX('設定'!$I$11:$I$22,BA3),"")</f>
        <v/>
      </c>
      <c r="BB8">
        <f>IF(BB4=1,INDEX('設定'!$E$11:$E$20,BB2)&amp;" "&amp;INDEX('設定'!$I$11:$I$22,BB3),"")</f>
        <v/>
      </c>
      <c r="BC8">
        <f>IF(BC4=1,INDEX('設定'!$E$11:$E$20,BC2)&amp;" "&amp;INDEX('設定'!$I$11:$I$22,BC3),"")</f>
        <v/>
      </c>
      <c r="BD8">
        <f>IF(BD4=1,INDEX('設定'!$E$11:$E$20,BD2)&amp;" "&amp;INDEX('設定'!$I$11:$I$22,BD3),"")</f>
        <v/>
      </c>
      <c r="BE8">
        <f>IF(BE4=1,INDEX('設定'!$E$11:$E$20,BE2)&amp;" "&amp;INDEX('設定'!$I$11:$I$22,BE3),"")</f>
        <v/>
      </c>
      <c r="BF8">
        <f>IF(BF4=1,INDEX('設定'!$E$11:$E$20,BF2)&amp;" "&amp;INDEX('設定'!$I$11:$I$22,BF3),"")</f>
        <v/>
      </c>
      <c r="BG8">
        <f>IF(BG4=1,INDEX('設定'!$E$11:$E$20,BG2)&amp;" "&amp;INDEX('設定'!$I$11:$I$22,BG3),"")</f>
        <v/>
      </c>
      <c r="BH8">
        <f>IF(BH4=1,INDEX('設定'!$E$11:$E$20,BH2)&amp;" "&amp;INDEX('設定'!$I$11:$I$22,BH3),"")</f>
        <v/>
      </c>
      <c r="BI8">
        <f>IF(BI4=1,INDEX('設定'!$E$11:$E$20,BI2)&amp;" "&amp;INDEX('設定'!$I$11:$I$22,BI3),"")</f>
        <v/>
      </c>
      <c r="BJ8">
        <f>IF(BJ4=1,INDEX('設定'!$E$11:$E$20,BJ2)&amp;" "&amp;INDEX('設定'!$I$11:$I$22,BJ3),"")</f>
        <v/>
      </c>
      <c r="BK8">
        <f>IF(BK4=1,INDEX('設定'!$E$11:$E$20,BK2)&amp;" "&amp;INDEX('設定'!$I$11:$I$22,BK3),"")</f>
        <v/>
      </c>
      <c r="BL8">
        <f>IF(BL4=1,INDEX('設定'!$E$11:$E$20,BL2)&amp;" "&amp;INDEX('設定'!$I$11:$I$22,BL3),"")</f>
        <v/>
      </c>
      <c r="BM8">
        <f>IF(BM4=1,INDEX('設定'!$E$11:$E$20,BM2)&amp;" "&amp;INDEX('設定'!$I$11:$I$22,BM3),"")</f>
        <v/>
      </c>
      <c r="BN8">
        <f>IF(BN4=1,INDEX('設定'!$E$11:$E$20,BN2)&amp;" "&amp;INDEX('設定'!$I$11:$I$22,BN3),"")</f>
        <v/>
      </c>
      <c r="BO8">
        <f>IF(BO4=1,INDEX('設定'!$E$11:$E$20,BO2)&amp;" "&amp;INDEX('設定'!$I$11:$I$22,BO3),"")</f>
        <v/>
      </c>
      <c r="BP8">
        <f>IF(BP4=1,INDEX('設定'!$E$11:$E$20,BP2)&amp;" "&amp;INDEX('設定'!$I$11:$I$22,BP3),"")</f>
        <v/>
      </c>
      <c r="BQ8">
        <f>IF(BQ4=1,INDEX('設定'!$E$11:$E$20,BQ2)&amp;" "&amp;INDEX('設定'!$I$11:$I$22,BQ3),"")</f>
        <v/>
      </c>
      <c r="BR8">
        <f>IF(BR4=1,INDEX('設定'!$E$11:$E$20,BR2)&amp;" "&amp;INDEX('設定'!$I$11:$I$22,BR3),"")</f>
        <v/>
      </c>
      <c r="BS8">
        <f>IF(BS4=1,INDEX('設定'!$E$11:$E$20,BS2)&amp;" "&amp;INDEX('設定'!$I$11:$I$22,BS3),"")</f>
        <v/>
      </c>
      <c r="BT8">
        <f>IF(BT4=1,INDEX('設定'!$E$11:$E$20,BT2)&amp;" "&amp;INDEX('設定'!$I$11:$I$22,BT3),"")</f>
        <v/>
      </c>
      <c r="BU8">
        <f>IF(BU4=1,INDEX('設定'!$E$11:$E$20,BU2)&amp;" "&amp;INDEX('設定'!$I$11:$I$22,BU3),"")</f>
        <v/>
      </c>
      <c r="BV8">
        <f>IF(BV4=1,INDEX('設定'!$E$11:$E$20,BV2)&amp;" "&amp;INDEX('設定'!$I$11:$I$22,BV3),"")</f>
        <v/>
      </c>
      <c r="BW8">
        <f>IF(BW4=1,INDEX('設定'!$E$11:$E$20,BW2)&amp;" "&amp;INDEX('設定'!$I$11:$I$22,BW3),"")</f>
        <v/>
      </c>
      <c r="BX8">
        <f>IF(BX4=1,INDEX('設定'!$E$11:$E$20,BX2)&amp;" "&amp;INDEX('設定'!$I$11:$I$22,BX3),"")</f>
        <v/>
      </c>
      <c r="BY8">
        <f>IF(BY4=1,INDEX('設定'!$E$11:$E$20,BY2)&amp;" "&amp;INDEX('設定'!$I$11:$I$22,BY3),"")</f>
        <v/>
      </c>
      <c r="BZ8">
        <f>IF(BZ4=1,INDEX('設定'!$E$11:$E$20,BZ2)&amp;" "&amp;INDEX('設定'!$I$11:$I$22,BZ3),"")</f>
        <v/>
      </c>
      <c r="CA8">
        <f>IF(CA4=1,INDEX('設定'!$E$11:$E$20,CA2)&amp;" "&amp;INDEX('設定'!$I$11:$I$22,CA3),"")</f>
        <v/>
      </c>
      <c r="CB8">
        <f>IF(CB4=1,INDEX('設定'!$E$11:$E$20,CB2)&amp;" "&amp;INDEX('設定'!$I$11:$I$22,CB3),"")</f>
        <v/>
      </c>
      <c r="CC8">
        <f>IF(CC4=1,INDEX('設定'!$E$11:$E$20,CC2)&amp;" "&amp;INDEX('設定'!$I$11:$I$22,CC3),"")</f>
        <v/>
      </c>
      <c r="CD8">
        <f>IF(CD4=1,INDEX('設定'!$E$11:$E$20,CD2)&amp;" "&amp;INDEX('設定'!$I$11:$I$22,CD3),"")</f>
        <v/>
      </c>
      <c r="CE8">
        <f>IF(CE4=1,INDEX('設定'!$E$11:$E$20,CE2)&amp;" "&amp;INDEX('設定'!$I$11:$I$22,CE3),"")</f>
        <v/>
      </c>
      <c r="CF8">
        <f>IF(CF4=1,INDEX('設定'!$E$11:$E$20,CF2)&amp;" "&amp;INDEX('設定'!$I$11:$I$22,CF3),"")</f>
        <v/>
      </c>
      <c r="CG8">
        <f>IF(CG4=1,INDEX('設定'!$E$11:$E$20,CG2)&amp;" "&amp;INDEX('設定'!$I$11:$I$22,CG3),"")</f>
        <v/>
      </c>
      <c r="CH8">
        <f>IF(CH4=1,INDEX('設定'!$E$11:$E$20,CH2)&amp;" "&amp;INDEX('設定'!$I$11:$I$22,CH3),"")</f>
        <v/>
      </c>
      <c r="CI8">
        <f>IF(CI4=1,INDEX('設定'!$E$11:$E$20,CI2)&amp;" "&amp;INDEX('設定'!$I$11:$I$22,CI3),"")</f>
        <v/>
      </c>
      <c r="CJ8">
        <f>IF(CJ4=1,INDEX('設定'!$E$11:$E$20,CJ2)&amp;" "&amp;INDEX('設定'!$I$11:$I$22,CJ3),"")</f>
        <v/>
      </c>
      <c r="CK8">
        <f>IF(CK4=1,INDEX('設定'!$E$11:$E$20,CK2)&amp;" "&amp;INDEX('設定'!$I$11:$I$22,CK3),"")</f>
        <v/>
      </c>
      <c r="CL8">
        <f>IF(CL4=1,INDEX('設定'!$E$11:$E$20,CL2)&amp;" "&amp;INDEX('設定'!$I$11:$I$22,CL3),"")</f>
        <v/>
      </c>
      <c r="CM8">
        <f>IF(CM4=1,INDEX('設定'!$E$11:$E$20,CM2)&amp;" "&amp;INDEX('設定'!$I$11:$I$22,CM3),"")</f>
        <v/>
      </c>
      <c r="CN8">
        <f>IF(CN4=1,INDEX('設定'!$E$11:$E$20,CN2)&amp;" "&amp;INDEX('設定'!$I$11:$I$22,CN3),"")</f>
        <v/>
      </c>
      <c r="CO8">
        <f>IF(CO4=1,INDEX('設定'!$E$11:$E$20,CO2)&amp;" "&amp;INDEX('設定'!$I$11:$I$22,CO3),"")</f>
        <v/>
      </c>
      <c r="CP8">
        <f>IF(CP4=1,INDEX('設定'!$E$11:$E$20,CP2)&amp;" "&amp;INDEX('設定'!$I$11:$I$22,CP3),"")</f>
        <v/>
      </c>
      <c r="CQ8">
        <f>IF(CQ4=1,INDEX('設定'!$E$11:$E$20,CQ2)&amp;" "&amp;INDEX('設定'!$I$11:$I$22,CQ3),"")</f>
        <v/>
      </c>
      <c r="CR8">
        <f>IF(CR4=1,INDEX('設定'!$E$11:$E$20,CR2)&amp;" "&amp;INDEX('設定'!$I$11:$I$22,CR3),"")</f>
        <v/>
      </c>
      <c r="CS8">
        <f>IF(CS4=1,INDEX('設定'!$E$11:$E$20,CS2)&amp;" "&amp;INDEX('設定'!$I$11:$I$22,CS3),"")</f>
        <v/>
      </c>
      <c r="CT8">
        <f>IF(CT4=1,INDEX('設定'!$E$11:$E$20,CT2)&amp;" "&amp;INDEX('設定'!$I$11:$I$22,CT3),"")</f>
        <v/>
      </c>
      <c r="CU8">
        <f>IF(CU4=1,INDEX('設定'!$E$11:$E$20,CU2)&amp;" "&amp;INDEX('設定'!$I$11:$I$22,CU3),"")</f>
        <v/>
      </c>
      <c r="CV8">
        <f>IF(CV4=1,INDEX('設定'!$E$11:$E$20,CV2)&amp;" "&amp;INDEX('設定'!$I$11:$I$22,CV3),"")</f>
        <v/>
      </c>
      <c r="CW8">
        <f>IF(CW4=1,INDEX('設定'!$E$11:$E$20,CW2)&amp;" "&amp;INDEX('設定'!$I$11:$I$22,CW3),"")</f>
        <v/>
      </c>
      <c r="CX8">
        <f>IF(CX4=1,INDEX('設定'!$E$11:$E$20,CX2)&amp;" "&amp;INDEX('設定'!$I$11:$I$22,CX3),"")</f>
        <v/>
      </c>
      <c r="CY8">
        <f>IF(CY4=1,INDEX('設定'!$E$11:$E$20,CY2)&amp;" "&amp;INDEX('設定'!$I$11:$I$22,CY3),"")</f>
        <v/>
      </c>
      <c r="CZ8">
        <f>IF(CZ4=1,INDEX('設定'!$E$11:$E$20,CZ2)&amp;" "&amp;INDEX('設定'!$I$11:$I$22,CZ3),"")</f>
        <v/>
      </c>
      <c r="DA8">
        <f>IF(DA4=1,INDEX('設定'!$E$11:$E$20,DA2)&amp;" "&amp;INDEX('設定'!$I$11:$I$22,DA3),"")</f>
        <v/>
      </c>
      <c r="DB8">
        <f>IF(DB4=1,INDEX('設定'!$E$11:$E$20,DB2)&amp;" "&amp;INDEX('設定'!$I$11:$I$22,DB3),"")</f>
        <v/>
      </c>
      <c r="DC8">
        <f>IF(DC4=1,INDEX('設定'!$E$11:$E$20,DC2)&amp;" "&amp;INDEX('設定'!$I$11:$I$22,DC3),"")</f>
        <v/>
      </c>
      <c r="DD8">
        <f>IF(DD4=1,INDEX('設定'!$E$11:$E$20,DD2)&amp;" "&amp;INDEX('設定'!$I$11:$I$22,DD3),"")</f>
        <v/>
      </c>
      <c r="DE8">
        <f>IF(DE4=1,INDEX('設定'!$E$11:$E$20,DE2)&amp;" "&amp;INDEX('設定'!$I$11:$I$22,DE3),"")</f>
        <v/>
      </c>
      <c r="DF8">
        <f>IF(DF4=1,INDEX('設定'!$E$11:$E$20,DF2)&amp;" "&amp;INDEX('設定'!$I$11:$I$22,DF3),"")</f>
        <v/>
      </c>
      <c r="DG8">
        <f>IF(DG4=1,INDEX('設定'!$E$11:$E$20,DG2)&amp;" "&amp;INDEX('設定'!$I$11:$I$22,DG3),"")</f>
        <v/>
      </c>
      <c r="DH8">
        <f>IF(DH4=1,INDEX('設定'!$E$11:$E$20,DH2)&amp;" "&amp;INDEX('設定'!$I$11:$I$22,DH3),"")</f>
        <v/>
      </c>
      <c r="DI8">
        <f>IF(DI4=1,INDEX('設定'!$E$11:$E$20,DI2)&amp;" "&amp;INDEX('設定'!$I$11:$I$22,DI3),"")</f>
        <v/>
      </c>
      <c r="DJ8">
        <f>IF(DJ4=1,INDEX('設定'!$E$11:$E$20,DJ2)&amp;" "&amp;INDEX('設定'!$I$11:$I$22,DJ3),"")</f>
        <v/>
      </c>
      <c r="DK8">
        <f>IF(DK4=1,INDEX('設定'!$E$11:$E$20,DK2)&amp;" "&amp;INDEX('設定'!$I$11:$I$22,DK3),"")</f>
        <v/>
      </c>
      <c r="DL8">
        <f>IF(DL4=1,INDEX('設定'!$E$11:$E$20,DL2)&amp;" "&amp;INDEX('設定'!$I$11:$I$22,DL3),"")</f>
        <v/>
      </c>
      <c r="DM8">
        <f>IF(DM4=1,INDEX('設定'!$E$11:$E$20,DM2)&amp;" "&amp;INDEX('設定'!$I$11:$I$22,DM3),"")</f>
        <v/>
      </c>
      <c r="DN8">
        <f>IF(DN4=1,INDEX('設定'!$E$11:$E$20,DN2)&amp;" "&amp;INDEX('設定'!$I$11:$I$22,DN3),"")</f>
        <v/>
      </c>
      <c r="DO8">
        <f>IF(DO4=1,INDEX('設定'!$E$11:$E$20,DO2)&amp;" "&amp;INDEX('設定'!$I$11:$I$22,DO3),"")</f>
        <v/>
      </c>
      <c r="DP8">
        <f>IF(DP4=1,INDEX('設定'!$E$11:$E$20,DP2)&amp;" "&amp;INDEX('設定'!$I$11:$I$22,DP3),"")</f>
        <v/>
      </c>
      <c r="DQ8">
        <f>IF(DQ4=1,INDEX('設定'!$E$11:$E$20,DQ2)&amp;" "&amp;INDEX('設定'!$I$11:$I$22,DQ3),"")</f>
        <v/>
      </c>
      <c r="DR8">
        <f>IF(DR4=1,INDEX('設定'!$E$11:$E$20,DR2)&amp;" "&amp;INDEX('設定'!$I$11:$I$22,DR3),"")</f>
        <v/>
      </c>
      <c r="DS8">
        <f>IF(DS4=1,INDEX('設定'!$E$11:$E$20,DS2)&amp;" "&amp;INDEX('設定'!$I$11:$I$22,DS3),"")</f>
        <v/>
      </c>
    </row>
    <row r="9">
      <c r="A9" t="inlineStr">
        <is>
          <t>i</t>
        </is>
      </c>
      <c r="B9" t="inlineStr">
        <is>
          <t>表示名</t>
        </is>
      </c>
      <c r="C9" t="inlineStr">
        <is>
          <t>自動の対象</t>
        </is>
      </c>
      <c r="DU9" t="inlineStr">
        <is>
          <t>自動案の枠</t>
        </is>
      </c>
      <c r="DV9" t="inlineStr">
        <is>
          <t>入らない</t>
        </is>
      </c>
      <c r="DW9" t="inlineStr">
        <is>
          <t>空き枠数</t>
        </is>
      </c>
      <c r="DX9" t="inlineStr">
        <is>
          <t>×の数</t>
        </is>
      </c>
      <c r="DY9" t="inlineStr">
        <is>
          <t>決定した枠</t>
        </is>
      </c>
    </row>
    <row r="10">
      <c r="A10" t="n">
        <v>1</v>
      </c>
      <c r="B10">
        <f>'名簿'!E5</f>
        <v/>
      </c>
      <c r="C10">
        <f>IF(AND(B10&lt;&gt;"",OR('名簿'!F5="入力済み",'名簿'!F5="×なし"),DY10=0,COUNTIF('割り当て'!$C$6:$L$17,B10)=0),1,0)</f>
        <v/>
      </c>
      <c r="D10">
        <f>IF(D$4=1,IF(INDEX('×入力'!$C$1:$L$700,6+D$3,D$2)&lt;&gt;"",1,0),0)</f>
        <v/>
      </c>
      <c r="E10">
        <f>IF(E$4=1,IF(INDEX('×入力'!$C$1:$L$700,6+E$3,E$2)&lt;&gt;"",1,0),0)</f>
        <v/>
      </c>
      <c r="F10">
        <f>IF(F$4=1,IF(INDEX('×入力'!$C$1:$L$700,6+F$3,F$2)&lt;&gt;"",1,0),0)</f>
        <v/>
      </c>
      <c r="G10">
        <f>IF(G$4=1,IF(INDEX('×入力'!$C$1:$L$700,6+G$3,G$2)&lt;&gt;"",1,0),0)</f>
        <v/>
      </c>
      <c r="H10">
        <f>IF(H$4=1,IF(INDEX('×入力'!$C$1:$L$700,6+H$3,H$2)&lt;&gt;"",1,0),0)</f>
        <v/>
      </c>
      <c r="I10">
        <f>IF(I$4=1,IF(INDEX('×入力'!$C$1:$L$700,6+I$3,I$2)&lt;&gt;"",1,0),0)</f>
        <v/>
      </c>
      <c r="J10">
        <f>IF(J$4=1,IF(INDEX('×入力'!$C$1:$L$700,6+J$3,J$2)&lt;&gt;"",1,0),0)</f>
        <v/>
      </c>
      <c r="K10">
        <f>IF(K$4=1,IF(INDEX('×入力'!$C$1:$L$700,6+K$3,K$2)&lt;&gt;"",1,0),0)</f>
        <v/>
      </c>
      <c r="L10">
        <f>IF(L$4=1,IF(INDEX('×入力'!$C$1:$L$700,6+L$3,L$2)&lt;&gt;"",1,0),0)</f>
        <v/>
      </c>
      <c r="M10">
        <f>IF(M$4=1,IF(INDEX('×入力'!$C$1:$L$700,6+M$3,M$2)&lt;&gt;"",1,0),0)</f>
        <v/>
      </c>
      <c r="N10">
        <f>IF(N$4=1,IF(INDEX('×入力'!$C$1:$L$700,6+N$3,N$2)&lt;&gt;"",1,0),0)</f>
        <v/>
      </c>
      <c r="O10">
        <f>IF(O$4=1,IF(INDEX('×入力'!$C$1:$L$700,6+O$3,O$2)&lt;&gt;"",1,0),0)</f>
        <v/>
      </c>
      <c r="P10">
        <f>IF(P$4=1,IF(INDEX('×入力'!$C$1:$L$700,6+P$3,P$2)&lt;&gt;"",1,0),0)</f>
        <v/>
      </c>
      <c r="Q10">
        <f>IF(Q$4=1,IF(INDEX('×入力'!$C$1:$L$700,6+Q$3,Q$2)&lt;&gt;"",1,0),0)</f>
        <v/>
      </c>
      <c r="R10">
        <f>IF(R$4=1,IF(INDEX('×入力'!$C$1:$L$700,6+R$3,R$2)&lt;&gt;"",1,0),0)</f>
        <v/>
      </c>
      <c r="S10">
        <f>IF(S$4=1,IF(INDEX('×入力'!$C$1:$L$700,6+S$3,S$2)&lt;&gt;"",1,0),0)</f>
        <v/>
      </c>
      <c r="T10">
        <f>IF(T$4=1,IF(INDEX('×入力'!$C$1:$L$700,6+T$3,T$2)&lt;&gt;"",1,0),0)</f>
        <v/>
      </c>
      <c r="U10">
        <f>IF(U$4=1,IF(INDEX('×入力'!$C$1:$L$700,6+U$3,U$2)&lt;&gt;"",1,0),0)</f>
        <v/>
      </c>
      <c r="V10">
        <f>IF(V$4=1,IF(INDEX('×入力'!$C$1:$L$700,6+V$3,V$2)&lt;&gt;"",1,0),0)</f>
        <v/>
      </c>
      <c r="W10">
        <f>IF(W$4=1,IF(INDEX('×入力'!$C$1:$L$700,6+W$3,W$2)&lt;&gt;"",1,0),0)</f>
        <v/>
      </c>
      <c r="X10">
        <f>IF(X$4=1,IF(INDEX('×入力'!$C$1:$L$700,6+X$3,X$2)&lt;&gt;"",1,0),0)</f>
        <v/>
      </c>
      <c r="Y10">
        <f>IF(Y$4=1,IF(INDEX('×入力'!$C$1:$L$700,6+Y$3,Y$2)&lt;&gt;"",1,0),0)</f>
        <v/>
      </c>
      <c r="Z10">
        <f>IF(Z$4=1,IF(INDEX('×入力'!$C$1:$L$700,6+Z$3,Z$2)&lt;&gt;"",1,0),0)</f>
        <v/>
      </c>
      <c r="AA10">
        <f>IF(AA$4=1,IF(INDEX('×入力'!$C$1:$L$700,6+AA$3,AA$2)&lt;&gt;"",1,0),0)</f>
        <v/>
      </c>
      <c r="AB10">
        <f>IF(AB$4=1,IF(INDEX('×入力'!$C$1:$L$700,6+AB$3,AB$2)&lt;&gt;"",1,0),0)</f>
        <v/>
      </c>
      <c r="AC10">
        <f>IF(AC$4=1,IF(INDEX('×入力'!$C$1:$L$700,6+AC$3,AC$2)&lt;&gt;"",1,0),0)</f>
        <v/>
      </c>
      <c r="AD10">
        <f>IF(AD$4=1,IF(INDEX('×入力'!$C$1:$L$700,6+AD$3,AD$2)&lt;&gt;"",1,0),0)</f>
        <v/>
      </c>
      <c r="AE10">
        <f>IF(AE$4=1,IF(INDEX('×入力'!$C$1:$L$700,6+AE$3,AE$2)&lt;&gt;"",1,0),0)</f>
        <v/>
      </c>
      <c r="AF10">
        <f>IF(AF$4=1,IF(INDEX('×入力'!$C$1:$L$700,6+AF$3,AF$2)&lt;&gt;"",1,0),0)</f>
        <v/>
      </c>
      <c r="AG10">
        <f>IF(AG$4=1,IF(INDEX('×入力'!$C$1:$L$700,6+AG$3,AG$2)&lt;&gt;"",1,0),0)</f>
        <v/>
      </c>
      <c r="AH10">
        <f>IF(AH$4=1,IF(INDEX('×入力'!$C$1:$L$700,6+AH$3,AH$2)&lt;&gt;"",1,0),0)</f>
        <v/>
      </c>
      <c r="AI10">
        <f>IF(AI$4=1,IF(INDEX('×入力'!$C$1:$L$700,6+AI$3,AI$2)&lt;&gt;"",1,0),0)</f>
        <v/>
      </c>
      <c r="AJ10">
        <f>IF(AJ$4=1,IF(INDEX('×入力'!$C$1:$L$700,6+AJ$3,AJ$2)&lt;&gt;"",1,0),0)</f>
        <v/>
      </c>
      <c r="AK10">
        <f>IF(AK$4=1,IF(INDEX('×入力'!$C$1:$L$700,6+AK$3,AK$2)&lt;&gt;"",1,0),0)</f>
        <v/>
      </c>
      <c r="AL10">
        <f>IF(AL$4=1,IF(INDEX('×入力'!$C$1:$L$700,6+AL$3,AL$2)&lt;&gt;"",1,0),0)</f>
        <v/>
      </c>
      <c r="AM10">
        <f>IF(AM$4=1,IF(INDEX('×入力'!$C$1:$L$700,6+AM$3,AM$2)&lt;&gt;"",1,0),0)</f>
        <v/>
      </c>
      <c r="AN10">
        <f>IF(AN$4=1,IF(INDEX('×入力'!$C$1:$L$700,6+AN$3,AN$2)&lt;&gt;"",1,0),0)</f>
        <v/>
      </c>
      <c r="AO10">
        <f>IF(AO$4=1,IF(INDEX('×入力'!$C$1:$L$700,6+AO$3,AO$2)&lt;&gt;"",1,0),0)</f>
        <v/>
      </c>
      <c r="AP10">
        <f>IF(AP$4=1,IF(INDEX('×入力'!$C$1:$L$700,6+AP$3,AP$2)&lt;&gt;"",1,0),0)</f>
        <v/>
      </c>
      <c r="AQ10">
        <f>IF(AQ$4=1,IF(INDEX('×入力'!$C$1:$L$700,6+AQ$3,AQ$2)&lt;&gt;"",1,0),0)</f>
        <v/>
      </c>
      <c r="AR10">
        <f>IF(AR$4=1,IF(INDEX('×入力'!$C$1:$L$700,6+AR$3,AR$2)&lt;&gt;"",1,0),0)</f>
        <v/>
      </c>
      <c r="AS10">
        <f>IF(AS$4=1,IF(INDEX('×入力'!$C$1:$L$700,6+AS$3,AS$2)&lt;&gt;"",1,0),0)</f>
        <v/>
      </c>
      <c r="AT10">
        <f>IF(AT$4=1,IF(INDEX('×入力'!$C$1:$L$700,6+AT$3,AT$2)&lt;&gt;"",1,0),0)</f>
        <v/>
      </c>
      <c r="AU10">
        <f>IF(AU$4=1,IF(INDEX('×入力'!$C$1:$L$700,6+AU$3,AU$2)&lt;&gt;"",1,0),0)</f>
        <v/>
      </c>
      <c r="AV10">
        <f>IF(AV$4=1,IF(INDEX('×入力'!$C$1:$L$700,6+AV$3,AV$2)&lt;&gt;"",1,0),0)</f>
        <v/>
      </c>
      <c r="AW10">
        <f>IF(AW$4=1,IF(INDEX('×入力'!$C$1:$L$700,6+AW$3,AW$2)&lt;&gt;"",1,0),0)</f>
        <v/>
      </c>
      <c r="AX10">
        <f>IF(AX$4=1,IF(INDEX('×入力'!$C$1:$L$700,6+AX$3,AX$2)&lt;&gt;"",1,0),0)</f>
        <v/>
      </c>
      <c r="AY10">
        <f>IF(AY$4=1,IF(INDEX('×入力'!$C$1:$L$700,6+AY$3,AY$2)&lt;&gt;"",1,0),0)</f>
        <v/>
      </c>
      <c r="AZ10">
        <f>IF(AZ$4=1,IF(INDEX('×入力'!$C$1:$L$700,6+AZ$3,AZ$2)&lt;&gt;"",1,0),0)</f>
        <v/>
      </c>
      <c r="BA10">
        <f>IF(BA$4=1,IF(INDEX('×入力'!$C$1:$L$700,6+BA$3,BA$2)&lt;&gt;"",1,0),0)</f>
        <v/>
      </c>
      <c r="BB10">
        <f>IF(BB$4=1,IF(INDEX('×入力'!$C$1:$L$700,6+BB$3,BB$2)&lt;&gt;"",1,0),0)</f>
        <v/>
      </c>
      <c r="BC10">
        <f>IF(BC$4=1,IF(INDEX('×入力'!$C$1:$L$700,6+BC$3,BC$2)&lt;&gt;"",1,0),0)</f>
        <v/>
      </c>
      <c r="BD10">
        <f>IF(BD$4=1,IF(INDEX('×入力'!$C$1:$L$700,6+BD$3,BD$2)&lt;&gt;"",1,0),0)</f>
        <v/>
      </c>
      <c r="BE10">
        <f>IF(BE$4=1,IF(INDEX('×入力'!$C$1:$L$700,6+BE$3,BE$2)&lt;&gt;"",1,0),0)</f>
        <v/>
      </c>
      <c r="BF10">
        <f>IF(BF$4=1,IF(INDEX('×入力'!$C$1:$L$700,6+BF$3,BF$2)&lt;&gt;"",1,0),0)</f>
        <v/>
      </c>
      <c r="BG10">
        <f>IF(BG$4=1,IF(INDEX('×入力'!$C$1:$L$700,6+BG$3,BG$2)&lt;&gt;"",1,0),0)</f>
        <v/>
      </c>
      <c r="BH10">
        <f>IF(BH$4=1,IF(INDEX('×入力'!$C$1:$L$700,6+BH$3,BH$2)&lt;&gt;"",1,0),0)</f>
        <v/>
      </c>
      <c r="BI10">
        <f>IF(BI$4=1,IF(INDEX('×入力'!$C$1:$L$700,6+BI$3,BI$2)&lt;&gt;"",1,0),0)</f>
        <v/>
      </c>
      <c r="BJ10">
        <f>IF(BJ$4=1,IF(INDEX('×入力'!$C$1:$L$700,6+BJ$3,BJ$2)&lt;&gt;"",1,0),0)</f>
        <v/>
      </c>
      <c r="BK10">
        <f>IF(BK$4=1,IF(INDEX('×入力'!$C$1:$L$700,6+BK$3,BK$2)&lt;&gt;"",1,0),0)</f>
        <v/>
      </c>
      <c r="BL10">
        <f>IF(BL$4=1,IF(INDEX('×入力'!$C$1:$L$700,6+BL$3,BL$2)&lt;&gt;"",1,0),0)</f>
        <v/>
      </c>
      <c r="BM10">
        <f>IF(BM$4=1,IF(INDEX('×入力'!$C$1:$L$700,6+BM$3,BM$2)&lt;&gt;"",1,0),0)</f>
        <v/>
      </c>
      <c r="BN10">
        <f>IF(BN$4=1,IF(INDEX('×入力'!$C$1:$L$700,6+BN$3,BN$2)&lt;&gt;"",1,0),0)</f>
        <v/>
      </c>
      <c r="BO10">
        <f>IF(BO$4=1,IF(INDEX('×入力'!$C$1:$L$700,6+BO$3,BO$2)&lt;&gt;"",1,0),0)</f>
        <v/>
      </c>
      <c r="BP10">
        <f>IF(BP$4=1,IF(INDEX('×入力'!$C$1:$L$700,6+BP$3,BP$2)&lt;&gt;"",1,0),0)</f>
        <v/>
      </c>
      <c r="BQ10">
        <f>IF(BQ$4=1,IF(INDEX('×入力'!$C$1:$L$700,6+BQ$3,BQ$2)&lt;&gt;"",1,0),0)</f>
        <v/>
      </c>
      <c r="BR10">
        <f>IF(BR$4=1,IF(INDEX('×入力'!$C$1:$L$700,6+BR$3,BR$2)&lt;&gt;"",1,0),0)</f>
        <v/>
      </c>
      <c r="BS10">
        <f>IF(BS$4=1,IF(INDEX('×入力'!$C$1:$L$700,6+BS$3,BS$2)&lt;&gt;"",1,0),0)</f>
        <v/>
      </c>
      <c r="BT10">
        <f>IF(BT$4=1,IF(INDEX('×入力'!$C$1:$L$700,6+BT$3,BT$2)&lt;&gt;"",1,0),0)</f>
        <v/>
      </c>
      <c r="BU10">
        <f>IF(BU$4=1,IF(INDEX('×入力'!$C$1:$L$700,6+BU$3,BU$2)&lt;&gt;"",1,0),0)</f>
        <v/>
      </c>
      <c r="BV10">
        <f>IF(BV$4=1,IF(INDEX('×入力'!$C$1:$L$700,6+BV$3,BV$2)&lt;&gt;"",1,0),0)</f>
        <v/>
      </c>
      <c r="BW10">
        <f>IF(BW$4=1,IF(INDEX('×入力'!$C$1:$L$700,6+BW$3,BW$2)&lt;&gt;"",1,0),0)</f>
        <v/>
      </c>
      <c r="BX10">
        <f>IF(BX$4=1,IF(INDEX('×入力'!$C$1:$L$700,6+BX$3,BX$2)&lt;&gt;"",1,0),0)</f>
        <v/>
      </c>
      <c r="BY10">
        <f>IF(BY$4=1,IF(INDEX('×入力'!$C$1:$L$700,6+BY$3,BY$2)&lt;&gt;"",1,0),0)</f>
        <v/>
      </c>
      <c r="BZ10">
        <f>IF(BZ$4=1,IF(INDEX('×入力'!$C$1:$L$700,6+BZ$3,BZ$2)&lt;&gt;"",1,0),0)</f>
        <v/>
      </c>
      <c r="CA10">
        <f>IF(CA$4=1,IF(INDEX('×入力'!$C$1:$L$700,6+CA$3,CA$2)&lt;&gt;"",1,0),0)</f>
        <v/>
      </c>
      <c r="CB10">
        <f>IF(CB$4=1,IF(INDEX('×入力'!$C$1:$L$700,6+CB$3,CB$2)&lt;&gt;"",1,0),0)</f>
        <v/>
      </c>
      <c r="CC10">
        <f>IF(CC$4=1,IF(INDEX('×入力'!$C$1:$L$700,6+CC$3,CC$2)&lt;&gt;"",1,0),0)</f>
        <v/>
      </c>
      <c r="CD10">
        <f>IF(CD$4=1,IF(INDEX('×入力'!$C$1:$L$700,6+CD$3,CD$2)&lt;&gt;"",1,0),0)</f>
        <v/>
      </c>
      <c r="CE10">
        <f>IF(CE$4=1,IF(INDEX('×入力'!$C$1:$L$700,6+CE$3,CE$2)&lt;&gt;"",1,0),0)</f>
        <v/>
      </c>
      <c r="CF10">
        <f>IF(CF$4=1,IF(INDEX('×入力'!$C$1:$L$700,6+CF$3,CF$2)&lt;&gt;"",1,0),0)</f>
        <v/>
      </c>
      <c r="CG10">
        <f>IF(CG$4=1,IF(INDEX('×入力'!$C$1:$L$700,6+CG$3,CG$2)&lt;&gt;"",1,0),0)</f>
        <v/>
      </c>
      <c r="CH10">
        <f>IF(CH$4=1,IF(INDEX('×入力'!$C$1:$L$700,6+CH$3,CH$2)&lt;&gt;"",1,0),0)</f>
        <v/>
      </c>
      <c r="CI10">
        <f>IF(CI$4=1,IF(INDEX('×入力'!$C$1:$L$700,6+CI$3,CI$2)&lt;&gt;"",1,0),0)</f>
        <v/>
      </c>
      <c r="CJ10">
        <f>IF(CJ$4=1,IF(INDEX('×入力'!$C$1:$L$700,6+CJ$3,CJ$2)&lt;&gt;"",1,0),0)</f>
        <v/>
      </c>
      <c r="CK10">
        <f>IF(CK$4=1,IF(INDEX('×入力'!$C$1:$L$700,6+CK$3,CK$2)&lt;&gt;"",1,0),0)</f>
        <v/>
      </c>
      <c r="CL10">
        <f>IF(CL$4=1,IF(INDEX('×入力'!$C$1:$L$700,6+CL$3,CL$2)&lt;&gt;"",1,0),0)</f>
        <v/>
      </c>
      <c r="CM10">
        <f>IF(CM$4=1,IF(INDEX('×入力'!$C$1:$L$700,6+CM$3,CM$2)&lt;&gt;"",1,0),0)</f>
        <v/>
      </c>
      <c r="CN10">
        <f>IF(CN$4=1,IF(INDEX('×入力'!$C$1:$L$700,6+CN$3,CN$2)&lt;&gt;"",1,0),0)</f>
        <v/>
      </c>
      <c r="CO10">
        <f>IF(CO$4=1,IF(INDEX('×入力'!$C$1:$L$700,6+CO$3,CO$2)&lt;&gt;"",1,0),0)</f>
        <v/>
      </c>
      <c r="CP10">
        <f>IF(CP$4=1,IF(INDEX('×入力'!$C$1:$L$700,6+CP$3,CP$2)&lt;&gt;"",1,0),0)</f>
        <v/>
      </c>
      <c r="CQ10">
        <f>IF(CQ$4=1,IF(INDEX('×入力'!$C$1:$L$700,6+CQ$3,CQ$2)&lt;&gt;"",1,0),0)</f>
        <v/>
      </c>
      <c r="CR10">
        <f>IF(CR$4=1,IF(INDEX('×入力'!$C$1:$L$700,6+CR$3,CR$2)&lt;&gt;"",1,0),0)</f>
        <v/>
      </c>
      <c r="CS10">
        <f>IF(CS$4=1,IF(INDEX('×入力'!$C$1:$L$700,6+CS$3,CS$2)&lt;&gt;"",1,0),0)</f>
        <v/>
      </c>
      <c r="CT10">
        <f>IF(CT$4=1,IF(INDEX('×入力'!$C$1:$L$700,6+CT$3,CT$2)&lt;&gt;"",1,0),0)</f>
        <v/>
      </c>
      <c r="CU10">
        <f>IF(CU$4=1,IF(INDEX('×入力'!$C$1:$L$700,6+CU$3,CU$2)&lt;&gt;"",1,0),0)</f>
        <v/>
      </c>
      <c r="CV10">
        <f>IF(CV$4=1,IF(INDEX('×入力'!$C$1:$L$700,6+CV$3,CV$2)&lt;&gt;"",1,0),0)</f>
        <v/>
      </c>
      <c r="CW10">
        <f>IF(CW$4=1,IF(INDEX('×入力'!$C$1:$L$700,6+CW$3,CW$2)&lt;&gt;"",1,0),0)</f>
        <v/>
      </c>
      <c r="CX10">
        <f>IF(CX$4=1,IF(INDEX('×入力'!$C$1:$L$700,6+CX$3,CX$2)&lt;&gt;"",1,0),0)</f>
        <v/>
      </c>
      <c r="CY10">
        <f>IF(CY$4=1,IF(INDEX('×入力'!$C$1:$L$700,6+CY$3,CY$2)&lt;&gt;"",1,0),0)</f>
        <v/>
      </c>
      <c r="CZ10">
        <f>IF(CZ$4=1,IF(INDEX('×入力'!$C$1:$L$700,6+CZ$3,CZ$2)&lt;&gt;"",1,0),0)</f>
        <v/>
      </c>
      <c r="DA10">
        <f>IF(DA$4=1,IF(INDEX('×入力'!$C$1:$L$700,6+DA$3,DA$2)&lt;&gt;"",1,0),0)</f>
        <v/>
      </c>
      <c r="DB10">
        <f>IF(DB$4=1,IF(INDEX('×入力'!$C$1:$L$700,6+DB$3,DB$2)&lt;&gt;"",1,0),0)</f>
        <v/>
      </c>
      <c r="DC10">
        <f>IF(DC$4=1,IF(INDEX('×入力'!$C$1:$L$700,6+DC$3,DC$2)&lt;&gt;"",1,0),0)</f>
        <v/>
      </c>
      <c r="DD10">
        <f>IF(DD$4=1,IF(INDEX('×入力'!$C$1:$L$700,6+DD$3,DD$2)&lt;&gt;"",1,0),0)</f>
        <v/>
      </c>
      <c r="DE10">
        <f>IF(DE$4=1,IF(INDEX('×入力'!$C$1:$L$700,6+DE$3,DE$2)&lt;&gt;"",1,0),0)</f>
        <v/>
      </c>
      <c r="DF10">
        <f>IF(DF$4=1,IF(INDEX('×入力'!$C$1:$L$700,6+DF$3,DF$2)&lt;&gt;"",1,0),0)</f>
        <v/>
      </c>
      <c r="DG10">
        <f>IF(DG$4=1,IF(INDEX('×入力'!$C$1:$L$700,6+DG$3,DG$2)&lt;&gt;"",1,0),0)</f>
        <v/>
      </c>
      <c r="DH10">
        <f>IF(DH$4=1,IF(INDEX('×入力'!$C$1:$L$700,6+DH$3,DH$2)&lt;&gt;"",1,0),0)</f>
        <v/>
      </c>
      <c r="DI10">
        <f>IF(DI$4=1,IF(INDEX('×入力'!$C$1:$L$700,6+DI$3,DI$2)&lt;&gt;"",1,0),0)</f>
        <v/>
      </c>
      <c r="DJ10">
        <f>IF(DJ$4=1,IF(INDEX('×入力'!$C$1:$L$700,6+DJ$3,DJ$2)&lt;&gt;"",1,0),0)</f>
        <v/>
      </c>
      <c r="DK10">
        <f>IF(DK$4=1,IF(INDEX('×入力'!$C$1:$L$700,6+DK$3,DK$2)&lt;&gt;"",1,0),0)</f>
        <v/>
      </c>
      <c r="DL10">
        <f>IF(DL$4=1,IF(INDEX('×入力'!$C$1:$L$700,6+DL$3,DL$2)&lt;&gt;"",1,0),0)</f>
        <v/>
      </c>
      <c r="DM10">
        <f>IF(DM$4=1,IF(INDEX('×入力'!$C$1:$L$700,6+DM$3,DM$2)&lt;&gt;"",1,0),0)</f>
        <v/>
      </c>
      <c r="DN10">
        <f>IF(DN$4=1,IF(INDEX('×入力'!$C$1:$L$700,6+DN$3,DN$2)&lt;&gt;"",1,0),0)</f>
        <v/>
      </c>
      <c r="DO10">
        <f>IF(DO$4=1,IF(INDEX('×入力'!$C$1:$L$700,6+DO$3,DO$2)&lt;&gt;"",1,0),0)</f>
        <v/>
      </c>
      <c r="DP10">
        <f>IF(DP$4=1,IF(INDEX('×入力'!$C$1:$L$700,6+DP$3,DP$2)&lt;&gt;"",1,0),0)</f>
        <v/>
      </c>
      <c r="DQ10">
        <f>IF(DQ$4=1,IF(INDEX('×入力'!$C$1:$L$700,6+DQ$3,DQ$2)&lt;&gt;"",1,0),0)</f>
        <v/>
      </c>
      <c r="DR10">
        <f>IF(DR$4=1,IF(INDEX('×入力'!$C$1:$L$700,6+DR$3,DR$2)&lt;&gt;"",1,0),0)</f>
        <v/>
      </c>
      <c r="DS10">
        <f>IF(DS$4=1,IF(INDEX('×入力'!$C$1:$L$700,6+DS$3,DS$2)&lt;&gt;"",1,0),0)</f>
        <v/>
      </c>
      <c r="DU10">
        <f>IFERROR(INDEX('計算B'!$C$3:$C$47,MATCH(A10,'計算B'!$B$3:$B$47,0)),0)</f>
        <v/>
      </c>
      <c r="DV10">
        <f>IF(AND(C10=1,DU10=0),1,0)</f>
        <v/>
      </c>
      <c r="DW10">
        <f>SUMPRODUCT(D60:DS60*(1-$D$7:$DS$7))</f>
        <v/>
      </c>
      <c r="DX10">
        <f>SUM(D10:DS10)</f>
        <v/>
      </c>
      <c r="DY10">
        <f>IF(B10="",0,IF(COUNTIF('割り当て'!$C$6:$L$17,B10)=1,SUMPRODUCT(('割り当て'!$C$6:$L$17=B10)*((COLUMN('割り当て'!$C$6:$L$17)-3)*12+ROW('割り当て'!$C$6:$L$17)-5)),0))</f>
        <v/>
      </c>
    </row>
    <row r="11">
      <c r="A11" t="n">
        <v>2</v>
      </c>
      <c r="B11">
        <f>'名簿'!E6</f>
        <v/>
      </c>
      <c r="C11">
        <f>IF(AND(B11&lt;&gt;"",OR('名簿'!F6="入力済み",'名簿'!F6="×なし"),DY11=0,COUNTIF('割り当て'!$C$6:$L$17,B11)=0),1,0)</f>
        <v/>
      </c>
      <c r="D11">
        <f>IF(D$4=1,IF(INDEX('×入力'!$C$1:$L$700,21+D$3,D$2)&lt;&gt;"",1,0),0)</f>
        <v/>
      </c>
      <c r="E11">
        <f>IF(E$4=1,IF(INDEX('×入力'!$C$1:$L$700,21+E$3,E$2)&lt;&gt;"",1,0),0)</f>
        <v/>
      </c>
      <c r="F11">
        <f>IF(F$4=1,IF(INDEX('×入力'!$C$1:$L$700,21+F$3,F$2)&lt;&gt;"",1,0),0)</f>
        <v/>
      </c>
      <c r="G11">
        <f>IF(G$4=1,IF(INDEX('×入力'!$C$1:$L$700,21+G$3,G$2)&lt;&gt;"",1,0),0)</f>
        <v/>
      </c>
      <c r="H11">
        <f>IF(H$4=1,IF(INDEX('×入力'!$C$1:$L$700,21+H$3,H$2)&lt;&gt;"",1,0),0)</f>
        <v/>
      </c>
      <c r="I11">
        <f>IF(I$4=1,IF(INDEX('×入力'!$C$1:$L$700,21+I$3,I$2)&lt;&gt;"",1,0),0)</f>
        <v/>
      </c>
      <c r="J11">
        <f>IF(J$4=1,IF(INDEX('×入力'!$C$1:$L$700,21+J$3,J$2)&lt;&gt;"",1,0),0)</f>
        <v/>
      </c>
      <c r="K11">
        <f>IF(K$4=1,IF(INDEX('×入力'!$C$1:$L$700,21+K$3,K$2)&lt;&gt;"",1,0),0)</f>
        <v/>
      </c>
      <c r="L11">
        <f>IF(L$4=1,IF(INDEX('×入力'!$C$1:$L$700,21+L$3,L$2)&lt;&gt;"",1,0),0)</f>
        <v/>
      </c>
      <c r="M11">
        <f>IF(M$4=1,IF(INDEX('×入力'!$C$1:$L$700,21+M$3,M$2)&lt;&gt;"",1,0),0)</f>
        <v/>
      </c>
      <c r="N11">
        <f>IF(N$4=1,IF(INDEX('×入力'!$C$1:$L$700,21+N$3,N$2)&lt;&gt;"",1,0),0)</f>
        <v/>
      </c>
      <c r="O11">
        <f>IF(O$4=1,IF(INDEX('×入力'!$C$1:$L$700,21+O$3,O$2)&lt;&gt;"",1,0),0)</f>
        <v/>
      </c>
      <c r="P11">
        <f>IF(P$4=1,IF(INDEX('×入力'!$C$1:$L$700,21+P$3,P$2)&lt;&gt;"",1,0),0)</f>
        <v/>
      </c>
      <c r="Q11">
        <f>IF(Q$4=1,IF(INDEX('×入力'!$C$1:$L$700,21+Q$3,Q$2)&lt;&gt;"",1,0),0)</f>
        <v/>
      </c>
      <c r="R11">
        <f>IF(R$4=1,IF(INDEX('×入力'!$C$1:$L$700,21+R$3,R$2)&lt;&gt;"",1,0),0)</f>
        <v/>
      </c>
      <c r="S11">
        <f>IF(S$4=1,IF(INDEX('×入力'!$C$1:$L$700,21+S$3,S$2)&lt;&gt;"",1,0),0)</f>
        <v/>
      </c>
      <c r="T11">
        <f>IF(T$4=1,IF(INDEX('×入力'!$C$1:$L$700,21+T$3,T$2)&lt;&gt;"",1,0),0)</f>
        <v/>
      </c>
      <c r="U11">
        <f>IF(U$4=1,IF(INDEX('×入力'!$C$1:$L$700,21+U$3,U$2)&lt;&gt;"",1,0),0)</f>
        <v/>
      </c>
      <c r="V11">
        <f>IF(V$4=1,IF(INDEX('×入力'!$C$1:$L$700,21+V$3,V$2)&lt;&gt;"",1,0),0)</f>
        <v/>
      </c>
      <c r="W11">
        <f>IF(W$4=1,IF(INDEX('×入力'!$C$1:$L$700,21+W$3,W$2)&lt;&gt;"",1,0),0)</f>
        <v/>
      </c>
      <c r="X11">
        <f>IF(X$4=1,IF(INDEX('×入力'!$C$1:$L$700,21+X$3,X$2)&lt;&gt;"",1,0),0)</f>
        <v/>
      </c>
      <c r="Y11">
        <f>IF(Y$4=1,IF(INDEX('×入力'!$C$1:$L$700,21+Y$3,Y$2)&lt;&gt;"",1,0),0)</f>
        <v/>
      </c>
      <c r="Z11">
        <f>IF(Z$4=1,IF(INDEX('×入力'!$C$1:$L$700,21+Z$3,Z$2)&lt;&gt;"",1,0),0)</f>
        <v/>
      </c>
      <c r="AA11">
        <f>IF(AA$4=1,IF(INDEX('×入力'!$C$1:$L$700,21+AA$3,AA$2)&lt;&gt;"",1,0),0)</f>
        <v/>
      </c>
      <c r="AB11">
        <f>IF(AB$4=1,IF(INDEX('×入力'!$C$1:$L$700,21+AB$3,AB$2)&lt;&gt;"",1,0),0)</f>
        <v/>
      </c>
      <c r="AC11">
        <f>IF(AC$4=1,IF(INDEX('×入力'!$C$1:$L$700,21+AC$3,AC$2)&lt;&gt;"",1,0),0)</f>
        <v/>
      </c>
      <c r="AD11">
        <f>IF(AD$4=1,IF(INDEX('×入力'!$C$1:$L$700,21+AD$3,AD$2)&lt;&gt;"",1,0),0)</f>
        <v/>
      </c>
      <c r="AE11">
        <f>IF(AE$4=1,IF(INDEX('×入力'!$C$1:$L$700,21+AE$3,AE$2)&lt;&gt;"",1,0),0)</f>
        <v/>
      </c>
      <c r="AF11">
        <f>IF(AF$4=1,IF(INDEX('×入力'!$C$1:$L$700,21+AF$3,AF$2)&lt;&gt;"",1,0),0)</f>
        <v/>
      </c>
      <c r="AG11">
        <f>IF(AG$4=1,IF(INDEX('×入力'!$C$1:$L$700,21+AG$3,AG$2)&lt;&gt;"",1,0),0)</f>
        <v/>
      </c>
      <c r="AH11">
        <f>IF(AH$4=1,IF(INDEX('×入力'!$C$1:$L$700,21+AH$3,AH$2)&lt;&gt;"",1,0),0)</f>
        <v/>
      </c>
      <c r="AI11">
        <f>IF(AI$4=1,IF(INDEX('×入力'!$C$1:$L$700,21+AI$3,AI$2)&lt;&gt;"",1,0),0)</f>
        <v/>
      </c>
      <c r="AJ11">
        <f>IF(AJ$4=1,IF(INDEX('×入力'!$C$1:$L$700,21+AJ$3,AJ$2)&lt;&gt;"",1,0),0)</f>
        <v/>
      </c>
      <c r="AK11">
        <f>IF(AK$4=1,IF(INDEX('×入力'!$C$1:$L$700,21+AK$3,AK$2)&lt;&gt;"",1,0),0)</f>
        <v/>
      </c>
      <c r="AL11">
        <f>IF(AL$4=1,IF(INDEX('×入力'!$C$1:$L$700,21+AL$3,AL$2)&lt;&gt;"",1,0),0)</f>
        <v/>
      </c>
      <c r="AM11">
        <f>IF(AM$4=1,IF(INDEX('×入力'!$C$1:$L$700,21+AM$3,AM$2)&lt;&gt;"",1,0),0)</f>
        <v/>
      </c>
      <c r="AN11">
        <f>IF(AN$4=1,IF(INDEX('×入力'!$C$1:$L$700,21+AN$3,AN$2)&lt;&gt;"",1,0),0)</f>
        <v/>
      </c>
      <c r="AO11">
        <f>IF(AO$4=1,IF(INDEX('×入力'!$C$1:$L$700,21+AO$3,AO$2)&lt;&gt;"",1,0),0)</f>
        <v/>
      </c>
      <c r="AP11">
        <f>IF(AP$4=1,IF(INDEX('×入力'!$C$1:$L$700,21+AP$3,AP$2)&lt;&gt;"",1,0),0)</f>
        <v/>
      </c>
      <c r="AQ11">
        <f>IF(AQ$4=1,IF(INDEX('×入力'!$C$1:$L$700,21+AQ$3,AQ$2)&lt;&gt;"",1,0),0)</f>
        <v/>
      </c>
      <c r="AR11">
        <f>IF(AR$4=1,IF(INDEX('×入力'!$C$1:$L$700,21+AR$3,AR$2)&lt;&gt;"",1,0),0)</f>
        <v/>
      </c>
      <c r="AS11">
        <f>IF(AS$4=1,IF(INDEX('×入力'!$C$1:$L$700,21+AS$3,AS$2)&lt;&gt;"",1,0),0)</f>
        <v/>
      </c>
      <c r="AT11">
        <f>IF(AT$4=1,IF(INDEX('×入力'!$C$1:$L$700,21+AT$3,AT$2)&lt;&gt;"",1,0),0)</f>
        <v/>
      </c>
      <c r="AU11">
        <f>IF(AU$4=1,IF(INDEX('×入力'!$C$1:$L$700,21+AU$3,AU$2)&lt;&gt;"",1,0),0)</f>
        <v/>
      </c>
      <c r="AV11">
        <f>IF(AV$4=1,IF(INDEX('×入力'!$C$1:$L$700,21+AV$3,AV$2)&lt;&gt;"",1,0),0)</f>
        <v/>
      </c>
      <c r="AW11">
        <f>IF(AW$4=1,IF(INDEX('×入力'!$C$1:$L$700,21+AW$3,AW$2)&lt;&gt;"",1,0),0)</f>
        <v/>
      </c>
      <c r="AX11">
        <f>IF(AX$4=1,IF(INDEX('×入力'!$C$1:$L$700,21+AX$3,AX$2)&lt;&gt;"",1,0),0)</f>
        <v/>
      </c>
      <c r="AY11">
        <f>IF(AY$4=1,IF(INDEX('×入力'!$C$1:$L$700,21+AY$3,AY$2)&lt;&gt;"",1,0),0)</f>
        <v/>
      </c>
      <c r="AZ11">
        <f>IF(AZ$4=1,IF(INDEX('×入力'!$C$1:$L$700,21+AZ$3,AZ$2)&lt;&gt;"",1,0),0)</f>
        <v/>
      </c>
      <c r="BA11">
        <f>IF(BA$4=1,IF(INDEX('×入力'!$C$1:$L$700,21+BA$3,BA$2)&lt;&gt;"",1,0),0)</f>
        <v/>
      </c>
      <c r="BB11">
        <f>IF(BB$4=1,IF(INDEX('×入力'!$C$1:$L$700,21+BB$3,BB$2)&lt;&gt;"",1,0),0)</f>
        <v/>
      </c>
      <c r="BC11">
        <f>IF(BC$4=1,IF(INDEX('×入力'!$C$1:$L$700,21+BC$3,BC$2)&lt;&gt;"",1,0),0)</f>
        <v/>
      </c>
      <c r="BD11">
        <f>IF(BD$4=1,IF(INDEX('×入力'!$C$1:$L$700,21+BD$3,BD$2)&lt;&gt;"",1,0),0)</f>
        <v/>
      </c>
      <c r="BE11">
        <f>IF(BE$4=1,IF(INDEX('×入力'!$C$1:$L$700,21+BE$3,BE$2)&lt;&gt;"",1,0),0)</f>
        <v/>
      </c>
      <c r="BF11">
        <f>IF(BF$4=1,IF(INDEX('×入力'!$C$1:$L$700,21+BF$3,BF$2)&lt;&gt;"",1,0),0)</f>
        <v/>
      </c>
      <c r="BG11">
        <f>IF(BG$4=1,IF(INDEX('×入力'!$C$1:$L$700,21+BG$3,BG$2)&lt;&gt;"",1,0),0)</f>
        <v/>
      </c>
      <c r="BH11">
        <f>IF(BH$4=1,IF(INDEX('×入力'!$C$1:$L$700,21+BH$3,BH$2)&lt;&gt;"",1,0),0)</f>
        <v/>
      </c>
      <c r="BI11">
        <f>IF(BI$4=1,IF(INDEX('×入力'!$C$1:$L$700,21+BI$3,BI$2)&lt;&gt;"",1,0),0)</f>
        <v/>
      </c>
      <c r="BJ11">
        <f>IF(BJ$4=1,IF(INDEX('×入力'!$C$1:$L$700,21+BJ$3,BJ$2)&lt;&gt;"",1,0),0)</f>
        <v/>
      </c>
      <c r="BK11">
        <f>IF(BK$4=1,IF(INDEX('×入力'!$C$1:$L$700,21+BK$3,BK$2)&lt;&gt;"",1,0),0)</f>
        <v/>
      </c>
      <c r="BL11">
        <f>IF(BL$4=1,IF(INDEX('×入力'!$C$1:$L$700,21+BL$3,BL$2)&lt;&gt;"",1,0),0)</f>
        <v/>
      </c>
      <c r="BM11">
        <f>IF(BM$4=1,IF(INDEX('×入力'!$C$1:$L$700,21+BM$3,BM$2)&lt;&gt;"",1,0),0)</f>
        <v/>
      </c>
      <c r="BN11">
        <f>IF(BN$4=1,IF(INDEX('×入力'!$C$1:$L$700,21+BN$3,BN$2)&lt;&gt;"",1,0),0)</f>
        <v/>
      </c>
      <c r="BO11">
        <f>IF(BO$4=1,IF(INDEX('×入力'!$C$1:$L$700,21+BO$3,BO$2)&lt;&gt;"",1,0),0)</f>
        <v/>
      </c>
      <c r="BP11">
        <f>IF(BP$4=1,IF(INDEX('×入力'!$C$1:$L$700,21+BP$3,BP$2)&lt;&gt;"",1,0),0)</f>
        <v/>
      </c>
      <c r="BQ11">
        <f>IF(BQ$4=1,IF(INDEX('×入力'!$C$1:$L$700,21+BQ$3,BQ$2)&lt;&gt;"",1,0),0)</f>
        <v/>
      </c>
      <c r="BR11">
        <f>IF(BR$4=1,IF(INDEX('×入力'!$C$1:$L$700,21+BR$3,BR$2)&lt;&gt;"",1,0),0)</f>
        <v/>
      </c>
      <c r="BS11">
        <f>IF(BS$4=1,IF(INDEX('×入力'!$C$1:$L$700,21+BS$3,BS$2)&lt;&gt;"",1,0),0)</f>
        <v/>
      </c>
      <c r="BT11">
        <f>IF(BT$4=1,IF(INDEX('×入力'!$C$1:$L$700,21+BT$3,BT$2)&lt;&gt;"",1,0),0)</f>
        <v/>
      </c>
      <c r="BU11">
        <f>IF(BU$4=1,IF(INDEX('×入力'!$C$1:$L$700,21+BU$3,BU$2)&lt;&gt;"",1,0),0)</f>
        <v/>
      </c>
      <c r="BV11">
        <f>IF(BV$4=1,IF(INDEX('×入力'!$C$1:$L$700,21+BV$3,BV$2)&lt;&gt;"",1,0),0)</f>
        <v/>
      </c>
      <c r="BW11">
        <f>IF(BW$4=1,IF(INDEX('×入力'!$C$1:$L$700,21+BW$3,BW$2)&lt;&gt;"",1,0),0)</f>
        <v/>
      </c>
      <c r="BX11">
        <f>IF(BX$4=1,IF(INDEX('×入力'!$C$1:$L$700,21+BX$3,BX$2)&lt;&gt;"",1,0),0)</f>
        <v/>
      </c>
      <c r="BY11">
        <f>IF(BY$4=1,IF(INDEX('×入力'!$C$1:$L$700,21+BY$3,BY$2)&lt;&gt;"",1,0),0)</f>
        <v/>
      </c>
      <c r="BZ11">
        <f>IF(BZ$4=1,IF(INDEX('×入力'!$C$1:$L$700,21+BZ$3,BZ$2)&lt;&gt;"",1,0),0)</f>
        <v/>
      </c>
      <c r="CA11">
        <f>IF(CA$4=1,IF(INDEX('×入力'!$C$1:$L$700,21+CA$3,CA$2)&lt;&gt;"",1,0),0)</f>
        <v/>
      </c>
      <c r="CB11">
        <f>IF(CB$4=1,IF(INDEX('×入力'!$C$1:$L$700,21+CB$3,CB$2)&lt;&gt;"",1,0),0)</f>
        <v/>
      </c>
      <c r="CC11">
        <f>IF(CC$4=1,IF(INDEX('×入力'!$C$1:$L$700,21+CC$3,CC$2)&lt;&gt;"",1,0),0)</f>
        <v/>
      </c>
      <c r="CD11">
        <f>IF(CD$4=1,IF(INDEX('×入力'!$C$1:$L$700,21+CD$3,CD$2)&lt;&gt;"",1,0),0)</f>
        <v/>
      </c>
      <c r="CE11">
        <f>IF(CE$4=1,IF(INDEX('×入力'!$C$1:$L$700,21+CE$3,CE$2)&lt;&gt;"",1,0),0)</f>
        <v/>
      </c>
      <c r="CF11">
        <f>IF(CF$4=1,IF(INDEX('×入力'!$C$1:$L$700,21+CF$3,CF$2)&lt;&gt;"",1,0),0)</f>
        <v/>
      </c>
      <c r="CG11">
        <f>IF(CG$4=1,IF(INDEX('×入力'!$C$1:$L$700,21+CG$3,CG$2)&lt;&gt;"",1,0),0)</f>
        <v/>
      </c>
      <c r="CH11">
        <f>IF(CH$4=1,IF(INDEX('×入力'!$C$1:$L$700,21+CH$3,CH$2)&lt;&gt;"",1,0),0)</f>
        <v/>
      </c>
      <c r="CI11">
        <f>IF(CI$4=1,IF(INDEX('×入力'!$C$1:$L$700,21+CI$3,CI$2)&lt;&gt;"",1,0),0)</f>
        <v/>
      </c>
      <c r="CJ11">
        <f>IF(CJ$4=1,IF(INDEX('×入力'!$C$1:$L$700,21+CJ$3,CJ$2)&lt;&gt;"",1,0),0)</f>
        <v/>
      </c>
      <c r="CK11">
        <f>IF(CK$4=1,IF(INDEX('×入力'!$C$1:$L$700,21+CK$3,CK$2)&lt;&gt;"",1,0),0)</f>
        <v/>
      </c>
      <c r="CL11">
        <f>IF(CL$4=1,IF(INDEX('×入力'!$C$1:$L$700,21+CL$3,CL$2)&lt;&gt;"",1,0),0)</f>
        <v/>
      </c>
      <c r="CM11">
        <f>IF(CM$4=1,IF(INDEX('×入力'!$C$1:$L$700,21+CM$3,CM$2)&lt;&gt;"",1,0),0)</f>
        <v/>
      </c>
      <c r="CN11">
        <f>IF(CN$4=1,IF(INDEX('×入力'!$C$1:$L$700,21+CN$3,CN$2)&lt;&gt;"",1,0),0)</f>
        <v/>
      </c>
      <c r="CO11">
        <f>IF(CO$4=1,IF(INDEX('×入力'!$C$1:$L$700,21+CO$3,CO$2)&lt;&gt;"",1,0),0)</f>
        <v/>
      </c>
      <c r="CP11">
        <f>IF(CP$4=1,IF(INDEX('×入力'!$C$1:$L$700,21+CP$3,CP$2)&lt;&gt;"",1,0),0)</f>
        <v/>
      </c>
      <c r="CQ11">
        <f>IF(CQ$4=1,IF(INDEX('×入力'!$C$1:$L$700,21+CQ$3,CQ$2)&lt;&gt;"",1,0),0)</f>
        <v/>
      </c>
      <c r="CR11">
        <f>IF(CR$4=1,IF(INDEX('×入力'!$C$1:$L$700,21+CR$3,CR$2)&lt;&gt;"",1,0),0)</f>
        <v/>
      </c>
      <c r="CS11">
        <f>IF(CS$4=1,IF(INDEX('×入力'!$C$1:$L$700,21+CS$3,CS$2)&lt;&gt;"",1,0),0)</f>
        <v/>
      </c>
      <c r="CT11">
        <f>IF(CT$4=1,IF(INDEX('×入力'!$C$1:$L$700,21+CT$3,CT$2)&lt;&gt;"",1,0),0)</f>
        <v/>
      </c>
      <c r="CU11">
        <f>IF(CU$4=1,IF(INDEX('×入力'!$C$1:$L$700,21+CU$3,CU$2)&lt;&gt;"",1,0),0)</f>
        <v/>
      </c>
      <c r="CV11">
        <f>IF(CV$4=1,IF(INDEX('×入力'!$C$1:$L$700,21+CV$3,CV$2)&lt;&gt;"",1,0),0)</f>
        <v/>
      </c>
      <c r="CW11">
        <f>IF(CW$4=1,IF(INDEX('×入力'!$C$1:$L$700,21+CW$3,CW$2)&lt;&gt;"",1,0),0)</f>
        <v/>
      </c>
      <c r="CX11">
        <f>IF(CX$4=1,IF(INDEX('×入力'!$C$1:$L$700,21+CX$3,CX$2)&lt;&gt;"",1,0),0)</f>
        <v/>
      </c>
      <c r="CY11">
        <f>IF(CY$4=1,IF(INDEX('×入力'!$C$1:$L$700,21+CY$3,CY$2)&lt;&gt;"",1,0),0)</f>
        <v/>
      </c>
      <c r="CZ11">
        <f>IF(CZ$4=1,IF(INDEX('×入力'!$C$1:$L$700,21+CZ$3,CZ$2)&lt;&gt;"",1,0),0)</f>
        <v/>
      </c>
      <c r="DA11">
        <f>IF(DA$4=1,IF(INDEX('×入力'!$C$1:$L$700,21+DA$3,DA$2)&lt;&gt;"",1,0),0)</f>
        <v/>
      </c>
      <c r="DB11">
        <f>IF(DB$4=1,IF(INDEX('×入力'!$C$1:$L$700,21+DB$3,DB$2)&lt;&gt;"",1,0),0)</f>
        <v/>
      </c>
      <c r="DC11">
        <f>IF(DC$4=1,IF(INDEX('×入力'!$C$1:$L$700,21+DC$3,DC$2)&lt;&gt;"",1,0),0)</f>
        <v/>
      </c>
      <c r="DD11">
        <f>IF(DD$4=1,IF(INDEX('×入力'!$C$1:$L$700,21+DD$3,DD$2)&lt;&gt;"",1,0),0)</f>
        <v/>
      </c>
      <c r="DE11">
        <f>IF(DE$4=1,IF(INDEX('×入力'!$C$1:$L$700,21+DE$3,DE$2)&lt;&gt;"",1,0),0)</f>
        <v/>
      </c>
      <c r="DF11">
        <f>IF(DF$4=1,IF(INDEX('×入力'!$C$1:$L$700,21+DF$3,DF$2)&lt;&gt;"",1,0),0)</f>
        <v/>
      </c>
      <c r="DG11">
        <f>IF(DG$4=1,IF(INDEX('×入力'!$C$1:$L$700,21+DG$3,DG$2)&lt;&gt;"",1,0),0)</f>
        <v/>
      </c>
      <c r="DH11">
        <f>IF(DH$4=1,IF(INDEX('×入力'!$C$1:$L$700,21+DH$3,DH$2)&lt;&gt;"",1,0),0)</f>
        <v/>
      </c>
      <c r="DI11">
        <f>IF(DI$4=1,IF(INDEX('×入力'!$C$1:$L$700,21+DI$3,DI$2)&lt;&gt;"",1,0),0)</f>
        <v/>
      </c>
      <c r="DJ11">
        <f>IF(DJ$4=1,IF(INDEX('×入力'!$C$1:$L$700,21+DJ$3,DJ$2)&lt;&gt;"",1,0),0)</f>
        <v/>
      </c>
      <c r="DK11">
        <f>IF(DK$4=1,IF(INDEX('×入力'!$C$1:$L$700,21+DK$3,DK$2)&lt;&gt;"",1,0),0)</f>
        <v/>
      </c>
      <c r="DL11">
        <f>IF(DL$4=1,IF(INDEX('×入力'!$C$1:$L$700,21+DL$3,DL$2)&lt;&gt;"",1,0),0)</f>
        <v/>
      </c>
      <c r="DM11">
        <f>IF(DM$4=1,IF(INDEX('×入力'!$C$1:$L$700,21+DM$3,DM$2)&lt;&gt;"",1,0),0)</f>
        <v/>
      </c>
      <c r="DN11">
        <f>IF(DN$4=1,IF(INDEX('×入力'!$C$1:$L$700,21+DN$3,DN$2)&lt;&gt;"",1,0),0)</f>
        <v/>
      </c>
      <c r="DO11">
        <f>IF(DO$4=1,IF(INDEX('×入力'!$C$1:$L$700,21+DO$3,DO$2)&lt;&gt;"",1,0),0)</f>
        <v/>
      </c>
      <c r="DP11">
        <f>IF(DP$4=1,IF(INDEX('×入力'!$C$1:$L$700,21+DP$3,DP$2)&lt;&gt;"",1,0),0)</f>
        <v/>
      </c>
      <c r="DQ11">
        <f>IF(DQ$4=1,IF(INDEX('×入力'!$C$1:$L$700,21+DQ$3,DQ$2)&lt;&gt;"",1,0),0)</f>
        <v/>
      </c>
      <c r="DR11">
        <f>IF(DR$4=1,IF(INDEX('×入力'!$C$1:$L$700,21+DR$3,DR$2)&lt;&gt;"",1,0),0)</f>
        <v/>
      </c>
      <c r="DS11">
        <f>IF(DS$4=1,IF(INDEX('×入力'!$C$1:$L$700,21+DS$3,DS$2)&lt;&gt;"",1,0),0)</f>
        <v/>
      </c>
      <c r="DU11">
        <f>IFERROR(INDEX('計算B'!$C$3:$C$47,MATCH(A11,'計算B'!$B$3:$B$47,0)),0)</f>
        <v/>
      </c>
      <c r="DV11">
        <f>IF(AND(C11=1,DU11=0),1,0)</f>
        <v/>
      </c>
      <c r="DW11">
        <f>SUMPRODUCT(D61:DS61*(1-$D$7:$DS$7))</f>
        <v/>
      </c>
      <c r="DX11">
        <f>SUM(D11:DS11)</f>
        <v/>
      </c>
      <c r="DY11">
        <f>IF(B11="",0,IF(COUNTIF('割り当て'!$C$6:$L$17,B11)=1,SUMPRODUCT(('割り当て'!$C$6:$L$17=B11)*((COLUMN('割り当て'!$C$6:$L$17)-3)*12+ROW('割り当て'!$C$6:$L$17)-5)),0))</f>
        <v/>
      </c>
    </row>
    <row r="12">
      <c r="A12" t="n">
        <v>3</v>
      </c>
      <c r="B12">
        <f>'名簿'!E7</f>
        <v/>
      </c>
      <c r="C12">
        <f>IF(AND(B12&lt;&gt;"",OR('名簿'!F7="入力済み",'名簿'!F7="×なし"),DY12=0,COUNTIF('割り当て'!$C$6:$L$17,B12)=0),1,0)</f>
        <v/>
      </c>
      <c r="D12">
        <f>IF(D$4=1,IF(INDEX('×入力'!$C$1:$L$700,36+D$3,D$2)&lt;&gt;"",1,0),0)</f>
        <v/>
      </c>
      <c r="E12">
        <f>IF(E$4=1,IF(INDEX('×入力'!$C$1:$L$700,36+E$3,E$2)&lt;&gt;"",1,0),0)</f>
        <v/>
      </c>
      <c r="F12">
        <f>IF(F$4=1,IF(INDEX('×入力'!$C$1:$L$700,36+F$3,F$2)&lt;&gt;"",1,0),0)</f>
        <v/>
      </c>
      <c r="G12">
        <f>IF(G$4=1,IF(INDEX('×入力'!$C$1:$L$700,36+G$3,G$2)&lt;&gt;"",1,0),0)</f>
        <v/>
      </c>
      <c r="H12">
        <f>IF(H$4=1,IF(INDEX('×入力'!$C$1:$L$700,36+H$3,H$2)&lt;&gt;"",1,0),0)</f>
        <v/>
      </c>
      <c r="I12">
        <f>IF(I$4=1,IF(INDEX('×入力'!$C$1:$L$700,36+I$3,I$2)&lt;&gt;"",1,0),0)</f>
        <v/>
      </c>
      <c r="J12">
        <f>IF(J$4=1,IF(INDEX('×入力'!$C$1:$L$700,36+J$3,J$2)&lt;&gt;"",1,0),0)</f>
        <v/>
      </c>
      <c r="K12">
        <f>IF(K$4=1,IF(INDEX('×入力'!$C$1:$L$700,36+K$3,K$2)&lt;&gt;"",1,0),0)</f>
        <v/>
      </c>
      <c r="L12">
        <f>IF(L$4=1,IF(INDEX('×入力'!$C$1:$L$700,36+L$3,L$2)&lt;&gt;"",1,0),0)</f>
        <v/>
      </c>
      <c r="M12">
        <f>IF(M$4=1,IF(INDEX('×入力'!$C$1:$L$700,36+M$3,M$2)&lt;&gt;"",1,0),0)</f>
        <v/>
      </c>
      <c r="N12">
        <f>IF(N$4=1,IF(INDEX('×入力'!$C$1:$L$700,36+N$3,N$2)&lt;&gt;"",1,0),0)</f>
        <v/>
      </c>
      <c r="O12">
        <f>IF(O$4=1,IF(INDEX('×入力'!$C$1:$L$700,36+O$3,O$2)&lt;&gt;"",1,0),0)</f>
        <v/>
      </c>
      <c r="P12">
        <f>IF(P$4=1,IF(INDEX('×入力'!$C$1:$L$700,36+P$3,P$2)&lt;&gt;"",1,0),0)</f>
        <v/>
      </c>
      <c r="Q12">
        <f>IF(Q$4=1,IF(INDEX('×入力'!$C$1:$L$700,36+Q$3,Q$2)&lt;&gt;"",1,0),0)</f>
        <v/>
      </c>
      <c r="R12">
        <f>IF(R$4=1,IF(INDEX('×入力'!$C$1:$L$700,36+R$3,R$2)&lt;&gt;"",1,0),0)</f>
        <v/>
      </c>
      <c r="S12">
        <f>IF(S$4=1,IF(INDEX('×入力'!$C$1:$L$700,36+S$3,S$2)&lt;&gt;"",1,0),0)</f>
        <v/>
      </c>
      <c r="T12">
        <f>IF(T$4=1,IF(INDEX('×入力'!$C$1:$L$700,36+T$3,T$2)&lt;&gt;"",1,0),0)</f>
        <v/>
      </c>
      <c r="U12">
        <f>IF(U$4=1,IF(INDEX('×入力'!$C$1:$L$700,36+U$3,U$2)&lt;&gt;"",1,0),0)</f>
        <v/>
      </c>
      <c r="V12">
        <f>IF(V$4=1,IF(INDEX('×入力'!$C$1:$L$700,36+V$3,V$2)&lt;&gt;"",1,0),0)</f>
        <v/>
      </c>
      <c r="W12">
        <f>IF(W$4=1,IF(INDEX('×入力'!$C$1:$L$700,36+W$3,W$2)&lt;&gt;"",1,0),0)</f>
        <v/>
      </c>
      <c r="X12">
        <f>IF(X$4=1,IF(INDEX('×入力'!$C$1:$L$700,36+X$3,X$2)&lt;&gt;"",1,0),0)</f>
        <v/>
      </c>
      <c r="Y12">
        <f>IF(Y$4=1,IF(INDEX('×入力'!$C$1:$L$700,36+Y$3,Y$2)&lt;&gt;"",1,0),0)</f>
        <v/>
      </c>
      <c r="Z12">
        <f>IF(Z$4=1,IF(INDEX('×入力'!$C$1:$L$700,36+Z$3,Z$2)&lt;&gt;"",1,0),0)</f>
        <v/>
      </c>
      <c r="AA12">
        <f>IF(AA$4=1,IF(INDEX('×入力'!$C$1:$L$700,36+AA$3,AA$2)&lt;&gt;"",1,0),0)</f>
        <v/>
      </c>
      <c r="AB12">
        <f>IF(AB$4=1,IF(INDEX('×入力'!$C$1:$L$700,36+AB$3,AB$2)&lt;&gt;"",1,0),0)</f>
        <v/>
      </c>
      <c r="AC12">
        <f>IF(AC$4=1,IF(INDEX('×入力'!$C$1:$L$700,36+AC$3,AC$2)&lt;&gt;"",1,0),0)</f>
        <v/>
      </c>
      <c r="AD12">
        <f>IF(AD$4=1,IF(INDEX('×入力'!$C$1:$L$700,36+AD$3,AD$2)&lt;&gt;"",1,0),0)</f>
        <v/>
      </c>
      <c r="AE12">
        <f>IF(AE$4=1,IF(INDEX('×入力'!$C$1:$L$700,36+AE$3,AE$2)&lt;&gt;"",1,0),0)</f>
        <v/>
      </c>
      <c r="AF12">
        <f>IF(AF$4=1,IF(INDEX('×入力'!$C$1:$L$700,36+AF$3,AF$2)&lt;&gt;"",1,0),0)</f>
        <v/>
      </c>
      <c r="AG12">
        <f>IF(AG$4=1,IF(INDEX('×入力'!$C$1:$L$700,36+AG$3,AG$2)&lt;&gt;"",1,0),0)</f>
        <v/>
      </c>
      <c r="AH12">
        <f>IF(AH$4=1,IF(INDEX('×入力'!$C$1:$L$700,36+AH$3,AH$2)&lt;&gt;"",1,0),0)</f>
        <v/>
      </c>
      <c r="AI12">
        <f>IF(AI$4=1,IF(INDEX('×入力'!$C$1:$L$700,36+AI$3,AI$2)&lt;&gt;"",1,0),0)</f>
        <v/>
      </c>
      <c r="AJ12">
        <f>IF(AJ$4=1,IF(INDEX('×入力'!$C$1:$L$700,36+AJ$3,AJ$2)&lt;&gt;"",1,0),0)</f>
        <v/>
      </c>
      <c r="AK12">
        <f>IF(AK$4=1,IF(INDEX('×入力'!$C$1:$L$700,36+AK$3,AK$2)&lt;&gt;"",1,0),0)</f>
        <v/>
      </c>
      <c r="AL12">
        <f>IF(AL$4=1,IF(INDEX('×入力'!$C$1:$L$700,36+AL$3,AL$2)&lt;&gt;"",1,0),0)</f>
        <v/>
      </c>
      <c r="AM12">
        <f>IF(AM$4=1,IF(INDEX('×入力'!$C$1:$L$700,36+AM$3,AM$2)&lt;&gt;"",1,0),0)</f>
        <v/>
      </c>
      <c r="AN12">
        <f>IF(AN$4=1,IF(INDEX('×入力'!$C$1:$L$700,36+AN$3,AN$2)&lt;&gt;"",1,0),0)</f>
        <v/>
      </c>
      <c r="AO12">
        <f>IF(AO$4=1,IF(INDEX('×入力'!$C$1:$L$700,36+AO$3,AO$2)&lt;&gt;"",1,0),0)</f>
        <v/>
      </c>
      <c r="AP12">
        <f>IF(AP$4=1,IF(INDEX('×入力'!$C$1:$L$700,36+AP$3,AP$2)&lt;&gt;"",1,0),0)</f>
        <v/>
      </c>
      <c r="AQ12">
        <f>IF(AQ$4=1,IF(INDEX('×入力'!$C$1:$L$700,36+AQ$3,AQ$2)&lt;&gt;"",1,0),0)</f>
        <v/>
      </c>
      <c r="AR12">
        <f>IF(AR$4=1,IF(INDEX('×入力'!$C$1:$L$700,36+AR$3,AR$2)&lt;&gt;"",1,0),0)</f>
        <v/>
      </c>
      <c r="AS12">
        <f>IF(AS$4=1,IF(INDEX('×入力'!$C$1:$L$700,36+AS$3,AS$2)&lt;&gt;"",1,0),0)</f>
        <v/>
      </c>
      <c r="AT12">
        <f>IF(AT$4=1,IF(INDEX('×入力'!$C$1:$L$700,36+AT$3,AT$2)&lt;&gt;"",1,0),0)</f>
        <v/>
      </c>
      <c r="AU12">
        <f>IF(AU$4=1,IF(INDEX('×入力'!$C$1:$L$700,36+AU$3,AU$2)&lt;&gt;"",1,0),0)</f>
        <v/>
      </c>
      <c r="AV12">
        <f>IF(AV$4=1,IF(INDEX('×入力'!$C$1:$L$700,36+AV$3,AV$2)&lt;&gt;"",1,0),0)</f>
        <v/>
      </c>
      <c r="AW12">
        <f>IF(AW$4=1,IF(INDEX('×入力'!$C$1:$L$700,36+AW$3,AW$2)&lt;&gt;"",1,0),0)</f>
        <v/>
      </c>
      <c r="AX12">
        <f>IF(AX$4=1,IF(INDEX('×入力'!$C$1:$L$700,36+AX$3,AX$2)&lt;&gt;"",1,0),0)</f>
        <v/>
      </c>
      <c r="AY12">
        <f>IF(AY$4=1,IF(INDEX('×入力'!$C$1:$L$700,36+AY$3,AY$2)&lt;&gt;"",1,0),0)</f>
        <v/>
      </c>
      <c r="AZ12">
        <f>IF(AZ$4=1,IF(INDEX('×入力'!$C$1:$L$700,36+AZ$3,AZ$2)&lt;&gt;"",1,0),0)</f>
        <v/>
      </c>
      <c r="BA12">
        <f>IF(BA$4=1,IF(INDEX('×入力'!$C$1:$L$700,36+BA$3,BA$2)&lt;&gt;"",1,0),0)</f>
        <v/>
      </c>
      <c r="BB12">
        <f>IF(BB$4=1,IF(INDEX('×入力'!$C$1:$L$700,36+BB$3,BB$2)&lt;&gt;"",1,0),0)</f>
        <v/>
      </c>
      <c r="BC12">
        <f>IF(BC$4=1,IF(INDEX('×入力'!$C$1:$L$700,36+BC$3,BC$2)&lt;&gt;"",1,0),0)</f>
        <v/>
      </c>
      <c r="BD12">
        <f>IF(BD$4=1,IF(INDEX('×入力'!$C$1:$L$700,36+BD$3,BD$2)&lt;&gt;"",1,0),0)</f>
        <v/>
      </c>
      <c r="BE12">
        <f>IF(BE$4=1,IF(INDEX('×入力'!$C$1:$L$700,36+BE$3,BE$2)&lt;&gt;"",1,0),0)</f>
        <v/>
      </c>
      <c r="BF12">
        <f>IF(BF$4=1,IF(INDEX('×入力'!$C$1:$L$700,36+BF$3,BF$2)&lt;&gt;"",1,0),0)</f>
        <v/>
      </c>
      <c r="BG12">
        <f>IF(BG$4=1,IF(INDEX('×入力'!$C$1:$L$700,36+BG$3,BG$2)&lt;&gt;"",1,0),0)</f>
        <v/>
      </c>
      <c r="BH12">
        <f>IF(BH$4=1,IF(INDEX('×入力'!$C$1:$L$700,36+BH$3,BH$2)&lt;&gt;"",1,0),0)</f>
        <v/>
      </c>
      <c r="BI12">
        <f>IF(BI$4=1,IF(INDEX('×入力'!$C$1:$L$700,36+BI$3,BI$2)&lt;&gt;"",1,0),0)</f>
        <v/>
      </c>
      <c r="BJ12">
        <f>IF(BJ$4=1,IF(INDEX('×入力'!$C$1:$L$700,36+BJ$3,BJ$2)&lt;&gt;"",1,0),0)</f>
        <v/>
      </c>
      <c r="BK12">
        <f>IF(BK$4=1,IF(INDEX('×入力'!$C$1:$L$700,36+BK$3,BK$2)&lt;&gt;"",1,0),0)</f>
        <v/>
      </c>
      <c r="BL12">
        <f>IF(BL$4=1,IF(INDEX('×入力'!$C$1:$L$700,36+BL$3,BL$2)&lt;&gt;"",1,0),0)</f>
        <v/>
      </c>
      <c r="BM12">
        <f>IF(BM$4=1,IF(INDEX('×入力'!$C$1:$L$700,36+BM$3,BM$2)&lt;&gt;"",1,0),0)</f>
        <v/>
      </c>
      <c r="BN12">
        <f>IF(BN$4=1,IF(INDEX('×入力'!$C$1:$L$700,36+BN$3,BN$2)&lt;&gt;"",1,0),0)</f>
        <v/>
      </c>
      <c r="BO12">
        <f>IF(BO$4=1,IF(INDEX('×入力'!$C$1:$L$700,36+BO$3,BO$2)&lt;&gt;"",1,0),0)</f>
        <v/>
      </c>
      <c r="BP12">
        <f>IF(BP$4=1,IF(INDEX('×入力'!$C$1:$L$700,36+BP$3,BP$2)&lt;&gt;"",1,0),0)</f>
        <v/>
      </c>
      <c r="BQ12">
        <f>IF(BQ$4=1,IF(INDEX('×入力'!$C$1:$L$700,36+BQ$3,BQ$2)&lt;&gt;"",1,0),0)</f>
        <v/>
      </c>
      <c r="BR12">
        <f>IF(BR$4=1,IF(INDEX('×入力'!$C$1:$L$700,36+BR$3,BR$2)&lt;&gt;"",1,0),0)</f>
        <v/>
      </c>
      <c r="BS12">
        <f>IF(BS$4=1,IF(INDEX('×入力'!$C$1:$L$700,36+BS$3,BS$2)&lt;&gt;"",1,0),0)</f>
        <v/>
      </c>
      <c r="BT12">
        <f>IF(BT$4=1,IF(INDEX('×入力'!$C$1:$L$700,36+BT$3,BT$2)&lt;&gt;"",1,0),0)</f>
        <v/>
      </c>
      <c r="BU12">
        <f>IF(BU$4=1,IF(INDEX('×入力'!$C$1:$L$700,36+BU$3,BU$2)&lt;&gt;"",1,0),0)</f>
        <v/>
      </c>
      <c r="BV12">
        <f>IF(BV$4=1,IF(INDEX('×入力'!$C$1:$L$700,36+BV$3,BV$2)&lt;&gt;"",1,0),0)</f>
        <v/>
      </c>
      <c r="BW12">
        <f>IF(BW$4=1,IF(INDEX('×入力'!$C$1:$L$700,36+BW$3,BW$2)&lt;&gt;"",1,0),0)</f>
        <v/>
      </c>
      <c r="BX12">
        <f>IF(BX$4=1,IF(INDEX('×入力'!$C$1:$L$700,36+BX$3,BX$2)&lt;&gt;"",1,0),0)</f>
        <v/>
      </c>
      <c r="BY12">
        <f>IF(BY$4=1,IF(INDEX('×入力'!$C$1:$L$700,36+BY$3,BY$2)&lt;&gt;"",1,0),0)</f>
        <v/>
      </c>
      <c r="BZ12">
        <f>IF(BZ$4=1,IF(INDEX('×入力'!$C$1:$L$700,36+BZ$3,BZ$2)&lt;&gt;"",1,0),0)</f>
        <v/>
      </c>
      <c r="CA12">
        <f>IF(CA$4=1,IF(INDEX('×入力'!$C$1:$L$700,36+CA$3,CA$2)&lt;&gt;"",1,0),0)</f>
        <v/>
      </c>
      <c r="CB12">
        <f>IF(CB$4=1,IF(INDEX('×入力'!$C$1:$L$700,36+CB$3,CB$2)&lt;&gt;"",1,0),0)</f>
        <v/>
      </c>
      <c r="CC12">
        <f>IF(CC$4=1,IF(INDEX('×入力'!$C$1:$L$700,36+CC$3,CC$2)&lt;&gt;"",1,0),0)</f>
        <v/>
      </c>
      <c r="CD12">
        <f>IF(CD$4=1,IF(INDEX('×入力'!$C$1:$L$700,36+CD$3,CD$2)&lt;&gt;"",1,0),0)</f>
        <v/>
      </c>
      <c r="CE12">
        <f>IF(CE$4=1,IF(INDEX('×入力'!$C$1:$L$700,36+CE$3,CE$2)&lt;&gt;"",1,0),0)</f>
        <v/>
      </c>
      <c r="CF12">
        <f>IF(CF$4=1,IF(INDEX('×入力'!$C$1:$L$700,36+CF$3,CF$2)&lt;&gt;"",1,0),0)</f>
        <v/>
      </c>
      <c r="CG12">
        <f>IF(CG$4=1,IF(INDEX('×入力'!$C$1:$L$700,36+CG$3,CG$2)&lt;&gt;"",1,0),0)</f>
        <v/>
      </c>
      <c r="CH12">
        <f>IF(CH$4=1,IF(INDEX('×入力'!$C$1:$L$700,36+CH$3,CH$2)&lt;&gt;"",1,0),0)</f>
        <v/>
      </c>
      <c r="CI12">
        <f>IF(CI$4=1,IF(INDEX('×入力'!$C$1:$L$700,36+CI$3,CI$2)&lt;&gt;"",1,0),0)</f>
        <v/>
      </c>
      <c r="CJ12">
        <f>IF(CJ$4=1,IF(INDEX('×入力'!$C$1:$L$700,36+CJ$3,CJ$2)&lt;&gt;"",1,0),0)</f>
        <v/>
      </c>
      <c r="CK12">
        <f>IF(CK$4=1,IF(INDEX('×入力'!$C$1:$L$700,36+CK$3,CK$2)&lt;&gt;"",1,0),0)</f>
        <v/>
      </c>
      <c r="CL12">
        <f>IF(CL$4=1,IF(INDEX('×入力'!$C$1:$L$700,36+CL$3,CL$2)&lt;&gt;"",1,0),0)</f>
        <v/>
      </c>
      <c r="CM12">
        <f>IF(CM$4=1,IF(INDEX('×入力'!$C$1:$L$700,36+CM$3,CM$2)&lt;&gt;"",1,0),0)</f>
        <v/>
      </c>
      <c r="CN12">
        <f>IF(CN$4=1,IF(INDEX('×入力'!$C$1:$L$700,36+CN$3,CN$2)&lt;&gt;"",1,0),0)</f>
        <v/>
      </c>
      <c r="CO12">
        <f>IF(CO$4=1,IF(INDEX('×入力'!$C$1:$L$700,36+CO$3,CO$2)&lt;&gt;"",1,0),0)</f>
        <v/>
      </c>
      <c r="CP12">
        <f>IF(CP$4=1,IF(INDEX('×入力'!$C$1:$L$700,36+CP$3,CP$2)&lt;&gt;"",1,0),0)</f>
        <v/>
      </c>
      <c r="CQ12">
        <f>IF(CQ$4=1,IF(INDEX('×入力'!$C$1:$L$700,36+CQ$3,CQ$2)&lt;&gt;"",1,0),0)</f>
        <v/>
      </c>
      <c r="CR12">
        <f>IF(CR$4=1,IF(INDEX('×入力'!$C$1:$L$700,36+CR$3,CR$2)&lt;&gt;"",1,0),0)</f>
        <v/>
      </c>
      <c r="CS12">
        <f>IF(CS$4=1,IF(INDEX('×入力'!$C$1:$L$700,36+CS$3,CS$2)&lt;&gt;"",1,0),0)</f>
        <v/>
      </c>
      <c r="CT12">
        <f>IF(CT$4=1,IF(INDEX('×入力'!$C$1:$L$700,36+CT$3,CT$2)&lt;&gt;"",1,0),0)</f>
        <v/>
      </c>
      <c r="CU12">
        <f>IF(CU$4=1,IF(INDEX('×入力'!$C$1:$L$700,36+CU$3,CU$2)&lt;&gt;"",1,0),0)</f>
        <v/>
      </c>
      <c r="CV12">
        <f>IF(CV$4=1,IF(INDEX('×入力'!$C$1:$L$700,36+CV$3,CV$2)&lt;&gt;"",1,0),0)</f>
        <v/>
      </c>
      <c r="CW12">
        <f>IF(CW$4=1,IF(INDEX('×入力'!$C$1:$L$700,36+CW$3,CW$2)&lt;&gt;"",1,0),0)</f>
        <v/>
      </c>
      <c r="CX12">
        <f>IF(CX$4=1,IF(INDEX('×入力'!$C$1:$L$700,36+CX$3,CX$2)&lt;&gt;"",1,0),0)</f>
        <v/>
      </c>
      <c r="CY12">
        <f>IF(CY$4=1,IF(INDEX('×入力'!$C$1:$L$700,36+CY$3,CY$2)&lt;&gt;"",1,0),0)</f>
        <v/>
      </c>
      <c r="CZ12">
        <f>IF(CZ$4=1,IF(INDEX('×入力'!$C$1:$L$700,36+CZ$3,CZ$2)&lt;&gt;"",1,0),0)</f>
        <v/>
      </c>
      <c r="DA12">
        <f>IF(DA$4=1,IF(INDEX('×入力'!$C$1:$L$700,36+DA$3,DA$2)&lt;&gt;"",1,0),0)</f>
        <v/>
      </c>
      <c r="DB12">
        <f>IF(DB$4=1,IF(INDEX('×入力'!$C$1:$L$700,36+DB$3,DB$2)&lt;&gt;"",1,0),0)</f>
        <v/>
      </c>
      <c r="DC12">
        <f>IF(DC$4=1,IF(INDEX('×入力'!$C$1:$L$700,36+DC$3,DC$2)&lt;&gt;"",1,0),0)</f>
        <v/>
      </c>
      <c r="DD12">
        <f>IF(DD$4=1,IF(INDEX('×入力'!$C$1:$L$700,36+DD$3,DD$2)&lt;&gt;"",1,0),0)</f>
        <v/>
      </c>
      <c r="DE12">
        <f>IF(DE$4=1,IF(INDEX('×入力'!$C$1:$L$700,36+DE$3,DE$2)&lt;&gt;"",1,0),0)</f>
        <v/>
      </c>
      <c r="DF12">
        <f>IF(DF$4=1,IF(INDEX('×入力'!$C$1:$L$700,36+DF$3,DF$2)&lt;&gt;"",1,0),0)</f>
        <v/>
      </c>
      <c r="DG12">
        <f>IF(DG$4=1,IF(INDEX('×入力'!$C$1:$L$700,36+DG$3,DG$2)&lt;&gt;"",1,0),0)</f>
        <v/>
      </c>
      <c r="DH12">
        <f>IF(DH$4=1,IF(INDEX('×入力'!$C$1:$L$700,36+DH$3,DH$2)&lt;&gt;"",1,0),0)</f>
        <v/>
      </c>
      <c r="DI12">
        <f>IF(DI$4=1,IF(INDEX('×入力'!$C$1:$L$700,36+DI$3,DI$2)&lt;&gt;"",1,0),0)</f>
        <v/>
      </c>
      <c r="DJ12">
        <f>IF(DJ$4=1,IF(INDEX('×入力'!$C$1:$L$700,36+DJ$3,DJ$2)&lt;&gt;"",1,0),0)</f>
        <v/>
      </c>
      <c r="DK12">
        <f>IF(DK$4=1,IF(INDEX('×入力'!$C$1:$L$700,36+DK$3,DK$2)&lt;&gt;"",1,0),0)</f>
        <v/>
      </c>
      <c r="DL12">
        <f>IF(DL$4=1,IF(INDEX('×入力'!$C$1:$L$700,36+DL$3,DL$2)&lt;&gt;"",1,0),0)</f>
        <v/>
      </c>
      <c r="DM12">
        <f>IF(DM$4=1,IF(INDEX('×入力'!$C$1:$L$700,36+DM$3,DM$2)&lt;&gt;"",1,0),0)</f>
        <v/>
      </c>
      <c r="DN12">
        <f>IF(DN$4=1,IF(INDEX('×入力'!$C$1:$L$700,36+DN$3,DN$2)&lt;&gt;"",1,0),0)</f>
        <v/>
      </c>
      <c r="DO12">
        <f>IF(DO$4=1,IF(INDEX('×入力'!$C$1:$L$700,36+DO$3,DO$2)&lt;&gt;"",1,0),0)</f>
        <v/>
      </c>
      <c r="DP12">
        <f>IF(DP$4=1,IF(INDEX('×入力'!$C$1:$L$700,36+DP$3,DP$2)&lt;&gt;"",1,0),0)</f>
        <v/>
      </c>
      <c r="DQ12">
        <f>IF(DQ$4=1,IF(INDEX('×入力'!$C$1:$L$700,36+DQ$3,DQ$2)&lt;&gt;"",1,0),0)</f>
        <v/>
      </c>
      <c r="DR12">
        <f>IF(DR$4=1,IF(INDEX('×入力'!$C$1:$L$700,36+DR$3,DR$2)&lt;&gt;"",1,0),0)</f>
        <v/>
      </c>
      <c r="DS12">
        <f>IF(DS$4=1,IF(INDEX('×入力'!$C$1:$L$700,36+DS$3,DS$2)&lt;&gt;"",1,0),0)</f>
        <v/>
      </c>
      <c r="DU12">
        <f>IFERROR(INDEX('計算B'!$C$3:$C$47,MATCH(A12,'計算B'!$B$3:$B$47,0)),0)</f>
        <v/>
      </c>
      <c r="DV12">
        <f>IF(AND(C12=1,DU12=0),1,0)</f>
        <v/>
      </c>
      <c r="DW12">
        <f>SUMPRODUCT(D62:DS62*(1-$D$7:$DS$7))</f>
        <v/>
      </c>
      <c r="DX12">
        <f>SUM(D12:DS12)</f>
        <v/>
      </c>
      <c r="DY12">
        <f>IF(B12="",0,IF(COUNTIF('割り当て'!$C$6:$L$17,B12)=1,SUMPRODUCT(('割り当て'!$C$6:$L$17=B12)*((COLUMN('割り当て'!$C$6:$L$17)-3)*12+ROW('割り当て'!$C$6:$L$17)-5)),0))</f>
        <v/>
      </c>
    </row>
    <row r="13">
      <c r="A13" t="n">
        <v>4</v>
      </c>
      <c r="B13">
        <f>'名簿'!E8</f>
        <v/>
      </c>
      <c r="C13">
        <f>IF(AND(B13&lt;&gt;"",OR('名簿'!F8="入力済み",'名簿'!F8="×なし"),DY13=0,COUNTIF('割り当て'!$C$6:$L$17,B13)=0),1,0)</f>
        <v/>
      </c>
      <c r="D13">
        <f>IF(D$4=1,IF(INDEX('×入力'!$C$1:$L$700,51+D$3,D$2)&lt;&gt;"",1,0),0)</f>
        <v/>
      </c>
      <c r="E13">
        <f>IF(E$4=1,IF(INDEX('×入力'!$C$1:$L$700,51+E$3,E$2)&lt;&gt;"",1,0),0)</f>
        <v/>
      </c>
      <c r="F13">
        <f>IF(F$4=1,IF(INDEX('×入力'!$C$1:$L$700,51+F$3,F$2)&lt;&gt;"",1,0),0)</f>
        <v/>
      </c>
      <c r="G13">
        <f>IF(G$4=1,IF(INDEX('×入力'!$C$1:$L$700,51+G$3,G$2)&lt;&gt;"",1,0),0)</f>
        <v/>
      </c>
      <c r="H13">
        <f>IF(H$4=1,IF(INDEX('×入力'!$C$1:$L$700,51+H$3,H$2)&lt;&gt;"",1,0),0)</f>
        <v/>
      </c>
      <c r="I13">
        <f>IF(I$4=1,IF(INDEX('×入力'!$C$1:$L$700,51+I$3,I$2)&lt;&gt;"",1,0),0)</f>
        <v/>
      </c>
      <c r="J13">
        <f>IF(J$4=1,IF(INDEX('×入力'!$C$1:$L$700,51+J$3,J$2)&lt;&gt;"",1,0),0)</f>
        <v/>
      </c>
      <c r="K13">
        <f>IF(K$4=1,IF(INDEX('×入力'!$C$1:$L$700,51+K$3,K$2)&lt;&gt;"",1,0),0)</f>
        <v/>
      </c>
      <c r="L13">
        <f>IF(L$4=1,IF(INDEX('×入力'!$C$1:$L$700,51+L$3,L$2)&lt;&gt;"",1,0),0)</f>
        <v/>
      </c>
      <c r="M13">
        <f>IF(M$4=1,IF(INDEX('×入力'!$C$1:$L$700,51+M$3,M$2)&lt;&gt;"",1,0),0)</f>
        <v/>
      </c>
      <c r="N13">
        <f>IF(N$4=1,IF(INDEX('×入力'!$C$1:$L$700,51+N$3,N$2)&lt;&gt;"",1,0),0)</f>
        <v/>
      </c>
      <c r="O13">
        <f>IF(O$4=1,IF(INDEX('×入力'!$C$1:$L$700,51+O$3,O$2)&lt;&gt;"",1,0),0)</f>
        <v/>
      </c>
      <c r="P13">
        <f>IF(P$4=1,IF(INDEX('×入力'!$C$1:$L$700,51+P$3,P$2)&lt;&gt;"",1,0),0)</f>
        <v/>
      </c>
      <c r="Q13">
        <f>IF(Q$4=1,IF(INDEX('×入力'!$C$1:$L$700,51+Q$3,Q$2)&lt;&gt;"",1,0),0)</f>
        <v/>
      </c>
      <c r="R13">
        <f>IF(R$4=1,IF(INDEX('×入力'!$C$1:$L$700,51+R$3,R$2)&lt;&gt;"",1,0),0)</f>
        <v/>
      </c>
      <c r="S13">
        <f>IF(S$4=1,IF(INDEX('×入力'!$C$1:$L$700,51+S$3,S$2)&lt;&gt;"",1,0),0)</f>
        <v/>
      </c>
      <c r="T13">
        <f>IF(T$4=1,IF(INDEX('×入力'!$C$1:$L$700,51+T$3,T$2)&lt;&gt;"",1,0),0)</f>
        <v/>
      </c>
      <c r="U13">
        <f>IF(U$4=1,IF(INDEX('×入力'!$C$1:$L$700,51+U$3,U$2)&lt;&gt;"",1,0),0)</f>
        <v/>
      </c>
      <c r="V13">
        <f>IF(V$4=1,IF(INDEX('×入力'!$C$1:$L$700,51+V$3,V$2)&lt;&gt;"",1,0),0)</f>
        <v/>
      </c>
      <c r="W13">
        <f>IF(W$4=1,IF(INDEX('×入力'!$C$1:$L$700,51+W$3,W$2)&lt;&gt;"",1,0),0)</f>
        <v/>
      </c>
      <c r="X13">
        <f>IF(X$4=1,IF(INDEX('×入力'!$C$1:$L$700,51+X$3,X$2)&lt;&gt;"",1,0),0)</f>
        <v/>
      </c>
      <c r="Y13">
        <f>IF(Y$4=1,IF(INDEX('×入力'!$C$1:$L$700,51+Y$3,Y$2)&lt;&gt;"",1,0),0)</f>
        <v/>
      </c>
      <c r="Z13">
        <f>IF(Z$4=1,IF(INDEX('×入力'!$C$1:$L$700,51+Z$3,Z$2)&lt;&gt;"",1,0),0)</f>
        <v/>
      </c>
      <c r="AA13">
        <f>IF(AA$4=1,IF(INDEX('×入力'!$C$1:$L$700,51+AA$3,AA$2)&lt;&gt;"",1,0),0)</f>
        <v/>
      </c>
      <c r="AB13">
        <f>IF(AB$4=1,IF(INDEX('×入力'!$C$1:$L$700,51+AB$3,AB$2)&lt;&gt;"",1,0),0)</f>
        <v/>
      </c>
      <c r="AC13">
        <f>IF(AC$4=1,IF(INDEX('×入力'!$C$1:$L$700,51+AC$3,AC$2)&lt;&gt;"",1,0),0)</f>
        <v/>
      </c>
      <c r="AD13">
        <f>IF(AD$4=1,IF(INDEX('×入力'!$C$1:$L$700,51+AD$3,AD$2)&lt;&gt;"",1,0),0)</f>
        <v/>
      </c>
      <c r="AE13">
        <f>IF(AE$4=1,IF(INDEX('×入力'!$C$1:$L$700,51+AE$3,AE$2)&lt;&gt;"",1,0),0)</f>
        <v/>
      </c>
      <c r="AF13">
        <f>IF(AF$4=1,IF(INDEX('×入力'!$C$1:$L$700,51+AF$3,AF$2)&lt;&gt;"",1,0),0)</f>
        <v/>
      </c>
      <c r="AG13">
        <f>IF(AG$4=1,IF(INDEX('×入力'!$C$1:$L$700,51+AG$3,AG$2)&lt;&gt;"",1,0),0)</f>
        <v/>
      </c>
      <c r="AH13">
        <f>IF(AH$4=1,IF(INDEX('×入力'!$C$1:$L$700,51+AH$3,AH$2)&lt;&gt;"",1,0),0)</f>
        <v/>
      </c>
      <c r="AI13">
        <f>IF(AI$4=1,IF(INDEX('×入力'!$C$1:$L$700,51+AI$3,AI$2)&lt;&gt;"",1,0),0)</f>
        <v/>
      </c>
      <c r="AJ13">
        <f>IF(AJ$4=1,IF(INDEX('×入力'!$C$1:$L$700,51+AJ$3,AJ$2)&lt;&gt;"",1,0),0)</f>
        <v/>
      </c>
      <c r="AK13">
        <f>IF(AK$4=1,IF(INDEX('×入力'!$C$1:$L$700,51+AK$3,AK$2)&lt;&gt;"",1,0),0)</f>
        <v/>
      </c>
      <c r="AL13">
        <f>IF(AL$4=1,IF(INDEX('×入力'!$C$1:$L$700,51+AL$3,AL$2)&lt;&gt;"",1,0),0)</f>
        <v/>
      </c>
      <c r="AM13">
        <f>IF(AM$4=1,IF(INDEX('×入力'!$C$1:$L$700,51+AM$3,AM$2)&lt;&gt;"",1,0),0)</f>
        <v/>
      </c>
      <c r="AN13">
        <f>IF(AN$4=1,IF(INDEX('×入力'!$C$1:$L$700,51+AN$3,AN$2)&lt;&gt;"",1,0),0)</f>
        <v/>
      </c>
      <c r="AO13">
        <f>IF(AO$4=1,IF(INDEX('×入力'!$C$1:$L$700,51+AO$3,AO$2)&lt;&gt;"",1,0),0)</f>
        <v/>
      </c>
      <c r="AP13">
        <f>IF(AP$4=1,IF(INDEX('×入力'!$C$1:$L$700,51+AP$3,AP$2)&lt;&gt;"",1,0),0)</f>
        <v/>
      </c>
      <c r="AQ13">
        <f>IF(AQ$4=1,IF(INDEX('×入力'!$C$1:$L$700,51+AQ$3,AQ$2)&lt;&gt;"",1,0),0)</f>
        <v/>
      </c>
      <c r="AR13">
        <f>IF(AR$4=1,IF(INDEX('×入力'!$C$1:$L$700,51+AR$3,AR$2)&lt;&gt;"",1,0),0)</f>
        <v/>
      </c>
      <c r="AS13">
        <f>IF(AS$4=1,IF(INDEX('×入力'!$C$1:$L$700,51+AS$3,AS$2)&lt;&gt;"",1,0),0)</f>
        <v/>
      </c>
      <c r="AT13">
        <f>IF(AT$4=1,IF(INDEX('×入力'!$C$1:$L$700,51+AT$3,AT$2)&lt;&gt;"",1,0),0)</f>
        <v/>
      </c>
      <c r="AU13">
        <f>IF(AU$4=1,IF(INDEX('×入力'!$C$1:$L$700,51+AU$3,AU$2)&lt;&gt;"",1,0),0)</f>
        <v/>
      </c>
      <c r="AV13">
        <f>IF(AV$4=1,IF(INDEX('×入力'!$C$1:$L$700,51+AV$3,AV$2)&lt;&gt;"",1,0),0)</f>
        <v/>
      </c>
      <c r="AW13">
        <f>IF(AW$4=1,IF(INDEX('×入力'!$C$1:$L$700,51+AW$3,AW$2)&lt;&gt;"",1,0),0)</f>
        <v/>
      </c>
      <c r="AX13">
        <f>IF(AX$4=1,IF(INDEX('×入力'!$C$1:$L$700,51+AX$3,AX$2)&lt;&gt;"",1,0),0)</f>
        <v/>
      </c>
      <c r="AY13">
        <f>IF(AY$4=1,IF(INDEX('×入力'!$C$1:$L$700,51+AY$3,AY$2)&lt;&gt;"",1,0),0)</f>
        <v/>
      </c>
      <c r="AZ13">
        <f>IF(AZ$4=1,IF(INDEX('×入力'!$C$1:$L$700,51+AZ$3,AZ$2)&lt;&gt;"",1,0),0)</f>
        <v/>
      </c>
      <c r="BA13">
        <f>IF(BA$4=1,IF(INDEX('×入力'!$C$1:$L$700,51+BA$3,BA$2)&lt;&gt;"",1,0),0)</f>
        <v/>
      </c>
      <c r="BB13">
        <f>IF(BB$4=1,IF(INDEX('×入力'!$C$1:$L$700,51+BB$3,BB$2)&lt;&gt;"",1,0),0)</f>
        <v/>
      </c>
      <c r="BC13">
        <f>IF(BC$4=1,IF(INDEX('×入力'!$C$1:$L$700,51+BC$3,BC$2)&lt;&gt;"",1,0),0)</f>
        <v/>
      </c>
      <c r="BD13">
        <f>IF(BD$4=1,IF(INDEX('×入力'!$C$1:$L$700,51+BD$3,BD$2)&lt;&gt;"",1,0),0)</f>
        <v/>
      </c>
      <c r="BE13">
        <f>IF(BE$4=1,IF(INDEX('×入力'!$C$1:$L$700,51+BE$3,BE$2)&lt;&gt;"",1,0),0)</f>
        <v/>
      </c>
      <c r="BF13">
        <f>IF(BF$4=1,IF(INDEX('×入力'!$C$1:$L$700,51+BF$3,BF$2)&lt;&gt;"",1,0),0)</f>
        <v/>
      </c>
      <c r="BG13">
        <f>IF(BG$4=1,IF(INDEX('×入力'!$C$1:$L$700,51+BG$3,BG$2)&lt;&gt;"",1,0),0)</f>
        <v/>
      </c>
      <c r="BH13">
        <f>IF(BH$4=1,IF(INDEX('×入力'!$C$1:$L$700,51+BH$3,BH$2)&lt;&gt;"",1,0),0)</f>
        <v/>
      </c>
      <c r="BI13">
        <f>IF(BI$4=1,IF(INDEX('×入力'!$C$1:$L$700,51+BI$3,BI$2)&lt;&gt;"",1,0),0)</f>
        <v/>
      </c>
      <c r="BJ13">
        <f>IF(BJ$4=1,IF(INDEX('×入力'!$C$1:$L$700,51+BJ$3,BJ$2)&lt;&gt;"",1,0),0)</f>
        <v/>
      </c>
      <c r="BK13">
        <f>IF(BK$4=1,IF(INDEX('×入力'!$C$1:$L$700,51+BK$3,BK$2)&lt;&gt;"",1,0),0)</f>
        <v/>
      </c>
      <c r="BL13">
        <f>IF(BL$4=1,IF(INDEX('×入力'!$C$1:$L$700,51+BL$3,BL$2)&lt;&gt;"",1,0),0)</f>
        <v/>
      </c>
      <c r="BM13">
        <f>IF(BM$4=1,IF(INDEX('×入力'!$C$1:$L$700,51+BM$3,BM$2)&lt;&gt;"",1,0),0)</f>
        <v/>
      </c>
      <c r="BN13">
        <f>IF(BN$4=1,IF(INDEX('×入力'!$C$1:$L$700,51+BN$3,BN$2)&lt;&gt;"",1,0),0)</f>
        <v/>
      </c>
      <c r="BO13">
        <f>IF(BO$4=1,IF(INDEX('×入力'!$C$1:$L$700,51+BO$3,BO$2)&lt;&gt;"",1,0),0)</f>
        <v/>
      </c>
      <c r="BP13">
        <f>IF(BP$4=1,IF(INDEX('×入力'!$C$1:$L$700,51+BP$3,BP$2)&lt;&gt;"",1,0),0)</f>
        <v/>
      </c>
      <c r="BQ13">
        <f>IF(BQ$4=1,IF(INDEX('×入力'!$C$1:$L$700,51+BQ$3,BQ$2)&lt;&gt;"",1,0),0)</f>
        <v/>
      </c>
      <c r="BR13">
        <f>IF(BR$4=1,IF(INDEX('×入力'!$C$1:$L$700,51+BR$3,BR$2)&lt;&gt;"",1,0),0)</f>
        <v/>
      </c>
      <c r="BS13">
        <f>IF(BS$4=1,IF(INDEX('×入力'!$C$1:$L$700,51+BS$3,BS$2)&lt;&gt;"",1,0),0)</f>
        <v/>
      </c>
      <c r="BT13">
        <f>IF(BT$4=1,IF(INDEX('×入力'!$C$1:$L$700,51+BT$3,BT$2)&lt;&gt;"",1,0),0)</f>
        <v/>
      </c>
      <c r="BU13">
        <f>IF(BU$4=1,IF(INDEX('×入力'!$C$1:$L$700,51+BU$3,BU$2)&lt;&gt;"",1,0),0)</f>
        <v/>
      </c>
      <c r="BV13">
        <f>IF(BV$4=1,IF(INDEX('×入力'!$C$1:$L$700,51+BV$3,BV$2)&lt;&gt;"",1,0),0)</f>
        <v/>
      </c>
      <c r="BW13">
        <f>IF(BW$4=1,IF(INDEX('×入力'!$C$1:$L$700,51+BW$3,BW$2)&lt;&gt;"",1,0),0)</f>
        <v/>
      </c>
      <c r="BX13">
        <f>IF(BX$4=1,IF(INDEX('×入力'!$C$1:$L$700,51+BX$3,BX$2)&lt;&gt;"",1,0),0)</f>
        <v/>
      </c>
      <c r="BY13">
        <f>IF(BY$4=1,IF(INDEX('×入力'!$C$1:$L$700,51+BY$3,BY$2)&lt;&gt;"",1,0),0)</f>
        <v/>
      </c>
      <c r="BZ13">
        <f>IF(BZ$4=1,IF(INDEX('×入力'!$C$1:$L$700,51+BZ$3,BZ$2)&lt;&gt;"",1,0),0)</f>
        <v/>
      </c>
      <c r="CA13">
        <f>IF(CA$4=1,IF(INDEX('×入力'!$C$1:$L$700,51+CA$3,CA$2)&lt;&gt;"",1,0),0)</f>
        <v/>
      </c>
      <c r="CB13">
        <f>IF(CB$4=1,IF(INDEX('×入力'!$C$1:$L$700,51+CB$3,CB$2)&lt;&gt;"",1,0),0)</f>
        <v/>
      </c>
      <c r="CC13">
        <f>IF(CC$4=1,IF(INDEX('×入力'!$C$1:$L$700,51+CC$3,CC$2)&lt;&gt;"",1,0),0)</f>
        <v/>
      </c>
      <c r="CD13">
        <f>IF(CD$4=1,IF(INDEX('×入力'!$C$1:$L$700,51+CD$3,CD$2)&lt;&gt;"",1,0),0)</f>
        <v/>
      </c>
      <c r="CE13">
        <f>IF(CE$4=1,IF(INDEX('×入力'!$C$1:$L$700,51+CE$3,CE$2)&lt;&gt;"",1,0),0)</f>
        <v/>
      </c>
      <c r="CF13">
        <f>IF(CF$4=1,IF(INDEX('×入力'!$C$1:$L$700,51+CF$3,CF$2)&lt;&gt;"",1,0),0)</f>
        <v/>
      </c>
      <c r="CG13">
        <f>IF(CG$4=1,IF(INDEX('×入力'!$C$1:$L$700,51+CG$3,CG$2)&lt;&gt;"",1,0),0)</f>
        <v/>
      </c>
      <c r="CH13">
        <f>IF(CH$4=1,IF(INDEX('×入力'!$C$1:$L$700,51+CH$3,CH$2)&lt;&gt;"",1,0),0)</f>
        <v/>
      </c>
      <c r="CI13">
        <f>IF(CI$4=1,IF(INDEX('×入力'!$C$1:$L$700,51+CI$3,CI$2)&lt;&gt;"",1,0),0)</f>
        <v/>
      </c>
      <c r="CJ13">
        <f>IF(CJ$4=1,IF(INDEX('×入力'!$C$1:$L$700,51+CJ$3,CJ$2)&lt;&gt;"",1,0),0)</f>
        <v/>
      </c>
      <c r="CK13">
        <f>IF(CK$4=1,IF(INDEX('×入力'!$C$1:$L$700,51+CK$3,CK$2)&lt;&gt;"",1,0),0)</f>
        <v/>
      </c>
      <c r="CL13">
        <f>IF(CL$4=1,IF(INDEX('×入力'!$C$1:$L$700,51+CL$3,CL$2)&lt;&gt;"",1,0),0)</f>
        <v/>
      </c>
      <c r="CM13">
        <f>IF(CM$4=1,IF(INDEX('×入力'!$C$1:$L$700,51+CM$3,CM$2)&lt;&gt;"",1,0),0)</f>
        <v/>
      </c>
      <c r="CN13">
        <f>IF(CN$4=1,IF(INDEX('×入力'!$C$1:$L$700,51+CN$3,CN$2)&lt;&gt;"",1,0),0)</f>
        <v/>
      </c>
      <c r="CO13">
        <f>IF(CO$4=1,IF(INDEX('×入力'!$C$1:$L$700,51+CO$3,CO$2)&lt;&gt;"",1,0),0)</f>
        <v/>
      </c>
      <c r="CP13">
        <f>IF(CP$4=1,IF(INDEX('×入力'!$C$1:$L$700,51+CP$3,CP$2)&lt;&gt;"",1,0),0)</f>
        <v/>
      </c>
      <c r="CQ13">
        <f>IF(CQ$4=1,IF(INDEX('×入力'!$C$1:$L$700,51+CQ$3,CQ$2)&lt;&gt;"",1,0),0)</f>
        <v/>
      </c>
      <c r="CR13">
        <f>IF(CR$4=1,IF(INDEX('×入力'!$C$1:$L$700,51+CR$3,CR$2)&lt;&gt;"",1,0),0)</f>
        <v/>
      </c>
      <c r="CS13">
        <f>IF(CS$4=1,IF(INDEX('×入力'!$C$1:$L$700,51+CS$3,CS$2)&lt;&gt;"",1,0),0)</f>
        <v/>
      </c>
      <c r="CT13">
        <f>IF(CT$4=1,IF(INDEX('×入力'!$C$1:$L$700,51+CT$3,CT$2)&lt;&gt;"",1,0),0)</f>
        <v/>
      </c>
      <c r="CU13">
        <f>IF(CU$4=1,IF(INDEX('×入力'!$C$1:$L$700,51+CU$3,CU$2)&lt;&gt;"",1,0),0)</f>
        <v/>
      </c>
      <c r="CV13">
        <f>IF(CV$4=1,IF(INDEX('×入力'!$C$1:$L$700,51+CV$3,CV$2)&lt;&gt;"",1,0),0)</f>
        <v/>
      </c>
      <c r="CW13">
        <f>IF(CW$4=1,IF(INDEX('×入力'!$C$1:$L$700,51+CW$3,CW$2)&lt;&gt;"",1,0),0)</f>
        <v/>
      </c>
      <c r="CX13">
        <f>IF(CX$4=1,IF(INDEX('×入力'!$C$1:$L$700,51+CX$3,CX$2)&lt;&gt;"",1,0),0)</f>
        <v/>
      </c>
      <c r="CY13">
        <f>IF(CY$4=1,IF(INDEX('×入力'!$C$1:$L$700,51+CY$3,CY$2)&lt;&gt;"",1,0),0)</f>
        <v/>
      </c>
      <c r="CZ13">
        <f>IF(CZ$4=1,IF(INDEX('×入力'!$C$1:$L$700,51+CZ$3,CZ$2)&lt;&gt;"",1,0),0)</f>
        <v/>
      </c>
      <c r="DA13">
        <f>IF(DA$4=1,IF(INDEX('×入力'!$C$1:$L$700,51+DA$3,DA$2)&lt;&gt;"",1,0),0)</f>
        <v/>
      </c>
      <c r="DB13">
        <f>IF(DB$4=1,IF(INDEX('×入力'!$C$1:$L$700,51+DB$3,DB$2)&lt;&gt;"",1,0),0)</f>
        <v/>
      </c>
      <c r="DC13">
        <f>IF(DC$4=1,IF(INDEX('×入力'!$C$1:$L$700,51+DC$3,DC$2)&lt;&gt;"",1,0),0)</f>
        <v/>
      </c>
      <c r="DD13">
        <f>IF(DD$4=1,IF(INDEX('×入力'!$C$1:$L$700,51+DD$3,DD$2)&lt;&gt;"",1,0),0)</f>
        <v/>
      </c>
      <c r="DE13">
        <f>IF(DE$4=1,IF(INDEX('×入力'!$C$1:$L$700,51+DE$3,DE$2)&lt;&gt;"",1,0),0)</f>
        <v/>
      </c>
      <c r="DF13">
        <f>IF(DF$4=1,IF(INDEX('×入力'!$C$1:$L$700,51+DF$3,DF$2)&lt;&gt;"",1,0),0)</f>
        <v/>
      </c>
      <c r="DG13">
        <f>IF(DG$4=1,IF(INDEX('×入力'!$C$1:$L$700,51+DG$3,DG$2)&lt;&gt;"",1,0),0)</f>
        <v/>
      </c>
      <c r="DH13">
        <f>IF(DH$4=1,IF(INDEX('×入力'!$C$1:$L$700,51+DH$3,DH$2)&lt;&gt;"",1,0),0)</f>
        <v/>
      </c>
      <c r="DI13">
        <f>IF(DI$4=1,IF(INDEX('×入力'!$C$1:$L$700,51+DI$3,DI$2)&lt;&gt;"",1,0),0)</f>
        <v/>
      </c>
      <c r="DJ13">
        <f>IF(DJ$4=1,IF(INDEX('×入力'!$C$1:$L$700,51+DJ$3,DJ$2)&lt;&gt;"",1,0),0)</f>
        <v/>
      </c>
      <c r="DK13">
        <f>IF(DK$4=1,IF(INDEX('×入力'!$C$1:$L$700,51+DK$3,DK$2)&lt;&gt;"",1,0),0)</f>
        <v/>
      </c>
      <c r="DL13">
        <f>IF(DL$4=1,IF(INDEX('×入力'!$C$1:$L$700,51+DL$3,DL$2)&lt;&gt;"",1,0),0)</f>
        <v/>
      </c>
      <c r="DM13">
        <f>IF(DM$4=1,IF(INDEX('×入力'!$C$1:$L$700,51+DM$3,DM$2)&lt;&gt;"",1,0),0)</f>
        <v/>
      </c>
      <c r="DN13">
        <f>IF(DN$4=1,IF(INDEX('×入力'!$C$1:$L$700,51+DN$3,DN$2)&lt;&gt;"",1,0),0)</f>
        <v/>
      </c>
      <c r="DO13">
        <f>IF(DO$4=1,IF(INDEX('×入力'!$C$1:$L$700,51+DO$3,DO$2)&lt;&gt;"",1,0),0)</f>
        <v/>
      </c>
      <c r="DP13">
        <f>IF(DP$4=1,IF(INDEX('×入力'!$C$1:$L$700,51+DP$3,DP$2)&lt;&gt;"",1,0),0)</f>
        <v/>
      </c>
      <c r="DQ13">
        <f>IF(DQ$4=1,IF(INDEX('×入力'!$C$1:$L$700,51+DQ$3,DQ$2)&lt;&gt;"",1,0),0)</f>
        <v/>
      </c>
      <c r="DR13">
        <f>IF(DR$4=1,IF(INDEX('×入力'!$C$1:$L$700,51+DR$3,DR$2)&lt;&gt;"",1,0),0)</f>
        <v/>
      </c>
      <c r="DS13">
        <f>IF(DS$4=1,IF(INDEX('×入力'!$C$1:$L$700,51+DS$3,DS$2)&lt;&gt;"",1,0),0)</f>
        <v/>
      </c>
      <c r="DU13">
        <f>IFERROR(INDEX('計算B'!$C$3:$C$47,MATCH(A13,'計算B'!$B$3:$B$47,0)),0)</f>
        <v/>
      </c>
      <c r="DV13">
        <f>IF(AND(C13=1,DU13=0),1,0)</f>
        <v/>
      </c>
      <c r="DW13">
        <f>SUMPRODUCT(D63:DS63*(1-$D$7:$DS$7))</f>
        <v/>
      </c>
      <c r="DX13">
        <f>SUM(D13:DS13)</f>
        <v/>
      </c>
      <c r="DY13">
        <f>IF(B13="",0,IF(COUNTIF('割り当て'!$C$6:$L$17,B13)=1,SUMPRODUCT(('割り当て'!$C$6:$L$17=B13)*((COLUMN('割り当て'!$C$6:$L$17)-3)*12+ROW('割り当て'!$C$6:$L$17)-5)),0))</f>
        <v/>
      </c>
    </row>
    <row r="14">
      <c r="A14" t="n">
        <v>5</v>
      </c>
      <c r="B14">
        <f>'名簿'!E9</f>
        <v/>
      </c>
      <c r="C14">
        <f>IF(AND(B14&lt;&gt;"",OR('名簿'!F9="入力済み",'名簿'!F9="×なし"),DY14=0,COUNTIF('割り当て'!$C$6:$L$17,B14)=0),1,0)</f>
        <v/>
      </c>
      <c r="D14">
        <f>IF(D$4=1,IF(INDEX('×入力'!$C$1:$L$700,66+D$3,D$2)&lt;&gt;"",1,0),0)</f>
        <v/>
      </c>
      <c r="E14">
        <f>IF(E$4=1,IF(INDEX('×入力'!$C$1:$L$700,66+E$3,E$2)&lt;&gt;"",1,0),0)</f>
        <v/>
      </c>
      <c r="F14">
        <f>IF(F$4=1,IF(INDEX('×入力'!$C$1:$L$700,66+F$3,F$2)&lt;&gt;"",1,0),0)</f>
        <v/>
      </c>
      <c r="G14">
        <f>IF(G$4=1,IF(INDEX('×入力'!$C$1:$L$700,66+G$3,G$2)&lt;&gt;"",1,0),0)</f>
        <v/>
      </c>
      <c r="H14">
        <f>IF(H$4=1,IF(INDEX('×入力'!$C$1:$L$700,66+H$3,H$2)&lt;&gt;"",1,0),0)</f>
        <v/>
      </c>
      <c r="I14">
        <f>IF(I$4=1,IF(INDEX('×入力'!$C$1:$L$700,66+I$3,I$2)&lt;&gt;"",1,0),0)</f>
        <v/>
      </c>
      <c r="J14">
        <f>IF(J$4=1,IF(INDEX('×入力'!$C$1:$L$700,66+J$3,J$2)&lt;&gt;"",1,0),0)</f>
        <v/>
      </c>
      <c r="K14">
        <f>IF(K$4=1,IF(INDEX('×入力'!$C$1:$L$700,66+K$3,K$2)&lt;&gt;"",1,0),0)</f>
        <v/>
      </c>
      <c r="L14">
        <f>IF(L$4=1,IF(INDEX('×入力'!$C$1:$L$700,66+L$3,L$2)&lt;&gt;"",1,0),0)</f>
        <v/>
      </c>
      <c r="M14">
        <f>IF(M$4=1,IF(INDEX('×入力'!$C$1:$L$700,66+M$3,M$2)&lt;&gt;"",1,0),0)</f>
        <v/>
      </c>
      <c r="N14">
        <f>IF(N$4=1,IF(INDEX('×入力'!$C$1:$L$700,66+N$3,N$2)&lt;&gt;"",1,0),0)</f>
        <v/>
      </c>
      <c r="O14">
        <f>IF(O$4=1,IF(INDEX('×入力'!$C$1:$L$700,66+O$3,O$2)&lt;&gt;"",1,0),0)</f>
        <v/>
      </c>
      <c r="P14">
        <f>IF(P$4=1,IF(INDEX('×入力'!$C$1:$L$700,66+P$3,P$2)&lt;&gt;"",1,0),0)</f>
        <v/>
      </c>
      <c r="Q14">
        <f>IF(Q$4=1,IF(INDEX('×入力'!$C$1:$L$700,66+Q$3,Q$2)&lt;&gt;"",1,0),0)</f>
        <v/>
      </c>
      <c r="R14">
        <f>IF(R$4=1,IF(INDEX('×入力'!$C$1:$L$700,66+R$3,R$2)&lt;&gt;"",1,0),0)</f>
        <v/>
      </c>
      <c r="S14">
        <f>IF(S$4=1,IF(INDEX('×入力'!$C$1:$L$700,66+S$3,S$2)&lt;&gt;"",1,0),0)</f>
        <v/>
      </c>
      <c r="T14">
        <f>IF(T$4=1,IF(INDEX('×入力'!$C$1:$L$700,66+T$3,T$2)&lt;&gt;"",1,0),0)</f>
        <v/>
      </c>
      <c r="U14">
        <f>IF(U$4=1,IF(INDEX('×入力'!$C$1:$L$700,66+U$3,U$2)&lt;&gt;"",1,0),0)</f>
        <v/>
      </c>
      <c r="V14">
        <f>IF(V$4=1,IF(INDEX('×入力'!$C$1:$L$700,66+V$3,V$2)&lt;&gt;"",1,0),0)</f>
        <v/>
      </c>
      <c r="W14">
        <f>IF(W$4=1,IF(INDEX('×入力'!$C$1:$L$700,66+W$3,W$2)&lt;&gt;"",1,0),0)</f>
        <v/>
      </c>
      <c r="X14">
        <f>IF(X$4=1,IF(INDEX('×入力'!$C$1:$L$700,66+X$3,X$2)&lt;&gt;"",1,0),0)</f>
        <v/>
      </c>
      <c r="Y14">
        <f>IF(Y$4=1,IF(INDEX('×入力'!$C$1:$L$700,66+Y$3,Y$2)&lt;&gt;"",1,0),0)</f>
        <v/>
      </c>
      <c r="Z14">
        <f>IF(Z$4=1,IF(INDEX('×入力'!$C$1:$L$700,66+Z$3,Z$2)&lt;&gt;"",1,0),0)</f>
        <v/>
      </c>
      <c r="AA14">
        <f>IF(AA$4=1,IF(INDEX('×入力'!$C$1:$L$700,66+AA$3,AA$2)&lt;&gt;"",1,0),0)</f>
        <v/>
      </c>
      <c r="AB14">
        <f>IF(AB$4=1,IF(INDEX('×入力'!$C$1:$L$700,66+AB$3,AB$2)&lt;&gt;"",1,0),0)</f>
        <v/>
      </c>
      <c r="AC14">
        <f>IF(AC$4=1,IF(INDEX('×入力'!$C$1:$L$700,66+AC$3,AC$2)&lt;&gt;"",1,0),0)</f>
        <v/>
      </c>
      <c r="AD14">
        <f>IF(AD$4=1,IF(INDEX('×入力'!$C$1:$L$700,66+AD$3,AD$2)&lt;&gt;"",1,0),0)</f>
        <v/>
      </c>
      <c r="AE14">
        <f>IF(AE$4=1,IF(INDEX('×入力'!$C$1:$L$700,66+AE$3,AE$2)&lt;&gt;"",1,0),0)</f>
        <v/>
      </c>
      <c r="AF14">
        <f>IF(AF$4=1,IF(INDEX('×入力'!$C$1:$L$700,66+AF$3,AF$2)&lt;&gt;"",1,0),0)</f>
        <v/>
      </c>
      <c r="AG14">
        <f>IF(AG$4=1,IF(INDEX('×入力'!$C$1:$L$700,66+AG$3,AG$2)&lt;&gt;"",1,0),0)</f>
        <v/>
      </c>
      <c r="AH14">
        <f>IF(AH$4=1,IF(INDEX('×入力'!$C$1:$L$700,66+AH$3,AH$2)&lt;&gt;"",1,0),0)</f>
        <v/>
      </c>
      <c r="AI14">
        <f>IF(AI$4=1,IF(INDEX('×入力'!$C$1:$L$700,66+AI$3,AI$2)&lt;&gt;"",1,0),0)</f>
        <v/>
      </c>
      <c r="AJ14">
        <f>IF(AJ$4=1,IF(INDEX('×入力'!$C$1:$L$700,66+AJ$3,AJ$2)&lt;&gt;"",1,0),0)</f>
        <v/>
      </c>
      <c r="AK14">
        <f>IF(AK$4=1,IF(INDEX('×入力'!$C$1:$L$700,66+AK$3,AK$2)&lt;&gt;"",1,0),0)</f>
        <v/>
      </c>
      <c r="AL14">
        <f>IF(AL$4=1,IF(INDEX('×入力'!$C$1:$L$700,66+AL$3,AL$2)&lt;&gt;"",1,0),0)</f>
        <v/>
      </c>
      <c r="AM14">
        <f>IF(AM$4=1,IF(INDEX('×入力'!$C$1:$L$700,66+AM$3,AM$2)&lt;&gt;"",1,0),0)</f>
        <v/>
      </c>
      <c r="AN14">
        <f>IF(AN$4=1,IF(INDEX('×入力'!$C$1:$L$700,66+AN$3,AN$2)&lt;&gt;"",1,0),0)</f>
        <v/>
      </c>
      <c r="AO14">
        <f>IF(AO$4=1,IF(INDEX('×入力'!$C$1:$L$700,66+AO$3,AO$2)&lt;&gt;"",1,0),0)</f>
        <v/>
      </c>
      <c r="AP14">
        <f>IF(AP$4=1,IF(INDEX('×入力'!$C$1:$L$700,66+AP$3,AP$2)&lt;&gt;"",1,0),0)</f>
        <v/>
      </c>
      <c r="AQ14">
        <f>IF(AQ$4=1,IF(INDEX('×入力'!$C$1:$L$700,66+AQ$3,AQ$2)&lt;&gt;"",1,0),0)</f>
        <v/>
      </c>
      <c r="AR14">
        <f>IF(AR$4=1,IF(INDEX('×入力'!$C$1:$L$700,66+AR$3,AR$2)&lt;&gt;"",1,0),0)</f>
        <v/>
      </c>
      <c r="AS14">
        <f>IF(AS$4=1,IF(INDEX('×入力'!$C$1:$L$700,66+AS$3,AS$2)&lt;&gt;"",1,0),0)</f>
        <v/>
      </c>
      <c r="AT14">
        <f>IF(AT$4=1,IF(INDEX('×入力'!$C$1:$L$700,66+AT$3,AT$2)&lt;&gt;"",1,0),0)</f>
        <v/>
      </c>
      <c r="AU14">
        <f>IF(AU$4=1,IF(INDEX('×入力'!$C$1:$L$700,66+AU$3,AU$2)&lt;&gt;"",1,0),0)</f>
        <v/>
      </c>
      <c r="AV14">
        <f>IF(AV$4=1,IF(INDEX('×入力'!$C$1:$L$700,66+AV$3,AV$2)&lt;&gt;"",1,0),0)</f>
        <v/>
      </c>
      <c r="AW14">
        <f>IF(AW$4=1,IF(INDEX('×入力'!$C$1:$L$700,66+AW$3,AW$2)&lt;&gt;"",1,0),0)</f>
        <v/>
      </c>
      <c r="AX14">
        <f>IF(AX$4=1,IF(INDEX('×入力'!$C$1:$L$700,66+AX$3,AX$2)&lt;&gt;"",1,0),0)</f>
        <v/>
      </c>
      <c r="AY14">
        <f>IF(AY$4=1,IF(INDEX('×入力'!$C$1:$L$700,66+AY$3,AY$2)&lt;&gt;"",1,0),0)</f>
        <v/>
      </c>
      <c r="AZ14">
        <f>IF(AZ$4=1,IF(INDEX('×入力'!$C$1:$L$700,66+AZ$3,AZ$2)&lt;&gt;"",1,0),0)</f>
        <v/>
      </c>
      <c r="BA14">
        <f>IF(BA$4=1,IF(INDEX('×入力'!$C$1:$L$700,66+BA$3,BA$2)&lt;&gt;"",1,0),0)</f>
        <v/>
      </c>
      <c r="BB14">
        <f>IF(BB$4=1,IF(INDEX('×入力'!$C$1:$L$700,66+BB$3,BB$2)&lt;&gt;"",1,0),0)</f>
        <v/>
      </c>
      <c r="BC14">
        <f>IF(BC$4=1,IF(INDEX('×入力'!$C$1:$L$700,66+BC$3,BC$2)&lt;&gt;"",1,0),0)</f>
        <v/>
      </c>
      <c r="BD14">
        <f>IF(BD$4=1,IF(INDEX('×入力'!$C$1:$L$700,66+BD$3,BD$2)&lt;&gt;"",1,0),0)</f>
        <v/>
      </c>
      <c r="BE14">
        <f>IF(BE$4=1,IF(INDEX('×入力'!$C$1:$L$700,66+BE$3,BE$2)&lt;&gt;"",1,0),0)</f>
        <v/>
      </c>
      <c r="BF14">
        <f>IF(BF$4=1,IF(INDEX('×入力'!$C$1:$L$700,66+BF$3,BF$2)&lt;&gt;"",1,0),0)</f>
        <v/>
      </c>
      <c r="BG14">
        <f>IF(BG$4=1,IF(INDEX('×入力'!$C$1:$L$700,66+BG$3,BG$2)&lt;&gt;"",1,0),0)</f>
        <v/>
      </c>
      <c r="BH14">
        <f>IF(BH$4=1,IF(INDEX('×入力'!$C$1:$L$700,66+BH$3,BH$2)&lt;&gt;"",1,0),0)</f>
        <v/>
      </c>
      <c r="BI14">
        <f>IF(BI$4=1,IF(INDEX('×入力'!$C$1:$L$700,66+BI$3,BI$2)&lt;&gt;"",1,0),0)</f>
        <v/>
      </c>
      <c r="BJ14">
        <f>IF(BJ$4=1,IF(INDEX('×入力'!$C$1:$L$700,66+BJ$3,BJ$2)&lt;&gt;"",1,0),0)</f>
        <v/>
      </c>
      <c r="BK14">
        <f>IF(BK$4=1,IF(INDEX('×入力'!$C$1:$L$700,66+BK$3,BK$2)&lt;&gt;"",1,0),0)</f>
        <v/>
      </c>
      <c r="BL14">
        <f>IF(BL$4=1,IF(INDEX('×入力'!$C$1:$L$700,66+BL$3,BL$2)&lt;&gt;"",1,0),0)</f>
        <v/>
      </c>
      <c r="BM14">
        <f>IF(BM$4=1,IF(INDEX('×入力'!$C$1:$L$700,66+BM$3,BM$2)&lt;&gt;"",1,0),0)</f>
        <v/>
      </c>
      <c r="BN14">
        <f>IF(BN$4=1,IF(INDEX('×入力'!$C$1:$L$700,66+BN$3,BN$2)&lt;&gt;"",1,0),0)</f>
        <v/>
      </c>
      <c r="BO14">
        <f>IF(BO$4=1,IF(INDEX('×入力'!$C$1:$L$700,66+BO$3,BO$2)&lt;&gt;"",1,0),0)</f>
        <v/>
      </c>
      <c r="BP14">
        <f>IF(BP$4=1,IF(INDEX('×入力'!$C$1:$L$700,66+BP$3,BP$2)&lt;&gt;"",1,0),0)</f>
        <v/>
      </c>
      <c r="BQ14">
        <f>IF(BQ$4=1,IF(INDEX('×入力'!$C$1:$L$700,66+BQ$3,BQ$2)&lt;&gt;"",1,0),0)</f>
        <v/>
      </c>
      <c r="BR14">
        <f>IF(BR$4=1,IF(INDEX('×入力'!$C$1:$L$700,66+BR$3,BR$2)&lt;&gt;"",1,0),0)</f>
        <v/>
      </c>
      <c r="BS14">
        <f>IF(BS$4=1,IF(INDEX('×入力'!$C$1:$L$700,66+BS$3,BS$2)&lt;&gt;"",1,0),0)</f>
        <v/>
      </c>
      <c r="BT14">
        <f>IF(BT$4=1,IF(INDEX('×入力'!$C$1:$L$700,66+BT$3,BT$2)&lt;&gt;"",1,0),0)</f>
        <v/>
      </c>
      <c r="BU14">
        <f>IF(BU$4=1,IF(INDEX('×入力'!$C$1:$L$700,66+BU$3,BU$2)&lt;&gt;"",1,0),0)</f>
        <v/>
      </c>
      <c r="BV14">
        <f>IF(BV$4=1,IF(INDEX('×入力'!$C$1:$L$700,66+BV$3,BV$2)&lt;&gt;"",1,0),0)</f>
        <v/>
      </c>
      <c r="BW14">
        <f>IF(BW$4=1,IF(INDEX('×入力'!$C$1:$L$700,66+BW$3,BW$2)&lt;&gt;"",1,0),0)</f>
        <v/>
      </c>
      <c r="BX14">
        <f>IF(BX$4=1,IF(INDEX('×入力'!$C$1:$L$700,66+BX$3,BX$2)&lt;&gt;"",1,0),0)</f>
        <v/>
      </c>
      <c r="BY14">
        <f>IF(BY$4=1,IF(INDEX('×入力'!$C$1:$L$700,66+BY$3,BY$2)&lt;&gt;"",1,0),0)</f>
        <v/>
      </c>
      <c r="BZ14">
        <f>IF(BZ$4=1,IF(INDEX('×入力'!$C$1:$L$700,66+BZ$3,BZ$2)&lt;&gt;"",1,0),0)</f>
        <v/>
      </c>
      <c r="CA14">
        <f>IF(CA$4=1,IF(INDEX('×入力'!$C$1:$L$700,66+CA$3,CA$2)&lt;&gt;"",1,0),0)</f>
        <v/>
      </c>
      <c r="CB14">
        <f>IF(CB$4=1,IF(INDEX('×入力'!$C$1:$L$700,66+CB$3,CB$2)&lt;&gt;"",1,0),0)</f>
        <v/>
      </c>
      <c r="CC14">
        <f>IF(CC$4=1,IF(INDEX('×入力'!$C$1:$L$700,66+CC$3,CC$2)&lt;&gt;"",1,0),0)</f>
        <v/>
      </c>
      <c r="CD14">
        <f>IF(CD$4=1,IF(INDEX('×入力'!$C$1:$L$700,66+CD$3,CD$2)&lt;&gt;"",1,0),0)</f>
        <v/>
      </c>
      <c r="CE14">
        <f>IF(CE$4=1,IF(INDEX('×入力'!$C$1:$L$700,66+CE$3,CE$2)&lt;&gt;"",1,0),0)</f>
        <v/>
      </c>
      <c r="CF14">
        <f>IF(CF$4=1,IF(INDEX('×入力'!$C$1:$L$700,66+CF$3,CF$2)&lt;&gt;"",1,0),0)</f>
        <v/>
      </c>
      <c r="CG14">
        <f>IF(CG$4=1,IF(INDEX('×入力'!$C$1:$L$700,66+CG$3,CG$2)&lt;&gt;"",1,0),0)</f>
        <v/>
      </c>
      <c r="CH14">
        <f>IF(CH$4=1,IF(INDEX('×入力'!$C$1:$L$700,66+CH$3,CH$2)&lt;&gt;"",1,0),0)</f>
        <v/>
      </c>
      <c r="CI14">
        <f>IF(CI$4=1,IF(INDEX('×入力'!$C$1:$L$700,66+CI$3,CI$2)&lt;&gt;"",1,0),0)</f>
        <v/>
      </c>
      <c r="CJ14">
        <f>IF(CJ$4=1,IF(INDEX('×入力'!$C$1:$L$700,66+CJ$3,CJ$2)&lt;&gt;"",1,0),0)</f>
        <v/>
      </c>
      <c r="CK14">
        <f>IF(CK$4=1,IF(INDEX('×入力'!$C$1:$L$700,66+CK$3,CK$2)&lt;&gt;"",1,0),0)</f>
        <v/>
      </c>
      <c r="CL14">
        <f>IF(CL$4=1,IF(INDEX('×入力'!$C$1:$L$700,66+CL$3,CL$2)&lt;&gt;"",1,0),0)</f>
        <v/>
      </c>
      <c r="CM14">
        <f>IF(CM$4=1,IF(INDEX('×入力'!$C$1:$L$700,66+CM$3,CM$2)&lt;&gt;"",1,0),0)</f>
        <v/>
      </c>
      <c r="CN14">
        <f>IF(CN$4=1,IF(INDEX('×入力'!$C$1:$L$700,66+CN$3,CN$2)&lt;&gt;"",1,0),0)</f>
        <v/>
      </c>
      <c r="CO14">
        <f>IF(CO$4=1,IF(INDEX('×入力'!$C$1:$L$700,66+CO$3,CO$2)&lt;&gt;"",1,0),0)</f>
        <v/>
      </c>
      <c r="CP14">
        <f>IF(CP$4=1,IF(INDEX('×入力'!$C$1:$L$700,66+CP$3,CP$2)&lt;&gt;"",1,0),0)</f>
        <v/>
      </c>
      <c r="CQ14">
        <f>IF(CQ$4=1,IF(INDEX('×入力'!$C$1:$L$700,66+CQ$3,CQ$2)&lt;&gt;"",1,0),0)</f>
        <v/>
      </c>
      <c r="CR14">
        <f>IF(CR$4=1,IF(INDEX('×入力'!$C$1:$L$700,66+CR$3,CR$2)&lt;&gt;"",1,0),0)</f>
        <v/>
      </c>
      <c r="CS14">
        <f>IF(CS$4=1,IF(INDEX('×入力'!$C$1:$L$700,66+CS$3,CS$2)&lt;&gt;"",1,0),0)</f>
        <v/>
      </c>
      <c r="CT14">
        <f>IF(CT$4=1,IF(INDEX('×入力'!$C$1:$L$700,66+CT$3,CT$2)&lt;&gt;"",1,0),0)</f>
        <v/>
      </c>
      <c r="CU14">
        <f>IF(CU$4=1,IF(INDEX('×入力'!$C$1:$L$700,66+CU$3,CU$2)&lt;&gt;"",1,0),0)</f>
        <v/>
      </c>
      <c r="CV14">
        <f>IF(CV$4=1,IF(INDEX('×入力'!$C$1:$L$700,66+CV$3,CV$2)&lt;&gt;"",1,0),0)</f>
        <v/>
      </c>
      <c r="CW14">
        <f>IF(CW$4=1,IF(INDEX('×入力'!$C$1:$L$700,66+CW$3,CW$2)&lt;&gt;"",1,0),0)</f>
        <v/>
      </c>
      <c r="CX14">
        <f>IF(CX$4=1,IF(INDEX('×入力'!$C$1:$L$700,66+CX$3,CX$2)&lt;&gt;"",1,0),0)</f>
        <v/>
      </c>
      <c r="CY14">
        <f>IF(CY$4=1,IF(INDEX('×入力'!$C$1:$L$700,66+CY$3,CY$2)&lt;&gt;"",1,0),0)</f>
        <v/>
      </c>
      <c r="CZ14">
        <f>IF(CZ$4=1,IF(INDEX('×入力'!$C$1:$L$700,66+CZ$3,CZ$2)&lt;&gt;"",1,0),0)</f>
        <v/>
      </c>
      <c r="DA14">
        <f>IF(DA$4=1,IF(INDEX('×入力'!$C$1:$L$700,66+DA$3,DA$2)&lt;&gt;"",1,0),0)</f>
        <v/>
      </c>
      <c r="DB14">
        <f>IF(DB$4=1,IF(INDEX('×入力'!$C$1:$L$700,66+DB$3,DB$2)&lt;&gt;"",1,0),0)</f>
        <v/>
      </c>
      <c r="DC14">
        <f>IF(DC$4=1,IF(INDEX('×入力'!$C$1:$L$700,66+DC$3,DC$2)&lt;&gt;"",1,0),0)</f>
        <v/>
      </c>
      <c r="DD14">
        <f>IF(DD$4=1,IF(INDEX('×入力'!$C$1:$L$700,66+DD$3,DD$2)&lt;&gt;"",1,0),0)</f>
        <v/>
      </c>
      <c r="DE14">
        <f>IF(DE$4=1,IF(INDEX('×入力'!$C$1:$L$700,66+DE$3,DE$2)&lt;&gt;"",1,0),0)</f>
        <v/>
      </c>
      <c r="DF14">
        <f>IF(DF$4=1,IF(INDEX('×入力'!$C$1:$L$700,66+DF$3,DF$2)&lt;&gt;"",1,0),0)</f>
        <v/>
      </c>
      <c r="DG14">
        <f>IF(DG$4=1,IF(INDEX('×入力'!$C$1:$L$700,66+DG$3,DG$2)&lt;&gt;"",1,0),0)</f>
        <v/>
      </c>
      <c r="DH14">
        <f>IF(DH$4=1,IF(INDEX('×入力'!$C$1:$L$700,66+DH$3,DH$2)&lt;&gt;"",1,0),0)</f>
        <v/>
      </c>
      <c r="DI14">
        <f>IF(DI$4=1,IF(INDEX('×入力'!$C$1:$L$700,66+DI$3,DI$2)&lt;&gt;"",1,0),0)</f>
        <v/>
      </c>
      <c r="DJ14">
        <f>IF(DJ$4=1,IF(INDEX('×入力'!$C$1:$L$700,66+DJ$3,DJ$2)&lt;&gt;"",1,0),0)</f>
        <v/>
      </c>
      <c r="DK14">
        <f>IF(DK$4=1,IF(INDEX('×入力'!$C$1:$L$700,66+DK$3,DK$2)&lt;&gt;"",1,0),0)</f>
        <v/>
      </c>
      <c r="DL14">
        <f>IF(DL$4=1,IF(INDEX('×入力'!$C$1:$L$700,66+DL$3,DL$2)&lt;&gt;"",1,0),0)</f>
        <v/>
      </c>
      <c r="DM14">
        <f>IF(DM$4=1,IF(INDEX('×入力'!$C$1:$L$700,66+DM$3,DM$2)&lt;&gt;"",1,0),0)</f>
        <v/>
      </c>
      <c r="DN14">
        <f>IF(DN$4=1,IF(INDEX('×入力'!$C$1:$L$700,66+DN$3,DN$2)&lt;&gt;"",1,0),0)</f>
        <v/>
      </c>
      <c r="DO14">
        <f>IF(DO$4=1,IF(INDEX('×入力'!$C$1:$L$700,66+DO$3,DO$2)&lt;&gt;"",1,0),0)</f>
        <v/>
      </c>
      <c r="DP14">
        <f>IF(DP$4=1,IF(INDEX('×入力'!$C$1:$L$700,66+DP$3,DP$2)&lt;&gt;"",1,0),0)</f>
        <v/>
      </c>
      <c r="DQ14">
        <f>IF(DQ$4=1,IF(INDEX('×入力'!$C$1:$L$700,66+DQ$3,DQ$2)&lt;&gt;"",1,0),0)</f>
        <v/>
      </c>
      <c r="DR14">
        <f>IF(DR$4=1,IF(INDEX('×入力'!$C$1:$L$700,66+DR$3,DR$2)&lt;&gt;"",1,0),0)</f>
        <v/>
      </c>
      <c r="DS14">
        <f>IF(DS$4=1,IF(INDEX('×入力'!$C$1:$L$700,66+DS$3,DS$2)&lt;&gt;"",1,0),0)</f>
        <v/>
      </c>
      <c r="DU14">
        <f>IFERROR(INDEX('計算B'!$C$3:$C$47,MATCH(A14,'計算B'!$B$3:$B$47,0)),0)</f>
        <v/>
      </c>
      <c r="DV14">
        <f>IF(AND(C14=1,DU14=0),1,0)</f>
        <v/>
      </c>
      <c r="DW14">
        <f>SUMPRODUCT(D64:DS64*(1-$D$7:$DS$7))</f>
        <v/>
      </c>
      <c r="DX14">
        <f>SUM(D14:DS14)</f>
        <v/>
      </c>
      <c r="DY14">
        <f>IF(B14="",0,IF(COUNTIF('割り当て'!$C$6:$L$17,B14)=1,SUMPRODUCT(('割り当て'!$C$6:$L$17=B14)*((COLUMN('割り当て'!$C$6:$L$17)-3)*12+ROW('割り当て'!$C$6:$L$17)-5)),0))</f>
        <v/>
      </c>
    </row>
    <row r="15">
      <c r="A15" t="n">
        <v>6</v>
      </c>
      <c r="B15">
        <f>'名簿'!E10</f>
        <v/>
      </c>
      <c r="C15">
        <f>IF(AND(B15&lt;&gt;"",OR('名簿'!F10="入力済み",'名簿'!F10="×なし"),DY15=0,COUNTIF('割り当て'!$C$6:$L$17,B15)=0),1,0)</f>
        <v/>
      </c>
      <c r="D15">
        <f>IF(D$4=1,IF(INDEX('×入力'!$C$1:$L$700,81+D$3,D$2)&lt;&gt;"",1,0),0)</f>
        <v/>
      </c>
      <c r="E15">
        <f>IF(E$4=1,IF(INDEX('×入力'!$C$1:$L$700,81+E$3,E$2)&lt;&gt;"",1,0),0)</f>
        <v/>
      </c>
      <c r="F15">
        <f>IF(F$4=1,IF(INDEX('×入力'!$C$1:$L$700,81+F$3,F$2)&lt;&gt;"",1,0),0)</f>
        <v/>
      </c>
      <c r="G15">
        <f>IF(G$4=1,IF(INDEX('×入力'!$C$1:$L$700,81+G$3,G$2)&lt;&gt;"",1,0),0)</f>
        <v/>
      </c>
      <c r="H15">
        <f>IF(H$4=1,IF(INDEX('×入力'!$C$1:$L$700,81+H$3,H$2)&lt;&gt;"",1,0),0)</f>
        <v/>
      </c>
      <c r="I15">
        <f>IF(I$4=1,IF(INDEX('×入力'!$C$1:$L$700,81+I$3,I$2)&lt;&gt;"",1,0),0)</f>
        <v/>
      </c>
      <c r="J15">
        <f>IF(J$4=1,IF(INDEX('×入力'!$C$1:$L$700,81+J$3,J$2)&lt;&gt;"",1,0),0)</f>
        <v/>
      </c>
      <c r="K15">
        <f>IF(K$4=1,IF(INDEX('×入力'!$C$1:$L$700,81+K$3,K$2)&lt;&gt;"",1,0),0)</f>
        <v/>
      </c>
      <c r="L15">
        <f>IF(L$4=1,IF(INDEX('×入力'!$C$1:$L$700,81+L$3,L$2)&lt;&gt;"",1,0),0)</f>
        <v/>
      </c>
      <c r="M15">
        <f>IF(M$4=1,IF(INDEX('×入力'!$C$1:$L$700,81+M$3,M$2)&lt;&gt;"",1,0),0)</f>
        <v/>
      </c>
      <c r="N15">
        <f>IF(N$4=1,IF(INDEX('×入力'!$C$1:$L$700,81+N$3,N$2)&lt;&gt;"",1,0),0)</f>
        <v/>
      </c>
      <c r="O15">
        <f>IF(O$4=1,IF(INDEX('×入力'!$C$1:$L$700,81+O$3,O$2)&lt;&gt;"",1,0),0)</f>
        <v/>
      </c>
      <c r="P15">
        <f>IF(P$4=1,IF(INDEX('×入力'!$C$1:$L$700,81+P$3,P$2)&lt;&gt;"",1,0),0)</f>
        <v/>
      </c>
      <c r="Q15">
        <f>IF(Q$4=1,IF(INDEX('×入力'!$C$1:$L$700,81+Q$3,Q$2)&lt;&gt;"",1,0),0)</f>
        <v/>
      </c>
      <c r="R15">
        <f>IF(R$4=1,IF(INDEX('×入力'!$C$1:$L$700,81+R$3,R$2)&lt;&gt;"",1,0),0)</f>
        <v/>
      </c>
      <c r="S15">
        <f>IF(S$4=1,IF(INDEX('×入力'!$C$1:$L$700,81+S$3,S$2)&lt;&gt;"",1,0),0)</f>
        <v/>
      </c>
      <c r="T15">
        <f>IF(T$4=1,IF(INDEX('×入力'!$C$1:$L$700,81+T$3,T$2)&lt;&gt;"",1,0),0)</f>
        <v/>
      </c>
      <c r="U15">
        <f>IF(U$4=1,IF(INDEX('×入力'!$C$1:$L$700,81+U$3,U$2)&lt;&gt;"",1,0),0)</f>
        <v/>
      </c>
      <c r="V15">
        <f>IF(V$4=1,IF(INDEX('×入力'!$C$1:$L$700,81+V$3,V$2)&lt;&gt;"",1,0),0)</f>
        <v/>
      </c>
      <c r="W15">
        <f>IF(W$4=1,IF(INDEX('×入力'!$C$1:$L$700,81+W$3,W$2)&lt;&gt;"",1,0),0)</f>
        <v/>
      </c>
      <c r="X15">
        <f>IF(X$4=1,IF(INDEX('×入力'!$C$1:$L$700,81+X$3,X$2)&lt;&gt;"",1,0),0)</f>
        <v/>
      </c>
      <c r="Y15">
        <f>IF(Y$4=1,IF(INDEX('×入力'!$C$1:$L$700,81+Y$3,Y$2)&lt;&gt;"",1,0),0)</f>
        <v/>
      </c>
      <c r="Z15">
        <f>IF(Z$4=1,IF(INDEX('×入力'!$C$1:$L$700,81+Z$3,Z$2)&lt;&gt;"",1,0),0)</f>
        <v/>
      </c>
      <c r="AA15">
        <f>IF(AA$4=1,IF(INDEX('×入力'!$C$1:$L$700,81+AA$3,AA$2)&lt;&gt;"",1,0),0)</f>
        <v/>
      </c>
      <c r="AB15">
        <f>IF(AB$4=1,IF(INDEX('×入力'!$C$1:$L$700,81+AB$3,AB$2)&lt;&gt;"",1,0),0)</f>
        <v/>
      </c>
      <c r="AC15">
        <f>IF(AC$4=1,IF(INDEX('×入力'!$C$1:$L$700,81+AC$3,AC$2)&lt;&gt;"",1,0),0)</f>
        <v/>
      </c>
      <c r="AD15">
        <f>IF(AD$4=1,IF(INDEX('×入力'!$C$1:$L$700,81+AD$3,AD$2)&lt;&gt;"",1,0),0)</f>
        <v/>
      </c>
      <c r="AE15">
        <f>IF(AE$4=1,IF(INDEX('×入力'!$C$1:$L$700,81+AE$3,AE$2)&lt;&gt;"",1,0),0)</f>
        <v/>
      </c>
      <c r="AF15">
        <f>IF(AF$4=1,IF(INDEX('×入力'!$C$1:$L$700,81+AF$3,AF$2)&lt;&gt;"",1,0),0)</f>
        <v/>
      </c>
      <c r="AG15">
        <f>IF(AG$4=1,IF(INDEX('×入力'!$C$1:$L$700,81+AG$3,AG$2)&lt;&gt;"",1,0),0)</f>
        <v/>
      </c>
      <c r="AH15">
        <f>IF(AH$4=1,IF(INDEX('×入力'!$C$1:$L$700,81+AH$3,AH$2)&lt;&gt;"",1,0),0)</f>
        <v/>
      </c>
      <c r="AI15">
        <f>IF(AI$4=1,IF(INDEX('×入力'!$C$1:$L$700,81+AI$3,AI$2)&lt;&gt;"",1,0),0)</f>
        <v/>
      </c>
      <c r="AJ15">
        <f>IF(AJ$4=1,IF(INDEX('×入力'!$C$1:$L$700,81+AJ$3,AJ$2)&lt;&gt;"",1,0),0)</f>
        <v/>
      </c>
      <c r="AK15">
        <f>IF(AK$4=1,IF(INDEX('×入力'!$C$1:$L$700,81+AK$3,AK$2)&lt;&gt;"",1,0),0)</f>
        <v/>
      </c>
      <c r="AL15">
        <f>IF(AL$4=1,IF(INDEX('×入力'!$C$1:$L$700,81+AL$3,AL$2)&lt;&gt;"",1,0),0)</f>
        <v/>
      </c>
      <c r="AM15">
        <f>IF(AM$4=1,IF(INDEX('×入力'!$C$1:$L$700,81+AM$3,AM$2)&lt;&gt;"",1,0),0)</f>
        <v/>
      </c>
      <c r="AN15">
        <f>IF(AN$4=1,IF(INDEX('×入力'!$C$1:$L$700,81+AN$3,AN$2)&lt;&gt;"",1,0),0)</f>
        <v/>
      </c>
      <c r="AO15">
        <f>IF(AO$4=1,IF(INDEX('×入力'!$C$1:$L$700,81+AO$3,AO$2)&lt;&gt;"",1,0),0)</f>
        <v/>
      </c>
      <c r="AP15">
        <f>IF(AP$4=1,IF(INDEX('×入力'!$C$1:$L$700,81+AP$3,AP$2)&lt;&gt;"",1,0),0)</f>
        <v/>
      </c>
      <c r="AQ15">
        <f>IF(AQ$4=1,IF(INDEX('×入力'!$C$1:$L$700,81+AQ$3,AQ$2)&lt;&gt;"",1,0),0)</f>
        <v/>
      </c>
      <c r="AR15">
        <f>IF(AR$4=1,IF(INDEX('×入力'!$C$1:$L$700,81+AR$3,AR$2)&lt;&gt;"",1,0),0)</f>
        <v/>
      </c>
      <c r="AS15">
        <f>IF(AS$4=1,IF(INDEX('×入力'!$C$1:$L$700,81+AS$3,AS$2)&lt;&gt;"",1,0),0)</f>
        <v/>
      </c>
      <c r="AT15">
        <f>IF(AT$4=1,IF(INDEX('×入力'!$C$1:$L$700,81+AT$3,AT$2)&lt;&gt;"",1,0),0)</f>
        <v/>
      </c>
      <c r="AU15">
        <f>IF(AU$4=1,IF(INDEX('×入力'!$C$1:$L$700,81+AU$3,AU$2)&lt;&gt;"",1,0),0)</f>
        <v/>
      </c>
      <c r="AV15">
        <f>IF(AV$4=1,IF(INDEX('×入力'!$C$1:$L$700,81+AV$3,AV$2)&lt;&gt;"",1,0),0)</f>
        <v/>
      </c>
      <c r="AW15">
        <f>IF(AW$4=1,IF(INDEX('×入力'!$C$1:$L$700,81+AW$3,AW$2)&lt;&gt;"",1,0),0)</f>
        <v/>
      </c>
      <c r="AX15">
        <f>IF(AX$4=1,IF(INDEX('×入力'!$C$1:$L$700,81+AX$3,AX$2)&lt;&gt;"",1,0),0)</f>
        <v/>
      </c>
      <c r="AY15">
        <f>IF(AY$4=1,IF(INDEX('×入力'!$C$1:$L$700,81+AY$3,AY$2)&lt;&gt;"",1,0),0)</f>
        <v/>
      </c>
      <c r="AZ15">
        <f>IF(AZ$4=1,IF(INDEX('×入力'!$C$1:$L$700,81+AZ$3,AZ$2)&lt;&gt;"",1,0),0)</f>
        <v/>
      </c>
      <c r="BA15">
        <f>IF(BA$4=1,IF(INDEX('×入力'!$C$1:$L$700,81+BA$3,BA$2)&lt;&gt;"",1,0),0)</f>
        <v/>
      </c>
      <c r="BB15">
        <f>IF(BB$4=1,IF(INDEX('×入力'!$C$1:$L$700,81+BB$3,BB$2)&lt;&gt;"",1,0),0)</f>
        <v/>
      </c>
      <c r="BC15">
        <f>IF(BC$4=1,IF(INDEX('×入力'!$C$1:$L$700,81+BC$3,BC$2)&lt;&gt;"",1,0),0)</f>
        <v/>
      </c>
      <c r="BD15">
        <f>IF(BD$4=1,IF(INDEX('×入力'!$C$1:$L$700,81+BD$3,BD$2)&lt;&gt;"",1,0),0)</f>
        <v/>
      </c>
      <c r="BE15">
        <f>IF(BE$4=1,IF(INDEX('×入力'!$C$1:$L$700,81+BE$3,BE$2)&lt;&gt;"",1,0),0)</f>
        <v/>
      </c>
      <c r="BF15">
        <f>IF(BF$4=1,IF(INDEX('×入力'!$C$1:$L$700,81+BF$3,BF$2)&lt;&gt;"",1,0),0)</f>
        <v/>
      </c>
      <c r="BG15">
        <f>IF(BG$4=1,IF(INDEX('×入力'!$C$1:$L$700,81+BG$3,BG$2)&lt;&gt;"",1,0),0)</f>
        <v/>
      </c>
      <c r="BH15">
        <f>IF(BH$4=1,IF(INDEX('×入力'!$C$1:$L$700,81+BH$3,BH$2)&lt;&gt;"",1,0),0)</f>
        <v/>
      </c>
      <c r="BI15">
        <f>IF(BI$4=1,IF(INDEX('×入力'!$C$1:$L$700,81+BI$3,BI$2)&lt;&gt;"",1,0),0)</f>
        <v/>
      </c>
      <c r="BJ15">
        <f>IF(BJ$4=1,IF(INDEX('×入力'!$C$1:$L$700,81+BJ$3,BJ$2)&lt;&gt;"",1,0),0)</f>
        <v/>
      </c>
      <c r="BK15">
        <f>IF(BK$4=1,IF(INDEX('×入力'!$C$1:$L$700,81+BK$3,BK$2)&lt;&gt;"",1,0),0)</f>
        <v/>
      </c>
      <c r="BL15">
        <f>IF(BL$4=1,IF(INDEX('×入力'!$C$1:$L$700,81+BL$3,BL$2)&lt;&gt;"",1,0),0)</f>
        <v/>
      </c>
      <c r="BM15">
        <f>IF(BM$4=1,IF(INDEX('×入力'!$C$1:$L$700,81+BM$3,BM$2)&lt;&gt;"",1,0),0)</f>
        <v/>
      </c>
      <c r="BN15">
        <f>IF(BN$4=1,IF(INDEX('×入力'!$C$1:$L$700,81+BN$3,BN$2)&lt;&gt;"",1,0),0)</f>
        <v/>
      </c>
      <c r="BO15">
        <f>IF(BO$4=1,IF(INDEX('×入力'!$C$1:$L$700,81+BO$3,BO$2)&lt;&gt;"",1,0),0)</f>
        <v/>
      </c>
      <c r="BP15">
        <f>IF(BP$4=1,IF(INDEX('×入力'!$C$1:$L$700,81+BP$3,BP$2)&lt;&gt;"",1,0),0)</f>
        <v/>
      </c>
      <c r="BQ15">
        <f>IF(BQ$4=1,IF(INDEX('×入力'!$C$1:$L$700,81+BQ$3,BQ$2)&lt;&gt;"",1,0),0)</f>
        <v/>
      </c>
      <c r="BR15">
        <f>IF(BR$4=1,IF(INDEX('×入力'!$C$1:$L$700,81+BR$3,BR$2)&lt;&gt;"",1,0),0)</f>
        <v/>
      </c>
      <c r="BS15">
        <f>IF(BS$4=1,IF(INDEX('×入力'!$C$1:$L$700,81+BS$3,BS$2)&lt;&gt;"",1,0),0)</f>
        <v/>
      </c>
      <c r="BT15">
        <f>IF(BT$4=1,IF(INDEX('×入力'!$C$1:$L$700,81+BT$3,BT$2)&lt;&gt;"",1,0),0)</f>
        <v/>
      </c>
      <c r="BU15">
        <f>IF(BU$4=1,IF(INDEX('×入力'!$C$1:$L$700,81+BU$3,BU$2)&lt;&gt;"",1,0),0)</f>
        <v/>
      </c>
      <c r="BV15">
        <f>IF(BV$4=1,IF(INDEX('×入力'!$C$1:$L$700,81+BV$3,BV$2)&lt;&gt;"",1,0),0)</f>
        <v/>
      </c>
      <c r="BW15">
        <f>IF(BW$4=1,IF(INDEX('×入力'!$C$1:$L$700,81+BW$3,BW$2)&lt;&gt;"",1,0),0)</f>
        <v/>
      </c>
      <c r="BX15">
        <f>IF(BX$4=1,IF(INDEX('×入力'!$C$1:$L$700,81+BX$3,BX$2)&lt;&gt;"",1,0),0)</f>
        <v/>
      </c>
      <c r="BY15">
        <f>IF(BY$4=1,IF(INDEX('×入力'!$C$1:$L$700,81+BY$3,BY$2)&lt;&gt;"",1,0),0)</f>
        <v/>
      </c>
      <c r="BZ15">
        <f>IF(BZ$4=1,IF(INDEX('×入力'!$C$1:$L$700,81+BZ$3,BZ$2)&lt;&gt;"",1,0),0)</f>
        <v/>
      </c>
      <c r="CA15">
        <f>IF(CA$4=1,IF(INDEX('×入力'!$C$1:$L$700,81+CA$3,CA$2)&lt;&gt;"",1,0),0)</f>
        <v/>
      </c>
      <c r="CB15">
        <f>IF(CB$4=1,IF(INDEX('×入力'!$C$1:$L$700,81+CB$3,CB$2)&lt;&gt;"",1,0),0)</f>
        <v/>
      </c>
      <c r="CC15">
        <f>IF(CC$4=1,IF(INDEX('×入力'!$C$1:$L$700,81+CC$3,CC$2)&lt;&gt;"",1,0),0)</f>
        <v/>
      </c>
      <c r="CD15">
        <f>IF(CD$4=1,IF(INDEX('×入力'!$C$1:$L$700,81+CD$3,CD$2)&lt;&gt;"",1,0),0)</f>
        <v/>
      </c>
      <c r="CE15">
        <f>IF(CE$4=1,IF(INDEX('×入力'!$C$1:$L$700,81+CE$3,CE$2)&lt;&gt;"",1,0),0)</f>
        <v/>
      </c>
      <c r="CF15">
        <f>IF(CF$4=1,IF(INDEX('×入力'!$C$1:$L$700,81+CF$3,CF$2)&lt;&gt;"",1,0),0)</f>
        <v/>
      </c>
      <c r="CG15">
        <f>IF(CG$4=1,IF(INDEX('×入力'!$C$1:$L$700,81+CG$3,CG$2)&lt;&gt;"",1,0),0)</f>
        <v/>
      </c>
      <c r="CH15">
        <f>IF(CH$4=1,IF(INDEX('×入力'!$C$1:$L$700,81+CH$3,CH$2)&lt;&gt;"",1,0),0)</f>
        <v/>
      </c>
      <c r="CI15">
        <f>IF(CI$4=1,IF(INDEX('×入力'!$C$1:$L$700,81+CI$3,CI$2)&lt;&gt;"",1,0),0)</f>
        <v/>
      </c>
      <c r="CJ15">
        <f>IF(CJ$4=1,IF(INDEX('×入力'!$C$1:$L$700,81+CJ$3,CJ$2)&lt;&gt;"",1,0),0)</f>
        <v/>
      </c>
      <c r="CK15">
        <f>IF(CK$4=1,IF(INDEX('×入力'!$C$1:$L$700,81+CK$3,CK$2)&lt;&gt;"",1,0),0)</f>
        <v/>
      </c>
      <c r="CL15">
        <f>IF(CL$4=1,IF(INDEX('×入力'!$C$1:$L$700,81+CL$3,CL$2)&lt;&gt;"",1,0),0)</f>
        <v/>
      </c>
      <c r="CM15">
        <f>IF(CM$4=1,IF(INDEX('×入力'!$C$1:$L$700,81+CM$3,CM$2)&lt;&gt;"",1,0),0)</f>
        <v/>
      </c>
      <c r="CN15">
        <f>IF(CN$4=1,IF(INDEX('×入力'!$C$1:$L$700,81+CN$3,CN$2)&lt;&gt;"",1,0),0)</f>
        <v/>
      </c>
      <c r="CO15">
        <f>IF(CO$4=1,IF(INDEX('×入力'!$C$1:$L$700,81+CO$3,CO$2)&lt;&gt;"",1,0),0)</f>
        <v/>
      </c>
      <c r="CP15">
        <f>IF(CP$4=1,IF(INDEX('×入力'!$C$1:$L$700,81+CP$3,CP$2)&lt;&gt;"",1,0),0)</f>
        <v/>
      </c>
      <c r="CQ15">
        <f>IF(CQ$4=1,IF(INDEX('×入力'!$C$1:$L$700,81+CQ$3,CQ$2)&lt;&gt;"",1,0),0)</f>
        <v/>
      </c>
      <c r="CR15">
        <f>IF(CR$4=1,IF(INDEX('×入力'!$C$1:$L$700,81+CR$3,CR$2)&lt;&gt;"",1,0),0)</f>
        <v/>
      </c>
      <c r="CS15">
        <f>IF(CS$4=1,IF(INDEX('×入力'!$C$1:$L$700,81+CS$3,CS$2)&lt;&gt;"",1,0),0)</f>
        <v/>
      </c>
      <c r="CT15">
        <f>IF(CT$4=1,IF(INDEX('×入力'!$C$1:$L$700,81+CT$3,CT$2)&lt;&gt;"",1,0),0)</f>
        <v/>
      </c>
      <c r="CU15">
        <f>IF(CU$4=1,IF(INDEX('×入力'!$C$1:$L$700,81+CU$3,CU$2)&lt;&gt;"",1,0),0)</f>
        <v/>
      </c>
      <c r="CV15">
        <f>IF(CV$4=1,IF(INDEX('×入力'!$C$1:$L$700,81+CV$3,CV$2)&lt;&gt;"",1,0),0)</f>
        <v/>
      </c>
      <c r="CW15">
        <f>IF(CW$4=1,IF(INDEX('×入力'!$C$1:$L$700,81+CW$3,CW$2)&lt;&gt;"",1,0),0)</f>
        <v/>
      </c>
      <c r="CX15">
        <f>IF(CX$4=1,IF(INDEX('×入力'!$C$1:$L$700,81+CX$3,CX$2)&lt;&gt;"",1,0),0)</f>
        <v/>
      </c>
      <c r="CY15">
        <f>IF(CY$4=1,IF(INDEX('×入力'!$C$1:$L$700,81+CY$3,CY$2)&lt;&gt;"",1,0),0)</f>
        <v/>
      </c>
      <c r="CZ15">
        <f>IF(CZ$4=1,IF(INDEX('×入力'!$C$1:$L$700,81+CZ$3,CZ$2)&lt;&gt;"",1,0),0)</f>
        <v/>
      </c>
      <c r="DA15">
        <f>IF(DA$4=1,IF(INDEX('×入力'!$C$1:$L$700,81+DA$3,DA$2)&lt;&gt;"",1,0),0)</f>
        <v/>
      </c>
      <c r="DB15">
        <f>IF(DB$4=1,IF(INDEX('×入力'!$C$1:$L$700,81+DB$3,DB$2)&lt;&gt;"",1,0),0)</f>
        <v/>
      </c>
      <c r="DC15">
        <f>IF(DC$4=1,IF(INDEX('×入力'!$C$1:$L$700,81+DC$3,DC$2)&lt;&gt;"",1,0),0)</f>
        <v/>
      </c>
      <c r="DD15">
        <f>IF(DD$4=1,IF(INDEX('×入力'!$C$1:$L$700,81+DD$3,DD$2)&lt;&gt;"",1,0),0)</f>
        <v/>
      </c>
      <c r="DE15">
        <f>IF(DE$4=1,IF(INDEX('×入力'!$C$1:$L$700,81+DE$3,DE$2)&lt;&gt;"",1,0),0)</f>
        <v/>
      </c>
      <c r="DF15">
        <f>IF(DF$4=1,IF(INDEX('×入力'!$C$1:$L$700,81+DF$3,DF$2)&lt;&gt;"",1,0),0)</f>
        <v/>
      </c>
      <c r="DG15">
        <f>IF(DG$4=1,IF(INDEX('×入力'!$C$1:$L$700,81+DG$3,DG$2)&lt;&gt;"",1,0),0)</f>
        <v/>
      </c>
      <c r="DH15">
        <f>IF(DH$4=1,IF(INDEX('×入力'!$C$1:$L$700,81+DH$3,DH$2)&lt;&gt;"",1,0),0)</f>
        <v/>
      </c>
      <c r="DI15">
        <f>IF(DI$4=1,IF(INDEX('×入力'!$C$1:$L$700,81+DI$3,DI$2)&lt;&gt;"",1,0),0)</f>
        <v/>
      </c>
      <c r="DJ15">
        <f>IF(DJ$4=1,IF(INDEX('×入力'!$C$1:$L$700,81+DJ$3,DJ$2)&lt;&gt;"",1,0),0)</f>
        <v/>
      </c>
      <c r="DK15">
        <f>IF(DK$4=1,IF(INDEX('×入力'!$C$1:$L$700,81+DK$3,DK$2)&lt;&gt;"",1,0),0)</f>
        <v/>
      </c>
      <c r="DL15">
        <f>IF(DL$4=1,IF(INDEX('×入力'!$C$1:$L$700,81+DL$3,DL$2)&lt;&gt;"",1,0),0)</f>
        <v/>
      </c>
      <c r="DM15">
        <f>IF(DM$4=1,IF(INDEX('×入力'!$C$1:$L$700,81+DM$3,DM$2)&lt;&gt;"",1,0),0)</f>
        <v/>
      </c>
      <c r="DN15">
        <f>IF(DN$4=1,IF(INDEX('×入力'!$C$1:$L$700,81+DN$3,DN$2)&lt;&gt;"",1,0),0)</f>
        <v/>
      </c>
      <c r="DO15">
        <f>IF(DO$4=1,IF(INDEX('×入力'!$C$1:$L$700,81+DO$3,DO$2)&lt;&gt;"",1,0),0)</f>
        <v/>
      </c>
      <c r="DP15">
        <f>IF(DP$4=1,IF(INDEX('×入力'!$C$1:$L$700,81+DP$3,DP$2)&lt;&gt;"",1,0),0)</f>
        <v/>
      </c>
      <c r="DQ15">
        <f>IF(DQ$4=1,IF(INDEX('×入力'!$C$1:$L$700,81+DQ$3,DQ$2)&lt;&gt;"",1,0),0)</f>
        <v/>
      </c>
      <c r="DR15">
        <f>IF(DR$4=1,IF(INDEX('×入力'!$C$1:$L$700,81+DR$3,DR$2)&lt;&gt;"",1,0),0)</f>
        <v/>
      </c>
      <c r="DS15">
        <f>IF(DS$4=1,IF(INDEX('×入力'!$C$1:$L$700,81+DS$3,DS$2)&lt;&gt;"",1,0),0)</f>
        <v/>
      </c>
      <c r="DU15">
        <f>IFERROR(INDEX('計算B'!$C$3:$C$47,MATCH(A15,'計算B'!$B$3:$B$47,0)),0)</f>
        <v/>
      </c>
      <c r="DV15">
        <f>IF(AND(C15=1,DU15=0),1,0)</f>
        <v/>
      </c>
      <c r="DW15">
        <f>SUMPRODUCT(D65:DS65*(1-$D$7:$DS$7))</f>
        <v/>
      </c>
      <c r="DX15">
        <f>SUM(D15:DS15)</f>
        <v/>
      </c>
      <c r="DY15">
        <f>IF(B15="",0,IF(COUNTIF('割り当て'!$C$6:$L$17,B15)=1,SUMPRODUCT(('割り当て'!$C$6:$L$17=B15)*((COLUMN('割り当て'!$C$6:$L$17)-3)*12+ROW('割り当て'!$C$6:$L$17)-5)),0))</f>
        <v/>
      </c>
    </row>
    <row r="16">
      <c r="A16" t="n">
        <v>7</v>
      </c>
      <c r="B16">
        <f>'名簿'!E11</f>
        <v/>
      </c>
      <c r="C16">
        <f>IF(AND(B16&lt;&gt;"",OR('名簿'!F11="入力済み",'名簿'!F11="×なし"),DY16=0,COUNTIF('割り当て'!$C$6:$L$17,B16)=0),1,0)</f>
        <v/>
      </c>
      <c r="D16">
        <f>IF(D$4=1,IF(INDEX('×入力'!$C$1:$L$700,96+D$3,D$2)&lt;&gt;"",1,0),0)</f>
        <v/>
      </c>
      <c r="E16">
        <f>IF(E$4=1,IF(INDEX('×入力'!$C$1:$L$700,96+E$3,E$2)&lt;&gt;"",1,0),0)</f>
        <v/>
      </c>
      <c r="F16">
        <f>IF(F$4=1,IF(INDEX('×入力'!$C$1:$L$700,96+F$3,F$2)&lt;&gt;"",1,0),0)</f>
        <v/>
      </c>
      <c r="G16">
        <f>IF(G$4=1,IF(INDEX('×入力'!$C$1:$L$700,96+G$3,G$2)&lt;&gt;"",1,0),0)</f>
        <v/>
      </c>
      <c r="H16">
        <f>IF(H$4=1,IF(INDEX('×入力'!$C$1:$L$700,96+H$3,H$2)&lt;&gt;"",1,0),0)</f>
        <v/>
      </c>
      <c r="I16">
        <f>IF(I$4=1,IF(INDEX('×入力'!$C$1:$L$700,96+I$3,I$2)&lt;&gt;"",1,0),0)</f>
        <v/>
      </c>
      <c r="J16">
        <f>IF(J$4=1,IF(INDEX('×入力'!$C$1:$L$700,96+J$3,J$2)&lt;&gt;"",1,0),0)</f>
        <v/>
      </c>
      <c r="K16">
        <f>IF(K$4=1,IF(INDEX('×入力'!$C$1:$L$700,96+K$3,K$2)&lt;&gt;"",1,0),0)</f>
        <v/>
      </c>
      <c r="L16">
        <f>IF(L$4=1,IF(INDEX('×入力'!$C$1:$L$700,96+L$3,L$2)&lt;&gt;"",1,0),0)</f>
        <v/>
      </c>
      <c r="M16">
        <f>IF(M$4=1,IF(INDEX('×入力'!$C$1:$L$700,96+M$3,M$2)&lt;&gt;"",1,0),0)</f>
        <v/>
      </c>
      <c r="N16">
        <f>IF(N$4=1,IF(INDEX('×入力'!$C$1:$L$700,96+N$3,N$2)&lt;&gt;"",1,0),0)</f>
        <v/>
      </c>
      <c r="O16">
        <f>IF(O$4=1,IF(INDEX('×入力'!$C$1:$L$700,96+O$3,O$2)&lt;&gt;"",1,0),0)</f>
        <v/>
      </c>
      <c r="P16">
        <f>IF(P$4=1,IF(INDEX('×入力'!$C$1:$L$700,96+P$3,P$2)&lt;&gt;"",1,0),0)</f>
        <v/>
      </c>
      <c r="Q16">
        <f>IF(Q$4=1,IF(INDEX('×入力'!$C$1:$L$700,96+Q$3,Q$2)&lt;&gt;"",1,0),0)</f>
        <v/>
      </c>
      <c r="R16">
        <f>IF(R$4=1,IF(INDEX('×入力'!$C$1:$L$700,96+R$3,R$2)&lt;&gt;"",1,0),0)</f>
        <v/>
      </c>
      <c r="S16">
        <f>IF(S$4=1,IF(INDEX('×入力'!$C$1:$L$700,96+S$3,S$2)&lt;&gt;"",1,0),0)</f>
        <v/>
      </c>
      <c r="T16">
        <f>IF(T$4=1,IF(INDEX('×入力'!$C$1:$L$700,96+T$3,T$2)&lt;&gt;"",1,0),0)</f>
        <v/>
      </c>
      <c r="U16">
        <f>IF(U$4=1,IF(INDEX('×入力'!$C$1:$L$700,96+U$3,U$2)&lt;&gt;"",1,0),0)</f>
        <v/>
      </c>
      <c r="V16">
        <f>IF(V$4=1,IF(INDEX('×入力'!$C$1:$L$700,96+V$3,V$2)&lt;&gt;"",1,0),0)</f>
        <v/>
      </c>
      <c r="W16">
        <f>IF(W$4=1,IF(INDEX('×入力'!$C$1:$L$700,96+W$3,W$2)&lt;&gt;"",1,0),0)</f>
        <v/>
      </c>
      <c r="X16">
        <f>IF(X$4=1,IF(INDEX('×入力'!$C$1:$L$700,96+X$3,X$2)&lt;&gt;"",1,0),0)</f>
        <v/>
      </c>
      <c r="Y16">
        <f>IF(Y$4=1,IF(INDEX('×入力'!$C$1:$L$700,96+Y$3,Y$2)&lt;&gt;"",1,0),0)</f>
        <v/>
      </c>
      <c r="Z16">
        <f>IF(Z$4=1,IF(INDEX('×入力'!$C$1:$L$700,96+Z$3,Z$2)&lt;&gt;"",1,0),0)</f>
        <v/>
      </c>
      <c r="AA16">
        <f>IF(AA$4=1,IF(INDEX('×入力'!$C$1:$L$700,96+AA$3,AA$2)&lt;&gt;"",1,0),0)</f>
        <v/>
      </c>
      <c r="AB16">
        <f>IF(AB$4=1,IF(INDEX('×入力'!$C$1:$L$700,96+AB$3,AB$2)&lt;&gt;"",1,0),0)</f>
        <v/>
      </c>
      <c r="AC16">
        <f>IF(AC$4=1,IF(INDEX('×入力'!$C$1:$L$700,96+AC$3,AC$2)&lt;&gt;"",1,0),0)</f>
        <v/>
      </c>
      <c r="AD16">
        <f>IF(AD$4=1,IF(INDEX('×入力'!$C$1:$L$700,96+AD$3,AD$2)&lt;&gt;"",1,0),0)</f>
        <v/>
      </c>
      <c r="AE16">
        <f>IF(AE$4=1,IF(INDEX('×入力'!$C$1:$L$700,96+AE$3,AE$2)&lt;&gt;"",1,0),0)</f>
        <v/>
      </c>
      <c r="AF16">
        <f>IF(AF$4=1,IF(INDEX('×入力'!$C$1:$L$700,96+AF$3,AF$2)&lt;&gt;"",1,0),0)</f>
        <v/>
      </c>
      <c r="AG16">
        <f>IF(AG$4=1,IF(INDEX('×入力'!$C$1:$L$700,96+AG$3,AG$2)&lt;&gt;"",1,0),0)</f>
        <v/>
      </c>
      <c r="AH16">
        <f>IF(AH$4=1,IF(INDEX('×入力'!$C$1:$L$700,96+AH$3,AH$2)&lt;&gt;"",1,0),0)</f>
        <v/>
      </c>
      <c r="AI16">
        <f>IF(AI$4=1,IF(INDEX('×入力'!$C$1:$L$700,96+AI$3,AI$2)&lt;&gt;"",1,0),0)</f>
        <v/>
      </c>
      <c r="AJ16">
        <f>IF(AJ$4=1,IF(INDEX('×入力'!$C$1:$L$700,96+AJ$3,AJ$2)&lt;&gt;"",1,0),0)</f>
        <v/>
      </c>
      <c r="AK16">
        <f>IF(AK$4=1,IF(INDEX('×入力'!$C$1:$L$700,96+AK$3,AK$2)&lt;&gt;"",1,0),0)</f>
        <v/>
      </c>
      <c r="AL16">
        <f>IF(AL$4=1,IF(INDEX('×入力'!$C$1:$L$700,96+AL$3,AL$2)&lt;&gt;"",1,0),0)</f>
        <v/>
      </c>
      <c r="AM16">
        <f>IF(AM$4=1,IF(INDEX('×入力'!$C$1:$L$700,96+AM$3,AM$2)&lt;&gt;"",1,0),0)</f>
        <v/>
      </c>
      <c r="AN16">
        <f>IF(AN$4=1,IF(INDEX('×入力'!$C$1:$L$700,96+AN$3,AN$2)&lt;&gt;"",1,0),0)</f>
        <v/>
      </c>
      <c r="AO16">
        <f>IF(AO$4=1,IF(INDEX('×入力'!$C$1:$L$700,96+AO$3,AO$2)&lt;&gt;"",1,0),0)</f>
        <v/>
      </c>
      <c r="AP16">
        <f>IF(AP$4=1,IF(INDEX('×入力'!$C$1:$L$700,96+AP$3,AP$2)&lt;&gt;"",1,0),0)</f>
        <v/>
      </c>
      <c r="AQ16">
        <f>IF(AQ$4=1,IF(INDEX('×入力'!$C$1:$L$700,96+AQ$3,AQ$2)&lt;&gt;"",1,0),0)</f>
        <v/>
      </c>
      <c r="AR16">
        <f>IF(AR$4=1,IF(INDEX('×入力'!$C$1:$L$700,96+AR$3,AR$2)&lt;&gt;"",1,0),0)</f>
        <v/>
      </c>
      <c r="AS16">
        <f>IF(AS$4=1,IF(INDEX('×入力'!$C$1:$L$700,96+AS$3,AS$2)&lt;&gt;"",1,0),0)</f>
        <v/>
      </c>
      <c r="AT16">
        <f>IF(AT$4=1,IF(INDEX('×入力'!$C$1:$L$700,96+AT$3,AT$2)&lt;&gt;"",1,0),0)</f>
        <v/>
      </c>
      <c r="AU16">
        <f>IF(AU$4=1,IF(INDEX('×入力'!$C$1:$L$700,96+AU$3,AU$2)&lt;&gt;"",1,0),0)</f>
        <v/>
      </c>
      <c r="AV16">
        <f>IF(AV$4=1,IF(INDEX('×入力'!$C$1:$L$700,96+AV$3,AV$2)&lt;&gt;"",1,0),0)</f>
        <v/>
      </c>
      <c r="AW16">
        <f>IF(AW$4=1,IF(INDEX('×入力'!$C$1:$L$700,96+AW$3,AW$2)&lt;&gt;"",1,0),0)</f>
        <v/>
      </c>
      <c r="AX16">
        <f>IF(AX$4=1,IF(INDEX('×入力'!$C$1:$L$700,96+AX$3,AX$2)&lt;&gt;"",1,0),0)</f>
        <v/>
      </c>
      <c r="AY16">
        <f>IF(AY$4=1,IF(INDEX('×入力'!$C$1:$L$700,96+AY$3,AY$2)&lt;&gt;"",1,0),0)</f>
        <v/>
      </c>
      <c r="AZ16">
        <f>IF(AZ$4=1,IF(INDEX('×入力'!$C$1:$L$700,96+AZ$3,AZ$2)&lt;&gt;"",1,0),0)</f>
        <v/>
      </c>
      <c r="BA16">
        <f>IF(BA$4=1,IF(INDEX('×入力'!$C$1:$L$700,96+BA$3,BA$2)&lt;&gt;"",1,0),0)</f>
        <v/>
      </c>
      <c r="BB16">
        <f>IF(BB$4=1,IF(INDEX('×入力'!$C$1:$L$700,96+BB$3,BB$2)&lt;&gt;"",1,0),0)</f>
        <v/>
      </c>
      <c r="BC16">
        <f>IF(BC$4=1,IF(INDEX('×入力'!$C$1:$L$700,96+BC$3,BC$2)&lt;&gt;"",1,0),0)</f>
        <v/>
      </c>
      <c r="BD16">
        <f>IF(BD$4=1,IF(INDEX('×入力'!$C$1:$L$700,96+BD$3,BD$2)&lt;&gt;"",1,0),0)</f>
        <v/>
      </c>
      <c r="BE16">
        <f>IF(BE$4=1,IF(INDEX('×入力'!$C$1:$L$700,96+BE$3,BE$2)&lt;&gt;"",1,0),0)</f>
        <v/>
      </c>
      <c r="BF16">
        <f>IF(BF$4=1,IF(INDEX('×入力'!$C$1:$L$700,96+BF$3,BF$2)&lt;&gt;"",1,0),0)</f>
        <v/>
      </c>
      <c r="BG16">
        <f>IF(BG$4=1,IF(INDEX('×入力'!$C$1:$L$700,96+BG$3,BG$2)&lt;&gt;"",1,0),0)</f>
        <v/>
      </c>
      <c r="BH16">
        <f>IF(BH$4=1,IF(INDEX('×入力'!$C$1:$L$700,96+BH$3,BH$2)&lt;&gt;"",1,0),0)</f>
        <v/>
      </c>
      <c r="BI16">
        <f>IF(BI$4=1,IF(INDEX('×入力'!$C$1:$L$700,96+BI$3,BI$2)&lt;&gt;"",1,0),0)</f>
        <v/>
      </c>
      <c r="BJ16">
        <f>IF(BJ$4=1,IF(INDEX('×入力'!$C$1:$L$700,96+BJ$3,BJ$2)&lt;&gt;"",1,0),0)</f>
        <v/>
      </c>
      <c r="BK16">
        <f>IF(BK$4=1,IF(INDEX('×入力'!$C$1:$L$700,96+BK$3,BK$2)&lt;&gt;"",1,0),0)</f>
        <v/>
      </c>
      <c r="BL16">
        <f>IF(BL$4=1,IF(INDEX('×入力'!$C$1:$L$700,96+BL$3,BL$2)&lt;&gt;"",1,0),0)</f>
        <v/>
      </c>
      <c r="BM16">
        <f>IF(BM$4=1,IF(INDEX('×入力'!$C$1:$L$700,96+BM$3,BM$2)&lt;&gt;"",1,0),0)</f>
        <v/>
      </c>
      <c r="BN16">
        <f>IF(BN$4=1,IF(INDEX('×入力'!$C$1:$L$700,96+BN$3,BN$2)&lt;&gt;"",1,0),0)</f>
        <v/>
      </c>
      <c r="BO16">
        <f>IF(BO$4=1,IF(INDEX('×入力'!$C$1:$L$700,96+BO$3,BO$2)&lt;&gt;"",1,0),0)</f>
        <v/>
      </c>
      <c r="BP16">
        <f>IF(BP$4=1,IF(INDEX('×入力'!$C$1:$L$700,96+BP$3,BP$2)&lt;&gt;"",1,0),0)</f>
        <v/>
      </c>
      <c r="BQ16">
        <f>IF(BQ$4=1,IF(INDEX('×入力'!$C$1:$L$700,96+BQ$3,BQ$2)&lt;&gt;"",1,0),0)</f>
        <v/>
      </c>
      <c r="BR16">
        <f>IF(BR$4=1,IF(INDEX('×入力'!$C$1:$L$700,96+BR$3,BR$2)&lt;&gt;"",1,0),0)</f>
        <v/>
      </c>
      <c r="BS16">
        <f>IF(BS$4=1,IF(INDEX('×入力'!$C$1:$L$700,96+BS$3,BS$2)&lt;&gt;"",1,0),0)</f>
        <v/>
      </c>
      <c r="BT16">
        <f>IF(BT$4=1,IF(INDEX('×入力'!$C$1:$L$700,96+BT$3,BT$2)&lt;&gt;"",1,0),0)</f>
        <v/>
      </c>
      <c r="BU16">
        <f>IF(BU$4=1,IF(INDEX('×入力'!$C$1:$L$700,96+BU$3,BU$2)&lt;&gt;"",1,0),0)</f>
        <v/>
      </c>
      <c r="BV16">
        <f>IF(BV$4=1,IF(INDEX('×入力'!$C$1:$L$700,96+BV$3,BV$2)&lt;&gt;"",1,0),0)</f>
        <v/>
      </c>
      <c r="BW16">
        <f>IF(BW$4=1,IF(INDEX('×入力'!$C$1:$L$700,96+BW$3,BW$2)&lt;&gt;"",1,0),0)</f>
        <v/>
      </c>
      <c r="BX16">
        <f>IF(BX$4=1,IF(INDEX('×入力'!$C$1:$L$700,96+BX$3,BX$2)&lt;&gt;"",1,0),0)</f>
        <v/>
      </c>
      <c r="BY16">
        <f>IF(BY$4=1,IF(INDEX('×入力'!$C$1:$L$700,96+BY$3,BY$2)&lt;&gt;"",1,0),0)</f>
        <v/>
      </c>
      <c r="BZ16">
        <f>IF(BZ$4=1,IF(INDEX('×入力'!$C$1:$L$700,96+BZ$3,BZ$2)&lt;&gt;"",1,0),0)</f>
        <v/>
      </c>
      <c r="CA16">
        <f>IF(CA$4=1,IF(INDEX('×入力'!$C$1:$L$700,96+CA$3,CA$2)&lt;&gt;"",1,0),0)</f>
        <v/>
      </c>
      <c r="CB16">
        <f>IF(CB$4=1,IF(INDEX('×入力'!$C$1:$L$700,96+CB$3,CB$2)&lt;&gt;"",1,0),0)</f>
        <v/>
      </c>
      <c r="CC16">
        <f>IF(CC$4=1,IF(INDEX('×入力'!$C$1:$L$700,96+CC$3,CC$2)&lt;&gt;"",1,0),0)</f>
        <v/>
      </c>
      <c r="CD16">
        <f>IF(CD$4=1,IF(INDEX('×入力'!$C$1:$L$700,96+CD$3,CD$2)&lt;&gt;"",1,0),0)</f>
        <v/>
      </c>
      <c r="CE16">
        <f>IF(CE$4=1,IF(INDEX('×入力'!$C$1:$L$700,96+CE$3,CE$2)&lt;&gt;"",1,0),0)</f>
        <v/>
      </c>
      <c r="CF16">
        <f>IF(CF$4=1,IF(INDEX('×入力'!$C$1:$L$700,96+CF$3,CF$2)&lt;&gt;"",1,0),0)</f>
        <v/>
      </c>
      <c r="CG16">
        <f>IF(CG$4=1,IF(INDEX('×入力'!$C$1:$L$700,96+CG$3,CG$2)&lt;&gt;"",1,0),0)</f>
        <v/>
      </c>
      <c r="CH16">
        <f>IF(CH$4=1,IF(INDEX('×入力'!$C$1:$L$700,96+CH$3,CH$2)&lt;&gt;"",1,0),0)</f>
        <v/>
      </c>
      <c r="CI16">
        <f>IF(CI$4=1,IF(INDEX('×入力'!$C$1:$L$700,96+CI$3,CI$2)&lt;&gt;"",1,0),0)</f>
        <v/>
      </c>
      <c r="CJ16">
        <f>IF(CJ$4=1,IF(INDEX('×入力'!$C$1:$L$700,96+CJ$3,CJ$2)&lt;&gt;"",1,0),0)</f>
        <v/>
      </c>
      <c r="CK16">
        <f>IF(CK$4=1,IF(INDEX('×入力'!$C$1:$L$700,96+CK$3,CK$2)&lt;&gt;"",1,0),0)</f>
        <v/>
      </c>
      <c r="CL16">
        <f>IF(CL$4=1,IF(INDEX('×入力'!$C$1:$L$700,96+CL$3,CL$2)&lt;&gt;"",1,0),0)</f>
        <v/>
      </c>
      <c r="CM16">
        <f>IF(CM$4=1,IF(INDEX('×入力'!$C$1:$L$700,96+CM$3,CM$2)&lt;&gt;"",1,0),0)</f>
        <v/>
      </c>
      <c r="CN16">
        <f>IF(CN$4=1,IF(INDEX('×入力'!$C$1:$L$700,96+CN$3,CN$2)&lt;&gt;"",1,0),0)</f>
        <v/>
      </c>
      <c r="CO16">
        <f>IF(CO$4=1,IF(INDEX('×入力'!$C$1:$L$700,96+CO$3,CO$2)&lt;&gt;"",1,0),0)</f>
        <v/>
      </c>
      <c r="CP16">
        <f>IF(CP$4=1,IF(INDEX('×入力'!$C$1:$L$700,96+CP$3,CP$2)&lt;&gt;"",1,0),0)</f>
        <v/>
      </c>
      <c r="CQ16">
        <f>IF(CQ$4=1,IF(INDEX('×入力'!$C$1:$L$700,96+CQ$3,CQ$2)&lt;&gt;"",1,0),0)</f>
        <v/>
      </c>
      <c r="CR16">
        <f>IF(CR$4=1,IF(INDEX('×入力'!$C$1:$L$700,96+CR$3,CR$2)&lt;&gt;"",1,0),0)</f>
        <v/>
      </c>
      <c r="CS16">
        <f>IF(CS$4=1,IF(INDEX('×入力'!$C$1:$L$700,96+CS$3,CS$2)&lt;&gt;"",1,0),0)</f>
        <v/>
      </c>
      <c r="CT16">
        <f>IF(CT$4=1,IF(INDEX('×入力'!$C$1:$L$700,96+CT$3,CT$2)&lt;&gt;"",1,0),0)</f>
        <v/>
      </c>
      <c r="CU16">
        <f>IF(CU$4=1,IF(INDEX('×入力'!$C$1:$L$700,96+CU$3,CU$2)&lt;&gt;"",1,0),0)</f>
        <v/>
      </c>
      <c r="CV16">
        <f>IF(CV$4=1,IF(INDEX('×入力'!$C$1:$L$700,96+CV$3,CV$2)&lt;&gt;"",1,0),0)</f>
        <v/>
      </c>
      <c r="CW16">
        <f>IF(CW$4=1,IF(INDEX('×入力'!$C$1:$L$700,96+CW$3,CW$2)&lt;&gt;"",1,0),0)</f>
        <v/>
      </c>
      <c r="CX16">
        <f>IF(CX$4=1,IF(INDEX('×入力'!$C$1:$L$700,96+CX$3,CX$2)&lt;&gt;"",1,0),0)</f>
        <v/>
      </c>
      <c r="CY16">
        <f>IF(CY$4=1,IF(INDEX('×入力'!$C$1:$L$700,96+CY$3,CY$2)&lt;&gt;"",1,0),0)</f>
        <v/>
      </c>
      <c r="CZ16">
        <f>IF(CZ$4=1,IF(INDEX('×入力'!$C$1:$L$700,96+CZ$3,CZ$2)&lt;&gt;"",1,0),0)</f>
        <v/>
      </c>
      <c r="DA16">
        <f>IF(DA$4=1,IF(INDEX('×入力'!$C$1:$L$700,96+DA$3,DA$2)&lt;&gt;"",1,0),0)</f>
        <v/>
      </c>
      <c r="DB16">
        <f>IF(DB$4=1,IF(INDEX('×入力'!$C$1:$L$700,96+DB$3,DB$2)&lt;&gt;"",1,0),0)</f>
        <v/>
      </c>
      <c r="DC16">
        <f>IF(DC$4=1,IF(INDEX('×入力'!$C$1:$L$700,96+DC$3,DC$2)&lt;&gt;"",1,0),0)</f>
        <v/>
      </c>
      <c r="DD16">
        <f>IF(DD$4=1,IF(INDEX('×入力'!$C$1:$L$700,96+DD$3,DD$2)&lt;&gt;"",1,0),0)</f>
        <v/>
      </c>
      <c r="DE16">
        <f>IF(DE$4=1,IF(INDEX('×入力'!$C$1:$L$700,96+DE$3,DE$2)&lt;&gt;"",1,0),0)</f>
        <v/>
      </c>
      <c r="DF16">
        <f>IF(DF$4=1,IF(INDEX('×入力'!$C$1:$L$700,96+DF$3,DF$2)&lt;&gt;"",1,0),0)</f>
        <v/>
      </c>
      <c r="DG16">
        <f>IF(DG$4=1,IF(INDEX('×入力'!$C$1:$L$700,96+DG$3,DG$2)&lt;&gt;"",1,0),0)</f>
        <v/>
      </c>
      <c r="DH16">
        <f>IF(DH$4=1,IF(INDEX('×入力'!$C$1:$L$700,96+DH$3,DH$2)&lt;&gt;"",1,0),0)</f>
        <v/>
      </c>
      <c r="DI16">
        <f>IF(DI$4=1,IF(INDEX('×入力'!$C$1:$L$700,96+DI$3,DI$2)&lt;&gt;"",1,0),0)</f>
        <v/>
      </c>
      <c r="DJ16">
        <f>IF(DJ$4=1,IF(INDEX('×入力'!$C$1:$L$700,96+DJ$3,DJ$2)&lt;&gt;"",1,0),0)</f>
        <v/>
      </c>
      <c r="DK16">
        <f>IF(DK$4=1,IF(INDEX('×入力'!$C$1:$L$700,96+DK$3,DK$2)&lt;&gt;"",1,0),0)</f>
        <v/>
      </c>
      <c r="DL16">
        <f>IF(DL$4=1,IF(INDEX('×入力'!$C$1:$L$700,96+DL$3,DL$2)&lt;&gt;"",1,0),0)</f>
        <v/>
      </c>
      <c r="DM16">
        <f>IF(DM$4=1,IF(INDEX('×入力'!$C$1:$L$700,96+DM$3,DM$2)&lt;&gt;"",1,0),0)</f>
        <v/>
      </c>
      <c r="DN16">
        <f>IF(DN$4=1,IF(INDEX('×入力'!$C$1:$L$700,96+DN$3,DN$2)&lt;&gt;"",1,0),0)</f>
        <v/>
      </c>
      <c r="DO16">
        <f>IF(DO$4=1,IF(INDEX('×入力'!$C$1:$L$700,96+DO$3,DO$2)&lt;&gt;"",1,0),0)</f>
        <v/>
      </c>
      <c r="DP16">
        <f>IF(DP$4=1,IF(INDEX('×入力'!$C$1:$L$700,96+DP$3,DP$2)&lt;&gt;"",1,0),0)</f>
        <v/>
      </c>
      <c r="DQ16">
        <f>IF(DQ$4=1,IF(INDEX('×入力'!$C$1:$L$700,96+DQ$3,DQ$2)&lt;&gt;"",1,0),0)</f>
        <v/>
      </c>
      <c r="DR16">
        <f>IF(DR$4=1,IF(INDEX('×入力'!$C$1:$L$700,96+DR$3,DR$2)&lt;&gt;"",1,0),0)</f>
        <v/>
      </c>
      <c r="DS16">
        <f>IF(DS$4=1,IF(INDEX('×入力'!$C$1:$L$700,96+DS$3,DS$2)&lt;&gt;"",1,0),0)</f>
        <v/>
      </c>
      <c r="DU16">
        <f>IFERROR(INDEX('計算B'!$C$3:$C$47,MATCH(A16,'計算B'!$B$3:$B$47,0)),0)</f>
        <v/>
      </c>
      <c r="DV16">
        <f>IF(AND(C16=1,DU16=0),1,0)</f>
        <v/>
      </c>
      <c r="DW16">
        <f>SUMPRODUCT(D66:DS66*(1-$D$7:$DS$7))</f>
        <v/>
      </c>
      <c r="DX16">
        <f>SUM(D16:DS16)</f>
        <v/>
      </c>
      <c r="DY16">
        <f>IF(B16="",0,IF(COUNTIF('割り当て'!$C$6:$L$17,B16)=1,SUMPRODUCT(('割り当て'!$C$6:$L$17=B16)*((COLUMN('割り当て'!$C$6:$L$17)-3)*12+ROW('割り当て'!$C$6:$L$17)-5)),0))</f>
        <v/>
      </c>
    </row>
    <row r="17">
      <c r="A17" t="n">
        <v>8</v>
      </c>
      <c r="B17">
        <f>'名簿'!E12</f>
        <v/>
      </c>
      <c r="C17">
        <f>IF(AND(B17&lt;&gt;"",OR('名簿'!F12="入力済み",'名簿'!F12="×なし"),DY17=0,COUNTIF('割り当て'!$C$6:$L$17,B17)=0),1,0)</f>
        <v/>
      </c>
      <c r="D17">
        <f>IF(D$4=1,IF(INDEX('×入力'!$C$1:$L$700,111+D$3,D$2)&lt;&gt;"",1,0),0)</f>
        <v/>
      </c>
      <c r="E17">
        <f>IF(E$4=1,IF(INDEX('×入力'!$C$1:$L$700,111+E$3,E$2)&lt;&gt;"",1,0),0)</f>
        <v/>
      </c>
      <c r="F17">
        <f>IF(F$4=1,IF(INDEX('×入力'!$C$1:$L$700,111+F$3,F$2)&lt;&gt;"",1,0),0)</f>
        <v/>
      </c>
      <c r="G17">
        <f>IF(G$4=1,IF(INDEX('×入力'!$C$1:$L$700,111+G$3,G$2)&lt;&gt;"",1,0),0)</f>
        <v/>
      </c>
      <c r="H17">
        <f>IF(H$4=1,IF(INDEX('×入力'!$C$1:$L$700,111+H$3,H$2)&lt;&gt;"",1,0),0)</f>
        <v/>
      </c>
      <c r="I17">
        <f>IF(I$4=1,IF(INDEX('×入力'!$C$1:$L$700,111+I$3,I$2)&lt;&gt;"",1,0),0)</f>
        <v/>
      </c>
      <c r="J17">
        <f>IF(J$4=1,IF(INDEX('×入力'!$C$1:$L$700,111+J$3,J$2)&lt;&gt;"",1,0),0)</f>
        <v/>
      </c>
      <c r="K17">
        <f>IF(K$4=1,IF(INDEX('×入力'!$C$1:$L$700,111+K$3,K$2)&lt;&gt;"",1,0),0)</f>
        <v/>
      </c>
      <c r="L17">
        <f>IF(L$4=1,IF(INDEX('×入力'!$C$1:$L$700,111+L$3,L$2)&lt;&gt;"",1,0),0)</f>
        <v/>
      </c>
      <c r="M17">
        <f>IF(M$4=1,IF(INDEX('×入力'!$C$1:$L$700,111+M$3,M$2)&lt;&gt;"",1,0),0)</f>
        <v/>
      </c>
      <c r="N17">
        <f>IF(N$4=1,IF(INDEX('×入力'!$C$1:$L$700,111+N$3,N$2)&lt;&gt;"",1,0),0)</f>
        <v/>
      </c>
      <c r="O17">
        <f>IF(O$4=1,IF(INDEX('×入力'!$C$1:$L$700,111+O$3,O$2)&lt;&gt;"",1,0),0)</f>
        <v/>
      </c>
      <c r="P17">
        <f>IF(P$4=1,IF(INDEX('×入力'!$C$1:$L$700,111+P$3,P$2)&lt;&gt;"",1,0),0)</f>
        <v/>
      </c>
      <c r="Q17">
        <f>IF(Q$4=1,IF(INDEX('×入力'!$C$1:$L$700,111+Q$3,Q$2)&lt;&gt;"",1,0),0)</f>
        <v/>
      </c>
      <c r="R17">
        <f>IF(R$4=1,IF(INDEX('×入力'!$C$1:$L$700,111+R$3,R$2)&lt;&gt;"",1,0),0)</f>
        <v/>
      </c>
      <c r="S17">
        <f>IF(S$4=1,IF(INDEX('×入力'!$C$1:$L$700,111+S$3,S$2)&lt;&gt;"",1,0),0)</f>
        <v/>
      </c>
      <c r="T17">
        <f>IF(T$4=1,IF(INDEX('×入力'!$C$1:$L$700,111+T$3,T$2)&lt;&gt;"",1,0),0)</f>
        <v/>
      </c>
      <c r="U17">
        <f>IF(U$4=1,IF(INDEX('×入力'!$C$1:$L$700,111+U$3,U$2)&lt;&gt;"",1,0),0)</f>
        <v/>
      </c>
      <c r="V17">
        <f>IF(V$4=1,IF(INDEX('×入力'!$C$1:$L$700,111+V$3,V$2)&lt;&gt;"",1,0),0)</f>
        <v/>
      </c>
      <c r="W17">
        <f>IF(W$4=1,IF(INDEX('×入力'!$C$1:$L$700,111+W$3,W$2)&lt;&gt;"",1,0),0)</f>
        <v/>
      </c>
      <c r="X17">
        <f>IF(X$4=1,IF(INDEX('×入力'!$C$1:$L$700,111+X$3,X$2)&lt;&gt;"",1,0),0)</f>
        <v/>
      </c>
      <c r="Y17">
        <f>IF(Y$4=1,IF(INDEX('×入力'!$C$1:$L$700,111+Y$3,Y$2)&lt;&gt;"",1,0),0)</f>
        <v/>
      </c>
      <c r="Z17">
        <f>IF(Z$4=1,IF(INDEX('×入力'!$C$1:$L$700,111+Z$3,Z$2)&lt;&gt;"",1,0),0)</f>
        <v/>
      </c>
      <c r="AA17">
        <f>IF(AA$4=1,IF(INDEX('×入力'!$C$1:$L$700,111+AA$3,AA$2)&lt;&gt;"",1,0),0)</f>
        <v/>
      </c>
      <c r="AB17">
        <f>IF(AB$4=1,IF(INDEX('×入力'!$C$1:$L$700,111+AB$3,AB$2)&lt;&gt;"",1,0),0)</f>
        <v/>
      </c>
      <c r="AC17">
        <f>IF(AC$4=1,IF(INDEX('×入力'!$C$1:$L$700,111+AC$3,AC$2)&lt;&gt;"",1,0),0)</f>
        <v/>
      </c>
      <c r="AD17">
        <f>IF(AD$4=1,IF(INDEX('×入力'!$C$1:$L$700,111+AD$3,AD$2)&lt;&gt;"",1,0),0)</f>
        <v/>
      </c>
      <c r="AE17">
        <f>IF(AE$4=1,IF(INDEX('×入力'!$C$1:$L$700,111+AE$3,AE$2)&lt;&gt;"",1,0),0)</f>
        <v/>
      </c>
      <c r="AF17">
        <f>IF(AF$4=1,IF(INDEX('×入力'!$C$1:$L$700,111+AF$3,AF$2)&lt;&gt;"",1,0),0)</f>
        <v/>
      </c>
      <c r="AG17">
        <f>IF(AG$4=1,IF(INDEX('×入力'!$C$1:$L$700,111+AG$3,AG$2)&lt;&gt;"",1,0),0)</f>
        <v/>
      </c>
      <c r="AH17">
        <f>IF(AH$4=1,IF(INDEX('×入力'!$C$1:$L$700,111+AH$3,AH$2)&lt;&gt;"",1,0),0)</f>
        <v/>
      </c>
      <c r="AI17">
        <f>IF(AI$4=1,IF(INDEX('×入力'!$C$1:$L$700,111+AI$3,AI$2)&lt;&gt;"",1,0),0)</f>
        <v/>
      </c>
      <c r="AJ17">
        <f>IF(AJ$4=1,IF(INDEX('×入力'!$C$1:$L$700,111+AJ$3,AJ$2)&lt;&gt;"",1,0),0)</f>
        <v/>
      </c>
      <c r="AK17">
        <f>IF(AK$4=1,IF(INDEX('×入力'!$C$1:$L$700,111+AK$3,AK$2)&lt;&gt;"",1,0),0)</f>
        <v/>
      </c>
      <c r="AL17">
        <f>IF(AL$4=1,IF(INDEX('×入力'!$C$1:$L$700,111+AL$3,AL$2)&lt;&gt;"",1,0),0)</f>
        <v/>
      </c>
      <c r="AM17">
        <f>IF(AM$4=1,IF(INDEX('×入力'!$C$1:$L$700,111+AM$3,AM$2)&lt;&gt;"",1,0),0)</f>
        <v/>
      </c>
      <c r="AN17">
        <f>IF(AN$4=1,IF(INDEX('×入力'!$C$1:$L$700,111+AN$3,AN$2)&lt;&gt;"",1,0),0)</f>
        <v/>
      </c>
      <c r="AO17">
        <f>IF(AO$4=1,IF(INDEX('×入力'!$C$1:$L$700,111+AO$3,AO$2)&lt;&gt;"",1,0),0)</f>
        <v/>
      </c>
      <c r="AP17">
        <f>IF(AP$4=1,IF(INDEX('×入力'!$C$1:$L$700,111+AP$3,AP$2)&lt;&gt;"",1,0),0)</f>
        <v/>
      </c>
      <c r="AQ17">
        <f>IF(AQ$4=1,IF(INDEX('×入力'!$C$1:$L$700,111+AQ$3,AQ$2)&lt;&gt;"",1,0),0)</f>
        <v/>
      </c>
      <c r="AR17">
        <f>IF(AR$4=1,IF(INDEX('×入力'!$C$1:$L$700,111+AR$3,AR$2)&lt;&gt;"",1,0),0)</f>
        <v/>
      </c>
      <c r="AS17">
        <f>IF(AS$4=1,IF(INDEX('×入力'!$C$1:$L$700,111+AS$3,AS$2)&lt;&gt;"",1,0),0)</f>
        <v/>
      </c>
      <c r="AT17">
        <f>IF(AT$4=1,IF(INDEX('×入力'!$C$1:$L$700,111+AT$3,AT$2)&lt;&gt;"",1,0),0)</f>
        <v/>
      </c>
      <c r="AU17">
        <f>IF(AU$4=1,IF(INDEX('×入力'!$C$1:$L$700,111+AU$3,AU$2)&lt;&gt;"",1,0),0)</f>
        <v/>
      </c>
      <c r="AV17">
        <f>IF(AV$4=1,IF(INDEX('×入力'!$C$1:$L$700,111+AV$3,AV$2)&lt;&gt;"",1,0),0)</f>
        <v/>
      </c>
      <c r="AW17">
        <f>IF(AW$4=1,IF(INDEX('×入力'!$C$1:$L$700,111+AW$3,AW$2)&lt;&gt;"",1,0),0)</f>
        <v/>
      </c>
      <c r="AX17">
        <f>IF(AX$4=1,IF(INDEX('×入力'!$C$1:$L$700,111+AX$3,AX$2)&lt;&gt;"",1,0),0)</f>
        <v/>
      </c>
      <c r="AY17">
        <f>IF(AY$4=1,IF(INDEX('×入力'!$C$1:$L$700,111+AY$3,AY$2)&lt;&gt;"",1,0),0)</f>
        <v/>
      </c>
      <c r="AZ17">
        <f>IF(AZ$4=1,IF(INDEX('×入力'!$C$1:$L$700,111+AZ$3,AZ$2)&lt;&gt;"",1,0),0)</f>
        <v/>
      </c>
      <c r="BA17">
        <f>IF(BA$4=1,IF(INDEX('×入力'!$C$1:$L$700,111+BA$3,BA$2)&lt;&gt;"",1,0),0)</f>
        <v/>
      </c>
      <c r="BB17">
        <f>IF(BB$4=1,IF(INDEX('×入力'!$C$1:$L$700,111+BB$3,BB$2)&lt;&gt;"",1,0),0)</f>
        <v/>
      </c>
      <c r="BC17">
        <f>IF(BC$4=1,IF(INDEX('×入力'!$C$1:$L$700,111+BC$3,BC$2)&lt;&gt;"",1,0),0)</f>
        <v/>
      </c>
      <c r="BD17">
        <f>IF(BD$4=1,IF(INDEX('×入力'!$C$1:$L$700,111+BD$3,BD$2)&lt;&gt;"",1,0),0)</f>
        <v/>
      </c>
      <c r="BE17">
        <f>IF(BE$4=1,IF(INDEX('×入力'!$C$1:$L$700,111+BE$3,BE$2)&lt;&gt;"",1,0),0)</f>
        <v/>
      </c>
      <c r="BF17">
        <f>IF(BF$4=1,IF(INDEX('×入力'!$C$1:$L$700,111+BF$3,BF$2)&lt;&gt;"",1,0),0)</f>
        <v/>
      </c>
      <c r="BG17">
        <f>IF(BG$4=1,IF(INDEX('×入力'!$C$1:$L$700,111+BG$3,BG$2)&lt;&gt;"",1,0),0)</f>
        <v/>
      </c>
      <c r="BH17">
        <f>IF(BH$4=1,IF(INDEX('×入力'!$C$1:$L$700,111+BH$3,BH$2)&lt;&gt;"",1,0),0)</f>
        <v/>
      </c>
      <c r="BI17">
        <f>IF(BI$4=1,IF(INDEX('×入力'!$C$1:$L$700,111+BI$3,BI$2)&lt;&gt;"",1,0),0)</f>
        <v/>
      </c>
      <c r="BJ17">
        <f>IF(BJ$4=1,IF(INDEX('×入力'!$C$1:$L$700,111+BJ$3,BJ$2)&lt;&gt;"",1,0),0)</f>
        <v/>
      </c>
      <c r="BK17">
        <f>IF(BK$4=1,IF(INDEX('×入力'!$C$1:$L$700,111+BK$3,BK$2)&lt;&gt;"",1,0),0)</f>
        <v/>
      </c>
      <c r="BL17">
        <f>IF(BL$4=1,IF(INDEX('×入力'!$C$1:$L$700,111+BL$3,BL$2)&lt;&gt;"",1,0),0)</f>
        <v/>
      </c>
      <c r="BM17">
        <f>IF(BM$4=1,IF(INDEX('×入力'!$C$1:$L$700,111+BM$3,BM$2)&lt;&gt;"",1,0),0)</f>
        <v/>
      </c>
      <c r="BN17">
        <f>IF(BN$4=1,IF(INDEX('×入力'!$C$1:$L$700,111+BN$3,BN$2)&lt;&gt;"",1,0),0)</f>
        <v/>
      </c>
      <c r="BO17">
        <f>IF(BO$4=1,IF(INDEX('×入力'!$C$1:$L$700,111+BO$3,BO$2)&lt;&gt;"",1,0),0)</f>
        <v/>
      </c>
      <c r="BP17">
        <f>IF(BP$4=1,IF(INDEX('×入力'!$C$1:$L$700,111+BP$3,BP$2)&lt;&gt;"",1,0),0)</f>
        <v/>
      </c>
      <c r="BQ17">
        <f>IF(BQ$4=1,IF(INDEX('×入力'!$C$1:$L$700,111+BQ$3,BQ$2)&lt;&gt;"",1,0),0)</f>
        <v/>
      </c>
      <c r="BR17">
        <f>IF(BR$4=1,IF(INDEX('×入力'!$C$1:$L$700,111+BR$3,BR$2)&lt;&gt;"",1,0),0)</f>
        <v/>
      </c>
      <c r="BS17">
        <f>IF(BS$4=1,IF(INDEX('×入力'!$C$1:$L$700,111+BS$3,BS$2)&lt;&gt;"",1,0),0)</f>
        <v/>
      </c>
      <c r="BT17">
        <f>IF(BT$4=1,IF(INDEX('×入力'!$C$1:$L$700,111+BT$3,BT$2)&lt;&gt;"",1,0),0)</f>
        <v/>
      </c>
      <c r="BU17">
        <f>IF(BU$4=1,IF(INDEX('×入力'!$C$1:$L$700,111+BU$3,BU$2)&lt;&gt;"",1,0),0)</f>
        <v/>
      </c>
      <c r="BV17">
        <f>IF(BV$4=1,IF(INDEX('×入力'!$C$1:$L$700,111+BV$3,BV$2)&lt;&gt;"",1,0),0)</f>
        <v/>
      </c>
      <c r="BW17">
        <f>IF(BW$4=1,IF(INDEX('×入力'!$C$1:$L$700,111+BW$3,BW$2)&lt;&gt;"",1,0),0)</f>
        <v/>
      </c>
      <c r="BX17">
        <f>IF(BX$4=1,IF(INDEX('×入力'!$C$1:$L$700,111+BX$3,BX$2)&lt;&gt;"",1,0),0)</f>
        <v/>
      </c>
      <c r="BY17">
        <f>IF(BY$4=1,IF(INDEX('×入力'!$C$1:$L$700,111+BY$3,BY$2)&lt;&gt;"",1,0),0)</f>
        <v/>
      </c>
      <c r="BZ17">
        <f>IF(BZ$4=1,IF(INDEX('×入力'!$C$1:$L$700,111+BZ$3,BZ$2)&lt;&gt;"",1,0),0)</f>
        <v/>
      </c>
      <c r="CA17">
        <f>IF(CA$4=1,IF(INDEX('×入力'!$C$1:$L$700,111+CA$3,CA$2)&lt;&gt;"",1,0),0)</f>
        <v/>
      </c>
      <c r="CB17">
        <f>IF(CB$4=1,IF(INDEX('×入力'!$C$1:$L$700,111+CB$3,CB$2)&lt;&gt;"",1,0),0)</f>
        <v/>
      </c>
      <c r="CC17">
        <f>IF(CC$4=1,IF(INDEX('×入力'!$C$1:$L$700,111+CC$3,CC$2)&lt;&gt;"",1,0),0)</f>
        <v/>
      </c>
      <c r="CD17">
        <f>IF(CD$4=1,IF(INDEX('×入力'!$C$1:$L$700,111+CD$3,CD$2)&lt;&gt;"",1,0),0)</f>
        <v/>
      </c>
      <c r="CE17">
        <f>IF(CE$4=1,IF(INDEX('×入力'!$C$1:$L$700,111+CE$3,CE$2)&lt;&gt;"",1,0),0)</f>
        <v/>
      </c>
      <c r="CF17">
        <f>IF(CF$4=1,IF(INDEX('×入力'!$C$1:$L$700,111+CF$3,CF$2)&lt;&gt;"",1,0),0)</f>
        <v/>
      </c>
      <c r="CG17">
        <f>IF(CG$4=1,IF(INDEX('×入力'!$C$1:$L$700,111+CG$3,CG$2)&lt;&gt;"",1,0),0)</f>
        <v/>
      </c>
      <c r="CH17">
        <f>IF(CH$4=1,IF(INDEX('×入力'!$C$1:$L$700,111+CH$3,CH$2)&lt;&gt;"",1,0),0)</f>
        <v/>
      </c>
      <c r="CI17">
        <f>IF(CI$4=1,IF(INDEX('×入力'!$C$1:$L$700,111+CI$3,CI$2)&lt;&gt;"",1,0),0)</f>
        <v/>
      </c>
      <c r="CJ17">
        <f>IF(CJ$4=1,IF(INDEX('×入力'!$C$1:$L$700,111+CJ$3,CJ$2)&lt;&gt;"",1,0),0)</f>
        <v/>
      </c>
      <c r="CK17">
        <f>IF(CK$4=1,IF(INDEX('×入力'!$C$1:$L$700,111+CK$3,CK$2)&lt;&gt;"",1,0),0)</f>
        <v/>
      </c>
      <c r="CL17">
        <f>IF(CL$4=1,IF(INDEX('×入力'!$C$1:$L$700,111+CL$3,CL$2)&lt;&gt;"",1,0),0)</f>
        <v/>
      </c>
      <c r="CM17">
        <f>IF(CM$4=1,IF(INDEX('×入力'!$C$1:$L$700,111+CM$3,CM$2)&lt;&gt;"",1,0),0)</f>
        <v/>
      </c>
      <c r="CN17">
        <f>IF(CN$4=1,IF(INDEX('×入力'!$C$1:$L$700,111+CN$3,CN$2)&lt;&gt;"",1,0),0)</f>
        <v/>
      </c>
      <c r="CO17">
        <f>IF(CO$4=1,IF(INDEX('×入力'!$C$1:$L$700,111+CO$3,CO$2)&lt;&gt;"",1,0),0)</f>
        <v/>
      </c>
      <c r="CP17">
        <f>IF(CP$4=1,IF(INDEX('×入力'!$C$1:$L$700,111+CP$3,CP$2)&lt;&gt;"",1,0),0)</f>
        <v/>
      </c>
      <c r="CQ17">
        <f>IF(CQ$4=1,IF(INDEX('×入力'!$C$1:$L$700,111+CQ$3,CQ$2)&lt;&gt;"",1,0),0)</f>
        <v/>
      </c>
      <c r="CR17">
        <f>IF(CR$4=1,IF(INDEX('×入力'!$C$1:$L$700,111+CR$3,CR$2)&lt;&gt;"",1,0),0)</f>
        <v/>
      </c>
      <c r="CS17">
        <f>IF(CS$4=1,IF(INDEX('×入力'!$C$1:$L$700,111+CS$3,CS$2)&lt;&gt;"",1,0),0)</f>
        <v/>
      </c>
      <c r="CT17">
        <f>IF(CT$4=1,IF(INDEX('×入力'!$C$1:$L$700,111+CT$3,CT$2)&lt;&gt;"",1,0),0)</f>
        <v/>
      </c>
      <c r="CU17">
        <f>IF(CU$4=1,IF(INDEX('×入力'!$C$1:$L$700,111+CU$3,CU$2)&lt;&gt;"",1,0),0)</f>
        <v/>
      </c>
      <c r="CV17">
        <f>IF(CV$4=1,IF(INDEX('×入力'!$C$1:$L$700,111+CV$3,CV$2)&lt;&gt;"",1,0),0)</f>
        <v/>
      </c>
      <c r="CW17">
        <f>IF(CW$4=1,IF(INDEX('×入力'!$C$1:$L$700,111+CW$3,CW$2)&lt;&gt;"",1,0),0)</f>
        <v/>
      </c>
      <c r="CX17">
        <f>IF(CX$4=1,IF(INDEX('×入力'!$C$1:$L$700,111+CX$3,CX$2)&lt;&gt;"",1,0),0)</f>
        <v/>
      </c>
      <c r="CY17">
        <f>IF(CY$4=1,IF(INDEX('×入力'!$C$1:$L$700,111+CY$3,CY$2)&lt;&gt;"",1,0),0)</f>
        <v/>
      </c>
      <c r="CZ17">
        <f>IF(CZ$4=1,IF(INDEX('×入力'!$C$1:$L$700,111+CZ$3,CZ$2)&lt;&gt;"",1,0),0)</f>
        <v/>
      </c>
      <c r="DA17">
        <f>IF(DA$4=1,IF(INDEX('×入力'!$C$1:$L$700,111+DA$3,DA$2)&lt;&gt;"",1,0),0)</f>
        <v/>
      </c>
      <c r="DB17">
        <f>IF(DB$4=1,IF(INDEX('×入力'!$C$1:$L$700,111+DB$3,DB$2)&lt;&gt;"",1,0),0)</f>
        <v/>
      </c>
      <c r="DC17">
        <f>IF(DC$4=1,IF(INDEX('×入力'!$C$1:$L$700,111+DC$3,DC$2)&lt;&gt;"",1,0),0)</f>
        <v/>
      </c>
      <c r="DD17">
        <f>IF(DD$4=1,IF(INDEX('×入力'!$C$1:$L$700,111+DD$3,DD$2)&lt;&gt;"",1,0),0)</f>
        <v/>
      </c>
      <c r="DE17">
        <f>IF(DE$4=1,IF(INDEX('×入力'!$C$1:$L$700,111+DE$3,DE$2)&lt;&gt;"",1,0),0)</f>
        <v/>
      </c>
      <c r="DF17">
        <f>IF(DF$4=1,IF(INDEX('×入力'!$C$1:$L$700,111+DF$3,DF$2)&lt;&gt;"",1,0),0)</f>
        <v/>
      </c>
      <c r="DG17">
        <f>IF(DG$4=1,IF(INDEX('×入力'!$C$1:$L$700,111+DG$3,DG$2)&lt;&gt;"",1,0),0)</f>
        <v/>
      </c>
      <c r="DH17">
        <f>IF(DH$4=1,IF(INDEX('×入力'!$C$1:$L$700,111+DH$3,DH$2)&lt;&gt;"",1,0),0)</f>
        <v/>
      </c>
      <c r="DI17">
        <f>IF(DI$4=1,IF(INDEX('×入力'!$C$1:$L$700,111+DI$3,DI$2)&lt;&gt;"",1,0),0)</f>
        <v/>
      </c>
      <c r="DJ17">
        <f>IF(DJ$4=1,IF(INDEX('×入力'!$C$1:$L$700,111+DJ$3,DJ$2)&lt;&gt;"",1,0),0)</f>
        <v/>
      </c>
      <c r="DK17">
        <f>IF(DK$4=1,IF(INDEX('×入力'!$C$1:$L$700,111+DK$3,DK$2)&lt;&gt;"",1,0),0)</f>
        <v/>
      </c>
      <c r="DL17">
        <f>IF(DL$4=1,IF(INDEX('×入力'!$C$1:$L$700,111+DL$3,DL$2)&lt;&gt;"",1,0),0)</f>
        <v/>
      </c>
      <c r="DM17">
        <f>IF(DM$4=1,IF(INDEX('×入力'!$C$1:$L$700,111+DM$3,DM$2)&lt;&gt;"",1,0),0)</f>
        <v/>
      </c>
      <c r="DN17">
        <f>IF(DN$4=1,IF(INDEX('×入力'!$C$1:$L$700,111+DN$3,DN$2)&lt;&gt;"",1,0),0)</f>
        <v/>
      </c>
      <c r="DO17">
        <f>IF(DO$4=1,IF(INDEX('×入力'!$C$1:$L$700,111+DO$3,DO$2)&lt;&gt;"",1,0),0)</f>
        <v/>
      </c>
      <c r="DP17">
        <f>IF(DP$4=1,IF(INDEX('×入力'!$C$1:$L$700,111+DP$3,DP$2)&lt;&gt;"",1,0),0)</f>
        <v/>
      </c>
      <c r="DQ17">
        <f>IF(DQ$4=1,IF(INDEX('×入力'!$C$1:$L$700,111+DQ$3,DQ$2)&lt;&gt;"",1,0),0)</f>
        <v/>
      </c>
      <c r="DR17">
        <f>IF(DR$4=1,IF(INDEX('×入力'!$C$1:$L$700,111+DR$3,DR$2)&lt;&gt;"",1,0),0)</f>
        <v/>
      </c>
      <c r="DS17">
        <f>IF(DS$4=1,IF(INDEX('×入力'!$C$1:$L$700,111+DS$3,DS$2)&lt;&gt;"",1,0),0)</f>
        <v/>
      </c>
      <c r="DU17">
        <f>IFERROR(INDEX('計算B'!$C$3:$C$47,MATCH(A17,'計算B'!$B$3:$B$47,0)),0)</f>
        <v/>
      </c>
      <c r="DV17">
        <f>IF(AND(C17=1,DU17=0),1,0)</f>
        <v/>
      </c>
      <c r="DW17">
        <f>SUMPRODUCT(D67:DS67*(1-$D$7:$DS$7))</f>
        <v/>
      </c>
      <c r="DX17">
        <f>SUM(D17:DS17)</f>
        <v/>
      </c>
      <c r="DY17">
        <f>IF(B17="",0,IF(COUNTIF('割り当て'!$C$6:$L$17,B17)=1,SUMPRODUCT(('割り当て'!$C$6:$L$17=B17)*((COLUMN('割り当て'!$C$6:$L$17)-3)*12+ROW('割り当て'!$C$6:$L$17)-5)),0))</f>
        <v/>
      </c>
    </row>
    <row r="18">
      <c r="A18" t="n">
        <v>9</v>
      </c>
      <c r="B18">
        <f>'名簿'!E13</f>
        <v/>
      </c>
      <c r="C18">
        <f>IF(AND(B18&lt;&gt;"",OR('名簿'!F13="入力済み",'名簿'!F13="×なし"),DY18=0,COUNTIF('割り当て'!$C$6:$L$17,B18)=0),1,0)</f>
        <v/>
      </c>
      <c r="D18">
        <f>IF(D$4=1,IF(INDEX('×入力'!$C$1:$L$700,126+D$3,D$2)&lt;&gt;"",1,0),0)</f>
        <v/>
      </c>
      <c r="E18">
        <f>IF(E$4=1,IF(INDEX('×入力'!$C$1:$L$700,126+E$3,E$2)&lt;&gt;"",1,0),0)</f>
        <v/>
      </c>
      <c r="F18">
        <f>IF(F$4=1,IF(INDEX('×入力'!$C$1:$L$700,126+F$3,F$2)&lt;&gt;"",1,0),0)</f>
        <v/>
      </c>
      <c r="G18">
        <f>IF(G$4=1,IF(INDEX('×入力'!$C$1:$L$700,126+G$3,G$2)&lt;&gt;"",1,0),0)</f>
        <v/>
      </c>
      <c r="H18">
        <f>IF(H$4=1,IF(INDEX('×入力'!$C$1:$L$700,126+H$3,H$2)&lt;&gt;"",1,0),0)</f>
        <v/>
      </c>
      <c r="I18">
        <f>IF(I$4=1,IF(INDEX('×入力'!$C$1:$L$700,126+I$3,I$2)&lt;&gt;"",1,0),0)</f>
        <v/>
      </c>
      <c r="J18">
        <f>IF(J$4=1,IF(INDEX('×入力'!$C$1:$L$700,126+J$3,J$2)&lt;&gt;"",1,0),0)</f>
        <v/>
      </c>
      <c r="K18">
        <f>IF(K$4=1,IF(INDEX('×入力'!$C$1:$L$700,126+K$3,K$2)&lt;&gt;"",1,0),0)</f>
        <v/>
      </c>
      <c r="L18">
        <f>IF(L$4=1,IF(INDEX('×入力'!$C$1:$L$700,126+L$3,L$2)&lt;&gt;"",1,0),0)</f>
        <v/>
      </c>
      <c r="M18">
        <f>IF(M$4=1,IF(INDEX('×入力'!$C$1:$L$700,126+M$3,M$2)&lt;&gt;"",1,0),0)</f>
        <v/>
      </c>
      <c r="N18">
        <f>IF(N$4=1,IF(INDEX('×入力'!$C$1:$L$700,126+N$3,N$2)&lt;&gt;"",1,0),0)</f>
        <v/>
      </c>
      <c r="O18">
        <f>IF(O$4=1,IF(INDEX('×入力'!$C$1:$L$700,126+O$3,O$2)&lt;&gt;"",1,0),0)</f>
        <v/>
      </c>
      <c r="P18">
        <f>IF(P$4=1,IF(INDEX('×入力'!$C$1:$L$700,126+P$3,P$2)&lt;&gt;"",1,0),0)</f>
        <v/>
      </c>
      <c r="Q18">
        <f>IF(Q$4=1,IF(INDEX('×入力'!$C$1:$L$700,126+Q$3,Q$2)&lt;&gt;"",1,0),0)</f>
        <v/>
      </c>
      <c r="R18">
        <f>IF(R$4=1,IF(INDEX('×入力'!$C$1:$L$700,126+R$3,R$2)&lt;&gt;"",1,0),0)</f>
        <v/>
      </c>
      <c r="S18">
        <f>IF(S$4=1,IF(INDEX('×入力'!$C$1:$L$700,126+S$3,S$2)&lt;&gt;"",1,0),0)</f>
        <v/>
      </c>
      <c r="T18">
        <f>IF(T$4=1,IF(INDEX('×入力'!$C$1:$L$700,126+T$3,T$2)&lt;&gt;"",1,0),0)</f>
        <v/>
      </c>
      <c r="U18">
        <f>IF(U$4=1,IF(INDEX('×入力'!$C$1:$L$700,126+U$3,U$2)&lt;&gt;"",1,0),0)</f>
        <v/>
      </c>
      <c r="V18">
        <f>IF(V$4=1,IF(INDEX('×入力'!$C$1:$L$700,126+V$3,V$2)&lt;&gt;"",1,0),0)</f>
        <v/>
      </c>
      <c r="W18">
        <f>IF(W$4=1,IF(INDEX('×入力'!$C$1:$L$700,126+W$3,W$2)&lt;&gt;"",1,0),0)</f>
        <v/>
      </c>
      <c r="X18">
        <f>IF(X$4=1,IF(INDEX('×入力'!$C$1:$L$700,126+X$3,X$2)&lt;&gt;"",1,0),0)</f>
        <v/>
      </c>
      <c r="Y18">
        <f>IF(Y$4=1,IF(INDEX('×入力'!$C$1:$L$700,126+Y$3,Y$2)&lt;&gt;"",1,0),0)</f>
        <v/>
      </c>
      <c r="Z18">
        <f>IF(Z$4=1,IF(INDEX('×入力'!$C$1:$L$700,126+Z$3,Z$2)&lt;&gt;"",1,0),0)</f>
        <v/>
      </c>
      <c r="AA18">
        <f>IF(AA$4=1,IF(INDEX('×入力'!$C$1:$L$700,126+AA$3,AA$2)&lt;&gt;"",1,0),0)</f>
        <v/>
      </c>
      <c r="AB18">
        <f>IF(AB$4=1,IF(INDEX('×入力'!$C$1:$L$700,126+AB$3,AB$2)&lt;&gt;"",1,0),0)</f>
        <v/>
      </c>
      <c r="AC18">
        <f>IF(AC$4=1,IF(INDEX('×入力'!$C$1:$L$700,126+AC$3,AC$2)&lt;&gt;"",1,0),0)</f>
        <v/>
      </c>
      <c r="AD18">
        <f>IF(AD$4=1,IF(INDEX('×入力'!$C$1:$L$700,126+AD$3,AD$2)&lt;&gt;"",1,0),0)</f>
        <v/>
      </c>
      <c r="AE18">
        <f>IF(AE$4=1,IF(INDEX('×入力'!$C$1:$L$700,126+AE$3,AE$2)&lt;&gt;"",1,0),0)</f>
        <v/>
      </c>
      <c r="AF18">
        <f>IF(AF$4=1,IF(INDEX('×入力'!$C$1:$L$700,126+AF$3,AF$2)&lt;&gt;"",1,0),0)</f>
        <v/>
      </c>
      <c r="AG18">
        <f>IF(AG$4=1,IF(INDEX('×入力'!$C$1:$L$700,126+AG$3,AG$2)&lt;&gt;"",1,0),0)</f>
        <v/>
      </c>
      <c r="AH18">
        <f>IF(AH$4=1,IF(INDEX('×入力'!$C$1:$L$700,126+AH$3,AH$2)&lt;&gt;"",1,0),0)</f>
        <v/>
      </c>
      <c r="AI18">
        <f>IF(AI$4=1,IF(INDEX('×入力'!$C$1:$L$700,126+AI$3,AI$2)&lt;&gt;"",1,0),0)</f>
        <v/>
      </c>
      <c r="AJ18">
        <f>IF(AJ$4=1,IF(INDEX('×入力'!$C$1:$L$700,126+AJ$3,AJ$2)&lt;&gt;"",1,0),0)</f>
        <v/>
      </c>
      <c r="AK18">
        <f>IF(AK$4=1,IF(INDEX('×入力'!$C$1:$L$700,126+AK$3,AK$2)&lt;&gt;"",1,0),0)</f>
        <v/>
      </c>
      <c r="AL18">
        <f>IF(AL$4=1,IF(INDEX('×入力'!$C$1:$L$700,126+AL$3,AL$2)&lt;&gt;"",1,0),0)</f>
        <v/>
      </c>
      <c r="AM18">
        <f>IF(AM$4=1,IF(INDEX('×入力'!$C$1:$L$700,126+AM$3,AM$2)&lt;&gt;"",1,0),0)</f>
        <v/>
      </c>
      <c r="AN18">
        <f>IF(AN$4=1,IF(INDEX('×入力'!$C$1:$L$700,126+AN$3,AN$2)&lt;&gt;"",1,0),0)</f>
        <v/>
      </c>
      <c r="AO18">
        <f>IF(AO$4=1,IF(INDEX('×入力'!$C$1:$L$700,126+AO$3,AO$2)&lt;&gt;"",1,0),0)</f>
        <v/>
      </c>
      <c r="AP18">
        <f>IF(AP$4=1,IF(INDEX('×入力'!$C$1:$L$700,126+AP$3,AP$2)&lt;&gt;"",1,0),0)</f>
        <v/>
      </c>
      <c r="AQ18">
        <f>IF(AQ$4=1,IF(INDEX('×入力'!$C$1:$L$700,126+AQ$3,AQ$2)&lt;&gt;"",1,0),0)</f>
        <v/>
      </c>
      <c r="AR18">
        <f>IF(AR$4=1,IF(INDEX('×入力'!$C$1:$L$700,126+AR$3,AR$2)&lt;&gt;"",1,0),0)</f>
        <v/>
      </c>
      <c r="AS18">
        <f>IF(AS$4=1,IF(INDEX('×入力'!$C$1:$L$700,126+AS$3,AS$2)&lt;&gt;"",1,0),0)</f>
        <v/>
      </c>
      <c r="AT18">
        <f>IF(AT$4=1,IF(INDEX('×入力'!$C$1:$L$700,126+AT$3,AT$2)&lt;&gt;"",1,0),0)</f>
        <v/>
      </c>
      <c r="AU18">
        <f>IF(AU$4=1,IF(INDEX('×入力'!$C$1:$L$700,126+AU$3,AU$2)&lt;&gt;"",1,0),0)</f>
        <v/>
      </c>
      <c r="AV18">
        <f>IF(AV$4=1,IF(INDEX('×入力'!$C$1:$L$700,126+AV$3,AV$2)&lt;&gt;"",1,0),0)</f>
        <v/>
      </c>
      <c r="AW18">
        <f>IF(AW$4=1,IF(INDEX('×入力'!$C$1:$L$700,126+AW$3,AW$2)&lt;&gt;"",1,0),0)</f>
        <v/>
      </c>
      <c r="AX18">
        <f>IF(AX$4=1,IF(INDEX('×入力'!$C$1:$L$700,126+AX$3,AX$2)&lt;&gt;"",1,0),0)</f>
        <v/>
      </c>
      <c r="AY18">
        <f>IF(AY$4=1,IF(INDEX('×入力'!$C$1:$L$700,126+AY$3,AY$2)&lt;&gt;"",1,0),0)</f>
        <v/>
      </c>
      <c r="AZ18">
        <f>IF(AZ$4=1,IF(INDEX('×入力'!$C$1:$L$700,126+AZ$3,AZ$2)&lt;&gt;"",1,0),0)</f>
        <v/>
      </c>
      <c r="BA18">
        <f>IF(BA$4=1,IF(INDEX('×入力'!$C$1:$L$700,126+BA$3,BA$2)&lt;&gt;"",1,0),0)</f>
        <v/>
      </c>
      <c r="BB18">
        <f>IF(BB$4=1,IF(INDEX('×入力'!$C$1:$L$700,126+BB$3,BB$2)&lt;&gt;"",1,0),0)</f>
        <v/>
      </c>
      <c r="BC18">
        <f>IF(BC$4=1,IF(INDEX('×入力'!$C$1:$L$700,126+BC$3,BC$2)&lt;&gt;"",1,0),0)</f>
        <v/>
      </c>
      <c r="BD18">
        <f>IF(BD$4=1,IF(INDEX('×入力'!$C$1:$L$700,126+BD$3,BD$2)&lt;&gt;"",1,0),0)</f>
        <v/>
      </c>
      <c r="BE18">
        <f>IF(BE$4=1,IF(INDEX('×入力'!$C$1:$L$700,126+BE$3,BE$2)&lt;&gt;"",1,0),0)</f>
        <v/>
      </c>
      <c r="BF18">
        <f>IF(BF$4=1,IF(INDEX('×入力'!$C$1:$L$700,126+BF$3,BF$2)&lt;&gt;"",1,0),0)</f>
        <v/>
      </c>
      <c r="BG18">
        <f>IF(BG$4=1,IF(INDEX('×入力'!$C$1:$L$700,126+BG$3,BG$2)&lt;&gt;"",1,0),0)</f>
        <v/>
      </c>
      <c r="BH18">
        <f>IF(BH$4=1,IF(INDEX('×入力'!$C$1:$L$700,126+BH$3,BH$2)&lt;&gt;"",1,0),0)</f>
        <v/>
      </c>
      <c r="BI18">
        <f>IF(BI$4=1,IF(INDEX('×入力'!$C$1:$L$700,126+BI$3,BI$2)&lt;&gt;"",1,0),0)</f>
        <v/>
      </c>
      <c r="BJ18">
        <f>IF(BJ$4=1,IF(INDEX('×入力'!$C$1:$L$700,126+BJ$3,BJ$2)&lt;&gt;"",1,0),0)</f>
        <v/>
      </c>
      <c r="BK18">
        <f>IF(BK$4=1,IF(INDEX('×入力'!$C$1:$L$700,126+BK$3,BK$2)&lt;&gt;"",1,0),0)</f>
        <v/>
      </c>
      <c r="BL18">
        <f>IF(BL$4=1,IF(INDEX('×入力'!$C$1:$L$700,126+BL$3,BL$2)&lt;&gt;"",1,0),0)</f>
        <v/>
      </c>
      <c r="BM18">
        <f>IF(BM$4=1,IF(INDEX('×入力'!$C$1:$L$700,126+BM$3,BM$2)&lt;&gt;"",1,0),0)</f>
        <v/>
      </c>
      <c r="BN18">
        <f>IF(BN$4=1,IF(INDEX('×入力'!$C$1:$L$700,126+BN$3,BN$2)&lt;&gt;"",1,0),0)</f>
        <v/>
      </c>
      <c r="BO18">
        <f>IF(BO$4=1,IF(INDEX('×入力'!$C$1:$L$700,126+BO$3,BO$2)&lt;&gt;"",1,0),0)</f>
        <v/>
      </c>
      <c r="BP18">
        <f>IF(BP$4=1,IF(INDEX('×入力'!$C$1:$L$700,126+BP$3,BP$2)&lt;&gt;"",1,0),0)</f>
        <v/>
      </c>
      <c r="BQ18">
        <f>IF(BQ$4=1,IF(INDEX('×入力'!$C$1:$L$700,126+BQ$3,BQ$2)&lt;&gt;"",1,0),0)</f>
        <v/>
      </c>
      <c r="BR18">
        <f>IF(BR$4=1,IF(INDEX('×入力'!$C$1:$L$700,126+BR$3,BR$2)&lt;&gt;"",1,0),0)</f>
        <v/>
      </c>
      <c r="BS18">
        <f>IF(BS$4=1,IF(INDEX('×入力'!$C$1:$L$700,126+BS$3,BS$2)&lt;&gt;"",1,0),0)</f>
        <v/>
      </c>
      <c r="BT18">
        <f>IF(BT$4=1,IF(INDEX('×入力'!$C$1:$L$700,126+BT$3,BT$2)&lt;&gt;"",1,0),0)</f>
        <v/>
      </c>
      <c r="BU18">
        <f>IF(BU$4=1,IF(INDEX('×入力'!$C$1:$L$700,126+BU$3,BU$2)&lt;&gt;"",1,0),0)</f>
        <v/>
      </c>
      <c r="BV18">
        <f>IF(BV$4=1,IF(INDEX('×入力'!$C$1:$L$700,126+BV$3,BV$2)&lt;&gt;"",1,0),0)</f>
        <v/>
      </c>
      <c r="BW18">
        <f>IF(BW$4=1,IF(INDEX('×入力'!$C$1:$L$700,126+BW$3,BW$2)&lt;&gt;"",1,0),0)</f>
        <v/>
      </c>
      <c r="BX18">
        <f>IF(BX$4=1,IF(INDEX('×入力'!$C$1:$L$700,126+BX$3,BX$2)&lt;&gt;"",1,0),0)</f>
        <v/>
      </c>
      <c r="BY18">
        <f>IF(BY$4=1,IF(INDEX('×入力'!$C$1:$L$700,126+BY$3,BY$2)&lt;&gt;"",1,0),0)</f>
        <v/>
      </c>
      <c r="BZ18">
        <f>IF(BZ$4=1,IF(INDEX('×入力'!$C$1:$L$700,126+BZ$3,BZ$2)&lt;&gt;"",1,0),0)</f>
        <v/>
      </c>
      <c r="CA18">
        <f>IF(CA$4=1,IF(INDEX('×入力'!$C$1:$L$700,126+CA$3,CA$2)&lt;&gt;"",1,0),0)</f>
        <v/>
      </c>
      <c r="CB18">
        <f>IF(CB$4=1,IF(INDEX('×入力'!$C$1:$L$700,126+CB$3,CB$2)&lt;&gt;"",1,0),0)</f>
        <v/>
      </c>
      <c r="CC18">
        <f>IF(CC$4=1,IF(INDEX('×入力'!$C$1:$L$700,126+CC$3,CC$2)&lt;&gt;"",1,0),0)</f>
        <v/>
      </c>
      <c r="CD18">
        <f>IF(CD$4=1,IF(INDEX('×入力'!$C$1:$L$700,126+CD$3,CD$2)&lt;&gt;"",1,0),0)</f>
        <v/>
      </c>
      <c r="CE18">
        <f>IF(CE$4=1,IF(INDEX('×入力'!$C$1:$L$700,126+CE$3,CE$2)&lt;&gt;"",1,0),0)</f>
        <v/>
      </c>
      <c r="CF18">
        <f>IF(CF$4=1,IF(INDEX('×入力'!$C$1:$L$700,126+CF$3,CF$2)&lt;&gt;"",1,0),0)</f>
        <v/>
      </c>
      <c r="CG18">
        <f>IF(CG$4=1,IF(INDEX('×入力'!$C$1:$L$700,126+CG$3,CG$2)&lt;&gt;"",1,0),0)</f>
        <v/>
      </c>
      <c r="CH18">
        <f>IF(CH$4=1,IF(INDEX('×入力'!$C$1:$L$700,126+CH$3,CH$2)&lt;&gt;"",1,0),0)</f>
        <v/>
      </c>
      <c r="CI18">
        <f>IF(CI$4=1,IF(INDEX('×入力'!$C$1:$L$700,126+CI$3,CI$2)&lt;&gt;"",1,0),0)</f>
        <v/>
      </c>
      <c r="CJ18">
        <f>IF(CJ$4=1,IF(INDEX('×入力'!$C$1:$L$700,126+CJ$3,CJ$2)&lt;&gt;"",1,0),0)</f>
        <v/>
      </c>
      <c r="CK18">
        <f>IF(CK$4=1,IF(INDEX('×入力'!$C$1:$L$700,126+CK$3,CK$2)&lt;&gt;"",1,0),0)</f>
        <v/>
      </c>
      <c r="CL18">
        <f>IF(CL$4=1,IF(INDEX('×入力'!$C$1:$L$700,126+CL$3,CL$2)&lt;&gt;"",1,0),0)</f>
        <v/>
      </c>
      <c r="CM18">
        <f>IF(CM$4=1,IF(INDEX('×入力'!$C$1:$L$700,126+CM$3,CM$2)&lt;&gt;"",1,0),0)</f>
        <v/>
      </c>
      <c r="CN18">
        <f>IF(CN$4=1,IF(INDEX('×入力'!$C$1:$L$700,126+CN$3,CN$2)&lt;&gt;"",1,0),0)</f>
        <v/>
      </c>
      <c r="CO18">
        <f>IF(CO$4=1,IF(INDEX('×入力'!$C$1:$L$700,126+CO$3,CO$2)&lt;&gt;"",1,0),0)</f>
        <v/>
      </c>
      <c r="CP18">
        <f>IF(CP$4=1,IF(INDEX('×入力'!$C$1:$L$700,126+CP$3,CP$2)&lt;&gt;"",1,0),0)</f>
        <v/>
      </c>
      <c r="CQ18">
        <f>IF(CQ$4=1,IF(INDEX('×入力'!$C$1:$L$700,126+CQ$3,CQ$2)&lt;&gt;"",1,0),0)</f>
        <v/>
      </c>
      <c r="CR18">
        <f>IF(CR$4=1,IF(INDEX('×入力'!$C$1:$L$700,126+CR$3,CR$2)&lt;&gt;"",1,0),0)</f>
        <v/>
      </c>
      <c r="CS18">
        <f>IF(CS$4=1,IF(INDEX('×入力'!$C$1:$L$700,126+CS$3,CS$2)&lt;&gt;"",1,0),0)</f>
        <v/>
      </c>
      <c r="CT18">
        <f>IF(CT$4=1,IF(INDEX('×入力'!$C$1:$L$700,126+CT$3,CT$2)&lt;&gt;"",1,0),0)</f>
        <v/>
      </c>
      <c r="CU18">
        <f>IF(CU$4=1,IF(INDEX('×入力'!$C$1:$L$700,126+CU$3,CU$2)&lt;&gt;"",1,0),0)</f>
        <v/>
      </c>
      <c r="CV18">
        <f>IF(CV$4=1,IF(INDEX('×入力'!$C$1:$L$700,126+CV$3,CV$2)&lt;&gt;"",1,0),0)</f>
        <v/>
      </c>
      <c r="CW18">
        <f>IF(CW$4=1,IF(INDEX('×入力'!$C$1:$L$700,126+CW$3,CW$2)&lt;&gt;"",1,0),0)</f>
        <v/>
      </c>
      <c r="CX18">
        <f>IF(CX$4=1,IF(INDEX('×入力'!$C$1:$L$700,126+CX$3,CX$2)&lt;&gt;"",1,0),0)</f>
        <v/>
      </c>
      <c r="CY18">
        <f>IF(CY$4=1,IF(INDEX('×入力'!$C$1:$L$700,126+CY$3,CY$2)&lt;&gt;"",1,0),0)</f>
        <v/>
      </c>
      <c r="CZ18">
        <f>IF(CZ$4=1,IF(INDEX('×入力'!$C$1:$L$700,126+CZ$3,CZ$2)&lt;&gt;"",1,0),0)</f>
        <v/>
      </c>
      <c r="DA18">
        <f>IF(DA$4=1,IF(INDEX('×入力'!$C$1:$L$700,126+DA$3,DA$2)&lt;&gt;"",1,0),0)</f>
        <v/>
      </c>
      <c r="DB18">
        <f>IF(DB$4=1,IF(INDEX('×入力'!$C$1:$L$700,126+DB$3,DB$2)&lt;&gt;"",1,0),0)</f>
        <v/>
      </c>
      <c r="DC18">
        <f>IF(DC$4=1,IF(INDEX('×入力'!$C$1:$L$700,126+DC$3,DC$2)&lt;&gt;"",1,0),0)</f>
        <v/>
      </c>
      <c r="DD18">
        <f>IF(DD$4=1,IF(INDEX('×入力'!$C$1:$L$700,126+DD$3,DD$2)&lt;&gt;"",1,0),0)</f>
        <v/>
      </c>
      <c r="DE18">
        <f>IF(DE$4=1,IF(INDEX('×入力'!$C$1:$L$700,126+DE$3,DE$2)&lt;&gt;"",1,0),0)</f>
        <v/>
      </c>
      <c r="DF18">
        <f>IF(DF$4=1,IF(INDEX('×入力'!$C$1:$L$700,126+DF$3,DF$2)&lt;&gt;"",1,0),0)</f>
        <v/>
      </c>
      <c r="DG18">
        <f>IF(DG$4=1,IF(INDEX('×入力'!$C$1:$L$700,126+DG$3,DG$2)&lt;&gt;"",1,0),0)</f>
        <v/>
      </c>
      <c r="DH18">
        <f>IF(DH$4=1,IF(INDEX('×入力'!$C$1:$L$700,126+DH$3,DH$2)&lt;&gt;"",1,0),0)</f>
        <v/>
      </c>
      <c r="DI18">
        <f>IF(DI$4=1,IF(INDEX('×入力'!$C$1:$L$700,126+DI$3,DI$2)&lt;&gt;"",1,0),0)</f>
        <v/>
      </c>
      <c r="DJ18">
        <f>IF(DJ$4=1,IF(INDEX('×入力'!$C$1:$L$700,126+DJ$3,DJ$2)&lt;&gt;"",1,0),0)</f>
        <v/>
      </c>
      <c r="DK18">
        <f>IF(DK$4=1,IF(INDEX('×入力'!$C$1:$L$700,126+DK$3,DK$2)&lt;&gt;"",1,0),0)</f>
        <v/>
      </c>
      <c r="DL18">
        <f>IF(DL$4=1,IF(INDEX('×入力'!$C$1:$L$700,126+DL$3,DL$2)&lt;&gt;"",1,0),0)</f>
        <v/>
      </c>
      <c r="DM18">
        <f>IF(DM$4=1,IF(INDEX('×入力'!$C$1:$L$700,126+DM$3,DM$2)&lt;&gt;"",1,0),0)</f>
        <v/>
      </c>
      <c r="DN18">
        <f>IF(DN$4=1,IF(INDEX('×入力'!$C$1:$L$700,126+DN$3,DN$2)&lt;&gt;"",1,0),0)</f>
        <v/>
      </c>
      <c r="DO18">
        <f>IF(DO$4=1,IF(INDEX('×入力'!$C$1:$L$700,126+DO$3,DO$2)&lt;&gt;"",1,0),0)</f>
        <v/>
      </c>
      <c r="DP18">
        <f>IF(DP$4=1,IF(INDEX('×入力'!$C$1:$L$700,126+DP$3,DP$2)&lt;&gt;"",1,0),0)</f>
        <v/>
      </c>
      <c r="DQ18">
        <f>IF(DQ$4=1,IF(INDEX('×入力'!$C$1:$L$700,126+DQ$3,DQ$2)&lt;&gt;"",1,0),0)</f>
        <v/>
      </c>
      <c r="DR18">
        <f>IF(DR$4=1,IF(INDEX('×入力'!$C$1:$L$700,126+DR$3,DR$2)&lt;&gt;"",1,0),0)</f>
        <v/>
      </c>
      <c r="DS18">
        <f>IF(DS$4=1,IF(INDEX('×入力'!$C$1:$L$700,126+DS$3,DS$2)&lt;&gt;"",1,0),0)</f>
        <v/>
      </c>
      <c r="DU18">
        <f>IFERROR(INDEX('計算B'!$C$3:$C$47,MATCH(A18,'計算B'!$B$3:$B$47,0)),0)</f>
        <v/>
      </c>
      <c r="DV18">
        <f>IF(AND(C18=1,DU18=0),1,0)</f>
        <v/>
      </c>
      <c r="DW18">
        <f>SUMPRODUCT(D68:DS68*(1-$D$7:$DS$7))</f>
        <v/>
      </c>
      <c r="DX18">
        <f>SUM(D18:DS18)</f>
        <v/>
      </c>
      <c r="DY18">
        <f>IF(B18="",0,IF(COUNTIF('割り当て'!$C$6:$L$17,B18)=1,SUMPRODUCT(('割り当て'!$C$6:$L$17=B18)*((COLUMN('割り当て'!$C$6:$L$17)-3)*12+ROW('割り当て'!$C$6:$L$17)-5)),0))</f>
        <v/>
      </c>
    </row>
    <row r="19">
      <c r="A19" t="n">
        <v>10</v>
      </c>
      <c r="B19">
        <f>'名簿'!E14</f>
        <v/>
      </c>
      <c r="C19">
        <f>IF(AND(B19&lt;&gt;"",OR('名簿'!F14="入力済み",'名簿'!F14="×なし"),DY19=0,COUNTIF('割り当て'!$C$6:$L$17,B19)=0),1,0)</f>
        <v/>
      </c>
      <c r="D19">
        <f>IF(D$4=1,IF(INDEX('×入力'!$C$1:$L$700,141+D$3,D$2)&lt;&gt;"",1,0),0)</f>
        <v/>
      </c>
      <c r="E19">
        <f>IF(E$4=1,IF(INDEX('×入力'!$C$1:$L$700,141+E$3,E$2)&lt;&gt;"",1,0),0)</f>
        <v/>
      </c>
      <c r="F19">
        <f>IF(F$4=1,IF(INDEX('×入力'!$C$1:$L$700,141+F$3,F$2)&lt;&gt;"",1,0),0)</f>
        <v/>
      </c>
      <c r="G19">
        <f>IF(G$4=1,IF(INDEX('×入力'!$C$1:$L$700,141+G$3,G$2)&lt;&gt;"",1,0),0)</f>
        <v/>
      </c>
      <c r="H19">
        <f>IF(H$4=1,IF(INDEX('×入力'!$C$1:$L$700,141+H$3,H$2)&lt;&gt;"",1,0),0)</f>
        <v/>
      </c>
      <c r="I19">
        <f>IF(I$4=1,IF(INDEX('×入力'!$C$1:$L$700,141+I$3,I$2)&lt;&gt;"",1,0),0)</f>
        <v/>
      </c>
      <c r="J19">
        <f>IF(J$4=1,IF(INDEX('×入力'!$C$1:$L$700,141+J$3,J$2)&lt;&gt;"",1,0),0)</f>
        <v/>
      </c>
      <c r="K19">
        <f>IF(K$4=1,IF(INDEX('×入力'!$C$1:$L$700,141+K$3,K$2)&lt;&gt;"",1,0),0)</f>
        <v/>
      </c>
      <c r="L19">
        <f>IF(L$4=1,IF(INDEX('×入力'!$C$1:$L$700,141+L$3,L$2)&lt;&gt;"",1,0),0)</f>
        <v/>
      </c>
      <c r="M19">
        <f>IF(M$4=1,IF(INDEX('×入力'!$C$1:$L$700,141+M$3,M$2)&lt;&gt;"",1,0),0)</f>
        <v/>
      </c>
      <c r="N19">
        <f>IF(N$4=1,IF(INDEX('×入力'!$C$1:$L$700,141+N$3,N$2)&lt;&gt;"",1,0),0)</f>
        <v/>
      </c>
      <c r="O19">
        <f>IF(O$4=1,IF(INDEX('×入力'!$C$1:$L$700,141+O$3,O$2)&lt;&gt;"",1,0),0)</f>
        <v/>
      </c>
      <c r="P19">
        <f>IF(P$4=1,IF(INDEX('×入力'!$C$1:$L$700,141+P$3,P$2)&lt;&gt;"",1,0),0)</f>
        <v/>
      </c>
      <c r="Q19">
        <f>IF(Q$4=1,IF(INDEX('×入力'!$C$1:$L$700,141+Q$3,Q$2)&lt;&gt;"",1,0),0)</f>
        <v/>
      </c>
      <c r="R19">
        <f>IF(R$4=1,IF(INDEX('×入力'!$C$1:$L$700,141+R$3,R$2)&lt;&gt;"",1,0),0)</f>
        <v/>
      </c>
      <c r="S19">
        <f>IF(S$4=1,IF(INDEX('×入力'!$C$1:$L$700,141+S$3,S$2)&lt;&gt;"",1,0),0)</f>
        <v/>
      </c>
      <c r="T19">
        <f>IF(T$4=1,IF(INDEX('×入力'!$C$1:$L$700,141+T$3,T$2)&lt;&gt;"",1,0),0)</f>
        <v/>
      </c>
      <c r="U19">
        <f>IF(U$4=1,IF(INDEX('×入力'!$C$1:$L$700,141+U$3,U$2)&lt;&gt;"",1,0),0)</f>
        <v/>
      </c>
      <c r="V19">
        <f>IF(V$4=1,IF(INDEX('×入力'!$C$1:$L$700,141+V$3,V$2)&lt;&gt;"",1,0),0)</f>
        <v/>
      </c>
      <c r="W19">
        <f>IF(W$4=1,IF(INDEX('×入力'!$C$1:$L$700,141+W$3,W$2)&lt;&gt;"",1,0),0)</f>
        <v/>
      </c>
      <c r="X19">
        <f>IF(X$4=1,IF(INDEX('×入力'!$C$1:$L$700,141+X$3,X$2)&lt;&gt;"",1,0),0)</f>
        <v/>
      </c>
      <c r="Y19">
        <f>IF(Y$4=1,IF(INDEX('×入力'!$C$1:$L$700,141+Y$3,Y$2)&lt;&gt;"",1,0),0)</f>
        <v/>
      </c>
      <c r="Z19">
        <f>IF(Z$4=1,IF(INDEX('×入力'!$C$1:$L$700,141+Z$3,Z$2)&lt;&gt;"",1,0),0)</f>
        <v/>
      </c>
      <c r="AA19">
        <f>IF(AA$4=1,IF(INDEX('×入力'!$C$1:$L$700,141+AA$3,AA$2)&lt;&gt;"",1,0),0)</f>
        <v/>
      </c>
      <c r="AB19">
        <f>IF(AB$4=1,IF(INDEX('×入力'!$C$1:$L$700,141+AB$3,AB$2)&lt;&gt;"",1,0),0)</f>
        <v/>
      </c>
      <c r="AC19">
        <f>IF(AC$4=1,IF(INDEX('×入力'!$C$1:$L$700,141+AC$3,AC$2)&lt;&gt;"",1,0),0)</f>
        <v/>
      </c>
      <c r="AD19">
        <f>IF(AD$4=1,IF(INDEX('×入力'!$C$1:$L$700,141+AD$3,AD$2)&lt;&gt;"",1,0),0)</f>
        <v/>
      </c>
      <c r="AE19">
        <f>IF(AE$4=1,IF(INDEX('×入力'!$C$1:$L$700,141+AE$3,AE$2)&lt;&gt;"",1,0),0)</f>
        <v/>
      </c>
      <c r="AF19">
        <f>IF(AF$4=1,IF(INDEX('×入力'!$C$1:$L$700,141+AF$3,AF$2)&lt;&gt;"",1,0),0)</f>
        <v/>
      </c>
      <c r="AG19">
        <f>IF(AG$4=1,IF(INDEX('×入力'!$C$1:$L$700,141+AG$3,AG$2)&lt;&gt;"",1,0),0)</f>
        <v/>
      </c>
      <c r="AH19">
        <f>IF(AH$4=1,IF(INDEX('×入力'!$C$1:$L$700,141+AH$3,AH$2)&lt;&gt;"",1,0),0)</f>
        <v/>
      </c>
      <c r="AI19">
        <f>IF(AI$4=1,IF(INDEX('×入力'!$C$1:$L$700,141+AI$3,AI$2)&lt;&gt;"",1,0),0)</f>
        <v/>
      </c>
      <c r="AJ19">
        <f>IF(AJ$4=1,IF(INDEX('×入力'!$C$1:$L$700,141+AJ$3,AJ$2)&lt;&gt;"",1,0),0)</f>
        <v/>
      </c>
      <c r="AK19">
        <f>IF(AK$4=1,IF(INDEX('×入力'!$C$1:$L$700,141+AK$3,AK$2)&lt;&gt;"",1,0),0)</f>
        <v/>
      </c>
      <c r="AL19">
        <f>IF(AL$4=1,IF(INDEX('×入力'!$C$1:$L$700,141+AL$3,AL$2)&lt;&gt;"",1,0),0)</f>
        <v/>
      </c>
      <c r="AM19">
        <f>IF(AM$4=1,IF(INDEX('×入力'!$C$1:$L$700,141+AM$3,AM$2)&lt;&gt;"",1,0),0)</f>
        <v/>
      </c>
      <c r="AN19">
        <f>IF(AN$4=1,IF(INDEX('×入力'!$C$1:$L$700,141+AN$3,AN$2)&lt;&gt;"",1,0),0)</f>
        <v/>
      </c>
      <c r="AO19">
        <f>IF(AO$4=1,IF(INDEX('×入力'!$C$1:$L$700,141+AO$3,AO$2)&lt;&gt;"",1,0),0)</f>
        <v/>
      </c>
      <c r="AP19">
        <f>IF(AP$4=1,IF(INDEX('×入力'!$C$1:$L$700,141+AP$3,AP$2)&lt;&gt;"",1,0),0)</f>
        <v/>
      </c>
      <c r="AQ19">
        <f>IF(AQ$4=1,IF(INDEX('×入力'!$C$1:$L$700,141+AQ$3,AQ$2)&lt;&gt;"",1,0),0)</f>
        <v/>
      </c>
      <c r="AR19">
        <f>IF(AR$4=1,IF(INDEX('×入力'!$C$1:$L$700,141+AR$3,AR$2)&lt;&gt;"",1,0),0)</f>
        <v/>
      </c>
      <c r="AS19">
        <f>IF(AS$4=1,IF(INDEX('×入力'!$C$1:$L$700,141+AS$3,AS$2)&lt;&gt;"",1,0),0)</f>
        <v/>
      </c>
      <c r="AT19">
        <f>IF(AT$4=1,IF(INDEX('×入力'!$C$1:$L$700,141+AT$3,AT$2)&lt;&gt;"",1,0),0)</f>
        <v/>
      </c>
      <c r="AU19">
        <f>IF(AU$4=1,IF(INDEX('×入力'!$C$1:$L$700,141+AU$3,AU$2)&lt;&gt;"",1,0),0)</f>
        <v/>
      </c>
      <c r="AV19">
        <f>IF(AV$4=1,IF(INDEX('×入力'!$C$1:$L$700,141+AV$3,AV$2)&lt;&gt;"",1,0),0)</f>
        <v/>
      </c>
      <c r="AW19">
        <f>IF(AW$4=1,IF(INDEX('×入力'!$C$1:$L$700,141+AW$3,AW$2)&lt;&gt;"",1,0),0)</f>
        <v/>
      </c>
      <c r="AX19">
        <f>IF(AX$4=1,IF(INDEX('×入力'!$C$1:$L$700,141+AX$3,AX$2)&lt;&gt;"",1,0),0)</f>
        <v/>
      </c>
      <c r="AY19">
        <f>IF(AY$4=1,IF(INDEX('×入力'!$C$1:$L$700,141+AY$3,AY$2)&lt;&gt;"",1,0),0)</f>
        <v/>
      </c>
      <c r="AZ19">
        <f>IF(AZ$4=1,IF(INDEX('×入力'!$C$1:$L$700,141+AZ$3,AZ$2)&lt;&gt;"",1,0),0)</f>
        <v/>
      </c>
      <c r="BA19">
        <f>IF(BA$4=1,IF(INDEX('×入力'!$C$1:$L$700,141+BA$3,BA$2)&lt;&gt;"",1,0),0)</f>
        <v/>
      </c>
      <c r="BB19">
        <f>IF(BB$4=1,IF(INDEX('×入力'!$C$1:$L$700,141+BB$3,BB$2)&lt;&gt;"",1,0),0)</f>
        <v/>
      </c>
      <c r="BC19">
        <f>IF(BC$4=1,IF(INDEX('×入力'!$C$1:$L$700,141+BC$3,BC$2)&lt;&gt;"",1,0),0)</f>
        <v/>
      </c>
      <c r="BD19">
        <f>IF(BD$4=1,IF(INDEX('×入力'!$C$1:$L$700,141+BD$3,BD$2)&lt;&gt;"",1,0),0)</f>
        <v/>
      </c>
      <c r="BE19">
        <f>IF(BE$4=1,IF(INDEX('×入力'!$C$1:$L$700,141+BE$3,BE$2)&lt;&gt;"",1,0),0)</f>
        <v/>
      </c>
      <c r="BF19">
        <f>IF(BF$4=1,IF(INDEX('×入力'!$C$1:$L$700,141+BF$3,BF$2)&lt;&gt;"",1,0),0)</f>
        <v/>
      </c>
      <c r="BG19">
        <f>IF(BG$4=1,IF(INDEX('×入力'!$C$1:$L$700,141+BG$3,BG$2)&lt;&gt;"",1,0),0)</f>
        <v/>
      </c>
      <c r="BH19">
        <f>IF(BH$4=1,IF(INDEX('×入力'!$C$1:$L$700,141+BH$3,BH$2)&lt;&gt;"",1,0),0)</f>
        <v/>
      </c>
      <c r="BI19">
        <f>IF(BI$4=1,IF(INDEX('×入力'!$C$1:$L$700,141+BI$3,BI$2)&lt;&gt;"",1,0),0)</f>
        <v/>
      </c>
      <c r="BJ19">
        <f>IF(BJ$4=1,IF(INDEX('×入力'!$C$1:$L$700,141+BJ$3,BJ$2)&lt;&gt;"",1,0),0)</f>
        <v/>
      </c>
      <c r="BK19">
        <f>IF(BK$4=1,IF(INDEX('×入力'!$C$1:$L$700,141+BK$3,BK$2)&lt;&gt;"",1,0),0)</f>
        <v/>
      </c>
      <c r="BL19">
        <f>IF(BL$4=1,IF(INDEX('×入力'!$C$1:$L$700,141+BL$3,BL$2)&lt;&gt;"",1,0),0)</f>
        <v/>
      </c>
      <c r="BM19">
        <f>IF(BM$4=1,IF(INDEX('×入力'!$C$1:$L$700,141+BM$3,BM$2)&lt;&gt;"",1,0),0)</f>
        <v/>
      </c>
      <c r="BN19">
        <f>IF(BN$4=1,IF(INDEX('×入力'!$C$1:$L$700,141+BN$3,BN$2)&lt;&gt;"",1,0),0)</f>
        <v/>
      </c>
      <c r="BO19">
        <f>IF(BO$4=1,IF(INDEX('×入力'!$C$1:$L$700,141+BO$3,BO$2)&lt;&gt;"",1,0),0)</f>
        <v/>
      </c>
      <c r="BP19">
        <f>IF(BP$4=1,IF(INDEX('×入力'!$C$1:$L$700,141+BP$3,BP$2)&lt;&gt;"",1,0),0)</f>
        <v/>
      </c>
      <c r="BQ19">
        <f>IF(BQ$4=1,IF(INDEX('×入力'!$C$1:$L$700,141+BQ$3,BQ$2)&lt;&gt;"",1,0),0)</f>
        <v/>
      </c>
      <c r="BR19">
        <f>IF(BR$4=1,IF(INDEX('×入力'!$C$1:$L$700,141+BR$3,BR$2)&lt;&gt;"",1,0),0)</f>
        <v/>
      </c>
      <c r="BS19">
        <f>IF(BS$4=1,IF(INDEX('×入力'!$C$1:$L$700,141+BS$3,BS$2)&lt;&gt;"",1,0),0)</f>
        <v/>
      </c>
      <c r="BT19">
        <f>IF(BT$4=1,IF(INDEX('×入力'!$C$1:$L$700,141+BT$3,BT$2)&lt;&gt;"",1,0),0)</f>
        <v/>
      </c>
      <c r="BU19">
        <f>IF(BU$4=1,IF(INDEX('×入力'!$C$1:$L$700,141+BU$3,BU$2)&lt;&gt;"",1,0),0)</f>
        <v/>
      </c>
      <c r="BV19">
        <f>IF(BV$4=1,IF(INDEX('×入力'!$C$1:$L$700,141+BV$3,BV$2)&lt;&gt;"",1,0),0)</f>
        <v/>
      </c>
      <c r="BW19">
        <f>IF(BW$4=1,IF(INDEX('×入力'!$C$1:$L$700,141+BW$3,BW$2)&lt;&gt;"",1,0),0)</f>
        <v/>
      </c>
      <c r="BX19">
        <f>IF(BX$4=1,IF(INDEX('×入力'!$C$1:$L$700,141+BX$3,BX$2)&lt;&gt;"",1,0),0)</f>
        <v/>
      </c>
      <c r="BY19">
        <f>IF(BY$4=1,IF(INDEX('×入力'!$C$1:$L$700,141+BY$3,BY$2)&lt;&gt;"",1,0),0)</f>
        <v/>
      </c>
      <c r="BZ19">
        <f>IF(BZ$4=1,IF(INDEX('×入力'!$C$1:$L$700,141+BZ$3,BZ$2)&lt;&gt;"",1,0),0)</f>
        <v/>
      </c>
      <c r="CA19">
        <f>IF(CA$4=1,IF(INDEX('×入力'!$C$1:$L$700,141+CA$3,CA$2)&lt;&gt;"",1,0),0)</f>
        <v/>
      </c>
      <c r="CB19">
        <f>IF(CB$4=1,IF(INDEX('×入力'!$C$1:$L$700,141+CB$3,CB$2)&lt;&gt;"",1,0),0)</f>
        <v/>
      </c>
      <c r="CC19">
        <f>IF(CC$4=1,IF(INDEX('×入力'!$C$1:$L$700,141+CC$3,CC$2)&lt;&gt;"",1,0),0)</f>
        <v/>
      </c>
      <c r="CD19">
        <f>IF(CD$4=1,IF(INDEX('×入力'!$C$1:$L$700,141+CD$3,CD$2)&lt;&gt;"",1,0),0)</f>
        <v/>
      </c>
      <c r="CE19">
        <f>IF(CE$4=1,IF(INDEX('×入力'!$C$1:$L$700,141+CE$3,CE$2)&lt;&gt;"",1,0),0)</f>
        <v/>
      </c>
      <c r="CF19">
        <f>IF(CF$4=1,IF(INDEX('×入力'!$C$1:$L$700,141+CF$3,CF$2)&lt;&gt;"",1,0),0)</f>
        <v/>
      </c>
      <c r="CG19">
        <f>IF(CG$4=1,IF(INDEX('×入力'!$C$1:$L$700,141+CG$3,CG$2)&lt;&gt;"",1,0),0)</f>
        <v/>
      </c>
      <c r="CH19">
        <f>IF(CH$4=1,IF(INDEX('×入力'!$C$1:$L$700,141+CH$3,CH$2)&lt;&gt;"",1,0),0)</f>
        <v/>
      </c>
      <c r="CI19">
        <f>IF(CI$4=1,IF(INDEX('×入力'!$C$1:$L$700,141+CI$3,CI$2)&lt;&gt;"",1,0),0)</f>
        <v/>
      </c>
      <c r="CJ19">
        <f>IF(CJ$4=1,IF(INDEX('×入力'!$C$1:$L$700,141+CJ$3,CJ$2)&lt;&gt;"",1,0),0)</f>
        <v/>
      </c>
      <c r="CK19">
        <f>IF(CK$4=1,IF(INDEX('×入力'!$C$1:$L$700,141+CK$3,CK$2)&lt;&gt;"",1,0),0)</f>
        <v/>
      </c>
      <c r="CL19">
        <f>IF(CL$4=1,IF(INDEX('×入力'!$C$1:$L$700,141+CL$3,CL$2)&lt;&gt;"",1,0),0)</f>
        <v/>
      </c>
      <c r="CM19">
        <f>IF(CM$4=1,IF(INDEX('×入力'!$C$1:$L$700,141+CM$3,CM$2)&lt;&gt;"",1,0),0)</f>
        <v/>
      </c>
      <c r="CN19">
        <f>IF(CN$4=1,IF(INDEX('×入力'!$C$1:$L$700,141+CN$3,CN$2)&lt;&gt;"",1,0),0)</f>
        <v/>
      </c>
      <c r="CO19">
        <f>IF(CO$4=1,IF(INDEX('×入力'!$C$1:$L$700,141+CO$3,CO$2)&lt;&gt;"",1,0),0)</f>
        <v/>
      </c>
      <c r="CP19">
        <f>IF(CP$4=1,IF(INDEX('×入力'!$C$1:$L$700,141+CP$3,CP$2)&lt;&gt;"",1,0),0)</f>
        <v/>
      </c>
      <c r="CQ19">
        <f>IF(CQ$4=1,IF(INDEX('×入力'!$C$1:$L$700,141+CQ$3,CQ$2)&lt;&gt;"",1,0),0)</f>
        <v/>
      </c>
      <c r="CR19">
        <f>IF(CR$4=1,IF(INDEX('×入力'!$C$1:$L$700,141+CR$3,CR$2)&lt;&gt;"",1,0),0)</f>
        <v/>
      </c>
      <c r="CS19">
        <f>IF(CS$4=1,IF(INDEX('×入力'!$C$1:$L$700,141+CS$3,CS$2)&lt;&gt;"",1,0),0)</f>
        <v/>
      </c>
      <c r="CT19">
        <f>IF(CT$4=1,IF(INDEX('×入力'!$C$1:$L$700,141+CT$3,CT$2)&lt;&gt;"",1,0),0)</f>
        <v/>
      </c>
      <c r="CU19">
        <f>IF(CU$4=1,IF(INDEX('×入力'!$C$1:$L$700,141+CU$3,CU$2)&lt;&gt;"",1,0),0)</f>
        <v/>
      </c>
      <c r="CV19">
        <f>IF(CV$4=1,IF(INDEX('×入力'!$C$1:$L$700,141+CV$3,CV$2)&lt;&gt;"",1,0),0)</f>
        <v/>
      </c>
      <c r="CW19">
        <f>IF(CW$4=1,IF(INDEX('×入力'!$C$1:$L$700,141+CW$3,CW$2)&lt;&gt;"",1,0),0)</f>
        <v/>
      </c>
      <c r="CX19">
        <f>IF(CX$4=1,IF(INDEX('×入力'!$C$1:$L$700,141+CX$3,CX$2)&lt;&gt;"",1,0),0)</f>
        <v/>
      </c>
      <c r="CY19">
        <f>IF(CY$4=1,IF(INDEX('×入力'!$C$1:$L$700,141+CY$3,CY$2)&lt;&gt;"",1,0),0)</f>
        <v/>
      </c>
      <c r="CZ19">
        <f>IF(CZ$4=1,IF(INDEX('×入力'!$C$1:$L$700,141+CZ$3,CZ$2)&lt;&gt;"",1,0),0)</f>
        <v/>
      </c>
      <c r="DA19">
        <f>IF(DA$4=1,IF(INDEX('×入力'!$C$1:$L$700,141+DA$3,DA$2)&lt;&gt;"",1,0),0)</f>
        <v/>
      </c>
      <c r="DB19">
        <f>IF(DB$4=1,IF(INDEX('×入力'!$C$1:$L$700,141+DB$3,DB$2)&lt;&gt;"",1,0),0)</f>
        <v/>
      </c>
      <c r="DC19">
        <f>IF(DC$4=1,IF(INDEX('×入力'!$C$1:$L$700,141+DC$3,DC$2)&lt;&gt;"",1,0),0)</f>
        <v/>
      </c>
      <c r="DD19">
        <f>IF(DD$4=1,IF(INDEX('×入力'!$C$1:$L$700,141+DD$3,DD$2)&lt;&gt;"",1,0),0)</f>
        <v/>
      </c>
      <c r="DE19">
        <f>IF(DE$4=1,IF(INDEX('×入力'!$C$1:$L$700,141+DE$3,DE$2)&lt;&gt;"",1,0),0)</f>
        <v/>
      </c>
      <c r="DF19">
        <f>IF(DF$4=1,IF(INDEX('×入力'!$C$1:$L$700,141+DF$3,DF$2)&lt;&gt;"",1,0),0)</f>
        <v/>
      </c>
      <c r="DG19">
        <f>IF(DG$4=1,IF(INDEX('×入力'!$C$1:$L$700,141+DG$3,DG$2)&lt;&gt;"",1,0),0)</f>
        <v/>
      </c>
      <c r="DH19">
        <f>IF(DH$4=1,IF(INDEX('×入力'!$C$1:$L$700,141+DH$3,DH$2)&lt;&gt;"",1,0),0)</f>
        <v/>
      </c>
      <c r="DI19">
        <f>IF(DI$4=1,IF(INDEX('×入力'!$C$1:$L$700,141+DI$3,DI$2)&lt;&gt;"",1,0),0)</f>
        <v/>
      </c>
      <c r="DJ19">
        <f>IF(DJ$4=1,IF(INDEX('×入力'!$C$1:$L$700,141+DJ$3,DJ$2)&lt;&gt;"",1,0),0)</f>
        <v/>
      </c>
      <c r="DK19">
        <f>IF(DK$4=1,IF(INDEX('×入力'!$C$1:$L$700,141+DK$3,DK$2)&lt;&gt;"",1,0),0)</f>
        <v/>
      </c>
      <c r="DL19">
        <f>IF(DL$4=1,IF(INDEX('×入力'!$C$1:$L$700,141+DL$3,DL$2)&lt;&gt;"",1,0),0)</f>
        <v/>
      </c>
      <c r="DM19">
        <f>IF(DM$4=1,IF(INDEX('×入力'!$C$1:$L$700,141+DM$3,DM$2)&lt;&gt;"",1,0),0)</f>
        <v/>
      </c>
      <c r="DN19">
        <f>IF(DN$4=1,IF(INDEX('×入力'!$C$1:$L$700,141+DN$3,DN$2)&lt;&gt;"",1,0),0)</f>
        <v/>
      </c>
      <c r="DO19">
        <f>IF(DO$4=1,IF(INDEX('×入力'!$C$1:$L$700,141+DO$3,DO$2)&lt;&gt;"",1,0),0)</f>
        <v/>
      </c>
      <c r="DP19">
        <f>IF(DP$4=1,IF(INDEX('×入力'!$C$1:$L$700,141+DP$3,DP$2)&lt;&gt;"",1,0),0)</f>
        <v/>
      </c>
      <c r="DQ19">
        <f>IF(DQ$4=1,IF(INDEX('×入力'!$C$1:$L$700,141+DQ$3,DQ$2)&lt;&gt;"",1,0),0)</f>
        <v/>
      </c>
      <c r="DR19">
        <f>IF(DR$4=1,IF(INDEX('×入力'!$C$1:$L$700,141+DR$3,DR$2)&lt;&gt;"",1,0),0)</f>
        <v/>
      </c>
      <c r="DS19">
        <f>IF(DS$4=1,IF(INDEX('×入力'!$C$1:$L$700,141+DS$3,DS$2)&lt;&gt;"",1,0),0)</f>
        <v/>
      </c>
      <c r="DU19">
        <f>IFERROR(INDEX('計算B'!$C$3:$C$47,MATCH(A19,'計算B'!$B$3:$B$47,0)),0)</f>
        <v/>
      </c>
      <c r="DV19">
        <f>IF(AND(C19=1,DU19=0),1,0)</f>
        <v/>
      </c>
      <c r="DW19">
        <f>SUMPRODUCT(D69:DS69*(1-$D$7:$DS$7))</f>
        <v/>
      </c>
      <c r="DX19">
        <f>SUM(D19:DS19)</f>
        <v/>
      </c>
      <c r="DY19">
        <f>IF(B19="",0,IF(COUNTIF('割り当て'!$C$6:$L$17,B19)=1,SUMPRODUCT(('割り当て'!$C$6:$L$17=B19)*((COLUMN('割り当て'!$C$6:$L$17)-3)*12+ROW('割り当て'!$C$6:$L$17)-5)),0))</f>
        <v/>
      </c>
    </row>
    <row r="20">
      <c r="A20" t="n">
        <v>11</v>
      </c>
      <c r="B20">
        <f>'名簿'!E15</f>
        <v/>
      </c>
      <c r="C20">
        <f>IF(AND(B20&lt;&gt;"",OR('名簿'!F15="入力済み",'名簿'!F15="×なし"),DY20=0,COUNTIF('割り当て'!$C$6:$L$17,B20)=0),1,0)</f>
        <v/>
      </c>
      <c r="D20">
        <f>IF(D$4=1,IF(INDEX('×入力'!$C$1:$L$700,156+D$3,D$2)&lt;&gt;"",1,0),0)</f>
        <v/>
      </c>
      <c r="E20">
        <f>IF(E$4=1,IF(INDEX('×入力'!$C$1:$L$700,156+E$3,E$2)&lt;&gt;"",1,0),0)</f>
        <v/>
      </c>
      <c r="F20">
        <f>IF(F$4=1,IF(INDEX('×入力'!$C$1:$L$700,156+F$3,F$2)&lt;&gt;"",1,0),0)</f>
        <v/>
      </c>
      <c r="G20">
        <f>IF(G$4=1,IF(INDEX('×入力'!$C$1:$L$700,156+G$3,G$2)&lt;&gt;"",1,0),0)</f>
        <v/>
      </c>
      <c r="H20">
        <f>IF(H$4=1,IF(INDEX('×入力'!$C$1:$L$700,156+H$3,H$2)&lt;&gt;"",1,0),0)</f>
        <v/>
      </c>
      <c r="I20">
        <f>IF(I$4=1,IF(INDEX('×入力'!$C$1:$L$700,156+I$3,I$2)&lt;&gt;"",1,0),0)</f>
        <v/>
      </c>
      <c r="J20">
        <f>IF(J$4=1,IF(INDEX('×入力'!$C$1:$L$700,156+J$3,J$2)&lt;&gt;"",1,0),0)</f>
        <v/>
      </c>
      <c r="K20">
        <f>IF(K$4=1,IF(INDEX('×入力'!$C$1:$L$700,156+K$3,K$2)&lt;&gt;"",1,0),0)</f>
        <v/>
      </c>
      <c r="L20">
        <f>IF(L$4=1,IF(INDEX('×入力'!$C$1:$L$700,156+L$3,L$2)&lt;&gt;"",1,0),0)</f>
        <v/>
      </c>
      <c r="M20">
        <f>IF(M$4=1,IF(INDEX('×入力'!$C$1:$L$700,156+M$3,M$2)&lt;&gt;"",1,0),0)</f>
        <v/>
      </c>
      <c r="N20">
        <f>IF(N$4=1,IF(INDEX('×入力'!$C$1:$L$700,156+N$3,N$2)&lt;&gt;"",1,0),0)</f>
        <v/>
      </c>
      <c r="O20">
        <f>IF(O$4=1,IF(INDEX('×入力'!$C$1:$L$700,156+O$3,O$2)&lt;&gt;"",1,0),0)</f>
        <v/>
      </c>
      <c r="P20">
        <f>IF(P$4=1,IF(INDEX('×入力'!$C$1:$L$700,156+P$3,P$2)&lt;&gt;"",1,0),0)</f>
        <v/>
      </c>
      <c r="Q20">
        <f>IF(Q$4=1,IF(INDEX('×入力'!$C$1:$L$700,156+Q$3,Q$2)&lt;&gt;"",1,0),0)</f>
        <v/>
      </c>
      <c r="R20">
        <f>IF(R$4=1,IF(INDEX('×入力'!$C$1:$L$700,156+R$3,R$2)&lt;&gt;"",1,0),0)</f>
        <v/>
      </c>
      <c r="S20">
        <f>IF(S$4=1,IF(INDEX('×入力'!$C$1:$L$700,156+S$3,S$2)&lt;&gt;"",1,0),0)</f>
        <v/>
      </c>
      <c r="T20">
        <f>IF(T$4=1,IF(INDEX('×入力'!$C$1:$L$700,156+T$3,T$2)&lt;&gt;"",1,0),0)</f>
        <v/>
      </c>
      <c r="U20">
        <f>IF(U$4=1,IF(INDEX('×入力'!$C$1:$L$700,156+U$3,U$2)&lt;&gt;"",1,0),0)</f>
        <v/>
      </c>
      <c r="V20">
        <f>IF(V$4=1,IF(INDEX('×入力'!$C$1:$L$700,156+V$3,V$2)&lt;&gt;"",1,0),0)</f>
        <v/>
      </c>
      <c r="W20">
        <f>IF(W$4=1,IF(INDEX('×入力'!$C$1:$L$700,156+W$3,W$2)&lt;&gt;"",1,0),0)</f>
        <v/>
      </c>
      <c r="X20">
        <f>IF(X$4=1,IF(INDEX('×入力'!$C$1:$L$700,156+X$3,X$2)&lt;&gt;"",1,0),0)</f>
        <v/>
      </c>
      <c r="Y20">
        <f>IF(Y$4=1,IF(INDEX('×入力'!$C$1:$L$700,156+Y$3,Y$2)&lt;&gt;"",1,0),0)</f>
        <v/>
      </c>
      <c r="Z20">
        <f>IF(Z$4=1,IF(INDEX('×入力'!$C$1:$L$700,156+Z$3,Z$2)&lt;&gt;"",1,0),0)</f>
        <v/>
      </c>
      <c r="AA20">
        <f>IF(AA$4=1,IF(INDEX('×入力'!$C$1:$L$700,156+AA$3,AA$2)&lt;&gt;"",1,0),0)</f>
        <v/>
      </c>
      <c r="AB20">
        <f>IF(AB$4=1,IF(INDEX('×入力'!$C$1:$L$700,156+AB$3,AB$2)&lt;&gt;"",1,0),0)</f>
        <v/>
      </c>
      <c r="AC20">
        <f>IF(AC$4=1,IF(INDEX('×入力'!$C$1:$L$700,156+AC$3,AC$2)&lt;&gt;"",1,0),0)</f>
        <v/>
      </c>
      <c r="AD20">
        <f>IF(AD$4=1,IF(INDEX('×入力'!$C$1:$L$700,156+AD$3,AD$2)&lt;&gt;"",1,0),0)</f>
        <v/>
      </c>
      <c r="AE20">
        <f>IF(AE$4=1,IF(INDEX('×入力'!$C$1:$L$700,156+AE$3,AE$2)&lt;&gt;"",1,0),0)</f>
        <v/>
      </c>
      <c r="AF20">
        <f>IF(AF$4=1,IF(INDEX('×入力'!$C$1:$L$700,156+AF$3,AF$2)&lt;&gt;"",1,0),0)</f>
        <v/>
      </c>
      <c r="AG20">
        <f>IF(AG$4=1,IF(INDEX('×入力'!$C$1:$L$700,156+AG$3,AG$2)&lt;&gt;"",1,0),0)</f>
        <v/>
      </c>
      <c r="AH20">
        <f>IF(AH$4=1,IF(INDEX('×入力'!$C$1:$L$700,156+AH$3,AH$2)&lt;&gt;"",1,0),0)</f>
        <v/>
      </c>
      <c r="AI20">
        <f>IF(AI$4=1,IF(INDEX('×入力'!$C$1:$L$700,156+AI$3,AI$2)&lt;&gt;"",1,0),0)</f>
        <v/>
      </c>
      <c r="AJ20">
        <f>IF(AJ$4=1,IF(INDEX('×入力'!$C$1:$L$700,156+AJ$3,AJ$2)&lt;&gt;"",1,0),0)</f>
        <v/>
      </c>
      <c r="AK20">
        <f>IF(AK$4=1,IF(INDEX('×入力'!$C$1:$L$700,156+AK$3,AK$2)&lt;&gt;"",1,0),0)</f>
        <v/>
      </c>
      <c r="AL20">
        <f>IF(AL$4=1,IF(INDEX('×入力'!$C$1:$L$700,156+AL$3,AL$2)&lt;&gt;"",1,0),0)</f>
        <v/>
      </c>
      <c r="AM20">
        <f>IF(AM$4=1,IF(INDEX('×入力'!$C$1:$L$700,156+AM$3,AM$2)&lt;&gt;"",1,0),0)</f>
        <v/>
      </c>
      <c r="AN20">
        <f>IF(AN$4=1,IF(INDEX('×入力'!$C$1:$L$700,156+AN$3,AN$2)&lt;&gt;"",1,0),0)</f>
        <v/>
      </c>
      <c r="AO20">
        <f>IF(AO$4=1,IF(INDEX('×入力'!$C$1:$L$700,156+AO$3,AO$2)&lt;&gt;"",1,0),0)</f>
        <v/>
      </c>
      <c r="AP20">
        <f>IF(AP$4=1,IF(INDEX('×入力'!$C$1:$L$700,156+AP$3,AP$2)&lt;&gt;"",1,0),0)</f>
        <v/>
      </c>
      <c r="AQ20">
        <f>IF(AQ$4=1,IF(INDEX('×入力'!$C$1:$L$700,156+AQ$3,AQ$2)&lt;&gt;"",1,0),0)</f>
        <v/>
      </c>
      <c r="AR20">
        <f>IF(AR$4=1,IF(INDEX('×入力'!$C$1:$L$700,156+AR$3,AR$2)&lt;&gt;"",1,0),0)</f>
        <v/>
      </c>
      <c r="AS20">
        <f>IF(AS$4=1,IF(INDEX('×入力'!$C$1:$L$700,156+AS$3,AS$2)&lt;&gt;"",1,0),0)</f>
        <v/>
      </c>
      <c r="AT20">
        <f>IF(AT$4=1,IF(INDEX('×入力'!$C$1:$L$700,156+AT$3,AT$2)&lt;&gt;"",1,0),0)</f>
        <v/>
      </c>
      <c r="AU20">
        <f>IF(AU$4=1,IF(INDEX('×入力'!$C$1:$L$700,156+AU$3,AU$2)&lt;&gt;"",1,0),0)</f>
        <v/>
      </c>
      <c r="AV20">
        <f>IF(AV$4=1,IF(INDEX('×入力'!$C$1:$L$700,156+AV$3,AV$2)&lt;&gt;"",1,0),0)</f>
        <v/>
      </c>
      <c r="AW20">
        <f>IF(AW$4=1,IF(INDEX('×入力'!$C$1:$L$700,156+AW$3,AW$2)&lt;&gt;"",1,0),0)</f>
        <v/>
      </c>
      <c r="AX20">
        <f>IF(AX$4=1,IF(INDEX('×入力'!$C$1:$L$700,156+AX$3,AX$2)&lt;&gt;"",1,0),0)</f>
        <v/>
      </c>
      <c r="AY20">
        <f>IF(AY$4=1,IF(INDEX('×入力'!$C$1:$L$700,156+AY$3,AY$2)&lt;&gt;"",1,0),0)</f>
        <v/>
      </c>
      <c r="AZ20">
        <f>IF(AZ$4=1,IF(INDEX('×入力'!$C$1:$L$700,156+AZ$3,AZ$2)&lt;&gt;"",1,0),0)</f>
        <v/>
      </c>
      <c r="BA20">
        <f>IF(BA$4=1,IF(INDEX('×入力'!$C$1:$L$700,156+BA$3,BA$2)&lt;&gt;"",1,0),0)</f>
        <v/>
      </c>
      <c r="BB20">
        <f>IF(BB$4=1,IF(INDEX('×入力'!$C$1:$L$700,156+BB$3,BB$2)&lt;&gt;"",1,0),0)</f>
        <v/>
      </c>
      <c r="BC20">
        <f>IF(BC$4=1,IF(INDEX('×入力'!$C$1:$L$700,156+BC$3,BC$2)&lt;&gt;"",1,0),0)</f>
        <v/>
      </c>
      <c r="BD20">
        <f>IF(BD$4=1,IF(INDEX('×入力'!$C$1:$L$700,156+BD$3,BD$2)&lt;&gt;"",1,0),0)</f>
        <v/>
      </c>
      <c r="BE20">
        <f>IF(BE$4=1,IF(INDEX('×入力'!$C$1:$L$700,156+BE$3,BE$2)&lt;&gt;"",1,0),0)</f>
        <v/>
      </c>
      <c r="BF20">
        <f>IF(BF$4=1,IF(INDEX('×入力'!$C$1:$L$700,156+BF$3,BF$2)&lt;&gt;"",1,0),0)</f>
        <v/>
      </c>
      <c r="BG20">
        <f>IF(BG$4=1,IF(INDEX('×入力'!$C$1:$L$700,156+BG$3,BG$2)&lt;&gt;"",1,0),0)</f>
        <v/>
      </c>
      <c r="BH20">
        <f>IF(BH$4=1,IF(INDEX('×入力'!$C$1:$L$700,156+BH$3,BH$2)&lt;&gt;"",1,0),0)</f>
        <v/>
      </c>
      <c r="BI20">
        <f>IF(BI$4=1,IF(INDEX('×入力'!$C$1:$L$700,156+BI$3,BI$2)&lt;&gt;"",1,0),0)</f>
        <v/>
      </c>
      <c r="BJ20">
        <f>IF(BJ$4=1,IF(INDEX('×入力'!$C$1:$L$700,156+BJ$3,BJ$2)&lt;&gt;"",1,0),0)</f>
        <v/>
      </c>
      <c r="BK20">
        <f>IF(BK$4=1,IF(INDEX('×入力'!$C$1:$L$700,156+BK$3,BK$2)&lt;&gt;"",1,0),0)</f>
        <v/>
      </c>
      <c r="BL20">
        <f>IF(BL$4=1,IF(INDEX('×入力'!$C$1:$L$700,156+BL$3,BL$2)&lt;&gt;"",1,0),0)</f>
        <v/>
      </c>
      <c r="BM20">
        <f>IF(BM$4=1,IF(INDEX('×入力'!$C$1:$L$700,156+BM$3,BM$2)&lt;&gt;"",1,0),0)</f>
        <v/>
      </c>
      <c r="BN20">
        <f>IF(BN$4=1,IF(INDEX('×入力'!$C$1:$L$700,156+BN$3,BN$2)&lt;&gt;"",1,0),0)</f>
        <v/>
      </c>
      <c r="BO20">
        <f>IF(BO$4=1,IF(INDEX('×入力'!$C$1:$L$700,156+BO$3,BO$2)&lt;&gt;"",1,0),0)</f>
        <v/>
      </c>
      <c r="BP20">
        <f>IF(BP$4=1,IF(INDEX('×入力'!$C$1:$L$700,156+BP$3,BP$2)&lt;&gt;"",1,0),0)</f>
        <v/>
      </c>
      <c r="BQ20">
        <f>IF(BQ$4=1,IF(INDEX('×入力'!$C$1:$L$700,156+BQ$3,BQ$2)&lt;&gt;"",1,0),0)</f>
        <v/>
      </c>
      <c r="BR20">
        <f>IF(BR$4=1,IF(INDEX('×入力'!$C$1:$L$700,156+BR$3,BR$2)&lt;&gt;"",1,0),0)</f>
        <v/>
      </c>
      <c r="BS20">
        <f>IF(BS$4=1,IF(INDEX('×入力'!$C$1:$L$700,156+BS$3,BS$2)&lt;&gt;"",1,0),0)</f>
        <v/>
      </c>
      <c r="BT20">
        <f>IF(BT$4=1,IF(INDEX('×入力'!$C$1:$L$700,156+BT$3,BT$2)&lt;&gt;"",1,0),0)</f>
        <v/>
      </c>
      <c r="BU20">
        <f>IF(BU$4=1,IF(INDEX('×入力'!$C$1:$L$700,156+BU$3,BU$2)&lt;&gt;"",1,0),0)</f>
        <v/>
      </c>
      <c r="BV20">
        <f>IF(BV$4=1,IF(INDEX('×入力'!$C$1:$L$700,156+BV$3,BV$2)&lt;&gt;"",1,0),0)</f>
        <v/>
      </c>
      <c r="BW20">
        <f>IF(BW$4=1,IF(INDEX('×入力'!$C$1:$L$700,156+BW$3,BW$2)&lt;&gt;"",1,0),0)</f>
        <v/>
      </c>
      <c r="BX20">
        <f>IF(BX$4=1,IF(INDEX('×入力'!$C$1:$L$700,156+BX$3,BX$2)&lt;&gt;"",1,0),0)</f>
        <v/>
      </c>
      <c r="BY20">
        <f>IF(BY$4=1,IF(INDEX('×入力'!$C$1:$L$700,156+BY$3,BY$2)&lt;&gt;"",1,0),0)</f>
        <v/>
      </c>
      <c r="BZ20">
        <f>IF(BZ$4=1,IF(INDEX('×入力'!$C$1:$L$700,156+BZ$3,BZ$2)&lt;&gt;"",1,0),0)</f>
        <v/>
      </c>
      <c r="CA20">
        <f>IF(CA$4=1,IF(INDEX('×入力'!$C$1:$L$700,156+CA$3,CA$2)&lt;&gt;"",1,0),0)</f>
        <v/>
      </c>
      <c r="CB20">
        <f>IF(CB$4=1,IF(INDEX('×入力'!$C$1:$L$700,156+CB$3,CB$2)&lt;&gt;"",1,0),0)</f>
        <v/>
      </c>
      <c r="CC20">
        <f>IF(CC$4=1,IF(INDEX('×入力'!$C$1:$L$700,156+CC$3,CC$2)&lt;&gt;"",1,0),0)</f>
        <v/>
      </c>
      <c r="CD20">
        <f>IF(CD$4=1,IF(INDEX('×入力'!$C$1:$L$700,156+CD$3,CD$2)&lt;&gt;"",1,0),0)</f>
        <v/>
      </c>
      <c r="CE20">
        <f>IF(CE$4=1,IF(INDEX('×入力'!$C$1:$L$700,156+CE$3,CE$2)&lt;&gt;"",1,0),0)</f>
        <v/>
      </c>
      <c r="CF20">
        <f>IF(CF$4=1,IF(INDEX('×入力'!$C$1:$L$700,156+CF$3,CF$2)&lt;&gt;"",1,0),0)</f>
        <v/>
      </c>
      <c r="CG20">
        <f>IF(CG$4=1,IF(INDEX('×入力'!$C$1:$L$700,156+CG$3,CG$2)&lt;&gt;"",1,0),0)</f>
        <v/>
      </c>
      <c r="CH20">
        <f>IF(CH$4=1,IF(INDEX('×入力'!$C$1:$L$700,156+CH$3,CH$2)&lt;&gt;"",1,0),0)</f>
        <v/>
      </c>
      <c r="CI20">
        <f>IF(CI$4=1,IF(INDEX('×入力'!$C$1:$L$700,156+CI$3,CI$2)&lt;&gt;"",1,0),0)</f>
        <v/>
      </c>
      <c r="CJ20">
        <f>IF(CJ$4=1,IF(INDEX('×入力'!$C$1:$L$700,156+CJ$3,CJ$2)&lt;&gt;"",1,0),0)</f>
        <v/>
      </c>
      <c r="CK20">
        <f>IF(CK$4=1,IF(INDEX('×入力'!$C$1:$L$700,156+CK$3,CK$2)&lt;&gt;"",1,0),0)</f>
        <v/>
      </c>
      <c r="CL20">
        <f>IF(CL$4=1,IF(INDEX('×入力'!$C$1:$L$700,156+CL$3,CL$2)&lt;&gt;"",1,0),0)</f>
        <v/>
      </c>
      <c r="CM20">
        <f>IF(CM$4=1,IF(INDEX('×入力'!$C$1:$L$700,156+CM$3,CM$2)&lt;&gt;"",1,0),0)</f>
        <v/>
      </c>
      <c r="CN20">
        <f>IF(CN$4=1,IF(INDEX('×入力'!$C$1:$L$700,156+CN$3,CN$2)&lt;&gt;"",1,0),0)</f>
        <v/>
      </c>
      <c r="CO20">
        <f>IF(CO$4=1,IF(INDEX('×入力'!$C$1:$L$700,156+CO$3,CO$2)&lt;&gt;"",1,0),0)</f>
        <v/>
      </c>
      <c r="CP20">
        <f>IF(CP$4=1,IF(INDEX('×入力'!$C$1:$L$700,156+CP$3,CP$2)&lt;&gt;"",1,0),0)</f>
        <v/>
      </c>
      <c r="CQ20">
        <f>IF(CQ$4=1,IF(INDEX('×入力'!$C$1:$L$700,156+CQ$3,CQ$2)&lt;&gt;"",1,0),0)</f>
        <v/>
      </c>
      <c r="CR20">
        <f>IF(CR$4=1,IF(INDEX('×入力'!$C$1:$L$700,156+CR$3,CR$2)&lt;&gt;"",1,0),0)</f>
        <v/>
      </c>
      <c r="CS20">
        <f>IF(CS$4=1,IF(INDEX('×入力'!$C$1:$L$700,156+CS$3,CS$2)&lt;&gt;"",1,0),0)</f>
        <v/>
      </c>
      <c r="CT20">
        <f>IF(CT$4=1,IF(INDEX('×入力'!$C$1:$L$700,156+CT$3,CT$2)&lt;&gt;"",1,0),0)</f>
        <v/>
      </c>
      <c r="CU20">
        <f>IF(CU$4=1,IF(INDEX('×入力'!$C$1:$L$700,156+CU$3,CU$2)&lt;&gt;"",1,0),0)</f>
        <v/>
      </c>
      <c r="CV20">
        <f>IF(CV$4=1,IF(INDEX('×入力'!$C$1:$L$700,156+CV$3,CV$2)&lt;&gt;"",1,0),0)</f>
        <v/>
      </c>
      <c r="CW20">
        <f>IF(CW$4=1,IF(INDEX('×入力'!$C$1:$L$700,156+CW$3,CW$2)&lt;&gt;"",1,0),0)</f>
        <v/>
      </c>
      <c r="CX20">
        <f>IF(CX$4=1,IF(INDEX('×入力'!$C$1:$L$700,156+CX$3,CX$2)&lt;&gt;"",1,0),0)</f>
        <v/>
      </c>
      <c r="CY20">
        <f>IF(CY$4=1,IF(INDEX('×入力'!$C$1:$L$700,156+CY$3,CY$2)&lt;&gt;"",1,0),0)</f>
        <v/>
      </c>
      <c r="CZ20">
        <f>IF(CZ$4=1,IF(INDEX('×入力'!$C$1:$L$700,156+CZ$3,CZ$2)&lt;&gt;"",1,0),0)</f>
        <v/>
      </c>
      <c r="DA20">
        <f>IF(DA$4=1,IF(INDEX('×入力'!$C$1:$L$700,156+DA$3,DA$2)&lt;&gt;"",1,0),0)</f>
        <v/>
      </c>
      <c r="DB20">
        <f>IF(DB$4=1,IF(INDEX('×入力'!$C$1:$L$700,156+DB$3,DB$2)&lt;&gt;"",1,0),0)</f>
        <v/>
      </c>
      <c r="DC20">
        <f>IF(DC$4=1,IF(INDEX('×入力'!$C$1:$L$700,156+DC$3,DC$2)&lt;&gt;"",1,0),0)</f>
        <v/>
      </c>
      <c r="DD20">
        <f>IF(DD$4=1,IF(INDEX('×入力'!$C$1:$L$700,156+DD$3,DD$2)&lt;&gt;"",1,0),0)</f>
        <v/>
      </c>
      <c r="DE20">
        <f>IF(DE$4=1,IF(INDEX('×入力'!$C$1:$L$700,156+DE$3,DE$2)&lt;&gt;"",1,0),0)</f>
        <v/>
      </c>
      <c r="DF20">
        <f>IF(DF$4=1,IF(INDEX('×入力'!$C$1:$L$700,156+DF$3,DF$2)&lt;&gt;"",1,0),0)</f>
        <v/>
      </c>
      <c r="DG20">
        <f>IF(DG$4=1,IF(INDEX('×入力'!$C$1:$L$700,156+DG$3,DG$2)&lt;&gt;"",1,0),0)</f>
        <v/>
      </c>
      <c r="DH20">
        <f>IF(DH$4=1,IF(INDEX('×入力'!$C$1:$L$700,156+DH$3,DH$2)&lt;&gt;"",1,0),0)</f>
        <v/>
      </c>
      <c r="DI20">
        <f>IF(DI$4=1,IF(INDEX('×入力'!$C$1:$L$700,156+DI$3,DI$2)&lt;&gt;"",1,0),0)</f>
        <v/>
      </c>
      <c r="DJ20">
        <f>IF(DJ$4=1,IF(INDEX('×入力'!$C$1:$L$700,156+DJ$3,DJ$2)&lt;&gt;"",1,0),0)</f>
        <v/>
      </c>
      <c r="DK20">
        <f>IF(DK$4=1,IF(INDEX('×入力'!$C$1:$L$700,156+DK$3,DK$2)&lt;&gt;"",1,0),0)</f>
        <v/>
      </c>
      <c r="DL20">
        <f>IF(DL$4=1,IF(INDEX('×入力'!$C$1:$L$700,156+DL$3,DL$2)&lt;&gt;"",1,0),0)</f>
        <v/>
      </c>
      <c r="DM20">
        <f>IF(DM$4=1,IF(INDEX('×入力'!$C$1:$L$700,156+DM$3,DM$2)&lt;&gt;"",1,0),0)</f>
        <v/>
      </c>
      <c r="DN20">
        <f>IF(DN$4=1,IF(INDEX('×入力'!$C$1:$L$700,156+DN$3,DN$2)&lt;&gt;"",1,0),0)</f>
        <v/>
      </c>
      <c r="DO20">
        <f>IF(DO$4=1,IF(INDEX('×入力'!$C$1:$L$700,156+DO$3,DO$2)&lt;&gt;"",1,0),0)</f>
        <v/>
      </c>
      <c r="DP20">
        <f>IF(DP$4=1,IF(INDEX('×入力'!$C$1:$L$700,156+DP$3,DP$2)&lt;&gt;"",1,0),0)</f>
        <v/>
      </c>
      <c r="DQ20">
        <f>IF(DQ$4=1,IF(INDEX('×入力'!$C$1:$L$700,156+DQ$3,DQ$2)&lt;&gt;"",1,0),0)</f>
        <v/>
      </c>
      <c r="DR20">
        <f>IF(DR$4=1,IF(INDEX('×入力'!$C$1:$L$700,156+DR$3,DR$2)&lt;&gt;"",1,0),0)</f>
        <v/>
      </c>
      <c r="DS20">
        <f>IF(DS$4=1,IF(INDEX('×入力'!$C$1:$L$700,156+DS$3,DS$2)&lt;&gt;"",1,0),0)</f>
        <v/>
      </c>
      <c r="DU20">
        <f>IFERROR(INDEX('計算B'!$C$3:$C$47,MATCH(A20,'計算B'!$B$3:$B$47,0)),0)</f>
        <v/>
      </c>
      <c r="DV20">
        <f>IF(AND(C20=1,DU20=0),1,0)</f>
        <v/>
      </c>
      <c r="DW20">
        <f>SUMPRODUCT(D70:DS70*(1-$D$7:$DS$7))</f>
        <v/>
      </c>
      <c r="DX20">
        <f>SUM(D20:DS20)</f>
        <v/>
      </c>
      <c r="DY20">
        <f>IF(B20="",0,IF(COUNTIF('割り当て'!$C$6:$L$17,B20)=1,SUMPRODUCT(('割り当て'!$C$6:$L$17=B20)*((COLUMN('割り当て'!$C$6:$L$17)-3)*12+ROW('割り当て'!$C$6:$L$17)-5)),0))</f>
        <v/>
      </c>
    </row>
    <row r="21">
      <c r="A21" t="n">
        <v>12</v>
      </c>
      <c r="B21">
        <f>'名簿'!E16</f>
        <v/>
      </c>
      <c r="C21">
        <f>IF(AND(B21&lt;&gt;"",OR('名簿'!F16="入力済み",'名簿'!F16="×なし"),DY21=0,COUNTIF('割り当て'!$C$6:$L$17,B21)=0),1,0)</f>
        <v/>
      </c>
      <c r="D21">
        <f>IF(D$4=1,IF(INDEX('×入力'!$C$1:$L$700,171+D$3,D$2)&lt;&gt;"",1,0),0)</f>
        <v/>
      </c>
      <c r="E21">
        <f>IF(E$4=1,IF(INDEX('×入力'!$C$1:$L$700,171+E$3,E$2)&lt;&gt;"",1,0),0)</f>
        <v/>
      </c>
      <c r="F21">
        <f>IF(F$4=1,IF(INDEX('×入力'!$C$1:$L$700,171+F$3,F$2)&lt;&gt;"",1,0),0)</f>
        <v/>
      </c>
      <c r="G21">
        <f>IF(G$4=1,IF(INDEX('×入力'!$C$1:$L$700,171+G$3,G$2)&lt;&gt;"",1,0),0)</f>
        <v/>
      </c>
      <c r="H21">
        <f>IF(H$4=1,IF(INDEX('×入力'!$C$1:$L$700,171+H$3,H$2)&lt;&gt;"",1,0),0)</f>
        <v/>
      </c>
      <c r="I21">
        <f>IF(I$4=1,IF(INDEX('×入力'!$C$1:$L$700,171+I$3,I$2)&lt;&gt;"",1,0),0)</f>
        <v/>
      </c>
      <c r="J21">
        <f>IF(J$4=1,IF(INDEX('×入力'!$C$1:$L$700,171+J$3,J$2)&lt;&gt;"",1,0),0)</f>
        <v/>
      </c>
      <c r="K21">
        <f>IF(K$4=1,IF(INDEX('×入力'!$C$1:$L$700,171+K$3,K$2)&lt;&gt;"",1,0),0)</f>
        <v/>
      </c>
      <c r="L21">
        <f>IF(L$4=1,IF(INDEX('×入力'!$C$1:$L$700,171+L$3,L$2)&lt;&gt;"",1,0),0)</f>
        <v/>
      </c>
      <c r="M21">
        <f>IF(M$4=1,IF(INDEX('×入力'!$C$1:$L$700,171+M$3,M$2)&lt;&gt;"",1,0),0)</f>
        <v/>
      </c>
      <c r="N21">
        <f>IF(N$4=1,IF(INDEX('×入力'!$C$1:$L$700,171+N$3,N$2)&lt;&gt;"",1,0),0)</f>
        <v/>
      </c>
      <c r="O21">
        <f>IF(O$4=1,IF(INDEX('×入力'!$C$1:$L$700,171+O$3,O$2)&lt;&gt;"",1,0),0)</f>
        <v/>
      </c>
      <c r="P21">
        <f>IF(P$4=1,IF(INDEX('×入力'!$C$1:$L$700,171+P$3,P$2)&lt;&gt;"",1,0),0)</f>
        <v/>
      </c>
      <c r="Q21">
        <f>IF(Q$4=1,IF(INDEX('×入力'!$C$1:$L$700,171+Q$3,Q$2)&lt;&gt;"",1,0),0)</f>
        <v/>
      </c>
      <c r="R21">
        <f>IF(R$4=1,IF(INDEX('×入力'!$C$1:$L$700,171+R$3,R$2)&lt;&gt;"",1,0),0)</f>
        <v/>
      </c>
      <c r="S21">
        <f>IF(S$4=1,IF(INDEX('×入力'!$C$1:$L$700,171+S$3,S$2)&lt;&gt;"",1,0),0)</f>
        <v/>
      </c>
      <c r="T21">
        <f>IF(T$4=1,IF(INDEX('×入力'!$C$1:$L$700,171+T$3,T$2)&lt;&gt;"",1,0),0)</f>
        <v/>
      </c>
      <c r="U21">
        <f>IF(U$4=1,IF(INDEX('×入力'!$C$1:$L$700,171+U$3,U$2)&lt;&gt;"",1,0),0)</f>
        <v/>
      </c>
      <c r="V21">
        <f>IF(V$4=1,IF(INDEX('×入力'!$C$1:$L$700,171+V$3,V$2)&lt;&gt;"",1,0),0)</f>
        <v/>
      </c>
      <c r="W21">
        <f>IF(W$4=1,IF(INDEX('×入力'!$C$1:$L$700,171+W$3,W$2)&lt;&gt;"",1,0),0)</f>
        <v/>
      </c>
      <c r="X21">
        <f>IF(X$4=1,IF(INDEX('×入力'!$C$1:$L$700,171+X$3,X$2)&lt;&gt;"",1,0),0)</f>
        <v/>
      </c>
      <c r="Y21">
        <f>IF(Y$4=1,IF(INDEX('×入力'!$C$1:$L$700,171+Y$3,Y$2)&lt;&gt;"",1,0),0)</f>
        <v/>
      </c>
      <c r="Z21">
        <f>IF(Z$4=1,IF(INDEX('×入力'!$C$1:$L$700,171+Z$3,Z$2)&lt;&gt;"",1,0),0)</f>
        <v/>
      </c>
      <c r="AA21">
        <f>IF(AA$4=1,IF(INDEX('×入力'!$C$1:$L$700,171+AA$3,AA$2)&lt;&gt;"",1,0),0)</f>
        <v/>
      </c>
      <c r="AB21">
        <f>IF(AB$4=1,IF(INDEX('×入力'!$C$1:$L$700,171+AB$3,AB$2)&lt;&gt;"",1,0),0)</f>
        <v/>
      </c>
      <c r="AC21">
        <f>IF(AC$4=1,IF(INDEX('×入力'!$C$1:$L$700,171+AC$3,AC$2)&lt;&gt;"",1,0),0)</f>
        <v/>
      </c>
      <c r="AD21">
        <f>IF(AD$4=1,IF(INDEX('×入力'!$C$1:$L$700,171+AD$3,AD$2)&lt;&gt;"",1,0),0)</f>
        <v/>
      </c>
      <c r="AE21">
        <f>IF(AE$4=1,IF(INDEX('×入力'!$C$1:$L$700,171+AE$3,AE$2)&lt;&gt;"",1,0),0)</f>
        <v/>
      </c>
      <c r="AF21">
        <f>IF(AF$4=1,IF(INDEX('×入力'!$C$1:$L$700,171+AF$3,AF$2)&lt;&gt;"",1,0),0)</f>
        <v/>
      </c>
      <c r="AG21">
        <f>IF(AG$4=1,IF(INDEX('×入力'!$C$1:$L$700,171+AG$3,AG$2)&lt;&gt;"",1,0),0)</f>
        <v/>
      </c>
      <c r="AH21">
        <f>IF(AH$4=1,IF(INDEX('×入力'!$C$1:$L$700,171+AH$3,AH$2)&lt;&gt;"",1,0),0)</f>
        <v/>
      </c>
      <c r="AI21">
        <f>IF(AI$4=1,IF(INDEX('×入力'!$C$1:$L$700,171+AI$3,AI$2)&lt;&gt;"",1,0),0)</f>
        <v/>
      </c>
      <c r="AJ21">
        <f>IF(AJ$4=1,IF(INDEX('×入力'!$C$1:$L$700,171+AJ$3,AJ$2)&lt;&gt;"",1,0),0)</f>
        <v/>
      </c>
      <c r="AK21">
        <f>IF(AK$4=1,IF(INDEX('×入力'!$C$1:$L$700,171+AK$3,AK$2)&lt;&gt;"",1,0),0)</f>
        <v/>
      </c>
      <c r="AL21">
        <f>IF(AL$4=1,IF(INDEX('×入力'!$C$1:$L$700,171+AL$3,AL$2)&lt;&gt;"",1,0),0)</f>
        <v/>
      </c>
      <c r="AM21">
        <f>IF(AM$4=1,IF(INDEX('×入力'!$C$1:$L$700,171+AM$3,AM$2)&lt;&gt;"",1,0),0)</f>
        <v/>
      </c>
      <c r="AN21">
        <f>IF(AN$4=1,IF(INDEX('×入力'!$C$1:$L$700,171+AN$3,AN$2)&lt;&gt;"",1,0),0)</f>
        <v/>
      </c>
      <c r="AO21">
        <f>IF(AO$4=1,IF(INDEX('×入力'!$C$1:$L$700,171+AO$3,AO$2)&lt;&gt;"",1,0),0)</f>
        <v/>
      </c>
      <c r="AP21">
        <f>IF(AP$4=1,IF(INDEX('×入力'!$C$1:$L$700,171+AP$3,AP$2)&lt;&gt;"",1,0),0)</f>
        <v/>
      </c>
      <c r="AQ21">
        <f>IF(AQ$4=1,IF(INDEX('×入力'!$C$1:$L$700,171+AQ$3,AQ$2)&lt;&gt;"",1,0),0)</f>
        <v/>
      </c>
      <c r="AR21">
        <f>IF(AR$4=1,IF(INDEX('×入力'!$C$1:$L$700,171+AR$3,AR$2)&lt;&gt;"",1,0),0)</f>
        <v/>
      </c>
      <c r="AS21">
        <f>IF(AS$4=1,IF(INDEX('×入力'!$C$1:$L$700,171+AS$3,AS$2)&lt;&gt;"",1,0),0)</f>
        <v/>
      </c>
      <c r="AT21">
        <f>IF(AT$4=1,IF(INDEX('×入力'!$C$1:$L$700,171+AT$3,AT$2)&lt;&gt;"",1,0),0)</f>
        <v/>
      </c>
      <c r="AU21">
        <f>IF(AU$4=1,IF(INDEX('×入力'!$C$1:$L$700,171+AU$3,AU$2)&lt;&gt;"",1,0),0)</f>
        <v/>
      </c>
      <c r="AV21">
        <f>IF(AV$4=1,IF(INDEX('×入力'!$C$1:$L$700,171+AV$3,AV$2)&lt;&gt;"",1,0),0)</f>
        <v/>
      </c>
      <c r="AW21">
        <f>IF(AW$4=1,IF(INDEX('×入力'!$C$1:$L$700,171+AW$3,AW$2)&lt;&gt;"",1,0),0)</f>
        <v/>
      </c>
      <c r="AX21">
        <f>IF(AX$4=1,IF(INDEX('×入力'!$C$1:$L$700,171+AX$3,AX$2)&lt;&gt;"",1,0),0)</f>
        <v/>
      </c>
      <c r="AY21">
        <f>IF(AY$4=1,IF(INDEX('×入力'!$C$1:$L$700,171+AY$3,AY$2)&lt;&gt;"",1,0),0)</f>
        <v/>
      </c>
      <c r="AZ21">
        <f>IF(AZ$4=1,IF(INDEX('×入力'!$C$1:$L$700,171+AZ$3,AZ$2)&lt;&gt;"",1,0),0)</f>
        <v/>
      </c>
      <c r="BA21">
        <f>IF(BA$4=1,IF(INDEX('×入力'!$C$1:$L$700,171+BA$3,BA$2)&lt;&gt;"",1,0),0)</f>
        <v/>
      </c>
      <c r="BB21">
        <f>IF(BB$4=1,IF(INDEX('×入力'!$C$1:$L$700,171+BB$3,BB$2)&lt;&gt;"",1,0),0)</f>
        <v/>
      </c>
      <c r="BC21">
        <f>IF(BC$4=1,IF(INDEX('×入力'!$C$1:$L$700,171+BC$3,BC$2)&lt;&gt;"",1,0),0)</f>
        <v/>
      </c>
      <c r="BD21">
        <f>IF(BD$4=1,IF(INDEX('×入力'!$C$1:$L$700,171+BD$3,BD$2)&lt;&gt;"",1,0),0)</f>
        <v/>
      </c>
      <c r="BE21">
        <f>IF(BE$4=1,IF(INDEX('×入力'!$C$1:$L$700,171+BE$3,BE$2)&lt;&gt;"",1,0),0)</f>
        <v/>
      </c>
      <c r="BF21">
        <f>IF(BF$4=1,IF(INDEX('×入力'!$C$1:$L$700,171+BF$3,BF$2)&lt;&gt;"",1,0),0)</f>
        <v/>
      </c>
      <c r="BG21">
        <f>IF(BG$4=1,IF(INDEX('×入力'!$C$1:$L$700,171+BG$3,BG$2)&lt;&gt;"",1,0),0)</f>
        <v/>
      </c>
      <c r="BH21">
        <f>IF(BH$4=1,IF(INDEX('×入力'!$C$1:$L$700,171+BH$3,BH$2)&lt;&gt;"",1,0),0)</f>
        <v/>
      </c>
      <c r="BI21">
        <f>IF(BI$4=1,IF(INDEX('×入力'!$C$1:$L$700,171+BI$3,BI$2)&lt;&gt;"",1,0),0)</f>
        <v/>
      </c>
      <c r="BJ21">
        <f>IF(BJ$4=1,IF(INDEX('×入力'!$C$1:$L$700,171+BJ$3,BJ$2)&lt;&gt;"",1,0),0)</f>
        <v/>
      </c>
      <c r="BK21">
        <f>IF(BK$4=1,IF(INDEX('×入力'!$C$1:$L$700,171+BK$3,BK$2)&lt;&gt;"",1,0),0)</f>
        <v/>
      </c>
      <c r="BL21">
        <f>IF(BL$4=1,IF(INDEX('×入力'!$C$1:$L$700,171+BL$3,BL$2)&lt;&gt;"",1,0),0)</f>
        <v/>
      </c>
      <c r="BM21">
        <f>IF(BM$4=1,IF(INDEX('×入力'!$C$1:$L$700,171+BM$3,BM$2)&lt;&gt;"",1,0),0)</f>
        <v/>
      </c>
      <c r="BN21">
        <f>IF(BN$4=1,IF(INDEX('×入力'!$C$1:$L$700,171+BN$3,BN$2)&lt;&gt;"",1,0),0)</f>
        <v/>
      </c>
      <c r="BO21">
        <f>IF(BO$4=1,IF(INDEX('×入力'!$C$1:$L$700,171+BO$3,BO$2)&lt;&gt;"",1,0),0)</f>
        <v/>
      </c>
      <c r="BP21">
        <f>IF(BP$4=1,IF(INDEX('×入力'!$C$1:$L$700,171+BP$3,BP$2)&lt;&gt;"",1,0),0)</f>
        <v/>
      </c>
      <c r="BQ21">
        <f>IF(BQ$4=1,IF(INDEX('×入力'!$C$1:$L$700,171+BQ$3,BQ$2)&lt;&gt;"",1,0),0)</f>
        <v/>
      </c>
      <c r="BR21">
        <f>IF(BR$4=1,IF(INDEX('×入力'!$C$1:$L$700,171+BR$3,BR$2)&lt;&gt;"",1,0),0)</f>
        <v/>
      </c>
      <c r="BS21">
        <f>IF(BS$4=1,IF(INDEX('×入力'!$C$1:$L$700,171+BS$3,BS$2)&lt;&gt;"",1,0),0)</f>
        <v/>
      </c>
      <c r="BT21">
        <f>IF(BT$4=1,IF(INDEX('×入力'!$C$1:$L$700,171+BT$3,BT$2)&lt;&gt;"",1,0),0)</f>
        <v/>
      </c>
      <c r="BU21">
        <f>IF(BU$4=1,IF(INDEX('×入力'!$C$1:$L$700,171+BU$3,BU$2)&lt;&gt;"",1,0),0)</f>
        <v/>
      </c>
      <c r="BV21">
        <f>IF(BV$4=1,IF(INDEX('×入力'!$C$1:$L$700,171+BV$3,BV$2)&lt;&gt;"",1,0),0)</f>
        <v/>
      </c>
      <c r="BW21">
        <f>IF(BW$4=1,IF(INDEX('×入力'!$C$1:$L$700,171+BW$3,BW$2)&lt;&gt;"",1,0),0)</f>
        <v/>
      </c>
      <c r="BX21">
        <f>IF(BX$4=1,IF(INDEX('×入力'!$C$1:$L$700,171+BX$3,BX$2)&lt;&gt;"",1,0),0)</f>
        <v/>
      </c>
      <c r="BY21">
        <f>IF(BY$4=1,IF(INDEX('×入力'!$C$1:$L$700,171+BY$3,BY$2)&lt;&gt;"",1,0),0)</f>
        <v/>
      </c>
      <c r="BZ21">
        <f>IF(BZ$4=1,IF(INDEX('×入力'!$C$1:$L$700,171+BZ$3,BZ$2)&lt;&gt;"",1,0),0)</f>
        <v/>
      </c>
      <c r="CA21">
        <f>IF(CA$4=1,IF(INDEX('×入力'!$C$1:$L$700,171+CA$3,CA$2)&lt;&gt;"",1,0),0)</f>
        <v/>
      </c>
      <c r="CB21">
        <f>IF(CB$4=1,IF(INDEX('×入力'!$C$1:$L$700,171+CB$3,CB$2)&lt;&gt;"",1,0),0)</f>
        <v/>
      </c>
      <c r="CC21">
        <f>IF(CC$4=1,IF(INDEX('×入力'!$C$1:$L$700,171+CC$3,CC$2)&lt;&gt;"",1,0),0)</f>
        <v/>
      </c>
      <c r="CD21">
        <f>IF(CD$4=1,IF(INDEX('×入力'!$C$1:$L$700,171+CD$3,CD$2)&lt;&gt;"",1,0),0)</f>
        <v/>
      </c>
      <c r="CE21">
        <f>IF(CE$4=1,IF(INDEX('×入力'!$C$1:$L$700,171+CE$3,CE$2)&lt;&gt;"",1,0),0)</f>
        <v/>
      </c>
      <c r="CF21">
        <f>IF(CF$4=1,IF(INDEX('×入力'!$C$1:$L$700,171+CF$3,CF$2)&lt;&gt;"",1,0),0)</f>
        <v/>
      </c>
      <c r="CG21">
        <f>IF(CG$4=1,IF(INDEX('×入力'!$C$1:$L$700,171+CG$3,CG$2)&lt;&gt;"",1,0),0)</f>
        <v/>
      </c>
      <c r="CH21">
        <f>IF(CH$4=1,IF(INDEX('×入力'!$C$1:$L$700,171+CH$3,CH$2)&lt;&gt;"",1,0),0)</f>
        <v/>
      </c>
      <c r="CI21">
        <f>IF(CI$4=1,IF(INDEX('×入力'!$C$1:$L$700,171+CI$3,CI$2)&lt;&gt;"",1,0),0)</f>
        <v/>
      </c>
      <c r="CJ21">
        <f>IF(CJ$4=1,IF(INDEX('×入力'!$C$1:$L$700,171+CJ$3,CJ$2)&lt;&gt;"",1,0),0)</f>
        <v/>
      </c>
      <c r="CK21">
        <f>IF(CK$4=1,IF(INDEX('×入力'!$C$1:$L$700,171+CK$3,CK$2)&lt;&gt;"",1,0),0)</f>
        <v/>
      </c>
      <c r="CL21">
        <f>IF(CL$4=1,IF(INDEX('×入力'!$C$1:$L$700,171+CL$3,CL$2)&lt;&gt;"",1,0),0)</f>
        <v/>
      </c>
      <c r="CM21">
        <f>IF(CM$4=1,IF(INDEX('×入力'!$C$1:$L$700,171+CM$3,CM$2)&lt;&gt;"",1,0),0)</f>
        <v/>
      </c>
      <c r="CN21">
        <f>IF(CN$4=1,IF(INDEX('×入力'!$C$1:$L$700,171+CN$3,CN$2)&lt;&gt;"",1,0),0)</f>
        <v/>
      </c>
      <c r="CO21">
        <f>IF(CO$4=1,IF(INDEX('×入力'!$C$1:$L$700,171+CO$3,CO$2)&lt;&gt;"",1,0),0)</f>
        <v/>
      </c>
      <c r="CP21">
        <f>IF(CP$4=1,IF(INDEX('×入力'!$C$1:$L$700,171+CP$3,CP$2)&lt;&gt;"",1,0),0)</f>
        <v/>
      </c>
      <c r="CQ21">
        <f>IF(CQ$4=1,IF(INDEX('×入力'!$C$1:$L$700,171+CQ$3,CQ$2)&lt;&gt;"",1,0),0)</f>
        <v/>
      </c>
      <c r="CR21">
        <f>IF(CR$4=1,IF(INDEX('×入力'!$C$1:$L$700,171+CR$3,CR$2)&lt;&gt;"",1,0),0)</f>
        <v/>
      </c>
      <c r="CS21">
        <f>IF(CS$4=1,IF(INDEX('×入力'!$C$1:$L$700,171+CS$3,CS$2)&lt;&gt;"",1,0),0)</f>
        <v/>
      </c>
      <c r="CT21">
        <f>IF(CT$4=1,IF(INDEX('×入力'!$C$1:$L$700,171+CT$3,CT$2)&lt;&gt;"",1,0),0)</f>
        <v/>
      </c>
      <c r="CU21">
        <f>IF(CU$4=1,IF(INDEX('×入力'!$C$1:$L$700,171+CU$3,CU$2)&lt;&gt;"",1,0),0)</f>
        <v/>
      </c>
      <c r="CV21">
        <f>IF(CV$4=1,IF(INDEX('×入力'!$C$1:$L$700,171+CV$3,CV$2)&lt;&gt;"",1,0),0)</f>
        <v/>
      </c>
      <c r="CW21">
        <f>IF(CW$4=1,IF(INDEX('×入力'!$C$1:$L$700,171+CW$3,CW$2)&lt;&gt;"",1,0),0)</f>
        <v/>
      </c>
      <c r="CX21">
        <f>IF(CX$4=1,IF(INDEX('×入力'!$C$1:$L$700,171+CX$3,CX$2)&lt;&gt;"",1,0),0)</f>
        <v/>
      </c>
      <c r="CY21">
        <f>IF(CY$4=1,IF(INDEX('×入力'!$C$1:$L$700,171+CY$3,CY$2)&lt;&gt;"",1,0),0)</f>
        <v/>
      </c>
      <c r="CZ21">
        <f>IF(CZ$4=1,IF(INDEX('×入力'!$C$1:$L$700,171+CZ$3,CZ$2)&lt;&gt;"",1,0),0)</f>
        <v/>
      </c>
      <c r="DA21">
        <f>IF(DA$4=1,IF(INDEX('×入力'!$C$1:$L$700,171+DA$3,DA$2)&lt;&gt;"",1,0),0)</f>
        <v/>
      </c>
      <c r="DB21">
        <f>IF(DB$4=1,IF(INDEX('×入力'!$C$1:$L$700,171+DB$3,DB$2)&lt;&gt;"",1,0),0)</f>
        <v/>
      </c>
      <c r="DC21">
        <f>IF(DC$4=1,IF(INDEX('×入力'!$C$1:$L$700,171+DC$3,DC$2)&lt;&gt;"",1,0),0)</f>
        <v/>
      </c>
      <c r="DD21">
        <f>IF(DD$4=1,IF(INDEX('×入力'!$C$1:$L$700,171+DD$3,DD$2)&lt;&gt;"",1,0),0)</f>
        <v/>
      </c>
      <c r="DE21">
        <f>IF(DE$4=1,IF(INDEX('×入力'!$C$1:$L$700,171+DE$3,DE$2)&lt;&gt;"",1,0),0)</f>
        <v/>
      </c>
      <c r="DF21">
        <f>IF(DF$4=1,IF(INDEX('×入力'!$C$1:$L$700,171+DF$3,DF$2)&lt;&gt;"",1,0),0)</f>
        <v/>
      </c>
      <c r="DG21">
        <f>IF(DG$4=1,IF(INDEX('×入力'!$C$1:$L$700,171+DG$3,DG$2)&lt;&gt;"",1,0),0)</f>
        <v/>
      </c>
      <c r="DH21">
        <f>IF(DH$4=1,IF(INDEX('×入力'!$C$1:$L$700,171+DH$3,DH$2)&lt;&gt;"",1,0),0)</f>
        <v/>
      </c>
      <c r="DI21">
        <f>IF(DI$4=1,IF(INDEX('×入力'!$C$1:$L$700,171+DI$3,DI$2)&lt;&gt;"",1,0),0)</f>
        <v/>
      </c>
      <c r="DJ21">
        <f>IF(DJ$4=1,IF(INDEX('×入力'!$C$1:$L$700,171+DJ$3,DJ$2)&lt;&gt;"",1,0),0)</f>
        <v/>
      </c>
      <c r="DK21">
        <f>IF(DK$4=1,IF(INDEX('×入力'!$C$1:$L$700,171+DK$3,DK$2)&lt;&gt;"",1,0),0)</f>
        <v/>
      </c>
      <c r="DL21">
        <f>IF(DL$4=1,IF(INDEX('×入力'!$C$1:$L$700,171+DL$3,DL$2)&lt;&gt;"",1,0),0)</f>
        <v/>
      </c>
      <c r="DM21">
        <f>IF(DM$4=1,IF(INDEX('×入力'!$C$1:$L$700,171+DM$3,DM$2)&lt;&gt;"",1,0),0)</f>
        <v/>
      </c>
      <c r="DN21">
        <f>IF(DN$4=1,IF(INDEX('×入力'!$C$1:$L$700,171+DN$3,DN$2)&lt;&gt;"",1,0),0)</f>
        <v/>
      </c>
      <c r="DO21">
        <f>IF(DO$4=1,IF(INDEX('×入力'!$C$1:$L$700,171+DO$3,DO$2)&lt;&gt;"",1,0),0)</f>
        <v/>
      </c>
      <c r="DP21">
        <f>IF(DP$4=1,IF(INDEX('×入力'!$C$1:$L$700,171+DP$3,DP$2)&lt;&gt;"",1,0),0)</f>
        <v/>
      </c>
      <c r="DQ21">
        <f>IF(DQ$4=1,IF(INDEX('×入力'!$C$1:$L$700,171+DQ$3,DQ$2)&lt;&gt;"",1,0),0)</f>
        <v/>
      </c>
      <c r="DR21">
        <f>IF(DR$4=1,IF(INDEX('×入力'!$C$1:$L$700,171+DR$3,DR$2)&lt;&gt;"",1,0),0)</f>
        <v/>
      </c>
      <c r="DS21">
        <f>IF(DS$4=1,IF(INDEX('×入力'!$C$1:$L$700,171+DS$3,DS$2)&lt;&gt;"",1,0),0)</f>
        <v/>
      </c>
      <c r="DU21">
        <f>IFERROR(INDEX('計算B'!$C$3:$C$47,MATCH(A21,'計算B'!$B$3:$B$47,0)),0)</f>
        <v/>
      </c>
      <c r="DV21">
        <f>IF(AND(C21=1,DU21=0),1,0)</f>
        <v/>
      </c>
      <c r="DW21">
        <f>SUMPRODUCT(D71:DS71*(1-$D$7:$DS$7))</f>
        <v/>
      </c>
      <c r="DX21">
        <f>SUM(D21:DS21)</f>
        <v/>
      </c>
      <c r="DY21">
        <f>IF(B21="",0,IF(COUNTIF('割り当て'!$C$6:$L$17,B21)=1,SUMPRODUCT(('割り当て'!$C$6:$L$17=B21)*((COLUMN('割り当て'!$C$6:$L$17)-3)*12+ROW('割り当て'!$C$6:$L$17)-5)),0))</f>
        <v/>
      </c>
    </row>
    <row r="22">
      <c r="A22" t="n">
        <v>13</v>
      </c>
      <c r="B22">
        <f>'名簿'!E17</f>
        <v/>
      </c>
      <c r="C22">
        <f>IF(AND(B22&lt;&gt;"",OR('名簿'!F17="入力済み",'名簿'!F17="×なし"),DY22=0,COUNTIF('割り当て'!$C$6:$L$17,B22)=0),1,0)</f>
        <v/>
      </c>
      <c r="D22">
        <f>IF(D$4=1,IF(INDEX('×入力'!$C$1:$L$700,186+D$3,D$2)&lt;&gt;"",1,0),0)</f>
        <v/>
      </c>
      <c r="E22">
        <f>IF(E$4=1,IF(INDEX('×入力'!$C$1:$L$700,186+E$3,E$2)&lt;&gt;"",1,0),0)</f>
        <v/>
      </c>
      <c r="F22">
        <f>IF(F$4=1,IF(INDEX('×入力'!$C$1:$L$700,186+F$3,F$2)&lt;&gt;"",1,0),0)</f>
        <v/>
      </c>
      <c r="G22">
        <f>IF(G$4=1,IF(INDEX('×入力'!$C$1:$L$700,186+G$3,G$2)&lt;&gt;"",1,0),0)</f>
        <v/>
      </c>
      <c r="H22">
        <f>IF(H$4=1,IF(INDEX('×入力'!$C$1:$L$700,186+H$3,H$2)&lt;&gt;"",1,0),0)</f>
        <v/>
      </c>
      <c r="I22">
        <f>IF(I$4=1,IF(INDEX('×入力'!$C$1:$L$700,186+I$3,I$2)&lt;&gt;"",1,0),0)</f>
        <v/>
      </c>
      <c r="J22">
        <f>IF(J$4=1,IF(INDEX('×入力'!$C$1:$L$700,186+J$3,J$2)&lt;&gt;"",1,0),0)</f>
        <v/>
      </c>
      <c r="K22">
        <f>IF(K$4=1,IF(INDEX('×入力'!$C$1:$L$700,186+K$3,K$2)&lt;&gt;"",1,0),0)</f>
        <v/>
      </c>
      <c r="L22">
        <f>IF(L$4=1,IF(INDEX('×入力'!$C$1:$L$700,186+L$3,L$2)&lt;&gt;"",1,0),0)</f>
        <v/>
      </c>
      <c r="M22">
        <f>IF(M$4=1,IF(INDEX('×入力'!$C$1:$L$700,186+M$3,M$2)&lt;&gt;"",1,0),0)</f>
        <v/>
      </c>
      <c r="N22">
        <f>IF(N$4=1,IF(INDEX('×入力'!$C$1:$L$700,186+N$3,N$2)&lt;&gt;"",1,0),0)</f>
        <v/>
      </c>
      <c r="O22">
        <f>IF(O$4=1,IF(INDEX('×入力'!$C$1:$L$700,186+O$3,O$2)&lt;&gt;"",1,0),0)</f>
        <v/>
      </c>
      <c r="P22">
        <f>IF(P$4=1,IF(INDEX('×入力'!$C$1:$L$700,186+P$3,P$2)&lt;&gt;"",1,0),0)</f>
        <v/>
      </c>
      <c r="Q22">
        <f>IF(Q$4=1,IF(INDEX('×入力'!$C$1:$L$700,186+Q$3,Q$2)&lt;&gt;"",1,0),0)</f>
        <v/>
      </c>
      <c r="R22">
        <f>IF(R$4=1,IF(INDEX('×入力'!$C$1:$L$700,186+R$3,R$2)&lt;&gt;"",1,0),0)</f>
        <v/>
      </c>
      <c r="S22">
        <f>IF(S$4=1,IF(INDEX('×入力'!$C$1:$L$700,186+S$3,S$2)&lt;&gt;"",1,0),0)</f>
        <v/>
      </c>
      <c r="T22">
        <f>IF(T$4=1,IF(INDEX('×入力'!$C$1:$L$700,186+T$3,T$2)&lt;&gt;"",1,0),0)</f>
        <v/>
      </c>
      <c r="U22">
        <f>IF(U$4=1,IF(INDEX('×入力'!$C$1:$L$700,186+U$3,U$2)&lt;&gt;"",1,0),0)</f>
        <v/>
      </c>
      <c r="V22">
        <f>IF(V$4=1,IF(INDEX('×入力'!$C$1:$L$700,186+V$3,V$2)&lt;&gt;"",1,0),0)</f>
        <v/>
      </c>
      <c r="W22">
        <f>IF(W$4=1,IF(INDEX('×入力'!$C$1:$L$700,186+W$3,W$2)&lt;&gt;"",1,0),0)</f>
        <v/>
      </c>
      <c r="X22">
        <f>IF(X$4=1,IF(INDEX('×入力'!$C$1:$L$700,186+X$3,X$2)&lt;&gt;"",1,0),0)</f>
        <v/>
      </c>
      <c r="Y22">
        <f>IF(Y$4=1,IF(INDEX('×入力'!$C$1:$L$700,186+Y$3,Y$2)&lt;&gt;"",1,0),0)</f>
        <v/>
      </c>
      <c r="Z22">
        <f>IF(Z$4=1,IF(INDEX('×入力'!$C$1:$L$700,186+Z$3,Z$2)&lt;&gt;"",1,0),0)</f>
        <v/>
      </c>
      <c r="AA22">
        <f>IF(AA$4=1,IF(INDEX('×入力'!$C$1:$L$700,186+AA$3,AA$2)&lt;&gt;"",1,0),0)</f>
        <v/>
      </c>
      <c r="AB22">
        <f>IF(AB$4=1,IF(INDEX('×入力'!$C$1:$L$700,186+AB$3,AB$2)&lt;&gt;"",1,0),0)</f>
        <v/>
      </c>
      <c r="AC22">
        <f>IF(AC$4=1,IF(INDEX('×入力'!$C$1:$L$700,186+AC$3,AC$2)&lt;&gt;"",1,0),0)</f>
        <v/>
      </c>
      <c r="AD22">
        <f>IF(AD$4=1,IF(INDEX('×入力'!$C$1:$L$700,186+AD$3,AD$2)&lt;&gt;"",1,0),0)</f>
        <v/>
      </c>
      <c r="AE22">
        <f>IF(AE$4=1,IF(INDEX('×入力'!$C$1:$L$700,186+AE$3,AE$2)&lt;&gt;"",1,0),0)</f>
        <v/>
      </c>
      <c r="AF22">
        <f>IF(AF$4=1,IF(INDEX('×入力'!$C$1:$L$700,186+AF$3,AF$2)&lt;&gt;"",1,0),0)</f>
        <v/>
      </c>
      <c r="AG22">
        <f>IF(AG$4=1,IF(INDEX('×入力'!$C$1:$L$700,186+AG$3,AG$2)&lt;&gt;"",1,0),0)</f>
        <v/>
      </c>
      <c r="AH22">
        <f>IF(AH$4=1,IF(INDEX('×入力'!$C$1:$L$700,186+AH$3,AH$2)&lt;&gt;"",1,0),0)</f>
        <v/>
      </c>
      <c r="AI22">
        <f>IF(AI$4=1,IF(INDEX('×入力'!$C$1:$L$700,186+AI$3,AI$2)&lt;&gt;"",1,0),0)</f>
        <v/>
      </c>
      <c r="AJ22">
        <f>IF(AJ$4=1,IF(INDEX('×入力'!$C$1:$L$700,186+AJ$3,AJ$2)&lt;&gt;"",1,0),0)</f>
        <v/>
      </c>
      <c r="AK22">
        <f>IF(AK$4=1,IF(INDEX('×入力'!$C$1:$L$700,186+AK$3,AK$2)&lt;&gt;"",1,0),0)</f>
        <v/>
      </c>
      <c r="AL22">
        <f>IF(AL$4=1,IF(INDEX('×入力'!$C$1:$L$700,186+AL$3,AL$2)&lt;&gt;"",1,0),0)</f>
        <v/>
      </c>
      <c r="AM22">
        <f>IF(AM$4=1,IF(INDEX('×入力'!$C$1:$L$700,186+AM$3,AM$2)&lt;&gt;"",1,0),0)</f>
        <v/>
      </c>
      <c r="AN22">
        <f>IF(AN$4=1,IF(INDEX('×入力'!$C$1:$L$700,186+AN$3,AN$2)&lt;&gt;"",1,0),0)</f>
        <v/>
      </c>
      <c r="AO22">
        <f>IF(AO$4=1,IF(INDEX('×入力'!$C$1:$L$700,186+AO$3,AO$2)&lt;&gt;"",1,0),0)</f>
        <v/>
      </c>
      <c r="AP22">
        <f>IF(AP$4=1,IF(INDEX('×入力'!$C$1:$L$700,186+AP$3,AP$2)&lt;&gt;"",1,0),0)</f>
        <v/>
      </c>
      <c r="AQ22">
        <f>IF(AQ$4=1,IF(INDEX('×入力'!$C$1:$L$700,186+AQ$3,AQ$2)&lt;&gt;"",1,0),0)</f>
        <v/>
      </c>
      <c r="AR22">
        <f>IF(AR$4=1,IF(INDEX('×入力'!$C$1:$L$700,186+AR$3,AR$2)&lt;&gt;"",1,0),0)</f>
        <v/>
      </c>
      <c r="AS22">
        <f>IF(AS$4=1,IF(INDEX('×入力'!$C$1:$L$700,186+AS$3,AS$2)&lt;&gt;"",1,0),0)</f>
        <v/>
      </c>
      <c r="AT22">
        <f>IF(AT$4=1,IF(INDEX('×入力'!$C$1:$L$700,186+AT$3,AT$2)&lt;&gt;"",1,0),0)</f>
        <v/>
      </c>
      <c r="AU22">
        <f>IF(AU$4=1,IF(INDEX('×入力'!$C$1:$L$700,186+AU$3,AU$2)&lt;&gt;"",1,0),0)</f>
        <v/>
      </c>
      <c r="AV22">
        <f>IF(AV$4=1,IF(INDEX('×入力'!$C$1:$L$700,186+AV$3,AV$2)&lt;&gt;"",1,0),0)</f>
        <v/>
      </c>
      <c r="AW22">
        <f>IF(AW$4=1,IF(INDEX('×入力'!$C$1:$L$700,186+AW$3,AW$2)&lt;&gt;"",1,0),0)</f>
        <v/>
      </c>
      <c r="AX22">
        <f>IF(AX$4=1,IF(INDEX('×入力'!$C$1:$L$700,186+AX$3,AX$2)&lt;&gt;"",1,0),0)</f>
        <v/>
      </c>
      <c r="AY22">
        <f>IF(AY$4=1,IF(INDEX('×入力'!$C$1:$L$700,186+AY$3,AY$2)&lt;&gt;"",1,0),0)</f>
        <v/>
      </c>
      <c r="AZ22">
        <f>IF(AZ$4=1,IF(INDEX('×入力'!$C$1:$L$700,186+AZ$3,AZ$2)&lt;&gt;"",1,0),0)</f>
        <v/>
      </c>
      <c r="BA22">
        <f>IF(BA$4=1,IF(INDEX('×入力'!$C$1:$L$700,186+BA$3,BA$2)&lt;&gt;"",1,0),0)</f>
        <v/>
      </c>
      <c r="BB22">
        <f>IF(BB$4=1,IF(INDEX('×入力'!$C$1:$L$700,186+BB$3,BB$2)&lt;&gt;"",1,0),0)</f>
        <v/>
      </c>
      <c r="BC22">
        <f>IF(BC$4=1,IF(INDEX('×入力'!$C$1:$L$700,186+BC$3,BC$2)&lt;&gt;"",1,0),0)</f>
        <v/>
      </c>
      <c r="BD22">
        <f>IF(BD$4=1,IF(INDEX('×入力'!$C$1:$L$700,186+BD$3,BD$2)&lt;&gt;"",1,0),0)</f>
        <v/>
      </c>
      <c r="BE22">
        <f>IF(BE$4=1,IF(INDEX('×入力'!$C$1:$L$700,186+BE$3,BE$2)&lt;&gt;"",1,0),0)</f>
        <v/>
      </c>
      <c r="BF22">
        <f>IF(BF$4=1,IF(INDEX('×入力'!$C$1:$L$700,186+BF$3,BF$2)&lt;&gt;"",1,0),0)</f>
        <v/>
      </c>
      <c r="BG22">
        <f>IF(BG$4=1,IF(INDEX('×入力'!$C$1:$L$700,186+BG$3,BG$2)&lt;&gt;"",1,0),0)</f>
        <v/>
      </c>
      <c r="BH22">
        <f>IF(BH$4=1,IF(INDEX('×入力'!$C$1:$L$700,186+BH$3,BH$2)&lt;&gt;"",1,0),0)</f>
        <v/>
      </c>
      <c r="BI22">
        <f>IF(BI$4=1,IF(INDEX('×入力'!$C$1:$L$700,186+BI$3,BI$2)&lt;&gt;"",1,0),0)</f>
        <v/>
      </c>
      <c r="BJ22">
        <f>IF(BJ$4=1,IF(INDEX('×入力'!$C$1:$L$700,186+BJ$3,BJ$2)&lt;&gt;"",1,0),0)</f>
        <v/>
      </c>
      <c r="BK22">
        <f>IF(BK$4=1,IF(INDEX('×入力'!$C$1:$L$700,186+BK$3,BK$2)&lt;&gt;"",1,0),0)</f>
        <v/>
      </c>
      <c r="BL22">
        <f>IF(BL$4=1,IF(INDEX('×入力'!$C$1:$L$700,186+BL$3,BL$2)&lt;&gt;"",1,0),0)</f>
        <v/>
      </c>
      <c r="BM22">
        <f>IF(BM$4=1,IF(INDEX('×入力'!$C$1:$L$700,186+BM$3,BM$2)&lt;&gt;"",1,0),0)</f>
        <v/>
      </c>
      <c r="BN22">
        <f>IF(BN$4=1,IF(INDEX('×入力'!$C$1:$L$700,186+BN$3,BN$2)&lt;&gt;"",1,0),0)</f>
        <v/>
      </c>
      <c r="BO22">
        <f>IF(BO$4=1,IF(INDEX('×入力'!$C$1:$L$700,186+BO$3,BO$2)&lt;&gt;"",1,0),0)</f>
        <v/>
      </c>
      <c r="BP22">
        <f>IF(BP$4=1,IF(INDEX('×入力'!$C$1:$L$700,186+BP$3,BP$2)&lt;&gt;"",1,0),0)</f>
        <v/>
      </c>
      <c r="BQ22">
        <f>IF(BQ$4=1,IF(INDEX('×入力'!$C$1:$L$700,186+BQ$3,BQ$2)&lt;&gt;"",1,0),0)</f>
        <v/>
      </c>
      <c r="BR22">
        <f>IF(BR$4=1,IF(INDEX('×入力'!$C$1:$L$700,186+BR$3,BR$2)&lt;&gt;"",1,0),0)</f>
        <v/>
      </c>
      <c r="BS22">
        <f>IF(BS$4=1,IF(INDEX('×入力'!$C$1:$L$700,186+BS$3,BS$2)&lt;&gt;"",1,0),0)</f>
        <v/>
      </c>
      <c r="BT22">
        <f>IF(BT$4=1,IF(INDEX('×入力'!$C$1:$L$700,186+BT$3,BT$2)&lt;&gt;"",1,0),0)</f>
        <v/>
      </c>
      <c r="BU22">
        <f>IF(BU$4=1,IF(INDEX('×入力'!$C$1:$L$700,186+BU$3,BU$2)&lt;&gt;"",1,0),0)</f>
        <v/>
      </c>
      <c r="BV22">
        <f>IF(BV$4=1,IF(INDEX('×入力'!$C$1:$L$700,186+BV$3,BV$2)&lt;&gt;"",1,0),0)</f>
        <v/>
      </c>
      <c r="BW22">
        <f>IF(BW$4=1,IF(INDEX('×入力'!$C$1:$L$700,186+BW$3,BW$2)&lt;&gt;"",1,0),0)</f>
        <v/>
      </c>
      <c r="BX22">
        <f>IF(BX$4=1,IF(INDEX('×入力'!$C$1:$L$700,186+BX$3,BX$2)&lt;&gt;"",1,0),0)</f>
        <v/>
      </c>
      <c r="BY22">
        <f>IF(BY$4=1,IF(INDEX('×入力'!$C$1:$L$700,186+BY$3,BY$2)&lt;&gt;"",1,0),0)</f>
        <v/>
      </c>
      <c r="BZ22">
        <f>IF(BZ$4=1,IF(INDEX('×入力'!$C$1:$L$700,186+BZ$3,BZ$2)&lt;&gt;"",1,0),0)</f>
        <v/>
      </c>
      <c r="CA22">
        <f>IF(CA$4=1,IF(INDEX('×入力'!$C$1:$L$700,186+CA$3,CA$2)&lt;&gt;"",1,0),0)</f>
        <v/>
      </c>
      <c r="CB22">
        <f>IF(CB$4=1,IF(INDEX('×入力'!$C$1:$L$700,186+CB$3,CB$2)&lt;&gt;"",1,0),0)</f>
        <v/>
      </c>
      <c r="CC22">
        <f>IF(CC$4=1,IF(INDEX('×入力'!$C$1:$L$700,186+CC$3,CC$2)&lt;&gt;"",1,0),0)</f>
        <v/>
      </c>
      <c r="CD22">
        <f>IF(CD$4=1,IF(INDEX('×入力'!$C$1:$L$700,186+CD$3,CD$2)&lt;&gt;"",1,0),0)</f>
        <v/>
      </c>
      <c r="CE22">
        <f>IF(CE$4=1,IF(INDEX('×入力'!$C$1:$L$700,186+CE$3,CE$2)&lt;&gt;"",1,0),0)</f>
        <v/>
      </c>
      <c r="CF22">
        <f>IF(CF$4=1,IF(INDEX('×入力'!$C$1:$L$700,186+CF$3,CF$2)&lt;&gt;"",1,0),0)</f>
        <v/>
      </c>
      <c r="CG22">
        <f>IF(CG$4=1,IF(INDEX('×入力'!$C$1:$L$700,186+CG$3,CG$2)&lt;&gt;"",1,0),0)</f>
        <v/>
      </c>
      <c r="CH22">
        <f>IF(CH$4=1,IF(INDEX('×入力'!$C$1:$L$700,186+CH$3,CH$2)&lt;&gt;"",1,0),0)</f>
        <v/>
      </c>
      <c r="CI22">
        <f>IF(CI$4=1,IF(INDEX('×入力'!$C$1:$L$700,186+CI$3,CI$2)&lt;&gt;"",1,0),0)</f>
        <v/>
      </c>
      <c r="CJ22">
        <f>IF(CJ$4=1,IF(INDEX('×入力'!$C$1:$L$700,186+CJ$3,CJ$2)&lt;&gt;"",1,0),0)</f>
        <v/>
      </c>
      <c r="CK22">
        <f>IF(CK$4=1,IF(INDEX('×入力'!$C$1:$L$700,186+CK$3,CK$2)&lt;&gt;"",1,0),0)</f>
        <v/>
      </c>
      <c r="CL22">
        <f>IF(CL$4=1,IF(INDEX('×入力'!$C$1:$L$700,186+CL$3,CL$2)&lt;&gt;"",1,0),0)</f>
        <v/>
      </c>
      <c r="CM22">
        <f>IF(CM$4=1,IF(INDEX('×入力'!$C$1:$L$700,186+CM$3,CM$2)&lt;&gt;"",1,0),0)</f>
        <v/>
      </c>
      <c r="CN22">
        <f>IF(CN$4=1,IF(INDEX('×入力'!$C$1:$L$700,186+CN$3,CN$2)&lt;&gt;"",1,0),0)</f>
        <v/>
      </c>
      <c r="CO22">
        <f>IF(CO$4=1,IF(INDEX('×入力'!$C$1:$L$700,186+CO$3,CO$2)&lt;&gt;"",1,0),0)</f>
        <v/>
      </c>
      <c r="CP22">
        <f>IF(CP$4=1,IF(INDEX('×入力'!$C$1:$L$700,186+CP$3,CP$2)&lt;&gt;"",1,0),0)</f>
        <v/>
      </c>
      <c r="CQ22">
        <f>IF(CQ$4=1,IF(INDEX('×入力'!$C$1:$L$700,186+CQ$3,CQ$2)&lt;&gt;"",1,0),0)</f>
        <v/>
      </c>
      <c r="CR22">
        <f>IF(CR$4=1,IF(INDEX('×入力'!$C$1:$L$700,186+CR$3,CR$2)&lt;&gt;"",1,0),0)</f>
        <v/>
      </c>
      <c r="CS22">
        <f>IF(CS$4=1,IF(INDEX('×入力'!$C$1:$L$700,186+CS$3,CS$2)&lt;&gt;"",1,0),0)</f>
        <v/>
      </c>
      <c r="CT22">
        <f>IF(CT$4=1,IF(INDEX('×入力'!$C$1:$L$700,186+CT$3,CT$2)&lt;&gt;"",1,0),0)</f>
        <v/>
      </c>
      <c r="CU22">
        <f>IF(CU$4=1,IF(INDEX('×入力'!$C$1:$L$700,186+CU$3,CU$2)&lt;&gt;"",1,0),0)</f>
        <v/>
      </c>
      <c r="CV22">
        <f>IF(CV$4=1,IF(INDEX('×入力'!$C$1:$L$700,186+CV$3,CV$2)&lt;&gt;"",1,0),0)</f>
        <v/>
      </c>
      <c r="CW22">
        <f>IF(CW$4=1,IF(INDEX('×入力'!$C$1:$L$700,186+CW$3,CW$2)&lt;&gt;"",1,0),0)</f>
        <v/>
      </c>
      <c r="CX22">
        <f>IF(CX$4=1,IF(INDEX('×入力'!$C$1:$L$700,186+CX$3,CX$2)&lt;&gt;"",1,0),0)</f>
        <v/>
      </c>
      <c r="CY22">
        <f>IF(CY$4=1,IF(INDEX('×入力'!$C$1:$L$700,186+CY$3,CY$2)&lt;&gt;"",1,0),0)</f>
        <v/>
      </c>
      <c r="CZ22">
        <f>IF(CZ$4=1,IF(INDEX('×入力'!$C$1:$L$700,186+CZ$3,CZ$2)&lt;&gt;"",1,0),0)</f>
        <v/>
      </c>
      <c r="DA22">
        <f>IF(DA$4=1,IF(INDEX('×入力'!$C$1:$L$700,186+DA$3,DA$2)&lt;&gt;"",1,0),0)</f>
        <v/>
      </c>
      <c r="DB22">
        <f>IF(DB$4=1,IF(INDEX('×入力'!$C$1:$L$700,186+DB$3,DB$2)&lt;&gt;"",1,0),0)</f>
        <v/>
      </c>
      <c r="DC22">
        <f>IF(DC$4=1,IF(INDEX('×入力'!$C$1:$L$700,186+DC$3,DC$2)&lt;&gt;"",1,0),0)</f>
        <v/>
      </c>
      <c r="DD22">
        <f>IF(DD$4=1,IF(INDEX('×入力'!$C$1:$L$700,186+DD$3,DD$2)&lt;&gt;"",1,0),0)</f>
        <v/>
      </c>
      <c r="DE22">
        <f>IF(DE$4=1,IF(INDEX('×入力'!$C$1:$L$700,186+DE$3,DE$2)&lt;&gt;"",1,0),0)</f>
        <v/>
      </c>
      <c r="DF22">
        <f>IF(DF$4=1,IF(INDEX('×入力'!$C$1:$L$700,186+DF$3,DF$2)&lt;&gt;"",1,0),0)</f>
        <v/>
      </c>
      <c r="DG22">
        <f>IF(DG$4=1,IF(INDEX('×入力'!$C$1:$L$700,186+DG$3,DG$2)&lt;&gt;"",1,0),0)</f>
        <v/>
      </c>
      <c r="DH22">
        <f>IF(DH$4=1,IF(INDEX('×入力'!$C$1:$L$700,186+DH$3,DH$2)&lt;&gt;"",1,0),0)</f>
        <v/>
      </c>
      <c r="DI22">
        <f>IF(DI$4=1,IF(INDEX('×入力'!$C$1:$L$700,186+DI$3,DI$2)&lt;&gt;"",1,0),0)</f>
        <v/>
      </c>
      <c r="DJ22">
        <f>IF(DJ$4=1,IF(INDEX('×入力'!$C$1:$L$700,186+DJ$3,DJ$2)&lt;&gt;"",1,0),0)</f>
        <v/>
      </c>
      <c r="DK22">
        <f>IF(DK$4=1,IF(INDEX('×入力'!$C$1:$L$700,186+DK$3,DK$2)&lt;&gt;"",1,0),0)</f>
        <v/>
      </c>
      <c r="DL22">
        <f>IF(DL$4=1,IF(INDEX('×入力'!$C$1:$L$700,186+DL$3,DL$2)&lt;&gt;"",1,0),0)</f>
        <v/>
      </c>
      <c r="DM22">
        <f>IF(DM$4=1,IF(INDEX('×入力'!$C$1:$L$700,186+DM$3,DM$2)&lt;&gt;"",1,0),0)</f>
        <v/>
      </c>
      <c r="DN22">
        <f>IF(DN$4=1,IF(INDEX('×入力'!$C$1:$L$700,186+DN$3,DN$2)&lt;&gt;"",1,0),0)</f>
        <v/>
      </c>
      <c r="DO22">
        <f>IF(DO$4=1,IF(INDEX('×入力'!$C$1:$L$700,186+DO$3,DO$2)&lt;&gt;"",1,0),0)</f>
        <v/>
      </c>
      <c r="DP22">
        <f>IF(DP$4=1,IF(INDEX('×入力'!$C$1:$L$700,186+DP$3,DP$2)&lt;&gt;"",1,0),0)</f>
        <v/>
      </c>
      <c r="DQ22">
        <f>IF(DQ$4=1,IF(INDEX('×入力'!$C$1:$L$700,186+DQ$3,DQ$2)&lt;&gt;"",1,0),0)</f>
        <v/>
      </c>
      <c r="DR22">
        <f>IF(DR$4=1,IF(INDEX('×入力'!$C$1:$L$700,186+DR$3,DR$2)&lt;&gt;"",1,0),0)</f>
        <v/>
      </c>
      <c r="DS22">
        <f>IF(DS$4=1,IF(INDEX('×入力'!$C$1:$L$700,186+DS$3,DS$2)&lt;&gt;"",1,0),0)</f>
        <v/>
      </c>
      <c r="DU22">
        <f>IFERROR(INDEX('計算B'!$C$3:$C$47,MATCH(A22,'計算B'!$B$3:$B$47,0)),0)</f>
        <v/>
      </c>
      <c r="DV22">
        <f>IF(AND(C22=1,DU22=0),1,0)</f>
        <v/>
      </c>
      <c r="DW22">
        <f>SUMPRODUCT(D72:DS72*(1-$D$7:$DS$7))</f>
        <v/>
      </c>
      <c r="DX22">
        <f>SUM(D22:DS22)</f>
        <v/>
      </c>
      <c r="DY22">
        <f>IF(B22="",0,IF(COUNTIF('割り当て'!$C$6:$L$17,B22)=1,SUMPRODUCT(('割り当て'!$C$6:$L$17=B22)*((COLUMN('割り当て'!$C$6:$L$17)-3)*12+ROW('割り当て'!$C$6:$L$17)-5)),0))</f>
        <v/>
      </c>
    </row>
    <row r="23">
      <c r="A23" t="n">
        <v>14</v>
      </c>
      <c r="B23">
        <f>'名簿'!E18</f>
        <v/>
      </c>
      <c r="C23">
        <f>IF(AND(B23&lt;&gt;"",OR('名簿'!F18="入力済み",'名簿'!F18="×なし"),DY23=0,COUNTIF('割り当て'!$C$6:$L$17,B23)=0),1,0)</f>
        <v/>
      </c>
      <c r="D23">
        <f>IF(D$4=1,IF(INDEX('×入力'!$C$1:$L$700,201+D$3,D$2)&lt;&gt;"",1,0),0)</f>
        <v/>
      </c>
      <c r="E23">
        <f>IF(E$4=1,IF(INDEX('×入力'!$C$1:$L$700,201+E$3,E$2)&lt;&gt;"",1,0),0)</f>
        <v/>
      </c>
      <c r="F23">
        <f>IF(F$4=1,IF(INDEX('×入力'!$C$1:$L$700,201+F$3,F$2)&lt;&gt;"",1,0),0)</f>
        <v/>
      </c>
      <c r="G23">
        <f>IF(G$4=1,IF(INDEX('×入力'!$C$1:$L$700,201+G$3,G$2)&lt;&gt;"",1,0),0)</f>
        <v/>
      </c>
      <c r="H23">
        <f>IF(H$4=1,IF(INDEX('×入力'!$C$1:$L$700,201+H$3,H$2)&lt;&gt;"",1,0),0)</f>
        <v/>
      </c>
      <c r="I23">
        <f>IF(I$4=1,IF(INDEX('×入力'!$C$1:$L$700,201+I$3,I$2)&lt;&gt;"",1,0),0)</f>
        <v/>
      </c>
      <c r="J23">
        <f>IF(J$4=1,IF(INDEX('×入力'!$C$1:$L$700,201+J$3,J$2)&lt;&gt;"",1,0),0)</f>
        <v/>
      </c>
      <c r="K23">
        <f>IF(K$4=1,IF(INDEX('×入力'!$C$1:$L$700,201+K$3,K$2)&lt;&gt;"",1,0),0)</f>
        <v/>
      </c>
      <c r="L23">
        <f>IF(L$4=1,IF(INDEX('×入力'!$C$1:$L$700,201+L$3,L$2)&lt;&gt;"",1,0),0)</f>
        <v/>
      </c>
      <c r="M23">
        <f>IF(M$4=1,IF(INDEX('×入力'!$C$1:$L$700,201+M$3,M$2)&lt;&gt;"",1,0),0)</f>
        <v/>
      </c>
      <c r="N23">
        <f>IF(N$4=1,IF(INDEX('×入力'!$C$1:$L$700,201+N$3,N$2)&lt;&gt;"",1,0),0)</f>
        <v/>
      </c>
      <c r="O23">
        <f>IF(O$4=1,IF(INDEX('×入力'!$C$1:$L$700,201+O$3,O$2)&lt;&gt;"",1,0),0)</f>
        <v/>
      </c>
      <c r="P23">
        <f>IF(P$4=1,IF(INDEX('×入力'!$C$1:$L$700,201+P$3,P$2)&lt;&gt;"",1,0),0)</f>
        <v/>
      </c>
      <c r="Q23">
        <f>IF(Q$4=1,IF(INDEX('×入力'!$C$1:$L$700,201+Q$3,Q$2)&lt;&gt;"",1,0),0)</f>
        <v/>
      </c>
      <c r="R23">
        <f>IF(R$4=1,IF(INDEX('×入力'!$C$1:$L$700,201+R$3,R$2)&lt;&gt;"",1,0),0)</f>
        <v/>
      </c>
      <c r="S23">
        <f>IF(S$4=1,IF(INDEX('×入力'!$C$1:$L$700,201+S$3,S$2)&lt;&gt;"",1,0),0)</f>
        <v/>
      </c>
      <c r="T23">
        <f>IF(T$4=1,IF(INDEX('×入力'!$C$1:$L$700,201+T$3,T$2)&lt;&gt;"",1,0),0)</f>
        <v/>
      </c>
      <c r="U23">
        <f>IF(U$4=1,IF(INDEX('×入力'!$C$1:$L$700,201+U$3,U$2)&lt;&gt;"",1,0),0)</f>
        <v/>
      </c>
      <c r="V23">
        <f>IF(V$4=1,IF(INDEX('×入力'!$C$1:$L$700,201+V$3,V$2)&lt;&gt;"",1,0),0)</f>
        <v/>
      </c>
      <c r="W23">
        <f>IF(W$4=1,IF(INDEX('×入力'!$C$1:$L$700,201+W$3,W$2)&lt;&gt;"",1,0),0)</f>
        <v/>
      </c>
      <c r="X23">
        <f>IF(X$4=1,IF(INDEX('×入力'!$C$1:$L$700,201+X$3,X$2)&lt;&gt;"",1,0),0)</f>
        <v/>
      </c>
      <c r="Y23">
        <f>IF(Y$4=1,IF(INDEX('×入力'!$C$1:$L$700,201+Y$3,Y$2)&lt;&gt;"",1,0),0)</f>
        <v/>
      </c>
      <c r="Z23">
        <f>IF(Z$4=1,IF(INDEX('×入力'!$C$1:$L$700,201+Z$3,Z$2)&lt;&gt;"",1,0),0)</f>
        <v/>
      </c>
      <c r="AA23">
        <f>IF(AA$4=1,IF(INDEX('×入力'!$C$1:$L$700,201+AA$3,AA$2)&lt;&gt;"",1,0),0)</f>
        <v/>
      </c>
      <c r="AB23">
        <f>IF(AB$4=1,IF(INDEX('×入力'!$C$1:$L$700,201+AB$3,AB$2)&lt;&gt;"",1,0),0)</f>
        <v/>
      </c>
      <c r="AC23">
        <f>IF(AC$4=1,IF(INDEX('×入力'!$C$1:$L$700,201+AC$3,AC$2)&lt;&gt;"",1,0),0)</f>
        <v/>
      </c>
      <c r="AD23">
        <f>IF(AD$4=1,IF(INDEX('×入力'!$C$1:$L$700,201+AD$3,AD$2)&lt;&gt;"",1,0),0)</f>
        <v/>
      </c>
      <c r="AE23">
        <f>IF(AE$4=1,IF(INDEX('×入力'!$C$1:$L$700,201+AE$3,AE$2)&lt;&gt;"",1,0),0)</f>
        <v/>
      </c>
      <c r="AF23">
        <f>IF(AF$4=1,IF(INDEX('×入力'!$C$1:$L$700,201+AF$3,AF$2)&lt;&gt;"",1,0),0)</f>
        <v/>
      </c>
      <c r="AG23">
        <f>IF(AG$4=1,IF(INDEX('×入力'!$C$1:$L$700,201+AG$3,AG$2)&lt;&gt;"",1,0),0)</f>
        <v/>
      </c>
      <c r="AH23">
        <f>IF(AH$4=1,IF(INDEX('×入力'!$C$1:$L$700,201+AH$3,AH$2)&lt;&gt;"",1,0),0)</f>
        <v/>
      </c>
      <c r="AI23">
        <f>IF(AI$4=1,IF(INDEX('×入力'!$C$1:$L$700,201+AI$3,AI$2)&lt;&gt;"",1,0),0)</f>
        <v/>
      </c>
      <c r="AJ23">
        <f>IF(AJ$4=1,IF(INDEX('×入力'!$C$1:$L$700,201+AJ$3,AJ$2)&lt;&gt;"",1,0),0)</f>
        <v/>
      </c>
      <c r="AK23">
        <f>IF(AK$4=1,IF(INDEX('×入力'!$C$1:$L$700,201+AK$3,AK$2)&lt;&gt;"",1,0),0)</f>
        <v/>
      </c>
      <c r="AL23">
        <f>IF(AL$4=1,IF(INDEX('×入力'!$C$1:$L$700,201+AL$3,AL$2)&lt;&gt;"",1,0),0)</f>
        <v/>
      </c>
      <c r="AM23">
        <f>IF(AM$4=1,IF(INDEX('×入力'!$C$1:$L$700,201+AM$3,AM$2)&lt;&gt;"",1,0),0)</f>
        <v/>
      </c>
      <c r="AN23">
        <f>IF(AN$4=1,IF(INDEX('×入力'!$C$1:$L$700,201+AN$3,AN$2)&lt;&gt;"",1,0),0)</f>
        <v/>
      </c>
      <c r="AO23">
        <f>IF(AO$4=1,IF(INDEX('×入力'!$C$1:$L$700,201+AO$3,AO$2)&lt;&gt;"",1,0),0)</f>
        <v/>
      </c>
      <c r="AP23">
        <f>IF(AP$4=1,IF(INDEX('×入力'!$C$1:$L$700,201+AP$3,AP$2)&lt;&gt;"",1,0),0)</f>
        <v/>
      </c>
      <c r="AQ23">
        <f>IF(AQ$4=1,IF(INDEX('×入力'!$C$1:$L$700,201+AQ$3,AQ$2)&lt;&gt;"",1,0),0)</f>
        <v/>
      </c>
      <c r="AR23">
        <f>IF(AR$4=1,IF(INDEX('×入力'!$C$1:$L$700,201+AR$3,AR$2)&lt;&gt;"",1,0),0)</f>
        <v/>
      </c>
      <c r="AS23">
        <f>IF(AS$4=1,IF(INDEX('×入力'!$C$1:$L$700,201+AS$3,AS$2)&lt;&gt;"",1,0),0)</f>
        <v/>
      </c>
      <c r="AT23">
        <f>IF(AT$4=1,IF(INDEX('×入力'!$C$1:$L$700,201+AT$3,AT$2)&lt;&gt;"",1,0),0)</f>
        <v/>
      </c>
      <c r="AU23">
        <f>IF(AU$4=1,IF(INDEX('×入力'!$C$1:$L$700,201+AU$3,AU$2)&lt;&gt;"",1,0),0)</f>
        <v/>
      </c>
      <c r="AV23">
        <f>IF(AV$4=1,IF(INDEX('×入力'!$C$1:$L$700,201+AV$3,AV$2)&lt;&gt;"",1,0),0)</f>
        <v/>
      </c>
      <c r="AW23">
        <f>IF(AW$4=1,IF(INDEX('×入力'!$C$1:$L$700,201+AW$3,AW$2)&lt;&gt;"",1,0),0)</f>
        <v/>
      </c>
      <c r="AX23">
        <f>IF(AX$4=1,IF(INDEX('×入力'!$C$1:$L$700,201+AX$3,AX$2)&lt;&gt;"",1,0),0)</f>
        <v/>
      </c>
      <c r="AY23">
        <f>IF(AY$4=1,IF(INDEX('×入力'!$C$1:$L$700,201+AY$3,AY$2)&lt;&gt;"",1,0),0)</f>
        <v/>
      </c>
      <c r="AZ23">
        <f>IF(AZ$4=1,IF(INDEX('×入力'!$C$1:$L$700,201+AZ$3,AZ$2)&lt;&gt;"",1,0),0)</f>
        <v/>
      </c>
      <c r="BA23">
        <f>IF(BA$4=1,IF(INDEX('×入力'!$C$1:$L$700,201+BA$3,BA$2)&lt;&gt;"",1,0),0)</f>
        <v/>
      </c>
      <c r="BB23">
        <f>IF(BB$4=1,IF(INDEX('×入力'!$C$1:$L$700,201+BB$3,BB$2)&lt;&gt;"",1,0),0)</f>
        <v/>
      </c>
      <c r="BC23">
        <f>IF(BC$4=1,IF(INDEX('×入力'!$C$1:$L$700,201+BC$3,BC$2)&lt;&gt;"",1,0),0)</f>
        <v/>
      </c>
      <c r="BD23">
        <f>IF(BD$4=1,IF(INDEX('×入力'!$C$1:$L$700,201+BD$3,BD$2)&lt;&gt;"",1,0),0)</f>
        <v/>
      </c>
      <c r="BE23">
        <f>IF(BE$4=1,IF(INDEX('×入力'!$C$1:$L$700,201+BE$3,BE$2)&lt;&gt;"",1,0),0)</f>
        <v/>
      </c>
      <c r="BF23">
        <f>IF(BF$4=1,IF(INDEX('×入力'!$C$1:$L$700,201+BF$3,BF$2)&lt;&gt;"",1,0),0)</f>
        <v/>
      </c>
      <c r="BG23">
        <f>IF(BG$4=1,IF(INDEX('×入力'!$C$1:$L$700,201+BG$3,BG$2)&lt;&gt;"",1,0),0)</f>
        <v/>
      </c>
      <c r="BH23">
        <f>IF(BH$4=1,IF(INDEX('×入力'!$C$1:$L$700,201+BH$3,BH$2)&lt;&gt;"",1,0),0)</f>
        <v/>
      </c>
      <c r="BI23">
        <f>IF(BI$4=1,IF(INDEX('×入力'!$C$1:$L$700,201+BI$3,BI$2)&lt;&gt;"",1,0),0)</f>
        <v/>
      </c>
      <c r="BJ23">
        <f>IF(BJ$4=1,IF(INDEX('×入力'!$C$1:$L$700,201+BJ$3,BJ$2)&lt;&gt;"",1,0),0)</f>
        <v/>
      </c>
      <c r="BK23">
        <f>IF(BK$4=1,IF(INDEX('×入力'!$C$1:$L$700,201+BK$3,BK$2)&lt;&gt;"",1,0),0)</f>
        <v/>
      </c>
      <c r="BL23">
        <f>IF(BL$4=1,IF(INDEX('×入力'!$C$1:$L$700,201+BL$3,BL$2)&lt;&gt;"",1,0),0)</f>
        <v/>
      </c>
      <c r="BM23">
        <f>IF(BM$4=1,IF(INDEX('×入力'!$C$1:$L$700,201+BM$3,BM$2)&lt;&gt;"",1,0),0)</f>
        <v/>
      </c>
      <c r="BN23">
        <f>IF(BN$4=1,IF(INDEX('×入力'!$C$1:$L$700,201+BN$3,BN$2)&lt;&gt;"",1,0),0)</f>
        <v/>
      </c>
      <c r="BO23">
        <f>IF(BO$4=1,IF(INDEX('×入力'!$C$1:$L$700,201+BO$3,BO$2)&lt;&gt;"",1,0),0)</f>
        <v/>
      </c>
      <c r="BP23">
        <f>IF(BP$4=1,IF(INDEX('×入力'!$C$1:$L$700,201+BP$3,BP$2)&lt;&gt;"",1,0),0)</f>
        <v/>
      </c>
      <c r="BQ23">
        <f>IF(BQ$4=1,IF(INDEX('×入力'!$C$1:$L$700,201+BQ$3,BQ$2)&lt;&gt;"",1,0),0)</f>
        <v/>
      </c>
      <c r="BR23">
        <f>IF(BR$4=1,IF(INDEX('×入力'!$C$1:$L$700,201+BR$3,BR$2)&lt;&gt;"",1,0),0)</f>
        <v/>
      </c>
      <c r="BS23">
        <f>IF(BS$4=1,IF(INDEX('×入力'!$C$1:$L$700,201+BS$3,BS$2)&lt;&gt;"",1,0),0)</f>
        <v/>
      </c>
      <c r="BT23">
        <f>IF(BT$4=1,IF(INDEX('×入力'!$C$1:$L$700,201+BT$3,BT$2)&lt;&gt;"",1,0),0)</f>
        <v/>
      </c>
      <c r="BU23">
        <f>IF(BU$4=1,IF(INDEX('×入力'!$C$1:$L$700,201+BU$3,BU$2)&lt;&gt;"",1,0),0)</f>
        <v/>
      </c>
      <c r="BV23">
        <f>IF(BV$4=1,IF(INDEX('×入力'!$C$1:$L$700,201+BV$3,BV$2)&lt;&gt;"",1,0),0)</f>
        <v/>
      </c>
      <c r="BW23">
        <f>IF(BW$4=1,IF(INDEX('×入力'!$C$1:$L$700,201+BW$3,BW$2)&lt;&gt;"",1,0),0)</f>
        <v/>
      </c>
      <c r="BX23">
        <f>IF(BX$4=1,IF(INDEX('×入力'!$C$1:$L$700,201+BX$3,BX$2)&lt;&gt;"",1,0),0)</f>
        <v/>
      </c>
      <c r="BY23">
        <f>IF(BY$4=1,IF(INDEX('×入力'!$C$1:$L$700,201+BY$3,BY$2)&lt;&gt;"",1,0),0)</f>
        <v/>
      </c>
      <c r="BZ23">
        <f>IF(BZ$4=1,IF(INDEX('×入力'!$C$1:$L$700,201+BZ$3,BZ$2)&lt;&gt;"",1,0),0)</f>
        <v/>
      </c>
      <c r="CA23">
        <f>IF(CA$4=1,IF(INDEX('×入力'!$C$1:$L$700,201+CA$3,CA$2)&lt;&gt;"",1,0),0)</f>
        <v/>
      </c>
      <c r="CB23">
        <f>IF(CB$4=1,IF(INDEX('×入力'!$C$1:$L$700,201+CB$3,CB$2)&lt;&gt;"",1,0),0)</f>
        <v/>
      </c>
      <c r="CC23">
        <f>IF(CC$4=1,IF(INDEX('×入力'!$C$1:$L$700,201+CC$3,CC$2)&lt;&gt;"",1,0),0)</f>
        <v/>
      </c>
      <c r="CD23">
        <f>IF(CD$4=1,IF(INDEX('×入力'!$C$1:$L$700,201+CD$3,CD$2)&lt;&gt;"",1,0),0)</f>
        <v/>
      </c>
      <c r="CE23">
        <f>IF(CE$4=1,IF(INDEX('×入力'!$C$1:$L$700,201+CE$3,CE$2)&lt;&gt;"",1,0),0)</f>
        <v/>
      </c>
      <c r="CF23">
        <f>IF(CF$4=1,IF(INDEX('×入力'!$C$1:$L$700,201+CF$3,CF$2)&lt;&gt;"",1,0),0)</f>
        <v/>
      </c>
      <c r="CG23">
        <f>IF(CG$4=1,IF(INDEX('×入力'!$C$1:$L$700,201+CG$3,CG$2)&lt;&gt;"",1,0),0)</f>
        <v/>
      </c>
      <c r="CH23">
        <f>IF(CH$4=1,IF(INDEX('×入力'!$C$1:$L$700,201+CH$3,CH$2)&lt;&gt;"",1,0),0)</f>
        <v/>
      </c>
      <c r="CI23">
        <f>IF(CI$4=1,IF(INDEX('×入力'!$C$1:$L$700,201+CI$3,CI$2)&lt;&gt;"",1,0),0)</f>
        <v/>
      </c>
      <c r="CJ23">
        <f>IF(CJ$4=1,IF(INDEX('×入力'!$C$1:$L$700,201+CJ$3,CJ$2)&lt;&gt;"",1,0),0)</f>
        <v/>
      </c>
      <c r="CK23">
        <f>IF(CK$4=1,IF(INDEX('×入力'!$C$1:$L$700,201+CK$3,CK$2)&lt;&gt;"",1,0),0)</f>
        <v/>
      </c>
      <c r="CL23">
        <f>IF(CL$4=1,IF(INDEX('×入力'!$C$1:$L$700,201+CL$3,CL$2)&lt;&gt;"",1,0),0)</f>
        <v/>
      </c>
      <c r="CM23">
        <f>IF(CM$4=1,IF(INDEX('×入力'!$C$1:$L$700,201+CM$3,CM$2)&lt;&gt;"",1,0),0)</f>
        <v/>
      </c>
      <c r="CN23">
        <f>IF(CN$4=1,IF(INDEX('×入力'!$C$1:$L$700,201+CN$3,CN$2)&lt;&gt;"",1,0),0)</f>
        <v/>
      </c>
      <c r="CO23">
        <f>IF(CO$4=1,IF(INDEX('×入力'!$C$1:$L$700,201+CO$3,CO$2)&lt;&gt;"",1,0),0)</f>
        <v/>
      </c>
      <c r="CP23">
        <f>IF(CP$4=1,IF(INDEX('×入力'!$C$1:$L$700,201+CP$3,CP$2)&lt;&gt;"",1,0),0)</f>
        <v/>
      </c>
      <c r="CQ23">
        <f>IF(CQ$4=1,IF(INDEX('×入力'!$C$1:$L$700,201+CQ$3,CQ$2)&lt;&gt;"",1,0),0)</f>
        <v/>
      </c>
      <c r="CR23">
        <f>IF(CR$4=1,IF(INDEX('×入力'!$C$1:$L$700,201+CR$3,CR$2)&lt;&gt;"",1,0),0)</f>
        <v/>
      </c>
      <c r="CS23">
        <f>IF(CS$4=1,IF(INDEX('×入力'!$C$1:$L$700,201+CS$3,CS$2)&lt;&gt;"",1,0),0)</f>
        <v/>
      </c>
      <c r="CT23">
        <f>IF(CT$4=1,IF(INDEX('×入力'!$C$1:$L$700,201+CT$3,CT$2)&lt;&gt;"",1,0),0)</f>
        <v/>
      </c>
      <c r="CU23">
        <f>IF(CU$4=1,IF(INDEX('×入力'!$C$1:$L$700,201+CU$3,CU$2)&lt;&gt;"",1,0),0)</f>
        <v/>
      </c>
      <c r="CV23">
        <f>IF(CV$4=1,IF(INDEX('×入力'!$C$1:$L$700,201+CV$3,CV$2)&lt;&gt;"",1,0),0)</f>
        <v/>
      </c>
      <c r="CW23">
        <f>IF(CW$4=1,IF(INDEX('×入力'!$C$1:$L$700,201+CW$3,CW$2)&lt;&gt;"",1,0),0)</f>
        <v/>
      </c>
      <c r="CX23">
        <f>IF(CX$4=1,IF(INDEX('×入力'!$C$1:$L$700,201+CX$3,CX$2)&lt;&gt;"",1,0),0)</f>
        <v/>
      </c>
      <c r="CY23">
        <f>IF(CY$4=1,IF(INDEX('×入力'!$C$1:$L$700,201+CY$3,CY$2)&lt;&gt;"",1,0),0)</f>
        <v/>
      </c>
      <c r="CZ23">
        <f>IF(CZ$4=1,IF(INDEX('×入力'!$C$1:$L$700,201+CZ$3,CZ$2)&lt;&gt;"",1,0),0)</f>
        <v/>
      </c>
      <c r="DA23">
        <f>IF(DA$4=1,IF(INDEX('×入力'!$C$1:$L$700,201+DA$3,DA$2)&lt;&gt;"",1,0),0)</f>
        <v/>
      </c>
      <c r="DB23">
        <f>IF(DB$4=1,IF(INDEX('×入力'!$C$1:$L$700,201+DB$3,DB$2)&lt;&gt;"",1,0),0)</f>
        <v/>
      </c>
      <c r="DC23">
        <f>IF(DC$4=1,IF(INDEX('×入力'!$C$1:$L$700,201+DC$3,DC$2)&lt;&gt;"",1,0),0)</f>
        <v/>
      </c>
      <c r="DD23">
        <f>IF(DD$4=1,IF(INDEX('×入力'!$C$1:$L$700,201+DD$3,DD$2)&lt;&gt;"",1,0),0)</f>
        <v/>
      </c>
      <c r="DE23">
        <f>IF(DE$4=1,IF(INDEX('×入力'!$C$1:$L$700,201+DE$3,DE$2)&lt;&gt;"",1,0),0)</f>
        <v/>
      </c>
      <c r="DF23">
        <f>IF(DF$4=1,IF(INDEX('×入力'!$C$1:$L$700,201+DF$3,DF$2)&lt;&gt;"",1,0),0)</f>
        <v/>
      </c>
      <c r="DG23">
        <f>IF(DG$4=1,IF(INDEX('×入力'!$C$1:$L$700,201+DG$3,DG$2)&lt;&gt;"",1,0),0)</f>
        <v/>
      </c>
      <c r="DH23">
        <f>IF(DH$4=1,IF(INDEX('×入力'!$C$1:$L$700,201+DH$3,DH$2)&lt;&gt;"",1,0),0)</f>
        <v/>
      </c>
      <c r="DI23">
        <f>IF(DI$4=1,IF(INDEX('×入力'!$C$1:$L$700,201+DI$3,DI$2)&lt;&gt;"",1,0),0)</f>
        <v/>
      </c>
      <c r="DJ23">
        <f>IF(DJ$4=1,IF(INDEX('×入力'!$C$1:$L$700,201+DJ$3,DJ$2)&lt;&gt;"",1,0),0)</f>
        <v/>
      </c>
      <c r="DK23">
        <f>IF(DK$4=1,IF(INDEX('×入力'!$C$1:$L$700,201+DK$3,DK$2)&lt;&gt;"",1,0),0)</f>
        <v/>
      </c>
      <c r="DL23">
        <f>IF(DL$4=1,IF(INDEX('×入力'!$C$1:$L$700,201+DL$3,DL$2)&lt;&gt;"",1,0),0)</f>
        <v/>
      </c>
      <c r="DM23">
        <f>IF(DM$4=1,IF(INDEX('×入力'!$C$1:$L$700,201+DM$3,DM$2)&lt;&gt;"",1,0),0)</f>
        <v/>
      </c>
      <c r="DN23">
        <f>IF(DN$4=1,IF(INDEX('×入力'!$C$1:$L$700,201+DN$3,DN$2)&lt;&gt;"",1,0),0)</f>
        <v/>
      </c>
      <c r="DO23">
        <f>IF(DO$4=1,IF(INDEX('×入力'!$C$1:$L$700,201+DO$3,DO$2)&lt;&gt;"",1,0),0)</f>
        <v/>
      </c>
      <c r="DP23">
        <f>IF(DP$4=1,IF(INDEX('×入力'!$C$1:$L$700,201+DP$3,DP$2)&lt;&gt;"",1,0),0)</f>
        <v/>
      </c>
      <c r="DQ23">
        <f>IF(DQ$4=1,IF(INDEX('×入力'!$C$1:$L$700,201+DQ$3,DQ$2)&lt;&gt;"",1,0),0)</f>
        <v/>
      </c>
      <c r="DR23">
        <f>IF(DR$4=1,IF(INDEX('×入力'!$C$1:$L$700,201+DR$3,DR$2)&lt;&gt;"",1,0),0)</f>
        <v/>
      </c>
      <c r="DS23">
        <f>IF(DS$4=1,IF(INDEX('×入力'!$C$1:$L$700,201+DS$3,DS$2)&lt;&gt;"",1,0),0)</f>
        <v/>
      </c>
      <c r="DU23">
        <f>IFERROR(INDEX('計算B'!$C$3:$C$47,MATCH(A23,'計算B'!$B$3:$B$47,0)),0)</f>
        <v/>
      </c>
      <c r="DV23">
        <f>IF(AND(C23=1,DU23=0),1,0)</f>
        <v/>
      </c>
      <c r="DW23">
        <f>SUMPRODUCT(D73:DS73*(1-$D$7:$DS$7))</f>
        <v/>
      </c>
      <c r="DX23">
        <f>SUM(D23:DS23)</f>
        <v/>
      </c>
      <c r="DY23">
        <f>IF(B23="",0,IF(COUNTIF('割り当て'!$C$6:$L$17,B23)=1,SUMPRODUCT(('割り当て'!$C$6:$L$17=B23)*((COLUMN('割り当て'!$C$6:$L$17)-3)*12+ROW('割り当て'!$C$6:$L$17)-5)),0))</f>
        <v/>
      </c>
    </row>
    <row r="24">
      <c r="A24" t="n">
        <v>15</v>
      </c>
      <c r="B24">
        <f>'名簿'!E19</f>
        <v/>
      </c>
      <c r="C24">
        <f>IF(AND(B24&lt;&gt;"",OR('名簿'!F19="入力済み",'名簿'!F19="×なし"),DY24=0,COUNTIF('割り当て'!$C$6:$L$17,B24)=0),1,0)</f>
        <v/>
      </c>
      <c r="D24">
        <f>IF(D$4=1,IF(INDEX('×入力'!$C$1:$L$700,216+D$3,D$2)&lt;&gt;"",1,0),0)</f>
        <v/>
      </c>
      <c r="E24">
        <f>IF(E$4=1,IF(INDEX('×入力'!$C$1:$L$700,216+E$3,E$2)&lt;&gt;"",1,0),0)</f>
        <v/>
      </c>
      <c r="F24">
        <f>IF(F$4=1,IF(INDEX('×入力'!$C$1:$L$700,216+F$3,F$2)&lt;&gt;"",1,0),0)</f>
        <v/>
      </c>
      <c r="G24">
        <f>IF(G$4=1,IF(INDEX('×入力'!$C$1:$L$700,216+G$3,G$2)&lt;&gt;"",1,0),0)</f>
        <v/>
      </c>
      <c r="H24">
        <f>IF(H$4=1,IF(INDEX('×入力'!$C$1:$L$700,216+H$3,H$2)&lt;&gt;"",1,0),0)</f>
        <v/>
      </c>
      <c r="I24">
        <f>IF(I$4=1,IF(INDEX('×入力'!$C$1:$L$700,216+I$3,I$2)&lt;&gt;"",1,0),0)</f>
        <v/>
      </c>
      <c r="J24">
        <f>IF(J$4=1,IF(INDEX('×入力'!$C$1:$L$700,216+J$3,J$2)&lt;&gt;"",1,0),0)</f>
        <v/>
      </c>
      <c r="K24">
        <f>IF(K$4=1,IF(INDEX('×入力'!$C$1:$L$700,216+K$3,K$2)&lt;&gt;"",1,0),0)</f>
        <v/>
      </c>
      <c r="L24">
        <f>IF(L$4=1,IF(INDEX('×入力'!$C$1:$L$700,216+L$3,L$2)&lt;&gt;"",1,0),0)</f>
        <v/>
      </c>
      <c r="M24">
        <f>IF(M$4=1,IF(INDEX('×入力'!$C$1:$L$700,216+M$3,M$2)&lt;&gt;"",1,0),0)</f>
        <v/>
      </c>
      <c r="N24">
        <f>IF(N$4=1,IF(INDEX('×入力'!$C$1:$L$700,216+N$3,N$2)&lt;&gt;"",1,0),0)</f>
        <v/>
      </c>
      <c r="O24">
        <f>IF(O$4=1,IF(INDEX('×入力'!$C$1:$L$700,216+O$3,O$2)&lt;&gt;"",1,0),0)</f>
        <v/>
      </c>
      <c r="P24">
        <f>IF(P$4=1,IF(INDEX('×入力'!$C$1:$L$700,216+P$3,P$2)&lt;&gt;"",1,0),0)</f>
        <v/>
      </c>
      <c r="Q24">
        <f>IF(Q$4=1,IF(INDEX('×入力'!$C$1:$L$700,216+Q$3,Q$2)&lt;&gt;"",1,0),0)</f>
        <v/>
      </c>
      <c r="R24">
        <f>IF(R$4=1,IF(INDEX('×入力'!$C$1:$L$700,216+R$3,R$2)&lt;&gt;"",1,0),0)</f>
        <v/>
      </c>
      <c r="S24">
        <f>IF(S$4=1,IF(INDEX('×入力'!$C$1:$L$700,216+S$3,S$2)&lt;&gt;"",1,0),0)</f>
        <v/>
      </c>
      <c r="T24">
        <f>IF(T$4=1,IF(INDEX('×入力'!$C$1:$L$700,216+T$3,T$2)&lt;&gt;"",1,0),0)</f>
        <v/>
      </c>
      <c r="U24">
        <f>IF(U$4=1,IF(INDEX('×入力'!$C$1:$L$700,216+U$3,U$2)&lt;&gt;"",1,0),0)</f>
        <v/>
      </c>
      <c r="V24">
        <f>IF(V$4=1,IF(INDEX('×入力'!$C$1:$L$700,216+V$3,V$2)&lt;&gt;"",1,0),0)</f>
        <v/>
      </c>
      <c r="W24">
        <f>IF(W$4=1,IF(INDEX('×入力'!$C$1:$L$700,216+W$3,W$2)&lt;&gt;"",1,0),0)</f>
        <v/>
      </c>
      <c r="X24">
        <f>IF(X$4=1,IF(INDEX('×入力'!$C$1:$L$700,216+X$3,X$2)&lt;&gt;"",1,0),0)</f>
        <v/>
      </c>
      <c r="Y24">
        <f>IF(Y$4=1,IF(INDEX('×入力'!$C$1:$L$700,216+Y$3,Y$2)&lt;&gt;"",1,0),0)</f>
        <v/>
      </c>
      <c r="Z24">
        <f>IF(Z$4=1,IF(INDEX('×入力'!$C$1:$L$700,216+Z$3,Z$2)&lt;&gt;"",1,0),0)</f>
        <v/>
      </c>
      <c r="AA24">
        <f>IF(AA$4=1,IF(INDEX('×入力'!$C$1:$L$700,216+AA$3,AA$2)&lt;&gt;"",1,0),0)</f>
        <v/>
      </c>
      <c r="AB24">
        <f>IF(AB$4=1,IF(INDEX('×入力'!$C$1:$L$700,216+AB$3,AB$2)&lt;&gt;"",1,0),0)</f>
        <v/>
      </c>
      <c r="AC24">
        <f>IF(AC$4=1,IF(INDEX('×入力'!$C$1:$L$700,216+AC$3,AC$2)&lt;&gt;"",1,0),0)</f>
        <v/>
      </c>
      <c r="AD24">
        <f>IF(AD$4=1,IF(INDEX('×入力'!$C$1:$L$700,216+AD$3,AD$2)&lt;&gt;"",1,0),0)</f>
        <v/>
      </c>
      <c r="AE24">
        <f>IF(AE$4=1,IF(INDEX('×入力'!$C$1:$L$700,216+AE$3,AE$2)&lt;&gt;"",1,0),0)</f>
        <v/>
      </c>
      <c r="AF24">
        <f>IF(AF$4=1,IF(INDEX('×入力'!$C$1:$L$700,216+AF$3,AF$2)&lt;&gt;"",1,0),0)</f>
        <v/>
      </c>
      <c r="AG24">
        <f>IF(AG$4=1,IF(INDEX('×入力'!$C$1:$L$700,216+AG$3,AG$2)&lt;&gt;"",1,0),0)</f>
        <v/>
      </c>
      <c r="AH24">
        <f>IF(AH$4=1,IF(INDEX('×入力'!$C$1:$L$700,216+AH$3,AH$2)&lt;&gt;"",1,0),0)</f>
        <v/>
      </c>
      <c r="AI24">
        <f>IF(AI$4=1,IF(INDEX('×入力'!$C$1:$L$700,216+AI$3,AI$2)&lt;&gt;"",1,0),0)</f>
        <v/>
      </c>
      <c r="AJ24">
        <f>IF(AJ$4=1,IF(INDEX('×入力'!$C$1:$L$700,216+AJ$3,AJ$2)&lt;&gt;"",1,0),0)</f>
        <v/>
      </c>
      <c r="AK24">
        <f>IF(AK$4=1,IF(INDEX('×入力'!$C$1:$L$700,216+AK$3,AK$2)&lt;&gt;"",1,0),0)</f>
        <v/>
      </c>
      <c r="AL24">
        <f>IF(AL$4=1,IF(INDEX('×入力'!$C$1:$L$700,216+AL$3,AL$2)&lt;&gt;"",1,0),0)</f>
        <v/>
      </c>
      <c r="AM24">
        <f>IF(AM$4=1,IF(INDEX('×入力'!$C$1:$L$700,216+AM$3,AM$2)&lt;&gt;"",1,0),0)</f>
        <v/>
      </c>
      <c r="AN24">
        <f>IF(AN$4=1,IF(INDEX('×入力'!$C$1:$L$700,216+AN$3,AN$2)&lt;&gt;"",1,0),0)</f>
        <v/>
      </c>
      <c r="AO24">
        <f>IF(AO$4=1,IF(INDEX('×入力'!$C$1:$L$700,216+AO$3,AO$2)&lt;&gt;"",1,0),0)</f>
        <v/>
      </c>
      <c r="AP24">
        <f>IF(AP$4=1,IF(INDEX('×入力'!$C$1:$L$700,216+AP$3,AP$2)&lt;&gt;"",1,0),0)</f>
        <v/>
      </c>
      <c r="AQ24">
        <f>IF(AQ$4=1,IF(INDEX('×入力'!$C$1:$L$700,216+AQ$3,AQ$2)&lt;&gt;"",1,0),0)</f>
        <v/>
      </c>
      <c r="AR24">
        <f>IF(AR$4=1,IF(INDEX('×入力'!$C$1:$L$700,216+AR$3,AR$2)&lt;&gt;"",1,0),0)</f>
        <v/>
      </c>
      <c r="AS24">
        <f>IF(AS$4=1,IF(INDEX('×入力'!$C$1:$L$700,216+AS$3,AS$2)&lt;&gt;"",1,0),0)</f>
        <v/>
      </c>
      <c r="AT24">
        <f>IF(AT$4=1,IF(INDEX('×入力'!$C$1:$L$700,216+AT$3,AT$2)&lt;&gt;"",1,0),0)</f>
        <v/>
      </c>
      <c r="AU24">
        <f>IF(AU$4=1,IF(INDEX('×入力'!$C$1:$L$700,216+AU$3,AU$2)&lt;&gt;"",1,0),0)</f>
        <v/>
      </c>
      <c r="AV24">
        <f>IF(AV$4=1,IF(INDEX('×入力'!$C$1:$L$700,216+AV$3,AV$2)&lt;&gt;"",1,0),0)</f>
        <v/>
      </c>
      <c r="AW24">
        <f>IF(AW$4=1,IF(INDEX('×入力'!$C$1:$L$700,216+AW$3,AW$2)&lt;&gt;"",1,0),0)</f>
        <v/>
      </c>
      <c r="AX24">
        <f>IF(AX$4=1,IF(INDEX('×入力'!$C$1:$L$700,216+AX$3,AX$2)&lt;&gt;"",1,0),0)</f>
        <v/>
      </c>
      <c r="AY24">
        <f>IF(AY$4=1,IF(INDEX('×入力'!$C$1:$L$700,216+AY$3,AY$2)&lt;&gt;"",1,0),0)</f>
        <v/>
      </c>
      <c r="AZ24">
        <f>IF(AZ$4=1,IF(INDEX('×入力'!$C$1:$L$700,216+AZ$3,AZ$2)&lt;&gt;"",1,0),0)</f>
        <v/>
      </c>
      <c r="BA24">
        <f>IF(BA$4=1,IF(INDEX('×入力'!$C$1:$L$700,216+BA$3,BA$2)&lt;&gt;"",1,0),0)</f>
        <v/>
      </c>
      <c r="BB24">
        <f>IF(BB$4=1,IF(INDEX('×入力'!$C$1:$L$700,216+BB$3,BB$2)&lt;&gt;"",1,0),0)</f>
        <v/>
      </c>
      <c r="BC24">
        <f>IF(BC$4=1,IF(INDEX('×入力'!$C$1:$L$700,216+BC$3,BC$2)&lt;&gt;"",1,0),0)</f>
        <v/>
      </c>
      <c r="BD24">
        <f>IF(BD$4=1,IF(INDEX('×入力'!$C$1:$L$700,216+BD$3,BD$2)&lt;&gt;"",1,0),0)</f>
        <v/>
      </c>
      <c r="BE24">
        <f>IF(BE$4=1,IF(INDEX('×入力'!$C$1:$L$700,216+BE$3,BE$2)&lt;&gt;"",1,0),0)</f>
        <v/>
      </c>
      <c r="BF24">
        <f>IF(BF$4=1,IF(INDEX('×入力'!$C$1:$L$700,216+BF$3,BF$2)&lt;&gt;"",1,0),0)</f>
        <v/>
      </c>
      <c r="BG24">
        <f>IF(BG$4=1,IF(INDEX('×入力'!$C$1:$L$700,216+BG$3,BG$2)&lt;&gt;"",1,0),0)</f>
        <v/>
      </c>
      <c r="BH24">
        <f>IF(BH$4=1,IF(INDEX('×入力'!$C$1:$L$700,216+BH$3,BH$2)&lt;&gt;"",1,0),0)</f>
        <v/>
      </c>
      <c r="BI24">
        <f>IF(BI$4=1,IF(INDEX('×入力'!$C$1:$L$700,216+BI$3,BI$2)&lt;&gt;"",1,0),0)</f>
        <v/>
      </c>
      <c r="BJ24">
        <f>IF(BJ$4=1,IF(INDEX('×入力'!$C$1:$L$700,216+BJ$3,BJ$2)&lt;&gt;"",1,0),0)</f>
        <v/>
      </c>
      <c r="BK24">
        <f>IF(BK$4=1,IF(INDEX('×入力'!$C$1:$L$700,216+BK$3,BK$2)&lt;&gt;"",1,0),0)</f>
        <v/>
      </c>
      <c r="BL24">
        <f>IF(BL$4=1,IF(INDEX('×入力'!$C$1:$L$700,216+BL$3,BL$2)&lt;&gt;"",1,0),0)</f>
        <v/>
      </c>
      <c r="BM24">
        <f>IF(BM$4=1,IF(INDEX('×入力'!$C$1:$L$700,216+BM$3,BM$2)&lt;&gt;"",1,0),0)</f>
        <v/>
      </c>
      <c r="BN24">
        <f>IF(BN$4=1,IF(INDEX('×入力'!$C$1:$L$700,216+BN$3,BN$2)&lt;&gt;"",1,0),0)</f>
        <v/>
      </c>
      <c r="BO24">
        <f>IF(BO$4=1,IF(INDEX('×入力'!$C$1:$L$700,216+BO$3,BO$2)&lt;&gt;"",1,0),0)</f>
        <v/>
      </c>
      <c r="BP24">
        <f>IF(BP$4=1,IF(INDEX('×入力'!$C$1:$L$700,216+BP$3,BP$2)&lt;&gt;"",1,0),0)</f>
        <v/>
      </c>
      <c r="BQ24">
        <f>IF(BQ$4=1,IF(INDEX('×入力'!$C$1:$L$700,216+BQ$3,BQ$2)&lt;&gt;"",1,0),0)</f>
        <v/>
      </c>
      <c r="BR24">
        <f>IF(BR$4=1,IF(INDEX('×入力'!$C$1:$L$700,216+BR$3,BR$2)&lt;&gt;"",1,0),0)</f>
        <v/>
      </c>
      <c r="BS24">
        <f>IF(BS$4=1,IF(INDEX('×入力'!$C$1:$L$700,216+BS$3,BS$2)&lt;&gt;"",1,0),0)</f>
        <v/>
      </c>
      <c r="BT24">
        <f>IF(BT$4=1,IF(INDEX('×入力'!$C$1:$L$700,216+BT$3,BT$2)&lt;&gt;"",1,0),0)</f>
        <v/>
      </c>
      <c r="BU24">
        <f>IF(BU$4=1,IF(INDEX('×入力'!$C$1:$L$700,216+BU$3,BU$2)&lt;&gt;"",1,0),0)</f>
        <v/>
      </c>
      <c r="BV24">
        <f>IF(BV$4=1,IF(INDEX('×入力'!$C$1:$L$700,216+BV$3,BV$2)&lt;&gt;"",1,0),0)</f>
        <v/>
      </c>
      <c r="BW24">
        <f>IF(BW$4=1,IF(INDEX('×入力'!$C$1:$L$700,216+BW$3,BW$2)&lt;&gt;"",1,0),0)</f>
        <v/>
      </c>
      <c r="BX24">
        <f>IF(BX$4=1,IF(INDEX('×入力'!$C$1:$L$700,216+BX$3,BX$2)&lt;&gt;"",1,0),0)</f>
        <v/>
      </c>
      <c r="BY24">
        <f>IF(BY$4=1,IF(INDEX('×入力'!$C$1:$L$700,216+BY$3,BY$2)&lt;&gt;"",1,0),0)</f>
        <v/>
      </c>
      <c r="BZ24">
        <f>IF(BZ$4=1,IF(INDEX('×入力'!$C$1:$L$700,216+BZ$3,BZ$2)&lt;&gt;"",1,0),0)</f>
        <v/>
      </c>
      <c r="CA24">
        <f>IF(CA$4=1,IF(INDEX('×入力'!$C$1:$L$700,216+CA$3,CA$2)&lt;&gt;"",1,0),0)</f>
        <v/>
      </c>
      <c r="CB24">
        <f>IF(CB$4=1,IF(INDEX('×入力'!$C$1:$L$700,216+CB$3,CB$2)&lt;&gt;"",1,0),0)</f>
        <v/>
      </c>
      <c r="CC24">
        <f>IF(CC$4=1,IF(INDEX('×入力'!$C$1:$L$700,216+CC$3,CC$2)&lt;&gt;"",1,0),0)</f>
        <v/>
      </c>
      <c r="CD24">
        <f>IF(CD$4=1,IF(INDEX('×入力'!$C$1:$L$700,216+CD$3,CD$2)&lt;&gt;"",1,0),0)</f>
        <v/>
      </c>
      <c r="CE24">
        <f>IF(CE$4=1,IF(INDEX('×入力'!$C$1:$L$700,216+CE$3,CE$2)&lt;&gt;"",1,0),0)</f>
        <v/>
      </c>
      <c r="CF24">
        <f>IF(CF$4=1,IF(INDEX('×入力'!$C$1:$L$700,216+CF$3,CF$2)&lt;&gt;"",1,0),0)</f>
        <v/>
      </c>
      <c r="CG24">
        <f>IF(CG$4=1,IF(INDEX('×入力'!$C$1:$L$700,216+CG$3,CG$2)&lt;&gt;"",1,0),0)</f>
        <v/>
      </c>
      <c r="CH24">
        <f>IF(CH$4=1,IF(INDEX('×入力'!$C$1:$L$700,216+CH$3,CH$2)&lt;&gt;"",1,0),0)</f>
        <v/>
      </c>
      <c r="CI24">
        <f>IF(CI$4=1,IF(INDEX('×入力'!$C$1:$L$700,216+CI$3,CI$2)&lt;&gt;"",1,0),0)</f>
        <v/>
      </c>
      <c r="CJ24">
        <f>IF(CJ$4=1,IF(INDEX('×入力'!$C$1:$L$700,216+CJ$3,CJ$2)&lt;&gt;"",1,0),0)</f>
        <v/>
      </c>
      <c r="CK24">
        <f>IF(CK$4=1,IF(INDEX('×入力'!$C$1:$L$700,216+CK$3,CK$2)&lt;&gt;"",1,0),0)</f>
        <v/>
      </c>
      <c r="CL24">
        <f>IF(CL$4=1,IF(INDEX('×入力'!$C$1:$L$700,216+CL$3,CL$2)&lt;&gt;"",1,0),0)</f>
        <v/>
      </c>
      <c r="CM24">
        <f>IF(CM$4=1,IF(INDEX('×入力'!$C$1:$L$700,216+CM$3,CM$2)&lt;&gt;"",1,0),0)</f>
        <v/>
      </c>
      <c r="CN24">
        <f>IF(CN$4=1,IF(INDEX('×入力'!$C$1:$L$700,216+CN$3,CN$2)&lt;&gt;"",1,0),0)</f>
        <v/>
      </c>
      <c r="CO24">
        <f>IF(CO$4=1,IF(INDEX('×入力'!$C$1:$L$700,216+CO$3,CO$2)&lt;&gt;"",1,0),0)</f>
        <v/>
      </c>
      <c r="CP24">
        <f>IF(CP$4=1,IF(INDEX('×入力'!$C$1:$L$700,216+CP$3,CP$2)&lt;&gt;"",1,0),0)</f>
        <v/>
      </c>
      <c r="CQ24">
        <f>IF(CQ$4=1,IF(INDEX('×入力'!$C$1:$L$700,216+CQ$3,CQ$2)&lt;&gt;"",1,0),0)</f>
        <v/>
      </c>
      <c r="CR24">
        <f>IF(CR$4=1,IF(INDEX('×入力'!$C$1:$L$700,216+CR$3,CR$2)&lt;&gt;"",1,0),0)</f>
        <v/>
      </c>
      <c r="CS24">
        <f>IF(CS$4=1,IF(INDEX('×入力'!$C$1:$L$700,216+CS$3,CS$2)&lt;&gt;"",1,0),0)</f>
        <v/>
      </c>
      <c r="CT24">
        <f>IF(CT$4=1,IF(INDEX('×入力'!$C$1:$L$700,216+CT$3,CT$2)&lt;&gt;"",1,0),0)</f>
        <v/>
      </c>
      <c r="CU24">
        <f>IF(CU$4=1,IF(INDEX('×入力'!$C$1:$L$700,216+CU$3,CU$2)&lt;&gt;"",1,0),0)</f>
        <v/>
      </c>
      <c r="CV24">
        <f>IF(CV$4=1,IF(INDEX('×入力'!$C$1:$L$700,216+CV$3,CV$2)&lt;&gt;"",1,0),0)</f>
        <v/>
      </c>
      <c r="CW24">
        <f>IF(CW$4=1,IF(INDEX('×入力'!$C$1:$L$700,216+CW$3,CW$2)&lt;&gt;"",1,0),0)</f>
        <v/>
      </c>
      <c r="CX24">
        <f>IF(CX$4=1,IF(INDEX('×入力'!$C$1:$L$700,216+CX$3,CX$2)&lt;&gt;"",1,0),0)</f>
        <v/>
      </c>
      <c r="CY24">
        <f>IF(CY$4=1,IF(INDEX('×入力'!$C$1:$L$700,216+CY$3,CY$2)&lt;&gt;"",1,0),0)</f>
        <v/>
      </c>
      <c r="CZ24">
        <f>IF(CZ$4=1,IF(INDEX('×入力'!$C$1:$L$700,216+CZ$3,CZ$2)&lt;&gt;"",1,0),0)</f>
        <v/>
      </c>
      <c r="DA24">
        <f>IF(DA$4=1,IF(INDEX('×入力'!$C$1:$L$700,216+DA$3,DA$2)&lt;&gt;"",1,0),0)</f>
        <v/>
      </c>
      <c r="DB24">
        <f>IF(DB$4=1,IF(INDEX('×入力'!$C$1:$L$700,216+DB$3,DB$2)&lt;&gt;"",1,0),0)</f>
        <v/>
      </c>
      <c r="DC24">
        <f>IF(DC$4=1,IF(INDEX('×入力'!$C$1:$L$700,216+DC$3,DC$2)&lt;&gt;"",1,0),0)</f>
        <v/>
      </c>
      <c r="DD24">
        <f>IF(DD$4=1,IF(INDEX('×入力'!$C$1:$L$700,216+DD$3,DD$2)&lt;&gt;"",1,0),0)</f>
        <v/>
      </c>
      <c r="DE24">
        <f>IF(DE$4=1,IF(INDEX('×入力'!$C$1:$L$700,216+DE$3,DE$2)&lt;&gt;"",1,0),0)</f>
        <v/>
      </c>
      <c r="DF24">
        <f>IF(DF$4=1,IF(INDEX('×入力'!$C$1:$L$700,216+DF$3,DF$2)&lt;&gt;"",1,0),0)</f>
        <v/>
      </c>
      <c r="DG24">
        <f>IF(DG$4=1,IF(INDEX('×入力'!$C$1:$L$700,216+DG$3,DG$2)&lt;&gt;"",1,0),0)</f>
        <v/>
      </c>
      <c r="DH24">
        <f>IF(DH$4=1,IF(INDEX('×入力'!$C$1:$L$700,216+DH$3,DH$2)&lt;&gt;"",1,0),0)</f>
        <v/>
      </c>
      <c r="DI24">
        <f>IF(DI$4=1,IF(INDEX('×入力'!$C$1:$L$700,216+DI$3,DI$2)&lt;&gt;"",1,0),0)</f>
        <v/>
      </c>
      <c r="DJ24">
        <f>IF(DJ$4=1,IF(INDEX('×入力'!$C$1:$L$700,216+DJ$3,DJ$2)&lt;&gt;"",1,0),0)</f>
        <v/>
      </c>
      <c r="DK24">
        <f>IF(DK$4=1,IF(INDEX('×入力'!$C$1:$L$700,216+DK$3,DK$2)&lt;&gt;"",1,0),0)</f>
        <v/>
      </c>
      <c r="DL24">
        <f>IF(DL$4=1,IF(INDEX('×入力'!$C$1:$L$700,216+DL$3,DL$2)&lt;&gt;"",1,0),0)</f>
        <v/>
      </c>
      <c r="DM24">
        <f>IF(DM$4=1,IF(INDEX('×入力'!$C$1:$L$700,216+DM$3,DM$2)&lt;&gt;"",1,0),0)</f>
        <v/>
      </c>
      <c r="DN24">
        <f>IF(DN$4=1,IF(INDEX('×入力'!$C$1:$L$700,216+DN$3,DN$2)&lt;&gt;"",1,0),0)</f>
        <v/>
      </c>
      <c r="DO24">
        <f>IF(DO$4=1,IF(INDEX('×入力'!$C$1:$L$700,216+DO$3,DO$2)&lt;&gt;"",1,0),0)</f>
        <v/>
      </c>
      <c r="DP24">
        <f>IF(DP$4=1,IF(INDEX('×入力'!$C$1:$L$700,216+DP$3,DP$2)&lt;&gt;"",1,0),0)</f>
        <v/>
      </c>
      <c r="DQ24">
        <f>IF(DQ$4=1,IF(INDEX('×入力'!$C$1:$L$700,216+DQ$3,DQ$2)&lt;&gt;"",1,0),0)</f>
        <v/>
      </c>
      <c r="DR24">
        <f>IF(DR$4=1,IF(INDEX('×入力'!$C$1:$L$700,216+DR$3,DR$2)&lt;&gt;"",1,0),0)</f>
        <v/>
      </c>
      <c r="DS24">
        <f>IF(DS$4=1,IF(INDEX('×入力'!$C$1:$L$700,216+DS$3,DS$2)&lt;&gt;"",1,0),0)</f>
        <v/>
      </c>
      <c r="DU24">
        <f>IFERROR(INDEX('計算B'!$C$3:$C$47,MATCH(A24,'計算B'!$B$3:$B$47,0)),0)</f>
        <v/>
      </c>
      <c r="DV24">
        <f>IF(AND(C24=1,DU24=0),1,0)</f>
        <v/>
      </c>
      <c r="DW24">
        <f>SUMPRODUCT(D74:DS74*(1-$D$7:$DS$7))</f>
        <v/>
      </c>
      <c r="DX24">
        <f>SUM(D24:DS24)</f>
        <v/>
      </c>
      <c r="DY24">
        <f>IF(B24="",0,IF(COUNTIF('割り当て'!$C$6:$L$17,B24)=1,SUMPRODUCT(('割り当て'!$C$6:$L$17=B24)*((COLUMN('割り当て'!$C$6:$L$17)-3)*12+ROW('割り当て'!$C$6:$L$17)-5)),0))</f>
        <v/>
      </c>
    </row>
    <row r="25">
      <c r="A25" t="n">
        <v>16</v>
      </c>
      <c r="B25">
        <f>'名簿'!E20</f>
        <v/>
      </c>
      <c r="C25">
        <f>IF(AND(B25&lt;&gt;"",OR('名簿'!F20="入力済み",'名簿'!F20="×なし"),DY25=0,COUNTIF('割り当て'!$C$6:$L$17,B25)=0),1,0)</f>
        <v/>
      </c>
      <c r="D25">
        <f>IF(D$4=1,IF(INDEX('×入力'!$C$1:$L$700,231+D$3,D$2)&lt;&gt;"",1,0),0)</f>
        <v/>
      </c>
      <c r="E25">
        <f>IF(E$4=1,IF(INDEX('×入力'!$C$1:$L$700,231+E$3,E$2)&lt;&gt;"",1,0),0)</f>
        <v/>
      </c>
      <c r="F25">
        <f>IF(F$4=1,IF(INDEX('×入力'!$C$1:$L$700,231+F$3,F$2)&lt;&gt;"",1,0),0)</f>
        <v/>
      </c>
      <c r="G25">
        <f>IF(G$4=1,IF(INDEX('×入力'!$C$1:$L$700,231+G$3,G$2)&lt;&gt;"",1,0),0)</f>
        <v/>
      </c>
      <c r="H25">
        <f>IF(H$4=1,IF(INDEX('×入力'!$C$1:$L$700,231+H$3,H$2)&lt;&gt;"",1,0),0)</f>
        <v/>
      </c>
      <c r="I25">
        <f>IF(I$4=1,IF(INDEX('×入力'!$C$1:$L$700,231+I$3,I$2)&lt;&gt;"",1,0),0)</f>
        <v/>
      </c>
      <c r="J25">
        <f>IF(J$4=1,IF(INDEX('×入力'!$C$1:$L$700,231+J$3,J$2)&lt;&gt;"",1,0),0)</f>
        <v/>
      </c>
      <c r="K25">
        <f>IF(K$4=1,IF(INDEX('×入力'!$C$1:$L$700,231+K$3,K$2)&lt;&gt;"",1,0),0)</f>
        <v/>
      </c>
      <c r="L25">
        <f>IF(L$4=1,IF(INDEX('×入力'!$C$1:$L$700,231+L$3,L$2)&lt;&gt;"",1,0),0)</f>
        <v/>
      </c>
      <c r="M25">
        <f>IF(M$4=1,IF(INDEX('×入力'!$C$1:$L$700,231+M$3,M$2)&lt;&gt;"",1,0),0)</f>
        <v/>
      </c>
      <c r="N25">
        <f>IF(N$4=1,IF(INDEX('×入力'!$C$1:$L$700,231+N$3,N$2)&lt;&gt;"",1,0),0)</f>
        <v/>
      </c>
      <c r="O25">
        <f>IF(O$4=1,IF(INDEX('×入力'!$C$1:$L$700,231+O$3,O$2)&lt;&gt;"",1,0),0)</f>
        <v/>
      </c>
      <c r="P25">
        <f>IF(P$4=1,IF(INDEX('×入力'!$C$1:$L$700,231+P$3,P$2)&lt;&gt;"",1,0),0)</f>
        <v/>
      </c>
      <c r="Q25">
        <f>IF(Q$4=1,IF(INDEX('×入力'!$C$1:$L$700,231+Q$3,Q$2)&lt;&gt;"",1,0),0)</f>
        <v/>
      </c>
      <c r="R25">
        <f>IF(R$4=1,IF(INDEX('×入力'!$C$1:$L$700,231+R$3,R$2)&lt;&gt;"",1,0),0)</f>
        <v/>
      </c>
      <c r="S25">
        <f>IF(S$4=1,IF(INDEX('×入力'!$C$1:$L$700,231+S$3,S$2)&lt;&gt;"",1,0),0)</f>
        <v/>
      </c>
      <c r="T25">
        <f>IF(T$4=1,IF(INDEX('×入力'!$C$1:$L$700,231+T$3,T$2)&lt;&gt;"",1,0),0)</f>
        <v/>
      </c>
      <c r="U25">
        <f>IF(U$4=1,IF(INDEX('×入力'!$C$1:$L$700,231+U$3,U$2)&lt;&gt;"",1,0),0)</f>
        <v/>
      </c>
      <c r="V25">
        <f>IF(V$4=1,IF(INDEX('×入力'!$C$1:$L$700,231+V$3,V$2)&lt;&gt;"",1,0),0)</f>
        <v/>
      </c>
      <c r="W25">
        <f>IF(W$4=1,IF(INDEX('×入力'!$C$1:$L$700,231+W$3,W$2)&lt;&gt;"",1,0),0)</f>
        <v/>
      </c>
      <c r="X25">
        <f>IF(X$4=1,IF(INDEX('×入力'!$C$1:$L$700,231+X$3,X$2)&lt;&gt;"",1,0),0)</f>
        <v/>
      </c>
      <c r="Y25">
        <f>IF(Y$4=1,IF(INDEX('×入力'!$C$1:$L$700,231+Y$3,Y$2)&lt;&gt;"",1,0),0)</f>
        <v/>
      </c>
      <c r="Z25">
        <f>IF(Z$4=1,IF(INDEX('×入力'!$C$1:$L$700,231+Z$3,Z$2)&lt;&gt;"",1,0),0)</f>
        <v/>
      </c>
      <c r="AA25">
        <f>IF(AA$4=1,IF(INDEX('×入力'!$C$1:$L$700,231+AA$3,AA$2)&lt;&gt;"",1,0),0)</f>
        <v/>
      </c>
      <c r="AB25">
        <f>IF(AB$4=1,IF(INDEX('×入力'!$C$1:$L$700,231+AB$3,AB$2)&lt;&gt;"",1,0),0)</f>
        <v/>
      </c>
      <c r="AC25">
        <f>IF(AC$4=1,IF(INDEX('×入力'!$C$1:$L$700,231+AC$3,AC$2)&lt;&gt;"",1,0),0)</f>
        <v/>
      </c>
      <c r="AD25">
        <f>IF(AD$4=1,IF(INDEX('×入力'!$C$1:$L$700,231+AD$3,AD$2)&lt;&gt;"",1,0),0)</f>
        <v/>
      </c>
      <c r="AE25">
        <f>IF(AE$4=1,IF(INDEX('×入力'!$C$1:$L$700,231+AE$3,AE$2)&lt;&gt;"",1,0),0)</f>
        <v/>
      </c>
      <c r="AF25">
        <f>IF(AF$4=1,IF(INDEX('×入力'!$C$1:$L$700,231+AF$3,AF$2)&lt;&gt;"",1,0),0)</f>
        <v/>
      </c>
      <c r="AG25">
        <f>IF(AG$4=1,IF(INDEX('×入力'!$C$1:$L$700,231+AG$3,AG$2)&lt;&gt;"",1,0),0)</f>
        <v/>
      </c>
      <c r="AH25">
        <f>IF(AH$4=1,IF(INDEX('×入力'!$C$1:$L$700,231+AH$3,AH$2)&lt;&gt;"",1,0),0)</f>
        <v/>
      </c>
      <c r="AI25">
        <f>IF(AI$4=1,IF(INDEX('×入力'!$C$1:$L$700,231+AI$3,AI$2)&lt;&gt;"",1,0),0)</f>
        <v/>
      </c>
      <c r="AJ25">
        <f>IF(AJ$4=1,IF(INDEX('×入力'!$C$1:$L$700,231+AJ$3,AJ$2)&lt;&gt;"",1,0),0)</f>
        <v/>
      </c>
      <c r="AK25">
        <f>IF(AK$4=1,IF(INDEX('×入力'!$C$1:$L$700,231+AK$3,AK$2)&lt;&gt;"",1,0),0)</f>
        <v/>
      </c>
      <c r="AL25">
        <f>IF(AL$4=1,IF(INDEX('×入力'!$C$1:$L$700,231+AL$3,AL$2)&lt;&gt;"",1,0),0)</f>
        <v/>
      </c>
      <c r="AM25">
        <f>IF(AM$4=1,IF(INDEX('×入力'!$C$1:$L$700,231+AM$3,AM$2)&lt;&gt;"",1,0),0)</f>
        <v/>
      </c>
      <c r="AN25">
        <f>IF(AN$4=1,IF(INDEX('×入力'!$C$1:$L$700,231+AN$3,AN$2)&lt;&gt;"",1,0),0)</f>
        <v/>
      </c>
      <c r="AO25">
        <f>IF(AO$4=1,IF(INDEX('×入力'!$C$1:$L$700,231+AO$3,AO$2)&lt;&gt;"",1,0),0)</f>
        <v/>
      </c>
      <c r="AP25">
        <f>IF(AP$4=1,IF(INDEX('×入力'!$C$1:$L$700,231+AP$3,AP$2)&lt;&gt;"",1,0),0)</f>
        <v/>
      </c>
      <c r="AQ25">
        <f>IF(AQ$4=1,IF(INDEX('×入力'!$C$1:$L$700,231+AQ$3,AQ$2)&lt;&gt;"",1,0),0)</f>
        <v/>
      </c>
      <c r="AR25">
        <f>IF(AR$4=1,IF(INDEX('×入力'!$C$1:$L$700,231+AR$3,AR$2)&lt;&gt;"",1,0),0)</f>
        <v/>
      </c>
      <c r="AS25">
        <f>IF(AS$4=1,IF(INDEX('×入力'!$C$1:$L$700,231+AS$3,AS$2)&lt;&gt;"",1,0),0)</f>
        <v/>
      </c>
      <c r="AT25">
        <f>IF(AT$4=1,IF(INDEX('×入力'!$C$1:$L$700,231+AT$3,AT$2)&lt;&gt;"",1,0),0)</f>
        <v/>
      </c>
      <c r="AU25">
        <f>IF(AU$4=1,IF(INDEX('×入力'!$C$1:$L$700,231+AU$3,AU$2)&lt;&gt;"",1,0),0)</f>
        <v/>
      </c>
      <c r="AV25">
        <f>IF(AV$4=1,IF(INDEX('×入力'!$C$1:$L$700,231+AV$3,AV$2)&lt;&gt;"",1,0),0)</f>
        <v/>
      </c>
      <c r="AW25">
        <f>IF(AW$4=1,IF(INDEX('×入力'!$C$1:$L$700,231+AW$3,AW$2)&lt;&gt;"",1,0),0)</f>
        <v/>
      </c>
      <c r="AX25">
        <f>IF(AX$4=1,IF(INDEX('×入力'!$C$1:$L$700,231+AX$3,AX$2)&lt;&gt;"",1,0),0)</f>
        <v/>
      </c>
      <c r="AY25">
        <f>IF(AY$4=1,IF(INDEX('×入力'!$C$1:$L$700,231+AY$3,AY$2)&lt;&gt;"",1,0),0)</f>
        <v/>
      </c>
      <c r="AZ25">
        <f>IF(AZ$4=1,IF(INDEX('×入力'!$C$1:$L$700,231+AZ$3,AZ$2)&lt;&gt;"",1,0),0)</f>
        <v/>
      </c>
      <c r="BA25">
        <f>IF(BA$4=1,IF(INDEX('×入力'!$C$1:$L$700,231+BA$3,BA$2)&lt;&gt;"",1,0),0)</f>
        <v/>
      </c>
      <c r="BB25">
        <f>IF(BB$4=1,IF(INDEX('×入力'!$C$1:$L$700,231+BB$3,BB$2)&lt;&gt;"",1,0),0)</f>
        <v/>
      </c>
      <c r="BC25">
        <f>IF(BC$4=1,IF(INDEX('×入力'!$C$1:$L$700,231+BC$3,BC$2)&lt;&gt;"",1,0),0)</f>
        <v/>
      </c>
      <c r="BD25">
        <f>IF(BD$4=1,IF(INDEX('×入力'!$C$1:$L$700,231+BD$3,BD$2)&lt;&gt;"",1,0),0)</f>
        <v/>
      </c>
      <c r="BE25">
        <f>IF(BE$4=1,IF(INDEX('×入力'!$C$1:$L$700,231+BE$3,BE$2)&lt;&gt;"",1,0),0)</f>
        <v/>
      </c>
      <c r="BF25">
        <f>IF(BF$4=1,IF(INDEX('×入力'!$C$1:$L$700,231+BF$3,BF$2)&lt;&gt;"",1,0),0)</f>
        <v/>
      </c>
      <c r="BG25">
        <f>IF(BG$4=1,IF(INDEX('×入力'!$C$1:$L$700,231+BG$3,BG$2)&lt;&gt;"",1,0),0)</f>
        <v/>
      </c>
      <c r="BH25">
        <f>IF(BH$4=1,IF(INDEX('×入力'!$C$1:$L$700,231+BH$3,BH$2)&lt;&gt;"",1,0),0)</f>
        <v/>
      </c>
      <c r="BI25">
        <f>IF(BI$4=1,IF(INDEX('×入力'!$C$1:$L$700,231+BI$3,BI$2)&lt;&gt;"",1,0),0)</f>
        <v/>
      </c>
      <c r="BJ25">
        <f>IF(BJ$4=1,IF(INDEX('×入力'!$C$1:$L$700,231+BJ$3,BJ$2)&lt;&gt;"",1,0),0)</f>
        <v/>
      </c>
      <c r="BK25">
        <f>IF(BK$4=1,IF(INDEX('×入力'!$C$1:$L$700,231+BK$3,BK$2)&lt;&gt;"",1,0),0)</f>
        <v/>
      </c>
      <c r="BL25">
        <f>IF(BL$4=1,IF(INDEX('×入力'!$C$1:$L$700,231+BL$3,BL$2)&lt;&gt;"",1,0),0)</f>
        <v/>
      </c>
      <c r="BM25">
        <f>IF(BM$4=1,IF(INDEX('×入力'!$C$1:$L$700,231+BM$3,BM$2)&lt;&gt;"",1,0),0)</f>
        <v/>
      </c>
      <c r="BN25">
        <f>IF(BN$4=1,IF(INDEX('×入力'!$C$1:$L$700,231+BN$3,BN$2)&lt;&gt;"",1,0),0)</f>
        <v/>
      </c>
      <c r="BO25">
        <f>IF(BO$4=1,IF(INDEX('×入力'!$C$1:$L$700,231+BO$3,BO$2)&lt;&gt;"",1,0),0)</f>
        <v/>
      </c>
      <c r="BP25">
        <f>IF(BP$4=1,IF(INDEX('×入力'!$C$1:$L$700,231+BP$3,BP$2)&lt;&gt;"",1,0),0)</f>
        <v/>
      </c>
      <c r="BQ25">
        <f>IF(BQ$4=1,IF(INDEX('×入力'!$C$1:$L$700,231+BQ$3,BQ$2)&lt;&gt;"",1,0),0)</f>
        <v/>
      </c>
      <c r="BR25">
        <f>IF(BR$4=1,IF(INDEX('×入力'!$C$1:$L$700,231+BR$3,BR$2)&lt;&gt;"",1,0),0)</f>
        <v/>
      </c>
      <c r="BS25">
        <f>IF(BS$4=1,IF(INDEX('×入力'!$C$1:$L$700,231+BS$3,BS$2)&lt;&gt;"",1,0),0)</f>
        <v/>
      </c>
      <c r="BT25">
        <f>IF(BT$4=1,IF(INDEX('×入力'!$C$1:$L$700,231+BT$3,BT$2)&lt;&gt;"",1,0),0)</f>
        <v/>
      </c>
      <c r="BU25">
        <f>IF(BU$4=1,IF(INDEX('×入力'!$C$1:$L$700,231+BU$3,BU$2)&lt;&gt;"",1,0),0)</f>
        <v/>
      </c>
      <c r="BV25">
        <f>IF(BV$4=1,IF(INDEX('×入力'!$C$1:$L$700,231+BV$3,BV$2)&lt;&gt;"",1,0),0)</f>
        <v/>
      </c>
      <c r="BW25">
        <f>IF(BW$4=1,IF(INDEX('×入力'!$C$1:$L$700,231+BW$3,BW$2)&lt;&gt;"",1,0),0)</f>
        <v/>
      </c>
      <c r="BX25">
        <f>IF(BX$4=1,IF(INDEX('×入力'!$C$1:$L$700,231+BX$3,BX$2)&lt;&gt;"",1,0),0)</f>
        <v/>
      </c>
      <c r="BY25">
        <f>IF(BY$4=1,IF(INDEX('×入力'!$C$1:$L$700,231+BY$3,BY$2)&lt;&gt;"",1,0),0)</f>
        <v/>
      </c>
      <c r="BZ25">
        <f>IF(BZ$4=1,IF(INDEX('×入力'!$C$1:$L$700,231+BZ$3,BZ$2)&lt;&gt;"",1,0),0)</f>
        <v/>
      </c>
      <c r="CA25">
        <f>IF(CA$4=1,IF(INDEX('×入力'!$C$1:$L$700,231+CA$3,CA$2)&lt;&gt;"",1,0),0)</f>
        <v/>
      </c>
      <c r="CB25">
        <f>IF(CB$4=1,IF(INDEX('×入力'!$C$1:$L$700,231+CB$3,CB$2)&lt;&gt;"",1,0),0)</f>
        <v/>
      </c>
      <c r="CC25">
        <f>IF(CC$4=1,IF(INDEX('×入力'!$C$1:$L$700,231+CC$3,CC$2)&lt;&gt;"",1,0),0)</f>
        <v/>
      </c>
      <c r="CD25">
        <f>IF(CD$4=1,IF(INDEX('×入力'!$C$1:$L$700,231+CD$3,CD$2)&lt;&gt;"",1,0),0)</f>
        <v/>
      </c>
      <c r="CE25">
        <f>IF(CE$4=1,IF(INDEX('×入力'!$C$1:$L$700,231+CE$3,CE$2)&lt;&gt;"",1,0),0)</f>
        <v/>
      </c>
      <c r="CF25">
        <f>IF(CF$4=1,IF(INDEX('×入力'!$C$1:$L$700,231+CF$3,CF$2)&lt;&gt;"",1,0),0)</f>
        <v/>
      </c>
      <c r="CG25">
        <f>IF(CG$4=1,IF(INDEX('×入力'!$C$1:$L$700,231+CG$3,CG$2)&lt;&gt;"",1,0),0)</f>
        <v/>
      </c>
      <c r="CH25">
        <f>IF(CH$4=1,IF(INDEX('×入力'!$C$1:$L$700,231+CH$3,CH$2)&lt;&gt;"",1,0),0)</f>
        <v/>
      </c>
      <c r="CI25">
        <f>IF(CI$4=1,IF(INDEX('×入力'!$C$1:$L$700,231+CI$3,CI$2)&lt;&gt;"",1,0),0)</f>
        <v/>
      </c>
      <c r="CJ25">
        <f>IF(CJ$4=1,IF(INDEX('×入力'!$C$1:$L$700,231+CJ$3,CJ$2)&lt;&gt;"",1,0),0)</f>
        <v/>
      </c>
      <c r="CK25">
        <f>IF(CK$4=1,IF(INDEX('×入力'!$C$1:$L$700,231+CK$3,CK$2)&lt;&gt;"",1,0),0)</f>
        <v/>
      </c>
      <c r="CL25">
        <f>IF(CL$4=1,IF(INDEX('×入力'!$C$1:$L$700,231+CL$3,CL$2)&lt;&gt;"",1,0),0)</f>
        <v/>
      </c>
      <c r="CM25">
        <f>IF(CM$4=1,IF(INDEX('×入力'!$C$1:$L$700,231+CM$3,CM$2)&lt;&gt;"",1,0),0)</f>
        <v/>
      </c>
      <c r="CN25">
        <f>IF(CN$4=1,IF(INDEX('×入力'!$C$1:$L$700,231+CN$3,CN$2)&lt;&gt;"",1,0),0)</f>
        <v/>
      </c>
      <c r="CO25">
        <f>IF(CO$4=1,IF(INDEX('×入力'!$C$1:$L$700,231+CO$3,CO$2)&lt;&gt;"",1,0),0)</f>
        <v/>
      </c>
      <c r="CP25">
        <f>IF(CP$4=1,IF(INDEX('×入力'!$C$1:$L$700,231+CP$3,CP$2)&lt;&gt;"",1,0),0)</f>
        <v/>
      </c>
      <c r="CQ25">
        <f>IF(CQ$4=1,IF(INDEX('×入力'!$C$1:$L$700,231+CQ$3,CQ$2)&lt;&gt;"",1,0),0)</f>
        <v/>
      </c>
      <c r="CR25">
        <f>IF(CR$4=1,IF(INDEX('×入力'!$C$1:$L$700,231+CR$3,CR$2)&lt;&gt;"",1,0),0)</f>
        <v/>
      </c>
      <c r="CS25">
        <f>IF(CS$4=1,IF(INDEX('×入力'!$C$1:$L$700,231+CS$3,CS$2)&lt;&gt;"",1,0),0)</f>
        <v/>
      </c>
      <c r="CT25">
        <f>IF(CT$4=1,IF(INDEX('×入力'!$C$1:$L$700,231+CT$3,CT$2)&lt;&gt;"",1,0),0)</f>
        <v/>
      </c>
      <c r="CU25">
        <f>IF(CU$4=1,IF(INDEX('×入力'!$C$1:$L$700,231+CU$3,CU$2)&lt;&gt;"",1,0),0)</f>
        <v/>
      </c>
      <c r="CV25">
        <f>IF(CV$4=1,IF(INDEX('×入力'!$C$1:$L$700,231+CV$3,CV$2)&lt;&gt;"",1,0),0)</f>
        <v/>
      </c>
      <c r="CW25">
        <f>IF(CW$4=1,IF(INDEX('×入力'!$C$1:$L$700,231+CW$3,CW$2)&lt;&gt;"",1,0),0)</f>
        <v/>
      </c>
      <c r="CX25">
        <f>IF(CX$4=1,IF(INDEX('×入力'!$C$1:$L$700,231+CX$3,CX$2)&lt;&gt;"",1,0),0)</f>
        <v/>
      </c>
      <c r="CY25">
        <f>IF(CY$4=1,IF(INDEX('×入力'!$C$1:$L$700,231+CY$3,CY$2)&lt;&gt;"",1,0),0)</f>
        <v/>
      </c>
      <c r="CZ25">
        <f>IF(CZ$4=1,IF(INDEX('×入力'!$C$1:$L$700,231+CZ$3,CZ$2)&lt;&gt;"",1,0),0)</f>
        <v/>
      </c>
      <c r="DA25">
        <f>IF(DA$4=1,IF(INDEX('×入力'!$C$1:$L$700,231+DA$3,DA$2)&lt;&gt;"",1,0),0)</f>
        <v/>
      </c>
      <c r="DB25">
        <f>IF(DB$4=1,IF(INDEX('×入力'!$C$1:$L$700,231+DB$3,DB$2)&lt;&gt;"",1,0),0)</f>
        <v/>
      </c>
      <c r="DC25">
        <f>IF(DC$4=1,IF(INDEX('×入力'!$C$1:$L$700,231+DC$3,DC$2)&lt;&gt;"",1,0),0)</f>
        <v/>
      </c>
      <c r="DD25">
        <f>IF(DD$4=1,IF(INDEX('×入力'!$C$1:$L$700,231+DD$3,DD$2)&lt;&gt;"",1,0),0)</f>
        <v/>
      </c>
      <c r="DE25">
        <f>IF(DE$4=1,IF(INDEX('×入力'!$C$1:$L$700,231+DE$3,DE$2)&lt;&gt;"",1,0),0)</f>
        <v/>
      </c>
      <c r="DF25">
        <f>IF(DF$4=1,IF(INDEX('×入力'!$C$1:$L$700,231+DF$3,DF$2)&lt;&gt;"",1,0),0)</f>
        <v/>
      </c>
      <c r="DG25">
        <f>IF(DG$4=1,IF(INDEX('×入力'!$C$1:$L$700,231+DG$3,DG$2)&lt;&gt;"",1,0),0)</f>
        <v/>
      </c>
      <c r="DH25">
        <f>IF(DH$4=1,IF(INDEX('×入力'!$C$1:$L$700,231+DH$3,DH$2)&lt;&gt;"",1,0),0)</f>
        <v/>
      </c>
      <c r="DI25">
        <f>IF(DI$4=1,IF(INDEX('×入力'!$C$1:$L$700,231+DI$3,DI$2)&lt;&gt;"",1,0),0)</f>
        <v/>
      </c>
      <c r="DJ25">
        <f>IF(DJ$4=1,IF(INDEX('×入力'!$C$1:$L$700,231+DJ$3,DJ$2)&lt;&gt;"",1,0),0)</f>
        <v/>
      </c>
      <c r="DK25">
        <f>IF(DK$4=1,IF(INDEX('×入力'!$C$1:$L$700,231+DK$3,DK$2)&lt;&gt;"",1,0),0)</f>
        <v/>
      </c>
      <c r="DL25">
        <f>IF(DL$4=1,IF(INDEX('×入力'!$C$1:$L$700,231+DL$3,DL$2)&lt;&gt;"",1,0),0)</f>
        <v/>
      </c>
      <c r="DM25">
        <f>IF(DM$4=1,IF(INDEX('×入力'!$C$1:$L$700,231+DM$3,DM$2)&lt;&gt;"",1,0),0)</f>
        <v/>
      </c>
      <c r="DN25">
        <f>IF(DN$4=1,IF(INDEX('×入力'!$C$1:$L$700,231+DN$3,DN$2)&lt;&gt;"",1,0),0)</f>
        <v/>
      </c>
      <c r="DO25">
        <f>IF(DO$4=1,IF(INDEX('×入力'!$C$1:$L$700,231+DO$3,DO$2)&lt;&gt;"",1,0),0)</f>
        <v/>
      </c>
      <c r="DP25">
        <f>IF(DP$4=1,IF(INDEX('×入力'!$C$1:$L$700,231+DP$3,DP$2)&lt;&gt;"",1,0),0)</f>
        <v/>
      </c>
      <c r="DQ25">
        <f>IF(DQ$4=1,IF(INDEX('×入力'!$C$1:$L$700,231+DQ$3,DQ$2)&lt;&gt;"",1,0),0)</f>
        <v/>
      </c>
      <c r="DR25">
        <f>IF(DR$4=1,IF(INDEX('×入力'!$C$1:$L$700,231+DR$3,DR$2)&lt;&gt;"",1,0),0)</f>
        <v/>
      </c>
      <c r="DS25">
        <f>IF(DS$4=1,IF(INDEX('×入力'!$C$1:$L$700,231+DS$3,DS$2)&lt;&gt;"",1,0),0)</f>
        <v/>
      </c>
      <c r="DU25">
        <f>IFERROR(INDEX('計算B'!$C$3:$C$47,MATCH(A25,'計算B'!$B$3:$B$47,0)),0)</f>
        <v/>
      </c>
      <c r="DV25">
        <f>IF(AND(C25=1,DU25=0),1,0)</f>
        <v/>
      </c>
      <c r="DW25">
        <f>SUMPRODUCT(D75:DS75*(1-$D$7:$DS$7))</f>
        <v/>
      </c>
      <c r="DX25">
        <f>SUM(D25:DS25)</f>
        <v/>
      </c>
      <c r="DY25">
        <f>IF(B25="",0,IF(COUNTIF('割り当て'!$C$6:$L$17,B25)=1,SUMPRODUCT(('割り当て'!$C$6:$L$17=B25)*((COLUMN('割り当て'!$C$6:$L$17)-3)*12+ROW('割り当て'!$C$6:$L$17)-5)),0))</f>
        <v/>
      </c>
    </row>
    <row r="26">
      <c r="A26" t="n">
        <v>17</v>
      </c>
      <c r="B26">
        <f>'名簿'!E21</f>
        <v/>
      </c>
      <c r="C26">
        <f>IF(AND(B26&lt;&gt;"",OR('名簿'!F21="入力済み",'名簿'!F21="×なし"),DY26=0,COUNTIF('割り当て'!$C$6:$L$17,B26)=0),1,0)</f>
        <v/>
      </c>
      <c r="D26">
        <f>IF(D$4=1,IF(INDEX('×入力'!$C$1:$L$700,246+D$3,D$2)&lt;&gt;"",1,0),0)</f>
        <v/>
      </c>
      <c r="E26">
        <f>IF(E$4=1,IF(INDEX('×入力'!$C$1:$L$700,246+E$3,E$2)&lt;&gt;"",1,0),0)</f>
        <v/>
      </c>
      <c r="F26">
        <f>IF(F$4=1,IF(INDEX('×入力'!$C$1:$L$700,246+F$3,F$2)&lt;&gt;"",1,0),0)</f>
        <v/>
      </c>
      <c r="G26">
        <f>IF(G$4=1,IF(INDEX('×入力'!$C$1:$L$700,246+G$3,G$2)&lt;&gt;"",1,0),0)</f>
        <v/>
      </c>
      <c r="H26">
        <f>IF(H$4=1,IF(INDEX('×入力'!$C$1:$L$700,246+H$3,H$2)&lt;&gt;"",1,0),0)</f>
        <v/>
      </c>
      <c r="I26">
        <f>IF(I$4=1,IF(INDEX('×入力'!$C$1:$L$700,246+I$3,I$2)&lt;&gt;"",1,0),0)</f>
        <v/>
      </c>
      <c r="J26">
        <f>IF(J$4=1,IF(INDEX('×入力'!$C$1:$L$700,246+J$3,J$2)&lt;&gt;"",1,0),0)</f>
        <v/>
      </c>
      <c r="K26">
        <f>IF(K$4=1,IF(INDEX('×入力'!$C$1:$L$700,246+K$3,K$2)&lt;&gt;"",1,0),0)</f>
        <v/>
      </c>
      <c r="L26">
        <f>IF(L$4=1,IF(INDEX('×入力'!$C$1:$L$700,246+L$3,L$2)&lt;&gt;"",1,0),0)</f>
        <v/>
      </c>
      <c r="M26">
        <f>IF(M$4=1,IF(INDEX('×入力'!$C$1:$L$700,246+M$3,M$2)&lt;&gt;"",1,0),0)</f>
        <v/>
      </c>
      <c r="N26">
        <f>IF(N$4=1,IF(INDEX('×入力'!$C$1:$L$700,246+N$3,N$2)&lt;&gt;"",1,0),0)</f>
        <v/>
      </c>
      <c r="O26">
        <f>IF(O$4=1,IF(INDEX('×入力'!$C$1:$L$700,246+O$3,O$2)&lt;&gt;"",1,0),0)</f>
        <v/>
      </c>
      <c r="P26">
        <f>IF(P$4=1,IF(INDEX('×入力'!$C$1:$L$700,246+P$3,P$2)&lt;&gt;"",1,0),0)</f>
        <v/>
      </c>
      <c r="Q26">
        <f>IF(Q$4=1,IF(INDEX('×入力'!$C$1:$L$700,246+Q$3,Q$2)&lt;&gt;"",1,0),0)</f>
        <v/>
      </c>
      <c r="R26">
        <f>IF(R$4=1,IF(INDEX('×入力'!$C$1:$L$700,246+R$3,R$2)&lt;&gt;"",1,0),0)</f>
        <v/>
      </c>
      <c r="S26">
        <f>IF(S$4=1,IF(INDEX('×入力'!$C$1:$L$700,246+S$3,S$2)&lt;&gt;"",1,0),0)</f>
        <v/>
      </c>
      <c r="T26">
        <f>IF(T$4=1,IF(INDEX('×入力'!$C$1:$L$700,246+T$3,T$2)&lt;&gt;"",1,0),0)</f>
        <v/>
      </c>
      <c r="U26">
        <f>IF(U$4=1,IF(INDEX('×入力'!$C$1:$L$700,246+U$3,U$2)&lt;&gt;"",1,0),0)</f>
        <v/>
      </c>
      <c r="V26">
        <f>IF(V$4=1,IF(INDEX('×入力'!$C$1:$L$700,246+V$3,V$2)&lt;&gt;"",1,0),0)</f>
        <v/>
      </c>
      <c r="W26">
        <f>IF(W$4=1,IF(INDEX('×入力'!$C$1:$L$700,246+W$3,W$2)&lt;&gt;"",1,0),0)</f>
        <v/>
      </c>
      <c r="X26">
        <f>IF(X$4=1,IF(INDEX('×入力'!$C$1:$L$700,246+X$3,X$2)&lt;&gt;"",1,0),0)</f>
        <v/>
      </c>
      <c r="Y26">
        <f>IF(Y$4=1,IF(INDEX('×入力'!$C$1:$L$700,246+Y$3,Y$2)&lt;&gt;"",1,0),0)</f>
        <v/>
      </c>
      <c r="Z26">
        <f>IF(Z$4=1,IF(INDEX('×入力'!$C$1:$L$700,246+Z$3,Z$2)&lt;&gt;"",1,0),0)</f>
        <v/>
      </c>
      <c r="AA26">
        <f>IF(AA$4=1,IF(INDEX('×入力'!$C$1:$L$700,246+AA$3,AA$2)&lt;&gt;"",1,0),0)</f>
        <v/>
      </c>
      <c r="AB26">
        <f>IF(AB$4=1,IF(INDEX('×入力'!$C$1:$L$700,246+AB$3,AB$2)&lt;&gt;"",1,0),0)</f>
        <v/>
      </c>
      <c r="AC26">
        <f>IF(AC$4=1,IF(INDEX('×入力'!$C$1:$L$700,246+AC$3,AC$2)&lt;&gt;"",1,0),0)</f>
        <v/>
      </c>
      <c r="AD26">
        <f>IF(AD$4=1,IF(INDEX('×入力'!$C$1:$L$700,246+AD$3,AD$2)&lt;&gt;"",1,0),0)</f>
        <v/>
      </c>
      <c r="AE26">
        <f>IF(AE$4=1,IF(INDEX('×入力'!$C$1:$L$700,246+AE$3,AE$2)&lt;&gt;"",1,0),0)</f>
        <v/>
      </c>
      <c r="AF26">
        <f>IF(AF$4=1,IF(INDEX('×入力'!$C$1:$L$700,246+AF$3,AF$2)&lt;&gt;"",1,0),0)</f>
        <v/>
      </c>
      <c r="AG26">
        <f>IF(AG$4=1,IF(INDEX('×入力'!$C$1:$L$700,246+AG$3,AG$2)&lt;&gt;"",1,0),0)</f>
        <v/>
      </c>
      <c r="AH26">
        <f>IF(AH$4=1,IF(INDEX('×入力'!$C$1:$L$700,246+AH$3,AH$2)&lt;&gt;"",1,0),0)</f>
        <v/>
      </c>
      <c r="AI26">
        <f>IF(AI$4=1,IF(INDEX('×入力'!$C$1:$L$700,246+AI$3,AI$2)&lt;&gt;"",1,0),0)</f>
        <v/>
      </c>
      <c r="AJ26">
        <f>IF(AJ$4=1,IF(INDEX('×入力'!$C$1:$L$700,246+AJ$3,AJ$2)&lt;&gt;"",1,0),0)</f>
        <v/>
      </c>
      <c r="AK26">
        <f>IF(AK$4=1,IF(INDEX('×入力'!$C$1:$L$700,246+AK$3,AK$2)&lt;&gt;"",1,0),0)</f>
        <v/>
      </c>
      <c r="AL26">
        <f>IF(AL$4=1,IF(INDEX('×入力'!$C$1:$L$700,246+AL$3,AL$2)&lt;&gt;"",1,0),0)</f>
        <v/>
      </c>
      <c r="AM26">
        <f>IF(AM$4=1,IF(INDEX('×入力'!$C$1:$L$700,246+AM$3,AM$2)&lt;&gt;"",1,0),0)</f>
        <v/>
      </c>
      <c r="AN26">
        <f>IF(AN$4=1,IF(INDEX('×入力'!$C$1:$L$700,246+AN$3,AN$2)&lt;&gt;"",1,0),0)</f>
        <v/>
      </c>
      <c r="AO26">
        <f>IF(AO$4=1,IF(INDEX('×入力'!$C$1:$L$700,246+AO$3,AO$2)&lt;&gt;"",1,0),0)</f>
        <v/>
      </c>
      <c r="AP26">
        <f>IF(AP$4=1,IF(INDEX('×入力'!$C$1:$L$700,246+AP$3,AP$2)&lt;&gt;"",1,0),0)</f>
        <v/>
      </c>
      <c r="AQ26">
        <f>IF(AQ$4=1,IF(INDEX('×入力'!$C$1:$L$700,246+AQ$3,AQ$2)&lt;&gt;"",1,0),0)</f>
        <v/>
      </c>
      <c r="AR26">
        <f>IF(AR$4=1,IF(INDEX('×入力'!$C$1:$L$700,246+AR$3,AR$2)&lt;&gt;"",1,0),0)</f>
        <v/>
      </c>
      <c r="AS26">
        <f>IF(AS$4=1,IF(INDEX('×入力'!$C$1:$L$700,246+AS$3,AS$2)&lt;&gt;"",1,0),0)</f>
        <v/>
      </c>
      <c r="AT26">
        <f>IF(AT$4=1,IF(INDEX('×入力'!$C$1:$L$700,246+AT$3,AT$2)&lt;&gt;"",1,0),0)</f>
        <v/>
      </c>
      <c r="AU26">
        <f>IF(AU$4=1,IF(INDEX('×入力'!$C$1:$L$700,246+AU$3,AU$2)&lt;&gt;"",1,0),0)</f>
        <v/>
      </c>
      <c r="AV26">
        <f>IF(AV$4=1,IF(INDEX('×入力'!$C$1:$L$700,246+AV$3,AV$2)&lt;&gt;"",1,0),0)</f>
        <v/>
      </c>
      <c r="AW26">
        <f>IF(AW$4=1,IF(INDEX('×入力'!$C$1:$L$700,246+AW$3,AW$2)&lt;&gt;"",1,0),0)</f>
        <v/>
      </c>
      <c r="AX26">
        <f>IF(AX$4=1,IF(INDEX('×入力'!$C$1:$L$700,246+AX$3,AX$2)&lt;&gt;"",1,0),0)</f>
        <v/>
      </c>
      <c r="AY26">
        <f>IF(AY$4=1,IF(INDEX('×入力'!$C$1:$L$700,246+AY$3,AY$2)&lt;&gt;"",1,0),0)</f>
        <v/>
      </c>
      <c r="AZ26">
        <f>IF(AZ$4=1,IF(INDEX('×入力'!$C$1:$L$700,246+AZ$3,AZ$2)&lt;&gt;"",1,0),0)</f>
        <v/>
      </c>
      <c r="BA26">
        <f>IF(BA$4=1,IF(INDEX('×入力'!$C$1:$L$700,246+BA$3,BA$2)&lt;&gt;"",1,0),0)</f>
        <v/>
      </c>
      <c r="BB26">
        <f>IF(BB$4=1,IF(INDEX('×入力'!$C$1:$L$700,246+BB$3,BB$2)&lt;&gt;"",1,0),0)</f>
        <v/>
      </c>
      <c r="BC26">
        <f>IF(BC$4=1,IF(INDEX('×入力'!$C$1:$L$700,246+BC$3,BC$2)&lt;&gt;"",1,0),0)</f>
        <v/>
      </c>
      <c r="BD26">
        <f>IF(BD$4=1,IF(INDEX('×入力'!$C$1:$L$700,246+BD$3,BD$2)&lt;&gt;"",1,0),0)</f>
        <v/>
      </c>
      <c r="BE26">
        <f>IF(BE$4=1,IF(INDEX('×入力'!$C$1:$L$700,246+BE$3,BE$2)&lt;&gt;"",1,0),0)</f>
        <v/>
      </c>
      <c r="BF26">
        <f>IF(BF$4=1,IF(INDEX('×入力'!$C$1:$L$700,246+BF$3,BF$2)&lt;&gt;"",1,0),0)</f>
        <v/>
      </c>
      <c r="BG26">
        <f>IF(BG$4=1,IF(INDEX('×入力'!$C$1:$L$700,246+BG$3,BG$2)&lt;&gt;"",1,0),0)</f>
        <v/>
      </c>
      <c r="BH26">
        <f>IF(BH$4=1,IF(INDEX('×入力'!$C$1:$L$700,246+BH$3,BH$2)&lt;&gt;"",1,0),0)</f>
        <v/>
      </c>
      <c r="BI26">
        <f>IF(BI$4=1,IF(INDEX('×入力'!$C$1:$L$700,246+BI$3,BI$2)&lt;&gt;"",1,0),0)</f>
        <v/>
      </c>
      <c r="BJ26">
        <f>IF(BJ$4=1,IF(INDEX('×入力'!$C$1:$L$700,246+BJ$3,BJ$2)&lt;&gt;"",1,0),0)</f>
        <v/>
      </c>
      <c r="BK26">
        <f>IF(BK$4=1,IF(INDEX('×入力'!$C$1:$L$700,246+BK$3,BK$2)&lt;&gt;"",1,0),0)</f>
        <v/>
      </c>
      <c r="BL26">
        <f>IF(BL$4=1,IF(INDEX('×入力'!$C$1:$L$700,246+BL$3,BL$2)&lt;&gt;"",1,0),0)</f>
        <v/>
      </c>
      <c r="BM26">
        <f>IF(BM$4=1,IF(INDEX('×入力'!$C$1:$L$700,246+BM$3,BM$2)&lt;&gt;"",1,0),0)</f>
        <v/>
      </c>
      <c r="BN26">
        <f>IF(BN$4=1,IF(INDEX('×入力'!$C$1:$L$700,246+BN$3,BN$2)&lt;&gt;"",1,0),0)</f>
        <v/>
      </c>
      <c r="BO26">
        <f>IF(BO$4=1,IF(INDEX('×入力'!$C$1:$L$700,246+BO$3,BO$2)&lt;&gt;"",1,0),0)</f>
        <v/>
      </c>
      <c r="BP26">
        <f>IF(BP$4=1,IF(INDEX('×入力'!$C$1:$L$700,246+BP$3,BP$2)&lt;&gt;"",1,0),0)</f>
        <v/>
      </c>
      <c r="BQ26">
        <f>IF(BQ$4=1,IF(INDEX('×入力'!$C$1:$L$700,246+BQ$3,BQ$2)&lt;&gt;"",1,0),0)</f>
        <v/>
      </c>
      <c r="BR26">
        <f>IF(BR$4=1,IF(INDEX('×入力'!$C$1:$L$700,246+BR$3,BR$2)&lt;&gt;"",1,0),0)</f>
        <v/>
      </c>
      <c r="BS26">
        <f>IF(BS$4=1,IF(INDEX('×入力'!$C$1:$L$700,246+BS$3,BS$2)&lt;&gt;"",1,0),0)</f>
        <v/>
      </c>
      <c r="BT26">
        <f>IF(BT$4=1,IF(INDEX('×入力'!$C$1:$L$700,246+BT$3,BT$2)&lt;&gt;"",1,0),0)</f>
        <v/>
      </c>
      <c r="BU26">
        <f>IF(BU$4=1,IF(INDEX('×入力'!$C$1:$L$700,246+BU$3,BU$2)&lt;&gt;"",1,0),0)</f>
        <v/>
      </c>
      <c r="BV26">
        <f>IF(BV$4=1,IF(INDEX('×入力'!$C$1:$L$700,246+BV$3,BV$2)&lt;&gt;"",1,0),0)</f>
        <v/>
      </c>
      <c r="BW26">
        <f>IF(BW$4=1,IF(INDEX('×入力'!$C$1:$L$700,246+BW$3,BW$2)&lt;&gt;"",1,0),0)</f>
        <v/>
      </c>
      <c r="BX26">
        <f>IF(BX$4=1,IF(INDEX('×入力'!$C$1:$L$700,246+BX$3,BX$2)&lt;&gt;"",1,0),0)</f>
        <v/>
      </c>
      <c r="BY26">
        <f>IF(BY$4=1,IF(INDEX('×入力'!$C$1:$L$700,246+BY$3,BY$2)&lt;&gt;"",1,0),0)</f>
        <v/>
      </c>
      <c r="BZ26">
        <f>IF(BZ$4=1,IF(INDEX('×入力'!$C$1:$L$700,246+BZ$3,BZ$2)&lt;&gt;"",1,0),0)</f>
        <v/>
      </c>
      <c r="CA26">
        <f>IF(CA$4=1,IF(INDEX('×入力'!$C$1:$L$700,246+CA$3,CA$2)&lt;&gt;"",1,0),0)</f>
        <v/>
      </c>
      <c r="CB26">
        <f>IF(CB$4=1,IF(INDEX('×入力'!$C$1:$L$700,246+CB$3,CB$2)&lt;&gt;"",1,0),0)</f>
        <v/>
      </c>
      <c r="CC26">
        <f>IF(CC$4=1,IF(INDEX('×入力'!$C$1:$L$700,246+CC$3,CC$2)&lt;&gt;"",1,0),0)</f>
        <v/>
      </c>
      <c r="CD26">
        <f>IF(CD$4=1,IF(INDEX('×入力'!$C$1:$L$700,246+CD$3,CD$2)&lt;&gt;"",1,0),0)</f>
        <v/>
      </c>
      <c r="CE26">
        <f>IF(CE$4=1,IF(INDEX('×入力'!$C$1:$L$700,246+CE$3,CE$2)&lt;&gt;"",1,0),0)</f>
        <v/>
      </c>
      <c r="CF26">
        <f>IF(CF$4=1,IF(INDEX('×入力'!$C$1:$L$700,246+CF$3,CF$2)&lt;&gt;"",1,0),0)</f>
        <v/>
      </c>
      <c r="CG26">
        <f>IF(CG$4=1,IF(INDEX('×入力'!$C$1:$L$700,246+CG$3,CG$2)&lt;&gt;"",1,0),0)</f>
        <v/>
      </c>
      <c r="CH26">
        <f>IF(CH$4=1,IF(INDEX('×入力'!$C$1:$L$700,246+CH$3,CH$2)&lt;&gt;"",1,0),0)</f>
        <v/>
      </c>
      <c r="CI26">
        <f>IF(CI$4=1,IF(INDEX('×入力'!$C$1:$L$700,246+CI$3,CI$2)&lt;&gt;"",1,0),0)</f>
        <v/>
      </c>
      <c r="CJ26">
        <f>IF(CJ$4=1,IF(INDEX('×入力'!$C$1:$L$700,246+CJ$3,CJ$2)&lt;&gt;"",1,0),0)</f>
        <v/>
      </c>
      <c r="CK26">
        <f>IF(CK$4=1,IF(INDEX('×入力'!$C$1:$L$700,246+CK$3,CK$2)&lt;&gt;"",1,0),0)</f>
        <v/>
      </c>
      <c r="CL26">
        <f>IF(CL$4=1,IF(INDEX('×入力'!$C$1:$L$700,246+CL$3,CL$2)&lt;&gt;"",1,0),0)</f>
        <v/>
      </c>
      <c r="CM26">
        <f>IF(CM$4=1,IF(INDEX('×入力'!$C$1:$L$700,246+CM$3,CM$2)&lt;&gt;"",1,0),0)</f>
        <v/>
      </c>
      <c r="CN26">
        <f>IF(CN$4=1,IF(INDEX('×入力'!$C$1:$L$700,246+CN$3,CN$2)&lt;&gt;"",1,0),0)</f>
        <v/>
      </c>
      <c r="CO26">
        <f>IF(CO$4=1,IF(INDEX('×入力'!$C$1:$L$700,246+CO$3,CO$2)&lt;&gt;"",1,0),0)</f>
        <v/>
      </c>
      <c r="CP26">
        <f>IF(CP$4=1,IF(INDEX('×入力'!$C$1:$L$700,246+CP$3,CP$2)&lt;&gt;"",1,0),0)</f>
        <v/>
      </c>
      <c r="CQ26">
        <f>IF(CQ$4=1,IF(INDEX('×入力'!$C$1:$L$700,246+CQ$3,CQ$2)&lt;&gt;"",1,0),0)</f>
        <v/>
      </c>
      <c r="CR26">
        <f>IF(CR$4=1,IF(INDEX('×入力'!$C$1:$L$700,246+CR$3,CR$2)&lt;&gt;"",1,0),0)</f>
        <v/>
      </c>
      <c r="CS26">
        <f>IF(CS$4=1,IF(INDEX('×入力'!$C$1:$L$700,246+CS$3,CS$2)&lt;&gt;"",1,0),0)</f>
        <v/>
      </c>
      <c r="CT26">
        <f>IF(CT$4=1,IF(INDEX('×入力'!$C$1:$L$700,246+CT$3,CT$2)&lt;&gt;"",1,0),0)</f>
        <v/>
      </c>
      <c r="CU26">
        <f>IF(CU$4=1,IF(INDEX('×入力'!$C$1:$L$700,246+CU$3,CU$2)&lt;&gt;"",1,0),0)</f>
        <v/>
      </c>
      <c r="CV26">
        <f>IF(CV$4=1,IF(INDEX('×入力'!$C$1:$L$700,246+CV$3,CV$2)&lt;&gt;"",1,0),0)</f>
        <v/>
      </c>
      <c r="CW26">
        <f>IF(CW$4=1,IF(INDEX('×入力'!$C$1:$L$700,246+CW$3,CW$2)&lt;&gt;"",1,0),0)</f>
        <v/>
      </c>
      <c r="CX26">
        <f>IF(CX$4=1,IF(INDEX('×入力'!$C$1:$L$700,246+CX$3,CX$2)&lt;&gt;"",1,0),0)</f>
        <v/>
      </c>
      <c r="CY26">
        <f>IF(CY$4=1,IF(INDEX('×入力'!$C$1:$L$700,246+CY$3,CY$2)&lt;&gt;"",1,0),0)</f>
        <v/>
      </c>
      <c r="CZ26">
        <f>IF(CZ$4=1,IF(INDEX('×入力'!$C$1:$L$700,246+CZ$3,CZ$2)&lt;&gt;"",1,0),0)</f>
        <v/>
      </c>
      <c r="DA26">
        <f>IF(DA$4=1,IF(INDEX('×入力'!$C$1:$L$700,246+DA$3,DA$2)&lt;&gt;"",1,0),0)</f>
        <v/>
      </c>
      <c r="DB26">
        <f>IF(DB$4=1,IF(INDEX('×入力'!$C$1:$L$700,246+DB$3,DB$2)&lt;&gt;"",1,0),0)</f>
        <v/>
      </c>
      <c r="DC26">
        <f>IF(DC$4=1,IF(INDEX('×入力'!$C$1:$L$700,246+DC$3,DC$2)&lt;&gt;"",1,0),0)</f>
        <v/>
      </c>
      <c r="DD26">
        <f>IF(DD$4=1,IF(INDEX('×入力'!$C$1:$L$700,246+DD$3,DD$2)&lt;&gt;"",1,0),0)</f>
        <v/>
      </c>
      <c r="DE26">
        <f>IF(DE$4=1,IF(INDEX('×入力'!$C$1:$L$700,246+DE$3,DE$2)&lt;&gt;"",1,0),0)</f>
        <v/>
      </c>
      <c r="DF26">
        <f>IF(DF$4=1,IF(INDEX('×入力'!$C$1:$L$700,246+DF$3,DF$2)&lt;&gt;"",1,0),0)</f>
        <v/>
      </c>
      <c r="DG26">
        <f>IF(DG$4=1,IF(INDEX('×入力'!$C$1:$L$700,246+DG$3,DG$2)&lt;&gt;"",1,0),0)</f>
        <v/>
      </c>
      <c r="DH26">
        <f>IF(DH$4=1,IF(INDEX('×入力'!$C$1:$L$700,246+DH$3,DH$2)&lt;&gt;"",1,0),0)</f>
        <v/>
      </c>
      <c r="DI26">
        <f>IF(DI$4=1,IF(INDEX('×入力'!$C$1:$L$700,246+DI$3,DI$2)&lt;&gt;"",1,0),0)</f>
        <v/>
      </c>
      <c r="DJ26">
        <f>IF(DJ$4=1,IF(INDEX('×入力'!$C$1:$L$700,246+DJ$3,DJ$2)&lt;&gt;"",1,0),0)</f>
        <v/>
      </c>
      <c r="DK26">
        <f>IF(DK$4=1,IF(INDEX('×入力'!$C$1:$L$700,246+DK$3,DK$2)&lt;&gt;"",1,0),0)</f>
        <v/>
      </c>
      <c r="DL26">
        <f>IF(DL$4=1,IF(INDEX('×入力'!$C$1:$L$700,246+DL$3,DL$2)&lt;&gt;"",1,0),0)</f>
        <v/>
      </c>
      <c r="DM26">
        <f>IF(DM$4=1,IF(INDEX('×入力'!$C$1:$L$700,246+DM$3,DM$2)&lt;&gt;"",1,0),0)</f>
        <v/>
      </c>
      <c r="DN26">
        <f>IF(DN$4=1,IF(INDEX('×入力'!$C$1:$L$700,246+DN$3,DN$2)&lt;&gt;"",1,0),0)</f>
        <v/>
      </c>
      <c r="DO26">
        <f>IF(DO$4=1,IF(INDEX('×入力'!$C$1:$L$700,246+DO$3,DO$2)&lt;&gt;"",1,0),0)</f>
        <v/>
      </c>
      <c r="DP26">
        <f>IF(DP$4=1,IF(INDEX('×入力'!$C$1:$L$700,246+DP$3,DP$2)&lt;&gt;"",1,0),0)</f>
        <v/>
      </c>
      <c r="DQ26">
        <f>IF(DQ$4=1,IF(INDEX('×入力'!$C$1:$L$700,246+DQ$3,DQ$2)&lt;&gt;"",1,0),0)</f>
        <v/>
      </c>
      <c r="DR26">
        <f>IF(DR$4=1,IF(INDEX('×入力'!$C$1:$L$700,246+DR$3,DR$2)&lt;&gt;"",1,0),0)</f>
        <v/>
      </c>
      <c r="DS26">
        <f>IF(DS$4=1,IF(INDEX('×入力'!$C$1:$L$700,246+DS$3,DS$2)&lt;&gt;"",1,0),0)</f>
        <v/>
      </c>
      <c r="DU26">
        <f>IFERROR(INDEX('計算B'!$C$3:$C$47,MATCH(A26,'計算B'!$B$3:$B$47,0)),0)</f>
        <v/>
      </c>
      <c r="DV26">
        <f>IF(AND(C26=1,DU26=0),1,0)</f>
        <v/>
      </c>
      <c r="DW26">
        <f>SUMPRODUCT(D76:DS76*(1-$D$7:$DS$7))</f>
        <v/>
      </c>
      <c r="DX26">
        <f>SUM(D26:DS26)</f>
        <v/>
      </c>
      <c r="DY26">
        <f>IF(B26="",0,IF(COUNTIF('割り当て'!$C$6:$L$17,B26)=1,SUMPRODUCT(('割り当て'!$C$6:$L$17=B26)*((COLUMN('割り当て'!$C$6:$L$17)-3)*12+ROW('割り当て'!$C$6:$L$17)-5)),0))</f>
        <v/>
      </c>
    </row>
    <row r="27">
      <c r="A27" t="n">
        <v>18</v>
      </c>
      <c r="B27">
        <f>'名簿'!E22</f>
        <v/>
      </c>
      <c r="C27">
        <f>IF(AND(B27&lt;&gt;"",OR('名簿'!F22="入力済み",'名簿'!F22="×なし"),DY27=0,COUNTIF('割り当て'!$C$6:$L$17,B27)=0),1,0)</f>
        <v/>
      </c>
      <c r="D27">
        <f>IF(D$4=1,IF(INDEX('×入力'!$C$1:$L$700,261+D$3,D$2)&lt;&gt;"",1,0),0)</f>
        <v/>
      </c>
      <c r="E27">
        <f>IF(E$4=1,IF(INDEX('×入力'!$C$1:$L$700,261+E$3,E$2)&lt;&gt;"",1,0),0)</f>
        <v/>
      </c>
      <c r="F27">
        <f>IF(F$4=1,IF(INDEX('×入力'!$C$1:$L$700,261+F$3,F$2)&lt;&gt;"",1,0),0)</f>
        <v/>
      </c>
      <c r="G27">
        <f>IF(G$4=1,IF(INDEX('×入力'!$C$1:$L$700,261+G$3,G$2)&lt;&gt;"",1,0),0)</f>
        <v/>
      </c>
      <c r="H27">
        <f>IF(H$4=1,IF(INDEX('×入力'!$C$1:$L$700,261+H$3,H$2)&lt;&gt;"",1,0),0)</f>
        <v/>
      </c>
      <c r="I27">
        <f>IF(I$4=1,IF(INDEX('×入力'!$C$1:$L$700,261+I$3,I$2)&lt;&gt;"",1,0),0)</f>
        <v/>
      </c>
      <c r="J27">
        <f>IF(J$4=1,IF(INDEX('×入力'!$C$1:$L$700,261+J$3,J$2)&lt;&gt;"",1,0),0)</f>
        <v/>
      </c>
      <c r="K27">
        <f>IF(K$4=1,IF(INDEX('×入力'!$C$1:$L$700,261+K$3,K$2)&lt;&gt;"",1,0),0)</f>
        <v/>
      </c>
      <c r="L27">
        <f>IF(L$4=1,IF(INDEX('×入力'!$C$1:$L$700,261+L$3,L$2)&lt;&gt;"",1,0),0)</f>
        <v/>
      </c>
      <c r="M27">
        <f>IF(M$4=1,IF(INDEX('×入力'!$C$1:$L$700,261+M$3,M$2)&lt;&gt;"",1,0),0)</f>
        <v/>
      </c>
      <c r="N27">
        <f>IF(N$4=1,IF(INDEX('×入力'!$C$1:$L$700,261+N$3,N$2)&lt;&gt;"",1,0),0)</f>
        <v/>
      </c>
      <c r="O27">
        <f>IF(O$4=1,IF(INDEX('×入力'!$C$1:$L$700,261+O$3,O$2)&lt;&gt;"",1,0),0)</f>
        <v/>
      </c>
      <c r="P27">
        <f>IF(P$4=1,IF(INDEX('×入力'!$C$1:$L$700,261+P$3,P$2)&lt;&gt;"",1,0),0)</f>
        <v/>
      </c>
      <c r="Q27">
        <f>IF(Q$4=1,IF(INDEX('×入力'!$C$1:$L$700,261+Q$3,Q$2)&lt;&gt;"",1,0),0)</f>
        <v/>
      </c>
      <c r="R27">
        <f>IF(R$4=1,IF(INDEX('×入力'!$C$1:$L$700,261+R$3,R$2)&lt;&gt;"",1,0),0)</f>
        <v/>
      </c>
      <c r="S27">
        <f>IF(S$4=1,IF(INDEX('×入力'!$C$1:$L$700,261+S$3,S$2)&lt;&gt;"",1,0),0)</f>
        <v/>
      </c>
      <c r="T27">
        <f>IF(T$4=1,IF(INDEX('×入力'!$C$1:$L$700,261+T$3,T$2)&lt;&gt;"",1,0),0)</f>
        <v/>
      </c>
      <c r="U27">
        <f>IF(U$4=1,IF(INDEX('×入力'!$C$1:$L$700,261+U$3,U$2)&lt;&gt;"",1,0),0)</f>
        <v/>
      </c>
      <c r="V27">
        <f>IF(V$4=1,IF(INDEX('×入力'!$C$1:$L$700,261+V$3,V$2)&lt;&gt;"",1,0),0)</f>
        <v/>
      </c>
      <c r="W27">
        <f>IF(W$4=1,IF(INDEX('×入力'!$C$1:$L$700,261+W$3,W$2)&lt;&gt;"",1,0),0)</f>
        <v/>
      </c>
      <c r="X27">
        <f>IF(X$4=1,IF(INDEX('×入力'!$C$1:$L$700,261+X$3,X$2)&lt;&gt;"",1,0),0)</f>
        <v/>
      </c>
      <c r="Y27">
        <f>IF(Y$4=1,IF(INDEX('×入力'!$C$1:$L$700,261+Y$3,Y$2)&lt;&gt;"",1,0),0)</f>
        <v/>
      </c>
      <c r="Z27">
        <f>IF(Z$4=1,IF(INDEX('×入力'!$C$1:$L$700,261+Z$3,Z$2)&lt;&gt;"",1,0),0)</f>
        <v/>
      </c>
      <c r="AA27">
        <f>IF(AA$4=1,IF(INDEX('×入力'!$C$1:$L$700,261+AA$3,AA$2)&lt;&gt;"",1,0),0)</f>
        <v/>
      </c>
      <c r="AB27">
        <f>IF(AB$4=1,IF(INDEX('×入力'!$C$1:$L$700,261+AB$3,AB$2)&lt;&gt;"",1,0),0)</f>
        <v/>
      </c>
      <c r="AC27">
        <f>IF(AC$4=1,IF(INDEX('×入力'!$C$1:$L$700,261+AC$3,AC$2)&lt;&gt;"",1,0),0)</f>
        <v/>
      </c>
      <c r="AD27">
        <f>IF(AD$4=1,IF(INDEX('×入力'!$C$1:$L$700,261+AD$3,AD$2)&lt;&gt;"",1,0),0)</f>
        <v/>
      </c>
      <c r="AE27">
        <f>IF(AE$4=1,IF(INDEX('×入力'!$C$1:$L$700,261+AE$3,AE$2)&lt;&gt;"",1,0),0)</f>
        <v/>
      </c>
      <c r="AF27">
        <f>IF(AF$4=1,IF(INDEX('×入力'!$C$1:$L$700,261+AF$3,AF$2)&lt;&gt;"",1,0),0)</f>
        <v/>
      </c>
      <c r="AG27">
        <f>IF(AG$4=1,IF(INDEX('×入力'!$C$1:$L$700,261+AG$3,AG$2)&lt;&gt;"",1,0),0)</f>
        <v/>
      </c>
      <c r="AH27">
        <f>IF(AH$4=1,IF(INDEX('×入力'!$C$1:$L$700,261+AH$3,AH$2)&lt;&gt;"",1,0),0)</f>
        <v/>
      </c>
      <c r="AI27">
        <f>IF(AI$4=1,IF(INDEX('×入力'!$C$1:$L$700,261+AI$3,AI$2)&lt;&gt;"",1,0),0)</f>
        <v/>
      </c>
      <c r="AJ27">
        <f>IF(AJ$4=1,IF(INDEX('×入力'!$C$1:$L$700,261+AJ$3,AJ$2)&lt;&gt;"",1,0),0)</f>
        <v/>
      </c>
      <c r="AK27">
        <f>IF(AK$4=1,IF(INDEX('×入力'!$C$1:$L$700,261+AK$3,AK$2)&lt;&gt;"",1,0),0)</f>
        <v/>
      </c>
      <c r="AL27">
        <f>IF(AL$4=1,IF(INDEX('×入力'!$C$1:$L$700,261+AL$3,AL$2)&lt;&gt;"",1,0),0)</f>
        <v/>
      </c>
      <c r="AM27">
        <f>IF(AM$4=1,IF(INDEX('×入力'!$C$1:$L$700,261+AM$3,AM$2)&lt;&gt;"",1,0),0)</f>
        <v/>
      </c>
      <c r="AN27">
        <f>IF(AN$4=1,IF(INDEX('×入力'!$C$1:$L$700,261+AN$3,AN$2)&lt;&gt;"",1,0),0)</f>
        <v/>
      </c>
      <c r="AO27">
        <f>IF(AO$4=1,IF(INDEX('×入力'!$C$1:$L$700,261+AO$3,AO$2)&lt;&gt;"",1,0),0)</f>
        <v/>
      </c>
      <c r="AP27">
        <f>IF(AP$4=1,IF(INDEX('×入力'!$C$1:$L$700,261+AP$3,AP$2)&lt;&gt;"",1,0),0)</f>
        <v/>
      </c>
      <c r="AQ27">
        <f>IF(AQ$4=1,IF(INDEX('×入力'!$C$1:$L$700,261+AQ$3,AQ$2)&lt;&gt;"",1,0),0)</f>
        <v/>
      </c>
      <c r="AR27">
        <f>IF(AR$4=1,IF(INDEX('×入力'!$C$1:$L$700,261+AR$3,AR$2)&lt;&gt;"",1,0),0)</f>
        <v/>
      </c>
      <c r="AS27">
        <f>IF(AS$4=1,IF(INDEX('×入力'!$C$1:$L$700,261+AS$3,AS$2)&lt;&gt;"",1,0),0)</f>
        <v/>
      </c>
      <c r="AT27">
        <f>IF(AT$4=1,IF(INDEX('×入力'!$C$1:$L$700,261+AT$3,AT$2)&lt;&gt;"",1,0),0)</f>
        <v/>
      </c>
      <c r="AU27">
        <f>IF(AU$4=1,IF(INDEX('×入力'!$C$1:$L$700,261+AU$3,AU$2)&lt;&gt;"",1,0),0)</f>
        <v/>
      </c>
      <c r="AV27">
        <f>IF(AV$4=1,IF(INDEX('×入力'!$C$1:$L$700,261+AV$3,AV$2)&lt;&gt;"",1,0),0)</f>
        <v/>
      </c>
      <c r="AW27">
        <f>IF(AW$4=1,IF(INDEX('×入力'!$C$1:$L$700,261+AW$3,AW$2)&lt;&gt;"",1,0),0)</f>
        <v/>
      </c>
      <c r="AX27">
        <f>IF(AX$4=1,IF(INDEX('×入力'!$C$1:$L$700,261+AX$3,AX$2)&lt;&gt;"",1,0),0)</f>
        <v/>
      </c>
      <c r="AY27">
        <f>IF(AY$4=1,IF(INDEX('×入力'!$C$1:$L$700,261+AY$3,AY$2)&lt;&gt;"",1,0),0)</f>
        <v/>
      </c>
      <c r="AZ27">
        <f>IF(AZ$4=1,IF(INDEX('×入力'!$C$1:$L$700,261+AZ$3,AZ$2)&lt;&gt;"",1,0),0)</f>
        <v/>
      </c>
      <c r="BA27">
        <f>IF(BA$4=1,IF(INDEX('×入力'!$C$1:$L$700,261+BA$3,BA$2)&lt;&gt;"",1,0),0)</f>
        <v/>
      </c>
      <c r="BB27">
        <f>IF(BB$4=1,IF(INDEX('×入力'!$C$1:$L$700,261+BB$3,BB$2)&lt;&gt;"",1,0),0)</f>
        <v/>
      </c>
      <c r="BC27">
        <f>IF(BC$4=1,IF(INDEX('×入力'!$C$1:$L$700,261+BC$3,BC$2)&lt;&gt;"",1,0),0)</f>
        <v/>
      </c>
      <c r="BD27">
        <f>IF(BD$4=1,IF(INDEX('×入力'!$C$1:$L$700,261+BD$3,BD$2)&lt;&gt;"",1,0),0)</f>
        <v/>
      </c>
      <c r="BE27">
        <f>IF(BE$4=1,IF(INDEX('×入力'!$C$1:$L$700,261+BE$3,BE$2)&lt;&gt;"",1,0),0)</f>
        <v/>
      </c>
      <c r="BF27">
        <f>IF(BF$4=1,IF(INDEX('×入力'!$C$1:$L$700,261+BF$3,BF$2)&lt;&gt;"",1,0),0)</f>
        <v/>
      </c>
      <c r="BG27">
        <f>IF(BG$4=1,IF(INDEX('×入力'!$C$1:$L$700,261+BG$3,BG$2)&lt;&gt;"",1,0),0)</f>
        <v/>
      </c>
      <c r="BH27">
        <f>IF(BH$4=1,IF(INDEX('×入力'!$C$1:$L$700,261+BH$3,BH$2)&lt;&gt;"",1,0),0)</f>
        <v/>
      </c>
      <c r="BI27">
        <f>IF(BI$4=1,IF(INDEX('×入力'!$C$1:$L$700,261+BI$3,BI$2)&lt;&gt;"",1,0),0)</f>
        <v/>
      </c>
      <c r="BJ27">
        <f>IF(BJ$4=1,IF(INDEX('×入力'!$C$1:$L$700,261+BJ$3,BJ$2)&lt;&gt;"",1,0),0)</f>
        <v/>
      </c>
      <c r="BK27">
        <f>IF(BK$4=1,IF(INDEX('×入力'!$C$1:$L$700,261+BK$3,BK$2)&lt;&gt;"",1,0),0)</f>
        <v/>
      </c>
      <c r="BL27">
        <f>IF(BL$4=1,IF(INDEX('×入力'!$C$1:$L$700,261+BL$3,BL$2)&lt;&gt;"",1,0),0)</f>
        <v/>
      </c>
      <c r="BM27">
        <f>IF(BM$4=1,IF(INDEX('×入力'!$C$1:$L$700,261+BM$3,BM$2)&lt;&gt;"",1,0),0)</f>
        <v/>
      </c>
      <c r="BN27">
        <f>IF(BN$4=1,IF(INDEX('×入力'!$C$1:$L$700,261+BN$3,BN$2)&lt;&gt;"",1,0),0)</f>
        <v/>
      </c>
      <c r="BO27">
        <f>IF(BO$4=1,IF(INDEX('×入力'!$C$1:$L$700,261+BO$3,BO$2)&lt;&gt;"",1,0),0)</f>
        <v/>
      </c>
      <c r="BP27">
        <f>IF(BP$4=1,IF(INDEX('×入力'!$C$1:$L$700,261+BP$3,BP$2)&lt;&gt;"",1,0),0)</f>
        <v/>
      </c>
      <c r="BQ27">
        <f>IF(BQ$4=1,IF(INDEX('×入力'!$C$1:$L$700,261+BQ$3,BQ$2)&lt;&gt;"",1,0),0)</f>
        <v/>
      </c>
      <c r="BR27">
        <f>IF(BR$4=1,IF(INDEX('×入力'!$C$1:$L$700,261+BR$3,BR$2)&lt;&gt;"",1,0),0)</f>
        <v/>
      </c>
      <c r="BS27">
        <f>IF(BS$4=1,IF(INDEX('×入力'!$C$1:$L$700,261+BS$3,BS$2)&lt;&gt;"",1,0),0)</f>
        <v/>
      </c>
      <c r="BT27">
        <f>IF(BT$4=1,IF(INDEX('×入力'!$C$1:$L$700,261+BT$3,BT$2)&lt;&gt;"",1,0),0)</f>
        <v/>
      </c>
      <c r="BU27">
        <f>IF(BU$4=1,IF(INDEX('×入力'!$C$1:$L$700,261+BU$3,BU$2)&lt;&gt;"",1,0),0)</f>
        <v/>
      </c>
      <c r="BV27">
        <f>IF(BV$4=1,IF(INDEX('×入力'!$C$1:$L$700,261+BV$3,BV$2)&lt;&gt;"",1,0),0)</f>
        <v/>
      </c>
      <c r="BW27">
        <f>IF(BW$4=1,IF(INDEX('×入力'!$C$1:$L$700,261+BW$3,BW$2)&lt;&gt;"",1,0),0)</f>
        <v/>
      </c>
      <c r="BX27">
        <f>IF(BX$4=1,IF(INDEX('×入力'!$C$1:$L$700,261+BX$3,BX$2)&lt;&gt;"",1,0),0)</f>
        <v/>
      </c>
      <c r="BY27">
        <f>IF(BY$4=1,IF(INDEX('×入力'!$C$1:$L$700,261+BY$3,BY$2)&lt;&gt;"",1,0),0)</f>
        <v/>
      </c>
      <c r="BZ27">
        <f>IF(BZ$4=1,IF(INDEX('×入力'!$C$1:$L$700,261+BZ$3,BZ$2)&lt;&gt;"",1,0),0)</f>
        <v/>
      </c>
      <c r="CA27">
        <f>IF(CA$4=1,IF(INDEX('×入力'!$C$1:$L$700,261+CA$3,CA$2)&lt;&gt;"",1,0),0)</f>
        <v/>
      </c>
      <c r="CB27">
        <f>IF(CB$4=1,IF(INDEX('×入力'!$C$1:$L$700,261+CB$3,CB$2)&lt;&gt;"",1,0),0)</f>
        <v/>
      </c>
      <c r="CC27">
        <f>IF(CC$4=1,IF(INDEX('×入力'!$C$1:$L$700,261+CC$3,CC$2)&lt;&gt;"",1,0),0)</f>
        <v/>
      </c>
      <c r="CD27">
        <f>IF(CD$4=1,IF(INDEX('×入力'!$C$1:$L$700,261+CD$3,CD$2)&lt;&gt;"",1,0),0)</f>
        <v/>
      </c>
      <c r="CE27">
        <f>IF(CE$4=1,IF(INDEX('×入力'!$C$1:$L$700,261+CE$3,CE$2)&lt;&gt;"",1,0),0)</f>
        <v/>
      </c>
      <c r="CF27">
        <f>IF(CF$4=1,IF(INDEX('×入力'!$C$1:$L$700,261+CF$3,CF$2)&lt;&gt;"",1,0),0)</f>
        <v/>
      </c>
      <c r="CG27">
        <f>IF(CG$4=1,IF(INDEX('×入力'!$C$1:$L$700,261+CG$3,CG$2)&lt;&gt;"",1,0),0)</f>
        <v/>
      </c>
      <c r="CH27">
        <f>IF(CH$4=1,IF(INDEX('×入力'!$C$1:$L$700,261+CH$3,CH$2)&lt;&gt;"",1,0),0)</f>
        <v/>
      </c>
      <c r="CI27">
        <f>IF(CI$4=1,IF(INDEX('×入力'!$C$1:$L$700,261+CI$3,CI$2)&lt;&gt;"",1,0),0)</f>
        <v/>
      </c>
      <c r="CJ27">
        <f>IF(CJ$4=1,IF(INDEX('×入力'!$C$1:$L$700,261+CJ$3,CJ$2)&lt;&gt;"",1,0),0)</f>
        <v/>
      </c>
      <c r="CK27">
        <f>IF(CK$4=1,IF(INDEX('×入力'!$C$1:$L$700,261+CK$3,CK$2)&lt;&gt;"",1,0),0)</f>
        <v/>
      </c>
      <c r="CL27">
        <f>IF(CL$4=1,IF(INDEX('×入力'!$C$1:$L$700,261+CL$3,CL$2)&lt;&gt;"",1,0),0)</f>
        <v/>
      </c>
      <c r="CM27">
        <f>IF(CM$4=1,IF(INDEX('×入力'!$C$1:$L$700,261+CM$3,CM$2)&lt;&gt;"",1,0),0)</f>
        <v/>
      </c>
      <c r="CN27">
        <f>IF(CN$4=1,IF(INDEX('×入力'!$C$1:$L$700,261+CN$3,CN$2)&lt;&gt;"",1,0),0)</f>
        <v/>
      </c>
      <c r="CO27">
        <f>IF(CO$4=1,IF(INDEX('×入力'!$C$1:$L$700,261+CO$3,CO$2)&lt;&gt;"",1,0),0)</f>
        <v/>
      </c>
      <c r="CP27">
        <f>IF(CP$4=1,IF(INDEX('×入力'!$C$1:$L$700,261+CP$3,CP$2)&lt;&gt;"",1,0),0)</f>
        <v/>
      </c>
      <c r="CQ27">
        <f>IF(CQ$4=1,IF(INDEX('×入力'!$C$1:$L$700,261+CQ$3,CQ$2)&lt;&gt;"",1,0),0)</f>
        <v/>
      </c>
      <c r="CR27">
        <f>IF(CR$4=1,IF(INDEX('×入力'!$C$1:$L$700,261+CR$3,CR$2)&lt;&gt;"",1,0),0)</f>
        <v/>
      </c>
      <c r="CS27">
        <f>IF(CS$4=1,IF(INDEX('×入力'!$C$1:$L$700,261+CS$3,CS$2)&lt;&gt;"",1,0),0)</f>
        <v/>
      </c>
      <c r="CT27">
        <f>IF(CT$4=1,IF(INDEX('×入力'!$C$1:$L$700,261+CT$3,CT$2)&lt;&gt;"",1,0),0)</f>
        <v/>
      </c>
      <c r="CU27">
        <f>IF(CU$4=1,IF(INDEX('×入力'!$C$1:$L$700,261+CU$3,CU$2)&lt;&gt;"",1,0),0)</f>
        <v/>
      </c>
      <c r="CV27">
        <f>IF(CV$4=1,IF(INDEX('×入力'!$C$1:$L$700,261+CV$3,CV$2)&lt;&gt;"",1,0),0)</f>
        <v/>
      </c>
      <c r="CW27">
        <f>IF(CW$4=1,IF(INDEX('×入力'!$C$1:$L$700,261+CW$3,CW$2)&lt;&gt;"",1,0),0)</f>
        <v/>
      </c>
      <c r="CX27">
        <f>IF(CX$4=1,IF(INDEX('×入力'!$C$1:$L$700,261+CX$3,CX$2)&lt;&gt;"",1,0),0)</f>
        <v/>
      </c>
      <c r="CY27">
        <f>IF(CY$4=1,IF(INDEX('×入力'!$C$1:$L$700,261+CY$3,CY$2)&lt;&gt;"",1,0),0)</f>
        <v/>
      </c>
      <c r="CZ27">
        <f>IF(CZ$4=1,IF(INDEX('×入力'!$C$1:$L$700,261+CZ$3,CZ$2)&lt;&gt;"",1,0),0)</f>
        <v/>
      </c>
      <c r="DA27">
        <f>IF(DA$4=1,IF(INDEX('×入力'!$C$1:$L$700,261+DA$3,DA$2)&lt;&gt;"",1,0),0)</f>
        <v/>
      </c>
      <c r="DB27">
        <f>IF(DB$4=1,IF(INDEX('×入力'!$C$1:$L$700,261+DB$3,DB$2)&lt;&gt;"",1,0),0)</f>
        <v/>
      </c>
      <c r="DC27">
        <f>IF(DC$4=1,IF(INDEX('×入力'!$C$1:$L$700,261+DC$3,DC$2)&lt;&gt;"",1,0),0)</f>
        <v/>
      </c>
      <c r="DD27">
        <f>IF(DD$4=1,IF(INDEX('×入力'!$C$1:$L$700,261+DD$3,DD$2)&lt;&gt;"",1,0),0)</f>
        <v/>
      </c>
      <c r="DE27">
        <f>IF(DE$4=1,IF(INDEX('×入力'!$C$1:$L$700,261+DE$3,DE$2)&lt;&gt;"",1,0),0)</f>
        <v/>
      </c>
      <c r="DF27">
        <f>IF(DF$4=1,IF(INDEX('×入力'!$C$1:$L$700,261+DF$3,DF$2)&lt;&gt;"",1,0),0)</f>
        <v/>
      </c>
      <c r="DG27">
        <f>IF(DG$4=1,IF(INDEX('×入力'!$C$1:$L$700,261+DG$3,DG$2)&lt;&gt;"",1,0),0)</f>
        <v/>
      </c>
      <c r="DH27">
        <f>IF(DH$4=1,IF(INDEX('×入力'!$C$1:$L$700,261+DH$3,DH$2)&lt;&gt;"",1,0),0)</f>
        <v/>
      </c>
      <c r="DI27">
        <f>IF(DI$4=1,IF(INDEX('×入力'!$C$1:$L$700,261+DI$3,DI$2)&lt;&gt;"",1,0),0)</f>
        <v/>
      </c>
      <c r="DJ27">
        <f>IF(DJ$4=1,IF(INDEX('×入力'!$C$1:$L$700,261+DJ$3,DJ$2)&lt;&gt;"",1,0),0)</f>
        <v/>
      </c>
      <c r="DK27">
        <f>IF(DK$4=1,IF(INDEX('×入力'!$C$1:$L$700,261+DK$3,DK$2)&lt;&gt;"",1,0),0)</f>
        <v/>
      </c>
      <c r="DL27">
        <f>IF(DL$4=1,IF(INDEX('×入力'!$C$1:$L$700,261+DL$3,DL$2)&lt;&gt;"",1,0),0)</f>
        <v/>
      </c>
      <c r="DM27">
        <f>IF(DM$4=1,IF(INDEX('×入力'!$C$1:$L$700,261+DM$3,DM$2)&lt;&gt;"",1,0),0)</f>
        <v/>
      </c>
      <c r="DN27">
        <f>IF(DN$4=1,IF(INDEX('×入力'!$C$1:$L$700,261+DN$3,DN$2)&lt;&gt;"",1,0),0)</f>
        <v/>
      </c>
      <c r="DO27">
        <f>IF(DO$4=1,IF(INDEX('×入力'!$C$1:$L$700,261+DO$3,DO$2)&lt;&gt;"",1,0),0)</f>
        <v/>
      </c>
      <c r="DP27">
        <f>IF(DP$4=1,IF(INDEX('×入力'!$C$1:$L$700,261+DP$3,DP$2)&lt;&gt;"",1,0),0)</f>
        <v/>
      </c>
      <c r="DQ27">
        <f>IF(DQ$4=1,IF(INDEX('×入力'!$C$1:$L$700,261+DQ$3,DQ$2)&lt;&gt;"",1,0),0)</f>
        <v/>
      </c>
      <c r="DR27">
        <f>IF(DR$4=1,IF(INDEX('×入力'!$C$1:$L$700,261+DR$3,DR$2)&lt;&gt;"",1,0),0)</f>
        <v/>
      </c>
      <c r="DS27">
        <f>IF(DS$4=1,IF(INDEX('×入力'!$C$1:$L$700,261+DS$3,DS$2)&lt;&gt;"",1,0),0)</f>
        <v/>
      </c>
      <c r="DU27">
        <f>IFERROR(INDEX('計算B'!$C$3:$C$47,MATCH(A27,'計算B'!$B$3:$B$47,0)),0)</f>
        <v/>
      </c>
      <c r="DV27">
        <f>IF(AND(C27=1,DU27=0),1,0)</f>
        <v/>
      </c>
      <c r="DW27">
        <f>SUMPRODUCT(D77:DS77*(1-$D$7:$DS$7))</f>
        <v/>
      </c>
      <c r="DX27">
        <f>SUM(D27:DS27)</f>
        <v/>
      </c>
      <c r="DY27">
        <f>IF(B27="",0,IF(COUNTIF('割り当て'!$C$6:$L$17,B27)=1,SUMPRODUCT(('割り当て'!$C$6:$L$17=B27)*((COLUMN('割り当て'!$C$6:$L$17)-3)*12+ROW('割り当て'!$C$6:$L$17)-5)),0))</f>
        <v/>
      </c>
    </row>
    <row r="28">
      <c r="A28" t="n">
        <v>19</v>
      </c>
      <c r="B28">
        <f>'名簿'!E23</f>
        <v/>
      </c>
      <c r="C28">
        <f>IF(AND(B28&lt;&gt;"",OR('名簿'!F23="入力済み",'名簿'!F23="×なし"),DY28=0,COUNTIF('割り当て'!$C$6:$L$17,B28)=0),1,0)</f>
        <v/>
      </c>
      <c r="D28">
        <f>IF(D$4=1,IF(INDEX('×入力'!$C$1:$L$700,276+D$3,D$2)&lt;&gt;"",1,0),0)</f>
        <v/>
      </c>
      <c r="E28">
        <f>IF(E$4=1,IF(INDEX('×入力'!$C$1:$L$700,276+E$3,E$2)&lt;&gt;"",1,0),0)</f>
        <v/>
      </c>
      <c r="F28">
        <f>IF(F$4=1,IF(INDEX('×入力'!$C$1:$L$700,276+F$3,F$2)&lt;&gt;"",1,0),0)</f>
        <v/>
      </c>
      <c r="G28">
        <f>IF(G$4=1,IF(INDEX('×入力'!$C$1:$L$700,276+G$3,G$2)&lt;&gt;"",1,0),0)</f>
        <v/>
      </c>
      <c r="H28">
        <f>IF(H$4=1,IF(INDEX('×入力'!$C$1:$L$700,276+H$3,H$2)&lt;&gt;"",1,0),0)</f>
        <v/>
      </c>
      <c r="I28">
        <f>IF(I$4=1,IF(INDEX('×入力'!$C$1:$L$700,276+I$3,I$2)&lt;&gt;"",1,0),0)</f>
        <v/>
      </c>
      <c r="J28">
        <f>IF(J$4=1,IF(INDEX('×入力'!$C$1:$L$700,276+J$3,J$2)&lt;&gt;"",1,0),0)</f>
        <v/>
      </c>
      <c r="K28">
        <f>IF(K$4=1,IF(INDEX('×入力'!$C$1:$L$700,276+K$3,K$2)&lt;&gt;"",1,0),0)</f>
        <v/>
      </c>
      <c r="L28">
        <f>IF(L$4=1,IF(INDEX('×入力'!$C$1:$L$700,276+L$3,L$2)&lt;&gt;"",1,0),0)</f>
        <v/>
      </c>
      <c r="M28">
        <f>IF(M$4=1,IF(INDEX('×入力'!$C$1:$L$700,276+M$3,M$2)&lt;&gt;"",1,0),0)</f>
        <v/>
      </c>
      <c r="N28">
        <f>IF(N$4=1,IF(INDEX('×入力'!$C$1:$L$700,276+N$3,N$2)&lt;&gt;"",1,0),0)</f>
        <v/>
      </c>
      <c r="O28">
        <f>IF(O$4=1,IF(INDEX('×入力'!$C$1:$L$700,276+O$3,O$2)&lt;&gt;"",1,0),0)</f>
        <v/>
      </c>
      <c r="P28">
        <f>IF(P$4=1,IF(INDEX('×入力'!$C$1:$L$700,276+P$3,P$2)&lt;&gt;"",1,0),0)</f>
        <v/>
      </c>
      <c r="Q28">
        <f>IF(Q$4=1,IF(INDEX('×入力'!$C$1:$L$700,276+Q$3,Q$2)&lt;&gt;"",1,0),0)</f>
        <v/>
      </c>
      <c r="R28">
        <f>IF(R$4=1,IF(INDEX('×入力'!$C$1:$L$700,276+R$3,R$2)&lt;&gt;"",1,0),0)</f>
        <v/>
      </c>
      <c r="S28">
        <f>IF(S$4=1,IF(INDEX('×入力'!$C$1:$L$700,276+S$3,S$2)&lt;&gt;"",1,0),0)</f>
        <v/>
      </c>
      <c r="T28">
        <f>IF(T$4=1,IF(INDEX('×入力'!$C$1:$L$700,276+T$3,T$2)&lt;&gt;"",1,0),0)</f>
        <v/>
      </c>
      <c r="U28">
        <f>IF(U$4=1,IF(INDEX('×入力'!$C$1:$L$700,276+U$3,U$2)&lt;&gt;"",1,0),0)</f>
        <v/>
      </c>
      <c r="V28">
        <f>IF(V$4=1,IF(INDEX('×入力'!$C$1:$L$700,276+V$3,V$2)&lt;&gt;"",1,0),0)</f>
        <v/>
      </c>
      <c r="W28">
        <f>IF(W$4=1,IF(INDEX('×入力'!$C$1:$L$700,276+W$3,W$2)&lt;&gt;"",1,0),0)</f>
        <v/>
      </c>
      <c r="X28">
        <f>IF(X$4=1,IF(INDEX('×入力'!$C$1:$L$700,276+X$3,X$2)&lt;&gt;"",1,0),0)</f>
        <v/>
      </c>
      <c r="Y28">
        <f>IF(Y$4=1,IF(INDEX('×入力'!$C$1:$L$700,276+Y$3,Y$2)&lt;&gt;"",1,0),0)</f>
        <v/>
      </c>
      <c r="Z28">
        <f>IF(Z$4=1,IF(INDEX('×入力'!$C$1:$L$700,276+Z$3,Z$2)&lt;&gt;"",1,0),0)</f>
        <v/>
      </c>
      <c r="AA28">
        <f>IF(AA$4=1,IF(INDEX('×入力'!$C$1:$L$700,276+AA$3,AA$2)&lt;&gt;"",1,0),0)</f>
        <v/>
      </c>
      <c r="AB28">
        <f>IF(AB$4=1,IF(INDEX('×入力'!$C$1:$L$700,276+AB$3,AB$2)&lt;&gt;"",1,0),0)</f>
        <v/>
      </c>
      <c r="AC28">
        <f>IF(AC$4=1,IF(INDEX('×入力'!$C$1:$L$700,276+AC$3,AC$2)&lt;&gt;"",1,0),0)</f>
        <v/>
      </c>
      <c r="AD28">
        <f>IF(AD$4=1,IF(INDEX('×入力'!$C$1:$L$700,276+AD$3,AD$2)&lt;&gt;"",1,0),0)</f>
        <v/>
      </c>
      <c r="AE28">
        <f>IF(AE$4=1,IF(INDEX('×入力'!$C$1:$L$700,276+AE$3,AE$2)&lt;&gt;"",1,0),0)</f>
        <v/>
      </c>
      <c r="AF28">
        <f>IF(AF$4=1,IF(INDEX('×入力'!$C$1:$L$700,276+AF$3,AF$2)&lt;&gt;"",1,0),0)</f>
        <v/>
      </c>
      <c r="AG28">
        <f>IF(AG$4=1,IF(INDEX('×入力'!$C$1:$L$700,276+AG$3,AG$2)&lt;&gt;"",1,0),0)</f>
        <v/>
      </c>
      <c r="AH28">
        <f>IF(AH$4=1,IF(INDEX('×入力'!$C$1:$L$700,276+AH$3,AH$2)&lt;&gt;"",1,0),0)</f>
        <v/>
      </c>
      <c r="AI28">
        <f>IF(AI$4=1,IF(INDEX('×入力'!$C$1:$L$700,276+AI$3,AI$2)&lt;&gt;"",1,0),0)</f>
        <v/>
      </c>
      <c r="AJ28">
        <f>IF(AJ$4=1,IF(INDEX('×入力'!$C$1:$L$700,276+AJ$3,AJ$2)&lt;&gt;"",1,0),0)</f>
        <v/>
      </c>
      <c r="AK28">
        <f>IF(AK$4=1,IF(INDEX('×入力'!$C$1:$L$700,276+AK$3,AK$2)&lt;&gt;"",1,0),0)</f>
        <v/>
      </c>
      <c r="AL28">
        <f>IF(AL$4=1,IF(INDEX('×入力'!$C$1:$L$700,276+AL$3,AL$2)&lt;&gt;"",1,0),0)</f>
        <v/>
      </c>
      <c r="AM28">
        <f>IF(AM$4=1,IF(INDEX('×入力'!$C$1:$L$700,276+AM$3,AM$2)&lt;&gt;"",1,0),0)</f>
        <v/>
      </c>
      <c r="AN28">
        <f>IF(AN$4=1,IF(INDEX('×入力'!$C$1:$L$700,276+AN$3,AN$2)&lt;&gt;"",1,0),0)</f>
        <v/>
      </c>
      <c r="AO28">
        <f>IF(AO$4=1,IF(INDEX('×入力'!$C$1:$L$700,276+AO$3,AO$2)&lt;&gt;"",1,0),0)</f>
        <v/>
      </c>
      <c r="AP28">
        <f>IF(AP$4=1,IF(INDEX('×入力'!$C$1:$L$700,276+AP$3,AP$2)&lt;&gt;"",1,0),0)</f>
        <v/>
      </c>
      <c r="AQ28">
        <f>IF(AQ$4=1,IF(INDEX('×入力'!$C$1:$L$700,276+AQ$3,AQ$2)&lt;&gt;"",1,0),0)</f>
        <v/>
      </c>
      <c r="AR28">
        <f>IF(AR$4=1,IF(INDEX('×入力'!$C$1:$L$700,276+AR$3,AR$2)&lt;&gt;"",1,0),0)</f>
        <v/>
      </c>
      <c r="AS28">
        <f>IF(AS$4=1,IF(INDEX('×入力'!$C$1:$L$700,276+AS$3,AS$2)&lt;&gt;"",1,0),0)</f>
        <v/>
      </c>
      <c r="AT28">
        <f>IF(AT$4=1,IF(INDEX('×入力'!$C$1:$L$700,276+AT$3,AT$2)&lt;&gt;"",1,0),0)</f>
        <v/>
      </c>
      <c r="AU28">
        <f>IF(AU$4=1,IF(INDEX('×入力'!$C$1:$L$700,276+AU$3,AU$2)&lt;&gt;"",1,0),0)</f>
        <v/>
      </c>
      <c r="AV28">
        <f>IF(AV$4=1,IF(INDEX('×入力'!$C$1:$L$700,276+AV$3,AV$2)&lt;&gt;"",1,0),0)</f>
        <v/>
      </c>
      <c r="AW28">
        <f>IF(AW$4=1,IF(INDEX('×入力'!$C$1:$L$700,276+AW$3,AW$2)&lt;&gt;"",1,0),0)</f>
        <v/>
      </c>
      <c r="AX28">
        <f>IF(AX$4=1,IF(INDEX('×入力'!$C$1:$L$700,276+AX$3,AX$2)&lt;&gt;"",1,0),0)</f>
        <v/>
      </c>
      <c r="AY28">
        <f>IF(AY$4=1,IF(INDEX('×入力'!$C$1:$L$700,276+AY$3,AY$2)&lt;&gt;"",1,0),0)</f>
        <v/>
      </c>
      <c r="AZ28">
        <f>IF(AZ$4=1,IF(INDEX('×入力'!$C$1:$L$700,276+AZ$3,AZ$2)&lt;&gt;"",1,0),0)</f>
        <v/>
      </c>
      <c r="BA28">
        <f>IF(BA$4=1,IF(INDEX('×入力'!$C$1:$L$700,276+BA$3,BA$2)&lt;&gt;"",1,0),0)</f>
        <v/>
      </c>
      <c r="BB28">
        <f>IF(BB$4=1,IF(INDEX('×入力'!$C$1:$L$700,276+BB$3,BB$2)&lt;&gt;"",1,0),0)</f>
        <v/>
      </c>
      <c r="BC28">
        <f>IF(BC$4=1,IF(INDEX('×入力'!$C$1:$L$700,276+BC$3,BC$2)&lt;&gt;"",1,0),0)</f>
        <v/>
      </c>
      <c r="BD28">
        <f>IF(BD$4=1,IF(INDEX('×入力'!$C$1:$L$700,276+BD$3,BD$2)&lt;&gt;"",1,0),0)</f>
        <v/>
      </c>
      <c r="BE28">
        <f>IF(BE$4=1,IF(INDEX('×入力'!$C$1:$L$700,276+BE$3,BE$2)&lt;&gt;"",1,0),0)</f>
        <v/>
      </c>
      <c r="BF28">
        <f>IF(BF$4=1,IF(INDEX('×入力'!$C$1:$L$700,276+BF$3,BF$2)&lt;&gt;"",1,0),0)</f>
        <v/>
      </c>
      <c r="BG28">
        <f>IF(BG$4=1,IF(INDEX('×入力'!$C$1:$L$700,276+BG$3,BG$2)&lt;&gt;"",1,0),0)</f>
        <v/>
      </c>
      <c r="BH28">
        <f>IF(BH$4=1,IF(INDEX('×入力'!$C$1:$L$700,276+BH$3,BH$2)&lt;&gt;"",1,0),0)</f>
        <v/>
      </c>
      <c r="BI28">
        <f>IF(BI$4=1,IF(INDEX('×入力'!$C$1:$L$700,276+BI$3,BI$2)&lt;&gt;"",1,0),0)</f>
        <v/>
      </c>
      <c r="BJ28">
        <f>IF(BJ$4=1,IF(INDEX('×入力'!$C$1:$L$700,276+BJ$3,BJ$2)&lt;&gt;"",1,0),0)</f>
        <v/>
      </c>
      <c r="BK28">
        <f>IF(BK$4=1,IF(INDEX('×入力'!$C$1:$L$700,276+BK$3,BK$2)&lt;&gt;"",1,0),0)</f>
        <v/>
      </c>
      <c r="BL28">
        <f>IF(BL$4=1,IF(INDEX('×入力'!$C$1:$L$700,276+BL$3,BL$2)&lt;&gt;"",1,0),0)</f>
        <v/>
      </c>
      <c r="BM28">
        <f>IF(BM$4=1,IF(INDEX('×入力'!$C$1:$L$700,276+BM$3,BM$2)&lt;&gt;"",1,0),0)</f>
        <v/>
      </c>
      <c r="BN28">
        <f>IF(BN$4=1,IF(INDEX('×入力'!$C$1:$L$700,276+BN$3,BN$2)&lt;&gt;"",1,0),0)</f>
        <v/>
      </c>
      <c r="BO28">
        <f>IF(BO$4=1,IF(INDEX('×入力'!$C$1:$L$700,276+BO$3,BO$2)&lt;&gt;"",1,0),0)</f>
        <v/>
      </c>
      <c r="BP28">
        <f>IF(BP$4=1,IF(INDEX('×入力'!$C$1:$L$700,276+BP$3,BP$2)&lt;&gt;"",1,0),0)</f>
        <v/>
      </c>
      <c r="BQ28">
        <f>IF(BQ$4=1,IF(INDEX('×入力'!$C$1:$L$700,276+BQ$3,BQ$2)&lt;&gt;"",1,0),0)</f>
        <v/>
      </c>
      <c r="BR28">
        <f>IF(BR$4=1,IF(INDEX('×入力'!$C$1:$L$700,276+BR$3,BR$2)&lt;&gt;"",1,0),0)</f>
        <v/>
      </c>
      <c r="BS28">
        <f>IF(BS$4=1,IF(INDEX('×入力'!$C$1:$L$700,276+BS$3,BS$2)&lt;&gt;"",1,0),0)</f>
        <v/>
      </c>
      <c r="BT28">
        <f>IF(BT$4=1,IF(INDEX('×入力'!$C$1:$L$700,276+BT$3,BT$2)&lt;&gt;"",1,0),0)</f>
        <v/>
      </c>
      <c r="BU28">
        <f>IF(BU$4=1,IF(INDEX('×入力'!$C$1:$L$700,276+BU$3,BU$2)&lt;&gt;"",1,0),0)</f>
        <v/>
      </c>
      <c r="BV28">
        <f>IF(BV$4=1,IF(INDEX('×入力'!$C$1:$L$700,276+BV$3,BV$2)&lt;&gt;"",1,0),0)</f>
        <v/>
      </c>
      <c r="BW28">
        <f>IF(BW$4=1,IF(INDEX('×入力'!$C$1:$L$700,276+BW$3,BW$2)&lt;&gt;"",1,0),0)</f>
        <v/>
      </c>
      <c r="BX28">
        <f>IF(BX$4=1,IF(INDEX('×入力'!$C$1:$L$700,276+BX$3,BX$2)&lt;&gt;"",1,0),0)</f>
        <v/>
      </c>
      <c r="BY28">
        <f>IF(BY$4=1,IF(INDEX('×入力'!$C$1:$L$700,276+BY$3,BY$2)&lt;&gt;"",1,0),0)</f>
        <v/>
      </c>
      <c r="BZ28">
        <f>IF(BZ$4=1,IF(INDEX('×入力'!$C$1:$L$700,276+BZ$3,BZ$2)&lt;&gt;"",1,0),0)</f>
        <v/>
      </c>
      <c r="CA28">
        <f>IF(CA$4=1,IF(INDEX('×入力'!$C$1:$L$700,276+CA$3,CA$2)&lt;&gt;"",1,0),0)</f>
        <v/>
      </c>
      <c r="CB28">
        <f>IF(CB$4=1,IF(INDEX('×入力'!$C$1:$L$700,276+CB$3,CB$2)&lt;&gt;"",1,0),0)</f>
        <v/>
      </c>
      <c r="CC28">
        <f>IF(CC$4=1,IF(INDEX('×入力'!$C$1:$L$700,276+CC$3,CC$2)&lt;&gt;"",1,0),0)</f>
        <v/>
      </c>
      <c r="CD28">
        <f>IF(CD$4=1,IF(INDEX('×入力'!$C$1:$L$700,276+CD$3,CD$2)&lt;&gt;"",1,0),0)</f>
        <v/>
      </c>
      <c r="CE28">
        <f>IF(CE$4=1,IF(INDEX('×入力'!$C$1:$L$700,276+CE$3,CE$2)&lt;&gt;"",1,0),0)</f>
        <v/>
      </c>
      <c r="CF28">
        <f>IF(CF$4=1,IF(INDEX('×入力'!$C$1:$L$700,276+CF$3,CF$2)&lt;&gt;"",1,0),0)</f>
        <v/>
      </c>
      <c r="CG28">
        <f>IF(CG$4=1,IF(INDEX('×入力'!$C$1:$L$700,276+CG$3,CG$2)&lt;&gt;"",1,0),0)</f>
        <v/>
      </c>
      <c r="CH28">
        <f>IF(CH$4=1,IF(INDEX('×入力'!$C$1:$L$700,276+CH$3,CH$2)&lt;&gt;"",1,0),0)</f>
        <v/>
      </c>
      <c r="CI28">
        <f>IF(CI$4=1,IF(INDEX('×入力'!$C$1:$L$700,276+CI$3,CI$2)&lt;&gt;"",1,0),0)</f>
        <v/>
      </c>
      <c r="CJ28">
        <f>IF(CJ$4=1,IF(INDEX('×入力'!$C$1:$L$700,276+CJ$3,CJ$2)&lt;&gt;"",1,0),0)</f>
        <v/>
      </c>
      <c r="CK28">
        <f>IF(CK$4=1,IF(INDEX('×入力'!$C$1:$L$700,276+CK$3,CK$2)&lt;&gt;"",1,0),0)</f>
        <v/>
      </c>
      <c r="CL28">
        <f>IF(CL$4=1,IF(INDEX('×入力'!$C$1:$L$700,276+CL$3,CL$2)&lt;&gt;"",1,0),0)</f>
        <v/>
      </c>
      <c r="CM28">
        <f>IF(CM$4=1,IF(INDEX('×入力'!$C$1:$L$700,276+CM$3,CM$2)&lt;&gt;"",1,0),0)</f>
        <v/>
      </c>
      <c r="CN28">
        <f>IF(CN$4=1,IF(INDEX('×入力'!$C$1:$L$700,276+CN$3,CN$2)&lt;&gt;"",1,0),0)</f>
        <v/>
      </c>
      <c r="CO28">
        <f>IF(CO$4=1,IF(INDEX('×入力'!$C$1:$L$700,276+CO$3,CO$2)&lt;&gt;"",1,0),0)</f>
        <v/>
      </c>
      <c r="CP28">
        <f>IF(CP$4=1,IF(INDEX('×入力'!$C$1:$L$700,276+CP$3,CP$2)&lt;&gt;"",1,0),0)</f>
        <v/>
      </c>
      <c r="CQ28">
        <f>IF(CQ$4=1,IF(INDEX('×入力'!$C$1:$L$700,276+CQ$3,CQ$2)&lt;&gt;"",1,0),0)</f>
        <v/>
      </c>
      <c r="CR28">
        <f>IF(CR$4=1,IF(INDEX('×入力'!$C$1:$L$700,276+CR$3,CR$2)&lt;&gt;"",1,0),0)</f>
        <v/>
      </c>
      <c r="CS28">
        <f>IF(CS$4=1,IF(INDEX('×入力'!$C$1:$L$700,276+CS$3,CS$2)&lt;&gt;"",1,0),0)</f>
        <v/>
      </c>
      <c r="CT28">
        <f>IF(CT$4=1,IF(INDEX('×入力'!$C$1:$L$700,276+CT$3,CT$2)&lt;&gt;"",1,0),0)</f>
        <v/>
      </c>
      <c r="CU28">
        <f>IF(CU$4=1,IF(INDEX('×入力'!$C$1:$L$700,276+CU$3,CU$2)&lt;&gt;"",1,0),0)</f>
        <v/>
      </c>
      <c r="CV28">
        <f>IF(CV$4=1,IF(INDEX('×入力'!$C$1:$L$700,276+CV$3,CV$2)&lt;&gt;"",1,0),0)</f>
        <v/>
      </c>
      <c r="CW28">
        <f>IF(CW$4=1,IF(INDEX('×入力'!$C$1:$L$700,276+CW$3,CW$2)&lt;&gt;"",1,0),0)</f>
        <v/>
      </c>
      <c r="CX28">
        <f>IF(CX$4=1,IF(INDEX('×入力'!$C$1:$L$700,276+CX$3,CX$2)&lt;&gt;"",1,0),0)</f>
        <v/>
      </c>
      <c r="CY28">
        <f>IF(CY$4=1,IF(INDEX('×入力'!$C$1:$L$700,276+CY$3,CY$2)&lt;&gt;"",1,0),0)</f>
        <v/>
      </c>
      <c r="CZ28">
        <f>IF(CZ$4=1,IF(INDEX('×入力'!$C$1:$L$700,276+CZ$3,CZ$2)&lt;&gt;"",1,0),0)</f>
        <v/>
      </c>
      <c r="DA28">
        <f>IF(DA$4=1,IF(INDEX('×入力'!$C$1:$L$700,276+DA$3,DA$2)&lt;&gt;"",1,0),0)</f>
        <v/>
      </c>
      <c r="DB28">
        <f>IF(DB$4=1,IF(INDEX('×入力'!$C$1:$L$700,276+DB$3,DB$2)&lt;&gt;"",1,0),0)</f>
        <v/>
      </c>
      <c r="DC28">
        <f>IF(DC$4=1,IF(INDEX('×入力'!$C$1:$L$700,276+DC$3,DC$2)&lt;&gt;"",1,0),0)</f>
        <v/>
      </c>
      <c r="DD28">
        <f>IF(DD$4=1,IF(INDEX('×入力'!$C$1:$L$700,276+DD$3,DD$2)&lt;&gt;"",1,0),0)</f>
        <v/>
      </c>
      <c r="DE28">
        <f>IF(DE$4=1,IF(INDEX('×入力'!$C$1:$L$700,276+DE$3,DE$2)&lt;&gt;"",1,0),0)</f>
        <v/>
      </c>
      <c r="DF28">
        <f>IF(DF$4=1,IF(INDEX('×入力'!$C$1:$L$700,276+DF$3,DF$2)&lt;&gt;"",1,0),0)</f>
        <v/>
      </c>
      <c r="DG28">
        <f>IF(DG$4=1,IF(INDEX('×入力'!$C$1:$L$700,276+DG$3,DG$2)&lt;&gt;"",1,0),0)</f>
        <v/>
      </c>
      <c r="DH28">
        <f>IF(DH$4=1,IF(INDEX('×入力'!$C$1:$L$700,276+DH$3,DH$2)&lt;&gt;"",1,0),0)</f>
        <v/>
      </c>
      <c r="DI28">
        <f>IF(DI$4=1,IF(INDEX('×入力'!$C$1:$L$700,276+DI$3,DI$2)&lt;&gt;"",1,0),0)</f>
        <v/>
      </c>
      <c r="DJ28">
        <f>IF(DJ$4=1,IF(INDEX('×入力'!$C$1:$L$700,276+DJ$3,DJ$2)&lt;&gt;"",1,0),0)</f>
        <v/>
      </c>
      <c r="DK28">
        <f>IF(DK$4=1,IF(INDEX('×入力'!$C$1:$L$700,276+DK$3,DK$2)&lt;&gt;"",1,0),0)</f>
        <v/>
      </c>
      <c r="DL28">
        <f>IF(DL$4=1,IF(INDEX('×入力'!$C$1:$L$700,276+DL$3,DL$2)&lt;&gt;"",1,0),0)</f>
        <v/>
      </c>
      <c r="DM28">
        <f>IF(DM$4=1,IF(INDEX('×入力'!$C$1:$L$700,276+DM$3,DM$2)&lt;&gt;"",1,0),0)</f>
        <v/>
      </c>
      <c r="DN28">
        <f>IF(DN$4=1,IF(INDEX('×入力'!$C$1:$L$700,276+DN$3,DN$2)&lt;&gt;"",1,0),0)</f>
        <v/>
      </c>
      <c r="DO28">
        <f>IF(DO$4=1,IF(INDEX('×入力'!$C$1:$L$700,276+DO$3,DO$2)&lt;&gt;"",1,0),0)</f>
        <v/>
      </c>
      <c r="DP28">
        <f>IF(DP$4=1,IF(INDEX('×入力'!$C$1:$L$700,276+DP$3,DP$2)&lt;&gt;"",1,0),0)</f>
        <v/>
      </c>
      <c r="DQ28">
        <f>IF(DQ$4=1,IF(INDEX('×入力'!$C$1:$L$700,276+DQ$3,DQ$2)&lt;&gt;"",1,0),0)</f>
        <v/>
      </c>
      <c r="DR28">
        <f>IF(DR$4=1,IF(INDEX('×入力'!$C$1:$L$700,276+DR$3,DR$2)&lt;&gt;"",1,0),0)</f>
        <v/>
      </c>
      <c r="DS28">
        <f>IF(DS$4=1,IF(INDEX('×入力'!$C$1:$L$700,276+DS$3,DS$2)&lt;&gt;"",1,0),0)</f>
        <v/>
      </c>
      <c r="DU28">
        <f>IFERROR(INDEX('計算B'!$C$3:$C$47,MATCH(A28,'計算B'!$B$3:$B$47,0)),0)</f>
        <v/>
      </c>
      <c r="DV28">
        <f>IF(AND(C28=1,DU28=0),1,0)</f>
        <v/>
      </c>
      <c r="DW28">
        <f>SUMPRODUCT(D78:DS78*(1-$D$7:$DS$7))</f>
        <v/>
      </c>
      <c r="DX28">
        <f>SUM(D28:DS28)</f>
        <v/>
      </c>
      <c r="DY28">
        <f>IF(B28="",0,IF(COUNTIF('割り当て'!$C$6:$L$17,B28)=1,SUMPRODUCT(('割り当て'!$C$6:$L$17=B28)*((COLUMN('割り当て'!$C$6:$L$17)-3)*12+ROW('割り当て'!$C$6:$L$17)-5)),0))</f>
        <v/>
      </c>
    </row>
    <row r="29">
      <c r="A29" t="n">
        <v>20</v>
      </c>
      <c r="B29">
        <f>'名簿'!E24</f>
        <v/>
      </c>
      <c r="C29">
        <f>IF(AND(B29&lt;&gt;"",OR('名簿'!F24="入力済み",'名簿'!F24="×なし"),DY29=0,COUNTIF('割り当て'!$C$6:$L$17,B29)=0),1,0)</f>
        <v/>
      </c>
      <c r="D29">
        <f>IF(D$4=1,IF(INDEX('×入力'!$C$1:$L$700,291+D$3,D$2)&lt;&gt;"",1,0),0)</f>
        <v/>
      </c>
      <c r="E29">
        <f>IF(E$4=1,IF(INDEX('×入力'!$C$1:$L$700,291+E$3,E$2)&lt;&gt;"",1,0),0)</f>
        <v/>
      </c>
      <c r="F29">
        <f>IF(F$4=1,IF(INDEX('×入力'!$C$1:$L$700,291+F$3,F$2)&lt;&gt;"",1,0),0)</f>
        <v/>
      </c>
      <c r="G29">
        <f>IF(G$4=1,IF(INDEX('×入力'!$C$1:$L$700,291+G$3,G$2)&lt;&gt;"",1,0),0)</f>
        <v/>
      </c>
      <c r="H29">
        <f>IF(H$4=1,IF(INDEX('×入力'!$C$1:$L$700,291+H$3,H$2)&lt;&gt;"",1,0),0)</f>
        <v/>
      </c>
      <c r="I29">
        <f>IF(I$4=1,IF(INDEX('×入力'!$C$1:$L$700,291+I$3,I$2)&lt;&gt;"",1,0),0)</f>
        <v/>
      </c>
      <c r="J29">
        <f>IF(J$4=1,IF(INDEX('×入力'!$C$1:$L$700,291+J$3,J$2)&lt;&gt;"",1,0),0)</f>
        <v/>
      </c>
      <c r="K29">
        <f>IF(K$4=1,IF(INDEX('×入力'!$C$1:$L$700,291+K$3,K$2)&lt;&gt;"",1,0),0)</f>
        <v/>
      </c>
      <c r="L29">
        <f>IF(L$4=1,IF(INDEX('×入力'!$C$1:$L$700,291+L$3,L$2)&lt;&gt;"",1,0),0)</f>
        <v/>
      </c>
      <c r="M29">
        <f>IF(M$4=1,IF(INDEX('×入力'!$C$1:$L$700,291+M$3,M$2)&lt;&gt;"",1,0),0)</f>
        <v/>
      </c>
      <c r="N29">
        <f>IF(N$4=1,IF(INDEX('×入力'!$C$1:$L$700,291+N$3,N$2)&lt;&gt;"",1,0),0)</f>
        <v/>
      </c>
      <c r="O29">
        <f>IF(O$4=1,IF(INDEX('×入力'!$C$1:$L$700,291+O$3,O$2)&lt;&gt;"",1,0),0)</f>
        <v/>
      </c>
      <c r="P29">
        <f>IF(P$4=1,IF(INDEX('×入力'!$C$1:$L$700,291+P$3,P$2)&lt;&gt;"",1,0),0)</f>
        <v/>
      </c>
      <c r="Q29">
        <f>IF(Q$4=1,IF(INDEX('×入力'!$C$1:$L$700,291+Q$3,Q$2)&lt;&gt;"",1,0),0)</f>
        <v/>
      </c>
      <c r="R29">
        <f>IF(R$4=1,IF(INDEX('×入力'!$C$1:$L$700,291+R$3,R$2)&lt;&gt;"",1,0),0)</f>
        <v/>
      </c>
      <c r="S29">
        <f>IF(S$4=1,IF(INDEX('×入力'!$C$1:$L$700,291+S$3,S$2)&lt;&gt;"",1,0),0)</f>
        <v/>
      </c>
      <c r="T29">
        <f>IF(T$4=1,IF(INDEX('×入力'!$C$1:$L$700,291+T$3,T$2)&lt;&gt;"",1,0),0)</f>
        <v/>
      </c>
      <c r="U29">
        <f>IF(U$4=1,IF(INDEX('×入力'!$C$1:$L$700,291+U$3,U$2)&lt;&gt;"",1,0),0)</f>
        <v/>
      </c>
      <c r="V29">
        <f>IF(V$4=1,IF(INDEX('×入力'!$C$1:$L$700,291+V$3,V$2)&lt;&gt;"",1,0),0)</f>
        <v/>
      </c>
      <c r="W29">
        <f>IF(W$4=1,IF(INDEX('×入力'!$C$1:$L$700,291+W$3,W$2)&lt;&gt;"",1,0),0)</f>
        <v/>
      </c>
      <c r="X29">
        <f>IF(X$4=1,IF(INDEX('×入力'!$C$1:$L$700,291+X$3,X$2)&lt;&gt;"",1,0),0)</f>
        <v/>
      </c>
      <c r="Y29">
        <f>IF(Y$4=1,IF(INDEX('×入力'!$C$1:$L$700,291+Y$3,Y$2)&lt;&gt;"",1,0),0)</f>
        <v/>
      </c>
      <c r="Z29">
        <f>IF(Z$4=1,IF(INDEX('×入力'!$C$1:$L$700,291+Z$3,Z$2)&lt;&gt;"",1,0),0)</f>
        <v/>
      </c>
      <c r="AA29">
        <f>IF(AA$4=1,IF(INDEX('×入力'!$C$1:$L$700,291+AA$3,AA$2)&lt;&gt;"",1,0),0)</f>
        <v/>
      </c>
      <c r="AB29">
        <f>IF(AB$4=1,IF(INDEX('×入力'!$C$1:$L$700,291+AB$3,AB$2)&lt;&gt;"",1,0),0)</f>
        <v/>
      </c>
      <c r="AC29">
        <f>IF(AC$4=1,IF(INDEX('×入力'!$C$1:$L$700,291+AC$3,AC$2)&lt;&gt;"",1,0),0)</f>
        <v/>
      </c>
      <c r="AD29">
        <f>IF(AD$4=1,IF(INDEX('×入力'!$C$1:$L$700,291+AD$3,AD$2)&lt;&gt;"",1,0),0)</f>
        <v/>
      </c>
      <c r="AE29">
        <f>IF(AE$4=1,IF(INDEX('×入力'!$C$1:$L$700,291+AE$3,AE$2)&lt;&gt;"",1,0),0)</f>
        <v/>
      </c>
      <c r="AF29">
        <f>IF(AF$4=1,IF(INDEX('×入力'!$C$1:$L$700,291+AF$3,AF$2)&lt;&gt;"",1,0),0)</f>
        <v/>
      </c>
      <c r="AG29">
        <f>IF(AG$4=1,IF(INDEX('×入力'!$C$1:$L$700,291+AG$3,AG$2)&lt;&gt;"",1,0),0)</f>
        <v/>
      </c>
      <c r="AH29">
        <f>IF(AH$4=1,IF(INDEX('×入力'!$C$1:$L$700,291+AH$3,AH$2)&lt;&gt;"",1,0),0)</f>
        <v/>
      </c>
      <c r="AI29">
        <f>IF(AI$4=1,IF(INDEX('×入力'!$C$1:$L$700,291+AI$3,AI$2)&lt;&gt;"",1,0),0)</f>
        <v/>
      </c>
      <c r="AJ29">
        <f>IF(AJ$4=1,IF(INDEX('×入力'!$C$1:$L$700,291+AJ$3,AJ$2)&lt;&gt;"",1,0),0)</f>
        <v/>
      </c>
      <c r="AK29">
        <f>IF(AK$4=1,IF(INDEX('×入力'!$C$1:$L$700,291+AK$3,AK$2)&lt;&gt;"",1,0),0)</f>
        <v/>
      </c>
      <c r="AL29">
        <f>IF(AL$4=1,IF(INDEX('×入力'!$C$1:$L$700,291+AL$3,AL$2)&lt;&gt;"",1,0),0)</f>
        <v/>
      </c>
      <c r="AM29">
        <f>IF(AM$4=1,IF(INDEX('×入力'!$C$1:$L$700,291+AM$3,AM$2)&lt;&gt;"",1,0),0)</f>
        <v/>
      </c>
      <c r="AN29">
        <f>IF(AN$4=1,IF(INDEX('×入力'!$C$1:$L$700,291+AN$3,AN$2)&lt;&gt;"",1,0),0)</f>
        <v/>
      </c>
      <c r="AO29">
        <f>IF(AO$4=1,IF(INDEX('×入力'!$C$1:$L$700,291+AO$3,AO$2)&lt;&gt;"",1,0),0)</f>
        <v/>
      </c>
      <c r="AP29">
        <f>IF(AP$4=1,IF(INDEX('×入力'!$C$1:$L$700,291+AP$3,AP$2)&lt;&gt;"",1,0),0)</f>
        <v/>
      </c>
      <c r="AQ29">
        <f>IF(AQ$4=1,IF(INDEX('×入力'!$C$1:$L$700,291+AQ$3,AQ$2)&lt;&gt;"",1,0),0)</f>
        <v/>
      </c>
      <c r="AR29">
        <f>IF(AR$4=1,IF(INDEX('×入力'!$C$1:$L$700,291+AR$3,AR$2)&lt;&gt;"",1,0),0)</f>
        <v/>
      </c>
      <c r="AS29">
        <f>IF(AS$4=1,IF(INDEX('×入力'!$C$1:$L$700,291+AS$3,AS$2)&lt;&gt;"",1,0),0)</f>
        <v/>
      </c>
      <c r="AT29">
        <f>IF(AT$4=1,IF(INDEX('×入力'!$C$1:$L$700,291+AT$3,AT$2)&lt;&gt;"",1,0),0)</f>
        <v/>
      </c>
      <c r="AU29">
        <f>IF(AU$4=1,IF(INDEX('×入力'!$C$1:$L$700,291+AU$3,AU$2)&lt;&gt;"",1,0),0)</f>
        <v/>
      </c>
      <c r="AV29">
        <f>IF(AV$4=1,IF(INDEX('×入力'!$C$1:$L$700,291+AV$3,AV$2)&lt;&gt;"",1,0),0)</f>
        <v/>
      </c>
      <c r="AW29">
        <f>IF(AW$4=1,IF(INDEX('×入力'!$C$1:$L$700,291+AW$3,AW$2)&lt;&gt;"",1,0),0)</f>
        <v/>
      </c>
      <c r="AX29">
        <f>IF(AX$4=1,IF(INDEX('×入力'!$C$1:$L$700,291+AX$3,AX$2)&lt;&gt;"",1,0),0)</f>
        <v/>
      </c>
      <c r="AY29">
        <f>IF(AY$4=1,IF(INDEX('×入力'!$C$1:$L$700,291+AY$3,AY$2)&lt;&gt;"",1,0),0)</f>
        <v/>
      </c>
      <c r="AZ29">
        <f>IF(AZ$4=1,IF(INDEX('×入力'!$C$1:$L$700,291+AZ$3,AZ$2)&lt;&gt;"",1,0),0)</f>
        <v/>
      </c>
      <c r="BA29">
        <f>IF(BA$4=1,IF(INDEX('×入力'!$C$1:$L$700,291+BA$3,BA$2)&lt;&gt;"",1,0),0)</f>
        <v/>
      </c>
      <c r="BB29">
        <f>IF(BB$4=1,IF(INDEX('×入力'!$C$1:$L$700,291+BB$3,BB$2)&lt;&gt;"",1,0),0)</f>
        <v/>
      </c>
      <c r="BC29">
        <f>IF(BC$4=1,IF(INDEX('×入力'!$C$1:$L$700,291+BC$3,BC$2)&lt;&gt;"",1,0),0)</f>
        <v/>
      </c>
      <c r="BD29">
        <f>IF(BD$4=1,IF(INDEX('×入力'!$C$1:$L$700,291+BD$3,BD$2)&lt;&gt;"",1,0),0)</f>
        <v/>
      </c>
      <c r="BE29">
        <f>IF(BE$4=1,IF(INDEX('×入力'!$C$1:$L$700,291+BE$3,BE$2)&lt;&gt;"",1,0),0)</f>
        <v/>
      </c>
      <c r="BF29">
        <f>IF(BF$4=1,IF(INDEX('×入力'!$C$1:$L$700,291+BF$3,BF$2)&lt;&gt;"",1,0),0)</f>
        <v/>
      </c>
      <c r="BG29">
        <f>IF(BG$4=1,IF(INDEX('×入力'!$C$1:$L$700,291+BG$3,BG$2)&lt;&gt;"",1,0),0)</f>
        <v/>
      </c>
      <c r="BH29">
        <f>IF(BH$4=1,IF(INDEX('×入力'!$C$1:$L$700,291+BH$3,BH$2)&lt;&gt;"",1,0),0)</f>
        <v/>
      </c>
      <c r="BI29">
        <f>IF(BI$4=1,IF(INDEX('×入力'!$C$1:$L$700,291+BI$3,BI$2)&lt;&gt;"",1,0),0)</f>
        <v/>
      </c>
      <c r="BJ29">
        <f>IF(BJ$4=1,IF(INDEX('×入力'!$C$1:$L$700,291+BJ$3,BJ$2)&lt;&gt;"",1,0),0)</f>
        <v/>
      </c>
      <c r="BK29">
        <f>IF(BK$4=1,IF(INDEX('×入力'!$C$1:$L$700,291+BK$3,BK$2)&lt;&gt;"",1,0),0)</f>
        <v/>
      </c>
      <c r="BL29">
        <f>IF(BL$4=1,IF(INDEX('×入力'!$C$1:$L$700,291+BL$3,BL$2)&lt;&gt;"",1,0),0)</f>
        <v/>
      </c>
      <c r="BM29">
        <f>IF(BM$4=1,IF(INDEX('×入力'!$C$1:$L$700,291+BM$3,BM$2)&lt;&gt;"",1,0),0)</f>
        <v/>
      </c>
      <c r="BN29">
        <f>IF(BN$4=1,IF(INDEX('×入力'!$C$1:$L$700,291+BN$3,BN$2)&lt;&gt;"",1,0),0)</f>
        <v/>
      </c>
      <c r="BO29">
        <f>IF(BO$4=1,IF(INDEX('×入力'!$C$1:$L$700,291+BO$3,BO$2)&lt;&gt;"",1,0),0)</f>
        <v/>
      </c>
      <c r="BP29">
        <f>IF(BP$4=1,IF(INDEX('×入力'!$C$1:$L$700,291+BP$3,BP$2)&lt;&gt;"",1,0),0)</f>
        <v/>
      </c>
      <c r="BQ29">
        <f>IF(BQ$4=1,IF(INDEX('×入力'!$C$1:$L$700,291+BQ$3,BQ$2)&lt;&gt;"",1,0),0)</f>
        <v/>
      </c>
      <c r="BR29">
        <f>IF(BR$4=1,IF(INDEX('×入力'!$C$1:$L$700,291+BR$3,BR$2)&lt;&gt;"",1,0),0)</f>
        <v/>
      </c>
      <c r="BS29">
        <f>IF(BS$4=1,IF(INDEX('×入力'!$C$1:$L$700,291+BS$3,BS$2)&lt;&gt;"",1,0),0)</f>
        <v/>
      </c>
      <c r="BT29">
        <f>IF(BT$4=1,IF(INDEX('×入力'!$C$1:$L$700,291+BT$3,BT$2)&lt;&gt;"",1,0),0)</f>
        <v/>
      </c>
      <c r="BU29">
        <f>IF(BU$4=1,IF(INDEX('×入力'!$C$1:$L$700,291+BU$3,BU$2)&lt;&gt;"",1,0),0)</f>
        <v/>
      </c>
      <c r="BV29">
        <f>IF(BV$4=1,IF(INDEX('×入力'!$C$1:$L$700,291+BV$3,BV$2)&lt;&gt;"",1,0),0)</f>
        <v/>
      </c>
      <c r="BW29">
        <f>IF(BW$4=1,IF(INDEX('×入力'!$C$1:$L$700,291+BW$3,BW$2)&lt;&gt;"",1,0),0)</f>
        <v/>
      </c>
      <c r="BX29">
        <f>IF(BX$4=1,IF(INDEX('×入力'!$C$1:$L$700,291+BX$3,BX$2)&lt;&gt;"",1,0),0)</f>
        <v/>
      </c>
      <c r="BY29">
        <f>IF(BY$4=1,IF(INDEX('×入力'!$C$1:$L$700,291+BY$3,BY$2)&lt;&gt;"",1,0),0)</f>
        <v/>
      </c>
      <c r="BZ29">
        <f>IF(BZ$4=1,IF(INDEX('×入力'!$C$1:$L$700,291+BZ$3,BZ$2)&lt;&gt;"",1,0),0)</f>
        <v/>
      </c>
      <c r="CA29">
        <f>IF(CA$4=1,IF(INDEX('×入力'!$C$1:$L$700,291+CA$3,CA$2)&lt;&gt;"",1,0),0)</f>
        <v/>
      </c>
      <c r="CB29">
        <f>IF(CB$4=1,IF(INDEX('×入力'!$C$1:$L$700,291+CB$3,CB$2)&lt;&gt;"",1,0),0)</f>
        <v/>
      </c>
      <c r="CC29">
        <f>IF(CC$4=1,IF(INDEX('×入力'!$C$1:$L$700,291+CC$3,CC$2)&lt;&gt;"",1,0),0)</f>
        <v/>
      </c>
      <c r="CD29">
        <f>IF(CD$4=1,IF(INDEX('×入力'!$C$1:$L$700,291+CD$3,CD$2)&lt;&gt;"",1,0),0)</f>
        <v/>
      </c>
      <c r="CE29">
        <f>IF(CE$4=1,IF(INDEX('×入力'!$C$1:$L$700,291+CE$3,CE$2)&lt;&gt;"",1,0),0)</f>
        <v/>
      </c>
      <c r="CF29">
        <f>IF(CF$4=1,IF(INDEX('×入力'!$C$1:$L$700,291+CF$3,CF$2)&lt;&gt;"",1,0),0)</f>
        <v/>
      </c>
      <c r="CG29">
        <f>IF(CG$4=1,IF(INDEX('×入力'!$C$1:$L$700,291+CG$3,CG$2)&lt;&gt;"",1,0),0)</f>
        <v/>
      </c>
      <c r="CH29">
        <f>IF(CH$4=1,IF(INDEX('×入力'!$C$1:$L$700,291+CH$3,CH$2)&lt;&gt;"",1,0),0)</f>
        <v/>
      </c>
      <c r="CI29">
        <f>IF(CI$4=1,IF(INDEX('×入力'!$C$1:$L$700,291+CI$3,CI$2)&lt;&gt;"",1,0),0)</f>
        <v/>
      </c>
      <c r="CJ29">
        <f>IF(CJ$4=1,IF(INDEX('×入力'!$C$1:$L$700,291+CJ$3,CJ$2)&lt;&gt;"",1,0),0)</f>
        <v/>
      </c>
      <c r="CK29">
        <f>IF(CK$4=1,IF(INDEX('×入力'!$C$1:$L$700,291+CK$3,CK$2)&lt;&gt;"",1,0),0)</f>
        <v/>
      </c>
      <c r="CL29">
        <f>IF(CL$4=1,IF(INDEX('×入力'!$C$1:$L$700,291+CL$3,CL$2)&lt;&gt;"",1,0),0)</f>
        <v/>
      </c>
      <c r="CM29">
        <f>IF(CM$4=1,IF(INDEX('×入力'!$C$1:$L$700,291+CM$3,CM$2)&lt;&gt;"",1,0),0)</f>
        <v/>
      </c>
      <c r="CN29">
        <f>IF(CN$4=1,IF(INDEX('×入力'!$C$1:$L$700,291+CN$3,CN$2)&lt;&gt;"",1,0),0)</f>
        <v/>
      </c>
      <c r="CO29">
        <f>IF(CO$4=1,IF(INDEX('×入力'!$C$1:$L$700,291+CO$3,CO$2)&lt;&gt;"",1,0),0)</f>
        <v/>
      </c>
      <c r="CP29">
        <f>IF(CP$4=1,IF(INDEX('×入力'!$C$1:$L$700,291+CP$3,CP$2)&lt;&gt;"",1,0),0)</f>
        <v/>
      </c>
      <c r="CQ29">
        <f>IF(CQ$4=1,IF(INDEX('×入力'!$C$1:$L$700,291+CQ$3,CQ$2)&lt;&gt;"",1,0),0)</f>
        <v/>
      </c>
      <c r="CR29">
        <f>IF(CR$4=1,IF(INDEX('×入力'!$C$1:$L$700,291+CR$3,CR$2)&lt;&gt;"",1,0),0)</f>
        <v/>
      </c>
      <c r="CS29">
        <f>IF(CS$4=1,IF(INDEX('×入力'!$C$1:$L$700,291+CS$3,CS$2)&lt;&gt;"",1,0),0)</f>
        <v/>
      </c>
      <c r="CT29">
        <f>IF(CT$4=1,IF(INDEX('×入力'!$C$1:$L$700,291+CT$3,CT$2)&lt;&gt;"",1,0),0)</f>
        <v/>
      </c>
      <c r="CU29">
        <f>IF(CU$4=1,IF(INDEX('×入力'!$C$1:$L$700,291+CU$3,CU$2)&lt;&gt;"",1,0),0)</f>
        <v/>
      </c>
      <c r="CV29">
        <f>IF(CV$4=1,IF(INDEX('×入力'!$C$1:$L$700,291+CV$3,CV$2)&lt;&gt;"",1,0),0)</f>
        <v/>
      </c>
      <c r="CW29">
        <f>IF(CW$4=1,IF(INDEX('×入力'!$C$1:$L$700,291+CW$3,CW$2)&lt;&gt;"",1,0),0)</f>
        <v/>
      </c>
      <c r="CX29">
        <f>IF(CX$4=1,IF(INDEX('×入力'!$C$1:$L$700,291+CX$3,CX$2)&lt;&gt;"",1,0),0)</f>
        <v/>
      </c>
      <c r="CY29">
        <f>IF(CY$4=1,IF(INDEX('×入力'!$C$1:$L$700,291+CY$3,CY$2)&lt;&gt;"",1,0),0)</f>
        <v/>
      </c>
      <c r="CZ29">
        <f>IF(CZ$4=1,IF(INDEX('×入力'!$C$1:$L$700,291+CZ$3,CZ$2)&lt;&gt;"",1,0),0)</f>
        <v/>
      </c>
      <c r="DA29">
        <f>IF(DA$4=1,IF(INDEX('×入力'!$C$1:$L$700,291+DA$3,DA$2)&lt;&gt;"",1,0),0)</f>
        <v/>
      </c>
      <c r="DB29">
        <f>IF(DB$4=1,IF(INDEX('×入力'!$C$1:$L$700,291+DB$3,DB$2)&lt;&gt;"",1,0),0)</f>
        <v/>
      </c>
      <c r="DC29">
        <f>IF(DC$4=1,IF(INDEX('×入力'!$C$1:$L$700,291+DC$3,DC$2)&lt;&gt;"",1,0),0)</f>
        <v/>
      </c>
      <c r="DD29">
        <f>IF(DD$4=1,IF(INDEX('×入力'!$C$1:$L$700,291+DD$3,DD$2)&lt;&gt;"",1,0),0)</f>
        <v/>
      </c>
      <c r="DE29">
        <f>IF(DE$4=1,IF(INDEX('×入力'!$C$1:$L$700,291+DE$3,DE$2)&lt;&gt;"",1,0),0)</f>
        <v/>
      </c>
      <c r="DF29">
        <f>IF(DF$4=1,IF(INDEX('×入力'!$C$1:$L$700,291+DF$3,DF$2)&lt;&gt;"",1,0),0)</f>
        <v/>
      </c>
      <c r="DG29">
        <f>IF(DG$4=1,IF(INDEX('×入力'!$C$1:$L$700,291+DG$3,DG$2)&lt;&gt;"",1,0),0)</f>
        <v/>
      </c>
      <c r="DH29">
        <f>IF(DH$4=1,IF(INDEX('×入力'!$C$1:$L$700,291+DH$3,DH$2)&lt;&gt;"",1,0),0)</f>
        <v/>
      </c>
      <c r="DI29">
        <f>IF(DI$4=1,IF(INDEX('×入力'!$C$1:$L$700,291+DI$3,DI$2)&lt;&gt;"",1,0),0)</f>
        <v/>
      </c>
      <c r="DJ29">
        <f>IF(DJ$4=1,IF(INDEX('×入力'!$C$1:$L$700,291+DJ$3,DJ$2)&lt;&gt;"",1,0),0)</f>
        <v/>
      </c>
      <c r="DK29">
        <f>IF(DK$4=1,IF(INDEX('×入力'!$C$1:$L$700,291+DK$3,DK$2)&lt;&gt;"",1,0),0)</f>
        <v/>
      </c>
      <c r="DL29">
        <f>IF(DL$4=1,IF(INDEX('×入力'!$C$1:$L$700,291+DL$3,DL$2)&lt;&gt;"",1,0),0)</f>
        <v/>
      </c>
      <c r="DM29">
        <f>IF(DM$4=1,IF(INDEX('×入力'!$C$1:$L$700,291+DM$3,DM$2)&lt;&gt;"",1,0),0)</f>
        <v/>
      </c>
      <c r="DN29">
        <f>IF(DN$4=1,IF(INDEX('×入力'!$C$1:$L$700,291+DN$3,DN$2)&lt;&gt;"",1,0),0)</f>
        <v/>
      </c>
      <c r="DO29">
        <f>IF(DO$4=1,IF(INDEX('×入力'!$C$1:$L$700,291+DO$3,DO$2)&lt;&gt;"",1,0),0)</f>
        <v/>
      </c>
      <c r="DP29">
        <f>IF(DP$4=1,IF(INDEX('×入力'!$C$1:$L$700,291+DP$3,DP$2)&lt;&gt;"",1,0),0)</f>
        <v/>
      </c>
      <c r="DQ29">
        <f>IF(DQ$4=1,IF(INDEX('×入力'!$C$1:$L$700,291+DQ$3,DQ$2)&lt;&gt;"",1,0),0)</f>
        <v/>
      </c>
      <c r="DR29">
        <f>IF(DR$4=1,IF(INDEX('×入力'!$C$1:$L$700,291+DR$3,DR$2)&lt;&gt;"",1,0),0)</f>
        <v/>
      </c>
      <c r="DS29">
        <f>IF(DS$4=1,IF(INDEX('×入力'!$C$1:$L$700,291+DS$3,DS$2)&lt;&gt;"",1,0),0)</f>
        <v/>
      </c>
      <c r="DU29">
        <f>IFERROR(INDEX('計算B'!$C$3:$C$47,MATCH(A29,'計算B'!$B$3:$B$47,0)),0)</f>
        <v/>
      </c>
      <c r="DV29">
        <f>IF(AND(C29=1,DU29=0),1,0)</f>
        <v/>
      </c>
      <c r="DW29">
        <f>SUMPRODUCT(D79:DS79*(1-$D$7:$DS$7))</f>
        <v/>
      </c>
      <c r="DX29">
        <f>SUM(D29:DS29)</f>
        <v/>
      </c>
      <c r="DY29">
        <f>IF(B29="",0,IF(COUNTIF('割り当て'!$C$6:$L$17,B29)=1,SUMPRODUCT(('割り当て'!$C$6:$L$17=B29)*((COLUMN('割り当て'!$C$6:$L$17)-3)*12+ROW('割り当て'!$C$6:$L$17)-5)),0))</f>
        <v/>
      </c>
    </row>
    <row r="30">
      <c r="A30" t="n">
        <v>21</v>
      </c>
      <c r="B30">
        <f>'名簿'!E25</f>
        <v/>
      </c>
      <c r="C30">
        <f>IF(AND(B30&lt;&gt;"",OR('名簿'!F25="入力済み",'名簿'!F25="×なし"),DY30=0,COUNTIF('割り当て'!$C$6:$L$17,B30)=0),1,0)</f>
        <v/>
      </c>
      <c r="D30">
        <f>IF(D$4=1,IF(INDEX('×入力'!$C$1:$L$700,306+D$3,D$2)&lt;&gt;"",1,0),0)</f>
        <v/>
      </c>
      <c r="E30">
        <f>IF(E$4=1,IF(INDEX('×入力'!$C$1:$L$700,306+E$3,E$2)&lt;&gt;"",1,0),0)</f>
        <v/>
      </c>
      <c r="F30">
        <f>IF(F$4=1,IF(INDEX('×入力'!$C$1:$L$700,306+F$3,F$2)&lt;&gt;"",1,0),0)</f>
        <v/>
      </c>
      <c r="G30">
        <f>IF(G$4=1,IF(INDEX('×入力'!$C$1:$L$700,306+G$3,G$2)&lt;&gt;"",1,0),0)</f>
        <v/>
      </c>
      <c r="H30">
        <f>IF(H$4=1,IF(INDEX('×入力'!$C$1:$L$700,306+H$3,H$2)&lt;&gt;"",1,0),0)</f>
        <v/>
      </c>
      <c r="I30">
        <f>IF(I$4=1,IF(INDEX('×入力'!$C$1:$L$700,306+I$3,I$2)&lt;&gt;"",1,0),0)</f>
        <v/>
      </c>
      <c r="J30">
        <f>IF(J$4=1,IF(INDEX('×入力'!$C$1:$L$700,306+J$3,J$2)&lt;&gt;"",1,0),0)</f>
        <v/>
      </c>
      <c r="K30">
        <f>IF(K$4=1,IF(INDEX('×入力'!$C$1:$L$700,306+K$3,K$2)&lt;&gt;"",1,0),0)</f>
        <v/>
      </c>
      <c r="L30">
        <f>IF(L$4=1,IF(INDEX('×入力'!$C$1:$L$700,306+L$3,L$2)&lt;&gt;"",1,0),0)</f>
        <v/>
      </c>
      <c r="M30">
        <f>IF(M$4=1,IF(INDEX('×入力'!$C$1:$L$700,306+M$3,M$2)&lt;&gt;"",1,0),0)</f>
        <v/>
      </c>
      <c r="N30">
        <f>IF(N$4=1,IF(INDEX('×入力'!$C$1:$L$700,306+N$3,N$2)&lt;&gt;"",1,0),0)</f>
        <v/>
      </c>
      <c r="O30">
        <f>IF(O$4=1,IF(INDEX('×入力'!$C$1:$L$700,306+O$3,O$2)&lt;&gt;"",1,0),0)</f>
        <v/>
      </c>
      <c r="P30">
        <f>IF(P$4=1,IF(INDEX('×入力'!$C$1:$L$700,306+P$3,P$2)&lt;&gt;"",1,0),0)</f>
        <v/>
      </c>
      <c r="Q30">
        <f>IF(Q$4=1,IF(INDEX('×入力'!$C$1:$L$700,306+Q$3,Q$2)&lt;&gt;"",1,0),0)</f>
        <v/>
      </c>
      <c r="R30">
        <f>IF(R$4=1,IF(INDEX('×入力'!$C$1:$L$700,306+R$3,R$2)&lt;&gt;"",1,0),0)</f>
        <v/>
      </c>
      <c r="S30">
        <f>IF(S$4=1,IF(INDEX('×入力'!$C$1:$L$700,306+S$3,S$2)&lt;&gt;"",1,0),0)</f>
        <v/>
      </c>
      <c r="T30">
        <f>IF(T$4=1,IF(INDEX('×入力'!$C$1:$L$700,306+T$3,T$2)&lt;&gt;"",1,0),0)</f>
        <v/>
      </c>
      <c r="U30">
        <f>IF(U$4=1,IF(INDEX('×入力'!$C$1:$L$700,306+U$3,U$2)&lt;&gt;"",1,0),0)</f>
        <v/>
      </c>
      <c r="V30">
        <f>IF(V$4=1,IF(INDEX('×入力'!$C$1:$L$700,306+V$3,V$2)&lt;&gt;"",1,0),0)</f>
        <v/>
      </c>
      <c r="W30">
        <f>IF(W$4=1,IF(INDEX('×入力'!$C$1:$L$700,306+W$3,W$2)&lt;&gt;"",1,0),0)</f>
        <v/>
      </c>
      <c r="X30">
        <f>IF(X$4=1,IF(INDEX('×入力'!$C$1:$L$700,306+X$3,X$2)&lt;&gt;"",1,0),0)</f>
        <v/>
      </c>
      <c r="Y30">
        <f>IF(Y$4=1,IF(INDEX('×入力'!$C$1:$L$700,306+Y$3,Y$2)&lt;&gt;"",1,0),0)</f>
        <v/>
      </c>
      <c r="Z30">
        <f>IF(Z$4=1,IF(INDEX('×入力'!$C$1:$L$700,306+Z$3,Z$2)&lt;&gt;"",1,0),0)</f>
        <v/>
      </c>
      <c r="AA30">
        <f>IF(AA$4=1,IF(INDEX('×入力'!$C$1:$L$700,306+AA$3,AA$2)&lt;&gt;"",1,0),0)</f>
        <v/>
      </c>
      <c r="AB30">
        <f>IF(AB$4=1,IF(INDEX('×入力'!$C$1:$L$700,306+AB$3,AB$2)&lt;&gt;"",1,0),0)</f>
        <v/>
      </c>
      <c r="AC30">
        <f>IF(AC$4=1,IF(INDEX('×入力'!$C$1:$L$700,306+AC$3,AC$2)&lt;&gt;"",1,0),0)</f>
        <v/>
      </c>
      <c r="AD30">
        <f>IF(AD$4=1,IF(INDEX('×入力'!$C$1:$L$700,306+AD$3,AD$2)&lt;&gt;"",1,0),0)</f>
        <v/>
      </c>
      <c r="AE30">
        <f>IF(AE$4=1,IF(INDEX('×入力'!$C$1:$L$700,306+AE$3,AE$2)&lt;&gt;"",1,0),0)</f>
        <v/>
      </c>
      <c r="AF30">
        <f>IF(AF$4=1,IF(INDEX('×入力'!$C$1:$L$700,306+AF$3,AF$2)&lt;&gt;"",1,0),0)</f>
        <v/>
      </c>
      <c r="AG30">
        <f>IF(AG$4=1,IF(INDEX('×入力'!$C$1:$L$700,306+AG$3,AG$2)&lt;&gt;"",1,0),0)</f>
        <v/>
      </c>
      <c r="AH30">
        <f>IF(AH$4=1,IF(INDEX('×入力'!$C$1:$L$700,306+AH$3,AH$2)&lt;&gt;"",1,0),0)</f>
        <v/>
      </c>
      <c r="AI30">
        <f>IF(AI$4=1,IF(INDEX('×入力'!$C$1:$L$700,306+AI$3,AI$2)&lt;&gt;"",1,0),0)</f>
        <v/>
      </c>
      <c r="AJ30">
        <f>IF(AJ$4=1,IF(INDEX('×入力'!$C$1:$L$700,306+AJ$3,AJ$2)&lt;&gt;"",1,0),0)</f>
        <v/>
      </c>
      <c r="AK30">
        <f>IF(AK$4=1,IF(INDEX('×入力'!$C$1:$L$700,306+AK$3,AK$2)&lt;&gt;"",1,0),0)</f>
        <v/>
      </c>
      <c r="AL30">
        <f>IF(AL$4=1,IF(INDEX('×入力'!$C$1:$L$700,306+AL$3,AL$2)&lt;&gt;"",1,0),0)</f>
        <v/>
      </c>
      <c r="AM30">
        <f>IF(AM$4=1,IF(INDEX('×入力'!$C$1:$L$700,306+AM$3,AM$2)&lt;&gt;"",1,0),0)</f>
        <v/>
      </c>
      <c r="AN30">
        <f>IF(AN$4=1,IF(INDEX('×入力'!$C$1:$L$700,306+AN$3,AN$2)&lt;&gt;"",1,0),0)</f>
        <v/>
      </c>
      <c r="AO30">
        <f>IF(AO$4=1,IF(INDEX('×入力'!$C$1:$L$700,306+AO$3,AO$2)&lt;&gt;"",1,0),0)</f>
        <v/>
      </c>
      <c r="AP30">
        <f>IF(AP$4=1,IF(INDEX('×入力'!$C$1:$L$700,306+AP$3,AP$2)&lt;&gt;"",1,0),0)</f>
        <v/>
      </c>
      <c r="AQ30">
        <f>IF(AQ$4=1,IF(INDEX('×入力'!$C$1:$L$700,306+AQ$3,AQ$2)&lt;&gt;"",1,0),0)</f>
        <v/>
      </c>
      <c r="AR30">
        <f>IF(AR$4=1,IF(INDEX('×入力'!$C$1:$L$700,306+AR$3,AR$2)&lt;&gt;"",1,0),0)</f>
        <v/>
      </c>
      <c r="AS30">
        <f>IF(AS$4=1,IF(INDEX('×入力'!$C$1:$L$700,306+AS$3,AS$2)&lt;&gt;"",1,0),0)</f>
        <v/>
      </c>
      <c r="AT30">
        <f>IF(AT$4=1,IF(INDEX('×入力'!$C$1:$L$700,306+AT$3,AT$2)&lt;&gt;"",1,0),0)</f>
        <v/>
      </c>
      <c r="AU30">
        <f>IF(AU$4=1,IF(INDEX('×入力'!$C$1:$L$700,306+AU$3,AU$2)&lt;&gt;"",1,0),0)</f>
        <v/>
      </c>
      <c r="AV30">
        <f>IF(AV$4=1,IF(INDEX('×入力'!$C$1:$L$700,306+AV$3,AV$2)&lt;&gt;"",1,0),0)</f>
        <v/>
      </c>
      <c r="AW30">
        <f>IF(AW$4=1,IF(INDEX('×入力'!$C$1:$L$700,306+AW$3,AW$2)&lt;&gt;"",1,0),0)</f>
        <v/>
      </c>
      <c r="AX30">
        <f>IF(AX$4=1,IF(INDEX('×入力'!$C$1:$L$700,306+AX$3,AX$2)&lt;&gt;"",1,0),0)</f>
        <v/>
      </c>
      <c r="AY30">
        <f>IF(AY$4=1,IF(INDEX('×入力'!$C$1:$L$700,306+AY$3,AY$2)&lt;&gt;"",1,0),0)</f>
        <v/>
      </c>
      <c r="AZ30">
        <f>IF(AZ$4=1,IF(INDEX('×入力'!$C$1:$L$700,306+AZ$3,AZ$2)&lt;&gt;"",1,0),0)</f>
        <v/>
      </c>
      <c r="BA30">
        <f>IF(BA$4=1,IF(INDEX('×入力'!$C$1:$L$700,306+BA$3,BA$2)&lt;&gt;"",1,0),0)</f>
        <v/>
      </c>
      <c r="BB30">
        <f>IF(BB$4=1,IF(INDEX('×入力'!$C$1:$L$700,306+BB$3,BB$2)&lt;&gt;"",1,0),0)</f>
        <v/>
      </c>
      <c r="BC30">
        <f>IF(BC$4=1,IF(INDEX('×入力'!$C$1:$L$700,306+BC$3,BC$2)&lt;&gt;"",1,0),0)</f>
        <v/>
      </c>
      <c r="BD30">
        <f>IF(BD$4=1,IF(INDEX('×入力'!$C$1:$L$700,306+BD$3,BD$2)&lt;&gt;"",1,0),0)</f>
        <v/>
      </c>
      <c r="BE30">
        <f>IF(BE$4=1,IF(INDEX('×入力'!$C$1:$L$700,306+BE$3,BE$2)&lt;&gt;"",1,0),0)</f>
        <v/>
      </c>
      <c r="BF30">
        <f>IF(BF$4=1,IF(INDEX('×入力'!$C$1:$L$700,306+BF$3,BF$2)&lt;&gt;"",1,0),0)</f>
        <v/>
      </c>
      <c r="BG30">
        <f>IF(BG$4=1,IF(INDEX('×入力'!$C$1:$L$700,306+BG$3,BG$2)&lt;&gt;"",1,0),0)</f>
        <v/>
      </c>
      <c r="BH30">
        <f>IF(BH$4=1,IF(INDEX('×入力'!$C$1:$L$700,306+BH$3,BH$2)&lt;&gt;"",1,0),0)</f>
        <v/>
      </c>
      <c r="BI30">
        <f>IF(BI$4=1,IF(INDEX('×入力'!$C$1:$L$700,306+BI$3,BI$2)&lt;&gt;"",1,0),0)</f>
        <v/>
      </c>
      <c r="BJ30">
        <f>IF(BJ$4=1,IF(INDEX('×入力'!$C$1:$L$700,306+BJ$3,BJ$2)&lt;&gt;"",1,0),0)</f>
        <v/>
      </c>
      <c r="BK30">
        <f>IF(BK$4=1,IF(INDEX('×入力'!$C$1:$L$700,306+BK$3,BK$2)&lt;&gt;"",1,0),0)</f>
        <v/>
      </c>
      <c r="BL30">
        <f>IF(BL$4=1,IF(INDEX('×入力'!$C$1:$L$700,306+BL$3,BL$2)&lt;&gt;"",1,0),0)</f>
        <v/>
      </c>
      <c r="BM30">
        <f>IF(BM$4=1,IF(INDEX('×入力'!$C$1:$L$700,306+BM$3,BM$2)&lt;&gt;"",1,0),0)</f>
        <v/>
      </c>
      <c r="BN30">
        <f>IF(BN$4=1,IF(INDEX('×入力'!$C$1:$L$700,306+BN$3,BN$2)&lt;&gt;"",1,0),0)</f>
        <v/>
      </c>
      <c r="BO30">
        <f>IF(BO$4=1,IF(INDEX('×入力'!$C$1:$L$700,306+BO$3,BO$2)&lt;&gt;"",1,0),0)</f>
        <v/>
      </c>
      <c r="BP30">
        <f>IF(BP$4=1,IF(INDEX('×入力'!$C$1:$L$700,306+BP$3,BP$2)&lt;&gt;"",1,0),0)</f>
        <v/>
      </c>
      <c r="BQ30">
        <f>IF(BQ$4=1,IF(INDEX('×入力'!$C$1:$L$700,306+BQ$3,BQ$2)&lt;&gt;"",1,0),0)</f>
        <v/>
      </c>
      <c r="BR30">
        <f>IF(BR$4=1,IF(INDEX('×入力'!$C$1:$L$700,306+BR$3,BR$2)&lt;&gt;"",1,0),0)</f>
        <v/>
      </c>
      <c r="BS30">
        <f>IF(BS$4=1,IF(INDEX('×入力'!$C$1:$L$700,306+BS$3,BS$2)&lt;&gt;"",1,0),0)</f>
        <v/>
      </c>
      <c r="BT30">
        <f>IF(BT$4=1,IF(INDEX('×入力'!$C$1:$L$700,306+BT$3,BT$2)&lt;&gt;"",1,0),0)</f>
        <v/>
      </c>
      <c r="BU30">
        <f>IF(BU$4=1,IF(INDEX('×入力'!$C$1:$L$700,306+BU$3,BU$2)&lt;&gt;"",1,0),0)</f>
        <v/>
      </c>
      <c r="BV30">
        <f>IF(BV$4=1,IF(INDEX('×入力'!$C$1:$L$700,306+BV$3,BV$2)&lt;&gt;"",1,0),0)</f>
        <v/>
      </c>
      <c r="BW30">
        <f>IF(BW$4=1,IF(INDEX('×入力'!$C$1:$L$700,306+BW$3,BW$2)&lt;&gt;"",1,0),0)</f>
        <v/>
      </c>
      <c r="BX30">
        <f>IF(BX$4=1,IF(INDEX('×入力'!$C$1:$L$700,306+BX$3,BX$2)&lt;&gt;"",1,0),0)</f>
        <v/>
      </c>
      <c r="BY30">
        <f>IF(BY$4=1,IF(INDEX('×入力'!$C$1:$L$700,306+BY$3,BY$2)&lt;&gt;"",1,0),0)</f>
        <v/>
      </c>
      <c r="BZ30">
        <f>IF(BZ$4=1,IF(INDEX('×入力'!$C$1:$L$700,306+BZ$3,BZ$2)&lt;&gt;"",1,0),0)</f>
        <v/>
      </c>
      <c r="CA30">
        <f>IF(CA$4=1,IF(INDEX('×入力'!$C$1:$L$700,306+CA$3,CA$2)&lt;&gt;"",1,0),0)</f>
        <v/>
      </c>
      <c r="CB30">
        <f>IF(CB$4=1,IF(INDEX('×入力'!$C$1:$L$700,306+CB$3,CB$2)&lt;&gt;"",1,0),0)</f>
        <v/>
      </c>
      <c r="CC30">
        <f>IF(CC$4=1,IF(INDEX('×入力'!$C$1:$L$700,306+CC$3,CC$2)&lt;&gt;"",1,0),0)</f>
        <v/>
      </c>
      <c r="CD30">
        <f>IF(CD$4=1,IF(INDEX('×入力'!$C$1:$L$700,306+CD$3,CD$2)&lt;&gt;"",1,0),0)</f>
        <v/>
      </c>
      <c r="CE30">
        <f>IF(CE$4=1,IF(INDEX('×入力'!$C$1:$L$700,306+CE$3,CE$2)&lt;&gt;"",1,0),0)</f>
        <v/>
      </c>
      <c r="CF30">
        <f>IF(CF$4=1,IF(INDEX('×入力'!$C$1:$L$700,306+CF$3,CF$2)&lt;&gt;"",1,0),0)</f>
        <v/>
      </c>
      <c r="CG30">
        <f>IF(CG$4=1,IF(INDEX('×入力'!$C$1:$L$700,306+CG$3,CG$2)&lt;&gt;"",1,0),0)</f>
        <v/>
      </c>
      <c r="CH30">
        <f>IF(CH$4=1,IF(INDEX('×入力'!$C$1:$L$700,306+CH$3,CH$2)&lt;&gt;"",1,0),0)</f>
        <v/>
      </c>
      <c r="CI30">
        <f>IF(CI$4=1,IF(INDEX('×入力'!$C$1:$L$700,306+CI$3,CI$2)&lt;&gt;"",1,0),0)</f>
        <v/>
      </c>
      <c r="CJ30">
        <f>IF(CJ$4=1,IF(INDEX('×入力'!$C$1:$L$700,306+CJ$3,CJ$2)&lt;&gt;"",1,0),0)</f>
        <v/>
      </c>
      <c r="CK30">
        <f>IF(CK$4=1,IF(INDEX('×入力'!$C$1:$L$700,306+CK$3,CK$2)&lt;&gt;"",1,0),0)</f>
        <v/>
      </c>
      <c r="CL30">
        <f>IF(CL$4=1,IF(INDEX('×入力'!$C$1:$L$700,306+CL$3,CL$2)&lt;&gt;"",1,0),0)</f>
        <v/>
      </c>
      <c r="CM30">
        <f>IF(CM$4=1,IF(INDEX('×入力'!$C$1:$L$700,306+CM$3,CM$2)&lt;&gt;"",1,0),0)</f>
        <v/>
      </c>
      <c r="CN30">
        <f>IF(CN$4=1,IF(INDEX('×入力'!$C$1:$L$700,306+CN$3,CN$2)&lt;&gt;"",1,0),0)</f>
        <v/>
      </c>
      <c r="CO30">
        <f>IF(CO$4=1,IF(INDEX('×入力'!$C$1:$L$700,306+CO$3,CO$2)&lt;&gt;"",1,0),0)</f>
        <v/>
      </c>
      <c r="CP30">
        <f>IF(CP$4=1,IF(INDEX('×入力'!$C$1:$L$700,306+CP$3,CP$2)&lt;&gt;"",1,0),0)</f>
        <v/>
      </c>
      <c r="CQ30">
        <f>IF(CQ$4=1,IF(INDEX('×入力'!$C$1:$L$700,306+CQ$3,CQ$2)&lt;&gt;"",1,0),0)</f>
        <v/>
      </c>
      <c r="CR30">
        <f>IF(CR$4=1,IF(INDEX('×入力'!$C$1:$L$700,306+CR$3,CR$2)&lt;&gt;"",1,0),0)</f>
        <v/>
      </c>
      <c r="CS30">
        <f>IF(CS$4=1,IF(INDEX('×入力'!$C$1:$L$700,306+CS$3,CS$2)&lt;&gt;"",1,0),0)</f>
        <v/>
      </c>
      <c r="CT30">
        <f>IF(CT$4=1,IF(INDEX('×入力'!$C$1:$L$700,306+CT$3,CT$2)&lt;&gt;"",1,0),0)</f>
        <v/>
      </c>
      <c r="CU30">
        <f>IF(CU$4=1,IF(INDEX('×入力'!$C$1:$L$700,306+CU$3,CU$2)&lt;&gt;"",1,0),0)</f>
        <v/>
      </c>
      <c r="CV30">
        <f>IF(CV$4=1,IF(INDEX('×入力'!$C$1:$L$700,306+CV$3,CV$2)&lt;&gt;"",1,0),0)</f>
        <v/>
      </c>
      <c r="CW30">
        <f>IF(CW$4=1,IF(INDEX('×入力'!$C$1:$L$700,306+CW$3,CW$2)&lt;&gt;"",1,0),0)</f>
        <v/>
      </c>
      <c r="CX30">
        <f>IF(CX$4=1,IF(INDEX('×入力'!$C$1:$L$700,306+CX$3,CX$2)&lt;&gt;"",1,0),0)</f>
        <v/>
      </c>
      <c r="CY30">
        <f>IF(CY$4=1,IF(INDEX('×入力'!$C$1:$L$700,306+CY$3,CY$2)&lt;&gt;"",1,0),0)</f>
        <v/>
      </c>
      <c r="CZ30">
        <f>IF(CZ$4=1,IF(INDEX('×入力'!$C$1:$L$700,306+CZ$3,CZ$2)&lt;&gt;"",1,0),0)</f>
        <v/>
      </c>
      <c r="DA30">
        <f>IF(DA$4=1,IF(INDEX('×入力'!$C$1:$L$700,306+DA$3,DA$2)&lt;&gt;"",1,0),0)</f>
        <v/>
      </c>
      <c r="DB30">
        <f>IF(DB$4=1,IF(INDEX('×入力'!$C$1:$L$700,306+DB$3,DB$2)&lt;&gt;"",1,0),0)</f>
        <v/>
      </c>
      <c r="DC30">
        <f>IF(DC$4=1,IF(INDEX('×入力'!$C$1:$L$700,306+DC$3,DC$2)&lt;&gt;"",1,0),0)</f>
        <v/>
      </c>
      <c r="DD30">
        <f>IF(DD$4=1,IF(INDEX('×入力'!$C$1:$L$700,306+DD$3,DD$2)&lt;&gt;"",1,0),0)</f>
        <v/>
      </c>
      <c r="DE30">
        <f>IF(DE$4=1,IF(INDEX('×入力'!$C$1:$L$700,306+DE$3,DE$2)&lt;&gt;"",1,0),0)</f>
        <v/>
      </c>
      <c r="DF30">
        <f>IF(DF$4=1,IF(INDEX('×入力'!$C$1:$L$700,306+DF$3,DF$2)&lt;&gt;"",1,0),0)</f>
        <v/>
      </c>
      <c r="DG30">
        <f>IF(DG$4=1,IF(INDEX('×入力'!$C$1:$L$700,306+DG$3,DG$2)&lt;&gt;"",1,0),0)</f>
        <v/>
      </c>
      <c r="DH30">
        <f>IF(DH$4=1,IF(INDEX('×入力'!$C$1:$L$700,306+DH$3,DH$2)&lt;&gt;"",1,0),0)</f>
        <v/>
      </c>
      <c r="DI30">
        <f>IF(DI$4=1,IF(INDEX('×入力'!$C$1:$L$700,306+DI$3,DI$2)&lt;&gt;"",1,0),0)</f>
        <v/>
      </c>
      <c r="DJ30">
        <f>IF(DJ$4=1,IF(INDEX('×入力'!$C$1:$L$700,306+DJ$3,DJ$2)&lt;&gt;"",1,0),0)</f>
        <v/>
      </c>
      <c r="DK30">
        <f>IF(DK$4=1,IF(INDEX('×入力'!$C$1:$L$700,306+DK$3,DK$2)&lt;&gt;"",1,0),0)</f>
        <v/>
      </c>
      <c r="DL30">
        <f>IF(DL$4=1,IF(INDEX('×入力'!$C$1:$L$700,306+DL$3,DL$2)&lt;&gt;"",1,0),0)</f>
        <v/>
      </c>
      <c r="DM30">
        <f>IF(DM$4=1,IF(INDEX('×入力'!$C$1:$L$700,306+DM$3,DM$2)&lt;&gt;"",1,0),0)</f>
        <v/>
      </c>
      <c r="DN30">
        <f>IF(DN$4=1,IF(INDEX('×入力'!$C$1:$L$700,306+DN$3,DN$2)&lt;&gt;"",1,0),0)</f>
        <v/>
      </c>
      <c r="DO30">
        <f>IF(DO$4=1,IF(INDEX('×入力'!$C$1:$L$700,306+DO$3,DO$2)&lt;&gt;"",1,0),0)</f>
        <v/>
      </c>
      <c r="DP30">
        <f>IF(DP$4=1,IF(INDEX('×入力'!$C$1:$L$700,306+DP$3,DP$2)&lt;&gt;"",1,0),0)</f>
        <v/>
      </c>
      <c r="DQ30">
        <f>IF(DQ$4=1,IF(INDEX('×入力'!$C$1:$L$700,306+DQ$3,DQ$2)&lt;&gt;"",1,0),0)</f>
        <v/>
      </c>
      <c r="DR30">
        <f>IF(DR$4=1,IF(INDEX('×入力'!$C$1:$L$700,306+DR$3,DR$2)&lt;&gt;"",1,0),0)</f>
        <v/>
      </c>
      <c r="DS30">
        <f>IF(DS$4=1,IF(INDEX('×入力'!$C$1:$L$700,306+DS$3,DS$2)&lt;&gt;"",1,0),0)</f>
        <v/>
      </c>
      <c r="DU30">
        <f>IFERROR(INDEX('計算B'!$C$3:$C$47,MATCH(A30,'計算B'!$B$3:$B$47,0)),0)</f>
        <v/>
      </c>
      <c r="DV30">
        <f>IF(AND(C30=1,DU30=0),1,0)</f>
        <v/>
      </c>
      <c r="DW30">
        <f>SUMPRODUCT(D80:DS80*(1-$D$7:$DS$7))</f>
        <v/>
      </c>
      <c r="DX30">
        <f>SUM(D30:DS30)</f>
        <v/>
      </c>
      <c r="DY30">
        <f>IF(B30="",0,IF(COUNTIF('割り当て'!$C$6:$L$17,B30)=1,SUMPRODUCT(('割り当て'!$C$6:$L$17=B30)*((COLUMN('割り当て'!$C$6:$L$17)-3)*12+ROW('割り当て'!$C$6:$L$17)-5)),0))</f>
        <v/>
      </c>
    </row>
    <row r="31">
      <c r="A31" t="n">
        <v>22</v>
      </c>
      <c r="B31">
        <f>'名簿'!E26</f>
        <v/>
      </c>
      <c r="C31">
        <f>IF(AND(B31&lt;&gt;"",OR('名簿'!F26="入力済み",'名簿'!F26="×なし"),DY31=0,COUNTIF('割り当て'!$C$6:$L$17,B31)=0),1,0)</f>
        <v/>
      </c>
      <c r="D31">
        <f>IF(D$4=1,IF(INDEX('×入力'!$C$1:$L$700,321+D$3,D$2)&lt;&gt;"",1,0),0)</f>
        <v/>
      </c>
      <c r="E31">
        <f>IF(E$4=1,IF(INDEX('×入力'!$C$1:$L$700,321+E$3,E$2)&lt;&gt;"",1,0),0)</f>
        <v/>
      </c>
      <c r="F31">
        <f>IF(F$4=1,IF(INDEX('×入力'!$C$1:$L$700,321+F$3,F$2)&lt;&gt;"",1,0),0)</f>
        <v/>
      </c>
      <c r="G31">
        <f>IF(G$4=1,IF(INDEX('×入力'!$C$1:$L$700,321+G$3,G$2)&lt;&gt;"",1,0),0)</f>
        <v/>
      </c>
      <c r="H31">
        <f>IF(H$4=1,IF(INDEX('×入力'!$C$1:$L$700,321+H$3,H$2)&lt;&gt;"",1,0),0)</f>
        <v/>
      </c>
      <c r="I31">
        <f>IF(I$4=1,IF(INDEX('×入力'!$C$1:$L$700,321+I$3,I$2)&lt;&gt;"",1,0),0)</f>
        <v/>
      </c>
      <c r="J31">
        <f>IF(J$4=1,IF(INDEX('×入力'!$C$1:$L$700,321+J$3,J$2)&lt;&gt;"",1,0),0)</f>
        <v/>
      </c>
      <c r="K31">
        <f>IF(K$4=1,IF(INDEX('×入力'!$C$1:$L$700,321+K$3,K$2)&lt;&gt;"",1,0),0)</f>
        <v/>
      </c>
      <c r="L31">
        <f>IF(L$4=1,IF(INDEX('×入力'!$C$1:$L$700,321+L$3,L$2)&lt;&gt;"",1,0),0)</f>
        <v/>
      </c>
      <c r="M31">
        <f>IF(M$4=1,IF(INDEX('×入力'!$C$1:$L$700,321+M$3,M$2)&lt;&gt;"",1,0),0)</f>
        <v/>
      </c>
      <c r="N31">
        <f>IF(N$4=1,IF(INDEX('×入力'!$C$1:$L$700,321+N$3,N$2)&lt;&gt;"",1,0),0)</f>
        <v/>
      </c>
      <c r="O31">
        <f>IF(O$4=1,IF(INDEX('×入力'!$C$1:$L$700,321+O$3,O$2)&lt;&gt;"",1,0),0)</f>
        <v/>
      </c>
      <c r="P31">
        <f>IF(P$4=1,IF(INDEX('×入力'!$C$1:$L$700,321+P$3,P$2)&lt;&gt;"",1,0),0)</f>
        <v/>
      </c>
      <c r="Q31">
        <f>IF(Q$4=1,IF(INDEX('×入力'!$C$1:$L$700,321+Q$3,Q$2)&lt;&gt;"",1,0),0)</f>
        <v/>
      </c>
      <c r="R31">
        <f>IF(R$4=1,IF(INDEX('×入力'!$C$1:$L$700,321+R$3,R$2)&lt;&gt;"",1,0),0)</f>
        <v/>
      </c>
      <c r="S31">
        <f>IF(S$4=1,IF(INDEX('×入力'!$C$1:$L$700,321+S$3,S$2)&lt;&gt;"",1,0),0)</f>
        <v/>
      </c>
      <c r="T31">
        <f>IF(T$4=1,IF(INDEX('×入力'!$C$1:$L$700,321+T$3,T$2)&lt;&gt;"",1,0),0)</f>
        <v/>
      </c>
      <c r="U31">
        <f>IF(U$4=1,IF(INDEX('×入力'!$C$1:$L$700,321+U$3,U$2)&lt;&gt;"",1,0),0)</f>
        <v/>
      </c>
      <c r="V31">
        <f>IF(V$4=1,IF(INDEX('×入力'!$C$1:$L$700,321+V$3,V$2)&lt;&gt;"",1,0),0)</f>
        <v/>
      </c>
      <c r="W31">
        <f>IF(W$4=1,IF(INDEX('×入力'!$C$1:$L$700,321+W$3,W$2)&lt;&gt;"",1,0),0)</f>
        <v/>
      </c>
      <c r="X31">
        <f>IF(X$4=1,IF(INDEX('×入力'!$C$1:$L$700,321+X$3,X$2)&lt;&gt;"",1,0),0)</f>
        <v/>
      </c>
      <c r="Y31">
        <f>IF(Y$4=1,IF(INDEX('×入力'!$C$1:$L$700,321+Y$3,Y$2)&lt;&gt;"",1,0),0)</f>
        <v/>
      </c>
      <c r="Z31">
        <f>IF(Z$4=1,IF(INDEX('×入力'!$C$1:$L$700,321+Z$3,Z$2)&lt;&gt;"",1,0),0)</f>
        <v/>
      </c>
      <c r="AA31">
        <f>IF(AA$4=1,IF(INDEX('×入力'!$C$1:$L$700,321+AA$3,AA$2)&lt;&gt;"",1,0),0)</f>
        <v/>
      </c>
      <c r="AB31">
        <f>IF(AB$4=1,IF(INDEX('×入力'!$C$1:$L$700,321+AB$3,AB$2)&lt;&gt;"",1,0),0)</f>
        <v/>
      </c>
      <c r="AC31">
        <f>IF(AC$4=1,IF(INDEX('×入力'!$C$1:$L$700,321+AC$3,AC$2)&lt;&gt;"",1,0),0)</f>
        <v/>
      </c>
      <c r="AD31">
        <f>IF(AD$4=1,IF(INDEX('×入力'!$C$1:$L$700,321+AD$3,AD$2)&lt;&gt;"",1,0),0)</f>
        <v/>
      </c>
      <c r="AE31">
        <f>IF(AE$4=1,IF(INDEX('×入力'!$C$1:$L$700,321+AE$3,AE$2)&lt;&gt;"",1,0),0)</f>
        <v/>
      </c>
      <c r="AF31">
        <f>IF(AF$4=1,IF(INDEX('×入力'!$C$1:$L$700,321+AF$3,AF$2)&lt;&gt;"",1,0),0)</f>
        <v/>
      </c>
      <c r="AG31">
        <f>IF(AG$4=1,IF(INDEX('×入力'!$C$1:$L$700,321+AG$3,AG$2)&lt;&gt;"",1,0),0)</f>
        <v/>
      </c>
      <c r="AH31">
        <f>IF(AH$4=1,IF(INDEX('×入力'!$C$1:$L$700,321+AH$3,AH$2)&lt;&gt;"",1,0),0)</f>
        <v/>
      </c>
      <c r="AI31">
        <f>IF(AI$4=1,IF(INDEX('×入力'!$C$1:$L$700,321+AI$3,AI$2)&lt;&gt;"",1,0),0)</f>
        <v/>
      </c>
      <c r="AJ31">
        <f>IF(AJ$4=1,IF(INDEX('×入力'!$C$1:$L$700,321+AJ$3,AJ$2)&lt;&gt;"",1,0),0)</f>
        <v/>
      </c>
      <c r="AK31">
        <f>IF(AK$4=1,IF(INDEX('×入力'!$C$1:$L$700,321+AK$3,AK$2)&lt;&gt;"",1,0),0)</f>
        <v/>
      </c>
      <c r="AL31">
        <f>IF(AL$4=1,IF(INDEX('×入力'!$C$1:$L$700,321+AL$3,AL$2)&lt;&gt;"",1,0),0)</f>
        <v/>
      </c>
      <c r="AM31">
        <f>IF(AM$4=1,IF(INDEX('×入力'!$C$1:$L$700,321+AM$3,AM$2)&lt;&gt;"",1,0),0)</f>
        <v/>
      </c>
      <c r="AN31">
        <f>IF(AN$4=1,IF(INDEX('×入力'!$C$1:$L$700,321+AN$3,AN$2)&lt;&gt;"",1,0),0)</f>
        <v/>
      </c>
      <c r="AO31">
        <f>IF(AO$4=1,IF(INDEX('×入力'!$C$1:$L$700,321+AO$3,AO$2)&lt;&gt;"",1,0),0)</f>
        <v/>
      </c>
      <c r="AP31">
        <f>IF(AP$4=1,IF(INDEX('×入力'!$C$1:$L$700,321+AP$3,AP$2)&lt;&gt;"",1,0),0)</f>
        <v/>
      </c>
      <c r="AQ31">
        <f>IF(AQ$4=1,IF(INDEX('×入力'!$C$1:$L$700,321+AQ$3,AQ$2)&lt;&gt;"",1,0),0)</f>
        <v/>
      </c>
      <c r="AR31">
        <f>IF(AR$4=1,IF(INDEX('×入力'!$C$1:$L$700,321+AR$3,AR$2)&lt;&gt;"",1,0),0)</f>
        <v/>
      </c>
      <c r="AS31">
        <f>IF(AS$4=1,IF(INDEX('×入力'!$C$1:$L$700,321+AS$3,AS$2)&lt;&gt;"",1,0),0)</f>
        <v/>
      </c>
      <c r="AT31">
        <f>IF(AT$4=1,IF(INDEX('×入力'!$C$1:$L$700,321+AT$3,AT$2)&lt;&gt;"",1,0),0)</f>
        <v/>
      </c>
      <c r="AU31">
        <f>IF(AU$4=1,IF(INDEX('×入力'!$C$1:$L$700,321+AU$3,AU$2)&lt;&gt;"",1,0),0)</f>
        <v/>
      </c>
      <c r="AV31">
        <f>IF(AV$4=1,IF(INDEX('×入力'!$C$1:$L$700,321+AV$3,AV$2)&lt;&gt;"",1,0),0)</f>
        <v/>
      </c>
      <c r="AW31">
        <f>IF(AW$4=1,IF(INDEX('×入力'!$C$1:$L$700,321+AW$3,AW$2)&lt;&gt;"",1,0),0)</f>
        <v/>
      </c>
      <c r="AX31">
        <f>IF(AX$4=1,IF(INDEX('×入力'!$C$1:$L$700,321+AX$3,AX$2)&lt;&gt;"",1,0),0)</f>
        <v/>
      </c>
      <c r="AY31">
        <f>IF(AY$4=1,IF(INDEX('×入力'!$C$1:$L$700,321+AY$3,AY$2)&lt;&gt;"",1,0),0)</f>
        <v/>
      </c>
      <c r="AZ31">
        <f>IF(AZ$4=1,IF(INDEX('×入力'!$C$1:$L$700,321+AZ$3,AZ$2)&lt;&gt;"",1,0),0)</f>
        <v/>
      </c>
      <c r="BA31">
        <f>IF(BA$4=1,IF(INDEX('×入力'!$C$1:$L$700,321+BA$3,BA$2)&lt;&gt;"",1,0),0)</f>
        <v/>
      </c>
      <c r="BB31">
        <f>IF(BB$4=1,IF(INDEX('×入力'!$C$1:$L$700,321+BB$3,BB$2)&lt;&gt;"",1,0),0)</f>
        <v/>
      </c>
      <c r="BC31">
        <f>IF(BC$4=1,IF(INDEX('×入力'!$C$1:$L$700,321+BC$3,BC$2)&lt;&gt;"",1,0),0)</f>
        <v/>
      </c>
      <c r="BD31">
        <f>IF(BD$4=1,IF(INDEX('×入力'!$C$1:$L$700,321+BD$3,BD$2)&lt;&gt;"",1,0),0)</f>
        <v/>
      </c>
      <c r="BE31">
        <f>IF(BE$4=1,IF(INDEX('×入力'!$C$1:$L$700,321+BE$3,BE$2)&lt;&gt;"",1,0),0)</f>
        <v/>
      </c>
      <c r="BF31">
        <f>IF(BF$4=1,IF(INDEX('×入力'!$C$1:$L$700,321+BF$3,BF$2)&lt;&gt;"",1,0),0)</f>
        <v/>
      </c>
      <c r="BG31">
        <f>IF(BG$4=1,IF(INDEX('×入力'!$C$1:$L$700,321+BG$3,BG$2)&lt;&gt;"",1,0),0)</f>
        <v/>
      </c>
      <c r="BH31">
        <f>IF(BH$4=1,IF(INDEX('×入力'!$C$1:$L$700,321+BH$3,BH$2)&lt;&gt;"",1,0),0)</f>
        <v/>
      </c>
      <c r="BI31">
        <f>IF(BI$4=1,IF(INDEX('×入力'!$C$1:$L$700,321+BI$3,BI$2)&lt;&gt;"",1,0),0)</f>
        <v/>
      </c>
      <c r="BJ31">
        <f>IF(BJ$4=1,IF(INDEX('×入力'!$C$1:$L$700,321+BJ$3,BJ$2)&lt;&gt;"",1,0),0)</f>
        <v/>
      </c>
      <c r="BK31">
        <f>IF(BK$4=1,IF(INDEX('×入力'!$C$1:$L$700,321+BK$3,BK$2)&lt;&gt;"",1,0),0)</f>
        <v/>
      </c>
      <c r="BL31">
        <f>IF(BL$4=1,IF(INDEX('×入力'!$C$1:$L$700,321+BL$3,BL$2)&lt;&gt;"",1,0),0)</f>
        <v/>
      </c>
      <c r="BM31">
        <f>IF(BM$4=1,IF(INDEX('×入力'!$C$1:$L$700,321+BM$3,BM$2)&lt;&gt;"",1,0),0)</f>
        <v/>
      </c>
      <c r="BN31">
        <f>IF(BN$4=1,IF(INDEX('×入力'!$C$1:$L$700,321+BN$3,BN$2)&lt;&gt;"",1,0),0)</f>
        <v/>
      </c>
      <c r="BO31">
        <f>IF(BO$4=1,IF(INDEX('×入力'!$C$1:$L$700,321+BO$3,BO$2)&lt;&gt;"",1,0),0)</f>
        <v/>
      </c>
      <c r="BP31">
        <f>IF(BP$4=1,IF(INDEX('×入力'!$C$1:$L$700,321+BP$3,BP$2)&lt;&gt;"",1,0),0)</f>
        <v/>
      </c>
      <c r="BQ31">
        <f>IF(BQ$4=1,IF(INDEX('×入力'!$C$1:$L$700,321+BQ$3,BQ$2)&lt;&gt;"",1,0),0)</f>
        <v/>
      </c>
      <c r="BR31">
        <f>IF(BR$4=1,IF(INDEX('×入力'!$C$1:$L$700,321+BR$3,BR$2)&lt;&gt;"",1,0),0)</f>
        <v/>
      </c>
      <c r="BS31">
        <f>IF(BS$4=1,IF(INDEX('×入力'!$C$1:$L$700,321+BS$3,BS$2)&lt;&gt;"",1,0),0)</f>
        <v/>
      </c>
      <c r="BT31">
        <f>IF(BT$4=1,IF(INDEX('×入力'!$C$1:$L$700,321+BT$3,BT$2)&lt;&gt;"",1,0),0)</f>
        <v/>
      </c>
      <c r="BU31">
        <f>IF(BU$4=1,IF(INDEX('×入力'!$C$1:$L$700,321+BU$3,BU$2)&lt;&gt;"",1,0),0)</f>
        <v/>
      </c>
      <c r="BV31">
        <f>IF(BV$4=1,IF(INDEX('×入力'!$C$1:$L$700,321+BV$3,BV$2)&lt;&gt;"",1,0),0)</f>
        <v/>
      </c>
      <c r="BW31">
        <f>IF(BW$4=1,IF(INDEX('×入力'!$C$1:$L$700,321+BW$3,BW$2)&lt;&gt;"",1,0),0)</f>
        <v/>
      </c>
      <c r="BX31">
        <f>IF(BX$4=1,IF(INDEX('×入力'!$C$1:$L$700,321+BX$3,BX$2)&lt;&gt;"",1,0),0)</f>
        <v/>
      </c>
      <c r="BY31">
        <f>IF(BY$4=1,IF(INDEX('×入力'!$C$1:$L$700,321+BY$3,BY$2)&lt;&gt;"",1,0),0)</f>
        <v/>
      </c>
      <c r="BZ31">
        <f>IF(BZ$4=1,IF(INDEX('×入力'!$C$1:$L$700,321+BZ$3,BZ$2)&lt;&gt;"",1,0),0)</f>
        <v/>
      </c>
      <c r="CA31">
        <f>IF(CA$4=1,IF(INDEX('×入力'!$C$1:$L$700,321+CA$3,CA$2)&lt;&gt;"",1,0),0)</f>
        <v/>
      </c>
      <c r="CB31">
        <f>IF(CB$4=1,IF(INDEX('×入力'!$C$1:$L$700,321+CB$3,CB$2)&lt;&gt;"",1,0),0)</f>
        <v/>
      </c>
      <c r="CC31">
        <f>IF(CC$4=1,IF(INDEX('×入力'!$C$1:$L$700,321+CC$3,CC$2)&lt;&gt;"",1,0),0)</f>
        <v/>
      </c>
      <c r="CD31">
        <f>IF(CD$4=1,IF(INDEX('×入力'!$C$1:$L$700,321+CD$3,CD$2)&lt;&gt;"",1,0),0)</f>
        <v/>
      </c>
      <c r="CE31">
        <f>IF(CE$4=1,IF(INDEX('×入力'!$C$1:$L$700,321+CE$3,CE$2)&lt;&gt;"",1,0),0)</f>
        <v/>
      </c>
      <c r="CF31">
        <f>IF(CF$4=1,IF(INDEX('×入力'!$C$1:$L$700,321+CF$3,CF$2)&lt;&gt;"",1,0),0)</f>
        <v/>
      </c>
      <c r="CG31">
        <f>IF(CG$4=1,IF(INDEX('×入力'!$C$1:$L$700,321+CG$3,CG$2)&lt;&gt;"",1,0),0)</f>
        <v/>
      </c>
      <c r="CH31">
        <f>IF(CH$4=1,IF(INDEX('×入力'!$C$1:$L$700,321+CH$3,CH$2)&lt;&gt;"",1,0),0)</f>
        <v/>
      </c>
      <c r="CI31">
        <f>IF(CI$4=1,IF(INDEX('×入力'!$C$1:$L$700,321+CI$3,CI$2)&lt;&gt;"",1,0),0)</f>
        <v/>
      </c>
      <c r="CJ31">
        <f>IF(CJ$4=1,IF(INDEX('×入力'!$C$1:$L$700,321+CJ$3,CJ$2)&lt;&gt;"",1,0),0)</f>
        <v/>
      </c>
      <c r="CK31">
        <f>IF(CK$4=1,IF(INDEX('×入力'!$C$1:$L$700,321+CK$3,CK$2)&lt;&gt;"",1,0),0)</f>
        <v/>
      </c>
      <c r="CL31">
        <f>IF(CL$4=1,IF(INDEX('×入力'!$C$1:$L$700,321+CL$3,CL$2)&lt;&gt;"",1,0),0)</f>
        <v/>
      </c>
      <c r="CM31">
        <f>IF(CM$4=1,IF(INDEX('×入力'!$C$1:$L$700,321+CM$3,CM$2)&lt;&gt;"",1,0),0)</f>
        <v/>
      </c>
      <c r="CN31">
        <f>IF(CN$4=1,IF(INDEX('×入力'!$C$1:$L$700,321+CN$3,CN$2)&lt;&gt;"",1,0),0)</f>
        <v/>
      </c>
      <c r="CO31">
        <f>IF(CO$4=1,IF(INDEX('×入力'!$C$1:$L$700,321+CO$3,CO$2)&lt;&gt;"",1,0),0)</f>
        <v/>
      </c>
      <c r="CP31">
        <f>IF(CP$4=1,IF(INDEX('×入力'!$C$1:$L$700,321+CP$3,CP$2)&lt;&gt;"",1,0),0)</f>
        <v/>
      </c>
      <c r="CQ31">
        <f>IF(CQ$4=1,IF(INDEX('×入力'!$C$1:$L$700,321+CQ$3,CQ$2)&lt;&gt;"",1,0),0)</f>
        <v/>
      </c>
      <c r="CR31">
        <f>IF(CR$4=1,IF(INDEX('×入力'!$C$1:$L$700,321+CR$3,CR$2)&lt;&gt;"",1,0),0)</f>
        <v/>
      </c>
      <c r="CS31">
        <f>IF(CS$4=1,IF(INDEX('×入力'!$C$1:$L$700,321+CS$3,CS$2)&lt;&gt;"",1,0),0)</f>
        <v/>
      </c>
      <c r="CT31">
        <f>IF(CT$4=1,IF(INDEX('×入力'!$C$1:$L$700,321+CT$3,CT$2)&lt;&gt;"",1,0),0)</f>
        <v/>
      </c>
      <c r="CU31">
        <f>IF(CU$4=1,IF(INDEX('×入力'!$C$1:$L$700,321+CU$3,CU$2)&lt;&gt;"",1,0),0)</f>
        <v/>
      </c>
      <c r="CV31">
        <f>IF(CV$4=1,IF(INDEX('×入力'!$C$1:$L$700,321+CV$3,CV$2)&lt;&gt;"",1,0),0)</f>
        <v/>
      </c>
      <c r="CW31">
        <f>IF(CW$4=1,IF(INDEX('×入力'!$C$1:$L$700,321+CW$3,CW$2)&lt;&gt;"",1,0),0)</f>
        <v/>
      </c>
      <c r="CX31">
        <f>IF(CX$4=1,IF(INDEX('×入力'!$C$1:$L$700,321+CX$3,CX$2)&lt;&gt;"",1,0),0)</f>
        <v/>
      </c>
      <c r="CY31">
        <f>IF(CY$4=1,IF(INDEX('×入力'!$C$1:$L$700,321+CY$3,CY$2)&lt;&gt;"",1,0),0)</f>
        <v/>
      </c>
      <c r="CZ31">
        <f>IF(CZ$4=1,IF(INDEX('×入力'!$C$1:$L$700,321+CZ$3,CZ$2)&lt;&gt;"",1,0),0)</f>
        <v/>
      </c>
      <c r="DA31">
        <f>IF(DA$4=1,IF(INDEX('×入力'!$C$1:$L$700,321+DA$3,DA$2)&lt;&gt;"",1,0),0)</f>
        <v/>
      </c>
      <c r="DB31">
        <f>IF(DB$4=1,IF(INDEX('×入力'!$C$1:$L$700,321+DB$3,DB$2)&lt;&gt;"",1,0),0)</f>
        <v/>
      </c>
      <c r="DC31">
        <f>IF(DC$4=1,IF(INDEX('×入力'!$C$1:$L$700,321+DC$3,DC$2)&lt;&gt;"",1,0),0)</f>
        <v/>
      </c>
      <c r="DD31">
        <f>IF(DD$4=1,IF(INDEX('×入力'!$C$1:$L$700,321+DD$3,DD$2)&lt;&gt;"",1,0),0)</f>
        <v/>
      </c>
      <c r="DE31">
        <f>IF(DE$4=1,IF(INDEX('×入力'!$C$1:$L$700,321+DE$3,DE$2)&lt;&gt;"",1,0),0)</f>
        <v/>
      </c>
      <c r="DF31">
        <f>IF(DF$4=1,IF(INDEX('×入力'!$C$1:$L$700,321+DF$3,DF$2)&lt;&gt;"",1,0),0)</f>
        <v/>
      </c>
      <c r="DG31">
        <f>IF(DG$4=1,IF(INDEX('×入力'!$C$1:$L$700,321+DG$3,DG$2)&lt;&gt;"",1,0),0)</f>
        <v/>
      </c>
      <c r="DH31">
        <f>IF(DH$4=1,IF(INDEX('×入力'!$C$1:$L$700,321+DH$3,DH$2)&lt;&gt;"",1,0),0)</f>
        <v/>
      </c>
      <c r="DI31">
        <f>IF(DI$4=1,IF(INDEX('×入力'!$C$1:$L$700,321+DI$3,DI$2)&lt;&gt;"",1,0),0)</f>
        <v/>
      </c>
      <c r="DJ31">
        <f>IF(DJ$4=1,IF(INDEX('×入力'!$C$1:$L$700,321+DJ$3,DJ$2)&lt;&gt;"",1,0),0)</f>
        <v/>
      </c>
      <c r="DK31">
        <f>IF(DK$4=1,IF(INDEX('×入力'!$C$1:$L$700,321+DK$3,DK$2)&lt;&gt;"",1,0),0)</f>
        <v/>
      </c>
      <c r="DL31">
        <f>IF(DL$4=1,IF(INDEX('×入力'!$C$1:$L$700,321+DL$3,DL$2)&lt;&gt;"",1,0),0)</f>
        <v/>
      </c>
      <c r="DM31">
        <f>IF(DM$4=1,IF(INDEX('×入力'!$C$1:$L$700,321+DM$3,DM$2)&lt;&gt;"",1,0),0)</f>
        <v/>
      </c>
      <c r="DN31">
        <f>IF(DN$4=1,IF(INDEX('×入力'!$C$1:$L$700,321+DN$3,DN$2)&lt;&gt;"",1,0),0)</f>
        <v/>
      </c>
      <c r="DO31">
        <f>IF(DO$4=1,IF(INDEX('×入力'!$C$1:$L$700,321+DO$3,DO$2)&lt;&gt;"",1,0),0)</f>
        <v/>
      </c>
      <c r="DP31">
        <f>IF(DP$4=1,IF(INDEX('×入力'!$C$1:$L$700,321+DP$3,DP$2)&lt;&gt;"",1,0),0)</f>
        <v/>
      </c>
      <c r="DQ31">
        <f>IF(DQ$4=1,IF(INDEX('×入力'!$C$1:$L$700,321+DQ$3,DQ$2)&lt;&gt;"",1,0),0)</f>
        <v/>
      </c>
      <c r="DR31">
        <f>IF(DR$4=1,IF(INDEX('×入力'!$C$1:$L$700,321+DR$3,DR$2)&lt;&gt;"",1,0),0)</f>
        <v/>
      </c>
      <c r="DS31">
        <f>IF(DS$4=1,IF(INDEX('×入力'!$C$1:$L$700,321+DS$3,DS$2)&lt;&gt;"",1,0),0)</f>
        <v/>
      </c>
      <c r="DU31">
        <f>IFERROR(INDEX('計算B'!$C$3:$C$47,MATCH(A31,'計算B'!$B$3:$B$47,0)),0)</f>
        <v/>
      </c>
      <c r="DV31">
        <f>IF(AND(C31=1,DU31=0),1,0)</f>
        <v/>
      </c>
      <c r="DW31">
        <f>SUMPRODUCT(D81:DS81*(1-$D$7:$DS$7))</f>
        <v/>
      </c>
      <c r="DX31">
        <f>SUM(D31:DS31)</f>
        <v/>
      </c>
      <c r="DY31">
        <f>IF(B31="",0,IF(COUNTIF('割り当て'!$C$6:$L$17,B31)=1,SUMPRODUCT(('割り当て'!$C$6:$L$17=B31)*((COLUMN('割り当て'!$C$6:$L$17)-3)*12+ROW('割り当て'!$C$6:$L$17)-5)),0))</f>
        <v/>
      </c>
    </row>
    <row r="32">
      <c r="A32" t="n">
        <v>23</v>
      </c>
      <c r="B32">
        <f>'名簿'!E27</f>
        <v/>
      </c>
      <c r="C32">
        <f>IF(AND(B32&lt;&gt;"",OR('名簿'!F27="入力済み",'名簿'!F27="×なし"),DY32=0,COUNTIF('割り当て'!$C$6:$L$17,B32)=0),1,0)</f>
        <v/>
      </c>
      <c r="D32">
        <f>IF(D$4=1,IF(INDEX('×入力'!$C$1:$L$700,336+D$3,D$2)&lt;&gt;"",1,0),0)</f>
        <v/>
      </c>
      <c r="E32">
        <f>IF(E$4=1,IF(INDEX('×入力'!$C$1:$L$700,336+E$3,E$2)&lt;&gt;"",1,0),0)</f>
        <v/>
      </c>
      <c r="F32">
        <f>IF(F$4=1,IF(INDEX('×入力'!$C$1:$L$700,336+F$3,F$2)&lt;&gt;"",1,0),0)</f>
        <v/>
      </c>
      <c r="G32">
        <f>IF(G$4=1,IF(INDEX('×入力'!$C$1:$L$700,336+G$3,G$2)&lt;&gt;"",1,0),0)</f>
        <v/>
      </c>
      <c r="H32">
        <f>IF(H$4=1,IF(INDEX('×入力'!$C$1:$L$700,336+H$3,H$2)&lt;&gt;"",1,0),0)</f>
        <v/>
      </c>
      <c r="I32">
        <f>IF(I$4=1,IF(INDEX('×入力'!$C$1:$L$700,336+I$3,I$2)&lt;&gt;"",1,0),0)</f>
        <v/>
      </c>
      <c r="J32">
        <f>IF(J$4=1,IF(INDEX('×入力'!$C$1:$L$700,336+J$3,J$2)&lt;&gt;"",1,0),0)</f>
        <v/>
      </c>
      <c r="K32">
        <f>IF(K$4=1,IF(INDEX('×入力'!$C$1:$L$700,336+K$3,K$2)&lt;&gt;"",1,0),0)</f>
        <v/>
      </c>
      <c r="L32">
        <f>IF(L$4=1,IF(INDEX('×入力'!$C$1:$L$700,336+L$3,L$2)&lt;&gt;"",1,0),0)</f>
        <v/>
      </c>
      <c r="M32">
        <f>IF(M$4=1,IF(INDEX('×入力'!$C$1:$L$700,336+M$3,M$2)&lt;&gt;"",1,0),0)</f>
        <v/>
      </c>
      <c r="N32">
        <f>IF(N$4=1,IF(INDEX('×入力'!$C$1:$L$700,336+N$3,N$2)&lt;&gt;"",1,0),0)</f>
        <v/>
      </c>
      <c r="O32">
        <f>IF(O$4=1,IF(INDEX('×入力'!$C$1:$L$700,336+O$3,O$2)&lt;&gt;"",1,0),0)</f>
        <v/>
      </c>
      <c r="P32">
        <f>IF(P$4=1,IF(INDEX('×入力'!$C$1:$L$700,336+P$3,P$2)&lt;&gt;"",1,0),0)</f>
        <v/>
      </c>
      <c r="Q32">
        <f>IF(Q$4=1,IF(INDEX('×入力'!$C$1:$L$700,336+Q$3,Q$2)&lt;&gt;"",1,0),0)</f>
        <v/>
      </c>
      <c r="R32">
        <f>IF(R$4=1,IF(INDEX('×入力'!$C$1:$L$700,336+R$3,R$2)&lt;&gt;"",1,0),0)</f>
        <v/>
      </c>
      <c r="S32">
        <f>IF(S$4=1,IF(INDEX('×入力'!$C$1:$L$700,336+S$3,S$2)&lt;&gt;"",1,0),0)</f>
        <v/>
      </c>
      <c r="T32">
        <f>IF(T$4=1,IF(INDEX('×入力'!$C$1:$L$700,336+T$3,T$2)&lt;&gt;"",1,0),0)</f>
        <v/>
      </c>
      <c r="U32">
        <f>IF(U$4=1,IF(INDEX('×入力'!$C$1:$L$700,336+U$3,U$2)&lt;&gt;"",1,0),0)</f>
        <v/>
      </c>
      <c r="V32">
        <f>IF(V$4=1,IF(INDEX('×入力'!$C$1:$L$700,336+V$3,V$2)&lt;&gt;"",1,0),0)</f>
        <v/>
      </c>
      <c r="W32">
        <f>IF(W$4=1,IF(INDEX('×入力'!$C$1:$L$700,336+W$3,W$2)&lt;&gt;"",1,0),0)</f>
        <v/>
      </c>
      <c r="X32">
        <f>IF(X$4=1,IF(INDEX('×入力'!$C$1:$L$700,336+X$3,X$2)&lt;&gt;"",1,0),0)</f>
        <v/>
      </c>
      <c r="Y32">
        <f>IF(Y$4=1,IF(INDEX('×入力'!$C$1:$L$700,336+Y$3,Y$2)&lt;&gt;"",1,0),0)</f>
        <v/>
      </c>
      <c r="Z32">
        <f>IF(Z$4=1,IF(INDEX('×入力'!$C$1:$L$700,336+Z$3,Z$2)&lt;&gt;"",1,0),0)</f>
        <v/>
      </c>
      <c r="AA32">
        <f>IF(AA$4=1,IF(INDEX('×入力'!$C$1:$L$700,336+AA$3,AA$2)&lt;&gt;"",1,0),0)</f>
        <v/>
      </c>
      <c r="AB32">
        <f>IF(AB$4=1,IF(INDEX('×入力'!$C$1:$L$700,336+AB$3,AB$2)&lt;&gt;"",1,0),0)</f>
        <v/>
      </c>
      <c r="AC32">
        <f>IF(AC$4=1,IF(INDEX('×入力'!$C$1:$L$700,336+AC$3,AC$2)&lt;&gt;"",1,0),0)</f>
        <v/>
      </c>
      <c r="AD32">
        <f>IF(AD$4=1,IF(INDEX('×入力'!$C$1:$L$700,336+AD$3,AD$2)&lt;&gt;"",1,0),0)</f>
        <v/>
      </c>
      <c r="AE32">
        <f>IF(AE$4=1,IF(INDEX('×入力'!$C$1:$L$700,336+AE$3,AE$2)&lt;&gt;"",1,0),0)</f>
        <v/>
      </c>
      <c r="AF32">
        <f>IF(AF$4=1,IF(INDEX('×入力'!$C$1:$L$700,336+AF$3,AF$2)&lt;&gt;"",1,0),0)</f>
        <v/>
      </c>
      <c r="AG32">
        <f>IF(AG$4=1,IF(INDEX('×入力'!$C$1:$L$700,336+AG$3,AG$2)&lt;&gt;"",1,0),0)</f>
        <v/>
      </c>
      <c r="AH32">
        <f>IF(AH$4=1,IF(INDEX('×入力'!$C$1:$L$700,336+AH$3,AH$2)&lt;&gt;"",1,0),0)</f>
        <v/>
      </c>
      <c r="AI32">
        <f>IF(AI$4=1,IF(INDEX('×入力'!$C$1:$L$700,336+AI$3,AI$2)&lt;&gt;"",1,0),0)</f>
        <v/>
      </c>
      <c r="AJ32">
        <f>IF(AJ$4=1,IF(INDEX('×入力'!$C$1:$L$700,336+AJ$3,AJ$2)&lt;&gt;"",1,0),0)</f>
        <v/>
      </c>
      <c r="AK32">
        <f>IF(AK$4=1,IF(INDEX('×入力'!$C$1:$L$700,336+AK$3,AK$2)&lt;&gt;"",1,0),0)</f>
        <v/>
      </c>
      <c r="AL32">
        <f>IF(AL$4=1,IF(INDEX('×入力'!$C$1:$L$700,336+AL$3,AL$2)&lt;&gt;"",1,0),0)</f>
        <v/>
      </c>
      <c r="AM32">
        <f>IF(AM$4=1,IF(INDEX('×入力'!$C$1:$L$700,336+AM$3,AM$2)&lt;&gt;"",1,0),0)</f>
        <v/>
      </c>
      <c r="AN32">
        <f>IF(AN$4=1,IF(INDEX('×入力'!$C$1:$L$700,336+AN$3,AN$2)&lt;&gt;"",1,0),0)</f>
        <v/>
      </c>
      <c r="AO32">
        <f>IF(AO$4=1,IF(INDEX('×入力'!$C$1:$L$700,336+AO$3,AO$2)&lt;&gt;"",1,0),0)</f>
        <v/>
      </c>
      <c r="AP32">
        <f>IF(AP$4=1,IF(INDEX('×入力'!$C$1:$L$700,336+AP$3,AP$2)&lt;&gt;"",1,0),0)</f>
        <v/>
      </c>
      <c r="AQ32">
        <f>IF(AQ$4=1,IF(INDEX('×入力'!$C$1:$L$700,336+AQ$3,AQ$2)&lt;&gt;"",1,0),0)</f>
        <v/>
      </c>
      <c r="AR32">
        <f>IF(AR$4=1,IF(INDEX('×入力'!$C$1:$L$700,336+AR$3,AR$2)&lt;&gt;"",1,0),0)</f>
        <v/>
      </c>
      <c r="AS32">
        <f>IF(AS$4=1,IF(INDEX('×入力'!$C$1:$L$700,336+AS$3,AS$2)&lt;&gt;"",1,0),0)</f>
        <v/>
      </c>
      <c r="AT32">
        <f>IF(AT$4=1,IF(INDEX('×入力'!$C$1:$L$700,336+AT$3,AT$2)&lt;&gt;"",1,0),0)</f>
        <v/>
      </c>
      <c r="AU32">
        <f>IF(AU$4=1,IF(INDEX('×入力'!$C$1:$L$700,336+AU$3,AU$2)&lt;&gt;"",1,0),0)</f>
        <v/>
      </c>
      <c r="AV32">
        <f>IF(AV$4=1,IF(INDEX('×入力'!$C$1:$L$700,336+AV$3,AV$2)&lt;&gt;"",1,0),0)</f>
        <v/>
      </c>
      <c r="AW32">
        <f>IF(AW$4=1,IF(INDEX('×入力'!$C$1:$L$700,336+AW$3,AW$2)&lt;&gt;"",1,0),0)</f>
        <v/>
      </c>
      <c r="AX32">
        <f>IF(AX$4=1,IF(INDEX('×入力'!$C$1:$L$700,336+AX$3,AX$2)&lt;&gt;"",1,0),0)</f>
        <v/>
      </c>
      <c r="AY32">
        <f>IF(AY$4=1,IF(INDEX('×入力'!$C$1:$L$700,336+AY$3,AY$2)&lt;&gt;"",1,0),0)</f>
        <v/>
      </c>
      <c r="AZ32">
        <f>IF(AZ$4=1,IF(INDEX('×入力'!$C$1:$L$700,336+AZ$3,AZ$2)&lt;&gt;"",1,0),0)</f>
        <v/>
      </c>
      <c r="BA32">
        <f>IF(BA$4=1,IF(INDEX('×入力'!$C$1:$L$700,336+BA$3,BA$2)&lt;&gt;"",1,0),0)</f>
        <v/>
      </c>
      <c r="BB32">
        <f>IF(BB$4=1,IF(INDEX('×入力'!$C$1:$L$700,336+BB$3,BB$2)&lt;&gt;"",1,0),0)</f>
        <v/>
      </c>
      <c r="BC32">
        <f>IF(BC$4=1,IF(INDEX('×入力'!$C$1:$L$700,336+BC$3,BC$2)&lt;&gt;"",1,0),0)</f>
        <v/>
      </c>
      <c r="BD32">
        <f>IF(BD$4=1,IF(INDEX('×入力'!$C$1:$L$700,336+BD$3,BD$2)&lt;&gt;"",1,0),0)</f>
        <v/>
      </c>
      <c r="BE32">
        <f>IF(BE$4=1,IF(INDEX('×入力'!$C$1:$L$700,336+BE$3,BE$2)&lt;&gt;"",1,0),0)</f>
        <v/>
      </c>
      <c r="BF32">
        <f>IF(BF$4=1,IF(INDEX('×入力'!$C$1:$L$700,336+BF$3,BF$2)&lt;&gt;"",1,0),0)</f>
        <v/>
      </c>
      <c r="BG32">
        <f>IF(BG$4=1,IF(INDEX('×入力'!$C$1:$L$700,336+BG$3,BG$2)&lt;&gt;"",1,0),0)</f>
        <v/>
      </c>
      <c r="BH32">
        <f>IF(BH$4=1,IF(INDEX('×入力'!$C$1:$L$700,336+BH$3,BH$2)&lt;&gt;"",1,0),0)</f>
        <v/>
      </c>
      <c r="BI32">
        <f>IF(BI$4=1,IF(INDEX('×入力'!$C$1:$L$700,336+BI$3,BI$2)&lt;&gt;"",1,0),0)</f>
        <v/>
      </c>
      <c r="BJ32">
        <f>IF(BJ$4=1,IF(INDEX('×入力'!$C$1:$L$700,336+BJ$3,BJ$2)&lt;&gt;"",1,0),0)</f>
        <v/>
      </c>
      <c r="BK32">
        <f>IF(BK$4=1,IF(INDEX('×入力'!$C$1:$L$700,336+BK$3,BK$2)&lt;&gt;"",1,0),0)</f>
        <v/>
      </c>
      <c r="BL32">
        <f>IF(BL$4=1,IF(INDEX('×入力'!$C$1:$L$700,336+BL$3,BL$2)&lt;&gt;"",1,0),0)</f>
        <v/>
      </c>
      <c r="BM32">
        <f>IF(BM$4=1,IF(INDEX('×入力'!$C$1:$L$700,336+BM$3,BM$2)&lt;&gt;"",1,0),0)</f>
        <v/>
      </c>
      <c r="BN32">
        <f>IF(BN$4=1,IF(INDEX('×入力'!$C$1:$L$700,336+BN$3,BN$2)&lt;&gt;"",1,0),0)</f>
        <v/>
      </c>
      <c r="BO32">
        <f>IF(BO$4=1,IF(INDEX('×入力'!$C$1:$L$700,336+BO$3,BO$2)&lt;&gt;"",1,0),0)</f>
        <v/>
      </c>
      <c r="BP32">
        <f>IF(BP$4=1,IF(INDEX('×入力'!$C$1:$L$700,336+BP$3,BP$2)&lt;&gt;"",1,0),0)</f>
        <v/>
      </c>
      <c r="BQ32">
        <f>IF(BQ$4=1,IF(INDEX('×入力'!$C$1:$L$700,336+BQ$3,BQ$2)&lt;&gt;"",1,0),0)</f>
        <v/>
      </c>
      <c r="BR32">
        <f>IF(BR$4=1,IF(INDEX('×入力'!$C$1:$L$700,336+BR$3,BR$2)&lt;&gt;"",1,0),0)</f>
        <v/>
      </c>
      <c r="BS32">
        <f>IF(BS$4=1,IF(INDEX('×入力'!$C$1:$L$700,336+BS$3,BS$2)&lt;&gt;"",1,0),0)</f>
        <v/>
      </c>
      <c r="BT32">
        <f>IF(BT$4=1,IF(INDEX('×入力'!$C$1:$L$700,336+BT$3,BT$2)&lt;&gt;"",1,0),0)</f>
        <v/>
      </c>
      <c r="BU32">
        <f>IF(BU$4=1,IF(INDEX('×入力'!$C$1:$L$700,336+BU$3,BU$2)&lt;&gt;"",1,0),0)</f>
        <v/>
      </c>
      <c r="BV32">
        <f>IF(BV$4=1,IF(INDEX('×入力'!$C$1:$L$700,336+BV$3,BV$2)&lt;&gt;"",1,0),0)</f>
        <v/>
      </c>
      <c r="BW32">
        <f>IF(BW$4=1,IF(INDEX('×入力'!$C$1:$L$700,336+BW$3,BW$2)&lt;&gt;"",1,0),0)</f>
        <v/>
      </c>
      <c r="BX32">
        <f>IF(BX$4=1,IF(INDEX('×入力'!$C$1:$L$700,336+BX$3,BX$2)&lt;&gt;"",1,0),0)</f>
        <v/>
      </c>
      <c r="BY32">
        <f>IF(BY$4=1,IF(INDEX('×入力'!$C$1:$L$700,336+BY$3,BY$2)&lt;&gt;"",1,0),0)</f>
        <v/>
      </c>
      <c r="BZ32">
        <f>IF(BZ$4=1,IF(INDEX('×入力'!$C$1:$L$700,336+BZ$3,BZ$2)&lt;&gt;"",1,0),0)</f>
        <v/>
      </c>
      <c r="CA32">
        <f>IF(CA$4=1,IF(INDEX('×入力'!$C$1:$L$700,336+CA$3,CA$2)&lt;&gt;"",1,0),0)</f>
        <v/>
      </c>
      <c r="CB32">
        <f>IF(CB$4=1,IF(INDEX('×入力'!$C$1:$L$700,336+CB$3,CB$2)&lt;&gt;"",1,0),0)</f>
        <v/>
      </c>
      <c r="CC32">
        <f>IF(CC$4=1,IF(INDEX('×入力'!$C$1:$L$700,336+CC$3,CC$2)&lt;&gt;"",1,0),0)</f>
        <v/>
      </c>
      <c r="CD32">
        <f>IF(CD$4=1,IF(INDEX('×入力'!$C$1:$L$700,336+CD$3,CD$2)&lt;&gt;"",1,0),0)</f>
        <v/>
      </c>
      <c r="CE32">
        <f>IF(CE$4=1,IF(INDEX('×入力'!$C$1:$L$700,336+CE$3,CE$2)&lt;&gt;"",1,0),0)</f>
        <v/>
      </c>
      <c r="CF32">
        <f>IF(CF$4=1,IF(INDEX('×入力'!$C$1:$L$700,336+CF$3,CF$2)&lt;&gt;"",1,0),0)</f>
        <v/>
      </c>
      <c r="CG32">
        <f>IF(CG$4=1,IF(INDEX('×入力'!$C$1:$L$700,336+CG$3,CG$2)&lt;&gt;"",1,0),0)</f>
        <v/>
      </c>
      <c r="CH32">
        <f>IF(CH$4=1,IF(INDEX('×入力'!$C$1:$L$700,336+CH$3,CH$2)&lt;&gt;"",1,0),0)</f>
        <v/>
      </c>
      <c r="CI32">
        <f>IF(CI$4=1,IF(INDEX('×入力'!$C$1:$L$700,336+CI$3,CI$2)&lt;&gt;"",1,0),0)</f>
        <v/>
      </c>
      <c r="CJ32">
        <f>IF(CJ$4=1,IF(INDEX('×入力'!$C$1:$L$700,336+CJ$3,CJ$2)&lt;&gt;"",1,0),0)</f>
        <v/>
      </c>
      <c r="CK32">
        <f>IF(CK$4=1,IF(INDEX('×入力'!$C$1:$L$700,336+CK$3,CK$2)&lt;&gt;"",1,0),0)</f>
        <v/>
      </c>
      <c r="CL32">
        <f>IF(CL$4=1,IF(INDEX('×入力'!$C$1:$L$700,336+CL$3,CL$2)&lt;&gt;"",1,0),0)</f>
        <v/>
      </c>
      <c r="CM32">
        <f>IF(CM$4=1,IF(INDEX('×入力'!$C$1:$L$700,336+CM$3,CM$2)&lt;&gt;"",1,0),0)</f>
        <v/>
      </c>
      <c r="CN32">
        <f>IF(CN$4=1,IF(INDEX('×入力'!$C$1:$L$700,336+CN$3,CN$2)&lt;&gt;"",1,0),0)</f>
        <v/>
      </c>
      <c r="CO32">
        <f>IF(CO$4=1,IF(INDEX('×入力'!$C$1:$L$700,336+CO$3,CO$2)&lt;&gt;"",1,0),0)</f>
        <v/>
      </c>
      <c r="CP32">
        <f>IF(CP$4=1,IF(INDEX('×入力'!$C$1:$L$700,336+CP$3,CP$2)&lt;&gt;"",1,0),0)</f>
        <v/>
      </c>
      <c r="CQ32">
        <f>IF(CQ$4=1,IF(INDEX('×入力'!$C$1:$L$700,336+CQ$3,CQ$2)&lt;&gt;"",1,0),0)</f>
        <v/>
      </c>
      <c r="CR32">
        <f>IF(CR$4=1,IF(INDEX('×入力'!$C$1:$L$700,336+CR$3,CR$2)&lt;&gt;"",1,0),0)</f>
        <v/>
      </c>
      <c r="CS32">
        <f>IF(CS$4=1,IF(INDEX('×入力'!$C$1:$L$700,336+CS$3,CS$2)&lt;&gt;"",1,0),0)</f>
        <v/>
      </c>
      <c r="CT32">
        <f>IF(CT$4=1,IF(INDEX('×入力'!$C$1:$L$700,336+CT$3,CT$2)&lt;&gt;"",1,0),0)</f>
        <v/>
      </c>
      <c r="CU32">
        <f>IF(CU$4=1,IF(INDEX('×入力'!$C$1:$L$700,336+CU$3,CU$2)&lt;&gt;"",1,0),0)</f>
        <v/>
      </c>
      <c r="CV32">
        <f>IF(CV$4=1,IF(INDEX('×入力'!$C$1:$L$700,336+CV$3,CV$2)&lt;&gt;"",1,0),0)</f>
        <v/>
      </c>
      <c r="CW32">
        <f>IF(CW$4=1,IF(INDEX('×入力'!$C$1:$L$700,336+CW$3,CW$2)&lt;&gt;"",1,0),0)</f>
        <v/>
      </c>
      <c r="CX32">
        <f>IF(CX$4=1,IF(INDEX('×入力'!$C$1:$L$700,336+CX$3,CX$2)&lt;&gt;"",1,0),0)</f>
        <v/>
      </c>
      <c r="CY32">
        <f>IF(CY$4=1,IF(INDEX('×入力'!$C$1:$L$700,336+CY$3,CY$2)&lt;&gt;"",1,0),0)</f>
        <v/>
      </c>
      <c r="CZ32">
        <f>IF(CZ$4=1,IF(INDEX('×入力'!$C$1:$L$700,336+CZ$3,CZ$2)&lt;&gt;"",1,0),0)</f>
        <v/>
      </c>
      <c r="DA32">
        <f>IF(DA$4=1,IF(INDEX('×入力'!$C$1:$L$700,336+DA$3,DA$2)&lt;&gt;"",1,0),0)</f>
        <v/>
      </c>
      <c r="DB32">
        <f>IF(DB$4=1,IF(INDEX('×入力'!$C$1:$L$700,336+DB$3,DB$2)&lt;&gt;"",1,0),0)</f>
        <v/>
      </c>
      <c r="DC32">
        <f>IF(DC$4=1,IF(INDEX('×入力'!$C$1:$L$700,336+DC$3,DC$2)&lt;&gt;"",1,0),0)</f>
        <v/>
      </c>
      <c r="DD32">
        <f>IF(DD$4=1,IF(INDEX('×入力'!$C$1:$L$700,336+DD$3,DD$2)&lt;&gt;"",1,0),0)</f>
        <v/>
      </c>
      <c r="DE32">
        <f>IF(DE$4=1,IF(INDEX('×入力'!$C$1:$L$700,336+DE$3,DE$2)&lt;&gt;"",1,0),0)</f>
        <v/>
      </c>
      <c r="DF32">
        <f>IF(DF$4=1,IF(INDEX('×入力'!$C$1:$L$700,336+DF$3,DF$2)&lt;&gt;"",1,0),0)</f>
        <v/>
      </c>
      <c r="DG32">
        <f>IF(DG$4=1,IF(INDEX('×入力'!$C$1:$L$700,336+DG$3,DG$2)&lt;&gt;"",1,0),0)</f>
        <v/>
      </c>
      <c r="DH32">
        <f>IF(DH$4=1,IF(INDEX('×入力'!$C$1:$L$700,336+DH$3,DH$2)&lt;&gt;"",1,0),0)</f>
        <v/>
      </c>
      <c r="DI32">
        <f>IF(DI$4=1,IF(INDEX('×入力'!$C$1:$L$700,336+DI$3,DI$2)&lt;&gt;"",1,0),0)</f>
        <v/>
      </c>
      <c r="DJ32">
        <f>IF(DJ$4=1,IF(INDEX('×入力'!$C$1:$L$700,336+DJ$3,DJ$2)&lt;&gt;"",1,0),0)</f>
        <v/>
      </c>
      <c r="DK32">
        <f>IF(DK$4=1,IF(INDEX('×入力'!$C$1:$L$700,336+DK$3,DK$2)&lt;&gt;"",1,0),0)</f>
        <v/>
      </c>
      <c r="DL32">
        <f>IF(DL$4=1,IF(INDEX('×入力'!$C$1:$L$700,336+DL$3,DL$2)&lt;&gt;"",1,0),0)</f>
        <v/>
      </c>
      <c r="DM32">
        <f>IF(DM$4=1,IF(INDEX('×入力'!$C$1:$L$700,336+DM$3,DM$2)&lt;&gt;"",1,0),0)</f>
        <v/>
      </c>
      <c r="DN32">
        <f>IF(DN$4=1,IF(INDEX('×入力'!$C$1:$L$700,336+DN$3,DN$2)&lt;&gt;"",1,0),0)</f>
        <v/>
      </c>
      <c r="DO32">
        <f>IF(DO$4=1,IF(INDEX('×入力'!$C$1:$L$700,336+DO$3,DO$2)&lt;&gt;"",1,0),0)</f>
        <v/>
      </c>
      <c r="DP32">
        <f>IF(DP$4=1,IF(INDEX('×入力'!$C$1:$L$700,336+DP$3,DP$2)&lt;&gt;"",1,0),0)</f>
        <v/>
      </c>
      <c r="DQ32">
        <f>IF(DQ$4=1,IF(INDEX('×入力'!$C$1:$L$700,336+DQ$3,DQ$2)&lt;&gt;"",1,0),0)</f>
        <v/>
      </c>
      <c r="DR32">
        <f>IF(DR$4=1,IF(INDEX('×入力'!$C$1:$L$700,336+DR$3,DR$2)&lt;&gt;"",1,0),0)</f>
        <v/>
      </c>
      <c r="DS32">
        <f>IF(DS$4=1,IF(INDEX('×入力'!$C$1:$L$700,336+DS$3,DS$2)&lt;&gt;"",1,0),0)</f>
        <v/>
      </c>
      <c r="DU32">
        <f>IFERROR(INDEX('計算B'!$C$3:$C$47,MATCH(A32,'計算B'!$B$3:$B$47,0)),0)</f>
        <v/>
      </c>
      <c r="DV32">
        <f>IF(AND(C32=1,DU32=0),1,0)</f>
        <v/>
      </c>
      <c r="DW32">
        <f>SUMPRODUCT(D82:DS82*(1-$D$7:$DS$7))</f>
        <v/>
      </c>
      <c r="DX32">
        <f>SUM(D32:DS32)</f>
        <v/>
      </c>
      <c r="DY32">
        <f>IF(B32="",0,IF(COUNTIF('割り当て'!$C$6:$L$17,B32)=1,SUMPRODUCT(('割り当て'!$C$6:$L$17=B32)*((COLUMN('割り当て'!$C$6:$L$17)-3)*12+ROW('割り当て'!$C$6:$L$17)-5)),0))</f>
        <v/>
      </c>
    </row>
    <row r="33">
      <c r="A33" t="n">
        <v>24</v>
      </c>
      <c r="B33">
        <f>'名簿'!E28</f>
        <v/>
      </c>
      <c r="C33">
        <f>IF(AND(B33&lt;&gt;"",OR('名簿'!F28="入力済み",'名簿'!F28="×なし"),DY33=0,COUNTIF('割り当て'!$C$6:$L$17,B33)=0),1,0)</f>
        <v/>
      </c>
      <c r="D33">
        <f>IF(D$4=1,IF(INDEX('×入力'!$C$1:$L$700,351+D$3,D$2)&lt;&gt;"",1,0),0)</f>
        <v/>
      </c>
      <c r="E33">
        <f>IF(E$4=1,IF(INDEX('×入力'!$C$1:$L$700,351+E$3,E$2)&lt;&gt;"",1,0),0)</f>
        <v/>
      </c>
      <c r="F33">
        <f>IF(F$4=1,IF(INDEX('×入力'!$C$1:$L$700,351+F$3,F$2)&lt;&gt;"",1,0),0)</f>
        <v/>
      </c>
      <c r="G33">
        <f>IF(G$4=1,IF(INDEX('×入力'!$C$1:$L$700,351+G$3,G$2)&lt;&gt;"",1,0),0)</f>
        <v/>
      </c>
      <c r="H33">
        <f>IF(H$4=1,IF(INDEX('×入力'!$C$1:$L$700,351+H$3,H$2)&lt;&gt;"",1,0),0)</f>
        <v/>
      </c>
      <c r="I33">
        <f>IF(I$4=1,IF(INDEX('×入力'!$C$1:$L$700,351+I$3,I$2)&lt;&gt;"",1,0),0)</f>
        <v/>
      </c>
      <c r="J33">
        <f>IF(J$4=1,IF(INDEX('×入力'!$C$1:$L$700,351+J$3,J$2)&lt;&gt;"",1,0),0)</f>
        <v/>
      </c>
      <c r="K33">
        <f>IF(K$4=1,IF(INDEX('×入力'!$C$1:$L$700,351+K$3,K$2)&lt;&gt;"",1,0),0)</f>
        <v/>
      </c>
      <c r="L33">
        <f>IF(L$4=1,IF(INDEX('×入力'!$C$1:$L$700,351+L$3,L$2)&lt;&gt;"",1,0),0)</f>
        <v/>
      </c>
      <c r="M33">
        <f>IF(M$4=1,IF(INDEX('×入力'!$C$1:$L$700,351+M$3,M$2)&lt;&gt;"",1,0),0)</f>
        <v/>
      </c>
      <c r="N33">
        <f>IF(N$4=1,IF(INDEX('×入力'!$C$1:$L$700,351+N$3,N$2)&lt;&gt;"",1,0),0)</f>
        <v/>
      </c>
      <c r="O33">
        <f>IF(O$4=1,IF(INDEX('×入力'!$C$1:$L$700,351+O$3,O$2)&lt;&gt;"",1,0),0)</f>
        <v/>
      </c>
      <c r="P33">
        <f>IF(P$4=1,IF(INDEX('×入力'!$C$1:$L$700,351+P$3,P$2)&lt;&gt;"",1,0),0)</f>
        <v/>
      </c>
      <c r="Q33">
        <f>IF(Q$4=1,IF(INDEX('×入力'!$C$1:$L$700,351+Q$3,Q$2)&lt;&gt;"",1,0),0)</f>
        <v/>
      </c>
      <c r="R33">
        <f>IF(R$4=1,IF(INDEX('×入力'!$C$1:$L$700,351+R$3,R$2)&lt;&gt;"",1,0),0)</f>
        <v/>
      </c>
      <c r="S33">
        <f>IF(S$4=1,IF(INDEX('×入力'!$C$1:$L$700,351+S$3,S$2)&lt;&gt;"",1,0),0)</f>
        <v/>
      </c>
      <c r="T33">
        <f>IF(T$4=1,IF(INDEX('×入力'!$C$1:$L$700,351+T$3,T$2)&lt;&gt;"",1,0),0)</f>
        <v/>
      </c>
      <c r="U33">
        <f>IF(U$4=1,IF(INDEX('×入力'!$C$1:$L$700,351+U$3,U$2)&lt;&gt;"",1,0),0)</f>
        <v/>
      </c>
      <c r="V33">
        <f>IF(V$4=1,IF(INDEX('×入力'!$C$1:$L$700,351+V$3,V$2)&lt;&gt;"",1,0),0)</f>
        <v/>
      </c>
      <c r="W33">
        <f>IF(W$4=1,IF(INDEX('×入力'!$C$1:$L$700,351+W$3,W$2)&lt;&gt;"",1,0),0)</f>
        <v/>
      </c>
      <c r="X33">
        <f>IF(X$4=1,IF(INDEX('×入力'!$C$1:$L$700,351+X$3,X$2)&lt;&gt;"",1,0),0)</f>
        <v/>
      </c>
      <c r="Y33">
        <f>IF(Y$4=1,IF(INDEX('×入力'!$C$1:$L$700,351+Y$3,Y$2)&lt;&gt;"",1,0),0)</f>
        <v/>
      </c>
      <c r="Z33">
        <f>IF(Z$4=1,IF(INDEX('×入力'!$C$1:$L$700,351+Z$3,Z$2)&lt;&gt;"",1,0),0)</f>
        <v/>
      </c>
      <c r="AA33">
        <f>IF(AA$4=1,IF(INDEX('×入力'!$C$1:$L$700,351+AA$3,AA$2)&lt;&gt;"",1,0),0)</f>
        <v/>
      </c>
      <c r="AB33">
        <f>IF(AB$4=1,IF(INDEX('×入力'!$C$1:$L$700,351+AB$3,AB$2)&lt;&gt;"",1,0),0)</f>
        <v/>
      </c>
      <c r="AC33">
        <f>IF(AC$4=1,IF(INDEX('×入力'!$C$1:$L$700,351+AC$3,AC$2)&lt;&gt;"",1,0),0)</f>
        <v/>
      </c>
      <c r="AD33">
        <f>IF(AD$4=1,IF(INDEX('×入力'!$C$1:$L$700,351+AD$3,AD$2)&lt;&gt;"",1,0),0)</f>
        <v/>
      </c>
      <c r="AE33">
        <f>IF(AE$4=1,IF(INDEX('×入力'!$C$1:$L$700,351+AE$3,AE$2)&lt;&gt;"",1,0),0)</f>
        <v/>
      </c>
      <c r="AF33">
        <f>IF(AF$4=1,IF(INDEX('×入力'!$C$1:$L$700,351+AF$3,AF$2)&lt;&gt;"",1,0),0)</f>
        <v/>
      </c>
      <c r="AG33">
        <f>IF(AG$4=1,IF(INDEX('×入力'!$C$1:$L$700,351+AG$3,AG$2)&lt;&gt;"",1,0),0)</f>
        <v/>
      </c>
      <c r="AH33">
        <f>IF(AH$4=1,IF(INDEX('×入力'!$C$1:$L$700,351+AH$3,AH$2)&lt;&gt;"",1,0),0)</f>
        <v/>
      </c>
      <c r="AI33">
        <f>IF(AI$4=1,IF(INDEX('×入力'!$C$1:$L$700,351+AI$3,AI$2)&lt;&gt;"",1,0),0)</f>
        <v/>
      </c>
      <c r="AJ33">
        <f>IF(AJ$4=1,IF(INDEX('×入力'!$C$1:$L$700,351+AJ$3,AJ$2)&lt;&gt;"",1,0),0)</f>
        <v/>
      </c>
      <c r="AK33">
        <f>IF(AK$4=1,IF(INDEX('×入力'!$C$1:$L$700,351+AK$3,AK$2)&lt;&gt;"",1,0),0)</f>
        <v/>
      </c>
      <c r="AL33">
        <f>IF(AL$4=1,IF(INDEX('×入力'!$C$1:$L$700,351+AL$3,AL$2)&lt;&gt;"",1,0),0)</f>
        <v/>
      </c>
      <c r="AM33">
        <f>IF(AM$4=1,IF(INDEX('×入力'!$C$1:$L$700,351+AM$3,AM$2)&lt;&gt;"",1,0),0)</f>
        <v/>
      </c>
      <c r="AN33">
        <f>IF(AN$4=1,IF(INDEX('×入力'!$C$1:$L$700,351+AN$3,AN$2)&lt;&gt;"",1,0),0)</f>
        <v/>
      </c>
      <c r="AO33">
        <f>IF(AO$4=1,IF(INDEX('×入力'!$C$1:$L$700,351+AO$3,AO$2)&lt;&gt;"",1,0),0)</f>
        <v/>
      </c>
      <c r="AP33">
        <f>IF(AP$4=1,IF(INDEX('×入力'!$C$1:$L$700,351+AP$3,AP$2)&lt;&gt;"",1,0),0)</f>
        <v/>
      </c>
      <c r="AQ33">
        <f>IF(AQ$4=1,IF(INDEX('×入力'!$C$1:$L$700,351+AQ$3,AQ$2)&lt;&gt;"",1,0),0)</f>
        <v/>
      </c>
      <c r="AR33">
        <f>IF(AR$4=1,IF(INDEX('×入力'!$C$1:$L$700,351+AR$3,AR$2)&lt;&gt;"",1,0),0)</f>
        <v/>
      </c>
      <c r="AS33">
        <f>IF(AS$4=1,IF(INDEX('×入力'!$C$1:$L$700,351+AS$3,AS$2)&lt;&gt;"",1,0),0)</f>
        <v/>
      </c>
      <c r="AT33">
        <f>IF(AT$4=1,IF(INDEX('×入力'!$C$1:$L$700,351+AT$3,AT$2)&lt;&gt;"",1,0),0)</f>
        <v/>
      </c>
      <c r="AU33">
        <f>IF(AU$4=1,IF(INDEX('×入力'!$C$1:$L$700,351+AU$3,AU$2)&lt;&gt;"",1,0),0)</f>
        <v/>
      </c>
      <c r="AV33">
        <f>IF(AV$4=1,IF(INDEX('×入力'!$C$1:$L$700,351+AV$3,AV$2)&lt;&gt;"",1,0),0)</f>
        <v/>
      </c>
      <c r="AW33">
        <f>IF(AW$4=1,IF(INDEX('×入力'!$C$1:$L$700,351+AW$3,AW$2)&lt;&gt;"",1,0),0)</f>
        <v/>
      </c>
      <c r="AX33">
        <f>IF(AX$4=1,IF(INDEX('×入力'!$C$1:$L$700,351+AX$3,AX$2)&lt;&gt;"",1,0),0)</f>
        <v/>
      </c>
      <c r="AY33">
        <f>IF(AY$4=1,IF(INDEX('×入力'!$C$1:$L$700,351+AY$3,AY$2)&lt;&gt;"",1,0),0)</f>
        <v/>
      </c>
      <c r="AZ33">
        <f>IF(AZ$4=1,IF(INDEX('×入力'!$C$1:$L$700,351+AZ$3,AZ$2)&lt;&gt;"",1,0),0)</f>
        <v/>
      </c>
      <c r="BA33">
        <f>IF(BA$4=1,IF(INDEX('×入力'!$C$1:$L$700,351+BA$3,BA$2)&lt;&gt;"",1,0),0)</f>
        <v/>
      </c>
      <c r="BB33">
        <f>IF(BB$4=1,IF(INDEX('×入力'!$C$1:$L$700,351+BB$3,BB$2)&lt;&gt;"",1,0),0)</f>
        <v/>
      </c>
      <c r="BC33">
        <f>IF(BC$4=1,IF(INDEX('×入力'!$C$1:$L$700,351+BC$3,BC$2)&lt;&gt;"",1,0),0)</f>
        <v/>
      </c>
      <c r="BD33">
        <f>IF(BD$4=1,IF(INDEX('×入力'!$C$1:$L$700,351+BD$3,BD$2)&lt;&gt;"",1,0),0)</f>
        <v/>
      </c>
      <c r="BE33">
        <f>IF(BE$4=1,IF(INDEX('×入力'!$C$1:$L$700,351+BE$3,BE$2)&lt;&gt;"",1,0),0)</f>
        <v/>
      </c>
      <c r="BF33">
        <f>IF(BF$4=1,IF(INDEX('×入力'!$C$1:$L$700,351+BF$3,BF$2)&lt;&gt;"",1,0),0)</f>
        <v/>
      </c>
      <c r="BG33">
        <f>IF(BG$4=1,IF(INDEX('×入力'!$C$1:$L$700,351+BG$3,BG$2)&lt;&gt;"",1,0),0)</f>
        <v/>
      </c>
      <c r="BH33">
        <f>IF(BH$4=1,IF(INDEX('×入力'!$C$1:$L$700,351+BH$3,BH$2)&lt;&gt;"",1,0),0)</f>
        <v/>
      </c>
      <c r="BI33">
        <f>IF(BI$4=1,IF(INDEX('×入力'!$C$1:$L$700,351+BI$3,BI$2)&lt;&gt;"",1,0),0)</f>
        <v/>
      </c>
      <c r="BJ33">
        <f>IF(BJ$4=1,IF(INDEX('×入力'!$C$1:$L$700,351+BJ$3,BJ$2)&lt;&gt;"",1,0),0)</f>
        <v/>
      </c>
      <c r="BK33">
        <f>IF(BK$4=1,IF(INDEX('×入力'!$C$1:$L$700,351+BK$3,BK$2)&lt;&gt;"",1,0),0)</f>
        <v/>
      </c>
      <c r="BL33">
        <f>IF(BL$4=1,IF(INDEX('×入力'!$C$1:$L$700,351+BL$3,BL$2)&lt;&gt;"",1,0),0)</f>
        <v/>
      </c>
      <c r="BM33">
        <f>IF(BM$4=1,IF(INDEX('×入力'!$C$1:$L$700,351+BM$3,BM$2)&lt;&gt;"",1,0),0)</f>
        <v/>
      </c>
      <c r="BN33">
        <f>IF(BN$4=1,IF(INDEX('×入力'!$C$1:$L$700,351+BN$3,BN$2)&lt;&gt;"",1,0),0)</f>
        <v/>
      </c>
      <c r="BO33">
        <f>IF(BO$4=1,IF(INDEX('×入力'!$C$1:$L$700,351+BO$3,BO$2)&lt;&gt;"",1,0),0)</f>
        <v/>
      </c>
      <c r="BP33">
        <f>IF(BP$4=1,IF(INDEX('×入力'!$C$1:$L$700,351+BP$3,BP$2)&lt;&gt;"",1,0),0)</f>
        <v/>
      </c>
      <c r="BQ33">
        <f>IF(BQ$4=1,IF(INDEX('×入力'!$C$1:$L$700,351+BQ$3,BQ$2)&lt;&gt;"",1,0),0)</f>
        <v/>
      </c>
      <c r="BR33">
        <f>IF(BR$4=1,IF(INDEX('×入力'!$C$1:$L$700,351+BR$3,BR$2)&lt;&gt;"",1,0),0)</f>
        <v/>
      </c>
      <c r="BS33">
        <f>IF(BS$4=1,IF(INDEX('×入力'!$C$1:$L$700,351+BS$3,BS$2)&lt;&gt;"",1,0),0)</f>
        <v/>
      </c>
      <c r="BT33">
        <f>IF(BT$4=1,IF(INDEX('×入力'!$C$1:$L$700,351+BT$3,BT$2)&lt;&gt;"",1,0),0)</f>
        <v/>
      </c>
      <c r="BU33">
        <f>IF(BU$4=1,IF(INDEX('×入力'!$C$1:$L$700,351+BU$3,BU$2)&lt;&gt;"",1,0),0)</f>
        <v/>
      </c>
      <c r="BV33">
        <f>IF(BV$4=1,IF(INDEX('×入力'!$C$1:$L$700,351+BV$3,BV$2)&lt;&gt;"",1,0),0)</f>
        <v/>
      </c>
      <c r="BW33">
        <f>IF(BW$4=1,IF(INDEX('×入力'!$C$1:$L$700,351+BW$3,BW$2)&lt;&gt;"",1,0),0)</f>
        <v/>
      </c>
      <c r="BX33">
        <f>IF(BX$4=1,IF(INDEX('×入力'!$C$1:$L$700,351+BX$3,BX$2)&lt;&gt;"",1,0),0)</f>
        <v/>
      </c>
      <c r="BY33">
        <f>IF(BY$4=1,IF(INDEX('×入力'!$C$1:$L$700,351+BY$3,BY$2)&lt;&gt;"",1,0),0)</f>
        <v/>
      </c>
      <c r="BZ33">
        <f>IF(BZ$4=1,IF(INDEX('×入力'!$C$1:$L$700,351+BZ$3,BZ$2)&lt;&gt;"",1,0),0)</f>
        <v/>
      </c>
      <c r="CA33">
        <f>IF(CA$4=1,IF(INDEX('×入力'!$C$1:$L$700,351+CA$3,CA$2)&lt;&gt;"",1,0),0)</f>
        <v/>
      </c>
      <c r="CB33">
        <f>IF(CB$4=1,IF(INDEX('×入力'!$C$1:$L$700,351+CB$3,CB$2)&lt;&gt;"",1,0),0)</f>
        <v/>
      </c>
      <c r="CC33">
        <f>IF(CC$4=1,IF(INDEX('×入力'!$C$1:$L$700,351+CC$3,CC$2)&lt;&gt;"",1,0),0)</f>
        <v/>
      </c>
      <c r="CD33">
        <f>IF(CD$4=1,IF(INDEX('×入力'!$C$1:$L$700,351+CD$3,CD$2)&lt;&gt;"",1,0),0)</f>
        <v/>
      </c>
      <c r="CE33">
        <f>IF(CE$4=1,IF(INDEX('×入力'!$C$1:$L$700,351+CE$3,CE$2)&lt;&gt;"",1,0),0)</f>
        <v/>
      </c>
      <c r="CF33">
        <f>IF(CF$4=1,IF(INDEX('×入力'!$C$1:$L$700,351+CF$3,CF$2)&lt;&gt;"",1,0),0)</f>
        <v/>
      </c>
      <c r="CG33">
        <f>IF(CG$4=1,IF(INDEX('×入力'!$C$1:$L$700,351+CG$3,CG$2)&lt;&gt;"",1,0),0)</f>
        <v/>
      </c>
      <c r="CH33">
        <f>IF(CH$4=1,IF(INDEX('×入力'!$C$1:$L$700,351+CH$3,CH$2)&lt;&gt;"",1,0),0)</f>
        <v/>
      </c>
      <c r="CI33">
        <f>IF(CI$4=1,IF(INDEX('×入力'!$C$1:$L$700,351+CI$3,CI$2)&lt;&gt;"",1,0),0)</f>
        <v/>
      </c>
      <c r="CJ33">
        <f>IF(CJ$4=1,IF(INDEX('×入力'!$C$1:$L$700,351+CJ$3,CJ$2)&lt;&gt;"",1,0),0)</f>
        <v/>
      </c>
      <c r="CK33">
        <f>IF(CK$4=1,IF(INDEX('×入力'!$C$1:$L$700,351+CK$3,CK$2)&lt;&gt;"",1,0),0)</f>
        <v/>
      </c>
      <c r="CL33">
        <f>IF(CL$4=1,IF(INDEX('×入力'!$C$1:$L$700,351+CL$3,CL$2)&lt;&gt;"",1,0),0)</f>
        <v/>
      </c>
      <c r="CM33">
        <f>IF(CM$4=1,IF(INDEX('×入力'!$C$1:$L$700,351+CM$3,CM$2)&lt;&gt;"",1,0),0)</f>
        <v/>
      </c>
      <c r="CN33">
        <f>IF(CN$4=1,IF(INDEX('×入力'!$C$1:$L$700,351+CN$3,CN$2)&lt;&gt;"",1,0),0)</f>
        <v/>
      </c>
      <c r="CO33">
        <f>IF(CO$4=1,IF(INDEX('×入力'!$C$1:$L$700,351+CO$3,CO$2)&lt;&gt;"",1,0),0)</f>
        <v/>
      </c>
      <c r="CP33">
        <f>IF(CP$4=1,IF(INDEX('×入力'!$C$1:$L$700,351+CP$3,CP$2)&lt;&gt;"",1,0),0)</f>
        <v/>
      </c>
      <c r="CQ33">
        <f>IF(CQ$4=1,IF(INDEX('×入力'!$C$1:$L$700,351+CQ$3,CQ$2)&lt;&gt;"",1,0),0)</f>
        <v/>
      </c>
      <c r="CR33">
        <f>IF(CR$4=1,IF(INDEX('×入力'!$C$1:$L$700,351+CR$3,CR$2)&lt;&gt;"",1,0),0)</f>
        <v/>
      </c>
      <c r="CS33">
        <f>IF(CS$4=1,IF(INDEX('×入力'!$C$1:$L$700,351+CS$3,CS$2)&lt;&gt;"",1,0),0)</f>
        <v/>
      </c>
      <c r="CT33">
        <f>IF(CT$4=1,IF(INDEX('×入力'!$C$1:$L$700,351+CT$3,CT$2)&lt;&gt;"",1,0),0)</f>
        <v/>
      </c>
      <c r="CU33">
        <f>IF(CU$4=1,IF(INDEX('×入力'!$C$1:$L$700,351+CU$3,CU$2)&lt;&gt;"",1,0),0)</f>
        <v/>
      </c>
      <c r="CV33">
        <f>IF(CV$4=1,IF(INDEX('×入力'!$C$1:$L$700,351+CV$3,CV$2)&lt;&gt;"",1,0),0)</f>
        <v/>
      </c>
      <c r="CW33">
        <f>IF(CW$4=1,IF(INDEX('×入力'!$C$1:$L$700,351+CW$3,CW$2)&lt;&gt;"",1,0),0)</f>
        <v/>
      </c>
      <c r="CX33">
        <f>IF(CX$4=1,IF(INDEX('×入力'!$C$1:$L$700,351+CX$3,CX$2)&lt;&gt;"",1,0),0)</f>
        <v/>
      </c>
      <c r="CY33">
        <f>IF(CY$4=1,IF(INDEX('×入力'!$C$1:$L$700,351+CY$3,CY$2)&lt;&gt;"",1,0),0)</f>
        <v/>
      </c>
      <c r="CZ33">
        <f>IF(CZ$4=1,IF(INDEX('×入力'!$C$1:$L$700,351+CZ$3,CZ$2)&lt;&gt;"",1,0),0)</f>
        <v/>
      </c>
      <c r="DA33">
        <f>IF(DA$4=1,IF(INDEX('×入力'!$C$1:$L$700,351+DA$3,DA$2)&lt;&gt;"",1,0),0)</f>
        <v/>
      </c>
      <c r="DB33">
        <f>IF(DB$4=1,IF(INDEX('×入力'!$C$1:$L$700,351+DB$3,DB$2)&lt;&gt;"",1,0),0)</f>
        <v/>
      </c>
      <c r="DC33">
        <f>IF(DC$4=1,IF(INDEX('×入力'!$C$1:$L$700,351+DC$3,DC$2)&lt;&gt;"",1,0),0)</f>
        <v/>
      </c>
      <c r="DD33">
        <f>IF(DD$4=1,IF(INDEX('×入力'!$C$1:$L$700,351+DD$3,DD$2)&lt;&gt;"",1,0),0)</f>
        <v/>
      </c>
      <c r="DE33">
        <f>IF(DE$4=1,IF(INDEX('×入力'!$C$1:$L$700,351+DE$3,DE$2)&lt;&gt;"",1,0),0)</f>
        <v/>
      </c>
      <c r="DF33">
        <f>IF(DF$4=1,IF(INDEX('×入力'!$C$1:$L$700,351+DF$3,DF$2)&lt;&gt;"",1,0),0)</f>
        <v/>
      </c>
      <c r="DG33">
        <f>IF(DG$4=1,IF(INDEX('×入力'!$C$1:$L$700,351+DG$3,DG$2)&lt;&gt;"",1,0),0)</f>
        <v/>
      </c>
      <c r="DH33">
        <f>IF(DH$4=1,IF(INDEX('×入力'!$C$1:$L$700,351+DH$3,DH$2)&lt;&gt;"",1,0),0)</f>
        <v/>
      </c>
      <c r="DI33">
        <f>IF(DI$4=1,IF(INDEX('×入力'!$C$1:$L$700,351+DI$3,DI$2)&lt;&gt;"",1,0),0)</f>
        <v/>
      </c>
      <c r="DJ33">
        <f>IF(DJ$4=1,IF(INDEX('×入力'!$C$1:$L$700,351+DJ$3,DJ$2)&lt;&gt;"",1,0),0)</f>
        <v/>
      </c>
      <c r="DK33">
        <f>IF(DK$4=1,IF(INDEX('×入力'!$C$1:$L$700,351+DK$3,DK$2)&lt;&gt;"",1,0),0)</f>
        <v/>
      </c>
      <c r="DL33">
        <f>IF(DL$4=1,IF(INDEX('×入力'!$C$1:$L$700,351+DL$3,DL$2)&lt;&gt;"",1,0),0)</f>
        <v/>
      </c>
      <c r="DM33">
        <f>IF(DM$4=1,IF(INDEX('×入力'!$C$1:$L$700,351+DM$3,DM$2)&lt;&gt;"",1,0),0)</f>
        <v/>
      </c>
      <c r="DN33">
        <f>IF(DN$4=1,IF(INDEX('×入力'!$C$1:$L$700,351+DN$3,DN$2)&lt;&gt;"",1,0),0)</f>
        <v/>
      </c>
      <c r="DO33">
        <f>IF(DO$4=1,IF(INDEX('×入力'!$C$1:$L$700,351+DO$3,DO$2)&lt;&gt;"",1,0),0)</f>
        <v/>
      </c>
      <c r="DP33">
        <f>IF(DP$4=1,IF(INDEX('×入力'!$C$1:$L$700,351+DP$3,DP$2)&lt;&gt;"",1,0),0)</f>
        <v/>
      </c>
      <c r="DQ33">
        <f>IF(DQ$4=1,IF(INDEX('×入力'!$C$1:$L$700,351+DQ$3,DQ$2)&lt;&gt;"",1,0),0)</f>
        <v/>
      </c>
      <c r="DR33">
        <f>IF(DR$4=1,IF(INDEX('×入力'!$C$1:$L$700,351+DR$3,DR$2)&lt;&gt;"",1,0),0)</f>
        <v/>
      </c>
      <c r="DS33">
        <f>IF(DS$4=1,IF(INDEX('×入力'!$C$1:$L$700,351+DS$3,DS$2)&lt;&gt;"",1,0),0)</f>
        <v/>
      </c>
      <c r="DU33">
        <f>IFERROR(INDEX('計算B'!$C$3:$C$47,MATCH(A33,'計算B'!$B$3:$B$47,0)),0)</f>
        <v/>
      </c>
      <c r="DV33">
        <f>IF(AND(C33=1,DU33=0),1,0)</f>
        <v/>
      </c>
      <c r="DW33">
        <f>SUMPRODUCT(D83:DS83*(1-$D$7:$DS$7))</f>
        <v/>
      </c>
      <c r="DX33">
        <f>SUM(D33:DS33)</f>
        <v/>
      </c>
      <c r="DY33">
        <f>IF(B33="",0,IF(COUNTIF('割り当て'!$C$6:$L$17,B33)=1,SUMPRODUCT(('割り当て'!$C$6:$L$17=B33)*((COLUMN('割り当て'!$C$6:$L$17)-3)*12+ROW('割り当て'!$C$6:$L$17)-5)),0))</f>
        <v/>
      </c>
    </row>
    <row r="34">
      <c r="A34" t="n">
        <v>25</v>
      </c>
      <c r="B34">
        <f>'名簿'!E29</f>
        <v/>
      </c>
      <c r="C34">
        <f>IF(AND(B34&lt;&gt;"",OR('名簿'!F29="入力済み",'名簿'!F29="×なし"),DY34=0,COUNTIF('割り当て'!$C$6:$L$17,B34)=0),1,0)</f>
        <v/>
      </c>
      <c r="D34">
        <f>IF(D$4=1,IF(INDEX('×入力'!$C$1:$L$700,366+D$3,D$2)&lt;&gt;"",1,0),0)</f>
        <v/>
      </c>
      <c r="E34">
        <f>IF(E$4=1,IF(INDEX('×入力'!$C$1:$L$700,366+E$3,E$2)&lt;&gt;"",1,0),0)</f>
        <v/>
      </c>
      <c r="F34">
        <f>IF(F$4=1,IF(INDEX('×入力'!$C$1:$L$700,366+F$3,F$2)&lt;&gt;"",1,0),0)</f>
        <v/>
      </c>
      <c r="G34">
        <f>IF(G$4=1,IF(INDEX('×入力'!$C$1:$L$700,366+G$3,G$2)&lt;&gt;"",1,0),0)</f>
        <v/>
      </c>
      <c r="H34">
        <f>IF(H$4=1,IF(INDEX('×入力'!$C$1:$L$700,366+H$3,H$2)&lt;&gt;"",1,0),0)</f>
        <v/>
      </c>
      <c r="I34">
        <f>IF(I$4=1,IF(INDEX('×入力'!$C$1:$L$700,366+I$3,I$2)&lt;&gt;"",1,0),0)</f>
        <v/>
      </c>
      <c r="J34">
        <f>IF(J$4=1,IF(INDEX('×入力'!$C$1:$L$700,366+J$3,J$2)&lt;&gt;"",1,0),0)</f>
        <v/>
      </c>
      <c r="K34">
        <f>IF(K$4=1,IF(INDEX('×入力'!$C$1:$L$700,366+K$3,K$2)&lt;&gt;"",1,0),0)</f>
        <v/>
      </c>
      <c r="L34">
        <f>IF(L$4=1,IF(INDEX('×入力'!$C$1:$L$700,366+L$3,L$2)&lt;&gt;"",1,0),0)</f>
        <v/>
      </c>
      <c r="M34">
        <f>IF(M$4=1,IF(INDEX('×入力'!$C$1:$L$700,366+M$3,M$2)&lt;&gt;"",1,0),0)</f>
        <v/>
      </c>
      <c r="N34">
        <f>IF(N$4=1,IF(INDEX('×入力'!$C$1:$L$700,366+N$3,N$2)&lt;&gt;"",1,0),0)</f>
        <v/>
      </c>
      <c r="O34">
        <f>IF(O$4=1,IF(INDEX('×入力'!$C$1:$L$700,366+O$3,O$2)&lt;&gt;"",1,0),0)</f>
        <v/>
      </c>
      <c r="P34">
        <f>IF(P$4=1,IF(INDEX('×入力'!$C$1:$L$700,366+P$3,P$2)&lt;&gt;"",1,0),0)</f>
        <v/>
      </c>
      <c r="Q34">
        <f>IF(Q$4=1,IF(INDEX('×入力'!$C$1:$L$700,366+Q$3,Q$2)&lt;&gt;"",1,0),0)</f>
        <v/>
      </c>
      <c r="R34">
        <f>IF(R$4=1,IF(INDEX('×入力'!$C$1:$L$700,366+R$3,R$2)&lt;&gt;"",1,0),0)</f>
        <v/>
      </c>
      <c r="S34">
        <f>IF(S$4=1,IF(INDEX('×入力'!$C$1:$L$700,366+S$3,S$2)&lt;&gt;"",1,0),0)</f>
        <v/>
      </c>
      <c r="T34">
        <f>IF(T$4=1,IF(INDEX('×入力'!$C$1:$L$700,366+T$3,T$2)&lt;&gt;"",1,0),0)</f>
        <v/>
      </c>
      <c r="U34">
        <f>IF(U$4=1,IF(INDEX('×入力'!$C$1:$L$700,366+U$3,U$2)&lt;&gt;"",1,0),0)</f>
        <v/>
      </c>
      <c r="V34">
        <f>IF(V$4=1,IF(INDEX('×入力'!$C$1:$L$700,366+V$3,V$2)&lt;&gt;"",1,0),0)</f>
        <v/>
      </c>
      <c r="W34">
        <f>IF(W$4=1,IF(INDEX('×入力'!$C$1:$L$700,366+W$3,W$2)&lt;&gt;"",1,0),0)</f>
        <v/>
      </c>
      <c r="X34">
        <f>IF(X$4=1,IF(INDEX('×入力'!$C$1:$L$700,366+X$3,X$2)&lt;&gt;"",1,0),0)</f>
        <v/>
      </c>
      <c r="Y34">
        <f>IF(Y$4=1,IF(INDEX('×入力'!$C$1:$L$700,366+Y$3,Y$2)&lt;&gt;"",1,0),0)</f>
        <v/>
      </c>
      <c r="Z34">
        <f>IF(Z$4=1,IF(INDEX('×入力'!$C$1:$L$700,366+Z$3,Z$2)&lt;&gt;"",1,0),0)</f>
        <v/>
      </c>
      <c r="AA34">
        <f>IF(AA$4=1,IF(INDEX('×入力'!$C$1:$L$700,366+AA$3,AA$2)&lt;&gt;"",1,0),0)</f>
        <v/>
      </c>
      <c r="AB34">
        <f>IF(AB$4=1,IF(INDEX('×入力'!$C$1:$L$700,366+AB$3,AB$2)&lt;&gt;"",1,0),0)</f>
        <v/>
      </c>
      <c r="AC34">
        <f>IF(AC$4=1,IF(INDEX('×入力'!$C$1:$L$700,366+AC$3,AC$2)&lt;&gt;"",1,0),0)</f>
        <v/>
      </c>
      <c r="AD34">
        <f>IF(AD$4=1,IF(INDEX('×入力'!$C$1:$L$700,366+AD$3,AD$2)&lt;&gt;"",1,0),0)</f>
        <v/>
      </c>
      <c r="AE34">
        <f>IF(AE$4=1,IF(INDEX('×入力'!$C$1:$L$700,366+AE$3,AE$2)&lt;&gt;"",1,0),0)</f>
        <v/>
      </c>
      <c r="AF34">
        <f>IF(AF$4=1,IF(INDEX('×入力'!$C$1:$L$700,366+AF$3,AF$2)&lt;&gt;"",1,0),0)</f>
        <v/>
      </c>
      <c r="AG34">
        <f>IF(AG$4=1,IF(INDEX('×入力'!$C$1:$L$700,366+AG$3,AG$2)&lt;&gt;"",1,0),0)</f>
        <v/>
      </c>
      <c r="AH34">
        <f>IF(AH$4=1,IF(INDEX('×入力'!$C$1:$L$700,366+AH$3,AH$2)&lt;&gt;"",1,0),0)</f>
        <v/>
      </c>
      <c r="AI34">
        <f>IF(AI$4=1,IF(INDEX('×入力'!$C$1:$L$700,366+AI$3,AI$2)&lt;&gt;"",1,0),0)</f>
        <v/>
      </c>
      <c r="AJ34">
        <f>IF(AJ$4=1,IF(INDEX('×入力'!$C$1:$L$700,366+AJ$3,AJ$2)&lt;&gt;"",1,0),0)</f>
        <v/>
      </c>
      <c r="AK34">
        <f>IF(AK$4=1,IF(INDEX('×入力'!$C$1:$L$700,366+AK$3,AK$2)&lt;&gt;"",1,0),0)</f>
        <v/>
      </c>
      <c r="AL34">
        <f>IF(AL$4=1,IF(INDEX('×入力'!$C$1:$L$700,366+AL$3,AL$2)&lt;&gt;"",1,0),0)</f>
        <v/>
      </c>
      <c r="AM34">
        <f>IF(AM$4=1,IF(INDEX('×入力'!$C$1:$L$700,366+AM$3,AM$2)&lt;&gt;"",1,0),0)</f>
        <v/>
      </c>
      <c r="AN34">
        <f>IF(AN$4=1,IF(INDEX('×入力'!$C$1:$L$700,366+AN$3,AN$2)&lt;&gt;"",1,0),0)</f>
        <v/>
      </c>
      <c r="AO34">
        <f>IF(AO$4=1,IF(INDEX('×入力'!$C$1:$L$700,366+AO$3,AO$2)&lt;&gt;"",1,0),0)</f>
        <v/>
      </c>
      <c r="AP34">
        <f>IF(AP$4=1,IF(INDEX('×入力'!$C$1:$L$700,366+AP$3,AP$2)&lt;&gt;"",1,0),0)</f>
        <v/>
      </c>
      <c r="AQ34">
        <f>IF(AQ$4=1,IF(INDEX('×入力'!$C$1:$L$700,366+AQ$3,AQ$2)&lt;&gt;"",1,0),0)</f>
        <v/>
      </c>
      <c r="AR34">
        <f>IF(AR$4=1,IF(INDEX('×入力'!$C$1:$L$700,366+AR$3,AR$2)&lt;&gt;"",1,0),0)</f>
        <v/>
      </c>
      <c r="AS34">
        <f>IF(AS$4=1,IF(INDEX('×入力'!$C$1:$L$700,366+AS$3,AS$2)&lt;&gt;"",1,0),0)</f>
        <v/>
      </c>
      <c r="AT34">
        <f>IF(AT$4=1,IF(INDEX('×入力'!$C$1:$L$700,366+AT$3,AT$2)&lt;&gt;"",1,0),0)</f>
        <v/>
      </c>
      <c r="AU34">
        <f>IF(AU$4=1,IF(INDEX('×入力'!$C$1:$L$700,366+AU$3,AU$2)&lt;&gt;"",1,0),0)</f>
        <v/>
      </c>
      <c r="AV34">
        <f>IF(AV$4=1,IF(INDEX('×入力'!$C$1:$L$700,366+AV$3,AV$2)&lt;&gt;"",1,0),0)</f>
        <v/>
      </c>
      <c r="AW34">
        <f>IF(AW$4=1,IF(INDEX('×入力'!$C$1:$L$700,366+AW$3,AW$2)&lt;&gt;"",1,0),0)</f>
        <v/>
      </c>
      <c r="AX34">
        <f>IF(AX$4=1,IF(INDEX('×入力'!$C$1:$L$700,366+AX$3,AX$2)&lt;&gt;"",1,0),0)</f>
        <v/>
      </c>
      <c r="AY34">
        <f>IF(AY$4=1,IF(INDEX('×入力'!$C$1:$L$700,366+AY$3,AY$2)&lt;&gt;"",1,0),0)</f>
        <v/>
      </c>
      <c r="AZ34">
        <f>IF(AZ$4=1,IF(INDEX('×入力'!$C$1:$L$700,366+AZ$3,AZ$2)&lt;&gt;"",1,0),0)</f>
        <v/>
      </c>
      <c r="BA34">
        <f>IF(BA$4=1,IF(INDEX('×入力'!$C$1:$L$700,366+BA$3,BA$2)&lt;&gt;"",1,0),0)</f>
        <v/>
      </c>
      <c r="BB34">
        <f>IF(BB$4=1,IF(INDEX('×入力'!$C$1:$L$700,366+BB$3,BB$2)&lt;&gt;"",1,0),0)</f>
        <v/>
      </c>
      <c r="BC34">
        <f>IF(BC$4=1,IF(INDEX('×入力'!$C$1:$L$700,366+BC$3,BC$2)&lt;&gt;"",1,0),0)</f>
        <v/>
      </c>
      <c r="BD34">
        <f>IF(BD$4=1,IF(INDEX('×入力'!$C$1:$L$700,366+BD$3,BD$2)&lt;&gt;"",1,0),0)</f>
        <v/>
      </c>
      <c r="BE34">
        <f>IF(BE$4=1,IF(INDEX('×入力'!$C$1:$L$700,366+BE$3,BE$2)&lt;&gt;"",1,0),0)</f>
        <v/>
      </c>
      <c r="BF34">
        <f>IF(BF$4=1,IF(INDEX('×入力'!$C$1:$L$700,366+BF$3,BF$2)&lt;&gt;"",1,0),0)</f>
        <v/>
      </c>
      <c r="BG34">
        <f>IF(BG$4=1,IF(INDEX('×入力'!$C$1:$L$700,366+BG$3,BG$2)&lt;&gt;"",1,0),0)</f>
        <v/>
      </c>
      <c r="BH34">
        <f>IF(BH$4=1,IF(INDEX('×入力'!$C$1:$L$700,366+BH$3,BH$2)&lt;&gt;"",1,0),0)</f>
        <v/>
      </c>
      <c r="BI34">
        <f>IF(BI$4=1,IF(INDEX('×入力'!$C$1:$L$700,366+BI$3,BI$2)&lt;&gt;"",1,0),0)</f>
        <v/>
      </c>
      <c r="BJ34">
        <f>IF(BJ$4=1,IF(INDEX('×入力'!$C$1:$L$700,366+BJ$3,BJ$2)&lt;&gt;"",1,0),0)</f>
        <v/>
      </c>
      <c r="BK34">
        <f>IF(BK$4=1,IF(INDEX('×入力'!$C$1:$L$700,366+BK$3,BK$2)&lt;&gt;"",1,0),0)</f>
        <v/>
      </c>
      <c r="BL34">
        <f>IF(BL$4=1,IF(INDEX('×入力'!$C$1:$L$700,366+BL$3,BL$2)&lt;&gt;"",1,0),0)</f>
        <v/>
      </c>
      <c r="BM34">
        <f>IF(BM$4=1,IF(INDEX('×入力'!$C$1:$L$700,366+BM$3,BM$2)&lt;&gt;"",1,0),0)</f>
        <v/>
      </c>
      <c r="BN34">
        <f>IF(BN$4=1,IF(INDEX('×入力'!$C$1:$L$700,366+BN$3,BN$2)&lt;&gt;"",1,0),0)</f>
        <v/>
      </c>
      <c r="BO34">
        <f>IF(BO$4=1,IF(INDEX('×入力'!$C$1:$L$700,366+BO$3,BO$2)&lt;&gt;"",1,0),0)</f>
        <v/>
      </c>
      <c r="BP34">
        <f>IF(BP$4=1,IF(INDEX('×入力'!$C$1:$L$700,366+BP$3,BP$2)&lt;&gt;"",1,0),0)</f>
        <v/>
      </c>
      <c r="BQ34">
        <f>IF(BQ$4=1,IF(INDEX('×入力'!$C$1:$L$700,366+BQ$3,BQ$2)&lt;&gt;"",1,0),0)</f>
        <v/>
      </c>
      <c r="BR34">
        <f>IF(BR$4=1,IF(INDEX('×入力'!$C$1:$L$700,366+BR$3,BR$2)&lt;&gt;"",1,0),0)</f>
        <v/>
      </c>
      <c r="BS34">
        <f>IF(BS$4=1,IF(INDEX('×入力'!$C$1:$L$700,366+BS$3,BS$2)&lt;&gt;"",1,0),0)</f>
        <v/>
      </c>
      <c r="BT34">
        <f>IF(BT$4=1,IF(INDEX('×入力'!$C$1:$L$700,366+BT$3,BT$2)&lt;&gt;"",1,0),0)</f>
        <v/>
      </c>
      <c r="BU34">
        <f>IF(BU$4=1,IF(INDEX('×入力'!$C$1:$L$700,366+BU$3,BU$2)&lt;&gt;"",1,0),0)</f>
        <v/>
      </c>
      <c r="BV34">
        <f>IF(BV$4=1,IF(INDEX('×入力'!$C$1:$L$700,366+BV$3,BV$2)&lt;&gt;"",1,0),0)</f>
        <v/>
      </c>
      <c r="BW34">
        <f>IF(BW$4=1,IF(INDEX('×入力'!$C$1:$L$700,366+BW$3,BW$2)&lt;&gt;"",1,0),0)</f>
        <v/>
      </c>
      <c r="BX34">
        <f>IF(BX$4=1,IF(INDEX('×入力'!$C$1:$L$700,366+BX$3,BX$2)&lt;&gt;"",1,0),0)</f>
        <v/>
      </c>
      <c r="BY34">
        <f>IF(BY$4=1,IF(INDEX('×入力'!$C$1:$L$700,366+BY$3,BY$2)&lt;&gt;"",1,0),0)</f>
        <v/>
      </c>
      <c r="BZ34">
        <f>IF(BZ$4=1,IF(INDEX('×入力'!$C$1:$L$700,366+BZ$3,BZ$2)&lt;&gt;"",1,0),0)</f>
        <v/>
      </c>
      <c r="CA34">
        <f>IF(CA$4=1,IF(INDEX('×入力'!$C$1:$L$700,366+CA$3,CA$2)&lt;&gt;"",1,0),0)</f>
        <v/>
      </c>
      <c r="CB34">
        <f>IF(CB$4=1,IF(INDEX('×入力'!$C$1:$L$700,366+CB$3,CB$2)&lt;&gt;"",1,0),0)</f>
        <v/>
      </c>
      <c r="CC34">
        <f>IF(CC$4=1,IF(INDEX('×入力'!$C$1:$L$700,366+CC$3,CC$2)&lt;&gt;"",1,0),0)</f>
        <v/>
      </c>
      <c r="CD34">
        <f>IF(CD$4=1,IF(INDEX('×入力'!$C$1:$L$700,366+CD$3,CD$2)&lt;&gt;"",1,0),0)</f>
        <v/>
      </c>
      <c r="CE34">
        <f>IF(CE$4=1,IF(INDEX('×入力'!$C$1:$L$700,366+CE$3,CE$2)&lt;&gt;"",1,0),0)</f>
        <v/>
      </c>
      <c r="CF34">
        <f>IF(CF$4=1,IF(INDEX('×入力'!$C$1:$L$700,366+CF$3,CF$2)&lt;&gt;"",1,0),0)</f>
        <v/>
      </c>
      <c r="CG34">
        <f>IF(CG$4=1,IF(INDEX('×入力'!$C$1:$L$700,366+CG$3,CG$2)&lt;&gt;"",1,0),0)</f>
        <v/>
      </c>
      <c r="CH34">
        <f>IF(CH$4=1,IF(INDEX('×入力'!$C$1:$L$700,366+CH$3,CH$2)&lt;&gt;"",1,0),0)</f>
        <v/>
      </c>
      <c r="CI34">
        <f>IF(CI$4=1,IF(INDEX('×入力'!$C$1:$L$700,366+CI$3,CI$2)&lt;&gt;"",1,0),0)</f>
        <v/>
      </c>
      <c r="CJ34">
        <f>IF(CJ$4=1,IF(INDEX('×入力'!$C$1:$L$700,366+CJ$3,CJ$2)&lt;&gt;"",1,0),0)</f>
        <v/>
      </c>
      <c r="CK34">
        <f>IF(CK$4=1,IF(INDEX('×入力'!$C$1:$L$700,366+CK$3,CK$2)&lt;&gt;"",1,0),0)</f>
        <v/>
      </c>
      <c r="CL34">
        <f>IF(CL$4=1,IF(INDEX('×入力'!$C$1:$L$700,366+CL$3,CL$2)&lt;&gt;"",1,0),0)</f>
        <v/>
      </c>
      <c r="CM34">
        <f>IF(CM$4=1,IF(INDEX('×入力'!$C$1:$L$700,366+CM$3,CM$2)&lt;&gt;"",1,0),0)</f>
        <v/>
      </c>
      <c r="CN34">
        <f>IF(CN$4=1,IF(INDEX('×入力'!$C$1:$L$700,366+CN$3,CN$2)&lt;&gt;"",1,0),0)</f>
        <v/>
      </c>
      <c r="CO34">
        <f>IF(CO$4=1,IF(INDEX('×入力'!$C$1:$L$700,366+CO$3,CO$2)&lt;&gt;"",1,0),0)</f>
        <v/>
      </c>
      <c r="CP34">
        <f>IF(CP$4=1,IF(INDEX('×入力'!$C$1:$L$700,366+CP$3,CP$2)&lt;&gt;"",1,0),0)</f>
        <v/>
      </c>
      <c r="CQ34">
        <f>IF(CQ$4=1,IF(INDEX('×入力'!$C$1:$L$700,366+CQ$3,CQ$2)&lt;&gt;"",1,0),0)</f>
        <v/>
      </c>
      <c r="CR34">
        <f>IF(CR$4=1,IF(INDEX('×入力'!$C$1:$L$700,366+CR$3,CR$2)&lt;&gt;"",1,0),0)</f>
        <v/>
      </c>
      <c r="CS34">
        <f>IF(CS$4=1,IF(INDEX('×入力'!$C$1:$L$700,366+CS$3,CS$2)&lt;&gt;"",1,0),0)</f>
        <v/>
      </c>
      <c r="CT34">
        <f>IF(CT$4=1,IF(INDEX('×入力'!$C$1:$L$700,366+CT$3,CT$2)&lt;&gt;"",1,0),0)</f>
        <v/>
      </c>
      <c r="CU34">
        <f>IF(CU$4=1,IF(INDEX('×入力'!$C$1:$L$700,366+CU$3,CU$2)&lt;&gt;"",1,0),0)</f>
        <v/>
      </c>
      <c r="CV34">
        <f>IF(CV$4=1,IF(INDEX('×入力'!$C$1:$L$700,366+CV$3,CV$2)&lt;&gt;"",1,0),0)</f>
        <v/>
      </c>
      <c r="CW34">
        <f>IF(CW$4=1,IF(INDEX('×入力'!$C$1:$L$700,366+CW$3,CW$2)&lt;&gt;"",1,0),0)</f>
        <v/>
      </c>
      <c r="CX34">
        <f>IF(CX$4=1,IF(INDEX('×入力'!$C$1:$L$700,366+CX$3,CX$2)&lt;&gt;"",1,0),0)</f>
        <v/>
      </c>
      <c r="CY34">
        <f>IF(CY$4=1,IF(INDEX('×入力'!$C$1:$L$700,366+CY$3,CY$2)&lt;&gt;"",1,0),0)</f>
        <v/>
      </c>
      <c r="CZ34">
        <f>IF(CZ$4=1,IF(INDEX('×入力'!$C$1:$L$700,366+CZ$3,CZ$2)&lt;&gt;"",1,0),0)</f>
        <v/>
      </c>
      <c r="DA34">
        <f>IF(DA$4=1,IF(INDEX('×入力'!$C$1:$L$700,366+DA$3,DA$2)&lt;&gt;"",1,0),0)</f>
        <v/>
      </c>
      <c r="DB34">
        <f>IF(DB$4=1,IF(INDEX('×入力'!$C$1:$L$700,366+DB$3,DB$2)&lt;&gt;"",1,0),0)</f>
        <v/>
      </c>
      <c r="DC34">
        <f>IF(DC$4=1,IF(INDEX('×入力'!$C$1:$L$700,366+DC$3,DC$2)&lt;&gt;"",1,0),0)</f>
        <v/>
      </c>
      <c r="DD34">
        <f>IF(DD$4=1,IF(INDEX('×入力'!$C$1:$L$700,366+DD$3,DD$2)&lt;&gt;"",1,0),0)</f>
        <v/>
      </c>
      <c r="DE34">
        <f>IF(DE$4=1,IF(INDEX('×入力'!$C$1:$L$700,366+DE$3,DE$2)&lt;&gt;"",1,0),0)</f>
        <v/>
      </c>
      <c r="DF34">
        <f>IF(DF$4=1,IF(INDEX('×入力'!$C$1:$L$700,366+DF$3,DF$2)&lt;&gt;"",1,0),0)</f>
        <v/>
      </c>
      <c r="DG34">
        <f>IF(DG$4=1,IF(INDEX('×入力'!$C$1:$L$700,366+DG$3,DG$2)&lt;&gt;"",1,0),0)</f>
        <v/>
      </c>
      <c r="DH34">
        <f>IF(DH$4=1,IF(INDEX('×入力'!$C$1:$L$700,366+DH$3,DH$2)&lt;&gt;"",1,0),0)</f>
        <v/>
      </c>
      <c r="DI34">
        <f>IF(DI$4=1,IF(INDEX('×入力'!$C$1:$L$700,366+DI$3,DI$2)&lt;&gt;"",1,0),0)</f>
        <v/>
      </c>
      <c r="DJ34">
        <f>IF(DJ$4=1,IF(INDEX('×入力'!$C$1:$L$700,366+DJ$3,DJ$2)&lt;&gt;"",1,0),0)</f>
        <v/>
      </c>
      <c r="DK34">
        <f>IF(DK$4=1,IF(INDEX('×入力'!$C$1:$L$700,366+DK$3,DK$2)&lt;&gt;"",1,0),0)</f>
        <v/>
      </c>
      <c r="DL34">
        <f>IF(DL$4=1,IF(INDEX('×入力'!$C$1:$L$700,366+DL$3,DL$2)&lt;&gt;"",1,0),0)</f>
        <v/>
      </c>
      <c r="DM34">
        <f>IF(DM$4=1,IF(INDEX('×入力'!$C$1:$L$700,366+DM$3,DM$2)&lt;&gt;"",1,0),0)</f>
        <v/>
      </c>
      <c r="DN34">
        <f>IF(DN$4=1,IF(INDEX('×入力'!$C$1:$L$700,366+DN$3,DN$2)&lt;&gt;"",1,0),0)</f>
        <v/>
      </c>
      <c r="DO34">
        <f>IF(DO$4=1,IF(INDEX('×入力'!$C$1:$L$700,366+DO$3,DO$2)&lt;&gt;"",1,0),0)</f>
        <v/>
      </c>
      <c r="DP34">
        <f>IF(DP$4=1,IF(INDEX('×入力'!$C$1:$L$700,366+DP$3,DP$2)&lt;&gt;"",1,0),0)</f>
        <v/>
      </c>
      <c r="DQ34">
        <f>IF(DQ$4=1,IF(INDEX('×入力'!$C$1:$L$700,366+DQ$3,DQ$2)&lt;&gt;"",1,0),0)</f>
        <v/>
      </c>
      <c r="DR34">
        <f>IF(DR$4=1,IF(INDEX('×入力'!$C$1:$L$700,366+DR$3,DR$2)&lt;&gt;"",1,0),0)</f>
        <v/>
      </c>
      <c r="DS34">
        <f>IF(DS$4=1,IF(INDEX('×入力'!$C$1:$L$700,366+DS$3,DS$2)&lt;&gt;"",1,0),0)</f>
        <v/>
      </c>
      <c r="DU34">
        <f>IFERROR(INDEX('計算B'!$C$3:$C$47,MATCH(A34,'計算B'!$B$3:$B$47,0)),0)</f>
        <v/>
      </c>
      <c r="DV34">
        <f>IF(AND(C34=1,DU34=0),1,0)</f>
        <v/>
      </c>
      <c r="DW34">
        <f>SUMPRODUCT(D84:DS84*(1-$D$7:$DS$7))</f>
        <v/>
      </c>
      <c r="DX34">
        <f>SUM(D34:DS34)</f>
        <v/>
      </c>
      <c r="DY34">
        <f>IF(B34="",0,IF(COUNTIF('割り当て'!$C$6:$L$17,B34)=1,SUMPRODUCT(('割り当て'!$C$6:$L$17=B34)*((COLUMN('割り当て'!$C$6:$L$17)-3)*12+ROW('割り当て'!$C$6:$L$17)-5)),0))</f>
        <v/>
      </c>
    </row>
    <row r="35">
      <c r="A35" t="n">
        <v>26</v>
      </c>
      <c r="B35">
        <f>'名簿'!E30</f>
        <v/>
      </c>
      <c r="C35">
        <f>IF(AND(B35&lt;&gt;"",OR('名簿'!F30="入力済み",'名簿'!F30="×なし"),DY35=0,COUNTIF('割り当て'!$C$6:$L$17,B35)=0),1,0)</f>
        <v/>
      </c>
      <c r="D35">
        <f>IF(D$4=1,IF(INDEX('×入力'!$C$1:$L$700,381+D$3,D$2)&lt;&gt;"",1,0),0)</f>
        <v/>
      </c>
      <c r="E35">
        <f>IF(E$4=1,IF(INDEX('×入力'!$C$1:$L$700,381+E$3,E$2)&lt;&gt;"",1,0),0)</f>
        <v/>
      </c>
      <c r="F35">
        <f>IF(F$4=1,IF(INDEX('×入力'!$C$1:$L$700,381+F$3,F$2)&lt;&gt;"",1,0),0)</f>
        <v/>
      </c>
      <c r="G35">
        <f>IF(G$4=1,IF(INDEX('×入力'!$C$1:$L$700,381+G$3,G$2)&lt;&gt;"",1,0),0)</f>
        <v/>
      </c>
      <c r="H35">
        <f>IF(H$4=1,IF(INDEX('×入力'!$C$1:$L$700,381+H$3,H$2)&lt;&gt;"",1,0),0)</f>
        <v/>
      </c>
      <c r="I35">
        <f>IF(I$4=1,IF(INDEX('×入力'!$C$1:$L$700,381+I$3,I$2)&lt;&gt;"",1,0),0)</f>
        <v/>
      </c>
      <c r="J35">
        <f>IF(J$4=1,IF(INDEX('×入力'!$C$1:$L$700,381+J$3,J$2)&lt;&gt;"",1,0),0)</f>
        <v/>
      </c>
      <c r="K35">
        <f>IF(K$4=1,IF(INDEX('×入力'!$C$1:$L$700,381+K$3,K$2)&lt;&gt;"",1,0),0)</f>
        <v/>
      </c>
      <c r="L35">
        <f>IF(L$4=1,IF(INDEX('×入力'!$C$1:$L$700,381+L$3,L$2)&lt;&gt;"",1,0),0)</f>
        <v/>
      </c>
      <c r="M35">
        <f>IF(M$4=1,IF(INDEX('×入力'!$C$1:$L$700,381+M$3,M$2)&lt;&gt;"",1,0),0)</f>
        <v/>
      </c>
      <c r="N35">
        <f>IF(N$4=1,IF(INDEX('×入力'!$C$1:$L$700,381+N$3,N$2)&lt;&gt;"",1,0),0)</f>
        <v/>
      </c>
      <c r="O35">
        <f>IF(O$4=1,IF(INDEX('×入力'!$C$1:$L$700,381+O$3,O$2)&lt;&gt;"",1,0),0)</f>
        <v/>
      </c>
      <c r="P35">
        <f>IF(P$4=1,IF(INDEX('×入力'!$C$1:$L$700,381+P$3,P$2)&lt;&gt;"",1,0),0)</f>
        <v/>
      </c>
      <c r="Q35">
        <f>IF(Q$4=1,IF(INDEX('×入力'!$C$1:$L$700,381+Q$3,Q$2)&lt;&gt;"",1,0),0)</f>
        <v/>
      </c>
      <c r="R35">
        <f>IF(R$4=1,IF(INDEX('×入力'!$C$1:$L$700,381+R$3,R$2)&lt;&gt;"",1,0),0)</f>
        <v/>
      </c>
      <c r="S35">
        <f>IF(S$4=1,IF(INDEX('×入力'!$C$1:$L$700,381+S$3,S$2)&lt;&gt;"",1,0),0)</f>
        <v/>
      </c>
      <c r="T35">
        <f>IF(T$4=1,IF(INDEX('×入力'!$C$1:$L$700,381+T$3,T$2)&lt;&gt;"",1,0),0)</f>
        <v/>
      </c>
      <c r="U35">
        <f>IF(U$4=1,IF(INDEX('×入力'!$C$1:$L$700,381+U$3,U$2)&lt;&gt;"",1,0),0)</f>
        <v/>
      </c>
      <c r="V35">
        <f>IF(V$4=1,IF(INDEX('×入力'!$C$1:$L$700,381+V$3,V$2)&lt;&gt;"",1,0),0)</f>
        <v/>
      </c>
      <c r="W35">
        <f>IF(W$4=1,IF(INDEX('×入力'!$C$1:$L$700,381+W$3,W$2)&lt;&gt;"",1,0),0)</f>
        <v/>
      </c>
      <c r="X35">
        <f>IF(X$4=1,IF(INDEX('×入力'!$C$1:$L$700,381+X$3,X$2)&lt;&gt;"",1,0),0)</f>
        <v/>
      </c>
      <c r="Y35">
        <f>IF(Y$4=1,IF(INDEX('×入力'!$C$1:$L$700,381+Y$3,Y$2)&lt;&gt;"",1,0),0)</f>
        <v/>
      </c>
      <c r="Z35">
        <f>IF(Z$4=1,IF(INDEX('×入力'!$C$1:$L$700,381+Z$3,Z$2)&lt;&gt;"",1,0),0)</f>
        <v/>
      </c>
      <c r="AA35">
        <f>IF(AA$4=1,IF(INDEX('×入力'!$C$1:$L$700,381+AA$3,AA$2)&lt;&gt;"",1,0),0)</f>
        <v/>
      </c>
      <c r="AB35">
        <f>IF(AB$4=1,IF(INDEX('×入力'!$C$1:$L$700,381+AB$3,AB$2)&lt;&gt;"",1,0),0)</f>
        <v/>
      </c>
      <c r="AC35">
        <f>IF(AC$4=1,IF(INDEX('×入力'!$C$1:$L$700,381+AC$3,AC$2)&lt;&gt;"",1,0),0)</f>
        <v/>
      </c>
      <c r="AD35">
        <f>IF(AD$4=1,IF(INDEX('×入力'!$C$1:$L$700,381+AD$3,AD$2)&lt;&gt;"",1,0),0)</f>
        <v/>
      </c>
      <c r="AE35">
        <f>IF(AE$4=1,IF(INDEX('×入力'!$C$1:$L$700,381+AE$3,AE$2)&lt;&gt;"",1,0),0)</f>
        <v/>
      </c>
      <c r="AF35">
        <f>IF(AF$4=1,IF(INDEX('×入力'!$C$1:$L$700,381+AF$3,AF$2)&lt;&gt;"",1,0),0)</f>
        <v/>
      </c>
      <c r="AG35">
        <f>IF(AG$4=1,IF(INDEX('×入力'!$C$1:$L$700,381+AG$3,AG$2)&lt;&gt;"",1,0),0)</f>
        <v/>
      </c>
      <c r="AH35">
        <f>IF(AH$4=1,IF(INDEX('×入力'!$C$1:$L$700,381+AH$3,AH$2)&lt;&gt;"",1,0),0)</f>
        <v/>
      </c>
      <c r="AI35">
        <f>IF(AI$4=1,IF(INDEX('×入力'!$C$1:$L$700,381+AI$3,AI$2)&lt;&gt;"",1,0),0)</f>
        <v/>
      </c>
      <c r="AJ35">
        <f>IF(AJ$4=1,IF(INDEX('×入力'!$C$1:$L$700,381+AJ$3,AJ$2)&lt;&gt;"",1,0),0)</f>
        <v/>
      </c>
      <c r="AK35">
        <f>IF(AK$4=1,IF(INDEX('×入力'!$C$1:$L$700,381+AK$3,AK$2)&lt;&gt;"",1,0),0)</f>
        <v/>
      </c>
      <c r="AL35">
        <f>IF(AL$4=1,IF(INDEX('×入力'!$C$1:$L$700,381+AL$3,AL$2)&lt;&gt;"",1,0),0)</f>
        <v/>
      </c>
      <c r="AM35">
        <f>IF(AM$4=1,IF(INDEX('×入力'!$C$1:$L$700,381+AM$3,AM$2)&lt;&gt;"",1,0),0)</f>
        <v/>
      </c>
      <c r="AN35">
        <f>IF(AN$4=1,IF(INDEX('×入力'!$C$1:$L$700,381+AN$3,AN$2)&lt;&gt;"",1,0),0)</f>
        <v/>
      </c>
      <c r="AO35">
        <f>IF(AO$4=1,IF(INDEX('×入力'!$C$1:$L$700,381+AO$3,AO$2)&lt;&gt;"",1,0),0)</f>
        <v/>
      </c>
      <c r="AP35">
        <f>IF(AP$4=1,IF(INDEX('×入力'!$C$1:$L$700,381+AP$3,AP$2)&lt;&gt;"",1,0),0)</f>
        <v/>
      </c>
      <c r="AQ35">
        <f>IF(AQ$4=1,IF(INDEX('×入力'!$C$1:$L$700,381+AQ$3,AQ$2)&lt;&gt;"",1,0),0)</f>
        <v/>
      </c>
      <c r="AR35">
        <f>IF(AR$4=1,IF(INDEX('×入力'!$C$1:$L$700,381+AR$3,AR$2)&lt;&gt;"",1,0),0)</f>
        <v/>
      </c>
      <c r="AS35">
        <f>IF(AS$4=1,IF(INDEX('×入力'!$C$1:$L$700,381+AS$3,AS$2)&lt;&gt;"",1,0),0)</f>
        <v/>
      </c>
      <c r="AT35">
        <f>IF(AT$4=1,IF(INDEX('×入力'!$C$1:$L$700,381+AT$3,AT$2)&lt;&gt;"",1,0),0)</f>
        <v/>
      </c>
      <c r="AU35">
        <f>IF(AU$4=1,IF(INDEX('×入力'!$C$1:$L$700,381+AU$3,AU$2)&lt;&gt;"",1,0),0)</f>
        <v/>
      </c>
      <c r="AV35">
        <f>IF(AV$4=1,IF(INDEX('×入力'!$C$1:$L$700,381+AV$3,AV$2)&lt;&gt;"",1,0),0)</f>
        <v/>
      </c>
      <c r="AW35">
        <f>IF(AW$4=1,IF(INDEX('×入力'!$C$1:$L$700,381+AW$3,AW$2)&lt;&gt;"",1,0),0)</f>
        <v/>
      </c>
      <c r="AX35">
        <f>IF(AX$4=1,IF(INDEX('×入力'!$C$1:$L$700,381+AX$3,AX$2)&lt;&gt;"",1,0),0)</f>
        <v/>
      </c>
      <c r="AY35">
        <f>IF(AY$4=1,IF(INDEX('×入力'!$C$1:$L$700,381+AY$3,AY$2)&lt;&gt;"",1,0),0)</f>
        <v/>
      </c>
      <c r="AZ35">
        <f>IF(AZ$4=1,IF(INDEX('×入力'!$C$1:$L$700,381+AZ$3,AZ$2)&lt;&gt;"",1,0),0)</f>
        <v/>
      </c>
      <c r="BA35">
        <f>IF(BA$4=1,IF(INDEX('×入力'!$C$1:$L$700,381+BA$3,BA$2)&lt;&gt;"",1,0),0)</f>
        <v/>
      </c>
      <c r="BB35">
        <f>IF(BB$4=1,IF(INDEX('×入力'!$C$1:$L$700,381+BB$3,BB$2)&lt;&gt;"",1,0),0)</f>
        <v/>
      </c>
      <c r="BC35">
        <f>IF(BC$4=1,IF(INDEX('×入力'!$C$1:$L$700,381+BC$3,BC$2)&lt;&gt;"",1,0),0)</f>
        <v/>
      </c>
      <c r="BD35">
        <f>IF(BD$4=1,IF(INDEX('×入力'!$C$1:$L$700,381+BD$3,BD$2)&lt;&gt;"",1,0),0)</f>
        <v/>
      </c>
      <c r="BE35">
        <f>IF(BE$4=1,IF(INDEX('×入力'!$C$1:$L$700,381+BE$3,BE$2)&lt;&gt;"",1,0),0)</f>
        <v/>
      </c>
      <c r="BF35">
        <f>IF(BF$4=1,IF(INDEX('×入力'!$C$1:$L$700,381+BF$3,BF$2)&lt;&gt;"",1,0),0)</f>
        <v/>
      </c>
      <c r="BG35">
        <f>IF(BG$4=1,IF(INDEX('×入力'!$C$1:$L$700,381+BG$3,BG$2)&lt;&gt;"",1,0),0)</f>
        <v/>
      </c>
      <c r="BH35">
        <f>IF(BH$4=1,IF(INDEX('×入力'!$C$1:$L$700,381+BH$3,BH$2)&lt;&gt;"",1,0),0)</f>
        <v/>
      </c>
      <c r="BI35">
        <f>IF(BI$4=1,IF(INDEX('×入力'!$C$1:$L$700,381+BI$3,BI$2)&lt;&gt;"",1,0),0)</f>
        <v/>
      </c>
      <c r="BJ35">
        <f>IF(BJ$4=1,IF(INDEX('×入力'!$C$1:$L$700,381+BJ$3,BJ$2)&lt;&gt;"",1,0),0)</f>
        <v/>
      </c>
      <c r="BK35">
        <f>IF(BK$4=1,IF(INDEX('×入力'!$C$1:$L$700,381+BK$3,BK$2)&lt;&gt;"",1,0),0)</f>
        <v/>
      </c>
      <c r="BL35">
        <f>IF(BL$4=1,IF(INDEX('×入力'!$C$1:$L$700,381+BL$3,BL$2)&lt;&gt;"",1,0),0)</f>
        <v/>
      </c>
      <c r="BM35">
        <f>IF(BM$4=1,IF(INDEX('×入力'!$C$1:$L$700,381+BM$3,BM$2)&lt;&gt;"",1,0),0)</f>
        <v/>
      </c>
      <c r="BN35">
        <f>IF(BN$4=1,IF(INDEX('×入力'!$C$1:$L$700,381+BN$3,BN$2)&lt;&gt;"",1,0),0)</f>
        <v/>
      </c>
      <c r="BO35">
        <f>IF(BO$4=1,IF(INDEX('×入力'!$C$1:$L$700,381+BO$3,BO$2)&lt;&gt;"",1,0),0)</f>
        <v/>
      </c>
      <c r="BP35">
        <f>IF(BP$4=1,IF(INDEX('×入力'!$C$1:$L$700,381+BP$3,BP$2)&lt;&gt;"",1,0),0)</f>
        <v/>
      </c>
      <c r="BQ35">
        <f>IF(BQ$4=1,IF(INDEX('×入力'!$C$1:$L$700,381+BQ$3,BQ$2)&lt;&gt;"",1,0),0)</f>
        <v/>
      </c>
      <c r="BR35">
        <f>IF(BR$4=1,IF(INDEX('×入力'!$C$1:$L$700,381+BR$3,BR$2)&lt;&gt;"",1,0),0)</f>
        <v/>
      </c>
      <c r="BS35">
        <f>IF(BS$4=1,IF(INDEX('×入力'!$C$1:$L$700,381+BS$3,BS$2)&lt;&gt;"",1,0),0)</f>
        <v/>
      </c>
      <c r="BT35">
        <f>IF(BT$4=1,IF(INDEX('×入力'!$C$1:$L$700,381+BT$3,BT$2)&lt;&gt;"",1,0),0)</f>
        <v/>
      </c>
      <c r="BU35">
        <f>IF(BU$4=1,IF(INDEX('×入力'!$C$1:$L$700,381+BU$3,BU$2)&lt;&gt;"",1,0),0)</f>
        <v/>
      </c>
      <c r="BV35">
        <f>IF(BV$4=1,IF(INDEX('×入力'!$C$1:$L$700,381+BV$3,BV$2)&lt;&gt;"",1,0),0)</f>
        <v/>
      </c>
      <c r="BW35">
        <f>IF(BW$4=1,IF(INDEX('×入力'!$C$1:$L$700,381+BW$3,BW$2)&lt;&gt;"",1,0),0)</f>
        <v/>
      </c>
      <c r="BX35">
        <f>IF(BX$4=1,IF(INDEX('×入力'!$C$1:$L$700,381+BX$3,BX$2)&lt;&gt;"",1,0),0)</f>
        <v/>
      </c>
      <c r="BY35">
        <f>IF(BY$4=1,IF(INDEX('×入力'!$C$1:$L$700,381+BY$3,BY$2)&lt;&gt;"",1,0),0)</f>
        <v/>
      </c>
      <c r="BZ35">
        <f>IF(BZ$4=1,IF(INDEX('×入力'!$C$1:$L$700,381+BZ$3,BZ$2)&lt;&gt;"",1,0),0)</f>
        <v/>
      </c>
      <c r="CA35">
        <f>IF(CA$4=1,IF(INDEX('×入力'!$C$1:$L$700,381+CA$3,CA$2)&lt;&gt;"",1,0),0)</f>
        <v/>
      </c>
      <c r="CB35">
        <f>IF(CB$4=1,IF(INDEX('×入力'!$C$1:$L$700,381+CB$3,CB$2)&lt;&gt;"",1,0),0)</f>
        <v/>
      </c>
      <c r="CC35">
        <f>IF(CC$4=1,IF(INDEX('×入力'!$C$1:$L$700,381+CC$3,CC$2)&lt;&gt;"",1,0),0)</f>
        <v/>
      </c>
      <c r="CD35">
        <f>IF(CD$4=1,IF(INDEX('×入力'!$C$1:$L$700,381+CD$3,CD$2)&lt;&gt;"",1,0),0)</f>
        <v/>
      </c>
      <c r="CE35">
        <f>IF(CE$4=1,IF(INDEX('×入力'!$C$1:$L$700,381+CE$3,CE$2)&lt;&gt;"",1,0),0)</f>
        <v/>
      </c>
      <c r="CF35">
        <f>IF(CF$4=1,IF(INDEX('×入力'!$C$1:$L$700,381+CF$3,CF$2)&lt;&gt;"",1,0),0)</f>
        <v/>
      </c>
      <c r="CG35">
        <f>IF(CG$4=1,IF(INDEX('×入力'!$C$1:$L$700,381+CG$3,CG$2)&lt;&gt;"",1,0),0)</f>
        <v/>
      </c>
      <c r="CH35">
        <f>IF(CH$4=1,IF(INDEX('×入力'!$C$1:$L$700,381+CH$3,CH$2)&lt;&gt;"",1,0),0)</f>
        <v/>
      </c>
      <c r="CI35">
        <f>IF(CI$4=1,IF(INDEX('×入力'!$C$1:$L$700,381+CI$3,CI$2)&lt;&gt;"",1,0),0)</f>
        <v/>
      </c>
      <c r="CJ35">
        <f>IF(CJ$4=1,IF(INDEX('×入力'!$C$1:$L$700,381+CJ$3,CJ$2)&lt;&gt;"",1,0),0)</f>
        <v/>
      </c>
      <c r="CK35">
        <f>IF(CK$4=1,IF(INDEX('×入力'!$C$1:$L$700,381+CK$3,CK$2)&lt;&gt;"",1,0),0)</f>
        <v/>
      </c>
      <c r="CL35">
        <f>IF(CL$4=1,IF(INDEX('×入力'!$C$1:$L$700,381+CL$3,CL$2)&lt;&gt;"",1,0),0)</f>
        <v/>
      </c>
      <c r="CM35">
        <f>IF(CM$4=1,IF(INDEX('×入力'!$C$1:$L$700,381+CM$3,CM$2)&lt;&gt;"",1,0),0)</f>
        <v/>
      </c>
      <c r="CN35">
        <f>IF(CN$4=1,IF(INDEX('×入力'!$C$1:$L$700,381+CN$3,CN$2)&lt;&gt;"",1,0),0)</f>
        <v/>
      </c>
      <c r="CO35">
        <f>IF(CO$4=1,IF(INDEX('×入力'!$C$1:$L$700,381+CO$3,CO$2)&lt;&gt;"",1,0),0)</f>
        <v/>
      </c>
      <c r="CP35">
        <f>IF(CP$4=1,IF(INDEX('×入力'!$C$1:$L$700,381+CP$3,CP$2)&lt;&gt;"",1,0),0)</f>
        <v/>
      </c>
      <c r="CQ35">
        <f>IF(CQ$4=1,IF(INDEX('×入力'!$C$1:$L$700,381+CQ$3,CQ$2)&lt;&gt;"",1,0),0)</f>
        <v/>
      </c>
      <c r="CR35">
        <f>IF(CR$4=1,IF(INDEX('×入力'!$C$1:$L$700,381+CR$3,CR$2)&lt;&gt;"",1,0),0)</f>
        <v/>
      </c>
      <c r="CS35">
        <f>IF(CS$4=1,IF(INDEX('×入力'!$C$1:$L$700,381+CS$3,CS$2)&lt;&gt;"",1,0),0)</f>
        <v/>
      </c>
      <c r="CT35">
        <f>IF(CT$4=1,IF(INDEX('×入力'!$C$1:$L$700,381+CT$3,CT$2)&lt;&gt;"",1,0),0)</f>
        <v/>
      </c>
      <c r="CU35">
        <f>IF(CU$4=1,IF(INDEX('×入力'!$C$1:$L$700,381+CU$3,CU$2)&lt;&gt;"",1,0),0)</f>
        <v/>
      </c>
      <c r="CV35">
        <f>IF(CV$4=1,IF(INDEX('×入力'!$C$1:$L$700,381+CV$3,CV$2)&lt;&gt;"",1,0),0)</f>
        <v/>
      </c>
      <c r="CW35">
        <f>IF(CW$4=1,IF(INDEX('×入力'!$C$1:$L$700,381+CW$3,CW$2)&lt;&gt;"",1,0),0)</f>
        <v/>
      </c>
      <c r="CX35">
        <f>IF(CX$4=1,IF(INDEX('×入力'!$C$1:$L$700,381+CX$3,CX$2)&lt;&gt;"",1,0),0)</f>
        <v/>
      </c>
      <c r="CY35">
        <f>IF(CY$4=1,IF(INDEX('×入力'!$C$1:$L$700,381+CY$3,CY$2)&lt;&gt;"",1,0),0)</f>
        <v/>
      </c>
      <c r="CZ35">
        <f>IF(CZ$4=1,IF(INDEX('×入力'!$C$1:$L$700,381+CZ$3,CZ$2)&lt;&gt;"",1,0),0)</f>
        <v/>
      </c>
      <c r="DA35">
        <f>IF(DA$4=1,IF(INDEX('×入力'!$C$1:$L$700,381+DA$3,DA$2)&lt;&gt;"",1,0),0)</f>
        <v/>
      </c>
      <c r="DB35">
        <f>IF(DB$4=1,IF(INDEX('×入力'!$C$1:$L$700,381+DB$3,DB$2)&lt;&gt;"",1,0),0)</f>
        <v/>
      </c>
      <c r="DC35">
        <f>IF(DC$4=1,IF(INDEX('×入力'!$C$1:$L$700,381+DC$3,DC$2)&lt;&gt;"",1,0),0)</f>
        <v/>
      </c>
      <c r="DD35">
        <f>IF(DD$4=1,IF(INDEX('×入力'!$C$1:$L$700,381+DD$3,DD$2)&lt;&gt;"",1,0),0)</f>
        <v/>
      </c>
      <c r="DE35">
        <f>IF(DE$4=1,IF(INDEX('×入力'!$C$1:$L$700,381+DE$3,DE$2)&lt;&gt;"",1,0),0)</f>
        <v/>
      </c>
      <c r="DF35">
        <f>IF(DF$4=1,IF(INDEX('×入力'!$C$1:$L$700,381+DF$3,DF$2)&lt;&gt;"",1,0),0)</f>
        <v/>
      </c>
      <c r="DG35">
        <f>IF(DG$4=1,IF(INDEX('×入力'!$C$1:$L$700,381+DG$3,DG$2)&lt;&gt;"",1,0),0)</f>
        <v/>
      </c>
      <c r="DH35">
        <f>IF(DH$4=1,IF(INDEX('×入力'!$C$1:$L$700,381+DH$3,DH$2)&lt;&gt;"",1,0),0)</f>
        <v/>
      </c>
      <c r="DI35">
        <f>IF(DI$4=1,IF(INDEX('×入力'!$C$1:$L$700,381+DI$3,DI$2)&lt;&gt;"",1,0),0)</f>
        <v/>
      </c>
      <c r="DJ35">
        <f>IF(DJ$4=1,IF(INDEX('×入力'!$C$1:$L$700,381+DJ$3,DJ$2)&lt;&gt;"",1,0),0)</f>
        <v/>
      </c>
      <c r="DK35">
        <f>IF(DK$4=1,IF(INDEX('×入力'!$C$1:$L$700,381+DK$3,DK$2)&lt;&gt;"",1,0),0)</f>
        <v/>
      </c>
      <c r="DL35">
        <f>IF(DL$4=1,IF(INDEX('×入力'!$C$1:$L$700,381+DL$3,DL$2)&lt;&gt;"",1,0),0)</f>
        <v/>
      </c>
      <c r="DM35">
        <f>IF(DM$4=1,IF(INDEX('×入力'!$C$1:$L$700,381+DM$3,DM$2)&lt;&gt;"",1,0),0)</f>
        <v/>
      </c>
      <c r="DN35">
        <f>IF(DN$4=1,IF(INDEX('×入力'!$C$1:$L$700,381+DN$3,DN$2)&lt;&gt;"",1,0),0)</f>
        <v/>
      </c>
      <c r="DO35">
        <f>IF(DO$4=1,IF(INDEX('×入力'!$C$1:$L$700,381+DO$3,DO$2)&lt;&gt;"",1,0),0)</f>
        <v/>
      </c>
      <c r="DP35">
        <f>IF(DP$4=1,IF(INDEX('×入力'!$C$1:$L$700,381+DP$3,DP$2)&lt;&gt;"",1,0),0)</f>
        <v/>
      </c>
      <c r="DQ35">
        <f>IF(DQ$4=1,IF(INDEX('×入力'!$C$1:$L$700,381+DQ$3,DQ$2)&lt;&gt;"",1,0),0)</f>
        <v/>
      </c>
      <c r="DR35">
        <f>IF(DR$4=1,IF(INDEX('×入力'!$C$1:$L$700,381+DR$3,DR$2)&lt;&gt;"",1,0),0)</f>
        <v/>
      </c>
      <c r="DS35">
        <f>IF(DS$4=1,IF(INDEX('×入力'!$C$1:$L$700,381+DS$3,DS$2)&lt;&gt;"",1,0),0)</f>
        <v/>
      </c>
      <c r="DU35">
        <f>IFERROR(INDEX('計算B'!$C$3:$C$47,MATCH(A35,'計算B'!$B$3:$B$47,0)),0)</f>
        <v/>
      </c>
      <c r="DV35">
        <f>IF(AND(C35=1,DU35=0),1,0)</f>
        <v/>
      </c>
      <c r="DW35">
        <f>SUMPRODUCT(D85:DS85*(1-$D$7:$DS$7))</f>
        <v/>
      </c>
      <c r="DX35">
        <f>SUM(D35:DS35)</f>
        <v/>
      </c>
      <c r="DY35">
        <f>IF(B35="",0,IF(COUNTIF('割り当て'!$C$6:$L$17,B35)=1,SUMPRODUCT(('割り当て'!$C$6:$L$17=B35)*((COLUMN('割り当て'!$C$6:$L$17)-3)*12+ROW('割り当て'!$C$6:$L$17)-5)),0))</f>
        <v/>
      </c>
    </row>
    <row r="36">
      <c r="A36" t="n">
        <v>27</v>
      </c>
      <c r="B36">
        <f>'名簿'!E31</f>
        <v/>
      </c>
      <c r="C36">
        <f>IF(AND(B36&lt;&gt;"",OR('名簿'!F31="入力済み",'名簿'!F31="×なし"),DY36=0,COUNTIF('割り当て'!$C$6:$L$17,B36)=0),1,0)</f>
        <v/>
      </c>
      <c r="D36">
        <f>IF(D$4=1,IF(INDEX('×入力'!$C$1:$L$700,396+D$3,D$2)&lt;&gt;"",1,0),0)</f>
        <v/>
      </c>
      <c r="E36">
        <f>IF(E$4=1,IF(INDEX('×入力'!$C$1:$L$700,396+E$3,E$2)&lt;&gt;"",1,0),0)</f>
        <v/>
      </c>
      <c r="F36">
        <f>IF(F$4=1,IF(INDEX('×入力'!$C$1:$L$700,396+F$3,F$2)&lt;&gt;"",1,0),0)</f>
        <v/>
      </c>
      <c r="G36">
        <f>IF(G$4=1,IF(INDEX('×入力'!$C$1:$L$700,396+G$3,G$2)&lt;&gt;"",1,0),0)</f>
        <v/>
      </c>
      <c r="H36">
        <f>IF(H$4=1,IF(INDEX('×入力'!$C$1:$L$700,396+H$3,H$2)&lt;&gt;"",1,0),0)</f>
        <v/>
      </c>
      <c r="I36">
        <f>IF(I$4=1,IF(INDEX('×入力'!$C$1:$L$700,396+I$3,I$2)&lt;&gt;"",1,0),0)</f>
        <v/>
      </c>
      <c r="J36">
        <f>IF(J$4=1,IF(INDEX('×入力'!$C$1:$L$700,396+J$3,J$2)&lt;&gt;"",1,0),0)</f>
        <v/>
      </c>
      <c r="K36">
        <f>IF(K$4=1,IF(INDEX('×入力'!$C$1:$L$700,396+K$3,K$2)&lt;&gt;"",1,0),0)</f>
        <v/>
      </c>
      <c r="L36">
        <f>IF(L$4=1,IF(INDEX('×入力'!$C$1:$L$700,396+L$3,L$2)&lt;&gt;"",1,0),0)</f>
        <v/>
      </c>
      <c r="M36">
        <f>IF(M$4=1,IF(INDEX('×入力'!$C$1:$L$700,396+M$3,M$2)&lt;&gt;"",1,0),0)</f>
        <v/>
      </c>
      <c r="N36">
        <f>IF(N$4=1,IF(INDEX('×入力'!$C$1:$L$700,396+N$3,N$2)&lt;&gt;"",1,0),0)</f>
        <v/>
      </c>
      <c r="O36">
        <f>IF(O$4=1,IF(INDEX('×入力'!$C$1:$L$700,396+O$3,O$2)&lt;&gt;"",1,0),0)</f>
        <v/>
      </c>
      <c r="P36">
        <f>IF(P$4=1,IF(INDEX('×入力'!$C$1:$L$700,396+P$3,P$2)&lt;&gt;"",1,0),0)</f>
        <v/>
      </c>
      <c r="Q36">
        <f>IF(Q$4=1,IF(INDEX('×入力'!$C$1:$L$700,396+Q$3,Q$2)&lt;&gt;"",1,0),0)</f>
        <v/>
      </c>
      <c r="R36">
        <f>IF(R$4=1,IF(INDEX('×入力'!$C$1:$L$700,396+R$3,R$2)&lt;&gt;"",1,0),0)</f>
        <v/>
      </c>
      <c r="S36">
        <f>IF(S$4=1,IF(INDEX('×入力'!$C$1:$L$700,396+S$3,S$2)&lt;&gt;"",1,0),0)</f>
        <v/>
      </c>
      <c r="T36">
        <f>IF(T$4=1,IF(INDEX('×入力'!$C$1:$L$700,396+T$3,T$2)&lt;&gt;"",1,0),0)</f>
        <v/>
      </c>
      <c r="U36">
        <f>IF(U$4=1,IF(INDEX('×入力'!$C$1:$L$700,396+U$3,U$2)&lt;&gt;"",1,0),0)</f>
        <v/>
      </c>
      <c r="V36">
        <f>IF(V$4=1,IF(INDEX('×入力'!$C$1:$L$700,396+V$3,V$2)&lt;&gt;"",1,0),0)</f>
        <v/>
      </c>
      <c r="W36">
        <f>IF(W$4=1,IF(INDEX('×入力'!$C$1:$L$700,396+W$3,W$2)&lt;&gt;"",1,0),0)</f>
        <v/>
      </c>
      <c r="X36">
        <f>IF(X$4=1,IF(INDEX('×入力'!$C$1:$L$700,396+X$3,X$2)&lt;&gt;"",1,0),0)</f>
        <v/>
      </c>
      <c r="Y36">
        <f>IF(Y$4=1,IF(INDEX('×入力'!$C$1:$L$700,396+Y$3,Y$2)&lt;&gt;"",1,0),0)</f>
        <v/>
      </c>
      <c r="Z36">
        <f>IF(Z$4=1,IF(INDEX('×入力'!$C$1:$L$700,396+Z$3,Z$2)&lt;&gt;"",1,0),0)</f>
        <v/>
      </c>
      <c r="AA36">
        <f>IF(AA$4=1,IF(INDEX('×入力'!$C$1:$L$700,396+AA$3,AA$2)&lt;&gt;"",1,0),0)</f>
        <v/>
      </c>
      <c r="AB36">
        <f>IF(AB$4=1,IF(INDEX('×入力'!$C$1:$L$700,396+AB$3,AB$2)&lt;&gt;"",1,0),0)</f>
        <v/>
      </c>
      <c r="AC36">
        <f>IF(AC$4=1,IF(INDEX('×入力'!$C$1:$L$700,396+AC$3,AC$2)&lt;&gt;"",1,0),0)</f>
        <v/>
      </c>
      <c r="AD36">
        <f>IF(AD$4=1,IF(INDEX('×入力'!$C$1:$L$700,396+AD$3,AD$2)&lt;&gt;"",1,0),0)</f>
        <v/>
      </c>
      <c r="AE36">
        <f>IF(AE$4=1,IF(INDEX('×入力'!$C$1:$L$700,396+AE$3,AE$2)&lt;&gt;"",1,0),0)</f>
        <v/>
      </c>
      <c r="AF36">
        <f>IF(AF$4=1,IF(INDEX('×入力'!$C$1:$L$700,396+AF$3,AF$2)&lt;&gt;"",1,0),0)</f>
        <v/>
      </c>
      <c r="AG36">
        <f>IF(AG$4=1,IF(INDEX('×入力'!$C$1:$L$700,396+AG$3,AG$2)&lt;&gt;"",1,0),0)</f>
        <v/>
      </c>
      <c r="AH36">
        <f>IF(AH$4=1,IF(INDEX('×入力'!$C$1:$L$700,396+AH$3,AH$2)&lt;&gt;"",1,0),0)</f>
        <v/>
      </c>
      <c r="AI36">
        <f>IF(AI$4=1,IF(INDEX('×入力'!$C$1:$L$700,396+AI$3,AI$2)&lt;&gt;"",1,0),0)</f>
        <v/>
      </c>
      <c r="AJ36">
        <f>IF(AJ$4=1,IF(INDEX('×入力'!$C$1:$L$700,396+AJ$3,AJ$2)&lt;&gt;"",1,0),0)</f>
        <v/>
      </c>
      <c r="AK36">
        <f>IF(AK$4=1,IF(INDEX('×入力'!$C$1:$L$700,396+AK$3,AK$2)&lt;&gt;"",1,0),0)</f>
        <v/>
      </c>
      <c r="AL36">
        <f>IF(AL$4=1,IF(INDEX('×入力'!$C$1:$L$700,396+AL$3,AL$2)&lt;&gt;"",1,0),0)</f>
        <v/>
      </c>
      <c r="AM36">
        <f>IF(AM$4=1,IF(INDEX('×入力'!$C$1:$L$700,396+AM$3,AM$2)&lt;&gt;"",1,0),0)</f>
        <v/>
      </c>
      <c r="AN36">
        <f>IF(AN$4=1,IF(INDEX('×入力'!$C$1:$L$700,396+AN$3,AN$2)&lt;&gt;"",1,0),0)</f>
        <v/>
      </c>
      <c r="AO36">
        <f>IF(AO$4=1,IF(INDEX('×入力'!$C$1:$L$700,396+AO$3,AO$2)&lt;&gt;"",1,0),0)</f>
        <v/>
      </c>
      <c r="AP36">
        <f>IF(AP$4=1,IF(INDEX('×入力'!$C$1:$L$700,396+AP$3,AP$2)&lt;&gt;"",1,0),0)</f>
        <v/>
      </c>
      <c r="AQ36">
        <f>IF(AQ$4=1,IF(INDEX('×入力'!$C$1:$L$700,396+AQ$3,AQ$2)&lt;&gt;"",1,0),0)</f>
        <v/>
      </c>
      <c r="AR36">
        <f>IF(AR$4=1,IF(INDEX('×入力'!$C$1:$L$700,396+AR$3,AR$2)&lt;&gt;"",1,0),0)</f>
        <v/>
      </c>
      <c r="AS36">
        <f>IF(AS$4=1,IF(INDEX('×入力'!$C$1:$L$700,396+AS$3,AS$2)&lt;&gt;"",1,0),0)</f>
        <v/>
      </c>
      <c r="AT36">
        <f>IF(AT$4=1,IF(INDEX('×入力'!$C$1:$L$700,396+AT$3,AT$2)&lt;&gt;"",1,0),0)</f>
        <v/>
      </c>
      <c r="AU36">
        <f>IF(AU$4=1,IF(INDEX('×入力'!$C$1:$L$700,396+AU$3,AU$2)&lt;&gt;"",1,0),0)</f>
        <v/>
      </c>
      <c r="AV36">
        <f>IF(AV$4=1,IF(INDEX('×入力'!$C$1:$L$700,396+AV$3,AV$2)&lt;&gt;"",1,0),0)</f>
        <v/>
      </c>
      <c r="AW36">
        <f>IF(AW$4=1,IF(INDEX('×入力'!$C$1:$L$700,396+AW$3,AW$2)&lt;&gt;"",1,0),0)</f>
        <v/>
      </c>
      <c r="AX36">
        <f>IF(AX$4=1,IF(INDEX('×入力'!$C$1:$L$700,396+AX$3,AX$2)&lt;&gt;"",1,0),0)</f>
        <v/>
      </c>
      <c r="AY36">
        <f>IF(AY$4=1,IF(INDEX('×入力'!$C$1:$L$700,396+AY$3,AY$2)&lt;&gt;"",1,0),0)</f>
        <v/>
      </c>
      <c r="AZ36">
        <f>IF(AZ$4=1,IF(INDEX('×入力'!$C$1:$L$700,396+AZ$3,AZ$2)&lt;&gt;"",1,0),0)</f>
        <v/>
      </c>
      <c r="BA36">
        <f>IF(BA$4=1,IF(INDEX('×入力'!$C$1:$L$700,396+BA$3,BA$2)&lt;&gt;"",1,0),0)</f>
        <v/>
      </c>
      <c r="BB36">
        <f>IF(BB$4=1,IF(INDEX('×入力'!$C$1:$L$700,396+BB$3,BB$2)&lt;&gt;"",1,0),0)</f>
        <v/>
      </c>
      <c r="BC36">
        <f>IF(BC$4=1,IF(INDEX('×入力'!$C$1:$L$700,396+BC$3,BC$2)&lt;&gt;"",1,0),0)</f>
        <v/>
      </c>
      <c r="BD36">
        <f>IF(BD$4=1,IF(INDEX('×入力'!$C$1:$L$700,396+BD$3,BD$2)&lt;&gt;"",1,0),0)</f>
        <v/>
      </c>
      <c r="BE36">
        <f>IF(BE$4=1,IF(INDEX('×入力'!$C$1:$L$700,396+BE$3,BE$2)&lt;&gt;"",1,0),0)</f>
        <v/>
      </c>
      <c r="BF36">
        <f>IF(BF$4=1,IF(INDEX('×入力'!$C$1:$L$700,396+BF$3,BF$2)&lt;&gt;"",1,0),0)</f>
        <v/>
      </c>
      <c r="BG36">
        <f>IF(BG$4=1,IF(INDEX('×入力'!$C$1:$L$700,396+BG$3,BG$2)&lt;&gt;"",1,0),0)</f>
        <v/>
      </c>
      <c r="BH36">
        <f>IF(BH$4=1,IF(INDEX('×入力'!$C$1:$L$700,396+BH$3,BH$2)&lt;&gt;"",1,0),0)</f>
        <v/>
      </c>
      <c r="BI36">
        <f>IF(BI$4=1,IF(INDEX('×入力'!$C$1:$L$700,396+BI$3,BI$2)&lt;&gt;"",1,0),0)</f>
        <v/>
      </c>
      <c r="BJ36">
        <f>IF(BJ$4=1,IF(INDEX('×入力'!$C$1:$L$700,396+BJ$3,BJ$2)&lt;&gt;"",1,0),0)</f>
        <v/>
      </c>
      <c r="BK36">
        <f>IF(BK$4=1,IF(INDEX('×入力'!$C$1:$L$700,396+BK$3,BK$2)&lt;&gt;"",1,0),0)</f>
        <v/>
      </c>
      <c r="BL36">
        <f>IF(BL$4=1,IF(INDEX('×入力'!$C$1:$L$700,396+BL$3,BL$2)&lt;&gt;"",1,0),0)</f>
        <v/>
      </c>
      <c r="BM36">
        <f>IF(BM$4=1,IF(INDEX('×入力'!$C$1:$L$700,396+BM$3,BM$2)&lt;&gt;"",1,0),0)</f>
        <v/>
      </c>
      <c r="BN36">
        <f>IF(BN$4=1,IF(INDEX('×入力'!$C$1:$L$700,396+BN$3,BN$2)&lt;&gt;"",1,0),0)</f>
        <v/>
      </c>
      <c r="BO36">
        <f>IF(BO$4=1,IF(INDEX('×入力'!$C$1:$L$700,396+BO$3,BO$2)&lt;&gt;"",1,0),0)</f>
        <v/>
      </c>
      <c r="BP36">
        <f>IF(BP$4=1,IF(INDEX('×入力'!$C$1:$L$700,396+BP$3,BP$2)&lt;&gt;"",1,0),0)</f>
        <v/>
      </c>
      <c r="BQ36">
        <f>IF(BQ$4=1,IF(INDEX('×入力'!$C$1:$L$700,396+BQ$3,BQ$2)&lt;&gt;"",1,0),0)</f>
        <v/>
      </c>
      <c r="BR36">
        <f>IF(BR$4=1,IF(INDEX('×入力'!$C$1:$L$700,396+BR$3,BR$2)&lt;&gt;"",1,0),0)</f>
        <v/>
      </c>
      <c r="BS36">
        <f>IF(BS$4=1,IF(INDEX('×入力'!$C$1:$L$700,396+BS$3,BS$2)&lt;&gt;"",1,0),0)</f>
        <v/>
      </c>
      <c r="BT36">
        <f>IF(BT$4=1,IF(INDEX('×入力'!$C$1:$L$700,396+BT$3,BT$2)&lt;&gt;"",1,0),0)</f>
        <v/>
      </c>
      <c r="BU36">
        <f>IF(BU$4=1,IF(INDEX('×入力'!$C$1:$L$700,396+BU$3,BU$2)&lt;&gt;"",1,0),0)</f>
        <v/>
      </c>
      <c r="BV36">
        <f>IF(BV$4=1,IF(INDEX('×入力'!$C$1:$L$700,396+BV$3,BV$2)&lt;&gt;"",1,0),0)</f>
        <v/>
      </c>
      <c r="BW36">
        <f>IF(BW$4=1,IF(INDEX('×入力'!$C$1:$L$700,396+BW$3,BW$2)&lt;&gt;"",1,0),0)</f>
        <v/>
      </c>
      <c r="BX36">
        <f>IF(BX$4=1,IF(INDEX('×入力'!$C$1:$L$700,396+BX$3,BX$2)&lt;&gt;"",1,0),0)</f>
        <v/>
      </c>
      <c r="BY36">
        <f>IF(BY$4=1,IF(INDEX('×入力'!$C$1:$L$700,396+BY$3,BY$2)&lt;&gt;"",1,0),0)</f>
        <v/>
      </c>
      <c r="BZ36">
        <f>IF(BZ$4=1,IF(INDEX('×入力'!$C$1:$L$700,396+BZ$3,BZ$2)&lt;&gt;"",1,0),0)</f>
        <v/>
      </c>
      <c r="CA36">
        <f>IF(CA$4=1,IF(INDEX('×入力'!$C$1:$L$700,396+CA$3,CA$2)&lt;&gt;"",1,0),0)</f>
        <v/>
      </c>
      <c r="CB36">
        <f>IF(CB$4=1,IF(INDEX('×入力'!$C$1:$L$700,396+CB$3,CB$2)&lt;&gt;"",1,0),0)</f>
        <v/>
      </c>
      <c r="CC36">
        <f>IF(CC$4=1,IF(INDEX('×入力'!$C$1:$L$700,396+CC$3,CC$2)&lt;&gt;"",1,0),0)</f>
        <v/>
      </c>
      <c r="CD36">
        <f>IF(CD$4=1,IF(INDEX('×入力'!$C$1:$L$700,396+CD$3,CD$2)&lt;&gt;"",1,0),0)</f>
        <v/>
      </c>
      <c r="CE36">
        <f>IF(CE$4=1,IF(INDEX('×入力'!$C$1:$L$700,396+CE$3,CE$2)&lt;&gt;"",1,0),0)</f>
        <v/>
      </c>
      <c r="CF36">
        <f>IF(CF$4=1,IF(INDEX('×入力'!$C$1:$L$700,396+CF$3,CF$2)&lt;&gt;"",1,0),0)</f>
        <v/>
      </c>
      <c r="CG36">
        <f>IF(CG$4=1,IF(INDEX('×入力'!$C$1:$L$700,396+CG$3,CG$2)&lt;&gt;"",1,0),0)</f>
        <v/>
      </c>
      <c r="CH36">
        <f>IF(CH$4=1,IF(INDEX('×入力'!$C$1:$L$700,396+CH$3,CH$2)&lt;&gt;"",1,0),0)</f>
        <v/>
      </c>
      <c r="CI36">
        <f>IF(CI$4=1,IF(INDEX('×入力'!$C$1:$L$700,396+CI$3,CI$2)&lt;&gt;"",1,0),0)</f>
        <v/>
      </c>
      <c r="CJ36">
        <f>IF(CJ$4=1,IF(INDEX('×入力'!$C$1:$L$700,396+CJ$3,CJ$2)&lt;&gt;"",1,0),0)</f>
        <v/>
      </c>
      <c r="CK36">
        <f>IF(CK$4=1,IF(INDEX('×入力'!$C$1:$L$700,396+CK$3,CK$2)&lt;&gt;"",1,0),0)</f>
        <v/>
      </c>
      <c r="CL36">
        <f>IF(CL$4=1,IF(INDEX('×入力'!$C$1:$L$700,396+CL$3,CL$2)&lt;&gt;"",1,0),0)</f>
        <v/>
      </c>
      <c r="CM36">
        <f>IF(CM$4=1,IF(INDEX('×入力'!$C$1:$L$700,396+CM$3,CM$2)&lt;&gt;"",1,0),0)</f>
        <v/>
      </c>
      <c r="CN36">
        <f>IF(CN$4=1,IF(INDEX('×入力'!$C$1:$L$700,396+CN$3,CN$2)&lt;&gt;"",1,0),0)</f>
        <v/>
      </c>
      <c r="CO36">
        <f>IF(CO$4=1,IF(INDEX('×入力'!$C$1:$L$700,396+CO$3,CO$2)&lt;&gt;"",1,0),0)</f>
        <v/>
      </c>
      <c r="CP36">
        <f>IF(CP$4=1,IF(INDEX('×入力'!$C$1:$L$700,396+CP$3,CP$2)&lt;&gt;"",1,0),0)</f>
        <v/>
      </c>
      <c r="CQ36">
        <f>IF(CQ$4=1,IF(INDEX('×入力'!$C$1:$L$700,396+CQ$3,CQ$2)&lt;&gt;"",1,0),0)</f>
        <v/>
      </c>
      <c r="CR36">
        <f>IF(CR$4=1,IF(INDEX('×入力'!$C$1:$L$700,396+CR$3,CR$2)&lt;&gt;"",1,0),0)</f>
        <v/>
      </c>
      <c r="CS36">
        <f>IF(CS$4=1,IF(INDEX('×入力'!$C$1:$L$700,396+CS$3,CS$2)&lt;&gt;"",1,0),0)</f>
        <v/>
      </c>
      <c r="CT36">
        <f>IF(CT$4=1,IF(INDEX('×入力'!$C$1:$L$700,396+CT$3,CT$2)&lt;&gt;"",1,0),0)</f>
        <v/>
      </c>
      <c r="CU36">
        <f>IF(CU$4=1,IF(INDEX('×入力'!$C$1:$L$700,396+CU$3,CU$2)&lt;&gt;"",1,0),0)</f>
        <v/>
      </c>
      <c r="CV36">
        <f>IF(CV$4=1,IF(INDEX('×入力'!$C$1:$L$700,396+CV$3,CV$2)&lt;&gt;"",1,0),0)</f>
        <v/>
      </c>
      <c r="CW36">
        <f>IF(CW$4=1,IF(INDEX('×入力'!$C$1:$L$700,396+CW$3,CW$2)&lt;&gt;"",1,0),0)</f>
        <v/>
      </c>
      <c r="CX36">
        <f>IF(CX$4=1,IF(INDEX('×入力'!$C$1:$L$700,396+CX$3,CX$2)&lt;&gt;"",1,0),0)</f>
        <v/>
      </c>
      <c r="CY36">
        <f>IF(CY$4=1,IF(INDEX('×入力'!$C$1:$L$700,396+CY$3,CY$2)&lt;&gt;"",1,0),0)</f>
        <v/>
      </c>
      <c r="CZ36">
        <f>IF(CZ$4=1,IF(INDEX('×入力'!$C$1:$L$700,396+CZ$3,CZ$2)&lt;&gt;"",1,0),0)</f>
        <v/>
      </c>
      <c r="DA36">
        <f>IF(DA$4=1,IF(INDEX('×入力'!$C$1:$L$700,396+DA$3,DA$2)&lt;&gt;"",1,0),0)</f>
        <v/>
      </c>
      <c r="DB36">
        <f>IF(DB$4=1,IF(INDEX('×入力'!$C$1:$L$700,396+DB$3,DB$2)&lt;&gt;"",1,0),0)</f>
        <v/>
      </c>
      <c r="DC36">
        <f>IF(DC$4=1,IF(INDEX('×入力'!$C$1:$L$700,396+DC$3,DC$2)&lt;&gt;"",1,0),0)</f>
        <v/>
      </c>
      <c r="DD36">
        <f>IF(DD$4=1,IF(INDEX('×入力'!$C$1:$L$700,396+DD$3,DD$2)&lt;&gt;"",1,0),0)</f>
        <v/>
      </c>
      <c r="DE36">
        <f>IF(DE$4=1,IF(INDEX('×入力'!$C$1:$L$700,396+DE$3,DE$2)&lt;&gt;"",1,0),0)</f>
        <v/>
      </c>
      <c r="DF36">
        <f>IF(DF$4=1,IF(INDEX('×入力'!$C$1:$L$700,396+DF$3,DF$2)&lt;&gt;"",1,0),0)</f>
        <v/>
      </c>
      <c r="DG36">
        <f>IF(DG$4=1,IF(INDEX('×入力'!$C$1:$L$700,396+DG$3,DG$2)&lt;&gt;"",1,0),0)</f>
        <v/>
      </c>
      <c r="DH36">
        <f>IF(DH$4=1,IF(INDEX('×入力'!$C$1:$L$700,396+DH$3,DH$2)&lt;&gt;"",1,0),0)</f>
        <v/>
      </c>
      <c r="DI36">
        <f>IF(DI$4=1,IF(INDEX('×入力'!$C$1:$L$700,396+DI$3,DI$2)&lt;&gt;"",1,0),0)</f>
        <v/>
      </c>
      <c r="DJ36">
        <f>IF(DJ$4=1,IF(INDEX('×入力'!$C$1:$L$700,396+DJ$3,DJ$2)&lt;&gt;"",1,0),0)</f>
        <v/>
      </c>
      <c r="DK36">
        <f>IF(DK$4=1,IF(INDEX('×入力'!$C$1:$L$700,396+DK$3,DK$2)&lt;&gt;"",1,0),0)</f>
        <v/>
      </c>
      <c r="DL36">
        <f>IF(DL$4=1,IF(INDEX('×入力'!$C$1:$L$700,396+DL$3,DL$2)&lt;&gt;"",1,0),0)</f>
        <v/>
      </c>
      <c r="DM36">
        <f>IF(DM$4=1,IF(INDEX('×入力'!$C$1:$L$700,396+DM$3,DM$2)&lt;&gt;"",1,0),0)</f>
        <v/>
      </c>
      <c r="DN36">
        <f>IF(DN$4=1,IF(INDEX('×入力'!$C$1:$L$700,396+DN$3,DN$2)&lt;&gt;"",1,0),0)</f>
        <v/>
      </c>
      <c r="DO36">
        <f>IF(DO$4=1,IF(INDEX('×入力'!$C$1:$L$700,396+DO$3,DO$2)&lt;&gt;"",1,0),0)</f>
        <v/>
      </c>
      <c r="DP36">
        <f>IF(DP$4=1,IF(INDEX('×入力'!$C$1:$L$700,396+DP$3,DP$2)&lt;&gt;"",1,0),0)</f>
        <v/>
      </c>
      <c r="DQ36">
        <f>IF(DQ$4=1,IF(INDEX('×入力'!$C$1:$L$700,396+DQ$3,DQ$2)&lt;&gt;"",1,0),0)</f>
        <v/>
      </c>
      <c r="DR36">
        <f>IF(DR$4=1,IF(INDEX('×入力'!$C$1:$L$700,396+DR$3,DR$2)&lt;&gt;"",1,0),0)</f>
        <v/>
      </c>
      <c r="DS36">
        <f>IF(DS$4=1,IF(INDEX('×入力'!$C$1:$L$700,396+DS$3,DS$2)&lt;&gt;"",1,0),0)</f>
        <v/>
      </c>
      <c r="DU36">
        <f>IFERROR(INDEX('計算B'!$C$3:$C$47,MATCH(A36,'計算B'!$B$3:$B$47,0)),0)</f>
        <v/>
      </c>
      <c r="DV36">
        <f>IF(AND(C36=1,DU36=0),1,0)</f>
        <v/>
      </c>
      <c r="DW36">
        <f>SUMPRODUCT(D86:DS86*(1-$D$7:$DS$7))</f>
        <v/>
      </c>
      <c r="DX36">
        <f>SUM(D36:DS36)</f>
        <v/>
      </c>
      <c r="DY36">
        <f>IF(B36="",0,IF(COUNTIF('割り当て'!$C$6:$L$17,B36)=1,SUMPRODUCT(('割り当て'!$C$6:$L$17=B36)*((COLUMN('割り当て'!$C$6:$L$17)-3)*12+ROW('割り当て'!$C$6:$L$17)-5)),0))</f>
        <v/>
      </c>
    </row>
    <row r="37">
      <c r="A37" t="n">
        <v>28</v>
      </c>
      <c r="B37">
        <f>'名簿'!E32</f>
        <v/>
      </c>
      <c r="C37">
        <f>IF(AND(B37&lt;&gt;"",OR('名簿'!F32="入力済み",'名簿'!F32="×なし"),DY37=0,COUNTIF('割り当て'!$C$6:$L$17,B37)=0),1,0)</f>
        <v/>
      </c>
      <c r="D37">
        <f>IF(D$4=1,IF(INDEX('×入力'!$C$1:$L$700,411+D$3,D$2)&lt;&gt;"",1,0),0)</f>
        <v/>
      </c>
      <c r="E37">
        <f>IF(E$4=1,IF(INDEX('×入力'!$C$1:$L$700,411+E$3,E$2)&lt;&gt;"",1,0),0)</f>
        <v/>
      </c>
      <c r="F37">
        <f>IF(F$4=1,IF(INDEX('×入力'!$C$1:$L$700,411+F$3,F$2)&lt;&gt;"",1,0),0)</f>
        <v/>
      </c>
      <c r="G37">
        <f>IF(G$4=1,IF(INDEX('×入力'!$C$1:$L$700,411+G$3,G$2)&lt;&gt;"",1,0),0)</f>
        <v/>
      </c>
      <c r="H37">
        <f>IF(H$4=1,IF(INDEX('×入力'!$C$1:$L$700,411+H$3,H$2)&lt;&gt;"",1,0),0)</f>
        <v/>
      </c>
      <c r="I37">
        <f>IF(I$4=1,IF(INDEX('×入力'!$C$1:$L$700,411+I$3,I$2)&lt;&gt;"",1,0),0)</f>
        <v/>
      </c>
      <c r="J37">
        <f>IF(J$4=1,IF(INDEX('×入力'!$C$1:$L$700,411+J$3,J$2)&lt;&gt;"",1,0),0)</f>
        <v/>
      </c>
      <c r="K37">
        <f>IF(K$4=1,IF(INDEX('×入力'!$C$1:$L$700,411+K$3,K$2)&lt;&gt;"",1,0),0)</f>
        <v/>
      </c>
      <c r="L37">
        <f>IF(L$4=1,IF(INDEX('×入力'!$C$1:$L$700,411+L$3,L$2)&lt;&gt;"",1,0),0)</f>
        <v/>
      </c>
      <c r="M37">
        <f>IF(M$4=1,IF(INDEX('×入力'!$C$1:$L$700,411+M$3,M$2)&lt;&gt;"",1,0),0)</f>
        <v/>
      </c>
      <c r="N37">
        <f>IF(N$4=1,IF(INDEX('×入力'!$C$1:$L$700,411+N$3,N$2)&lt;&gt;"",1,0),0)</f>
        <v/>
      </c>
      <c r="O37">
        <f>IF(O$4=1,IF(INDEX('×入力'!$C$1:$L$700,411+O$3,O$2)&lt;&gt;"",1,0),0)</f>
        <v/>
      </c>
      <c r="P37">
        <f>IF(P$4=1,IF(INDEX('×入力'!$C$1:$L$700,411+P$3,P$2)&lt;&gt;"",1,0),0)</f>
        <v/>
      </c>
      <c r="Q37">
        <f>IF(Q$4=1,IF(INDEX('×入力'!$C$1:$L$700,411+Q$3,Q$2)&lt;&gt;"",1,0),0)</f>
        <v/>
      </c>
      <c r="R37">
        <f>IF(R$4=1,IF(INDEX('×入力'!$C$1:$L$700,411+R$3,R$2)&lt;&gt;"",1,0),0)</f>
        <v/>
      </c>
      <c r="S37">
        <f>IF(S$4=1,IF(INDEX('×入力'!$C$1:$L$700,411+S$3,S$2)&lt;&gt;"",1,0),0)</f>
        <v/>
      </c>
      <c r="T37">
        <f>IF(T$4=1,IF(INDEX('×入力'!$C$1:$L$700,411+T$3,T$2)&lt;&gt;"",1,0),0)</f>
        <v/>
      </c>
      <c r="U37">
        <f>IF(U$4=1,IF(INDEX('×入力'!$C$1:$L$700,411+U$3,U$2)&lt;&gt;"",1,0),0)</f>
        <v/>
      </c>
      <c r="V37">
        <f>IF(V$4=1,IF(INDEX('×入力'!$C$1:$L$700,411+V$3,V$2)&lt;&gt;"",1,0),0)</f>
        <v/>
      </c>
      <c r="W37">
        <f>IF(W$4=1,IF(INDEX('×入力'!$C$1:$L$700,411+W$3,W$2)&lt;&gt;"",1,0),0)</f>
        <v/>
      </c>
      <c r="X37">
        <f>IF(X$4=1,IF(INDEX('×入力'!$C$1:$L$700,411+X$3,X$2)&lt;&gt;"",1,0),0)</f>
        <v/>
      </c>
      <c r="Y37">
        <f>IF(Y$4=1,IF(INDEX('×入力'!$C$1:$L$700,411+Y$3,Y$2)&lt;&gt;"",1,0),0)</f>
        <v/>
      </c>
      <c r="Z37">
        <f>IF(Z$4=1,IF(INDEX('×入力'!$C$1:$L$700,411+Z$3,Z$2)&lt;&gt;"",1,0),0)</f>
        <v/>
      </c>
      <c r="AA37">
        <f>IF(AA$4=1,IF(INDEX('×入力'!$C$1:$L$700,411+AA$3,AA$2)&lt;&gt;"",1,0),0)</f>
        <v/>
      </c>
      <c r="AB37">
        <f>IF(AB$4=1,IF(INDEX('×入力'!$C$1:$L$700,411+AB$3,AB$2)&lt;&gt;"",1,0),0)</f>
        <v/>
      </c>
      <c r="AC37">
        <f>IF(AC$4=1,IF(INDEX('×入力'!$C$1:$L$700,411+AC$3,AC$2)&lt;&gt;"",1,0),0)</f>
        <v/>
      </c>
      <c r="AD37">
        <f>IF(AD$4=1,IF(INDEX('×入力'!$C$1:$L$700,411+AD$3,AD$2)&lt;&gt;"",1,0),0)</f>
        <v/>
      </c>
      <c r="AE37">
        <f>IF(AE$4=1,IF(INDEX('×入力'!$C$1:$L$700,411+AE$3,AE$2)&lt;&gt;"",1,0),0)</f>
        <v/>
      </c>
      <c r="AF37">
        <f>IF(AF$4=1,IF(INDEX('×入力'!$C$1:$L$700,411+AF$3,AF$2)&lt;&gt;"",1,0),0)</f>
        <v/>
      </c>
      <c r="AG37">
        <f>IF(AG$4=1,IF(INDEX('×入力'!$C$1:$L$700,411+AG$3,AG$2)&lt;&gt;"",1,0),0)</f>
        <v/>
      </c>
      <c r="AH37">
        <f>IF(AH$4=1,IF(INDEX('×入力'!$C$1:$L$700,411+AH$3,AH$2)&lt;&gt;"",1,0),0)</f>
        <v/>
      </c>
      <c r="AI37">
        <f>IF(AI$4=1,IF(INDEX('×入力'!$C$1:$L$700,411+AI$3,AI$2)&lt;&gt;"",1,0),0)</f>
        <v/>
      </c>
      <c r="AJ37">
        <f>IF(AJ$4=1,IF(INDEX('×入力'!$C$1:$L$700,411+AJ$3,AJ$2)&lt;&gt;"",1,0),0)</f>
        <v/>
      </c>
      <c r="AK37">
        <f>IF(AK$4=1,IF(INDEX('×入力'!$C$1:$L$700,411+AK$3,AK$2)&lt;&gt;"",1,0),0)</f>
        <v/>
      </c>
      <c r="AL37">
        <f>IF(AL$4=1,IF(INDEX('×入力'!$C$1:$L$700,411+AL$3,AL$2)&lt;&gt;"",1,0),0)</f>
        <v/>
      </c>
      <c r="AM37">
        <f>IF(AM$4=1,IF(INDEX('×入力'!$C$1:$L$700,411+AM$3,AM$2)&lt;&gt;"",1,0),0)</f>
        <v/>
      </c>
      <c r="AN37">
        <f>IF(AN$4=1,IF(INDEX('×入力'!$C$1:$L$700,411+AN$3,AN$2)&lt;&gt;"",1,0),0)</f>
        <v/>
      </c>
      <c r="AO37">
        <f>IF(AO$4=1,IF(INDEX('×入力'!$C$1:$L$700,411+AO$3,AO$2)&lt;&gt;"",1,0),0)</f>
        <v/>
      </c>
      <c r="AP37">
        <f>IF(AP$4=1,IF(INDEX('×入力'!$C$1:$L$700,411+AP$3,AP$2)&lt;&gt;"",1,0),0)</f>
        <v/>
      </c>
      <c r="AQ37">
        <f>IF(AQ$4=1,IF(INDEX('×入力'!$C$1:$L$700,411+AQ$3,AQ$2)&lt;&gt;"",1,0),0)</f>
        <v/>
      </c>
      <c r="AR37">
        <f>IF(AR$4=1,IF(INDEX('×入力'!$C$1:$L$700,411+AR$3,AR$2)&lt;&gt;"",1,0),0)</f>
        <v/>
      </c>
      <c r="AS37">
        <f>IF(AS$4=1,IF(INDEX('×入力'!$C$1:$L$700,411+AS$3,AS$2)&lt;&gt;"",1,0),0)</f>
        <v/>
      </c>
      <c r="AT37">
        <f>IF(AT$4=1,IF(INDEX('×入力'!$C$1:$L$700,411+AT$3,AT$2)&lt;&gt;"",1,0),0)</f>
        <v/>
      </c>
      <c r="AU37">
        <f>IF(AU$4=1,IF(INDEX('×入力'!$C$1:$L$700,411+AU$3,AU$2)&lt;&gt;"",1,0),0)</f>
        <v/>
      </c>
      <c r="AV37">
        <f>IF(AV$4=1,IF(INDEX('×入力'!$C$1:$L$700,411+AV$3,AV$2)&lt;&gt;"",1,0),0)</f>
        <v/>
      </c>
      <c r="AW37">
        <f>IF(AW$4=1,IF(INDEX('×入力'!$C$1:$L$700,411+AW$3,AW$2)&lt;&gt;"",1,0),0)</f>
        <v/>
      </c>
      <c r="AX37">
        <f>IF(AX$4=1,IF(INDEX('×入力'!$C$1:$L$700,411+AX$3,AX$2)&lt;&gt;"",1,0),0)</f>
        <v/>
      </c>
      <c r="AY37">
        <f>IF(AY$4=1,IF(INDEX('×入力'!$C$1:$L$700,411+AY$3,AY$2)&lt;&gt;"",1,0),0)</f>
        <v/>
      </c>
      <c r="AZ37">
        <f>IF(AZ$4=1,IF(INDEX('×入力'!$C$1:$L$700,411+AZ$3,AZ$2)&lt;&gt;"",1,0),0)</f>
        <v/>
      </c>
      <c r="BA37">
        <f>IF(BA$4=1,IF(INDEX('×入力'!$C$1:$L$700,411+BA$3,BA$2)&lt;&gt;"",1,0),0)</f>
        <v/>
      </c>
      <c r="BB37">
        <f>IF(BB$4=1,IF(INDEX('×入力'!$C$1:$L$700,411+BB$3,BB$2)&lt;&gt;"",1,0),0)</f>
        <v/>
      </c>
      <c r="BC37">
        <f>IF(BC$4=1,IF(INDEX('×入力'!$C$1:$L$700,411+BC$3,BC$2)&lt;&gt;"",1,0),0)</f>
        <v/>
      </c>
      <c r="BD37">
        <f>IF(BD$4=1,IF(INDEX('×入力'!$C$1:$L$700,411+BD$3,BD$2)&lt;&gt;"",1,0),0)</f>
        <v/>
      </c>
      <c r="BE37">
        <f>IF(BE$4=1,IF(INDEX('×入力'!$C$1:$L$700,411+BE$3,BE$2)&lt;&gt;"",1,0),0)</f>
        <v/>
      </c>
      <c r="BF37">
        <f>IF(BF$4=1,IF(INDEX('×入力'!$C$1:$L$700,411+BF$3,BF$2)&lt;&gt;"",1,0),0)</f>
        <v/>
      </c>
      <c r="BG37">
        <f>IF(BG$4=1,IF(INDEX('×入力'!$C$1:$L$700,411+BG$3,BG$2)&lt;&gt;"",1,0),0)</f>
        <v/>
      </c>
      <c r="BH37">
        <f>IF(BH$4=1,IF(INDEX('×入力'!$C$1:$L$700,411+BH$3,BH$2)&lt;&gt;"",1,0),0)</f>
        <v/>
      </c>
      <c r="BI37">
        <f>IF(BI$4=1,IF(INDEX('×入力'!$C$1:$L$700,411+BI$3,BI$2)&lt;&gt;"",1,0),0)</f>
        <v/>
      </c>
      <c r="BJ37">
        <f>IF(BJ$4=1,IF(INDEX('×入力'!$C$1:$L$700,411+BJ$3,BJ$2)&lt;&gt;"",1,0),0)</f>
        <v/>
      </c>
      <c r="BK37">
        <f>IF(BK$4=1,IF(INDEX('×入力'!$C$1:$L$700,411+BK$3,BK$2)&lt;&gt;"",1,0),0)</f>
        <v/>
      </c>
      <c r="BL37">
        <f>IF(BL$4=1,IF(INDEX('×入力'!$C$1:$L$700,411+BL$3,BL$2)&lt;&gt;"",1,0),0)</f>
        <v/>
      </c>
      <c r="BM37">
        <f>IF(BM$4=1,IF(INDEX('×入力'!$C$1:$L$700,411+BM$3,BM$2)&lt;&gt;"",1,0),0)</f>
        <v/>
      </c>
      <c r="BN37">
        <f>IF(BN$4=1,IF(INDEX('×入力'!$C$1:$L$700,411+BN$3,BN$2)&lt;&gt;"",1,0),0)</f>
        <v/>
      </c>
      <c r="BO37">
        <f>IF(BO$4=1,IF(INDEX('×入力'!$C$1:$L$700,411+BO$3,BO$2)&lt;&gt;"",1,0),0)</f>
        <v/>
      </c>
      <c r="BP37">
        <f>IF(BP$4=1,IF(INDEX('×入力'!$C$1:$L$700,411+BP$3,BP$2)&lt;&gt;"",1,0),0)</f>
        <v/>
      </c>
      <c r="BQ37">
        <f>IF(BQ$4=1,IF(INDEX('×入力'!$C$1:$L$700,411+BQ$3,BQ$2)&lt;&gt;"",1,0),0)</f>
        <v/>
      </c>
      <c r="BR37">
        <f>IF(BR$4=1,IF(INDEX('×入力'!$C$1:$L$700,411+BR$3,BR$2)&lt;&gt;"",1,0),0)</f>
        <v/>
      </c>
      <c r="BS37">
        <f>IF(BS$4=1,IF(INDEX('×入力'!$C$1:$L$700,411+BS$3,BS$2)&lt;&gt;"",1,0),0)</f>
        <v/>
      </c>
      <c r="BT37">
        <f>IF(BT$4=1,IF(INDEX('×入力'!$C$1:$L$700,411+BT$3,BT$2)&lt;&gt;"",1,0),0)</f>
        <v/>
      </c>
      <c r="BU37">
        <f>IF(BU$4=1,IF(INDEX('×入力'!$C$1:$L$700,411+BU$3,BU$2)&lt;&gt;"",1,0),0)</f>
        <v/>
      </c>
      <c r="BV37">
        <f>IF(BV$4=1,IF(INDEX('×入力'!$C$1:$L$700,411+BV$3,BV$2)&lt;&gt;"",1,0),0)</f>
        <v/>
      </c>
      <c r="BW37">
        <f>IF(BW$4=1,IF(INDEX('×入力'!$C$1:$L$700,411+BW$3,BW$2)&lt;&gt;"",1,0),0)</f>
        <v/>
      </c>
      <c r="BX37">
        <f>IF(BX$4=1,IF(INDEX('×入力'!$C$1:$L$700,411+BX$3,BX$2)&lt;&gt;"",1,0),0)</f>
        <v/>
      </c>
      <c r="BY37">
        <f>IF(BY$4=1,IF(INDEX('×入力'!$C$1:$L$700,411+BY$3,BY$2)&lt;&gt;"",1,0),0)</f>
        <v/>
      </c>
      <c r="BZ37">
        <f>IF(BZ$4=1,IF(INDEX('×入力'!$C$1:$L$700,411+BZ$3,BZ$2)&lt;&gt;"",1,0),0)</f>
        <v/>
      </c>
      <c r="CA37">
        <f>IF(CA$4=1,IF(INDEX('×入力'!$C$1:$L$700,411+CA$3,CA$2)&lt;&gt;"",1,0),0)</f>
        <v/>
      </c>
      <c r="CB37">
        <f>IF(CB$4=1,IF(INDEX('×入力'!$C$1:$L$700,411+CB$3,CB$2)&lt;&gt;"",1,0),0)</f>
        <v/>
      </c>
      <c r="CC37">
        <f>IF(CC$4=1,IF(INDEX('×入力'!$C$1:$L$700,411+CC$3,CC$2)&lt;&gt;"",1,0),0)</f>
        <v/>
      </c>
      <c r="CD37">
        <f>IF(CD$4=1,IF(INDEX('×入力'!$C$1:$L$700,411+CD$3,CD$2)&lt;&gt;"",1,0),0)</f>
        <v/>
      </c>
      <c r="CE37">
        <f>IF(CE$4=1,IF(INDEX('×入力'!$C$1:$L$700,411+CE$3,CE$2)&lt;&gt;"",1,0),0)</f>
        <v/>
      </c>
      <c r="CF37">
        <f>IF(CF$4=1,IF(INDEX('×入力'!$C$1:$L$700,411+CF$3,CF$2)&lt;&gt;"",1,0),0)</f>
        <v/>
      </c>
      <c r="CG37">
        <f>IF(CG$4=1,IF(INDEX('×入力'!$C$1:$L$700,411+CG$3,CG$2)&lt;&gt;"",1,0),0)</f>
        <v/>
      </c>
      <c r="CH37">
        <f>IF(CH$4=1,IF(INDEX('×入力'!$C$1:$L$700,411+CH$3,CH$2)&lt;&gt;"",1,0),0)</f>
        <v/>
      </c>
      <c r="CI37">
        <f>IF(CI$4=1,IF(INDEX('×入力'!$C$1:$L$700,411+CI$3,CI$2)&lt;&gt;"",1,0),0)</f>
        <v/>
      </c>
      <c r="CJ37">
        <f>IF(CJ$4=1,IF(INDEX('×入力'!$C$1:$L$700,411+CJ$3,CJ$2)&lt;&gt;"",1,0),0)</f>
        <v/>
      </c>
      <c r="CK37">
        <f>IF(CK$4=1,IF(INDEX('×入力'!$C$1:$L$700,411+CK$3,CK$2)&lt;&gt;"",1,0),0)</f>
        <v/>
      </c>
      <c r="CL37">
        <f>IF(CL$4=1,IF(INDEX('×入力'!$C$1:$L$700,411+CL$3,CL$2)&lt;&gt;"",1,0),0)</f>
        <v/>
      </c>
      <c r="CM37">
        <f>IF(CM$4=1,IF(INDEX('×入力'!$C$1:$L$700,411+CM$3,CM$2)&lt;&gt;"",1,0),0)</f>
        <v/>
      </c>
      <c r="CN37">
        <f>IF(CN$4=1,IF(INDEX('×入力'!$C$1:$L$700,411+CN$3,CN$2)&lt;&gt;"",1,0),0)</f>
        <v/>
      </c>
      <c r="CO37">
        <f>IF(CO$4=1,IF(INDEX('×入力'!$C$1:$L$700,411+CO$3,CO$2)&lt;&gt;"",1,0),0)</f>
        <v/>
      </c>
      <c r="CP37">
        <f>IF(CP$4=1,IF(INDEX('×入力'!$C$1:$L$700,411+CP$3,CP$2)&lt;&gt;"",1,0),0)</f>
        <v/>
      </c>
      <c r="CQ37">
        <f>IF(CQ$4=1,IF(INDEX('×入力'!$C$1:$L$700,411+CQ$3,CQ$2)&lt;&gt;"",1,0),0)</f>
        <v/>
      </c>
      <c r="CR37">
        <f>IF(CR$4=1,IF(INDEX('×入力'!$C$1:$L$700,411+CR$3,CR$2)&lt;&gt;"",1,0),0)</f>
        <v/>
      </c>
      <c r="CS37">
        <f>IF(CS$4=1,IF(INDEX('×入力'!$C$1:$L$700,411+CS$3,CS$2)&lt;&gt;"",1,0),0)</f>
        <v/>
      </c>
      <c r="CT37">
        <f>IF(CT$4=1,IF(INDEX('×入力'!$C$1:$L$700,411+CT$3,CT$2)&lt;&gt;"",1,0),0)</f>
        <v/>
      </c>
      <c r="CU37">
        <f>IF(CU$4=1,IF(INDEX('×入力'!$C$1:$L$700,411+CU$3,CU$2)&lt;&gt;"",1,0),0)</f>
        <v/>
      </c>
      <c r="CV37">
        <f>IF(CV$4=1,IF(INDEX('×入力'!$C$1:$L$700,411+CV$3,CV$2)&lt;&gt;"",1,0),0)</f>
        <v/>
      </c>
      <c r="CW37">
        <f>IF(CW$4=1,IF(INDEX('×入力'!$C$1:$L$700,411+CW$3,CW$2)&lt;&gt;"",1,0),0)</f>
        <v/>
      </c>
      <c r="CX37">
        <f>IF(CX$4=1,IF(INDEX('×入力'!$C$1:$L$700,411+CX$3,CX$2)&lt;&gt;"",1,0),0)</f>
        <v/>
      </c>
      <c r="CY37">
        <f>IF(CY$4=1,IF(INDEX('×入力'!$C$1:$L$700,411+CY$3,CY$2)&lt;&gt;"",1,0),0)</f>
        <v/>
      </c>
      <c r="CZ37">
        <f>IF(CZ$4=1,IF(INDEX('×入力'!$C$1:$L$700,411+CZ$3,CZ$2)&lt;&gt;"",1,0),0)</f>
        <v/>
      </c>
      <c r="DA37">
        <f>IF(DA$4=1,IF(INDEX('×入力'!$C$1:$L$700,411+DA$3,DA$2)&lt;&gt;"",1,0),0)</f>
        <v/>
      </c>
      <c r="DB37">
        <f>IF(DB$4=1,IF(INDEX('×入力'!$C$1:$L$700,411+DB$3,DB$2)&lt;&gt;"",1,0),0)</f>
        <v/>
      </c>
      <c r="DC37">
        <f>IF(DC$4=1,IF(INDEX('×入力'!$C$1:$L$700,411+DC$3,DC$2)&lt;&gt;"",1,0),0)</f>
        <v/>
      </c>
      <c r="DD37">
        <f>IF(DD$4=1,IF(INDEX('×入力'!$C$1:$L$700,411+DD$3,DD$2)&lt;&gt;"",1,0),0)</f>
        <v/>
      </c>
      <c r="DE37">
        <f>IF(DE$4=1,IF(INDEX('×入力'!$C$1:$L$700,411+DE$3,DE$2)&lt;&gt;"",1,0),0)</f>
        <v/>
      </c>
      <c r="DF37">
        <f>IF(DF$4=1,IF(INDEX('×入力'!$C$1:$L$700,411+DF$3,DF$2)&lt;&gt;"",1,0),0)</f>
        <v/>
      </c>
      <c r="DG37">
        <f>IF(DG$4=1,IF(INDEX('×入力'!$C$1:$L$700,411+DG$3,DG$2)&lt;&gt;"",1,0),0)</f>
        <v/>
      </c>
      <c r="DH37">
        <f>IF(DH$4=1,IF(INDEX('×入力'!$C$1:$L$700,411+DH$3,DH$2)&lt;&gt;"",1,0),0)</f>
        <v/>
      </c>
      <c r="DI37">
        <f>IF(DI$4=1,IF(INDEX('×入力'!$C$1:$L$700,411+DI$3,DI$2)&lt;&gt;"",1,0),0)</f>
        <v/>
      </c>
      <c r="DJ37">
        <f>IF(DJ$4=1,IF(INDEX('×入力'!$C$1:$L$700,411+DJ$3,DJ$2)&lt;&gt;"",1,0),0)</f>
        <v/>
      </c>
      <c r="DK37">
        <f>IF(DK$4=1,IF(INDEX('×入力'!$C$1:$L$700,411+DK$3,DK$2)&lt;&gt;"",1,0),0)</f>
        <v/>
      </c>
      <c r="DL37">
        <f>IF(DL$4=1,IF(INDEX('×入力'!$C$1:$L$700,411+DL$3,DL$2)&lt;&gt;"",1,0),0)</f>
        <v/>
      </c>
      <c r="DM37">
        <f>IF(DM$4=1,IF(INDEX('×入力'!$C$1:$L$700,411+DM$3,DM$2)&lt;&gt;"",1,0),0)</f>
        <v/>
      </c>
      <c r="DN37">
        <f>IF(DN$4=1,IF(INDEX('×入力'!$C$1:$L$700,411+DN$3,DN$2)&lt;&gt;"",1,0),0)</f>
        <v/>
      </c>
      <c r="DO37">
        <f>IF(DO$4=1,IF(INDEX('×入力'!$C$1:$L$700,411+DO$3,DO$2)&lt;&gt;"",1,0),0)</f>
        <v/>
      </c>
      <c r="DP37">
        <f>IF(DP$4=1,IF(INDEX('×入力'!$C$1:$L$700,411+DP$3,DP$2)&lt;&gt;"",1,0),0)</f>
        <v/>
      </c>
      <c r="DQ37">
        <f>IF(DQ$4=1,IF(INDEX('×入力'!$C$1:$L$700,411+DQ$3,DQ$2)&lt;&gt;"",1,0),0)</f>
        <v/>
      </c>
      <c r="DR37">
        <f>IF(DR$4=1,IF(INDEX('×入力'!$C$1:$L$700,411+DR$3,DR$2)&lt;&gt;"",1,0),0)</f>
        <v/>
      </c>
      <c r="DS37">
        <f>IF(DS$4=1,IF(INDEX('×入力'!$C$1:$L$700,411+DS$3,DS$2)&lt;&gt;"",1,0),0)</f>
        <v/>
      </c>
      <c r="DU37">
        <f>IFERROR(INDEX('計算B'!$C$3:$C$47,MATCH(A37,'計算B'!$B$3:$B$47,0)),0)</f>
        <v/>
      </c>
      <c r="DV37">
        <f>IF(AND(C37=1,DU37=0),1,0)</f>
        <v/>
      </c>
      <c r="DW37">
        <f>SUMPRODUCT(D87:DS87*(1-$D$7:$DS$7))</f>
        <v/>
      </c>
      <c r="DX37">
        <f>SUM(D37:DS37)</f>
        <v/>
      </c>
      <c r="DY37">
        <f>IF(B37="",0,IF(COUNTIF('割り当て'!$C$6:$L$17,B37)=1,SUMPRODUCT(('割り当て'!$C$6:$L$17=B37)*((COLUMN('割り当て'!$C$6:$L$17)-3)*12+ROW('割り当て'!$C$6:$L$17)-5)),0))</f>
        <v/>
      </c>
    </row>
    <row r="38">
      <c r="A38" t="n">
        <v>29</v>
      </c>
      <c r="B38">
        <f>'名簿'!E33</f>
        <v/>
      </c>
      <c r="C38">
        <f>IF(AND(B38&lt;&gt;"",OR('名簿'!F33="入力済み",'名簿'!F33="×なし"),DY38=0,COUNTIF('割り当て'!$C$6:$L$17,B38)=0),1,0)</f>
        <v/>
      </c>
      <c r="D38">
        <f>IF(D$4=1,IF(INDEX('×入力'!$C$1:$L$700,426+D$3,D$2)&lt;&gt;"",1,0),0)</f>
        <v/>
      </c>
      <c r="E38">
        <f>IF(E$4=1,IF(INDEX('×入力'!$C$1:$L$700,426+E$3,E$2)&lt;&gt;"",1,0),0)</f>
        <v/>
      </c>
      <c r="F38">
        <f>IF(F$4=1,IF(INDEX('×入力'!$C$1:$L$700,426+F$3,F$2)&lt;&gt;"",1,0),0)</f>
        <v/>
      </c>
      <c r="G38">
        <f>IF(G$4=1,IF(INDEX('×入力'!$C$1:$L$700,426+G$3,G$2)&lt;&gt;"",1,0),0)</f>
        <v/>
      </c>
      <c r="H38">
        <f>IF(H$4=1,IF(INDEX('×入力'!$C$1:$L$700,426+H$3,H$2)&lt;&gt;"",1,0),0)</f>
        <v/>
      </c>
      <c r="I38">
        <f>IF(I$4=1,IF(INDEX('×入力'!$C$1:$L$700,426+I$3,I$2)&lt;&gt;"",1,0),0)</f>
        <v/>
      </c>
      <c r="J38">
        <f>IF(J$4=1,IF(INDEX('×入力'!$C$1:$L$700,426+J$3,J$2)&lt;&gt;"",1,0),0)</f>
        <v/>
      </c>
      <c r="K38">
        <f>IF(K$4=1,IF(INDEX('×入力'!$C$1:$L$700,426+K$3,K$2)&lt;&gt;"",1,0),0)</f>
        <v/>
      </c>
      <c r="L38">
        <f>IF(L$4=1,IF(INDEX('×入力'!$C$1:$L$700,426+L$3,L$2)&lt;&gt;"",1,0),0)</f>
        <v/>
      </c>
      <c r="M38">
        <f>IF(M$4=1,IF(INDEX('×入力'!$C$1:$L$700,426+M$3,M$2)&lt;&gt;"",1,0),0)</f>
        <v/>
      </c>
      <c r="N38">
        <f>IF(N$4=1,IF(INDEX('×入力'!$C$1:$L$700,426+N$3,N$2)&lt;&gt;"",1,0),0)</f>
        <v/>
      </c>
      <c r="O38">
        <f>IF(O$4=1,IF(INDEX('×入力'!$C$1:$L$700,426+O$3,O$2)&lt;&gt;"",1,0),0)</f>
        <v/>
      </c>
      <c r="P38">
        <f>IF(P$4=1,IF(INDEX('×入力'!$C$1:$L$700,426+P$3,P$2)&lt;&gt;"",1,0),0)</f>
        <v/>
      </c>
      <c r="Q38">
        <f>IF(Q$4=1,IF(INDEX('×入力'!$C$1:$L$700,426+Q$3,Q$2)&lt;&gt;"",1,0),0)</f>
        <v/>
      </c>
      <c r="R38">
        <f>IF(R$4=1,IF(INDEX('×入力'!$C$1:$L$700,426+R$3,R$2)&lt;&gt;"",1,0),0)</f>
        <v/>
      </c>
      <c r="S38">
        <f>IF(S$4=1,IF(INDEX('×入力'!$C$1:$L$700,426+S$3,S$2)&lt;&gt;"",1,0),0)</f>
        <v/>
      </c>
      <c r="T38">
        <f>IF(T$4=1,IF(INDEX('×入力'!$C$1:$L$700,426+T$3,T$2)&lt;&gt;"",1,0),0)</f>
        <v/>
      </c>
      <c r="U38">
        <f>IF(U$4=1,IF(INDEX('×入力'!$C$1:$L$700,426+U$3,U$2)&lt;&gt;"",1,0),0)</f>
        <v/>
      </c>
      <c r="V38">
        <f>IF(V$4=1,IF(INDEX('×入力'!$C$1:$L$700,426+V$3,V$2)&lt;&gt;"",1,0),0)</f>
        <v/>
      </c>
      <c r="W38">
        <f>IF(W$4=1,IF(INDEX('×入力'!$C$1:$L$700,426+W$3,W$2)&lt;&gt;"",1,0),0)</f>
        <v/>
      </c>
      <c r="X38">
        <f>IF(X$4=1,IF(INDEX('×入力'!$C$1:$L$700,426+X$3,X$2)&lt;&gt;"",1,0),0)</f>
        <v/>
      </c>
      <c r="Y38">
        <f>IF(Y$4=1,IF(INDEX('×入力'!$C$1:$L$700,426+Y$3,Y$2)&lt;&gt;"",1,0),0)</f>
        <v/>
      </c>
      <c r="Z38">
        <f>IF(Z$4=1,IF(INDEX('×入力'!$C$1:$L$700,426+Z$3,Z$2)&lt;&gt;"",1,0),0)</f>
        <v/>
      </c>
      <c r="AA38">
        <f>IF(AA$4=1,IF(INDEX('×入力'!$C$1:$L$700,426+AA$3,AA$2)&lt;&gt;"",1,0),0)</f>
        <v/>
      </c>
      <c r="AB38">
        <f>IF(AB$4=1,IF(INDEX('×入力'!$C$1:$L$700,426+AB$3,AB$2)&lt;&gt;"",1,0),0)</f>
        <v/>
      </c>
      <c r="AC38">
        <f>IF(AC$4=1,IF(INDEX('×入力'!$C$1:$L$700,426+AC$3,AC$2)&lt;&gt;"",1,0),0)</f>
        <v/>
      </c>
      <c r="AD38">
        <f>IF(AD$4=1,IF(INDEX('×入力'!$C$1:$L$700,426+AD$3,AD$2)&lt;&gt;"",1,0),0)</f>
        <v/>
      </c>
      <c r="AE38">
        <f>IF(AE$4=1,IF(INDEX('×入力'!$C$1:$L$700,426+AE$3,AE$2)&lt;&gt;"",1,0),0)</f>
        <v/>
      </c>
      <c r="AF38">
        <f>IF(AF$4=1,IF(INDEX('×入力'!$C$1:$L$700,426+AF$3,AF$2)&lt;&gt;"",1,0),0)</f>
        <v/>
      </c>
      <c r="AG38">
        <f>IF(AG$4=1,IF(INDEX('×入力'!$C$1:$L$700,426+AG$3,AG$2)&lt;&gt;"",1,0),0)</f>
        <v/>
      </c>
      <c r="AH38">
        <f>IF(AH$4=1,IF(INDEX('×入力'!$C$1:$L$700,426+AH$3,AH$2)&lt;&gt;"",1,0),0)</f>
        <v/>
      </c>
      <c r="AI38">
        <f>IF(AI$4=1,IF(INDEX('×入力'!$C$1:$L$700,426+AI$3,AI$2)&lt;&gt;"",1,0),0)</f>
        <v/>
      </c>
      <c r="AJ38">
        <f>IF(AJ$4=1,IF(INDEX('×入力'!$C$1:$L$700,426+AJ$3,AJ$2)&lt;&gt;"",1,0),0)</f>
        <v/>
      </c>
      <c r="AK38">
        <f>IF(AK$4=1,IF(INDEX('×入力'!$C$1:$L$700,426+AK$3,AK$2)&lt;&gt;"",1,0),0)</f>
        <v/>
      </c>
      <c r="AL38">
        <f>IF(AL$4=1,IF(INDEX('×入力'!$C$1:$L$700,426+AL$3,AL$2)&lt;&gt;"",1,0),0)</f>
        <v/>
      </c>
      <c r="AM38">
        <f>IF(AM$4=1,IF(INDEX('×入力'!$C$1:$L$700,426+AM$3,AM$2)&lt;&gt;"",1,0),0)</f>
        <v/>
      </c>
      <c r="AN38">
        <f>IF(AN$4=1,IF(INDEX('×入力'!$C$1:$L$700,426+AN$3,AN$2)&lt;&gt;"",1,0),0)</f>
        <v/>
      </c>
      <c r="AO38">
        <f>IF(AO$4=1,IF(INDEX('×入力'!$C$1:$L$700,426+AO$3,AO$2)&lt;&gt;"",1,0),0)</f>
        <v/>
      </c>
      <c r="AP38">
        <f>IF(AP$4=1,IF(INDEX('×入力'!$C$1:$L$700,426+AP$3,AP$2)&lt;&gt;"",1,0),0)</f>
        <v/>
      </c>
      <c r="AQ38">
        <f>IF(AQ$4=1,IF(INDEX('×入力'!$C$1:$L$700,426+AQ$3,AQ$2)&lt;&gt;"",1,0),0)</f>
        <v/>
      </c>
      <c r="AR38">
        <f>IF(AR$4=1,IF(INDEX('×入力'!$C$1:$L$700,426+AR$3,AR$2)&lt;&gt;"",1,0),0)</f>
        <v/>
      </c>
      <c r="AS38">
        <f>IF(AS$4=1,IF(INDEX('×入力'!$C$1:$L$700,426+AS$3,AS$2)&lt;&gt;"",1,0),0)</f>
        <v/>
      </c>
      <c r="AT38">
        <f>IF(AT$4=1,IF(INDEX('×入力'!$C$1:$L$700,426+AT$3,AT$2)&lt;&gt;"",1,0),0)</f>
        <v/>
      </c>
      <c r="AU38">
        <f>IF(AU$4=1,IF(INDEX('×入力'!$C$1:$L$700,426+AU$3,AU$2)&lt;&gt;"",1,0),0)</f>
        <v/>
      </c>
      <c r="AV38">
        <f>IF(AV$4=1,IF(INDEX('×入力'!$C$1:$L$700,426+AV$3,AV$2)&lt;&gt;"",1,0),0)</f>
        <v/>
      </c>
      <c r="AW38">
        <f>IF(AW$4=1,IF(INDEX('×入力'!$C$1:$L$700,426+AW$3,AW$2)&lt;&gt;"",1,0),0)</f>
        <v/>
      </c>
      <c r="AX38">
        <f>IF(AX$4=1,IF(INDEX('×入力'!$C$1:$L$700,426+AX$3,AX$2)&lt;&gt;"",1,0),0)</f>
        <v/>
      </c>
      <c r="AY38">
        <f>IF(AY$4=1,IF(INDEX('×入力'!$C$1:$L$700,426+AY$3,AY$2)&lt;&gt;"",1,0),0)</f>
        <v/>
      </c>
      <c r="AZ38">
        <f>IF(AZ$4=1,IF(INDEX('×入力'!$C$1:$L$700,426+AZ$3,AZ$2)&lt;&gt;"",1,0),0)</f>
        <v/>
      </c>
      <c r="BA38">
        <f>IF(BA$4=1,IF(INDEX('×入力'!$C$1:$L$700,426+BA$3,BA$2)&lt;&gt;"",1,0),0)</f>
        <v/>
      </c>
      <c r="BB38">
        <f>IF(BB$4=1,IF(INDEX('×入力'!$C$1:$L$700,426+BB$3,BB$2)&lt;&gt;"",1,0),0)</f>
        <v/>
      </c>
      <c r="BC38">
        <f>IF(BC$4=1,IF(INDEX('×入力'!$C$1:$L$700,426+BC$3,BC$2)&lt;&gt;"",1,0),0)</f>
        <v/>
      </c>
      <c r="BD38">
        <f>IF(BD$4=1,IF(INDEX('×入力'!$C$1:$L$700,426+BD$3,BD$2)&lt;&gt;"",1,0),0)</f>
        <v/>
      </c>
      <c r="BE38">
        <f>IF(BE$4=1,IF(INDEX('×入力'!$C$1:$L$700,426+BE$3,BE$2)&lt;&gt;"",1,0),0)</f>
        <v/>
      </c>
      <c r="BF38">
        <f>IF(BF$4=1,IF(INDEX('×入力'!$C$1:$L$700,426+BF$3,BF$2)&lt;&gt;"",1,0),0)</f>
        <v/>
      </c>
      <c r="BG38">
        <f>IF(BG$4=1,IF(INDEX('×入力'!$C$1:$L$700,426+BG$3,BG$2)&lt;&gt;"",1,0),0)</f>
        <v/>
      </c>
      <c r="BH38">
        <f>IF(BH$4=1,IF(INDEX('×入力'!$C$1:$L$700,426+BH$3,BH$2)&lt;&gt;"",1,0),0)</f>
        <v/>
      </c>
      <c r="BI38">
        <f>IF(BI$4=1,IF(INDEX('×入力'!$C$1:$L$700,426+BI$3,BI$2)&lt;&gt;"",1,0),0)</f>
        <v/>
      </c>
      <c r="BJ38">
        <f>IF(BJ$4=1,IF(INDEX('×入力'!$C$1:$L$700,426+BJ$3,BJ$2)&lt;&gt;"",1,0),0)</f>
        <v/>
      </c>
      <c r="BK38">
        <f>IF(BK$4=1,IF(INDEX('×入力'!$C$1:$L$700,426+BK$3,BK$2)&lt;&gt;"",1,0),0)</f>
        <v/>
      </c>
      <c r="BL38">
        <f>IF(BL$4=1,IF(INDEX('×入力'!$C$1:$L$700,426+BL$3,BL$2)&lt;&gt;"",1,0),0)</f>
        <v/>
      </c>
      <c r="BM38">
        <f>IF(BM$4=1,IF(INDEX('×入力'!$C$1:$L$700,426+BM$3,BM$2)&lt;&gt;"",1,0),0)</f>
        <v/>
      </c>
      <c r="BN38">
        <f>IF(BN$4=1,IF(INDEX('×入力'!$C$1:$L$700,426+BN$3,BN$2)&lt;&gt;"",1,0),0)</f>
        <v/>
      </c>
      <c r="BO38">
        <f>IF(BO$4=1,IF(INDEX('×入力'!$C$1:$L$700,426+BO$3,BO$2)&lt;&gt;"",1,0),0)</f>
        <v/>
      </c>
      <c r="BP38">
        <f>IF(BP$4=1,IF(INDEX('×入力'!$C$1:$L$700,426+BP$3,BP$2)&lt;&gt;"",1,0),0)</f>
        <v/>
      </c>
      <c r="BQ38">
        <f>IF(BQ$4=1,IF(INDEX('×入力'!$C$1:$L$700,426+BQ$3,BQ$2)&lt;&gt;"",1,0),0)</f>
        <v/>
      </c>
      <c r="BR38">
        <f>IF(BR$4=1,IF(INDEX('×入力'!$C$1:$L$700,426+BR$3,BR$2)&lt;&gt;"",1,0),0)</f>
        <v/>
      </c>
      <c r="BS38">
        <f>IF(BS$4=1,IF(INDEX('×入力'!$C$1:$L$700,426+BS$3,BS$2)&lt;&gt;"",1,0),0)</f>
        <v/>
      </c>
      <c r="BT38">
        <f>IF(BT$4=1,IF(INDEX('×入力'!$C$1:$L$700,426+BT$3,BT$2)&lt;&gt;"",1,0),0)</f>
        <v/>
      </c>
      <c r="BU38">
        <f>IF(BU$4=1,IF(INDEX('×入力'!$C$1:$L$700,426+BU$3,BU$2)&lt;&gt;"",1,0),0)</f>
        <v/>
      </c>
      <c r="BV38">
        <f>IF(BV$4=1,IF(INDEX('×入力'!$C$1:$L$700,426+BV$3,BV$2)&lt;&gt;"",1,0),0)</f>
        <v/>
      </c>
      <c r="BW38">
        <f>IF(BW$4=1,IF(INDEX('×入力'!$C$1:$L$700,426+BW$3,BW$2)&lt;&gt;"",1,0),0)</f>
        <v/>
      </c>
      <c r="BX38">
        <f>IF(BX$4=1,IF(INDEX('×入力'!$C$1:$L$700,426+BX$3,BX$2)&lt;&gt;"",1,0),0)</f>
        <v/>
      </c>
      <c r="BY38">
        <f>IF(BY$4=1,IF(INDEX('×入力'!$C$1:$L$700,426+BY$3,BY$2)&lt;&gt;"",1,0),0)</f>
        <v/>
      </c>
      <c r="BZ38">
        <f>IF(BZ$4=1,IF(INDEX('×入力'!$C$1:$L$700,426+BZ$3,BZ$2)&lt;&gt;"",1,0),0)</f>
        <v/>
      </c>
      <c r="CA38">
        <f>IF(CA$4=1,IF(INDEX('×入力'!$C$1:$L$700,426+CA$3,CA$2)&lt;&gt;"",1,0),0)</f>
        <v/>
      </c>
      <c r="CB38">
        <f>IF(CB$4=1,IF(INDEX('×入力'!$C$1:$L$700,426+CB$3,CB$2)&lt;&gt;"",1,0),0)</f>
        <v/>
      </c>
      <c r="CC38">
        <f>IF(CC$4=1,IF(INDEX('×入力'!$C$1:$L$700,426+CC$3,CC$2)&lt;&gt;"",1,0),0)</f>
        <v/>
      </c>
      <c r="CD38">
        <f>IF(CD$4=1,IF(INDEX('×入力'!$C$1:$L$700,426+CD$3,CD$2)&lt;&gt;"",1,0),0)</f>
        <v/>
      </c>
      <c r="CE38">
        <f>IF(CE$4=1,IF(INDEX('×入力'!$C$1:$L$700,426+CE$3,CE$2)&lt;&gt;"",1,0),0)</f>
        <v/>
      </c>
      <c r="CF38">
        <f>IF(CF$4=1,IF(INDEX('×入力'!$C$1:$L$700,426+CF$3,CF$2)&lt;&gt;"",1,0),0)</f>
        <v/>
      </c>
      <c r="CG38">
        <f>IF(CG$4=1,IF(INDEX('×入力'!$C$1:$L$700,426+CG$3,CG$2)&lt;&gt;"",1,0),0)</f>
        <v/>
      </c>
      <c r="CH38">
        <f>IF(CH$4=1,IF(INDEX('×入力'!$C$1:$L$700,426+CH$3,CH$2)&lt;&gt;"",1,0),0)</f>
        <v/>
      </c>
      <c r="CI38">
        <f>IF(CI$4=1,IF(INDEX('×入力'!$C$1:$L$700,426+CI$3,CI$2)&lt;&gt;"",1,0),0)</f>
        <v/>
      </c>
      <c r="CJ38">
        <f>IF(CJ$4=1,IF(INDEX('×入力'!$C$1:$L$700,426+CJ$3,CJ$2)&lt;&gt;"",1,0),0)</f>
        <v/>
      </c>
      <c r="CK38">
        <f>IF(CK$4=1,IF(INDEX('×入力'!$C$1:$L$700,426+CK$3,CK$2)&lt;&gt;"",1,0),0)</f>
        <v/>
      </c>
      <c r="CL38">
        <f>IF(CL$4=1,IF(INDEX('×入力'!$C$1:$L$700,426+CL$3,CL$2)&lt;&gt;"",1,0),0)</f>
        <v/>
      </c>
      <c r="CM38">
        <f>IF(CM$4=1,IF(INDEX('×入力'!$C$1:$L$700,426+CM$3,CM$2)&lt;&gt;"",1,0),0)</f>
        <v/>
      </c>
      <c r="CN38">
        <f>IF(CN$4=1,IF(INDEX('×入力'!$C$1:$L$700,426+CN$3,CN$2)&lt;&gt;"",1,0),0)</f>
        <v/>
      </c>
      <c r="CO38">
        <f>IF(CO$4=1,IF(INDEX('×入力'!$C$1:$L$700,426+CO$3,CO$2)&lt;&gt;"",1,0),0)</f>
        <v/>
      </c>
      <c r="CP38">
        <f>IF(CP$4=1,IF(INDEX('×入力'!$C$1:$L$700,426+CP$3,CP$2)&lt;&gt;"",1,0),0)</f>
        <v/>
      </c>
      <c r="CQ38">
        <f>IF(CQ$4=1,IF(INDEX('×入力'!$C$1:$L$700,426+CQ$3,CQ$2)&lt;&gt;"",1,0),0)</f>
        <v/>
      </c>
      <c r="CR38">
        <f>IF(CR$4=1,IF(INDEX('×入力'!$C$1:$L$700,426+CR$3,CR$2)&lt;&gt;"",1,0),0)</f>
        <v/>
      </c>
      <c r="CS38">
        <f>IF(CS$4=1,IF(INDEX('×入力'!$C$1:$L$700,426+CS$3,CS$2)&lt;&gt;"",1,0),0)</f>
        <v/>
      </c>
      <c r="CT38">
        <f>IF(CT$4=1,IF(INDEX('×入力'!$C$1:$L$700,426+CT$3,CT$2)&lt;&gt;"",1,0),0)</f>
        <v/>
      </c>
      <c r="CU38">
        <f>IF(CU$4=1,IF(INDEX('×入力'!$C$1:$L$700,426+CU$3,CU$2)&lt;&gt;"",1,0),0)</f>
        <v/>
      </c>
      <c r="CV38">
        <f>IF(CV$4=1,IF(INDEX('×入力'!$C$1:$L$700,426+CV$3,CV$2)&lt;&gt;"",1,0),0)</f>
        <v/>
      </c>
      <c r="CW38">
        <f>IF(CW$4=1,IF(INDEX('×入力'!$C$1:$L$700,426+CW$3,CW$2)&lt;&gt;"",1,0),0)</f>
        <v/>
      </c>
      <c r="CX38">
        <f>IF(CX$4=1,IF(INDEX('×入力'!$C$1:$L$700,426+CX$3,CX$2)&lt;&gt;"",1,0),0)</f>
        <v/>
      </c>
      <c r="CY38">
        <f>IF(CY$4=1,IF(INDEX('×入力'!$C$1:$L$700,426+CY$3,CY$2)&lt;&gt;"",1,0),0)</f>
        <v/>
      </c>
      <c r="CZ38">
        <f>IF(CZ$4=1,IF(INDEX('×入力'!$C$1:$L$700,426+CZ$3,CZ$2)&lt;&gt;"",1,0),0)</f>
        <v/>
      </c>
      <c r="DA38">
        <f>IF(DA$4=1,IF(INDEX('×入力'!$C$1:$L$700,426+DA$3,DA$2)&lt;&gt;"",1,0),0)</f>
        <v/>
      </c>
      <c r="DB38">
        <f>IF(DB$4=1,IF(INDEX('×入力'!$C$1:$L$700,426+DB$3,DB$2)&lt;&gt;"",1,0),0)</f>
        <v/>
      </c>
      <c r="DC38">
        <f>IF(DC$4=1,IF(INDEX('×入力'!$C$1:$L$700,426+DC$3,DC$2)&lt;&gt;"",1,0),0)</f>
        <v/>
      </c>
      <c r="DD38">
        <f>IF(DD$4=1,IF(INDEX('×入力'!$C$1:$L$700,426+DD$3,DD$2)&lt;&gt;"",1,0),0)</f>
        <v/>
      </c>
      <c r="DE38">
        <f>IF(DE$4=1,IF(INDEX('×入力'!$C$1:$L$700,426+DE$3,DE$2)&lt;&gt;"",1,0),0)</f>
        <v/>
      </c>
      <c r="DF38">
        <f>IF(DF$4=1,IF(INDEX('×入力'!$C$1:$L$700,426+DF$3,DF$2)&lt;&gt;"",1,0),0)</f>
        <v/>
      </c>
      <c r="DG38">
        <f>IF(DG$4=1,IF(INDEX('×入力'!$C$1:$L$700,426+DG$3,DG$2)&lt;&gt;"",1,0),0)</f>
        <v/>
      </c>
      <c r="DH38">
        <f>IF(DH$4=1,IF(INDEX('×入力'!$C$1:$L$700,426+DH$3,DH$2)&lt;&gt;"",1,0),0)</f>
        <v/>
      </c>
      <c r="DI38">
        <f>IF(DI$4=1,IF(INDEX('×入力'!$C$1:$L$700,426+DI$3,DI$2)&lt;&gt;"",1,0),0)</f>
        <v/>
      </c>
      <c r="DJ38">
        <f>IF(DJ$4=1,IF(INDEX('×入力'!$C$1:$L$700,426+DJ$3,DJ$2)&lt;&gt;"",1,0),0)</f>
        <v/>
      </c>
      <c r="DK38">
        <f>IF(DK$4=1,IF(INDEX('×入力'!$C$1:$L$700,426+DK$3,DK$2)&lt;&gt;"",1,0),0)</f>
        <v/>
      </c>
      <c r="DL38">
        <f>IF(DL$4=1,IF(INDEX('×入力'!$C$1:$L$700,426+DL$3,DL$2)&lt;&gt;"",1,0),0)</f>
        <v/>
      </c>
      <c r="DM38">
        <f>IF(DM$4=1,IF(INDEX('×入力'!$C$1:$L$700,426+DM$3,DM$2)&lt;&gt;"",1,0),0)</f>
        <v/>
      </c>
      <c r="DN38">
        <f>IF(DN$4=1,IF(INDEX('×入力'!$C$1:$L$700,426+DN$3,DN$2)&lt;&gt;"",1,0),0)</f>
        <v/>
      </c>
      <c r="DO38">
        <f>IF(DO$4=1,IF(INDEX('×入力'!$C$1:$L$700,426+DO$3,DO$2)&lt;&gt;"",1,0),0)</f>
        <v/>
      </c>
      <c r="DP38">
        <f>IF(DP$4=1,IF(INDEX('×入力'!$C$1:$L$700,426+DP$3,DP$2)&lt;&gt;"",1,0),0)</f>
        <v/>
      </c>
      <c r="DQ38">
        <f>IF(DQ$4=1,IF(INDEX('×入力'!$C$1:$L$700,426+DQ$3,DQ$2)&lt;&gt;"",1,0),0)</f>
        <v/>
      </c>
      <c r="DR38">
        <f>IF(DR$4=1,IF(INDEX('×入力'!$C$1:$L$700,426+DR$3,DR$2)&lt;&gt;"",1,0),0)</f>
        <v/>
      </c>
      <c r="DS38">
        <f>IF(DS$4=1,IF(INDEX('×入力'!$C$1:$L$700,426+DS$3,DS$2)&lt;&gt;"",1,0),0)</f>
        <v/>
      </c>
      <c r="DU38">
        <f>IFERROR(INDEX('計算B'!$C$3:$C$47,MATCH(A38,'計算B'!$B$3:$B$47,0)),0)</f>
        <v/>
      </c>
      <c r="DV38">
        <f>IF(AND(C38=1,DU38=0),1,0)</f>
        <v/>
      </c>
      <c r="DW38">
        <f>SUMPRODUCT(D88:DS88*(1-$D$7:$DS$7))</f>
        <v/>
      </c>
      <c r="DX38">
        <f>SUM(D38:DS38)</f>
        <v/>
      </c>
      <c r="DY38">
        <f>IF(B38="",0,IF(COUNTIF('割り当て'!$C$6:$L$17,B38)=1,SUMPRODUCT(('割り当て'!$C$6:$L$17=B38)*((COLUMN('割り当て'!$C$6:$L$17)-3)*12+ROW('割り当て'!$C$6:$L$17)-5)),0))</f>
        <v/>
      </c>
    </row>
    <row r="39">
      <c r="A39" t="n">
        <v>30</v>
      </c>
      <c r="B39">
        <f>'名簿'!E34</f>
        <v/>
      </c>
      <c r="C39">
        <f>IF(AND(B39&lt;&gt;"",OR('名簿'!F34="入力済み",'名簿'!F34="×なし"),DY39=0,COUNTIF('割り当て'!$C$6:$L$17,B39)=0),1,0)</f>
        <v/>
      </c>
      <c r="D39">
        <f>IF(D$4=1,IF(INDEX('×入力'!$C$1:$L$700,441+D$3,D$2)&lt;&gt;"",1,0),0)</f>
        <v/>
      </c>
      <c r="E39">
        <f>IF(E$4=1,IF(INDEX('×入力'!$C$1:$L$700,441+E$3,E$2)&lt;&gt;"",1,0),0)</f>
        <v/>
      </c>
      <c r="F39">
        <f>IF(F$4=1,IF(INDEX('×入力'!$C$1:$L$700,441+F$3,F$2)&lt;&gt;"",1,0),0)</f>
        <v/>
      </c>
      <c r="G39">
        <f>IF(G$4=1,IF(INDEX('×入力'!$C$1:$L$700,441+G$3,G$2)&lt;&gt;"",1,0),0)</f>
        <v/>
      </c>
      <c r="H39">
        <f>IF(H$4=1,IF(INDEX('×入力'!$C$1:$L$700,441+H$3,H$2)&lt;&gt;"",1,0),0)</f>
        <v/>
      </c>
      <c r="I39">
        <f>IF(I$4=1,IF(INDEX('×入力'!$C$1:$L$700,441+I$3,I$2)&lt;&gt;"",1,0),0)</f>
        <v/>
      </c>
      <c r="J39">
        <f>IF(J$4=1,IF(INDEX('×入力'!$C$1:$L$700,441+J$3,J$2)&lt;&gt;"",1,0),0)</f>
        <v/>
      </c>
      <c r="K39">
        <f>IF(K$4=1,IF(INDEX('×入力'!$C$1:$L$700,441+K$3,K$2)&lt;&gt;"",1,0),0)</f>
        <v/>
      </c>
      <c r="L39">
        <f>IF(L$4=1,IF(INDEX('×入力'!$C$1:$L$700,441+L$3,L$2)&lt;&gt;"",1,0),0)</f>
        <v/>
      </c>
      <c r="M39">
        <f>IF(M$4=1,IF(INDEX('×入力'!$C$1:$L$700,441+M$3,M$2)&lt;&gt;"",1,0),0)</f>
        <v/>
      </c>
      <c r="N39">
        <f>IF(N$4=1,IF(INDEX('×入力'!$C$1:$L$700,441+N$3,N$2)&lt;&gt;"",1,0),0)</f>
        <v/>
      </c>
      <c r="O39">
        <f>IF(O$4=1,IF(INDEX('×入力'!$C$1:$L$700,441+O$3,O$2)&lt;&gt;"",1,0),0)</f>
        <v/>
      </c>
      <c r="P39">
        <f>IF(P$4=1,IF(INDEX('×入力'!$C$1:$L$700,441+P$3,P$2)&lt;&gt;"",1,0),0)</f>
        <v/>
      </c>
      <c r="Q39">
        <f>IF(Q$4=1,IF(INDEX('×入力'!$C$1:$L$700,441+Q$3,Q$2)&lt;&gt;"",1,0),0)</f>
        <v/>
      </c>
      <c r="R39">
        <f>IF(R$4=1,IF(INDEX('×入力'!$C$1:$L$700,441+R$3,R$2)&lt;&gt;"",1,0),0)</f>
        <v/>
      </c>
      <c r="S39">
        <f>IF(S$4=1,IF(INDEX('×入力'!$C$1:$L$700,441+S$3,S$2)&lt;&gt;"",1,0),0)</f>
        <v/>
      </c>
      <c r="T39">
        <f>IF(T$4=1,IF(INDEX('×入力'!$C$1:$L$700,441+T$3,T$2)&lt;&gt;"",1,0),0)</f>
        <v/>
      </c>
      <c r="U39">
        <f>IF(U$4=1,IF(INDEX('×入力'!$C$1:$L$700,441+U$3,U$2)&lt;&gt;"",1,0),0)</f>
        <v/>
      </c>
      <c r="V39">
        <f>IF(V$4=1,IF(INDEX('×入力'!$C$1:$L$700,441+V$3,V$2)&lt;&gt;"",1,0),0)</f>
        <v/>
      </c>
      <c r="W39">
        <f>IF(W$4=1,IF(INDEX('×入力'!$C$1:$L$700,441+W$3,W$2)&lt;&gt;"",1,0),0)</f>
        <v/>
      </c>
      <c r="X39">
        <f>IF(X$4=1,IF(INDEX('×入力'!$C$1:$L$700,441+X$3,X$2)&lt;&gt;"",1,0),0)</f>
        <v/>
      </c>
      <c r="Y39">
        <f>IF(Y$4=1,IF(INDEX('×入力'!$C$1:$L$700,441+Y$3,Y$2)&lt;&gt;"",1,0),0)</f>
        <v/>
      </c>
      <c r="Z39">
        <f>IF(Z$4=1,IF(INDEX('×入力'!$C$1:$L$700,441+Z$3,Z$2)&lt;&gt;"",1,0),0)</f>
        <v/>
      </c>
      <c r="AA39">
        <f>IF(AA$4=1,IF(INDEX('×入力'!$C$1:$L$700,441+AA$3,AA$2)&lt;&gt;"",1,0),0)</f>
        <v/>
      </c>
      <c r="AB39">
        <f>IF(AB$4=1,IF(INDEX('×入力'!$C$1:$L$700,441+AB$3,AB$2)&lt;&gt;"",1,0),0)</f>
        <v/>
      </c>
      <c r="AC39">
        <f>IF(AC$4=1,IF(INDEX('×入力'!$C$1:$L$700,441+AC$3,AC$2)&lt;&gt;"",1,0),0)</f>
        <v/>
      </c>
      <c r="AD39">
        <f>IF(AD$4=1,IF(INDEX('×入力'!$C$1:$L$700,441+AD$3,AD$2)&lt;&gt;"",1,0),0)</f>
        <v/>
      </c>
      <c r="AE39">
        <f>IF(AE$4=1,IF(INDEX('×入力'!$C$1:$L$700,441+AE$3,AE$2)&lt;&gt;"",1,0),0)</f>
        <v/>
      </c>
      <c r="AF39">
        <f>IF(AF$4=1,IF(INDEX('×入力'!$C$1:$L$700,441+AF$3,AF$2)&lt;&gt;"",1,0),0)</f>
        <v/>
      </c>
      <c r="AG39">
        <f>IF(AG$4=1,IF(INDEX('×入力'!$C$1:$L$700,441+AG$3,AG$2)&lt;&gt;"",1,0),0)</f>
        <v/>
      </c>
      <c r="AH39">
        <f>IF(AH$4=1,IF(INDEX('×入力'!$C$1:$L$700,441+AH$3,AH$2)&lt;&gt;"",1,0),0)</f>
        <v/>
      </c>
      <c r="AI39">
        <f>IF(AI$4=1,IF(INDEX('×入力'!$C$1:$L$700,441+AI$3,AI$2)&lt;&gt;"",1,0),0)</f>
        <v/>
      </c>
      <c r="AJ39">
        <f>IF(AJ$4=1,IF(INDEX('×入力'!$C$1:$L$700,441+AJ$3,AJ$2)&lt;&gt;"",1,0),0)</f>
        <v/>
      </c>
      <c r="AK39">
        <f>IF(AK$4=1,IF(INDEX('×入力'!$C$1:$L$700,441+AK$3,AK$2)&lt;&gt;"",1,0),0)</f>
        <v/>
      </c>
      <c r="AL39">
        <f>IF(AL$4=1,IF(INDEX('×入力'!$C$1:$L$700,441+AL$3,AL$2)&lt;&gt;"",1,0),0)</f>
        <v/>
      </c>
      <c r="AM39">
        <f>IF(AM$4=1,IF(INDEX('×入力'!$C$1:$L$700,441+AM$3,AM$2)&lt;&gt;"",1,0),0)</f>
        <v/>
      </c>
      <c r="AN39">
        <f>IF(AN$4=1,IF(INDEX('×入力'!$C$1:$L$700,441+AN$3,AN$2)&lt;&gt;"",1,0),0)</f>
        <v/>
      </c>
      <c r="AO39">
        <f>IF(AO$4=1,IF(INDEX('×入力'!$C$1:$L$700,441+AO$3,AO$2)&lt;&gt;"",1,0),0)</f>
        <v/>
      </c>
      <c r="AP39">
        <f>IF(AP$4=1,IF(INDEX('×入力'!$C$1:$L$700,441+AP$3,AP$2)&lt;&gt;"",1,0),0)</f>
        <v/>
      </c>
      <c r="AQ39">
        <f>IF(AQ$4=1,IF(INDEX('×入力'!$C$1:$L$700,441+AQ$3,AQ$2)&lt;&gt;"",1,0),0)</f>
        <v/>
      </c>
      <c r="AR39">
        <f>IF(AR$4=1,IF(INDEX('×入力'!$C$1:$L$700,441+AR$3,AR$2)&lt;&gt;"",1,0),0)</f>
        <v/>
      </c>
      <c r="AS39">
        <f>IF(AS$4=1,IF(INDEX('×入力'!$C$1:$L$700,441+AS$3,AS$2)&lt;&gt;"",1,0),0)</f>
        <v/>
      </c>
      <c r="AT39">
        <f>IF(AT$4=1,IF(INDEX('×入力'!$C$1:$L$700,441+AT$3,AT$2)&lt;&gt;"",1,0),0)</f>
        <v/>
      </c>
      <c r="AU39">
        <f>IF(AU$4=1,IF(INDEX('×入力'!$C$1:$L$700,441+AU$3,AU$2)&lt;&gt;"",1,0),0)</f>
        <v/>
      </c>
      <c r="AV39">
        <f>IF(AV$4=1,IF(INDEX('×入力'!$C$1:$L$700,441+AV$3,AV$2)&lt;&gt;"",1,0),0)</f>
        <v/>
      </c>
      <c r="AW39">
        <f>IF(AW$4=1,IF(INDEX('×入力'!$C$1:$L$700,441+AW$3,AW$2)&lt;&gt;"",1,0),0)</f>
        <v/>
      </c>
      <c r="AX39">
        <f>IF(AX$4=1,IF(INDEX('×入力'!$C$1:$L$700,441+AX$3,AX$2)&lt;&gt;"",1,0),0)</f>
        <v/>
      </c>
      <c r="AY39">
        <f>IF(AY$4=1,IF(INDEX('×入力'!$C$1:$L$700,441+AY$3,AY$2)&lt;&gt;"",1,0),0)</f>
        <v/>
      </c>
      <c r="AZ39">
        <f>IF(AZ$4=1,IF(INDEX('×入力'!$C$1:$L$700,441+AZ$3,AZ$2)&lt;&gt;"",1,0),0)</f>
        <v/>
      </c>
      <c r="BA39">
        <f>IF(BA$4=1,IF(INDEX('×入力'!$C$1:$L$700,441+BA$3,BA$2)&lt;&gt;"",1,0),0)</f>
        <v/>
      </c>
      <c r="BB39">
        <f>IF(BB$4=1,IF(INDEX('×入力'!$C$1:$L$700,441+BB$3,BB$2)&lt;&gt;"",1,0),0)</f>
        <v/>
      </c>
      <c r="BC39">
        <f>IF(BC$4=1,IF(INDEX('×入力'!$C$1:$L$700,441+BC$3,BC$2)&lt;&gt;"",1,0),0)</f>
        <v/>
      </c>
      <c r="BD39">
        <f>IF(BD$4=1,IF(INDEX('×入力'!$C$1:$L$700,441+BD$3,BD$2)&lt;&gt;"",1,0),0)</f>
        <v/>
      </c>
      <c r="BE39">
        <f>IF(BE$4=1,IF(INDEX('×入力'!$C$1:$L$700,441+BE$3,BE$2)&lt;&gt;"",1,0),0)</f>
        <v/>
      </c>
      <c r="BF39">
        <f>IF(BF$4=1,IF(INDEX('×入力'!$C$1:$L$700,441+BF$3,BF$2)&lt;&gt;"",1,0),0)</f>
        <v/>
      </c>
      <c r="BG39">
        <f>IF(BG$4=1,IF(INDEX('×入力'!$C$1:$L$700,441+BG$3,BG$2)&lt;&gt;"",1,0),0)</f>
        <v/>
      </c>
      <c r="BH39">
        <f>IF(BH$4=1,IF(INDEX('×入力'!$C$1:$L$700,441+BH$3,BH$2)&lt;&gt;"",1,0),0)</f>
        <v/>
      </c>
      <c r="BI39">
        <f>IF(BI$4=1,IF(INDEX('×入力'!$C$1:$L$700,441+BI$3,BI$2)&lt;&gt;"",1,0),0)</f>
        <v/>
      </c>
      <c r="BJ39">
        <f>IF(BJ$4=1,IF(INDEX('×入力'!$C$1:$L$700,441+BJ$3,BJ$2)&lt;&gt;"",1,0),0)</f>
        <v/>
      </c>
      <c r="BK39">
        <f>IF(BK$4=1,IF(INDEX('×入力'!$C$1:$L$700,441+BK$3,BK$2)&lt;&gt;"",1,0),0)</f>
        <v/>
      </c>
      <c r="BL39">
        <f>IF(BL$4=1,IF(INDEX('×入力'!$C$1:$L$700,441+BL$3,BL$2)&lt;&gt;"",1,0),0)</f>
        <v/>
      </c>
      <c r="BM39">
        <f>IF(BM$4=1,IF(INDEX('×入力'!$C$1:$L$700,441+BM$3,BM$2)&lt;&gt;"",1,0),0)</f>
        <v/>
      </c>
      <c r="BN39">
        <f>IF(BN$4=1,IF(INDEX('×入力'!$C$1:$L$700,441+BN$3,BN$2)&lt;&gt;"",1,0),0)</f>
        <v/>
      </c>
      <c r="BO39">
        <f>IF(BO$4=1,IF(INDEX('×入力'!$C$1:$L$700,441+BO$3,BO$2)&lt;&gt;"",1,0),0)</f>
        <v/>
      </c>
      <c r="BP39">
        <f>IF(BP$4=1,IF(INDEX('×入力'!$C$1:$L$700,441+BP$3,BP$2)&lt;&gt;"",1,0),0)</f>
        <v/>
      </c>
      <c r="BQ39">
        <f>IF(BQ$4=1,IF(INDEX('×入力'!$C$1:$L$700,441+BQ$3,BQ$2)&lt;&gt;"",1,0),0)</f>
        <v/>
      </c>
      <c r="BR39">
        <f>IF(BR$4=1,IF(INDEX('×入力'!$C$1:$L$700,441+BR$3,BR$2)&lt;&gt;"",1,0),0)</f>
        <v/>
      </c>
      <c r="BS39">
        <f>IF(BS$4=1,IF(INDEX('×入力'!$C$1:$L$700,441+BS$3,BS$2)&lt;&gt;"",1,0),0)</f>
        <v/>
      </c>
      <c r="BT39">
        <f>IF(BT$4=1,IF(INDEX('×入力'!$C$1:$L$700,441+BT$3,BT$2)&lt;&gt;"",1,0),0)</f>
        <v/>
      </c>
      <c r="BU39">
        <f>IF(BU$4=1,IF(INDEX('×入力'!$C$1:$L$700,441+BU$3,BU$2)&lt;&gt;"",1,0),0)</f>
        <v/>
      </c>
      <c r="BV39">
        <f>IF(BV$4=1,IF(INDEX('×入力'!$C$1:$L$700,441+BV$3,BV$2)&lt;&gt;"",1,0),0)</f>
        <v/>
      </c>
      <c r="BW39">
        <f>IF(BW$4=1,IF(INDEX('×入力'!$C$1:$L$700,441+BW$3,BW$2)&lt;&gt;"",1,0),0)</f>
        <v/>
      </c>
      <c r="BX39">
        <f>IF(BX$4=1,IF(INDEX('×入力'!$C$1:$L$700,441+BX$3,BX$2)&lt;&gt;"",1,0),0)</f>
        <v/>
      </c>
      <c r="BY39">
        <f>IF(BY$4=1,IF(INDEX('×入力'!$C$1:$L$700,441+BY$3,BY$2)&lt;&gt;"",1,0),0)</f>
        <v/>
      </c>
      <c r="BZ39">
        <f>IF(BZ$4=1,IF(INDEX('×入力'!$C$1:$L$700,441+BZ$3,BZ$2)&lt;&gt;"",1,0),0)</f>
        <v/>
      </c>
      <c r="CA39">
        <f>IF(CA$4=1,IF(INDEX('×入力'!$C$1:$L$700,441+CA$3,CA$2)&lt;&gt;"",1,0),0)</f>
        <v/>
      </c>
      <c r="CB39">
        <f>IF(CB$4=1,IF(INDEX('×入力'!$C$1:$L$700,441+CB$3,CB$2)&lt;&gt;"",1,0),0)</f>
        <v/>
      </c>
      <c r="CC39">
        <f>IF(CC$4=1,IF(INDEX('×入力'!$C$1:$L$700,441+CC$3,CC$2)&lt;&gt;"",1,0),0)</f>
        <v/>
      </c>
      <c r="CD39">
        <f>IF(CD$4=1,IF(INDEX('×入力'!$C$1:$L$700,441+CD$3,CD$2)&lt;&gt;"",1,0),0)</f>
        <v/>
      </c>
      <c r="CE39">
        <f>IF(CE$4=1,IF(INDEX('×入力'!$C$1:$L$700,441+CE$3,CE$2)&lt;&gt;"",1,0),0)</f>
        <v/>
      </c>
      <c r="CF39">
        <f>IF(CF$4=1,IF(INDEX('×入力'!$C$1:$L$700,441+CF$3,CF$2)&lt;&gt;"",1,0),0)</f>
        <v/>
      </c>
      <c r="CG39">
        <f>IF(CG$4=1,IF(INDEX('×入力'!$C$1:$L$700,441+CG$3,CG$2)&lt;&gt;"",1,0),0)</f>
        <v/>
      </c>
      <c r="CH39">
        <f>IF(CH$4=1,IF(INDEX('×入力'!$C$1:$L$700,441+CH$3,CH$2)&lt;&gt;"",1,0),0)</f>
        <v/>
      </c>
      <c r="CI39">
        <f>IF(CI$4=1,IF(INDEX('×入力'!$C$1:$L$700,441+CI$3,CI$2)&lt;&gt;"",1,0),0)</f>
        <v/>
      </c>
      <c r="CJ39">
        <f>IF(CJ$4=1,IF(INDEX('×入力'!$C$1:$L$700,441+CJ$3,CJ$2)&lt;&gt;"",1,0),0)</f>
        <v/>
      </c>
      <c r="CK39">
        <f>IF(CK$4=1,IF(INDEX('×入力'!$C$1:$L$700,441+CK$3,CK$2)&lt;&gt;"",1,0),0)</f>
        <v/>
      </c>
      <c r="CL39">
        <f>IF(CL$4=1,IF(INDEX('×入力'!$C$1:$L$700,441+CL$3,CL$2)&lt;&gt;"",1,0),0)</f>
        <v/>
      </c>
      <c r="CM39">
        <f>IF(CM$4=1,IF(INDEX('×入力'!$C$1:$L$700,441+CM$3,CM$2)&lt;&gt;"",1,0),0)</f>
        <v/>
      </c>
      <c r="CN39">
        <f>IF(CN$4=1,IF(INDEX('×入力'!$C$1:$L$700,441+CN$3,CN$2)&lt;&gt;"",1,0),0)</f>
        <v/>
      </c>
      <c r="CO39">
        <f>IF(CO$4=1,IF(INDEX('×入力'!$C$1:$L$700,441+CO$3,CO$2)&lt;&gt;"",1,0),0)</f>
        <v/>
      </c>
      <c r="CP39">
        <f>IF(CP$4=1,IF(INDEX('×入力'!$C$1:$L$700,441+CP$3,CP$2)&lt;&gt;"",1,0),0)</f>
        <v/>
      </c>
      <c r="CQ39">
        <f>IF(CQ$4=1,IF(INDEX('×入力'!$C$1:$L$700,441+CQ$3,CQ$2)&lt;&gt;"",1,0),0)</f>
        <v/>
      </c>
      <c r="CR39">
        <f>IF(CR$4=1,IF(INDEX('×入力'!$C$1:$L$700,441+CR$3,CR$2)&lt;&gt;"",1,0),0)</f>
        <v/>
      </c>
      <c r="CS39">
        <f>IF(CS$4=1,IF(INDEX('×入力'!$C$1:$L$700,441+CS$3,CS$2)&lt;&gt;"",1,0),0)</f>
        <v/>
      </c>
      <c r="CT39">
        <f>IF(CT$4=1,IF(INDEX('×入力'!$C$1:$L$700,441+CT$3,CT$2)&lt;&gt;"",1,0),0)</f>
        <v/>
      </c>
      <c r="CU39">
        <f>IF(CU$4=1,IF(INDEX('×入力'!$C$1:$L$700,441+CU$3,CU$2)&lt;&gt;"",1,0),0)</f>
        <v/>
      </c>
      <c r="CV39">
        <f>IF(CV$4=1,IF(INDEX('×入力'!$C$1:$L$700,441+CV$3,CV$2)&lt;&gt;"",1,0),0)</f>
        <v/>
      </c>
      <c r="CW39">
        <f>IF(CW$4=1,IF(INDEX('×入力'!$C$1:$L$700,441+CW$3,CW$2)&lt;&gt;"",1,0),0)</f>
        <v/>
      </c>
      <c r="CX39">
        <f>IF(CX$4=1,IF(INDEX('×入力'!$C$1:$L$700,441+CX$3,CX$2)&lt;&gt;"",1,0),0)</f>
        <v/>
      </c>
      <c r="CY39">
        <f>IF(CY$4=1,IF(INDEX('×入力'!$C$1:$L$700,441+CY$3,CY$2)&lt;&gt;"",1,0),0)</f>
        <v/>
      </c>
      <c r="CZ39">
        <f>IF(CZ$4=1,IF(INDEX('×入力'!$C$1:$L$700,441+CZ$3,CZ$2)&lt;&gt;"",1,0),0)</f>
        <v/>
      </c>
      <c r="DA39">
        <f>IF(DA$4=1,IF(INDEX('×入力'!$C$1:$L$700,441+DA$3,DA$2)&lt;&gt;"",1,0),0)</f>
        <v/>
      </c>
      <c r="DB39">
        <f>IF(DB$4=1,IF(INDEX('×入力'!$C$1:$L$700,441+DB$3,DB$2)&lt;&gt;"",1,0),0)</f>
        <v/>
      </c>
      <c r="DC39">
        <f>IF(DC$4=1,IF(INDEX('×入力'!$C$1:$L$700,441+DC$3,DC$2)&lt;&gt;"",1,0),0)</f>
        <v/>
      </c>
      <c r="DD39">
        <f>IF(DD$4=1,IF(INDEX('×入力'!$C$1:$L$700,441+DD$3,DD$2)&lt;&gt;"",1,0),0)</f>
        <v/>
      </c>
      <c r="DE39">
        <f>IF(DE$4=1,IF(INDEX('×入力'!$C$1:$L$700,441+DE$3,DE$2)&lt;&gt;"",1,0),0)</f>
        <v/>
      </c>
      <c r="DF39">
        <f>IF(DF$4=1,IF(INDEX('×入力'!$C$1:$L$700,441+DF$3,DF$2)&lt;&gt;"",1,0),0)</f>
        <v/>
      </c>
      <c r="DG39">
        <f>IF(DG$4=1,IF(INDEX('×入力'!$C$1:$L$700,441+DG$3,DG$2)&lt;&gt;"",1,0),0)</f>
        <v/>
      </c>
      <c r="DH39">
        <f>IF(DH$4=1,IF(INDEX('×入力'!$C$1:$L$700,441+DH$3,DH$2)&lt;&gt;"",1,0),0)</f>
        <v/>
      </c>
      <c r="DI39">
        <f>IF(DI$4=1,IF(INDEX('×入力'!$C$1:$L$700,441+DI$3,DI$2)&lt;&gt;"",1,0),0)</f>
        <v/>
      </c>
      <c r="DJ39">
        <f>IF(DJ$4=1,IF(INDEX('×入力'!$C$1:$L$700,441+DJ$3,DJ$2)&lt;&gt;"",1,0),0)</f>
        <v/>
      </c>
      <c r="DK39">
        <f>IF(DK$4=1,IF(INDEX('×入力'!$C$1:$L$700,441+DK$3,DK$2)&lt;&gt;"",1,0),0)</f>
        <v/>
      </c>
      <c r="DL39">
        <f>IF(DL$4=1,IF(INDEX('×入力'!$C$1:$L$700,441+DL$3,DL$2)&lt;&gt;"",1,0),0)</f>
        <v/>
      </c>
      <c r="DM39">
        <f>IF(DM$4=1,IF(INDEX('×入力'!$C$1:$L$700,441+DM$3,DM$2)&lt;&gt;"",1,0),0)</f>
        <v/>
      </c>
      <c r="DN39">
        <f>IF(DN$4=1,IF(INDEX('×入力'!$C$1:$L$700,441+DN$3,DN$2)&lt;&gt;"",1,0),0)</f>
        <v/>
      </c>
      <c r="DO39">
        <f>IF(DO$4=1,IF(INDEX('×入力'!$C$1:$L$700,441+DO$3,DO$2)&lt;&gt;"",1,0),0)</f>
        <v/>
      </c>
      <c r="DP39">
        <f>IF(DP$4=1,IF(INDEX('×入力'!$C$1:$L$700,441+DP$3,DP$2)&lt;&gt;"",1,0),0)</f>
        <v/>
      </c>
      <c r="DQ39">
        <f>IF(DQ$4=1,IF(INDEX('×入力'!$C$1:$L$700,441+DQ$3,DQ$2)&lt;&gt;"",1,0),0)</f>
        <v/>
      </c>
      <c r="DR39">
        <f>IF(DR$4=1,IF(INDEX('×入力'!$C$1:$L$700,441+DR$3,DR$2)&lt;&gt;"",1,0),0)</f>
        <v/>
      </c>
      <c r="DS39">
        <f>IF(DS$4=1,IF(INDEX('×入力'!$C$1:$L$700,441+DS$3,DS$2)&lt;&gt;"",1,0),0)</f>
        <v/>
      </c>
      <c r="DU39">
        <f>IFERROR(INDEX('計算B'!$C$3:$C$47,MATCH(A39,'計算B'!$B$3:$B$47,0)),0)</f>
        <v/>
      </c>
      <c r="DV39">
        <f>IF(AND(C39=1,DU39=0),1,0)</f>
        <v/>
      </c>
      <c r="DW39">
        <f>SUMPRODUCT(D89:DS89*(1-$D$7:$DS$7))</f>
        <v/>
      </c>
      <c r="DX39">
        <f>SUM(D39:DS39)</f>
        <v/>
      </c>
      <c r="DY39">
        <f>IF(B39="",0,IF(COUNTIF('割り当て'!$C$6:$L$17,B39)=1,SUMPRODUCT(('割り当て'!$C$6:$L$17=B39)*((COLUMN('割り当て'!$C$6:$L$17)-3)*12+ROW('割り当て'!$C$6:$L$17)-5)),0))</f>
        <v/>
      </c>
    </row>
    <row r="40">
      <c r="A40" t="n">
        <v>31</v>
      </c>
      <c r="B40">
        <f>'名簿'!E35</f>
        <v/>
      </c>
      <c r="C40">
        <f>IF(AND(B40&lt;&gt;"",OR('名簿'!F35="入力済み",'名簿'!F35="×なし"),DY40=0,COUNTIF('割り当て'!$C$6:$L$17,B40)=0),1,0)</f>
        <v/>
      </c>
      <c r="D40">
        <f>IF(D$4=1,IF(INDEX('×入力'!$C$1:$L$700,456+D$3,D$2)&lt;&gt;"",1,0),0)</f>
        <v/>
      </c>
      <c r="E40">
        <f>IF(E$4=1,IF(INDEX('×入力'!$C$1:$L$700,456+E$3,E$2)&lt;&gt;"",1,0),0)</f>
        <v/>
      </c>
      <c r="F40">
        <f>IF(F$4=1,IF(INDEX('×入力'!$C$1:$L$700,456+F$3,F$2)&lt;&gt;"",1,0),0)</f>
        <v/>
      </c>
      <c r="G40">
        <f>IF(G$4=1,IF(INDEX('×入力'!$C$1:$L$700,456+G$3,G$2)&lt;&gt;"",1,0),0)</f>
        <v/>
      </c>
      <c r="H40">
        <f>IF(H$4=1,IF(INDEX('×入力'!$C$1:$L$700,456+H$3,H$2)&lt;&gt;"",1,0),0)</f>
        <v/>
      </c>
      <c r="I40">
        <f>IF(I$4=1,IF(INDEX('×入力'!$C$1:$L$700,456+I$3,I$2)&lt;&gt;"",1,0),0)</f>
        <v/>
      </c>
      <c r="J40">
        <f>IF(J$4=1,IF(INDEX('×入力'!$C$1:$L$700,456+J$3,J$2)&lt;&gt;"",1,0),0)</f>
        <v/>
      </c>
      <c r="K40">
        <f>IF(K$4=1,IF(INDEX('×入力'!$C$1:$L$700,456+K$3,K$2)&lt;&gt;"",1,0),0)</f>
        <v/>
      </c>
      <c r="L40">
        <f>IF(L$4=1,IF(INDEX('×入力'!$C$1:$L$700,456+L$3,L$2)&lt;&gt;"",1,0),0)</f>
        <v/>
      </c>
      <c r="M40">
        <f>IF(M$4=1,IF(INDEX('×入力'!$C$1:$L$700,456+M$3,M$2)&lt;&gt;"",1,0),0)</f>
        <v/>
      </c>
      <c r="N40">
        <f>IF(N$4=1,IF(INDEX('×入力'!$C$1:$L$700,456+N$3,N$2)&lt;&gt;"",1,0),0)</f>
        <v/>
      </c>
      <c r="O40">
        <f>IF(O$4=1,IF(INDEX('×入力'!$C$1:$L$700,456+O$3,O$2)&lt;&gt;"",1,0),0)</f>
        <v/>
      </c>
      <c r="P40">
        <f>IF(P$4=1,IF(INDEX('×入力'!$C$1:$L$700,456+P$3,P$2)&lt;&gt;"",1,0),0)</f>
        <v/>
      </c>
      <c r="Q40">
        <f>IF(Q$4=1,IF(INDEX('×入力'!$C$1:$L$700,456+Q$3,Q$2)&lt;&gt;"",1,0),0)</f>
        <v/>
      </c>
      <c r="R40">
        <f>IF(R$4=1,IF(INDEX('×入力'!$C$1:$L$700,456+R$3,R$2)&lt;&gt;"",1,0),0)</f>
        <v/>
      </c>
      <c r="S40">
        <f>IF(S$4=1,IF(INDEX('×入力'!$C$1:$L$700,456+S$3,S$2)&lt;&gt;"",1,0),0)</f>
        <v/>
      </c>
      <c r="T40">
        <f>IF(T$4=1,IF(INDEX('×入力'!$C$1:$L$700,456+T$3,T$2)&lt;&gt;"",1,0),0)</f>
        <v/>
      </c>
      <c r="U40">
        <f>IF(U$4=1,IF(INDEX('×入力'!$C$1:$L$700,456+U$3,U$2)&lt;&gt;"",1,0),0)</f>
        <v/>
      </c>
      <c r="V40">
        <f>IF(V$4=1,IF(INDEX('×入力'!$C$1:$L$700,456+V$3,V$2)&lt;&gt;"",1,0),0)</f>
        <v/>
      </c>
      <c r="W40">
        <f>IF(W$4=1,IF(INDEX('×入力'!$C$1:$L$700,456+W$3,W$2)&lt;&gt;"",1,0),0)</f>
        <v/>
      </c>
      <c r="X40">
        <f>IF(X$4=1,IF(INDEX('×入力'!$C$1:$L$700,456+X$3,X$2)&lt;&gt;"",1,0),0)</f>
        <v/>
      </c>
      <c r="Y40">
        <f>IF(Y$4=1,IF(INDEX('×入力'!$C$1:$L$700,456+Y$3,Y$2)&lt;&gt;"",1,0),0)</f>
        <v/>
      </c>
      <c r="Z40">
        <f>IF(Z$4=1,IF(INDEX('×入力'!$C$1:$L$700,456+Z$3,Z$2)&lt;&gt;"",1,0),0)</f>
        <v/>
      </c>
      <c r="AA40">
        <f>IF(AA$4=1,IF(INDEX('×入力'!$C$1:$L$700,456+AA$3,AA$2)&lt;&gt;"",1,0),0)</f>
        <v/>
      </c>
      <c r="AB40">
        <f>IF(AB$4=1,IF(INDEX('×入力'!$C$1:$L$700,456+AB$3,AB$2)&lt;&gt;"",1,0),0)</f>
        <v/>
      </c>
      <c r="AC40">
        <f>IF(AC$4=1,IF(INDEX('×入力'!$C$1:$L$700,456+AC$3,AC$2)&lt;&gt;"",1,0),0)</f>
        <v/>
      </c>
      <c r="AD40">
        <f>IF(AD$4=1,IF(INDEX('×入力'!$C$1:$L$700,456+AD$3,AD$2)&lt;&gt;"",1,0),0)</f>
        <v/>
      </c>
      <c r="AE40">
        <f>IF(AE$4=1,IF(INDEX('×入力'!$C$1:$L$700,456+AE$3,AE$2)&lt;&gt;"",1,0),0)</f>
        <v/>
      </c>
      <c r="AF40">
        <f>IF(AF$4=1,IF(INDEX('×入力'!$C$1:$L$700,456+AF$3,AF$2)&lt;&gt;"",1,0),0)</f>
        <v/>
      </c>
      <c r="AG40">
        <f>IF(AG$4=1,IF(INDEX('×入力'!$C$1:$L$700,456+AG$3,AG$2)&lt;&gt;"",1,0),0)</f>
        <v/>
      </c>
      <c r="AH40">
        <f>IF(AH$4=1,IF(INDEX('×入力'!$C$1:$L$700,456+AH$3,AH$2)&lt;&gt;"",1,0),0)</f>
        <v/>
      </c>
      <c r="AI40">
        <f>IF(AI$4=1,IF(INDEX('×入力'!$C$1:$L$700,456+AI$3,AI$2)&lt;&gt;"",1,0),0)</f>
        <v/>
      </c>
      <c r="AJ40">
        <f>IF(AJ$4=1,IF(INDEX('×入力'!$C$1:$L$700,456+AJ$3,AJ$2)&lt;&gt;"",1,0),0)</f>
        <v/>
      </c>
      <c r="AK40">
        <f>IF(AK$4=1,IF(INDEX('×入力'!$C$1:$L$700,456+AK$3,AK$2)&lt;&gt;"",1,0),0)</f>
        <v/>
      </c>
      <c r="AL40">
        <f>IF(AL$4=1,IF(INDEX('×入力'!$C$1:$L$700,456+AL$3,AL$2)&lt;&gt;"",1,0),0)</f>
        <v/>
      </c>
      <c r="AM40">
        <f>IF(AM$4=1,IF(INDEX('×入力'!$C$1:$L$700,456+AM$3,AM$2)&lt;&gt;"",1,0),0)</f>
        <v/>
      </c>
      <c r="AN40">
        <f>IF(AN$4=1,IF(INDEX('×入力'!$C$1:$L$700,456+AN$3,AN$2)&lt;&gt;"",1,0),0)</f>
        <v/>
      </c>
      <c r="AO40">
        <f>IF(AO$4=1,IF(INDEX('×入力'!$C$1:$L$700,456+AO$3,AO$2)&lt;&gt;"",1,0),0)</f>
        <v/>
      </c>
      <c r="AP40">
        <f>IF(AP$4=1,IF(INDEX('×入力'!$C$1:$L$700,456+AP$3,AP$2)&lt;&gt;"",1,0),0)</f>
        <v/>
      </c>
      <c r="AQ40">
        <f>IF(AQ$4=1,IF(INDEX('×入力'!$C$1:$L$700,456+AQ$3,AQ$2)&lt;&gt;"",1,0),0)</f>
        <v/>
      </c>
      <c r="AR40">
        <f>IF(AR$4=1,IF(INDEX('×入力'!$C$1:$L$700,456+AR$3,AR$2)&lt;&gt;"",1,0),0)</f>
        <v/>
      </c>
      <c r="AS40">
        <f>IF(AS$4=1,IF(INDEX('×入力'!$C$1:$L$700,456+AS$3,AS$2)&lt;&gt;"",1,0),0)</f>
        <v/>
      </c>
      <c r="AT40">
        <f>IF(AT$4=1,IF(INDEX('×入力'!$C$1:$L$700,456+AT$3,AT$2)&lt;&gt;"",1,0),0)</f>
        <v/>
      </c>
      <c r="AU40">
        <f>IF(AU$4=1,IF(INDEX('×入力'!$C$1:$L$700,456+AU$3,AU$2)&lt;&gt;"",1,0),0)</f>
        <v/>
      </c>
      <c r="AV40">
        <f>IF(AV$4=1,IF(INDEX('×入力'!$C$1:$L$700,456+AV$3,AV$2)&lt;&gt;"",1,0),0)</f>
        <v/>
      </c>
      <c r="AW40">
        <f>IF(AW$4=1,IF(INDEX('×入力'!$C$1:$L$700,456+AW$3,AW$2)&lt;&gt;"",1,0),0)</f>
        <v/>
      </c>
      <c r="AX40">
        <f>IF(AX$4=1,IF(INDEX('×入力'!$C$1:$L$700,456+AX$3,AX$2)&lt;&gt;"",1,0),0)</f>
        <v/>
      </c>
      <c r="AY40">
        <f>IF(AY$4=1,IF(INDEX('×入力'!$C$1:$L$700,456+AY$3,AY$2)&lt;&gt;"",1,0),0)</f>
        <v/>
      </c>
      <c r="AZ40">
        <f>IF(AZ$4=1,IF(INDEX('×入力'!$C$1:$L$700,456+AZ$3,AZ$2)&lt;&gt;"",1,0),0)</f>
        <v/>
      </c>
      <c r="BA40">
        <f>IF(BA$4=1,IF(INDEX('×入力'!$C$1:$L$700,456+BA$3,BA$2)&lt;&gt;"",1,0),0)</f>
        <v/>
      </c>
      <c r="BB40">
        <f>IF(BB$4=1,IF(INDEX('×入力'!$C$1:$L$700,456+BB$3,BB$2)&lt;&gt;"",1,0),0)</f>
        <v/>
      </c>
      <c r="BC40">
        <f>IF(BC$4=1,IF(INDEX('×入力'!$C$1:$L$700,456+BC$3,BC$2)&lt;&gt;"",1,0),0)</f>
        <v/>
      </c>
      <c r="BD40">
        <f>IF(BD$4=1,IF(INDEX('×入力'!$C$1:$L$700,456+BD$3,BD$2)&lt;&gt;"",1,0),0)</f>
        <v/>
      </c>
      <c r="BE40">
        <f>IF(BE$4=1,IF(INDEX('×入力'!$C$1:$L$700,456+BE$3,BE$2)&lt;&gt;"",1,0),0)</f>
        <v/>
      </c>
      <c r="BF40">
        <f>IF(BF$4=1,IF(INDEX('×入力'!$C$1:$L$700,456+BF$3,BF$2)&lt;&gt;"",1,0),0)</f>
        <v/>
      </c>
      <c r="BG40">
        <f>IF(BG$4=1,IF(INDEX('×入力'!$C$1:$L$700,456+BG$3,BG$2)&lt;&gt;"",1,0),0)</f>
        <v/>
      </c>
      <c r="BH40">
        <f>IF(BH$4=1,IF(INDEX('×入力'!$C$1:$L$700,456+BH$3,BH$2)&lt;&gt;"",1,0),0)</f>
        <v/>
      </c>
      <c r="BI40">
        <f>IF(BI$4=1,IF(INDEX('×入力'!$C$1:$L$700,456+BI$3,BI$2)&lt;&gt;"",1,0),0)</f>
        <v/>
      </c>
      <c r="BJ40">
        <f>IF(BJ$4=1,IF(INDEX('×入力'!$C$1:$L$700,456+BJ$3,BJ$2)&lt;&gt;"",1,0),0)</f>
        <v/>
      </c>
      <c r="BK40">
        <f>IF(BK$4=1,IF(INDEX('×入力'!$C$1:$L$700,456+BK$3,BK$2)&lt;&gt;"",1,0),0)</f>
        <v/>
      </c>
      <c r="BL40">
        <f>IF(BL$4=1,IF(INDEX('×入力'!$C$1:$L$700,456+BL$3,BL$2)&lt;&gt;"",1,0),0)</f>
        <v/>
      </c>
      <c r="BM40">
        <f>IF(BM$4=1,IF(INDEX('×入力'!$C$1:$L$700,456+BM$3,BM$2)&lt;&gt;"",1,0),0)</f>
        <v/>
      </c>
      <c r="BN40">
        <f>IF(BN$4=1,IF(INDEX('×入力'!$C$1:$L$700,456+BN$3,BN$2)&lt;&gt;"",1,0),0)</f>
        <v/>
      </c>
      <c r="BO40">
        <f>IF(BO$4=1,IF(INDEX('×入力'!$C$1:$L$700,456+BO$3,BO$2)&lt;&gt;"",1,0),0)</f>
        <v/>
      </c>
      <c r="BP40">
        <f>IF(BP$4=1,IF(INDEX('×入力'!$C$1:$L$700,456+BP$3,BP$2)&lt;&gt;"",1,0),0)</f>
        <v/>
      </c>
      <c r="BQ40">
        <f>IF(BQ$4=1,IF(INDEX('×入力'!$C$1:$L$700,456+BQ$3,BQ$2)&lt;&gt;"",1,0),0)</f>
        <v/>
      </c>
      <c r="BR40">
        <f>IF(BR$4=1,IF(INDEX('×入力'!$C$1:$L$700,456+BR$3,BR$2)&lt;&gt;"",1,0),0)</f>
        <v/>
      </c>
      <c r="BS40">
        <f>IF(BS$4=1,IF(INDEX('×入力'!$C$1:$L$700,456+BS$3,BS$2)&lt;&gt;"",1,0),0)</f>
        <v/>
      </c>
      <c r="BT40">
        <f>IF(BT$4=1,IF(INDEX('×入力'!$C$1:$L$700,456+BT$3,BT$2)&lt;&gt;"",1,0),0)</f>
        <v/>
      </c>
      <c r="BU40">
        <f>IF(BU$4=1,IF(INDEX('×入力'!$C$1:$L$700,456+BU$3,BU$2)&lt;&gt;"",1,0),0)</f>
        <v/>
      </c>
      <c r="BV40">
        <f>IF(BV$4=1,IF(INDEX('×入力'!$C$1:$L$700,456+BV$3,BV$2)&lt;&gt;"",1,0),0)</f>
        <v/>
      </c>
      <c r="BW40">
        <f>IF(BW$4=1,IF(INDEX('×入力'!$C$1:$L$700,456+BW$3,BW$2)&lt;&gt;"",1,0),0)</f>
        <v/>
      </c>
      <c r="BX40">
        <f>IF(BX$4=1,IF(INDEX('×入力'!$C$1:$L$700,456+BX$3,BX$2)&lt;&gt;"",1,0),0)</f>
        <v/>
      </c>
      <c r="BY40">
        <f>IF(BY$4=1,IF(INDEX('×入力'!$C$1:$L$700,456+BY$3,BY$2)&lt;&gt;"",1,0),0)</f>
        <v/>
      </c>
      <c r="BZ40">
        <f>IF(BZ$4=1,IF(INDEX('×入力'!$C$1:$L$700,456+BZ$3,BZ$2)&lt;&gt;"",1,0),0)</f>
        <v/>
      </c>
      <c r="CA40">
        <f>IF(CA$4=1,IF(INDEX('×入力'!$C$1:$L$700,456+CA$3,CA$2)&lt;&gt;"",1,0),0)</f>
        <v/>
      </c>
      <c r="CB40">
        <f>IF(CB$4=1,IF(INDEX('×入力'!$C$1:$L$700,456+CB$3,CB$2)&lt;&gt;"",1,0),0)</f>
        <v/>
      </c>
      <c r="CC40">
        <f>IF(CC$4=1,IF(INDEX('×入力'!$C$1:$L$700,456+CC$3,CC$2)&lt;&gt;"",1,0),0)</f>
        <v/>
      </c>
      <c r="CD40">
        <f>IF(CD$4=1,IF(INDEX('×入力'!$C$1:$L$700,456+CD$3,CD$2)&lt;&gt;"",1,0),0)</f>
        <v/>
      </c>
      <c r="CE40">
        <f>IF(CE$4=1,IF(INDEX('×入力'!$C$1:$L$700,456+CE$3,CE$2)&lt;&gt;"",1,0),0)</f>
        <v/>
      </c>
      <c r="CF40">
        <f>IF(CF$4=1,IF(INDEX('×入力'!$C$1:$L$700,456+CF$3,CF$2)&lt;&gt;"",1,0),0)</f>
        <v/>
      </c>
      <c r="CG40">
        <f>IF(CG$4=1,IF(INDEX('×入力'!$C$1:$L$700,456+CG$3,CG$2)&lt;&gt;"",1,0),0)</f>
        <v/>
      </c>
      <c r="CH40">
        <f>IF(CH$4=1,IF(INDEX('×入力'!$C$1:$L$700,456+CH$3,CH$2)&lt;&gt;"",1,0),0)</f>
        <v/>
      </c>
      <c r="CI40">
        <f>IF(CI$4=1,IF(INDEX('×入力'!$C$1:$L$700,456+CI$3,CI$2)&lt;&gt;"",1,0),0)</f>
        <v/>
      </c>
      <c r="CJ40">
        <f>IF(CJ$4=1,IF(INDEX('×入力'!$C$1:$L$700,456+CJ$3,CJ$2)&lt;&gt;"",1,0),0)</f>
        <v/>
      </c>
      <c r="CK40">
        <f>IF(CK$4=1,IF(INDEX('×入力'!$C$1:$L$700,456+CK$3,CK$2)&lt;&gt;"",1,0),0)</f>
        <v/>
      </c>
      <c r="CL40">
        <f>IF(CL$4=1,IF(INDEX('×入力'!$C$1:$L$700,456+CL$3,CL$2)&lt;&gt;"",1,0),0)</f>
        <v/>
      </c>
      <c r="CM40">
        <f>IF(CM$4=1,IF(INDEX('×入力'!$C$1:$L$700,456+CM$3,CM$2)&lt;&gt;"",1,0),0)</f>
        <v/>
      </c>
      <c r="CN40">
        <f>IF(CN$4=1,IF(INDEX('×入力'!$C$1:$L$700,456+CN$3,CN$2)&lt;&gt;"",1,0),0)</f>
        <v/>
      </c>
      <c r="CO40">
        <f>IF(CO$4=1,IF(INDEX('×入力'!$C$1:$L$700,456+CO$3,CO$2)&lt;&gt;"",1,0),0)</f>
        <v/>
      </c>
      <c r="CP40">
        <f>IF(CP$4=1,IF(INDEX('×入力'!$C$1:$L$700,456+CP$3,CP$2)&lt;&gt;"",1,0),0)</f>
        <v/>
      </c>
      <c r="CQ40">
        <f>IF(CQ$4=1,IF(INDEX('×入力'!$C$1:$L$700,456+CQ$3,CQ$2)&lt;&gt;"",1,0),0)</f>
        <v/>
      </c>
      <c r="CR40">
        <f>IF(CR$4=1,IF(INDEX('×入力'!$C$1:$L$700,456+CR$3,CR$2)&lt;&gt;"",1,0),0)</f>
        <v/>
      </c>
      <c r="CS40">
        <f>IF(CS$4=1,IF(INDEX('×入力'!$C$1:$L$700,456+CS$3,CS$2)&lt;&gt;"",1,0),0)</f>
        <v/>
      </c>
      <c r="CT40">
        <f>IF(CT$4=1,IF(INDEX('×入力'!$C$1:$L$700,456+CT$3,CT$2)&lt;&gt;"",1,0),0)</f>
        <v/>
      </c>
      <c r="CU40">
        <f>IF(CU$4=1,IF(INDEX('×入力'!$C$1:$L$700,456+CU$3,CU$2)&lt;&gt;"",1,0),0)</f>
        <v/>
      </c>
      <c r="CV40">
        <f>IF(CV$4=1,IF(INDEX('×入力'!$C$1:$L$700,456+CV$3,CV$2)&lt;&gt;"",1,0),0)</f>
        <v/>
      </c>
      <c r="CW40">
        <f>IF(CW$4=1,IF(INDEX('×入力'!$C$1:$L$700,456+CW$3,CW$2)&lt;&gt;"",1,0),0)</f>
        <v/>
      </c>
      <c r="CX40">
        <f>IF(CX$4=1,IF(INDEX('×入力'!$C$1:$L$700,456+CX$3,CX$2)&lt;&gt;"",1,0),0)</f>
        <v/>
      </c>
      <c r="CY40">
        <f>IF(CY$4=1,IF(INDEX('×入力'!$C$1:$L$700,456+CY$3,CY$2)&lt;&gt;"",1,0),0)</f>
        <v/>
      </c>
      <c r="CZ40">
        <f>IF(CZ$4=1,IF(INDEX('×入力'!$C$1:$L$700,456+CZ$3,CZ$2)&lt;&gt;"",1,0),0)</f>
        <v/>
      </c>
      <c r="DA40">
        <f>IF(DA$4=1,IF(INDEX('×入力'!$C$1:$L$700,456+DA$3,DA$2)&lt;&gt;"",1,0),0)</f>
        <v/>
      </c>
      <c r="DB40">
        <f>IF(DB$4=1,IF(INDEX('×入力'!$C$1:$L$700,456+DB$3,DB$2)&lt;&gt;"",1,0),0)</f>
        <v/>
      </c>
      <c r="DC40">
        <f>IF(DC$4=1,IF(INDEX('×入力'!$C$1:$L$700,456+DC$3,DC$2)&lt;&gt;"",1,0),0)</f>
        <v/>
      </c>
      <c r="DD40">
        <f>IF(DD$4=1,IF(INDEX('×入力'!$C$1:$L$700,456+DD$3,DD$2)&lt;&gt;"",1,0),0)</f>
        <v/>
      </c>
      <c r="DE40">
        <f>IF(DE$4=1,IF(INDEX('×入力'!$C$1:$L$700,456+DE$3,DE$2)&lt;&gt;"",1,0),0)</f>
        <v/>
      </c>
      <c r="DF40">
        <f>IF(DF$4=1,IF(INDEX('×入力'!$C$1:$L$700,456+DF$3,DF$2)&lt;&gt;"",1,0),0)</f>
        <v/>
      </c>
      <c r="DG40">
        <f>IF(DG$4=1,IF(INDEX('×入力'!$C$1:$L$700,456+DG$3,DG$2)&lt;&gt;"",1,0),0)</f>
        <v/>
      </c>
      <c r="DH40">
        <f>IF(DH$4=1,IF(INDEX('×入力'!$C$1:$L$700,456+DH$3,DH$2)&lt;&gt;"",1,0),0)</f>
        <v/>
      </c>
      <c r="DI40">
        <f>IF(DI$4=1,IF(INDEX('×入力'!$C$1:$L$700,456+DI$3,DI$2)&lt;&gt;"",1,0),0)</f>
        <v/>
      </c>
      <c r="DJ40">
        <f>IF(DJ$4=1,IF(INDEX('×入力'!$C$1:$L$700,456+DJ$3,DJ$2)&lt;&gt;"",1,0),0)</f>
        <v/>
      </c>
      <c r="DK40">
        <f>IF(DK$4=1,IF(INDEX('×入力'!$C$1:$L$700,456+DK$3,DK$2)&lt;&gt;"",1,0),0)</f>
        <v/>
      </c>
      <c r="DL40">
        <f>IF(DL$4=1,IF(INDEX('×入力'!$C$1:$L$700,456+DL$3,DL$2)&lt;&gt;"",1,0),0)</f>
        <v/>
      </c>
      <c r="DM40">
        <f>IF(DM$4=1,IF(INDEX('×入力'!$C$1:$L$700,456+DM$3,DM$2)&lt;&gt;"",1,0),0)</f>
        <v/>
      </c>
      <c r="DN40">
        <f>IF(DN$4=1,IF(INDEX('×入力'!$C$1:$L$700,456+DN$3,DN$2)&lt;&gt;"",1,0),0)</f>
        <v/>
      </c>
      <c r="DO40">
        <f>IF(DO$4=1,IF(INDEX('×入力'!$C$1:$L$700,456+DO$3,DO$2)&lt;&gt;"",1,0),0)</f>
        <v/>
      </c>
      <c r="DP40">
        <f>IF(DP$4=1,IF(INDEX('×入力'!$C$1:$L$700,456+DP$3,DP$2)&lt;&gt;"",1,0),0)</f>
        <v/>
      </c>
      <c r="DQ40">
        <f>IF(DQ$4=1,IF(INDEX('×入力'!$C$1:$L$700,456+DQ$3,DQ$2)&lt;&gt;"",1,0),0)</f>
        <v/>
      </c>
      <c r="DR40">
        <f>IF(DR$4=1,IF(INDEX('×入力'!$C$1:$L$700,456+DR$3,DR$2)&lt;&gt;"",1,0),0)</f>
        <v/>
      </c>
      <c r="DS40">
        <f>IF(DS$4=1,IF(INDEX('×入力'!$C$1:$L$700,456+DS$3,DS$2)&lt;&gt;"",1,0),0)</f>
        <v/>
      </c>
      <c r="DU40">
        <f>IFERROR(INDEX('計算B'!$C$3:$C$47,MATCH(A40,'計算B'!$B$3:$B$47,0)),0)</f>
        <v/>
      </c>
      <c r="DV40">
        <f>IF(AND(C40=1,DU40=0),1,0)</f>
        <v/>
      </c>
      <c r="DW40">
        <f>SUMPRODUCT(D90:DS90*(1-$D$7:$DS$7))</f>
        <v/>
      </c>
      <c r="DX40">
        <f>SUM(D40:DS40)</f>
        <v/>
      </c>
      <c r="DY40">
        <f>IF(B40="",0,IF(COUNTIF('割り当て'!$C$6:$L$17,B40)=1,SUMPRODUCT(('割り当て'!$C$6:$L$17=B40)*((COLUMN('割り当て'!$C$6:$L$17)-3)*12+ROW('割り当て'!$C$6:$L$17)-5)),0))</f>
        <v/>
      </c>
    </row>
    <row r="41">
      <c r="A41" t="n">
        <v>32</v>
      </c>
      <c r="B41">
        <f>'名簿'!E36</f>
        <v/>
      </c>
      <c r="C41">
        <f>IF(AND(B41&lt;&gt;"",OR('名簿'!F36="入力済み",'名簿'!F36="×なし"),DY41=0,COUNTIF('割り当て'!$C$6:$L$17,B41)=0),1,0)</f>
        <v/>
      </c>
      <c r="D41">
        <f>IF(D$4=1,IF(INDEX('×入力'!$C$1:$L$700,471+D$3,D$2)&lt;&gt;"",1,0),0)</f>
        <v/>
      </c>
      <c r="E41">
        <f>IF(E$4=1,IF(INDEX('×入力'!$C$1:$L$700,471+E$3,E$2)&lt;&gt;"",1,0),0)</f>
        <v/>
      </c>
      <c r="F41">
        <f>IF(F$4=1,IF(INDEX('×入力'!$C$1:$L$700,471+F$3,F$2)&lt;&gt;"",1,0),0)</f>
        <v/>
      </c>
      <c r="G41">
        <f>IF(G$4=1,IF(INDEX('×入力'!$C$1:$L$700,471+G$3,G$2)&lt;&gt;"",1,0),0)</f>
        <v/>
      </c>
      <c r="H41">
        <f>IF(H$4=1,IF(INDEX('×入力'!$C$1:$L$700,471+H$3,H$2)&lt;&gt;"",1,0),0)</f>
        <v/>
      </c>
      <c r="I41">
        <f>IF(I$4=1,IF(INDEX('×入力'!$C$1:$L$700,471+I$3,I$2)&lt;&gt;"",1,0),0)</f>
        <v/>
      </c>
      <c r="J41">
        <f>IF(J$4=1,IF(INDEX('×入力'!$C$1:$L$700,471+J$3,J$2)&lt;&gt;"",1,0),0)</f>
        <v/>
      </c>
      <c r="K41">
        <f>IF(K$4=1,IF(INDEX('×入力'!$C$1:$L$700,471+K$3,K$2)&lt;&gt;"",1,0),0)</f>
        <v/>
      </c>
      <c r="L41">
        <f>IF(L$4=1,IF(INDEX('×入力'!$C$1:$L$700,471+L$3,L$2)&lt;&gt;"",1,0),0)</f>
        <v/>
      </c>
      <c r="M41">
        <f>IF(M$4=1,IF(INDEX('×入力'!$C$1:$L$700,471+M$3,M$2)&lt;&gt;"",1,0),0)</f>
        <v/>
      </c>
      <c r="N41">
        <f>IF(N$4=1,IF(INDEX('×入力'!$C$1:$L$700,471+N$3,N$2)&lt;&gt;"",1,0),0)</f>
        <v/>
      </c>
      <c r="O41">
        <f>IF(O$4=1,IF(INDEX('×入力'!$C$1:$L$700,471+O$3,O$2)&lt;&gt;"",1,0),0)</f>
        <v/>
      </c>
      <c r="P41">
        <f>IF(P$4=1,IF(INDEX('×入力'!$C$1:$L$700,471+P$3,P$2)&lt;&gt;"",1,0),0)</f>
        <v/>
      </c>
      <c r="Q41">
        <f>IF(Q$4=1,IF(INDEX('×入力'!$C$1:$L$700,471+Q$3,Q$2)&lt;&gt;"",1,0),0)</f>
        <v/>
      </c>
      <c r="R41">
        <f>IF(R$4=1,IF(INDEX('×入力'!$C$1:$L$700,471+R$3,R$2)&lt;&gt;"",1,0),0)</f>
        <v/>
      </c>
      <c r="S41">
        <f>IF(S$4=1,IF(INDEX('×入力'!$C$1:$L$700,471+S$3,S$2)&lt;&gt;"",1,0),0)</f>
        <v/>
      </c>
      <c r="T41">
        <f>IF(T$4=1,IF(INDEX('×入力'!$C$1:$L$700,471+T$3,T$2)&lt;&gt;"",1,0),0)</f>
        <v/>
      </c>
      <c r="U41">
        <f>IF(U$4=1,IF(INDEX('×入力'!$C$1:$L$700,471+U$3,U$2)&lt;&gt;"",1,0),0)</f>
        <v/>
      </c>
      <c r="V41">
        <f>IF(V$4=1,IF(INDEX('×入力'!$C$1:$L$700,471+V$3,V$2)&lt;&gt;"",1,0),0)</f>
        <v/>
      </c>
      <c r="W41">
        <f>IF(W$4=1,IF(INDEX('×入力'!$C$1:$L$700,471+W$3,W$2)&lt;&gt;"",1,0),0)</f>
        <v/>
      </c>
      <c r="X41">
        <f>IF(X$4=1,IF(INDEX('×入力'!$C$1:$L$700,471+X$3,X$2)&lt;&gt;"",1,0),0)</f>
        <v/>
      </c>
      <c r="Y41">
        <f>IF(Y$4=1,IF(INDEX('×入力'!$C$1:$L$700,471+Y$3,Y$2)&lt;&gt;"",1,0),0)</f>
        <v/>
      </c>
      <c r="Z41">
        <f>IF(Z$4=1,IF(INDEX('×入力'!$C$1:$L$700,471+Z$3,Z$2)&lt;&gt;"",1,0),0)</f>
        <v/>
      </c>
      <c r="AA41">
        <f>IF(AA$4=1,IF(INDEX('×入力'!$C$1:$L$700,471+AA$3,AA$2)&lt;&gt;"",1,0),0)</f>
        <v/>
      </c>
      <c r="AB41">
        <f>IF(AB$4=1,IF(INDEX('×入力'!$C$1:$L$700,471+AB$3,AB$2)&lt;&gt;"",1,0),0)</f>
        <v/>
      </c>
      <c r="AC41">
        <f>IF(AC$4=1,IF(INDEX('×入力'!$C$1:$L$700,471+AC$3,AC$2)&lt;&gt;"",1,0),0)</f>
        <v/>
      </c>
      <c r="AD41">
        <f>IF(AD$4=1,IF(INDEX('×入力'!$C$1:$L$700,471+AD$3,AD$2)&lt;&gt;"",1,0),0)</f>
        <v/>
      </c>
      <c r="AE41">
        <f>IF(AE$4=1,IF(INDEX('×入力'!$C$1:$L$700,471+AE$3,AE$2)&lt;&gt;"",1,0),0)</f>
        <v/>
      </c>
      <c r="AF41">
        <f>IF(AF$4=1,IF(INDEX('×入力'!$C$1:$L$700,471+AF$3,AF$2)&lt;&gt;"",1,0),0)</f>
        <v/>
      </c>
      <c r="AG41">
        <f>IF(AG$4=1,IF(INDEX('×入力'!$C$1:$L$700,471+AG$3,AG$2)&lt;&gt;"",1,0),0)</f>
        <v/>
      </c>
      <c r="AH41">
        <f>IF(AH$4=1,IF(INDEX('×入力'!$C$1:$L$700,471+AH$3,AH$2)&lt;&gt;"",1,0),0)</f>
        <v/>
      </c>
      <c r="AI41">
        <f>IF(AI$4=1,IF(INDEX('×入力'!$C$1:$L$700,471+AI$3,AI$2)&lt;&gt;"",1,0),0)</f>
        <v/>
      </c>
      <c r="AJ41">
        <f>IF(AJ$4=1,IF(INDEX('×入力'!$C$1:$L$700,471+AJ$3,AJ$2)&lt;&gt;"",1,0),0)</f>
        <v/>
      </c>
      <c r="AK41">
        <f>IF(AK$4=1,IF(INDEX('×入力'!$C$1:$L$700,471+AK$3,AK$2)&lt;&gt;"",1,0),0)</f>
        <v/>
      </c>
      <c r="AL41">
        <f>IF(AL$4=1,IF(INDEX('×入力'!$C$1:$L$700,471+AL$3,AL$2)&lt;&gt;"",1,0),0)</f>
        <v/>
      </c>
      <c r="AM41">
        <f>IF(AM$4=1,IF(INDEX('×入力'!$C$1:$L$700,471+AM$3,AM$2)&lt;&gt;"",1,0),0)</f>
        <v/>
      </c>
      <c r="AN41">
        <f>IF(AN$4=1,IF(INDEX('×入力'!$C$1:$L$700,471+AN$3,AN$2)&lt;&gt;"",1,0),0)</f>
        <v/>
      </c>
      <c r="AO41">
        <f>IF(AO$4=1,IF(INDEX('×入力'!$C$1:$L$700,471+AO$3,AO$2)&lt;&gt;"",1,0),0)</f>
        <v/>
      </c>
      <c r="AP41">
        <f>IF(AP$4=1,IF(INDEX('×入力'!$C$1:$L$700,471+AP$3,AP$2)&lt;&gt;"",1,0),0)</f>
        <v/>
      </c>
      <c r="AQ41">
        <f>IF(AQ$4=1,IF(INDEX('×入力'!$C$1:$L$700,471+AQ$3,AQ$2)&lt;&gt;"",1,0),0)</f>
        <v/>
      </c>
      <c r="AR41">
        <f>IF(AR$4=1,IF(INDEX('×入力'!$C$1:$L$700,471+AR$3,AR$2)&lt;&gt;"",1,0),0)</f>
        <v/>
      </c>
      <c r="AS41">
        <f>IF(AS$4=1,IF(INDEX('×入力'!$C$1:$L$700,471+AS$3,AS$2)&lt;&gt;"",1,0),0)</f>
        <v/>
      </c>
      <c r="AT41">
        <f>IF(AT$4=1,IF(INDEX('×入力'!$C$1:$L$700,471+AT$3,AT$2)&lt;&gt;"",1,0),0)</f>
        <v/>
      </c>
      <c r="AU41">
        <f>IF(AU$4=1,IF(INDEX('×入力'!$C$1:$L$700,471+AU$3,AU$2)&lt;&gt;"",1,0),0)</f>
        <v/>
      </c>
      <c r="AV41">
        <f>IF(AV$4=1,IF(INDEX('×入力'!$C$1:$L$700,471+AV$3,AV$2)&lt;&gt;"",1,0),0)</f>
        <v/>
      </c>
      <c r="AW41">
        <f>IF(AW$4=1,IF(INDEX('×入力'!$C$1:$L$700,471+AW$3,AW$2)&lt;&gt;"",1,0),0)</f>
        <v/>
      </c>
      <c r="AX41">
        <f>IF(AX$4=1,IF(INDEX('×入力'!$C$1:$L$700,471+AX$3,AX$2)&lt;&gt;"",1,0),0)</f>
        <v/>
      </c>
      <c r="AY41">
        <f>IF(AY$4=1,IF(INDEX('×入力'!$C$1:$L$700,471+AY$3,AY$2)&lt;&gt;"",1,0),0)</f>
        <v/>
      </c>
      <c r="AZ41">
        <f>IF(AZ$4=1,IF(INDEX('×入力'!$C$1:$L$700,471+AZ$3,AZ$2)&lt;&gt;"",1,0),0)</f>
        <v/>
      </c>
      <c r="BA41">
        <f>IF(BA$4=1,IF(INDEX('×入力'!$C$1:$L$700,471+BA$3,BA$2)&lt;&gt;"",1,0),0)</f>
        <v/>
      </c>
      <c r="BB41">
        <f>IF(BB$4=1,IF(INDEX('×入力'!$C$1:$L$700,471+BB$3,BB$2)&lt;&gt;"",1,0),0)</f>
        <v/>
      </c>
      <c r="BC41">
        <f>IF(BC$4=1,IF(INDEX('×入力'!$C$1:$L$700,471+BC$3,BC$2)&lt;&gt;"",1,0),0)</f>
        <v/>
      </c>
      <c r="BD41">
        <f>IF(BD$4=1,IF(INDEX('×入力'!$C$1:$L$700,471+BD$3,BD$2)&lt;&gt;"",1,0),0)</f>
        <v/>
      </c>
      <c r="BE41">
        <f>IF(BE$4=1,IF(INDEX('×入力'!$C$1:$L$700,471+BE$3,BE$2)&lt;&gt;"",1,0),0)</f>
        <v/>
      </c>
      <c r="BF41">
        <f>IF(BF$4=1,IF(INDEX('×入力'!$C$1:$L$700,471+BF$3,BF$2)&lt;&gt;"",1,0),0)</f>
        <v/>
      </c>
      <c r="BG41">
        <f>IF(BG$4=1,IF(INDEX('×入力'!$C$1:$L$700,471+BG$3,BG$2)&lt;&gt;"",1,0),0)</f>
        <v/>
      </c>
      <c r="BH41">
        <f>IF(BH$4=1,IF(INDEX('×入力'!$C$1:$L$700,471+BH$3,BH$2)&lt;&gt;"",1,0),0)</f>
        <v/>
      </c>
      <c r="BI41">
        <f>IF(BI$4=1,IF(INDEX('×入力'!$C$1:$L$700,471+BI$3,BI$2)&lt;&gt;"",1,0),0)</f>
        <v/>
      </c>
      <c r="BJ41">
        <f>IF(BJ$4=1,IF(INDEX('×入力'!$C$1:$L$700,471+BJ$3,BJ$2)&lt;&gt;"",1,0),0)</f>
        <v/>
      </c>
      <c r="BK41">
        <f>IF(BK$4=1,IF(INDEX('×入力'!$C$1:$L$700,471+BK$3,BK$2)&lt;&gt;"",1,0),0)</f>
        <v/>
      </c>
      <c r="BL41">
        <f>IF(BL$4=1,IF(INDEX('×入力'!$C$1:$L$700,471+BL$3,BL$2)&lt;&gt;"",1,0),0)</f>
        <v/>
      </c>
      <c r="BM41">
        <f>IF(BM$4=1,IF(INDEX('×入力'!$C$1:$L$700,471+BM$3,BM$2)&lt;&gt;"",1,0),0)</f>
        <v/>
      </c>
      <c r="BN41">
        <f>IF(BN$4=1,IF(INDEX('×入力'!$C$1:$L$700,471+BN$3,BN$2)&lt;&gt;"",1,0),0)</f>
        <v/>
      </c>
      <c r="BO41">
        <f>IF(BO$4=1,IF(INDEX('×入力'!$C$1:$L$700,471+BO$3,BO$2)&lt;&gt;"",1,0),0)</f>
        <v/>
      </c>
      <c r="BP41">
        <f>IF(BP$4=1,IF(INDEX('×入力'!$C$1:$L$700,471+BP$3,BP$2)&lt;&gt;"",1,0),0)</f>
        <v/>
      </c>
      <c r="BQ41">
        <f>IF(BQ$4=1,IF(INDEX('×入力'!$C$1:$L$700,471+BQ$3,BQ$2)&lt;&gt;"",1,0),0)</f>
        <v/>
      </c>
      <c r="BR41">
        <f>IF(BR$4=1,IF(INDEX('×入力'!$C$1:$L$700,471+BR$3,BR$2)&lt;&gt;"",1,0),0)</f>
        <v/>
      </c>
      <c r="BS41">
        <f>IF(BS$4=1,IF(INDEX('×入力'!$C$1:$L$700,471+BS$3,BS$2)&lt;&gt;"",1,0),0)</f>
        <v/>
      </c>
      <c r="BT41">
        <f>IF(BT$4=1,IF(INDEX('×入力'!$C$1:$L$700,471+BT$3,BT$2)&lt;&gt;"",1,0),0)</f>
        <v/>
      </c>
      <c r="BU41">
        <f>IF(BU$4=1,IF(INDEX('×入力'!$C$1:$L$700,471+BU$3,BU$2)&lt;&gt;"",1,0),0)</f>
        <v/>
      </c>
      <c r="BV41">
        <f>IF(BV$4=1,IF(INDEX('×入力'!$C$1:$L$700,471+BV$3,BV$2)&lt;&gt;"",1,0),0)</f>
        <v/>
      </c>
      <c r="BW41">
        <f>IF(BW$4=1,IF(INDEX('×入力'!$C$1:$L$700,471+BW$3,BW$2)&lt;&gt;"",1,0),0)</f>
        <v/>
      </c>
      <c r="BX41">
        <f>IF(BX$4=1,IF(INDEX('×入力'!$C$1:$L$700,471+BX$3,BX$2)&lt;&gt;"",1,0),0)</f>
        <v/>
      </c>
      <c r="BY41">
        <f>IF(BY$4=1,IF(INDEX('×入力'!$C$1:$L$700,471+BY$3,BY$2)&lt;&gt;"",1,0),0)</f>
        <v/>
      </c>
      <c r="BZ41">
        <f>IF(BZ$4=1,IF(INDEX('×入力'!$C$1:$L$700,471+BZ$3,BZ$2)&lt;&gt;"",1,0),0)</f>
        <v/>
      </c>
      <c r="CA41">
        <f>IF(CA$4=1,IF(INDEX('×入力'!$C$1:$L$700,471+CA$3,CA$2)&lt;&gt;"",1,0),0)</f>
        <v/>
      </c>
      <c r="CB41">
        <f>IF(CB$4=1,IF(INDEX('×入力'!$C$1:$L$700,471+CB$3,CB$2)&lt;&gt;"",1,0),0)</f>
        <v/>
      </c>
      <c r="CC41">
        <f>IF(CC$4=1,IF(INDEX('×入力'!$C$1:$L$700,471+CC$3,CC$2)&lt;&gt;"",1,0),0)</f>
        <v/>
      </c>
      <c r="CD41">
        <f>IF(CD$4=1,IF(INDEX('×入力'!$C$1:$L$700,471+CD$3,CD$2)&lt;&gt;"",1,0),0)</f>
        <v/>
      </c>
      <c r="CE41">
        <f>IF(CE$4=1,IF(INDEX('×入力'!$C$1:$L$700,471+CE$3,CE$2)&lt;&gt;"",1,0),0)</f>
        <v/>
      </c>
      <c r="CF41">
        <f>IF(CF$4=1,IF(INDEX('×入力'!$C$1:$L$700,471+CF$3,CF$2)&lt;&gt;"",1,0),0)</f>
        <v/>
      </c>
      <c r="CG41">
        <f>IF(CG$4=1,IF(INDEX('×入力'!$C$1:$L$700,471+CG$3,CG$2)&lt;&gt;"",1,0),0)</f>
        <v/>
      </c>
      <c r="CH41">
        <f>IF(CH$4=1,IF(INDEX('×入力'!$C$1:$L$700,471+CH$3,CH$2)&lt;&gt;"",1,0),0)</f>
        <v/>
      </c>
      <c r="CI41">
        <f>IF(CI$4=1,IF(INDEX('×入力'!$C$1:$L$700,471+CI$3,CI$2)&lt;&gt;"",1,0),0)</f>
        <v/>
      </c>
      <c r="CJ41">
        <f>IF(CJ$4=1,IF(INDEX('×入力'!$C$1:$L$700,471+CJ$3,CJ$2)&lt;&gt;"",1,0),0)</f>
        <v/>
      </c>
      <c r="CK41">
        <f>IF(CK$4=1,IF(INDEX('×入力'!$C$1:$L$700,471+CK$3,CK$2)&lt;&gt;"",1,0),0)</f>
        <v/>
      </c>
      <c r="CL41">
        <f>IF(CL$4=1,IF(INDEX('×入力'!$C$1:$L$700,471+CL$3,CL$2)&lt;&gt;"",1,0),0)</f>
        <v/>
      </c>
      <c r="CM41">
        <f>IF(CM$4=1,IF(INDEX('×入力'!$C$1:$L$700,471+CM$3,CM$2)&lt;&gt;"",1,0),0)</f>
        <v/>
      </c>
      <c r="CN41">
        <f>IF(CN$4=1,IF(INDEX('×入力'!$C$1:$L$700,471+CN$3,CN$2)&lt;&gt;"",1,0),0)</f>
        <v/>
      </c>
      <c r="CO41">
        <f>IF(CO$4=1,IF(INDEX('×入力'!$C$1:$L$700,471+CO$3,CO$2)&lt;&gt;"",1,0),0)</f>
        <v/>
      </c>
      <c r="CP41">
        <f>IF(CP$4=1,IF(INDEX('×入力'!$C$1:$L$700,471+CP$3,CP$2)&lt;&gt;"",1,0),0)</f>
        <v/>
      </c>
      <c r="CQ41">
        <f>IF(CQ$4=1,IF(INDEX('×入力'!$C$1:$L$700,471+CQ$3,CQ$2)&lt;&gt;"",1,0),0)</f>
        <v/>
      </c>
      <c r="CR41">
        <f>IF(CR$4=1,IF(INDEX('×入力'!$C$1:$L$700,471+CR$3,CR$2)&lt;&gt;"",1,0),0)</f>
        <v/>
      </c>
      <c r="CS41">
        <f>IF(CS$4=1,IF(INDEX('×入力'!$C$1:$L$700,471+CS$3,CS$2)&lt;&gt;"",1,0),0)</f>
        <v/>
      </c>
      <c r="CT41">
        <f>IF(CT$4=1,IF(INDEX('×入力'!$C$1:$L$700,471+CT$3,CT$2)&lt;&gt;"",1,0),0)</f>
        <v/>
      </c>
      <c r="CU41">
        <f>IF(CU$4=1,IF(INDEX('×入力'!$C$1:$L$700,471+CU$3,CU$2)&lt;&gt;"",1,0),0)</f>
        <v/>
      </c>
      <c r="CV41">
        <f>IF(CV$4=1,IF(INDEX('×入力'!$C$1:$L$700,471+CV$3,CV$2)&lt;&gt;"",1,0),0)</f>
        <v/>
      </c>
      <c r="CW41">
        <f>IF(CW$4=1,IF(INDEX('×入力'!$C$1:$L$700,471+CW$3,CW$2)&lt;&gt;"",1,0),0)</f>
        <v/>
      </c>
      <c r="CX41">
        <f>IF(CX$4=1,IF(INDEX('×入力'!$C$1:$L$700,471+CX$3,CX$2)&lt;&gt;"",1,0),0)</f>
        <v/>
      </c>
      <c r="CY41">
        <f>IF(CY$4=1,IF(INDEX('×入力'!$C$1:$L$700,471+CY$3,CY$2)&lt;&gt;"",1,0),0)</f>
        <v/>
      </c>
      <c r="CZ41">
        <f>IF(CZ$4=1,IF(INDEX('×入力'!$C$1:$L$700,471+CZ$3,CZ$2)&lt;&gt;"",1,0),0)</f>
        <v/>
      </c>
      <c r="DA41">
        <f>IF(DA$4=1,IF(INDEX('×入力'!$C$1:$L$700,471+DA$3,DA$2)&lt;&gt;"",1,0),0)</f>
        <v/>
      </c>
      <c r="DB41">
        <f>IF(DB$4=1,IF(INDEX('×入力'!$C$1:$L$700,471+DB$3,DB$2)&lt;&gt;"",1,0),0)</f>
        <v/>
      </c>
      <c r="DC41">
        <f>IF(DC$4=1,IF(INDEX('×入力'!$C$1:$L$700,471+DC$3,DC$2)&lt;&gt;"",1,0),0)</f>
        <v/>
      </c>
      <c r="DD41">
        <f>IF(DD$4=1,IF(INDEX('×入力'!$C$1:$L$700,471+DD$3,DD$2)&lt;&gt;"",1,0),0)</f>
        <v/>
      </c>
      <c r="DE41">
        <f>IF(DE$4=1,IF(INDEX('×入力'!$C$1:$L$700,471+DE$3,DE$2)&lt;&gt;"",1,0),0)</f>
        <v/>
      </c>
      <c r="DF41">
        <f>IF(DF$4=1,IF(INDEX('×入力'!$C$1:$L$700,471+DF$3,DF$2)&lt;&gt;"",1,0),0)</f>
        <v/>
      </c>
      <c r="DG41">
        <f>IF(DG$4=1,IF(INDEX('×入力'!$C$1:$L$700,471+DG$3,DG$2)&lt;&gt;"",1,0),0)</f>
        <v/>
      </c>
      <c r="DH41">
        <f>IF(DH$4=1,IF(INDEX('×入力'!$C$1:$L$700,471+DH$3,DH$2)&lt;&gt;"",1,0),0)</f>
        <v/>
      </c>
      <c r="DI41">
        <f>IF(DI$4=1,IF(INDEX('×入力'!$C$1:$L$700,471+DI$3,DI$2)&lt;&gt;"",1,0),0)</f>
        <v/>
      </c>
      <c r="DJ41">
        <f>IF(DJ$4=1,IF(INDEX('×入力'!$C$1:$L$700,471+DJ$3,DJ$2)&lt;&gt;"",1,0),0)</f>
        <v/>
      </c>
      <c r="DK41">
        <f>IF(DK$4=1,IF(INDEX('×入力'!$C$1:$L$700,471+DK$3,DK$2)&lt;&gt;"",1,0),0)</f>
        <v/>
      </c>
      <c r="DL41">
        <f>IF(DL$4=1,IF(INDEX('×入力'!$C$1:$L$700,471+DL$3,DL$2)&lt;&gt;"",1,0),0)</f>
        <v/>
      </c>
      <c r="DM41">
        <f>IF(DM$4=1,IF(INDEX('×入力'!$C$1:$L$700,471+DM$3,DM$2)&lt;&gt;"",1,0),0)</f>
        <v/>
      </c>
      <c r="DN41">
        <f>IF(DN$4=1,IF(INDEX('×入力'!$C$1:$L$700,471+DN$3,DN$2)&lt;&gt;"",1,0),0)</f>
        <v/>
      </c>
      <c r="DO41">
        <f>IF(DO$4=1,IF(INDEX('×入力'!$C$1:$L$700,471+DO$3,DO$2)&lt;&gt;"",1,0),0)</f>
        <v/>
      </c>
      <c r="DP41">
        <f>IF(DP$4=1,IF(INDEX('×入力'!$C$1:$L$700,471+DP$3,DP$2)&lt;&gt;"",1,0),0)</f>
        <v/>
      </c>
      <c r="DQ41">
        <f>IF(DQ$4=1,IF(INDEX('×入力'!$C$1:$L$700,471+DQ$3,DQ$2)&lt;&gt;"",1,0),0)</f>
        <v/>
      </c>
      <c r="DR41">
        <f>IF(DR$4=1,IF(INDEX('×入力'!$C$1:$L$700,471+DR$3,DR$2)&lt;&gt;"",1,0),0)</f>
        <v/>
      </c>
      <c r="DS41">
        <f>IF(DS$4=1,IF(INDEX('×入力'!$C$1:$L$700,471+DS$3,DS$2)&lt;&gt;"",1,0),0)</f>
        <v/>
      </c>
      <c r="DU41">
        <f>IFERROR(INDEX('計算B'!$C$3:$C$47,MATCH(A41,'計算B'!$B$3:$B$47,0)),0)</f>
        <v/>
      </c>
      <c r="DV41">
        <f>IF(AND(C41=1,DU41=0),1,0)</f>
        <v/>
      </c>
      <c r="DW41">
        <f>SUMPRODUCT(D91:DS91*(1-$D$7:$DS$7))</f>
        <v/>
      </c>
      <c r="DX41">
        <f>SUM(D41:DS41)</f>
        <v/>
      </c>
      <c r="DY41">
        <f>IF(B41="",0,IF(COUNTIF('割り当て'!$C$6:$L$17,B41)=1,SUMPRODUCT(('割り当て'!$C$6:$L$17=B41)*((COLUMN('割り当て'!$C$6:$L$17)-3)*12+ROW('割り当て'!$C$6:$L$17)-5)),0))</f>
        <v/>
      </c>
    </row>
    <row r="42">
      <c r="A42" t="n">
        <v>33</v>
      </c>
      <c r="B42">
        <f>'名簿'!E37</f>
        <v/>
      </c>
      <c r="C42">
        <f>IF(AND(B42&lt;&gt;"",OR('名簿'!F37="入力済み",'名簿'!F37="×なし"),DY42=0,COUNTIF('割り当て'!$C$6:$L$17,B42)=0),1,0)</f>
        <v/>
      </c>
      <c r="D42">
        <f>IF(D$4=1,IF(INDEX('×入力'!$C$1:$L$700,486+D$3,D$2)&lt;&gt;"",1,0),0)</f>
        <v/>
      </c>
      <c r="E42">
        <f>IF(E$4=1,IF(INDEX('×入力'!$C$1:$L$700,486+E$3,E$2)&lt;&gt;"",1,0),0)</f>
        <v/>
      </c>
      <c r="F42">
        <f>IF(F$4=1,IF(INDEX('×入力'!$C$1:$L$700,486+F$3,F$2)&lt;&gt;"",1,0),0)</f>
        <v/>
      </c>
      <c r="G42">
        <f>IF(G$4=1,IF(INDEX('×入力'!$C$1:$L$700,486+G$3,G$2)&lt;&gt;"",1,0),0)</f>
        <v/>
      </c>
      <c r="H42">
        <f>IF(H$4=1,IF(INDEX('×入力'!$C$1:$L$700,486+H$3,H$2)&lt;&gt;"",1,0),0)</f>
        <v/>
      </c>
      <c r="I42">
        <f>IF(I$4=1,IF(INDEX('×入力'!$C$1:$L$700,486+I$3,I$2)&lt;&gt;"",1,0),0)</f>
        <v/>
      </c>
      <c r="J42">
        <f>IF(J$4=1,IF(INDEX('×入力'!$C$1:$L$700,486+J$3,J$2)&lt;&gt;"",1,0),0)</f>
        <v/>
      </c>
      <c r="K42">
        <f>IF(K$4=1,IF(INDEX('×入力'!$C$1:$L$700,486+K$3,K$2)&lt;&gt;"",1,0),0)</f>
        <v/>
      </c>
      <c r="L42">
        <f>IF(L$4=1,IF(INDEX('×入力'!$C$1:$L$700,486+L$3,L$2)&lt;&gt;"",1,0),0)</f>
        <v/>
      </c>
      <c r="M42">
        <f>IF(M$4=1,IF(INDEX('×入力'!$C$1:$L$700,486+M$3,M$2)&lt;&gt;"",1,0),0)</f>
        <v/>
      </c>
      <c r="N42">
        <f>IF(N$4=1,IF(INDEX('×入力'!$C$1:$L$700,486+N$3,N$2)&lt;&gt;"",1,0),0)</f>
        <v/>
      </c>
      <c r="O42">
        <f>IF(O$4=1,IF(INDEX('×入力'!$C$1:$L$700,486+O$3,O$2)&lt;&gt;"",1,0),0)</f>
        <v/>
      </c>
      <c r="P42">
        <f>IF(P$4=1,IF(INDEX('×入力'!$C$1:$L$700,486+P$3,P$2)&lt;&gt;"",1,0),0)</f>
        <v/>
      </c>
      <c r="Q42">
        <f>IF(Q$4=1,IF(INDEX('×入力'!$C$1:$L$700,486+Q$3,Q$2)&lt;&gt;"",1,0),0)</f>
        <v/>
      </c>
      <c r="R42">
        <f>IF(R$4=1,IF(INDEX('×入力'!$C$1:$L$700,486+R$3,R$2)&lt;&gt;"",1,0),0)</f>
        <v/>
      </c>
      <c r="S42">
        <f>IF(S$4=1,IF(INDEX('×入力'!$C$1:$L$700,486+S$3,S$2)&lt;&gt;"",1,0),0)</f>
        <v/>
      </c>
      <c r="T42">
        <f>IF(T$4=1,IF(INDEX('×入力'!$C$1:$L$700,486+T$3,T$2)&lt;&gt;"",1,0),0)</f>
        <v/>
      </c>
      <c r="U42">
        <f>IF(U$4=1,IF(INDEX('×入力'!$C$1:$L$700,486+U$3,U$2)&lt;&gt;"",1,0),0)</f>
        <v/>
      </c>
      <c r="V42">
        <f>IF(V$4=1,IF(INDEX('×入力'!$C$1:$L$700,486+V$3,V$2)&lt;&gt;"",1,0),0)</f>
        <v/>
      </c>
      <c r="W42">
        <f>IF(W$4=1,IF(INDEX('×入力'!$C$1:$L$700,486+W$3,W$2)&lt;&gt;"",1,0),0)</f>
        <v/>
      </c>
      <c r="X42">
        <f>IF(X$4=1,IF(INDEX('×入力'!$C$1:$L$700,486+X$3,X$2)&lt;&gt;"",1,0),0)</f>
        <v/>
      </c>
      <c r="Y42">
        <f>IF(Y$4=1,IF(INDEX('×入力'!$C$1:$L$700,486+Y$3,Y$2)&lt;&gt;"",1,0),0)</f>
        <v/>
      </c>
      <c r="Z42">
        <f>IF(Z$4=1,IF(INDEX('×入力'!$C$1:$L$700,486+Z$3,Z$2)&lt;&gt;"",1,0),0)</f>
        <v/>
      </c>
      <c r="AA42">
        <f>IF(AA$4=1,IF(INDEX('×入力'!$C$1:$L$700,486+AA$3,AA$2)&lt;&gt;"",1,0),0)</f>
        <v/>
      </c>
      <c r="AB42">
        <f>IF(AB$4=1,IF(INDEX('×入力'!$C$1:$L$700,486+AB$3,AB$2)&lt;&gt;"",1,0),0)</f>
        <v/>
      </c>
      <c r="AC42">
        <f>IF(AC$4=1,IF(INDEX('×入力'!$C$1:$L$700,486+AC$3,AC$2)&lt;&gt;"",1,0),0)</f>
        <v/>
      </c>
      <c r="AD42">
        <f>IF(AD$4=1,IF(INDEX('×入力'!$C$1:$L$700,486+AD$3,AD$2)&lt;&gt;"",1,0),0)</f>
        <v/>
      </c>
      <c r="AE42">
        <f>IF(AE$4=1,IF(INDEX('×入力'!$C$1:$L$700,486+AE$3,AE$2)&lt;&gt;"",1,0),0)</f>
        <v/>
      </c>
      <c r="AF42">
        <f>IF(AF$4=1,IF(INDEX('×入力'!$C$1:$L$700,486+AF$3,AF$2)&lt;&gt;"",1,0),0)</f>
        <v/>
      </c>
      <c r="AG42">
        <f>IF(AG$4=1,IF(INDEX('×入力'!$C$1:$L$700,486+AG$3,AG$2)&lt;&gt;"",1,0),0)</f>
        <v/>
      </c>
      <c r="AH42">
        <f>IF(AH$4=1,IF(INDEX('×入力'!$C$1:$L$700,486+AH$3,AH$2)&lt;&gt;"",1,0),0)</f>
        <v/>
      </c>
      <c r="AI42">
        <f>IF(AI$4=1,IF(INDEX('×入力'!$C$1:$L$700,486+AI$3,AI$2)&lt;&gt;"",1,0),0)</f>
        <v/>
      </c>
      <c r="AJ42">
        <f>IF(AJ$4=1,IF(INDEX('×入力'!$C$1:$L$700,486+AJ$3,AJ$2)&lt;&gt;"",1,0),0)</f>
        <v/>
      </c>
      <c r="AK42">
        <f>IF(AK$4=1,IF(INDEX('×入力'!$C$1:$L$700,486+AK$3,AK$2)&lt;&gt;"",1,0),0)</f>
        <v/>
      </c>
      <c r="AL42">
        <f>IF(AL$4=1,IF(INDEX('×入力'!$C$1:$L$700,486+AL$3,AL$2)&lt;&gt;"",1,0),0)</f>
        <v/>
      </c>
      <c r="AM42">
        <f>IF(AM$4=1,IF(INDEX('×入力'!$C$1:$L$700,486+AM$3,AM$2)&lt;&gt;"",1,0),0)</f>
        <v/>
      </c>
      <c r="AN42">
        <f>IF(AN$4=1,IF(INDEX('×入力'!$C$1:$L$700,486+AN$3,AN$2)&lt;&gt;"",1,0),0)</f>
        <v/>
      </c>
      <c r="AO42">
        <f>IF(AO$4=1,IF(INDEX('×入力'!$C$1:$L$700,486+AO$3,AO$2)&lt;&gt;"",1,0),0)</f>
        <v/>
      </c>
      <c r="AP42">
        <f>IF(AP$4=1,IF(INDEX('×入力'!$C$1:$L$700,486+AP$3,AP$2)&lt;&gt;"",1,0),0)</f>
        <v/>
      </c>
      <c r="AQ42">
        <f>IF(AQ$4=1,IF(INDEX('×入力'!$C$1:$L$700,486+AQ$3,AQ$2)&lt;&gt;"",1,0),0)</f>
        <v/>
      </c>
      <c r="AR42">
        <f>IF(AR$4=1,IF(INDEX('×入力'!$C$1:$L$700,486+AR$3,AR$2)&lt;&gt;"",1,0),0)</f>
        <v/>
      </c>
      <c r="AS42">
        <f>IF(AS$4=1,IF(INDEX('×入力'!$C$1:$L$700,486+AS$3,AS$2)&lt;&gt;"",1,0),0)</f>
        <v/>
      </c>
      <c r="AT42">
        <f>IF(AT$4=1,IF(INDEX('×入力'!$C$1:$L$700,486+AT$3,AT$2)&lt;&gt;"",1,0),0)</f>
        <v/>
      </c>
      <c r="AU42">
        <f>IF(AU$4=1,IF(INDEX('×入力'!$C$1:$L$700,486+AU$3,AU$2)&lt;&gt;"",1,0),0)</f>
        <v/>
      </c>
      <c r="AV42">
        <f>IF(AV$4=1,IF(INDEX('×入力'!$C$1:$L$700,486+AV$3,AV$2)&lt;&gt;"",1,0),0)</f>
        <v/>
      </c>
      <c r="AW42">
        <f>IF(AW$4=1,IF(INDEX('×入力'!$C$1:$L$700,486+AW$3,AW$2)&lt;&gt;"",1,0),0)</f>
        <v/>
      </c>
      <c r="AX42">
        <f>IF(AX$4=1,IF(INDEX('×入力'!$C$1:$L$700,486+AX$3,AX$2)&lt;&gt;"",1,0),0)</f>
        <v/>
      </c>
      <c r="AY42">
        <f>IF(AY$4=1,IF(INDEX('×入力'!$C$1:$L$700,486+AY$3,AY$2)&lt;&gt;"",1,0),0)</f>
        <v/>
      </c>
      <c r="AZ42">
        <f>IF(AZ$4=1,IF(INDEX('×入力'!$C$1:$L$700,486+AZ$3,AZ$2)&lt;&gt;"",1,0),0)</f>
        <v/>
      </c>
      <c r="BA42">
        <f>IF(BA$4=1,IF(INDEX('×入力'!$C$1:$L$700,486+BA$3,BA$2)&lt;&gt;"",1,0),0)</f>
        <v/>
      </c>
      <c r="BB42">
        <f>IF(BB$4=1,IF(INDEX('×入力'!$C$1:$L$700,486+BB$3,BB$2)&lt;&gt;"",1,0),0)</f>
        <v/>
      </c>
      <c r="BC42">
        <f>IF(BC$4=1,IF(INDEX('×入力'!$C$1:$L$700,486+BC$3,BC$2)&lt;&gt;"",1,0),0)</f>
        <v/>
      </c>
      <c r="BD42">
        <f>IF(BD$4=1,IF(INDEX('×入力'!$C$1:$L$700,486+BD$3,BD$2)&lt;&gt;"",1,0),0)</f>
        <v/>
      </c>
      <c r="BE42">
        <f>IF(BE$4=1,IF(INDEX('×入力'!$C$1:$L$700,486+BE$3,BE$2)&lt;&gt;"",1,0),0)</f>
        <v/>
      </c>
      <c r="BF42">
        <f>IF(BF$4=1,IF(INDEX('×入力'!$C$1:$L$700,486+BF$3,BF$2)&lt;&gt;"",1,0),0)</f>
        <v/>
      </c>
      <c r="BG42">
        <f>IF(BG$4=1,IF(INDEX('×入力'!$C$1:$L$700,486+BG$3,BG$2)&lt;&gt;"",1,0),0)</f>
        <v/>
      </c>
      <c r="BH42">
        <f>IF(BH$4=1,IF(INDEX('×入力'!$C$1:$L$700,486+BH$3,BH$2)&lt;&gt;"",1,0),0)</f>
        <v/>
      </c>
      <c r="BI42">
        <f>IF(BI$4=1,IF(INDEX('×入力'!$C$1:$L$700,486+BI$3,BI$2)&lt;&gt;"",1,0),0)</f>
        <v/>
      </c>
      <c r="BJ42">
        <f>IF(BJ$4=1,IF(INDEX('×入力'!$C$1:$L$700,486+BJ$3,BJ$2)&lt;&gt;"",1,0),0)</f>
        <v/>
      </c>
      <c r="BK42">
        <f>IF(BK$4=1,IF(INDEX('×入力'!$C$1:$L$700,486+BK$3,BK$2)&lt;&gt;"",1,0),0)</f>
        <v/>
      </c>
      <c r="BL42">
        <f>IF(BL$4=1,IF(INDEX('×入力'!$C$1:$L$700,486+BL$3,BL$2)&lt;&gt;"",1,0),0)</f>
        <v/>
      </c>
      <c r="BM42">
        <f>IF(BM$4=1,IF(INDEX('×入力'!$C$1:$L$700,486+BM$3,BM$2)&lt;&gt;"",1,0),0)</f>
        <v/>
      </c>
      <c r="BN42">
        <f>IF(BN$4=1,IF(INDEX('×入力'!$C$1:$L$700,486+BN$3,BN$2)&lt;&gt;"",1,0),0)</f>
        <v/>
      </c>
      <c r="BO42">
        <f>IF(BO$4=1,IF(INDEX('×入力'!$C$1:$L$700,486+BO$3,BO$2)&lt;&gt;"",1,0),0)</f>
        <v/>
      </c>
      <c r="BP42">
        <f>IF(BP$4=1,IF(INDEX('×入力'!$C$1:$L$700,486+BP$3,BP$2)&lt;&gt;"",1,0),0)</f>
        <v/>
      </c>
      <c r="BQ42">
        <f>IF(BQ$4=1,IF(INDEX('×入力'!$C$1:$L$700,486+BQ$3,BQ$2)&lt;&gt;"",1,0),0)</f>
        <v/>
      </c>
      <c r="BR42">
        <f>IF(BR$4=1,IF(INDEX('×入力'!$C$1:$L$700,486+BR$3,BR$2)&lt;&gt;"",1,0),0)</f>
        <v/>
      </c>
      <c r="BS42">
        <f>IF(BS$4=1,IF(INDEX('×入力'!$C$1:$L$700,486+BS$3,BS$2)&lt;&gt;"",1,0),0)</f>
        <v/>
      </c>
      <c r="BT42">
        <f>IF(BT$4=1,IF(INDEX('×入力'!$C$1:$L$700,486+BT$3,BT$2)&lt;&gt;"",1,0),0)</f>
        <v/>
      </c>
      <c r="BU42">
        <f>IF(BU$4=1,IF(INDEX('×入力'!$C$1:$L$700,486+BU$3,BU$2)&lt;&gt;"",1,0),0)</f>
        <v/>
      </c>
      <c r="BV42">
        <f>IF(BV$4=1,IF(INDEX('×入力'!$C$1:$L$700,486+BV$3,BV$2)&lt;&gt;"",1,0),0)</f>
        <v/>
      </c>
      <c r="BW42">
        <f>IF(BW$4=1,IF(INDEX('×入力'!$C$1:$L$700,486+BW$3,BW$2)&lt;&gt;"",1,0),0)</f>
        <v/>
      </c>
      <c r="BX42">
        <f>IF(BX$4=1,IF(INDEX('×入力'!$C$1:$L$700,486+BX$3,BX$2)&lt;&gt;"",1,0),0)</f>
        <v/>
      </c>
      <c r="BY42">
        <f>IF(BY$4=1,IF(INDEX('×入力'!$C$1:$L$700,486+BY$3,BY$2)&lt;&gt;"",1,0),0)</f>
        <v/>
      </c>
      <c r="BZ42">
        <f>IF(BZ$4=1,IF(INDEX('×入力'!$C$1:$L$700,486+BZ$3,BZ$2)&lt;&gt;"",1,0),0)</f>
        <v/>
      </c>
      <c r="CA42">
        <f>IF(CA$4=1,IF(INDEX('×入力'!$C$1:$L$700,486+CA$3,CA$2)&lt;&gt;"",1,0),0)</f>
        <v/>
      </c>
      <c r="CB42">
        <f>IF(CB$4=1,IF(INDEX('×入力'!$C$1:$L$700,486+CB$3,CB$2)&lt;&gt;"",1,0),0)</f>
        <v/>
      </c>
      <c r="CC42">
        <f>IF(CC$4=1,IF(INDEX('×入力'!$C$1:$L$700,486+CC$3,CC$2)&lt;&gt;"",1,0),0)</f>
        <v/>
      </c>
      <c r="CD42">
        <f>IF(CD$4=1,IF(INDEX('×入力'!$C$1:$L$700,486+CD$3,CD$2)&lt;&gt;"",1,0),0)</f>
        <v/>
      </c>
      <c r="CE42">
        <f>IF(CE$4=1,IF(INDEX('×入力'!$C$1:$L$700,486+CE$3,CE$2)&lt;&gt;"",1,0),0)</f>
        <v/>
      </c>
      <c r="CF42">
        <f>IF(CF$4=1,IF(INDEX('×入力'!$C$1:$L$700,486+CF$3,CF$2)&lt;&gt;"",1,0),0)</f>
        <v/>
      </c>
      <c r="CG42">
        <f>IF(CG$4=1,IF(INDEX('×入力'!$C$1:$L$700,486+CG$3,CG$2)&lt;&gt;"",1,0),0)</f>
        <v/>
      </c>
      <c r="CH42">
        <f>IF(CH$4=1,IF(INDEX('×入力'!$C$1:$L$700,486+CH$3,CH$2)&lt;&gt;"",1,0),0)</f>
        <v/>
      </c>
      <c r="CI42">
        <f>IF(CI$4=1,IF(INDEX('×入力'!$C$1:$L$700,486+CI$3,CI$2)&lt;&gt;"",1,0),0)</f>
        <v/>
      </c>
      <c r="CJ42">
        <f>IF(CJ$4=1,IF(INDEX('×入力'!$C$1:$L$700,486+CJ$3,CJ$2)&lt;&gt;"",1,0),0)</f>
        <v/>
      </c>
      <c r="CK42">
        <f>IF(CK$4=1,IF(INDEX('×入力'!$C$1:$L$700,486+CK$3,CK$2)&lt;&gt;"",1,0),0)</f>
        <v/>
      </c>
      <c r="CL42">
        <f>IF(CL$4=1,IF(INDEX('×入力'!$C$1:$L$700,486+CL$3,CL$2)&lt;&gt;"",1,0),0)</f>
        <v/>
      </c>
      <c r="CM42">
        <f>IF(CM$4=1,IF(INDEX('×入力'!$C$1:$L$700,486+CM$3,CM$2)&lt;&gt;"",1,0),0)</f>
        <v/>
      </c>
      <c r="CN42">
        <f>IF(CN$4=1,IF(INDEX('×入力'!$C$1:$L$700,486+CN$3,CN$2)&lt;&gt;"",1,0),0)</f>
        <v/>
      </c>
      <c r="CO42">
        <f>IF(CO$4=1,IF(INDEX('×入力'!$C$1:$L$700,486+CO$3,CO$2)&lt;&gt;"",1,0),0)</f>
        <v/>
      </c>
      <c r="CP42">
        <f>IF(CP$4=1,IF(INDEX('×入力'!$C$1:$L$700,486+CP$3,CP$2)&lt;&gt;"",1,0),0)</f>
        <v/>
      </c>
      <c r="CQ42">
        <f>IF(CQ$4=1,IF(INDEX('×入力'!$C$1:$L$700,486+CQ$3,CQ$2)&lt;&gt;"",1,0),0)</f>
        <v/>
      </c>
      <c r="CR42">
        <f>IF(CR$4=1,IF(INDEX('×入力'!$C$1:$L$700,486+CR$3,CR$2)&lt;&gt;"",1,0),0)</f>
        <v/>
      </c>
      <c r="CS42">
        <f>IF(CS$4=1,IF(INDEX('×入力'!$C$1:$L$700,486+CS$3,CS$2)&lt;&gt;"",1,0),0)</f>
        <v/>
      </c>
      <c r="CT42">
        <f>IF(CT$4=1,IF(INDEX('×入力'!$C$1:$L$700,486+CT$3,CT$2)&lt;&gt;"",1,0),0)</f>
        <v/>
      </c>
      <c r="CU42">
        <f>IF(CU$4=1,IF(INDEX('×入力'!$C$1:$L$700,486+CU$3,CU$2)&lt;&gt;"",1,0),0)</f>
        <v/>
      </c>
      <c r="CV42">
        <f>IF(CV$4=1,IF(INDEX('×入力'!$C$1:$L$700,486+CV$3,CV$2)&lt;&gt;"",1,0),0)</f>
        <v/>
      </c>
      <c r="CW42">
        <f>IF(CW$4=1,IF(INDEX('×入力'!$C$1:$L$700,486+CW$3,CW$2)&lt;&gt;"",1,0),0)</f>
        <v/>
      </c>
      <c r="CX42">
        <f>IF(CX$4=1,IF(INDEX('×入力'!$C$1:$L$700,486+CX$3,CX$2)&lt;&gt;"",1,0),0)</f>
        <v/>
      </c>
      <c r="CY42">
        <f>IF(CY$4=1,IF(INDEX('×入力'!$C$1:$L$700,486+CY$3,CY$2)&lt;&gt;"",1,0),0)</f>
        <v/>
      </c>
      <c r="CZ42">
        <f>IF(CZ$4=1,IF(INDEX('×入力'!$C$1:$L$700,486+CZ$3,CZ$2)&lt;&gt;"",1,0),0)</f>
        <v/>
      </c>
      <c r="DA42">
        <f>IF(DA$4=1,IF(INDEX('×入力'!$C$1:$L$700,486+DA$3,DA$2)&lt;&gt;"",1,0),0)</f>
        <v/>
      </c>
      <c r="DB42">
        <f>IF(DB$4=1,IF(INDEX('×入力'!$C$1:$L$700,486+DB$3,DB$2)&lt;&gt;"",1,0),0)</f>
        <v/>
      </c>
      <c r="DC42">
        <f>IF(DC$4=1,IF(INDEX('×入力'!$C$1:$L$700,486+DC$3,DC$2)&lt;&gt;"",1,0),0)</f>
        <v/>
      </c>
      <c r="DD42">
        <f>IF(DD$4=1,IF(INDEX('×入力'!$C$1:$L$700,486+DD$3,DD$2)&lt;&gt;"",1,0),0)</f>
        <v/>
      </c>
      <c r="DE42">
        <f>IF(DE$4=1,IF(INDEX('×入力'!$C$1:$L$700,486+DE$3,DE$2)&lt;&gt;"",1,0),0)</f>
        <v/>
      </c>
      <c r="DF42">
        <f>IF(DF$4=1,IF(INDEX('×入力'!$C$1:$L$700,486+DF$3,DF$2)&lt;&gt;"",1,0),0)</f>
        <v/>
      </c>
      <c r="DG42">
        <f>IF(DG$4=1,IF(INDEX('×入力'!$C$1:$L$700,486+DG$3,DG$2)&lt;&gt;"",1,0),0)</f>
        <v/>
      </c>
      <c r="DH42">
        <f>IF(DH$4=1,IF(INDEX('×入力'!$C$1:$L$700,486+DH$3,DH$2)&lt;&gt;"",1,0),0)</f>
        <v/>
      </c>
      <c r="DI42">
        <f>IF(DI$4=1,IF(INDEX('×入力'!$C$1:$L$700,486+DI$3,DI$2)&lt;&gt;"",1,0),0)</f>
        <v/>
      </c>
      <c r="DJ42">
        <f>IF(DJ$4=1,IF(INDEX('×入力'!$C$1:$L$700,486+DJ$3,DJ$2)&lt;&gt;"",1,0),0)</f>
        <v/>
      </c>
      <c r="DK42">
        <f>IF(DK$4=1,IF(INDEX('×入力'!$C$1:$L$700,486+DK$3,DK$2)&lt;&gt;"",1,0),0)</f>
        <v/>
      </c>
      <c r="DL42">
        <f>IF(DL$4=1,IF(INDEX('×入力'!$C$1:$L$700,486+DL$3,DL$2)&lt;&gt;"",1,0),0)</f>
        <v/>
      </c>
      <c r="DM42">
        <f>IF(DM$4=1,IF(INDEX('×入力'!$C$1:$L$700,486+DM$3,DM$2)&lt;&gt;"",1,0),0)</f>
        <v/>
      </c>
      <c r="DN42">
        <f>IF(DN$4=1,IF(INDEX('×入力'!$C$1:$L$700,486+DN$3,DN$2)&lt;&gt;"",1,0),0)</f>
        <v/>
      </c>
      <c r="DO42">
        <f>IF(DO$4=1,IF(INDEX('×入力'!$C$1:$L$700,486+DO$3,DO$2)&lt;&gt;"",1,0),0)</f>
        <v/>
      </c>
      <c r="DP42">
        <f>IF(DP$4=1,IF(INDEX('×入力'!$C$1:$L$700,486+DP$3,DP$2)&lt;&gt;"",1,0),0)</f>
        <v/>
      </c>
      <c r="DQ42">
        <f>IF(DQ$4=1,IF(INDEX('×入力'!$C$1:$L$700,486+DQ$3,DQ$2)&lt;&gt;"",1,0),0)</f>
        <v/>
      </c>
      <c r="DR42">
        <f>IF(DR$4=1,IF(INDEX('×入力'!$C$1:$L$700,486+DR$3,DR$2)&lt;&gt;"",1,0),0)</f>
        <v/>
      </c>
      <c r="DS42">
        <f>IF(DS$4=1,IF(INDEX('×入力'!$C$1:$L$700,486+DS$3,DS$2)&lt;&gt;"",1,0),0)</f>
        <v/>
      </c>
      <c r="DU42">
        <f>IFERROR(INDEX('計算B'!$C$3:$C$47,MATCH(A42,'計算B'!$B$3:$B$47,0)),0)</f>
        <v/>
      </c>
      <c r="DV42">
        <f>IF(AND(C42=1,DU42=0),1,0)</f>
        <v/>
      </c>
      <c r="DW42">
        <f>SUMPRODUCT(D92:DS92*(1-$D$7:$DS$7))</f>
        <v/>
      </c>
      <c r="DX42">
        <f>SUM(D42:DS42)</f>
        <v/>
      </c>
      <c r="DY42">
        <f>IF(B42="",0,IF(COUNTIF('割り当て'!$C$6:$L$17,B42)=1,SUMPRODUCT(('割り当て'!$C$6:$L$17=B42)*((COLUMN('割り当て'!$C$6:$L$17)-3)*12+ROW('割り当て'!$C$6:$L$17)-5)),0))</f>
        <v/>
      </c>
    </row>
    <row r="43">
      <c r="A43" t="n">
        <v>34</v>
      </c>
      <c r="B43">
        <f>'名簿'!E38</f>
        <v/>
      </c>
      <c r="C43">
        <f>IF(AND(B43&lt;&gt;"",OR('名簿'!F38="入力済み",'名簿'!F38="×なし"),DY43=0,COUNTIF('割り当て'!$C$6:$L$17,B43)=0),1,0)</f>
        <v/>
      </c>
      <c r="D43">
        <f>IF(D$4=1,IF(INDEX('×入力'!$C$1:$L$700,501+D$3,D$2)&lt;&gt;"",1,0),0)</f>
        <v/>
      </c>
      <c r="E43">
        <f>IF(E$4=1,IF(INDEX('×入力'!$C$1:$L$700,501+E$3,E$2)&lt;&gt;"",1,0),0)</f>
        <v/>
      </c>
      <c r="F43">
        <f>IF(F$4=1,IF(INDEX('×入力'!$C$1:$L$700,501+F$3,F$2)&lt;&gt;"",1,0),0)</f>
        <v/>
      </c>
      <c r="G43">
        <f>IF(G$4=1,IF(INDEX('×入力'!$C$1:$L$700,501+G$3,G$2)&lt;&gt;"",1,0),0)</f>
        <v/>
      </c>
      <c r="H43">
        <f>IF(H$4=1,IF(INDEX('×入力'!$C$1:$L$700,501+H$3,H$2)&lt;&gt;"",1,0),0)</f>
        <v/>
      </c>
      <c r="I43">
        <f>IF(I$4=1,IF(INDEX('×入力'!$C$1:$L$700,501+I$3,I$2)&lt;&gt;"",1,0),0)</f>
        <v/>
      </c>
      <c r="J43">
        <f>IF(J$4=1,IF(INDEX('×入力'!$C$1:$L$700,501+J$3,J$2)&lt;&gt;"",1,0),0)</f>
        <v/>
      </c>
      <c r="K43">
        <f>IF(K$4=1,IF(INDEX('×入力'!$C$1:$L$700,501+K$3,K$2)&lt;&gt;"",1,0),0)</f>
        <v/>
      </c>
      <c r="L43">
        <f>IF(L$4=1,IF(INDEX('×入力'!$C$1:$L$700,501+L$3,L$2)&lt;&gt;"",1,0),0)</f>
        <v/>
      </c>
      <c r="M43">
        <f>IF(M$4=1,IF(INDEX('×入力'!$C$1:$L$700,501+M$3,M$2)&lt;&gt;"",1,0),0)</f>
        <v/>
      </c>
      <c r="N43">
        <f>IF(N$4=1,IF(INDEX('×入力'!$C$1:$L$700,501+N$3,N$2)&lt;&gt;"",1,0),0)</f>
        <v/>
      </c>
      <c r="O43">
        <f>IF(O$4=1,IF(INDEX('×入力'!$C$1:$L$700,501+O$3,O$2)&lt;&gt;"",1,0),0)</f>
        <v/>
      </c>
      <c r="P43">
        <f>IF(P$4=1,IF(INDEX('×入力'!$C$1:$L$700,501+P$3,P$2)&lt;&gt;"",1,0),0)</f>
        <v/>
      </c>
      <c r="Q43">
        <f>IF(Q$4=1,IF(INDEX('×入力'!$C$1:$L$700,501+Q$3,Q$2)&lt;&gt;"",1,0),0)</f>
        <v/>
      </c>
      <c r="R43">
        <f>IF(R$4=1,IF(INDEX('×入力'!$C$1:$L$700,501+R$3,R$2)&lt;&gt;"",1,0),0)</f>
        <v/>
      </c>
      <c r="S43">
        <f>IF(S$4=1,IF(INDEX('×入力'!$C$1:$L$700,501+S$3,S$2)&lt;&gt;"",1,0),0)</f>
        <v/>
      </c>
      <c r="T43">
        <f>IF(T$4=1,IF(INDEX('×入力'!$C$1:$L$700,501+T$3,T$2)&lt;&gt;"",1,0),0)</f>
        <v/>
      </c>
      <c r="U43">
        <f>IF(U$4=1,IF(INDEX('×入力'!$C$1:$L$700,501+U$3,U$2)&lt;&gt;"",1,0),0)</f>
        <v/>
      </c>
      <c r="V43">
        <f>IF(V$4=1,IF(INDEX('×入力'!$C$1:$L$700,501+V$3,V$2)&lt;&gt;"",1,0),0)</f>
        <v/>
      </c>
      <c r="W43">
        <f>IF(W$4=1,IF(INDEX('×入力'!$C$1:$L$700,501+W$3,W$2)&lt;&gt;"",1,0),0)</f>
        <v/>
      </c>
      <c r="X43">
        <f>IF(X$4=1,IF(INDEX('×入力'!$C$1:$L$700,501+X$3,X$2)&lt;&gt;"",1,0),0)</f>
        <v/>
      </c>
      <c r="Y43">
        <f>IF(Y$4=1,IF(INDEX('×入力'!$C$1:$L$700,501+Y$3,Y$2)&lt;&gt;"",1,0),0)</f>
        <v/>
      </c>
      <c r="Z43">
        <f>IF(Z$4=1,IF(INDEX('×入力'!$C$1:$L$700,501+Z$3,Z$2)&lt;&gt;"",1,0),0)</f>
        <v/>
      </c>
      <c r="AA43">
        <f>IF(AA$4=1,IF(INDEX('×入力'!$C$1:$L$700,501+AA$3,AA$2)&lt;&gt;"",1,0),0)</f>
        <v/>
      </c>
      <c r="AB43">
        <f>IF(AB$4=1,IF(INDEX('×入力'!$C$1:$L$700,501+AB$3,AB$2)&lt;&gt;"",1,0),0)</f>
        <v/>
      </c>
      <c r="AC43">
        <f>IF(AC$4=1,IF(INDEX('×入力'!$C$1:$L$700,501+AC$3,AC$2)&lt;&gt;"",1,0),0)</f>
        <v/>
      </c>
      <c r="AD43">
        <f>IF(AD$4=1,IF(INDEX('×入力'!$C$1:$L$700,501+AD$3,AD$2)&lt;&gt;"",1,0),0)</f>
        <v/>
      </c>
      <c r="AE43">
        <f>IF(AE$4=1,IF(INDEX('×入力'!$C$1:$L$700,501+AE$3,AE$2)&lt;&gt;"",1,0),0)</f>
        <v/>
      </c>
      <c r="AF43">
        <f>IF(AF$4=1,IF(INDEX('×入力'!$C$1:$L$700,501+AF$3,AF$2)&lt;&gt;"",1,0),0)</f>
        <v/>
      </c>
      <c r="AG43">
        <f>IF(AG$4=1,IF(INDEX('×入力'!$C$1:$L$700,501+AG$3,AG$2)&lt;&gt;"",1,0),0)</f>
        <v/>
      </c>
      <c r="AH43">
        <f>IF(AH$4=1,IF(INDEX('×入力'!$C$1:$L$700,501+AH$3,AH$2)&lt;&gt;"",1,0),0)</f>
        <v/>
      </c>
      <c r="AI43">
        <f>IF(AI$4=1,IF(INDEX('×入力'!$C$1:$L$700,501+AI$3,AI$2)&lt;&gt;"",1,0),0)</f>
        <v/>
      </c>
      <c r="AJ43">
        <f>IF(AJ$4=1,IF(INDEX('×入力'!$C$1:$L$700,501+AJ$3,AJ$2)&lt;&gt;"",1,0),0)</f>
        <v/>
      </c>
      <c r="AK43">
        <f>IF(AK$4=1,IF(INDEX('×入力'!$C$1:$L$700,501+AK$3,AK$2)&lt;&gt;"",1,0),0)</f>
        <v/>
      </c>
      <c r="AL43">
        <f>IF(AL$4=1,IF(INDEX('×入力'!$C$1:$L$700,501+AL$3,AL$2)&lt;&gt;"",1,0),0)</f>
        <v/>
      </c>
      <c r="AM43">
        <f>IF(AM$4=1,IF(INDEX('×入力'!$C$1:$L$700,501+AM$3,AM$2)&lt;&gt;"",1,0),0)</f>
        <v/>
      </c>
      <c r="AN43">
        <f>IF(AN$4=1,IF(INDEX('×入力'!$C$1:$L$700,501+AN$3,AN$2)&lt;&gt;"",1,0),0)</f>
        <v/>
      </c>
      <c r="AO43">
        <f>IF(AO$4=1,IF(INDEX('×入力'!$C$1:$L$700,501+AO$3,AO$2)&lt;&gt;"",1,0),0)</f>
        <v/>
      </c>
      <c r="AP43">
        <f>IF(AP$4=1,IF(INDEX('×入力'!$C$1:$L$700,501+AP$3,AP$2)&lt;&gt;"",1,0),0)</f>
        <v/>
      </c>
      <c r="AQ43">
        <f>IF(AQ$4=1,IF(INDEX('×入力'!$C$1:$L$700,501+AQ$3,AQ$2)&lt;&gt;"",1,0),0)</f>
        <v/>
      </c>
      <c r="AR43">
        <f>IF(AR$4=1,IF(INDEX('×入力'!$C$1:$L$700,501+AR$3,AR$2)&lt;&gt;"",1,0),0)</f>
        <v/>
      </c>
      <c r="AS43">
        <f>IF(AS$4=1,IF(INDEX('×入力'!$C$1:$L$700,501+AS$3,AS$2)&lt;&gt;"",1,0),0)</f>
        <v/>
      </c>
      <c r="AT43">
        <f>IF(AT$4=1,IF(INDEX('×入力'!$C$1:$L$700,501+AT$3,AT$2)&lt;&gt;"",1,0),0)</f>
        <v/>
      </c>
      <c r="AU43">
        <f>IF(AU$4=1,IF(INDEX('×入力'!$C$1:$L$700,501+AU$3,AU$2)&lt;&gt;"",1,0),0)</f>
        <v/>
      </c>
      <c r="AV43">
        <f>IF(AV$4=1,IF(INDEX('×入力'!$C$1:$L$700,501+AV$3,AV$2)&lt;&gt;"",1,0),0)</f>
        <v/>
      </c>
      <c r="AW43">
        <f>IF(AW$4=1,IF(INDEX('×入力'!$C$1:$L$700,501+AW$3,AW$2)&lt;&gt;"",1,0),0)</f>
        <v/>
      </c>
      <c r="AX43">
        <f>IF(AX$4=1,IF(INDEX('×入力'!$C$1:$L$700,501+AX$3,AX$2)&lt;&gt;"",1,0),0)</f>
        <v/>
      </c>
      <c r="AY43">
        <f>IF(AY$4=1,IF(INDEX('×入力'!$C$1:$L$700,501+AY$3,AY$2)&lt;&gt;"",1,0),0)</f>
        <v/>
      </c>
      <c r="AZ43">
        <f>IF(AZ$4=1,IF(INDEX('×入力'!$C$1:$L$700,501+AZ$3,AZ$2)&lt;&gt;"",1,0),0)</f>
        <v/>
      </c>
      <c r="BA43">
        <f>IF(BA$4=1,IF(INDEX('×入力'!$C$1:$L$700,501+BA$3,BA$2)&lt;&gt;"",1,0),0)</f>
        <v/>
      </c>
      <c r="BB43">
        <f>IF(BB$4=1,IF(INDEX('×入力'!$C$1:$L$700,501+BB$3,BB$2)&lt;&gt;"",1,0),0)</f>
        <v/>
      </c>
      <c r="BC43">
        <f>IF(BC$4=1,IF(INDEX('×入力'!$C$1:$L$700,501+BC$3,BC$2)&lt;&gt;"",1,0),0)</f>
        <v/>
      </c>
      <c r="BD43">
        <f>IF(BD$4=1,IF(INDEX('×入力'!$C$1:$L$700,501+BD$3,BD$2)&lt;&gt;"",1,0),0)</f>
        <v/>
      </c>
      <c r="BE43">
        <f>IF(BE$4=1,IF(INDEX('×入力'!$C$1:$L$700,501+BE$3,BE$2)&lt;&gt;"",1,0),0)</f>
        <v/>
      </c>
      <c r="BF43">
        <f>IF(BF$4=1,IF(INDEX('×入力'!$C$1:$L$700,501+BF$3,BF$2)&lt;&gt;"",1,0),0)</f>
        <v/>
      </c>
      <c r="BG43">
        <f>IF(BG$4=1,IF(INDEX('×入力'!$C$1:$L$700,501+BG$3,BG$2)&lt;&gt;"",1,0),0)</f>
        <v/>
      </c>
      <c r="BH43">
        <f>IF(BH$4=1,IF(INDEX('×入力'!$C$1:$L$700,501+BH$3,BH$2)&lt;&gt;"",1,0),0)</f>
        <v/>
      </c>
      <c r="BI43">
        <f>IF(BI$4=1,IF(INDEX('×入力'!$C$1:$L$700,501+BI$3,BI$2)&lt;&gt;"",1,0),0)</f>
        <v/>
      </c>
      <c r="BJ43">
        <f>IF(BJ$4=1,IF(INDEX('×入力'!$C$1:$L$700,501+BJ$3,BJ$2)&lt;&gt;"",1,0),0)</f>
        <v/>
      </c>
      <c r="BK43">
        <f>IF(BK$4=1,IF(INDEX('×入力'!$C$1:$L$700,501+BK$3,BK$2)&lt;&gt;"",1,0),0)</f>
        <v/>
      </c>
      <c r="BL43">
        <f>IF(BL$4=1,IF(INDEX('×入力'!$C$1:$L$700,501+BL$3,BL$2)&lt;&gt;"",1,0),0)</f>
        <v/>
      </c>
      <c r="BM43">
        <f>IF(BM$4=1,IF(INDEX('×入力'!$C$1:$L$700,501+BM$3,BM$2)&lt;&gt;"",1,0),0)</f>
        <v/>
      </c>
      <c r="BN43">
        <f>IF(BN$4=1,IF(INDEX('×入力'!$C$1:$L$700,501+BN$3,BN$2)&lt;&gt;"",1,0),0)</f>
        <v/>
      </c>
      <c r="BO43">
        <f>IF(BO$4=1,IF(INDEX('×入力'!$C$1:$L$700,501+BO$3,BO$2)&lt;&gt;"",1,0),0)</f>
        <v/>
      </c>
      <c r="BP43">
        <f>IF(BP$4=1,IF(INDEX('×入力'!$C$1:$L$700,501+BP$3,BP$2)&lt;&gt;"",1,0),0)</f>
        <v/>
      </c>
      <c r="BQ43">
        <f>IF(BQ$4=1,IF(INDEX('×入力'!$C$1:$L$700,501+BQ$3,BQ$2)&lt;&gt;"",1,0),0)</f>
        <v/>
      </c>
      <c r="BR43">
        <f>IF(BR$4=1,IF(INDEX('×入力'!$C$1:$L$700,501+BR$3,BR$2)&lt;&gt;"",1,0),0)</f>
        <v/>
      </c>
      <c r="BS43">
        <f>IF(BS$4=1,IF(INDEX('×入力'!$C$1:$L$700,501+BS$3,BS$2)&lt;&gt;"",1,0),0)</f>
        <v/>
      </c>
      <c r="BT43">
        <f>IF(BT$4=1,IF(INDEX('×入力'!$C$1:$L$700,501+BT$3,BT$2)&lt;&gt;"",1,0),0)</f>
        <v/>
      </c>
      <c r="BU43">
        <f>IF(BU$4=1,IF(INDEX('×入力'!$C$1:$L$700,501+BU$3,BU$2)&lt;&gt;"",1,0),0)</f>
        <v/>
      </c>
      <c r="BV43">
        <f>IF(BV$4=1,IF(INDEX('×入力'!$C$1:$L$700,501+BV$3,BV$2)&lt;&gt;"",1,0),0)</f>
        <v/>
      </c>
      <c r="BW43">
        <f>IF(BW$4=1,IF(INDEX('×入力'!$C$1:$L$700,501+BW$3,BW$2)&lt;&gt;"",1,0),0)</f>
        <v/>
      </c>
      <c r="BX43">
        <f>IF(BX$4=1,IF(INDEX('×入力'!$C$1:$L$700,501+BX$3,BX$2)&lt;&gt;"",1,0),0)</f>
        <v/>
      </c>
      <c r="BY43">
        <f>IF(BY$4=1,IF(INDEX('×入力'!$C$1:$L$700,501+BY$3,BY$2)&lt;&gt;"",1,0),0)</f>
        <v/>
      </c>
      <c r="BZ43">
        <f>IF(BZ$4=1,IF(INDEX('×入力'!$C$1:$L$700,501+BZ$3,BZ$2)&lt;&gt;"",1,0),0)</f>
        <v/>
      </c>
      <c r="CA43">
        <f>IF(CA$4=1,IF(INDEX('×入力'!$C$1:$L$700,501+CA$3,CA$2)&lt;&gt;"",1,0),0)</f>
        <v/>
      </c>
      <c r="CB43">
        <f>IF(CB$4=1,IF(INDEX('×入力'!$C$1:$L$700,501+CB$3,CB$2)&lt;&gt;"",1,0),0)</f>
        <v/>
      </c>
      <c r="CC43">
        <f>IF(CC$4=1,IF(INDEX('×入力'!$C$1:$L$700,501+CC$3,CC$2)&lt;&gt;"",1,0),0)</f>
        <v/>
      </c>
      <c r="CD43">
        <f>IF(CD$4=1,IF(INDEX('×入力'!$C$1:$L$700,501+CD$3,CD$2)&lt;&gt;"",1,0),0)</f>
        <v/>
      </c>
      <c r="CE43">
        <f>IF(CE$4=1,IF(INDEX('×入力'!$C$1:$L$700,501+CE$3,CE$2)&lt;&gt;"",1,0),0)</f>
        <v/>
      </c>
      <c r="CF43">
        <f>IF(CF$4=1,IF(INDEX('×入力'!$C$1:$L$700,501+CF$3,CF$2)&lt;&gt;"",1,0),0)</f>
        <v/>
      </c>
      <c r="CG43">
        <f>IF(CG$4=1,IF(INDEX('×入力'!$C$1:$L$700,501+CG$3,CG$2)&lt;&gt;"",1,0),0)</f>
        <v/>
      </c>
      <c r="CH43">
        <f>IF(CH$4=1,IF(INDEX('×入力'!$C$1:$L$700,501+CH$3,CH$2)&lt;&gt;"",1,0),0)</f>
        <v/>
      </c>
      <c r="CI43">
        <f>IF(CI$4=1,IF(INDEX('×入力'!$C$1:$L$700,501+CI$3,CI$2)&lt;&gt;"",1,0),0)</f>
        <v/>
      </c>
      <c r="CJ43">
        <f>IF(CJ$4=1,IF(INDEX('×入力'!$C$1:$L$700,501+CJ$3,CJ$2)&lt;&gt;"",1,0),0)</f>
        <v/>
      </c>
      <c r="CK43">
        <f>IF(CK$4=1,IF(INDEX('×入力'!$C$1:$L$700,501+CK$3,CK$2)&lt;&gt;"",1,0),0)</f>
        <v/>
      </c>
      <c r="CL43">
        <f>IF(CL$4=1,IF(INDEX('×入力'!$C$1:$L$700,501+CL$3,CL$2)&lt;&gt;"",1,0),0)</f>
        <v/>
      </c>
      <c r="CM43">
        <f>IF(CM$4=1,IF(INDEX('×入力'!$C$1:$L$700,501+CM$3,CM$2)&lt;&gt;"",1,0),0)</f>
        <v/>
      </c>
      <c r="CN43">
        <f>IF(CN$4=1,IF(INDEX('×入力'!$C$1:$L$700,501+CN$3,CN$2)&lt;&gt;"",1,0),0)</f>
        <v/>
      </c>
      <c r="CO43">
        <f>IF(CO$4=1,IF(INDEX('×入力'!$C$1:$L$700,501+CO$3,CO$2)&lt;&gt;"",1,0),0)</f>
        <v/>
      </c>
      <c r="CP43">
        <f>IF(CP$4=1,IF(INDEX('×入力'!$C$1:$L$700,501+CP$3,CP$2)&lt;&gt;"",1,0),0)</f>
        <v/>
      </c>
      <c r="CQ43">
        <f>IF(CQ$4=1,IF(INDEX('×入力'!$C$1:$L$700,501+CQ$3,CQ$2)&lt;&gt;"",1,0),0)</f>
        <v/>
      </c>
      <c r="CR43">
        <f>IF(CR$4=1,IF(INDEX('×入力'!$C$1:$L$700,501+CR$3,CR$2)&lt;&gt;"",1,0),0)</f>
        <v/>
      </c>
      <c r="CS43">
        <f>IF(CS$4=1,IF(INDEX('×入力'!$C$1:$L$700,501+CS$3,CS$2)&lt;&gt;"",1,0),0)</f>
        <v/>
      </c>
      <c r="CT43">
        <f>IF(CT$4=1,IF(INDEX('×入力'!$C$1:$L$700,501+CT$3,CT$2)&lt;&gt;"",1,0),0)</f>
        <v/>
      </c>
      <c r="CU43">
        <f>IF(CU$4=1,IF(INDEX('×入力'!$C$1:$L$700,501+CU$3,CU$2)&lt;&gt;"",1,0),0)</f>
        <v/>
      </c>
      <c r="CV43">
        <f>IF(CV$4=1,IF(INDEX('×入力'!$C$1:$L$700,501+CV$3,CV$2)&lt;&gt;"",1,0),0)</f>
        <v/>
      </c>
      <c r="CW43">
        <f>IF(CW$4=1,IF(INDEX('×入力'!$C$1:$L$700,501+CW$3,CW$2)&lt;&gt;"",1,0),0)</f>
        <v/>
      </c>
      <c r="CX43">
        <f>IF(CX$4=1,IF(INDEX('×入力'!$C$1:$L$700,501+CX$3,CX$2)&lt;&gt;"",1,0),0)</f>
        <v/>
      </c>
      <c r="CY43">
        <f>IF(CY$4=1,IF(INDEX('×入力'!$C$1:$L$700,501+CY$3,CY$2)&lt;&gt;"",1,0),0)</f>
        <v/>
      </c>
      <c r="CZ43">
        <f>IF(CZ$4=1,IF(INDEX('×入力'!$C$1:$L$700,501+CZ$3,CZ$2)&lt;&gt;"",1,0),0)</f>
        <v/>
      </c>
      <c r="DA43">
        <f>IF(DA$4=1,IF(INDEX('×入力'!$C$1:$L$700,501+DA$3,DA$2)&lt;&gt;"",1,0),0)</f>
        <v/>
      </c>
      <c r="DB43">
        <f>IF(DB$4=1,IF(INDEX('×入力'!$C$1:$L$700,501+DB$3,DB$2)&lt;&gt;"",1,0),0)</f>
        <v/>
      </c>
      <c r="DC43">
        <f>IF(DC$4=1,IF(INDEX('×入力'!$C$1:$L$700,501+DC$3,DC$2)&lt;&gt;"",1,0),0)</f>
        <v/>
      </c>
      <c r="DD43">
        <f>IF(DD$4=1,IF(INDEX('×入力'!$C$1:$L$700,501+DD$3,DD$2)&lt;&gt;"",1,0),0)</f>
        <v/>
      </c>
      <c r="DE43">
        <f>IF(DE$4=1,IF(INDEX('×入力'!$C$1:$L$700,501+DE$3,DE$2)&lt;&gt;"",1,0),0)</f>
        <v/>
      </c>
      <c r="DF43">
        <f>IF(DF$4=1,IF(INDEX('×入力'!$C$1:$L$700,501+DF$3,DF$2)&lt;&gt;"",1,0),0)</f>
        <v/>
      </c>
      <c r="DG43">
        <f>IF(DG$4=1,IF(INDEX('×入力'!$C$1:$L$700,501+DG$3,DG$2)&lt;&gt;"",1,0),0)</f>
        <v/>
      </c>
      <c r="DH43">
        <f>IF(DH$4=1,IF(INDEX('×入力'!$C$1:$L$700,501+DH$3,DH$2)&lt;&gt;"",1,0),0)</f>
        <v/>
      </c>
      <c r="DI43">
        <f>IF(DI$4=1,IF(INDEX('×入力'!$C$1:$L$700,501+DI$3,DI$2)&lt;&gt;"",1,0),0)</f>
        <v/>
      </c>
      <c r="DJ43">
        <f>IF(DJ$4=1,IF(INDEX('×入力'!$C$1:$L$700,501+DJ$3,DJ$2)&lt;&gt;"",1,0),0)</f>
        <v/>
      </c>
      <c r="DK43">
        <f>IF(DK$4=1,IF(INDEX('×入力'!$C$1:$L$700,501+DK$3,DK$2)&lt;&gt;"",1,0),0)</f>
        <v/>
      </c>
      <c r="DL43">
        <f>IF(DL$4=1,IF(INDEX('×入力'!$C$1:$L$700,501+DL$3,DL$2)&lt;&gt;"",1,0),0)</f>
        <v/>
      </c>
      <c r="DM43">
        <f>IF(DM$4=1,IF(INDEX('×入力'!$C$1:$L$700,501+DM$3,DM$2)&lt;&gt;"",1,0),0)</f>
        <v/>
      </c>
      <c r="DN43">
        <f>IF(DN$4=1,IF(INDEX('×入力'!$C$1:$L$700,501+DN$3,DN$2)&lt;&gt;"",1,0),0)</f>
        <v/>
      </c>
      <c r="DO43">
        <f>IF(DO$4=1,IF(INDEX('×入力'!$C$1:$L$700,501+DO$3,DO$2)&lt;&gt;"",1,0),0)</f>
        <v/>
      </c>
      <c r="DP43">
        <f>IF(DP$4=1,IF(INDEX('×入力'!$C$1:$L$700,501+DP$3,DP$2)&lt;&gt;"",1,0),0)</f>
        <v/>
      </c>
      <c r="DQ43">
        <f>IF(DQ$4=1,IF(INDEX('×入力'!$C$1:$L$700,501+DQ$3,DQ$2)&lt;&gt;"",1,0),0)</f>
        <v/>
      </c>
      <c r="DR43">
        <f>IF(DR$4=1,IF(INDEX('×入力'!$C$1:$L$700,501+DR$3,DR$2)&lt;&gt;"",1,0),0)</f>
        <v/>
      </c>
      <c r="DS43">
        <f>IF(DS$4=1,IF(INDEX('×入力'!$C$1:$L$700,501+DS$3,DS$2)&lt;&gt;"",1,0),0)</f>
        <v/>
      </c>
      <c r="DU43">
        <f>IFERROR(INDEX('計算B'!$C$3:$C$47,MATCH(A43,'計算B'!$B$3:$B$47,0)),0)</f>
        <v/>
      </c>
      <c r="DV43">
        <f>IF(AND(C43=1,DU43=0),1,0)</f>
        <v/>
      </c>
      <c r="DW43">
        <f>SUMPRODUCT(D93:DS93*(1-$D$7:$DS$7))</f>
        <v/>
      </c>
      <c r="DX43">
        <f>SUM(D43:DS43)</f>
        <v/>
      </c>
      <c r="DY43">
        <f>IF(B43="",0,IF(COUNTIF('割り当て'!$C$6:$L$17,B43)=1,SUMPRODUCT(('割り当て'!$C$6:$L$17=B43)*((COLUMN('割り当て'!$C$6:$L$17)-3)*12+ROW('割り当て'!$C$6:$L$17)-5)),0))</f>
        <v/>
      </c>
    </row>
    <row r="44">
      <c r="A44" t="n">
        <v>35</v>
      </c>
      <c r="B44">
        <f>'名簿'!E39</f>
        <v/>
      </c>
      <c r="C44">
        <f>IF(AND(B44&lt;&gt;"",OR('名簿'!F39="入力済み",'名簿'!F39="×なし"),DY44=0,COUNTIF('割り当て'!$C$6:$L$17,B44)=0),1,0)</f>
        <v/>
      </c>
      <c r="D44">
        <f>IF(D$4=1,IF(INDEX('×入力'!$C$1:$L$700,516+D$3,D$2)&lt;&gt;"",1,0),0)</f>
        <v/>
      </c>
      <c r="E44">
        <f>IF(E$4=1,IF(INDEX('×入力'!$C$1:$L$700,516+E$3,E$2)&lt;&gt;"",1,0),0)</f>
        <v/>
      </c>
      <c r="F44">
        <f>IF(F$4=1,IF(INDEX('×入力'!$C$1:$L$700,516+F$3,F$2)&lt;&gt;"",1,0),0)</f>
        <v/>
      </c>
      <c r="G44">
        <f>IF(G$4=1,IF(INDEX('×入力'!$C$1:$L$700,516+G$3,G$2)&lt;&gt;"",1,0),0)</f>
        <v/>
      </c>
      <c r="H44">
        <f>IF(H$4=1,IF(INDEX('×入力'!$C$1:$L$700,516+H$3,H$2)&lt;&gt;"",1,0),0)</f>
        <v/>
      </c>
      <c r="I44">
        <f>IF(I$4=1,IF(INDEX('×入力'!$C$1:$L$700,516+I$3,I$2)&lt;&gt;"",1,0),0)</f>
        <v/>
      </c>
      <c r="J44">
        <f>IF(J$4=1,IF(INDEX('×入力'!$C$1:$L$700,516+J$3,J$2)&lt;&gt;"",1,0),0)</f>
        <v/>
      </c>
      <c r="K44">
        <f>IF(K$4=1,IF(INDEX('×入力'!$C$1:$L$700,516+K$3,K$2)&lt;&gt;"",1,0),0)</f>
        <v/>
      </c>
      <c r="L44">
        <f>IF(L$4=1,IF(INDEX('×入力'!$C$1:$L$700,516+L$3,L$2)&lt;&gt;"",1,0),0)</f>
        <v/>
      </c>
      <c r="M44">
        <f>IF(M$4=1,IF(INDEX('×入力'!$C$1:$L$700,516+M$3,M$2)&lt;&gt;"",1,0),0)</f>
        <v/>
      </c>
      <c r="N44">
        <f>IF(N$4=1,IF(INDEX('×入力'!$C$1:$L$700,516+N$3,N$2)&lt;&gt;"",1,0),0)</f>
        <v/>
      </c>
      <c r="O44">
        <f>IF(O$4=1,IF(INDEX('×入力'!$C$1:$L$700,516+O$3,O$2)&lt;&gt;"",1,0),0)</f>
        <v/>
      </c>
      <c r="P44">
        <f>IF(P$4=1,IF(INDEX('×入力'!$C$1:$L$700,516+P$3,P$2)&lt;&gt;"",1,0),0)</f>
        <v/>
      </c>
      <c r="Q44">
        <f>IF(Q$4=1,IF(INDEX('×入力'!$C$1:$L$700,516+Q$3,Q$2)&lt;&gt;"",1,0),0)</f>
        <v/>
      </c>
      <c r="R44">
        <f>IF(R$4=1,IF(INDEX('×入力'!$C$1:$L$700,516+R$3,R$2)&lt;&gt;"",1,0),0)</f>
        <v/>
      </c>
      <c r="S44">
        <f>IF(S$4=1,IF(INDEX('×入力'!$C$1:$L$700,516+S$3,S$2)&lt;&gt;"",1,0),0)</f>
        <v/>
      </c>
      <c r="T44">
        <f>IF(T$4=1,IF(INDEX('×入力'!$C$1:$L$700,516+T$3,T$2)&lt;&gt;"",1,0),0)</f>
        <v/>
      </c>
      <c r="U44">
        <f>IF(U$4=1,IF(INDEX('×入力'!$C$1:$L$700,516+U$3,U$2)&lt;&gt;"",1,0),0)</f>
        <v/>
      </c>
      <c r="V44">
        <f>IF(V$4=1,IF(INDEX('×入力'!$C$1:$L$700,516+V$3,V$2)&lt;&gt;"",1,0),0)</f>
        <v/>
      </c>
      <c r="W44">
        <f>IF(W$4=1,IF(INDEX('×入力'!$C$1:$L$700,516+W$3,W$2)&lt;&gt;"",1,0),0)</f>
        <v/>
      </c>
      <c r="X44">
        <f>IF(X$4=1,IF(INDEX('×入力'!$C$1:$L$700,516+X$3,X$2)&lt;&gt;"",1,0),0)</f>
        <v/>
      </c>
      <c r="Y44">
        <f>IF(Y$4=1,IF(INDEX('×入力'!$C$1:$L$700,516+Y$3,Y$2)&lt;&gt;"",1,0),0)</f>
        <v/>
      </c>
      <c r="Z44">
        <f>IF(Z$4=1,IF(INDEX('×入力'!$C$1:$L$700,516+Z$3,Z$2)&lt;&gt;"",1,0),0)</f>
        <v/>
      </c>
      <c r="AA44">
        <f>IF(AA$4=1,IF(INDEX('×入力'!$C$1:$L$700,516+AA$3,AA$2)&lt;&gt;"",1,0),0)</f>
        <v/>
      </c>
      <c r="AB44">
        <f>IF(AB$4=1,IF(INDEX('×入力'!$C$1:$L$700,516+AB$3,AB$2)&lt;&gt;"",1,0),0)</f>
        <v/>
      </c>
      <c r="AC44">
        <f>IF(AC$4=1,IF(INDEX('×入力'!$C$1:$L$700,516+AC$3,AC$2)&lt;&gt;"",1,0),0)</f>
        <v/>
      </c>
      <c r="AD44">
        <f>IF(AD$4=1,IF(INDEX('×入力'!$C$1:$L$700,516+AD$3,AD$2)&lt;&gt;"",1,0),0)</f>
        <v/>
      </c>
      <c r="AE44">
        <f>IF(AE$4=1,IF(INDEX('×入力'!$C$1:$L$700,516+AE$3,AE$2)&lt;&gt;"",1,0),0)</f>
        <v/>
      </c>
      <c r="AF44">
        <f>IF(AF$4=1,IF(INDEX('×入力'!$C$1:$L$700,516+AF$3,AF$2)&lt;&gt;"",1,0),0)</f>
        <v/>
      </c>
      <c r="AG44">
        <f>IF(AG$4=1,IF(INDEX('×入力'!$C$1:$L$700,516+AG$3,AG$2)&lt;&gt;"",1,0),0)</f>
        <v/>
      </c>
      <c r="AH44">
        <f>IF(AH$4=1,IF(INDEX('×入力'!$C$1:$L$700,516+AH$3,AH$2)&lt;&gt;"",1,0),0)</f>
        <v/>
      </c>
      <c r="AI44">
        <f>IF(AI$4=1,IF(INDEX('×入力'!$C$1:$L$700,516+AI$3,AI$2)&lt;&gt;"",1,0),0)</f>
        <v/>
      </c>
      <c r="AJ44">
        <f>IF(AJ$4=1,IF(INDEX('×入力'!$C$1:$L$700,516+AJ$3,AJ$2)&lt;&gt;"",1,0),0)</f>
        <v/>
      </c>
      <c r="AK44">
        <f>IF(AK$4=1,IF(INDEX('×入力'!$C$1:$L$700,516+AK$3,AK$2)&lt;&gt;"",1,0),0)</f>
        <v/>
      </c>
      <c r="AL44">
        <f>IF(AL$4=1,IF(INDEX('×入力'!$C$1:$L$700,516+AL$3,AL$2)&lt;&gt;"",1,0),0)</f>
        <v/>
      </c>
      <c r="AM44">
        <f>IF(AM$4=1,IF(INDEX('×入力'!$C$1:$L$700,516+AM$3,AM$2)&lt;&gt;"",1,0),0)</f>
        <v/>
      </c>
      <c r="AN44">
        <f>IF(AN$4=1,IF(INDEX('×入力'!$C$1:$L$700,516+AN$3,AN$2)&lt;&gt;"",1,0),0)</f>
        <v/>
      </c>
      <c r="AO44">
        <f>IF(AO$4=1,IF(INDEX('×入力'!$C$1:$L$700,516+AO$3,AO$2)&lt;&gt;"",1,0),0)</f>
        <v/>
      </c>
      <c r="AP44">
        <f>IF(AP$4=1,IF(INDEX('×入力'!$C$1:$L$700,516+AP$3,AP$2)&lt;&gt;"",1,0),0)</f>
        <v/>
      </c>
      <c r="AQ44">
        <f>IF(AQ$4=1,IF(INDEX('×入力'!$C$1:$L$700,516+AQ$3,AQ$2)&lt;&gt;"",1,0),0)</f>
        <v/>
      </c>
      <c r="AR44">
        <f>IF(AR$4=1,IF(INDEX('×入力'!$C$1:$L$700,516+AR$3,AR$2)&lt;&gt;"",1,0),0)</f>
        <v/>
      </c>
      <c r="AS44">
        <f>IF(AS$4=1,IF(INDEX('×入力'!$C$1:$L$700,516+AS$3,AS$2)&lt;&gt;"",1,0),0)</f>
        <v/>
      </c>
      <c r="AT44">
        <f>IF(AT$4=1,IF(INDEX('×入力'!$C$1:$L$700,516+AT$3,AT$2)&lt;&gt;"",1,0),0)</f>
        <v/>
      </c>
      <c r="AU44">
        <f>IF(AU$4=1,IF(INDEX('×入力'!$C$1:$L$700,516+AU$3,AU$2)&lt;&gt;"",1,0),0)</f>
        <v/>
      </c>
      <c r="AV44">
        <f>IF(AV$4=1,IF(INDEX('×入力'!$C$1:$L$700,516+AV$3,AV$2)&lt;&gt;"",1,0),0)</f>
        <v/>
      </c>
      <c r="AW44">
        <f>IF(AW$4=1,IF(INDEX('×入力'!$C$1:$L$700,516+AW$3,AW$2)&lt;&gt;"",1,0),0)</f>
        <v/>
      </c>
      <c r="AX44">
        <f>IF(AX$4=1,IF(INDEX('×入力'!$C$1:$L$700,516+AX$3,AX$2)&lt;&gt;"",1,0),0)</f>
        <v/>
      </c>
      <c r="AY44">
        <f>IF(AY$4=1,IF(INDEX('×入力'!$C$1:$L$700,516+AY$3,AY$2)&lt;&gt;"",1,0),0)</f>
        <v/>
      </c>
      <c r="AZ44">
        <f>IF(AZ$4=1,IF(INDEX('×入力'!$C$1:$L$700,516+AZ$3,AZ$2)&lt;&gt;"",1,0),0)</f>
        <v/>
      </c>
      <c r="BA44">
        <f>IF(BA$4=1,IF(INDEX('×入力'!$C$1:$L$700,516+BA$3,BA$2)&lt;&gt;"",1,0),0)</f>
        <v/>
      </c>
      <c r="BB44">
        <f>IF(BB$4=1,IF(INDEX('×入力'!$C$1:$L$700,516+BB$3,BB$2)&lt;&gt;"",1,0),0)</f>
        <v/>
      </c>
      <c r="BC44">
        <f>IF(BC$4=1,IF(INDEX('×入力'!$C$1:$L$700,516+BC$3,BC$2)&lt;&gt;"",1,0),0)</f>
        <v/>
      </c>
      <c r="BD44">
        <f>IF(BD$4=1,IF(INDEX('×入力'!$C$1:$L$700,516+BD$3,BD$2)&lt;&gt;"",1,0),0)</f>
        <v/>
      </c>
      <c r="BE44">
        <f>IF(BE$4=1,IF(INDEX('×入力'!$C$1:$L$700,516+BE$3,BE$2)&lt;&gt;"",1,0),0)</f>
        <v/>
      </c>
      <c r="BF44">
        <f>IF(BF$4=1,IF(INDEX('×入力'!$C$1:$L$700,516+BF$3,BF$2)&lt;&gt;"",1,0),0)</f>
        <v/>
      </c>
      <c r="BG44">
        <f>IF(BG$4=1,IF(INDEX('×入力'!$C$1:$L$700,516+BG$3,BG$2)&lt;&gt;"",1,0),0)</f>
        <v/>
      </c>
      <c r="BH44">
        <f>IF(BH$4=1,IF(INDEX('×入力'!$C$1:$L$700,516+BH$3,BH$2)&lt;&gt;"",1,0),0)</f>
        <v/>
      </c>
      <c r="BI44">
        <f>IF(BI$4=1,IF(INDEX('×入力'!$C$1:$L$700,516+BI$3,BI$2)&lt;&gt;"",1,0),0)</f>
        <v/>
      </c>
      <c r="BJ44">
        <f>IF(BJ$4=1,IF(INDEX('×入力'!$C$1:$L$700,516+BJ$3,BJ$2)&lt;&gt;"",1,0),0)</f>
        <v/>
      </c>
      <c r="BK44">
        <f>IF(BK$4=1,IF(INDEX('×入力'!$C$1:$L$700,516+BK$3,BK$2)&lt;&gt;"",1,0),0)</f>
        <v/>
      </c>
      <c r="BL44">
        <f>IF(BL$4=1,IF(INDEX('×入力'!$C$1:$L$700,516+BL$3,BL$2)&lt;&gt;"",1,0),0)</f>
        <v/>
      </c>
      <c r="BM44">
        <f>IF(BM$4=1,IF(INDEX('×入力'!$C$1:$L$700,516+BM$3,BM$2)&lt;&gt;"",1,0),0)</f>
        <v/>
      </c>
      <c r="BN44">
        <f>IF(BN$4=1,IF(INDEX('×入力'!$C$1:$L$700,516+BN$3,BN$2)&lt;&gt;"",1,0),0)</f>
        <v/>
      </c>
      <c r="BO44">
        <f>IF(BO$4=1,IF(INDEX('×入力'!$C$1:$L$700,516+BO$3,BO$2)&lt;&gt;"",1,0),0)</f>
        <v/>
      </c>
      <c r="BP44">
        <f>IF(BP$4=1,IF(INDEX('×入力'!$C$1:$L$700,516+BP$3,BP$2)&lt;&gt;"",1,0),0)</f>
        <v/>
      </c>
      <c r="BQ44">
        <f>IF(BQ$4=1,IF(INDEX('×入力'!$C$1:$L$700,516+BQ$3,BQ$2)&lt;&gt;"",1,0),0)</f>
        <v/>
      </c>
      <c r="BR44">
        <f>IF(BR$4=1,IF(INDEX('×入力'!$C$1:$L$700,516+BR$3,BR$2)&lt;&gt;"",1,0),0)</f>
        <v/>
      </c>
      <c r="BS44">
        <f>IF(BS$4=1,IF(INDEX('×入力'!$C$1:$L$700,516+BS$3,BS$2)&lt;&gt;"",1,0),0)</f>
        <v/>
      </c>
      <c r="BT44">
        <f>IF(BT$4=1,IF(INDEX('×入力'!$C$1:$L$700,516+BT$3,BT$2)&lt;&gt;"",1,0),0)</f>
        <v/>
      </c>
      <c r="BU44">
        <f>IF(BU$4=1,IF(INDEX('×入力'!$C$1:$L$700,516+BU$3,BU$2)&lt;&gt;"",1,0),0)</f>
        <v/>
      </c>
      <c r="BV44">
        <f>IF(BV$4=1,IF(INDEX('×入力'!$C$1:$L$700,516+BV$3,BV$2)&lt;&gt;"",1,0),0)</f>
        <v/>
      </c>
      <c r="BW44">
        <f>IF(BW$4=1,IF(INDEX('×入力'!$C$1:$L$700,516+BW$3,BW$2)&lt;&gt;"",1,0),0)</f>
        <v/>
      </c>
      <c r="BX44">
        <f>IF(BX$4=1,IF(INDEX('×入力'!$C$1:$L$700,516+BX$3,BX$2)&lt;&gt;"",1,0),0)</f>
        <v/>
      </c>
      <c r="BY44">
        <f>IF(BY$4=1,IF(INDEX('×入力'!$C$1:$L$700,516+BY$3,BY$2)&lt;&gt;"",1,0),0)</f>
        <v/>
      </c>
      <c r="BZ44">
        <f>IF(BZ$4=1,IF(INDEX('×入力'!$C$1:$L$700,516+BZ$3,BZ$2)&lt;&gt;"",1,0),0)</f>
        <v/>
      </c>
      <c r="CA44">
        <f>IF(CA$4=1,IF(INDEX('×入力'!$C$1:$L$700,516+CA$3,CA$2)&lt;&gt;"",1,0),0)</f>
        <v/>
      </c>
      <c r="CB44">
        <f>IF(CB$4=1,IF(INDEX('×入力'!$C$1:$L$700,516+CB$3,CB$2)&lt;&gt;"",1,0),0)</f>
        <v/>
      </c>
      <c r="CC44">
        <f>IF(CC$4=1,IF(INDEX('×入力'!$C$1:$L$700,516+CC$3,CC$2)&lt;&gt;"",1,0),0)</f>
        <v/>
      </c>
      <c r="CD44">
        <f>IF(CD$4=1,IF(INDEX('×入力'!$C$1:$L$700,516+CD$3,CD$2)&lt;&gt;"",1,0),0)</f>
        <v/>
      </c>
      <c r="CE44">
        <f>IF(CE$4=1,IF(INDEX('×入力'!$C$1:$L$700,516+CE$3,CE$2)&lt;&gt;"",1,0),0)</f>
        <v/>
      </c>
      <c r="CF44">
        <f>IF(CF$4=1,IF(INDEX('×入力'!$C$1:$L$700,516+CF$3,CF$2)&lt;&gt;"",1,0),0)</f>
        <v/>
      </c>
      <c r="CG44">
        <f>IF(CG$4=1,IF(INDEX('×入力'!$C$1:$L$700,516+CG$3,CG$2)&lt;&gt;"",1,0),0)</f>
        <v/>
      </c>
      <c r="CH44">
        <f>IF(CH$4=1,IF(INDEX('×入力'!$C$1:$L$700,516+CH$3,CH$2)&lt;&gt;"",1,0),0)</f>
        <v/>
      </c>
      <c r="CI44">
        <f>IF(CI$4=1,IF(INDEX('×入力'!$C$1:$L$700,516+CI$3,CI$2)&lt;&gt;"",1,0),0)</f>
        <v/>
      </c>
      <c r="CJ44">
        <f>IF(CJ$4=1,IF(INDEX('×入力'!$C$1:$L$700,516+CJ$3,CJ$2)&lt;&gt;"",1,0),0)</f>
        <v/>
      </c>
      <c r="CK44">
        <f>IF(CK$4=1,IF(INDEX('×入力'!$C$1:$L$700,516+CK$3,CK$2)&lt;&gt;"",1,0),0)</f>
        <v/>
      </c>
      <c r="CL44">
        <f>IF(CL$4=1,IF(INDEX('×入力'!$C$1:$L$700,516+CL$3,CL$2)&lt;&gt;"",1,0),0)</f>
        <v/>
      </c>
      <c r="CM44">
        <f>IF(CM$4=1,IF(INDEX('×入力'!$C$1:$L$700,516+CM$3,CM$2)&lt;&gt;"",1,0),0)</f>
        <v/>
      </c>
      <c r="CN44">
        <f>IF(CN$4=1,IF(INDEX('×入力'!$C$1:$L$700,516+CN$3,CN$2)&lt;&gt;"",1,0),0)</f>
        <v/>
      </c>
      <c r="CO44">
        <f>IF(CO$4=1,IF(INDEX('×入力'!$C$1:$L$700,516+CO$3,CO$2)&lt;&gt;"",1,0),0)</f>
        <v/>
      </c>
      <c r="CP44">
        <f>IF(CP$4=1,IF(INDEX('×入力'!$C$1:$L$700,516+CP$3,CP$2)&lt;&gt;"",1,0),0)</f>
        <v/>
      </c>
      <c r="CQ44">
        <f>IF(CQ$4=1,IF(INDEX('×入力'!$C$1:$L$700,516+CQ$3,CQ$2)&lt;&gt;"",1,0),0)</f>
        <v/>
      </c>
      <c r="CR44">
        <f>IF(CR$4=1,IF(INDEX('×入力'!$C$1:$L$700,516+CR$3,CR$2)&lt;&gt;"",1,0),0)</f>
        <v/>
      </c>
      <c r="CS44">
        <f>IF(CS$4=1,IF(INDEX('×入力'!$C$1:$L$700,516+CS$3,CS$2)&lt;&gt;"",1,0),0)</f>
        <v/>
      </c>
      <c r="CT44">
        <f>IF(CT$4=1,IF(INDEX('×入力'!$C$1:$L$700,516+CT$3,CT$2)&lt;&gt;"",1,0),0)</f>
        <v/>
      </c>
      <c r="CU44">
        <f>IF(CU$4=1,IF(INDEX('×入力'!$C$1:$L$700,516+CU$3,CU$2)&lt;&gt;"",1,0),0)</f>
        <v/>
      </c>
      <c r="CV44">
        <f>IF(CV$4=1,IF(INDEX('×入力'!$C$1:$L$700,516+CV$3,CV$2)&lt;&gt;"",1,0),0)</f>
        <v/>
      </c>
      <c r="CW44">
        <f>IF(CW$4=1,IF(INDEX('×入力'!$C$1:$L$700,516+CW$3,CW$2)&lt;&gt;"",1,0),0)</f>
        <v/>
      </c>
      <c r="CX44">
        <f>IF(CX$4=1,IF(INDEX('×入力'!$C$1:$L$700,516+CX$3,CX$2)&lt;&gt;"",1,0),0)</f>
        <v/>
      </c>
      <c r="CY44">
        <f>IF(CY$4=1,IF(INDEX('×入力'!$C$1:$L$700,516+CY$3,CY$2)&lt;&gt;"",1,0),0)</f>
        <v/>
      </c>
      <c r="CZ44">
        <f>IF(CZ$4=1,IF(INDEX('×入力'!$C$1:$L$700,516+CZ$3,CZ$2)&lt;&gt;"",1,0),0)</f>
        <v/>
      </c>
      <c r="DA44">
        <f>IF(DA$4=1,IF(INDEX('×入力'!$C$1:$L$700,516+DA$3,DA$2)&lt;&gt;"",1,0),0)</f>
        <v/>
      </c>
      <c r="DB44">
        <f>IF(DB$4=1,IF(INDEX('×入力'!$C$1:$L$700,516+DB$3,DB$2)&lt;&gt;"",1,0),0)</f>
        <v/>
      </c>
      <c r="DC44">
        <f>IF(DC$4=1,IF(INDEX('×入力'!$C$1:$L$700,516+DC$3,DC$2)&lt;&gt;"",1,0),0)</f>
        <v/>
      </c>
      <c r="DD44">
        <f>IF(DD$4=1,IF(INDEX('×入力'!$C$1:$L$700,516+DD$3,DD$2)&lt;&gt;"",1,0),0)</f>
        <v/>
      </c>
      <c r="DE44">
        <f>IF(DE$4=1,IF(INDEX('×入力'!$C$1:$L$700,516+DE$3,DE$2)&lt;&gt;"",1,0),0)</f>
        <v/>
      </c>
      <c r="DF44">
        <f>IF(DF$4=1,IF(INDEX('×入力'!$C$1:$L$700,516+DF$3,DF$2)&lt;&gt;"",1,0),0)</f>
        <v/>
      </c>
      <c r="DG44">
        <f>IF(DG$4=1,IF(INDEX('×入力'!$C$1:$L$700,516+DG$3,DG$2)&lt;&gt;"",1,0),0)</f>
        <v/>
      </c>
      <c r="DH44">
        <f>IF(DH$4=1,IF(INDEX('×入力'!$C$1:$L$700,516+DH$3,DH$2)&lt;&gt;"",1,0),0)</f>
        <v/>
      </c>
      <c r="DI44">
        <f>IF(DI$4=1,IF(INDEX('×入力'!$C$1:$L$700,516+DI$3,DI$2)&lt;&gt;"",1,0),0)</f>
        <v/>
      </c>
      <c r="DJ44">
        <f>IF(DJ$4=1,IF(INDEX('×入力'!$C$1:$L$700,516+DJ$3,DJ$2)&lt;&gt;"",1,0),0)</f>
        <v/>
      </c>
      <c r="DK44">
        <f>IF(DK$4=1,IF(INDEX('×入力'!$C$1:$L$700,516+DK$3,DK$2)&lt;&gt;"",1,0),0)</f>
        <v/>
      </c>
      <c r="DL44">
        <f>IF(DL$4=1,IF(INDEX('×入力'!$C$1:$L$700,516+DL$3,DL$2)&lt;&gt;"",1,0),0)</f>
        <v/>
      </c>
      <c r="DM44">
        <f>IF(DM$4=1,IF(INDEX('×入力'!$C$1:$L$700,516+DM$3,DM$2)&lt;&gt;"",1,0),0)</f>
        <v/>
      </c>
      <c r="DN44">
        <f>IF(DN$4=1,IF(INDEX('×入力'!$C$1:$L$700,516+DN$3,DN$2)&lt;&gt;"",1,0),0)</f>
        <v/>
      </c>
      <c r="DO44">
        <f>IF(DO$4=1,IF(INDEX('×入力'!$C$1:$L$700,516+DO$3,DO$2)&lt;&gt;"",1,0),0)</f>
        <v/>
      </c>
      <c r="DP44">
        <f>IF(DP$4=1,IF(INDEX('×入力'!$C$1:$L$700,516+DP$3,DP$2)&lt;&gt;"",1,0),0)</f>
        <v/>
      </c>
      <c r="DQ44">
        <f>IF(DQ$4=1,IF(INDEX('×入力'!$C$1:$L$700,516+DQ$3,DQ$2)&lt;&gt;"",1,0),0)</f>
        <v/>
      </c>
      <c r="DR44">
        <f>IF(DR$4=1,IF(INDEX('×入力'!$C$1:$L$700,516+DR$3,DR$2)&lt;&gt;"",1,0),0)</f>
        <v/>
      </c>
      <c r="DS44">
        <f>IF(DS$4=1,IF(INDEX('×入力'!$C$1:$L$700,516+DS$3,DS$2)&lt;&gt;"",1,0),0)</f>
        <v/>
      </c>
      <c r="DU44">
        <f>IFERROR(INDEX('計算B'!$C$3:$C$47,MATCH(A44,'計算B'!$B$3:$B$47,0)),0)</f>
        <v/>
      </c>
      <c r="DV44">
        <f>IF(AND(C44=1,DU44=0),1,0)</f>
        <v/>
      </c>
      <c r="DW44">
        <f>SUMPRODUCT(D94:DS94*(1-$D$7:$DS$7))</f>
        <v/>
      </c>
      <c r="DX44">
        <f>SUM(D44:DS44)</f>
        <v/>
      </c>
      <c r="DY44">
        <f>IF(B44="",0,IF(COUNTIF('割り当て'!$C$6:$L$17,B44)=1,SUMPRODUCT(('割り当て'!$C$6:$L$17=B44)*((COLUMN('割り当て'!$C$6:$L$17)-3)*12+ROW('割り当て'!$C$6:$L$17)-5)),0))</f>
        <v/>
      </c>
    </row>
    <row r="45">
      <c r="A45" t="n">
        <v>36</v>
      </c>
      <c r="B45">
        <f>'名簿'!E40</f>
        <v/>
      </c>
      <c r="C45">
        <f>IF(AND(B45&lt;&gt;"",OR('名簿'!F40="入力済み",'名簿'!F40="×なし"),DY45=0,COUNTIF('割り当て'!$C$6:$L$17,B45)=0),1,0)</f>
        <v/>
      </c>
      <c r="D45">
        <f>IF(D$4=1,IF(INDEX('×入力'!$C$1:$L$700,531+D$3,D$2)&lt;&gt;"",1,0),0)</f>
        <v/>
      </c>
      <c r="E45">
        <f>IF(E$4=1,IF(INDEX('×入力'!$C$1:$L$700,531+E$3,E$2)&lt;&gt;"",1,0),0)</f>
        <v/>
      </c>
      <c r="F45">
        <f>IF(F$4=1,IF(INDEX('×入力'!$C$1:$L$700,531+F$3,F$2)&lt;&gt;"",1,0),0)</f>
        <v/>
      </c>
      <c r="G45">
        <f>IF(G$4=1,IF(INDEX('×入力'!$C$1:$L$700,531+G$3,G$2)&lt;&gt;"",1,0),0)</f>
        <v/>
      </c>
      <c r="H45">
        <f>IF(H$4=1,IF(INDEX('×入力'!$C$1:$L$700,531+H$3,H$2)&lt;&gt;"",1,0),0)</f>
        <v/>
      </c>
      <c r="I45">
        <f>IF(I$4=1,IF(INDEX('×入力'!$C$1:$L$700,531+I$3,I$2)&lt;&gt;"",1,0),0)</f>
        <v/>
      </c>
      <c r="J45">
        <f>IF(J$4=1,IF(INDEX('×入力'!$C$1:$L$700,531+J$3,J$2)&lt;&gt;"",1,0),0)</f>
        <v/>
      </c>
      <c r="K45">
        <f>IF(K$4=1,IF(INDEX('×入力'!$C$1:$L$700,531+K$3,K$2)&lt;&gt;"",1,0),0)</f>
        <v/>
      </c>
      <c r="L45">
        <f>IF(L$4=1,IF(INDEX('×入力'!$C$1:$L$700,531+L$3,L$2)&lt;&gt;"",1,0),0)</f>
        <v/>
      </c>
      <c r="M45">
        <f>IF(M$4=1,IF(INDEX('×入力'!$C$1:$L$700,531+M$3,M$2)&lt;&gt;"",1,0),0)</f>
        <v/>
      </c>
      <c r="N45">
        <f>IF(N$4=1,IF(INDEX('×入力'!$C$1:$L$700,531+N$3,N$2)&lt;&gt;"",1,0),0)</f>
        <v/>
      </c>
      <c r="O45">
        <f>IF(O$4=1,IF(INDEX('×入力'!$C$1:$L$700,531+O$3,O$2)&lt;&gt;"",1,0),0)</f>
        <v/>
      </c>
      <c r="P45">
        <f>IF(P$4=1,IF(INDEX('×入力'!$C$1:$L$700,531+P$3,P$2)&lt;&gt;"",1,0),0)</f>
        <v/>
      </c>
      <c r="Q45">
        <f>IF(Q$4=1,IF(INDEX('×入力'!$C$1:$L$700,531+Q$3,Q$2)&lt;&gt;"",1,0),0)</f>
        <v/>
      </c>
      <c r="R45">
        <f>IF(R$4=1,IF(INDEX('×入力'!$C$1:$L$700,531+R$3,R$2)&lt;&gt;"",1,0),0)</f>
        <v/>
      </c>
      <c r="S45">
        <f>IF(S$4=1,IF(INDEX('×入力'!$C$1:$L$700,531+S$3,S$2)&lt;&gt;"",1,0),0)</f>
        <v/>
      </c>
      <c r="T45">
        <f>IF(T$4=1,IF(INDEX('×入力'!$C$1:$L$700,531+T$3,T$2)&lt;&gt;"",1,0),0)</f>
        <v/>
      </c>
      <c r="U45">
        <f>IF(U$4=1,IF(INDEX('×入力'!$C$1:$L$700,531+U$3,U$2)&lt;&gt;"",1,0),0)</f>
        <v/>
      </c>
      <c r="V45">
        <f>IF(V$4=1,IF(INDEX('×入力'!$C$1:$L$700,531+V$3,V$2)&lt;&gt;"",1,0),0)</f>
        <v/>
      </c>
      <c r="W45">
        <f>IF(W$4=1,IF(INDEX('×入力'!$C$1:$L$700,531+W$3,W$2)&lt;&gt;"",1,0),0)</f>
        <v/>
      </c>
      <c r="X45">
        <f>IF(X$4=1,IF(INDEX('×入力'!$C$1:$L$700,531+X$3,X$2)&lt;&gt;"",1,0),0)</f>
        <v/>
      </c>
      <c r="Y45">
        <f>IF(Y$4=1,IF(INDEX('×入力'!$C$1:$L$700,531+Y$3,Y$2)&lt;&gt;"",1,0),0)</f>
        <v/>
      </c>
      <c r="Z45">
        <f>IF(Z$4=1,IF(INDEX('×入力'!$C$1:$L$700,531+Z$3,Z$2)&lt;&gt;"",1,0),0)</f>
        <v/>
      </c>
      <c r="AA45">
        <f>IF(AA$4=1,IF(INDEX('×入力'!$C$1:$L$700,531+AA$3,AA$2)&lt;&gt;"",1,0),0)</f>
        <v/>
      </c>
      <c r="AB45">
        <f>IF(AB$4=1,IF(INDEX('×入力'!$C$1:$L$700,531+AB$3,AB$2)&lt;&gt;"",1,0),0)</f>
        <v/>
      </c>
      <c r="AC45">
        <f>IF(AC$4=1,IF(INDEX('×入力'!$C$1:$L$700,531+AC$3,AC$2)&lt;&gt;"",1,0),0)</f>
        <v/>
      </c>
      <c r="AD45">
        <f>IF(AD$4=1,IF(INDEX('×入力'!$C$1:$L$700,531+AD$3,AD$2)&lt;&gt;"",1,0),0)</f>
        <v/>
      </c>
      <c r="AE45">
        <f>IF(AE$4=1,IF(INDEX('×入力'!$C$1:$L$700,531+AE$3,AE$2)&lt;&gt;"",1,0),0)</f>
        <v/>
      </c>
      <c r="AF45">
        <f>IF(AF$4=1,IF(INDEX('×入力'!$C$1:$L$700,531+AF$3,AF$2)&lt;&gt;"",1,0),0)</f>
        <v/>
      </c>
      <c r="AG45">
        <f>IF(AG$4=1,IF(INDEX('×入力'!$C$1:$L$700,531+AG$3,AG$2)&lt;&gt;"",1,0),0)</f>
        <v/>
      </c>
      <c r="AH45">
        <f>IF(AH$4=1,IF(INDEX('×入力'!$C$1:$L$700,531+AH$3,AH$2)&lt;&gt;"",1,0),0)</f>
        <v/>
      </c>
      <c r="AI45">
        <f>IF(AI$4=1,IF(INDEX('×入力'!$C$1:$L$700,531+AI$3,AI$2)&lt;&gt;"",1,0),0)</f>
        <v/>
      </c>
      <c r="AJ45">
        <f>IF(AJ$4=1,IF(INDEX('×入力'!$C$1:$L$700,531+AJ$3,AJ$2)&lt;&gt;"",1,0),0)</f>
        <v/>
      </c>
      <c r="AK45">
        <f>IF(AK$4=1,IF(INDEX('×入力'!$C$1:$L$700,531+AK$3,AK$2)&lt;&gt;"",1,0),0)</f>
        <v/>
      </c>
      <c r="AL45">
        <f>IF(AL$4=1,IF(INDEX('×入力'!$C$1:$L$700,531+AL$3,AL$2)&lt;&gt;"",1,0),0)</f>
        <v/>
      </c>
      <c r="AM45">
        <f>IF(AM$4=1,IF(INDEX('×入力'!$C$1:$L$700,531+AM$3,AM$2)&lt;&gt;"",1,0),0)</f>
        <v/>
      </c>
      <c r="AN45">
        <f>IF(AN$4=1,IF(INDEX('×入力'!$C$1:$L$700,531+AN$3,AN$2)&lt;&gt;"",1,0),0)</f>
        <v/>
      </c>
      <c r="AO45">
        <f>IF(AO$4=1,IF(INDEX('×入力'!$C$1:$L$700,531+AO$3,AO$2)&lt;&gt;"",1,0),0)</f>
        <v/>
      </c>
      <c r="AP45">
        <f>IF(AP$4=1,IF(INDEX('×入力'!$C$1:$L$700,531+AP$3,AP$2)&lt;&gt;"",1,0),0)</f>
        <v/>
      </c>
      <c r="AQ45">
        <f>IF(AQ$4=1,IF(INDEX('×入力'!$C$1:$L$700,531+AQ$3,AQ$2)&lt;&gt;"",1,0),0)</f>
        <v/>
      </c>
      <c r="AR45">
        <f>IF(AR$4=1,IF(INDEX('×入力'!$C$1:$L$700,531+AR$3,AR$2)&lt;&gt;"",1,0),0)</f>
        <v/>
      </c>
      <c r="AS45">
        <f>IF(AS$4=1,IF(INDEX('×入力'!$C$1:$L$700,531+AS$3,AS$2)&lt;&gt;"",1,0),0)</f>
        <v/>
      </c>
      <c r="AT45">
        <f>IF(AT$4=1,IF(INDEX('×入力'!$C$1:$L$700,531+AT$3,AT$2)&lt;&gt;"",1,0),0)</f>
        <v/>
      </c>
      <c r="AU45">
        <f>IF(AU$4=1,IF(INDEX('×入力'!$C$1:$L$700,531+AU$3,AU$2)&lt;&gt;"",1,0),0)</f>
        <v/>
      </c>
      <c r="AV45">
        <f>IF(AV$4=1,IF(INDEX('×入力'!$C$1:$L$700,531+AV$3,AV$2)&lt;&gt;"",1,0),0)</f>
        <v/>
      </c>
      <c r="AW45">
        <f>IF(AW$4=1,IF(INDEX('×入力'!$C$1:$L$700,531+AW$3,AW$2)&lt;&gt;"",1,0),0)</f>
        <v/>
      </c>
      <c r="AX45">
        <f>IF(AX$4=1,IF(INDEX('×入力'!$C$1:$L$700,531+AX$3,AX$2)&lt;&gt;"",1,0),0)</f>
        <v/>
      </c>
      <c r="AY45">
        <f>IF(AY$4=1,IF(INDEX('×入力'!$C$1:$L$700,531+AY$3,AY$2)&lt;&gt;"",1,0),0)</f>
        <v/>
      </c>
      <c r="AZ45">
        <f>IF(AZ$4=1,IF(INDEX('×入力'!$C$1:$L$700,531+AZ$3,AZ$2)&lt;&gt;"",1,0),0)</f>
        <v/>
      </c>
      <c r="BA45">
        <f>IF(BA$4=1,IF(INDEX('×入力'!$C$1:$L$700,531+BA$3,BA$2)&lt;&gt;"",1,0),0)</f>
        <v/>
      </c>
      <c r="BB45">
        <f>IF(BB$4=1,IF(INDEX('×入力'!$C$1:$L$700,531+BB$3,BB$2)&lt;&gt;"",1,0),0)</f>
        <v/>
      </c>
      <c r="BC45">
        <f>IF(BC$4=1,IF(INDEX('×入力'!$C$1:$L$700,531+BC$3,BC$2)&lt;&gt;"",1,0),0)</f>
        <v/>
      </c>
      <c r="BD45">
        <f>IF(BD$4=1,IF(INDEX('×入力'!$C$1:$L$700,531+BD$3,BD$2)&lt;&gt;"",1,0),0)</f>
        <v/>
      </c>
      <c r="BE45">
        <f>IF(BE$4=1,IF(INDEX('×入力'!$C$1:$L$700,531+BE$3,BE$2)&lt;&gt;"",1,0),0)</f>
        <v/>
      </c>
      <c r="BF45">
        <f>IF(BF$4=1,IF(INDEX('×入力'!$C$1:$L$700,531+BF$3,BF$2)&lt;&gt;"",1,0),0)</f>
        <v/>
      </c>
      <c r="BG45">
        <f>IF(BG$4=1,IF(INDEX('×入力'!$C$1:$L$700,531+BG$3,BG$2)&lt;&gt;"",1,0),0)</f>
        <v/>
      </c>
      <c r="BH45">
        <f>IF(BH$4=1,IF(INDEX('×入力'!$C$1:$L$700,531+BH$3,BH$2)&lt;&gt;"",1,0),0)</f>
        <v/>
      </c>
      <c r="BI45">
        <f>IF(BI$4=1,IF(INDEX('×入力'!$C$1:$L$700,531+BI$3,BI$2)&lt;&gt;"",1,0),0)</f>
        <v/>
      </c>
      <c r="BJ45">
        <f>IF(BJ$4=1,IF(INDEX('×入力'!$C$1:$L$700,531+BJ$3,BJ$2)&lt;&gt;"",1,0),0)</f>
        <v/>
      </c>
      <c r="BK45">
        <f>IF(BK$4=1,IF(INDEX('×入力'!$C$1:$L$700,531+BK$3,BK$2)&lt;&gt;"",1,0),0)</f>
        <v/>
      </c>
      <c r="BL45">
        <f>IF(BL$4=1,IF(INDEX('×入力'!$C$1:$L$700,531+BL$3,BL$2)&lt;&gt;"",1,0),0)</f>
        <v/>
      </c>
      <c r="BM45">
        <f>IF(BM$4=1,IF(INDEX('×入力'!$C$1:$L$700,531+BM$3,BM$2)&lt;&gt;"",1,0),0)</f>
        <v/>
      </c>
      <c r="BN45">
        <f>IF(BN$4=1,IF(INDEX('×入力'!$C$1:$L$700,531+BN$3,BN$2)&lt;&gt;"",1,0),0)</f>
        <v/>
      </c>
      <c r="BO45">
        <f>IF(BO$4=1,IF(INDEX('×入力'!$C$1:$L$700,531+BO$3,BO$2)&lt;&gt;"",1,0),0)</f>
        <v/>
      </c>
      <c r="BP45">
        <f>IF(BP$4=1,IF(INDEX('×入力'!$C$1:$L$700,531+BP$3,BP$2)&lt;&gt;"",1,0),0)</f>
        <v/>
      </c>
      <c r="BQ45">
        <f>IF(BQ$4=1,IF(INDEX('×入力'!$C$1:$L$700,531+BQ$3,BQ$2)&lt;&gt;"",1,0),0)</f>
        <v/>
      </c>
      <c r="BR45">
        <f>IF(BR$4=1,IF(INDEX('×入力'!$C$1:$L$700,531+BR$3,BR$2)&lt;&gt;"",1,0),0)</f>
        <v/>
      </c>
      <c r="BS45">
        <f>IF(BS$4=1,IF(INDEX('×入力'!$C$1:$L$700,531+BS$3,BS$2)&lt;&gt;"",1,0),0)</f>
        <v/>
      </c>
      <c r="BT45">
        <f>IF(BT$4=1,IF(INDEX('×入力'!$C$1:$L$700,531+BT$3,BT$2)&lt;&gt;"",1,0),0)</f>
        <v/>
      </c>
      <c r="BU45">
        <f>IF(BU$4=1,IF(INDEX('×入力'!$C$1:$L$700,531+BU$3,BU$2)&lt;&gt;"",1,0),0)</f>
        <v/>
      </c>
      <c r="BV45">
        <f>IF(BV$4=1,IF(INDEX('×入力'!$C$1:$L$700,531+BV$3,BV$2)&lt;&gt;"",1,0),0)</f>
        <v/>
      </c>
      <c r="BW45">
        <f>IF(BW$4=1,IF(INDEX('×入力'!$C$1:$L$700,531+BW$3,BW$2)&lt;&gt;"",1,0),0)</f>
        <v/>
      </c>
      <c r="BX45">
        <f>IF(BX$4=1,IF(INDEX('×入力'!$C$1:$L$700,531+BX$3,BX$2)&lt;&gt;"",1,0),0)</f>
        <v/>
      </c>
      <c r="BY45">
        <f>IF(BY$4=1,IF(INDEX('×入力'!$C$1:$L$700,531+BY$3,BY$2)&lt;&gt;"",1,0),0)</f>
        <v/>
      </c>
      <c r="BZ45">
        <f>IF(BZ$4=1,IF(INDEX('×入力'!$C$1:$L$700,531+BZ$3,BZ$2)&lt;&gt;"",1,0),0)</f>
        <v/>
      </c>
      <c r="CA45">
        <f>IF(CA$4=1,IF(INDEX('×入力'!$C$1:$L$700,531+CA$3,CA$2)&lt;&gt;"",1,0),0)</f>
        <v/>
      </c>
      <c r="CB45">
        <f>IF(CB$4=1,IF(INDEX('×入力'!$C$1:$L$700,531+CB$3,CB$2)&lt;&gt;"",1,0),0)</f>
        <v/>
      </c>
      <c r="CC45">
        <f>IF(CC$4=1,IF(INDEX('×入力'!$C$1:$L$700,531+CC$3,CC$2)&lt;&gt;"",1,0),0)</f>
        <v/>
      </c>
      <c r="CD45">
        <f>IF(CD$4=1,IF(INDEX('×入力'!$C$1:$L$700,531+CD$3,CD$2)&lt;&gt;"",1,0),0)</f>
        <v/>
      </c>
      <c r="CE45">
        <f>IF(CE$4=1,IF(INDEX('×入力'!$C$1:$L$700,531+CE$3,CE$2)&lt;&gt;"",1,0),0)</f>
        <v/>
      </c>
      <c r="CF45">
        <f>IF(CF$4=1,IF(INDEX('×入力'!$C$1:$L$700,531+CF$3,CF$2)&lt;&gt;"",1,0),0)</f>
        <v/>
      </c>
      <c r="CG45">
        <f>IF(CG$4=1,IF(INDEX('×入力'!$C$1:$L$700,531+CG$3,CG$2)&lt;&gt;"",1,0),0)</f>
        <v/>
      </c>
      <c r="CH45">
        <f>IF(CH$4=1,IF(INDEX('×入力'!$C$1:$L$700,531+CH$3,CH$2)&lt;&gt;"",1,0),0)</f>
        <v/>
      </c>
      <c r="CI45">
        <f>IF(CI$4=1,IF(INDEX('×入力'!$C$1:$L$700,531+CI$3,CI$2)&lt;&gt;"",1,0),0)</f>
        <v/>
      </c>
      <c r="CJ45">
        <f>IF(CJ$4=1,IF(INDEX('×入力'!$C$1:$L$700,531+CJ$3,CJ$2)&lt;&gt;"",1,0),0)</f>
        <v/>
      </c>
      <c r="CK45">
        <f>IF(CK$4=1,IF(INDEX('×入力'!$C$1:$L$700,531+CK$3,CK$2)&lt;&gt;"",1,0),0)</f>
        <v/>
      </c>
      <c r="CL45">
        <f>IF(CL$4=1,IF(INDEX('×入力'!$C$1:$L$700,531+CL$3,CL$2)&lt;&gt;"",1,0),0)</f>
        <v/>
      </c>
      <c r="CM45">
        <f>IF(CM$4=1,IF(INDEX('×入力'!$C$1:$L$700,531+CM$3,CM$2)&lt;&gt;"",1,0),0)</f>
        <v/>
      </c>
      <c r="CN45">
        <f>IF(CN$4=1,IF(INDEX('×入力'!$C$1:$L$700,531+CN$3,CN$2)&lt;&gt;"",1,0),0)</f>
        <v/>
      </c>
      <c r="CO45">
        <f>IF(CO$4=1,IF(INDEX('×入力'!$C$1:$L$700,531+CO$3,CO$2)&lt;&gt;"",1,0),0)</f>
        <v/>
      </c>
      <c r="CP45">
        <f>IF(CP$4=1,IF(INDEX('×入力'!$C$1:$L$700,531+CP$3,CP$2)&lt;&gt;"",1,0),0)</f>
        <v/>
      </c>
      <c r="CQ45">
        <f>IF(CQ$4=1,IF(INDEX('×入力'!$C$1:$L$700,531+CQ$3,CQ$2)&lt;&gt;"",1,0),0)</f>
        <v/>
      </c>
      <c r="CR45">
        <f>IF(CR$4=1,IF(INDEX('×入力'!$C$1:$L$700,531+CR$3,CR$2)&lt;&gt;"",1,0),0)</f>
        <v/>
      </c>
      <c r="CS45">
        <f>IF(CS$4=1,IF(INDEX('×入力'!$C$1:$L$700,531+CS$3,CS$2)&lt;&gt;"",1,0),0)</f>
        <v/>
      </c>
      <c r="CT45">
        <f>IF(CT$4=1,IF(INDEX('×入力'!$C$1:$L$700,531+CT$3,CT$2)&lt;&gt;"",1,0),0)</f>
        <v/>
      </c>
      <c r="CU45">
        <f>IF(CU$4=1,IF(INDEX('×入力'!$C$1:$L$700,531+CU$3,CU$2)&lt;&gt;"",1,0),0)</f>
        <v/>
      </c>
      <c r="CV45">
        <f>IF(CV$4=1,IF(INDEX('×入力'!$C$1:$L$700,531+CV$3,CV$2)&lt;&gt;"",1,0),0)</f>
        <v/>
      </c>
      <c r="CW45">
        <f>IF(CW$4=1,IF(INDEX('×入力'!$C$1:$L$700,531+CW$3,CW$2)&lt;&gt;"",1,0),0)</f>
        <v/>
      </c>
      <c r="CX45">
        <f>IF(CX$4=1,IF(INDEX('×入力'!$C$1:$L$700,531+CX$3,CX$2)&lt;&gt;"",1,0),0)</f>
        <v/>
      </c>
      <c r="CY45">
        <f>IF(CY$4=1,IF(INDEX('×入力'!$C$1:$L$700,531+CY$3,CY$2)&lt;&gt;"",1,0),0)</f>
        <v/>
      </c>
      <c r="CZ45">
        <f>IF(CZ$4=1,IF(INDEX('×入力'!$C$1:$L$700,531+CZ$3,CZ$2)&lt;&gt;"",1,0),0)</f>
        <v/>
      </c>
      <c r="DA45">
        <f>IF(DA$4=1,IF(INDEX('×入力'!$C$1:$L$700,531+DA$3,DA$2)&lt;&gt;"",1,0),0)</f>
        <v/>
      </c>
      <c r="DB45">
        <f>IF(DB$4=1,IF(INDEX('×入力'!$C$1:$L$700,531+DB$3,DB$2)&lt;&gt;"",1,0),0)</f>
        <v/>
      </c>
      <c r="DC45">
        <f>IF(DC$4=1,IF(INDEX('×入力'!$C$1:$L$700,531+DC$3,DC$2)&lt;&gt;"",1,0),0)</f>
        <v/>
      </c>
      <c r="DD45">
        <f>IF(DD$4=1,IF(INDEX('×入力'!$C$1:$L$700,531+DD$3,DD$2)&lt;&gt;"",1,0),0)</f>
        <v/>
      </c>
      <c r="DE45">
        <f>IF(DE$4=1,IF(INDEX('×入力'!$C$1:$L$700,531+DE$3,DE$2)&lt;&gt;"",1,0),0)</f>
        <v/>
      </c>
      <c r="DF45">
        <f>IF(DF$4=1,IF(INDEX('×入力'!$C$1:$L$700,531+DF$3,DF$2)&lt;&gt;"",1,0),0)</f>
        <v/>
      </c>
      <c r="DG45">
        <f>IF(DG$4=1,IF(INDEX('×入力'!$C$1:$L$700,531+DG$3,DG$2)&lt;&gt;"",1,0),0)</f>
        <v/>
      </c>
      <c r="DH45">
        <f>IF(DH$4=1,IF(INDEX('×入力'!$C$1:$L$700,531+DH$3,DH$2)&lt;&gt;"",1,0),0)</f>
        <v/>
      </c>
      <c r="DI45">
        <f>IF(DI$4=1,IF(INDEX('×入力'!$C$1:$L$700,531+DI$3,DI$2)&lt;&gt;"",1,0),0)</f>
        <v/>
      </c>
      <c r="DJ45">
        <f>IF(DJ$4=1,IF(INDEX('×入力'!$C$1:$L$700,531+DJ$3,DJ$2)&lt;&gt;"",1,0),0)</f>
        <v/>
      </c>
      <c r="DK45">
        <f>IF(DK$4=1,IF(INDEX('×入力'!$C$1:$L$700,531+DK$3,DK$2)&lt;&gt;"",1,0),0)</f>
        <v/>
      </c>
      <c r="DL45">
        <f>IF(DL$4=1,IF(INDEX('×入力'!$C$1:$L$700,531+DL$3,DL$2)&lt;&gt;"",1,0),0)</f>
        <v/>
      </c>
      <c r="DM45">
        <f>IF(DM$4=1,IF(INDEX('×入力'!$C$1:$L$700,531+DM$3,DM$2)&lt;&gt;"",1,0),0)</f>
        <v/>
      </c>
      <c r="DN45">
        <f>IF(DN$4=1,IF(INDEX('×入力'!$C$1:$L$700,531+DN$3,DN$2)&lt;&gt;"",1,0),0)</f>
        <v/>
      </c>
      <c r="DO45">
        <f>IF(DO$4=1,IF(INDEX('×入力'!$C$1:$L$700,531+DO$3,DO$2)&lt;&gt;"",1,0),0)</f>
        <v/>
      </c>
      <c r="DP45">
        <f>IF(DP$4=1,IF(INDEX('×入力'!$C$1:$L$700,531+DP$3,DP$2)&lt;&gt;"",1,0),0)</f>
        <v/>
      </c>
      <c r="DQ45">
        <f>IF(DQ$4=1,IF(INDEX('×入力'!$C$1:$L$700,531+DQ$3,DQ$2)&lt;&gt;"",1,0),0)</f>
        <v/>
      </c>
      <c r="DR45">
        <f>IF(DR$4=1,IF(INDEX('×入力'!$C$1:$L$700,531+DR$3,DR$2)&lt;&gt;"",1,0),0)</f>
        <v/>
      </c>
      <c r="DS45">
        <f>IF(DS$4=1,IF(INDEX('×入力'!$C$1:$L$700,531+DS$3,DS$2)&lt;&gt;"",1,0),0)</f>
        <v/>
      </c>
      <c r="DU45">
        <f>IFERROR(INDEX('計算B'!$C$3:$C$47,MATCH(A45,'計算B'!$B$3:$B$47,0)),0)</f>
        <v/>
      </c>
      <c r="DV45">
        <f>IF(AND(C45=1,DU45=0),1,0)</f>
        <v/>
      </c>
      <c r="DW45">
        <f>SUMPRODUCT(D95:DS95*(1-$D$7:$DS$7))</f>
        <v/>
      </c>
      <c r="DX45">
        <f>SUM(D45:DS45)</f>
        <v/>
      </c>
      <c r="DY45">
        <f>IF(B45="",0,IF(COUNTIF('割り当て'!$C$6:$L$17,B45)=1,SUMPRODUCT(('割り当て'!$C$6:$L$17=B45)*((COLUMN('割り当て'!$C$6:$L$17)-3)*12+ROW('割り当て'!$C$6:$L$17)-5)),0))</f>
        <v/>
      </c>
    </row>
    <row r="46">
      <c r="A46" t="n">
        <v>37</v>
      </c>
      <c r="B46">
        <f>'名簿'!E41</f>
        <v/>
      </c>
      <c r="C46">
        <f>IF(AND(B46&lt;&gt;"",OR('名簿'!F41="入力済み",'名簿'!F41="×なし"),DY46=0,COUNTIF('割り当て'!$C$6:$L$17,B46)=0),1,0)</f>
        <v/>
      </c>
      <c r="D46">
        <f>IF(D$4=1,IF(INDEX('×入力'!$C$1:$L$700,546+D$3,D$2)&lt;&gt;"",1,0),0)</f>
        <v/>
      </c>
      <c r="E46">
        <f>IF(E$4=1,IF(INDEX('×入力'!$C$1:$L$700,546+E$3,E$2)&lt;&gt;"",1,0),0)</f>
        <v/>
      </c>
      <c r="F46">
        <f>IF(F$4=1,IF(INDEX('×入力'!$C$1:$L$700,546+F$3,F$2)&lt;&gt;"",1,0),0)</f>
        <v/>
      </c>
      <c r="G46">
        <f>IF(G$4=1,IF(INDEX('×入力'!$C$1:$L$700,546+G$3,G$2)&lt;&gt;"",1,0),0)</f>
        <v/>
      </c>
      <c r="H46">
        <f>IF(H$4=1,IF(INDEX('×入力'!$C$1:$L$700,546+H$3,H$2)&lt;&gt;"",1,0),0)</f>
        <v/>
      </c>
      <c r="I46">
        <f>IF(I$4=1,IF(INDEX('×入力'!$C$1:$L$700,546+I$3,I$2)&lt;&gt;"",1,0),0)</f>
        <v/>
      </c>
      <c r="J46">
        <f>IF(J$4=1,IF(INDEX('×入力'!$C$1:$L$700,546+J$3,J$2)&lt;&gt;"",1,0),0)</f>
        <v/>
      </c>
      <c r="K46">
        <f>IF(K$4=1,IF(INDEX('×入力'!$C$1:$L$700,546+K$3,K$2)&lt;&gt;"",1,0),0)</f>
        <v/>
      </c>
      <c r="L46">
        <f>IF(L$4=1,IF(INDEX('×入力'!$C$1:$L$700,546+L$3,L$2)&lt;&gt;"",1,0),0)</f>
        <v/>
      </c>
      <c r="M46">
        <f>IF(M$4=1,IF(INDEX('×入力'!$C$1:$L$700,546+M$3,M$2)&lt;&gt;"",1,0),0)</f>
        <v/>
      </c>
      <c r="N46">
        <f>IF(N$4=1,IF(INDEX('×入力'!$C$1:$L$700,546+N$3,N$2)&lt;&gt;"",1,0),0)</f>
        <v/>
      </c>
      <c r="O46">
        <f>IF(O$4=1,IF(INDEX('×入力'!$C$1:$L$700,546+O$3,O$2)&lt;&gt;"",1,0),0)</f>
        <v/>
      </c>
      <c r="P46">
        <f>IF(P$4=1,IF(INDEX('×入力'!$C$1:$L$700,546+P$3,P$2)&lt;&gt;"",1,0),0)</f>
        <v/>
      </c>
      <c r="Q46">
        <f>IF(Q$4=1,IF(INDEX('×入力'!$C$1:$L$700,546+Q$3,Q$2)&lt;&gt;"",1,0),0)</f>
        <v/>
      </c>
      <c r="R46">
        <f>IF(R$4=1,IF(INDEX('×入力'!$C$1:$L$700,546+R$3,R$2)&lt;&gt;"",1,0),0)</f>
        <v/>
      </c>
      <c r="S46">
        <f>IF(S$4=1,IF(INDEX('×入力'!$C$1:$L$700,546+S$3,S$2)&lt;&gt;"",1,0),0)</f>
        <v/>
      </c>
      <c r="T46">
        <f>IF(T$4=1,IF(INDEX('×入力'!$C$1:$L$700,546+T$3,T$2)&lt;&gt;"",1,0),0)</f>
        <v/>
      </c>
      <c r="U46">
        <f>IF(U$4=1,IF(INDEX('×入力'!$C$1:$L$700,546+U$3,U$2)&lt;&gt;"",1,0),0)</f>
        <v/>
      </c>
      <c r="V46">
        <f>IF(V$4=1,IF(INDEX('×入力'!$C$1:$L$700,546+V$3,V$2)&lt;&gt;"",1,0),0)</f>
        <v/>
      </c>
      <c r="W46">
        <f>IF(W$4=1,IF(INDEX('×入力'!$C$1:$L$700,546+W$3,W$2)&lt;&gt;"",1,0),0)</f>
        <v/>
      </c>
      <c r="X46">
        <f>IF(X$4=1,IF(INDEX('×入力'!$C$1:$L$700,546+X$3,X$2)&lt;&gt;"",1,0),0)</f>
        <v/>
      </c>
      <c r="Y46">
        <f>IF(Y$4=1,IF(INDEX('×入力'!$C$1:$L$700,546+Y$3,Y$2)&lt;&gt;"",1,0),0)</f>
        <v/>
      </c>
      <c r="Z46">
        <f>IF(Z$4=1,IF(INDEX('×入力'!$C$1:$L$700,546+Z$3,Z$2)&lt;&gt;"",1,0),0)</f>
        <v/>
      </c>
      <c r="AA46">
        <f>IF(AA$4=1,IF(INDEX('×入力'!$C$1:$L$700,546+AA$3,AA$2)&lt;&gt;"",1,0),0)</f>
        <v/>
      </c>
      <c r="AB46">
        <f>IF(AB$4=1,IF(INDEX('×入力'!$C$1:$L$700,546+AB$3,AB$2)&lt;&gt;"",1,0),0)</f>
        <v/>
      </c>
      <c r="AC46">
        <f>IF(AC$4=1,IF(INDEX('×入力'!$C$1:$L$700,546+AC$3,AC$2)&lt;&gt;"",1,0),0)</f>
        <v/>
      </c>
      <c r="AD46">
        <f>IF(AD$4=1,IF(INDEX('×入力'!$C$1:$L$700,546+AD$3,AD$2)&lt;&gt;"",1,0),0)</f>
        <v/>
      </c>
      <c r="AE46">
        <f>IF(AE$4=1,IF(INDEX('×入力'!$C$1:$L$700,546+AE$3,AE$2)&lt;&gt;"",1,0),0)</f>
        <v/>
      </c>
      <c r="AF46">
        <f>IF(AF$4=1,IF(INDEX('×入力'!$C$1:$L$700,546+AF$3,AF$2)&lt;&gt;"",1,0),0)</f>
        <v/>
      </c>
      <c r="AG46">
        <f>IF(AG$4=1,IF(INDEX('×入力'!$C$1:$L$700,546+AG$3,AG$2)&lt;&gt;"",1,0),0)</f>
        <v/>
      </c>
      <c r="AH46">
        <f>IF(AH$4=1,IF(INDEX('×入力'!$C$1:$L$700,546+AH$3,AH$2)&lt;&gt;"",1,0),0)</f>
        <v/>
      </c>
      <c r="AI46">
        <f>IF(AI$4=1,IF(INDEX('×入力'!$C$1:$L$700,546+AI$3,AI$2)&lt;&gt;"",1,0),0)</f>
        <v/>
      </c>
      <c r="AJ46">
        <f>IF(AJ$4=1,IF(INDEX('×入力'!$C$1:$L$700,546+AJ$3,AJ$2)&lt;&gt;"",1,0),0)</f>
        <v/>
      </c>
      <c r="AK46">
        <f>IF(AK$4=1,IF(INDEX('×入力'!$C$1:$L$700,546+AK$3,AK$2)&lt;&gt;"",1,0),0)</f>
        <v/>
      </c>
      <c r="AL46">
        <f>IF(AL$4=1,IF(INDEX('×入力'!$C$1:$L$700,546+AL$3,AL$2)&lt;&gt;"",1,0),0)</f>
        <v/>
      </c>
      <c r="AM46">
        <f>IF(AM$4=1,IF(INDEX('×入力'!$C$1:$L$700,546+AM$3,AM$2)&lt;&gt;"",1,0),0)</f>
        <v/>
      </c>
      <c r="AN46">
        <f>IF(AN$4=1,IF(INDEX('×入力'!$C$1:$L$700,546+AN$3,AN$2)&lt;&gt;"",1,0),0)</f>
        <v/>
      </c>
      <c r="AO46">
        <f>IF(AO$4=1,IF(INDEX('×入力'!$C$1:$L$700,546+AO$3,AO$2)&lt;&gt;"",1,0),0)</f>
        <v/>
      </c>
      <c r="AP46">
        <f>IF(AP$4=1,IF(INDEX('×入力'!$C$1:$L$700,546+AP$3,AP$2)&lt;&gt;"",1,0),0)</f>
        <v/>
      </c>
      <c r="AQ46">
        <f>IF(AQ$4=1,IF(INDEX('×入力'!$C$1:$L$700,546+AQ$3,AQ$2)&lt;&gt;"",1,0),0)</f>
        <v/>
      </c>
      <c r="AR46">
        <f>IF(AR$4=1,IF(INDEX('×入力'!$C$1:$L$700,546+AR$3,AR$2)&lt;&gt;"",1,0),0)</f>
        <v/>
      </c>
      <c r="AS46">
        <f>IF(AS$4=1,IF(INDEX('×入力'!$C$1:$L$700,546+AS$3,AS$2)&lt;&gt;"",1,0),0)</f>
        <v/>
      </c>
      <c r="AT46">
        <f>IF(AT$4=1,IF(INDEX('×入力'!$C$1:$L$700,546+AT$3,AT$2)&lt;&gt;"",1,0),0)</f>
        <v/>
      </c>
      <c r="AU46">
        <f>IF(AU$4=1,IF(INDEX('×入力'!$C$1:$L$700,546+AU$3,AU$2)&lt;&gt;"",1,0),0)</f>
        <v/>
      </c>
      <c r="AV46">
        <f>IF(AV$4=1,IF(INDEX('×入力'!$C$1:$L$700,546+AV$3,AV$2)&lt;&gt;"",1,0),0)</f>
        <v/>
      </c>
      <c r="AW46">
        <f>IF(AW$4=1,IF(INDEX('×入力'!$C$1:$L$700,546+AW$3,AW$2)&lt;&gt;"",1,0),0)</f>
        <v/>
      </c>
      <c r="AX46">
        <f>IF(AX$4=1,IF(INDEX('×入力'!$C$1:$L$700,546+AX$3,AX$2)&lt;&gt;"",1,0),0)</f>
        <v/>
      </c>
      <c r="AY46">
        <f>IF(AY$4=1,IF(INDEX('×入力'!$C$1:$L$700,546+AY$3,AY$2)&lt;&gt;"",1,0),0)</f>
        <v/>
      </c>
      <c r="AZ46">
        <f>IF(AZ$4=1,IF(INDEX('×入力'!$C$1:$L$700,546+AZ$3,AZ$2)&lt;&gt;"",1,0),0)</f>
        <v/>
      </c>
      <c r="BA46">
        <f>IF(BA$4=1,IF(INDEX('×入力'!$C$1:$L$700,546+BA$3,BA$2)&lt;&gt;"",1,0),0)</f>
        <v/>
      </c>
      <c r="BB46">
        <f>IF(BB$4=1,IF(INDEX('×入力'!$C$1:$L$700,546+BB$3,BB$2)&lt;&gt;"",1,0),0)</f>
        <v/>
      </c>
      <c r="BC46">
        <f>IF(BC$4=1,IF(INDEX('×入力'!$C$1:$L$700,546+BC$3,BC$2)&lt;&gt;"",1,0),0)</f>
        <v/>
      </c>
      <c r="BD46">
        <f>IF(BD$4=1,IF(INDEX('×入力'!$C$1:$L$700,546+BD$3,BD$2)&lt;&gt;"",1,0),0)</f>
        <v/>
      </c>
      <c r="BE46">
        <f>IF(BE$4=1,IF(INDEX('×入力'!$C$1:$L$700,546+BE$3,BE$2)&lt;&gt;"",1,0),0)</f>
        <v/>
      </c>
      <c r="BF46">
        <f>IF(BF$4=1,IF(INDEX('×入力'!$C$1:$L$700,546+BF$3,BF$2)&lt;&gt;"",1,0),0)</f>
        <v/>
      </c>
      <c r="BG46">
        <f>IF(BG$4=1,IF(INDEX('×入力'!$C$1:$L$700,546+BG$3,BG$2)&lt;&gt;"",1,0),0)</f>
        <v/>
      </c>
      <c r="BH46">
        <f>IF(BH$4=1,IF(INDEX('×入力'!$C$1:$L$700,546+BH$3,BH$2)&lt;&gt;"",1,0),0)</f>
        <v/>
      </c>
      <c r="BI46">
        <f>IF(BI$4=1,IF(INDEX('×入力'!$C$1:$L$700,546+BI$3,BI$2)&lt;&gt;"",1,0),0)</f>
        <v/>
      </c>
      <c r="BJ46">
        <f>IF(BJ$4=1,IF(INDEX('×入力'!$C$1:$L$700,546+BJ$3,BJ$2)&lt;&gt;"",1,0),0)</f>
        <v/>
      </c>
      <c r="BK46">
        <f>IF(BK$4=1,IF(INDEX('×入力'!$C$1:$L$700,546+BK$3,BK$2)&lt;&gt;"",1,0),0)</f>
        <v/>
      </c>
      <c r="BL46">
        <f>IF(BL$4=1,IF(INDEX('×入力'!$C$1:$L$700,546+BL$3,BL$2)&lt;&gt;"",1,0),0)</f>
        <v/>
      </c>
      <c r="BM46">
        <f>IF(BM$4=1,IF(INDEX('×入力'!$C$1:$L$700,546+BM$3,BM$2)&lt;&gt;"",1,0),0)</f>
        <v/>
      </c>
      <c r="BN46">
        <f>IF(BN$4=1,IF(INDEX('×入力'!$C$1:$L$700,546+BN$3,BN$2)&lt;&gt;"",1,0),0)</f>
        <v/>
      </c>
      <c r="BO46">
        <f>IF(BO$4=1,IF(INDEX('×入力'!$C$1:$L$700,546+BO$3,BO$2)&lt;&gt;"",1,0),0)</f>
        <v/>
      </c>
      <c r="BP46">
        <f>IF(BP$4=1,IF(INDEX('×入力'!$C$1:$L$700,546+BP$3,BP$2)&lt;&gt;"",1,0),0)</f>
        <v/>
      </c>
      <c r="BQ46">
        <f>IF(BQ$4=1,IF(INDEX('×入力'!$C$1:$L$700,546+BQ$3,BQ$2)&lt;&gt;"",1,0),0)</f>
        <v/>
      </c>
      <c r="BR46">
        <f>IF(BR$4=1,IF(INDEX('×入力'!$C$1:$L$700,546+BR$3,BR$2)&lt;&gt;"",1,0),0)</f>
        <v/>
      </c>
      <c r="BS46">
        <f>IF(BS$4=1,IF(INDEX('×入力'!$C$1:$L$700,546+BS$3,BS$2)&lt;&gt;"",1,0),0)</f>
        <v/>
      </c>
      <c r="BT46">
        <f>IF(BT$4=1,IF(INDEX('×入力'!$C$1:$L$700,546+BT$3,BT$2)&lt;&gt;"",1,0),0)</f>
        <v/>
      </c>
      <c r="BU46">
        <f>IF(BU$4=1,IF(INDEX('×入力'!$C$1:$L$700,546+BU$3,BU$2)&lt;&gt;"",1,0),0)</f>
        <v/>
      </c>
      <c r="BV46">
        <f>IF(BV$4=1,IF(INDEX('×入力'!$C$1:$L$700,546+BV$3,BV$2)&lt;&gt;"",1,0),0)</f>
        <v/>
      </c>
      <c r="BW46">
        <f>IF(BW$4=1,IF(INDEX('×入力'!$C$1:$L$700,546+BW$3,BW$2)&lt;&gt;"",1,0),0)</f>
        <v/>
      </c>
      <c r="BX46">
        <f>IF(BX$4=1,IF(INDEX('×入力'!$C$1:$L$700,546+BX$3,BX$2)&lt;&gt;"",1,0),0)</f>
        <v/>
      </c>
      <c r="BY46">
        <f>IF(BY$4=1,IF(INDEX('×入力'!$C$1:$L$700,546+BY$3,BY$2)&lt;&gt;"",1,0),0)</f>
        <v/>
      </c>
      <c r="BZ46">
        <f>IF(BZ$4=1,IF(INDEX('×入力'!$C$1:$L$700,546+BZ$3,BZ$2)&lt;&gt;"",1,0),0)</f>
        <v/>
      </c>
      <c r="CA46">
        <f>IF(CA$4=1,IF(INDEX('×入力'!$C$1:$L$700,546+CA$3,CA$2)&lt;&gt;"",1,0),0)</f>
        <v/>
      </c>
      <c r="CB46">
        <f>IF(CB$4=1,IF(INDEX('×入力'!$C$1:$L$700,546+CB$3,CB$2)&lt;&gt;"",1,0),0)</f>
        <v/>
      </c>
      <c r="CC46">
        <f>IF(CC$4=1,IF(INDEX('×入力'!$C$1:$L$700,546+CC$3,CC$2)&lt;&gt;"",1,0),0)</f>
        <v/>
      </c>
      <c r="CD46">
        <f>IF(CD$4=1,IF(INDEX('×入力'!$C$1:$L$700,546+CD$3,CD$2)&lt;&gt;"",1,0),0)</f>
        <v/>
      </c>
      <c r="CE46">
        <f>IF(CE$4=1,IF(INDEX('×入力'!$C$1:$L$700,546+CE$3,CE$2)&lt;&gt;"",1,0),0)</f>
        <v/>
      </c>
      <c r="CF46">
        <f>IF(CF$4=1,IF(INDEX('×入力'!$C$1:$L$700,546+CF$3,CF$2)&lt;&gt;"",1,0),0)</f>
        <v/>
      </c>
      <c r="CG46">
        <f>IF(CG$4=1,IF(INDEX('×入力'!$C$1:$L$700,546+CG$3,CG$2)&lt;&gt;"",1,0),0)</f>
        <v/>
      </c>
      <c r="CH46">
        <f>IF(CH$4=1,IF(INDEX('×入力'!$C$1:$L$700,546+CH$3,CH$2)&lt;&gt;"",1,0),0)</f>
        <v/>
      </c>
      <c r="CI46">
        <f>IF(CI$4=1,IF(INDEX('×入力'!$C$1:$L$700,546+CI$3,CI$2)&lt;&gt;"",1,0),0)</f>
        <v/>
      </c>
      <c r="CJ46">
        <f>IF(CJ$4=1,IF(INDEX('×入力'!$C$1:$L$700,546+CJ$3,CJ$2)&lt;&gt;"",1,0),0)</f>
        <v/>
      </c>
      <c r="CK46">
        <f>IF(CK$4=1,IF(INDEX('×入力'!$C$1:$L$700,546+CK$3,CK$2)&lt;&gt;"",1,0),0)</f>
        <v/>
      </c>
      <c r="CL46">
        <f>IF(CL$4=1,IF(INDEX('×入力'!$C$1:$L$700,546+CL$3,CL$2)&lt;&gt;"",1,0),0)</f>
        <v/>
      </c>
      <c r="CM46">
        <f>IF(CM$4=1,IF(INDEX('×入力'!$C$1:$L$700,546+CM$3,CM$2)&lt;&gt;"",1,0),0)</f>
        <v/>
      </c>
      <c r="CN46">
        <f>IF(CN$4=1,IF(INDEX('×入力'!$C$1:$L$700,546+CN$3,CN$2)&lt;&gt;"",1,0),0)</f>
        <v/>
      </c>
      <c r="CO46">
        <f>IF(CO$4=1,IF(INDEX('×入力'!$C$1:$L$700,546+CO$3,CO$2)&lt;&gt;"",1,0),0)</f>
        <v/>
      </c>
      <c r="CP46">
        <f>IF(CP$4=1,IF(INDEX('×入力'!$C$1:$L$700,546+CP$3,CP$2)&lt;&gt;"",1,0),0)</f>
        <v/>
      </c>
      <c r="CQ46">
        <f>IF(CQ$4=1,IF(INDEX('×入力'!$C$1:$L$700,546+CQ$3,CQ$2)&lt;&gt;"",1,0),0)</f>
        <v/>
      </c>
      <c r="CR46">
        <f>IF(CR$4=1,IF(INDEX('×入力'!$C$1:$L$700,546+CR$3,CR$2)&lt;&gt;"",1,0),0)</f>
        <v/>
      </c>
      <c r="CS46">
        <f>IF(CS$4=1,IF(INDEX('×入力'!$C$1:$L$700,546+CS$3,CS$2)&lt;&gt;"",1,0),0)</f>
        <v/>
      </c>
      <c r="CT46">
        <f>IF(CT$4=1,IF(INDEX('×入力'!$C$1:$L$700,546+CT$3,CT$2)&lt;&gt;"",1,0),0)</f>
        <v/>
      </c>
      <c r="CU46">
        <f>IF(CU$4=1,IF(INDEX('×入力'!$C$1:$L$700,546+CU$3,CU$2)&lt;&gt;"",1,0),0)</f>
        <v/>
      </c>
      <c r="CV46">
        <f>IF(CV$4=1,IF(INDEX('×入力'!$C$1:$L$700,546+CV$3,CV$2)&lt;&gt;"",1,0),0)</f>
        <v/>
      </c>
      <c r="CW46">
        <f>IF(CW$4=1,IF(INDEX('×入力'!$C$1:$L$700,546+CW$3,CW$2)&lt;&gt;"",1,0),0)</f>
        <v/>
      </c>
      <c r="CX46">
        <f>IF(CX$4=1,IF(INDEX('×入力'!$C$1:$L$700,546+CX$3,CX$2)&lt;&gt;"",1,0),0)</f>
        <v/>
      </c>
      <c r="CY46">
        <f>IF(CY$4=1,IF(INDEX('×入力'!$C$1:$L$700,546+CY$3,CY$2)&lt;&gt;"",1,0),0)</f>
        <v/>
      </c>
      <c r="CZ46">
        <f>IF(CZ$4=1,IF(INDEX('×入力'!$C$1:$L$700,546+CZ$3,CZ$2)&lt;&gt;"",1,0),0)</f>
        <v/>
      </c>
      <c r="DA46">
        <f>IF(DA$4=1,IF(INDEX('×入力'!$C$1:$L$700,546+DA$3,DA$2)&lt;&gt;"",1,0),0)</f>
        <v/>
      </c>
      <c r="DB46">
        <f>IF(DB$4=1,IF(INDEX('×入力'!$C$1:$L$700,546+DB$3,DB$2)&lt;&gt;"",1,0),0)</f>
        <v/>
      </c>
      <c r="DC46">
        <f>IF(DC$4=1,IF(INDEX('×入力'!$C$1:$L$700,546+DC$3,DC$2)&lt;&gt;"",1,0),0)</f>
        <v/>
      </c>
      <c r="DD46">
        <f>IF(DD$4=1,IF(INDEX('×入力'!$C$1:$L$700,546+DD$3,DD$2)&lt;&gt;"",1,0),0)</f>
        <v/>
      </c>
      <c r="DE46">
        <f>IF(DE$4=1,IF(INDEX('×入力'!$C$1:$L$700,546+DE$3,DE$2)&lt;&gt;"",1,0),0)</f>
        <v/>
      </c>
      <c r="DF46">
        <f>IF(DF$4=1,IF(INDEX('×入力'!$C$1:$L$700,546+DF$3,DF$2)&lt;&gt;"",1,0),0)</f>
        <v/>
      </c>
      <c r="DG46">
        <f>IF(DG$4=1,IF(INDEX('×入力'!$C$1:$L$700,546+DG$3,DG$2)&lt;&gt;"",1,0),0)</f>
        <v/>
      </c>
      <c r="DH46">
        <f>IF(DH$4=1,IF(INDEX('×入力'!$C$1:$L$700,546+DH$3,DH$2)&lt;&gt;"",1,0),0)</f>
        <v/>
      </c>
      <c r="DI46">
        <f>IF(DI$4=1,IF(INDEX('×入力'!$C$1:$L$700,546+DI$3,DI$2)&lt;&gt;"",1,0),0)</f>
        <v/>
      </c>
      <c r="DJ46">
        <f>IF(DJ$4=1,IF(INDEX('×入力'!$C$1:$L$700,546+DJ$3,DJ$2)&lt;&gt;"",1,0),0)</f>
        <v/>
      </c>
      <c r="DK46">
        <f>IF(DK$4=1,IF(INDEX('×入力'!$C$1:$L$700,546+DK$3,DK$2)&lt;&gt;"",1,0),0)</f>
        <v/>
      </c>
      <c r="DL46">
        <f>IF(DL$4=1,IF(INDEX('×入力'!$C$1:$L$700,546+DL$3,DL$2)&lt;&gt;"",1,0),0)</f>
        <v/>
      </c>
      <c r="DM46">
        <f>IF(DM$4=1,IF(INDEX('×入力'!$C$1:$L$700,546+DM$3,DM$2)&lt;&gt;"",1,0),0)</f>
        <v/>
      </c>
      <c r="DN46">
        <f>IF(DN$4=1,IF(INDEX('×入力'!$C$1:$L$700,546+DN$3,DN$2)&lt;&gt;"",1,0),0)</f>
        <v/>
      </c>
      <c r="DO46">
        <f>IF(DO$4=1,IF(INDEX('×入力'!$C$1:$L$700,546+DO$3,DO$2)&lt;&gt;"",1,0),0)</f>
        <v/>
      </c>
      <c r="DP46">
        <f>IF(DP$4=1,IF(INDEX('×入力'!$C$1:$L$700,546+DP$3,DP$2)&lt;&gt;"",1,0),0)</f>
        <v/>
      </c>
      <c r="DQ46">
        <f>IF(DQ$4=1,IF(INDEX('×入力'!$C$1:$L$700,546+DQ$3,DQ$2)&lt;&gt;"",1,0),0)</f>
        <v/>
      </c>
      <c r="DR46">
        <f>IF(DR$4=1,IF(INDEX('×入力'!$C$1:$L$700,546+DR$3,DR$2)&lt;&gt;"",1,0),0)</f>
        <v/>
      </c>
      <c r="DS46">
        <f>IF(DS$4=1,IF(INDEX('×入力'!$C$1:$L$700,546+DS$3,DS$2)&lt;&gt;"",1,0),0)</f>
        <v/>
      </c>
      <c r="DU46">
        <f>IFERROR(INDEX('計算B'!$C$3:$C$47,MATCH(A46,'計算B'!$B$3:$B$47,0)),0)</f>
        <v/>
      </c>
      <c r="DV46">
        <f>IF(AND(C46=1,DU46=0),1,0)</f>
        <v/>
      </c>
      <c r="DW46">
        <f>SUMPRODUCT(D96:DS96*(1-$D$7:$DS$7))</f>
        <v/>
      </c>
      <c r="DX46">
        <f>SUM(D46:DS46)</f>
        <v/>
      </c>
      <c r="DY46">
        <f>IF(B46="",0,IF(COUNTIF('割り当て'!$C$6:$L$17,B46)=1,SUMPRODUCT(('割り当て'!$C$6:$L$17=B46)*((COLUMN('割り当て'!$C$6:$L$17)-3)*12+ROW('割り当て'!$C$6:$L$17)-5)),0))</f>
        <v/>
      </c>
    </row>
    <row r="47">
      <c r="A47" t="n">
        <v>38</v>
      </c>
      <c r="B47">
        <f>'名簿'!E42</f>
        <v/>
      </c>
      <c r="C47">
        <f>IF(AND(B47&lt;&gt;"",OR('名簿'!F42="入力済み",'名簿'!F42="×なし"),DY47=0,COUNTIF('割り当て'!$C$6:$L$17,B47)=0),1,0)</f>
        <v/>
      </c>
      <c r="D47">
        <f>IF(D$4=1,IF(INDEX('×入力'!$C$1:$L$700,561+D$3,D$2)&lt;&gt;"",1,0),0)</f>
        <v/>
      </c>
      <c r="E47">
        <f>IF(E$4=1,IF(INDEX('×入力'!$C$1:$L$700,561+E$3,E$2)&lt;&gt;"",1,0),0)</f>
        <v/>
      </c>
      <c r="F47">
        <f>IF(F$4=1,IF(INDEX('×入力'!$C$1:$L$700,561+F$3,F$2)&lt;&gt;"",1,0),0)</f>
        <v/>
      </c>
      <c r="G47">
        <f>IF(G$4=1,IF(INDEX('×入力'!$C$1:$L$700,561+G$3,G$2)&lt;&gt;"",1,0),0)</f>
        <v/>
      </c>
      <c r="H47">
        <f>IF(H$4=1,IF(INDEX('×入力'!$C$1:$L$700,561+H$3,H$2)&lt;&gt;"",1,0),0)</f>
        <v/>
      </c>
      <c r="I47">
        <f>IF(I$4=1,IF(INDEX('×入力'!$C$1:$L$700,561+I$3,I$2)&lt;&gt;"",1,0),0)</f>
        <v/>
      </c>
      <c r="J47">
        <f>IF(J$4=1,IF(INDEX('×入力'!$C$1:$L$700,561+J$3,J$2)&lt;&gt;"",1,0),0)</f>
        <v/>
      </c>
      <c r="K47">
        <f>IF(K$4=1,IF(INDEX('×入力'!$C$1:$L$700,561+K$3,K$2)&lt;&gt;"",1,0),0)</f>
        <v/>
      </c>
      <c r="L47">
        <f>IF(L$4=1,IF(INDEX('×入力'!$C$1:$L$700,561+L$3,L$2)&lt;&gt;"",1,0),0)</f>
        <v/>
      </c>
      <c r="M47">
        <f>IF(M$4=1,IF(INDEX('×入力'!$C$1:$L$700,561+M$3,M$2)&lt;&gt;"",1,0),0)</f>
        <v/>
      </c>
      <c r="N47">
        <f>IF(N$4=1,IF(INDEX('×入力'!$C$1:$L$700,561+N$3,N$2)&lt;&gt;"",1,0),0)</f>
        <v/>
      </c>
      <c r="O47">
        <f>IF(O$4=1,IF(INDEX('×入力'!$C$1:$L$700,561+O$3,O$2)&lt;&gt;"",1,0),0)</f>
        <v/>
      </c>
      <c r="P47">
        <f>IF(P$4=1,IF(INDEX('×入力'!$C$1:$L$700,561+P$3,P$2)&lt;&gt;"",1,0),0)</f>
        <v/>
      </c>
      <c r="Q47">
        <f>IF(Q$4=1,IF(INDEX('×入力'!$C$1:$L$700,561+Q$3,Q$2)&lt;&gt;"",1,0),0)</f>
        <v/>
      </c>
      <c r="R47">
        <f>IF(R$4=1,IF(INDEX('×入力'!$C$1:$L$700,561+R$3,R$2)&lt;&gt;"",1,0),0)</f>
        <v/>
      </c>
      <c r="S47">
        <f>IF(S$4=1,IF(INDEX('×入力'!$C$1:$L$700,561+S$3,S$2)&lt;&gt;"",1,0),0)</f>
        <v/>
      </c>
      <c r="T47">
        <f>IF(T$4=1,IF(INDEX('×入力'!$C$1:$L$700,561+T$3,T$2)&lt;&gt;"",1,0),0)</f>
        <v/>
      </c>
      <c r="U47">
        <f>IF(U$4=1,IF(INDEX('×入力'!$C$1:$L$700,561+U$3,U$2)&lt;&gt;"",1,0),0)</f>
        <v/>
      </c>
      <c r="V47">
        <f>IF(V$4=1,IF(INDEX('×入力'!$C$1:$L$700,561+V$3,V$2)&lt;&gt;"",1,0),0)</f>
        <v/>
      </c>
      <c r="W47">
        <f>IF(W$4=1,IF(INDEX('×入力'!$C$1:$L$700,561+W$3,W$2)&lt;&gt;"",1,0),0)</f>
        <v/>
      </c>
      <c r="X47">
        <f>IF(X$4=1,IF(INDEX('×入力'!$C$1:$L$700,561+X$3,X$2)&lt;&gt;"",1,0),0)</f>
        <v/>
      </c>
      <c r="Y47">
        <f>IF(Y$4=1,IF(INDEX('×入力'!$C$1:$L$700,561+Y$3,Y$2)&lt;&gt;"",1,0),0)</f>
        <v/>
      </c>
      <c r="Z47">
        <f>IF(Z$4=1,IF(INDEX('×入力'!$C$1:$L$700,561+Z$3,Z$2)&lt;&gt;"",1,0),0)</f>
        <v/>
      </c>
      <c r="AA47">
        <f>IF(AA$4=1,IF(INDEX('×入力'!$C$1:$L$700,561+AA$3,AA$2)&lt;&gt;"",1,0),0)</f>
        <v/>
      </c>
      <c r="AB47">
        <f>IF(AB$4=1,IF(INDEX('×入力'!$C$1:$L$700,561+AB$3,AB$2)&lt;&gt;"",1,0),0)</f>
        <v/>
      </c>
      <c r="AC47">
        <f>IF(AC$4=1,IF(INDEX('×入力'!$C$1:$L$700,561+AC$3,AC$2)&lt;&gt;"",1,0),0)</f>
        <v/>
      </c>
      <c r="AD47">
        <f>IF(AD$4=1,IF(INDEX('×入力'!$C$1:$L$700,561+AD$3,AD$2)&lt;&gt;"",1,0),0)</f>
        <v/>
      </c>
      <c r="AE47">
        <f>IF(AE$4=1,IF(INDEX('×入力'!$C$1:$L$700,561+AE$3,AE$2)&lt;&gt;"",1,0),0)</f>
        <v/>
      </c>
      <c r="AF47">
        <f>IF(AF$4=1,IF(INDEX('×入力'!$C$1:$L$700,561+AF$3,AF$2)&lt;&gt;"",1,0),0)</f>
        <v/>
      </c>
      <c r="AG47">
        <f>IF(AG$4=1,IF(INDEX('×入力'!$C$1:$L$700,561+AG$3,AG$2)&lt;&gt;"",1,0),0)</f>
        <v/>
      </c>
      <c r="AH47">
        <f>IF(AH$4=1,IF(INDEX('×入力'!$C$1:$L$700,561+AH$3,AH$2)&lt;&gt;"",1,0),0)</f>
        <v/>
      </c>
      <c r="AI47">
        <f>IF(AI$4=1,IF(INDEX('×入力'!$C$1:$L$700,561+AI$3,AI$2)&lt;&gt;"",1,0),0)</f>
        <v/>
      </c>
      <c r="AJ47">
        <f>IF(AJ$4=1,IF(INDEX('×入力'!$C$1:$L$700,561+AJ$3,AJ$2)&lt;&gt;"",1,0),0)</f>
        <v/>
      </c>
      <c r="AK47">
        <f>IF(AK$4=1,IF(INDEX('×入力'!$C$1:$L$700,561+AK$3,AK$2)&lt;&gt;"",1,0),0)</f>
        <v/>
      </c>
      <c r="AL47">
        <f>IF(AL$4=1,IF(INDEX('×入力'!$C$1:$L$700,561+AL$3,AL$2)&lt;&gt;"",1,0),0)</f>
        <v/>
      </c>
      <c r="AM47">
        <f>IF(AM$4=1,IF(INDEX('×入力'!$C$1:$L$700,561+AM$3,AM$2)&lt;&gt;"",1,0),0)</f>
        <v/>
      </c>
      <c r="AN47">
        <f>IF(AN$4=1,IF(INDEX('×入力'!$C$1:$L$700,561+AN$3,AN$2)&lt;&gt;"",1,0),0)</f>
        <v/>
      </c>
      <c r="AO47">
        <f>IF(AO$4=1,IF(INDEX('×入力'!$C$1:$L$700,561+AO$3,AO$2)&lt;&gt;"",1,0),0)</f>
        <v/>
      </c>
      <c r="AP47">
        <f>IF(AP$4=1,IF(INDEX('×入力'!$C$1:$L$700,561+AP$3,AP$2)&lt;&gt;"",1,0),0)</f>
        <v/>
      </c>
      <c r="AQ47">
        <f>IF(AQ$4=1,IF(INDEX('×入力'!$C$1:$L$700,561+AQ$3,AQ$2)&lt;&gt;"",1,0),0)</f>
        <v/>
      </c>
      <c r="AR47">
        <f>IF(AR$4=1,IF(INDEX('×入力'!$C$1:$L$700,561+AR$3,AR$2)&lt;&gt;"",1,0),0)</f>
        <v/>
      </c>
      <c r="AS47">
        <f>IF(AS$4=1,IF(INDEX('×入力'!$C$1:$L$700,561+AS$3,AS$2)&lt;&gt;"",1,0),0)</f>
        <v/>
      </c>
      <c r="AT47">
        <f>IF(AT$4=1,IF(INDEX('×入力'!$C$1:$L$700,561+AT$3,AT$2)&lt;&gt;"",1,0),0)</f>
        <v/>
      </c>
      <c r="AU47">
        <f>IF(AU$4=1,IF(INDEX('×入力'!$C$1:$L$700,561+AU$3,AU$2)&lt;&gt;"",1,0),0)</f>
        <v/>
      </c>
      <c r="AV47">
        <f>IF(AV$4=1,IF(INDEX('×入力'!$C$1:$L$700,561+AV$3,AV$2)&lt;&gt;"",1,0),0)</f>
        <v/>
      </c>
      <c r="AW47">
        <f>IF(AW$4=1,IF(INDEX('×入力'!$C$1:$L$700,561+AW$3,AW$2)&lt;&gt;"",1,0),0)</f>
        <v/>
      </c>
      <c r="AX47">
        <f>IF(AX$4=1,IF(INDEX('×入力'!$C$1:$L$700,561+AX$3,AX$2)&lt;&gt;"",1,0),0)</f>
        <v/>
      </c>
      <c r="AY47">
        <f>IF(AY$4=1,IF(INDEX('×入力'!$C$1:$L$700,561+AY$3,AY$2)&lt;&gt;"",1,0),0)</f>
        <v/>
      </c>
      <c r="AZ47">
        <f>IF(AZ$4=1,IF(INDEX('×入力'!$C$1:$L$700,561+AZ$3,AZ$2)&lt;&gt;"",1,0),0)</f>
        <v/>
      </c>
      <c r="BA47">
        <f>IF(BA$4=1,IF(INDEX('×入力'!$C$1:$L$700,561+BA$3,BA$2)&lt;&gt;"",1,0),0)</f>
        <v/>
      </c>
      <c r="BB47">
        <f>IF(BB$4=1,IF(INDEX('×入力'!$C$1:$L$700,561+BB$3,BB$2)&lt;&gt;"",1,0),0)</f>
        <v/>
      </c>
      <c r="BC47">
        <f>IF(BC$4=1,IF(INDEX('×入力'!$C$1:$L$700,561+BC$3,BC$2)&lt;&gt;"",1,0),0)</f>
        <v/>
      </c>
      <c r="BD47">
        <f>IF(BD$4=1,IF(INDEX('×入力'!$C$1:$L$700,561+BD$3,BD$2)&lt;&gt;"",1,0),0)</f>
        <v/>
      </c>
      <c r="BE47">
        <f>IF(BE$4=1,IF(INDEX('×入力'!$C$1:$L$700,561+BE$3,BE$2)&lt;&gt;"",1,0),0)</f>
        <v/>
      </c>
      <c r="BF47">
        <f>IF(BF$4=1,IF(INDEX('×入力'!$C$1:$L$700,561+BF$3,BF$2)&lt;&gt;"",1,0),0)</f>
        <v/>
      </c>
      <c r="BG47">
        <f>IF(BG$4=1,IF(INDEX('×入力'!$C$1:$L$700,561+BG$3,BG$2)&lt;&gt;"",1,0),0)</f>
        <v/>
      </c>
      <c r="BH47">
        <f>IF(BH$4=1,IF(INDEX('×入力'!$C$1:$L$700,561+BH$3,BH$2)&lt;&gt;"",1,0),0)</f>
        <v/>
      </c>
      <c r="BI47">
        <f>IF(BI$4=1,IF(INDEX('×入力'!$C$1:$L$700,561+BI$3,BI$2)&lt;&gt;"",1,0),0)</f>
        <v/>
      </c>
      <c r="BJ47">
        <f>IF(BJ$4=1,IF(INDEX('×入力'!$C$1:$L$700,561+BJ$3,BJ$2)&lt;&gt;"",1,0),0)</f>
        <v/>
      </c>
      <c r="BK47">
        <f>IF(BK$4=1,IF(INDEX('×入力'!$C$1:$L$700,561+BK$3,BK$2)&lt;&gt;"",1,0),0)</f>
        <v/>
      </c>
      <c r="BL47">
        <f>IF(BL$4=1,IF(INDEX('×入力'!$C$1:$L$700,561+BL$3,BL$2)&lt;&gt;"",1,0),0)</f>
        <v/>
      </c>
      <c r="BM47">
        <f>IF(BM$4=1,IF(INDEX('×入力'!$C$1:$L$700,561+BM$3,BM$2)&lt;&gt;"",1,0),0)</f>
        <v/>
      </c>
      <c r="BN47">
        <f>IF(BN$4=1,IF(INDEX('×入力'!$C$1:$L$700,561+BN$3,BN$2)&lt;&gt;"",1,0),0)</f>
        <v/>
      </c>
      <c r="BO47">
        <f>IF(BO$4=1,IF(INDEX('×入力'!$C$1:$L$700,561+BO$3,BO$2)&lt;&gt;"",1,0),0)</f>
        <v/>
      </c>
      <c r="BP47">
        <f>IF(BP$4=1,IF(INDEX('×入力'!$C$1:$L$700,561+BP$3,BP$2)&lt;&gt;"",1,0),0)</f>
        <v/>
      </c>
      <c r="BQ47">
        <f>IF(BQ$4=1,IF(INDEX('×入力'!$C$1:$L$700,561+BQ$3,BQ$2)&lt;&gt;"",1,0),0)</f>
        <v/>
      </c>
      <c r="BR47">
        <f>IF(BR$4=1,IF(INDEX('×入力'!$C$1:$L$700,561+BR$3,BR$2)&lt;&gt;"",1,0),0)</f>
        <v/>
      </c>
      <c r="BS47">
        <f>IF(BS$4=1,IF(INDEX('×入力'!$C$1:$L$700,561+BS$3,BS$2)&lt;&gt;"",1,0),0)</f>
        <v/>
      </c>
      <c r="BT47">
        <f>IF(BT$4=1,IF(INDEX('×入力'!$C$1:$L$700,561+BT$3,BT$2)&lt;&gt;"",1,0),0)</f>
        <v/>
      </c>
      <c r="BU47">
        <f>IF(BU$4=1,IF(INDEX('×入力'!$C$1:$L$700,561+BU$3,BU$2)&lt;&gt;"",1,0),0)</f>
        <v/>
      </c>
      <c r="BV47">
        <f>IF(BV$4=1,IF(INDEX('×入力'!$C$1:$L$700,561+BV$3,BV$2)&lt;&gt;"",1,0),0)</f>
        <v/>
      </c>
      <c r="BW47">
        <f>IF(BW$4=1,IF(INDEX('×入力'!$C$1:$L$700,561+BW$3,BW$2)&lt;&gt;"",1,0),0)</f>
        <v/>
      </c>
      <c r="BX47">
        <f>IF(BX$4=1,IF(INDEX('×入力'!$C$1:$L$700,561+BX$3,BX$2)&lt;&gt;"",1,0),0)</f>
        <v/>
      </c>
      <c r="BY47">
        <f>IF(BY$4=1,IF(INDEX('×入力'!$C$1:$L$700,561+BY$3,BY$2)&lt;&gt;"",1,0),0)</f>
        <v/>
      </c>
      <c r="BZ47">
        <f>IF(BZ$4=1,IF(INDEX('×入力'!$C$1:$L$700,561+BZ$3,BZ$2)&lt;&gt;"",1,0),0)</f>
        <v/>
      </c>
      <c r="CA47">
        <f>IF(CA$4=1,IF(INDEX('×入力'!$C$1:$L$700,561+CA$3,CA$2)&lt;&gt;"",1,0),0)</f>
        <v/>
      </c>
      <c r="CB47">
        <f>IF(CB$4=1,IF(INDEX('×入力'!$C$1:$L$700,561+CB$3,CB$2)&lt;&gt;"",1,0),0)</f>
        <v/>
      </c>
      <c r="CC47">
        <f>IF(CC$4=1,IF(INDEX('×入力'!$C$1:$L$700,561+CC$3,CC$2)&lt;&gt;"",1,0),0)</f>
        <v/>
      </c>
      <c r="CD47">
        <f>IF(CD$4=1,IF(INDEX('×入力'!$C$1:$L$700,561+CD$3,CD$2)&lt;&gt;"",1,0),0)</f>
        <v/>
      </c>
      <c r="CE47">
        <f>IF(CE$4=1,IF(INDEX('×入力'!$C$1:$L$700,561+CE$3,CE$2)&lt;&gt;"",1,0),0)</f>
        <v/>
      </c>
      <c r="CF47">
        <f>IF(CF$4=1,IF(INDEX('×入力'!$C$1:$L$700,561+CF$3,CF$2)&lt;&gt;"",1,0),0)</f>
        <v/>
      </c>
      <c r="CG47">
        <f>IF(CG$4=1,IF(INDEX('×入力'!$C$1:$L$700,561+CG$3,CG$2)&lt;&gt;"",1,0),0)</f>
        <v/>
      </c>
      <c r="CH47">
        <f>IF(CH$4=1,IF(INDEX('×入力'!$C$1:$L$700,561+CH$3,CH$2)&lt;&gt;"",1,0),0)</f>
        <v/>
      </c>
      <c r="CI47">
        <f>IF(CI$4=1,IF(INDEX('×入力'!$C$1:$L$700,561+CI$3,CI$2)&lt;&gt;"",1,0),0)</f>
        <v/>
      </c>
      <c r="CJ47">
        <f>IF(CJ$4=1,IF(INDEX('×入力'!$C$1:$L$700,561+CJ$3,CJ$2)&lt;&gt;"",1,0),0)</f>
        <v/>
      </c>
      <c r="CK47">
        <f>IF(CK$4=1,IF(INDEX('×入力'!$C$1:$L$700,561+CK$3,CK$2)&lt;&gt;"",1,0),0)</f>
        <v/>
      </c>
      <c r="CL47">
        <f>IF(CL$4=1,IF(INDEX('×入力'!$C$1:$L$700,561+CL$3,CL$2)&lt;&gt;"",1,0),0)</f>
        <v/>
      </c>
      <c r="CM47">
        <f>IF(CM$4=1,IF(INDEX('×入力'!$C$1:$L$700,561+CM$3,CM$2)&lt;&gt;"",1,0),0)</f>
        <v/>
      </c>
      <c r="CN47">
        <f>IF(CN$4=1,IF(INDEX('×入力'!$C$1:$L$700,561+CN$3,CN$2)&lt;&gt;"",1,0),0)</f>
        <v/>
      </c>
      <c r="CO47">
        <f>IF(CO$4=1,IF(INDEX('×入力'!$C$1:$L$700,561+CO$3,CO$2)&lt;&gt;"",1,0),0)</f>
        <v/>
      </c>
      <c r="CP47">
        <f>IF(CP$4=1,IF(INDEX('×入力'!$C$1:$L$700,561+CP$3,CP$2)&lt;&gt;"",1,0),0)</f>
        <v/>
      </c>
      <c r="CQ47">
        <f>IF(CQ$4=1,IF(INDEX('×入力'!$C$1:$L$700,561+CQ$3,CQ$2)&lt;&gt;"",1,0),0)</f>
        <v/>
      </c>
      <c r="CR47">
        <f>IF(CR$4=1,IF(INDEX('×入力'!$C$1:$L$700,561+CR$3,CR$2)&lt;&gt;"",1,0),0)</f>
        <v/>
      </c>
      <c r="CS47">
        <f>IF(CS$4=1,IF(INDEX('×入力'!$C$1:$L$700,561+CS$3,CS$2)&lt;&gt;"",1,0),0)</f>
        <v/>
      </c>
      <c r="CT47">
        <f>IF(CT$4=1,IF(INDEX('×入力'!$C$1:$L$700,561+CT$3,CT$2)&lt;&gt;"",1,0),0)</f>
        <v/>
      </c>
      <c r="CU47">
        <f>IF(CU$4=1,IF(INDEX('×入力'!$C$1:$L$700,561+CU$3,CU$2)&lt;&gt;"",1,0),0)</f>
        <v/>
      </c>
      <c r="CV47">
        <f>IF(CV$4=1,IF(INDEX('×入力'!$C$1:$L$700,561+CV$3,CV$2)&lt;&gt;"",1,0),0)</f>
        <v/>
      </c>
      <c r="CW47">
        <f>IF(CW$4=1,IF(INDEX('×入力'!$C$1:$L$700,561+CW$3,CW$2)&lt;&gt;"",1,0),0)</f>
        <v/>
      </c>
      <c r="CX47">
        <f>IF(CX$4=1,IF(INDEX('×入力'!$C$1:$L$700,561+CX$3,CX$2)&lt;&gt;"",1,0),0)</f>
        <v/>
      </c>
      <c r="CY47">
        <f>IF(CY$4=1,IF(INDEX('×入力'!$C$1:$L$700,561+CY$3,CY$2)&lt;&gt;"",1,0),0)</f>
        <v/>
      </c>
      <c r="CZ47">
        <f>IF(CZ$4=1,IF(INDEX('×入力'!$C$1:$L$700,561+CZ$3,CZ$2)&lt;&gt;"",1,0),0)</f>
        <v/>
      </c>
      <c r="DA47">
        <f>IF(DA$4=1,IF(INDEX('×入力'!$C$1:$L$700,561+DA$3,DA$2)&lt;&gt;"",1,0),0)</f>
        <v/>
      </c>
      <c r="DB47">
        <f>IF(DB$4=1,IF(INDEX('×入力'!$C$1:$L$700,561+DB$3,DB$2)&lt;&gt;"",1,0),0)</f>
        <v/>
      </c>
      <c r="DC47">
        <f>IF(DC$4=1,IF(INDEX('×入力'!$C$1:$L$700,561+DC$3,DC$2)&lt;&gt;"",1,0),0)</f>
        <v/>
      </c>
      <c r="DD47">
        <f>IF(DD$4=1,IF(INDEX('×入力'!$C$1:$L$700,561+DD$3,DD$2)&lt;&gt;"",1,0),0)</f>
        <v/>
      </c>
      <c r="DE47">
        <f>IF(DE$4=1,IF(INDEX('×入力'!$C$1:$L$700,561+DE$3,DE$2)&lt;&gt;"",1,0),0)</f>
        <v/>
      </c>
      <c r="DF47">
        <f>IF(DF$4=1,IF(INDEX('×入力'!$C$1:$L$700,561+DF$3,DF$2)&lt;&gt;"",1,0),0)</f>
        <v/>
      </c>
      <c r="DG47">
        <f>IF(DG$4=1,IF(INDEX('×入力'!$C$1:$L$700,561+DG$3,DG$2)&lt;&gt;"",1,0),0)</f>
        <v/>
      </c>
      <c r="DH47">
        <f>IF(DH$4=1,IF(INDEX('×入力'!$C$1:$L$700,561+DH$3,DH$2)&lt;&gt;"",1,0),0)</f>
        <v/>
      </c>
      <c r="DI47">
        <f>IF(DI$4=1,IF(INDEX('×入力'!$C$1:$L$700,561+DI$3,DI$2)&lt;&gt;"",1,0),0)</f>
        <v/>
      </c>
      <c r="DJ47">
        <f>IF(DJ$4=1,IF(INDEX('×入力'!$C$1:$L$700,561+DJ$3,DJ$2)&lt;&gt;"",1,0),0)</f>
        <v/>
      </c>
      <c r="DK47">
        <f>IF(DK$4=1,IF(INDEX('×入力'!$C$1:$L$700,561+DK$3,DK$2)&lt;&gt;"",1,0),0)</f>
        <v/>
      </c>
      <c r="DL47">
        <f>IF(DL$4=1,IF(INDEX('×入力'!$C$1:$L$700,561+DL$3,DL$2)&lt;&gt;"",1,0),0)</f>
        <v/>
      </c>
      <c r="DM47">
        <f>IF(DM$4=1,IF(INDEX('×入力'!$C$1:$L$700,561+DM$3,DM$2)&lt;&gt;"",1,0),0)</f>
        <v/>
      </c>
      <c r="DN47">
        <f>IF(DN$4=1,IF(INDEX('×入力'!$C$1:$L$700,561+DN$3,DN$2)&lt;&gt;"",1,0),0)</f>
        <v/>
      </c>
      <c r="DO47">
        <f>IF(DO$4=1,IF(INDEX('×入力'!$C$1:$L$700,561+DO$3,DO$2)&lt;&gt;"",1,0),0)</f>
        <v/>
      </c>
      <c r="DP47">
        <f>IF(DP$4=1,IF(INDEX('×入力'!$C$1:$L$700,561+DP$3,DP$2)&lt;&gt;"",1,0),0)</f>
        <v/>
      </c>
      <c r="DQ47">
        <f>IF(DQ$4=1,IF(INDEX('×入力'!$C$1:$L$700,561+DQ$3,DQ$2)&lt;&gt;"",1,0),0)</f>
        <v/>
      </c>
      <c r="DR47">
        <f>IF(DR$4=1,IF(INDEX('×入力'!$C$1:$L$700,561+DR$3,DR$2)&lt;&gt;"",1,0),0)</f>
        <v/>
      </c>
      <c r="DS47">
        <f>IF(DS$4=1,IF(INDEX('×入力'!$C$1:$L$700,561+DS$3,DS$2)&lt;&gt;"",1,0),0)</f>
        <v/>
      </c>
      <c r="DU47">
        <f>IFERROR(INDEX('計算B'!$C$3:$C$47,MATCH(A47,'計算B'!$B$3:$B$47,0)),0)</f>
        <v/>
      </c>
      <c r="DV47">
        <f>IF(AND(C47=1,DU47=0),1,0)</f>
        <v/>
      </c>
      <c r="DW47">
        <f>SUMPRODUCT(D97:DS97*(1-$D$7:$DS$7))</f>
        <v/>
      </c>
      <c r="DX47">
        <f>SUM(D47:DS47)</f>
        <v/>
      </c>
      <c r="DY47">
        <f>IF(B47="",0,IF(COUNTIF('割り当て'!$C$6:$L$17,B47)=1,SUMPRODUCT(('割り当て'!$C$6:$L$17=B47)*((COLUMN('割り当て'!$C$6:$L$17)-3)*12+ROW('割り当て'!$C$6:$L$17)-5)),0))</f>
        <v/>
      </c>
    </row>
    <row r="48">
      <c r="A48" t="n">
        <v>39</v>
      </c>
      <c r="B48">
        <f>'名簿'!E43</f>
        <v/>
      </c>
      <c r="C48">
        <f>IF(AND(B48&lt;&gt;"",OR('名簿'!F43="入力済み",'名簿'!F43="×なし"),DY48=0,COUNTIF('割り当て'!$C$6:$L$17,B48)=0),1,0)</f>
        <v/>
      </c>
      <c r="D48">
        <f>IF(D$4=1,IF(INDEX('×入力'!$C$1:$L$700,576+D$3,D$2)&lt;&gt;"",1,0),0)</f>
        <v/>
      </c>
      <c r="E48">
        <f>IF(E$4=1,IF(INDEX('×入力'!$C$1:$L$700,576+E$3,E$2)&lt;&gt;"",1,0),0)</f>
        <v/>
      </c>
      <c r="F48">
        <f>IF(F$4=1,IF(INDEX('×入力'!$C$1:$L$700,576+F$3,F$2)&lt;&gt;"",1,0),0)</f>
        <v/>
      </c>
      <c r="G48">
        <f>IF(G$4=1,IF(INDEX('×入力'!$C$1:$L$700,576+G$3,G$2)&lt;&gt;"",1,0),0)</f>
        <v/>
      </c>
      <c r="H48">
        <f>IF(H$4=1,IF(INDEX('×入力'!$C$1:$L$700,576+H$3,H$2)&lt;&gt;"",1,0),0)</f>
        <v/>
      </c>
      <c r="I48">
        <f>IF(I$4=1,IF(INDEX('×入力'!$C$1:$L$700,576+I$3,I$2)&lt;&gt;"",1,0),0)</f>
        <v/>
      </c>
      <c r="J48">
        <f>IF(J$4=1,IF(INDEX('×入力'!$C$1:$L$700,576+J$3,J$2)&lt;&gt;"",1,0),0)</f>
        <v/>
      </c>
      <c r="K48">
        <f>IF(K$4=1,IF(INDEX('×入力'!$C$1:$L$700,576+K$3,K$2)&lt;&gt;"",1,0),0)</f>
        <v/>
      </c>
      <c r="L48">
        <f>IF(L$4=1,IF(INDEX('×入力'!$C$1:$L$700,576+L$3,L$2)&lt;&gt;"",1,0),0)</f>
        <v/>
      </c>
      <c r="M48">
        <f>IF(M$4=1,IF(INDEX('×入力'!$C$1:$L$700,576+M$3,M$2)&lt;&gt;"",1,0),0)</f>
        <v/>
      </c>
      <c r="N48">
        <f>IF(N$4=1,IF(INDEX('×入力'!$C$1:$L$700,576+N$3,N$2)&lt;&gt;"",1,0),0)</f>
        <v/>
      </c>
      <c r="O48">
        <f>IF(O$4=1,IF(INDEX('×入力'!$C$1:$L$700,576+O$3,O$2)&lt;&gt;"",1,0),0)</f>
        <v/>
      </c>
      <c r="P48">
        <f>IF(P$4=1,IF(INDEX('×入力'!$C$1:$L$700,576+P$3,P$2)&lt;&gt;"",1,0),0)</f>
        <v/>
      </c>
      <c r="Q48">
        <f>IF(Q$4=1,IF(INDEX('×入力'!$C$1:$L$700,576+Q$3,Q$2)&lt;&gt;"",1,0),0)</f>
        <v/>
      </c>
      <c r="R48">
        <f>IF(R$4=1,IF(INDEX('×入力'!$C$1:$L$700,576+R$3,R$2)&lt;&gt;"",1,0),0)</f>
        <v/>
      </c>
      <c r="S48">
        <f>IF(S$4=1,IF(INDEX('×入力'!$C$1:$L$700,576+S$3,S$2)&lt;&gt;"",1,0),0)</f>
        <v/>
      </c>
      <c r="T48">
        <f>IF(T$4=1,IF(INDEX('×入力'!$C$1:$L$700,576+T$3,T$2)&lt;&gt;"",1,0),0)</f>
        <v/>
      </c>
      <c r="U48">
        <f>IF(U$4=1,IF(INDEX('×入力'!$C$1:$L$700,576+U$3,U$2)&lt;&gt;"",1,0),0)</f>
        <v/>
      </c>
      <c r="V48">
        <f>IF(V$4=1,IF(INDEX('×入力'!$C$1:$L$700,576+V$3,V$2)&lt;&gt;"",1,0),0)</f>
        <v/>
      </c>
      <c r="W48">
        <f>IF(W$4=1,IF(INDEX('×入力'!$C$1:$L$700,576+W$3,W$2)&lt;&gt;"",1,0),0)</f>
        <v/>
      </c>
      <c r="X48">
        <f>IF(X$4=1,IF(INDEX('×入力'!$C$1:$L$700,576+X$3,X$2)&lt;&gt;"",1,0),0)</f>
        <v/>
      </c>
      <c r="Y48">
        <f>IF(Y$4=1,IF(INDEX('×入力'!$C$1:$L$700,576+Y$3,Y$2)&lt;&gt;"",1,0),0)</f>
        <v/>
      </c>
      <c r="Z48">
        <f>IF(Z$4=1,IF(INDEX('×入力'!$C$1:$L$700,576+Z$3,Z$2)&lt;&gt;"",1,0),0)</f>
        <v/>
      </c>
      <c r="AA48">
        <f>IF(AA$4=1,IF(INDEX('×入力'!$C$1:$L$700,576+AA$3,AA$2)&lt;&gt;"",1,0),0)</f>
        <v/>
      </c>
      <c r="AB48">
        <f>IF(AB$4=1,IF(INDEX('×入力'!$C$1:$L$700,576+AB$3,AB$2)&lt;&gt;"",1,0),0)</f>
        <v/>
      </c>
      <c r="AC48">
        <f>IF(AC$4=1,IF(INDEX('×入力'!$C$1:$L$700,576+AC$3,AC$2)&lt;&gt;"",1,0),0)</f>
        <v/>
      </c>
      <c r="AD48">
        <f>IF(AD$4=1,IF(INDEX('×入力'!$C$1:$L$700,576+AD$3,AD$2)&lt;&gt;"",1,0),0)</f>
        <v/>
      </c>
      <c r="AE48">
        <f>IF(AE$4=1,IF(INDEX('×入力'!$C$1:$L$700,576+AE$3,AE$2)&lt;&gt;"",1,0),0)</f>
        <v/>
      </c>
      <c r="AF48">
        <f>IF(AF$4=1,IF(INDEX('×入力'!$C$1:$L$700,576+AF$3,AF$2)&lt;&gt;"",1,0),0)</f>
        <v/>
      </c>
      <c r="AG48">
        <f>IF(AG$4=1,IF(INDEX('×入力'!$C$1:$L$700,576+AG$3,AG$2)&lt;&gt;"",1,0),0)</f>
        <v/>
      </c>
      <c r="AH48">
        <f>IF(AH$4=1,IF(INDEX('×入力'!$C$1:$L$700,576+AH$3,AH$2)&lt;&gt;"",1,0),0)</f>
        <v/>
      </c>
      <c r="AI48">
        <f>IF(AI$4=1,IF(INDEX('×入力'!$C$1:$L$700,576+AI$3,AI$2)&lt;&gt;"",1,0),0)</f>
        <v/>
      </c>
      <c r="AJ48">
        <f>IF(AJ$4=1,IF(INDEX('×入力'!$C$1:$L$700,576+AJ$3,AJ$2)&lt;&gt;"",1,0),0)</f>
        <v/>
      </c>
      <c r="AK48">
        <f>IF(AK$4=1,IF(INDEX('×入力'!$C$1:$L$700,576+AK$3,AK$2)&lt;&gt;"",1,0),0)</f>
        <v/>
      </c>
      <c r="AL48">
        <f>IF(AL$4=1,IF(INDEX('×入力'!$C$1:$L$700,576+AL$3,AL$2)&lt;&gt;"",1,0),0)</f>
        <v/>
      </c>
      <c r="AM48">
        <f>IF(AM$4=1,IF(INDEX('×入力'!$C$1:$L$700,576+AM$3,AM$2)&lt;&gt;"",1,0),0)</f>
        <v/>
      </c>
      <c r="AN48">
        <f>IF(AN$4=1,IF(INDEX('×入力'!$C$1:$L$700,576+AN$3,AN$2)&lt;&gt;"",1,0),0)</f>
        <v/>
      </c>
      <c r="AO48">
        <f>IF(AO$4=1,IF(INDEX('×入力'!$C$1:$L$700,576+AO$3,AO$2)&lt;&gt;"",1,0),0)</f>
        <v/>
      </c>
      <c r="AP48">
        <f>IF(AP$4=1,IF(INDEX('×入力'!$C$1:$L$700,576+AP$3,AP$2)&lt;&gt;"",1,0),0)</f>
        <v/>
      </c>
      <c r="AQ48">
        <f>IF(AQ$4=1,IF(INDEX('×入力'!$C$1:$L$700,576+AQ$3,AQ$2)&lt;&gt;"",1,0),0)</f>
        <v/>
      </c>
      <c r="AR48">
        <f>IF(AR$4=1,IF(INDEX('×入力'!$C$1:$L$700,576+AR$3,AR$2)&lt;&gt;"",1,0),0)</f>
        <v/>
      </c>
      <c r="AS48">
        <f>IF(AS$4=1,IF(INDEX('×入力'!$C$1:$L$700,576+AS$3,AS$2)&lt;&gt;"",1,0),0)</f>
        <v/>
      </c>
      <c r="AT48">
        <f>IF(AT$4=1,IF(INDEX('×入力'!$C$1:$L$700,576+AT$3,AT$2)&lt;&gt;"",1,0),0)</f>
        <v/>
      </c>
      <c r="AU48">
        <f>IF(AU$4=1,IF(INDEX('×入力'!$C$1:$L$700,576+AU$3,AU$2)&lt;&gt;"",1,0),0)</f>
        <v/>
      </c>
      <c r="AV48">
        <f>IF(AV$4=1,IF(INDEX('×入力'!$C$1:$L$700,576+AV$3,AV$2)&lt;&gt;"",1,0),0)</f>
        <v/>
      </c>
      <c r="AW48">
        <f>IF(AW$4=1,IF(INDEX('×入力'!$C$1:$L$700,576+AW$3,AW$2)&lt;&gt;"",1,0),0)</f>
        <v/>
      </c>
      <c r="AX48">
        <f>IF(AX$4=1,IF(INDEX('×入力'!$C$1:$L$700,576+AX$3,AX$2)&lt;&gt;"",1,0),0)</f>
        <v/>
      </c>
      <c r="AY48">
        <f>IF(AY$4=1,IF(INDEX('×入力'!$C$1:$L$700,576+AY$3,AY$2)&lt;&gt;"",1,0),0)</f>
        <v/>
      </c>
      <c r="AZ48">
        <f>IF(AZ$4=1,IF(INDEX('×入力'!$C$1:$L$700,576+AZ$3,AZ$2)&lt;&gt;"",1,0),0)</f>
        <v/>
      </c>
      <c r="BA48">
        <f>IF(BA$4=1,IF(INDEX('×入力'!$C$1:$L$700,576+BA$3,BA$2)&lt;&gt;"",1,0),0)</f>
        <v/>
      </c>
      <c r="BB48">
        <f>IF(BB$4=1,IF(INDEX('×入力'!$C$1:$L$700,576+BB$3,BB$2)&lt;&gt;"",1,0),0)</f>
        <v/>
      </c>
      <c r="BC48">
        <f>IF(BC$4=1,IF(INDEX('×入力'!$C$1:$L$700,576+BC$3,BC$2)&lt;&gt;"",1,0),0)</f>
        <v/>
      </c>
      <c r="BD48">
        <f>IF(BD$4=1,IF(INDEX('×入力'!$C$1:$L$700,576+BD$3,BD$2)&lt;&gt;"",1,0),0)</f>
        <v/>
      </c>
      <c r="BE48">
        <f>IF(BE$4=1,IF(INDEX('×入力'!$C$1:$L$700,576+BE$3,BE$2)&lt;&gt;"",1,0),0)</f>
        <v/>
      </c>
      <c r="BF48">
        <f>IF(BF$4=1,IF(INDEX('×入力'!$C$1:$L$700,576+BF$3,BF$2)&lt;&gt;"",1,0),0)</f>
        <v/>
      </c>
      <c r="BG48">
        <f>IF(BG$4=1,IF(INDEX('×入力'!$C$1:$L$700,576+BG$3,BG$2)&lt;&gt;"",1,0),0)</f>
        <v/>
      </c>
      <c r="BH48">
        <f>IF(BH$4=1,IF(INDEX('×入力'!$C$1:$L$700,576+BH$3,BH$2)&lt;&gt;"",1,0),0)</f>
        <v/>
      </c>
      <c r="BI48">
        <f>IF(BI$4=1,IF(INDEX('×入力'!$C$1:$L$700,576+BI$3,BI$2)&lt;&gt;"",1,0),0)</f>
        <v/>
      </c>
      <c r="BJ48">
        <f>IF(BJ$4=1,IF(INDEX('×入力'!$C$1:$L$700,576+BJ$3,BJ$2)&lt;&gt;"",1,0),0)</f>
        <v/>
      </c>
      <c r="BK48">
        <f>IF(BK$4=1,IF(INDEX('×入力'!$C$1:$L$700,576+BK$3,BK$2)&lt;&gt;"",1,0),0)</f>
        <v/>
      </c>
      <c r="BL48">
        <f>IF(BL$4=1,IF(INDEX('×入力'!$C$1:$L$700,576+BL$3,BL$2)&lt;&gt;"",1,0),0)</f>
        <v/>
      </c>
      <c r="BM48">
        <f>IF(BM$4=1,IF(INDEX('×入力'!$C$1:$L$700,576+BM$3,BM$2)&lt;&gt;"",1,0),0)</f>
        <v/>
      </c>
      <c r="BN48">
        <f>IF(BN$4=1,IF(INDEX('×入力'!$C$1:$L$700,576+BN$3,BN$2)&lt;&gt;"",1,0),0)</f>
        <v/>
      </c>
      <c r="BO48">
        <f>IF(BO$4=1,IF(INDEX('×入力'!$C$1:$L$700,576+BO$3,BO$2)&lt;&gt;"",1,0),0)</f>
        <v/>
      </c>
      <c r="BP48">
        <f>IF(BP$4=1,IF(INDEX('×入力'!$C$1:$L$700,576+BP$3,BP$2)&lt;&gt;"",1,0),0)</f>
        <v/>
      </c>
      <c r="BQ48">
        <f>IF(BQ$4=1,IF(INDEX('×入力'!$C$1:$L$700,576+BQ$3,BQ$2)&lt;&gt;"",1,0),0)</f>
        <v/>
      </c>
      <c r="BR48">
        <f>IF(BR$4=1,IF(INDEX('×入力'!$C$1:$L$700,576+BR$3,BR$2)&lt;&gt;"",1,0),0)</f>
        <v/>
      </c>
      <c r="BS48">
        <f>IF(BS$4=1,IF(INDEX('×入力'!$C$1:$L$700,576+BS$3,BS$2)&lt;&gt;"",1,0),0)</f>
        <v/>
      </c>
      <c r="BT48">
        <f>IF(BT$4=1,IF(INDEX('×入力'!$C$1:$L$700,576+BT$3,BT$2)&lt;&gt;"",1,0),0)</f>
        <v/>
      </c>
      <c r="BU48">
        <f>IF(BU$4=1,IF(INDEX('×入力'!$C$1:$L$700,576+BU$3,BU$2)&lt;&gt;"",1,0),0)</f>
        <v/>
      </c>
      <c r="BV48">
        <f>IF(BV$4=1,IF(INDEX('×入力'!$C$1:$L$700,576+BV$3,BV$2)&lt;&gt;"",1,0),0)</f>
        <v/>
      </c>
      <c r="BW48">
        <f>IF(BW$4=1,IF(INDEX('×入力'!$C$1:$L$700,576+BW$3,BW$2)&lt;&gt;"",1,0),0)</f>
        <v/>
      </c>
      <c r="BX48">
        <f>IF(BX$4=1,IF(INDEX('×入力'!$C$1:$L$700,576+BX$3,BX$2)&lt;&gt;"",1,0),0)</f>
        <v/>
      </c>
      <c r="BY48">
        <f>IF(BY$4=1,IF(INDEX('×入力'!$C$1:$L$700,576+BY$3,BY$2)&lt;&gt;"",1,0),0)</f>
        <v/>
      </c>
      <c r="BZ48">
        <f>IF(BZ$4=1,IF(INDEX('×入力'!$C$1:$L$700,576+BZ$3,BZ$2)&lt;&gt;"",1,0),0)</f>
        <v/>
      </c>
      <c r="CA48">
        <f>IF(CA$4=1,IF(INDEX('×入力'!$C$1:$L$700,576+CA$3,CA$2)&lt;&gt;"",1,0),0)</f>
        <v/>
      </c>
      <c r="CB48">
        <f>IF(CB$4=1,IF(INDEX('×入力'!$C$1:$L$700,576+CB$3,CB$2)&lt;&gt;"",1,0),0)</f>
        <v/>
      </c>
      <c r="CC48">
        <f>IF(CC$4=1,IF(INDEX('×入力'!$C$1:$L$700,576+CC$3,CC$2)&lt;&gt;"",1,0),0)</f>
        <v/>
      </c>
      <c r="CD48">
        <f>IF(CD$4=1,IF(INDEX('×入力'!$C$1:$L$700,576+CD$3,CD$2)&lt;&gt;"",1,0),0)</f>
        <v/>
      </c>
      <c r="CE48">
        <f>IF(CE$4=1,IF(INDEX('×入力'!$C$1:$L$700,576+CE$3,CE$2)&lt;&gt;"",1,0),0)</f>
        <v/>
      </c>
      <c r="CF48">
        <f>IF(CF$4=1,IF(INDEX('×入力'!$C$1:$L$700,576+CF$3,CF$2)&lt;&gt;"",1,0),0)</f>
        <v/>
      </c>
      <c r="CG48">
        <f>IF(CG$4=1,IF(INDEX('×入力'!$C$1:$L$700,576+CG$3,CG$2)&lt;&gt;"",1,0),0)</f>
        <v/>
      </c>
      <c r="CH48">
        <f>IF(CH$4=1,IF(INDEX('×入力'!$C$1:$L$700,576+CH$3,CH$2)&lt;&gt;"",1,0),0)</f>
        <v/>
      </c>
      <c r="CI48">
        <f>IF(CI$4=1,IF(INDEX('×入力'!$C$1:$L$700,576+CI$3,CI$2)&lt;&gt;"",1,0),0)</f>
        <v/>
      </c>
      <c r="CJ48">
        <f>IF(CJ$4=1,IF(INDEX('×入力'!$C$1:$L$700,576+CJ$3,CJ$2)&lt;&gt;"",1,0),0)</f>
        <v/>
      </c>
      <c r="CK48">
        <f>IF(CK$4=1,IF(INDEX('×入力'!$C$1:$L$700,576+CK$3,CK$2)&lt;&gt;"",1,0),0)</f>
        <v/>
      </c>
      <c r="CL48">
        <f>IF(CL$4=1,IF(INDEX('×入力'!$C$1:$L$700,576+CL$3,CL$2)&lt;&gt;"",1,0),0)</f>
        <v/>
      </c>
      <c r="CM48">
        <f>IF(CM$4=1,IF(INDEX('×入力'!$C$1:$L$700,576+CM$3,CM$2)&lt;&gt;"",1,0),0)</f>
        <v/>
      </c>
      <c r="CN48">
        <f>IF(CN$4=1,IF(INDEX('×入力'!$C$1:$L$700,576+CN$3,CN$2)&lt;&gt;"",1,0),0)</f>
        <v/>
      </c>
      <c r="CO48">
        <f>IF(CO$4=1,IF(INDEX('×入力'!$C$1:$L$700,576+CO$3,CO$2)&lt;&gt;"",1,0),0)</f>
        <v/>
      </c>
      <c r="CP48">
        <f>IF(CP$4=1,IF(INDEX('×入力'!$C$1:$L$700,576+CP$3,CP$2)&lt;&gt;"",1,0),0)</f>
        <v/>
      </c>
      <c r="CQ48">
        <f>IF(CQ$4=1,IF(INDEX('×入力'!$C$1:$L$700,576+CQ$3,CQ$2)&lt;&gt;"",1,0),0)</f>
        <v/>
      </c>
      <c r="CR48">
        <f>IF(CR$4=1,IF(INDEX('×入力'!$C$1:$L$700,576+CR$3,CR$2)&lt;&gt;"",1,0),0)</f>
        <v/>
      </c>
      <c r="CS48">
        <f>IF(CS$4=1,IF(INDEX('×入力'!$C$1:$L$700,576+CS$3,CS$2)&lt;&gt;"",1,0),0)</f>
        <v/>
      </c>
      <c r="CT48">
        <f>IF(CT$4=1,IF(INDEX('×入力'!$C$1:$L$700,576+CT$3,CT$2)&lt;&gt;"",1,0),0)</f>
        <v/>
      </c>
      <c r="CU48">
        <f>IF(CU$4=1,IF(INDEX('×入力'!$C$1:$L$700,576+CU$3,CU$2)&lt;&gt;"",1,0),0)</f>
        <v/>
      </c>
      <c r="CV48">
        <f>IF(CV$4=1,IF(INDEX('×入力'!$C$1:$L$700,576+CV$3,CV$2)&lt;&gt;"",1,0),0)</f>
        <v/>
      </c>
      <c r="CW48">
        <f>IF(CW$4=1,IF(INDEX('×入力'!$C$1:$L$700,576+CW$3,CW$2)&lt;&gt;"",1,0),0)</f>
        <v/>
      </c>
      <c r="CX48">
        <f>IF(CX$4=1,IF(INDEX('×入力'!$C$1:$L$700,576+CX$3,CX$2)&lt;&gt;"",1,0),0)</f>
        <v/>
      </c>
      <c r="CY48">
        <f>IF(CY$4=1,IF(INDEX('×入力'!$C$1:$L$700,576+CY$3,CY$2)&lt;&gt;"",1,0),0)</f>
        <v/>
      </c>
      <c r="CZ48">
        <f>IF(CZ$4=1,IF(INDEX('×入力'!$C$1:$L$700,576+CZ$3,CZ$2)&lt;&gt;"",1,0),0)</f>
        <v/>
      </c>
      <c r="DA48">
        <f>IF(DA$4=1,IF(INDEX('×入力'!$C$1:$L$700,576+DA$3,DA$2)&lt;&gt;"",1,0),0)</f>
        <v/>
      </c>
      <c r="DB48">
        <f>IF(DB$4=1,IF(INDEX('×入力'!$C$1:$L$700,576+DB$3,DB$2)&lt;&gt;"",1,0),0)</f>
        <v/>
      </c>
      <c r="DC48">
        <f>IF(DC$4=1,IF(INDEX('×入力'!$C$1:$L$700,576+DC$3,DC$2)&lt;&gt;"",1,0),0)</f>
        <v/>
      </c>
      <c r="DD48">
        <f>IF(DD$4=1,IF(INDEX('×入力'!$C$1:$L$700,576+DD$3,DD$2)&lt;&gt;"",1,0),0)</f>
        <v/>
      </c>
      <c r="DE48">
        <f>IF(DE$4=1,IF(INDEX('×入力'!$C$1:$L$700,576+DE$3,DE$2)&lt;&gt;"",1,0),0)</f>
        <v/>
      </c>
      <c r="DF48">
        <f>IF(DF$4=1,IF(INDEX('×入力'!$C$1:$L$700,576+DF$3,DF$2)&lt;&gt;"",1,0),0)</f>
        <v/>
      </c>
      <c r="DG48">
        <f>IF(DG$4=1,IF(INDEX('×入力'!$C$1:$L$700,576+DG$3,DG$2)&lt;&gt;"",1,0),0)</f>
        <v/>
      </c>
      <c r="DH48">
        <f>IF(DH$4=1,IF(INDEX('×入力'!$C$1:$L$700,576+DH$3,DH$2)&lt;&gt;"",1,0),0)</f>
        <v/>
      </c>
      <c r="DI48">
        <f>IF(DI$4=1,IF(INDEX('×入力'!$C$1:$L$700,576+DI$3,DI$2)&lt;&gt;"",1,0),0)</f>
        <v/>
      </c>
      <c r="DJ48">
        <f>IF(DJ$4=1,IF(INDEX('×入力'!$C$1:$L$700,576+DJ$3,DJ$2)&lt;&gt;"",1,0),0)</f>
        <v/>
      </c>
      <c r="DK48">
        <f>IF(DK$4=1,IF(INDEX('×入力'!$C$1:$L$700,576+DK$3,DK$2)&lt;&gt;"",1,0),0)</f>
        <v/>
      </c>
      <c r="DL48">
        <f>IF(DL$4=1,IF(INDEX('×入力'!$C$1:$L$700,576+DL$3,DL$2)&lt;&gt;"",1,0),0)</f>
        <v/>
      </c>
      <c r="DM48">
        <f>IF(DM$4=1,IF(INDEX('×入力'!$C$1:$L$700,576+DM$3,DM$2)&lt;&gt;"",1,0),0)</f>
        <v/>
      </c>
      <c r="DN48">
        <f>IF(DN$4=1,IF(INDEX('×入力'!$C$1:$L$700,576+DN$3,DN$2)&lt;&gt;"",1,0),0)</f>
        <v/>
      </c>
      <c r="DO48">
        <f>IF(DO$4=1,IF(INDEX('×入力'!$C$1:$L$700,576+DO$3,DO$2)&lt;&gt;"",1,0),0)</f>
        <v/>
      </c>
      <c r="DP48">
        <f>IF(DP$4=1,IF(INDEX('×入力'!$C$1:$L$700,576+DP$3,DP$2)&lt;&gt;"",1,0),0)</f>
        <v/>
      </c>
      <c r="DQ48">
        <f>IF(DQ$4=1,IF(INDEX('×入力'!$C$1:$L$700,576+DQ$3,DQ$2)&lt;&gt;"",1,0),0)</f>
        <v/>
      </c>
      <c r="DR48">
        <f>IF(DR$4=1,IF(INDEX('×入力'!$C$1:$L$700,576+DR$3,DR$2)&lt;&gt;"",1,0),0)</f>
        <v/>
      </c>
      <c r="DS48">
        <f>IF(DS$4=1,IF(INDEX('×入力'!$C$1:$L$700,576+DS$3,DS$2)&lt;&gt;"",1,0),0)</f>
        <v/>
      </c>
      <c r="DU48">
        <f>IFERROR(INDEX('計算B'!$C$3:$C$47,MATCH(A48,'計算B'!$B$3:$B$47,0)),0)</f>
        <v/>
      </c>
      <c r="DV48">
        <f>IF(AND(C48=1,DU48=0),1,0)</f>
        <v/>
      </c>
      <c r="DW48">
        <f>SUMPRODUCT(D98:DS98*(1-$D$7:$DS$7))</f>
        <v/>
      </c>
      <c r="DX48">
        <f>SUM(D48:DS48)</f>
        <v/>
      </c>
      <c r="DY48">
        <f>IF(B48="",0,IF(COUNTIF('割り当て'!$C$6:$L$17,B48)=1,SUMPRODUCT(('割り当て'!$C$6:$L$17=B48)*((COLUMN('割り当て'!$C$6:$L$17)-3)*12+ROW('割り当て'!$C$6:$L$17)-5)),0))</f>
        <v/>
      </c>
    </row>
    <row r="49">
      <c r="A49" t="n">
        <v>40</v>
      </c>
      <c r="B49">
        <f>'名簿'!E44</f>
        <v/>
      </c>
      <c r="C49">
        <f>IF(AND(B49&lt;&gt;"",OR('名簿'!F44="入力済み",'名簿'!F44="×なし"),DY49=0,COUNTIF('割り当て'!$C$6:$L$17,B49)=0),1,0)</f>
        <v/>
      </c>
      <c r="D49">
        <f>IF(D$4=1,IF(INDEX('×入力'!$C$1:$L$700,591+D$3,D$2)&lt;&gt;"",1,0),0)</f>
        <v/>
      </c>
      <c r="E49">
        <f>IF(E$4=1,IF(INDEX('×入力'!$C$1:$L$700,591+E$3,E$2)&lt;&gt;"",1,0),0)</f>
        <v/>
      </c>
      <c r="F49">
        <f>IF(F$4=1,IF(INDEX('×入力'!$C$1:$L$700,591+F$3,F$2)&lt;&gt;"",1,0),0)</f>
        <v/>
      </c>
      <c r="G49">
        <f>IF(G$4=1,IF(INDEX('×入力'!$C$1:$L$700,591+G$3,G$2)&lt;&gt;"",1,0),0)</f>
        <v/>
      </c>
      <c r="H49">
        <f>IF(H$4=1,IF(INDEX('×入力'!$C$1:$L$700,591+H$3,H$2)&lt;&gt;"",1,0),0)</f>
        <v/>
      </c>
      <c r="I49">
        <f>IF(I$4=1,IF(INDEX('×入力'!$C$1:$L$700,591+I$3,I$2)&lt;&gt;"",1,0),0)</f>
        <v/>
      </c>
      <c r="J49">
        <f>IF(J$4=1,IF(INDEX('×入力'!$C$1:$L$700,591+J$3,J$2)&lt;&gt;"",1,0),0)</f>
        <v/>
      </c>
      <c r="K49">
        <f>IF(K$4=1,IF(INDEX('×入力'!$C$1:$L$700,591+K$3,K$2)&lt;&gt;"",1,0),0)</f>
        <v/>
      </c>
      <c r="L49">
        <f>IF(L$4=1,IF(INDEX('×入力'!$C$1:$L$700,591+L$3,L$2)&lt;&gt;"",1,0),0)</f>
        <v/>
      </c>
      <c r="M49">
        <f>IF(M$4=1,IF(INDEX('×入力'!$C$1:$L$700,591+M$3,M$2)&lt;&gt;"",1,0),0)</f>
        <v/>
      </c>
      <c r="N49">
        <f>IF(N$4=1,IF(INDEX('×入力'!$C$1:$L$700,591+N$3,N$2)&lt;&gt;"",1,0),0)</f>
        <v/>
      </c>
      <c r="O49">
        <f>IF(O$4=1,IF(INDEX('×入力'!$C$1:$L$700,591+O$3,O$2)&lt;&gt;"",1,0),0)</f>
        <v/>
      </c>
      <c r="P49">
        <f>IF(P$4=1,IF(INDEX('×入力'!$C$1:$L$700,591+P$3,P$2)&lt;&gt;"",1,0),0)</f>
        <v/>
      </c>
      <c r="Q49">
        <f>IF(Q$4=1,IF(INDEX('×入力'!$C$1:$L$700,591+Q$3,Q$2)&lt;&gt;"",1,0),0)</f>
        <v/>
      </c>
      <c r="R49">
        <f>IF(R$4=1,IF(INDEX('×入力'!$C$1:$L$700,591+R$3,R$2)&lt;&gt;"",1,0),0)</f>
        <v/>
      </c>
      <c r="S49">
        <f>IF(S$4=1,IF(INDEX('×入力'!$C$1:$L$700,591+S$3,S$2)&lt;&gt;"",1,0),0)</f>
        <v/>
      </c>
      <c r="T49">
        <f>IF(T$4=1,IF(INDEX('×入力'!$C$1:$L$700,591+T$3,T$2)&lt;&gt;"",1,0),0)</f>
        <v/>
      </c>
      <c r="U49">
        <f>IF(U$4=1,IF(INDEX('×入力'!$C$1:$L$700,591+U$3,U$2)&lt;&gt;"",1,0),0)</f>
        <v/>
      </c>
      <c r="V49">
        <f>IF(V$4=1,IF(INDEX('×入力'!$C$1:$L$700,591+V$3,V$2)&lt;&gt;"",1,0),0)</f>
        <v/>
      </c>
      <c r="W49">
        <f>IF(W$4=1,IF(INDEX('×入力'!$C$1:$L$700,591+W$3,W$2)&lt;&gt;"",1,0),0)</f>
        <v/>
      </c>
      <c r="X49">
        <f>IF(X$4=1,IF(INDEX('×入力'!$C$1:$L$700,591+X$3,X$2)&lt;&gt;"",1,0),0)</f>
        <v/>
      </c>
      <c r="Y49">
        <f>IF(Y$4=1,IF(INDEX('×入力'!$C$1:$L$700,591+Y$3,Y$2)&lt;&gt;"",1,0),0)</f>
        <v/>
      </c>
      <c r="Z49">
        <f>IF(Z$4=1,IF(INDEX('×入力'!$C$1:$L$700,591+Z$3,Z$2)&lt;&gt;"",1,0),0)</f>
        <v/>
      </c>
      <c r="AA49">
        <f>IF(AA$4=1,IF(INDEX('×入力'!$C$1:$L$700,591+AA$3,AA$2)&lt;&gt;"",1,0),0)</f>
        <v/>
      </c>
      <c r="AB49">
        <f>IF(AB$4=1,IF(INDEX('×入力'!$C$1:$L$700,591+AB$3,AB$2)&lt;&gt;"",1,0),0)</f>
        <v/>
      </c>
      <c r="AC49">
        <f>IF(AC$4=1,IF(INDEX('×入力'!$C$1:$L$700,591+AC$3,AC$2)&lt;&gt;"",1,0),0)</f>
        <v/>
      </c>
      <c r="AD49">
        <f>IF(AD$4=1,IF(INDEX('×入力'!$C$1:$L$700,591+AD$3,AD$2)&lt;&gt;"",1,0),0)</f>
        <v/>
      </c>
      <c r="AE49">
        <f>IF(AE$4=1,IF(INDEX('×入力'!$C$1:$L$700,591+AE$3,AE$2)&lt;&gt;"",1,0),0)</f>
        <v/>
      </c>
      <c r="AF49">
        <f>IF(AF$4=1,IF(INDEX('×入力'!$C$1:$L$700,591+AF$3,AF$2)&lt;&gt;"",1,0),0)</f>
        <v/>
      </c>
      <c r="AG49">
        <f>IF(AG$4=1,IF(INDEX('×入力'!$C$1:$L$700,591+AG$3,AG$2)&lt;&gt;"",1,0),0)</f>
        <v/>
      </c>
      <c r="AH49">
        <f>IF(AH$4=1,IF(INDEX('×入力'!$C$1:$L$700,591+AH$3,AH$2)&lt;&gt;"",1,0),0)</f>
        <v/>
      </c>
      <c r="AI49">
        <f>IF(AI$4=1,IF(INDEX('×入力'!$C$1:$L$700,591+AI$3,AI$2)&lt;&gt;"",1,0),0)</f>
        <v/>
      </c>
      <c r="AJ49">
        <f>IF(AJ$4=1,IF(INDEX('×入力'!$C$1:$L$700,591+AJ$3,AJ$2)&lt;&gt;"",1,0),0)</f>
        <v/>
      </c>
      <c r="AK49">
        <f>IF(AK$4=1,IF(INDEX('×入力'!$C$1:$L$700,591+AK$3,AK$2)&lt;&gt;"",1,0),0)</f>
        <v/>
      </c>
      <c r="AL49">
        <f>IF(AL$4=1,IF(INDEX('×入力'!$C$1:$L$700,591+AL$3,AL$2)&lt;&gt;"",1,0),0)</f>
        <v/>
      </c>
      <c r="AM49">
        <f>IF(AM$4=1,IF(INDEX('×入力'!$C$1:$L$700,591+AM$3,AM$2)&lt;&gt;"",1,0),0)</f>
        <v/>
      </c>
      <c r="AN49">
        <f>IF(AN$4=1,IF(INDEX('×入力'!$C$1:$L$700,591+AN$3,AN$2)&lt;&gt;"",1,0),0)</f>
        <v/>
      </c>
      <c r="AO49">
        <f>IF(AO$4=1,IF(INDEX('×入力'!$C$1:$L$700,591+AO$3,AO$2)&lt;&gt;"",1,0),0)</f>
        <v/>
      </c>
      <c r="AP49">
        <f>IF(AP$4=1,IF(INDEX('×入力'!$C$1:$L$700,591+AP$3,AP$2)&lt;&gt;"",1,0),0)</f>
        <v/>
      </c>
      <c r="AQ49">
        <f>IF(AQ$4=1,IF(INDEX('×入力'!$C$1:$L$700,591+AQ$3,AQ$2)&lt;&gt;"",1,0),0)</f>
        <v/>
      </c>
      <c r="AR49">
        <f>IF(AR$4=1,IF(INDEX('×入力'!$C$1:$L$700,591+AR$3,AR$2)&lt;&gt;"",1,0),0)</f>
        <v/>
      </c>
      <c r="AS49">
        <f>IF(AS$4=1,IF(INDEX('×入力'!$C$1:$L$700,591+AS$3,AS$2)&lt;&gt;"",1,0),0)</f>
        <v/>
      </c>
      <c r="AT49">
        <f>IF(AT$4=1,IF(INDEX('×入力'!$C$1:$L$700,591+AT$3,AT$2)&lt;&gt;"",1,0),0)</f>
        <v/>
      </c>
      <c r="AU49">
        <f>IF(AU$4=1,IF(INDEX('×入力'!$C$1:$L$700,591+AU$3,AU$2)&lt;&gt;"",1,0),0)</f>
        <v/>
      </c>
      <c r="AV49">
        <f>IF(AV$4=1,IF(INDEX('×入力'!$C$1:$L$700,591+AV$3,AV$2)&lt;&gt;"",1,0),0)</f>
        <v/>
      </c>
      <c r="AW49">
        <f>IF(AW$4=1,IF(INDEX('×入力'!$C$1:$L$700,591+AW$3,AW$2)&lt;&gt;"",1,0),0)</f>
        <v/>
      </c>
      <c r="AX49">
        <f>IF(AX$4=1,IF(INDEX('×入力'!$C$1:$L$700,591+AX$3,AX$2)&lt;&gt;"",1,0),0)</f>
        <v/>
      </c>
      <c r="AY49">
        <f>IF(AY$4=1,IF(INDEX('×入力'!$C$1:$L$700,591+AY$3,AY$2)&lt;&gt;"",1,0),0)</f>
        <v/>
      </c>
      <c r="AZ49">
        <f>IF(AZ$4=1,IF(INDEX('×入力'!$C$1:$L$700,591+AZ$3,AZ$2)&lt;&gt;"",1,0),0)</f>
        <v/>
      </c>
      <c r="BA49">
        <f>IF(BA$4=1,IF(INDEX('×入力'!$C$1:$L$700,591+BA$3,BA$2)&lt;&gt;"",1,0),0)</f>
        <v/>
      </c>
      <c r="BB49">
        <f>IF(BB$4=1,IF(INDEX('×入力'!$C$1:$L$700,591+BB$3,BB$2)&lt;&gt;"",1,0),0)</f>
        <v/>
      </c>
      <c r="BC49">
        <f>IF(BC$4=1,IF(INDEX('×入力'!$C$1:$L$700,591+BC$3,BC$2)&lt;&gt;"",1,0),0)</f>
        <v/>
      </c>
      <c r="BD49">
        <f>IF(BD$4=1,IF(INDEX('×入力'!$C$1:$L$700,591+BD$3,BD$2)&lt;&gt;"",1,0),0)</f>
        <v/>
      </c>
      <c r="BE49">
        <f>IF(BE$4=1,IF(INDEX('×入力'!$C$1:$L$700,591+BE$3,BE$2)&lt;&gt;"",1,0),0)</f>
        <v/>
      </c>
      <c r="BF49">
        <f>IF(BF$4=1,IF(INDEX('×入力'!$C$1:$L$700,591+BF$3,BF$2)&lt;&gt;"",1,0),0)</f>
        <v/>
      </c>
      <c r="BG49">
        <f>IF(BG$4=1,IF(INDEX('×入力'!$C$1:$L$700,591+BG$3,BG$2)&lt;&gt;"",1,0),0)</f>
        <v/>
      </c>
      <c r="BH49">
        <f>IF(BH$4=1,IF(INDEX('×入力'!$C$1:$L$700,591+BH$3,BH$2)&lt;&gt;"",1,0),0)</f>
        <v/>
      </c>
      <c r="BI49">
        <f>IF(BI$4=1,IF(INDEX('×入力'!$C$1:$L$700,591+BI$3,BI$2)&lt;&gt;"",1,0),0)</f>
        <v/>
      </c>
      <c r="BJ49">
        <f>IF(BJ$4=1,IF(INDEX('×入力'!$C$1:$L$700,591+BJ$3,BJ$2)&lt;&gt;"",1,0),0)</f>
        <v/>
      </c>
      <c r="BK49">
        <f>IF(BK$4=1,IF(INDEX('×入力'!$C$1:$L$700,591+BK$3,BK$2)&lt;&gt;"",1,0),0)</f>
        <v/>
      </c>
      <c r="BL49">
        <f>IF(BL$4=1,IF(INDEX('×入力'!$C$1:$L$700,591+BL$3,BL$2)&lt;&gt;"",1,0),0)</f>
        <v/>
      </c>
      <c r="BM49">
        <f>IF(BM$4=1,IF(INDEX('×入力'!$C$1:$L$700,591+BM$3,BM$2)&lt;&gt;"",1,0),0)</f>
        <v/>
      </c>
      <c r="BN49">
        <f>IF(BN$4=1,IF(INDEX('×入力'!$C$1:$L$700,591+BN$3,BN$2)&lt;&gt;"",1,0),0)</f>
        <v/>
      </c>
      <c r="BO49">
        <f>IF(BO$4=1,IF(INDEX('×入力'!$C$1:$L$700,591+BO$3,BO$2)&lt;&gt;"",1,0),0)</f>
        <v/>
      </c>
      <c r="BP49">
        <f>IF(BP$4=1,IF(INDEX('×入力'!$C$1:$L$700,591+BP$3,BP$2)&lt;&gt;"",1,0),0)</f>
        <v/>
      </c>
      <c r="BQ49">
        <f>IF(BQ$4=1,IF(INDEX('×入力'!$C$1:$L$700,591+BQ$3,BQ$2)&lt;&gt;"",1,0),0)</f>
        <v/>
      </c>
      <c r="BR49">
        <f>IF(BR$4=1,IF(INDEX('×入力'!$C$1:$L$700,591+BR$3,BR$2)&lt;&gt;"",1,0),0)</f>
        <v/>
      </c>
      <c r="BS49">
        <f>IF(BS$4=1,IF(INDEX('×入力'!$C$1:$L$700,591+BS$3,BS$2)&lt;&gt;"",1,0),0)</f>
        <v/>
      </c>
      <c r="BT49">
        <f>IF(BT$4=1,IF(INDEX('×入力'!$C$1:$L$700,591+BT$3,BT$2)&lt;&gt;"",1,0),0)</f>
        <v/>
      </c>
      <c r="BU49">
        <f>IF(BU$4=1,IF(INDEX('×入力'!$C$1:$L$700,591+BU$3,BU$2)&lt;&gt;"",1,0),0)</f>
        <v/>
      </c>
      <c r="BV49">
        <f>IF(BV$4=1,IF(INDEX('×入力'!$C$1:$L$700,591+BV$3,BV$2)&lt;&gt;"",1,0),0)</f>
        <v/>
      </c>
      <c r="BW49">
        <f>IF(BW$4=1,IF(INDEX('×入力'!$C$1:$L$700,591+BW$3,BW$2)&lt;&gt;"",1,0),0)</f>
        <v/>
      </c>
      <c r="BX49">
        <f>IF(BX$4=1,IF(INDEX('×入力'!$C$1:$L$700,591+BX$3,BX$2)&lt;&gt;"",1,0),0)</f>
        <v/>
      </c>
      <c r="BY49">
        <f>IF(BY$4=1,IF(INDEX('×入力'!$C$1:$L$700,591+BY$3,BY$2)&lt;&gt;"",1,0),0)</f>
        <v/>
      </c>
      <c r="BZ49">
        <f>IF(BZ$4=1,IF(INDEX('×入力'!$C$1:$L$700,591+BZ$3,BZ$2)&lt;&gt;"",1,0),0)</f>
        <v/>
      </c>
      <c r="CA49">
        <f>IF(CA$4=1,IF(INDEX('×入力'!$C$1:$L$700,591+CA$3,CA$2)&lt;&gt;"",1,0),0)</f>
        <v/>
      </c>
      <c r="CB49">
        <f>IF(CB$4=1,IF(INDEX('×入力'!$C$1:$L$700,591+CB$3,CB$2)&lt;&gt;"",1,0),0)</f>
        <v/>
      </c>
      <c r="CC49">
        <f>IF(CC$4=1,IF(INDEX('×入力'!$C$1:$L$700,591+CC$3,CC$2)&lt;&gt;"",1,0),0)</f>
        <v/>
      </c>
      <c r="CD49">
        <f>IF(CD$4=1,IF(INDEX('×入力'!$C$1:$L$700,591+CD$3,CD$2)&lt;&gt;"",1,0),0)</f>
        <v/>
      </c>
      <c r="CE49">
        <f>IF(CE$4=1,IF(INDEX('×入力'!$C$1:$L$700,591+CE$3,CE$2)&lt;&gt;"",1,0),0)</f>
        <v/>
      </c>
      <c r="CF49">
        <f>IF(CF$4=1,IF(INDEX('×入力'!$C$1:$L$700,591+CF$3,CF$2)&lt;&gt;"",1,0),0)</f>
        <v/>
      </c>
      <c r="CG49">
        <f>IF(CG$4=1,IF(INDEX('×入力'!$C$1:$L$700,591+CG$3,CG$2)&lt;&gt;"",1,0),0)</f>
        <v/>
      </c>
      <c r="CH49">
        <f>IF(CH$4=1,IF(INDEX('×入力'!$C$1:$L$700,591+CH$3,CH$2)&lt;&gt;"",1,0),0)</f>
        <v/>
      </c>
      <c r="CI49">
        <f>IF(CI$4=1,IF(INDEX('×入力'!$C$1:$L$700,591+CI$3,CI$2)&lt;&gt;"",1,0),0)</f>
        <v/>
      </c>
      <c r="CJ49">
        <f>IF(CJ$4=1,IF(INDEX('×入力'!$C$1:$L$700,591+CJ$3,CJ$2)&lt;&gt;"",1,0),0)</f>
        <v/>
      </c>
      <c r="CK49">
        <f>IF(CK$4=1,IF(INDEX('×入力'!$C$1:$L$700,591+CK$3,CK$2)&lt;&gt;"",1,0),0)</f>
        <v/>
      </c>
      <c r="CL49">
        <f>IF(CL$4=1,IF(INDEX('×入力'!$C$1:$L$700,591+CL$3,CL$2)&lt;&gt;"",1,0),0)</f>
        <v/>
      </c>
      <c r="CM49">
        <f>IF(CM$4=1,IF(INDEX('×入力'!$C$1:$L$700,591+CM$3,CM$2)&lt;&gt;"",1,0),0)</f>
        <v/>
      </c>
      <c r="CN49">
        <f>IF(CN$4=1,IF(INDEX('×入力'!$C$1:$L$700,591+CN$3,CN$2)&lt;&gt;"",1,0),0)</f>
        <v/>
      </c>
      <c r="CO49">
        <f>IF(CO$4=1,IF(INDEX('×入力'!$C$1:$L$700,591+CO$3,CO$2)&lt;&gt;"",1,0),0)</f>
        <v/>
      </c>
      <c r="CP49">
        <f>IF(CP$4=1,IF(INDEX('×入力'!$C$1:$L$700,591+CP$3,CP$2)&lt;&gt;"",1,0),0)</f>
        <v/>
      </c>
      <c r="CQ49">
        <f>IF(CQ$4=1,IF(INDEX('×入力'!$C$1:$L$700,591+CQ$3,CQ$2)&lt;&gt;"",1,0),0)</f>
        <v/>
      </c>
      <c r="CR49">
        <f>IF(CR$4=1,IF(INDEX('×入力'!$C$1:$L$700,591+CR$3,CR$2)&lt;&gt;"",1,0),0)</f>
        <v/>
      </c>
      <c r="CS49">
        <f>IF(CS$4=1,IF(INDEX('×入力'!$C$1:$L$700,591+CS$3,CS$2)&lt;&gt;"",1,0),0)</f>
        <v/>
      </c>
      <c r="CT49">
        <f>IF(CT$4=1,IF(INDEX('×入力'!$C$1:$L$700,591+CT$3,CT$2)&lt;&gt;"",1,0),0)</f>
        <v/>
      </c>
      <c r="CU49">
        <f>IF(CU$4=1,IF(INDEX('×入力'!$C$1:$L$700,591+CU$3,CU$2)&lt;&gt;"",1,0),0)</f>
        <v/>
      </c>
      <c r="CV49">
        <f>IF(CV$4=1,IF(INDEX('×入力'!$C$1:$L$700,591+CV$3,CV$2)&lt;&gt;"",1,0),0)</f>
        <v/>
      </c>
      <c r="CW49">
        <f>IF(CW$4=1,IF(INDEX('×入力'!$C$1:$L$700,591+CW$3,CW$2)&lt;&gt;"",1,0),0)</f>
        <v/>
      </c>
      <c r="CX49">
        <f>IF(CX$4=1,IF(INDEX('×入力'!$C$1:$L$700,591+CX$3,CX$2)&lt;&gt;"",1,0),0)</f>
        <v/>
      </c>
      <c r="CY49">
        <f>IF(CY$4=1,IF(INDEX('×入力'!$C$1:$L$700,591+CY$3,CY$2)&lt;&gt;"",1,0),0)</f>
        <v/>
      </c>
      <c r="CZ49">
        <f>IF(CZ$4=1,IF(INDEX('×入力'!$C$1:$L$700,591+CZ$3,CZ$2)&lt;&gt;"",1,0),0)</f>
        <v/>
      </c>
      <c r="DA49">
        <f>IF(DA$4=1,IF(INDEX('×入力'!$C$1:$L$700,591+DA$3,DA$2)&lt;&gt;"",1,0),0)</f>
        <v/>
      </c>
      <c r="DB49">
        <f>IF(DB$4=1,IF(INDEX('×入力'!$C$1:$L$700,591+DB$3,DB$2)&lt;&gt;"",1,0),0)</f>
        <v/>
      </c>
      <c r="DC49">
        <f>IF(DC$4=1,IF(INDEX('×入力'!$C$1:$L$700,591+DC$3,DC$2)&lt;&gt;"",1,0),0)</f>
        <v/>
      </c>
      <c r="DD49">
        <f>IF(DD$4=1,IF(INDEX('×入力'!$C$1:$L$700,591+DD$3,DD$2)&lt;&gt;"",1,0),0)</f>
        <v/>
      </c>
      <c r="DE49">
        <f>IF(DE$4=1,IF(INDEX('×入力'!$C$1:$L$700,591+DE$3,DE$2)&lt;&gt;"",1,0),0)</f>
        <v/>
      </c>
      <c r="DF49">
        <f>IF(DF$4=1,IF(INDEX('×入力'!$C$1:$L$700,591+DF$3,DF$2)&lt;&gt;"",1,0),0)</f>
        <v/>
      </c>
      <c r="DG49">
        <f>IF(DG$4=1,IF(INDEX('×入力'!$C$1:$L$700,591+DG$3,DG$2)&lt;&gt;"",1,0),0)</f>
        <v/>
      </c>
      <c r="DH49">
        <f>IF(DH$4=1,IF(INDEX('×入力'!$C$1:$L$700,591+DH$3,DH$2)&lt;&gt;"",1,0),0)</f>
        <v/>
      </c>
      <c r="DI49">
        <f>IF(DI$4=1,IF(INDEX('×入力'!$C$1:$L$700,591+DI$3,DI$2)&lt;&gt;"",1,0),0)</f>
        <v/>
      </c>
      <c r="DJ49">
        <f>IF(DJ$4=1,IF(INDEX('×入力'!$C$1:$L$700,591+DJ$3,DJ$2)&lt;&gt;"",1,0),0)</f>
        <v/>
      </c>
      <c r="DK49">
        <f>IF(DK$4=1,IF(INDEX('×入力'!$C$1:$L$700,591+DK$3,DK$2)&lt;&gt;"",1,0),0)</f>
        <v/>
      </c>
      <c r="DL49">
        <f>IF(DL$4=1,IF(INDEX('×入力'!$C$1:$L$700,591+DL$3,DL$2)&lt;&gt;"",1,0),0)</f>
        <v/>
      </c>
      <c r="DM49">
        <f>IF(DM$4=1,IF(INDEX('×入力'!$C$1:$L$700,591+DM$3,DM$2)&lt;&gt;"",1,0),0)</f>
        <v/>
      </c>
      <c r="DN49">
        <f>IF(DN$4=1,IF(INDEX('×入力'!$C$1:$L$700,591+DN$3,DN$2)&lt;&gt;"",1,0),0)</f>
        <v/>
      </c>
      <c r="DO49">
        <f>IF(DO$4=1,IF(INDEX('×入力'!$C$1:$L$700,591+DO$3,DO$2)&lt;&gt;"",1,0),0)</f>
        <v/>
      </c>
      <c r="DP49">
        <f>IF(DP$4=1,IF(INDEX('×入力'!$C$1:$L$700,591+DP$3,DP$2)&lt;&gt;"",1,0),0)</f>
        <v/>
      </c>
      <c r="DQ49">
        <f>IF(DQ$4=1,IF(INDEX('×入力'!$C$1:$L$700,591+DQ$3,DQ$2)&lt;&gt;"",1,0),0)</f>
        <v/>
      </c>
      <c r="DR49">
        <f>IF(DR$4=1,IF(INDEX('×入力'!$C$1:$L$700,591+DR$3,DR$2)&lt;&gt;"",1,0),0)</f>
        <v/>
      </c>
      <c r="DS49">
        <f>IF(DS$4=1,IF(INDEX('×入力'!$C$1:$L$700,591+DS$3,DS$2)&lt;&gt;"",1,0),0)</f>
        <v/>
      </c>
      <c r="DU49">
        <f>IFERROR(INDEX('計算B'!$C$3:$C$47,MATCH(A49,'計算B'!$B$3:$B$47,0)),0)</f>
        <v/>
      </c>
      <c r="DV49">
        <f>IF(AND(C49=1,DU49=0),1,0)</f>
        <v/>
      </c>
      <c r="DW49">
        <f>SUMPRODUCT(D99:DS99*(1-$D$7:$DS$7))</f>
        <v/>
      </c>
      <c r="DX49">
        <f>SUM(D49:DS49)</f>
        <v/>
      </c>
      <c r="DY49">
        <f>IF(B49="",0,IF(COUNTIF('割り当て'!$C$6:$L$17,B49)=1,SUMPRODUCT(('割り当て'!$C$6:$L$17=B49)*((COLUMN('割り当て'!$C$6:$L$17)-3)*12+ROW('割り当て'!$C$6:$L$17)-5)),0))</f>
        <v/>
      </c>
    </row>
    <row r="50">
      <c r="A50" t="n">
        <v>41</v>
      </c>
      <c r="B50">
        <f>'名簿'!E45</f>
        <v/>
      </c>
      <c r="C50">
        <f>IF(AND(B50&lt;&gt;"",OR('名簿'!F45="入力済み",'名簿'!F45="×なし"),DY50=0,COUNTIF('割り当て'!$C$6:$L$17,B50)=0),1,0)</f>
        <v/>
      </c>
      <c r="D50">
        <f>IF(D$4=1,IF(INDEX('×入力'!$C$1:$L$700,606+D$3,D$2)&lt;&gt;"",1,0),0)</f>
        <v/>
      </c>
      <c r="E50">
        <f>IF(E$4=1,IF(INDEX('×入力'!$C$1:$L$700,606+E$3,E$2)&lt;&gt;"",1,0),0)</f>
        <v/>
      </c>
      <c r="F50">
        <f>IF(F$4=1,IF(INDEX('×入力'!$C$1:$L$700,606+F$3,F$2)&lt;&gt;"",1,0),0)</f>
        <v/>
      </c>
      <c r="G50">
        <f>IF(G$4=1,IF(INDEX('×入力'!$C$1:$L$700,606+G$3,G$2)&lt;&gt;"",1,0),0)</f>
        <v/>
      </c>
      <c r="H50">
        <f>IF(H$4=1,IF(INDEX('×入力'!$C$1:$L$700,606+H$3,H$2)&lt;&gt;"",1,0),0)</f>
        <v/>
      </c>
      <c r="I50">
        <f>IF(I$4=1,IF(INDEX('×入力'!$C$1:$L$700,606+I$3,I$2)&lt;&gt;"",1,0),0)</f>
        <v/>
      </c>
      <c r="J50">
        <f>IF(J$4=1,IF(INDEX('×入力'!$C$1:$L$700,606+J$3,J$2)&lt;&gt;"",1,0),0)</f>
        <v/>
      </c>
      <c r="K50">
        <f>IF(K$4=1,IF(INDEX('×入力'!$C$1:$L$700,606+K$3,K$2)&lt;&gt;"",1,0),0)</f>
        <v/>
      </c>
      <c r="L50">
        <f>IF(L$4=1,IF(INDEX('×入力'!$C$1:$L$700,606+L$3,L$2)&lt;&gt;"",1,0),0)</f>
        <v/>
      </c>
      <c r="M50">
        <f>IF(M$4=1,IF(INDEX('×入力'!$C$1:$L$700,606+M$3,M$2)&lt;&gt;"",1,0),0)</f>
        <v/>
      </c>
      <c r="N50">
        <f>IF(N$4=1,IF(INDEX('×入力'!$C$1:$L$700,606+N$3,N$2)&lt;&gt;"",1,0),0)</f>
        <v/>
      </c>
      <c r="O50">
        <f>IF(O$4=1,IF(INDEX('×入力'!$C$1:$L$700,606+O$3,O$2)&lt;&gt;"",1,0),0)</f>
        <v/>
      </c>
      <c r="P50">
        <f>IF(P$4=1,IF(INDEX('×入力'!$C$1:$L$700,606+P$3,P$2)&lt;&gt;"",1,0),0)</f>
        <v/>
      </c>
      <c r="Q50">
        <f>IF(Q$4=1,IF(INDEX('×入力'!$C$1:$L$700,606+Q$3,Q$2)&lt;&gt;"",1,0),0)</f>
        <v/>
      </c>
      <c r="R50">
        <f>IF(R$4=1,IF(INDEX('×入力'!$C$1:$L$700,606+R$3,R$2)&lt;&gt;"",1,0),0)</f>
        <v/>
      </c>
      <c r="S50">
        <f>IF(S$4=1,IF(INDEX('×入力'!$C$1:$L$700,606+S$3,S$2)&lt;&gt;"",1,0),0)</f>
        <v/>
      </c>
      <c r="T50">
        <f>IF(T$4=1,IF(INDEX('×入力'!$C$1:$L$700,606+T$3,T$2)&lt;&gt;"",1,0),0)</f>
        <v/>
      </c>
      <c r="U50">
        <f>IF(U$4=1,IF(INDEX('×入力'!$C$1:$L$700,606+U$3,U$2)&lt;&gt;"",1,0),0)</f>
        <v/>
      </c>
      <c r="V50">
        <f>IF(V$4=1,IF(INDEX('×入力'!$C$1:$L$700,606+V$3,V$2)&lt;&gt;"",1,0),0)</f>
        <v/>
      </c>
      <c r="W50">
        <f>IF(W$4=1,IF(INDEX('×入力'!$C$1:$L$700,606+W$3,W$2)&lt;&gt;"",1,0),0)</f>
        <v/>
      </c>
      <c r="X50">
        <f>IF(X$4=1,IF(INDEX('×入力'!$C$1:$L$700,606+X$3,X$2)&lt;&gt;"",1,0),0)</f>
        <v/>
      </c>
      <c r="Y50">
        <f>IF(Y$4=1,IF(INDEX('×入力'!$C$1:$L$700,606+Y$3,Y$2)&lt;&gt;"",1,0),0)</f>
        <v/>
      </c>
      <c r="Z50">
        <f>IF(Z$4=1,IF(INDEX('×入力'!$C$1:$L$700,606+Z$3,Z$2)&lt;&gt;"",1,0),0)</f>
        <v/>
      </c>
      <c r="AA50">
        <f>IF(AA$4=1,IF(INDEX('×入力'!$C$1:$L$700,606+AA$3,AA$2)&lt;&gt;"",1,0),0)</f>
        <v/>
      </c>
      <c r="AB50">
        <f>IF(AB$4=1,IF(INDEX('×入力'!$C$1:$L$700,606+AB$3,AB$2)&lt;&gt;"",1,0),0)</f>
        <v/>
      </c>
      <c r="AC50">
        <f>IF(AC$4=1,IF(INDEX('×入力'!$C$1:$L$700,606+AC$3,AC$2)&lt;&gt;"",1,0),0)</f>
        <v/>
      </c>
      <c r="AD50">
        <f>IF(AD$4=1,IF(INDEX('×入力'!$C$1:$L$700,606+AD$3,AD$2)&lt;&gt;"",1,0),0)</f>
        <v/>
      </c>
      <c r="AE50">
        <f>IF(AE$4=1,IF(INDEX('×入力'!$C$1:$L$700,606+AE$3,AE$2)&lt;&gt;"",1,0),0)</f>
        <v/>
      </c>
      <c r="AF50">
        <f>IF(AF$4=1,IF(INDEX('×入力'!$C$1:$L$700,606+AF$3,AF$2)&lt;&gt;"",1,0),0)</f>
        <v/>
      </c>
      <c r="AG50">
        <f>IF(AG$4=1,IF(INDEX('×入力'!$C$1:$L$700,606+AG$3,AG$2)&lt;&gt;"",1,0),0)</f>
        <v/>
      </c>
      <c r="AH50">
        <f>IF(AH$4=1,IF(INDEX('×入力'!$C$1:$L$700,606+AH$3,AH$2)&lt;&gt;"",1,0),0)</f>
        <v/>
      </c>
      <c r="AI50">
        <f>IF(AI$4=1,IF(INDEX('×入力'!$C$1:$L$700,606+AI$3,AI$2)&lt;&gt;"",1,0),0)</f>
        <v/>
      </c>
      <c r="AJ50">
        <f>IF(AJ$4=1,IF(INDEX('×入力'!$C$1:$L$700,606+AJ$3,AJ$2)&lt;&gt;"",1,0),0)</f>
        <v/>
      </c>
      <c r="AK50">
        <f>IF(AK$4=1,IF(INDEX('×入力'!$C$1:$L$700,606+AK$3,AK$2)&lt;&gt;"",1,0),0)</f>
        <v/>
      </c>
      <c r="AL50">
        <f>IF(AL$4=1,IF(INDEX('×入力'!$C$1:$L$700,606+AL$3,AL$2)&lt;&gt;"",1,0),0)</f>
        <v/>
      </c>
      <c r="AM50">
        <f>IF(AM$4=1,IF(INDEX('×入力'!$C$1:$L$700,606+AM$3,AM$2)&lt;&gt;"",1,0),0)</f>
        <v/>
      </c>
      <c r="AN50">
        <f>IF(AN$4=1,IF(INDEX('×入力'!$C$1:$L$700,606+AN$3,AN$2)&lt;&gt;"",1,0),0)</f>
        <v/>
      </c>
      <c r="AO50">
        <f>IF(AO$4=1,IF(INDEX('×入力'!$C$1:$L$700,606+AO$3,AO$2)&lt;&gt;"",1,0),0)</f>
        <v/>
      </c>
      <c r="AP50">
        <f>IF(AP$4=1,IF(INDEX('×入力'!$C$1:$L$700,606+AP$3,AP$2)&lt;&gt;"",1,0),0)</f>
        <v/>
      </c>
      <c r="AQ50">
        <f>IF(AQ$4=1,IF(INDEX('×入力'!$C$1:$L$700,606+AQ$3,AQ$2)&lt;&gt;"",1,0),0)</f>
        <v/>
      </c>
      <c r="AR50">
        <f>IF(AR$4=1,IF(INDEX('×入力'!$C$1:$L$700,606+AR$3,AR$2)&lt;&gt;"",1,0),0)</f>
        <v/>
      </c>
      <c r="AS50">
        <f>IF(AS$4=1,IF(INDEX('×入力'!$C$1:$L$700,606+AS$3,AS$2)&lt;&gt;"",1,0),0)</f>
        <v/>
      </c>
      <c r="AT50">
        <f>IF(AT$4=1,IF(INDEX('×入力'!$C$1:$L$700,606+AT$3,AT$2)&lt;&gt;"",1,0),0)</f>
        <v/>
      </c>
      <c r="AU50">
        <f>IF(AU$4=1,IF(INDEX('×入力'!$C$1:$L$700,606+AU$3,AU$2)&lt;&gt;"",1,0),0)</f>
        <v/>
      </c>
      <c r="AV50">
        <f>IF(AV$4=1,IF(INDEX('×入力'!$C$1:$L$700,606+AV$3,AV$2)&lt;&gt;"",1,0),0)</f>
        <v/>
      </c>
      <c r="AW50">
        <f>IF(AW$4=1,IF(INDEX('×入力'!$C$1:$L$700,606+AW$3,AW$2)&lt;&gt;"",1,0),0)</f>
        <v/>
      </c>
      <c r="AX50">
        <f>IF(AX$4=1,IF(INDEX('×入力'!$C$1:$L$700,606+AX$3,AX$2)&lt;&gt;"",1,0),0)</f>
        <v/>
      </c>
      <c r="AY50">
        <f>IF(AY$4=1,IF(INDEX('×入力'!$C$1:$L$700,606+AY$3,AY$2)&lt;&gt;"",1,0),0)</f>
        <v/>
      </c>
      <c r="AZ50">
        <f>IF(AZ$4=1,IF(INDEX('×入力'!$C$1:$L$700,606+AZ$3,AZ$2)&lt;&gt;"",1,0),0)</f>
        <v/>
      </c>
      <c r="BA50">
        <f>IF(BA$4=1,IF(INDEX('×入力'!$C$1:$L$700,606+BA$3,BA$2)&lt;&gt;"",1,0),0)</f>
        <v/>
      </c>
      <c r="BB50">
        <f>IF(BB$4=1,IF(INDEX('×入力'!$C$1:$L$700,606+BB$3,BB$2)&lt;&gt;"",1,0),0)</f>
        <v/>
      </c>
      <c r="BC50">
        <f>IF(BC$4=1,IF(INDEX('×入力'!$C$1:$L$700,606+BC$3,BC$2)&lt;&gt;"",1,0),0)</f>
        <v/>
      </c>
      <c r="BD50">
        <f>IF(BD$4=1,IF(INDEX('×入力'!$C$1:$L$700,606+BD$3,BD$2)&lt;&gt;"",1,0),0)</f>
        <v/>
      </c>
      <c r="BE50">
        <f>IF(BE$4=1,IF(INDEX('×入力'!$C$1:$L$700,606+BE$3,BE$2)&lt;&gt;"",1,0),0)</f>
        <v/>
      </c>
      <c r="BF50">
        <f>IF(BF$4=1,IF(INDEX('×入力'!$C$1:$L$700,606+BF$3,BF$2)&lt;&gt;"",1,0),0)</f>
        <v/>
      </c>
      <c r="BG50">
        <f>IF(BG$4=1,IF(INDEX('×入力'!$C$1:$L$700,606+BG$3,BG$2)&lt;&gt;"",1,0),0)</f>
        <v/>
      </c>
      <c r="BH50">
        <f>IF(BH$4=1,IF(INDEX('×入力'!$C$1:$L$700,606+BH$3,BH$2)&lt;&gt;"",1,0),0)</f>
        <v/>
      </c>
      <c r="BI50">
        <f>IF(BI$4=1,IF(INDEX('×入力'!$C$1:$L$700,606+BI$3,BI$2)&lt;&gt;"",1,0),0)</f>
        <v/>
      </c>
      <c r="BJ50">
        <f>IF(BJ$4=1,IF(INDEX('×入力'!$C$1:$L$700,606+BJ$3,BJ$2)&lt;&gt;"",1,0),0)</f>
        <v/>
      </c>
      <c r="BK50">
        <f>IF(BK$4=1,IF(INDEX('×入力'!$C$1:$L$700,606+BK$3,BK$2)&lt;&gt;"",1,0),0)</f>
        <v/>
      </c>
      <c r="BL50">
        <f>IF(BL$4=1,IF(INDEX('×入力'!$C$1:$L$700,606+BL$3,BL$2)&lt;&gt;"",1,0),0)</f>
        <v/>
      </c>
      <c r="BM50">
        <f>IF(BM$4=1,IF(INDEX('×入力'!$C$1:$L$700,606+BM$3,BM$2)&lt;&gt;"",1,0),0)</f>
        <v/>
      </c>
      <c r="BN50">
        <f>IF(BN$4=1,IF(INDEX('×入力'!$C$1:$L$700,606+BN$3,BN$2)&lt;&gt;"",1,0),0)</f>
        <v/>
      </c>
      <c r="BO50">
        <f>IF(BO$4=1,IF(INDEX('×入力'!$C$1:$L$700,606+BO$3,BO$2)&lt;&gt;"",1,0),0)</f>
        <v/>
      </c>
      <c r="BP50">
        <f>IF(BP$4=1,IF(INDEX('×入力'!$C$1:$L$700,606+BP$3,BP$2)&lt;&gt;"",1,0),0)</f>
        <v/>
      </c>
      <c r="BQ50">
        <f>IF(BQ$4=1,IF(INDEX('×入力'!$C$1:$L$700,606+BQ$3,BQ$2)&lt;&gt;"",1,0),0)</f>
        <v/>
      </c>
      <c r="BR50">
        <f>IF(BR$4=1,IF(INDEX('×入力'!$C$1:$L$700,606+BR$3,BR$2)&lt;&gt;"",1,0),0)</f>
        <v/>
      </c>
      <c r="BS50">
        <f>IF(BS$4=1,IF(INDEX('×入力'!$C$1:$L$700,606+BS$3,BS$2)&lt;&gt;"",1,0),0)</f>
        <v/>
      </c>
      <c r="BT50">
        <f>IF(BT$4=1,IF(INDEX('×入力'!$C$1:$L$700,606+BT$3,BT$2)&lt;&gt;"",1,0),0)</f>
        <v/>
      </c>
      <c r="BU50">
        <f>IF(BU$4=1,IF(INDEX('×入力'!$C$1:$L$700,606+BU$3,BU$2)&lt;&gt;"",1,0),0)</f>
        <v/>
      </c>
      <c r="BV50">
        <f>IF(BV$4=1,IF(INDEX('×入力'!$C$1:$L$700,606+BV$3,BV$2)&lt;&gt;"",1,0),0)</f>
        <v/>
      </c>
      <c r="BW50">
        <f>IF(BW$4=1,IF(INDEX('×入力'!$C$1:$L$700,606+BW$3,BW$2)&lt;&gt;"",1,0),0)</f>
        <v/>
      </c>
      <c r="BX50">
        <f>IF(BX$4=1,IF(INDEX('×入力'!$C$1:$L$700,606+BX$3,BX$2)&lt;&gt;"",1,0),0)</f>
        <v/>
      </c>
      <c r="BY50">
        <f>IF(BY$4=1,IF(INDEX('×入力'!$C$1:$L$700,606+BY$3,BY$2)&lt;&gt;"",1,0),0)</f>
        <v/>
      </c>
      <c r="BZ50">
        <f>IF(BZ$4=1,IF(INDEX('×入力'!$C$1:$L$700,606+BZ$3,BZ$2)&lt;&gt;"",1,0),0)</f>
        <v/>
      </c>
      <c r="CA50">
        <f>IF(CA$4=1,IF(INDEX('×入力'!$C$1:$L$700,606+CA$3,CA$2)&lt;&gt;"",1,0),0)</f>
        <v/>
      </c>
      <c r="CB50">
        <f>IF(CB$4=1,IF(INDEX('×入力'!$C$1:$L$700,606+CB$3,CB$2)&lt;&gt;"",1,0),0)</f>
        <v/>
      </c>
      <c r="CC50">
        <f>IF(CC$4=1,IF(INDEX('×入力'!$C$1:$L$700,606+CC$3,CC$2)&lt;&gt;"",1,0),0)</f>
        <v/>
      </c>
      <c r="CD50">
        <f>IF(CD$4=1,IF(INDEX('×入力'!$C$1:$L$700,606+CD$3,CD$2)&lt;&gt;"",1,0),0)</f>
        <v/>
      </c>
      <c r="CE50">
        <f>IF(CE$4=1,IF(INDEX('×入力'!$C$1:$L$700,606+CE$3,CE$2)&lt;&gt;"",1,0),0)</f>
        <v/>
      </c>
      <c r="CF50">
        <f>IF(CF$4=1,IF(INDEX('×入力'!$C$1:$L$700,606+CF$3,CF$2)&lt;&gt;"",1,0),0)</f>
        <v/>
      </c>
      <c r="CG50">
        <f>IF(CG$4=1,IF(INDEX('×入力'!$C$1:$L$700,606+CG$3,CG$2)&lt;&gt;"",1,0),0)</f>
        <v/>
      </c>
      <c r="CH50">
        <f>IF(CH$4=1,IF(INDEX('×入力'!$C$1:$L$700,606+CH$3,CH$2)&lt;&gt;"",1,0),0)</f>
        <v/>
      </c>
      <c r="CI50">
        <f>IF(CI$4=1,IF(INDEX('×入力'!$C$1:$L$700,606+CI$3,CI$2)&lt;&gt;"",1,0),0)</f>
        <v/>
      </c>
      <c r="CJ50">
        <f>IF(CJ$4=1,IF(INDEX('×入力'!$C$1:$L$700,606+CJ$3,CJ$2)&lt;&gt;"",1,0),0)</f>
        <v/>
      </c>
      <c r="CK50">
        <f>IF(CK$4=1,IF(INDEX('×入力'!$C$1:$L$700,606+CK$3,CK$2)&lt;&gt;"",1,0),0)</f>
        <v/>
      </c>
      <c r="CL50">
        <f>IF(CL$4=1,IF(INDEX('×入力'!$C$1:$L$700,606+CL$3,CL$2)&lt;&gt;"",1,0),0)</f>
        <v/>
      </c>
      <c r="CM50">
        <f>IF(CM$4=1,IF(INDEX('×入力'!$C$1:$L$700,606+CM$3,CM$2)&lt;&gt;"",1,0),0)</f>
        <v/>
      </c>
      <c r="CN50">
        <f>IF(CN$4=1,IF(INDEX('×入力'!$C$1:$L$700,606+CN$3,CN$2)&lt;&gt;"",1,0),0)</f>
        <v/>
      </c>
      <c r="CO50">
        <f>IF(CO$4=1,IF(INDEX('×入力'!$C$1:$L$700,606+CO$3,CO$2)&lt;&gt;"",1,0),0)</f>
        <v/>
      </c>
      <c r="CP50">
        <f>IF(CP$4=1,IF(INDEX('×入力'!$C$1:$L$700,606+CP$3,CP$2)&lt;&gt;"",1,0),0)</f>
        <v/>
      </c>
      <c r="CQ50">
        <f>IF(CQ$4=1,IF(INDEX('×入力'!$C$1:$L$700,606+CQ$3,CQ$2)&lt;&gt;"",1,0),0)</f>
        <v/>
      </c>
      <c r="CR50">
        <f>IF(CR$4=1,IF(INDEX('×入力'!$C$1:$L$700,606+CR$3,CR$2)&lt;&gt;"",1,0),0)</f>
        <v/>
      </c>
      <c r="CS50">
        <f>IF(CS$4=1,IF(INDEX('×入力'!$C$1:$L$700,606+CS$3,CS$2)&lt;&gt;"",1,0),0)</f>
        <v/>
      </c>
      <c r="CT50">
        <f>IF(CT$4=1,IF(INDEX('×入力'!$C$1:$L$700,606+CT$3,CT$2)&lt;&gt;"",1,0),0)</f>
        <v/>
      </c>
      <c r="CU50">
        <f>IF(CU$4=1,IF(INDEX('×入力'!$C$1:$L$700,606+CU$3,CU$2)&lt;&gt;"",1,0),0)</f>
        <v/>
      </c>
      <c r="CV50">
        <f>IF(CV$4=1,IF(INDEX('×入力'!$C$1:$L$700,606+CV$3,CV$2)&lt;&gt;"",1,0),0)</f>
        <v/>
      </c>
      <c r="CW50">
        <f>IF(CW$4=1,IF(INDEX('×入力'!$C$1:$L$700,606+CW$3,CW$2)&lt;&gt;"",1,0),0)</f>
        <v/>
      </c>
      <c r="CX50">
        <f>IF(CX$4=1,IF(INDEX('×入力'!$C$1:$L$700,606+CX$3,CX$2)&lt;&gt;"",1,0),0)</f>
        <v/>
      </c>
      <c r="CY50">
        <f>IF(CY$4=1,IF(INDEX('×入力'!$C$1:$L$700,606+CY$3,CY$2)&lt;&gt;"",1,0),0)</f>
        <v/>
      </c>
      <c r="CZ50">
        <f>IF(CZ$4=1,IF(INDEX('×入力'!$C$1:$L$700,606+CZ$3,CZ$2)&lt;&gt;"",1,0),0)</f>
        <v/>
      </c>
      <c r="DA50">
        <f>IF(DA$4=1,IF(INDEX('×入力'!$C$1:$L$700,606+DA$3,DA$2)&lt;&gt;"",1,0),0)</f>
        <v/>
      </c>
      <c r="DB50">
        <f>IF(DB$4=1,IF(INDEX('×入力'!$C$1:$L$700,606+DB$3,DB$2)&lt;&gt;"",1,0),0)</f>
        <v/>
      </c>
      <c r="DC50">
        <f>IF(DC$4=1,IF(INDEX('×入力'!$C$1:$L$700,606+DC$3,DC$2)&lt;&gt;"",1,0),0)</f>
        <v/>
      </c>
      <c r="DD50">
        <f>IF(DD$4=1,IF(INDEX('×入力'!$C$1:$L$700,606+DD$3,DD$2)&lt;&gt;"",1,0),0)</f>
        <v/>
      </c>
      <c r="DE50">
        <f>IF(DE$4=1,IF(INDEX('×入力'!$C$1:$L$700,606+DE$3,DE$2)&lt;&gt;"",1,0),0)</f>
        <v/>
      </c>
      <c r="DF50">
        <f>IF(DF$4=1,IF(INDEX('×入力'!$C$1:$L$700,606+DF$3,DF$2)&lt;&gt;"",1,0),0)</f>
        <v/>
      </c>
      <c r="DG50">
        <f>IF(DG$4=1,IF(INDEX('×入力'!$C$1:$L$700,606+DG$3,DG$2)&lt;&gt;"",1,0),0)</f>
        <v/>
      </c>
      <c r="DH50">
        <f>IF(DH$4=1,IF(INDEX('×入力'!$C$1:$L$700,606+DH$3,DH$2)&lt;&gt;"",1,0),0)</f>
        <v/>
      </c>
      <c r="DI50">
        <f>IF(DI$4=1,IF(INDEX('×入力'!$C$1:$L$700,606+DI$3,DI$2)&lt;&gt;"",1,0),0)</f>
        <v/>
      </c>
      <c r="DJ50">
        <f>IF(DJ$4=1,IF(INDEX('×入力'!$C$1:$L$700,606+DJ$3,DJ$2)&lt;&gt;"",1,0),0)</f>
        <v/>
      </c>
      <c r="DK50">
        <f>IF(DK$4=1,IF(INDEX('×入力'!$C$1:$L$700,606+DK$3,DK$2)&lt;&gt;"",1,0),0)</f>
        <v/>
      </c>
      <c r="DL50">
        <f>IF(DL$4=1,IF(INDEX('×入力'!$C$1:$L$700,606+DL$3,DL$2)&lt;&gt;"",1,0),0)</f>
        <v/>
      </c>
      <c r="DM50">
        <f>IF(DM$4=1,IF(INDEX('×入力'!$C$1:$L$700,606+DM$3,DM$2)&lt;&gt;"",1,0),0)</f>
        <v/>
      </c>
      <c r="DN50">
        <f>IF(DN$4=1,IF(INDEX('×入力'!$C$1:$L$700,606+DN$3,DN$2)&lt;&gt;"",1,0),0)</f>
        <v/>
      </c>
      <c r="DO50">
        <f>IF(DO$4=1,IF(INDEX('×入力'!$C$1:$L$700,606+DO$3,DO$2)&lt;&gt;"",1,0),0)</f>
        <v/>
      </c>
      <c r="DP50">
        <f>IF(DP$4=1,IF(INDEX('×入力'!$C$1:$L$700,606+DP$3,DP$2)&lt;&gt;"",1,0),0)</f>
        <v/>
      </c>
      <c r="DQ50">
        <f>IF(DQ$4=1,IF(INDEX('×入力'!$C$1:$L$700,606+DQ$3,DQ$2)&lt;&gt;"",1,0),0)</f>
        <v/>
      </c>
      <c r="DR50">
        <f>IF(DR$4=1,IF(INDEX('×入力'!$C$1:$L$700,606+DR$3,DR$2)&lt;&gt;"",1,0),0)</f>
        <v/>
      </c>
      <c r="DS50">
        <f>IF(DS$4=1,IF(INDEX('×入力'!$C$1:$L$700,606+DS$3,DS$2)&lt;&gt;"",1,0),0)</f>
        <v/>
      </c>
      <c r="DU50">
        <f>IFERROR(INDEX('計算B'!$C$3:$C$47,MATCH(A50,'計算B'!$B$3:$B$47,0)),0)</f>
        <v/>
      </c>
      <c r="DV50">
        <f>IF(AND(C50=1,DU50=0),1,0)</f>
        <v/>
      </c>
      <c r="DW50">
        <f>SUMPRODUCT(D100:DS100*(1-$D$7:$DS$7))</f>
        <v/>
      </c>
      <c r="DX50">
        <f>SUM(D50:DS50)</f>
        <v/>
      </c>
      <c r="DY50">
        <f>IF(B50="",0,IF(COUNTIF('割り当て'!$C$6:$L$17,B50)=1,SUMPRODUCT(('割り当て'!$C$6:$L$17=B50)*((COLUMN('割り当て'!$C$6:$L$17)-3)*12+ROW('割り当て'!$C$6:$L$17)-5)),0))</f>
        <v/>
      </c>
    </row>
    <row r="51">
      <c r="A51" t="n">
        <v>42</v>
      </c>
      <c r="B51">
        <f>'名簿'!E46</f>
        <v/>
      </c>
      <c r="C51">
        <f>IF(AND(B51&lt;&gt;"",OR('名簿'!F46="入力済み",'名簿'!F46="×なし"),DY51=0,COUNTIF('割り当て'!$C$6:$L$17,B51)=0),1,0)</f>
        <v/>
      </c>
      <c r="D51">
        <f>IF(D$4=1,IF(INDEX('×入力'!$C$1:$L$700,621+D$3,D$2)&lt;&gt;"",1,0),0)</f>
        <v/>
      </c>
      <c r="E51">
        <f>IF(E$4=1,IF(INDEX('×入力'!$C$1:$L$700,621+E$3,E$2)&lt;&gt;"",1,0),0)</f>
        <v/>
      </c>
      <c r="F51">
        <f>IF(F$4=1,IF(INDEX('×入力'!$C$1:$L$700,621+F$3,F$2)&lt;&gt;"",1,0),0)</f>
        <v/>
      </c>
      <c r="G51">
        <f>IF(G$4=1,IF(INDEX('×入力'!$C$1:$L$700,621+G$3,G$2)&lt;&gt;"",1,0),0)</f>
        <v/>
      </c>
      <c r="H51">
        <f>IF(H$4=1,IF(INDEX('×入力'!$C$1:$L$700,621+H$3,H$2)&lt;&gt;"",1,0),0)</f>
        <v/>
      </c>
      <c r="I51">
        <f>IF(I$4=1,IF(INDEX('×入力'!$C$1:$L$700,621+I$3,I$2)&lt;&gt;"",1,0),0)</f>
        <v/>
      </c>
      <c r="J51">
        <f>IF(J$4=1,IF(INDEX('×入力'!$C$1:$L$700,621+J$3,J$2)&lt;&gt;"",1,0),0)</f>
        <v/>
      </c>
      <c r="K51">
        <f>IF(K$4=1,IF(INDEX('×入力'!$C$1:$L$700,621+K$3,K$2)&lt;&gt;"",1,0),0)</f>
        <v/>
      </c>
      <c r="L51">
        <f>IF(L$4=1,IF(INDEX('×入力'!$C$1:$L$700,621+L$3,L$2)&lt;&gt;"",1,0),0)</f>
        <v/>
      </c>
      <c r="M51">
        <f>IF(M$4=1,IF(INDEX('×入力'!$C$1:$L$700,621+M$3,M$2)&lt;&gt;"",1,0),0)</f>
        <v/>
      </c>
      <c r="N51">
        <f>IF(N$4=1,IF(INDEX('×入力'!$C$1:$L$700,621+N$3,N$2)&lt;&gt;"",1,0),0)</f>
        <v/>
      </c>
      <c r="O51">
        <f>IF(O$4=1,IF(INDEX('×入力'!$C$1:$L$700,621+O$3,O$2)&lt;&gt;"",1,0),0)</f>
        <v/>
      </c>
      <c r="P51">
        <f>IF(P$4=1,IF(INDEX('×入力'!$C$1:$L$700,621+P$3,P$2)&lt;&gt;"",1,0),0)</f>
        <v/>
      </c>
      <c r="Q51">
        <f>IF(Q$4=1,IF(INDEX('×入力'!$C$1:$L$700,621+Q$3,Q$2)&lt;&gt;"",1,0),0)</f>
        <v/>
      </c>
      <c r="R51">
        <f>IF(R$4=1,IF(INDEX('×入力'!$C$1:$L$700,621+R$3,R$2)&lt;&gt;"",1,0),0)</f>
        <v/>
      </c>
      <c r="S51">
        <f>IF(S$4=1,IF(INDEX('×入力'!$C$1:$L$700,621+S$3,S$2)&lt;&gt;"",1,0),0)</f>
        <v/>
      </c>
      <c r="T51">
        <f>IF(T$4=1,IF(INDEX('×入力'!$C$1:$L$700,621+T$3,T$2)&lt;&gt;"",1,0),0)</f>
        <v/>
      </c>
      <c r="U51">
        <f>IF(U$4=1,IF(INDEX('×入力'!$C$1:$L$700,621+U$3,U$2)&lt;&gt;"",1,0),0)</f>
        <v/>
      </c>
      <c r="V51">
        <f>IF(V$4=1,IF(INDEX('×入力'!$C$1:$L$700,621+V$3,V$2)&lt;&gt;"",1,0),0)</f>
        <v/>
      </c>
      <c r="W51">
        <f>IF(W$4=1,IF(INDEX('×入力'!$C$1:$L$700,621+W$3,W$2)&lt;&gt;"",1,0),0)</f>
        <v/>
      </c>
      <c r="X51">
        <f>IF(X$4=1,IF(INDEX('×入力'!$C$1:$L$700,621+X$3,X$2)&lt;&gt;"",1,0),0)</f>
        <v/>
      </c>
      <c r="Y51">
        <f>IF(Y$4=1,IF(INDEX('×入力'!$C$1:$L$700,621+Y$3,Y$2)&lt;&gt;"",1,0),0)</f>
        <v/>
      </c>
      <c r="Z51">
        <f>IF(Z$4=1,IF(INDEX('×入力'!$C$1:$L$700,621+Z$3,Z$2)&lt;&gt;"",1,0),0)</f>
        <v/>
      </c>
      <c r="AA51">
        <f>IF(AA$4=1,IF(INDEX('×入力'!$C$1:$L$700,621+AA$3,AA$2)&lt;&gt;"",1,0),0)</f>
        <v/>
      </c>
      <c r="AB51">
        <f>IF(AB$4=1,IF(INDEX('×入力'!$C$1:$L$700,621+AB$3,AB$2)&lt;&gt;"",1,0),0)</f>
        <v/>
      </c>
      <c r="AC51">
        <f>IF(AC$4=1,IF(INDEX('×入力'!$C$1:$L$700,621+AC$3,AC$2)&lt;&gt;"",1,0),0)</f>
        <v/>
      </c>
      <c r="AD51">
        <f>IF(AD$4=1,IF(INDEX('×入力'!$C$1:$L$700,621+AD$3,AD$2)&lt;&gt;"",1,0),0)</f>
        <v/>
      </c>
      <c r="AE51">
        <f>IF(AE$4=1,IF(INDEX('×入力'!$C$1:$L$700,621+AE$3,AE$2)&lt;&gt;"",1,0),0)</f>
        <v/>
      </c>
      <c r="AF51">
        <f>IF(AF$4=1,IF(INDEX('×入力'!$C$1:$L$700,621+AF$3,AF$2)&lt;&gt;"",1,0),0)</f>
        <v/>
      </c>
      <c r="AG51">
        <f>IF(AG$4=1,IF(INDEX('×入力'!$C$1:$L$700,621+AG$3,AG$2)&lt;&gt;"",1,0),0)</f>
        <v/>
      </c>
      <c r="AH51">
        <f>IF(AH$4=1,IF(INDEX('×入力'!$C$1:$L$700,621+AH$3,AH$2)&lt;&gt;"",1,0),0)</f>
        <v/>
      </c>
      <c r="AI51">
        <f>IF(AI$4=1,IF(INDEX('×入力'!$C$1:$L$700,621+AI$3,AI$2)&lt;&gt;"",1,0),0)</f>
        <v/>
      </c>
      <c r="AJ51">
        <f>IF(AJ$4=1,IF(INDEX('×入力'!$C$1:$L$700,621+AJ$3,AJ$2)&lt;&gt;"",1,0),0)</f>
        <v/>
      </c>
      <c r="AK51">
        <f>IF(AK$4=1,IF(INDEX('×入力'!$C$1:$L$700,621+AK$3,AK$2)&lt;&gt;"",1,0),0)</f>
        <v/>
      </c>
      <c r="AL51">
        <f>IF(AL$4=1,IF(INDEX('×入力'!$C$1:$L$700,621+AL$3,AL$2)&lt;&gt;"",1,0),0)</f>
        <v/>
      </c>
      <c r="AM51">
        <f>IF(AM$4=1,IF(INDEX('×入力'!$C$1:$L$700,621+AM$3,AM$2)&lt;&gt;"",1,0),0)</f>
        <v/>
      </c>
      <c r="AN51">
        <f>IF(AN$4=1,IF(INDEX('×入力'!$C$1:$L$700,621+AN$3,AN$2)&lt;&gt;"",1,0),0)</f>
        <v/>
      </c>
      <c r="AO51">
        <f>IF(AO$4=1,IF(INDEX('×入力'!$C$1:$L$700,621+AO$3,AO$2)&lt;&gt;"",1,0),0)</f>
        <v/>
      </c>
      <c r="AP51">
        <f>IF(AP$4=1,IF(INDEX('×入力'!$C$1:$L$700,621+AP$3,AP$2)&lt;&gt;"",1,0),0)</f>
        <v/>
      </c>
      <c r="AQ51">
        <f>IF(AQ$4=1,IF(INDEX('×入力'!$C$1:$L$700,621+AQ$3,AQ$2)&lt;&gt;"",1,0),0)</f>
        <v/>
      </c>
      <c r="AR51">
        <f>IF(AR$4=1,IF(INDEX('×入力'!$C$1:$L$700,621+AR$3,AR$2)&lt;&gt;"",1,0),0)</f>
        <v/>
      </c>
      <c r="AS51">
        <f>IF(AS$4=1,IF(INDEX('×入力'!$C$1:$L$700,621+AS$3,AS$2)&lt;&gt;"",1,0),0)</f>
        <v/>
      </c>
      <c r="AT51">
        <f>IF(AT$4=1,IF(INDEX('×入力'!$C$1:$L$700,621+AT$3,AT$2)&lt;&gt;"",1,0),0)</f>
        <v/>
      </c>
      <c r="AU51">
        <f>IF(AU$4=1,IF(INDEX('×入力'!$C$1:$L$700,621+AU$3,AU$2)&lt;&gt;"",1,0),0)</f>
        <v/>
      </c>
      <c r="AV51">
        <f>IF(AV$4=1,IF(INDEX('×入力'!$C$1:$L$700,621+AV$3,AV$2)&lt;&gt;"",1,0),0)</f>
        <v/>
      </c>
      <c r="AW51">
        <f>IF(AW$4=1,IF(INDEX('×入力'!$C$1:$L$700,621+AW$3,AW$2)&lt;&gt;"",1,0),0)</f>
        <v/>
      </c>
      <c r="AX51">
        <f>IF(AX$4=1,IF(INDEX('×入力'!$C$1:$L$700,621+AX$3,AX$2)&lt;&gt;"",1,0),0)</f>
        <v/>
      </c>
      <c r="AY51">
        <f>IF(AY$4=1,IF(INDEX('×入力'!$C$1:$L$700,621+AY$3,AY$2)&lt;&gt;"",1,0),0)</f>
        <v/>
      </c>
      <c r="AZ51">
        <f>IF(AZ$4=1,IF(INDEX('×入力'!$C$1:$L$700,621+AZ$3,AZ$2)&lt;&gt;"",1,0),0)</f>
        <v/>
      </c>
      <c r="BA51">
        <f>IF(BA$4=1,IF(INDEX('×入力'!$C$1:$L$700,621+BA$3,BA$2)&lt;&gt;"",1,0),0)</f>
        <v/>
      </c>
      <c r="BB51">
        <f>IF(BB$4=1,IF(INDEX('×入力'!$C$1:$L$700,621+BB$3,BB$2)&lt;&gt;"",1,0),0)</f>
        <v/>
      </c>
      <c r="BC51">
        <f>IF(BC$4=1,IF(INDEX('×入力'!$C$1:$L$700,621+BC$3,BC$2)&lt;&gt;"",1,0),0)</f>
        <v/>
      </c>
      <c r="BD51">
        <f>IF(BD$4=1,IF(INDEX('×入力'!$C$1:$L$700,621+BD$3,BD$2)&lt;&gt;"",1,0),0)</f>
        <v/>
      </c>
      <c r="BE51">
        <f>IF(BE$4=1,IF(INDEX('×入力'!$C$1:$L$700,621+BE$3,BE$2)&lt;&gt;"",1,0),0)</f>
        <v/>
      </c>
      <c r="BF51">
        <f>IF(BF$4=1,IF(INDEX('×入力'!$C$1:$L$700,621+BF$3,BF$2)&lt;&gt;"",1,0),0)</f>
        <v/>
      </c>
      <c r="BG51">
        <f>IF(BG$4=1,IF(INDEX('×入力'!$C$1:$L$700,621+BG$3,BG$2)&lt;&gt;"",1,0),0)</f>
        <v/>
      </c>
      <c r="BH51">
        <f>IF(BH$4=1,IF(INDEX('×入力'!$C$1:$L$700,621+BH$3,BH$2)&lt;&gt;"",1,0),0)</f>
        <v/>
      </c>
      <c r="BI51">
        <f>IF(BI$4=1,IF(INDEX('×入力'!$C$1:$L$700,621+BI$3,BI$2)&lt;&gt;"",1,0),0)</f>
        <v/>
      </c>
      <c r="BJ51">
        <f>IF(BJ$4=1,IF(INDEX('×入力'!$C$1:$L$700,621+BJ$3,BJ$2)&lt;&gt;"",1,0),0)</f>
        <v/>
      </c>
      <c r="BK51">
        <f>IF(BK$4=1,IF(INDEX('×入力'!$C$1:$L$700,621+BK$3,BK$2)&lt;&gt;"",1,0),0)</f>
        <v/>
      </c>
      <c r="BL51">
        <f>IF(BL$4=1,IF(INDEX('×入力'!$C$1:$L$700,621+BL$3,BL$2)&lt;&gt;"",1,0),0)</f>
        <v/>
      </c>
      <c r="BM51">
        <f>IF(BM$4=1,IF(INDEX('×入力'!$C$1:$L$700,621+BM$3,BM$2)&lt;&gt;"",1,0),0)</f>
        <v/>
      </c>
      <c r="BN51">
        <f>IF(BN$4=1,IF(INDEX('×入力'!$C$1:$L$700,621+BN$3,BN$2)&lt;&gt;"",1,0),0)</f>
        <v/>
      </c>
      <c r="BO51">
        <f>IF(BO$4=1,IF(INDEX('×入力'!$C$1:$L$700,621+BO$3,BO$2)&lt;&gt;"",1,0),0)</f>
        <v/>
      </c>
      <c r="BP51">
        <f>IF(BP$4=1,IF(INDEX('×入力'!$C$1:$L$700,621+BP$3,BP$2)&lt;&gt;"",1,0),0)</f>
        <v/>
      </c>
      <c r="BQ51">
        <f>IF(BQ$4=1,IF(INDEX('×入力'!$C$1:$L$700,621+BQ$3,BQ$2)&lt;&gt;"",1,0),0)</f>
        <v/>
      </c>
      <c r="BR51">
        <f>IF(BR$4=1,IF(INDEX('×入力'!$C$1:$L$700,621+BR$3,BR$2)&lt;&gt;"",1,0),0)</f>
        <v/>
      </c>
      <c r="BS51">
        <f>IF(BS$4=1,IF(INDEX('×入力'!$C$1:$L$700,621+BS$3,BS$2)&lt;&gt;"",1,0),0)</f>
        <v/>
      </c>
      <c r="BT51">
        <f>IF(BT$4=1,IF(INDEX('×入力'!$C$1:$L$700,621+BT$3,BT$2)&lt;&gt;"",1,0),0)</f>
        <v/>
      </c>
      <c r="BU51">
        <f>IF(BU$4=1,IF(INDEX('×入力'!$C$1:$L$700,621+BU$3,BU$2)&lt;&gt;"",1,0),0)</f>
        <v/>
      </c>
      <c r="BV51">
        <f>IF(BV$4=1,IF(INDEX('×入力'!$C$1:$L$700,621+BV$3,BV$2)&lt;&gt;"",1,0),0)</f>
        <v/>
      </c>
      <c r="BW51">
        <f>IF(BW$4=1,IF(INDEX('×入力'!$C$1:$L$700,621+BW$3,BW$2)&lt;&gt;"",1,0),0)</f>
        <v/>
      </c>
      <c r="BX51">
        <f>IF(BX$4=1,IF(INDEX('×入力'!$C$1:$L$700,621+BX$3,BX$2)&lt;&gt;"",1,0),0)</f>
        <v/>
      </c>
      <c r="BY51">
        <f>IF(BY$4=1,IF(INDEX('×入力'!$C$1:$L$700,621+BY$3,BY$2)&lt;&gt;"",1,0),0)</f>
        <v/>
      </c>
      <c r="BZ51">
        <f>IF(BZ$4=1,IF(INDEX('×入力'!$C$1:$L$700,621+BZ$3,BZ$2)&lt;&gt;"",1,0),0)</f>
        <v/>
      </c>
      <c r="CA51">
        <f>IF(CA$4=1,IF(INDEX('×入力'!$C$1:$L$700,621+CA$3,CA$2)&lt;&gt;"",1,0),0)</f>
        <v/>
      </c>
      <c r="CB51">
        <f>IF(CB$4=1,IF(INDEX('×入力'!$C$1:$L$700,621+CB$3,CB$2)&lt;&gt;"",1,0),0)</f>
        <v/>
      </c>
      <c r="CC51">
        <f>IF(CC$4=1,IF(INDEX('×入力'!$C$1:$L$700,621+CC$3,CC$2)&lt;&gt;"",1,0),0)</f>
        <v/>
      </c>
      <c r="CD51">
        <f>IF(CD$4=1,IF(INDEX('×入力'!$C$1:$L$700,621+CD$3,CD$2)&lt;&gt;"",1,0),0)</f>
        <v/>
      </c>
      <c r="CE51">
        <f>IF(CE$4=1,IF(INDEX('×入力'!$C$1:$L$700,621+CE$3,CE$2)&lt;&gt;"",1,0),0)</f>
        <v/>
      </c>
      <c r="CF51">
        <f>IF(CF$4=1,IF(INDEX('×入力'!$C$1:$L$700,621+CF$3,CF$2)&lt;&gt;"",1,0),0)</f>
        <v/>
      </c>
      <c r="CG51">
        <f>IF(CG$4=1,IF(INDEX('×入力'!$C$1:$L$700,621+CG$3,CG$2)&lt;&gt;"",1,0),0)</f>
        <v/>
      </c>
      <c r="CH51">
        <f>IF(CH$4=1,IF(INDEX('×入力'!$C$1:$L$700,621+CH$3,CH$2)&lt;&gt;"",1,0),0)</f>
        <v/>
      </c>
      <c r="CI51">
        <f>IF(CI$4=1,IF(INDEX('×入力'!$C$1:$L$700,621+CI$3,CI$2)&lt;&gt;"",1,0),0)</f>
        <v/>
      </c>
      <c r="CJ51">
        <f>IF(CJ$4=1,IF(INDEX('×入力'!$C$1:$L$700,621+CJ$3,CJ$2)&lt;&gt;"",1,0),0)</f>
        <v/>
      </c>
      <c r="CK51">
        <f>IF(CK$4=1,IF(INDEX('×入力'!$C$1:$L$700,621+CK$3,CK$2)&lt;&gt;"",1,0),0)</f>
        <v/>
      </c>
      <c r="CL51">
        <f>IF(CL$4=1,IF(INDEX('×入力'!$C$1:$L$700,621+CL$3,CL$2)&lt;&gt;"",1,0),0)</f>
        <v/>
      </c>
      <c r="CM51">
        <f>IF(CM$4=1,IF(INDEX('×入力'!$C$1:$L$700,621+CM$3,CM$2)&lt;&gt;"",1,0),0)</f>
        <v/>
      </c>
      <c r="CN51">
        <f>IF(CN$4=1,IF(INDEX('×入力'!$C$1:$L$700,621+CN$3,CN$2)&lt;&gt;"",1,0),0)</f>
        <v/>
      </c>
      <c r="CO51">
        <f>IF(CO$4=1,IF(INDEX('×入力'!$C$1:$L$700,621+CO$3,CO$2)&lt;&gt;"",1,0),0)</f>
        <v/>
      </c>
      <c r="CP51">
        <f>IF(CP$4=1,IF(INDEX('×入力'!$C$1:$L$700,621+CP$3,CP$2)&lt;&gt;"",1,0),0)</f>
        <v/>
      </c>
      <c r="CQ51">
        <f>IF(CQ$4=1,IF(INDEX('×入力'!$C$1:$L$700,621+CQ$3,CQ$2)&lt;&gt;"",1,0),0)</f>
        <v/>
      </c>
      <c r="CR51">
        <f>IF(CR$4=1,IF(INDEX('×入力'!$C$1:$L$700,621+CR$3,CR$2)&lt;&gt;"",1,0),0)</f>
        <v/>
      </c>
      <c r="CS51">
        <f>IF(CS$4=1,IF(INDEX('×入力'!$C$1:$L$700,621+CS$3,CS$2)&lt;&gt;"",1,0),0)</f>
        <v/>
      </c>
      <c r="CT51">
        <f>IF(CT$4=1,IF(INDEX('×入力'!$C$1:$L$700,621+CT$3,CT$2)&lt;&gt;"",1,0),0)</f>
        <v/>
      </c>
      <c r="CU51">
        <f>IF(CU$4=1,IF(INDEX('×入力'!$C$1:$L$700,621+CU$3,CU$2)&lt;&gt;"",1,0),0)</f>
        <v/>
      </c>
      <c r="CV51">
        <f>IF(CV$4=1,IF(INDEX('×入力'!$C$1:$L$700,621+CV$3,CV$2)&lt;&gt;"",1,0),0)</f>
        <v/>
      </c>
      <c r="CW51">
        <f>IF(CW$4=1,IF(INDEX('×入力'!$C$1:$L$700,621+CW$3,CW$2)&lt;&gt;"",1,0),0)</f>
        <v/>
      </c>
      <c r="CX51">
        <f>IF(CX$4=1,IF(INDEX('×入力'!$C$1:$L$700,621+CX$3,CX$2)&lt;&gt;"",1,0),0)</f>
        <v/>
      </c>
      <c r="CY51">
        <f>IF(CY$4=1,IF(INDEX('×入力'!$C$1:$L$700,621+CY$3,CY$2)&lt;&gt;"",1,0),0)</f>
        <v/>
      </c>
      <c r="CZ51">
        <f>IF(CZ$4=1,IF(INDEX('×入力'!$C$1:$L$700,621+CZ$3,CZ$2)&lt;&gt;"",1,0),0)</f>
        <v/>
      </c>
      <c r="DA51">
        <f>IF(DA$4=1,IF(INDEX('×入力'!$C$1:$L$700,621+DA$3,DA$2)&lt;&gt;"",1,0),0)</f>
        <v/>
      </c>
      <c r="DB51">
        <f>IF(DB$4=1,IF(INDEX('×入力'!$C$1:$L$700,621+DB$3,DB$2)&lt;&gt;"",1,0),0)</f>
        <v/>
      </c>
      <c r="DC51">
        <f>IF(DC$4=1,IF(INDEX('×入力'!$C$1:$L$700,621+DC$3,DC$2)&lt;&gt;"",1,0),0)</f>
        <v/>
      </c>
      <c r="DD51">
        <f>IF(DD$4=1,IF(INDEX('×入力'!$C$1:$L$700,621+DD$3,DD$2)&lt;&gt;"",1,0),0)</f>
        <v/>
      </c>
      <c r="DE51">
        <f>IF(DE$4=1,IF(INDEX('×入力'!$C$1:$L$700,621+DE$3,DE$2)&lt;&gt;"",1,0),0)</f>
        <v/>
      </c>
      <c r="DF51">
        <f>IF(DF$4=1,IF(INDEX('×入力'!$C$1:$L$700,621+DF$3,DF$2)&lt;&gt;"",1,0),0)</f>
        <v/>
      </c>
      <c r="DG51">
        <f>IF(DG$4=1,IF(INDEX('×入力'!$C$1:$L$700,621+DG$3,DG$2)&lt;&gt;"",1,0),0)</f>
        <v/>
      </c>
      <c r="DH51">
        <f>IF(DH$4=1,IF(INDEX('×入力'!$C$1:$L$700,621+DH$3,DH$2)&lt;&gt;"",1,0),0)</f>
        <v/>
      </c>
      <c r="DI51">
        <f>IF(DI$4=1,IF(INDEX('×入力'!$C$1:$L$700,621+DI$3,DI$2)&lt;&gt;"",1,0),0)</f>
        <v/>
      </c>
      <c r="DJ51">
        <f>IF(DJ$4=1,IF(INDEX('×入力'!$C$1:$L$700,621+DJ$3,DJ$2)&lt;&gt;"",1,0),0)</f>
        <v/>
      </c>
      <c r="DK51">
        <f>IF(DK$4=1,IF(INDEX('×入力'!$C$1:$L$700,621+DK$3,DK$2)&lt;&gt;"",1,0),0)</f>
        <v/>
      </c>
      <c r="DL51">
        <f>IF(DL$4=1,IF(INDEX('×入力'!$C$1:$L$700,621+DL$3,DL$2)&lt;&gt;"",1,0),0)</f>
        <v/>
      </c>
      <c r="DM51">
        <f>IF(DM$4=1,IF(INDEX('×入力'!$C$1:$L$700,621+DM$3,DM$2)&lt;&gt;"",1,0),0)</f>
        <v/>
      </c>
      <c r="DN51">
        <f>IF(DN$4=1,IF(INDEX('×入力'!$C$1:$L$700,621+DN$3,DN$2)&lt;&gt;"",1,0),0)</f>
        <v/>
      </c>
      <c r="DO51">
        <f>IF(DO$4=1,IF(INDEX('×入力'!$C$1:$L$700,621+DO$3,DO$2)&lt;&gt;"",1,0),0)</f>
        <v/>
      </c>
      <c r="DP51">
        <f>IF(DP$4=1,IF(INDEX('×入力'!$C$1:$L$700,621+DP$3,DP$2)&lt;&gt;"",1,0),0)</f>
        <v/>
      </c>
      <c r="DQ51">
        <f>IF(DQ$4=1,IF(INDEX('×入力'!$C$1:$L$700,621+DQ$3,DQ$2)&lt;&gt;"",1,0),0)</f>
        <v/>
      </c>
      <c r="DR51">
        <f>IF(DR$4=1,IF(INDEX('×入力'!$C$1:$L$700,621+DR$3,DR$2)&lt;&gt;"",1,0),0)</f>
        <v/>
      </c>
      <c r="DS51">
        <f>IF(DS$4=1,IF(INDEX('×入力'!$C$1:$L$700,621+DS$3,DS$2)&lt;&gt;"",1,0),0)</f>
        <v/>
      </c>
      <c r="DU51">
        <f>IFERROR(INDEX('計算B'!$C$3:$C$47,MATCH(A51,'計算B'!$B$3:$B$47,0)),0)</f>
        <v/>
      </c>
      <c r="DV51">
        <f>IF(AND(C51=1,DU51=0),1,0)</f>
        <v/>
      </c>
      <c r="DW51">
        <f>SUMPRODUCT(D101:DS101*(1-$D$7:$DS$7))</f>
        <v/>
      </c>
      <c r="DX51">
        <f>SUM(D51:DS51)</f>
        <v/>
      </c>
      <c r="DY51">
        <f>IF(B51="",0,IF(COUNTIF('割り当て'!$C$6:$L$17,B51)=1,SUMPRODUCT(('割り当て'!$C$6:$L$17=B51)*((COLUMN('割り当て'!$C$6:$L$17)-3)*12+ROW('割り当て'!$C$6:$L$17)-5)),0))</f>
        <v/>
      </c>
    </row>
    <row r="52">
      <c r="A52" t="n">
        <v>43</v>
      </c>
      <c r="B52">
        <f>'名簿'!E47</f>
        <v/>
      </c>
      <c r="C52">
        <f>IF(AND(B52&lt;&gt;"",OR('名簿'!F47="入力済み",'名簿'!F47="×なし"),DY52=0,COUNTIF('割り当て'!$C$6:$L$17,B52)=0),1,0)</f>
        <v/>
      </c>
      <c r="D52">
        <f>IF(D$4=1,IF(INDEX('×入力'!$C$1:$L$700,636+D$3,D$2)&lt;&gt;"",1,0),0)</f>
        <v/>
      </c>
      <c r="E52">
        <f>IF(E$4=1,IF(INDEX('×入力'!$C$1:$L$700,636+E$3,E$2)&lt;&gt;"",1,0),0)</f>
        <v/>
      </c>
      <c r="F52">
        <f>IF(F$4=1,IF(INDEX('×入力'!$C$1:$L$700,636+F$3,F$2)&lt;&gt;"",1,0),0)</f>
        <v/>
      </c>
      <c r="G52">
        <f>IF(G$4=1,IF(INDEX('×入力'!$C$1:$L$700,636+G$3,G$2)&lt;&gt;"",1,0),0)</f>
        <v/>
      </c>
      <c r="H52">
        <f>IF(H$4=1,IF(INDEX('×入力'!$C$1:$L$700,636+H$3,H$2)&lt;&gt;"",1,0),0)</f>
        <v/>
      </c>
      <c r="I52">
        <f>IF(I$4=1,IF(INDEX('×入力'!$C$1:$L$700,636+I$3,I$2)&lt;&gt;"",1,0),0)</f>
        <v/>
      </c>
      <c r="J52">
        <f>IF(J$4=1,IF(INDEX('×入力'!$C$1:$L$700,636+J$3,J$2)&lt;&gt;"",1,0),0)</f>
        <v/>
      </c>
      <c r="K52">
        <f>IF(K$4=1,IF(INDEX('×入力'!$C$1:$L$700,636+K$3,K$2)&lt;&gt;"",1,0),0)</f>
        <v/>
      </c>
      <c r="L52">
        <f>IF(L$4=1,IF(INDEX('×入力'!$C$1:$L$700,636+L$3,L$2)&lt;&gt;"",1,0),0)</f>
        <v/>
      </c>
      <c r="M52">
        <f>IF(M$4=1,IF(INDEX('×入力'!$C$1:$L$700,636+M$3,M$2)&lt;&gt;"",1,0),0)</f>
        <v/>
      </c>
      <c r="N52">
        <f>IF(N$4=1,IF(INDEX('×入力'!$C$1:$L$700,636+N$3,N$2)&lt;&gt;"",1,0),0)</f>
        <v/>
      </c>
      <c r="O52">
        <f>IF(O$4=1,IF(INDEX('×入力'!$C$1:$L$700,636+O$3,O$2)&lt;&gt;"",1,0),0)</f>
        <v/>
      </c>
      <c r="P52">
        <f>IF(P$4=1,IF(INDEX('×入力'!$C$1:$L$700,636+P$3,P$2)&lt;&gt;"",1,0),0)</f>
        <v/>
      </c>
      <c r="Q52">
        <f>IF(Q$4=1,IF(INDEX('×入力'!$C$1:$L$700,636+Q$3,Q$2)&lt;&gt;"",1,0),0)</f>
        <v/>
      </c>
      <c r="R52">
        <f>IF(R$4=1,IF(INDEX('×入力'!$C$1:$L$700,636+R$3,R$2)&lt;&gt;"",1,0),0)</f>
        <v/>
      </c>
      <c r="S52">
        <f>IF(S$4=1,IF(INDEX('×入力'!$C$1:$L$700,636+S$3,S$2)&lt;&gt;"",1,0),0)</f>
        <v/>
      </c>
      <c r="T52">
        <f>IF(T$4=1,IF(INDEX('×入力'!$C$1:$L$700,636+T$3,T$2)&lt;&gt;"",1,0),0)</f>
        <v/>
      </c>
      <c r="U52">
        <f>IF(U$4=1,IF(INDEX('×入力'!$C$1:$L$700,636+U$3,U$2)&lt;&gt;"",1,0),0)</f>
        <v/>
      </c>
      <c r="V52">
        <f>IF(V$4=1,IF(INDEX('×入力'!$C$1:$L$700,636+V$3,V$2)&lt;&gt;"",1,0),0)</f>
        <v/>
      </c>
      <c r="W52">
        <f>IF(W$4=1,IF(INDEX('×入力'!$C$1:$L$700,636+W$3,W$2)&lt;&gt;"",1,0),0)</f>
        <v/>
      </c>
      <c r="X52">
        <f>IF(X$4=1,IF(INDEX('×入力'!$C$1:$L$700,636+X$3,X$2)&lt;&gt;"",1,0),0)</f>
        <v/>
      </c>
      <c r="Y52">
        <f>IF(Y$4=1,IF(INDEX('×入力'!$C$1:$L$700,636+Y$3,Y$2)&lt;&gt;"",1,0),0)</f>
        <v/>
      </c>
      <c r="Z52">
        <f>IF(Z$4=1,IF(INDEX('×入力'!$C$1:$L$700,636+Z$3,Z$2)&lt;&gt;"",1,0),0)</f>
        <v/>
      </c>
      <c r="AA52">
        <f>IF(AA$4=1,IF(INDEX('×入力'!$C$1:$L$700,636+AA$3,AA$2)&lt;&gt;"",1,0),0)</f>
        <v/>
      </c>
      <c r="AB52">
        <f>IF(AB$4=1,IF(INDEX('×入力'!$C$1:$L$700,636+AB$3,AB$2)&lt;&gt;"",1,0),0)</f>
        <v/>
      </c>
      <c r="AC52">
        <f>IF(AC$4=1,IF(INDEX('×入力'!$C$1:$L$700,636+AC$3,AC$2)&lt;&gt;"",1,0),0)</f>
        <v/>
      </c>
      <c r="AD52">
        <f>IF(AD$4=1,IF(INDEX('×入力'!$C$1:$L$700,636+AD$3,AD$2)&lt;&gt;"",1,0),0)</f>
        <v/>
      </c>
      <c r="AE52">
        <f>IF(AE$4=1,IF(INDEX('×入力'!$C$1:$L$700,636+AE$3,AE$2)&lt;&gt;"",1,0),0)</f>
        <v/>
      </c>
      <c r="AF52">
        <f>IF(AF$4=1,IF(INDEX('×入力'!$C$1:$L$700,636+AF$3,AF$2)&lt;&gt;"",1,0),0)</f>
        <v/>
      </c>
      <c r="AG52">
        <f>IF(AG$4=1,IF(INDEX('×入力'!$C$1:$L$700,636+AG$3,AG$2)&lt;&gt;"",1,0),0)</f>
        <v/>
      </c>
      <c r="AH52">
        <f>IF(AH$4=1,IF(INDEX('×入力'!$C$1:$L$700,636+AH$3,AH$2)&lt;&gt;"",1,0),0)</f>
        <v/>
      </c>
      <c r="AI52">
        <f>IF(AI$4=1,IF(INDEX('×入力'!$C$1:$L$700,636+AI$3,AI$2)&lt;&gt;"",1,0),0)</f>
        <v/>
      </c>
      <c r="AJ52">
        <f>IF(AJ$4=1,IF(INDEX('×入力'!$C$1:$L$700,636+AJ$3,AJ$2)&lt;&gt;"",1,0),0)</f>
        <v/>
      </c>
      <c r="AK52">
        <f>IF(AK$4=1,IF(INDEX('×入力'!$C$1:$L$700,636+AK$3,AK$2)&lt;&gt;"",1,0),0)</f>
        <v/>
      </c>
      <c r="AL52">
        <f>IF(AL$4=1,IF(INDEX('×入力'!$C$1:$L$700,636+AL$3,AL$2)&lt;&gt;"",1,0),0)</f>
        <v/>
      </c>
      <c r="AM52">
        <f>IF(AM$4=1,IF(INDEX('×入力'!$C$1:$L$700,636+AM$3,AM$2)&lt;&gt;"",1,0),0)</f>
        <v/>
      </c>
      <c r="AN52">
        <f>IF(AN$4=1,IF(INDEX('×入力'!$C$1:$L$700,636+AN$3,AN$2)&lt;&gt;"",1,0),0)</f>
        <v/>
      </c>
      <c r="AO52">
        <f>IF(AO$4=1,IF(INDEX('×入力'!$C$1:$L$700,636+AO$3,AO$2)&lt;&gt;"",1,0),0)</f>
        <v/>
      </c>
      <c r="AP52">
        <f>IF(AP$4=1,IF(INDEX('×入力'!$C$1:$L$700,636+AP$3,AP$2)&lt;&gt;"",1,0),0)</f>
        <v/>
      </c>
      <c r="AQ52">
        <f>IF(AQ$4=1,IF(INDEX('×入力'!$C$1:$L$700,636+AQ$3,AQ$2)&lt;&gt;"",1,0),0)</f>
        <v/>
      </c>
      <c r="AR52">
        <f>IF(AR$4=1,IF(INDEX('×入力'!$C$1:$L$700,636+AR$3,AR$2)&lt;&gt;"",1,0),0)</f>
        <v/>
      </c>
      <c r="AS52">
        <f>IF(AS$4=1,IF(INDEX('×入力'!$C$1:$L$700,636+AS$3,AS$2)&lt;&gt;"",1,0),0)</f>
        <v/>
      </c>
      <c r="AT52">
        <f>IF(AT$4=1,IF(INDEX('×入力'!$C$1:$L$700,636+AT$3,AT$2)&lt;&gt;"",1,0),0)</f>
        <v/>
      </c>
      <c r="AU52">
        <f>IF(AU$4=1,IF(INDEX('×入力'!$C$1:$L$700,636+AU$3,AU$2)&lt;&gt;"",1,0),0)</f>
        <v/>
      </c>
      <c r="AV52">
        <f>IF(AV$4=1,IF(INDEX('×入力'!$C$1:$L$700,636+AV$3,AV$2)&lt;&gt;"",1,0),0)</f>
        <v/>
      </c>
      <c r="AW52">
        <f>IF(AW$4=1,IF(INDEX('×入力'!$C$1:$L$700,636+AW$3,AW$2)&lt;&gt;"",1,0),0)</f>
        <v/>
      </c>
      <c r="AX52">
        <f>IF(AX$4=1,IF(INDEX('×入力'!$C$1:$L$700,636+AX$3,AX$2)&lt;&gt;"",1,0),0)</f>
        <v/>
      </c>
      <c r="AY52">
        <f>IF(AY$4=1,IF(INDEX('×入力'!$C$1:$L$700,636+AY$3,AY$2)&lt;&gt;"",1,0),0)</f>
        <v/>
      </c>
      <c r="AZ52">
        <f>IF(AZ$4=1,IF(INDEX('×入力'!$C$1:$L$700,636+AZ$3,AZ$2)&lt;&gt;"",1,0),0)</f>
        <v/>
      </c>
      <c r="BA52">
        <f>IF(BA$4=1,IF(INDEX('×入力'!$C$1:$L$700,636+BA$3,BA$2)&lt;&gt;"",1,0),0)</f>
        <v/>
      </c>
      <c r="BB52">
        <f>IF(BB$4=1,IF(INDEX('×入力'!$C$1:$L$700,636+BB$3,BB$2)&lt;&gt;"",1,0),0)</f>
        <v/>
      </c>
      <c r="BC52">
        <f>IF(BC$4=1,IF(INDEX('×入力'!$C$1:$L$700,636+BC$3,BC$2)&lt;&gt;"",1,0),0)</f>
        <v/>
      </c>
      <c r="BD52">
        <f>IF(BD$4=1,IF(INDEX('×入力'!$C$1:$L$700,636+BD$3,BD$2)&lt;&gt;"",1,0),0)</f>
        <v/>
      </c>
      <c r="BE52">
        <f>IF(BE$4=1,IF(INDEX('×入力'!$C$1:$L$700,636+BE$3,BE$2)&lt;&gt;"",1,0),0)</f>
        <v/>
      </c>
      <c r="BF52">
        <f>IF(BF$4=1,IF(INDEX('×入力'!$C$1:$L$700,636+BF$3,BF$2)&lt;&gt;"",1,0),0)</f>
        <v/>
      </c>
      <c r="BG52">
        <f>IF(BG$4=1,IF(INDEX('×入力'!$C$1:$L$700,636+BG$3,BG$2)&lt;&gt;"",1,0),0)</f>
        <v/>
      </c>
      <c r="BH52">
        <f>IF(BH$4=1,IF(INDEX('×入力'!$C$1:$L$700,636+BH$3,BH$2)&lt;&gt;"",1,0),0)</f>
        <v/>
      </c>
      <c r="BI52">
        <f>IF(BI$4=1,IF(INDEX('×入力'!$C$1:$L$700,636+BI$3,BI$2)&lt;&gt;"",1,0),0)</f>
        <v/>
      </c>
      <c r="BJ52">
        <f>IF(BJ$4=1,IF(INDEX('×入力'!$C$1:$L$700,636+BJ$3,BJ$2)&lt;&gt;"",1,0),0)</f>
        <v/>
      </c>
      <c r="BK52">
        <f>IF(BK$4=1,IF(INDEX('×入力'!$C$1:$L$700,636+BK$3,BK$2)&lt;&gt;"",1,0),0)</f>
        <v/>
      </c>
      <c r="BL52">
        <f>IF(BL$4=1,IF(INDEX('×入力'!$C$1:$L$700,636+BL$3,BL$2)&lt;&gt;"",1,0),0)</f>
        <v/>
      </c>
      <c r="BM52">
        <f>IF(BM$4=1,IF(INDEX('×入力'!$C$1:$L$700,636+BM$3,BM$2)&lt;&gt;"",1,0),0)</f>
        <v/>
      </c>
      <c r="BN52">
        <f>IF(BN$4=1,IF(INDEX('×入力'!$C$1:$L$700,636+BN$3,BN$2)&lt;&gt;"",1,0),0)</f>
        <v/>
      </c>
      <c r="BO52">
        <f>IF(BO$4=1,IF(INDEX('×入力'!$C$1:$L$700,636+BO$3,BO$2)&lt;&gt;"",1,0),0)</f>
        <v/>
      </c>
      <c r="BP52">
        <f>IF(BP$4=1,IF(INDEX('×入力'!$C$1:$L$700,636+BP$3,BP$2)&lt;&gt;"",1,0),0)</f>
        <v/>
      </c>
      <c r="BQ52">
        <f>IF(BQ$4=1,IF(INDEX('×入力'!$C$1:$L$700,636+BQ$3,BQ$2)&lt;&gt;"",1,0),0)</f>
        <v/>
      </c>
      <c r="BR52">
        <f>IF(BR$4=1,IF(INDEX('×入力'!$C$1:$L$700,636+BR$3,BR$2)&lt;&gt;"",1,0),0)</f>
        <v/>
      </c>
      <c r="BS52">
        <f>IF(BS$4=1,IF(INDEX('×入力'!$C$1:$L$700,636+BS$3,BS$2)&lt;&gt;"",1,0),0)</f>
        <v/>
      </c>
      <c r="BT52">
        <f>IF(BT$4=1,IF(INDEX('×入力'!$C$1:$L$700,636+BT$3,BT$2)&lt;&gt;"",1,0),0)</f>
        <v/>
      </c>
      <c r="BU52">
        <f>IF(BU$4=1,IF(INDEX('×入力'!$C$1:$L$700,636+BU$3,BU$2)&lt;&gt;"",1,0),0)</f>
        <v/>
      </c>
      <c r="BV52">
        <f>IF(BV$4=1,IF(INDEX('×入力'!$C$1:$L$700,636+BV$3,BV$2)&lt;&gt;"",1,0),0)</f>
        <v/>
      </c>
      <c r="BW52">
        <f>IF(BW$4=1,IF(INDEX('×入力'!$C$1:$L$700,636+BW$3,BW$2)&lt;&gt;"",1,0),0)</f>
        <v/>
      </c>
      <c r="BX52">
        <f>IF(BX$4=1,IF(INDEX('×入力'!$C$1:$L$700,636+BX$3,BX$2)&lt;&gt;"",1,0),0)</f>
        <v/>
      </c>
      <c r="BY52">
        <f>IF(BY$4=1,IF(INDEX('×入力'!$C$1:$L$700,636+BY$3,BY$2)&lt;&gt;"",1,0),0)</f>
        <v/>
      </c>
      <c r="BZ52">
        <f>IF(BZ$4=1,IF(INDEX('×入力'!$C$1:$L$700,636+BZ$3,BZ$2)&lt;&gt;"",1,0),0)</f>
        <v/>
      </c>
      <c r="CA52">
        <f>IF(CA$4=1,IF(INDEX('×入力'!$C$1:$L$700,636+CA$3,CA$2)&lt;&gt;"",1,0),0)</f>
        <v/>
      </c>
      <c r="CB52">
        <f>IF(CB$4=1,IF(INDEX('×入力'!$C$1:$L$700,636+CB$3,CB$2)&lt;&gt;"",1,0),0)</f>
        <v/>
      </c>
      <c r="CC52">
        <f>IF(CC$4=1,IF(INDEX('×入力'!$C$1:$L$700,636+CC$3,CC$2)&lt;&gt;"",1,0),0)</f>
        <v/>
      </c>
      <c r="CD52">
        <f>IF(CD$4=1,IF(INDEX('×入力'!$C$1:$L$700,636+CD$3,CD$2)&lt;&gt;"",1,0),0)</f>
        <v/>
      </c>
      <c r="CE52">
        <f>IF(CE$4=1,IF(INDEX('×入力'!$C$1:$L$700,636+CE$3,CE$2)&lt;&gt;"",1,0),0)</f>
        <v/>
      </c>
      <c r="CF52">
        <f>IF(CF$4=1,IF(INDEX('×入力'!$C$1:$L$700,636+CF$3,CF$2)&lt;&gt;"",1,0),0)</f>
        <v/>
      </c>
      <c r="CG52">
        <f>IF(CG$4=1,IF(INDEX('×入力'!$C$1:$L$700,636+CG$3,CG$2)&lt;&gt;"",1,0),0)</f>
        <v/>
      </c>
      <c r="CH52">
        <f>IF(CH$4=1,IF(INDEX('×入力'!$C$1:$L$700,636+CH$3,CH$2)&lt;&gt;"",1,0),0)</f>
        <v/>
      </c>
      <c r="CI52">
        <f>IF(CI$4=1,IF(INDEX('×入力'!$C$1:$L$700,636+CI$3,CI$2)&lt;&gt;"",1,0),0)</f>
        <v/>
      </c>
      <c r="CJ52">
        <f>IF(CJ$4=1,IF(INDEX('×入力'!$C$1:$L$700,636+CJ$3,CJ$2)&lt;&gt;"",1,0),0)</f>
        <v/>
      </c>
      <c r="CK52">
        <f>IF(CK$4=1,IF(INDEX('×入力'!$C$1:$L$700,636+CK$3,CK$2)&lt;&gt;"",1,0),0)</f>
        <v/>
      </c>
      <c r="CL52">
        <f>IF(CL$4=1,IF(INDEX('×入力'!$C$1:$L$700,636+CL$3,CL$2)&lt;&gt;"",1,0),0)</f>
        <v/>
      </c>
      <c r="CM52">
        <f>IF(CM$4=1,IF(INDEX('×入力'!$C$1:$L$700,636+CM$3,CM$2)&lt;&gt;"",1,0),0)</f>
        <v/>
      </c>
      <c r="CN52">
        <f>IF(CN$4=1,IF(INDEX('×入力'!$C$1:$L$700,636+CN$3,CN$2)&lt;&gt;"",1,0),0)</f>
        <v/>
      </c>
      <c r="CO52">
        <f>IF(CO$4=1,IF(INDEX('×入力'!$C$1:$L$700,636+CO$3,CO$2)&lt;&gt;"",1,0),0)</f>
        <v/>
      </c>
      <c r="CP52">
        <f>IF(CP$4=1,IF(INDEX('×入力'!$C$1:$L$700,636+CP$3,CP$2)&lt;&gt;"",1,0),0)</f>
        <v/>
      </c>
      <c r="CQ52">
        <f>IF(CQ$4=1,IF(INDEX('×入力'!$C$1:$L$700,636+CQ$3,CQ$2)&lt;&gt;"",1,0),0)</f>
        <v/>
      </c>
      <c r="CR52">
        <f>IF(CR$4=1,IF(INDEX('×入力'!$C$1:$L$700,636+CR$3,CR$2)&lt;&gt;"",1,0),0)</f>
        <v/>
      </c>
      <c r="CS52">
        <f>IF(CS$4=1,IF(INDEX('×入力'!$C$1:$L$700,636+CS$3,CS$2)&lt;&gt;"",1,0),0)</f>
        <v/>
      </c>
      <c r="CT52">
        <f>IF(CT$4=1,IF(INDEX('×入力'!$C$1:$L$700,636+CT$3,CT$2)&lt;&gt;"",1,0),0)</f>
        <v/>
      </c>
      <c r="CU52">
        <f>IF(CU$4=1,IF(INDEX('×入力'!$C$1:$L$700,636+CU$3,CU$2)&lt;&gt;"",1,0),0)</f>
        <v/>
      </c>
      <c r="CV52">
        <f>IF(CV$4=1,IF(INDEX('×入力'!$C$1:$L$700,636+CV$3,CV$2)&lt;&gt;"",1,0),0)</f>
        <v/>
      </c>
      <c r="CW52">
        <f>IF(CW$4=1,IF(INDEX('×入力'!$C$1:$L$700,636+CW$3,CW$2)&lt;&gt;"",1,0),0)</f>
        <v/>
      </c>
      <c r="CX52">
        <f>IF(CX$4=1,IF(INDEX('×入力'!$C$1:$L$700,636+CX$3,CX$2)&lt;&gt;"",1,0),0)</f>
        <v/>
      </c>
      <c r="CY52">
        <f>IF(CY$4=1,IF(INDEX('×入力'!$C$1:$L$700,636+CY$3,CY$2)&lt;&gt;"",1,0),0)</f>
        <v/>
      </c>
      <c r="CZ52">
        <f>IF(CZ$4=1,IF(INDEX('×入力'!$C$1:$L$700,636+CZ$3,CZ$2)&lt;&gt;"",1,0),0)</f>
        <v/>
      </c>
      <c r="DA52">
        <f>IF(DA$4=1,IF(INDEX('×入力'!$C$1:$L$700,636+DA$3,DA$2)&lt;&gt;"",1,0),0)</f>
        <v/>
      </c>
      <c r="DB52">
        <f>IF(DB$4=1,IF(INDEX('×入力'!$C$1:$L$700,636+DB$3,DB$2)&lt;&gt;"",1,0),0)</f>
        <v/>
      </c>
      <c r="DC52">
        <f>IF(DC$4=1,IF(INDEX('×入力'!$C$1:$L$700,636+DC$3,DC$2)&lt;&gt;"",1,0),0)</f>
        <v/>
      </c>
      <c r="DD52">
        <f>IF(DD$4=1,IF(INDEX('×入力'!$C$1:$L$700,636+DD$3,DD$2)&lt;&gt;"",1,0),0)</f>
        <v/>
      </c>
      <c r="DE52">
        <f>IF(DE$4=1,IF(INDEX('×入力'!$C$1:$L$700,636+DE$3,DE$2)&lt;&gt;"",1,0),0)</f>
        <v/>
      </c>
      <c r="DF52">
        <f>IF(DF$4=1,IF(INDEX('×入力'!$C$1:$L$700,636+DF$3,DF$2)&lt;&gt;"",1,0),0)</f>
        <v/>
      </c>
      <c r="DG52">
        <f>IF(DG$4=1,IF(INDEX('×入力'!$C$1:$L$700,636+DG$3,DG$2)&lt;&gt;"",1,0),0)</f>
        <v/>
      </c>
      <c r="DH52">
        <f>IF(DH$4=1,IF(INDEX('×入力'!$C$1:$L$700,636+DH$3,DH$2)&lt;&gt;"",1,0),0)</f>
        <v/>
      </c>
      <c r="DI52">
        <f>IF(DI$4=1,IF(INDEX('×入力'!$C$1:$L$700,636+DI$3,DI$2)&lt;&gt;"",1,0),0)</f>
        <v/>
      </c>
      <c r="DJ52">
        <f>IF(DJ$4=1,IF(INDEX('×入力'!$C$1:$L$700,636+DJ$3,DJ$2)&lt;&gt;"",1,0),0)</f>
        <v/>
      </c>
      <c r="DK52">
        <f>IF(DK$4=1,IF(INDEX('×入力'!$C$1:$L$700,636+DK$3,DK$2)&lt;&gt;"",1,0),0)</f>
        <v/>
      </c>
      <c r="DL52">
        <f>IF(DL$4=1,IF(INDEX('×入力'!$C$1:$L$700,636+DL$3,DL$2)&lt;&gt;"",1,0),0)</f>
        <v/>
      </c>
      <c r="DM52">
        <f>IF(DM$4=1,IF(INDEX('×入力'!$C$1:$L$700,636+DM$3,DM$2)&lt;&gt;"",1,0),0)</f>
        <v/>
      </c>
      <c r="DN52">
        <f>IF(DN$4=1,IF(INDEX('×入力'!$C$1:$L$700,636+DN$3,DN$2)&lt;&gt;"",1,0),0)</f>
        <v/>
      </c>
      <c r="DO52">
        <f>IF(DO$4=1,IF(INDEX('×入力'!$C$1:$L$700,636+DO$3,DO$2)&lt;&gt;"",1,0),0)</f>
        <v/>
      </c>
      <c r="DP52">
        <f>IF(DP$4=1,IF(INDEX('×入力'!$C$1:$L$700,636+DP$3,DP$2)&lt;&gt;"",1,0),0)</f>
        <v/>
      </c>
      <c r="DQ52">
        <f>IF(DQ$4=1,IF(INDEX('×入力'!$C$1:$L$700,636+DQ$3,DQ$2)&lt;&gt;"",1,0),0)</f>
        <v/>
      </c>
      <c r="DR52">
        <f>IF(DR$4=1,IF(INDEX('×入力'!$C$1:$L$700,636+DR$3,DR$2)&lt;&gt;"",1,0),0)</f>
        <v/>
      </c>
      <c r="DS52">
        <f>IF(DS$4=1,IF(INDEX('×入力'!$C$1:$L$700,636+DS$3,DS$2)&lt;&gt;"",1,0),0)</f>
        <v/>
      </c>
      <c r="DU52">
        <f>IFERROR(INDEX('計算B'!$C$3:$C$47,MATCH(A52,'計算B'!$B$3:$B$47,0)),0)</f>
        <v/>
      </c>
      <c r="DV52">
        <f>IF(AND(C52=1,DU52=0),1,0)</f>
        <v/>
      </c>
      <c r="DW52">
        <f>SUMPRODUCT(D102:DS102*(1-$D$7:$DS$7))</f>
        <v/>
      </c>
      <c r="DX52">
        <f>SUM(D52:DS52)</f>
        <v/>
      </c>
      <c r="DY52">
        <f>IF(B52="",0,IF(COUNTIF('割り当て'!$C$6:$L$17,B52)=1,SUMPRODUCT(('割り当て'!$C$6:$L$17=B52)*((COLUMN('割り当て'!$C$6:$L$17)-3)*12+ROW('割り当て'!$C$6:$L$17)-5)),0))</f>
        <v/>
      </c>
    </row>
    <row r="53">
      <c r="A53" t="n">
        <v>44</v>
      </c>
      <c r="B53">
        <f>'名簿'!E48</f>
        <v/>
      </c>
      <c r="C53">
        <f>IF(AND(B53&lt;&gt;"",OR('名簿'!F48="入力済み",'名簿'!F48="×なし"),DY53=0,COUNTIF('割り当て'!$C$6:$L$17,B53)=0),1,0)</f>
        <v/>
      </c>
      <c r="D53">
        <f>IF(D$4=1,IF(INDEX('×入力'!$C$1:$L$700,651+D$3,D$2)&lt;&gt;"",1,0),0)</f>
        <v/>
      </c>
      <c r="E53">
        <f>IF(E$4=1,IF(INDEX('×入力'!$C$1:$L$700,651+E$3,E$2)&lt;&gt;"",1,0),0)</f>
        <v/>
      </c>
      <c r="F53">
        <f>IF(F$4=1,IF(INDEX('×入力'!$C$1:$L$700,651+F$3,F$2)&lt;&gt;"",1,0),0)</f>
        <v/>
      </c>
      <c r="G53">
        <f>IF(G$4=1,IF(INDEX('×入力'!$C$1:$L$700,651+G$3,G$2)&lt;&gt;"",1,0),0)</f>
        <v/>
      </c>
      <c r="H53">
        <f>IF(H$4=1,IF(INDEX('×入力'!$C$1:$L$700,651+H$3,H$2)&lt;&gt;"",1,0),0)</f>
        <v/>
      </c>
      <c r="I53">
        <f>IF(I$4=1,IF(INDEX('×入力'!$C$1:$L$700,651+I$3,I$2)&lt;&gt;"",1,0),0)</f>
        <v/>
      </c>
      <c r="J53">
        <f>IF(J$4=1,IF(INDEX('×入力'!$C$1:$L$700,651+J$3,J$2)&lt;&gt;"",1,0),0)</f>
        <v/>
      </c>
      <c r="K53">
        <f>IF(K$4=1,IF(INDEX('×入力'!$C$1:$L$700,651+K$3,K$2)&lt;&gt;"",1,0),0)</f>
        <v/>
      </c>
      <c r="L53">
        <f>IF(L$4=1,IF(INDEX('×入力'!$C$1:$L$700,651+L$3,L$2)&lt;&gt;"",1,0),0)</f>
        <v/>
      </c>
      <c r="M53">
        <f>IF(M$4=1,IF(INDEX('×入力'!$C$1:$L$700,651+M$3,M$2)&lt;&gt;"",1,0),0)</f>
        <v/>
      </c>
      <c r="N53">
        <f>IF(N$4=1,IF(INDEX('×入力'!$C$1:$L$700,651+N$3,N$2)&lt;&gt;"",1,0),0)</f>
        <v/>
      </c>
      <c r="O53">
        <f>IF(O$4=1,IF(INDEX('×入力'!$C$1:$L$700,651+O$3,O$2)&lt;&gt;"",1,0),0)</f>
        <v/>
      </c>
      <c r="P53">
        <f>IF(P$4=1,IF(INDEX('×入力'!$C$1:$L$700,651+P$3,P$2)&lt;&gt;"",1,0),0)</f>
        <v/>
      </c>
      <c r="Q53">
        <f>IF(Q$4=1,IF(INDEX('×入力'!$C$1:$L$700,651+Q$3,Q$2)&lt;&gt;"",1,0),0)</f>
        <v/>
      </c>
      <c r="R53">
        <f>IF(R$4=1,IF(INDEX('×入力'!$C$1:$L$700,651+R$3,R$2)&lt;&gt;"",1,0),0)</f>
        <v/>
      </c>
      <c r="S53">
        <f>IF(S$4=1,IF(INDEX('×入力'!$C$1:$L$700,651+S$3,S$2)&lt;&gt;"",1,0),0)</f>
        <v/>
      </c>
      <c r="T53">
        <f>IF(T$4=1,IF(INDEX('×入力'!$C$1:$L$700,651+T$3,T$2)&lt;&gt;"",1,0),0)</f>
        <v/>
      </c>
      <c r="U53">
        <f>IF(U$4=1,IF(INDEX('×入力'!$C$1:$L$700,651+U$3,U$2)&lt;&gt;"",1,0),0)</f>
        <v/>
      </c>
      <c r="V53">
        <f>IF(V$4=1,IF(INDEX('×入力'!$C$1:$L$700,651+V$3,V$2)&lt;&gt;"",1,0),0)</f>
        <v/>
      </c>
      <c r="W53">
        <f>IF(W$4=1,IF(INDEX('×入力'!$C$1:$L$700,651+W$3,W$2)&lt;&gt;"",1,0),0)</f>
        <v/>
      </c>
      <c r="X53">
        <f>IF(X$4=1,IF(INDEX('×入力'!$C$1:$L$700,651+X$3,X$2)&lt;&gt;"",1,0),0)</f>
        <v/>
      </c>
      <c r="Y53">
        <f>IF(Y$4=1,IF(INDEX('×入力'!$C$1:$L$700,651+Y$3,Y$2)&lt;&gt;"",1,0),0)</f>
        <v/>
      </c>
      <c r="Z53">
        <f>IF(Z$4=1,IF(INDEX('×入力'!$C$1:$L$700,651+Z$3,Z$2)&lt;&gt;"",1,0),0)</f>
        <v/>
      </c>
      <c r="AA53">
        <f>IF(AA$4=1,IF(INDEX('×入力'!$C$1:$L$700,651+AA$3,AA$2)&lt;&gt;"",1,0),0)</f>
        <v/>
      </c>
      <c r="AB53">
        <f>IF(AB$4=1,IF(INDEX('×入力'!$C$1:$L$700,651+AB$3,AB$2)&lt;&gt;"",1,0),0)</f>
        <v/>
      </c>
      <c r="AC53">
        <f>IF(AC$4=1,IF(INDEX('×入力'!$C$1:$L$700,651+AC$3,AC$2)&lt;&gt;"",1,0),0)</f>
        <v/>
      </c>
      <c r="AD53">
        <f>IF(AD$4=1,IF(INDEX('×入力'!$C$1:$L$700,651+AD$3,AD$2)&lt;&gt;"",1,0),0)</f>
        <v/>
      </c>
      <c r="AE53">
        <f>IF(AE$4=1,IF(INDEX('×入力'!$C$1:$L$700,651+AE$3,AE$2)&lt;&gt;"",1,0),0)</f>
        <v/>
      </c>
      <c r="AF53">
        <f>IF(AF$4=1,IF(INDEX('×入力'!$C$1:$L$700,651+AF$3,AF$2)&lt;&gt;"",1,0),0)</f>
        <v/>
      </c>
      <c r="AG53">
        <f>IF(AG$4=1,IF(INDEX('×入力'!$C$1:$L$700,651+AG$3,AG$2)&lt;&gt;"",1,0),0)</f>
        <v/>
      </c>
      <c r="AH53">
        <f>IF(AH$4=1,IF(INDEX('×入力'!$C$1:$L$700,651+AH$3,AH$2)&lt;&gt;"",1,0),0)</f>
        <v/>
      </c>
      <c r="AI53">
        <f>IF(AI$4=1,IF(INDEX('×入力'!$C$1:$L$700,651+AI$3,AI$2)&lt;&gt;"",1,0),0)</f>
        <v/>
      </c>
      <c r="AJ53">
        <f>IF(AJ$4=1,IF(INDEX('×入力'!$C$1:$L$700,651+AJ$3,AJ$2)&lt;&gt;"",1,0),0)</f>
        <v/>
      </c>
      <c r="AK53">
        <f>IF(AK$4=1,IF(INDEX('×入力'!$C$1:$L$700,651+AK$3,AK$2)&lt;&gt;"",1,0),0)</f>
        <v/>
      </c>
      <c r="AL53">
        <f>IF(AL$4=1,IF(INDEX('×入力'!$C$1:$L$700,651+AL$3,AL$2)&lt;&gt;"",1,0),0)</f>
        <v/>
      </c>
      <c r="AM53">
        <f>IF(AM$4=1,IF(INDEX('×入力'!$C$1:$L$700,651+AM$3,AM$2)&lt;&gt;"",1,0),0)</f>
        <v/>
      </c>
      <c r="AN53">
        <f>IF(AN$4=1,IF(INDEX('×入力'!$C$1:$L$700,651+AN$3,AN$2)&lt;&gt;"",1,0),0)</f>
        <v/>
      </c>
      <c r="AO53">
        <f>IF(AO$4=1,IF(INDEX('×入力'!$C$1:$L$700,651+AO$3,AO$2)&lt;&gt;"",1,0),0)</f>
        <v/>
      </c>
      <c r="AP53">
        <f>IF(AP$4=1,IF(INDEX('×入力'!$C$1:$L$700,651+AP$3,AP$2)&lt;&gt;"",1,0),0)</f>
        <v/>
      </c>
      <c r="AQ53">
        <f>IF(AQ$4=1,IF(INDEX('×入力'!$C$1:$L$700,651+AQ$3,AQ$2)&lt;&gt;"",1,0),0)</f>
        <v/>
      </c>
      <c r="AR53">
        <f>IF(AR$4=1,IF(INDEX('×入力'!$C$1:$L$700,651+AR$3,AR$2)&lt;&gt;"",1,0),0)</f>
        <v/>
      </c>
      <c r="AS53">
        <f>IF(AS$4=1,IF(INDEX('×入力'!$C$1:$L$700,651+AS$3,AS$2)&lt;&gt;"",1,0),0)</f>
        <v/>
      </c>
      <c r="AT53">
        <f>IF(AT$4=1,IF(INDEX('×入力'!$C$1:$L$700,651+AT$3,AT$2)&lt;&gt;"",1,0),0)</f>
        <v/>
      </c>
      <c r="AU53">
        <f>IF(AU$4=1,IF(INDEX('×入力'!$C$1:$L$700,651+AU$3,AU$2)&lt;&gt;"",1,0),0)</f>
        <v/>
      </c>
      <c r="AV53">
        <f>IF(AV$4=1,IF(INDEX('×入力'!$C$1:$L$700,651+AV$3,AV$2)&lt;&gt;"",1,0),0)</f>
        <v/>
      </c>
      <c r="AW53">
        <f>IF(AW$4=1,IF(INDEX('×入力'!$C$1:$L$700,651+AW$3,AW$2)&lt;&gt;"",1,0),0)</f>
        <v/>
      </c>
      <c r="AX53">
        <f>IF(AX$4=1,IF(INDEX('×入力'!$C$1:$L$700,651+AX$3,AX$2)&lt;&gt;"",1,0),0)</f>
        <v/>
      </c>
      <c r="AY53">
        <f>IF(AY$4=1,IF(INDEX('×入力'!$C$1:$L$700,651+AY$3,AY$2)&lt;&gt;"",1,0),0)</f>
        <v/>
      </c>
      <c r="AZ53">
        <f>IF(AZ$4=1,IF(INDEX('×入力'!$C$1:$L$700,651+AZ$3,AZ$2)&lt;&gt;"",1,0),0)</f>
        <v/>
      </c>
      <c r="BA53">
        <f>IF(BA$4=1,IF(INDEX('×入力'!$C$1:$L$700,651+BA$3,BA$2)&lt;&gt;"",1,0),0)</f>
        <v/>
      </c>
      <c r="BB53">
        <f>IF(BB$4=1,IF(INDEX('×入力'!$C$1:$L$700,651+BB$3,BB$2)&lt;&gt;"",1,0),0)</f>
        <v/>
      </c>
      <c r="BC53">
        <f>IF(BC$4=1,IF(INDEX('×入力'!$C$1:$L$700,651+BC$3,BC$2)&lt;&gt;"",1,0),0)</f>
        <v/>
      </c>
      <c r="BD53">
        <f>IF(BD$4=1,IF(INDEX('×入力'!$C$1:$L$700,651+BD$3,BD$2)&lt;&gt;"",1,0),0)</f>
        <v/>
      </c>
      <c r="BE53">
        <f>IF(BE$4=1,IF(INDEX('×入力'!$C$1:$L$700,651+BE$3,BE$2)&lt;&gt;"",1,0),0)</f>
        <v/>
      </c>
      <c r="BF53">
        <f>IF(BF$4=1,IF(INDEX('×入力'!$C$1:$L$700,651+BF$3,BF$2)&lt;&gt;"",1,0),0)</f>
        <v/>
      </c>
      <c r="BG53">
        <f>IF(BG$4=1,IF(INDEX('×入力'!$C$1:$L$700,651+BG$3,BG$2)&lt;&gt;"",1,0),0)</f>
        <v/>
      </c>
      <c r="BH53">
        <f>IF(BH$4=1,IF(INDEX('×入力'!$C$1:$L$700,651+BH$3,BH$2)&lt;&gt;"",1,0),0)</f>
        <v/>
      </c>
      <c r="BI53">
        <f>IF(BI$4=1,IF(INDEX('×入力'!$C$1:$L$700,651+BI$3,BI$2)&lt;&gt;"",1,0),0)</f>
        <v/>
      </c>
      <c r="BJ53">
        <f>IF(BJ$4=1,IF(INDEX('×入力'!$C$1:$L$700,651+BJ$3,BJ$2)&lt;&gt;"",1,0),0)</f>
        <v/>
      </c>
      <c r="BK53">
        <f>IF(BK$4=1,IF(INDEX('×入力'!$C$1:$L$700,651+BK$3,BK$2)&lt;&gt;"",1,0),0)</f>
        <v/>
      </c>
      <c r="BL53">
        <f>IF(BL$4=1,IF(INDEX('×入力'!$C$1:$L$700,651+BL$3,BL$2)&lt;&gt;"",1,0),0)</f>
        <v/>
      </c>
      <c r="BM53">
        <f>IF(BM$4=1,IF(INDEX('×入力'!$C$1:$L$700,651+BM$3,BM$2)&lt;&gt;"",1,0),0)</f>
        <v/>
      </c>
      <c r="BN53">
        <f>IF(BN$4=1,IF(INDEX('×入力'!$C$1:$L$700,651+BN$3,BN$2)&lt;&gt;"",1,0),0)</f>
        <v/>
      </c>
      <c r="BO53">
        <f>IF(BO$4=1,IF(INDEX('×入力'!$C$1:$L$700,651+BO$3,BO$2)&lt;&gt;"",1,0),0)</f>
        <v/>
      </c>
      <c r="BP53">
        <f>IF(BP$4=1,IF(INDEX('×入力'!$C$1:$L$700,651+BP$3,BP$2)&lt;&gt;"",1,0),0)</f>
        <v/>
      </c>
      <c r="BQ53">
        <f>IF(BQ$4=1,IF(INDEX('×入力'!$C$1:$L$700,651+BQ$3,BQ$2)&lt;&gt;"",1,0),0)</f>
        <v/>
      </c>
      <c r="BR53">
        <f>IF(BR$4=1,IF(INDEX('×入力'!$C$1:$L$700,651+BR$3,BR$2)&lt;&gt;"",1,0),0)</f>
        <v/>
      </c>
      <c r="BS53">
        <f>IF(BS$4=1,IF(INDEX('×入力'!$C$1:$L$700,651+BS$3,BS$2)&lt;&gt;"",1,0),0)</f>
        <v/>
      </c>
      <c r="BT53">
        <f>IF(BT$4=1,IF(INDEX('×入力'!$C$1:$L$700,651+BT$3,BT$2)&lt;&gt;"",1,0),0)</f>
        <v/>
      </c>
      <c r="BU53">
        <f>IF(BU$4=1,IF(INDEX('×入力'!$C$1:$L$700,651+BU$3,BU$2)&lt;&gt;"",1,0),0)</f>
        <v/>
      </c>
      <c r="BV53">
        <f>IF(BV$4=1,IF(INDEX('×入力'!$C$1:$L$700,651+BV$3,BV$2)&lt;&gt;"",1,0),0)</f>
        <v/>
      </c>
      <c r="BW53">
        <f>IF(BW$4=1,IF(INDEX('×入力'!$C$1:$L$700,651+BW$3,BW$2)&lt;&gt;"",1,0),0)</f>
        <v/>
      </c>
      <c r="BX53">
        <f>IF(BX$4=1,IF(INDEX('×入力'!$C$1:$L$700,651+BX$3,BX$2)&lt;&gt;"",1,0),0)</f>
        <v/>
      </c>
      <c r="BY53">
        <f>IF(BY$4=1,IF(INDEX('×入力'!$C$1:$L$700,651+BY$3,BY$2)&lt;&gt;"",1,0),0)</f>
        <v/>
      </c>
      <c r="BZ53">
        <f>IF(BZ$4=1,IF(INDEX('×入力'!$C$1:$L$700,651+BZ$3,BZ$2)&lt;&gt;"",1,0),0)</f>
        <v/>
      </c>
      <c r="CA53">
        <f>IF(CA$4=1,IF(INDEX('×入力'!$C$1:$L$700,651+CA$3,CA$2)&lt;&gt;"",1,0),0)</f>
        <v/>
      </c>
      <c r="CB53">
        <f>IF(CB$4=1,IF(INDEX('×入力'!$C$1:$L$700,651+CB$3,CB$2)&lt;&gt;"",1,0),0)</f>
        <v/>
      </c>
      <c r="CC53">
        <f>IF(CC$4=1,IF(INDEX('×入力'!$C$1:$L$700,651+CC$3,CC$2)&lt;&gt;"",1,0),0)</f>
        <v/>
      </c>
      <c r="CD53">
        <f>IF(CD$4=1,IF(INDEX('×入力'!$C$1:$L$700,651+CD$3,CD$2)&lt;&gt;"",1,0),0)</f>
        <v/>
      </c>
      <c r="CE53">
        <f>IF(CE$4=1,IF(INDEX('×入力'!$C$1:$L$700,651+CE$3,CE$2)&lt;&gt;"",1,0),0)</f>
        <v/>
      </c>
      <c r="CF53">
        <f>IF(CF$4=1,IF(INDEX('×入力'!$C$1:$L$700,651+CF$3,CF$2)&lt;&gt;"",1,0),0)</f>
        <v/>
      </c>
      <c r="CG53">
        <f>IF(CG$4=1,IF(INDEX('×入力'!$C$1:$L$700,651+CG$3,CG$2)&lt;&gt;"",1,0),0)</f>
        <v/>
      </c>
      <c r="CH53">
        <f>IF(CH$4=1,IF(INDEX('×入力'!$C$1:$L$700,651+CH$3,CH$2)&lt;&gt;"",1,0),0)</f>
        <v/>
      </c>
      <c r="CI53">
        <f>IF(CI$4=1,IF(INDEX('×入力'!$C$1:$L$700,651+CI$3,CI$2)&lt;&gt;"",1,0),0)</f>
        <v/>
      </c>
      <c r="CJ53">
        <f>IF(CJ$4=1,IF(INDEX('×入力'!$C$1:$L$700,651+CJ$3,CJ$2)&lt;&gt;"",1,0),0)</f>
        <v/>
      </c>
      <c r="CK53">
        <f>IF(CK$4=1,IF(INDEX('×入力'!$C$1:$L$700,651+CK$3,CK$2)&lt;&gt;"",1,0),0)</f>
        <v/>
      </c>
      <c r="CL53">
        <f>IF(CL$4=1,IF(INDEX('×入力'!$C$1:$L$700,651+CL$3,CL$2)&lt;&gt;"",1,0),0)</f>
        <v/>
      </c>
      <c r="CM53">
        <f>IF(CM$4=1,IF(INDEX('×入力'!$C$1:$L$700,651+CM$3,CM$2)&lt;&gt;"",1,0),0)</f>
        <v/>
      </c>
      <c r="CN53">
        <f>IF(CN$4=1,IF(INDEX('×入力'!$C$1:$L$700,651+CN$3,CN$2)&lt;&gt;"",1,0),0)</f>
        <v/>
      </c>
      <c r="CO53">
        <f>IF(CO$4=1,IF(INDEX('×入力'!$C$1:$L$700,651+CO$3,CO$2)&lt;&gt;"",1,0),0)</f>
        <v/>
      </c>
      <c r="CP53">
        <f>IF(CP$4=1,IF(INDEX('×入力'!$C$1:$L$700,651+CP$3,CP$2)&lt;&gt;"",1,0),0)</f>
        <v/>
      </c>
      <c r="CQ53">
        <f>IF(CQ$4=1,IF(INDEX('×入力'!$C$1:$L$700,651+CQ$3,CQ$2)&lt;&gt;"",1,0),0)</f>
        <v/>
      </c>
      <c r="CR53">
        <f>IF(CR$4=1,IF(INDEX('×入力'!$C$1:$L$700,651+CR$3,CR$2)&lt;&gt;"",1,0),0)</f>
        <v/>
      </c>
      <c r="CS53">
        <f>IF(CS$4=1,IF(INDEX('×入力'!$C$1:$L$700,651+CS$3,CS$2)&lt;&gt;"",1,0),0)</f>
        <v/>
      </c>
      <c r="CT53">
        <f>IF(CT$4=1,IF(INDEX('×入力'!$C$1:$L$700,651+CT$3,CT$2)&lt;&gt;"",1,0),0)</f>
        <v/>
      </c>
      <c r="CU53">
        <f>IF(CU$4=1,IF(INDEX('×入力'!$C$1:$L$700,651+CU$3,CU$2)&lt;&gt;"",1,0),0)</f>
        <v/>
      </c>
      <c r="CV53">
        <f>IF(CV$4=1,IF(INDEX('×入力'!$C$1:$L$700,651+CV$3,CV$2)&lt;&gt;"",1,0),0)</f>
        <v/>
      </c>
      <c r="CW53">
        <f>IF(CW$4=1,IF(INDEX('×入力'!$C$1:$L$700,651+CW$3,CW$2)&lt;&gt;"",1,0),0)</f>
        <v/>
      </c>
      <c r="CX53">
        <f>IF(CX$4=1,IF(INDEX('×入力'!$C$1:$L$700,651+CX$3,CX$2)&lt;&gt;"",1,0),0)</f>
        <v/>
      </c>
      <c r="CY53">
        <f>IF(CY$4=1,IF(INDEX('×入力'!$C$1:$L$700,651+CY$3,CY$2)&lt;&gt;"",1,0),0)</f>
        <v/>
      </c>
      <c r="CZ53">
        <f>IF(CZ$4=1,IF(INDEX('×入力'!$C$1:$L$700,651+CZ$3,CZ$2)&lt;&gt;"",1,0),0)</f>
        <v/>
      </c>
      <c r="DA53">
        <f>IF(DA$4=1,IF(INDEX('×入力'!$C$1:$L$700,651+DA$3,DA$2)&lt;&gt;"",1,0),0)</f>
        <v/>
      </c>
      <c r="DB53">
        <f>IF(DB$4=1,IF(INDEX('×入力'!$C$1:$L$700,651+DB$3,DB$2)&lt;&gt;"",1,0),0)</f>
        <v/>
      </c>
      <c r="DC53">
        <f>IF(DC$4=1,IF(INDEX('×入力'!$C$1:$L$700,651+DC$3,DC$2)&lt;&gt;"",1,0),0)</f>
        <v/>
      </c>
      <c r="DD53">
        <f>IF(DD$4=1,IF(INDEX('×入力'!$C$1:$L$700,651+DD$3,DD$2)&lt;&gt;"",1,0),0)</f>
        <v/>
      </c>
      <c r="DE53">
        <f>IF(DE$4=1,IF(INDEX('×入力'!$C$1:$L$700,651+DE$3,DE$2)&lt;&gt;"",1,0),0)</f>
        <v/>
      </c>
      <c r="DF53">
        <f>IF(DF$4=1,IF(INDEX('×入力'!$C$1:$L$700,651+DF$3,DF$2)&lt;&gt;"",1,0),0)</f>
        <v/>
      </c>
      <c r="DG53">
        <f>IF(DG$4=1,IF(INDEX('×入力'!$C$1:$L$700,651+DG$3,DG$2)&lt;&gt;"",1,0),0)</f>
        <v/>
      </c>
      <c r="DH53">
        <f>IF(DH$4=1,IF(INDEX('×入力'!$C$1:$L$700,651+DH$3,DH$2)&lt;&gt;"",1,0),0)</f>
        <v/>
      </c>
      <c r="DI53">
        <f>IF(DI$4=1,IF(INDEX('×入力'!$C$1:$L$700,651+DI$3,DI$2)&lt;&gt;"",1,0),0)</f>
        <v/>
      </c>
      <c r="DJ53">
        <f>IF(DJ$4=1,IF(INDEX('×入力'!$C$1:$L$700,651+DJ$3,DJ$2)&lt;&gt;"",1,0),0)</f>
        <v/>
      </c>
      <c r="DK53">
        <f>IF(DK$4=1,IF(INDEX('×入力'!$C$1:$L$700,651+DK$3,DK$2)&lt;&gt;"",1,0),0)</f>
        <v/>
      </c>
      <c r="DL53">
        <f>IF(DL$4=1,IF(INDEX('×入力'!$C$1:$L$700,651+DL$3,DL$2)&lt;&gt;"",1,0),0)</f>
        <v/>
      </c>
      <c r="DM53">
        <f>IF(DM$4=1,IF(INDEX('×入力'!$C$1:$L$700,651+DM$3,DM$2)&lt;&gt;"",1,0),0)</f>
        <v/>
      </c>
      <c r="DN53">
        <f>IF(DN$4=1,IF(INDEX('×入力'!$C$1:$L$700,651+DN$3,DN$2)&lt;&gt;"",1,0),0)</f>
        <v/>
      </c>
      <c r="DO53">
        <f>IF(DO$4=1,IF(INDEX('×入力'!$C$1:$L$700,651+DO$3,DO$2)&lt;&gt;"",1,0),0)</f>
        <v/>
      </c>
      <c r="DP53">
        <f>IF(DP$4=1,IF(INDEX('×入力'!$C$1:$L$700,651+DP$3,DP$2)&lt;&gt;"",1,0),0)</f>
        <v/>
      </c>
      <c r="DQ53">
        <f>IF(DQ$4=1,IF(INDEX('×入力'!$C$1:$L$700,651+DQ$3,DQ$2)&lt;&gt;"",1,0),0)</f>
        <v/>
      </c>
      <c r="DR53">
        <f>IF(DR$4=1,IF(INDEX('×入力'!$C$1:$L$700,651+DR$3,DR$2)&lt;&gt;"",1,0),0)</f>
        <v/>
      </c>
      <c r="DS53">
        <f>IF(DS$4=1,IF(INDEX('×入力'!$C$1:$L$700,651+DS$3,DS$2)&lt;&gt;"",1,0),0)</f>
        <v/>
      </c>
      <c r="DU53">
        <f>IFERROR(INDEX('計算B'!$C$3:$C$47,MATCH(A53,'計算B'!$B$3:$B$47,0)),0)</f>
        <v/>
      </c>
      <c r="DV53">
        <f>IF(AND(C53=1,DU53=0),1,0)</f>
        <v/>
      </c>
      <c r="DW53">
        <f>SUMPRODUCT(D103:DS103*(1-$D$7:$DS$7))</f>
        <v/>
      </c>
      <c r="DX53">
        <f>SUM(D53:DS53)</f>
        <v/>
      </c>
      <c r="DY53">
        <f>IF(B53="",0,IF(COUNTIF('割り当て'!$C$6:$L$17,B53)=1,SUMPRODUCT(('割り当て'!$C$6:$L$17=B53)*((COLUMN('割り当て'!$C$6:$L$17)-3)*12+ROW('割り当て'!$C$6:$L$17)-5)),0))</f>
        <v/>
      </c>
    </row>
    <row r="54">
      <c r="A54" t="n">
        <v>45</v>
      </c>
      <c r="B54">
        <f>'名簿'!E49</f>
        <v/>
      </c>
      <c r="C54">
        <f>IF(AND(B54&lt;&gt;"",OR('名簿'!F49="入力済み",'名簿'!F49="×なし"),DY54=0,COUNTIF('割り当て'!$C$6:$L$17,B54)=0),1,0)</f>
        <v/>
      </c>
      <c r="D54">
        <f>IF(D$4=1,IF(INDEX('×入力'!$C$1:$L$700,666+D$3,D$2)&lt;&gt;"",1,0),0)</f>
        <v/>
      </c>
      <c r="E54">
        <f>IF(E$4=1,IF(INDEX('×入力'!$C$1:$L$700,666+E$3,E$2)&lt;&gt;"",1,0),0)</f>
        <v/>
      </c>
      <c r="F54">
        <f>IF(F$4=1,IF(INDEX('×入力'!$C$1:$L$700,666+F$3,F$2)&lt;&gt;"",1,0),0)</f>
        <v/>
      </c>
      <c r="G54">
        <f>IF(G$4=1,IF(INDEX('×入力'!$C$1:$L$700,666+G$3,G$2)&lt;&gt;"",1,0),0)</f>
        <v/>
      </c>
      <c r="H54">
        <f>IF(H$4=1,IF(INDEX('×入力'!$C$1:$L$700,666+H$3,H$2)&lt;&gt;"",1,0),0)</f>
        <v/>
      </c>
      <c r="I54">
        <f>IF(I$4=1,IF(INDEX('×入力'!$C$1:$L$700,666+I$3,I$2)&lt;&gt;"",1,0),0)</f>
        <v/>
      </c>
      <c r="J54">
        <f>IF(J$4=1,IF(INDEX('×入力'!$C$1:$L$700,666+J$3,J$2)&lt;&gt;"",1,0),0)</f>
        <v/>
      </c>
      <c r="K54">
        <f>IF(K$4=1,IF(INDEX('×入力'!$C$1:$L$700,666+K$3,K$2)&lt;&gt;"",1,0),0)</f>
        <v/>
      </c>
      <c r="L54">
        <f>IF(L$4=1,IF(INDEX('×入力'!$C$1:$L$700,666+L$3,L$2)&lt;&gt;"",1,0),0)</f>
        <v/>
      </c>
      <c r="M54">
        <f>IF(M$4=1,IF(INDEX('×入力'!$C$1:$L$700,666+M$3,M$2)&lt;&gt;"",1,0),0)</f>
        <v/>
      </c>
      <c r="N54">
        <f>IF(N$4=1,IF(INDEX('×入力'!$C$1:$L$700,666+N$3,N$2)&lt;&gt;"",1,0),0)</f>
        <v/>
      </c>
      <c r="O54">
        <f>IF(O$4=1,IF(INDEX('×入力'!$C$1:$L$700,666+O$3,O$2)&lt;&gt;"",1,0),0)</f>
        <v/>
      </c>
      <c r="P54">
        <f>IF(P$4=1,IF(INDEX('×入力'!$C$1:$L$700,666+P$3,P$2)&lt;&gt;"",1,0),0)</f>
        <v/>
      </c>
      <c r="Q54">
        <f>IF(Q$4=1,IF(INDEX('×入力'!$C$1:$L$700,666+Q$3,Q$2)&lt;&gt;"",1,0),0)</f>
        <v/>
      </c>
      <c r="R54">
        <f>IF(R$4=1,IF(INDEX('×入力'!$C$1:$L$700,666+R$3,R$2)&lt;&gt;"",1,0),0)</f>
        <v/>
      </c>
      <c r="S54">
        <f>IF(S$4=1,IF(INDEX('×入力'!$C$1:$L$700,666+S$3,S$2)&lt;&gt;"",1,0),0)</f>
        <v/>
      </c>
      <c r="T54">
        <f>IF(T$4=1,IF(INDEX('×入力'!$C$1:$L$700,666+T$3,T$2)&lt;&gt;"",1,0),0)</f>
        <v/>
      </c>
      <c r="U54">
        <f>IF(U$4=1,IF(INDEX('×入力'!$C$1:$L$700,666+U$3,U$2)&lt;&gt;"",1,0),0)</f>
        <v/>
      </c>
      <c r="V54">
        <f>IF(V$4=1,IF(INDEX('×入力'!$C$1:$L$700,666+V$3,V$2)&lt;&gt;"",1,0),0)</f>
        <v/>
      </c>
      <c r="W54">
        <f>IF(W$4=1,IF(INDEX('×入力'!$C$1:$L$700,666+W$3,W$2)&lt;&gt;"",1,0),0)</f>
        <v/>
      </c>
      <c r="X54">
        <f>IF(X$4=1,IF(INDEX('×入力'!$C$1:$L$700,666+X$3,X$2)&lt;&gt;"",1,0),0)</f>
        <v/>
      </c>
      <c r="Y54">
        <f>IF(Y$4=1,IF(INDEX('×入力'!$C$1:$L$700,666+Y$3,Y$2)&lt;&gt;"",1,0),0)</f>
        <v/>
      </c>
      <c r="Z54">
        <f>IF(Z$4=1,IF(INDEX('×入力'!$C$1:$L$700,666+Z$3,Z$2)&lt;&gt;"",1,0),0)</f>
        <v/>
      </c>
      <c r="AA54">
        <f>IF(AA$4=1,IF(INDEX('×入力'!$C$1:$L$700,666+AA$3,AA$2)&lt;&gt;"",1,0),0)</f>
        <v/>
      </c>
      <c r="AB54">
        <f>IF(AB$4=1,IF(INDEX('×入力'!$C$1:$L$700,666+AB$3,AB$2)&lt;&gt;"",1,0),0)</f>
        <v/>
      </c>
      <c r="AC54">
        <f>IF(AC$4=1,IF(INDEX('×入力'!$C$1:$L$700,666+AC$3,AC$2)&lt;&gt;"",1,0),0)</f>
        <v/>
      </c>
      <c r="AD54">
        <f>IF(AD$4=1,IF(INDEX('×入力'!$C$1:$L$700,666+AD$3,AD$2)&lt;&gt;"",1,0),0)</f>
        <v/>
      </c>
      <c r="AE54">
        <f>IF(AE$4=1,IF(INDEX('×入力'!$C$1:$L$700,666+AE$3,AE$2)&lt;&gt;"",1,0),0)</f>
        <v/>
      </c>
      <c r="AF54">
        <f>IF(AF$4=1,IF(INDEX('×入力'!$C$1:$L$700,666+AF$3,AF$2)&lt;&gt;"",1,0),0)</f>
        <v/>
      </c>
      <c r="AG54">
        <f>IF(AG$4=1,IF(INDEX('×入力'!$C$1:$L$700,666+AG$3,AG$2)&lt;&gt;"",1,0),0)</f>
        <v/>
      </c>
      <c r="AH54">
        <f>IF(AH$4=1,IF(INDEX('×入力'!$C$1:$L$700,666+AH$3,AH$2)&lt;&gt;"",1,0),0)</f>
        <v/>
      </c>
      <c r="AI54">
        <f>IF(AI$4=1,IF(INDEX('×入力'!$C$1:$L$700,666+AI$3,AI$2)&lt;&gt;"",1,0),0)</f>
        <v/>
      </c>
      <c r="AJ54">
        <f>IF(AJ$4=1,IF(INDEX('×入力'!$C$1:$L$700,666+AJ$3,AJ$2)&lt;&gt;"",1,0),0)</f>
        <v/>
      </c>
      <c r="AK54">
        <f>IF(AK$4=1,IF(INDEX('×入力'!$C$1:$L$700,666+AK$3,AK$2)&lt;&gt;"",1,0),0)</f>
        <v/>
      </c>
      <c r="AL54">
        <f>IF(AL$4=1,IF(INDEX('×入力'!$C$1:$L$700,666+AL$3,AL$2)&lt;&gt;"",1,0),0)</f>
        <v/>
      </c>
      <c r="AM54">
        <f>IF(AM$4=1,IF(INDEX('×入力'!$C$1:$L$700,666+AM$3,AM$2)&lt;&gt;"",1,0),0)</f>
        <v/>
      </c>
      <c r="AN54">
        <f>IF(AN$4=1,IF(INDEX('×入力'!$C$1:$L$700,666+AN$3,AN$2)&lt;&gt;"",1,0),0)</f>
        <v/>
      </c>
      <c r="AO54">
        <f>IF(AO$4=1,IF(INDEX('×入力'!$C$1:$L$700,666+AO$3,AO$2)&lt;&gt;"",1,0),0)</f>
        <v/>
      </c>
      <c r="AP54">
        <f>IF(AP$4=1,IF(INDEX('×入力'!$C$1:$L$700,666+AP$3,AP$2)&lt;&gt;"",1,0),0)</f>
        <v/>
      </c>
      <c r="AQ54">
        <f>IF(AQ$4=1,IF(INDEX('×入力'!$C$1:$L$700,666+AQ$3,AQ$2)&lt;&gt;"",1,0),0)</f>
        <v/>
      </c>
      <c r="AR54">
        <f>IF(AR$4=1,IF(INDEX('×入力'!$C$1:$L$700,666+AR$3,AR$2)&lt;&gt;"",1,0),0)</f>
        <v/>
      </c>
      <c r="AS54">
        <f>IF(AS$4=1,IF(INDEX('×入力'!$C$1:$L$700,666+AS$3,AS$2)&lt;&gt;"",1,0),0)</f>
        <v/>
      </c>
      <c r="AT54">
        <f>IF(AT$4=1,IF(INDEX('×入力'!$C$1:$L$700,666+AT$3,AT$2)&lt;&gt;"",1,0),0)</f>
        <v/>
      </c>
      <c r="AU54">
        <f>IF(AU$4=1,IF(INDEX('×入力'!$C$1:$L$700,666+AU$3,AU$2)&lt;&gt;"",1,0),0)</f>
        <v/>
      </c>
      <c r="AV54">
        <f>IF(AV$4=1,IF(INDEX('×入力'!$C$1:$L$700,666+AV$3,AV$2)&lt;&gt;"",1,0),0)</f>
        <v/>
      </c>
      <c r="AW54">
        <f>IF(AW$4=1,IF(INDEX('×入力'!$C$1:$L$700,666+AW$3,AW$2)&lt;&gt;"",1,0),0)</f>
        <v/>
      </c>
      <c r="AX54">
        <f>IF(AX$4=1,IF(INDEX('×入力'!$C$1:$L$700,666+AX$3,AX$2)&lt;&gt;"",1,0),0)</f>
        <v/>
      </c>
      <c r="AY54">
        <f>IF(AY$4=1,IF(INDEX('×入力'!$C$1:$L$700,666+AY$3,AY$2)&lt;&gt;"",1,0),0)</f>
        <v/>
      </c>
      <c r="AZ54">
        <f>IF(AZ$4=1,IF(INDEX('×入力'!$C$1:$L$700,666+AZ$3,AZ$2)&lt;&gt;"",1,0),0)</f>
        <v/>
      </c>
      <c r="BA54">
        <f>IF(BA$4=1,IF(INDEX('×入力'!$C$1:$L$700,666+BA$3,BA$2)&lt;&gt;"",1,0),0)</f>
        <v/>
      </c>
      <c r="BB54">
        <f>IF(BB$4=1,IF(INDEX('×入力'!$C$1:$L$700,666+BB$3,BB$2)&lt;&gt;"",1,0),0)</f>
        <v/>
      </c>
      <c r="BC54">
        <f>IF(BC$4=1,IF(INDEX('×入力'!$C$1:$L$700,666+BC$3,BC$2)&lt;&gt;"",1,0),0)</f>
        <v/>
      </c>
      <c r="BD54">
        <f>IF(BD$4=1,IF(INDEX('×入力'!$C$1:$L$700,666+BD$3,BD$2)&lt;&gt;"",1,0),0)</f>
        <v/>
      </c>
      <c r="BE54">
        <f>IF(BE$4=1,IF(INDEX('×入力'!$C$1:$L$700,666+BE$3,BE$2)&lt;&gt;"",1,0),0)</f>
        <v/>
      </c>
      <c r="BF54">
        <f>IF(BF$4=1,IF(INDEX('×入力'!$C$1:$L$700,666+BF$3,BF$2)&lt;&gt;"",1,0),0)</f>
        <v/>
      </c>
      <c r="BG54">
        <f>IF(BG$4=1,IF(INDEX('×入力'!$C$1:$L$700,666+BG$3,BG$2)&lt;&gt;"",1,0),0)</f>
        <v/>
      </c>
      <c r="BH54">
        <f>IF(BH$4=1,IF(INDEX('×入力'!$C$1:$L$700,666+BH$3,BH$2)&lt;&gt;"",1,0),0)</f>
        <v/>
      </c>
      <c r="BI54">
        <f>IF(BI$4=1,IF(INDEX('×入力'!$C$1:$L$700,666+BI$3,BI$2)&lt;&gt;"",1,0),0)</f>
        <v/>
      </c>
      <c r="BJ54">
        <f>IF(BJ$4=1,IF(INDEX('×入力'!$C$1:$L$700,666+BJ$3,BJ$2)&lt;&gt;"",1,0),0)</f>
        <v/>
      </c>
      <c r="BK54">
        <f>IF(BK$4=1,IF(INDEX('×入力'!$C$1:$L$700,666+BK$3,BK$2)&lt;&gt;"",1,0),0)</f>
        <v/>
      </c>
      <c r="BL54">
        <f>IF(BL$4=1,IF(INDEX('×入力'!$C$1:$L$700,666+BL$3,BL$2)&lt;&gt;"",1,0),0)</f>
        <v/>
      </c>
      <c r="BM54">
        <f>IF(BM$4=1,IF(INDEX('×入力'!$C$1:$L$700,666+BM$3,BM$2)&lt;&gt;"",1,0),0)</f>
        <v/>
      </c>
      <c r="BN54">
        <f>IF(BN$4=1,IF(INDEX('×入力'!$C$1:$L$700,666+BN$3,BN$2)&lt;&gt;"",1,0),0)</f>
        <v/>
      </c>
      <c r="BO54">
        <f>IF(BO$4=1,IF(INDEX('×入力'!$C$1:$L$700,666+BO$3,BO$2)&lt;&gt;"",1,0),0)</f>
        <v/>
      </c>
      <c r="BP54">
        <f>IF(BP$4=1,IF(INDEX('×入力'!$C$1:$L$700,666+BP$3,BP$2)&lt;&gt;"",1,0),0)</f>
        <v/>
      </c>
      <c r="BQ54">
        <f>IF(BQ$4=1,IF(INDEX('×入力'!$C$1:$L$700,666+BQ$3,BQ$2)&lt;&gt;"",1,0),0)</f>
        <v/>
      </c>
      <c r="BR54">
        <f>IF(BR$4=1,IF(INDEX('×入力'!$C$1:$L$700,666+BR$3,BR$2)&lt;&gt;"",1,0),0)</f>
        <v/>
      </c>
      <c r="BS54">
        <f>IF(BS$4=1,IF(INDEX('×入力'!$C$1:$L$700,666+BS$3,BS$2)&lt;&gt;"",1,0),0)</f>
        <v/>
      </c>
      <c r="BT54">
        <f>IF(BT$4=1,IF(INDEX('×入力'!$C$1:$L$700,666+BT$3,BT$2)&lt;&gt;"",1,0),0)</f>
        <v/>
      </c>
      <c r="BU54">
        <f>IF(BU$4=1,IF(INDEX('×入力'!$C$1:$L$700,666+BU$3,BU$2)&lt;&gt;"",1,0),0)</f>
        <v/>
      </c>
      <c r="BV54">
        <f>IF(BV$4=1,IF(INDEX('×入力'!$C$1:$L$700,666+BV$3,BV$2)&lt;&gt;"",1,0),0)</f>
        <v/>
      </c>
      <c r="BW54">
        <f>IF(BW$4=1,IF(INDEX('×入力'!$C$1:$L$700,666+BW$3,BW$2)&lt;&gt;"",1,0),0)</f>
        <v/>
      </c>
      <c r="BX54">
        <f>IF(BX$4=1,IF(INDEX('×入力'!$C$1:$L$700,666+BX$3,BX$2)&lt;&gt;"",1,0),0)</f>
        <v/>
      </c>
      <c r="BY54">
        <f>IF(BY$4=1,IF(INDEX('×入力'!$C$1:$L$700,666+BY$3,BY$2)&lt;&gt;"",1,0),0)</f>
        <v/>
      </c>
      <c r="BZ54">
        <f>IF(BZ$4=1,IF(INDEX('×入力'!$C$1:$L$700,666+BZ$3,BZ$2)&lt;&gt;"",1,0),0)</f>
        <v/>
      </c>
      <c r="CA54">
        <f>IF(CA$4=1,IF(INDEX('×入力'!$C$1:$L$700,666+CA$3,CA$2)&lt;&gt;"",1,0),0)</f>
        <v/>
      </c>
      <c r="CB54">
        <f>IF(CB$4=1,IF(INDEX('×入力'!$C$1:$L$700,666+CB$3,CB$2)&lt;&gt;"",1,0),0)</f>
        <v/>
      </c>
      <c r="CC54">
        <f>IF(CC$4=1,IF(INDEX('×入力'!$C$1:$L$700,666+CC$3,CC$2)&lt;&gt;"",1,0),0)</f>
        <v/>
      </c>
      <c r="CD54">
        <f>IF(CD$4=1,IF(INDEX('×入力'!$C$1:$L$700,666+CD$3,CD$2)&lt;&gt;"",1,0),0)</f>
        <v/>
      </c>
      <c r="CE54">
        <f>IF(CE$4=1,IF(INDEX('×入力'!$C$1:$L$700,666+CE$3,CE$2)&lt;&gt;"",1,0),0)</f>
        <v/>
      </c>
      <c r="CF54">
        <f>IF(CF$4=1,IF(INDEX('×入力'!$C$1:$L$700,666+CF$3,CF$2)&lt;&gt;"",1,0),0)</f>
        <v/>
      </c>
      <c r="CG54">
        <f>IF(CG$4=1,IF(INDEX('×入力'!$C$1:$L$700,666+CG$3,CG$2)&lt;&gt;"",1,0),0)</f>
        <v/>
      </c>
      <c r="CH54">
        <f>IF(CH$4=1,IF(INDEX('×入力'!$C$1:$L$700,666+CH$3,CH$2)&lt;&gt;"",1,0),0)</f>
        <v/>
      </c>
      <c r="CI54">
        <f>IF(CI$4=1,IF(INDEX('×入力'!$C$1:$L$700,666+CI$3,CI$2)&lt;&gt;"",1,0),0)</f>
        <v/>
      </c>
      <c r="CJ54">
        <f>IF(CJ$4=1,IF(INDEX('×入力'!$C$1:$L$700,666+CJ$3,CJ$2)&lt;&gt;"",1,0),0)</f>
        <v/>
      </c>
      <c r="CK54">
        <f>IF(CK$4=1,IF(INDEX('×入力'!$C$1:$L$700,666+CK$3,CK$2)&lt;&gt;"",1,0),0)</f>
        <v/>
      </c>
      <c r="CL54">
        <f>IF(CL$4=1,IF(INDEX('×入力'!$C$1:$L$700,666+CL$3,CL$2)&lt;&gt;"",1,0),0)</f>
        <v/>
      </c>
      <c r="CM54">
        <f>IF(CM$4=1,IF(INDEX('×入力'!$C$1:$L$700,666+CM$3,CM$2)&lt;&gt;"",1,0),0)</f>
        <v/>
      </c>
      <c r="CN54">
        <f>IF(CN$4=1,IF(INDEX('×入力'!$C$1:$L$700,666+CN$3,CN$2)&lt;&gt;"",1,0),0)</f>
        <v/>
      </c>
      <c r="CO54">
        <f>IF(CO$4=1,IF(INDEX('×入力'!$C$1:$L$700,666+CO$3,CO$2)&lt;&gt;"",1,0),0)</f>
        <v/>
      </c>
      <c r="CP54">
        <f>IF(CP$4=1,IF(INDEX('×入力'!$C$1:$L$700,666+CP$3,CP$2)&lt;&gt;"",1,0),0)</f>
        <v/>
      </c>
      <c r="CQ54">
        <f>IF(CQ$4=1,IF(INDEX('×入力'!$C$1:$L$700,666+CQ$3,CQ$2)&lt;&gt;"",1,0),0)</f>
        <v/>
      </c>
      <c r="CR54">
        <f>IF(CR$4=1,IF(INDEX('×入力'!$C$1:$L$700,666+CR$3,CR$2)&lt;&gt;"",1,0),0)</f>
        <v/>
      </c>
      <c r="CS54">
        <f>IF(CS$4=1,IF(INDEX('×入力'!$C$1:$L$700,666+CS$3,CS$2)&lt;&gt;"",1,0),0)</f>
        <v/>
      </c>
      <c r="CT54">
        <f>IF(CT$4=1,IF(INDEX('×入力'!$C$1:$L$700,666+CT$3,CT$2)&lt;&gt;"",1,0),0)</f>
        <v/>
      </c>
      <c r="CU54">
        <f>IF(CU$4=1,IF(INDEX('×入力'!$C$1:$L$700,666+CU$3,CU$2)&lt;&gt;"",1,0),0)</f>
        <v/>
      </c>
      <c r="CV54">
        <f>IF(CV$4=1,IF(INDEX('×入力'!$C$1:$L$700,666+CV$3,CV$2)&lt;&gt;"",1,0),0)</f>
        <v/>
      </c>
      <c r="CW54">
        <f>IF(CW$4=1,IF(INDEX('×入力'!$C$1:$L$700,666+CW$3,CW$2)&lt;&gt;"",1,0),0)</f>
        <v/>
      </c>
      <c r="CX54">
        <f>IF(CX$4=1,IF(INDEX('×入力'!$C$1:$L$700,666+CX$3,CX$2)&lt;&gt;"",1,0),0)</f>
        <v/>
      </c>
      <c r="CY54">
        <f>IF(CY$4=1,IF(INDEX('×入力'!$C$1:$L$700,666+CY$3,CY$2)&lt;&gt;"",1,0),0)</f>
        <v/>
      </c>
      <c r="CZ54">
        <f>IF(CZ$4=1,IF(INDEX('×入力'!$C$1:$L$700,666+CZ$3,CZ$2)&lt;&gt;"",1,0),0)</f>
        <v/>
      </c>
      <c r="DA54">
        <f>IF(DA$4=1,IF(INDEX('×入力'!$C$1:$L$700,666+DA$3,DA$2)&lt;&gt;"",1,0),0)</f>
        <v/>
      </c>
      <c r="DB54">
        <f>IF(DB$4=1,IF(INDEX('×入力'!$C$1:$L$700,666+DB$3,DB$2)&lt;&gt;"",1,0),0)</f>
        <v/>
      </c>
      <c r="DC54">
        <f>IF(DC$4=1,IF(INDEX('×入力'!$C$1:$L$700,666+DC$3,DC$2)&lt;&gt;"",1,0),0)</f>
        <v/>
      </c>
      <c r="DD54">
        <f>IF(DD$4=1,IF(INDEX('×入力'!$C$1:$L$700,666+DD$3,DD$2)&lt;&gt;"",1,0),0)</f>
        <v/>
      </c>
      <c r="DE54">
        <f>IF(DE$4=1,IF(INDEX('×入力'!$C$1:$L$700,666+DE$3,DE$2)&lt;&gt;"",1,0),0)</f>
        <v/>
      </c>
      <c r="DF54">
        <f>IF(DF$4=1,IF(INDEX('×入力'!$C$1:$L$700,666+DF$3,DF$2)&lt;&gt;"",1,0),0)</f>
        <v/>
      </c>
      <c r="DG54">
        <f>IF(DG$4=1,IF(INDEX('×入力'!$C$1:$L$700,666+DG$3,DG$2)&lt;&gt;"",1,0),0)</f>
        <v/>
      </c>
      <c r="DH54">
        <f>IF(DH$4=1,IF(INDEX('×入力'!$C$1:$L$700,666+DH$3,DH$2)&lt;&gt;"",1,0),0)</f>
        <v/>
      </c>
      <c r="DI54">
        <f>IF(DI$4=1,IF(INDEX('×入力'!$C$1:$L$700,666+DI$3,DI$2)&lt;&gt;"",1,0),0)</f>
        <v/>
      </c>
      <c r="DJ54">
        <f>IF(DJ$4=1,IF(INDEX('×入力'!$C$1:$L$700,666+DJ$3,DJ$2)&lt;&gt;"",1,0),0)</f>
        <v/>
      </c>
      <c r="DK54">
        <f>IF(DK$4=1,IF(INDEX('×入力'!$C$1:$L$700,666+DK$3,DK$2)&lt;&gt;"",1,0),0)</f>
        <v/>
      </c>
      <c r="DL54">
        <f>IF(DL$4=1,IF(INDEX('×入力'!$C$1:$L$700,666+DL$3,DL$2)&lt;&gt;"",1,0),0)</f>
        <v/>
      </c>
      <c r="DM54">
        <f>IF(DM$4=1,IF(INDEX('×入力'!$C$1:$L$700,666+DM$3,DM$2)&lt;&gt;"",1,0),0)</f>
        <v/>
      </c>
      <c r="DN54">
        <f>IF(DN$4=1,IF(INDEX('×入力'!$C$1:$L$700,666+DN$3,DN$2)&lt;&gt;"",1,0),0)</f>
        <v/>
      </c>
      <c r="DO54">
        <f>IF(DO$4=1,IF(INDEX('×入力'!$C$1:$L$700,666+DO$3,DO$2)&lt;&gt;"",1,0),0)</f>
        <v/>
      </c>
      <c r="DP54">
        <f>IF(DP$4=1,IF(INDEX('×入力'!$C$1:$L$700,666+DP$3,DP$2)&lt;&gt;"",1,0),0)</f>
        <v/>
      </c>
      <c r="DQ54">
        <f>IF(DQ$4=1,IF(INDEX('×入力'!$C$1:$L$700,666+DQ$3,DQ$2)&lt;&gt;"",1,0),0)</f>
        <v/>
      </c>
      <c r="DR54">
        <f>IF(DR$4=1,IF(INDEX('×入力'!$C$1:$L$700,666+DR$3,DR$2)&lt;&gt;"",1,0),0)</f>
        <v/>
      </c>
      <c r="DS54">
        <f>IF(DS$4=1,IF(INDEX('×入力'!$C$1:$L$700,666+DS$3,DS$2)&lt;&gt;"",1,0),0)</f>
        <v/>
      </c>
      <c r="DU54">
        <f>IFERROR(INDEX('計算B'!$C$3:$C$47,MATCH(A54,'計算B'!$B$3:$B$47,0)),0)</f>
        <v/>
      </c>
      <c r="DV54">
        <f>IF(AND(C54=1,DU54=0),1,0)</f>
        <v/>
      </c>
      <c r="DW54">
        <f>SUMPRODUCT(D104:DS104*(1-$D$7:$DS$7))</f>
        <v/>
      </c>
      <c r="DX54">
        <f>SUM(D54:DS54)</f>
        <v/>
      </c>
      <c r="DY54">
        <f>IF(B54="",0,IF(COUNTIF('割り当て'!$C$6:$L$17,B54)=1,SUMPRODUCT(('割り当て'!$C$6:$L$17=B54)*((COLUMN('割り当て'!$C$6:$L$17)-3)*12+ROW('割り当て'!$C$6:$L$17)-5)),0))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Y47"/>
  <sheetViews>
    <sheetView showGridLines="0" workbookViewId="0">
      <selection activeCell="A1" sqref="A1"/>
    </sheetView>
  </sheetViews>
  <sheetFormatPr baseColWidth="8" defaultRowHeight="15"/>
  <sheetData>
    <row r="1">
      <c r="A1" s="41" t="inlineStr">
        <is>
          <t>計算用（さわらないでください）：A=順番 B=決めた児童 C=入れた枠</t>
        </is>
      </c>
      <c r="E1" t="inlineStr">
        <is>
          <t>済</t>
        </is>
      </c>
      <c r="AY1" t="inlineStr">
        <is>
          <t>点数</t>
        </is>
      </c>
      <c r="CS1" t="inlineStr">
        <is>
          <t>空き</t>
        </is>
      </c>
      <c r="HJ1" t="inlineStr">
        <is>
          <t>枠の点数</t>
        </is>
      </c>
    </row>
    <row r="2">
      <c r="A2" t="inlineStr">
        <is>
          <t>k</t>
        </is>
      </c>
      <c r="B2" t="inlineStr">
        <is>
          <t>児童</t>
        </is>
      </c>
      <c r="C2" t="inlineStr">
        <is>
          <t>枠</t>
        </is>
      </c>
      <c r="D2" t="inlineStr">
        <is>
          <t>空けたい枠</t>
        </is>
      </c>
      <c r="E2" t="n">
        <v>1</v>
      </c>
      <c r="F2" t="n">
        <v>2</v>
      </c>
      <c r="G2" t="n">
        <v>3</v>
      </c>
      <c r="H2" t="n">
        <v>4</v>
      </c>
      <c r="I2" t="n">
        <v>5</v>
      </c>
      <c r="J2" t="n">
        <v>6</v>
      </c>
      <c r="K2" t="n">
        <v>7</v>
      </c>
      <c r="L2" t="n">
        <v>8</v>
      </c>
      <c r="M2" t="n">
        <v>9</v>
      </c>
      <c r="N2" t="n">
        <v>10</v>
      </c>
      <c r="O2" t="n">
        <v>11</v>
      </c>
      <c r="P2" t="n">
        <v>12</v>
      </c>
      <c r="Q2" t="n">
        <v>13</v>
      </c>
      <c r="R2" t="n">
        <v>14</v>
      </c>
      <c r="S2" t="n">
        <v>15</v>
      </c>
      <c r="T2" t="n">
        <v>16</v>
      </c>
      <c r="U2" t="n">
        <v>17</v>
      </c>
      <c r="V2" t="n">
        <v>18</v>
      </c>
      <c r="W2" t="n">
        <v>19</v>
      </c>
      <c r="X2" t="n">
        <v>20</v>
      </c>
      <c r="Y2" t="n">
        <v>21</v>
      </c>
      <c r="Z2" t="n">
        <v>22</v>
      </c>
      <c r="AA2" t="n">
        <v>23</v>
      </c>
      <c r="AB2" t="n">
        <v>24</v>
      </c>
      <c r="AC2" t="n">
        <v>25</v>
      </c>
      <c r="AD2" t="n">
        <v>26</v>
      </c>
      <c r="AE2" t="n">
        <v>27</v>
      </c>
      <c r="AF2" t="n">
        <v>28</v>
      </c>
      <c r="AG2" t="n">
        <v>29</v>
      </c>
      <c r="AH2" t="n">
        <v>30</v>
      </c>
      <c r="AI2" t="n">
        <v>31</v>
      </c>
      <c r="AJ2" t="n">
        <v>32</v>
      </c>
      <c r="AK2" t="n">
        <v>33</v>
      </c>
      <c r="AL2" t="n">
        <v>34</v>
      </c>
      <c r="AM2" t="n">
        <v>35</v>
      </c>
      <c r="AN2" t="n">
        <v>36</v>
      </c>
      <c r="AO2" t="n">
        <v>37</v>
      </c>
      <c r="AP2" t="n">
        <v>38</v>
      </c>
      <c r="AQ2" t="n">
        <v>39</v>
      </c>
      <c r="AR2" t="n">
        <v>40</v>
      </c>
      <c r="AS2" t="n">
        <v>41</v>
      </c>
      <c r="AT2" t="n">
        <v>42</v>
      </c>
      <c r="AU2" t="n">
        <v>43</v>
      </c>
      <c r="AV2" t="n">
        <v>44</v>
      </c>
      <c r="AW2" t="n">
        <v>45</v>
      </c>
      <c r="AY2" t="n">
        <v>1</v>
      </c>
      <c r="AZ2" t="n">
        <v>2</v>
      </c>
      <c r="BA2" t="n">
        <v>3</v>
      </c>
      <c r="BB2" t="n">
        <v>4</v>
      </c>
      <c r="BC2" t="n">
        <v>5</v>
      </c>
      <c r="BD2" t="n">
        <v>6</v>
      </c>
      <c r="BE2" t="n">
        <v>7</v>
      </c>
      <c r="BF2" t="n">
        <v>8</v>
      </c>
      <c r="BG2" t="n">
        <v>9</v>
      </c>
      <c r="BH2" t="n">
        <v>10</v>
      </c>
      <c r="BI2" t="n">
        <v>11</v>
      </c>
      <c r="BJ2" t="n">
        <v>12</v>
      </c>
      <c r="BK2" t="n">
        <v>13</v>
      </c>
      <c r="BL2" t="n">
        <v>14</v>
      </c>
      <c r="BM2" t="n">
        <v>15</v>
      </c>
      <c r="BN2" t="n">
        <v>16</v>
      </c>
      <c r="BO2" t="n">
        <v>17</v>
      </c>
      <c r="BP2" t="n">
        <v>18</v>
      </c>
      <c r="BQ2" t="n">
        <v>19</v>
      </c>
      <c r="BR2" t="n">
        <v>20</v>
      </c>
      <c r="BS2" t="n">
        <v>21</v>
      </c>
      <c r="BT2" t="n">
        <v>22</v>
      </c>
      <c r="BU2" t="n">
        <v>23</v>
      </c>
      <c r="BV2" t="n">
        <v>24</v>
      </c>
      <c r="BW2" t="n">
        <v>25</v>
      </c>
      <c r="BX2" t="n">
        <v>26</v>
      </c>
      <c r="BY2" t="n">
        <v>27</v>
      </c>
      <c r="BZ2" t="n">
        <v>28</v>
      </c>
      <c r="CA2" t="n">
        <v>29</v>
      </c>
      <c r="CB2" t="n">
        <v>30</v>
      </c>
      <c r="CC2" t="n">
        <v>31</v>
      </c>
      <c r="CD2" t="n">
        <v>32</v>
      </c>
      <c r="CE2" t="n">
        <v>33</v>
      </c>
      <c r="CF2" t="n">
        <v>34</v>
      </c>
      <c r="CG2" t="n">
        <v>35</v>
      </c>
      <c r="CH2" t="n">
        <v>36</v>
      </c>
      <c r="CI2" t="n">
        <v>37</v>
      </c>
      <c r="CJ2" t="n">
        <v>38</v>
      </c>
      <c r="CK2" t="n">
        <v>39</v>
      </c>
      <c r="CL2" t="n">
        <v>40</v>
      </c>
      <c r="CM2" t="n">
        <v>41</v>
      </c>
      <c r="CN2" t="n">
        <v>42</v>
      </c>
      <c r="CO2" t="n">
        <v>43</v>
      </c>
      <c r="CP2" t="n">
        <v>44</v>
      </c>
      <c r="CQ2" t="n">
        <v>45</v>
      </c>
      <c r="CS2" t="n">
        <v>1</v>
      </c>
      <c r="CT2" t="n">
        <v>2</v>
      </c>
      <c r="CU2" t="n">
        <v>3</v>
      </c>
      <c r="CV2" t="n">
        <v>4</v>
      </c>
      <c r="CW2" t="n">
        <v>5</v>
      </c>
      <c r="CX2" t="n">
        <v>6</v>
      </c>
      <c r="CY2" t="n">
        <v>7</v>
      </c>
      <c r="CZ2" t="n">
        <v>8</v>
      </c>
      <c r="DA2" t="n">
        <v>9</v>
      </c>
      <c r="DB2" t="n">
        <v>10</v>
      </c>
      <c r="DC2" t="n">
        <v>11</v>
      </c>
      <c r="DD2" t="n">
        <v>12</v>
      </c>
      <c r="DE2" t="n">
        <v>13</v>
      </c>
      <c r="DF2" t="n">
        <v>14</v>
      </c>
      <c r="DG2" t="n">
        <v>15</v>
      </c>
      <c r="DH2" t="n">
        <v>16</v>
      </c>
      <c r="DI2" t="n">
        <v>17</v>
      </c>
      <c r="DJ2" t="n">
        <v>18</v>
      </c>
      <c r="DK2" t="n">
        <v>19</v>
      </c>
      <c r="DL2" t="n">
        <v>20</v>
      </c>
      <c r="DM2" t="n">
        <v>21</v>
      </c>
      <c r="DN2" t="n">
        <v>22</v>
      </c>
      <c r="DO2" t="n">
        <v>23</v>
      </c>
      <c r="DP2" t="n">
        <v>24</v>
      </c>
      <c r="DQ2" t="n">
        <v>25</v>
      </c>
      <c r="DR2" t="n">
        <v>26</v>
      </c>
      <c r="DS2" t="n">
        <v>27</v>
      </c>
      <c r="DT2" t="n">
        <v>28</v>
      </c>
      <c r="DU2" t="n">
        <v>29</v>
      </c>
      <c r="DV2" t="n">
        <v>30</v>
      </c>
      <c r="DW2" t="n">
        <v>31</v>
      </c>
      <c r="DX2" t="n">
        <v>32</v>
      </c>
      <c r="DY2" t="n">
        <v>33</v>
      </c>
      <c r="DZ2" t="n">
        <v>34</v>
      </c>
      <c r="EA2" t="n">
        <v>35</v>
      </c>
      <c r="EB2" t="n">
        <v>36</v>
      </c>
      <c r="EC2" t="n">
        <v>37</v>
      </c>
      <c r="ED2" t="n">
        <v>38</v>
      </c>
      <c r="EE2" t="n">
        <v>39</v>
      </c>
      <c r="EF2" t="n">
        <v>40</v>
      </c>
      <c r="EG2" t="n">
        <v>41</v>
      </c>
      <c r="EH2" t="n">
        <v>42</v>
      </c>
      <c r="EI2" t="n">
        <v>43</v>
      </c>
      <c r="EJ2" t="n">
        <v>44</v>
      </c>
      <c r="EK2" t="n">
        <v>45</v>
      </c>
      <c r="EL2" t="n">
        <v>46</v>
      </c>
      <c r="EM2" t="n">
        <v>47</v>
      </c>
      <c r="EN2" t="n">
        <v>48</v>
      </c>
      <c r="EO2" t="n">
        <v>49</v>
      </c>
      <c r="EP2" t="n">
        <v>50</v>
      </c>
      <c r="EQ2" t="n">
        <v>51</v>
      </c>
      <c r="ER2" t="n">
        <v>52</v>
      </c>
      <c r="ES2" t="n">
        <v>53</v>
      </c>
      <c r="ET2" t="n">
        <v>54</v>
      </c>
      <c r="EU2" t="n">
        <v>55</v>
      </c>
      <c r="EV2" t="n">
        <v>56</v>
      </c>
      <c r="EW2" t="n">
        <v>57</v>
      </c>
      <c r="EX2" t="n">
        <v>58</v>
      </c>
      <c r="EY2" t="n">
        <v>59</v>
      </c>
      <c r="EZ2" t="n">
        <v>60</v>
      </c>
      <c r="FA2" t="n">
        <v>61</v>
      </c>
      <c r="FB2" t="n">
        <v>62</v>
      </c>
      <c r="FC2" t="n">
        <v>63</v>
      </c>
      <c r="FD2" t="n">
        <v>64</v>
      </c>
      <c r="FE2" t="n">
        <v>65</v>
      </c>
      <c r="FF2" t="n">
        <v>66</v>
      </c>
      <c r="FG2" t="n">
        <v>67</v>
      </c>
      <c r="FH2" t="n">
        <v>68</v>
      </c>
      <c r="FI2" t="n">
        <v>69</v>
      </c>
      <c r="FJ2" t="n">
        <v>70</v>
      </c>
      <c r="FK2" t="n">
        <v>71</v>
      </c>
      <c r="FL2" t="n">
        <v>72</v>
      </c>
      <c r="FM2" t="n">
        <v>73</v>
      </c>
      <c r="FN2" t="n">
        <v>74</v>
      </c>
      <c r="FO2" t="n">
        <v>75</v>
      </c>
      <c r="FP2" t="n">
        <v>76</v>
      </c>
      <c r="FQ2" t="n">
        <v>77</v>
      </c>
      <c r="FR2" t="n">
        <v>78</v>
      </c>
      <c r="FS2" t="n">
        <v>79</v>
      </c>
      <c r="FT2" t="n">
        <v>80</v>
      </c>
      <c r="FU2" t="n">
        <v>81</v>
      </c>
      <c r="FV2" t="n">
        <v>82</v>
      </c>
      <c r="FW2" t="n">
        <v>83</v>
      </c>
      <c r="FX2" t="n">
        <v>84</v>
      </c>
      <c r="FY2" t="n">
        <v>85</v>
      </c>
      <c r="FZ2" t="n">
        <v>86</v>
      </c>
      <c r="GA2" t="n">
        <v>87</v>
      </c>
      <c r="GB2" t="n">
        <v>88</v>
      </c>
      <c r="GC2" t="n">
        <v>89</v>
      </c>
      <c r="GD2" t="n">
        <v>90</v>
      </c>
      <c r="GE2" t="n">
        <v>91</v>
      </c>
      <c r="GF2" t="n">
        <v>92</v>
      </c>
      <c r="GG2" t="n">
        <v>93</v>
      </c>
      <c r="GH2" t="n">
        <v>94</v>
      </c>
      <c r="GI2" t="n">
        <v>95</v>
      </c>
      <c r="GJ2" t="n">
        <v>96</v>
      </c>
      <c r="GK2" t="n">
        <v>97</v>
      </c>
      <c r="GL2" t="n">
        <v>98</v>
      </c>
      <c r="GM2" t="n">
        <v>99</v>
      </c>
      <c r="GN2" t="n">
        <v>100</v>
      </c>
      <c r="GO2" t="n">
        <v>101</v>
      </c>
      <c r="GP2" t="n">
        <v>102</v>
      </c>
      <c r="GQ2" t="n">
        <v>103</v>
      </c>
      <c r="GR2" t="n">
        <v>104</v>
      </c>
      <c r="GS2" t="n">
        <v>105</v>
      </c>
      <c r="GT2" t="n">
        <v>106</v>
      </c>
      <c r="GU2" t="n">
        <v>107</v>
      </c>
      <c r="GV2" t="n">
        <v>108</v>
      </c>
      <c r="GW2" t="n">
        <v>109</v>
      </c>
      <c r="GX2" t="n">
        <v>110</v>
      </c>
      <c r="GY2" t="n">
        <v>111</v>
      </c>
      <c r="GZ2" t="n">
        <v>112</v>
      </c>
      <c r="HA2" t="n">
        <v>113</v>
      </c>
      <c r="HB2" t="n">
        <v>114</v>
      </c>
      <c r="HC2" t="n">
        <v>115</v>
      </c>
      <c r="HD2" t="n">
        <v>116</v>
      </c>
      <c r="HE2" t="n">
        <v>117</v>
      </c>
      <c r="HF2" t="n">
        <v>118</v>
      </c>
      <c r="HG2" t="n">
        <v>119</v>
      </c>
      <c r="HH2" t="n">
        <v>120</v>
      </c>
      <c r="HJ2" t="n">
        <v>1</v>
      </c>
      <c r="HK2" t="n">
        <v>2</v>
      </c>
      <c r="HL2" t="n">
        <v>3</v>
      </c>
      <c r="HM2" t="n">
        <v>4</v>
      </c>
      <c r="HN2" t="n">
        <v>5</v>
      </c>
      <c r="HO2" t="n">
        <v>6</v>
      </c>
      <c r="HP2" t="n">
        <v>7</v>
      </c>
      <c r="HQ2" t="n">
        <v>8</v>
      </c>
      <c r="HR2" t="n">
        <v>9</v>
      </c>
      <c r="HS2" t="n">
        <v>10</v>
      </c>
      <c r="HT2" t="n">
        <v>11</v>
      </c>
      <c r="HU2" t="n">
        <v>12</v>
      </c>
      <c r="HV2" t="n">
        <v>13</v>
      </c>
      <c r="HW2" t="n">
        <v>14</v>
      </c>
      <c r="HX2" t="n">
        <v>15</v>
      </c>
      <c r="HY2" t="n">
        <v>16</v>
      </c>
      <c r="HZ2" t="n">
        <v>17</v>
      </c>
      <c r="IA2" t="n">
        <v>18</v>
      </c>
      <c r="IB2" t="n">
        <v>19</v>
      </c>
      <c r="IC2" t="n">
        <v>20</v>
      </c>
      <c r="ID2" t="n">
        <v>21</v>
      </c>
      <c r="IE2" t="n">
        <v>22</v>
      </c>
      <c r="IF2" t="n">
        <v>23</v>
      </c>
      <c r="IG2" t="n">
        <v>24</v>
      </c>
      <c r="IH2" t="n">
        <v>25</v>
      </c>
      <c r="II2" t="n">
        <v>26</v>
      </c>
      <c r="IJ2" t="n">
        <v>27</v>
      </c>
      <c r="IK2" t="n">
        <v>28</v>
      </c>
      <c r="IL2" t="n">
        <v>29</v>
      </c>
      <c r="IM2" t="n">
        <v>30</v>
      </c>
      <c r="IN2" t="n">
        <v>31</v>
      </c>
      <c r="IO2" t="n">
        <v>32</v>
      </c>
      <c r="IP2" t="n">
        <v>33</v>
      </c>
      <c r="IQ2" t="n">
        <v>34</v>
      </c>
      <c r="IR2" t="n">
        <v>35</v>
      </c>
      <c r="IS2" t="n">
        <v>36</v>
      </c>
      <c r="IT2" t="n">
        <v>37</v>
      </c>
      <c r="IU2" t="n">
        <v>38</v>
      </c>
      <c r="IV2" t="n">
        <v>39</v>
      </c>
      <c r="IW2" t="n">
        <v>40</v>
      </c>
      <c r="IX2" t="n">
        <v>41</v>
      </c>
      <c r="IY2" t="n">
        <v>42</v>
      </c>
      <c r="IZ2" t="n">
        <v>43</v>
      </c>
      <c r="JA2" t="n">
        <v>44</v>
      </c>
      <c r="JB2" t="n">
        <v>45</v>
      </c>
      <c r="JC2" t="n">
        <v>46</v>
      </c>
      <c r="JD2" t="n">
        <v>47</v>
      </c>
      <c r="JE2" t="n">
        <v>48</v>
      </c>
      <c r="JF2" t="n">
        <v>49</v>
      </c>
      <c r="JG2" t="n">
        <v>50</v>
      </c>
      <c r="JH2" t="n">
        <v>51</v>
      </c>
      <c r="JI2" t="n">
        <v>52</v>
      </c>
      <c r="JJ2" t="n">
        <v>53</v>
      </c>
      <c r="JK2" t="n">
        <v>54</v>
      </c>
      <c r="JL2" t="n">
        <v>55</v>
      </c>
      <c r="JM2" t="n">
        <v>56</v>
      </c>
      <c r="JN2" t="n">
        <v>57</v>
      </c>
      <c r="JO2" t="n">
        <v>58</v>
      </c>
      <c r="JP2" t="n">
        <v>59</v>
      </c>
      <c r="JQ2" t="n">
        <v>60</v>
      </c>
      <c r="JR2" t="n">
        <v>61</v>
      </c>
      <c r="JS2" t="n">
        <v>62</v>
      </c>
      <c r="JT2" t="n">
        <v>63</v>
      </c>
      <c r="JU2" t="n">
        <v>64</v>
      </c>
      <c r="JV2" t="n">
        <v>65</v>
      </c>
      <c r="JW2" t="n">
        <v>66</v>
      </c>
      <c r="JX2" t="n">
        <v>67</v>
      </c>
      <c r="JY2" t="n">
        <v>68</v>
      </c>
      <c r="JZ2" t="n">
        <v>69</v>
      </c>
      <c r="KA2" t="n">
        <v>70</v>
      </c>
      <c r="KB2" t="n">
        <v>71</v>
      </c>
      <c r="KC2" t="n">
        <v>72</v>
      </c>
      <c r="KD2" t="n">
        <v>73</v>
      </c>
      <c r="KE2" t="n">
        <v>74</v>
      </c>
      <c r="KF2" t="n">
        <v>75</v>
      </c>
      <c r="KG2" t="n">
        <v>76</v>
      </c>
      <c r="KH2" t="n">
        <v>77</v>
      </c>
      <c r="KI2" t="n">
        <v>78</v>
      </c>
      <c r="KJ2" t="n">
        <v>79</v>
      </c>
      <c r="KK2" t="n">
        <v>80</v>
      </c>
      <c r="KL2" t="n">
        <v>81</v>
      </c>
      <c r="KM2" t="n">
        <v>82</v>
      </c>
      <c r="KN2" t="n">
        <v>83</v>
      </c>
      <c r="KO2" t="n">
        <v>84</v>
      </c>
      <c r="KP2" t="n">
        <v>85</v>
      </c>
      <c r="KQ2" t="n">
        <v>86</v>
      </c>
      <c r="KR2" t="n">
        <v>87</v>
      </c>
      <c r="KS2" t="n">
        <v>88</v>
      </c>
      <c r="KT2" t="n">
        <v>89</v>
      </c>
      <c r="KU2" t="n">
        <v>90</v>
      </c>
      <c r="KV2" t="n">
        <v>91</v>
      </c>
      <c r="KW2" t="n">
        <v>92</v>
      </c>
      <c r="KX2" t="n">
        <v>93</v>
      </c>
      <c r="KY2" t="n">
        <v>94</v>
      </c>
      <c r="KZ2" t="n">
        <v>95</v>
      </c>
      <c r="LA2" t="n">
        <v>96</v>
      </c>
      <c r="LB2" t="n">
        <v>97</v>
      </c>
      <c r="LC2" t="n">
        <v>98</v>
      </c>
      <c r="LD2" t="n">
        <v>99</v>
      </c>
      <c r="LE2" t="n">
        <v>100</v>
      </c>
      <c r="LF2" t="n">
        <v>101</v>
      </c>
      <c r="LG2" t="n">
        <v>102</v>
      </c>
      <c r="LH2" t="n">
        <v>103</v>
      </c>
      <c r="LI2" t="n">
        <v>104</v>
      </c>
      <c r="LJ2" t="n">
        <v>105</v>
      </c>
      <c r="LK2" t="n">
        <v>106</v>
      </c>
      <c r="LL2" t="n">
        <v>107</v>
      </c>
      <c r="LM2" t="n">
        <v>108</v>
      </c>
      <c r="LN2" t="n">
        <v>109</v>
      </c>
      <c r="LO2" t="n">
        <v>110</v>
      </c>
      <c r="LP2" t="n">
        <v>111</v>
      </c>
      <c r="LQ2" t="n">
        <v>112</v>
      </c>
      <c r="LR2" t="n">
        <v>113</v>
      </c>
      <c r="LS2" t="n">
        <v>114</v>
      </c>
      <c r="LT2" t="n">
        <v>115</v>
      </c>
      <c r="LU2" t="n">
        <v>116</v>
      </c>
      <c r="LV2" t="n">
        <v>117</v>
      </c>
      <c r="LW2" t="n">
        <v>118</v>
      </c>
      <c r="LX2" t="n">
        <v>119</v>
      </c>
      <c r="LY2" t="n">
        <v>120</v>
      </c>
    </row>
    <row r="3">
      <c r="A3" t="n">
        <v>1</v>
      </c>
      <c r="B3">
        <f>IF(MIN(AY3:CQ3)&gt;=1000000,0,MATCH(MIN(AY3:CQ3),AY3:CQ3,0))</f>
        <v/>
      </c>
      <c r="C3">
        <f>IF(MIN(HJ3:LY3)&gt;=1000000,0,MATCH(MIN(HJ3:LY3),HJ3:LY3,0))</f>
        <v/>
      </c>
      <c r="D3">
        <f>IF(C3&gt;0,INDEX('計算A'!$D$5:$DS$5,C3),0)</f>
        <v/>
      </c>
      <c r="E3">
        <f>1-'計算A'!C10</f>
        <v/>
      </c>
      <c r="F3">
        <f>1-'計算A'!C11</f>
        <v/>
      </c>
      <c r="G3">
        <f>1-'計算A'!C12</f>
        <v/>
      </c>
      <c r="H3">
        <f>1-'計算A'!C13</f>
        <v/>
      </c>
      <c r="I3">
        <f>1-'計算A'!C14</f>
        <v/>
      </c>
      <c r="J3">
        <f>1-'計算A'!C15</f>
        <v/>
      </c>
      <c r="K3">
        <f>1-'計算A'!C16</f>
        <v/>
      </c>
      <c r="L3">
        <f>1-'計算A'!C17</f>
        <v/>
      </c>
      <c r="M3">
        <f>1-'計算A'!C18</f>
        <v/>
      </c>
      <c r="N3">
        <f>1-'計算A'!C19</f>
        <v/>
      </c>
      <c r="O3">
        <f>1-'計算A'!C20</f>
        <v/>
      </c>
      <c r="P3">
        <f>1-'計算A'!C21</f>
        <v/>
      </c>
      <c r="Q3">
        <f>1-'計算A'!C22</f>
        <v/>
      </c>
      <c r="R3">
        <f>1-'計算A'!C23</f>
        <v/>
      </c>
      <c r="S3">
        <f>1-'計算A'!C24</f>
        <v/>
      </c>
      <c r="T3">
        <f>1-'計算A'!C25</f>
        <v/>
      </c>
      <c r="U3">
        <f>1-'計算A'!C26</f>
        <v/>
      </c>
      <c r="V3">
        <f>1-'計算A'!C27</f>
        <v/>
      </c>
      <c r="W3">
        <f>1-'計算A'!C28</f>
        <v/>
      </c>
      <c r="X3">
        <f>1-'計算A'!C29</f>
        <v/>
      </c>
      <c r="Y3">
        <f>1-'計算A'!C30</f>
        <v/>
      </c>
      <c r="Z3">
        <f>1-'計算A'!C31</f>
        <v/>
      </c>
      <c r="AA3">
        <f>1-'計算A'!C32</f>
        <v/>
      </c>
      <c r="AB3">
        <f>1-'計算A'!C33</f>
        <v/>
      </c>
      <c r="AC3">
        <f>1-'計算A'!C34</f>
        <v/>
      </c>
      <c r="AD3">
        <f>1-'計算A'!C35</f>
        <v/>
      </c>
      <c r="AE3">
        <f>1-'計算A'!C36</f>
        <v/>
      </c>
      <c r="AF3">
        <f>1-'計算A'!C37</f>
        <v/>
      </c>
      <c r="AG3">
        <f>1-'計算A'!C38</f>
        <v/>
      </c>
      <c r="AH3">
        <f>1-'計算A'!C39</f>
        <v/>
      </c>
      <c r="AI3">
        <f>1-'計算A'!C40</f>
        <v/>
      </c>
      <c r="AJ3">
        <f>1-'計算A'!C41</f>
        <v/>
      </c>
      <c r="AK3">
        <f>1-'計算A'!C42</f>
        <v/>
      </c>
      <c r="AL3">
        <f>1-'計算A'!C43</f>
        <v/>
      </c>
      <c r="AM3">
        <f>1-'計算A'!C44</f>
        <v/>
      </c>
      <c r="AN3">
        <f>1-'計算A'!C45</f>
        <v/>
      </c>
      <c r="AO3">
        <f>1-'計算A'!C46</f>
        <v/>
      </c>
      <c r="AP3">
        <f>1-'計算A'!C47</f>
        <v/>
      </c>
      <c r="AQ3">
        <f>1-'計算A'!C48</f>
        <v/>
      </c>
      <c r="AR3">
        <f>1-'計算A'!C49</f>
        <v/>
      </c>
      <c r="AS3">
        <f>1-'計算A'!C50</f>
        <v/>
      </c>
      <c r="AT3">
        <f>1-'計算A'!C51</f>
        <v/>
      </c>
      <c r="AU3">
        <f>1-'計算A'!C52</f>
        <v/>
      </c>
      <c r="AV3">
        <f>1-'計算A'!C53</f>
        <v/>
      </c>
      <c r="AW3">
        <f>1-'計算A'!C54</f>
        <v/>
      </c>
      <c r="AY3">
        <f>IF(E3=1,1000000,SUMPRODUCT('計算A'!$D$60:$DS$60,$CS3:$HH3)*1000+1)</f>
        <v/>
      </c>
      <c r="AZ3">
        <f>IF(F3=1,1000000,SUMPRODUCT('計算A'!$D$61:$DS$61,$CS3:$HH3)*1000+2)</f>
        <v/>
      </c>
      <c r="BA3">
        <f>IF(G3=1,1000000,SUMPRODUCT('計算A'!$D$62:$DS$62,$CS3:$HH3)*1000+3)</f>
        <v/>
      </c>
      <c r="BB3">
        <f>IF(H3=1,1000000,SUMPRODUCT('計算A'!$D$63:$DS$63,$CS3:$HH3)*1000+4)</f>
        <v/>
      </c>
      <c r="BC3">
        <f>IF(I3=1,1000000,SUMPRODUCT('計算A'!$D$64:$DS$64,$CS3:$HH3)*1000+5)</f>
        <v/>
      </c>
      <c r="BD3">
        <f>IF(J3=1,1000000,SUMPRODUCT('計算A'!$D$65:$DS$65,$CS3:$HH3)*1000+6)</f>
        <v/>
      </c>
      <c r="BE3">
        <f>IF(K3=1,1000000,SUMPRODUCT('計算A'!$D$66:$DS$66,$CS3:$HH3)*1000+7)</f>
        <v/>
      </c>
      <c r="BF3">
        <f>IF(L3=1,1000000,SUMPRODUCT('計算A'!$D$67:$DS$67,$CS3:$HH3)*1000+8)</f>
        <v/>
      </c>
      <c r="BG3">
        <f>IF(M3=1,1000000,SUMPRODUCT('計算A'!$D$68:$DS$68,$CS3:$HH3)*1000+9)</f>
        <v/>
      </c>
      <c r="BH3">
        <f>IF(N3=1,1000000,SUMPRODUCT('計算A'!$D$69:$DS$69,$CS3:$HH3)*1000+10)</f>
        <v/>
      </c>
      <c r="BI3">
        <f>IF(O3=1,1000000,SUMPRODUCT('計算A'!$D$70:$DS$70,$CS3:$HH3)*1000+11)</f>
        <v/>
      </c>
      <c r="BJ3">
        <f>IF(P3=1,1000000,SUMPRODUCT('計算A'!$D$71:$DS$71,$CS3:$HH3)*1000+12)</f>
        <v/>
      </c>
      <c r="BK3">
        <f>IF(Q3=1,1000000,SUMPRODUCT('計算A'!$D$72:$DS$72,$CS3:$HH3)*1000+13)</f>
        <v/>
      </c>
      <c r="BL3">
        <f>IF(R3=1,1000000,SUMPRODUCT('計算A'!$D$73:$DS$73,$CS3:$HH3)*1000+14)</f>
        <v/>
      </c>
      <c r="BM3">
        <f>IF(S3=1,1000000,SUMPRODUCT('計算A'!$D$74:$DS$74,$CS3:$HH3)*1000+15)</f>
        <v/>
      </c>
      <c r="BN3">
        <f>IF(T3=1,1000000,SUMPRODUCT('計算A'!$D$75:$DS$75,$CS3:$HH3)*1000+16)</f>
        <v/>
      </c>
      <c r="BO3">
        <f>IF(U3=1,1000000,SUMPRODUCT('計算A'!$D$76:$DS$76,$CS3:$HH3)*1000+17)</f>
        <v/>
      </c>
      <c r="BP3">
        <f>IF(V3=1,1000000,SUMPRODUCT('計算A'!$D$77:$DS$77,$CS3:$HH3)*1000+18)</f>
        <v/>
      </c>
      <c r="BQ3">
        <f>IF(W3=1,1000000,SUMPRODUCT('計算A'!$D$78:$DS$78,$CS3:$HH3)*1000+19)</f>
        <v/>
      </c>
      <c r="BR3">
        <f>IF(X3=1,1000000,SUMPRODUCT('計算A'!$D$79:$DS$79,$CS3:$HH3)*1000+20)</f>
        <v/>
      </c>
      <c r="BS3">
        <f>IF(Y3=1,1000000,SUMPRODUCT('計算A'!$D$80:$DS$80,$CS3:$HH3)*1000+21)</f>
        <v/>
      </c>
      <c r="BT3">
        <f>IF(Z3=1,1000000,SUMPRODUCT('計算A'!$D$81:$DS$81,$CS3:$HH3)*1000+22)</f>
        <v/>
      </c>
      <c r="BU3">
        <f>IF(AA3=1,1000000,SUMPRODUCT('計算A'!$D$82:$DS$82,$CS3:$HH3)*1000+23)</f>
        <v/>
      </c>
      <c r="BV3">
        <f>IF(AB3=1,1000000,SUMPRODUCT('計算A'!$D$83:$DS$83,$CS3:$HH3)*1000+24)</f>
        <v/>
      </c>
      <c r="BW3">
        <f>IF(AC3=1,1000000,SUMPRODUCT('計算A'!$D$84:$DS$84,$CS3:$HH3)*1000+25)</f>
        <v/>
      </c>
      <c r="BX3">
        <f>IF(AD3=1,1000000,SUMPRODUCT('計算A'!$D$85:$DS$85,$CS3:$HH3)*1000+26)</f>
        <v/>
      </c>
      <c r="BY3">
        <f>IF(AE3=1,1000000,SUMPRODUCT('計算A'!$D$86:$DS$86,$CS3:$HH3)*1000+27)</f>
        <v/>
      </c>
      <c r="BZ3">
        <f>IF(AF3=1,1000000,SUMPRODUCT('計算A'!$D$87:$DS$87,$CS3:$HH3)*1000+28)</f>
        <v/>
      </c>
      <c r="CA3">
        <f>IF(AG3=1,1000000,SUMPRODUCT('計算A'!$D$88:$DS$88,$CS3:$HH3)*1000+29)</f>
        <v/>
      </c>
      <c r="CB3">
        <f>IF(AH3=1,1000000,SUMPRODUCT('計算A'!$D$89:$DS$89,$CS3:$HH3)*1000+30)</f>
        <v/>
      </c>
      <c r="CC3">
        <f>IF(AI3=1,1000000,SUMPRODUCT('計算A'!$D$90:$DS$90,$CS3:$HH3)*1000+31)</f>
        <v/>
      </c>
      <c r="CD3">
        <f>IF(AJ3=1,1000000,SUMPRODUCT('計算A'!$D$91:$DS$91,$CS3:$HH3)*1000+32)</f>
        <v/>
      </c>
      <c r="CE3">
        <f>IF(AK3=1,1000000,SUMPRODUCT('計算A'!$D$92:$DS$92,$CS3:$HH3)*1000+33)</f>
        <v/>
      </c>
      <c r="CF3">
        <f>IF(AL3=1,1000000,SUMPRODUCT('計算A'!$D$93:$DS$93,$CS3:$HH3)*1000+34)</f>
        <v/>
      </c>
      <c r="CG3">
        <f>IF(AM3=1,1000000,SUMPRODUCT('計算A'!$D$94:$DS$94,$CS3:$HH3)*1000+35)</f>
        <v/>
      </c>
      <c r="CH3">
        <f>IF(AN3=1,1000000,SUMPRODUCT('計算A'!$D$95:$DS$95,$CS3:$HH3)*1000+36)</f>
        <v/>
      </c>
      <c r="CI3">
        <f>IF(AO3=1,1000000,SUMPRODUCT('計算A'!$D$96:$DS$96,$CS3:$HH3)*1000+37)</f>
        <v/>
      </c>
      <c r="CJ3">
        <f>IF(AP3=1,1000000,SUMPRODUCT('計算A'!$D$97:$DS$97,$CS3:$HH3)*1000+38)</f>
        <v/>
      </c>
      <c r="CK3">
        <f>IF(AQ3=1,1000000,SUMPRODUCT('計算A'!$D$98:$DS$98,$CS3:$HH3)*1000+39)</f>
        <v/>
      </c>
      <c r="CL3">
        <f>IF(AR3=1,1000000,SUMPRODUCT('計算A'!$D$99:$DS$99,$CS3:$HH3)*1000+40)</f>
        <v/>
      </c>
      <c r="CM3">
        <f>IF(AS3=1,1000000,SUMPRODUCT('計算A'!$D$100:$DS$100,$CS3:$HH3)*1000+41)</f>
        <v/>
      </c>
      <c r="CN3">
        <f>IF(AT3=1,1000000,SUMPRODUCT('計算A'!$D$101:$DS$101,$CS3:$HH3)*1000+42)</f>
        <v/>
      </c>
      <c r="CO3">
        <f>IF(AU3=1,1000000,SUMPRODUCT('計算A'!$D$102:$DS$102,$CS3:$HH3)*1000+43)</f>
        <v/>
      </c>
      <c r="CP3">
        <f>IF(AV3=1,1000000,SUMPRODUCT('計算A'!$D$103:$DS$103,$CS3:$HH3)*1000+44)</f>
        <v/>
      </c>
      <c r="CQ3">
        <f>IF(AW3=1,1000000,SUMPRODUCT('計算A'!$D$104:$DS$104,$CS3:$HH3)*1000+45)</f>
        <v/>
      </c>
      <c r="CS3">
        <f>1-'計算A'!D$7</f>
        <v/>
      </c>
      <c r="CT3">
        <f>1-'計算A'!E$7</f>
        <v/>
      </c>
      <c r="CU3">
        <f>1-'計算A'!F$7</f>
        <v/>
      </c>
      <c r="CV3">
        <f>1-'計算A'!G$7</f>
        <v/>
      </c>
      <c r="CW3">
        <f>1-'計算A'!H$7</f>
        <v/>
      </c>
      <c r="CX3">
        <f>1-'計算A'!I$7</f>
        <v/>
      </c>
      <c r="CY3">
        <f>1-'計算A'!J$7</f>
        <v/>
      </c>
      <c r="CZ3">
        <f>1-'計算A'!K$7</f>
        <v/>
      </c>
      <c r="DA3">
        <f>1-'計算A'!L$7</f>
        <v/>
      </c>
      <c r="DB3">
        <f>1-'計算A'!M$7</f>
        <v/>
      </c>
      <c r="DC3">
        <f>1-'計算A'!N$7</f>
        <v/>
      </c>
      <c r="DD3">
        <f>1-'計算A'!O$7</f>
        <v/>
      </c>
      <c r="DE3">
        <f>1-'計算A'!P$7</f>
        <v/>
      </c>
      <c r="DF3">
        <f>1-'計算A'!Q$7</f>
        <v/>
      </c>
      <c r="DG3">
        <f>1-'計算A'!R$7</f>
        <v/>
      </c>
      <c r="DH3">
        <f>1-'計算A'!S$7</f>
        <v/>
      </c>
      <c r="DI3">
        <f>1-'計算A'!T$7</f>
        <v/>
      </c>
      <c r="DJ3">
        <f>1-'計算A'!U$7</f>
        <v/>
      </c>
      <c r="DK3">
        <f>1-'計算A'!V$7</f>
        <v/>
      </c>
      <c r="DL3">
        <f>1-'計算A'!W$7</f>
        <v/>
      </c>
      <c r="DM3">
        <f>1-'計算A'!X$7</f>
        <v/>
      </c>
      <c r="DN3">
        <f>1-'計算A'!Y$7</f>
        <v/>
      </c>
      <c r="DO3">
        <f>1-'計算A'!Z$7</f>
        <v/>
      </c>
      <c r="DP3">
        <f>1-'計算A'!AA$7</f>
        <v/>
      </c>
      <c r="DQ3">
        <f>1-'計算A'!AB$7</f>
        <v/>
      </c>
      <c r="DR3">
        <f>1-'計算A'!AC$7</f>
        <v/>
      </c>
      <c r="DS3">
        <f>1-'計算A'!AD$7</f>
        <v/>
      </c>
      <c r="DT3">
        <f>1-'計算A'!AE$7</f>
        <v/>
      </c>
      <c r="DU3">
        <f>1-'計算A'!AF$7</f>
        <v/>
      </c>
      <c r="DV3">
        <f>1-'計算A'!AG$7</f>
        <v/>
      </c>
      <c r="DW3">
        <f>1-'計算A'!AH$7</f>
        <v/>
      </c>
      <c r="DX3">
        <f>1-'計算A'!AI$7</f>
        <v/>
      </c>
      <c r="DY3">
        <f>1-'計算A'!AJ$7</f>
        <v/>
      </c>
      <c r="DZ3">
        <f>1-'計算A'!AK$7</f>
        <v/>
      </c>
      <c r="EA3">
        <f>1-'計算A'!AL$7</f>
        <v/>
      </c>
      <c r="EB3">
        <f>1-'計算A'!AM$7</f>
        <v/>
      </c>
      <c r="EC3">
        <f>1-'計算A'!AN$7</f>
        <v/>
      </c>
      <c r="ED3">
        <f>1-'計算A'!AO$7</f>
        <v/>
      </c>
      <c r="EE3">
        <f>1-'計算A'!AP$7</f>
        <v/>
      </c>
      <c r="EF3">
        <f>1-'計算A'!AQ$7</f>
        <v/>
      </c>
      <c r="EG3">
        <f>1-'計算A'!AR$7</f>
        <v/>
      </c>
      <c r="EH3">
        <f>1-'計算A'!AS$7</f>
        <v/>
      </c>
      <c r="EI3">
        <f>1-'計算A'!AT$7</f>
        <v/>
      </c>
      <c r="EJ3">
        <f>1-'計算A'!AU$7</f>
        <v/>
      </c>
      <c r="EK3">
        <f>1-'計算A'!AV$7</f>
        <v/>
      </c>
      <c r="EL3">
        <f>1-'計算A'!AW$7</f>
        <v/>
      </c>
      <c r="EM3">
        <f>1-'計算A'!AX$7</f>
        <v/>
      </c>
      <c r="EN3">
        <f>1-'計算A'!AY$7</f>
        <v/>
      </c>
      <c r="EO3">
        <f>1-'計算A'!AZ$7</f>
        <v/>
      </c>
      <c r="EP3">
        <f>1-'計算A'!BA$7</f>
        <v/>
      </c>
      <c r="EQ3">
        <f>1-'計算A'!BB$7</f>
        <v/>
      </c>
      <c r="ER3">
        <f>1-'計算A'!BC$7</f>
        <v/>
      </c>
      <c r="ES3">
        <f>1-'計算A'!BD$7</f>
        <v/>
      </c>
      <c r="ET3">
        <f>1-'計算A'!BE$7</f>
        <v/>
      </c>
      <c r="EU3">
        <f>1-'計算A'!BF$7</f>
        <v/>
      </c>
      <c r="EV3">
        <f>1-'計算A'!BG$7</f>
        <v/>
      </c>
      <c r="EW3">
        <f>1-'計算A'!BH$7</f>
        <v/>
      </c>
      <c r="EX3">
        <f>1-'計算A'!BI$7</f>
        <v/>
      </c>
      <c r="EY3">
        <f>1-'計算A'!BJ$7</f>
        <v/>
      </c>
      <c r="EZ3">
        <f>1-'計算A'!BK$7</f>
        <v/>
      </c>
      <c r="FA3">
        <f>1-'計算A'!BL$7</f>
        <v/>
      </c>
      <c r="FB3">
        <f>1-'計算A'!BM$7</f>
        <v/>
      </c>
      <c r="FC3">
        <f>1-'計算A'!BN$7</f>
        <v/>
      </c>
      <c r="FD3">
        <f>1-'計算A'!BO$7</f>
        <v/>
      </c>
      <c r="FE3">
        <f>1-'計算A'!BP$7</f>
        <v/>
      </c>
      <c r="FF3">
        <f>1-'計算A'!BQ$7</f>
        <v/>
      </c>
      <c r="FG3">
        <f>1-'計算A'!BR$7</f>
        <v/>
      </c>
      <c r="FH3">
        <f>1-'計算A'!BS$7</f>
        <v/>
      </c>
      <c r="FI3">
        <f>1-'計算A'!BT$7</f>
        <v/>
      </c>
      <c r="FJ3">
        <f>1-'計算A'!BU$7</f>
        <v/>
      </c>
      <c r="FK3">
        <f>1-'計算A'!BV$7</f>
        <v/>
      </c>
      <c r="FL3">
        <f>1-'計算A'!BW$7</f>
        <v/>
      </c>
      <c r="FM3">
        <f>1-'計算A'!BX$7</f>
        <v/>
      </c>
      <c r="FN3">
        <f>1-'計算A'!BY$7</f>
        <v/>
      </c>
      <c r="FO3">
        <f>1-'計算A'!BZ$7</f>
        <v/>
      </c>
      <c r="FP3">
        <f>1-'計算A'!CA$7</f>
        <v/>
      </c>
      <c r="FQ3">
        <f>1-'計算A'!CB$7</f>
        <v/>
      </c>
      <c r="FR3">
        <f>1-'計算A'!CC$7</f>
        <v/>
      </c>
      <c r="FS3">
        <f>1-'計算A'!CD$7</f>
        <v/>
      </c>
      <c r="FT3">
        <f>1-'計算A'!CE$7</f>
        <v/>
      </c>
      <c r="FU3">
        <f>1-'計算A'!CF$7</f>
        <v/>
      </c>
      <c r="FV3">
        <f>1-'計算A'!CG$7</f>
        <v/>
      </c>
      <c r="FW3">
        <f>1-'計算A'!CH$7</f>
        <v/>
      </c>
      <c r="FX3">
        <f>1-'計算A'!CI$7</f>
        <v/>
      </c>
      <c r="FY3">
        <f>1-'計算A'!CJ$7</f>
        <v/>
      </c>
      <c r="FZ3">
        <f>1-'計算A'!CK$7</f>
        <v/>
      </c>
      <c r="GA3">
        <f>1-'計算A'!CL$7</f>
        <v/>
      </c>
      <c r="GB3">
        <f>1-'計算A'!CM$7</f>
        <v/>
      </c>
      <c r="GC3">
        <f>1-'計算A'!CN$7</f>
        <v/>
      </c>
      <c r="GD3">
        <f>1-'計算A'!CO$7</f>
        <v/>
      </c>
      <c r="GE3">
        <f>1-'計算A'!CP$7</f>
        <v/>
      </c>
      <c r="GF3">
        <f>1-'計算A'!CQ$7</f>
        <v/>
      </c>
      <c r="GG3">
        <f>1-'計算A'!CR$7</f>
        <v/>
      </c>
      <c r="GH3">
        <f>1-'計算A'!CS$7</f>
        <v/>
      </c>
      <c r="GI3">
        <f>1-'計算A'!CT$7</f>
        <v/>
      </c>
      <c r="GJ3">
        <f>1-'計算A'!CU$7</f>
        <v/>
      </c>
      <c r="GK3">
        <f>1-'計算A'!CV$7</f>
        <v/>
      </c>
      <c r="GL3">
        <f>1-'計算A'!CW$7</f>
        <v/>
      </c>
      <c r="GM3">
        <f>1-'計算A'!CX$7</f>
        <v/>
      </c>
      <c r="GN3">
        <f>1-'計算A'!CY$7</f>
        <v/>
      </c>
      <c r="GO3">
        <f>1-'計算A'!CZ$7</f>
        <v/>
      </c>
      <c r="GP3">
        <f>1-'計算A'!DA$7</f>
        <v/>
      </c>
      <c r="GQ3">
        <f>1-'計算A'!DB$7</f>
        <v/>
      </c>
      <c r="GR3">
        <f>1-'計算A'!DC$7</f>
        <v/>
      </c>
      <c r="GS3">
        <f>1-'計算A'!DD$7</f>
        <v/>
      </c>
      <c r="GT3">
        <f>1-'計算A'!DE$7</f>
        <v/>
      </c>
      <c r="GU3">
        <f>1-'計算A'!DF$7</f>
        <v/>
      </c>
      <c r="GV3">
        <f>1-'計算A'!DG$7</f>
        <v/>
      </c>
      <c r="GW3">
        <f>1-'計算A'!DH$7</f>
        <v/>
      </c>
      <c r="GX3">
        <f>1-'計算A'!DI$7</f>
        <v/>
      </c>
      <c r="GY3">
        <f>1-'計算A'!DJ$7</f>
        <v/>
      </c>
      <c r="GZ3">
        <f>1-'計算A'!DK$7</f>
        <v/>
      </c>
      <c r="HA3">
        <f>1-'計算A'!DL$7</f>
        <v/>
      </c>
      <c r="HB3">
        <f>1-'計算A'!DM$7</f>
        <v/>
      </c>
      <c r="HC3">
        <f>1-'計算A'!DN$7</f>
        <v/>
      </c>
      <c r="HD3">
        <f>1-'計算A'!DO$7</f>
        <v/>
      </c>
      <c r="HE3">
        <f>1-'計算A'!DP$7</f>
        <v/>
      </c>
      <c r="HF3">
        <f>1-'計算A'!DQ$7</f>
        <v/>
      </c>
      <c r="HG3">
        <f>1-'計算A'!DR$7</f>
        <v/>
      </c>
      <c r="HH3">
        <f>1-'計算A'!DS$7</f>
        <v/>
      </c>
      <c r="HJ3">
        <f>IF($B3=0,1000000,IF(INDEX('計算A'!$D$60:$DS$104,$B3,1)*CS3=1,'計算A'!D$6,1000000))</f>
        <v/>
      </c>
      <c r="HK3">
        <f>IF($B3=0,1000000,IF(INDEX('計算A'!$D$60:$DS$104,$B3,2)*CT3=1,'計算A'!E$6,1000000))</f>
        <v/>
      </c>
      <c r="HL3">
        <f>IF($B3=0,1000000,IF(INDEX('計算A'!$D$60:$DS$104,$B3,3)*CU3=1,'計算A'!F$6,1000000))</f>
        <v/>
      </c>
      <c r="HM3">
        <f>IF($B3=0,1000000,IF(INDEX('計算A'!$D$60:$DS$104,$B3,4)*CV3=1,'計算A'!G$6,1000000))</f>
        <v/>
      </c>
      <c r="HN3">
        <f>IF($B3=0,1000000,IF(INDEX('計算A'!$D$60:$DS$104,$B3,5)*CW3=1,'計算A'!H$6,1000000))</f>
        <v/>
      </c>
      <c r="HO3">
        <f>IF($B3=0,1000000,IF(INDEX('計算A'!$D$60:$DS$104,$B3,6)*CX3=1,'計算A'!I$6,1000000))</f>
        <v/>
      </c>
      <c r="HP3">
        <f>IF($B3=0,1000000,IF(INDEX('計算A'!$D$60:$DS$104,$B3,7)*CY3=1,'計算A'!J$6,1000000))</f>
        <v/>
      </c>
      <c r="HQ3">
        <f>IF($B3=0,1000000,IF(INDEX('計算A'!$D$60:$DS$104,$B3,8)*CZ3=1,'計算A'!K$6,1000000))</f>
        <v/>
      </c>
      <c r="HR3">
        <f>IF($B3=0,1000000,IF(INDEX('計算A'!$D$60:$DS$104,$B3,9)*DA3=1,'計算A'!L$6,1000000))</f>
        <v/>
      </c>
      <c r="HS3">
        <f>IF($B3=0,1000000,IF(INDEX('計算A'!$D$60:$DS$104,$B3,10)*DB3=1,'計算A'!M$6,1000000))</f>
        <v/>
      </c>
      <c r="HT3">
        <f>IF($B3=0,1000000,IF(INDEX('計算A'!$D$60:$DS$104,$B3,11)*DC3=1,'計算A'!N$6,1000000))</f>
        <v/>
      </c>
      <c r="HU3">
        <f>IF($B3=0,1000000,IF(INDEX('計算A'!$D$60:$DS$104,$B3,12)*DD3=1,'計算A'!O$6,1000000))</f>
        <v/>
      </c>
      <c r="HV3">
        <f>IF($B3=0,1000000,IF(INDEX('計算A'!$D$60:$DS$104,$B3,13)*DE3=1,'計算A'!P$6,1000000))</f>
        <v/>
      </c>
      <c r="HW3">
        <f>IF($B3=0,1000000,IF(INDEX('計算A'!$D$60:$DS$104,$B3,14)*DF3=1,'計算A'!Q$6,1000000))</f>
        <v/>
      </c>
      <c r="HX3">
        <f>IF($B3=0,1000000,IF(INDEX('計算A'!$D$60:$DS$104,$B3,15)*DG3=1,'計算A'!R$6,1000000))</f>
        <v/>
      </c>
      <c r="HY3">
        <f>IF($B3=0,1000000,IF(INDEX('計算A'!$D$60:$DS$104,$B3,16)*DH3=1,'計算A'!S$6,1000000))</f>
        <v/>
      </c>
      <c r="HZ3">
        <f>IF($B3=0,1000000,IF(INDEX('計算A'!$D$60:$DS$104,$B3,17)*DI3=1,'計算A'!T$6,1000000))</f>
        <v/>
      </c>
      <c r="IA3">
        <f>IF($B3=0,1000000,IF(INDEX('計算A'!$D$60:$DS$104,$B3,18)*DJ3=1,'計算A'!U$6,1000000))</f>
        <v/>
      </c>
      <c r="IB3">
        <f>IF($B3=0,1000000,IF(INDEX('計算A'!$D$60:$DS$104,$B3,19)*DK3=1,'計算A'!V$6,1000000))</f>
        <v/>
      </c>
      <c r="IC3">
        <f>IF($B3=0,1000000,IF(INDEX('計算A'!$D$60:$DS$104,$B3,20)*DL3=1,'計算A'!W$6,1000000))</f>
        <v/>
      </c>
      <c r="ID3">
        <f>IF($B3=0,1000000,IF(INDEX('計算A'!$D$60:$DS$104,$B3,21)*DM3=1,'計算A'!X$6,1000000))</f>
        <v/>
      </c>
      <c r="IE3">
        <f>IF($B3=0,1000000,IF(INDEX('計算A'!$D$60:$DS$104,$B3,22)*DN3=1,'計算A'!Y$6,1000000))</f>
        <v/>
      </c>
      <c r="IF3">
        <f>IF($B3=0,1000000,IF(INDEX('計算A'!$D$60:$DS$104,$B3,23)*DO3=1,'計算A'!Z$6,1000000))</f>
        <v/>
      </c>
      <c r="IG3">
        <f>IF($B3=0,1000000,IF(INDEX('計算A'!$D$60:$DS$104,$B3,24)*DP3=1,'計算A'!AA$6,1000000))</f>
        <v/>
      </c>
      <c r="IH3">
        <f>IF($B3=0,1000000,IF(INDEX('計算A'!$D$60:$DS$104,$B3,25)*DQ3=1,'計算A'!AB$6,1000000))</f>
        <v/>
      </c>
      <c r="II3">
        <f>IF($B3=0,1000000,IF(INDEX('計算A'!$D$60:$DS$104,$B3,26)*DR3=1,'計算A'!AC$6,1000000))</f>
        <v/>
      </c>
      <c r="IJ3">
        <f>IF($B3=0,1000000,IF(INDEX('計算A'!$D$60:$DS$104,$B3,27)*DS3=1,'計算A'!AD$6,1000000))</f>
        <v/>
      </c>
      <c r="IK3">
        <f>IF($B3=0,1000000,IF(INDEX('計算A'!$D$60:$DS$104,$B3,28)*DT3=1,'計算A'!AE$6,1000000))</f>
        <v/>
      </c>
      <c r="IL3">
        <f>IF($B3=0,1000000,IF(INDEX('計算A'!$D$60:$DS$104,$B3,29)*DU3=1,'計算A'!AF$6,1000000))</f>
        <v/>
      </c>
      <c r="IM3">
        <f>IF($B3=0,1000000,IF(INDEX('計算A'!$D$60:$DS$104,$B3,30)*DV3=1,'計算A'!AG$6,1000000))</f>
        <v/>
      </c>
      <c r="IN3">
        <f>IF($B3=0,1000000,IF(INDEX('計算A'!$D$60:$DS$104,$B3,31)*DW3=1,'計算A'!AH$6,1000000))</f>
        <v/>
      </c>
      <c r="IO3">
        <f>IF($B3=0,1000000,IF(INDEX('計算A'!$D$60:$DS$104,$B3,32)*DX3=1,'計算A'!AI$6,1000000))</f>
        <v/>
      </c>
      <c r="IP3">
        <f>IF($B3=0,1000000,IF(INDEX('計算A'!$D$60:$DS$104,$B3,33)*DY3=1,'計算A'!AJ$6,1000000))</f>
        <v/>
      </c>
      <c r="IQ3">
        <f>IF($B3=0,1000000,IF(INDEX('計算A'!$D$60:$DS$104,$B3,34)*DZ3=1,'計算A'!AK$6,1000000))</f>
        <v/>
      </c>
      <c r="IR3">
        <f>IF($B3=0,1000000,IF(INDEX('計算A'!$D$60:$DS$104,$B3,35)*EA3=1,'計算A'!AL$6,1000000))</f>
        <v/>
      </c>
      <c r="IS3">
        <f>IF($B3=0,1000000,IF(INDEX('計算A'!$D$60:$DS$104,$B3,36)*EB3=1,'計算A'!AM$6,1000000))</f>
        <v/>
      </c>
      <c r="IT3">
        <f>IF($B3=0,1000000,IF(INDEX('計算A'!$D$60:$DS$104,$B3,37)*EC3=1,'計算A'!AN$6,1000000))</f>
        <v/>
      </c>
      <c r="IU3">
        <f>IF($B3=0,1000000,IF(INDEX('計算A'!$D$60:$DS$104,$B3,38)*ED3=1,'計算A'!AO$6,1000000))</f>
        <v/>
      </c>
      <c r="IV3">
        <f>IF($B3=0,1000000,IF(INDEX('計算A'!$D$60:$DS$104,$B3,39)*EE3=1,'計算A'!AP$6,1000000))</f>
        <v/>
      </c>
      <c r="IW3">
        <f>IF($B3=0,1000000,IF(INDEX('計算A'!$D$60:$DS$104,$B3,40)*EF3=1,'計算A'!AQ$6,1000000))</f>
        <v/>
      </c>
      <c r="IX3">
        <f>IF($B3=0,1000000,IF(INDEX('計算A'!$D$60:$DS$104,$B3,41)*EG3=1,'計算A'!AR$6,1000000))</f>
        <v/>
      </c>
      <c r="IY3">
        <f>IF($B3=0,1000000,IF(INDEX('計算A'!$D$60:$DS$104,$B3,42)*EH3=1,'計算A'!AS$6,1000000))</f>
        <v/>
      </c>
      <c r="IZ3">
        <f>IF($B3=0,1000000,IF(INDEX('計算A'!$D$60:$DS$104,$B3,43)*EI3=1,'計算A'!AT$6,1000000))</f>
        <v/>
      </c>
      <c r="JA3">
        <f>IF($B3=0,1000000,IF(INDEX('計算A'!$D$60:$DS$104,$B3,44)*EJ3=1,'計算A'!AU$6,1000000))</f>
        <v/>
      </c>
      <c r="JB3">
        <f>IF($B3=0,1000000,IF(INDEX('計算A'!$D$60:$DS$104,$B3,45)*EK3=1,'計算A'!AV$6,1000000))</f>
        <v/>
      </c>
      <c r="JC3">
        <f>IF($B3=0,1000000,IF(INDEX('計算A'!$D$60:$DS$104,$B3,46)*EL3=1,'計算A'!AW$6,1000000))</f>
        <v/>
      </c>
      <c r="JD3">
        <f>IF($B3=0,1000000,IF(INDEX('計算A'!$D$60:$DS$104,$B3,47)*EM3=1,'計算A'!AX$6,1000000))</f>
        <v/>
      </c>
      <c r="JE3">
        <f>IF($B3=0,1000000,IF(INDEX('計算A'!$D$60:$DS$104,$B3,48)*EN3=1,'計算A'!AY$6,1000000))</f>
        <v/>
      </c>
      <c r="JF3">
        <f>IF($B3=0,1000000,IF(INDEX('計算A'!$D$60:$DS$104,$B3,49)*EO3=1,'計算A'!AZ$6,1000000))</f>
        <v/>
      </c>
      <c r="JG3">
        <f>IF($B3=0,1000000,IF(INDEX('計算A'!$D$60:$DS$104,$B3,50)*EP3=1,'計算A'!BA$6,1000000))</f>
        <v/>
      </c>
      <c r="JH3">
        <f>IF($B3=0,1000000,IF(INDEX('計算A'!$D$60:$DS$104,$B3,51)*EQ3=1,'計算A'!BB$6,1000000))</f>
        <v/>
      </c>
      <c r="JI3">
        <f>IF($B3=0,1000000,IF(INDEX('計算A'!$D$60:$DS$104,$B3,52)*ER3=1,'計算A'!BC$6,1000000))</f>
        <v/>
      </c>
      <c r="JJ3">
        <f>IF($B3=0,1000000,IF(INDEX('計算A'!$D$60:$DS$104,$B3,53)*ES3=1,'計算A'!BD$6,1000000))</f>
        <v/>
      </c>
      <c r="JK3">
        <f>IF($B3=0,1000000,IF(INDEX('計算A'!$D$60:$DS$104,$B3,54)*ET3=1,'計算A'!BE$6,1000000))</f>
        <v/>
      </c>
      <c r="JL3">
        <f>IF($B3=0,1000000,IF(INDEX('計算A'!$D$60:$DS$104,$B3,55)*EU3=1,'計算A'!BF$6,1000000))</f>
        <v/>
      </c>
      <c r="JM3">
        <f>IF($B3=0,1000000,IF(INDEX('計算A'!$D$60:$DS$104,$B3,56)*EV3=1,'計算A'!BG$6,1000000))</f>
        <v/>
      </c>
      <c r="JN3">
        <f>IF($B3=0,1000000,IF(INDEX('計算A'!$D$60:$DS$104,$B3,57)*EW3=1,'計算A'!BH$6,1000000))</f>
        <v/>
      </c>
      <c r="JO3">
        <f>IF($B3=0,1000000,IF(INDEX('計算A'!$D$60:$DS$104,$B3,58)*EX3=1,'計算A'!BI$6,1000000))</f>
        <v/>
      </c>
      <c r="JP3">
        <f>IF($B3=0,1000000,IF(INDEX('計算A'!$D$60:$DS$104,$B3,59)*EY3=1,'計算A'!BJ$6,1000000))</f>
        <v/>
      </c>
      <c r="JQ3">
        <f>IF($B3=0,1000000,IF(INDEX('計算A'!$D$60:$DS$104,$B3,60)*EZ3=1,'計算A'!BK$6,1000000))</f>
        <v/>
      </c>
      <c r="JR3">
        <f>IF($B3=0,1000000,IF(INDEX('計算A'!$D$60:$DS$104,$B3,61)*FA3=1,'計算A'!BL$6,1000000))</f>
        <v/>
      </c>
      <c r="JS3">
        <f>IF($B3=0,1000000,IF(INDEX('計算A'!$D$60:$DS$104,$B3,62)*FB3=1,'計算A'!BM$6,1000000))</f>
        <v/>
      </c>
      <c r="JT3">
        <f>IF($B3=0,1000000,IF(INDEX('計算A'!$D$60:$DS$104,$B3,63)*FC3=1,'計算A'!BN$6,1000000))</f>
        <v/>
      </c>
      <c r="JU3">
        <f>IF($B3=0,1000000,IF(INDEX('計算A'!$D$60:$DS$104,$B3,64)*FD3=1,'計算A'!BO$6,1000000))</f>
        <v/>
      </c>
      <c r="JV3">
        <f>IF($B3=0,1000000,IF(INDEX('計算A'!$D$60:$DS$104,$B3,65)*FE3=1,'計算A'!BP$6,1000000))</f>
        <v/>
      </c>
      <c r="JW3">
        <f>IF($B3=0,1000000,IF(INDEX('計算A'!$D$60:$DS$104,$B3,66)*FF3=1,'計算A'!BQ$6,1000000))</f>
        <v/>
      </c>
      <c r="JX3">
        <f>IF($B3=0,1000000,IF(INDEX('計算A'!$D$60:$DS$104,$B3,67)*FG3=1,'計算A'!BR$6,1000000))</f>
        <v/>
      </c>
      <c r="JY3">
        <f>IF($B3=0,1000000,IF(INDEX('計算A'!$D$60:$DS$104,$B3,68)*FH3=1,'計算A'!BS$6,1000000))</f>
        <v/>
      </c>
      <c r="JZ3">
        <f>IF($B3=0,1000000,IF(INDEX('計算A'!$D$60:$DS$104,$B3,69)*FI3=1,'計算A'!BT$6,1000000))</f>
        <v/>
      </c>
      <c r="KA3">
        <f>IF($B3=0,1000000,IF(INDEX('計算A'!$D$60:$DS$104,$B3,70)*FJ3=1,'計算A'!BU$6,1000000))</f>
        <v/>
      </c>
      <c r="KB3">
        <f>IF($B3=0,1000000,IF(INDEX('計算A'!$D$60:$DS$104,$B3,71)*FK3=1,'計算A'!BV$6,1000000))</f>
        <v/>
      </c>
      <c r="KC3">
        <f>IF($B3=0,1000000,IF(INDEX('計算A'!$D$60:$DS$104,$B3,72)*FL3=1,'計算A'!BW$6,1000000))</f>
        <v/>
      </c>
      <c r="KD3">
        <f>IF($B3=0,1000000,IF(INDEX('計算A'!$D$60:$DS$104,$B3,73)*FM3=1,'計算A'!BX$6,1000000))</f>
        <v/>
      </c>
      <c r="KE3">
        <f>IF($B3=0,1000000,IF(INDEX('計算A'!$D$60:$DS$104,$B3,74)*FN3=1,'計算A'!BY$6,1000000))</f>
        <v/>
      </c>
      <c r="KF3">
        <f>IF($B3=0,1000000,IF(INDEX('計算A'!$D$60:$DS$104,$B3,75)*FO3=1,'計算A'!BZ$6,1000000))</f>
        <v/>
      </c>
      <c r="KG3">
        <f>IF($B3=0,1000000,IF(INDEX('計算A'!$D$60:$DS$104,$B3,76)*FP3=1,'計算A'!CA$6,1000000))</f>
        <v/>
      </c>
      <c r="KH3">
        <f>IF($B3=0,1000000,IF(INDEX('計算A'!$D$60:$DS$104,$B3,77)*FQ3=1,'計算A'!CB$6,1000000))</f>
        <v/>
      </c>
      <c r="KI3">
        <f>IF($B3=0,1000000,IF(INDEX('計算A'!$D$60:$DS$104,$B3,78)*FR3=1,'計算A'!CC$6,1000000))</f>
        <v/>
      </c>
      <c r="KJ3">
        <f>IF($B3=0,1000000,IF(INDEX('計算A'!$D$60:$DS$104,$B3,79)*FS3=1,'計算A'!CD$6,1000000))</f>
        <v/>
      </c>
      <c r="KK3">
        <f>IF($B3=0,1000000,IF(INDEX('計算A'!$D$60:$DS$104,$B3,80)*FT3=1,'計算A'!CE$6,1000000))</f>
        <v/>
      </c>
      <c r="KL3">
        <f>IF($B3=0,1000000,IF(INDEX('計算A'!$D$60:$DS$104,$B3,81)*FU3=1,'計算A'!CF$6,1000000))</f>
        <v/>
      </c>
      <c r="KM3">
        <f>IF($B3=0,1000000,IF(INDEX('計算A'!$D$60:$DS$104,$B3,82)*FV3=1,'計算A'!CG$6,1000000))</f>
        <v/>
      </c>
      <c r="KN3">
        <f>IF($B3=0,1000000,IF(INDEX('計算A'!$D$60:$DS$104,$B3,83)*FW3=1,'計算A'!CH$6,1000000))</f>
        <v/>
      </c>
      <c r="KO3">
        <f>IF($B3=0,1000000,IF(INDEX('計算A'!$D$60:$DS$104,$B3,84)*FX3=1,'計算A'!CI$6,1000000))</f>
        <v/>
      </c>
      <c r="KP3">
        <f>IF($B3=0,1000000,IF(INDEX('計算A'!$D$60:$DS$104,$B3,85)*FY3=1,'計算A'!CJ$6,1000000))</f>
        <v/>
      </c>
      <c r="KQ3">
        <f>IF($B3=0,1000000,IF(INDEX('計算A'!$D$60:$DS$104,$B3,86)*FZ3=1,'計算A'!CK$6,1000000))</f>
        <v/>
      </c>
      <c r="KR3">
        <f>IF($B3=0,1000000,IF(INDEX('計算A'!$D$60:$DS$104,$B3,87)*GA3=1,'計算A'!CL$6,1000000))</f>
        <v/>
      </c>
      <c r="KS3">
        <f>IF($B3=0,1000000,IF(INDEX('計算A'!$D$60:$DS$104,$B3,88)*GB3=1,'計算A'!CM$6,1000000))</f>
        <v/>
      </c>
      <c r="KT3">
        <f>IF($B3=0,1000000,IF(INDEX('計算A'!$D$60:$DS$104,$B3,89)*GC3=1,'計算A'!CN$6,1000000))</f>
        <v/>
      </c>
      <c r="KU3">
        <f>IF($B3=0,1000000,IF(INDEX('計算A'!$D$60:$DS$104,$B3,90)*GD3=1,'計算A'!CO$6,1000000))</f>
        <v/>
      </c>
      <c r="KV3">
        <f>IF($B3=0,1000000,IF(INDEX('計算A'!$D$60:$DS$104,$B3,91)*GE3=1,'計算A'!CP$6,1000000))</f>
        <v/>
      </c>
      <c r="KW3">
        <f>IF($B3=0,1000000,IF(INDEX('計算A'!$D$60:$DS$104,$B3,92)*GF3=1,'計算A'!CQ$6,1000000))</f>
        <v/>
      </c>
      <c r="KX3">
        <f>IF($B3=0,1000000,IF(INDEX('計算A'!$D$60:$DS$104,$B3,93)*GG3=1,'計算A'!CR$6,1000000))</f>
        <v/>
      </c>
      <c r="KY3">
        <f>IF($B3=0,1000000,IF(INDEX('計算A'!$D$60:$DS$104,$B3,94)*GH3=1,'計算A'!CS$6,1000000))</f>
        <v/>
      </c>
      <c r="KZ3">
        <f>IF($B3=0,1000000,IF(INDEX('計算A'!$D$60:$DS$104,$B3,95)*GI3=1,'計算A'!CT$6,1000000))</f>
        <v/>
      </c>
      <c r="LA3">
        <f>IF($B3=0,1000000,IF(INDEX('計算A'!$D$60:$DS$104,$B3,96)*GJ3=1,'計算A'!CU$6,1000000))</f>
        <v/>
      </c>
      <c r="LB3">
        <f>IF($B3=0,1000000,IF(INDEX('計算A'!$D$60:$DS$104,$B3,97)*GK3=1,'計算A'!CV$6,1000000))</f>
        <v/>
      </c>
      <c r="LC3">
        <f>IF($B3=0,1000000,IF(INDEX('計算A'!$D$60:$DS$104,$B3,98)*GL3=1,'計算A'!CW$6,1000000))</f>
        <v/>
      </c>
      <c r="LD3">
        <f>IF($B3=0,1000000,IF(INDEX('計算A'!$D$60:$DS$104,$B3,99)*GM3=1,'計算A'!CX$6,1000000))</f>
        <v/>
      </c>
      <c r="LE3">
        <f>IF($B3=0,1000000,IF(INDEX('計算A'!$D$60:$DS$104,$B3,100)*GN3=1,'計算A'!CY$6,1000000))</f>
        <v/>
      </c>
      <c r="LF3">
        <f>IF($B3=0,1000000,IF(INDEX('計算A'!$D$60:$DS$104,$B3,101)*GO3=1,'計算A'!CZ$6,1000000))</f>
        <v/>
      </c>
      <c r="LG3">
        <f>IF($B3=0,1000000,IF(INDEX('計算A'!$D$60:$DS$104,$B3,102)*GP3=1,'計算A'!DA$6,1000000))</f>
        <v/>
      </c>
      <c r="LH3">
        <f>IF($B3=0,1000000,IF(INDEX('計算A'!$D$60:$DS$104,$B3,103)*GQ3=1,'計算A'!DB$6,1000000))</f>
        <v/>
      </c>
      <c r="LI3">
        <f>IF($B3=0,1000000,IF(INDEX('計算A'!$D$60:$DS$104,$B3,104)*GR3=1,'計算A'!DC$6,1000000))</f>
        <v/>
      </c>
      <c r="LJ3">
        <f>IF($B3=0,1000000,IF(INDEX('計算A'!$D$60:$DS$104,$B3,105)*GS3=1,'計算A'!DD$6,1000000))</f>
        <v/>
      </c>
      <c r="LK3">
        <f>IF($B3=0,1000000,IF(INDEX('計算A'!$D$60:$DS$104,$B3,106)*GT3=1,'計算A'!DE$6,1000000))</f>
        <v/>
      </c>
      <c r="LL3">
        <f>IF($B3=0,1000000,IF(INDEX('計算A'!$D$60:$DS$104,$B3,107)*GU3=1,'計算A'!DF$6,1000000))</f>
        <v/>
      </c>
      <c r="LM3">
        <f>IF($B3=0,1000000,IF(INDEX('計算A'!$D$60:$DS$104,$B3,108)*GV3=1,'計算A'!DG$6,1000000))</f>
        <v/>
      </c>
      <c r="LN3">
        <f>IF($B3=0,1000000,IF(INDEX('計算A'!$D$60:$DS$104,$B3,109)*GW3=1,'計算A'!DH$6,1000000))</f>
        <v/>
      </c>
      <c r="LO3">
        <f>IF($B3=0,1000000,IF(INDEX('計算A'!$D$60:$DS$104,$B3,110)*GX3=1,'計算A'!DI$6,1000000))</f>
        <v/>
      </c>
      <c r="LP3">
        <f>IF($B3=0,1000000,IF(INDEX('計算A'!$D$60:$DS$104,$B3,111)*GY3=1,'計算A'!DJ$6,1000000))</f>
        <v/>
      </c>
      <c r="LQ3">
        <f>IF($B3=0,1000000,IF(INDEX('計算A'!$D$60:$DS$104,$B3,112)*GZ3=1,'計算A'!DK$6,1000000))</f>
        <v/>
      </c>
      <c r="LR3">
        <f>IF($B3=0,1000000,IF(INDEX('計算A'!$D$60:$DS$104,$B3,113)*HA3=1,'計算A'!DL$6,1000000))</f>
        <v/>
      </c>
      <c r="LS3">
        <f>IF($B3=0,1000000,IF(INDEX('計算A'!$D$60:$DS$104,$B3,114)*HB3=1,'計算A'!DM$6,1000000))</f>
        <v/>
      </c>
      <c r="LT3">
        <f>IF($B3=0,1000000,IF(INDEX('計算A'!$D$60:$DS$104,$B3,115)*HC3=1,'計算A'!DN$6,1000000))</f>
        <v/>
      </c>
      <c r="LU3">
        <f>IF($B3=0,1000000,IF(INDEX('計算A'!$D$60:$DS$104,$B3,116)*HD3=1,'計算A'!DO$6,1000000))</f>
        <v/>
      </c>
      <c r="LV3">
        <f>IF($B3=0,1000000,IF(INDEX('計算A'!$D$60:$DS$104,$B3,117)*HE3=1,'計算A'!DP$6,1000000))</f>
        <v/>
      </c>
      <c r="LW3">
        <f>IF($B3=0,1000000,IF(INDEX('計算A'!$D$60:$DS$104,$B3,118)*HF3=1,'計算A'!DQ$6,1000000))</f>
        <v/>
      </c>
      <c r="LX3">
        <f>IF($B3=0,1000000,IF(INDEX('計算A'!$D$60:$DS$104,$B3,119)*HG3=1,'計算A'!DR$6,1000000))</f>
        <v/>
      </c>
      <c r="LY3">
        <f>IF($B3=0,1000000,IF(INDEX('計算A'!$D$60:$DS$104,$B3,120)*HH3=1,'計算A'!DS$6,1000000))</f>
        <v/>
      </c>
    </row>
    <row r="4">
      <c r="A4" t="n">
        <v>2</v>
      </c>
      <c r="B4">
        <f>IF(MIN(AY4:CQ4)&gt;=1000000,0,MATCH(MIN(AY4:CQ4),AY4:CQ4,0))</f>
        <v/>
      </c>
      <c r="C4">
        <f>IF(MIN(HJ4:LY4)&gt;=1000000,0,MATCH(MIN(HJ4:LY4),HJ4:LY4,0))</f>
        <v/>
      </c>
      <c r="D4">
        <f>IF(C4&gt;0,INDEX('計算A'!$D$5:$DS$5,C4),0)</f>
        <v/>
      </c>
      <c r="E4">
        <f>MAX(E3,IF($B3=1,1,0))</f>
        <v/>
      </c>
      <c r="F4">
        <f>MAX(F3,IF($B3=2,1,0))</f>
        <v/>
      </c>
      <c r="G4">
        <f>MAX(G3,IF($B3=3,1,0))</f>
        <v/>
      </c>
      <c r="H4">
        <f>MAX(H3,IF($B3=4,1,0))</f>
        <v/>
      </c>
      <c r="I4">
        <f>MAX(I3,IF($B3=5,1,0))</f>
        <v/>
      </c>
      <c r="J4">
        <f>MAX(J3,IF($B3=6,1,0))</f>
        <v/>
      </c>
      <c r="K4">
        <f>MAX(K3,IF($B3=7,1,0))</f>
        <v/>
      </c>
      <c r="L4">
        <f>MAX(L3,IF($B3=8,1,0))</f>
        <v/>
      </c>
      <c r="M4">
        <f>MAX(M3,IF($B3=9,1,0))</f>
        <v/>
      </c>
      <c r="N4">
        <f>MAX(N3,IF($B3=10,1,0))</f>
        <v/>
      </c>
      <c r="O4">
        <f>MAX(O3,IF($B3=11,1,0))</f>
        <v/>
      </c>
      <c r="P4">
        <f>MAX(P3,IF($B3=12,1,0))</f>
        <v/>
      </c>
      <c r="Q4">
        <f>MAX(Q3,IF($B3=13,1,0))</f>
        <v/>
      </c>
      <c r="R4">
        <f>MAX(R3,IF($B3=14,1,0))</f>
        <v/>
      </c>
      <c r="S4">
        <f>MAX(S3,IF($B3=15,1,0))</f>
        <v/>
      </c>
      <c r="T4">
        <f>MAX(T3,IF($B3=16,1,0))</f>
        <v/>
      </c>
      <c r="U4">
        <f>MAX(U3,IF($B3=17,1,0))</f>
        <v/>
      </c>
      <c r="V4">
        <f>MAX(V3,IF($B3=18,1,0))</f>
        <v/>
      </c>
      <c r="W4">
        <f>MAX(W3,IF($B3=19,1,0))</f>
        <v/>
      </c>
      <c r="X4">
        <f>MAX(X3,IF($B3=20,1,0))</f>
        <v/>
      </c>
      <c r="Y4">
        <f>MAX(Y3,IF($B3=21,1,0))</f>
        <v/>
      </c>
      <c r="Z4">
        <f>MAX(Z3,IF($B3=22,1,0))</f>
        <v/>
      </c>
      <c r="AA4">
        <f>MAX(AA3,IF($B3=23,1,0))</f>
        <v/>
      </c>
      <c r="AB4">
        <f>MAX(AB3,IF($B3=24,1,0))</f>
        <v/>
      </c>
      <c r="AC4">
        <f>MAX(AC3,IF($B3=25,1,0))</f>
        <v/>
      </c>
      <c r="AD4">
        <f>MAX(AD3,IF($B3=26,1,0))</f>
        <v/>
      </c>
      <c r="AE4">
        <f>MAX(AE3,IF($B3=27,1,0))</f>
        <v/>
      </c>
      <c r="AF4">
        <f>MAX(AF3,IF($B3=28,1,0))</f>
        <v/>
      </c>
      <c r="AG4">
        <f>MAX(AG3,IF($B3=29,1,0))</f>
        <v/>
      </c>
      <c r="AH4">
        <f>MAX(AH3,IF($B3=30,1,0))</f>
        <v/>
      </c>
      <c r="AI4">
        <f>MAX(AI3,IF($B3=31,1,0))</f>
        <v/>
      </c>
      <c r="AJ4">
        <f>MAX(AJ3,IF($B3=32,1,0))</f>
        <v/>
      </c>
      <c r="AK4">
        <f>MAX(AK3,IF($B3=33,1,0))</f>
        <v/>
      </c>
      <c r="AL4">
        <f>MAX(AL3,IF($B3=34,1,0))</f>
        <v/>
      </c>
      <c r="AM4">
        <f>MAX(AM3,IF($B3=35,1,0))</f>
        <v/>
      </c>
      <c r="AN4">
        <f>MAX(AN3,IF($B3=36,1,0))</f>
        <v/>
      </c>
      <c r="AO4">
        <f>MAX(AO3,IF($B3=37,1,0))</f>
        <v/>
      </c>
      <c r="AP4">
        <f>MAX(AP3,IF($B3=38,1,0))</f>
        <v/>
      </c>
      <c r="AQ4">
        <f>MAX(AQ3,IF($B3=39,1,0))</f>
        <v/>
      </c>
      <c r="AR4">
        <f>MAX(AR3,IF($B3=40,1,0))</f>
        <v/>
      </c>
      <c r="AS4">
        <f>MAX(AS3,IF($B3=41,1,0))</f>
        <v/>
      </c>
      <c r="AT4">
        <f>MAX(AT3,IF($B3=42,1,0))</f>
        <v/>
      </c>
      <c r="AU4">
        <f>MAX(AU3,IF($B3=43,1,0))</f>
        <v/>
      </c>
      <c r="AV4">
        <f>MAX(AV3,IF($B3=44,1,0))</f>
        <v/>
      </c>
      <c r="AW4">
        <f>MAX(AW3,IF($B3=45,1,0))</f>
        <v/>
      </c>
      <c r="AY4">
        <f>IF(E4=1,1000000,SUMPRODUCT('計算A'!$D$60:$DS$60,$CS4:$HH4)*1000+1)</f>
        <v/>
      </c>
      <c r="AZ4">
        <f>IF(F4=1,1000000,SUMPRODUCT('計算A'!$D$61:$DS$61,$CS4:$HH4)*1000+2)</f>
        <v/>
      </c>
      <c r="BA4">
        <f>IF(G4=1,1000000,SUMPRODUCT('計算A'!$D$62:$DS$62,$CS4:$HH4)*1000+3)</f>
        <v/>
      </c>
      <c r="BB4">
        <f>IF(H4=1,1000000,SUMPRODUCT('計算A'!$D$63:$DS$63,$CS4:$HH4)*1000+4)</f>
        <v/>
      </c>
      <c r="BC4">
        <f>IF(I4=1,1000000,SUMPRODUCT('計算A'!$D$64:$DS$64,$CS4:$HH4)*1000+5)</f>
        <v/>
      </c>
      <c r="BD4">
        <f>IF(J4=1,1000000,SUMPRODUCT('計算A'!$D$65:$DS$65,$CS4:$HH4)*1000+6)</f>
        <v/>
      </c>
      <c r="BE4">
        <f>IF(K4=1,1000000,SUMPRODUCT('計算A'!$D$66:$DS$66,$CS4:$HH4)*1000+7)</f>
        <v/>
      </c>
      <c r="BF4">
        <f>IF(L4=1,1000000,SUMPRODUCT('計算A'!$D$67:$DS$67,$CS4:$HH4)*1000+8)</f>
        <v/>
      </c>
      <c r="BG4">
        <f>IF(M4=1,1000000,SUMPRODUCT('計算A'!$D$68:$DS$68,$CS4:$HH4)*1000+9)</f>
        <v/>
      </c>
      <c r="BH4">
        <f>IF(N4=1,1000000,SUMPRODUCT('計算A'!$D$69:$DS$69,$CS4:$HH4)*1000+10)</f>
        <v/>
      </c>
      <c r="BI4">
        <f>IF(O4=1,1000000,SUMPRODUCT('計算A'!$D$70:$DS$70,$CS4:$HH4)*1000+11)</f>
        <v/>
      </c>
      <c r="BJ4">
        <f>IF(P4=1,1000000,SUMPRODUCT('計算A'!$D$71:$DS$71,$CS4:$HH4)*1000+12)</f>
        <v/>
      </c>
      <c r="BK4">
        <f>IF(Q4=1,1000000,SUMPRODUCT('計算A'!$D$72:$DS$72,$CS4:$HH4)*1000+13)</f>
        <v/>
      </c>
      <c r="BL4">
        <f>IF(R4=1,1000000,SUMPRODUCT('計算A'!$D$73:$DS$73,$CS4:$HH4)*1000+14)</f>
        <v/>
      </c>
      <c r="BM4">
        <f>IF(S4=1,1000000,SUMPRODUCT('計算A'!$D$74:$DS$74,$CS4:$HH4)*1000+15)</f>
        <v/>
      </c>
      <c r="BN4">
        <f>IF(T4=1,1000000,SUMPRODUCT('計算A'!$D$75:$DS$75,$CS4:$HH4)*1000+16)</f>
        <v/>
      </c>
      <c r="BO4">
        <f>IF(U4=1,1000000,SUMPRODUCT('計算A'!$D$76:$DS$76,$CS4:$HH4)*1000+17)</f>
        <v/>
      </c>
      <c r="BP4">
        <f>IF(V4=1,1000000,SUMPRODUCT('計算A'!$D$77:$DS$77,$CS4:$HH4)*1000+18)</f>
        <v/>
      </c>
      <c r="BQ4">
        <f>IF(W4=1,1000000,SUMPRODUCT('計算A'!$D$78:$DS$78,$CS4:$HH4)*1000+19)</f>
        <v/>
      </c>
      <c r="BR4">
        <f>IF(X4=1,1000000,SUMPRODUCT('計算A'!$D$79:$DS$79,$CS4:$HH4)*1000+20)</f>
        <v/>
      </c>
      <c r="BS4">
        <f>IF(Y4=1,1000000,SUMPRODUCT('計算A'!$D$80:$DS$80,$CS4:$HH4)*1000+21)</f>
        <v/>
      </c>
      <c r="BT4">
        <f>IF(Z4=1,1000000,SUMPRODUCT('計算A'!$D$81:$DS$81,$CS4:$HH4)*1000+22)</f>
        <v/>
      </c>
      <c r="BU4">
        <f>IF(AA4=1,1000000,SUMPRODUCT('計算A'!$D$82:$DS$82,$CS4:$HH4)*1000+23)</f>
        <v/>
      </c>
      <c r="BV4">
        <f>IF(AB4=1,1000000,SUMPRODUCT('計算A'!$D$83:$DS$83,$CS4:$HH4)*1000+24)</f>
        <v/>
      </c>
      <c r="BW4">
        <f>IF(AC4=1,1000000,SUMPRODUCT('計算A'!$D$84:$DS$84,$CS4:$HH4)*1000+25)</f>
        <v/>
      </c>
      <c r="BX4">
        <f>IF(AD4=1,1000000,SUMPRODUCT('計算A'!$D$85:$DS$85,$CS4:$HH4)*1000+26)</f>
        <v/>
      </c>
      <c r="BY4">
        <f>IF(AE4=1,1000000,SUMPRODUCT('計算A'!$D$86:$DS$86,$CS4:$HH4)*1000+27)</f>
        <v/>
      </c>
      <c r="BZ4">
        <f>IF(AF4=1,1000000,SUMPRODUCT('計算A'!$D$87:$DS$87,$CS4:$HH4)*1000+28)</f>
        <v/>
      </c>
      <c r="CA4">
        <f>IF(AG4=1,1000000,SUMPRODUCT('計算A'!$D$88:$DS$88,$CS4:$HH4)*1000+29)</f>
        <v/>
      </c>
      <c r="CB4">
        <f>IF(AH4=1,1000000,SUMPRODUCT('計算A'!$D$89:$DS$89,$CS4:$HH4)*1000+30)</f>
        <v/>
      </c>
      <c r="CC4">
        <f>IF(AI4=1,1000000,SUMPRODUCT('計算A'!$D$90:$DS$90,$CS4:$HH4)*1000+31)</f>
        <v/>
      </c>
      <c r="CD4">
        <f>IF(AJ4=1,1000000,SUMPRODUCT('計算A'!$D$91:$DS$91,$CS4:$HH4)*1000+32)</f>
        <v/>
      </c>
      <c r="CE4">
        <f>IF(AK4=1,1000000,SUMPRODUCT('計算A'!$D$92:$DS$92,$CS4:$HH4)*1000+33)</f>
        <v/>
      </c>
      <c r="CF4">
        <f>IF(AL4=1,1000000,SUMPRODUCT('計算A'!$D$93:$DS$93,$CS4:$HH4)*1000+34)</f>
        <v/>
      </c>
      <c r="CG4">
        <f>IF(AM4=1,1000000,SUMPRODUCT('計算A'!$D$94:$DS$94,$CS4:$HH4)*1000+35)</f>
        <v/>
      </c>
      <c r="CH4">
        <f>IF(AN4=1,1000000,SUMPRODUCT('計算A'!$D$95:$DS$95,$CS4:$HH4)*1000+36)</f>
        <v/>
      </c>
      <c r="CI4">
        <f>IF(AO4=1,1000000,SUMPRODUCT('計算A'!$D$96:$DS$96,$CS4:$HH4)*1000+37)</f>
        <v/>
      </c>
      <c r="CJ4">
        <f>IF(AP4=1,1000000,SUMPRODUCT('計算A'!$D$97:$DS$97,$CS4:$HH4)*1000+38)</f>
        <v/>
      </c>
      <c r="CK4">
        <f>IF(AQ4=1,1000000,SUMPRODUCT('計算A'!$D$98:$DS$98,$CS4:$HH4)*1000+39)</f>
        <v/>
      </c>
      <c r="CL4">
        <f>IF(AR4=1,1000000,SUMPRODUCT('計算A'!$D$99:$DS$99,$CS4:$HH4)*1000+40)</f>
        <v/>
      </c>
      <c r="CM4">
        <f>IF(AS4=1,1000000,SUMPRODUCT('計算A'!$D$100:$DS$100,$CS4:$HH4)*1000+41)</f>
        <v/>
      </c>
      <c r="CN4">
        <f>IF(AT4=1,1000000,SUMPRODUCT('計算A'!$D$101:$DS$101,$CS4:$HH4)*1000+42)</f>
        <v/>
      </c>
      <c r="CO4">
        <f>IF(AU4=1,1000000,SUMPRODUCT('計算A'!$D$102:$DS$102,$CS4:$HH4)*1000+43)</f>
        <v/>
      </c>
      <c r="CP4">
        <f>IF(AV4=1,1000000,SUMPRODUCT('計算A'!$D$103:$DS$103,$CS4:$HH4)*1000+44)</f>
        <v/>
      </c>
      <c r="CQ4">
        <f>IF(AW4=1,1000000,SUMPRODUCT('計算A'!$D$104:$DS$104,$CS4:$HH4)*1000+45)</f>
        <v/>
      </c>
      <c r="CS4">
        <f>CS3*IF($C3=1,0,1)</f>
        <v/>
      </c>
      <c r="CT4">
        <f>CT3*IF($C3=2,0,1)</f>
        <v/>
      </c>
      <c r="CU4">
        <f>CU3*IF($C3=3,0,1)</f>
        <v/>
      </c>
      <c r="CV4">
        <f>CV3*IF($C3=4,0,1)</f>
        <v/>
      </c>
      <c r="CW4">
        <f>CW3*IF($C3=5,0,1)</f>
        <v/>
      </c>
      <c r="CX4">
        <f>CX3*IF($C3=6,0,1)</f>
        <v/>
      </c>
      <c r="CY4">
        <f>CY3*IF($C3=7,0,1)</f>
        <v/>
      </c>
      <c r="CZ4">
        <f>CZ3*IF($C3=8,0,1)</f>
        <v/>
      </c>
      <c r="DA4">
        <f>DA3*IF($C3=9,0,1)</f>
        <v/>
      </c>
      <c r="DB4">
        <f>DB3*IF($C3=10,0,1)</f>
        <v/>
      </c>
      <c r="DC4">
        <f>DC3*IF($C3=11,0,1)</f>
        <v/>
      </c>
      <c r="DD4">
        <f>DD3*IF($C3=12,0,1)</f>
        <v/>
      </c>
      <c r="DE4">
        <f>DE3*IF($C3=13,0,1)</f>
        <v/>
      </c>
      <c r="DF4">
        <f>DF3*IF($C3=14,0,1)</f>
        <v/>
      </c>
      <c r="DG4">
        <f>DG3*IF($C3=15,0,1)</f>
        <v/>
      </c>
      <c r="DH4">
        <f>DH3*IF($C3=16,0,1)</f>
        <v/>
      </c>
      <c r="DI4">
        <f>DI3*IF($C3=17,0,1)</f>
        <v/>
      </c>
      <c r="DJ4">
        <f>DJ3*IF($C3=18,0,1)</f>
        <v/>
      </c>
      <c r="DK4">
        <f>DK3*IF($C3=19,0,1)</f>
        <v/>
      </c>
      <c r="DL4">
        <f>DL3*IF($C3=20,0,1)</f>
        <v/>
      </c>
      <c r="DM4">
        <f>DM3*IF($C3=21,0,1)</f>
        <v/>
      </c>
      <c r="DN4">
        <f>DN3*IF($C3=22,0,1)</f>
        <v/>
      </c>
      <c r="DO4">
        <f>DO3*IF($C3=23,0,1)</f>
        <v/>
      </c>
      <c r="DP4">
        <f>DP3*IF($C3=24,0,1)</f>
        <v/>
      </c>
      <c r="DQ4">
        <f>DQ3*IF($C3=25,0,1)</f>
        <v/>
      </c>
      <c r="DR4">
        <f>DR3*IF($C3=26,0,1)</f>
        <v/>
      </c>
      <c r="DS4">
        <f>DS3*IF($C3=27,0,1)</f>
        <v/>
      </c>
      <c r="DT4">
        <f>DT3*IF($C3=28,0,1)</f>
        <v/>
      </c>
      <c r="DU4">
        <f>DU3*IF($C3=29,0,1)</f>
        <v/>
      </c>
      <c r="DV4">
        <f>DV3*IF($C3=30,0,1)</f>
        <v/>
      </c>
      <c r="DW4">
        <f>DW3*IF($C3=31,0,1)</f>
        <v/>
      </c>
      <c r="DX4">
        <f>DX3*IF($C3=32,0,1)</f>
        <v/>
      </c>
      <c r="DY4">
        <f>DY3*IF($C3=33,0,1)</f>
        <v/>
      </c>
      <c r="DZ4">
        <f>DZ3*IF($C3=34,0,1)</f>
        <v/>
      </c>
      <c r="EA4">
        <f>EA3*IF($C3=35,0,1)</f>
        <v/>
      </c>
      <c r="EB4">
        <f>EB3*IF($C3=36,0,1)</f>
        <v/>
      </c>
      <c r="EC4">
        <f>EC3*IF($C3=37,0,1)</f>
        <v/>
      </c>
      <c r="ED4">
        <f>ED3*IF($C3=38,0,1)</f>
        <v/>
      </c>
      <c r="EE4">
        <f>EE3*IF($C3=39,0,1)</f>
        <v/>
      </c>
      <c r="EF4">
        <f>EF3*IF($C3=40,0,1)</f>
        <v/>
      </c>
      <c r="EG4">
        <f>EG3*IF($C3=41,0,1)</f>
        <v/>
      </c>
      <c r="EH4">
        <f>EH3*IF($C3=42,0,1)</f>
        <v/>
      </c>
      <c r="EI4">
        <f>EI3*IF($C3=43,0,1)</f>
        <v/>
      </c>
      <c r="EJ4">
        <f>EJ3*IF($C3=44,0,1)</f>
        <v/>
      </c>
      <c r="EK4">
        <f>EK3*IF($C3=45,0,1)</f>
        <v/>
      </c>
      <c r="EL4">
        <f>EL3*IF($C3=46,0,1)</f>
        <v/>
      </c>
      <c r="EM4">
        <f>EM3*IF($C3=47,0,1)</f>
        <v/>
      </c>
      <c r="EN4">
        <f>EN3*IF($C3=48,0,1)</f>
        <v/>
      </c>
      <c r="EO4">
        <f>EO3*IF($C3=49,0,1)</f>
        <v/>
      </c>
      <c r="EP4">
        <f>EP3*IF($C3=50,0,1)</f>
        <v/>
      </c>
      <c r="EQ4">
        <f>EQ3*IF($C3=51,0,1)</f>
        <v/>
      </c>
      <c r="ER4">
        <f>ER3*IF($C3=52,0,1)</f>
        <v/>
      </c>
      <c r="ES4">
        <f>ES3*IF($C3=53,0,1)</f>
        <v/>
      </c>
      <c r="ET4">
        <f>ET3*IF($C3=54,0,1)</f>
        <v/>
      </c>
      <c r="EU4">
        <f>EU3*IF($C3=55,0,1)</f>
        <v/>
      </c>
      <c r="EV4">
        <f>EV3*IF($C3=56,0,1)</f>
        <v/>
      </c>
      <c r="EW4">
        <f>EW3*IF($C3=57,0,1)</f>
        <v/>
      </c>
      <c r="EX4">
        <f>EX3*IF($C3=58,0,1)</f>
        <v/>
      </c>
      <c r="EY4">
        <f>EY3*IF($C3=59,0,1)</f>
        <v/>
      </c>
      <c r="EZ4">
        <f>EZ3*IF($C3=60,0,1)</f>
        <v/>
      </c>
      <c r="FA4">
        <f>FA3*IF($C3=61,0,1)</f>
        <v/>
      </c>
      <c r="FB4">
        <f>FB3*IF($C3=62,0,1)</f>
        <v/>
      </c>
      <c r="FC4">
        <f>FC3*IF($C3=63,0,1)</f>
        <v/>
      </c>
      <c r="FD4">
        <f>FD3*IF($C3=64,0,1)</f>
        <v/>
      </c>
      <c r="FE4">
        <f>FE3*IF($C3=65,0,1)</f>
        <v/>
      </c>
      <c r="FF4">
        <f>FF3*IF($C3=66,0,1)</f>
        <v/>
      </c>
      <c r="FG4">
        <f>FG3*IF($C3=67,0,1)</f>
        <v/>
      </c>
      <c r="FH4">
        <f>FH3*IF($C3=68,0,1)</f>
        <v/>
      </c>
      <c r="FI4">
        <f>FI3*IF($C3=69,0,1)</f>
        <v/>
      </c>
      <c r="FJ4">
        <f>FJ3*IF($C3=70,0,1)</f>
        <v/>
      </c>
      <c r="FK4">
        <f>FK3*IF($C3=71,0,1)</f>
        <v/>
      </c>
      <c r="FL4">
        <f>FL3*IF($C3=72,0,1)</f>
        <v/>
      </c>
      <c r="FM4">
        <f>FM3*IF($C3=73,0,1)</f>
        <v/>
      </c>
      <c r="FN4">
        <f>FN3*IF($C3=74,0,1)</f>
        <v/>
      </c>
      <c r="FO4">
        <f>FO3*IF($C3=75,0,1)</f>
        <v/>
      </c>
      <c r="FP4">
        <f>FP3*IF($C3=76,0,1)</f>
        <v/>
      </c>
      <c r="FQ4">
        <f>FQ3*IF($C3=77,0,1)</f>
        <v/>
      </c>
      <c r="FR4">
        <f>FR3*IF($C3=78,0,1)</f>
        <v/>
      </c>
      <c r="FS4">
        <f>FS3*IF($C3=79,0,1)</f>
        <v/>
      </c>
      <c r="FT4">
        <f>FT3*IF($C3=80,0,1)</f>
        <v/>
      </c>
      <c r="FU4">
        <f>FU3*IF($C3=81,0,1)</f>
        <v/>
      </c>
      <c r="FV4">
        <f>FV3*IF($C3=82,0,1)</f>
        <v/>
      </c>
      <c r="FW4">
        <f>FW3*IF($C3=83,0,1)</f>
        <v/>
      </c>
      <c r="FX4">
        <f>FX3*IF($C3=84,0,1)</f>
        <v/>
      </c>
      <c r="FY4">
        <f>FY3*IF($C3=85,0,1)</f>
        <v/>
      </c>
      <c r="FZ4">
        <f>FZ3*IF($C3=86,0,1)</f>
        <v/>
      </c>
      <c r="GA4">
        <f>GA3*IF($C3=87,0,1)</f>
        <v/>
      </c>
      <c r="GB4">
        <f>GB3*IF($C3=88,0,1)</f>
        <v/>
      </c>
      <c r="GC4">
        <f>GC3*IF($C3=89,0,1)</f>
        <v/>
      </c>
      <c r="GD4">
        <f>GD3*IF($C3=90,0,1)</f>
        <v/>
      </c>
      <c r="GE4">
        <f>GE3*IF($C3=91,0,1)</f>
        <v/>
      </c>
      <c r="GF4">
        <f>GF3*IF($C3=92,0,1)</f>
        <v/>
      </c>
      <c r="GG4">
        <f>GG3*IF($C3=93,0,1)</f>
        <v/>
      </c>
      <c r="GH4">
        <f>GH3*IF($C3=94,0,1)</f>
        <v/>
      </c>
      <c r="GI4">
        <f>GI3*IF($C3=95,0,1)</f>
        <v/>
      </c>
      <c r="GJ4">
        <f>GJ3*IF($C3=96,0,1)</f>
        <v/>
      </c>
      <c r="GK4">
        <f>GK3*IF($C3=97,0,1)</f>
        <v/>
      </c>
      <c r="GL4">
        <f>GL3*IF($C3=98,0,1)</f>
        <v/>
      </c>
      <c r="GM4">
        <f>GM3*IF($C3=99,0,1)</f>
        <v/>
      </c>
      <c r="GN4">
        <f>GN3*IF($C3=100,0,1)</f>
        <v/>
      </c>
      <c r="GO4">
        <f>GO3*IF($C3=101,0,1)</f>
        <v/>
      </c>
      <c r="GP4">
        <f>GP3*IF($C3=102,0,1)</f>
        <v/>
      </c>
      <c r="GQ4">
        <f>GQ3*IF($C3=103,0,1)</f>
        <v/>
      </c>
      <c r="GR4">
        <f>GR3*IF($C3=104,0,1)</f>
        <v/>
      </c>
      <c r="GS4">
        <f>GS3*IF($C3=105,0,1)</f>
        <v/>
      </c>
      <c r="GT4">
        <f>GT3*IF($C3=106,0,1)</f>
        <v/>
      </c>
      <c r="GU4">
        <f>GU3*IF($C3=107,0,1)</f>
        <v/>
      </c>
      <c r="GV4">
        <f>GV3*IF($C3=108,0,1)</f>
        <v/>
      </c>
      <c r="GW4">
        <f>GW3*IF($C3=109,0,1)</f>
        <v/>
      </c>
      <c r="GX4">
        <f>GX3*IF($C3=110,0,1)</f>
        <v/>
      </c>
      <c r="GY4">
        <f>GY3*IF($C3=111,0,1)</f>
        <v/>
      </c>
      <c r="GZ4">
        <f>GZ3*IF($C3=112,0,1)</f>
        <v/>
      </c>
      <c r="HA4">
        <f>HA3*IF($C3=113,0,1)</f>
        <v/>
      </c>
      <c r="HB4">
        <f>HB3*IF($C3=114,0,1)</f>
        <v/>
      </c>
      <c r="HC4">
        <f>HC3*IF($C3=115,0,1)</f>
        <v/>
      </c>
      <c r="HD4">
        <f>HD3*IF($C3=116,0,1)</f>
        <v/>
      </c>
      <c r="HE4">
        <f>HE3*IF($C3=117,0,1)</f>
        <v/>
      </c>
      <c r="HF4">
        <f>HF3*IF($C3=118,0,1)</f>
        <v/>
      </c>
      <c r="HG4">
        <f>HG3*IF($C3=119,0,1)</f>
        <v/>
      </c>
      <c r="HH4">
        <f>HH3*IF($C3=120,0,1)</f>
        <v/>
      </c>
      <c r="HJ4">
        <f>IF($B4=0,1000000,IF(INDEX('計算A'!$D$60:$DS$104,$B4,1)*CS4=1,'計算A'!D$6,1000000))</f>
        <v/>
      </c>
      <c r="HK4">
        <f>IF($B4=0,1000000,IF(INDEX('計算A'!$D$60:$DS$104,$B4,2)*CT4=1,'計算A'!E$6,1000000))</f>
        <v/>
      </c>
      <c r="HL4">
        <f>IF($B4=0,1000000,IF(INDEX('計算A'!$D$60:$DS$104,$B4,3)*CU4=1,'計算A'!F$6,1000000))</f>
        <v/>
      </c>
      <c r="HM4">
        <f>IF($B4=0,1000000,IF(INDEX('計算A'!$D$60:$DS$104,$B4,4)*CV4=1,'計算A'!G$6,1000000))</f>
        <v/>
      </c>
      <c r="HN4">
        <f>IF($B4=0,1000000,IF(INDEX('計算A'!$D$60:$DS$104,$B4,5)*CW4=1,'計算A'!H$6,1000000))</f>
        <v/>
      </c>
      <c r="HO4">
        <f>IF($B4=0,1000000,IF(INDEX('計算A'!$D$60:$DS$104,$B4,6)*CX4=1,'計算A'!I$6,1000000))</f>
        <v/>
      </c>
      <c r="HP4">
        <f>IF($B4=0,1000000,IF(INDEX('計算A'!$D$60:$DS$104,$B4,7)*CY4=1,'計算A'!J$6,1000000))</f>
        <v/>
      </c>
      <c r="HQ4">
        <f>IF($B4=0,1000000,IF(INDEX('計算A'!$D$60:$DS$104,$B4,8)*CZ4=1,'計算A'!K$6,1000000))</f>
        <v/>
      </c>
      <c r="HR4">
        <f>IF($B4=0,1000000,IF(INDEX('計算A'!$D$60:$DS$104,$B4,9)*DA4=1,'計算A'!L$6,1000000))</f>
        <v/>
      </c>
      <c r="HS4">
        <f>IF($B4=0,1000000,IF(INDEX('計算A'!$D$60:$DS$104,$B4,10)*DB4=1,'計算A'!M$6,1000000))</f>
        <v/>
      </c>
      <c r="HT4">
        <f>IF($B4=0,1000000,IF(INDEX('計算A'!$D$60:$DS$104,$B4,11)*DC4=1,'計算A'!N$6,1000000))</f>
        <v/>
      </c>
      <c r="HU4">
        <f>IF($B4=0,1000000,IF(INDEX('計算A'!$D$60:$DS$104,$B4,12)*DD4=1,'計算A'!O$6,1000000))</f>
        <v/>
      </c>
      <c r="HV4">
        <f>IF($B4=0,1000000,IF(INDEX('計算A'!$D$60:$DS$104,$B4,13)*DE4=1,'計算A'!P$6,1000000))</f>
        <v/>
      </c>
      <c r="HW4">
        <f>IF($B4=0,1000000,IF(INDEX('計算A'!$D$60:$DS$104,$B4,14)*DF4=1,'計算A'!Q$6,1000000))</f>
        <v/>
      </c>
      <c r="HX4">
        <f>IF($B4=0,1000000,IF(INDEX('計算A'!$D$60:$DS$104,$B4,15)*DG4=1,'計算A'!R$6,1000000))</f>
        <v/>
      </c>
      <c r="HY4">
        <f>IF($B4=0,1000000,IF(INDEX('計算A'!$D$60:$DS$104,$B4,16)*DH4=1,'計算A'!S$6,1000000))</f>
        <v/>
      </c>
      <c r="HZ4">
        <f>IF($B4=0,1000000,IF(INDEX('計算A'!$D$60:$DS$104,$B4,17)*DI4=1,'計算A'!T$6,1000000))</f>
        <v/>
      </c>
      <c r="IA4">
        <f>IF($B4=0,1000000,IF(INDEX('計算A'!$D$60:$DS$104,$B4,18)*DJ4=1,'計算A'!U$6,1000000))</f>
        <v/>
      </c>
      <c r="IB4">
        <f>IF($B4=0,1000000,IF(INDEX('計算A'!$D$60:$DS$104,$B4,19)*DK4=1,'計算A'!V$6,1000000))</f>
        <v/>
      </c>
      <c r="IC4">
        <f>IF($B4=0,1000000,IF(INDEX('計算A'!$D$60:$DS$104,$B4,20)*DL4=1,'計算A'!W$6,1000000))</f>
        <v/>
      </c>
      <c r="ID4">
        <f>IF($B4=0,1000000,IF(INDEX('計算A'!$D$60:$DS$104,$B4,21)*DM4=1,'計算A'!X$6,1000000))</f>
        <v/>
      </c>
      <c r="IE4">
        <f>IF($B4=0,1000000,IF(INDEX('計算A'!$D$60:$DS$104,$B4,22)*DN4=1,'計算A'!Y$6,1000000))</f>
        <v/>
      </c>
      <c r="IF4">
        <f>IF($B4=0,1000000,IF(INDEX('計算A'!$D$60:$DS$104,$B4,23)*DO4=1,'計算A'!Z$6,1000000))</f>
        <v/>
      </c>
      <c r="IG4">
        <f>IF($B4=0,1000000,IF(INDEX('計算A'!$D$60:$DS$104,$B4,24)*DP4=1,'計算A'!AA$6,1000000))</f>
        <v/>
      </c>
      <c r="IH4">
        <f>IF($B4=0,1000000,IF(INDEX('計算A'!$D$60:$DS$104,$B4,25)*DQ4=1,'計算A'!AB$6,1000000))</f>
        <v/>
      </c>
      <c r="II4">
        <f>IF($B4=0,1000000,IF(INDEX('計算A'!$D$60:$DS$104,$B4,26)*DR4=1,'計算A'!AC$6,1000000))</f>
        <v/>
      </c>
      <c r="IJ4">
        <f>IF($B4=0,1000000,IF(INDEX('計算A'!$D$60:$DS$104,$B4,27)*DS4=1,'計算A'!AD$6,1000000))</f>
        <v/>
      </c>
      <c r="IK4">
        <f>IF($B4=0,1000000,IF(INDEX('計算A'!$D$60:$DS$104,$B4,28)*DT4=1,'計算A'!AE$6,1000000))</f>
        <v/>
      </c>
      <c r="IL4">
        <f>IF($B4=0,1000000,IF(INDEX('計算A'!$D$60:$DS$104,$B4,29)*DU4=1,'計算A'!AF$6,1000000))</f>
        <v/>
      </c>
      <c r="IM4">
        <f>IF($B4=0,1000000,IF(INDEX('計算A'!$D$60:$DS$104,$B4,30)*DV4=1,'計算A'!AG$6,1000000))</f>
        <v/>
      </c>
      <c r="IN4">
        <f>IF($B4=0,1000000,IF(INDEX('計算A'!$D$60:$DS$104,$B4,31)*DW4=1,'計算A'!AH$6,1000000))</f>
        <v/>
      </c>
      <c r="IO4">
        <f>IF($B4=0,1000000,IF(INDEX('計算A'!$D$60:$DS$104,$B4,32)*DX4=1,'計算A'!AI$6,1000000))</f>
        <v/>
      </c>
      <c r="IP4">
        <f>IF($B4=0,1000000,IF(INDEX('計算A'!$D$60:$DS$104,$B4,33)*DY4=1,'計算A'!AJ$6,1000000))</f>
        <v/>
      </c>
      <c r="IQ4">
        <f>IF($B4=0,1000000,IF(INDEX('計算A'!$D$60:$DS$104,$B4,34)*DZ4=1,'計算A'!AK$6,1000000))</f>
        <v/>
      </c>
      <c r="IR4">
        <f>IF($B4=0,1000000,IF(INDEX('計算A'!$D$60:$DS$104,$B4,35)*EA4=1,'計算A'!AL$6,1000000))</f>
        <v/>
      </c>
      <c r="IS4">
        <f>IF($B4=0,1000000,IF(INDEX('計算A'!$D$60:$DS$104,$B4,36)*EB4=1,'計算A'!AM$6,1000000))</f>
        <v/>
      </c>
      <c r="IT4">
        <f>IF($B4=0,1000000,IF(INDEX('計算A'!$D$60:$DS$104,$B4,37)*EC4=1,'計算A'!AN$6,1000000))</f>
        <v/>
      </c>
      <c r="IU4">
        <f>IF($B4=0,1000000,IF(INDEX('計算A'!$D$60:$DS$104,$B4,38)*ED4=1,'計算A'!AO$6,1000000))</f>
        <v/>
      </c>
      <c r="IV4">
        <f>IF($B4=0,1000000,IF(INDEX('計算A'!$D$60:$DS$104,$B4,39)*EE4=1,'計算A'!AP$6,1000000))</f>
        <v/>
      </c>
      <c r="IW4">
        <f>IF($B4=0,1000000,IF(INDEX('計算A'!$D$60:$DS$104,$B4,40)*EF4=1,'計算A'!AQ$6,1000000))</f>
        <v/>
      </c>
      <c r="IX4">
        <f>IF($B4=0,1000000,IF(INDEX('計算A'!$D$60:$DS$104,$B4,41)*EG4=1,'計算A'!AR$6,1000000))</f>
        <v/>
      </c>
      <c r="IY4">
        <f>IF($B4=0,1000000,IF(INDEX('計算A'!$D$60:$DS$104,$B4,42)*EH4=1,'計算A'!AS$6,1000000))</f>
        <v/>
      </c>
      <c r="IZ4">
        <f>IF($B4=0,1000000,IF(INDEX('計算A'!$D$60:$DS$104,$B4,43)*EI4=1,'計算A'!AT$6,1000000))</f>
        <v/>
      </c>
      <c r="JA4">
        <f>IF($B4=0,1000000,IF(INDEX('計算A'!$D$60:$DS$104,$B4,44)*EJ4=1,'計算A'!AU$6,1000000))</f>
        <v/>
      </c>
      <c r="JB4">
        <f>IF($B4=0,1000000,IF(INDEX('計算A'!$D$60:$DS$104,$B4,45)*EK4=1,'計算A'!AV$6,1000000))</f>
        <v/>
      </c>
      <c r="JC4">
        <f>IF($B4=0,1000000,IF(INDEX('計算A'!$D$60:$DS$104,$B4,46)*EL4=1,'計算A'!AW$6,1000000))</f>
        <v/>
      </c>
      <c r="JD4">
        <f>IF($B4=0,1000000,IF(INDEX('計算A'!$D$60:$DS$104,$B4,47)*EM4=1,'計算A'!AX$6,1000000))</f>
        <v/>
      </c>
      <c r="JE4">
        <f>IF($B4=0,1000000,IF(INDEX('計算A'!$D$60:$DS$104,$B4,48)*EN4=1,'計算A'!AY$6,1000000))</f>
        <v/>
      </c>
      <c r="JF4">
        <f>IF($B4=0,1000000,IF(INDEX('計算A'!$D$60:$DS$104,$B4,49)*EO4=1,'計算A'!AZ$6,1000000))</f>
        <v/>
      </c>
      <c r="JG4">
        <f>IF($B4=0,1000000,IF(INDEX('計算A'!$D$60:$DS$104,$B4,50)*EP4=1,'計算A'!BA$6,1000000))</f>
        <v/>
      </c>
      <c r="JH4">
        <f>IF($B4=0,1000000,IF(INDEX('計算A'!$D$60:$DS$104,$B4,51)*EQ4=1,'計算A'!BB$6,1000000))</f>
        <v/>
      </c>
      <c r="JI4">
        <f>IF($B4=0,1000000,IF(INDEX('計算A'!$D$60:$DS$104,$B4,52)*ER4=1,'計算A'!BC$6,1000000))</f>
        <v/>
      </c>
      <c r="JJ4">
        <f>IF($B4=0,1000000,IF(INDEX('計算A'!$D$60:$DS$104,$B4,53)*ES4=1,'計算A'!BD$6,1000000))</f>
        <v/>
      </c>
      <c r="JK4">
        <f>IF($B4=0,1000000,IF(INDEX('計算A'!$D$60:$DS$104,$B4,54)*ET4=1,'計算A'!BE$6,1000000))</f>
        <v/>
      </c>
      <c r="JL4">
        <f>IF($B4=0,1000000,IF(INDEX('計算A'!$D$60:$DS$104,$B4,55)*EU4=1,'計算A'!BF$6,1000000))</f>
        <v/>
      </c>
      <c r="JM4">
        <f>IF($B4=0,1000000,IF(INDEX('計算A'!$D$60:$DS$104,$B4,56)*EV4=1,'計算A'!BG$6,1000000))</f>
        <v/>
      </c>
      <c r="JN4">
        <f>IF($B4=0,1000000,IF(INDEX('計算A'!$D$60:$DS$104,$B4,57)*EW4=1,'計算A'!BH$6,1000000))</f>
        <v/>
      </c>
      <c r="JO4">
        <f>IF($B4=0,1000000,IF(INDEX('計算A'!$D$60:$DS$104,$B4,58)*EX4=1,'計算A'!BI$6,1000000))</f>
        <v/>
      </c>
      <c r="JP4">
        <f>IF($B4=0,1000000,IF(INDEX('計算A'!$D$60:$DS$104,$B4,59)*EY4=1,'計算A'!BJ$6,1000000))</f>
        <v/>
      </c>
      <c r="JQ4">
        <f>IF($B4=0,1000000,IF(INDEX('計算A'!$D$60:$DS$104,$B4,60)*EZ4=1,'計算A'!BK$6,1000000))</f>
        <v/>
      </c>
      <c r="JR4">
        <f>IF($B4=0,1000000,IF(INDEX('計算A'!$D$60:$DS$104,$B4,61)*FA4=1,'計算A'!BL$6,1000000))</f>
        <v/>
      </c>
      <c r="JS4">
        <f>IF($B4=0,1000000,IF(INDEX('計算A'!$D$60:$DS$104,$B4,62)*FB4=1,'計算A'!BM$6,1000000))</f>
        <v/>
      </c>
      <c r="JT4">
        <f>IF($B4=0,1000000,IF(INDEX('計算A'!$D$60:$DS$104,$B4,63)*FC4=1,'計算A'!BN$6,1000000))</f>
        <v/>
      </c>
      <c r="JU4">
        <f>IF($B4=0,1000000,IF(INDEX('計算A'!$D$60:$DS$104,$B4,64)*FD4=1,'計算A'!BO$6,1000000))</f>
        <v/>
      </c>
      <c r="JV4">
        <f>IF($B4=0,1000000,IF(INDEX('計算A'!$D$60:$DS$104,$B4,65)*FE4=1,'計算A'!BP$6,1000000))</f>
        <v/>
      </c>
      <c r="JW4">
        <f>IF($B4=0,1000000,IF(INDEX('計算A'!$D$60:$DS$104,$B4,66)*FF4=1,'計算A'!BQ$6,1000000))</f>
        <v/>
      </c>
      <c r="JX4">
        <f>IF($B4=0,1000000,IF(INDEX('計算A'!$D$60:$DS$104,$B4,67)*FG4=1,'計算A'!BR$6,1000000))</f>
        <v/>
      </c>
      <c r="JY4">
        <f>IF($B4=0,1000000,IF(INDEX('計算A'!$D$60:$DS$104,$B4,68)*FH4=1,'計算A'!BS$6,1000000))</f>
        <v/>
      </c>
      <c r="JZ4">
        <f>IF($B4=0,1000000,IF(INDEX('計算A'!$D$60:$DS$104,$B4,69)*FI4=1,'計算A'!BT$6,1000000))</f>
        <v/>
      </c>
      <c r="KA4">
        <f>IF($B4=0,1000000,IF(INDEX('計算A'!$D$60:$DS$104,$B4,70)*FJ4=1,'計算A'!BU$6,1000000))</f>
        <v/>
      </c>
      <c r="KB4">
        <f>IF($B4=0,1000000,IF(INDEX('計算A'!$D$60:$DS$104,$B4,71)*FK4=1,'計算A'!BV$6,1000000))</f>
        <v/>
      </c>
      <c r="KC4">
        <f>IF($B4=0,1000000,IF(INDEX('計算A'!$D$60:$DS$104,$B4,72)*FL4=1,'計算A'!BW$6,1000000))</f>
        <v/>
      </c>
      <c r="KD4">
        <f>IF($B4=0,1000000,IF(INDEX('計算A'!$D$60:$DS$104,$B4,73)*FM4=1,'計算A'!BX$6,1000000))</f>
        <v/>
      </c>
      <c r="KE4">
        <f>IF($B4=0,1000000,IF(INDEX('計算A'!$D$60:$DS$104,$B4,74)*FN4=1,'計算A'!BY$6,1000000))</f>
        <v/>
      </c>
      <c r="KF4">
        <f>IF($B4=0,1000000,IF(INDEX('計算A'!$D$60:$DS$104,$B4,75)*FO4=1,'計算A'!BZ$6,1000000))</f>
        <v/>
      </c>
      <c r="KG4">
        <f>IF($B4=0,1000000,IF(INDEX('計算A'!$D$60:$DS$104,$B4,76)*FP4=1,'計算A'!CA$6,1000000))</f>
        <v/>
      </c>
      <c r="KH4">
        <f>IF($B4=0,1000000,IF(INDEX('計算A'!$D$60:$DS$104,$B4,77)*FQ4=1,'計算A'!CB$6,1000000))</f>
        <v/>
      </c>
      <c r="KI4">
        <f>IF($B4=0,1000000,IF(INDEX('計算A'!$D$60:$DS$104,$B4,78)*FR4=1,'計算A'!CC$6,1000000))</f>
        <v/>
      </c>
      <c r="KJ4">
        <f>IF($B4=0,1000000,IF(INDEX('計算A'!$D$60:$DS$104,$B4,79)*FS4=1,'計算A'!CD$6,1000000))</f>
        <v/>
      </c>
      <c r="KK4">
        <f>IF($B4=0,1000000,IF(INDEX('計算A'!$D$60:$DS$104,$B4,80)*FT4=1,'計算A'!CE$6,1000000))</f>
        <v/>
      </c>
      <c r="KL4">
        <f>IF($B4=0,1000000,IF(INDEX('計算A'!$D$60:$DS$104,$B4,81)*FU4=1,'計算A'!CF$6,1000000))</f>
        <v/>
      </c>
      <c r="KM4">
        <f>IF($B4=0,1000000,IF(INDEX('計算A'!$D$60:$DS$104,$B4,82)*FV4=1,'計算A'!CG$6,1000000))</f>
        <v/>
      </c>
      <c r="KN4">
        <f>IF($B4=0,1000000,IF(INDEX('計算A'!$D$60:$DS$104,$B4,83)*FW4=1,'計算A'!CH$6,1000000))</f>
        <v/>
      </c>
      <c r="KO4">
        <f>IF($B4=0,1000000,IF(INDEX('計算A'!$D$60:$DS$104,$B4,84)*FX4=1,'計算A'!CI$6,1000000))</f>
        <v/>
      </c>
      <c r="KP4">
        <f>IF($B4=0,1000000,IF(INDEX('計算A'!$D$60:$DS$104,$B4,85)*FY4=1,'計算A'!CJ$6,1000000))</f>
        <v/>
      </c>
      <c r="KQ4">
        <f>IF($B4=0,1000000,IF(INDEX('計算A'!$D$60:$DS$104,$B4,86)*FZ4=1,'計算A'!CK$6,1000000))</f>
        <v/>
      </c>
      <c r="KR4">
        <f>IF($B4=0,1000000,IF(INDEX('計算A'!$D$60:$DS$104,$B4,87)*GA4=1,'計算A'!CL$6,1000000))</f>
        <v/>
      </c>
      <c r="KS4">
        <f>IF($B4=0,1000000,IF(INDEX('計算A'!$D$60:$DS$104,$B4,88)*GB4=1,'計算A'!CM$6,1000000))</f>
        <v/>
      </c>
      <c r="KT4">
        <f>IF($B4=0,1000000,IF(INDEX('計算A'!$D$60:$DS$104,$B4,89)*GC4=1,'計算A'!CN$6,1000000))</f>
        <v/>
      </c>
      <c r="KU4">
        <f>IF($B4=0,1000000,IF(INDEX('計算A'!$D$60:$DS$104,$B4,90)*GD4=1,'計算A'!CO$6,1000000))</f>
        <v/>
      </c>
      <c r="KV4">
        <f>IF($B4=0,1000000,IF(INDEX('計算A'!$D$60:$DS$104,$B4,91)*GE4=1,'計算A'!CP$6,1000000))</f>
        <v/>
      </c>
      <c r="KW4">
        <f>IF($B4=0,1000000,IF(INDEX('計算A'!$D$60:$DS$104,$B4,92)*GF4=1,'計算A'!CQ$6,1000000))</f>
        <v/>
      </c>
      <c r="KX4">
        <f>IF($B4=0,1000000,IF(INDEX('計算A'!$D$60:$DS$104,$B4,93)*GG4=1,'計算A'!CR$6,1000000))</f>
        <v/>
      </c>
      <c r="KY4">
        <f>IF($B4=0,1000000,IF(INDEX('計算A'!$D$60:$DS$104,$B4,94)*GH4=1,'計算A'!CS$6,1000000))</f>
        <v/>
      </c>
      <c r="KZ4">
        <f>IF($B4=0,1000000,IF(INDEX('計算A'!$D$60:$DS$104,$B4,95)*GI4=1,'計算A'!CT$6,1000000))</f>
        <v/>
      </c>
      <c r="LA4">
        <f>IF($B4=0,1000000,IF(INDEX('計算A'!$D$60:$DS$104,$B4,96)*GJ4=1,'計算A'!CU$6,1000000))</f>
        <v/>
      </c>
      <c r="LB4">
        <f>IF($B4=0,1000000,IF(INDEX('計算A'!$D$60:$DS$104,$B4,97)*GK4=1,'計算A'!CV$6,1000000))</f>
        <v/>
      </c>
      <c r="LC4">
        <f>IF($B4=0,1000000,IF(INDEX('計算A'!$D$60:$DS$104,$B4,98)*GL4=1,'計算A'!CW$6,1000000))</f>
        <v/>
      </c>
      <c r="LD4">
        <f>IF($B4=0,1000000,IF(INDEX('計算A'!$D$60:$DS$104,$B4,99)*GM4=1,'計算A'!CX$6,1000000))</f>
        <v/>
      </c>
      <c r="LE4">
        <f>IF($B4=0,1000000,IF(INDEX('計算A'!$D$60:$DS$104,$B4,100)*GN4=1,'計算A'!CY$6,1000000))</f>
        <v/>
      </c>
      <c r="LF4">
        <f>IF($B4=0,1000000,IF(INDEX('計算A'!$D$60:$DS$104,$B4,101)*GO4=1,'計算A'!CZ$6,1000000))</f>
        <v/>
      </c>
      <c r="LG4">
        <f>IF($B4=0,1000000,IF(INDEX('計算A'!$D$60:$DS$104,$B4,102)*GP4=1,'計算A'!DA$6,1000000))</f>
        <v/>
      </c>
      <c r="LH4">
        <f>IF($B4=0,1000000,IF(INDEX('計算A'!$D$60:$DS$104,$B4,103)*GQ4=1,'計算A'!DB$6,1000000))</f>
        <v/>
      </c>
      <c r="LI4">
        <f>IF($B4=0,1000000,IF(INDEX('計算A'!$D$60:$DS$104,$B4,104)*GR4=1,'計算A'!DC$6,1000000))</f>
        <v/>
      </c>
      <c r="LJ4">
        <f>IF($B4=0,1000000,IF(INDEX('計算A'!$D$60:$DS$104,$B4,105)*GS4=1,'計算A'!DD$6,1000000))</f>
        <v/>
      </c>
      <c r="LK4">
        <f>IF($B4=0,1000000,IF(INDEX('計算A'!$D$60:$DS$104,$B4,106)*GT4=1,'計算A'!DE$6,1000000))</f>
        <v/>
      </c>
      <c r="LL4">
        <f>IF($B4=0,1000000,IF(INDEX('計算A'!$D$60:$DS$104,$B4,107)*GU4=1,'計算A'!DF$6,1000000))</f>
        <v/>
      </c>
      <c r="LM4">
        <f>IF($B4=0,1000000,IF(INDEX('計算A'!$D$60:$DS$104,$B4,108)*GV4=1,'計算A'!DG$6,1000000))</f>
        <v/>
      </c>
      <c r="LN4">
        <f>IF($B4=0,1000000,IF(INDEX('計算A'!$D$60:$DS$104,$B4,109)*GW4=1,'計算A'!DH$6,1000000))</f>
        <v/>
      </c>
      <c r="LO4">
        <f>IF($B4=0,1000000,IF(INDEX('計算A'!$D$60:$DS$104,$B4,110)*GX4=1,'計算A'!DI$6,1000000))</f>
        <v/>
      </c>
      <c r="LP4">
        <f>IF($B4=0,1000000,IF(INDEX('計算A'!$D$60:$DS$104,$B4,111)*GY4=1,'計算A'!DJ$6,1000000))</f>
        <v/>
      </c>
      <c r="LQ4">
        <f>IF($B4=0,1000000,IF(INDEX('計算A'!$D$60:$DS$104,$B4,112)*GZ4=1,'計算A'!DK$6,1000000))</f>
        <v/>
      </c>
      <c r="LR4">
        <f>IF($B4=0,1000000,IF(INDEX('計算A'!$D$60:$DS$104,$B4,113)*HA4=1,'計算A'!DL$6,1000000))</f>
        <v/>
      </c>
      <c r="LS4">
        <f>IF($B4=0,1000000,IF(INDEX('計算A'!$D$60:$DS$104,$B4,114)*HB4=1,'計算A'!DM$6,1000000))</f>
        <v/>
      </c>
      <c r="LT4">
        <f>IF($B4=0,1000000,IF(INDEX('計算A'!$D$60:$DS$104,$B4,115)*HC4=1,'計算A'!DN$6,1000000))</f>
        <v/>
      </c>
      <c r="LU4">
        <f>IF($B4=0,1000000,IF(INDEX('計算A'!$D$60:$DS$104,$B4,116)*HD4=1,'計算A'!DO$6,1000000))</f>
        <v/>
      </c>
      <c r="LV4">
        <f>IF($B4=0,1000000,IF(INDEX('計算A'!$D$60:$DS$104,$B4,117)*HE4=1,'計算A'!DP$6,1000000))</f>
        <v/>
      </c>
      <c r="LW4">
        <f>IF($B4=0,1000000,IF(INDEX('計算A'!$D$60:$DS$104,$B4,118)*HF4=1,'計算A'!DQ$6,1000000))</f>
        <v/>
      </c>
      <c r="LX4">
        <f>IF($B4=0,1000000,IF(INDEX('計算A'!$D$60:$DS$104,$B4,119)*HG4=1,'計算A'!DR$6,1000000))</f>
        <v/>
      </c>
      <c r="LY4">
        <f>IF($B4=0,1000000,IF(INDEX('計算A'!$D$60:$DS$104,$B4,120)*HH4=1,'計算A'!DS$6,1000000))</f>
        <v/>
      </c>
    </row>
    <row r="5">
      <c r="A5" t="n">
        <v>3</v>
      </c>
      <c r="B5">
        <f>IF(MIN(AY5:CQ5)&gt;=1000000,0,MATCH(MIN(AY5:CQ5),AY5:CQ5,0))</f>
        <v/>
      </c>
      <c r="C5">
        <f>IF(MIN(HJ5:LY5)&gt;=1000000,0,MATCH(MIN(HJ5:LY5),HJ5:LY5,0))</f>
        <v/>
      </c>
      <c r="D5">
        <f>IF(C5&gt;0,INDEX('計算A'!$D$5:$DS$5,C5),0)</f>
        <v/>
      </c>
      <c r="E5">
        <f>MAX(E4,IF($B4=1,1,0))</f>
        <v/>
      </c>
      <c r="F5">
        <f>MAX(F4,IF($B4=2,1,0))</f>
        <v/>
      </c>
      <c r="G5">
        <f>MAX(G4,IF($B4=3,1,0))</f>
        <v/>
      </c>
      <c r="H5">
        <f>MAX(H4,IF($B4=4,1,0))</f>
        <v/>
      </c>
      <c r="I5">
        <f>MAX(I4,IF($B4=5,1,0))</f>
        <v/>
      </c>
      <c r="J5">
        <f>MAX(J4,IF($B4=6,1,0))</f>
        <v/>
      </c>
      <c r="K5">
        <f>MAX(K4,IF($B4=7,1,0))</f>
        <v/>
      </c>
      <c r="L5">
        <f>MAX(L4,IF($B4=8,1,0))</f>
        <v/>
      </c>
      <c r="M5">
        <f>MAX(M4,IF($B4=9,1,0))</f>
        <v/>
      </c>
      <c r="N5">
        <f>MAX(N4,IF($B4=10,1,0))</f>
        <v/>
      </c>
      <c r="O5">
        <f>MAX(O4,IF($B4=11,1,0))</f>
        <v/>
      </c>
      <c r="P5">
        <f>MAX(P4,IF($B4=12,1,0))</f>
        <v/>
      </c>
      <c r="Q5">
        <f>MAX(Q4,IF($B4=13,1,0))</f>
        <v/>
      </c>
      <c r="R5">
        <f>MAX(R4,IF($B4=14,1,0))</f>
        <v/>
      </c>
      <c r="S5">
        <f>MAX(S4,IF($B4=15,1,0))</f>
        <v/>
      </c>
      <c r="T5">
        <f>MAX(T4,IF($B4=16,1,0))</f>
        <v/>
      </c>
      <c r="U5">
        <f>MAX(U4,IF($B4=17,1,0))</f>
        <v/>
      </c>
      <c r="V5">
        <f>MAX(V4,IF($B4=18,1,0))</f>
        <v/>
      </c>
      <c r="W5">
        <f>MAX(W4,IF($B4=19,1,0))</f>
        <v/>
      </c>
      <c r="X5">
        <f>MAX(X4,IF($B4=20,1,0))</f>
        <v/>
      </c>
      <c r="Y5">
        <f>MAX(Y4,IF($B4=21,1,0))</f>
        <v/>
      </c>
      <c r="Z5">
        <f>MAX(Z4,IF($B4=22,1,0))</f>
        <v/>
      </c>
      <c r="AA5">
        <f>MAX(AA4,IF($B4=23,1,0))</f>
        <v/>
      </c>
      <c r="AB5">
        <f>MAX(AB4,IF($B4=24,1,0))</f>
        <v/>
      </c>
      <c r="AC5">
        <f>MAX(AC4,IF($B4=25,1,0))</f>
        <v/>
      </c>
      <c r="AD5">
        <f>MAX(AD4,IF($B4=26,1,0))</f>
        <v/>
      </c>
      <c r="AE5">
        <f>MAX(AE4,IF($B4=27,1,0))</f>
        <v/>
      </c>
      <c r="AF5">
        <f>MAX(AF4,IF($B4=28,1,0))</f>
        <v/>
      </c>
      <c r="AG5">
        <f>MAX(AG4,IF($B4=29,1,0))</f>
        <v/>
      </c>
      <c r="AH5">
        <f>MAX(AH4,IF($B4=30,1,0))</f>
        <v/>
      </c>
      <c r="AI5">
        <f>MAX(AI4,IF($B4=31,1,0))</f>
        <v/>
      </c>
      <c r="AJ5">
        <f>MAX(AJ4,IF($B4=32,1,0))</f>
        <v/>
      </c>
      <c r="AK5">
        <f>MAX(AK4,IF($B4=33,1,0))</f>
        <v/>
      </c>
      <c r="AL5">
        <f>MAX(AL4,IF($B4=34,1,0))</f>
        <v/>
      </c>
      <c r="AM5">
        <f>MAX(AM4,IF($B4=35,1,0))</f>
        <v/>
      </c>
      <c r="AN5">
        <f>MAX(AN4,IF($B4=36,1,0))</f>
        <v/>
      </c>
      <c r="AO5">
        <f>MAX(AO4,IF($B4=37,1,0))</f>
        <v/>
      </c>
      <c r="AP5">
        <f>MAX(AP4,IF($B4=38,1,0))</f>
        <v/>
      </c>
      <c r="AQ5">
        <f>MAX(AQ4,IF($B4=39,1,0))</f>
        <v/>
      </c>
      <c r="AR5">
        <f>MAX(AR4,IF($B4=40,1,0))</f>
        <v/>
      </c>
      <c r="AS5">
        <f>MAX(AS4,IF($B4=41,1,0))</f>
        <v/>
      </c>
      <c r="AT5">
        <f>MAX(AT4,IF($B4=42,1,0))</f>
        <v/>
      </c>
      <c r="AU5">
        <f>MAX(AU4,IF($B4=43,1,0))</f>
        <v/>
      </c>
      <c r="AV5">
        <f>MAX(AV4,IF($B4=44,1,0))</f>
        <v/>
      </c>
      <c r="AW5">
        <f>MAX(AW4,IF($B4=45,1,0))</f>
        <v/>
      </c>
      <c r="AY5">
        <f>IF(E5=1,1000000,SUMPRODUCT('計算A'!$D$60:$DS$60,$CS5:$HH5)*1000+1)</f>
        <v/>
      </c>
      <c r="AZ5">
        <f>IF(F5=1,1000000,SUMPRODUCT('計算A'!$D$61:$DS$61,$CS5:$HH5)*1000+2)</f>
        <v/>
      </c>
      <c r="BA5">
        <f>IF(G5=1,1000000,SUMPRODUCT('計算A'!$D$62:$DS$62,$CS5:$HH5)*1000+3)</f>
        <v/>
      </c>
      <c r="BB5">
        <f>IF(H5=1,1000000,SUMPRODUCT('計算A'!$D$63:$DS$63,$CS5:$HH5)*1000+4)</f>
        <v/>
      </c>
      <c r="BC5">
        <f>IF(I5=1,1000000,SUMPRODUCT('計算A'!$D$64:$DS$64,$CS5:$HH5)*1000+5)</f>
        <v/>
      </c>
      <c r="BD5">
        <f>IF(J5=1,1000000,SUMPRODUCT('計算A'!$D$65:$DS$65,$CS5:$HH5)*1000+6)</f>
        <v/>
      </c>
      <c r="BE5">
        <f>IF(K5=1,1000000,SUMPRODUCT('計算A'!$D$66:$DS$66,$CS5:$HH5)*1000+7)</f>
        <v/>
      </c>
      <c r="BF5">
        <f>IF(L5=1,1000000,SUMPRODUCT('計算A'!$D$67:$DS$67,$CS5:$HH5)*1000+8)</f>
        <v/>
      </c>
      <c r="BG5">
        <f>IF(M5=1,1000000,SUMPRODUCT('計算A'!$D$68:$DS$68,$CS5:$HH5)*1000+9)</f>
        <v/>
      </c>
      <c r="BH5">
        <f>IF(N5=1,1000000,SUMPRODUCT('計算A'!$D$69:$DS$69,$CS5:$HH5)*1000+10)</f>
        <v/>
      </c>
      <c r="BI5">
        <f>IF(O5=1,1000000,SUMPRODUCT('計算A'!$D$70:$DS$70,$CS5:$HH5)*1000+11)</f>
        <v/>
      </c>
      <c r="BJ5">
        <f>IF(P5=1,1000000,SUMPRODUCT('計算A'!$D$71:$DS$71,$CS5:$HH5)*1000+12)</f>
        <v/>
      </c>
      <c r="BK5">
        <f>IF(Q5=1,1000000,SUMPRODUCT('計算A'!$D$72:$DS$72,$CS5:$HH5)*1000+13)</f>
        <v/>
      </c>
      <c r="BL5">
        <f>IF(R5=1,1000000,SUMPRODUCT('計算A'!$D$73:$DS$73,$CS5:$HH5)*1000+14)</f>
        <v/>
      </c>
      <c r="BM5">
        <f>IF(S5=1,1000000,SUMPRODUCT('計算A'!$D$74:$DS$74,$CS5:$HH5)*1000+15)</f>
        <v/>
      </c>
      <c r="BN5">
        <f>IF(T5=1,1000000,SUMPRODUCT('計算A'!$D$75:$DS$75,$CS5:$HH5)*1000+16)</f>
        <v/>
      </c>
      <c r="BO5">
        <f>IF(U5=1,1000000,SUMPRODUCT('計算A'!$D$76:$DS$76,$CS5:$HH5)*1000+17)</f>
        <v/>
      </c>
      <c r="BP5">
        <f>IF(V5=1,1000000,SUMPRODUCT('計算A'!$D$77:$DS$77,$CS5:$HH5)*1000+18)</f>
        <v/>
      </c>
      <c r="BQ5">
        <f>IF(W5=1,1000000,SUMPRODUCT('計算A'!$D$78:$DS$78,$CS5:$HH5)*1000+19)</f>
        <v/>
      </c>
      <c r="BR5">
        <f>IF(X5=1,1000000,SUMPRODUCT('計算A'!$D$79:$DS$79,$CS5:$HH5)*1000+20)</f>
        <v/>
      </c>
      <c r="BS5">
        <f>IF(Y5=1,1000000,SUMPRODUCT('計算A'!$D$80:$DS$80,$CS5:$HH5)*1000+21)</f>
        <v/>
      </c>
      <c r="BT5">
        <f>IF(Z5=1,1000000,SUMPRODUCT('計算A'!$D$81:$DS$81,$CS5:$HH5)*1000+22)</f>
        <v/>
      </c>
      <c r="BU5">
        <f>IF(AA5=1,1000000,SUMPRODUCT('計算A'!$D$82:$DS$82,$CS5:$HH5)*1000+23)</f>
        <v/>
      </c>
      <c r="BV5">
        <f>IF(AB5=1,1000000,SUMPRODUCT('計算A'!$D$83:$DS$83,$CS5:$HH5)*1000+24)</f>
        <v/>
      </c>
      <c r="BW5">
        <f>IF(AC5=1,1000000,SUMPRODUCT('計算A'!$D$84:$DS$84,$CS5:$HH5)*1000+25)</f>
        <v/>
      </c>
      <c r="BX5">
        <f>IF(AD5=1,1000000,SUMPRODUCT('計算A'!$D$85:$DS$85,$CS5:$HH5)*1000+26)</f>
        <v/>
      </c>
      <c r="BY5">
        <f>IF(AE5=1,1000000,SUMPRODUCT('計算A'!$D$86:$DS$86,$CS5:$HH5)*1000+27)</f>
        <v/>
      </c>
      <c r="BZ5">
        <f>IF(AF5=1,1000000,SUMPRODUCT('計算A'!$D$87:$DS$87,$CS5:$HH5)*1000+28)</f>
        <v/>
      </c>
      <c r="CA5">
        <f>IF(AG5=1,1000000,SUMPRODUCT('計算A'!$D$88:$DS$88,$CS5:$HH5)*1000+29)</f>
        <v/>
      </c>
      <c r="CB5">
        <f>IF(AH5=1,1000000,SUMPRODUCT('計算A'!$D$89:$DS$89,$CS5:$HH5)*1000+30)</f>
        <v/>
      </c>
      <c r="CC5">
        <f>IF(AI5=1,1000000,SUMPRODUCT('計算A'!$D$90:$DS$90,$CS5:$HH5)*1000+31)</f>
        <v/>
      </c>
      <c r="CD5">
        <f>IF(AJ5=1,1000000,SUMPRODUCT('計算A'!$D$91:$DS$91,$CS5:$HH5)*1000+32)</f>
        <v/>
      </c>
      <c r="CE5">
        <f>IF(AK5=1,1000000,SUMPRODUCT('計算A'!$D$92:$DS$92,$CS5:$HH5)*1000+33)</f>
        <v/>
      </c>
      <c r="CF5">
        <f>IF(AL5=1,1000000,SUMPRODUCT('計算A'!$D$93:$DS$93,$CS5:$HH5)*1000+34)</f>
        <v/>
      </c>
      <c r="CG5">
        <f>IF(AM5=1,1000000,SUMPRODUCT('計算A'!$D$94:$DS$94,$CS5:$HH5)*1000+35)</f>
        <v/>
      </c>
      <c r="CH5">
        <f>IF(AN5=1,1000000,SUMPRODUCT('計算A'!$D$95:$DS$95,$CS5:$HH5)*1000+36)</f>
        <v/>
      </c>
      <c r="CI5">
        <f>IF(AO5=1,1000000,SUMPRODUCT('計算A'!$D$96:$DS$96,$CS5:$HH5)*1000+37)</f>
        <v/>
      </c>
      <c r="CJ5">
        <f>IF(AP5=1,1000000,SUMPRODUCT('計算A'!$D$97:$DS$97,$CS5:$HH5)*1000+38)</f>
        <v/>
      </c>
      <c r="CK5">
        <f>IF(AQ5=1,1000000,SUMPRODUCT('計算A'!$D$98:$DS$98,$CS5:$HH5)*1000+39)</f>
        <v/>
      </c>
      <c r="CL5">
        <f>IF(AR5=1,1000000,SUMPRODUCT('計算A'!$D$99:$DS$99,$CS5:$HH5)*1000+40)</f>
        <v/>
      </c>
      <c r="CM5">
        <f>IF(AS5=1,1000000,SUMPRODUCT('計算A'!$D$100:$DS$100,$CS5:$HH5)*1000+41)</f>
        <v/>
      </c>
      <c r="CN5">
        <f>IF(AT5=1,1000000,SUMPRODUCT('計算A'!$D$101:$DS$101,$CS5:$HH5)*1000+42)</f>
        <v/>
      </c>
      <c r="CO5">
        <f>IF(AU5=1,1000000,SUMPRODUCT('計算A'!$D$102:$DS$102,$CS5:$HH5)*1000+43)</f>
        <v/>
      </c>
      <c r="CP5">
        <f>IF(AV5=1,1000000,SUMPRODUCT('計算A'!$D$103:$DS$103,$CS5:$HH5)*1000+44)</f>
        <v/>
      </c>
      <c r="CQ5">
        <f>IF(AW5=1,1000000,SUMPRODUCT('計算A'!$D$104:$DS$104,$CS5:$HH5)*1000+45)</f>
        <v/>
      </c>
      <c r="CS5">
        <f>CS4*IF($C4=1,0,1)</f>
        <v/>
      </c>
      <c r="CT5">
        <f>CT4*IF($C4=2,0,1)</f>
        <v/>
      </c>
      <c r="CU5">
        <f>CU4*IF($C4=3,0,1)</f>
        <v/>
      </c>
      <c r="CV5">
        <f>CV4*IF($C4=4,0,1)</f>
        <v/>
      </c>
      <c r="CW5">
        <f>CW4*IF($C4=5,0,1)</f>
        <v/>
      </c>
      <c r="CX5">
        <f>CX4*IF($C4=6,0,1)</f>
        <v/>
      </c>
      <c r="CY5">
        <f>CY4*IF($C4=7,0,1)</f>
        <v/>
      </c>
      <c r="CZ5">
        <f>CZ4*IF($C4=8,0,1)</f>
        <v/>
      </c>
      <c r="DA5">
        <f>DA4*IF($C4=9,0,1)</f>
        <v/>
      </c>
      <c r="DB5">
        <f>DB4*IF($C4=10,0,1)</f>
        <v/>
      </c>
      <c r="DC5">
        <f>DC4*IF($C4=11,0,1)</f>
        <v/>
      </c>
      <c r="DD5">
        <f>DD4*IF($C4=12,0,1)</f>
        <v/>
      </c>
      <c r="DE5">
        <f>DE4*IF($C4=13,0,1)</f>
        <v/>
      </c>
      <c r="DF5">
        <f>DF4*IF($C4=14,0,1)</f>
        <v/>
      </c>
      <c r="DG5">
        <f>DG4*IF($C4=15,0,1)</f>
        <v/>
      </c>
      <c r="DH5">
        <f>DH4*IF($C4=16,0,1)</f>
        <v/>
      </c>
      <c r="DI5">
        <f>DI4*IF($C4=17,0,1)</f>
        <v/>
      </c>
      <c r="DJ5">
        <f>DJ4*IF($C4=18,0,1)</f>
        <v/>
      </c>
      <c r="DK5">
        <f>DK4*IF($C4=19,0,1)</f>
        <v/>
      </c>
      <c r="DL5">
        <f>DL4*IF($C4=20,0,1)</f>
        <v/>
      </c>
      <c r="DM5">
        <f>DM4*IF($C4=21,0,1)</f>
        <v/>
      </c>
      <c r="DN5">
        <f>DN4*IF($C4=22,0,1)</f>
        <v/>
      </c>
      <c r="DO5">
        <f>DO4*IF($C4=23,0,1)</f>
        <v/>
      </c>
      <c r="DP5">
        <f>DP4*IF($C4=24,0,1)</f>
        <v/>
      </c>
      <c r="DQ5">
        <f>DQ4*IF($C4=25,0,1)</f>
        <v/>
      </c>
      <c r="DR5">
        <f>DR4*IF($C4=26,0,1)</f>
        <v/>
      </c>
      <c r="DS5">
        <f>DS4*IF($C4=27,0,1)</f>
        <v/>
      </c>
      <c r="DT5">
        <f>DT4*IF($C4=28,0,1)</f>
        <v/>
      </c>
      <c r="DU5">
        <f>DU4*IF($C4=29,0,1)</f>
        <v/>
      </c>
      <c r="DV5">
        <f>DV4*IF($C4=30,0,1)</f>
        <v/>
      </c>
      <c r="DW5">
        <f>DW4*IF($C4=31,0,1)</f>
        <v/>
      </c>
      <c r="DX5">
        <f>DX4*IF($C4=32,0,1)</f>
        <v/>
      </c>
      <c r="DY5">
        <f>DY4*IF($C4=33,0,1)</f>
        <v/>
      </c>
      <c r="DZ5">
        <f>DZ4*IF($C4=34,0,1)</f>
        <v/>
      </c>
      <c r="EA5">
        <f>EA4*IF($C4=35,0,1)</f>
        <v/>
      </c>
      <c r="EB5">
        <f>EB4*IF($C4=36,0,1)</f>
        <v/>
      </c>
      <c r="EC5">
        <f>EC4*IF($C4=37,0,1)</f>
        <v/>
      </c>
      <c r="ED5">
        <f>ED4*IF($C4=38,0,1)</f>
        <v/>
      </c>
      <c r="EE5">
        <f>EE4*IF($C4=39,0,1)</f>
        <v/>
      </c>
      <c r="EF5">
        <f>EF4*IF($C4=40,0,1)</f>
        <v/>
      </c>
      <c r="EG5">
        <f>EG4*IF($C4=41,0,1)</f>
        <v/>
      </c>
      <c r="EH5">
        <f>EH4*IF($C4=42,0,1)</f>
        <v/>
      </c>
      <c r="EI5">
        <f>EI4*IF($C4=43,0,1)</f>
        <v/>
      </c>
      <c r="EJ5">
        <f>EJ4*IF($C4=44,0,1)</f>
        <v/>
      </c>
      <c r="EK5">
        <f>EK4*IF($C4=45,0,1)</f>
        <v/>
      </c>
      <c r="EL5">
        <f>EL4*IF($C4=46,0,1)</f>
        <v/>
      </c>
      <c r="EM5">
        <f>EM4*IF($C4=47,0,1)</f>
        <v/>
      </c>
      <c r="EN5">
        <f>EN4*IF($C4=48,0,1)</f>
        <v/>
      </c>
      <c r="EO5">
        <f>EO4*IF($C4=49,0,1)</f>
        <v/>
      </c>
      <c r="EP5">
        <f>EP4*IF($C4=50,0,1)</f>
        <v/>
      </c>
      <c r="EQ5">
        <f>EQ4*IF($C4=51,0,1)</f>
        <v/>
      </c>
      <c r="ER5">
        <f>ER4*IF($C4=52,0,1)</f>
        <v/>
      </c>
      <c r="ES5">
        <f>ES4*IF($C4=53,0,1)</f>
        <v/>
      </c>
      <c r="ET5">
        <f>ET4*IF($C4=54,0,1)</f>
        <v/>
      </c>
      <c r="EU5">
        <f>EU4*IF($C4=55,0,1)</f>
        <v/>
      </c>
      <c r="EV5">
        <f>EV4*IF($C4=56,0,1)</f>
        <v/>
      </c>
      <c r="EW5">
        <f>EW4*IF($C4=57,0,1)</f>
        <v/>
      </c>
      <c r="EX5">
        <f>EX4*IF($C4=58,0,1)</f>
        <v/>
      </c>
      <c r="EY5">
        <f>EY4*IF($C4=59,0,1)</f>
        <v/>
      </c>
      <c r="EZ5">
        <f>EZ4*IF($C4=60,0,1)</f>
        <v/>
      </c>
      <c r="FA5">
        <f>FA4*IF($C4=61,0,1)</f>
        <v/>
      </c>
      <c r="FB5">
        <f>FB4*IF($C4=62,0,1)</f>
        <v/>
      </c>
      <c r="FC5">
        <f>FC4*IF($C4=63,0,1)</f>
        <v/>
      </c>
      <c r="FD5">
        <f>FD4*IF($C4=64,0,1)</f>
        <v/>
      </c>
      <c r="FE5">
        <f>FE4*IF($C4=65,0,1)</f>
        <v/>
      </c>
      <c r="FF5">
        <f>FF4*IF($C4=66,0,1)</f>
        <v/>
      </c>
      <c r="FG5">
        <f>FG4*IF($C4=67,0,1)</f>
        <v/>
      </c>
      <c r="FH5">
        <f>FH4*IF($C4=68,0,1)</f>
        <v/>
      </c>
      <c r="FI5">
        <f>FI4*IF($C4=69,0,1)</f>
        <v/>
      </c>
      <c r="FJ5">
        <f>FJ4*IF($C4=70,0,1)</f>
        <v/>
      </c>
      <c r="FK5">
        <f>FK4*IF($C4=71,0,1)</f>
        <v/>
      </c>
      <c r="FL5">
        <f>FL4*IF($C4=72,0,1)</f>
        <v/>
      </c>
      <c r="FM5">
        <f>FM4*IF($C4=73,0,1)</f>
        <v/>
      </c>
      <c r="FN5">
        <f>FN4*IF($C4=74,0,1)</f>
        <v/>
      </c>
      <c r="FO5">
        <f>FO4*IF($C4=75,0,1)</f>
        <v/>
      </c>
      <c r="FP5">
        <f>FP4*IF($C4=76,0,1)</f>
        <v/>
      </c>
      <c r="FQ5">
        <f>FQ4*IF($C4=77,0,1)</f>
        <v/>
      </c>
      <c r="FR5">
        <f>FR4*IF($C4=78,0,1)</f>
        <v/>
      </c>
      <c r="FS5">
        <f>FS4*IF($C4=79,0,1)</f>
        <v/>
      </c>
      <c r="FT5">
        <f>FT4*IF($C4=80,0,1)</f>
        <v/>
      </c>
      <c r="FU5">
        <f>FU4*IF($C4=81,0,1)</f>
        <v/>
      </c>
      <c r="FV5">
        <f>FV4*IF($C4=82,0,1)</f>
        <v/>
      </c>
      <c r="FW5">
        <f>FW4*IF($C4=83,0,1)</f>
        <v/>
      </c>
      <c r="FX5">
        <f>FX4*IF($C4=84,0,1)</f>
        <v/>
      </c>
      <c r="FY5">
        <f>FY4*IF($C4=85,0,1)</f>
        <v/>
      </c>
      <c r="FZ5">
        <f>FZ4*IF($C4=86,0,1)</f>
        <v/>
      </c>
      <c r="GA5">
        <f>GA4*IF($C4=87,0,1)</f>
        <v/>
      </c>
      <c r="GB5">
        <f>GB4*IF($C4=88,0,1)</f>
        <v/>
      </c>
      <c r="GC5">
        <f>GC4*IF($C4=89,0,1)</f>
        <v/>
      </c>
      <c r="GD5">
        <f>GD4*IF($C4=90,0,1)</f>
        <v/>
      </c>
      <c r="GE5">
        <f>GE4*IF($C4=91,0,1)</f>
        <v/>
      </c>
      <c r="GF5">
        <f>GF4*IF($C4=92,0,1)</f>
        <v/>
      </c>
      <c r="GG5">
        <f>GG4*IF($C4=93,0,1)</f>
        <v/>
      </c>
      <c r="GH5">
        <f>GH4*IF($C4=94,0,1)</f>
        <v/>
      </c>
      <c r="GI5">
        <f>GI4*IF($C4=95,0,1)</f>
        <v/>
      </c>
      <c r="GJ5">
        <f>GJ4*IF($C4=96,0,1)</f>
        <v/>
      </c>
      <c r="GK5">
        <f>GK4*IF($C4=97,0,1)</f>
        <v/>
      </c>
      <c r="GL5">
        <f>GL4*IF($C4=98,0,1)</f>
        <v/>
      </c>
      <c r="GM5">
        <f>GM4*IF($C4=99,0,1)</f>
        <v/>
      </c>
      <c r="GN5">
        <f>GN4*IF($C4=100,0,1)</f>
        <v/>
      </c>
      <c r="GO5">
        <f>GO4*IF($C4=101,0,1)</f>
        <v/>
      </c>
      <c r="GP5">
        <f>GP4*IF($C4=102,0,1)</f>
        <v/>
      </c>
      <c r="GQ5">
        <f>GQ4*IF($C4=103,0,1)</f>
        <v/>
      </c>
      <c r="GR5">
        <f>GR4*IF($C4=104,0,1)</f>
        <v/>
      </c>
      <c r="GS5">
        <f>GS4*IF($C4=105,0,1)</f>
        <v/>
      </c>
      <c r="GT5">
        <f>GT4*IF($C4=106,0,1)</f>
        <v/>
      </c>
      <c r="GU5">
        <f>GU4*IF($C4=107,0,1)</f>
        <v/>
      </c>
      <c r="GV5">
        <f>GV4*IF($C4=108,0,1)</f>
        <v/>
      </c>
      <c r="GW5">
        <f>GW4*IF($C4=109,0,1)</f>
        <v/>
      </c>
      <c r="GX5">
        <f>GX4*IF($C4=110,0,1)</f>
        <v/>
      </c>
      <c r="GY5">
        <f>GY4*IF($C4=111,0,1)</f>
        <v/>
      </c>
      <c r="GZ5">
        <f>GZ4*IF($C4=112,0,1)</f>
        <v/>
      </c>
      <c r="HA5">
        <f>HA4*IF($C4=113,0,1)</f>
        <v/>
      </c>
      <c r="HB5">
        <f>HB4*IF($C4=114,0,1)</f>
        <v/>
      </c>
      <c r="HC5">
        <f>HC4*IF($C4=115,0,1)</f>
        <v/>
      </c>
      <c r="HD5">
        <f>HD4*IF($C4=116,0,1)</f>
        <v/>
      </c>
      <c r="HE5">
        <f>HE4*IF($C4=117,0,1)</f>
        <v/>
      </c>
      <c r="HF5">
        <f>HF4*IF($C4=118,0,1)</f>
        <v/>
      </c>
      <c r="HG5">
        <f>HG4*IF($C4=119,0,1)</f>
        <v/>
      </c>
      <c r="HH5">
        <f>HH4*IF($C4=120,0,1)</f>
        <v/>
      </c>
      <c r="HJ5">
        <f>IF($B5=0,1000000,IF(INDEX('計算A'!$D$60:$DS$104,$B5,1)*CS5=1,'計算A'!D$6,1000000))</f>
        <v/>
      </c>
      <c r="HK5">
        <f>IF($B5=0,1000000,IF(INDEX('計算A'!$D$60:$DS$104,$B5,2)*CT5=1,'計算A'!E$6,1000000))</f>
        <v/>
      </c>
      <c r="HL5">
        <f>IF($B5=0,1000000,IF(INDEX('計算A'!$D$60:$DS$104,$B5,3)*CU5=1,'計算A'!F$6,1000000))</f>
        <v/>
      </c>
      <c r="HM5">
        <f>IF($B5=0,1000000,IF(INDEX('計算A'!$D$60:$DS$104,$B5,4)*CV5=1,'計算A'!G$6,1000000))</f>
        <v/>
      </c>
      <c r="HN5">
        <f>IF($B5=0,1000000,IF(INDEX('計算A'!$D$60:$DS$104,$B5,5)*CW5=1,'計算A'!H$6,1000000))</f>
        <v/>
      </c>
      <c r="HO5">
        <f>IF($B5=0,1000000,IF(INDEX('計算A'!$D$60:$DS$104,$B5,6)*CX5=1,'計算A'!I$6,1000000))</f>
        <v/>
      </c>
      <c r="HP5">
        <f>IF($B5=0,1000000,IF(INDEX('計算A'!$D$60:$DS$104,$B5,7)*CY5=1,'計算A'!J$6,1000000))</f>
        <v/>
      </c>
      <c r="HQ5">
        <f>IF($B5=0,1000000,IF(INDEX('計算A'!$D$60:$DS$104,$B5,8)*CZ5=1,'計算A'!K$6,1000000))</f>
        <v/>
      </c>
      <c r="HR5">
        <f>IF($B5=0,1000000,IF(INDEX('計算A'!$D$60:$DS$104,$B5,9)*DA5=1,'計算A'!L$6,1000000))</f>
        <v/>
      </c>
      <c r="HS5">
        <f>IF($B5=0,1000000,IF(INDEX('計算A'!$D$60:$DS$104,$B5,10)*DB5=1,'計算A'!M$6,1000000))</f>
        <v/>
      </c>
      <c r="HT5">
        <f>IF($B5=0,1000000,IF(INDEX('計算A'!$D$60:$DS$104,$B5,11)*DC5=1,'計算A'!N$6,1000000))</f>
        <v/>
      </c>
      <c r="HU5">
        <f>IF($B5=0,1000000,IF(INDEX('計算A'!$D$60:$DS$104,$B5,12)*DD5=1,'計算A'!O$6,1000000))</f>
        <v/>
      </c>
      <c r="HV5">
        <f>IF($B5=0,1000000,IF(INDEX('計算A'!$D$60:$DS$104,$B5,13)*DE5=1,'計算A'!P$6,1000000))</f>
        <v/>
      </c>
      <c r="HW5">
        <f>IF($B5=0,1000000,IF(INDEX('計算A'!$D$60:$DS$104,$B5,14)*DF5=1,'計算A'!Q$6,1000000))</f>
        <v/>
      </c>
      <c r="HX5">
        <f>IF($B5=0,1000000,IF(INDEX('計算A'!$D$60:$DS$104,$B5,15)*DG5=1,'計算A'!R$6,1000000))</f>
        <v/>
      </c>
      <c r="HY5">
        <f>IF($B5=0,1000000,IF(INDEX('計算A'!$D$60:$DS$104,$B5,16)*DH5=1,'計算A'!S$6,1000000))</f>
        <v/>
      </c>
      <c r="HZ5">
        <f>IF($B5=0,1000000,IF(INDEX('計算A'!$D$60:$DS$104,$B5,17)*DI5=1,'計算A'!T$6,1000000))</f>
        <v/>
      </c>
      <c r="IA5">
        <f>IF($B5=0,1000000,IF(INDEX('計算A'!$D$60:$DS$104,$B5,18)*DJ5=1,'計算A'!U$6,1000000))</f>
        <v/>
      </c>
      <c r="IB5">
        <f>IF($B5=0,1000000,IF(INDEX('計算A'!$D$60:$DS$104,$B5,19)*DK5=1,'計算A'!V$6,1000000))</f>
        <v/>
      </c>
      <c r="IC5">
        <f>IF($B5=0,1000000,IF(INDEX('計算A'!$D$60:$DS$104,$B5,20)*DL5=1,'計算A'!W$6,1000000))</f>
        <v/>
      </c>
      <c r="ID5">
        <f>IF($B5=0,1000000,IF(INDEX('計算A'!$D$60:$DS$104,$B5,21)*DM5=1,'計算A'!X$6,1000000))</f>
        <v/>
      </c>
      <c r="IE5">
        <f>IF($B5=0,1000000,IF(INDEX('計算A'!$D$60:$DS$104,$B5,22)*DN5=1,'計算A'!Y$6,1000000))</f>
        <v/>
      </c>
      <c r="IF5">
        <f>IF($B5=0,1000000,IF(INDEX('計算A'!$D$60:$DS$104,$B5,23)*DO5=1,'計算A'!Z$6,1000000))</f>
        <v/>
      </c>
      <c r="IG5">
        <f>IF($B5=0,1000000,IF(INDEX('計算A'!$D$60:$DS$104,$B5,24)*DP5=1,'計算A'!AA$6,1000000))</f>
        <v/>
      </c>
      <c r="IH5">
        <f>IF($B5=0,1000000,IF(INDEX('計算A'!$D$60:$DS$104,$B5,25)*DQ5=1,'計算A'!AB$6,1000000))</f>
        <v/>
      </c>
      <c r="II5">
        <f>IF($B5=0,1000000,IF(INDEX('計算A'!$D$60:$DS$104,$B5,26)*DR5=1,'計算A'!AC$6,1000000))</f>
        <v/>
      </c>
      <c r="IJ5">
        <f>IF($B5=0,1000000,IF(INDEX('計算A'!$D$60:$DS$104,$B5,27)*DS5=1,'計算A'!AD$6,1000000))</f>
        <v/>
      </c>
      <c r="IK5">
        <f>IF($B5=0,1000000,IF(INDEX('計算A'!$D$60:$DS$104,$B5,28)*DT5=1,'計算A'!AE$6,1000000))</f>
        <v/>
      </c>
      <c r="IL5">
        <f>IF($B5=0,1000000,IF(INDEX('計算A'!$D$60:$DS$104,$B5,29)*DU5=1,'計算A'!AF$6,1000000))</f>
        <v/>
      </c>
      <c r="IM5">
        <f>IF($B5=0,1000000,IF(INDEX('計算A'!$D$60:$DS$104,$B5,30)*DV5=1,'計算A'!AG$6,1000000))</f>
        <v/>
      </c>
      <c r="IN5">
        <f>IF($B5=0,1000000,IF(INDEX('計算A'!$D$60:$DS$104,$B5,31)*DW5=1,'計算A'!AH$6,1000000))</f>
        <v/>
      </c>
      <c r="IO5">
        <f>IF($B5=0,1000000,IF(INDEX('計算A'!$D$60:$DS$104,$B5,32)*DX5=1,'計算A'!AI$6,1000000))</f>
        <v/>
      </c>
      <c r="IP5">
        <f>IF($B5=0,1000000,IF(INDEX('計算A'!$D$60:$DS$104,$B5,33)*DY5=1,'計算A'!AJ$6,1000000))</f>
        <v/>
      </c>
      <c r="IQ5">
        <f>IF($B5=0,1000000,IF(INDEX('計算A'!$D$60:$DS$104,$B5,34)*DZ5=1,'計算A'!AK$6,1000000))</f>
        <v/>
      </c>
      <c r="IR5">
        <f>IF($B5=0,1000000,IF(INDEX('計算A'!$D$60:$DS$104,$B5,35)*EA5=1,'計算A'!AL$6,1000000))</f>
        <v/>
      </c>
      <c r="IS5">
        <f>IF($B5=0,1000000,IF(INDEX('計算A'!$D$60:$DS$104,$B5,36)*EB5=1,'計算A'!AM$6,1000000))</f>
        <v/>
      </c>
      <c r="IT5">
        <f>IF($B5=0,1000000,IF(INDEX('計算A'!$D$60:$DS$104,$B5,37)*EC5=1,'計算A'!AN$6,1000000))</f>
        <v/>
      </c>
      <c r="IU5">
        <f>IF($B5=0,1000000,IF(INDEX('計算A'!$D$60:$DS$104,$B5,38)*ED5=1,'計算A'!AO$6,1000000))</f>
        <v/>
      </c>
      <c r="IV5">
        <f>IF($B5=0,1000000,IF(INDEX('計算A'!$D$60:$DS$104,$B5,39)*EE5=1,'計算A'!AP$6,1000000))</f>
        <v/>
      </c>
      <c r="IW5">
        <f>IF($B5=0,1000000,IF(INDEX('計算A'!$D$60:$DS$104,$B5,40)*EF5=1,'計算A'!AQ$6,1000000))</f>
        <v/>
      </c>
      <c r="IX5">
        <f>IF($B5=0,1000000,IF(INDEX('計算A'!$D$60:$DS$104,$B5,41)*EG5=1,'計算A'!AR$6,1000000))</f>
        <v/>
      </c>
      <c r="IY5">
        <f>IF($B5=0,1000000,IF(INDEX('計算A'!$D$60:$DS$104,$B5,42)*EH5=1,'計算A'!AS$6,1000000))</f>
        <v/>
      </c>
      <c r="IZ5">
        <f>IF($B5=0,1000000,IF(INDEX('計算A'!$D$60:$DS$104,$B5,43)*EI5=1,'計算A'!AT$6,1000000))</f>
        <v/>
      </c>
      <c r="JA5">
        <f>IF($B5=0,1000000,IF(INDEX('計算A'!$D$60:$DS$104,$B5,44)*EJ5=1,'計算A'!AU$6,1000000))</f>
        <v/>
      </c>
      <c r="JB5">
        <f>IF($B5=0,1000000,IF(INDEX('計算A'!$D$60:$DS$104,$B5,45)*EK5=1,'計算A'!AV$6,1000000))</f>
        <v/>
      </c>
      <c r="JC5">
        <f>IF($B5=0,1000000,IF(INDEX('計算A'!$D$60:$DS$104,$B5,46)*EL5=1,'計算A'!AW$6,1000000))</f>
        <v/>
      </c>
      <c r="JD5">
        <f>IF($B5=0,1000000,IF(INDEX('計算A'!$D$60:$DS$104,$B5,47)*EM5=1,'計算A'!AX$6,1000000))</f>
        <v/>
      </c>
      <c r="JE5">
        <f>IF($B5=0,1000000,IF(INDEX('計算A'!$D$60:$DS$104,$B5,48)*EN5=1,'計算A'!AY$6,1000000))</f>
        <v/>
      </c>
      <c r="JF5">
        <f>IF($B5=0,1000000,IF(INDEX('計算A'!$D$60:$DS$104,$B5,49)*EO5=1,'計算A'!AZ$6,1000000))</f>
        <v/>
      </c>
      <c r="JG5">
        <f>IF($B5=0,1000000,IF(INDEX('計算A'!$D$60:$DS$104,$B5,50)*EP5=1,'計算A'!BA$6,1000000))</f>
        <v/>
      </c>
      <c r="JH5">
        <f>IF($B5=0,1000000,IF(INDEX('計算A'!$D$60:$DS$104,$B5,51)*EQ5=1,'計算A'!BB$6,1000000))</f>
        <v/>
      </c>
      <c r="JI5">
        <f>IF($B5=0,1000000,IF(INDEX('計算A'!$D$60:$DS$104,$B5,52)*ER5=1,'計算A'!BC$6,1000000))</f>
        <v/>
      </c>
      <c r="JJ5">
        <f>IF($B5=0,1000000,IF(INDEX('計算A'!$D$60:$DS$104,$B5,53)*ES5=1,'計算A'!BD$6,1000000))</f>
        <v/>
      </c>
      <c r="JK5">
        <f>IF($B5=0,1000000,IF(INDEX('計算A'!$D$60:$DS$104,$B5,54)*ET5=1,'計算A'!BE$6,1000000))</f>
        <v/>
      </c>
      <c r="JL5">
        <f>IF($B5=0,1000000,IF(INDEX('計算A'!$D$60:$DS$104,$B5,55)*EU5=1,'計算A'!BF$6,1000000))</f>
        <v/>
      </c>
      <c r="JM5">
        <f>IF($B5=0,1000000,IF(INDEX('計算A'!$D$60:$DS$104,$B5,56)*EV5=1,'計算A'!BG$6,1000000))</f>
        <v/>
      </c>
      <c r="JN5">
        <f>IF($B5=0,1000000,IF(INDEX('計算A'!$D$60:$DS$104,$B5,57)*EW5=1,'計算A'!BH$6,1000000))</f>
        <v/>
      </c>
      <c r="JO5">
        <f>IF($B5=0,1000000,IF(INDEX('計算A'!$D$60:$DS$104,$B5,58)*EX5=1,'計算A'!BI$6,1000000))</f>
        <v/>
      </c>
      <c r="JP5">
        <f>IF($B5=0,1000000,IF(INDEX('計算A'!$D$60:$DS$104,$B5,59)*EY5=1,'計算A'!BJ$6,1000000))</f>
        <v/>
      </c>
      <c r="JQ5">
        <f>IF($B5=0,1000000,IF(INDEX('計算A'!$D$60:$DS$104,$B5,60)*EZ5=1,'計算A'!BK$6,1000000))</f>
        <v/>
      </c>
      <c r="JR5">
        <f>IF($B5=0,1000000,IF(INDEX('計算A'!$D$60:$DS$104,$B5,61)*FA5=1,'計算A'!BL$6,1000000))</f>
        <v/>
      </c>
      <c r="JS5">
        <f>IF($B5=0,1000000,IF(INDEX('計算A'!$D$60:$DS$104,$B5,62)*FB5=1,'計算A'!BM$6,1000000))</f>
        <v/>
      </c>
      <c r="JT5">
        <f>IF($B5=0,1000000,IF(INDEX('計算A'!$D$60:$DS$104,$B5,63)*FC5=1,'計算A'!BN$6,1000000))</f>
        <v/>
      </c>
      <c r="JU5">
        <f>IF($B5=0,1000000,IF(INDEX('計算A'!$D$60:$DS$104,$B5,64)*FD5=1,'計算A'!BO$6,1000000))</f>
        <v/>
      </c>
      <c r="JV5">
        <f>IF($B5=0,1000000,IF(INDEX('計算A'!$D$60:$DS$104,$B5,65)*FE5=1,'計算A'!BP$6,1000000))</f>
        <v/>
      </c>
      <c r="JW5">
        <f>IF($B5=0,1000000,IF(INDEX('計算A'!$D$60:$DS$104,$B5,66)*FF5=1,'計算A'!BQ$6,1000000))</f>
        <v/>
      </c>
      <c r="JX5">
        <f>IF($B5=0,1000000,IF(INDEX('計算A'!$D$60:$DS$104,$B5,67)*FG5=1,'計算A'!BR$6,1000000))</f>
        <v/>
      </c>
      <c r="JY5">
        <f>IF($B5=0,1000000,IF(INDEX('計算A'!$D$60:$DS$104,$B5,68)*FH5=1,'計算A'!BS$6,1000000))</f>
        <v/>
      </c>
      <c r="JZ5">
        <f>IF($B5=0,1000000,IF(INDEX('計算A'!$D$60:$DS$104,$B5,69)*FI5=1,'計算A'!BT$6,1000000))</f>
        <v/>
      </c>
      <c r="KA5">
        <f>IF($B5=0,1000000,IF(INDEX('計算A'!$D$60:$DS$104,$B5,70)*FJ5=1,'計算A'!BU$6,1000000))</f>
        <v/>
      </c>
      <c r="KB5">
        <f>IF($B5=0,1000000,IF(INDEX('計算A'!$D$60:$DS$104,$B5,71)*FK5=1,'計算A'!BV$6,1000000))</f>
        <v/>
      </c>
      <c r="KC5">
        <f>IF($B5=0,1000000,IF(INDEX('計算A'!$D$60:$DS$104,$B5,72)*FL5=1,'計算A'!BW$6,1000000))</f>
        <v/>
      </c>
      <c r="KD5">
        <f>IF($B5=0,1000000,IF(INDEX('計算A'!$D$60:$DS$104,$B5,73)*FM5=1,'計算A'!BX$6,1000000))</f>
        <v/>
      </c>
      <c r="KE5">
        <f>IF($B5=0,1000000,IF(INDEX('計算A'!$D$60:$DS$104,$B5,74)*FN5=1,'計算A'!BY$6,1000000))</f>
        <v/>
      </c>
      <c r="KF5">
        <f>IF($B5=0,1000000,IF(INDEX('計算A'!$D$60:$DS$104,$B5,75)*FO5=1,'計算A'!BZ$6,1000000))</f>
        <v/>
      </c>
      <c r="KG5">
        <f>IF($B5=0,1000000,IF(INDEX('計算A'!$D$60:$DS$104,$B5,76)*FP5=1,'計算A'!CA$6,1000000))</f>
        <v/>
      </c>
      <c r="KH5">
        <f>IF($B5=0,1000000,IF(INDEX('計算A'!$D$60:$DS$104,$B5,77)*FQ5=1,'計算A'!CB$6,1000000))</f>
        <v/>
      </c>
      <c r="KI5">
        <f>IF($B5=0,1000000,IF(INDEX('計算A'!$D$60:$DS$104,$B5,78)*FR5=1,'計算A'!CC$6,1000000))</f>
        <v/>
      </c>
      <c r="KJ5">
        <f>IF($B5=0,1000000,IF(INDEX('計算A'!$D$60:$DS$104,$B5,79)*FS5=1,'計算A'!CD$6,1000000))</f>
        <v/>
      </c>
      <c r="KK5">
        <f>IF($B5=0,1000000,IF(INDEX('計算A'!$D$60:$DS$104,$B5,80)*FT5=1,'計算A'!CE$6,1000000))</f>
        <v/>
      </c>
      <c r="KL5">
        <f>IF($B5=0,1000000,IF(INDEX('計算A'!$D$60:$DS$104,$B5,81)*FU5=1,'計算A'!CF$6,1000000))</f>
        <v/>
      </c>
      <c r="KM5">
        <f>IF($B5=0,1000000,IF(INDEX('計算A'!$D$60:$DS$104,$B5,82)*FV5=1,'計算A'!CG$6,1000000))</f>
        <v/>
      </c>
      <c r="KN5">
        <f>IF($B5=0,1000000,IF(INDEX('計算A'!$D$60:$DS$104,$B5,83)*FW5=1,'計算A'!CH$6,1000000))</f>
        <v/>
      </c>
      <c r="KO5">
        <f>IF($B5=0,1000000,IF(INDEX('計算A'!$D$60:$DS$104,$B5,84)*FX5=1,'計算A'!CI$6,1000000))</f>
        <v/>
      </c>
      <c r="KP5">
        <f>IF($B5=0,1000000,IF(INDEX('計算A'!$D$60:$DS$104,$B5,85)*FY5=1,'計算A'!CJ$6,1000000))</f>
        <v/>
      </c>
      <c r="KQ5">
        <f>IF($B5=0,1000000,IF(INDEX('計算A'!$D$60:$DS$104,$B5,86)*FZ5=1,'計算A'!CK$6,1000000))</f>
        <v/>
      </c>
      <c r="KR5">
        <f>IF($B5=0,1000000,IF(INDEX('計算A'!$D$60:$DS$104,$B5,87)*GA5=1,'計算A'!CL$6,1000000))</f>
        <v/>
      </c>
      <c r="KS5">
        <f>IF($B5=0,1000000,IF(INDEX('計算A'!$D$60:$DS$104,$B5,88)*GB5=1,'計算A'!CM$6,1000000))</f>
        <v/>
      </c>
      <c r="KT5">
        <f>IF($B5=0,1000000,IF(INDEX('計算A'!$D$60:$DS$104,$B5,89)*GC5=1,'計算A'!CN$6,1000000))</f>
        <v/>
      </c>
      <c r="KU5">
        <f>IF($B5=0,1000000,IF(INDEX('計算A'!$D$60:$DS$104,$B5,90)*GD5=1,'計算A'!CO$6,1000000))</f>
        <v/>
      </c>
      <c r="KV5">
        <f>IF($B5=0,1000000,IF(INDEX('計算A'!$D$60:$DS$104,$B5,91)*GE5=1,'計算A'!CP$6,1000000))</f>
        <v/>
      </c>
      <c r="KW5">
        <f>IF($B5=0,1000000,IF(INDEX('計算A'!$D$60:$DS$104,$B5,92)*GF5=1,'計算A'!CQ$6,1000000))</f>
        <v/>
      </c>
      <c r="KX5">
        <f>IF($B5=0,1000000,IF(INDEX('計算A'!$D$60:$DS$104,$B5,93)*GG5=1,'計算A'!CR$6,1000000))</f>
        <v/>
      </c>
      <c r="KY5">
        <f>IF($B5=0,1000000,IF(INDEX('計算A'!$D$60:$DS$104,$B5,94)*GH5=1,'計算A'!CS$6,1000000))</f>
        <v/>
      </c>
      <c r="KZ5">
        <f>IF($B5=0,1000000,IF(INDEX('計算A'!$D$60:$DS$104,$B5,95)*GI5=1,'計算A'!CT$6,1000000))</f>
        <v/>
      </c>
      <c r="LA5">
        <f>IF($B5=0,1000000,IF(INDEX('計算A'!$D$60:$DS$104,$B5,96)*GJ5=1,'計算A'!CU$6,1000000))</f>
        <v/>
      </c>
      <c r="LB5">
        <f>IF($B5=0,1000000,IF(INDEX('計算A'!$D$60:$DS$104,$B5,97)*GK5=1,'計算A'!CV$6,1000000))</f>
        <v/>
      </c>
      <c r="LC5">
        <f>IF($B5=0,1000000,IF(INDEX('計算A'!$D$60:$DS$104,$B5,98)*GL5=1,'計算A'!CW$6,1000000))</f>
        <v/>
      </c>
      <c r="LD5">
        <f>IF($B5=0,1000000,IF(INDEX('計算A'!$D$60:$DS$104,$B5,99)*GM5=1,'計算A'!CX$6,1000000))</f>
        <v/>
      </c>
      <c r="LE5">
        <f>IF($B5=0,1000000,IF(INDEX('計算A'!$D$60:$DS$104,$B5,100)*GN5=1,'計算A'!CY$6,1000000))</f>
        <v/>
      </c>
      <c r="LF5">
        <f>IF($B5=0,1000000,IF(INDEX('計算A'!$D$60:$DS$104,$B5,101)*GO5=1,'計算A'!CZ$6,1000000))</f>
        <v/>
      </c>
      <c r="LG5">
        <f>IF($B5=0,1000000,IF(INDEX('計算A'!$D$60:$DS$104,$B5,102)*GP5=1,'計算A'!DA$6,1000000))</f>
        <v/>
      </c>
      <c r="LH5">
        <f>IF($B5=0,1000000,IF(INDEX('計算A'!$D$60:$DS$104,$B5,103)*GQ5=1,'計算A'!DB$6,1000000))</f>
        <v/>
      </c>
      <c r="LI5">
        <f>IF($B5=0,1000000,IF(INDEX('計算A'!$D$60:$DS$104,$B5,104)*GR5=1,'計算A'!DC$6,1000000))</f>
        <v/>
      </c>
      <c r="LJ5">
        <f>IF($B5=0,1000000,IF(INDEX('計算A'!$D$60:$DS$104,$B5,105)*GS5=1,'計算A'!DD$6,1000000))</f>
        <v/>
      </c>
      <c r="LK5">
        <f>IF($B5=0,1000000,IF(INDEX('計算A'!$D$60:$DS$104,$B5,106)*GT5=1,'計算A'!DE$6,1000000))</f>
        <v/>
      </c>
      <c r="LL5">
        <f>IF($B5=0,1000000,IF(INDEX('計算A'!$D$60:$DS$104,$B5,107)*GU5=1,'計算A'!DF$6,1000000))</f>
        <v/>
      </c>
      <c r="LM5">
        <f>IF($B5=0,1000000,IF(INDEX('計算A'!$D$60:$DS$104,$B5,108)*GV5=1,'計算A'!DG$6,1000000))</f>
        <v/>
      </c>
      <c r="LN5">
        <f>IF($B5=0,1000000,IF(INDEX('計算A'!$D$60:$DS$104,$B5,109)*GW5=1,'計算A'!DH$6,1000000))</f>
        <v/>
      </c>
      <c r="LO5">
        <f>IF($B5=0,1000000,IF(INDEX('計算A'!$D$60:$DS$104,$B5,110)*GX5=1,'計算A'!DI$6,1000000))</f>
        <v/>
      </c>
      <c r="LP5">
        <f>IF($B5=0,1000000,IF(INDEX('計算A'!$D$60:$DS$104,$B5,111)*GY5=1,'計算A'!DJ$6,1000000))</f>
        <v/>
      </c>
      <c r="LQ5">
        <f>IF($B5=0,1000000,IF(INDEX('計算A'!$D$60:$DS$104,$B5,112)*GZ5=1,'計算A'!DK$6,1000000))</f>
        <v/>
      </c>
      <c r="LR5">
        <f>IF($B5=0,1000000,IF(INDEX('計算A'!$D$60:$DS$104,$B5,113)*HA5=1,'計算A'!DL$6,1000000))</f>
        <v/>
      </c>
      <c r="LS5">
        <f>IF($B5=0,1000000,IF(INDEX('計算A'!$D$60:$DS$104,$B5,114)*HB5=1,'計算A'!DM$6,1000000))</f>
        <v/>
      </c>
      <c r="LT5">
        <f>IF($B5=0,1000000,IF(INDEX('計算A'!$D$60:$DS$104,$B5,115)*HC5=1,'計算A'!DN$6,1000000))</f>
        <v/>
      </c>
      <c r="LU5">
        <f>IF($B5=0,1000000,IF(INDEX('計算A'!$D$60:$DS$104,$B5,116)*HD5=1,'計算A'!DO$6,1000000))</f>
        <v/>
      </c>
      <c r="LV5">
        <f>IF($B5=0,1000000,IF(INDEX('計算A'!$D$60:$DS$104,$B5,117)*HE5=1,'計算A'!DP$6,1000000))</f>
        <v/>
      </c>
      <c r="LW5">
        <f>IF($B5=0,1000000,IF(INDEX('計算A'!$D$60:$DS$104,$B5,118)*HF5=1,'計算A'!DQ$6,1000000))</f>
        <v/>
      </c>
      <c r="LX5">
        <f>IF($B5=0,1000000,IF(INDEX('計算A'!$D$60:$DS$104,$B5,119)*HG5=1,'計算A'!DR$6,1000000))</f>
        <v/>
      </c>
      <c r="LY5">
        <f>IF($B5=0,1000000,IF(INDEX('計算A'!$D$60:$DS$104,$B5,120)*HH5=1,'計算A'!DS$6,1000000))</f>
        <v/>
      </c>
    </row>
    <row r="6">
      <c r="A6" t="n">
        <v>4</v>
      </c>
      <c r="B6">
        <f>IF(MIN(AY6:CQ6)&gt;=1000000,0,MATCH(MIN(AY6:CQ6),AY6:CQ6,0))</f>
        <v/>
      </c>
      <c r="C6">
        <f>IF(MIN(HJ6:LY6)&gt;=1000000,0,MATCH(MIN(HJ6:LY6),HJ6:LY6,0))</f>
        <v/>
      </c>
      <c r="D6">
        <f>IF(C6&gt;0,INDEX('計算A'!$D$5:$DS$5,C6),0)</f>
        <v/>
      </c>
      <c r="E6">
        <f>MAX(E5,IF($B5=1,1,0))</f>
        <v/>
      </c>
      <c r="F6">
        <f>MAX(F5,IF($B5=2,1,0))</f>
        <v/>
      </c>
      <c r="G6">
        <f>MAX(G5,IF($B5=3,1,0))</f>
        <v/>
      </c>
      <c r="H6">
        <f>MAX(H5,IF($B5=4,1,0))</f>
        <v/>
      </c>
      <c r="I6">
        <f>MAX(I5,IF($B5=5,1,0))</f>
        <v/>
      </c>
      <c r="J6">
        <f>MAX(J5,IF($B5=6,1,0))</f>
        <v/>
      </c>
      <c r="K6">
        <f>MAX(K5,IF($B5=7,1,0))</f>
        <v/>
      </c>
      <c r="L6">
        <f>MAX(L5,IF($B5=8,1,0))</f>
        <v/>
      </c>
      <c r="M6">
        <f>MAX(M5,IF($B5=9,1,0))</f>
        <v/>
      </c>
      <c r="N6">
        <f>MAX(N5,IF($B5=10,1,0))</f>
        <v/>
      </c>
      <c r="O6">
        <f>MAX(O5,IF($B5=11,1,0))</f>
        <v/>
      </c>
      <c r="P6">
        <f>MAX(P5,IF($B5=12,1,0))</f>
        <v/>
      </c>
      <c r="Q6">
        <f>MAX(Q5,IF($B5=13,1,0))</f>
        <v/>
      </c>
      <c r="R6">
        <f>MAX(R5,IF($B5=14,1,0))</f>
        <v/>
      </c>
      <c r="S6">
        <f>MAX(S5,IF($B5=15,1,0))</f>
        <v/>
      </c>
      <c r="T6">
        <f>MAX(T5,IF($B5=16,1,0))</f>
        <v/>
      </c>
      <c r="U6">
        <f>MAX(U5,IF($B5=17,1,0))</f>
        <v/>
      </c>
      <c r="V6">
        <f>MAX(V5,IF($B5=18,1,0))</f>
        <v/>
      </c>
      <c r="W6">
        <f>MAX(W5,IF($B5=19,1,0))</f>
        <v/>
      </c>
      <c r="X6">
        <f>MAX(X5,IF($B5=20,1,0))</f>
        <v/>
      </c>
      <c r="Y6">
        <f>MAX(Y5,IF($B5=21,1,0))</f>
        <v/>
      </c>
      <c r="Z6">
        <f>MAX(Z5,IF($B5=22,1,0))</f>
        <v/>
      </c>
      <c r="AA6">
        <f>MAX(AA5,IF($B5=23,1,0))</f>
        <v/>
      </c>
      <c r="AB6">
        <f>MAX(AB5,IF($B5=24,1,0))</f>
        <v/>
      </c>
      <c r="AC6">
        <f>MAX(AC5,IF($B5=25,1,0))</f>
        <v/>
      </c>
      <c r="AD6">
        <f>MAX(AD5,IF($B5=26,1,0))</f>
        <v/>
      </c>
      <c r="AE6">
        <f>MAX(AE5,IF($B5=27,1,0))</f>
        <v/>
      </c>
      <c r="AF6">
        <f>MAX(AF5,IF($B5=28,1,0))</f>
        <v/>
      </c>
      <c r="AG6">
        <f>MAX(AG5,IF($B5=29,1,0))</f>
        <v/>
      </c>
      <c r="AH6">
        <f>MAX(AH5,IF($B5=30,1,0))</f>
        <v/>
      </c>
      <c r="AI6">
        <f>MAX(AI5,IF($B5=31,1,0))</f>
        <v/>
      </c>
      <c r="AJ6">
        <f>MAX(AJ5,IF($B5=32,1,0))</f>
        <v/>
      </c>
      <c r="AK6">
        <f>MAX(AK5,IF($B5=33,1,0))</f>
        <v/>
      </c>
      <c r="AL6">
        <f>MAX(AL5,IF($B5=34,1,0))</f>
        <v/>
      </c>
      <c r="AM6">
        <f>MAX(AM5,IF($B5=35,1,0))</f>
        <v/>
      </c>
      <c r="AN6">
        <f>MAX(AN5,IF($B5=36,1,0))</f>
        <v/>
      </c>
      <c r="AO6">
        <f>MAX(AO5,IF($B5=37,1,0))</f>
        <v/>
      </c>
      <c r="AP6">
        <f>MAX(AP5,IF($B5=38,1,0))</f>
        <v/>
      </c>
      <c r="AQ6">
        <f>MAX(AQ5,IF($B5=39,1,0))</f>
        <v/>
      </c>
      <c r="AR6">
        <f>MAX(AR5,IF($B5=40,1,0))</f>
        <v/>
      </c>
      <c r="AS6">
        <f>MAX(AS5,IF($B5=41,1,0))</f>
        <v/>
      </c>
      <c r="AT6">
        <f>MAX(AT5,IF($B5=42,1,0))</f>
        <v/>
      </c>
      <c r="AU6">
        <f>MAX(AU5,IF($B5=43,1,0))</f>
        <v/>
      </c>
      <c r="AV6">
        <f>MAX(AV5,IF($B5=44,1,0))</f>
        <v/>
      </c>
      <c r="AW6">
        <f>MAX(AW5,IF($B5=45,1,0))</f>
        <v/>
      </c>
      <c r="AY6">
        <f>IF(E6=1,1000000,SUMPRODUCT('計算A'!$D$60:$DS$60,$CS6:$HH6)*1000+1)</f>
        <v/>
      </c>
      <c r="AZ6">
        <f>IF(F6=1,1000000,SUMPRODUCT('計算A'!$D$61:$DS$61,$CS6:$HH6)*1000+2)</f>
        <v/>
      </c>
      <c r="BA6">
        <f>IF(G6=1,1000000,SUMPRODUCT('計算A'!$D$62:$DS$62,$CS6:$HH6)*1000+3)</f>
        <v/>
      </c>
      <c r="BB6">
        <f>IF(H6=1,1000000,SUMPRODUCT('計算A'!$D$63:$DS$63,$CS6:$HH6)*1000+4)</f>
        <v/>
      </c>
      <c r="BC6">
        <f>IF(I6=1,1000000,SUMPRODUCT('計算A'!$D$64:$DS$64,$CS6:$HH6)*1000+5)</f>
        <v/>
      </c>
      <c r="BD6">
        <f>IF(J6=1,1000000,SUMPRODUCT('計算A'!$D$65:$DS$65,$CS6:$HH6)*1000+6)</f>
        <v/>
      </c>
      <c r="BE6">
        <f>IF(K6=1,1000000,SUMPRODUCT('計算A'!$D$66:$DS$66,$CS6:$HH6)*1000+7)</f>
        <v/>
      </c>
      <c r="BF6">
        <f>IF(L6=1,1000000,SUMPRODUCT('計算A'!$D$67:$DS$67,$CS6:$HH6)*1000+8)</f>
        <v/>
      </c>
      <c r="BG6">
        <f>IF(M6=1,1000000,SUMPRODUCT('計算A'!$D$68:$DS$68,$CS6:$HH6)*1000+9)</f>
        <v/>
      </c>
      <c r="BH6">
        <f>IF(N6=1,1000000,SUMPRODUCT('計算A'!$D$69:$DS$69,$CS6:$HH6)*1000+10)</f>
        <v/>
      </c>
      <c r="BI6">
        <f>IF(O6=1,1000000,SUMPRODUCT('計算A'!$D$70:$DS$70,$CS6:$HH6)*1000+11)</f>
        <v/>
      </c>
      <c r="BJ6">
        <f>IF(P6=1,1000000,SUMPRODUCT('計算A'!$D$71:$DS$71,$CS6:$HH6)*1000+12)</f>
        <v/>
      </c>
      <c r="BK6">
        <f>IF(Q6=1,1000000,SUMPRODUCT('計算A'!$D$72:$DS$72,$CS6:$HH6)*1000+13)</f>
        <v/>
      </c>
      <c r="BL6">
        <f>IF(R6=1,1000000,SUMPRODUCT('計算A'!$D$73:$DS$73,$CS6:$HH6)*1000+14)</f>
        <v/>
      </c>
      <c r="BM6">
        <f>IF(S6=1,1000000,SUMPRODUCT('計算A'!$D$74:$DS$74,$CS6:$HH6)*1000+15)</f>
        <v/>
      </c>
      <c r="BN6">
        <f>IF(T6=1,1000000,SUMPRODUCT('計算A'!$D$75:$DS$75,$CS6:$HH6)*1000+16)</f>
        <v/>
      </c>
      <c r="BO6">
        <f>IF(U6=1,1000000,SUMPRODUCT('計算A'!$D$76:$DS$76,$CS6:$HH6)*1000+17)</f>
        <v/>
      </c>
      <c r="BP6">
        <f>IF(V6=1,1000000,SUMPRODUCT('計算A'!$D$77:$DS$77,$CS6:$HH6)*1000+18)</f>
        <v/>
      </c>
      <c r="BQ6">
        <f>IF(W6=1,1000000,SUMPRODUCT('計算A'!$D$78:$DS$78,$CS6:$HH6)*1000+19)</f>
        <v/>
      </c>
      <c r="BR6">
        <f>IF(X6=1,1000000,SUMPRODUCT('計算A'!$D$79:$DS$79,$CS6:$HH6)*1000+20)</f>
        <v/>
      </c>
      <c r="BS6">
        <f>IF(Y6=1,1000000,SUMPRODUCT('計算A'!$D$80:$DS$80,$CS6:$HH6)*1000+21)</f>
        <v/>
      </c>
      <c r="BT6">
        <f>IF(Z6=1,1000000,SUMPRODUCT('計算A'!$D$81:$DS$81,$CS6:$HH6)*1000+22)</f>
        <v/>
      </c>
      <c r="BU6">
        <f>IF(AA6=1,1000000,SUMPRODUCT('計算A'!$D$82:$DS$82,$CS6:$HH6)*1000+23)</f>
        <v/>
      </c>
      <c r="BV6">
        <f>IF(AB6=1,1000000,SUMPRODUCT('計算A'!$D$83:$DS$83,$CS6:$HH6)*1000+24)</f>
        <v/>
      </c>
      <c r="BW6">
        <f>IF(AC6=1,1000000,SUMPRODUCT('計算A'!$D$84:$DS$84,$CS6:$HH6)*1000+25)</f>
        <v/>
      </c>
      <c r="BX6">
        <f>IF(AD6=1,1000000,SUMPRODUCT('計算A'!$D$85:$DS$85,$CS6:$HH6)*1000+26)</f>
        <v/>
      </c>
      <c r="BY6">
        <f>IF(AE6=1,1000000,SUMPRODUCT('計算A'!$D$86:$DS$86,$CS6:$HH6)*1000+27)</f>
        <v/>
      </c>
      <c r="BZ6">
        <f>IF(AF6=1,1000000,SUMPRODUCT('計算A'!$D$87:$DS$87,$CS6:$HH6)*1000+28)</f>
        <v/>
      </c>
      <c r="CA6">
        <f>IF(AG6=1,1000000,SUMPRODUCT('計算A'!$D$88:$DS$88,$CS6:$HH6)*1000+29)</f>
        <v/>
      </c>
      <c r="CB6">
        <f>IF(AH6=1,1000000,SUMPRODUCT('計算A'!$D$89:$DS$89,$CS6:$HH6)*1000+30)</f>
        <v/>
      </c>
      <c r="CC6">
        <f>IF(AI6=1,1000000,SUMPRODUCT('計算A'!$D$90:$DS$90,$CS6:$HH6)*1000+31)</f>
        <v/>
      </c>
      <c r="CD6">
        <f>IF(AJ6=1,1000000,SUMPRODUCT('計算A'!$D$91:$DS$91,$CS6:$HH6)*1000+32)</f>
        <v/>
      </c>
      <c r="CE6">
        <f>IF(AK6=1,1000000,SUMPRODUCT('計算A'!$D$92:$DS$92,$CS6:$HH6)*1000+33)</f>
        <v/>
      </c>
      <c r="CF6">
        <f>IF(AL6=1,1000000,SUMPRODUCT('計算A'!$D$93:$DS$93,$CS6:$HH6)*1000+34)</f>
        <v/>
      </c>
      <c r="CG6">
        <f>IF(AM6=1,1000000,SUMPRODUCT('計算A'!$D$94:$DS$94,$CS6:$HH6)*1000+35)</f>
        <v/>
      </c>
      <c r="CH6">
        <f>IF(AN6=1,1000000,SUMPRODUCT('計算A'!$D$95:$DS$95,$CS6:$HH6)*1000+36)</f>
        <v/>
      </c>
      <c r="CI6">
        <f>IF(AO6=1,1000000,SUMPRODUCT('計算A'!$D$96:$DS$96,$CS6:$HH6)*1000+37)</f>
        <v/>
      </c>
      <c r="CJ6">
        <f>IF(AP6=1,1000000,SUMPRODUCT('計算A'!$D$97:$DS$97,$CS6:$HH6)*1000+38)</f>
        <v/>
      </c>
      <c r="CK6">
        <f>IF(AQ6=1,1000000,SUMPRODUCT('計算A'!$D$98:$DS$98,$CS6:$HH6)*1000+39)</f>
        <v/>
      </c>
      <c r="CL6">
        <f>IF(AR6=1,1000000,SUMPRODUCT('計算A'!$D$99:$DS$99,$CS6:$HH6)*1000+40)</f>
        <v/>
      </c>
      <c r="CM6">
        <f>IF(AS6=1,1000000,SUMPRODUCT('計算A'!$D$100:$DS$100,$CS6:$HH6)*1000+41)</f>
        <v/>
      </c>
      <c r="CN6">
        <f>IF(AT6=1,1000000,SUMPRODUCT('計算A'!$D$101:$DS$101,$CS6:$HH6)*1000+42)</f>
        <v/>
      </c>
      <c r="CO6">
        <f>IF(AU6=1,1000000,SUMPRODUCT('計算A'!$D$102:$DS$102,$CS6:$HH6)*1000+43)</f>
        <v/>
      </c>
      <c r="CP6">
        <f>IF(AV6=1,1000000,SUMPRODUCT('計算A'!$D$103:$DS$103,$CS6:$HH6)*1000+44)</f>
        <v/>
      </c>
      <c r="CQ6">
        <f>IF(AW6=1,1000000,SUMPRODUCT('計算A'!$D$104:$DS$104,$CS6:$HH6)*1000+45)</f>
        <v/>
      </c>
      <c r="CS6">
        <f>CS5*IF($C5=1,0,1)</f>
        <v/>
      </c>
      <c r="CT6">
        <f>CT5*IF($C5=2,0,1)</f>
        <v/>
      </c>
      <c r="CU6">
        <f>CU5*IF($C5=3,0,1)</f>
        <v/>
      </c>
      <c r="CV6">
        <f>CV5*IF($C5=4,0,1)</f>
        <v/>
      </c>
      <c r="CW6">
        <f>CW5*IF($C5=5,0,1)</f>
        <v/>
      </c>
      <c r="CX6">
        <f>CX5*IF($C5=6,0,1)</f>
        <v/>
      </c>
      <c r="CY6">
        <f>CY5*IF($C5=7,0,1)</f>
        <v/>
      </c>
      <c r="CZ6">
        <f>CZ5*IF($C5=8,0,1)</f>
        <v/>
      </c>
      <c r="DA6">
        <f>DA5*IF($C5=9,0,1)</f>
        <v/>
      </c>
      <c r="DB6">
        <f>DB5*IF($C5=10,0,1)</f>
        <v/>
      </c>
      <c r="DC6">
        <f>DC5*IF($C5=11,0,1)</f>
        <v/>
      </c>
      <c r="DD6">
        <f>DD5*IF($C5=12,0,1)</f>
        <v/>
      </c>
      <c r="DE6">
        <f>DE5*IF($C5=13,0,1)</f>
        <v/>
      </c>
      <c r="DF6">
        <f>DF5*IF($C5=14,0,1)</f>
        <v/>
      </c>
      <c r="DG6">
        <f>DG5*IF($C5=15,0,1)</f>
        <v/>
      </c>
      <c r="DH6">
        <f>DH5*IF($C5=16,0,1)</f>
        <v/>
      </c>
      <c r="DI6">
        <f>DI5*IF($C5=17,0,1)</f>
        <v/>
      </c>
      <c r="DJ6">
        <f>DJ5*IF($C5=18,0,1)</f>
        <v/>
      </c>
      <c r="DK6">
        <f>DK5*IF($C5=19,0,1)</f>
        <v/>
      </c>
      <c r="DL6">
        <f>DL5*IF($C5=20,0,1)</f>
        <v/>
      </c>
      <c r="DM6">
        <f>DM5*IF($C5=21,0,1)</f>
        <v/>
      </c>
      <c r="DN6">
        <f>DN5*IF($C5=22,0,1)</f>
        <v/>
      </c>
      <c r="DO6">
        <f>DO5*IF($C5=23,0,1)</f>
        <v/>
      </c>
      <c r="DP6">
        <f>DP5*IF($C5=24,0,1)</f>
        <v/>
      </c>
      <c r="DQ6">
        <f>DQ5*IF($C5=25,0,1)</f>
        <v/>
      </c>
      <c r="DR6">
        <f>DR5*IF($C5=26,0,1)</f>
        <v/>
      </c>
      <c r="DS6">
        <f>DS5*IF($C5=27,0,1)</f>
        <v/>
      </c>
      <c r="DT6">
        <f>DT5*IF($C5=28,0,1)</f>
        <v/>
      </c>
      <c r="DU6">
        <f>DU5*IF($C5=29,0,1)</f>
        <v/>
      </c>
      <c r="DV6">
        <f>DV5*IF($C5=30,0,1)</f>
        <v/>
      </c>
      <c r="DW6">
        <f>DW5*IF($C5=31,0,1)</f>
        <v/>
      </c>
      <c r="DX6">
        <f>DX5*IF($C5=32,0,1)</f>
        <v/>
      </c>
      <c r="DY6">
        <f>DY5*IF($C5=33,0,1)</f>
        <v/>
      </c>
      <c r="DZ6">
        <f>DZ5*IF($C5=34,0,1)</f>
        <v/>
      </c>
      <c r="EA6">
        <f>EA5*IF($C5=35,0,1)</f>
        <v/>
      </c>
      <c r="EB6">
        <f>EB5*IF($C5=36,0,1)</f>
        <v/>
      </c>
      <c r="EC6">
        <f>EC5*IF($C5=37,0,1)</f>
        <v/>
      </c>
      <c r="ED6">
        <f>ED5*IF($C5=38,0,1)</f>
        <v/>
      </c>
      <c r="EE6">
        <f>EE5*IF($C5=39,0,1)</f>
        <v/>
      </c>
      <c r="EF6">
        <f>EF5*IF($C5=40,0,1)</f>
        <v/>
      </c>
      <c r="EG6">
        <f>EG5*IF($C5=41,0,1)</f>
        <v/>
      </c>
      <c r="EH6">
        <f>EH5*IF($C5=42,0,1)</f>
        <v/>
      </c>
      <c r="EI6">
        <f>EI5*IF($C5=43,0,1)</f>
        <v/>
      </c>
      <c r="EJ6">
        <f>EJ5*IF($C5=44,0,1)</f>
        <v/>
      </c>
      <c r="EK6">
        <f>EK5*IF($C5=45,0,1)</f>
        <v/>
      </c>
      <c r="EL6">
        <f>EL5*IF($C5=46,0,1)</f>
        <v/>
      </c>
      <c r="EM6">
        <f>EM5*IF($C5=47,0,1)</f>
        <v/>
      </c>
      <c r="EN6">
        <f>EN5*IF($C5=48,0,1)</f>
        <v/>
      </c>
      <c r="EO6">
        <f>EO5*IF($C5=49,0,1)</f>
        <v/>
      </c>
      <c r="EP6">
        <f>EP5*IF($C5=50,0,1)</f>
        <v/>
      </c>
      <c r="EQ6">
        <f>EQ5*IF($C5=51,0,1)</f>
        <v/>
      </c>
      <c r="ER6">
        <f>ER5*IF($C5=52,0,1)</f>
        <v/>
      </c>
      <c r="ES6">
        <f>ES5*IF($C5=53,0,1)</f>
        <v/>
      </c>
      <c r="ET6">
        <f>ET5*IF($C5=54,0,1)</f>
        <v/>
      </c>
      <c r="EU6">
        <f>EU5*IF($C5=55,0,1)</f>
        <v/>
      </c>
      <c r="EV6">
        <f>EV5*IF($C5=56,0,1)</f>
        <v/>
      </c>
      <c r="EW6">
        <f>EW5*IF($C5=57,0,1)</f>
        <v/>
      </c>
      <c r="EX6">
        <f>EX5*IF($C5=58,0,1)</f>
        <v/>
      </c>
      <c r="EY6">
        <f>EY5*IF($C5=59,0,1)</f>
        <v/>
      </c>
      <c r="EZ6">
        <f>EZ5*IF($C5=60,0,1)</f>
        <v/>
      </c>
      <c r="FA6">
        <f>FA5*IF($C5=61,0,1)</f>
        <v/>
      </c>
      <c r="FB6">
        <f>FB5*IF($C5=62,0,1)</f>
        <v/>
      </c>
      <c r="FC6">
        <f>FC5*IF($C5=63,0,1)</f>
        <v/>
      </c>
      <c r="FD6">
        <f>FD5*IF($C5=64,0,1)</f>
        <v/>
      </c>
      <c r="FE6">
        <f>FE5*IF($C5=65,0,1)</f>
        <v/>
      </c>
      <c r="FF6">
        <f>FF5*IF($C5=66,0,1)</f>
        <v/>
      </c>
      <c r="FG6">
        <f>FG5*IF($C5=67,0,1)</f>
        <v/>
      </c>
      <c r="FH6">
        <f>FH5*IF($C5=68,0,1)</f>
        <v/>
      </c>
      <c r="FI6">
        <f>FI5*IF($C5=69,0,1)</f>
        <v/>
      </c>
      <c r="FJ6">
        <f>FJ5*IF($C5=70,0,1)</f>
        <v/>
      </c>
      <c r="FK6">
        <f>FK5*IF($C5=71,0,1)</f>
        <v/>
      </c>
      <c r="FL6">
        <f>FL5*IF($C5=72,0,1)</f>
        <v/>
      </c>
      <c r="FM6">
        <f>FM5*IF($C5=73,0,1)</f>
        <v/>
      </c>
      <c r="FN6">
        <f>FN5*IF($C5=74,0,1)</f>
        <v/>
      </c>
      <c r="FO6">
        <f>FO5*IF($C5=75,0,1)</f>
        <v/>
      </c>
      <c r="FP6">
        <f>FP5*IF($C5=76,0,1)</f>
        <v/>
      </c>
      <c r="FQ6">
        <f>FQ5*IF($C5=77,0,1)</f>
        <v/>
      </c>
      <c r="FR6">
        <f>FR5*IF($C5=78,0,1)</f>
        <v/>
      </c>
      <c r="FS6">
        <f>FS5*IF($C5=79,0,1)</f>
        <v/>
      </c>
      <c r="FT6">
        <f>FT5*IF($C5=80,0,1)</f>
        <v/>
      </c>
      <c r="FU6">
        <f>FU5*IF($C5=81,0,1)</f>
        <v/>
      </c>
      <c r="FV6">
        <f>FV5*IF($C5=82,0,1)</f>
        <v/>
      </c>
      <c r="FW6">
        <f>FW5*IF($C5=83,0,1)</f>
        <v/>
      </c>
      <c r="FX6">
        <f>FX5*IF($C5=84,0,1)</f>
        <v/>
      </c>
      <c r="FY6">
        <f>FY5*IF($C5=85,0,1)</f>
        <v/>
      </c>
      <c r="FZ6">
        <f>FZ5*IF($C5=86,0,1)</f>
        <v/>
      </c>
      <c r="GA6">
        <f>GA5*IF($C5=87,0,1)</f>
        <v/>
      </c>
      <c r="GB6">
        <f>GB5*IF($C5=88,0,1)</f>
        <v/>
      </c>
      <c r="GC6">
        <f>GC5*IF($C5=89,0,1)</f>
        <v/>
      </c>
      <c r="GD6">
        <f>GD5*IF($C5=90,0,1)</f>
        <v/>
      </c>
      <c r="GE6">
        <f>GE5*IF($C5=91,0,1)</f>
        <v/>
      </c>
      <c r="GF6">
        <f>GF5*IF($C5=92,0,1)</f>
        <v/>
      </c>
      <c r="GG6">
        <f>GG5*IF($C5=93,0,1)</f>
        <v/>
      </c>
      <c r="GH6">
        <f>GH5*IF($C5=94,0,1)</f>
        <v/>
      </c>
      <c r="GI6">
        <f>GI5*IF($C5=95,0,1)</f>
        <v/>
      </c>
      <c r="GJ6">
        <f>GJ5*IF($C5=96,0,1)</f>
        <v/>
      </c>
      <c r="GK6">
        <f>GK5*IF($C5=97,0,1)</f>
        <v/>
      </c>
      <c r="GL6">
        <f>GL5*IF($C5=98,0,1)</f>
        <v/>
      </c>
      <c r="GM6">
        <f>GM5*IF($C5=99,0,1)</f>
        <v/>
      </c>
      <c r="GN6">
        <f>GN5*IF($C5=100,0,1)</f>
        <v/>
      </c>
      <c r="GO6">
        <f>GO5*IF($C5=101,0,1)</f>
        <v/>
      </c>
      <c r="GP6">
        <f>GP5*IF($C5=102,0,1)</f>
        <v/>
      </c>
      <c r="GQ6">
        <f>GQ5*IF($C5=103,0,1)</f>
        <v/>
      </c>
      <c r="GR6">
        <f>GR5*IF($C5=104,0,1)</f>
        <v/>
      </c>
      <c r="GS6">
        <f>GS5*IF($C5=105,0,1)</f>
        <v/>
      </c>
      <c r="GT6">
        <f>GT5*IF($C5=106,0,1)</f>
        <v/>
      </c>
      <c r="GU6">
        <f>GU5*IF($C5=107,0,1)</f>
        <v/>
      </c>
      <c r="GV6">
        <f>GV5*IF($C5=108,0,1)</f>
        <v/>
      </c>
      <c r="GW6">
        <f>GW5*IF($C5=109,0,1)</f>
        <v/>
      </c>
      <c r="GX6">
        <f>GX5*IF($C5=110,0,1)</f>
        <v/>
      </c>
      <c r="GY6">
        <f>GY5*IF($C5=111,0,1)</f>
        <v/>
      </c>
      <c r="GZ6">
        <f>GZ5*IF($C5=112,0,1)</f>
        <v/>
      </c>
      <c r="HA6">
        <f>HA5*IF($C5=113,0,1)</f>
        <v/>
      </c>
      <c r="HB6">
        <f>HB5*IF($C5=114,0,1)</f>
        <v/>
      </c>
      <c r="HC6">
        <f>HC5*IF($C5=115,0,1)</f>
        <v/>
      </c>
      <c r="HD6">
        <f>HD5*IF($C5=116,0,1)</f>
        <v/>
      </c>
      <c r="HE6">
        <f>HE5*IF($C5=117,0,1)</f>
        <v/>
      </c>
      <c r="HF6">
        <f>HF5*IF($C5=118,0,1)</f>
        <v/>
      </c>
      <c r="HG6">
        <f>HG5*IF($C5=119,0,1)</f>
        <v/>
      </c>
      <c r="HH6">
        <f>HH5*IF($C5=120,0,1)</f>
        <v/>
      </c>
      <c r="HJ6">
        <f>IF($B6=0,1000000,IF(INDEX('計算A'!$D$60:$DS$104,$B6,1)*CS6=1,'計算A'!D$6,1000000))</f>
        <v/>
      </c>
      <c r="HK6">
        <f>IF($B6=0,1000000,IF(INDEX('計算A'!$D$60:$DS$104,$B6,2)*CT6=1,'計算A'!E$6,1000000))</f>
        <v/>
      </c>
      <c r="HL6">
        <f>IF($B6=0,1000000,IF(INDEX('計算A'!$D$60:$DS$104,$B6,3)*CU6=1,'計算A'!F$6,1000000))</f>
        <v/>
      </c>
      <c r="HM6">
        <f>IF($B6=0,1000000,IF(INDEX('計算A'!$D$60:$DS$104,$B6,4)*CV6=1,'計算A'!G$6,1000000))</f>
        <v/>
      </c>
      <c r="HN6">
        <f>IF($B6=0,1000000,IF(INDEX('計算A'!$D$60:$DS$104,$B6,5)*CW6=1,'計算A'!H$6,1000000))</f>
        <v/>
      </c>
      <c r="HO6">
        <f>IF($B6=0,1000000,IF(INDEX('計算A'!$D$60:$DS$104,$B6,6)*CX6=1,'計算A'!I$6,1000000))</f>
        <v/>
      </c>
      <c r="HP6">
        <f>IF($B6=0,1000000,IF(INDEX('計算A'!$D$60:$DS$104,$B6,7)*CY6=1,'計算A'!J$6,1000000))</f>
        <v/>
      </c>
      <c r="HQ6">
        <f>IF($B6=0,1000000,IF(INDEX('計算A'!$D$60:$DS$104,$B6,8)*CZ6=1,'計算A'!K$6,1000000))</f>
        <v/>
      </c>
      <c r="HR6">
        <f>IF($B6=0,1000000,IF(INDEX('計算A'!$D$60:$DS$104,$B6,9)*DA6=1,'計算A'!L$6,1000000))</f>
        <v/>
      </c>
      <c r="HS6">
        <f>IF($B6=0,1000000,IF(INDEX('計算A'!$D$60:$DS$104,$B6,10)*DB6=1,'計算A'!M$6,1000000))</f>
        <v/>
      </c>
      <c r="HT6">
        <f>IF($B6=0,1000000,IF(INDEX('計算A'!$D$60:$DS$104,$B6,11)*DC6=1,'計算A'!N$6,1000000))</f>
        <v/>
      </c>
      <c r="HU6">
        <f>IF($B6=0,1000000,IF(INDEX('計算A'!$D$60:$DS$104,$B6,12)*DD6=1,'計算A'!O$6,1000000))</f>
        <v/>
      </c>
      <c r="HV6">
        <f>IF($B6=0,1000000,IF(INDEX('計算A'!$D$60:$DS$104,$B6,13)*DE6=1,'計算A'!P$6,1000000))</f>
        <v/>
      </c>
      <c r="HW6">
        <f>IF($B6=0,1000000,IF(INDEX('計算A'!$D$60:$DS$104,$B6,14)*DF6=1,'計算A'!Q$6,1000000))</f>
        <v/>
      </c>
      <c r="HX6">
        <f>IF($B6=0,1000000,IF(INDEX('計算A'!$D$60:$DS$104,$B6,15)*DG6=1,'計算A'!R$6,1000000))</f>
        <v/>
      </c>
      <c r="HY6">
        <f>IF($B6=0,1000000,IF(INDEX('計算A'!$D$60:$DS$104,$B6,16)*DH6=1,'計算A'!S$6,1000000))</f>
        <v/>
      </c>
      <c r="HZ6">
        <f>IF($B6=0,1000000,IF(INDEX('計算A'!$D$60:$DS$104,$B6,17)*DI6=1,'計算A'!T$6,1000000))</f>
        <v/>
      </c>
      <c r="IA6">
        <f>IF($B6=0,1000000,IF(INDEX('計算A'!$D$60:$DS$104,$B6,18)*DJ6=1,'計算A'!U$6,1000000))</f>
        <v/>
      </c>
      <c r="IB6">
        <f>IF($B6=0,1000000,IF(INDEX('計算A'!$D$60:$DS$104,$B6,19)*DK6=1,'計算A'!V$6,1000000))</f>
        <v/>
      </c>
      <c r="IC6">
        <f>IF($B6=0,1000000,IF(INDEX('計算A'!$D$60:$DS$104,$B6,20)*DL6=1,'計算A'!W$6,1000000))</f>
        <v/>
      </c>
      <c r="ID6">
        <f>IF($B6=0,1000000,IF(INDEX('計算A'!$D$60:$DS$104,$B6,21)*DM6=1,'計算A'!X$6,1000000))</f>
        <v/>
      </c>
      <c r="IE6">
        <f>IF($B6=0,1000000,IF(INDEX('計算A'!$D$60:$DS$104,$B6,22)*DN6=1,'計算A'!Y$6,1000000))</f>
        <v/>
      </c>
      <c r="IF6">
        <f>IF($B6=0,1000000,IF(INDEX('計算A'!$D$60:$DS$104,$B6,23)*DO6=1,'計算A'!Z$6,1000000))</f>
        <v/>
      </c>
      <c r="IG6">
        <f>IF($B6=0,1000000,IF(INDEX('計算A'!$D$60:$DS$104,$B6,24)*DP6=1,'計算A'!AA$6,1000000))</f>
        <v/>
      </c>
      <c r="IH6">
        <f>IF($B6=0,1000000,IF(INDEX('計算A'!$D$60:$DS$104,$B6,25)*DQ6=1,'計算A'!AB$6,1000000))</f>
        <v/>
      </c>
      <c r="II6">
        <f>IF($B6=0,1000000,IF(INDEX('計算A'!$D$60:$DS$104,$B6,26)*DR6=1,'計算A'!AC$6,1000000))</f>
        <v/>
      </c>
      <c r="IJ6">
        <f>IF($B6=0,1000000,IF(INDEX('計算A'!$D$60:$DS$104,$B6,27)*DS6=1,'計算A'!AD$6,1000000))</f>
        <v/>
      </c>
      <c r="IK6">
        <f>IF($B6=0,1000000,IF(INDEX('計算A'!$D$60:$DS$104,$B6,28)*DT6=1,'計算A'!AE$6,1000000))</f>
        <v/>
      </c>
      <c r="IL6">
        <f>IF($B6=0,1000000,IF(INDEX('計算A'!$D$60:$DS$104,$B6,29)*DU6=1,'計算A'!AF$6,1000000))</f>
        <v/>
      </c>
      <c r="IM6">
        <f>IF($B6=0,1000000,IF(INDEX('計算A'!$D$60:$DS$104,$B6,30)*DV6=1,'計算A'!AG$6,1000000))</f>
        <v/>
      </c>
      <c r="IN6">
        <f>IF($B6=0,1000000,IF(INDEX('計算A'!$D$60:$DS$104,$B6,31)*DW6=1,'計算A'!AH$6,1000000))</f>
        <v/>
      </c>
      <c r="IO6">
        <f>IF($B6=0,1000000,IF(INDEX('計算A'!$D$60:$DS$104,$B6,32)*DX6=1,'計算A'!AI$6,1000000))</f>
        <v/>
      </c>
      <c r="IP6">
        <f>IF($B6=0,1000000,IF(INDEX('計算A'!$D$60:$DS$104,$B6,33)*DY6=1,'計算A'!AJ$6,1000000))</f>
        <v/>
      </c>
      <c r="IQ6">
        <f>IF($B6=0,1000000,IF(INDEX('計算A'!$D$60:$DS$104,$B6,34)*DZ6=1,'計算A'!AK$6,1000000))</f>
        <v/>
      </c>
      <c r="IR6">
        <f>IF($B6=0,1000000,IF(INDEX('計算A'!$D$60:$DS$104,$B6,35)*EA6=1,'計算A'!AL$6,1000000))</f>
        <v/>
      </c>
      <c r="IS6">
        <f>IF($B6=0,1000000,IF(INDEX('計算A'!$D$60:$DS$104,$B6,36)*EB6=1,'計算A'!AM$6,1000000))</f>
        <v/>
      </c>
      <c r="IT6">
        <f>IF($B6=0,1000000,IF(INDEX('計算A'!$D$60:$DS$104,$B6,37)*EC6=1,'計算A'!AN$6,1000000))</f>
        <v/>
      </c>
      <c r="IU6">
        <f>IF($B6=0,1000000,IF(INDEX('計算A'!$D$60:$DS$104,$B6,38)*ED6=1,'計算A'!AO$6,1000000))</f>
        <v/>
      </c>
      <c r="IV6">
        <f>IF($B6=0,1000000,IF(INDEX('計算A'!$D$60:$DS$104,$B6,39)*EE6=1,'計算A'!AP$6,1000000))</f>
        <v/>
      </c>
      <c r="IW6">
        <f>IF($B6=0,1000000,IF(INDEX('計算A'!$D$60:$DS$104,$B6,40)*EF6=1,'計算A'!AQ$6,1000000))</f>
        <v/>
      </c>
      <c r="IX6">
        <f>IF($B6=0,1000000,IF(INDEX('計算A'!$D$60:$DS$104,$B6,41)*EG6=1,'計算A'!AR$6,1000000))</f>
        <v/>
      </c>
      <c r="IY6">
        <f>IF($B6=0,1000000,IF(INDEX('計算A'!$D$60:$DS$104,$B6,42)*EH6=1,'計算A'!AS$6,1000000))</f>
        <v/>
      </c>
      <c r="IZ6">
        <f>IF($B6=0,1000000,IF(INDEX('計算A'!$D$60:$DS$104,$B6,43)*EI6=1,'計算A'!AT$6,1000000))</f>
        <v/>
      </c>
      <c r="JA6">
        <f>IF($B6=0,1000000,IF(INDEX('計算A'!$D$60:$DS$104,$B6,44)*EJ6=1,'計算A'!AU$6,1000000))</f>
        <v/>
      </c>
      <c r="JB6">
        <f>IF($B6=0,1000000,IF(INDEX('計算A'!$D$60:$DS$104,$B6,45)*EK6=1,'計算A'!AV$6,1000000))</f>
        <v/>
      </c>
      <c r="JC6">
        <f>IF($B6=0,1000000,IF(INDEX('計算A'!$D$60:$DS$104,$B6,46)*EL6=1,'計算A'!AW$6,1000000))</f>
        <v/>
      </c>
      <c r="JD6">
        <f>IF($B6=0,1000000,IF(INDEX('計算A'!$D$60:$DS$104,$B6,47)*EM6=1,'計算A'!AX$6,1000000))</f>
        <v/>
      </c>
      <c r="JE6">
        <f>IF($B6=0,1000000,IF(INDEX('計算A'!$D$60:$DS$104,$B6,48)*EN6=1,'計算A'!AY$6,1000000))</f>
        <v/>
      </c>
      <c r="JF6">
        <f>IF($B6=0,1000000,IF(INDEX('計算A'!$D$60:$DS$104,$B6,49)*EO6=1,'計算A'!AZ$6,1000000))</f>
        <v/>
      </c>
      <c r="JG6">
        <f>IF($B6=0,1000000,IF(INDEX('計算A'!$D$60:$DS$104,$B6,50)*EP6=1,'計算A'!BA$6,1000000))</f>
        <v/>
      </c>
      <c r="JH6">
        <f>IF($B6=0,1000000,IF(INDEX('計算A'!$D$60:$DS$104,$B6,51)*EQ6=1,'計算A'!BB$6,1000000))</f>
        <v/>
      </c>
      <c r="JI6">
        <f>IF($B6=0,1000000,IF(INDEX('計算A'!$D$60:$DS$104,$B6,52)*ER6=1,'計算A'!BC$6,1000000))</f>
        <v/>
      </c>
      <c r="JJ6">
        <f>IF($B6=0,1000000,IF(INDEX('計算A'!$D$60:$DS$104,$B6,53)*ES6=1,'計算A'!BD$6,1000000))</f>
        <v/>
      </c>
      <c r="JK6">
        <f>IF($B6=0,1000000,IF(INDEX('計算A'!$D$60:$DS$104,$B6,54)*ET6=1,'計算A'!BE$6,1000000))</f>
        <v/>
      </c>
      <c r="JL6">
        <f>IF($B6=0,1000000,IF(INDEX('計算A'!$D$60:$DS$104,$B6,55)*EU6=1,'計算A'!BF$6,1000000))</f>
        <v/>
      </c>
      <c r="JM6">
        <f>IF($B6=0,1000000,IF(INDEX('計算A'!$D$60:$DS$104,$B6,56)*EV6=1,'計算A'!BG$6,1000000))</f>
        <v/>
      </c>
      <c r="JN6">
        <f>IF($B6=0,1000000,IF(INDEX('計算A'!$D$60:$DS$104,$B6,57)*EW6=1,'計算A'!BH$6,1000000))</f>
        <v/>
      </c>
      <c r="JO6">
        <f>IF($B6=0,1000000,IF(INDEX('計算A'!$D$60:$DS$104,$B6,58)*EX6=1,'計算A'!BI$6,1000000))</f>
        <v/>
      </c>
      <c r="JP6">
        <f>IF($B6=0,1000000,IF(INDEX('計算A'!$D$60:$DS$104,$B6,59)*EY6=1,'計算A'!BJ$6,1000000))</f>
        <v/>
      </c>
      <c r="JQ6">
        <f>IF($B6=0,1000000,IF(INDEX('計算A'!$D$60:$DS$104,$B6,60)*EZ6=1,'計算A'!BK$6,1000000))</f>
        <v/>
      </c>
      <c r="JR6">
        <f>IF($B6=0,1000000,IF(INDEX('計算A'!$D$60:$DS$104,$B6,61)*FA6=1,'計算A'!BL$6,1000000))</f>
        <v/>
      </c>
      <c r="JS6">
        <f>IF($B6=0,1000000,IF(INDEX('計算A'!$D$60:$DS$104,$B6,62)*FB6=1,'計算A'!BM$6,1000000))</f>
        <v/>
      </c>
      <c r="JT6">
        <f>IF($B6=0,1000000,IF(INDEX('計算A'!$D$60:$DS$104,$B6,63)*FC6=1,'計算A'!BN$6,1000000))</f>
        <v/>
      </c>
      <c r="JU6">
        <f>IF($B6=0,1000000,IF(INDEX('計算A'!$D$60:$DS$104,$B6,64)*FD6=1,'計算A'!BO$6,1000000))</f>
        <v/>
      </c>
      <c r="JV6">
        <f>IF($B6=0,1000000,IF(INDEX('計算A'!$D$60:$DS$104,$B6,65)*FE6=1,'計算A'!BP$6,1000000))</f>
        <v/>
      </c>
      <c r="JW6">
        <f>IF($B6=0,1000000,IF(INDEX('計算A'!$D$60:$DS$104,$B6,66)*FF6=1,'計算A'!BQ$6,1000000))</f>
        <v/>
      </c>
      <c r="JX6">
        <f>IF($B6=0,1000000,IF(INDEX('計算A'!$D$60:$DS$104,$B6,67)*FG6=1,'計算A'!BR$6,1000000))</f>
        <v/>
      </c>
      <c r="JY6">
        <f>IF($B6=0,1000000,IF(INDEX('計算A'!$D$60:$DS$104,$B6,68)*FH6=1,'計算A'!BS$6,1000000))</f>
        <v/>
      </c>
      <c r="JZ6">
        <f>IF($B6=0,1000000,IF(INDEX('計算A'!$D$60:$DS$104,$B6,69)*FI6=1,'計算A'!BT$6,1000000))</f>
        <v/>
      </c>
      <c r="KA6">
        <f>IF($B6=0,1000000,IF(INDEX('計算A'!$D$60:$DS$104,$B6,70)*FJ6=1,'計算A'!BU$6,1000000))</f>
        <v/>
      </c>
      <c r="KB6">
        <f>IF($B6=0,1000000,IF(INDEX('計算A'!$D$60:$DS$104,$B6,71)*FK6=1,'計算A'!BV$6,1000000))</f>
        <v/>
      </c>
      <c r="KC6">
        <f>IF($B6=0,1000000,IF(INDEX('計算A'!$D$60:$DS$104,$B6,72)*FL6=1,'計算A'!BW$6,1000000))</f>
        <v/>
      </c>
      <c r="KD6">
        <f>IF($B6=0,1000000,IF(INDEX('計算A'!$D$60:$DS$104,$B6,73)*FM6=1,'計算A'!BX$6,1000000))</f>
        <v/>
      </c>
      <c r="KE6">
        <f>IF($B6=0,1000000,IF(INDEX('計算A'!$D$60:$DS$104,$B6,74)*FN6=1,'計算A'!BY$6,1000000))</f>
        <v/>
      </c>
      <c r="KF6">
        <f>IF($B6=0,1000000,IF(INDEX('計算A'!$D$60:$DS$104,$B6,75)*FO6=1,'計算A'!BZ$6,1000000))</f>
        <v/>
      </c>
      <c r="KG6">
        <f>IF($B6=0,1000000,IF(INDEX('計算A'!$D$60:$DS$104,$B6,76)*FP6=1,'計算A'!CA$6,1000000))</f>
        <v/>
      </c>
      <c r="KH6">
        <f>IF($B6=0,1000000,IF(INDEX('計算A'!$D$60:$DS$104,$B6,77)*FQ6=1,'計算A'!CB$6,1000000))</f>
        <v/>
      </c>
      <c r="KI6">
        <f>IF($B6=0,1000000,IF(INDEX('計算A'!$D$60:$DS$104,$B6,78)*FR6=1,'計算A'!CC$6,1000000))</f>
        <v/>
      </c>
      <c r="KJ6">
        <f>IF($B6=0,1000000,IF(INDEX('計算A'!$D$60:$DS$104,$B6,79)*FS6=1,'計算A'!CD$6,1000000))</f>
        <v/>
      </c>
      <c r="KK6">
        <f>IF($B6=0,1000000,IF(INDEX('計算A'!$D$60:$DS$104,$B6,80)*FT6=1,'計算A'!CE$6,1000000))</f>
        <v/>
      </c>
      <c r="KL6">
        <f>IF($B6=0,1000000,IF(INDEX('計算A'!$D$60:$DS$104,$B6,81)*FU6=1,'計算A'!CF$6,1000000))</f>
        <v/>
      </c>
      <c r="KM6">
        <f>IF($B6=0,1000000,IF(INDEX('計算A'!$D$60:$DS$104,$B6,82)*FV6=1,'計算A'!CG$6,1000000))</f>
        <v/>
      </c>
      <c r="KN6">
        <f>IF($B6=0,1000000,IF(INDEX('計算A'!$D$60:$DS$104,$B6,83)*FW6=1,'計算A'!CH$6,1000000))</f>
        <v/>
      </c>
      <c r="KO6">
        <f>IF($B6=0,1000000,IF(INDEX('計算A'!$D$60:$DS$104,$B6,84)*FX6=1,'計算A'!CI$6,1000000))</f>
        <v/>
      </c>
      <c r="KP6">
        <f>IF($B6=0,1000000,IF(INDEX('計算A'!$D$60:$DS$104,$B6,85)*FY6=1,'計算A'!CJ$6,1000000))</f>
        <v/>
      </c>
      <c r="KQ6">
        <f>IF($B6=0,1000000,IF(INDEX('計算A'!$D$60:$DS$104,$B6,86)*FZ6=1,'計算A'!CK$6,1000000))</f>
        <v/>
      </c>
      <c r="KR6">
        <f>IF($B6=0,1000000,IF(INDEX('計算A'!$D$60:$DS$104,$B6,87)*GA6=1,'計算A'!CL$6,1000000))</f>
        <v/>
      </c>
      <c r="KS6">
        <f>IF($B6=0,1000000,IF(INDEX('計算A'!$D$60:$DS$104,$B6,88)*GB6=1,'計算A'!CM$6,1000000))</f>
        <v/>
      </c>
      <c r="KT6">
        <f>IF($B6=0,1000000,IF(INDEX('計算A'!$D$60:$DS$104,$B6,89)*GC6=1,'計算A'!CN$6,1000000))</f>
        <v/>
      </c>
      <c r="KU6">
        <f>IF($B6=0,1000000,IF(INDEX('計算A'!$D$60:$DS$104,$B6,90)*GD6=1,'計算A'!CO$6,1000000))</f>
        <v/>
      </c>
      <c r="KV6">
        <f>IF($B6=0,1000000,IF(INDEX('計算A'!$D$60:$DS$104,$B6,91)*GE6=1,'計算A'!CP$6,1000000))</f>
        <v/>
      </c>
      <c r="KW6">
        <f>IF($B6=0,1000000,IF(INDEX('計算A'!$D$60:$DS$104,$B6,92)*GF6=1,'計算A'!CQ$6,1000000))</f>
        <v/>
      </c>
      <c r="KX6">
        <f>IF($B6=0,1000000,IF(INDEX('計算A'!$D$60:$DS$104,$B6,93)*GG6=1,'計算A'!CR$6,1000000))</f>
        <v/>
      </c>
      <c r="KY6">
        <f>IF($B6=0,1000000,IF(INDEX('計算A'!$D$60:$DS$104,$B6,94)*GH6=1,'計算A'!CS$6,1000000))</f>
        <v/>
      </c>
      <c r="KZ6">
        <f>IF($B6=0,1000000,IF(INDEX('計算A'!$D$60:$DS$104,$B6,95)*GI6=1,'計算A'!CT$6,1000000))</f>
        <v/>
      </c>
      <c r="LA6">
        <f>IF($B6=0,1000000,IF(INDEX('計算A'!$D$60:$DS$104,$B6,96)*GJ6=1,'計算A'!CU$6,1000000))</f>
        <v/>
      </c>
      <c r="LB6">
        <f>IF($B6=0,1000000,IF(INDEX('計算A'!$D$60:$DS$104,$B6,97)*GK6=1,'計算A'!CV$6,1000000))</f>
        <v/>
      </c>
      <c r="LC6">
        <f>IF($B6=0,1000000,IF(INDEX('計算A'!$D$60:$DS$104,$B6,98)*GL6=1,'計算A'!CW$6,1000000))</f>
        <v/>
      </c>
      <c r="LD6">
        <f>IF($B6=0,1000000,IF(INDEX('計算A'!$D$60:$DS$104,$B6,99)*GM6=1,'計算A'!CX$6,1000000))</f>
        <v/>
      </c>
      <c r="LE6">
        <f>IF($B6=0,1000000,IF(INDEX('計算A'!$D$60:$DS$104,$B6,100)*GN6=1,'計算A'!CY$6,1000000))</f>
        <v/>
      </c>
      <c r="LF6">
        <f>IF($B6=0,1000000,IF(INDEX('計算A'!$D$60:$DS$104,$B6,101)*GO6=1,'計算A'!CZ$6,1000000))</f>
        <v/>
      </c>
      <c r="LG6">
        <f>IF($B6=0,1000000,IF(INDEX('計算A'!$D$60:$DS$104,$B6,102)*GP6=1,'計算A'!DA$6,1000000))</f>
        <v/>
      </c>
      <c r="LH6">
        <f>IF($B6=0,1000000,IF(INDEX('計算A'!$D$60:$DS$104,$B6,103)*GQ6=1,'計算A'!DB$6,1000000))</f>
        <v/>
      </c>
      <c r="LI6">
        <f>IF($B6=0,1000000,IF(INDEX('計算A'!$D$60:$DS$104,$B6,104)*GR6=1,'計算A'!DC$6,1000000))</f>
        <v/>
      </c>
      <c r="LJ6">
        <f>IF($B6=0,1000000,IF(INDEX('計算A'!$D$60:$DS$104,$B6,105)*GS6=1,'計算A'!DD$6,1000000))</f>
        <v/>
      </c>
      <c r="LK6">
        <f>IF($B6=0,1000000,IF(INDEX('計算A'!$D$60:$DS$104,$B6,106)*GT6=1,'計算A'!DE$6,1000000))</f>
        <v/>
      </c>
      <c r="LL6">
        <f>IF($B6=0,1000000,IF(INDEX('計算A'!$D$60:$DS$104,$B6,107)*GU6=1,'計算A'!DF$6,1000000))</f>
        <v/>
      </c>
      <c r="LM6">
        <f>IF($B6=0,1000000,IF(INDEX('計算A'!$D$60:$DS$104,$B6,108)*GV6=1,'計算A'!DG$6,1000000))</f>
        <v/>
      </c>
      <c r="LN6">
        <f>IF($B6=0,1000000,IF(INDEX('計算A'!$D$60:$DS$104,$B6,109)*GW6=1,'計算A'!DH$6,1000000))</f>
        <v/>
      </c>
      <c r="LO6">
        <f>IF($B6=0,1000000,IF(INDEX('計算A'!$D$60:$DS$104,$B6,110)*GX6=1,'計算A'!DI$6,1000000))</f>
        <v/>
      </c>
      <c r="LP6">
        <f>IF($B6=0,1000000,IF(INDEX('計算A'!$D$60:$DS$104,$B6,111)*GY6=1,'計算A'!DJ$6,1000000))</f>
        <v/>
      </c>
      <c r="LQ6">
        <f>IF($B6=0,1000000,IF(INDEX('計算A'!$D$60:$DS$104,$B6,112)*GZ6=1,'計算A'!DK$6,1000000))</f>
        <v/>
      </c>
      <c r="LR6">
        <f>IF($B6=0,1000000,IF(INDEX('計算A'!$D$60:$DS$104,$B6,113)*HA6=1,'計算A'!DL$6,1000000))</f>
        <v/>
      </c>
      <c r="LS6">
        <f>IF($B6=0,1000000,IF(INDEX('計算A'!$D$60:$DS$104,$B6,114)*HB6=1,'計算A'!DM$6,1000000))</f>
        <v/>
      </c>
      <c r="LT6">
        <f>IF($B6=0,1000000,IF(INDEX('計算A'!$D$60:$DS$104,$B6,115)*HC6=1,'計算A'!DN$6,1000000))</f>
        <v/>
      </c>
      <c r="LU6">
        <f>IF($B6=0,1000000,IF(INDEX('計算A'!$D$60:$DS$104,$B6,116)*HD6=1,'計算A'!DO$6,1000000))</f>
        <v/>
      </c>
      <c r="LV6">
        <f>IF($B6=0,1000000,IF(INDEX('計算A'!$D$60:$DS$104,$B6,117)*HE6=1,'計算A'!DP$6,1000000))</f>
        <v/>
      </c>
      <c r="LW6">
        <f>IF($B6=0,1000000,IF(INDEX('計算A'!$D$60:$DS$104,$B6,118)*HF6=1,'計算A'!DQ$6,1000000))</f>
        <v/>
      </c>
      <c r="LX6">
        <f>IF($B6=0,1000000,IF(INDEX('計算A'!$D$60:$DS$104,$B6,119)*HG6=1,'計算A'!DR$6,1000000))</f>
        <v/>
      </c>
      <c r="LY6">
        <f>IF($B6=0,1000000,IF(INDEX('計算A'!$D$60:$DS$104,$B6,120)*HH6=1,'計算A'!DS$6,1000000))</f>
        <v/>
      </c>
    </row>
    <row r="7">
      <c r="A7" t="n">
        <v>5</v>
      </c>
      <c r="B7">
        <f>IF(MIN(AY7:CQ7)&gt;=1000000,0,MATCH(MIN(AY7:CQ7),AY7:CQ7,0))</f>
        <v/>
      </c>
      <c r="C7">
        <f>IF(MIN(HJ7:LY7)&gt;=1000000,0,MATCH(MIN(HJ7:LY7),HJ7:LY7,0))</f>
        <v/>
      </c>
      <c r="D7">
        <f>IF(C7&gt;0,INDEX('計算A'!$D$5:$DS$5,C7),0)</f>
        <v/>
      </c>
      <c r="E7">
        <f>MAX(E6,IF($B6=1,1,0))</f>
        <v/>
      </c>
      <c r="F7">
        <f>MAX(F6,IF($B6=2,1,0))</f>
        <v/>
      </c>
      <c r="G7">
        <f>MAX(G6,IF($B6=3,1,0))</f>
        <v/>
      </c>
      <c r="H7">
        <f>MAX(H6,IF($B6=4,1,0))</f>
        <v/>
      </c>
      <c r="I7">
        <f>MAX(I6,IF($B6=5,1,0))</f>
        <v/>
      </c>
      <c r="J7">
        <f>MAX(J6,IF($B6=6,1,0))</f>
        <v/>
      </c>
      <c r="K7">
        <f>MAX(K6,IF($B6=7,1,0))</f>
        <v/>
      </c>
      <c r="L7">
        <f>MAX(L6,IF($B6=8,1,0))</f>
        <v/>
      </c>
      <c r="M7">
        <f>MAX(M6,IF($B6=9,1,0))</f>
        <v/>
      </c>
      <c r="N7">
        <f>MAX(N6,IF($B6=10,1,0))</f>
        <v/>
      </c>
      <c r="O7">
        <f>MAX(O6,IF($B6=11,1,0))</f>
        <v/>
      </c>
      <c r="P7">
        <f>MAX(P6,IF($B6=12,1,0))</f>
        <v/>
      </c>
      <c r="Q7">
        <f>MAX(Q6,IF($B6=13,1,0))</f>
        <v/>
      </c>
      <c r="R7">
        <f>MAX(R6,IF($B6=14,1,0))</f>
        <v/>
      </c>
      <c r="S7">
        <f>MAX(S6,IF($B6=15,1,0))</f>
        <v/>
      </c>
      <c r="T7">
        <f>MAX(T6,IF($B6=16,1,0))</f>
        <v/>
      </c>
      <c r="U7">
        <f>MAX(U6,IF($B6=17,1,0))</f>
        <v/>
      </c>
      <c r="V7">
        <f>MAX(V6,IF($B6=18,1,0))</f>
        <v/>
      </c>
      <c r="W7">
        <f>MAX(W6,IF($B6=19,1,0))</f>
        <v/>
      </c>
      <c r="X7">
        <f>MAX(X6,IF($B6=20,1,0))</f>
        <v/>
      </c>
      <c r="Y7">
        <f>MAX(Y6,IF($B6=21,1,0))</f>
        <v/>
      </c>
      <c r="Z7">
        <f>MAX(Z6,IF($B6=22,1,0))</f>
        <v/>
      </c>
      <c r="AA7">
        <f>MAX(AA6,IF($B6=23,1,0))</f>
        <v/>
      </c>
      <c r="AB7">
        <f>MAX(AB6,IF($B6=24,1,0))</f>
        <v/>
      </c>
      <c r="AC7">
        <f>MAX(AC6,IF($B6=25,1,0))</f>
        <v/>
      </c>
      <c r="AD7">
        <f>MAX(AD6,IF($B6=26,1,0))</f>
        <v/>
      </c>
      <c r="AE7">
        <f>MAX(AE6,IF($B6=27,1,0))</f>
        <v/>
      </c>
      <c r="AF7">
        <f>MAX(AF6,IF($B6=28,1,0))</f>
        <v/>
      </c>
      <c r="AG7">
        <f>MAX(AG6,IF($B6=29,1,0))</f>
        <v/>
      </c>
      <c r="AH7">
        <f>MAX(AH6,IF($B6=30,1,0))</f>
        <v/>
      </c>
      <c r="AI7">
        <f>MAX(AI6,IF($B6=31,1,0))</f>
        <v/>
      </c>
      <c r="AJ7">
        <f>MAX(AJ6,IF($B6=32,1,0))</f>
        <v/>
      </c>
      <c r="AK7">
        <f>MAX(AK6,IF($B6=33,1,0))</f>
        <v/>
      </c>
      <c r="AL7">
        <f>MAX(AL6,IF($B6=34,1,0))</f>
        <v/>
      </c>
      <c r="AM7">
        <f>MAX(AM6,IF($B6=35,1,0))</f>
        <v/>
      </c>
      <c r="AN7">
        <f>MAX(AN6,IF($B6=36,1,0))</f>
        <v/>
      </c>
      <c r="AO7">
        <f>MAX(AO6,IF($B6=37,1,0))</f>
        <v/>
      </c>
      <c r="AP7">
        <f>MAX(AP6,IF($B6=38,1,0))</f>
        <v/>
      </c>
      <c r="AQ7">
        <f>MAX(AQ6,IF($B6=39,1,0))</f>
        <v/>
      </c>
      <c r="AR7">
        <f>MAX(AR6,IF($B6=40,1,0))</f>
        <v/>
      </c>
      <c r="AS7">
        <f>MAX(AS6,IF($B6=41,1,0))</f>
        <v/>
      </c>
      <c r="AT7">
        <f>MAX(AT6,IF($B6=42,1,0))</f>
        <v/>
      </c>
      <c r="AU7">
        <f>MAX(AU6,IF($B6=43,1,0))</f>
        <v/>
      </c>
      <c r="AV7">
        <f>MAX(AV6,IF($B6=44,1,0))</f>
        <v/>
      </c>
      <c r="AW7">
        <f>MAX(AW6,IF($B6=45,1,0))</f>
        <v/>
      </c>
      <c r="AY7">
        <f>IF(E7=1,1000000,SUMPRODUCT('計算A'!$D$60:$DS$60,$CS7:$HH7)*1000+1)</f>
        <v/>
      </c>
      <c r="AZ7">
        <f>IF(F7=1,1000000,SUMPRODUCT('計算A'!$D$61:$DS$61,$CS7:$HH7)*1000+2)</f>
        <v/>
      </c>
      <c r="BA7">
        <f>IF(G7=1,1000000,SUMPRODUCT('計算A'!$D$62:$DS$62,$CS7:$HH7)*1000+3)</f>
        <v/>
      </c>
      <c r="BB7">
        <f>IF(H7=1,1000000,SUMPRODUCT('計算A'!$D$63:$DS$63,$CS7:$HH7)*1000+4)</f>
        <v/>
      </c>
      <c r="BC7">
        <f>IF(I7=1,1000000,SUMPRODUCT('計算A'!$D$64:$DS$64,$CS7:$HH7)*1000+5)</f>
        <v/>
      </c>
      <c r="BD7">
        <f>IF(J7=1,1000000,SUMPRODUCT('計算A'!$D$65:$DS$65,$CS7:$HH7)*1000+6)</f>
        <v/>
      </c>
      <c r="BE7">
        <f>IF(K7=1,1000000,SUMPRODUCT('計算A'!$D$66:$DS$66,$CS7:$HH7)*1000+7)</f>
        <v/>
      </c>
      <c r="BF7">
        <f>IF(L7=1,1000000,SUMPRODUCT('計算A'!$D$67:$DS$67,$CS7:$HH7)*1000+8)</f>
        <v/>
      </c>
      <c r="BG7">
        <f>IF(M7=1,1000000,SUMPRODUCT('計算A'!$D$68:$DS$68,$CS7:$HH7)*1000+9)</f>
        <v/>
      </c>
      <c r="BH7">
        <f>IF(N7=1,1000000,SUMPRODUCT('計算A'!$D$69:$DS$69,$CS7:$HH7)*1000+10)</f>
        <v/>
      </c>
      <c r="BI7">
        <f>IF(O7=1,1000000,SUMPRODUCT('計算A'!$D$70:$DS$70,$CS7:$HH7)*1000+11)</f>
        <v/>
      </c>
      <c r="BJ7">
        <f>IF(P7=1,1000000,SUMPRODUCT('計算A'!$D$71:$DS$71,$CS7:$HH7)*1000+12)</f>
        <v/>
      </c>
      <c r="BK7">
        <f>IF(Q7=1,1000000,SUMPRODUCT('計算A'!$D$72:$DS$72,$CS7:$HH7)*1000+13)</f>
        <v/>
      </c>
      <c r="BL7">
        <f>IF(R7=1,1000000,SUMPRODUCT('計算A'!$D$73:$DS$73,$CS7:$HH7)*1000+14)</f>
        <v/>
      </c>
      <c r="BM7">
        <f>IF(S7=1,1000000,SUMPRODUCT('計算A'!$D$74:$DS$74,$CS7:$HH7)*1000+15)</f>
        <v/>
      </c>
      <c r="BN7">
        <f>IF(T7=1,1000000,SUMPRODUCT('計算A'!$D$75:$DS$75,$CS7:$HH7)*1000+16)</f>
        <v/>
      </c>
      <c r="BO7">
        <f>IF(U7=1,1000000,SUMPRODUCT('計算A'!$D$76:$DS$76,$CS7:$HH7)*1000+17)</f>
        <v/>
      </c>
      <c r="BP7">
        <f>IF(V7=1,1000000,SUMPRODUCT('計算A'!$D$77:$DS$77,$CS7:$HH7)*1000+18)</f>
        <v/>
      </c>
      <c r="BQ7">
        <f>IF(W7=1,1000000,SUMPRODUCT('計算A'!$D$78:$DS$78,$CS7:$HH7)*1000+19)</f>
        <v/>
      </c>
      <c r="BR7">
        <f>IF(X7=1,1000000,SUMPRODUCT('計算A'!$D$79:$DS$79,$CS7:$HH7)*1000+20)</f>
        <v/>
      </c>
      <c r="BS7">
        <f>IF(Y7=1,1000000,SUMPRODUCT('計算A'!$D$80:$DS$80,$CS7:$HH7)*1000+21)</f>
        <v/>
      </c>
      <c r="BT7">
        <f>IF(Z7=1,1000000,SUMPRODUCT('計算A'!$D$81:$DS$81,$CS7:$HH7)*1000+22)</f>
        <v/>
      </c>
      <c r="BU7">
        <f>IF(AA7=1,1000000,SUMPRODUCT('計算A'!$D$82:$DS$82,$CS7:$HH7)*1000+23)</f>
        <v/>
      </c>
      <c r="BV7">
        <f>IF(AB7=1,1000000,SUMPRODUCT('計算A'!$D$83:$DS$83,$CS7:$HH7)*1000+24)</f>
        <v/>
      </c>
      <c r="BW7">
        <f>IF(AC7=1,1000000,SUMPRODUCT('計算A'!$D$84:$DS$84,$CS7:$HH7)*1000+25)</f>
        <v/>
      </c>
      <c r="BX7">
        <f>IF(AD7=1,1000000,SUMPRODUCT('計算A'!$D$85:$DS$85,$CS7:$HH7)*1000+26)</f>
        <v/>
      </c>
      <c r="BY7">
        <f>IF(AE7=1,1000000,SUMPRODUCT('計算A'!$D$86:$DS$86,$CS7:$HH7)*1000+27)</f>
        <v/>
      </c>
      <c r="BZ7">
        <f>IF(AF7=1,1000000,SUMPRODUCT('計算A'!$D$87:$DS$87,$CS7:$HH7)*1000+28)</f>
        <v/>
      </c>
      <c r="CA7">
        <f>IF(AG7=1,1000000,SUMPRODUCT('計算A'!$D$88:$DS$88,$CS7:$HH7)*1000+29)</f>
        <v/>
      </c>
      <c r="CB7">
        <f>IF(AH7=1,1000000,SUMPRODUCT('計算A'!$D$89:$DS$89,$CS7:$HH7)*1000+30)</f>
        <v/>
      </c>
      <c r="CC7">
        <f>IF(AI7=1,1000000,SUMPRODUCT('計算A'!$D$90:$DS$90,$CS7:$HH7)*1000+31)</f>
        <v/>
      </c>
      <c r="CD7">
        <f>IF(AJ7=1,1000000,SUMPRODUCT('計算A'!$D$91:$DS$91,$CS7:$HH7)*1000+32)</f>
        <v/>
      </c>
      <c r="CE7">
        <f>IF(AK7=1,1000000,SUMPRODUCT('計算A'!$D$92:$DS$92,$CS7:$HH7)*1000+33)</f>
        <v/>
      </c>
      <c r="CF7">
        <f>IF(AL7=1,1000000,SUMPRODUCT('計算A'!$D$93:$DS$93,$CS7:$HH7)*1000+34)</f>
        <v/>
      </c>
      <c r="CG7">
        <f>IF(AM7=1,1000000,SUMPRODUCT('計算A'!$D$94:$DS$94,$CS7:$HH7)*1000+35)</f>
        <v/>
      </c>
      <c r="CH7">
        <f>IF(AN7=1,1000000,SUMPRODUCT('計算A'!$D$95:$DS$95,$CS7:$HH7)*1000+36)</f>
        <v/>
      </c>
      <c r="CI7">
        <f>IF(AO7=1,1000000,SUMPRODUCT('計算A'!$D$96:$DS$96,$CS7:$HH7)*1000+37)</f>
        <v/>
      </c>
      <c r="CJ7">
        <f>IF(AP7=1,1000000,SUMPRODUCT('計算A'!$D$97:$DS$97,$CS7:$HH7)*1000+38)</f>
        <v/>
      </c>
      <c r="CK7">
        <f>IF(AQ7=1,1000000,SUMPRODUCT('計算A'!$D$98:$DS$98,$CS7:$HH7)*1000+39)</f>
        <v/>
      </c>
      <c r="CL7">
        <f>IF(AR7=1,1000000,SUMPRODUCT('計算A'!$D$99:$DS$99,$CS7:$HH7)*1000+40)</f>
        <v/>
      </c>
      <c r="CM7">
        <f>IF(AS7=1,1000000,SUMPRODUCT('計算A'!$D$100:$DS$100,$CS7:$HH7)*1000+41)</f>
        <v/>
      </c>
      <c r="CN7">
        <f>IF(AT7=1,1000000,SUMPRODUCT('計算A'!$D$101:$DS$101,$CS7:$HH7)*1000+42)</f>
        <v/>
      </c>
      <c r="CO7">
        <f>IF(AU7=1,1000000,SUMPRODUCT('計算A'!$D$102:$DS$102,$CS7:$HH7)*1000+43)</f>
        <v/>
      </c>
      <c r="CP7">
        <f>IF(AV7=1,1000000,SUMPRODUCT('計算A'!$D$103:$DS$103,$CS7:$HH7)*1000+44)</f>
        <v/>
      </c>
      <c r="CQ7">
        <f>IF(AW7=1,1000000,SUMPRODUCT('計算A'!$D$104:$DS$104,$CS7:$HH7)*1000+45)</f>
        <v/>
      </c>
      <c r="CS7">
        <f>CS6*IF($C6=1,0,1)</f>
        <v/>
      </c>
      <c r="CT7">
        <f>CT6*IF($C6=2,0,1)</f>
        <v/>
      </c>
      <c r="CU7">
        <f>CU6*IF($C6=3,0,1)</f>
        <v/>
      </c>
      <c r="CV7">
        <f>CV6*IF($C6=4,0,1)</f>
        <v/>
      </c>
      <c r="CW7">
        <f>CW6*IF($C6=5,0,1)</f>
        <v/>
      </c>
      <c r="CX7">
        <f>CX6*IF($C6=6,0,1)</f>
        <v/>
      </c>
      <c r="CY7">
        <f>CY6*IF($C6=7,0,1)</f>
        <v/>
      </c>
      <c r="CZ7">
        <f>CZ6*IF($C6=8,0,1)</f>
        <v/>
      </c>
      <c r="DA7">
        <f>DA6*IF($C6=9,0,1)</f>
        <v/>
      </c>
      <c r="DB7">
        <f>DB6*IF($C6=10,0,1)</f>
        <v/>
      </c>
      <c r="DC7">
        <f>DC6*IF($C6=11,0,1)</f>
        <v/>
      </c>
      <c r="DD7">
        <f>DD6*IF($C6=12,0,1)</f>
        <v/>
      </c>
      <c r="DE7">
        <f>DE6*IF($C6=13,0,1)</f>
        <v/>
      </c>
      <c r="DF7">
        <f>DF6*IF($C6=14,0,1)</f>
        <v/>
      </c>
      <c r="DG7">
        <f>DG6*IF($C6=15,0,1)</f>
        <v/>
      </c>
      <c r="DH7">
        <f>DH6*IF($C6=16,0,1)</f>
        <v/>
      </c>
      <c r="DI7">
        <f>DI6*IF($C6=17,0,1)</f>
        <v/>
      </c>
      <c r="DJ7">
        <f>DJ6*IF($C6=18,0,1)</f>
        <v/>
      </c>
      <c r="DK7">
        <f>DK6*IF($C6=19,0,1)</f>
        <v/>
      </c>
      <c r="DL7">
        <f>DL6*IF($C6=20,0,1)</f>
        <v/>
      </c>
      <c r="DM7">
        <f>DM6*IF($C6=21,0,1)</f>
        <v/>
      </c>
      <c r="DN7">
        <f>DN6*IF($C6=22,0,1)</f>
        <v/>
      </c>
      <c r="DO7">
        <f>DO6*IF($C6=23,0,1)</f>
        <v/>
      </c>
      <c r="DP7">
        <f>DP6*IF($C6=24,0,1)</f>
        <v/>
      </c>
      <c r="DQ7">
        <f>DQ6*IF($C6=25,0,1)</f>
        <v/>
      </c>
      <c r="DR7">
        <f>DR6*IF($C6=26,0,1)</f>
        <v/>
      </c>
      <c r="DS7">
        <f>DS6*IF($C6=27,0,1)</f>
        <v/>
      </c>
      <c r="DT7">
        <f>DT6*IF($C6=28,0,1)</f>
        <v/>
      </c>
      <c r="DU7">
        <f>DU6*IF($C6=29,0,1)</f>
        <v/>
      </c>
      <c r="DV7">
        <f>DV6*IF($C6=30,0,1)</f>
        <v/>
      </c>
      <c r="DW7">
        <f>DW6*IF($C6=31,0,1)</f>
        <v/>
      </c>
      <c r="DX7">
        <f>DX6*IF($C6=32,0,1)</f>
        <v/>
      </c>
      <c r="DY7">
        <f>DY6*IF($C6=33,0,1)</f>
        <v/>
      </c>
      <c r="DZ7">
        <f>DZ6*IF($C6=34,0,1)</f>
        <v/>
      </c>
      <c r="EA7">
        <f>EA6*IF($C6=35,0,1)</f>
        <v/>
      </c>
      <c r="EB7">
        <f>EB6*IF($C6=36,0,1)</f>
        <v/>
      </c>
      <c r="EC7">
        <f>EC6*IF($C6=37,0,1)</f>
        <v/>
      </c>
      <c r="ED7">
        <f>ED6*IF($C6=38,0,1)</f>
        <v/>
      </c>
      <c r="EE7">
        <f>EE6*IF($C6=39,0,1)</f>
        <v/>
      </c>
      <c r="EF7">
        <f>EF6*IF($C6=40,0,1)</f>
        <v/>
      </c>
      <c r="EG7">
        <f>EG6*IF($C6=41,0,1)</f>
        <v/>
      </c>
      <c r="EH7">
        <f>EH6*IF($C6=42,0,1)</f>
        <v/>
      </c>
      <c r="EI7">
        <f>EI6*IF($C6=43,0,1)</f>
        <v/>
      </c>
      <c r="EJ7">
        <f>EJ6*IF($C6=44,0,1)</f>
        <v/>
      </c>
      <c r="EK7">
        <f>EK6*IF($C6=45,0,1)</f>
        <v/>
      </c>
      <c r="EL7">
        <f>EL6*IF($C6=46,0,1)</f>
        <v/>
      </c>
      <c r="EM7">
        <f>EM6*IF($C6=47,0,1)</f>
        <v/>
      </c>
      <c r="EN7">
        <f>EN6*IF($C6=48,0,1)</f>
        <v/>
      </c>
      <c r="EO7">
        <f>EO6*IF($C6=49,0,1)</f>
        <v/>
      </c>
      <c r="EP7">
        <f>EP6*IF($C6=50,0,1)</f>
        <v/>
      </c>
      <c r="EQ7">
        <f>EQ6*IF($C6=51,0,1)</f>
        <v/>
      </c>
      <c r="ER7">
        <f>ER6*IF($C6=52,0,1)</f>
        <v/>
      </c>
      <c r="ES7">
        <f>ES6*IF($C6=53,0,1)</f>
        <v/>
      </c>
      <c r="ET7">
        <f>ET6*IF($C6=54,0,1)</f>
        <v/>
      </c>
      <c r="EU7">
        <f>EU6*IF($C6=55,0,1)</f>
        <v/>
      </c>
      <c r="EV7">
        <f>EV6*IF($C6=56,0,1)</f>
        <v/>
      </c>
      <c r="EW7">
        <f>EW6*IF($C6=57,0,1)</f>
        <v/>
      </c>
      <c r="EX7">
        <f>EX6*IF($C6=58,0,1)</f>
        <v/>
      </c>
      <c r="EY7">
        <f>EY6*IF($C6=59,0,1)</f>
        <v/>
      </c>
      <c r="EZ7">
        <f>EZ6*IF($C6=60,0,1)</f>
        <v/>
      </c>
      <c r="FA7">
        <f>FA6*IF($C6=61,0,1)</f>
        <v/>
      </c>
      <c r="FB7">
        <f>FB6*IF($C6=62,0,1)</f>
        <v/>
      </c>
      <c r="FC7">
        <f>FC6*IF($C6=63,0,1)</f>
        <v/>
      </c>
      <c r="FD7">
        <f>FD6*IF($C6=64,0,1)</f>
        <v/>
      </c>
      <c r="FE7">
        <f>FE6*IF($C6=65,0,1)</f>
        <v/>
      </c>
      <c r="FF7">
        <f>FF6*IF($C6=66,0,1)</f>
        <v/>
      </c>
      <c r="FG7">
        <f>FG6*IF($C6=67,0,1)</f>
        <v/>
      </c>
      <c r="FH7">
        <f>FH6*IF($C6=68,0,1)</f>
        <v/>
      </c>
      <c r="FI7">
        <f>FI6*IF($C6=69,0,1)</f>
        <v/>
      </c>
      <c r="FJ7">
        <f>FJ6*IF($C6=70,0,1)</f>
        <v/>
      </c>
      <c r="FK7">
        <f>FK6*IF($C6=71,0,1)</f>
        <v/>
      </c>
      <c r="FL7">
        <f>FL6*IF($C6=72,0,1)</f>
        <v/>
      </c>
      <c r="FM7">
        <f>FM6*IF($C6=73,0,1)</f>
        <v/>
      </c>
      <c r="FN7">
        <f>FN6*IF($C6=74,0,1)</f>
        <v/>
      </c>
      <c r="FO7">
        <f>FO6*IF($C6=75,0,1)</f>
        <v/>
      </c>
      <c r="FP7">
        <f>FP6*IF($C6=76,0,1)</f>
        <v/>
      </c>
      <c r="FQ7">
        <f>FQ6*IF($C6=77,0,1)</f>
        <v/>
      </c>
      <c r="FR7">
        <f>FR6*IF($C6=78,0,1)</f>
        <v/>
      </c>
      <c r="FS7">
        <f>FS6*IF($C6=79,0,1)</f>
        <v/>
      </c>
      <c r="FT7">
        <f>FT6*IF($C6=80,0,1)</f>
        <v/>
      </c>
      <c r="FU7">
        <f>FU6*IF($C6=81,0,1)</f>
        <v/>
      </c>
      <c r="FV7">
        <f>FV6*IF($C6=82,0,1)</f>
        <v/>
      </c>
      <c r="FW7">
        <f>FW6*IF($C6=83,0,1)</f>
        <v/>
      </c>
      <c r="FX7">
        <f>FX6*IF($C6=84,0,1)</f>
        <v/>
      </c>
      <c r="FY7">
        <f>FY6*IF($C6=85,0,1)</f>
        <v/>
      </c>
      <c r="FZ7">
        <f>FZ6*IF($C6=86,0,1)</f>
        <v/>
      </c>
      <c r="GA7">
        <f>GA6*IF($C6=87,0,1)</f>
        <v/>
      </c>
      <c r="GB7">
        <f>GB6*IF($C6=88,0,1)</f>
        <v/>
      </c>
      <c r="GC7">
        <f>GC6*IF($C6=89,0,1)</f>
        <v/>
      </c>
      <c r="GD7">
        <f>GD6*IF($C6=90,0,1)</f>
        <v/>
      </c>
      <c r="GE7">
        <f>GE6*IF($C6=91,0,1)</f>
        <v/>
      </c>
      <c r="GF7">
        <f>GF6*IF($C6=92,0,1)</f>
        <v/>
      </c>
      <c r="GG7">
        <f>GG6*IF($C6=93,0,1)</f>
        <v/>
      </c>
      <c r="GH7">
        <f>GH6*IF($C6=94,0,1)</f>
        <v/>
      </c>
      <c r="GI7">
        <f>GI6*IF($C6=95,0,1)</f>
        <v/>
      </c>
      <c r="GJ7">
        <f>GJ6*IF($C6=96,0,1)</f>
        <v/>
      </c>
      <c r="GK7">
        <f>GK6*IF($C6=97,0,1)</f>
        <v/>
      </c>
      <c r="GL7">
        <f>GL6*IF($C6=98,0,1)</f>
        <v/>
      </c>
      <c r="GM7">
        <f>GM6*IF($C6=99,0,1)</f>
        <v/>
      </c>
      <c r="GN7">
        <f>GN6*IF($C6=100,0,1)</f>
        <v/>
      </c>
      <c r="GO7">
        <f>GO6*IF($C6=101,0,1)</f>
        <v/>
      </c>
      <c r="GP7">
        <f>GP6*IF($C6=102,0,1)</f>
        <v/>
      </c>
      <c r="GQ7">
        <f>GQ6*IF($C6=103,0,1)</f>
        <v/>
      </c>
      <c r="GR7">
        <f>GR6*IF($C6=104,0,1)</f>
        <v/>
      </c>
      <c r="GS7">
        <f>GS6*IF($C6=105,0,1)</f>
        <v/>
      </c>
      <c r="GT7">
        <f>GT6*IF($C6=106,0,1)</f>
        <v/>
      </c>
      <c r="GU7">
        <f>GU6*IF($C6=107,0,1)</f>
        <v/>
      </c>
      <c r="GV7">
        <f>GV6*IF($C6=108,0,1)</f>
        <v/>
      </c>
      <c r="GW7">
        <f>GW6*IF($C6=109,0,1)</f>
        <v/>
      </c>
      <c r="GX7">
        <f>GX6*IF($C6=110,0,1)</f>
        <v/>
      </c>
      <c r="GY7">
        <f>GY6*IF($C6=111,0,1)</f>
        <v/>
      </c>
      <c r="GZ7">
        <f>GZ6*IF($C6=112,0,1)</f>
        <v/>
      </c>
      <c r="HA7">
        <f>HA6*IF($C6=113,0,1)</f>
        <v/>
      </c>
      <c r="HB7">
        <f>HB6*IF($C6=114,0,1)</f>
        <v/>
      </c>
      <c r="HC7">
        <f>HC6*IF($C6=115,0,1)</f>
        <v/>
      </c>
      <c r="HD7">
        <f>HD6*IF($C6=116,0,1)</f>
        <v/>
      </c>
      <c r="HE7">
        <f>HE6*IF($C6=117,0,1)</f>
        <v/>
      </c>
      <c r="HF7">
        <f>HF6*IF($C6=118,0,1)</f>
        <v/>
      </c>
      <c r="HG7">
        <f>HG6*IF($C6=119,0,1)</f>
        <v/>
      </c>
      <c r="HH7">
        <f>HH6*IF($C6=120,0,1)</f>
        <v/>
      </c>
      <c r="HJ7">
        <f>IF($B7=0,1000000,IF(INDEX('計算A'!$D$60:$DS$104,$B7,1)*CS7=1,'計算A'!D$6,1000000))</f>
        <v/>
      </c>
      <c r="HK7">
        <f>IF($B7=0,1000000,IF(INDEX('計算A'!$D$60:$DS$104,$B7,2)*CT7=1,'計算A'!E$6,1000000))</f>
        <v/>
      </c>
      <c r="HL7">
        <f>IF($B7=0,1000000,IF(INDEX('計算A'!$D$60:$DS$104,$B7,3)*CU7=1,'計算A'!F$6,1000000))</f>
        <v/>
      </c>
      <c r="HM7">
        <f>IF($B7=0,1000000,IF(INDEX('計算A'!$D$60:$DS$104,$B7,4)*CV7=1,'計算A'!G$6,1000000))</f>
        <v/>
      </c>
      <c r="HN7">
        <f>IF($B7=0,1000000,IF(INDEX('計算A'!$D$60:$DS$104,$B7,5)*CW7=1,'計算A'!H$6,1000000))</f>
        <v/>
      </c>
      <c r="HO7">
        <f>IF($B7=0,1000000,IF(INDEX('計算A'!$D$60:$DS$104,$B7,6)*CX7=1,'計算A'!I$6,1000000))</f>
        <v/>
      </c>
      <c r="HP7">
        <f>IF($B7=0,1000000,IF(INDEX('計算A'!$D$60:$DS$104,$B7,7)*CY7=1,'計算A'!J$6,1000000))</f>
        <v/>
      </c>
      <c r="HQ7">
        <f>IF($B7=0,1000000,IF(INDEX('計算A'!$D$60:$DS$104,$B7,8)*CZ7=1,'計算A'!K$6,1000000))</f>
        <v/>
      </c>
      <c r="HR7">
        <f>IF($B7=0,1000000,IF(INDEX('計算A'!$D$60:$DS$104,$B7,9)*DA7=1,'計算A'!L$6,1000000))</f>
        <v/>
      </c>
      <c r="HS7">
        <f>IF($B7=0,1000000,IF(INDEX('計算A'!$D$60:$DS$104,$B7,10)*DB7=1,'計算A'!M$6,1000000))</f>
        <v/>
      </c>
      <c r="HT7">
        <f>IF($B7=0,1000000,IF(INDEX('計算A'!$D$60:$DS$104,$B7,11)*DC7=1,'計算A'!N$6,1000000))</f>
        <v/>
      </c>
      <c r="HU7">
        <f>IF($B7=0,1000000,IF(INDEX('計算A'!$D$60:$DS$104,$B7,12)*DD7=1,'計算A'!O$6,1000000))</f>
        <v/>
      </c>
      <c r="HV7">
        <f>IF($B7=0,1000000,IF(INDEX('計算A'!$D$60:$DS$104,$B7,13)*DE7=1,'計算A'!P$6,1000000))</f>
        <v/>
      </c>
      <c r="HW7">
        <f>IF($B7=0,1000000,IF(INDEX('計算A'!$D$60:$DS$104,$B7,14)*DF7=1,'計算A'!Q$6,1000000))</f>
        <v/>
      </c>
      <c r="HX7">
        <f>IF($B7=0,1000000,IF(INDEX('計算A'!$D$60:$DS$104,$B7,15)*DG7=1,'計算A'!R$6,1000000))</f>
        <v/>
      </c>
      <c r="HY7">
        <f>IF($B7=0,1000000,IF(INDEX('計算A'!$D$60:$DS$104,$B7,16)*DH7=1,'計算A'!S$6,1000000))</f>
        <v/>
      </c>
      <c r="HZ7">
        <f>IF($B7=0,1000000,IF(INDEX('計算A'!$D$60:$DS$104,$B7,17)*DI7=1,'計算A'!T$6,1000000))</f>
        <v/>
      </c>
      <c r="IA7">
        <f>IF($B7=0,1000000,IF(INDEX('計算A'!$D$60:$DS$104,$B7,18)*DJ7=1,'計算A'!U$6,1000000))</f>
        <v/>
      </c>
      <c r="IB7">
        <f>IF($B7=0,1000000,IF(INDEX('計算A'!$D$60:$DS$104,$B7,19)*DK7=1,'計算A'!V$6,1000000))</f>
        <v/>
      </c>
      <c r="IC7">
        <f>IF($B7=0,1000000,IF(INDEX('計算A'!$D$60:$DS$104,$B7,20)*DL7=1,'計算A'!W$6,1000000))</f>
        <v/>
      </c>
      <c r="ID7">
        <f>IF($B7=0,1000000,IF(INDEX('計算A'!$D$60:$DS$104,$B7,21)*DM7=1,'計算A'!X$6,1000000))</f>
        <v/>
      </c>
      <c r="IE7">
        <f>IF($B7=0,1000000,IF(INDEX('計算A'!$D$60:$DS$104,$B7,22)*DN7=1,'計算A'!Y$6,1000000))</f>
        <v/>
      </c>
      <c r="IF7">
        <f>IF($B7=0,1000000,IF(INDEX('計算A'!$D$60:$DS$104,$B7,23)*DO7=1,'計算A'!Z$6,1000000))</f>
        <v/>
      </c>
      <c r="IG7">
        <f>IF($B7=0,1000000,IF(INDEX('計算A'!$D$60:$DS$104,$B7,24)*DP7=1,'計算A'!AA$6,1000000))</f>
        <v/>
      </c>
      <c r="IH7">
        <f>IF($B7=0,1000000,IF(INDEX('計算A'!$D$60:$DS$104,$B7,25)*DQ7=1,'計算A'!AB$6,1000000))</f>
        <v/>
      </c>
      <c r="II7">
        <f>IF($B7=0,1000000,IF(INDEX('計算A'!$D$60:$DS$104,$B7,26)*DR7=1,'計算A'!AC$6,1000000))</f>
        <v/>
      </c>
      <c r="IJ7">
        <f>IF($B7=0,1000000,IF(INDEX('計算A'!$D$60:$DS$104,$B7,27)*DS7=1,'計算A'!AD$6,1000000))</f>
        <v/>
      </c>
      <c r="IK7">
        <f>IF($B7=0,1000000,IF(INDEX('計算A'!$D$60:$DS$104,$B7,28)*DT7=1,'計算A'!AE$6,1000000))</f>
        <v/>
      </c>
      <c r="IL7">
        <f>IF($B7=0,1000000,IF(INDEX('計算A'!$D$60:$DS$104,$B7,29)*DU7=1,'計算A'!AF$6,1000000))</f>
        <v/>
      </c>
      <c r="IM7">
        <f>IF($B7=0,1000000,IF(INDEX('計算A'!$D$60:$DS$104,$B7,30)*DV7=1,'計算A'!AG$6,1000000))</f>
        <v/>
      </c>
      <c r="IN7">
        <f>IF($B7=0,1000000,IF(INDEX('計算A'!$D$60:$DS$104,$B7,31)*DW7=1,'計算A'!AH$6,1000000))</f>
        <v/>
      </c>
      <c r="IO7">
        <f>IF($B7=0,1000000,IF(INDEX('計算A'!$D$60:$DS$104,$B7,32)*DX7=1,'計算A'!AI$6,1000000))</f>
        <v/>
      </c>
      <c r="IP7">
        <f>IF($B7=0,1000000,IF(INDEX('計算A'!$D$60:$DS$104,$B7,33)*DY7=1,'計算A'!AJ$6,1000000))</f>
        <v/>
      </c>
      <c r="IQ7">
        <f>IF($B7=0,1000000,IF(INDEX('計算A'!$D$60:$DS$104,$B7,34)*DZ7=1,'計算A'!AK$6,1000000))</f>
        <v/>
      </c>
      <c r="IR7">
        <f>IF($B7=0,1000000,IF(INDEX('計算A'!$D$60:$DS$104,$B7,35)*EA7=1,'計算A'!AL$6,1000000))</f>
        <v/>
      </c>
      <c r="IS7">
        <f>IF($B7=0,1000000,IF(INDEX('計算A'!$D$60:$DS$104,$B7,36)*EB7=1,'計算A'!AM$6,1000000))</f>
        <v/>
      </c>
      <c r="IT7">
        <f>IF($B7=0,1000000,IF(INDEX('計算A'!$D$60:$DS$104,$B7,37)*EC7=1,'計算A'!AN$6,1000000))</f>
        <v/>
      </c>
      <c r="IU7">
        <f>IF($B7=0,1000000,IF(INDEX('計算A'!$D$60:$DS$104,$B7,38)*ED7=1,'計算A'!AO$6,1000000))</f>
        <v/>
      </c>
      <c r="IV7">
        <f>IF($B7=0,1000000,IF(INDEX('計算A'!$D$60:$DS$104,$B7,39)*EE7=1,'計算A'!AP$6,1000000))</f>
        <v/>
      </c>
      <c r="IW7">
        <f>IF($B7=0,1000000,IF(INDEX('計算A'!$D$60:$DS$104,$B7,40)*EF7=1,'計算A'!AQ$6,1000000))</f>
        <v/>
      </c>
      <c r="IX7">
        <f>IF($B7=0,1000000,IF(INDEX('計算A'!$D$60:$DS$104,$B7,41)*EG7=1,'計算A'!AR$6,1000000))</f>
        <v/>
      </c>
      <c r="IY7">
        <f>IF($B7=0,1000000,IF(INDEX('計算A'!$D$60:$DS$104,$B7,42)*EH7=1,'計算A'!AS$6,1000000))</f>
        <v/>
      </c>
      <c r="IZ7">
        <f>IF($B7=0,1000000,IF(INDEX('計算A'!$D$60:$DS$104,$B7,43)*EI7=1,'計算A'!AT$6,1000000))</f>
        <v/>
      </c>
      <c r="JA7">
        <f>IF($B7=0,1000000,IF(INDEX('計算A'!$D$60:$DS$104,$B7,44)*EJ7=1,'計算A'!AU$6,1000000))</f>
        <v/>
      </c>
      <c r="JB7">
        <f>IF($B7=0,1000000,IF(INDEX('計算A'!$D$60:$DS$104,$B7,45)*EK7=1,'計算A'!AV$6,1000000))</f>
        <v/>
      </c>
      <c r="JC7">
        <f>IF($B7=0,1000000,IF(INDEX('計算A'!$D$60:$DS$104,$B7,46)*EL7=1,'計算A'!AW$6,1000000))</f>
        <v/>
      </c>
      <c r="JD7">
        <f>IF($B7=0,1000000,IF(INDEX('計算A'!$D$60:$DS$104,$B7,47)*EM7=1,'計算A'!AX$6,1000000))</f>
        <v/>
      </c>
      <c r="JE7">
        <f>IF($B7=0,1000000,IF(INDEX('計算A'!$D$60:$DS$104,$B7,48)*EN7=1,'計算A'!AY$6,1000000))</f>
        <v/>
      </c>
      <c r="JF7">
        <f>IF($B7=0,1000000,IF(INDEX('計算A'!$D$60:$DS$104,$B7,49)*EO7=1,'計算A'!AZ$6,1000000))</f>
        <v/>
      </c>
      <c r="JG7">
        <f>IF($B7=0,1000000,IF(INDEX('計算A'!$D$60:$DS$104,$B7,50)*EP7=1,'計算A'!BA$6,1000000))</f>
        <v/>
      </c>
      <c r="JH7">
        <f>IF($B7=0,1000000,IF(INDEX('計算A'!$D$60:$DS$104,$B7,51)*EQ7=1,'計算A'!BB$6,1000000))</f>
        <v/>
      </c>
      <c r="JI7">
        <f>IF($B7=0,1000000,IF(INDEX('計算A'!$D$60:$DS$104,$B7,52)*ER7=1,'計算A'!BC$6,1000000))</f>
        <v/>
      </c>
      <c r="JJ7">
        <f>IF($B7=0,1000000,IF(INDEX('計算A'!$D$60:$DS$104,$B7,53)*ES7=1,'計算A'!BD$6,1000000))</f>
        <v/>
      </c>
      <c r="JK7">
        <f>IF($B7=0,1000000,IF(INDEX('計算A'!$D$60:$DS$104,$B7,54)*ET7=1,'計算A'!BE$6,1000000))</f>
        <v/>
      </c>
      <c r="JL7">
        <f>IF($B7=0,1000000,IF(INDEX('計算A'!$D$60:$DS$104,$B7,55)*EU7=1,'計算A'!BF$6,1000000))</f>
        <v/>
      </c>
      <c r="JM7">
        <f>IF($B7=0,1000000,IF(INDEX('計算A'!$D$60:$DS$104,$B7,56)*EV7=1,'計算A'!BG$6,1000000))</f>
        <v/>
      </c>
      <c r="JN7">
        <f>IF($B7=0,1000000,IF(INDEX('計算A'!$D$60:$DS$104,$B7,57)*EW7=1,'計算A'!BH$6,1000000))</f>
        <v/>
      </c>
      <c r="JO7">
        <f>IF($B7=0,1000000,IF(INDEX('計算A'!$D$60:$DS$104,$B7,58)*EX7=1,'計算A'!BI$6,1000000))</f>
        <v/>
      </c>
      <c r="JP7">
        <f>IF($B7=0,1000000,IF(INDEX('計算A'!$D$60:$DS$104,$B7,59)*EY7=1,'計算A'!BJ$6,1000000))</f>
        <v/>
      </c>
      <c r="JQ7">
        <f>IF($B7=0,1000000,IF(INDEX('計算A'!$D$60:$DS$104,$B7,60)*EZ7=1,'計算A'!BK$6,1000000))</f>
        <v/>
      </c>
      <c r="JR7">
        <f>IF($B7=0,1000000,IF(INDEX('計算A'!$D$60:$DS$104,$B7,61)*FA7=1,'計算A'!BL$6,1000000))</f>
        <v/>
      </c>
      <c r="JS7">
        <f>IF($B7=0,1000000,IF(INDEX('計算A'!$D$60:$DS$104,$B7,62)*FB7=1,'計算A'!BM$6,1000000))</f>
        <v/>
      </c>
      <c r="JT7">
        <f>IF($B7=0,1000000,IF(INDEX('計算A'!$D$60:$DS$104,$B7,63)*FC7=1,'計算A'!BN$6,1000000))</f>
        <v/>
      </c>
      <c r="JU7">
        <f>IF($B7=0,1000000,IF(INDEX('計算A'!$D$60:$DS$104,$B7,64)*FD7=1,'計算A'!BO$6,1000000))</f>
        <v/>
      </c>
      <c r="JV7">
        <f>IF($B7=0,1000000,IF(INDEX('計算A'!$D$60:$DS$104,$B7,65)*FE7=1,'計算A'!BP$6,1000000))</f>
        <v/>
      </c>
      <c r="JW7">
        <f>IF($B7=0,1000000,IF(INDEX('計算A'!$D$60:$DS$104,$B7,66)*FF7=1,'計算A'!BQ$6,1000000))</f>
        <v/>
      </c>
      <c r="JX7">
        <f>IF($B7=0,1000000,IF(INDEX('計算A'!$D$60:$DS$104,$B7,67)*FG7=1,'計算A'!BR$6,1000000))</f>
        <v/>
      </c>
      <c r="JY7">
        <f>IF($B7=0,1000000,IF(INDEX('計算A'!$D$60:$DS$104,$B7,68)*FH7=1,'計算A'!BS$6,1000000))</f>
        <v/>
      </c>
      <c r="JZ7">
        <f>IF($B7=0,1000000,IF(INDEX('計算A'!$D$60:$DS$104,$B7,69)*FI7=1,'計算A'!BT$6,1000000))</f>
        <v/>
      </c>
      <c r="KA7">
        <f>IF($B7=0,1000000,IF(INDEX('計算A'!$D$60:$DS$104,$B7,70)*FJ7=1,'計算A'!BU$6,1000000))</f>
        <v/>
      </c>
      <c r="KB7">
        <f>IF($B7=0,1000000,IF(INDEX('計算A'!$D$60:$DS$104,$B7,71)*FK7=1,'計算A'!BV$6,1000000))</f>
        <v/>
      </c>
      <c r="KC7">
        <f>IF($B7=0,1000000,IF(INDEX('計算A'!$D$60:$DS$104,$B7,72)*FL7=1,'計算A'!BW$6,1000000))</f>
        <v/>
      </c>
      <c r="KD7">
        <f>IF($B7=0,1000000,IF(INDEX('計算A'!$D$60:$DS$104,$B7,73)*FM7=1,'計算A'!BX$6,1000000))</f>
        <v/>
      </c>
      <c r="KE7">
        <f>IF($B7=0,1000000,IF(INDEX('計算A'!$D$60:$DS$104,$B7,74)*FN7=1,'計算A'!BY$6,1000000))</f>
        <v/>
      </c>
      <c r="KF7">
        <f>IF($B7=0,1000000,IF(INDEX('計算A'!$D$60:$DS$104,$B7,75)*FO7=1,'計算A'!BZ$6,1000000))</f>
        <v/>
      </c>
      <c r="KG7">
        <f>IF($B7=0,1000000,IF(INDEX('計算A'!$D$60:$DS$104,$B7,76)*FP7=1,'計算A'!CA$6,1000000))</f>
        <v/>
      </c>
      <c r="KH7">
        <f>IF($B7=0,1000000,IF(INDEX('計算A'!$D$60:$DS$104,$B7,77)*FQ7=1,'計算A'!CB$6,1000000))</f>
        <v/>
      </c>
      <c r="KI7">
        <f>IF($B7=0,1000000,IF(INDEX('計算A'!$D$60:$DS$104,$B7,78)*FR7=1,'計算A'!CC$6,1000000))</f>
        <v/>
      </c>
      <c r="KJ7">
        <f>IF($B7=0,1000000,IF(INDEX('計算A'!$D$60:$DS$104,$B7,79)*FS7=1,'計算A'!CD$6,1000000))</f>
        <v/>
      </c>
      <c r="KK7">
        <f>IF($B7=0,1000000,IF(INDEX('計算A'!$D$60:$DS$104,$B7,80)*FT7=1,'計算A'!CE$6,1000000))</f>
        <v/>
      </c>
      <c r="KL7">
        <f>IF($B7=0,1000000,IF(INDEX('計算A'!$D$60:$DS$104,$B7,81)*FU7=1,'計算A'!CF$6,1000000))</f>
        <v/>
      </c>
      <c r="KM7">
        <f>IF($B7=0,1000000,IF(INDEX('計算A'!$D$60:$DS$104,$B7,82)*FV7=1,'計算A'!CG$6,1000000))</f>
        <v/>
      </c>
      <c r="KN7">
        <f>IF($B7=0,1000000,IF(INDEX('計算A'!$D$60:$DS$104,$B7,83)*FW7=1,'計算A'!CH$6,1000000))</f>
        <v/>
      </c>
      <c r="KO7">
        <f>IF($B7=0,1000000,IF(INDEX('計算A'!$D$60:$DS$104,$B7,84)*FX7=1,'計算A'!CI$6,1000000))</f>
        <v/>
      </c>
      <c r="KP7">
        <f>IF($B7=0,1000000,IF(INDEX('計算A'!$D$60:$DS$104,$B7,85)*FY7=1,'計算A'!CJ$6,1000000))</f>
        <v/>
      </c>
      <c r="KQ7">
        <f>IF($B7=0,1000000,IF(INDEX('計算A'!$D$60:$DS$104,$B7,86)*FZ7=1,'計算A'!CK$6,1000000))</f>
        <v/>
      </c>
      <c r="KR7">
        <f>IF($B7=0,1000000,IF(INDEX('計算A'!$D$60:$DS$104,$B7,87)*GA7=1,'計算A'!CL$6,1000000))</f>
        <v/>
      </c>
      <c r="KS7">
        <f>IF($B7=0,1000000,IF(INDEX('計算A'!$D$60:$DS$104,$B7,88)*GB7=1,'計算A'!CM$6,1000000))</f>
        <v/>
      </c>
      <c r="KT7">
        <f>IF($B7=0,1000000,IF(INDEX('計算A'!$D$60:$DS$104,$B7,89)*GC7=1,'計算A'!CN$6,1000000))</f>
        <v/>
      </c>
      <c r="KU7">
        <f>IF($B7=0,1000000,IF(INDEX('計算A'!$D$60:$DS$104,$B7,90)*GD7=1,'計算A'!CO$6,1000000))</f>
        <v/>
      </c>
      <c r="KV7">
        <f>IF($B7=0,1000000,IF(INDEX('計算A'!$D$60:$DS$104,$B7,91)*GE7=1,'計算A'!CP$6,1000000))</f>
        <v/>
      </c>
      <c r="KW7">
        <f>IF($B7=0,1000000,IF(INDEX('計算A'!$D$60:$DS$104,$B7,92)*GF7=1,'計算A'!CQ$6,1000000))</f>
        <v/>
      </c>
      <c r="KX7">
        <f>IF($B7=0,1000000,IF(INDEX('計算A'!$D$60:$DS$104,$B7,93)*GG7=1,'計算A'!CR$6,1000000))</f>
        <v/>
      </c>
      <c r="KY7">
        <f>IF($B7=0,1000000,IF(INDEX('計算A'!$D$60:$DS$104,$B7,94)*GH7=1,'計算A'!CS$6,1000000))</f>
        <v/>
      </c>
      <c r="KZ7">
        <f>IF($B7=0,1000000,IF(INDEX('計算A'!$D$60:$DS$104,$B7,95)*GI7=1,'計算A'!CT$6,1000000))</f>
        <v/>
      </c>
      <c r="LA7">
        <f>IF($B7=0,1000000,IF(INDEX('計算A'!$D$60:$DS$104,$B7,96)*GJ7=1,'計算A'!CU$6,1000000))</f>
        <v/>
      </c>
      <c r="LB7">
        <f>IF($B7=0,1000000,IF(INDEX('計算A'!$D$60:$DS$104,$B7,97)*GK7=1,'計算A'!CV$6,1000000))</f>
        <v/>
      </c>
      <c r="LC7">
        <f>IF($B7=0,1000000,IF(INDEX('計算A'!$D$60:$DS$104,$B7,98)*GL7=1,'計算A'!CW$6,1000000))</f>
        <v/>
      </c>
      <c r="LD7">
        <f>IF($B7=0,1000000,IF(INDEX('計算A'!$D$60:$DS$104,$B7,99)*GM7=1,'計算A'!CX$6,1000000))</f>
        <v/>
      </c>
      <c r="LE7">
        <f>IF($B7=0,1000000,IF(INDEX('計算A'!$D$60:$DS$104,$B7,100)*GN7=1,'計算A'!CY$6,1000000))</f>
        <v/>
      </c>
      <c r="LF7">
        <f>IF($B7=0,1000000,IF(INDEX('計算A'!$D$60:$DS$104,$B7,101)*GO7=1,'計算A'!CZ$6,1000000))</f>
        <v/>
      </c>
      <c r="LG7">
        <f>IF($B7=0,1000000,IF(INDEX('計算A'!$D$60:$DS$104,$B7,102)*GP7=1,'計算A'!DA$6,1000000))</f>
        <v/>
      </c>
      <c r="LH7">
        <f>IF($B7=0,1000000,IF(INDEX('計算A'!$D$60:$DS$104,$B7,103)*GQ7=1,'計算A'!DB$6,1000000))</f>
        <v/>
      </c>
      <c r="LI7">
        <f>IF($B7=0,1000000,IF(INDEX('計算A'!$D$60:$DS$104,$B7,104)*GR7=1,'計算A'!DC$6,1000000))</f>
        <v/>
      </c>
      <c r="LJ7">
        <f>IF($B7=0,1000000,IF(INDEX('計算A'!$D$60:$DS$104,$B7,105)*GS7=1,'計算A'!DD$6,1000000))</f>
        <v/>
      </c>
      <c r="LK7">
        <f>IF($B7=0,1000000,IF(INDEX('計算A'!$D$60:$DS$104,$B7,106)*GT7=1,'計算A'!DE$6,1000000))</f>
        <v/>
      </c>
      <c r="LL7">
        <f>IF($B7=0,1000000,IF(INDEX('計算A'!$D$60:$DS$104,$B7,107)*GU7=1,'計算A'!DF$6,1000000))</f>
        <v/>
      </c>
      <c r="LM7">
        <f>IF($B7=0,1000000,IF(INDEX('計算A'!$D$60:$DS$104,$B7,108)*GV7=1,'計算A'!DG$6,1000000))</f>
        <v/>
      </c>
      <c r="LN7">
        <f>IF($B7=0,1000000,IF(INDEX('計算A'!$D$60:$DS$104,$B7,109)*GW7=1,'計算A'!DH$6,1000000))</f>
        <v/>
      </c>
      <c r="LO7">
        <f>IF($B7=0,1000000,IF(INDEX('計算A'!$D$60:$DS$104,$B7,110)*GX7=1,'計算A'!DI$6,1000000))</f>
        <v/>
      </c>
      <c r="LP7">
        <f>IF($B7=0,1000000,IF(INDEX('計算A'!$D$60:$DS$104,$B7,111)*GY7=1,'計算A'!DJ$6,1000000))</f>
        <v/>
      </c>
      <c r="LQ7">
        <f>IF($B7=0,1000000,IF(INDEX('計算A'!$D$60:$DS$104,$B7,112)*GZ7=1,'計算A'!DK$6,1000000))</f>
        <v/>
      </c>
      <c r="LR7">
        <f>IF($B7=0,1000000,IF(INDEX('計算A'!$D$60:$DS$104,$B7,113)*HA7=1,'計算A'!DL$6,1000000))</f>
        <v/>
      </c>
      <c r="LS7">
        <f>IF($B7=0,1000000,IF(INDEX('計算A'!$D$60:$DS$104,$B7,114)*HB7=1,'計算A'!DM$6,1000000))</f>
        <v/>
      </c>
      <c r="LT7">
        <f>IF($B7=0,1000000,IF(INDEX('計算A'!$D$60:$DS$104,$B7,115)*HC7=1,'計算A'!DN$6,1000000))</f>
        <v/>
      </c>
      <c r="LU7">
        <f>IF($B7=0,1000000,IF(INDEX('計算A'!$D$60:$DS$104,$B7,116)*HD7=1,'計算A'!DO$6,1000000))</f>
        <v/>
      </c>
      <c r="LV7">
        <f>IF($B7=0,1000000,IF(INDEX('計算A'!$D$60:$DS$104,$B7,117)*HE7=1,'計算A'!DP$6,1000000))</f>
        <v/>
      </c>
      <c r="LW7">
        <f>IF($B7=0,1000000,IF(INDEX('計算A'!$D$60:$DS$104,$B7,118)*HF7=1,'計算A'!DQ$6,1000000))</f>
        <v/>
      </c>
      <c r="LX7">
        <f>IF($B7=0,1000000,IF(INDEX('計算A'!$D$60:$DS$104,$B7,119)*HG7=1,'計算A'!DR$6,1000000))</f>
        <v/>
      </c>
      <c r="LY7">
        <f>IF($B7=0,1000000,IF(INDEX('計算A'!$D$60:$DS$104,$B7,120)*HH7=1,'計算A'!DS$6,1000000))</f>
        <v/>
      </c>
    </row>
    <row r="8">
      <c r="A8" t="n">
        <v>6</v>
      </c>
      <c r="B8">
        <f>IF(MIN(AY8:CQ8)&gt;=1000000,0,MATCH(MIN(AY8:CQ8),AY8:CQ8,0))</f>
        <v/>
      </c>
      <c r="C8">
        <f>IF(MIN(HJ8:LY8)&gt;=1000000,0,MATCH(MIN(HJ8:LY8),HJ8:LY8,0))</f>
        <v/>
      </c>
      <c r="D8">
        <f>IF(C8&gt;0,INDEX('計算A'!$D$5:$DS$5,C8),0)</f>
        <v/>
      </c>
      <c r="E8">
        <f>MAX(E7,IF($B7=1,1,0))</f>
        <v/>
      </c>
      <c r="F8">
        <f>MAX(F7,IF($B7=2,1,0))</f>
        <v/>
      </c>
      <c r="G8">
        <f>MAX(G7,IF($B7=3,1,0))</f>
        <v/>
      </c>
      <c r="H8">
        <f>MAX(H7,IF($B7=4,1,0))</f>
        <v/>
      </c>
      <c r="I8">
        <f>MAX(I7,IF($B7=5,1,0))</f>
        <v/>
      </c>
      <c r="J8">
        <f>MAX(J7,IF($B7=6,1,0))</f>
        <v/>
      </c>
      <c r="K8">
        <f>MAX(K7,IF($B7=7,1,0))</f>
        <v/>
      </c>
      <c r="L8">
        <f>MAX(L7,IF($B7=8,1,0))</f>
        <v/>
      </c>
      <c r="M8">
        <f>MAX(M7,IF($B7=9,1,0))</f>
        <v/>
      </c>
      <c r="N8">
        <f>MAX(N7,IF($B7=10,1,0))</f>
        <v/>
      </c>
      <c r="O8">
        <f>MAX(O7,IF($B7=11,1,0))</f>
        <v/>
      </c>
      <c r="P8">
        <f>MAX(P7,IF($B7=12,1,0))</f>
        <v/>
      </c>
      <c r="Q8">
        <f>MAX(Q7,IF($B7=13,1,0))</f>
        <v/>
      </c>
      <c r="R8">
        <f>MAX(R7,IF($B7=14,1,0))</f>
        <v/>
      </c>
      <c r="S8">
        <f>MAX(S7,IF($B7=15,1,0))</f>
        <v/>
      </c>
      <c r="T8">
        <f>MAX(T7,IF($B7=16,1,0))</f>
        <v/>
      </c>
      <c r="U8">
        <f>MAX(U7,IF($B7=17,1,0))</f>
        <v/>
      </c>
      <c r="V8">
        <f>MAX(V7,IF($B7=18,1,0))</f>
        <v/>
      </c>
      <c r="W8">
        <f>MAX(W7,IF($B7=19,1,0))</f>
        <v/>
      </c>
      <c r="X8">
        <f>MAX(X7,IF($B7=20,1,0))</f>
        <v/>
      </c>
      <c r="Y8">
        <f>MAX(Y7,IF($B7=21,1,0))</f>
        <v/>
      </c>
      <c r="Z8">
        <f>MAX(Z7,IF($B7=22,1,0))</f>
        <v/>
      </c>
      <c r="AA8">
        <f>MAX(AA7,IF($B7=23,1,0))</f>
        <v/>
      </c>
      <c r="AB8">
        <f>MAX(AB7,IF($B7=24,1,0))</f>
        <v/>
      </c>
      <c r="AC8">
        <f>MAX(AC7,IF($B7=25,1,0))</f>
        <v/>
      </c>
      <c r="AD8">
        <f>MAX(AD7,IF($B7=26,1,0))</f>
        <v/>
      </c>
      <c r="AE8">
        <f>MAX(AE7,IF($B7=27,1,0))</f>
        <v/>
      </c>
      <c r="AF8">
        <f>MAX(AF7,IF($B7=28,1,0))</f>
        <v/>
      </c>
      <c r="AG8">
        <f>MAX(AG7,IF($B7=29,1,0))</f>
        <v/>
      </c>
      <c r="AH8">
        <f>MAX(AH7,IF($B7=30,1,0))</f>
        <v/>
      </c>
      <c r="AI8">
        <f>MAX(AI7,IF($B7=31,1,0))</f>
        <v/>
      </c>
      <c r="AJ8">
        <f>MAX(AJ7,IF($B7=32,1,0))</f>
        <v/>
      </c>
      <c r="AK8">
        <f>MAX(AK7,IF($B7=33,1,0))</f>
        <v/>
      </c>
      <c r="AL8">
        <f>MAX(AL7,IF($B7=34,1,0))</f>
        <v/>
      </c>
      <c r="AM8">
        <f>MAX(AM7,IF($B7=35,1,0))</f>
        <v/>
      </c>
      <c r="AN8">
        <f>MAX(AN7,IF($B7=36,1,0))</f>
        <v/>
      </c>
      <c r="AO8">
        <f>MAX(AO7,IF($B7=37,1,0))</f>
        <v/>
      </c>
      <c r="AP8">
        <f>MAX(AP7,IF($B7=38,1,0))</f>
        <v/>
      </c>
      <c r="AQ8">
        <f>MAX(AQ7,IF($B7=39,1,0))</f>
        <v/>
      </c>
      <c r="AR8">
        <f>MAX(AR7,IF($B7=40,1,0))</f>
        <v/>
      </c>
      <c r="AS8">
        <f>MAX(AS7,IF($B7=41,1,0))</f>
        <v/>
      </c>
      <c r="AT8">
        <f>MAX(AT7,IF($B7=42,1,0))</f>
        <v/>
      </c>
      <c r="AU8">
        <f>MAX(AU7,IF($B7=43,1,0))</f>
        <v/>
      </c>
      <c r="AV8">
        <f>MAX(AV7,IF($B7=44,1,0))</f>
        <v/>
      </c>
      <c r="AW8">
        <f>MAX(AW7,IF($B7=45,1,0))</f>
        <v/>
      </c>
      <c r="AY8">
        <f>IF(E8=1,1000000,SUMPRODUCT('計算A'!$D$60:$DS$60,$CS8:$HH8)*1000+1)</f>
        <v/>
      </c>
      <c r="AZ8">
        <f>IF(F8=1,1000000,SUMPRODUCT('計算A'!$D$61:$DS$61,$CS8:$HH8)*1000+2)</f>
        <v/>
      </c>
      <c r="BA8">
        <f>IF(G8=1,1000000,SUMPRODUCT('計算A'!$D$62:$DS$62,$CS8:$HH8)*1000+3)</f>
        <v/>
      </c>
      <c r="BB8">
        <f>IF(H8=1,1000000,SUMPRODUCT('計算A'!$D$63:$DS$63,$CS8:$HH8)*1000+4)</f>
        <v/>
      </c>
      <c r="BC8">
        <f>IF(I8=1,1000000,SUMPRODUCT('計算A'!$D$64:$DS$64,$CS8:$HH8)*1000+5)</f>
        <v/>
      </c>
      <c r="BD8">
        <f>IF(J8=1,1000000,SUMPRODUCT('計算A'!$D$65:$DS$65,$CS8:$HH8)*1000+6)</f>
        <v/>
      </c>
      <c r="BE8">
        <f>IF(K8=1,1000000,SUMPRODUCT('計算A'!$D$66:$DS$66,$CS8:$HH8)*1000+7)</f>
        <v/>
      </c>
      <c r="BF8">
        <f>IF(L8=1,1000000,SUMPRODUCT('計算A'!$D$67:$DS$67,$CS8:$HH8)*1000+8)</f>
        <v/>
      </c>
      <c r="BG8">
        <f>IF(M8=1,1000000,SUMPRODUCT('計算A'!$D$68:$DS$68,$CS8:$HH8)*1000+9)</f>
        <v/>
      </c>
      <c r="BH8">
        <f>IF(N8=1,1000000,SUMPRODUCT('計算A'!$D$69:$DS$69,$CS8:$HH8)*1000+10)</f>
        <v/>
      </c>
      <c r="BI8">
        <f>IF(O8=1,1000000,SUMPRODUCT('計算A'!$D$70:$DS$70,$CS8:$HH8)*1000+11)</f>
        <v/>
      </c>
      <c r="BJ8">
        <f>IF(P8=1,1000000,SUMPRODUCT('計算A'!$D$71:$DS$71,$CS8:$HH8)*1000+12)</f>
        <v/>
      </c>
      <c r="BK8">
        <f>IF(Q8=1,1000000,SUMPRODUCT('計算A'!$D$72:$DS$72,$CS8:$HH8)*1000+13)</f>
        <v/>
      </c>
      <c r="BL8">
        <f>IF(R8=1,1000000,SUMPRODUCT('計算A'!$D$73:$DS$73,$CS8:$HH8)*1000+14)</f>
        <v/>
      </c>
      <c r="BM8">
        <f>IF(S8=1,1000000,SUMPRODUCT('計算A'!$D$74:$DS$74,$CS8:$HH8)*1000+15)</f>
        <v/>
      </c>
      <c r="BN8">
        <f>IF(T8=1,1000000,SUMPRODUCT('計算A'!$D$75:$DS$75,$CS8:$HH8)*1000+16)</f>
        <v/>
      </c>
      <c r="BO8">
        <f>IF(U8=1,1000000,SUMPRODUCT('計算A'!$D$76:$DS$76,$CS8:$HH8)*1000+17)</f>
        <v/>
      </c>
      <c r="BP8">
        <f>IF(V8=1,1000000,SUMPRODUCT('計算A'!$D$77:$DS$77,$CS8:$HH8)*1000+18)</f>
        <v/>
      </c>
      <c r="BQ8">
        <f>IF(W8=1,1000000,SUMPRODUCT('計算A'!$D$78:$DS$78,$CS8:$HH8)*1000+19)</f>
        <v/>
      </c>
      <c r="BR8">
        <f>IF(X8=1,1000000,SUMPRODUCT('計算A'!$D$79:$DS$79,$CS8:$HH8)*1000+20)</f>
        <v/>
      </c>
      <c r="BS8">
        <f>IF(Y8=1,1000000,SUMPRODUCT('計算A'!$D$80:$DS$80,$CS8:$HH8)*1000+21)</f>
        <v/>
      </c>
      <c r="BT8">
        <f>IF(Z8=1,1000000,SUMPRODUCT('計算A'!$D$81:$DS$81,$CS8:$HH8)*1000+22)</f>
        <v/>
      </c>
      <c r="BU8">
        <f>IF(AA8=1,1000000,SUMPRODUCT('計算A'!$D$82:$DS$82,$CS8:$HH8)*1000+23)</f>
        <v/>
      </c>
      <c r="BV8">
        <f>IF(AB8=1,1000000,SUMPRODUCT('計算A'!$D$83:$DS$83,$CS8:$HH8)*1000+24)</f>
        <v/>
      </c>
      <c r="BW8">
        <f>IF(AC8=1,1000000,SUMPRODUCT('計算A'!$D$84:$DS$84,$CS8:$HH8)*1000+25)</f>
        <v/>
      </c>
      <c r="BX8">
        <f>IF(AD8=1,1000000,SUMPRODUCT('計算A'!$D$85:$DS$85,$CS8:$HH8)*1000+26)</f>
        <v/>
      </c>
      <c r="BY8">
        <f>IF(AE8=1,1000000,SUMPRODUCT('計算A'!$D$86:$DS$86,$CS8:$HH8)*1000+27)</f>
        <v/>
      </c>
      <c r="BZ8">
        <f>IF(AF8=1,1000000,SUMPRODUCT('計算A'!$D$87:$DS$87,$CS8:$HH8)*1000+28)</f>
        <v/>
      </c>
      <c r="CA8">
        <f>IF(AG8=1,1000000,SUMPRODUCT('計算A'!$D$88:$DS$88,$CS8:$HH8)*1000+29)</f>
        <v/>
      </c>
      <c r="CB8">
        <f>IF(AH8=1,1000000,SUMPRODUCT('計算A'!$D$89:$DS$89,$CS8:$HH8)*1000+30)</f>
        <v/>
      </c>
      <c r="CC8">
        <f>IF(AI8=1,1000000,SUMPRODUCT('計算A'!$D$90:$DS$90,$CS8:$HH8)*1000+31)</f>
        <v/>
      </c>
      <c r="CD8">
        <f>IF(AJ8=1,1000000,SUMPRODUCT('計算A'!$D$91:$DS$91,$CS8:$HH8)*1000+32)</f>
        <v/>
      </c>
      <c r="CE8">
        <f>IF(AK8=1,1000000,SUMPRODUCT('計算A'!$D$92:$DS$92,$CS8:$HH8)*1000+33)</f>
        <v/>
      </c>
      <c r="CF8">
        <f>IF(AL8=1,1000000,SUMPRODUCT('計算A'!$D$93:$DS$93,$CS8:$HH8)*1000+34)</f>
        <v/>
      </c>
      <c r="CG8">
        <f>IF(AM8=1,1000000,SUMPRODUCT('計算A'!$D$94:$DS$94,$CS8:$HH8)*1000+35)</f>
        <v/>
      </c>
      <c r="CH8">
        <f>IF(AN8=1,1000000,SUMPRODUCT('計算A'!$D$95:$DS$95,$CS8:$HH8)*1000+36)</f>
        <v/>
      </c>
      <c r="CI8">
        <f>IF(AO8=1,1000000,SUMPRODUCT('計算A'!$D$96:$DS$96,$CS8:$HH8)*1000+37)</f>
        <v/>
      </c>
      <c r="CJ8">
        <f>IF(AP8=1,1000000,SUMPRODUCT('計算A'!$D$97:$DS$97,$CS8:$HH8)*1000+38)</f>
        <v/>
      </c>
      <c r="CK8">
        <f>IF(AQ8=1,1000000,SUMPRODUCT('計算A'!$D$98:$DS$98,$CS8:$HH8)*1000+39)</f>
        <v/>
      </c>
      <c r="CL8">
        <f>IF(AR8=1,1000000,SUMPRODUCT('計算A'!$D$99:$DS$99,$CS8:$HH8)*1000+40)</f>
        <v/>
      </c>
      <c r="CM8">
        <f>IF(AS8=1,1000000,SUMPRODUCT('計算A'!$D$100:$DS$100,$CS8:$HH8)*1000+41)</f>
        <v/>
      </c>
      <c r="CN8">
        <f>IF(AT8=1,1000000,SUMPRODUCT('計算A'!$D$101:$DS$101,$CS8:$HH8)*1000+42)</f>
        <v/>
      </c>
      <c r="CO8">
        <f>IF(AU8=1,1000000,SUMPRODUCT('計算A'!$D$102:$DS$102,$CS8:$HH8)*1000+43)</f>
        <v/>
      </c>
      <c r="CP8">
        <f>IF(AV8=1,1000000,SUMPRODUCT('計算A'!$D$103:$DS$103,$CS8:$HH8)*1000+44)</f>
        <v/>
      </c>
      <c r="CQ8">
        <f>IF(AW8=1,1000000,SUMPRODUCT('計算A'!$D$104:$DS$104,$CS8:$HH8)*1000+45)</f>
        <v/>
      </c>
      <c r="CS8">
        <f>CS7*IF($C7=1,0,1)</f>
        <v/>
      </c>
      <c r="CT8">
        <f>CT7*IF($C7=2,0,1)</f>
        <v/>
      </c>
      <c r="CU8">
        <f>CU7*IF($C7=3,0,1)</f>
        <v/>
      </c>
      <c r="CV8">
        <f>CV7*IF($C7=4,0,1)</f>
        <v/>
      </c>
      <c r="CW8">
        <f>CW7*IF($C7=5,0,1)</f>
        <v/>
      </c>
      <c r="CX8">
        <f>CX7*IF($C7=6,0,1)</f>
        <v/>
      </c>
      <c r="CY8">
        <f>CY7*IF($C7=7,0,1)</f>
        <v/>
      </c>
      <c r="CZ8">
        <f>CZ7*IF($C7=8,0,1)</f>
        <v/>
      </c>
      <c r="DA8">
        <f>DA7*IF($C7=9,0,1)</f>
        <v/>
      </c>
      <c r="DB8">
        <f>DB7*IF($C7=10,0,1)</f>
        <v/>
      </c>
      <c r="DC8">
        <f>DC7*IF($C7=11,0,1)</f>
        <v/>
      </c>
      <c r="DD8">
        <f>DD7*IF($C7=12,0,1)</f>
        <v/>
      </c>
      <c r="DE8">
        <f>DE7*IF($C7=13,0,1)</f>
        <v/>
      </c>
      <c r="DF8">
        <f>DF7*IF($C7=14,0,1)</f>
        <v/>
      </c>
      <c r="DG8">
        <f>DG7*IF($C7=15,0,1)</f>
        <v/>
      </c>
      <c r="DH8">
        <f>DH7*IF($C7=16,0,1)</f>
        <v/>
      </c>
      <c r="DI8">
        <f>DI7*IF($C7=17,0,1)</f>
        <v/>
      </c>
      <c r="DJ8">
        <f>DJ7*IF($C7=18,0,1)</f>
        <v/>
      </c>
      <c r="DK8">
        <f>DK7*IF($C7=19,0,1)</f>
        <v/>
      </c>
      <c r="DL8">
        <f>DL7*IF($C7=20,0,1)</f>
        <v/>
      </c>
      <c r="DM8">
        <f>DM7*IF($C7=21,0,1)</f>
        <v/>
      </c>
      <c r="DN8">
        <f>DN7*IF($C7=22,0,1)</f>
        <v/>
      </c>
      <c r="DO8">
        <f>DO7*IF($C7=23,0,1)</f>
        <v/>
      </c>
      <c r="DP8">
        <f>DP7*IF($C7=24,0,1)</f>
        <v/>
      </c>
      <c r="DQ8">
        <f>DQ7*IF($C7=25,0,1)</f>
        <v/>
      </c>
      <c r="DR8">
        <f>DR7*IF($C7=26,0,1)</f>
        <v/>
      </c>
      <c r="DS8">
        <f>DS7*IF($C7=27,0,1)</f>
        <v/>
      </c>
      <c r="DT8">
        <f>DT7*IF($C7=28,0,1)</f>
        <v/>
      </c>
      <c r="DU8">
        <f>DU7*IF($C7=29,0,1)</f>
        <v/>
      </c>
      <c r="DV8">
        <f>DV7*IF($C7=30,0,1)</f>
        <v/>
      </c>
      <c r="DW8">
        <f>DW7*IF($C7=31,0,1)</f>
        <v/>
      </c>
      <c r="DX8">
        <f>DX7*IF($C7=32,0,1)</f>
        <v/>
      </c>
      <c r="DY8">
        <f>DY7*IF($C7=33,0,1)</f>
        <v/>
      </c>
      <c r="DZ8">
        <f>DZ7*IF($C7=34,0,1)</f>
        <v/>
      </c>
      <c r="EA8">
        <f>EA7*IF($C7=35,0,1)</f>
        <v/>
      </c>
      <c r="EB8">
        <f>EB7*IF($C7=36,0,1)</f>
        <v/>
      </c>
      <c r="EC8">
        <f>EC7*IF($C7=37,0,1)</f>
        <v/>
      </c>
      <c r="ED8">
        <f>ED7*IF($C7=38,0,1)</f>
        <v/>
      </c>
      <c r="EE8">
        <f>EE7*IF($C7=39,0,1)</f>
        <v/>
      </c>
      <c r="EF8">
        <f>EF7*IF($C7=40,0,1)</f>
        <v/>
      </c>
      <c r="EG8">
        <f>EG7*IF($C7=41,0,1)</f>
        <v/>
      </c>
      <c r="EH8">
        <f>EH7*IF($C7=42,0,1)</f>
        <v/>
      </c>
      <c r="EI8">
        <f>EI7*IF($C7=43,0,1)</f>
        <v/>
      </c>
      <c r="EJ8">
        <f>EJ7*IF($C7=44,0,1)</f>
        <v/>
      </c>
      <c r="EK8">
        <f>EK7*IF($C7=45,0,1)</f>
        <v/>
      </c>
      <c r="EL8">
        <f>EL7*IF($C7=46,0,1)</f>
        <v/>
      </c>
      <c r="EM8">
        <f>EM7*IF($C7=47,0,1)</f>
        <v/>
      </c>
      <c r="EN8">
        <f>EN7*IF($C7=48,0,1)</f>
        <v/>
      </c>
      <c r="EO8">
        <f>EO7*IF($C7=49,0,1)</f>
        <v/>
      </c>
      <c r="EP8">
        <f>EP7*IF($C7=50,0,1)</f>
        <v/>
      </c>
      <c r="EQ8">
        <f>EQ7*IF($C7=51,0,1)</f>
        <v/>
      </c>
      <c r="ER8">
        <f>ER7*IF($C7=52,0,1)</f>
        <v/>
      </c>
      <c r="ES8">
        <f>ES7*IF($C7=53,0,1)</f>
        <v/>
      </c>
      <c r="ET8">
        <f>ET7*IF($C7=54,0,1)</f>
        <v/>
      </c>
      <c r="EU8">
        <f>EU7*IF($C7=55,0,1)</f>
        <v/>
      </c>
      <c r="EV8">
        <f>EV7*IF($C7=56,0,1)</f>
        <v/>
      </c>
      <c r="EW8">
        <f>EW7*IF($C7=57,0,1)</f>
        <v/>
      </c>
      <c r="EX8">
        <f>EX7*IF($C7=58,0,1)</f>
        <v/>
      </c>
      <c r="EY8">
        <f>EY7*IF($C7=59,0,1)</f>
        <v/>
      </c>
      <c r="EZ8">
        <f>EZ7*IF($C7=60,0,1)</f>
        <v/>
      </c>
      <c r="FA8">
        <f>FA7*IF($C7=61,0,1)</f>
        <v/>
      </c>
      <c r="FB8">
        <f>FB7*IF($C7=62,0,1)</f>
        <v/>
      </c>
      <c r="FC8">
        <f>FC7*IF($C7=63,0,1)</f>
        <v/>
      </c>
      <c r="FD8">
        <f>FD7*IF($C7=64,0,1)</f>
        <v/>
      </c>
      <c r="FE8">
        <f>FE7*IF($C7=65,0,1)</f>
        <v/>
      </c>
      <c r="FF8">
        <f>FF7*IF($C7=66,0,1)</f>
        <v/>
      </c>
      <c r="FG8">
        <f>FG7*IF($C7=67,0,1)</f>
        <v/>
      </c>
      <c r="FH8">
        <f>FH7*IF($C7=68,0,1)</f>
        <v/>
      </c>
      <c r="FI8">
        <f>FI7*IF($C7=69,0,1)</f>
        <v/>
      </c>
      <c r="FJ8">
        <f>FJ7*IF($C7=70,0,1)</f>
        <v/>
      </c>
      <c r="FK8">
        <f>FK7*IF($C7=71,0,1)</f>
        <v/>
      </c>
      <c r="FL8">
        <f>FL7*IF($C7=72,0,1)</f>
        <v/>
      </c>
      <c r="FM8">
        <f>FM7*IF($C7=73,0,1)</f>
        <v/>
      </c>
      <c r="FN8">
        <f>FN7*IF($C7=74,0,1)</f>
        <v/>
      </c>
      <c r="FO8">
        <f>FO7*IF($C7=75,0,1)</f>
        <v/>
      </c>
      <c r="FP8">
        <f>FP7*IF($C7=76,0,1)</f>
        <v/>
      </c>
      <c r="FQ8">
        <f>FQ7*IF($C7=77,0,1)</f>
        <v/>
      </c>
      <c r="FR8">
        <f>FR7*IF($C7=78,0,1)</f>
        <v/>
      </c>
      <c r="FS8">
        <f>FS7*IF($C7=79,0,1)</f>
        <v/>
      </c>
      <c r="FT8">
        <f>FT7*IF($C7=80,0,1)</f>
        <v/>
      </c>
      <c r="FU8">
        <f>FU7*IF($C7=81,0,1)</f>
        <v/>
      </c>
      <c r="FV8">
        <f>FV7*IF($C7=82,0,1)</f>
        <v/>
      </c>
      <c r="FW8">
        <f>FW7*IF($C7=83,0,1)</f>
        <v/>
      </c>
      <c r="FX8">
        <f>FX7*IF($C7=84,0,1)</f>
        <v/>
      </c>
      <c r="FY8">
        <f>FY7*IF($C7=85,0,1)</f>
        <v/>
      </c>
      <c r="FZ8">
        <f>FZ7*IF($C7=86,0,1)</f>
        <v/>
      </c>
      <c r="GA8">
        <f>GA7*IF($C7=87,0,1)</f>
        <v/>
      </c>
      <c r="GB8">
        <f>GB7*IF($C7=88,0,1)</f>
        <v/>
      </c>
      <c r="GC8">
        <f>GC7*IF($C7=89,0,1)</f>
        <v/>
      </c>
      <c r="GD8">
        <f>GD7*IF($C7=90,0,1)</f>
        <v/>
      </c>
      <c r="GE8">
        <f>GE7*IF($C7=91,0,1)</f>
        <v/>
      </c>
      <c r="GF8">
        <f>GF7*IF($C7=92,0,1)</f>
        <v/>
      </c>
      <c r="GG8">
        <f>GG7*IF($C7=93,0,1)</f>
        <v/>
      </c>
      <c r="GH8">
        <f>GH7*IF($C7=94,0,1)</f>
        <v/>
      </c>
      <c r="GI8">
        <f>GI7*IF($C7=95,0,1)</f>
        <v/>
      </c>
      <c r="GJ8">
        <f>GJ7*IF($C7=96,0,1)</f>
        <v/>
      </c>
      <c r="GK8">
        <f>GK7*IF($C7=97,0,1)</f>
        <v/>
      </c>
      <c r="GL8">
        <f>GL7*IF($C7=98,0,1)</f>
        <v/>
      </c>
      <c r="GM8">
        <f>GM7*IF($C7=99,0,1)</f>
        <v/>
      </c>
      <c r="GN8">
        <f>GN7*IF($C7=100,0,1)</f>
        <v/>
      </c>
      <c r="GO8">
        <f>GO7*IF($C7=101,0,1)</f>
        <v/>
      </c>
      <c r="GP8">
        <f>GP7*IF($C7=102,0,1)</f>
        <v/>
      </c>
      <c r="GQ8">
        <f>GQ7*IF($C7=103,0,1)</f>
        <v/>
      </c>
      <c r="GR8">
        <f>GR7*IF($C7=104,0,1)</f>
        <v/>
      </c>
      <c r="GS8">
        <f>GS7*IF($C7=105,0,1)</f>
        <v/>
      </c>
      <c r="GT8">
        <f>GT7*IF($C7=106,0,1)</f>
        <v/>
      </c>
      <c r="GU8">
        <f>GU7*IF($C7=107,0,1)</f>
        <v/>
      </c>
      <c r="GV8">
        <f>GV7*IF($C7=108,0,1)</f>
        <v/>
      </c>
      <c r="GW8">
        <f>GW7*IF($C7=109,0,1)</f>
        <v/>
      </c>
      <c r="GX8">
        <f>GX7*IF($C7=110,0,1)</f>
        <v/>
      </c>
      <c r="GY8">
        <f>GY7*IF($C7=111,0,1)</f>
        <v/>
      </c>
      <c r="GZ8">
        <f>GZ7*IF($C7=112,0,1)</f>
        <v/>
      </c>
      <c r="HA8">
        <f>HA7*IF($C7=113,0,1)</f>
        <v/>
      </c>
      <c r="HB8">
        <f>HB7*IF($C7=114,0,1)</f>
        <v/>
      </c>
      <c r="HC8">
        <f>HC7*IF($C7=115,0,1)</f>
        <v/>
      </c>
      <c r="HD8">
        <f>HD7*IF($C7=116,0,1)</f>
        <v/>
      </c>
      <c r="HE8">
        <f>HE7*IF($C7=117,0,1)</f>
        <v/>
      </c>
      <c r="HF8">
        <f>HF7*IF($C7=118,0,1)</f>
        <v/>
      </c>
      <c r="HG8">
        <f>HG7*IF($C7=119,0,1)</f>
        <v/>
      </c>
      <c r="HH8">
        <f>HH7*IF($C7=120,0,1)</f>
        <v/>
      </c>
      <c r="HJ8">
        <f>IF($B8=0,1000000,IF(INDEX('計算A'!$D$60:$DS$104,$B8,1)*CS8=1,'計算A'!D$6,1000000))</f>
        <v/>
      </c>
      <c r="HK8">
        <f>IF($B8=0,1000000,IF(INDEX('計算A'!$D$60:$DS$104,$B8,2)*CT8=1,'計算A'!E$6,1000000))</f>
        <v/>
      </c>
      <c r="HL8">
        <f>IF($B8=0,1000000,IF(INDEX('計算A'!$D$60:$DS$104,$B8,3)*CU8=1,'計算A'!F$6,1000000))</f>
        <v/>
      </c>
      <c r="HM8">
        <f>IF($B8=0,1000000,IF(INDEX('計算A'!$D$60:$DS$104,$B8,4)*CV8=1,'計算A'!G$6,1000000))</f>
        <v/>
      </c>
      <c r="HN8">
        <f>IF($B8=0,1000000,IF(INDEX('計算A'!$D$60:$DS$104,$B8,5)*CW8=1,'計算A'!H$6,1000000))</f>
        <v/>
      </c>
      <c r="HO8">
        <f>IF($B8=0,1000000,IF(INDEX('計算A'!$D$60:$DS$104,$B8,6)*CX8=1,'計算A'!I$6,1000000))</f>
        <v/>
      </c>
      <c r="HP8">
        <f>IF($B8=0,1000000,IF(INDEX('計算A'!$D$60:$DS$104,$B8,7)*CY8=1,'計算A'!J$6,1000000))</f>
        <v/>
      </c>
      <c r="HQ8">
        <f>IF($B8=0,1000000,IF(INDEX('計算A'!$D$60:$DS$104,$B8,8)*CZ8=1,'計算A'!K$6,1000000))</f>
        <v/>
      </c>
      <c r="HR8">
        <f>IF($B8=0,1000000,IF(INDEX('計算A'!$D$60:$DS$104,$B8,9)*DA8=1,'計算A'!L$6,1000000))</f>
        <v/>
      </c>
      <c r="HS8">
        <f>IF($B8=0,1000000,IF(INDEX('計算A'!$D$60:$DS$104,$B8,10)*DB8=1,'計算A'!M$6,1000000))</f>
        <v/>
      </c>
      <c r="HT8">
        <f>IF($B8=0,1000000,IF(INDEX('計算A'!$D$60:$DS$104,$B8,11)*DC8=1,'計算A'!N$6,1000000))</f>
        <v/>
      </c>
      <c r="HU8">
        <f>IF($B8=0,1000000,IF(INDEX('計算A'!$D$60:$DS$104,$B8,12)*DD8=1,'計算A'!O$6,1000000))</f>
        <v/>
      </c>
      <c r="HV8">
        <f>IF($B8=0,1000000,IF(INDEX('計算A'!$D$60:$DS$104,$B8,13)*DE8=1,'計算A'!P$6,1000000))</f>
        <v/>
      </c>
      <c r="HW8">
        <f>IF($B8=0,1000000,IF(INDEX('計算A'!$D$60:$DS$104,$B8,14)*DF8=1,'計算A'!Q$6,1000000))</f>
        <v/>
      </c>
      <c r="HX8">
        <f>IF($B8=0,1000000,IF(INDEX('計算A'!$D$60:$DS$104,$B8,15)*DG8=1,'計算A'!R$6,1000000))</f>
        <v/>
      </c>
      <c r="HY8">
        <f>IF($B8=0,1000000,IF(INDEX('計算A'!$D$60:$DS$104,$B8,16)*DH8=1,'計算A'!S$6,1000000))</f>
        <v/>
      </c>
      <c r="HZ8">
        <f>IF($B8=0,1000000,IF(INDEX('計算A'!$D$60:$DS$104,$B8,17)*DI8=1,'計算A'!T$6,1000000))</f>
        <v/>
      </c>
      <c r="IA8">
        <f>IF($B8=0,1000000,IF(INDEX('計算A'!$D$60:$DS$104,$B8,18)*DJ8=1,'計算A'!U$6,1000000))</f>
        <v/>
      </c>
      <c r="IB8">
        <f>IF($B8=0,1000000,IF(INDEX('計算A'!$D$60:$DS$104,$B8,19)*DK8=1,'計算A'!V$6,1000000))</f>
        <v/>
      </c>
      <c r="IC8">
        <f>IF($B8=0,1000000,IF(INDEX('計算A'!$D$60:$DS$104,$B8,20)*DL8=1,'計算A'!W$6,1000000))</f>
        <v/>
      </c>
      <c r="ID8">
        <f>IF($B8=0,1000000,IF(INDEX('計算A'!$D$60:$DS$104,$B8,21)*DM8=1,'計算A'!X$6,1000000))</f>
        <v/>
      </c>
      <c r="IE8">
        <f>IF($B8=0,1000000,IF(INDEX('計算A'!$D$60:$DS$104,$B8,22)*DN8=1,'計算A'!Y$6,1000000))</f>
        <v/>
      </c>
      <c r="IF8">
        <f>IF($B8=0,1000000,IF(INDEX('計算A'!$D$60:$DS$104,$B8,23)*DO8=1,'計算A'!Z$6,1000000))</f>
        <v/>
      </c>
      <c r="IG8">
        <f>IF($B8=0,1000000,IF(INDEX('計算A'!$D$60:$DS$104,$B8,24)*DP8=1,'計算A'!AA$6,1000000))</f>
        <v/>
      </c>
      <c r="IH8">
        <f>IF($B8=0,1000000,IF(INDEX('計算A'!$D$60:$DS$104,$B8,25)*DQ8=1,'計算A'!AB$6,1000000))</f>
        <v/>
      </c>
      <c r="II8">
        <f>IF($B8=0,1000000,IF(INDEX('計算A'!$D$60:$DS$104,$B8,26)*DR8=1,'計算A'!AC$6,1000000))</f>
        <v/>
      </c>
      <c r="IJ8">
        <f>IF($B8=0,1000000,IF(INDEX('計算A'!$D$60:$DS$104,$B8,27)*DS8=1,'計算A'!AD$6,1000000))</f>
        <v/>
      </c>
      <c r="IK8">
        <f>IF($B8=0,1000000,IF(INDEX('計算A'!$D$60:$DS$104,$B8,28)*DT8=1,'計算A'!AE$6,1000000))</f>
        <v/>
      </c>
      <c r="IL8">
        <f>IF($B8=0,1000000,IF(INDEX('計算A'!$D$60:$DS$104,$B8,29)*DU8=1,'計算A'!AF$6,1000000))</f>
        <v/>
      </c>
      <c r="IM8">
        <f>IF($B8=0,1000000,IF(INDEX('計算A'!$D$60:$DS$104,$B8,30)*DV8=1,'計算A'!AG$6,1000000))</f>
        <v/>
      </c>
      <c r="IN8">
        <f>IF($B8=0,1000000,IF(INDEX('計算A'!$D$60:$DS$104,$B8,31)*DW8=1,'計算A'!AH$6,1000000))</f>
        <v/>
      </c>
      <c r="IO8">
        <f>IF($B8=0,1000000,IF(INDEX('計算A'!$D$60:$DS$104,$B8,32)*DX8=1,'計算A'!AI$6,1000000))</f>
        <v/>
      </c>
      <c r="IP8">
        <f>IF($B8=0,1000000,IF(INDEX('計算A'!$D$60:$DS$104,$B8,33)*DY8=1,'計算A'!AJ$6,1000000))</f>
        <v/>
      </c>
      <c r="IQ8">
        <f>IF($B8=0,1000000,IF(INDEX('計算A'!$D$60:$DS$104,$B8,34)*DZ8=1,'計算A'!AK$6,1000000))</f>
        <v/>
      </c>
      <c r="IR8">
        <f>IF($B8=0,1000000,IF(INDEX('計算A'!$D$60:$DS$104,$B8,35)*EA8=1,'計算A'!AL$6,1000000))</f>
        <v/>
      </c>
      <c r="IS8">
        <f>IF($B8=0,1000000,IF(INDEX('計算A'!$D$60:$DS$104,$B8,36)*EB8=1,'計算A'!AM$6,1000000))</f>
        <v/>
      </c>
      <c r="IT8">
        <f>IF($B8=0,1000000,IF(INDEX('計算A'!$D$60:$DS$104,$B8,37)*EC8=1,'計算A'!AN$6,1000000))</f>
        <v/>
      </c>
      <c r="IU8">
        <f>IF($B8=0,1000000,IF(INDEX('計算A'!$D$60:$DS$104,$B8,38)*ED8=1,'計算A'!AO$6,1000000))</f>
        <v/>
      </c>
      <c r="IV8">
        <f>IF($B8=0,1000000,IF(INDEX('計算A'!$D$60:$DS$104,$B8,39)*EE8=1,'計算A'!AP$6,1000000))</f>
        <v/>
      </c>
      <c r="IW8">
        <f>IF($B8=0,1000000,IF(INDEX('計算A'!$D$60:$DS$104,$B8,40)*EF8=1,'計算A'!AQ$6,1000000))</f>
        <v/>
      </c>
      <c r="IX8">
        <f>IF($B8=0,1000000,IF(INDEX('計算A'!$D$60:$DS$104,$B8,41)*EG8=1,'計算A'!AR$6,1000000))</f>
        <v/>
      </c>
      <c r="IY8">
        <f>IF($B8=0,1000000,IF(INDEX('計算A'!$D$60:$DS$104,$B8,42)*EH8=1,'計算A'!AS$6,1000000))</f>
        <v/>
      </c>
      <c r="IZ8">
        <f>IF($B8=0,1000000,IF(INDEX('計算A'!$D$60:$DS$104,$B8,43)*EI8=1,'計算A'!AT$6,1000000))</f>
        <v/>
      </c>
      <c r="JA8">
        <f>IF($B8=0,1000000,IF(INDEX('計算A'!$D$60:$DS$104,$B8,44)*EJ8=1,'計算A'!AU$6,1000000))</f>
        <v/>
      </c>
      <c r="JB8">
        <f>IF($B8=0,1000000,IF(INDEX('計算A'!$D$60:$DS$104,$B8,45)*EK8=1,'計算A'!AV$6,1000000))</f>
        <v/>
      </c>
      <c r="JC8">
        <f>IF($B8=0,1000000,IF(INDEX('計算A'!$D$60:$DS$104,$B8,46)*EL8=1,'計算A'!AW$6,1000000))</f>
        <v/>
      </c>
      <c r="JD8">
        <f>IF($B8=0,1000000,IF(INDEX('計算A'!$D$60:$DS$104,$B8,47)*EM8=1,'計算A'!AX$6,1000000))</f>
        <v/>
      </c>
      <c r="JE8">
        <f>IF($B8=0,1000000,IF(INDEX('計算A'!$D$60:$DS$104,$B8,48)*EN8=1,'計算A'!AY$6,1000000))</f>
        <v/>
      </c>
      <c r="JF8">
        <f>IF($B8=0,1000000,IF(INDEX('計算A'!$D$60:$DS$104,$B8,49)*EO8=1,'計算A'!AZ$6,1000000))</f>
        <v/>
      </c>
      <c r="JG8">
        <f>IF($B8=0,1000000,IF(INDEX('計算A'!$D$60:$DS$104,$B8,50)*EP8=1,'計算A'!BA$6,1000000))</f>
        <v/>
      </c>
      <c r="JH8">
        <f>IF($B8=0,1000000,IF(INDEX('計算A'!$D$60:$DS$104,$B8,51)*EQ8=1,'計算A'!BB$6,1000000))</f>
        <v/>
      </c>
      <c r="JI8">
        <f>IF($B8=0,1000000,IF(INDEX('計算A'!$D$60:$DS$104,$B8,52)*ER8=1,'計算A'!BC$6,1000000))</f>
        <v/>
      </c>
      <c r="JJ8">
        <f>IF($B8=0,1000000,IF(INDEX('計算A'!$D$60:$DS$104,$B8,53)*ES8=1,'計算A'!BD$6,1000000))</f>
        <v/>
      </c>
      <c r="JK8">
        <f>IF($B8=0,1000000,IF(INDEX('計算A'!$D$60:$DS$104,$B8,54)*ET8=1,'計算A'!BE$6,1000000))</f>
        <v/>
      </c>
      <c r="JL8">
        <f>IF($B8=0,1000000,IF(INDEX('計算A'!$D$60:$DS$104,$B8,55)*EU8=1,'計算A'!BF$6,1000000))</f>
        <v/>
      </c>
      <c r="JM8">
        <f>IF($B8=0,1000000,IF(INDEX('計算A'!$D$60:$DS$104,$B8,56)*EV8=1,'計算A'!BG$6,1000000))</f>
        <v/>
      </c>
      <c r="JN8">
        <f>IF($B8=0,1000000,IF(INDEX('計算A'!$D$60:$DS$104,$B8,57)*EW8=1,'計算A'!BH$6,1000000))</f>
        <v/>
      </c>
      <c r="JO8">
        <f>IF($B8=0,1000000,IF(INDEX('計算A'!$D$60:$DS$104,$B8,58)*EX8=1,'計算A'!BI$6,1000000))</f>
        <v/>
      </c>
      <c r="JP8">
        <f>IF($B8=0,1000000,IF(INDEX('計算A'!$D$60:$DS$104,$B8,59)*EY8=1,'計算A'!BJ$6,1000000))</f>
        <v/>
      </c>
      <c r="JQ8">
        <f>IF($B8=0,1000000,IF(INDEX('計算A'!$D$60:$DS$104,$B8,60)*EZ8=1,'計算A'!BK$6,1000000))</f>
        <v/>
      </c>
      <c r="JR8">
        <f>IF($B8=0,1000000,IF(INDEX('計算A'!$D$60:$DS$104,$B8,61)*FA8=1,'計算A'!BL$6,1000000))</f>
        <v/>
      </c>
      <c r="JS8">
        <f>IF($B8=0,1000000,IF(INDEX('計算A'!$D$60:$DS$104,$B8,62)*FB8=1,'計算A'!BM$6,1000000))</f>
        <v/>
      </c>
      <c r="JT8">
        <f>IF($B8=0,1000000,IF(INDEX('計算A'!$D$60:$DS$104,$B8,63)*FC8=1,'計算A'!BN$6,1000000))</f>
        <v/>
      </c>
      <c r="JU8">
        <f>IF($B8=0,1000000,IF(INDEX('計算A'!$D$60:$DS$104,$B8,64)*FD8=1,'計算A'!BO$6,1000000))</f>
        <v/>
      </c>
      <c r="JV8">
        <f>IF($B8=0,1000000,IF(INDEX('計算A'!$D$60:$DS$104,$B8,65)*FE8=1,'計算A'!BP$6,1000000))</f>
        <v/>
      </c>
      <c r="JW8">
        <f>IF($B8=0,1000000,IF(INDEX('計算A'!$D$60:$DS$104,$B8,66)*FF8=1,'計算A'!BQ$6,1000000))</f>
        <v/>
      </c>
      <c r="JX8">
        <f>IF($B8=0,1000000,IF(INDEX('計算A'!$D$60:$DS$104,$B8,67)*FG8=1,'計算A'!BR$6,1000000))</f>
        <v/>
      </c>
      <c r="JY8">
        <f>IF($B8=0,1000000,IF(INDEX('計算A'!$D$60:$DS$104,$B8,68)*FH8=1,'計算A'!BS$6,1000000))</f>
        <v/>
      </c>
      <c r="JZ8">
        <f>IF($B8=0,1000000,IF(INDEX('計算A'!$D$60:$DS$104,$B8,69)*FI8=1,'計算A'!BT$6,1000000))</f>
        <v/>
      </c>
      <c r="KA8">
        <f>IF($B8=0,1000000,IF(INDEX('計算A'!$D$60:$DS$104,$B8,70)*FJ8=1,'計算A'!BU$6,1000000))</f>
        <v/>
      </c>
      <c r="KB8">
        <f>IF($B8=0,1000000,IF(INDEX('計算A'!$D$60:$DS$104,$B8,71)*FK8=1,'計算A'!BV$6,1000000))</f>
        <v/>
      </c>
      <c r="KC8">
        <f>IF($B8=0,1000000,IF(INDEX('計算A'!$D$60:$DS$104,$B8,72)*FL8=1,'計算A'!BW$6,1000000))</f>
        <v/>
      </c>
      <c r="KD8">
        <f>IF($B8=0,1000000,IF(INDEX('計算A'!$D$60:$DS$104,$B8,73)*FM8=1,'計算A'!BX$6,1000000))</f>
        <v/>
      </c>
      <c r="KE8">
        <f>IF($B8=0,1000000,IF(INDEX('計算A'!$D$60:$DS$104,$B8,74)*FN8=1,'計算A'!BY$6,1000000))</f>
        <v/>
      </c>
      <c r="KF8">
        <f>IF($B8=0,1000000,IF(INDEX('計算A'!$D$60:$DS$104,$B8,75)*FO8=1,'計算A'!BZ$6,1000000))</f>
        <v/>
      </c>
      <c r="KG8">
        <f>IF($B8=0,1000000,IF(INDEX('計算A'!$D$60:$DS$104,$B8,76)*FP8=1,'計算A'!CA$6,1000000))</f>
        <v/>
      </c>
      <c r="KH8">
        <f>IF($B8=0,1000000,IF(INDEX('計算A'!$D$60:$DS$104,$B8,77)*FQ8=1,'計算A'!CB$6,1000000))</f>
        <v/>
      </c>
      <c r="KI8">
        <f>IF($B8=0,1000000,IF(INDEX('計算A'!$D$60:$DS$104,$B8,78)*FR8=1,'計算A'!CC$6,1000000))</f>
        <v/>
      </c>
      <c r="KJ8">
        <f>IF($B8=0,1000000,IF(INDEX('計算A'!$D$60:$DS$104,$B8,79)*FS8=1,'計算A'!CD$6,1000000))</f>
        <v/>
      </c>
      <c r="KK8">
        <f>IF($B8=0,1000000,IF(INDEX('計算A'!$D$60:$DS$104,$B8,80)*FT8=1,'計算A'!CE$6,1000000))</f>
        <v/>
      </c>
      <c r="KL8">
        <f>IF($B8=0,1000000,IF(INDEX('計算A'!$D$60:$DS$104,$B8,81)*FU8=1,'計算A'!CF$6,1000000))</f>
        <v/>
      </c>
      <c r="KM8">
        <f>IF($B8=0,1000000,IF(INDEX('計算A'!$D$60:$DS$104,$B8,82)*FV8=1,'計算A'!CG$6,1000000))</f>
        <v/>
      </c>
      <c r="KN8">
        <f>IF($B8=0,1000000,IF(INDEX('計算A'!$D$60:$DS$104,$B8,83)*FW8=1,'計算A'!CH$6,1000000))</f>
        <v/>
      </c>
      <c r="KO8">
        <f>IF($B8=0,1000000,IF(INDEX('計算A'!$D$60:$DS$104,$B8,84)*FX8=1,'計算A'!CI$6,1000000))</f>
        <v/>
      </c>
      <c r="KP8">
        <f>IF($B8=0,1000000,IF(INDEX('計算A'!$D$60:$DS$104,$B8,85)*FY8=1,'計算A'!CJ$6,1000000))</f>
        <v/>
      </c>
      <c r="KQ8">
        <f>IF($B8=0,1000000,IF(INDEX('計算A'!$D$60:$DS$104,$B8,86)*FZ8=1,'計算A'!CK$6,1000000))</f>
        <v/>
      </c>
      <c r="KR8">
        <f>IF($B8=0,1000000,IF(INDEX('計算A'!$D$60:$DS$104,$B8,87)*GA8=1,'計算A'!CL$6,1000000))</f>
        <v/>
      </c>
      <c r="KS8">
        <f>IF($B8=0,1000000,IF(INDEX('計算A'!$D$60:$DS$104,$B8,88)*GB8=1,'計算A'!CM$6,1000000))</f>
        <v/>
      </c>
      <c r="KT8">
        <f>IF($B8=0,1000000,IF(INDEX('計算A'!$D$60:$DS$104,$B8,89)*GC8=1,'計算A'!CN$6,1000000))</f>
        <v/>
      </c>
      <c r="KU8">
        <f>IF($B8=0,1000000,IF(INDEX('計算A'!$D$60:$DS$104,$B8,90)*GD8=1,'計算A'!CO$6,1000000))</f>
        <v/>
      </c>
      <c r="KV8">
        <f>IF($B8=0,1000000,IF(INDEX('計算A'!$D$60:$DS$104,$B8,91)*GE8=1,'計算A'!CP$6,1000000))</f>
        <v/>
      </c>
      <c r="KW8">
        <f>IF($B8=0,1000000,IF(INDEX('計算A'!$D$60:$DS$104,$B8,92)*GF8=1,'計算A'!CQ$6,1000000))</f>
        <v/>
      </c>
      <c r="KX8">
        <f>IF($B8=0,1000000,IF(INDEX('計算A'!$D$60:$DS$104,$B8,93)*GG8=1,'計算A'!CR$6,1000000))</f>
        <v/>
      </c>
      <c r="KY8">
        <f>IF($B8=0,1000000,IF(INDEX('計算A'!$D$60:$DS$104,$B8,94)*GH8=1,'計算A'!CS$6,1000000))</f>
        <v/>
      </c>
      <c r="KZ8">
        <f>IF($B8=0,1000000,IF(INDEX('計算A'!$D$60:$DS$104,$B8,95)*GI8=1,'計算A'!CT$6,1000000))</f>
        <v/>
      </c>
      <c r="LA8">
        <f>IF($B8=0,1000000,IF(INDEX('計算A'!$D$60:$DS$104,$B8,96)*GJ8=1,'計算A'!CU$6,1000000))</f>
        <v/>
      </c>
      <c r="LB8">
        <f>IF($B8=0,1000000,IF(INDEX('計算A'!$D$60:$DS$104,$B8,97)*GK8=1,'計算A'!CV$6,1000000))</f>
        <v/>
      </c>
      <c r="LC8">
        <f>IF($B8=0,1000000,IF(INDEX('計算A'!$D$60:$DS$104,$B8,98)*GL8=1,'計算A'!CW$6,1000000))</f>
        <v/>
      </c>
      <c r="LD8">
        <f>IF($B8=0,1000000,IF(INDEX('計算A'!$D$60:$DS$104,$B8,99)*GM8=1,'計算A'!CX$6,1000000))</f>
        <v/>
      </c>
      <c r="LE8">
        <f>IF($B8=0,1000000,IF(INDEX('計算A'!$D$60:$DS$104,$B8,100)*GN8=1,'計算A'!CY$6,1000000))</f>
        <v/>
      </c>
      <c r="LF8">
        <f>IF($B8=0,1000000,IF(INDEX('計算A'!$D$60:$DS$104,$B8,101)*GO8=1,'計算A'!CZ$6,1000000))</f>
        <v/>
      </c>
      <c r="LG8">
        <f>IF($B8=0,1000000,IF(INDEX('計算A'!$D$60:$DS$104,$B8,102)*GP8=1,'計算A'!DA$6,1000000))</f>
        <v/>
      </c>
      <c r="LH8">
        <f>IF($B8=0,1000000,IF(INDEX('計算A'!$D$60:$DS$104,$B8,103)*GQ8=1,'計算A'!DB$6,1000000))</f>
        <v/>
      </c>
      <c r="LI8">
        <f>IF($B8=0,1000000,IF(INDEX('計算A'!$D$60:$DS$104,$B8,104)*GR8=1,'計算A'!DC$6,1000000))</f>
        <v/>
      </c>
      <c r="LJ8">
        <f>IF($B8=0,1000000,IF(INDEX('計算A'!$D$60:$DS$104,$B8,105)*GS8=1,'計算A'!DD$6,1000000))</f>
        <v/>
      </c>
      <c r="LK8">
        <f>IF($B8=0,1000000,IF(INDEX('計算A'!$D$60:$DS$104,$B8,106)*GT8=1,'計算A'!DE$6,1000000))</f>
        <v/>
      </c>
      <c r="LL8">
        <f>IF($B8=0,1000000,IF(INDEX('計算A'!$D$60:$DS$104,$B8,107)*GU8=1,'計算A'!DF$6,1000000))</f>
        <v/>
      </c>
      <c r="LM8">
        <f>IF($B8=0,1000000,IF(INDEX('計算A'!$D$60:$DS$104,$B8,108)*GV8=1,'計算A'!DG$6,1000000))</f>
        <v/>
      </c>
      <c r="LN8">
        <f>IF($B8=0,1000000,IF(INDEX('計算A'!$D$60:$DS$104,$B8,109)*GW8=1,'計算A'!DH$6,1000000))</f>
        <v/>
      </c>
      <c r="LO8">
        <f>IF($B8=0,1000000,IF(INDEX('計算A'!$D$60:$DS$104,$B8,110)*GX8=1,'計算A'!DI$6,1000000))</f>
        <v/>
      </c>
      <c r="LP8">
        <f>IF($B8=0,1000000,IF(INDEX('計算A'!$D$60:$DS$104,$B8,111)*GY8=1,'計算A'!DJ$6,1000000))</f>
        <v/>
      </c>
      <c r="LQ8">
        <f>IF($B8=0,1000000,IF(INDEX('計算A'!$D$60:$DS$104,$B8,112)*GZ8=1,'計算A'!DK$6,1000000))</f>
        <v/>
      </c>
      <c r="LR8">
        <f>IF($B8=0,1000000,IF(INDEX('計算A'!$D$60:$DS$104,$B8,113)*HA8=1,'計算A'!DL$6,1000000))</f>
        <v/>
      </c>
      <c r="LS8">
        <f>IF($B8=0,1000000,IF(INDEX('計算A'!$D$60:$DS$104,$B8,114)*HB8=1,'計算A'!DM$6,1000000))</f>
        <v/>
      </c>
      <c r="LT8">
        <f>IF($B8=0,1000000,IF(INDEX('計算A'!$D$60:$DS$104,$B8,115)*HC8=1,'計算A'!DN$6,1000000))</f>
        <v/>
      </c>
      <c r="LU8">
        <f>IF($B8=0,1000000,IF(INDEX('計算A'!$D$60:$DS$104,$B8,116)*HD8=1,'計算A'!DO$6,1000000))</f>
        <v/>
      </c>
      <c r="LV8">
        <f>IF($B8=0,1000000,IF(INDEX('計算A'!$D$60:$DS$104,$B8,117)*HE8=1,'計算A'!DP$6,1000000))</f>
        <v/>
      </c>
      <c r="LW8">
        <f>IF($B8=0,1000000,IF(INDEX('計算A'!$D$60:$DS$104,$B8,118)*HF8=1,'計算A'!DQ$6,1000000))</f>
        <v/>
      </c>
      <c r="LX8">
        <f>IF($B8=0,1000000,IF(INDEX('計算A'!$D$60:$DS$104,$B8,119)*HG8=1,'計算A'!DR$6,1000000))</f>
        <v/>
      </c>
      <c r="LY8">
        <f>IF($B8=0,1000000,IF(INDEX('計算A'!$D$60:$DS$104,$B8,120)*HH8=1,'計算A'!DS$6,1000000))</f>
        <v/>
      </c>
    </row>
    <row r="9">
      <c r="A9" t="n">
        <v>7</v>
      </c>
      <c r="B9">
        <f>IF(MIN(AY9:CQ9)&gt;=1000000,0,MATCH(MIN(AY9:CQ9),AY9:CQ9,0))</f>
        <v/>
      </c>
      <c r="C9">
        <f>IF(MIN(HJ9:LY9)&gt;=1000000,0,MATCH(MIN(HJ9:LY9),HJ9:LY9,0))</f>
        <v/>
      </c>
      <c r="D9">
        <f>IF(C9&gt;0,INDEX('計算A'!$D$5:$DS$5,C9),0)</f>
        <v/>
      </c>
      <c r="E9">
        <f>MAX(E8,IF($B8=1,1,0))</f>
        <v/>
      </c>
      <c r="F9">
        <f>MAX(F8,IF($B8=2,1,0))</f>
        <v/>
      </c>
      <c r="G9">
        <f>MAX(G8,IF($B8=3,1,0))</f>
        <v/>
      </c>
      <c r="H9">
        <f>MAX(H8,IF($B8=4,1,0))</f>
        <v/>
      </c>
      <c r="I9">
        <f>MAX(I8,IF($B8=5,1,0))</f>
        <v/>
      </c>
      <c r="J9">
        <f>MAX(J8,IF($B8=6,1,0))</f>
        <v/>
      </c>
      <c r="K9">
        <f>MAX(K8,IF($B8=7,1,0))</f>
        <v/>
      </c>
      <c r="L9">
        <f>MAX(L8,IF($B8=8,1,0))</f>
        <v/>
      </c>
      <c r="M9">
        <f>MAX(M8,IF($B8=9,1,0))</f>
        <v/>
      </c>
      <c r="N9">
        <f>MAX(N8,IF($B8=10,1,0))</f>
        <v/>
      </c>
      <c r="O9">
        <f>MAX(O8,IF($B8=11,1,0))</f>
        <v/>
      </c>
      <c r="P9">
        <f>MAX(P8,IF($B8=12,1,0))</f>
        <v/>
      </c>
      <c r="Q9">
        <f>MAX(Q8,IF($B8=13,1,0))</f>
        <v/>
      </c>
      <c r="R9">
        <f>MAX(R8,IF($B8=14,1,0))</f>
        <v/>
      </c>
      <c r="S9">
        <f>MAX(S8,IF($B8=15,1,0))</f>
        <v/>
      </c>
      <c r="T9">
        <f>MAX(T8,IF($B8=16,1,0))</f>
        <v/>
      </c>
      <c r="U9">
        <f>MAX(U8,IF($B8=17,1,0))</f>
        <v/>
      </c>
      <c r="V9">
        <f>MAX(V8,IF($B8=18,1,0))</f>
        <v/>
      </c>
      <c r="W9">
        <f>MAX(W8,IF($B8=19,1,0))</f>
        <v/>
      </c>
      <c r="X9">
        <f>MAX(X8,IF($B8=20,1,0))</f>
        <v/>
      </c>
      <c r="Y9">
        <f>MAX(Y8,IF($B8=21,1,0))</f>
        <v/>
      </c>
      <c r="Z9">
        <f>MAX(Z8,IF($B8=22,1,0))</f>
        <v/>
      </c>
      <c r="AA9">
        <f>MAX(AA8,IF($B8=23,1,0))</f>
        <v/>
      </c>
      <c r="AB9">
        <f>MAX(AB8,IF($B8=24,1,0))</f>
        <v/>
      </c>
      <c r="AC9">
        <f>MAX(AC8,IF($B8=25,1,0))</f>
        <v/>
      </c>
      <c r="AD9">
        <f>MAX(AD8,IF($B8=26,1,0))</f>
        <v/>
      </c>
      <c r="AE9">
        <f>MAX(AE8,IF($B8=27,1,0))</f>
        <v/>
      </c>
      <c r="AF9">
        <f>MAX(AF8,IF($B8=28,1,0))</f>
        <v/>
      </c>
      <c r="AG9">
        <f>MAX(AG8,IF($B8=29,1,0))</f>
        <v/>
      </c>
      <c r="AH9">
        <f>MAX(AH8,IF($B8=30,1,0))</f>
        <v/>
      </c>
      <c r="AI9">
        <f>MAX(AI8,IF($B8=31,1,0))</f>
        <v/>
      </c>
      <c r="AJ9">
        <f>MAX(AJ8,IF($B8=32,1,0))</f>
        <v/>
      </c>
      <c r="AK9">
        <f>MAX(AK8,IF($B8=33,1,0))</f>
        <v/>
      </c>
      <c r="AL9">
        <f>MAX(AL8,IF($B8=34,1,0))</f>
        <v/>
      </c>
      <c r="AM9">
        <f>MAX(AM8,IF($B8=35,1,0))</f>
        <v/>
      </c>
      <c r="AN9">
        <f>MAX(AN8,IF($B8=36,1,0))</f>
        <v/>
      </c>
      <c r="AO9">
        <f>MAX(AO8,IF($B8=37,1,0))</f>
        <v/>
      </c>
      <c r="AP9">
        <f>MAX(AP8,IF($B8=38,1,0))</f>
        <v/>
      </c>
      <c r="AQ9">
        <f>MAX(AQ8,IF($B8=39,1,0))</f>
        <v/>
      </c>
      <c r="AR9">
        <f>MAX(AR8,IF($B8=40,1,0))</f>
        <v/>
      </c>
      <c r="AS9">
        <f>MAX(AS8,IF($B8=41,1,0))</f>
        <v/>
      </c>
      <c r="AT9">
        <f>MAX(AT8,IF($B8=42,1,0))</f>
        <v/>
      </c>
      <c r="AU9">
        <f>MAX(AU8,IF($B8=43,1,0))</f>
        <v/>
      </c>
      <c r="AV9">
        <f>MAX(AV8,IF($B8=44,1,0))</f>
        <v/>
      </c>
      <c r="AW9">
        <f>MAX(AW8,IF($B8=45,1,0))</f>
        <v/>
      </c>
      <c r="AY9">
        <f>IF(E9=1,1000000,SUMPRODUCT('計算A'!$D$60:$DS$60,$CS9:$HH9)*1000+1)</f>
        <v/>
      </c>
      <c r="AZ9">
        <f>IF(F9=1,1000000,SUMPRODUCT('計算A'!$D$61:$DS$61,$CS9:$HH9)*1000+2)</f>
        <v/>
      </c>
      <c r="BA9">
        <f>IF(G9=1,1000000,SUMPRODUCT('計算A'!$D$62:$DS$62,$CS9:$HH9)*1000+3)</f>
        <v/>
      </c>
      <c r="BB9">
        <f>IF(H9=1,1000000,SUMPRODUCT('計算A'!$D$63:$DS$63,$CS9:$HH9)*1000+4)</f>
        <v/>
      </c>
      <c r="BC9">
        <f>IF(I9=1,1000000,SUMPRODUCT('計算A'!$D$64:$DS$64,$CS9:$HH9)*1000+5)</f>
        <v/>
      </c>
      <c r="BD9">
        <f>IF(J9=1,1000000,SUMPRODUCT('計算A'!$D$65:$DS$65,$CS9:$HH9)*1000+6)</f>
        <v/>
      </c>
      <c r="BE9">
        <f>IF(K9=1,1000000,SUMPRODUCT('計算A'!$D$66:$DS$66,$CS9:$HH9)*1000+7)</f>
        <v/>
      </c>
      <c r="BF9">
        <f>IF(L9=1,1000000,SUMPRODUCT('計算A'!$D$67:$DS$67,$CS9:$HH9)*1000+8)</f>
        <v/>
      </c>
      <c r="BG9">
        <f>IF(M9=1,1000000,SUMPRODUCT('計算A'!$D$68:$DS$68,$CS9:$HH9)*1000+9)</f>
        <v/>
      </c>
      <c r="BH9">
        <f>IF(N9=1,1000000,SUMPRODUCT('計算A'!$D$69:$DS$69,$CS9:$HH9)*1000+10)</f>
        <v/>
      </c>
      <c r="BI9">
        <f>IF(O9=1,1000000,SUMPRODUCT('計算A'!$D$70:$DS$70,$CS9:$HH9)*1000+11)</f>
        <v/>
      </c>
      <c r="BJ9">
        <f>IF(P9=1,1000000,SUMPRODUCT('計算A'!$D$71:$DS$71,$CS9:$HH9)*1000+12)</f>
        <v/>
      </c>
      <c r="BK9">
        <f>IF(Q9=1,1000000,SUMPRODUCT('計算A'!$D$72:$DS$72,$CS9:$HH9)*1000+13)</f>
        <v/>
      </c>
      <c r="BL9">
        <f>IF(R9=1,1000000,SUMPRODUCT('計算A'!$D$73:$DS$73,$CS9:$HH9)*1000+14)</f>
        <v/>
      </c>
      <c r="BM9">
        <f>IF(S9=1,1000000,SUMPRODUCT('計算A'!$D$74:$DS$74,$CS9:$HH9)*1000+15)</f>
        <v/>
      </c>
      <c r="BN9">
        <f>IF(T9=1,1000000,SUMPRODUCT('計算A'!$D$75:$DS$75,$CS9:$HH9)*1000+16)</f>
        <v/>
      </c>
      <c r="BO9">
        <f>IF(U9=1,1000000,SUMPRODUCT('計算A'!$D$76:$DS$76,$CS9:$HH9)*1000+17)</f>
        <v/>
      </c>
      <c r="BP9">
        <f>IF(V9=1,1000000,SUMPRODUCT('計算A'!$D$77:$DS$77,$CS9:$HH9)*1000+18)</f>
        <v/>
      </c>
      <c r="BQ9">
        <f>IF(W9=1,1000000,SUMPRODUCT('計算A'!$D$78:$DS$78,$CS9:$HH9)*1000+19)</f>
        <v/>
      </c>
      <c r="BR9">
        <f>IF(X9=1,1000000,SUMPRODUCT('計算A'!$D$79:$DS$79,$CS9:$HH9)*1000+20)</f>
        <v/>
      </c>
      <c r="BS9">
        <f>IF(Y9=1,1000000,SUMPRODUCT('計算A'!$D$80:$DS$80,$CS9:$HH9)*1000+21)</f>
        <v/>
      </c>
      <c r="BT9">
        <f>IF(Z9=1,1000000,SUMPRODUCT('計算A'!$D$81:$DS$81,$CS9:$HH9)*1000+22)</f>
        <v/>
      </c>
      <c r="BU9">
        <f>IF(AA9=1,1000000,SUMPRODUCT('計算A'!$D$82:$DS$82,$CS9:$HH9)*1000+23)</f>
        <v/>
      </c>
      <c r="BV9">
        <f>IF(AB9=1,1000000,SUMPRODUCT('計算A'!$D$83:$DS$83,$CS9:$HH9)*1000+24)</f>
        <v/>
      </c>
      <c r="BW9">
        <f>IF(AC9=1,1000000,SUMPRODUCT('計算A'!$D$84:$DS$84,$CS9:$HH9)*1000+25)</f>
        <v/>
      </c>
      <c r="BX9">
        <f>IF(AD9=1,1000000,SUMPRODUCT('計算A'!$D$85:$DS$85,$CS9:$HH9)*1000+26)</f>
        <v/>
      </c>
      <c r="BY9">
        <f>IF(AE9=1,1000000,SUMPRODUCT('計算A'!$D$86:$DS$86,$CS9:$HH9)*1000+27)</f>
        <v/>
      </c>
      <c r="BZ9">
        <f>IF(AF9=1,1000000,SUMPRODUCT('計算A'!$D$87:$DS$87,$CS9:$HH9)*1000+28)</f>
        <v/>
      </c>
      <c r="CA9">
        <f>IF(AG9=1,1000000,SUMPRODUCT('計算A'!$D$88:$DS$88,$CS9:$HH9)*1000+29)</f>
        <v/>
      </c>
      <c r="CB9">
        <f>IF(AH9=1,1000000,SUMPRODUCT('計算A'!$D$89:$DS$89,$CS9:$HH9)*1000+30)</f>
        <v/>
      </c>
      <c r="CC9">
        <f>IF(AI9=1,1000000,SUMPRODUCT('計算A'!$D$90:$DS$90,$CS9:$HH9)*1000+31)</f>
        <v/>
      </c>
      <c r="CD9">
        <f>IF(AJ9=1,1000000,SUMPRODUCT('計算A'!$D$91:$DS$91,$CS9:$HH9)*1000+32)</f>
        <v/>
      </c>
      <c r="CE9">
        <f>IF(AK9=1,1000000,SUMPRODUCT('計算A'!$D$92:$DS$92,$CS9:$HH9)*1000+33)</f>
        <v/>
      </c>
      <c r="CF9">
        <f>IF(AL9=1,1000000,SUMPRODUCT('計算A'!$D$93:$DS$93,$CS9:$HH9)*1000+34)</f>
        <v/>
      </c>
      <c r="CG9">
        <f>IF(AM9=1,1000000,SUMPRODUCT('計算A'!$D$94:$DS$94,$CS9:$HH9)*1000+35)</f>
        <v/>
      </c>
      <c r="CH9">
        <f>IF(AN9=1,1000000,SUMPRODUCT('計算A'!$D$95:$DS$95,$CS9:$HH9)*1000+36)</f>
        <v/>
      </c>
      <c r="CI9">
        <f>IF(AO9=1,1000000,SUMPRODUCT('計算A'!$D$96:$DS$96,$CS9:$HH9)*1000+37)</f>
        <v/>
      </c>
      <c r="CJ9">
        <f>IF(AP9=1,1000000,SUMPRODUCT('計算A'!$D$97:$DS$97,$CS9:$HH9)*1000+38)</f>
        <v/>
      </c>
      <c r="CK9">
        <f>IF(AQ9=1,1000000,SUMPRODUCT('計算A'!$D$98:$DS$98,$CS9:$HH9)*1000+39)</f>
        <v/>
      </c>
      <c r="CL9">
        <f>IF(AR9=1,1000000,SUMPRODUCT('計算A'!$D$99:$DS$99,$CS9:$HH9)*1000+40)</f>
        <v/>
      </c>
      <c r="CM9">
        <f>IF(AS9=1,1000000,SUMPRODUCT('計算A'!$D$100:$DS$100,$CS9:$HH9)*1000+41)</f>
        <v/>
      </c>
      <c r="CN9">
        <f>IF(AT9=1,1000000,SUMPRODUCT('計算A'!$D$101:$DS$101,$CS9:$HH9)*1000+42)</f>
        <v/>
      </c>
      <c r="CO9">
        <f>IF(AU9=1,1000000,SUMPRODUCT('計算A'!$D$102:$DS$102,$CS9:$HH9)*1000+43)</f>
        <v/>
      </c>
      <c r="CP9">
        <f>IF(AV9=1,1000000,SUMPRODUCT('計算A'!$D$103:$DS$103,$CS9:$HH9)*1000+44)</f>
        <v/>
      </c>
      <c r="CQ9">
        <f>IF(AW9=1,1000000,SUMPRODUCT('計算A'!$D$104:$DS$104,$CS9:$HH9)*1000+45)</f>
        <v/>
      </c>
      <c r="CS9">
        <f>CS8*IF($C8=1,0,1)</f>
        <v/>
      </c>
      <c r="CT9">
        <f>CT8*IF($C8=2,0,1)</f>
        <v/>
      </c>
      <c r="CU9">
        <f>CU8*IF($C8=3,0,1)</f>
        <v/>
      </c>
      <c r="CV9">
        <f>CV8*IF($C8=4,0,1)</f>
        <v/>
      </c>
      <c r="CW9">
        <f>CW8*IF($C8=5,0,1)</f>
        <v/>
      </c>
      <c r="CX9">
        <f>CX8*IF($C8=6,0,1)</f>
        <v/>
      </c>
      <c r="CY9">
        <f>CY8*IF($C8=7,0,1)</f>
        <v/>
      </c>
      <c r="CZ9">
        <f>CZ8*IF($C8=8,0,1)</f>
        <v/>
      </c>
      <c r="DA9">
        <f>DA8*IF($C8=9,0,1)</f>
        <v/>
      </c>
      <c r="DB9">
        <f>DB8*IF($C8=10,0,1)</f>
        <v/>
      </c>
      <c r="DC9">
        <f>DC8*IF($C8=11,0,1)</f>
        <v/>
      </c>
      <c r="DD9">
        <f>DD8*IF($C8=12,0,1)</f>
        <v/>
      </c>
      <c r="DE9">
        <f>DE8*IF($C8=13,0,1)</f>
        <v/>
      </c>
      <c r="DF9">
        <f>DF8*IF($C8=14,0,1)</f>
        <v/>
      </c>
      <c r="DG9">
        <f>DG8*IF($C8=15,0,1)</f>
        <v/>
      </c>
      <c r="DH9">
        <f>DH8*IF($C8=16,0,1)</f>
        <v/>
      </c>
      <c r="DI9">
        <f>DI8*IF($C8=17,0,1)</f>
        <v/>
      </c>
      <c r="DJ9">
        <f>DJ8*IF($C8=18,0,1)</f>
        <v/>
      </c>
      <c r="DK9">
        <f>DK8*IF($C8=19,0,1)</f>
        <v/>
      </c>
      <c r="DL9">
        <f>DL8*IF($C8=20,0,1)</f>
        <v/>
      </c>
      <c r="DM9">
        <f>DM8*IF($C8=21,0,1)</f>
        <v/>
      </c>
      <c r="DN9">
        <f>DN8*IF($C8=22,0,1)</f>
        <v/>
      </c>
      <c r="DO9">
        <f>DO8*IF($C8=23,0,1)</f>
        <v/>
      </c>
      <c r="DP9">
        <f>DP8*IF($C8=24,0,1)</f>
        <v/>
      </c>
      <c r="DQ9">
        <f>DQ8*IF($C8=25,0,1)</f>
        <v/>
      </c>
      <c r="DR9">
        <f>DR8*IF($C8=26,0,1)</f>
        <v/>
      </c>
      <c r="DS9">
        <f>DS8*IF($C8=27,0,1)</f>
        <v/>
      </c>
      <c r="DT9">
        <f>DT8*IF($C8=28,0,1)</f>
        <v/>
      </c>
      <c r="DU9">
        <f>DU8*IF($C8=29,0,1)</f>
        <v/>
      </c>
      <c r="DV9">
        <f>DV8*IF($C8=30,0,1)</f>
        <v/>
      </c>
      <c r="DW9">
        <f>DW8*IF($C8=31,0,1)</f>
        <v/>
      </c>
      <c r="DX9">
        <f>DX8*IF($C8=32,0,1)</f>
        <v/>
      </c>
      <c r="DY9">
        <f>DY8*IF($C8=33,0,1)</f>
        <v/>
      </c>
      <c r="DZ9">
        <f>DZ8*IF($C8=34,0,1)</f>
        <v/>
      </c>
      <c r="EA9">
        <f>EA8*IF($C8=35,0,1)</f>
        <v/>
      </c>
      <c r="EB9">
        <f>EB8*IF($C8=36,0,1)</f>
        <v/>
      </c>
      <c r="EC9">
        <f>EC8*IF($C8=37,0,1)</f>
        <v/>
      </c>
      <c r="ED9">
        <f>ED8*IF($C8=38,0,1)</f>
        <v/>
      </c>
      <c r="EE9">
        <f>EE8*IF($C8=39,0,1)</f>
        <v/>
      </c>
      <c r="EF9">
        <f>EF8*IF($C8=40,0,1)</f>
        <v/>
      </c>
      <c r="EG9">
        <f>EG8*IF($C8=41,0,1)</f>
        <v/>
      </c>
      <c r="EH9">
        <f>EH8*IF($C8=42,0,1)</f>
        <v/>
      </c>
      <c r="EI9">
        <f>EI8*IF($C8=43,0,1)</f>
        <v/>
      </c>
      <c r="EJ9">
        <f>EJ8*IF($C8=44,0,1)</f>
        <v/>
      </c>
      <c r="EK9">
        <f>EK8*IF($C8=45,0,1)</f>
        <v/>
      </c>
      <c r="EL9">
        <f>EL8*IF($C8=46,0,1)</f>
        <v/>
      </c>
      <c r="EM9">
        <f>EM8*IF($C8=47,0,1)</f>
        <v/>
      </c>
      <c r="EN9">
        <f>EN8*IF($C8=48,0,1)</f>
        <v/>
      </c>
      <c r="EO9">
        <f>EO8*IF($C8=49,0,1)</f>
        <v/>
      </c>
      <c r="EP9">
        <f>EP8*IF($C8=50,0,1)</f>
        <v/>
      </c>
      <c r="EQ9">
        <f>EQ8*IF($C8=51,0,1)</f>
        <v/>
      </c>
      <c r="ER9">
        <f>ER8*IF($C8=52,0,1)</f>
        <v/>
      </c>
      <c r="ES9">
        <f>ES8*IF($C8=53,0,1)</f>
        <v/>
      </c>
      <c r="ET9">
        <f>ET8*IF($C8=54,0,1)</f>
        <v/>
      </c>
      <c r="EU9">
        <f>EU8*IF($C8=55,0,1)</f>
        <v/>
      </c>
      <c r="EV9">
        <f>EV8*IF($C8=56,0,1)</f>
        <v/>
      </c>
      <c r="EW9">
        <f>EW8*IF($C8=57,0,1)</f>
        <v/>
      </c>
      <c r="EX9">
        <f>EX8*IF($C8=58,0,1)</f>
        <v/>
      </c>
      <c r="EY9">
        <f>EY8*IF($C8=59,0,1)</f>
        <v/>
      </c>
      <c r="EZ9">
        <f>EZ8*IF($C8=60,0,1)</f>
        <v/>
      </c>
      <c r="FA9">
        <f>FA8*IF($C8=61,0,1)</f>
        <v/>
      </c>
      <c r="FB9">
        <f>FB8*IF($C8=62,0,1)</f>
        <v/>
      </c>
      <c r="FC9">
        <f>FC8*IF($C8=63,0,1)</f>
        <v/>
      </c>
      <c r="FD9">
        <f>FD8*IF($C8=64,0,1)</f>
        <v/>
      </c>
      <c r="FE9">
        <f>FE8*IF($C8=65,0,1)</f>
        <v/>
      </c>
      <c r="FF9">
        <f>FF8*IF($C8=66,0,1)</f>
        <v/>
      </c>
      <c r="FG9">
        <f>FG8*IF($C8=67,0,1)</f>
        <v/>
      </c>
      <c r="FH9">
        <f>FH8*IF($C8=68,0,1)</f>
        <v/>
      </c>
      <c r="FI9">
        <f>FI8*IF($C8=69,0,1)</f>
        <v/>
      </c>
      <c r="FJ9">
        <f>FJ8*IF($C8=70,0,1)</f>
        <v/>
      </c>
      <c r="FK9">
        <f>FK8*IF($C8=71,0,1)</f>
        <v/>
      </c>
      <c r="FL9">
        <f>FL8*IF($C8=72,0,1)</f>
        <v/>
      </c>
      <c r="FM9">
        <f>FM8*IF($C8=73,0,1)</f>
        <v/>
      </c>
      <c r="FN9">
        <f>FN8*IF($C8=74,0,1)</f>
        <v/>
      </c>
      <c r="FO9">
        <f>FO8*IF($C8=75,0,1)</f>
        <v/>
      </c>
      <c r="FP9">
        <f>FP8*IF($C8=76,0,1)</f>
        <v/>
      </c>
      <c r="FQ9">
        <f>FQ8*IF($C8=77,0,1)</f>
        <v/>
      </c>
      <c r="FR9">
        <f>FR8*IF($C8=78,0,1)</f>
        <v/>
      </c>
      <c r="FS9">
        <f>FS8*IF($C8=79,0,1)</f>
        <v/>
      </c>
      <c r="FT9">
        <f>FT8*IF($C8=80,0,1)</f>
        <v/>
      </c>
      <c r="FU9">
        <f>FU8*IF($C8=81,0,1)</f>
        <v/>
      </c>
      <c r="FV9">
        <f>FV8*IF($C8=82,0,1)</f>
        <v/>
      </c>
      <c r="FW9">
        <f>FW8*IF($C8=83,0,1)</f>
        <v/>
      </c>
      <c r="FX9">
        <f>FX8*IF($C8=84,0,1)</f>
        <v/>
      </c>
      <c r="FY9">
        <f>FY8*IF($C8=85,0,1)</f>
        <v/>
      </c>
      <c r="FZ9">
        <f>FZ8*IF($C8=86,0,1)</f>
        <v/>
      </c>
      <c r="GA9">
        <f>GA8*IF($C8=87,0,1)</f>
        <v/>
      </c>
      <c r="GB9">
        <f>GB8*IF($C8=88,0,1)</f>
        <v/>
      </c>
      <c r="GC9">
        <f>GC8*IF($C8=89,0,1)</f>
        <v/>
      </c>
      <c r="GD9">
        <f>GD8*IF($C8=90,0,1)</f>
        <v/>
      </c>
      <c r="GE9">
        <f>GE8*IF($C8=91,0,1)</f>
        <v/>
      </c>
      <c r="GF9">
        <f>GF8*IF($C8=92,0,1)</f>
        <v/>
      </c>
      <c r="GG9">
        <f>GG8*IF($C8=93,0,1)</f>
        <v/>
      </c>
      <c r="GH9">
        <f>GH8*IF($C8=94,0,1)</f>
        <v/>
      </c>
      <c r="GI9">
        <f>GI8*IF($C8=95,0,1)</f>
        <v/>
      </c>
      <c r="GJ9">
        <f>GJ8*IF($C8=96,0,1)</f>
        <v/>
      </c>
      <c r="GK9">
        <f>GK8*IF($C8=97,0,1)</f>
        <v/>
      </c>
      <c r="GL9">
        <f>GL8*IF($C8=98,0,1)</f>
        <v/>
      </c>
      <c r="GM9">
        <f>GM8*IF($C8=99,0,1)</f>
        <v/>
      </c>
      <c r="GN9">
        <f>GN8*IF($C8=100,0,1)</f>
        <v/>
      </c>
      <c r="GO9">
        <f>GO8*IF($C8=101,0,1)</f>
        <v/>
      </c>
      <c r="GP9">
        <f>GP8*IF($C8=102,0,1)</f>
        <v/>
      </c>
      <c r="GQ9">
        <f>GQ8*IF($C8=103,0,1)</f>
        <v/>
      </c>
      <c r="GR9">
        <f>GR8*IF($C8=104,0,1)</f>
        <v/>
      </c>
      <c r="GS9">
        <f>GS8*IF($C8=105,0,1)</f>
        <v/>
      </c>
      <c r="GT9">
        <f>GT8*IF($C8=106,0,1)</f>
        <v/>
      </c>
      <c r="GU9">
        <f>GU8*IF($C8=107,0,1)</f>
        <v/>
      </c>
      <c r="GV9">
        <f>GV8*IF($C8=108,0,1)</f>
        <v/>
      </c>
      <c r="GW9">
        <f>GW8*IF($C8=109,0,1)</f>
        <v/>
      </c>
      <c r="GX9">
        <f>GX8*IF($C8=110,0,1)</f>
        <v/>
      </c>
      <c r="GY9">
        <f>GY8*IF($C8=111,0,1)</f>
        <v/>
      </c>
      <c r="GZ9">
        <f>GZ8*IF($C8=112,0,1)</f>
        <v/>
      </c>
      <c r="HA9">
        <f>HA8*IF($C8=113,0,1)</f>
        <v/>
      </c>
      <c r="HB9">
        <f>HB8*IF($C8=114,0,1)</f>
        <v/>
      </c>
      <c r="HC9">
        <f>HC8*IF($C8=115,0,1)</f>
        <v/>
      </c>
      <c r="HD9">
        <f>HD8*IF($C8=116,0,1)</f>
        <v/>
      </c>
      <c r="HE9">
        <f>HE8*IF($C8=117,0,1)</f>
        <v/>
      </c>
      <c r="HF9">
        <f>HF8*IF($C8=118,0,1)</f>
        <v/>
      </c>
      <c r="HG9">
        <f>HG8*IF($C8=119,0,1)</f>
        <v/>
      </c>
      <c r="HH9">
        <f>HH8*IF($C8=120,0,1)</f>
        <v/>
      </c>
      <c r="HJ9">
        <f>IF($B9=0,1000000,IF(INDEX('計算A'!$D$60:$DS$104,$B9,1)*CS9=1,'計算A'!D$6,1000000))</f>
        <v/>
      </c>
      <c r="HK9">
        <f>IF($B9=0,1000000,IF(INDEX('計算A'!$D$60:$DS$104,$B9,2)*CT9=1,'計算A'!E$6,1000000))</f>
        <v/>
      </c>
      <c r="HL9">
        <f>IF($B9=0,1000000,IF(INDEX('計算A'!$D$60:$DS$104,$B9,3)*CU9=1,'計算A'!F$6,1000000))</f>
        <v/>
      </c>
      <c r="HM9">
        <f>IF($B9=0,1000000,IF(INDEX('計算A'!$D$60:$DS$104,$B9,4)*CV9=1,'計算A'!G$6,1000000))</f>
        <v/>
      </c>
      <c r="HN9">
        <f>IF($B9=0,1000000,IF(INDEX('計算A'!$D$60:$DS$104,$B9,5)*CW9=1,'計算A'!H$6,1000000))</f>
        <v/>
      </c>
      <c r="HO9">
        <f>IF($B9=0,1000000,IF(INDEX('計算A'!$D$60:$DS$104,$B9,6)*CX9=1,'計算A'!I$6,1000000))</f>
        <v/>
      </c>
      <c r="HP9">
        <f>IF($B9=0,1000000,IF(INDEX('計算A'!$D$60:$DS$104,$B9,7)*CY9=1,'計算A'!J$6,1000000))</f>
        <v/>
      </c>
      <c r="HQ9">
        <f>IF($B9=0,1000000,IF(INDEX('計算A'!$D$60:$DS$104,$B9,8)*CZ9=1,'計算A'!K$6,1000000))</f>
        <v/>
      </c>
      <c r="HR9">
        <f>IF($B9=0,1000000,IF(INDEX('計算A'!$D$60:$DS$104,$B9,9)*DA9=1,'計算A'!L$6,1000000))</f>
        <v/>
      </c>
      <c r="HS9">
        <f>IF($B9=0,1000000,IF(INDEX('計算A'!$D$60:$DS$104,$B9,10)*DB9=1,'計算A'!M$6,1000000))</f>
        <v/>
      </c>
      <c r="HT9">
        <f>IF($B9=0,1000000,IF(INDEX('計算A'!$D$60:$DS$104,$B9,11)*DC9=1,'計算A'!N$6,1000000))</f>
        <v/>
      </c>
      <c r="HU9">
        <f>IF($B9=0,1000000,IF(INDEX('計算A'!$D$60:$DS$104,$B9,12)*DD9=1,'計算A'!O$6,1000000))</f>
        <v/>
      </c>
      <c r="HV9">
        <f>IF($B9=0,1000000,IF(INDEX('計算A'!$D$60:$DS$104,$B9,13)*DE9=1,'計算A'!P$6,1000000))</f>
        <v/>
      </c>
      <c r="HW9">
        <f>IF($B9=0,1000000,IF(INDEX('計算A'!$D$60:$DS$104,$B9,14)*DF9=1,'計算A'!Q$6,1000000))</f>
        <v/>
      </c>
      <c r="HX9">
        <f>IF($B9=0,1000000,IF(INDEX('計算A'!$D$60:$DS$104,$B9,15)*DG9=1,'計算A'!R$6,1000000))</f>
        <v/>
      </c>
      <c r="HY9">
        <f>IF($B9=0,1000000,IF(INDEX('計算A'!$D$60:$DS$104,$B9,16)*DH9=1,'計算A'!S$6,1000000))</f>
        <v/>
      </c>
      <c r="HZ9">
        <f>IF($B9=0,1000000,IF(INDEX('計算A'!$D$60:$DS$104,$B9,17)*DI9=1,'計算A'!T$6,1000000))</f>
        <v/>
      </c>
      <c r="IA9">
        <f>IF($B9=0,1000000,IF(INDEX('計算A'!$D$60:$DS$104,$B9,18)*DJ9=1,'計算A'!U$6,1000000))</f>
        <v/>
      </c>
      <c r="IB9">
        <f>IF($B9=0,1000000,IF(INDEX('計算A'!$D$60:$DS$104,$B9,19)*DK9=1,'計算A'!V$6,1000000))</f>
        <v/>
      </c>
      <c r="IC9">
        <f>IF($B9=0,1000000,IF(INDEX('計算A'!$D$60:$DS$104,$B9,20)*DL9=1,'計算A'!W$6,1000000))</f>
        <v/>
      </c>
      <c r="ID9">
        <f>IF($B9=0,1000000,IF(INDEX('計算A'!$D$60:$DS$104,$B9,21)*DM9=1,'計算A'!X$6,1000000))</f>
        <v/>
      </c>
      <c r="IE9">
        <f>IF($B9=0,1000000,IF(INDEX('計算A'!$D$60:$DS$104,$B9,22)*DN9=1,'計算A'!Y$6,1000000))</f>
        <v/>
      </c>
      <c r="IF9">
        <f>IF($B9=0,1000000,IF(INDEX('計算A'!$D$60:$DS$104,$B9,23)*DO9=1,'計算A'!Z$6,1000000))</f>
        <v/>
      </c>
      <c r="IG9">
        <f>IF($B9=0,1000000,IF(INDEX('計算A'!$D$60:$DS$104,$B9,24)*DP9=1,'計算A'!AA$6,1000000))</f>
        <v/>
      </c>
      <c r="IH9">
        <f>IF($B9=0,1000000,IF(INDEX('計算A'!$D$60:$DS$104,$B9,25)*DQ9=1,'計算A'!AB$6,1000000))</f>
        <v/>
      </c>
      <c r="II9">
        <f>IF($B9=0,1000000,IF(INDEX('計算A'!$D$60:$DS$104,$B9,26)*DR9=1,'計算A'!AC$6,1000000))</f>
        <v/>
      </c>
      <c r="IJ9">
        <f>IF($B9=0,1000000,IF(INDEX('計算A'!$D$60:$DS$104,$B9,27)*DS9=1,'計算A'!AD$6,1000000))</f>
        <v/>
      </c>
      <c r="IK9">
        <f>IF($B9=0,1000000,IF(INDEX('計算A'!$D$60:$DS$104,$B9,28)*DT9=1,'計算A'!AE$6,1000000))</f>
        <v/>
      </c>
      <c r="IL9">
        <f>IF($B9=0,1000000,IF(INDEX('計算A'!$D$60:$DS$104,$B9,29)*DU9=1,'計算A'!AF$6,1000000))</f>
        <v/>
      </c>
      <c r="IM9">
        <f>IF($B9=0,1000000,IF(INDEX('計算A'!$D$60:$DS$104,$B9,30)*DV9=1,'計算A'!AG$6,1000000))</f>
        <v/>
      </c>
      <c r="IN9">
        <f>IF($B9=0,1000000,IF(INDEX('計算A'!$D$60:$DS$104,$B9,31)*DW9=1,'計算A'!AH$6,1000000))</f>
        <v/>
      </c>
      <c r="IO9">
        <f>IF($B9=0,1000000,IF(INDEX('計算A'!$D$60:$DS$104,$B9,32)*DX9=1,'計算A'!AI$6,1000000))</f>
        <v/>
      </c>
      <c r="IP9">
        <f>IF($B9=0,1000000,IF(INDEX('計算A'!$D$60:$DS$104,$B9,33)*DY9=1,'計算A'!AJ$6,1000000))</f>
        <v/>
      </c>
      <c r="IQ9">
        <f>IF($B9=0,1000000,IF(INDEX('計算A'!$D$60:$DS$104,$B9,34)*DZ9=1,'計算A'!AK$6,1000000))</f>
        <v/>
      </c>
      <c r="IR9">
        <f>IF($B9=0,1000000,IF(INDEX('計算A'!$D$60:$DS$104,$B9,35)*EA9=1,'計算A'!AL$6,1000000))</f>
        <v/>
      </c>
      <c r="IS9">
        <f>IF($B9=0,1000000,IF(INDEX('計算A'!$D$60:$DS$104,$B9,36)*EB9=1,'計算A'!AM$6,1000000))</f>
        <v/>
      </c>
      <c r="IT9">
        <f>IF($B9=0,1000000,IF(INDEX('計算A'!$D$60:$DS$104,$B9,37)*EC9=1,'計算A'!AN$6,1000000))</f>
        <v/>
      </c>
      <c r="IU9">
        <f>IF($B9=0,1000000,IF(INDEX('計算A'!$D$60:$DS$104,$B9,38)*ED9=1,'計算A'!AO$6,1000000))</f>
        <v/>
      </c>
      <c r="IV9">
        <f>IF($B9=0,1000000,IF(INDEX('計算A'!$D$60:$DS$104,$B9,39)*EE9=1,'計算A'!AP$6,1000000))</f>
        <v/>
      </c>
      <c r="IW9">
        <f>IF($B9=0,1000000,IF(INDEX('計算A'!$D$60:$DS$104,$B9,40)*EF9=1,'計算A'!AQ$6,1000000))</f>
        <v/>
      </c>
      <c r="IX9">
        <f>IF($B9=0,1000000,IF(INDEX('計算A'!$D$60:$DS$104,$B9,41)*EG9=1,'計算A'!AR$6,1000000))</f>
        <v/>
      </c>
      <c r="IY9">
        <f>IF($B9=0,1000000,IF(INDEX('計算A'!$D$60:$DS$104,$B9,42)*EH9=1,'計算A'!AS$6,1000000))</f>
        <v/>
      </c>
      <c r="IZ9">
        <f>IF($B9=0,1000000,IF(INDEX('計算A'!$D$60:$DS$104,$B9,43)*EI9=1,'計算A'!AT$6,1000000))</f>
        <v/>
      </c>
      <c r="JA9">
        <f>IF($B9=0,1000000,IF(INDEX('計算A'!$D$60:$DS$104,$B9,44)*EJ9=1,'計算A'!AU$6,1000000))</f>
        <v/>
      </c>
      <c r="JB9">
        <f>IF($B9=0,1000000,IF(INDEX('計算A'!$D$60:$DS$104,$B9,45)*EK9=1,'計算A'!AV$6,1000000))</f>
        <v/>
      </c>
      <c r="JC9">
        <f>IF($B9=0,1000000,IF(INDEX('計算A'!$D$60:$DS$104,$B9,46)*EL9=1,'計算A'!AW$6,1000000))</f>
        <v/>
      </c>
      <c r="JD9">
        <f>IF($B9=0,1000000,IF(INDEX('計算A'!$D$60:$DS$104,$B9,47)*EM9=1,'計算A'!AX$6,1000000))</f>
        <v/>
      </c>
      <c r="JE9">
        <f>IF($B9=0,1000000,IF(INDEX('計算A'!$D$60:$DS$104,$B9,48)*EN9=1,'計算A'!AY$6,1000000))</f>
        <v/>
      </c>
      <c r="JF9">
        <f>IF($B9=0,1000000,IF(INDEX('計算A'!$D$60:$DS$104,$B9,49)*EO9=1,'計算A'!AZ$6,1000000))</f>
        <v/>
      </c>
      <c r="JG9">
        <f>IF($B9=0,1000000,IF(INDEX('計算A'!$D$60:$DS$104,$B9,50)*EP9=1,'計算A'!BA$6,1000000))</f>
        <v/>
      </c>
      <c r="JH9">
        <f>IF($B9=0,1000000,IF(INDEX('計算A'!$D$60:$DS$104,$B9,51)*EQ9=1,'計算A'!BB$6,1000000))</f>
        <v/>
      </c>
      <c r="JI9">
        <f>IF($B9=0,1000000,IF(INDEX('計算A'!$D$60:$DS$104,$B9,52)*ER9=1,'計算A'!BC$6,1000000))</f>
        <v/>
      </c>
      <c r="JJ9">
        <f>IF($B9=0,1000000,IF(INDEX('計算A'!$D$60:$DS$104,$B9,53)*ES9=1,'計算A'!BD$6,1000000))</f>
        <v/>
      </c>
      <c r="JK9">
        <f>IF($B9=0,1000000,IF(INDEX('計算A'!$D$60:$DS$104,$B9,54)*ET9=1,'計算A'!BE$6,1000000))</f>
        <v/>
      </c>
      <c r="JL9">
        <f>IF($B9=0,1000000,IF(INDEX('計算A'!$D$60:$DS$104,$B9,55)*EU9=1,'計算A'!BF$6,1000000))</f>
        <v/>
      </c>
      <c r="JM9">
        <f>IF($B9=0,1000000,IF(INDEX('計算A'!$D$60:$DS$104,$B9,56)*EV9=1,'計算A'!BG$6,1000000))</f>
        <v/>
      </c>
      <c r="JN9">
        <f>IF($B9=0,1000000,IF(INDEX('計算A'!$D$60:$DS$104,$B9,57)*EW9=1,'計算A'!BH$6,1000000))</f>
        <v/>
      </c>
      <c r="JO9">
        <f>IF($B9=0,1000000,IF(INDEX('計算A'!$D$60:$DS$104,$B9,58)*EX9=1,'計算A'!BI$6,1000000))</f>
        <v/>
      </c>
      <c r="JP9">
        <f>IF($B9=0,1000000,IF(INDEX('計算A'!$D$60:$DS$104,$B9,59)*EY9=1,'計算A'!BJ$6,1000000))</f>
        <v/>
      </c>
      <c r="JQ9">
        <f>IF($B9=0,1000000,IF(INDEX('計算A'!$D$60:$DS$104,$B9,60)*EZ9=1,'計算A'!BK$6,1000000))</f>
        <v/>
      </c>
      <c r="JR9">
        <f>IF($B9=0,1000000,IF(INDEX('計算A'!$D$60:$DS$104,$B9,61)*FA9=1,'計算A'!BL$6,1000000))</f>
        <v/>
      </c>
      <c r="JS9">
        <f>IF($B9=0,1000000,IF(INDEX('計算A'!$D$60:$DS$104,$B9,62)*FB9=1,'計算A'!BM$6,1000000))</f>
        <v/>
      </c>
      <c r="JT9">
        <f>IF($B9=0,1000000,IF(INDEX('計算A'!$D$60:$DS$104,$B9,63)*FC9=1,'計算A'!BN$6,1000000))</f>
        <v/>
      </c>
      <c r="JU9">
        <f>IF($B9=0,1000000,IF(INDEX('計算A'!$D$60:$DS$104,$B9,64)*FD9=1,'計算A'!BO$6,1000000))</f>
        <v/>
      </c>
      <c r="JV9">
        <f>IF($B9=0,1000000,IF(INDEX('計算A'!$D$60:$DS$104,$B9,65)*FE9=1,'計算A'!BP$6,1000000))</f>
        <v/>
      </c>
      <c r="JW9">
        <f>IF($B9=0,1000000,IF(INDEX('計算A'!$D$60:$DS$104,$B9,66)*FF9=1,'計算A'!BQ$6,1000000))</f>
        <v/>
      </c>
      <c r="JX9">
        <f>IF($B9=0,1000000,IF(INDEX('計算A'!$D$60:$DS$104,$B9,67)*FG9=1,'計算A'!BR$6,1000000))</f>
        <v/>
      </c>
      <c r="JY9">
        <f>IF($B9=0,1000000,IF(INDEX('計算A'!$D$60:$DS$104,$B9,68)*FH9=1,'計算A'!BS$6,1000000))</f>
        <v/>
      </c>
      <c r="JZ9">
        <f>IF($B9=0,1000000,IF(INDEX('計算A'!$D$60:$DS$104,$B9,69)*FI9=1,'計算A'!BT$6,1000000))</f>
        <v/>
      </c>
      <c r="KA9">
        <f>IF($B9=0,1000000,IF(INDEX('計算A'!$D$60:$DS$104,$B9,70)*FJ9=1,'計算A'!BU$6,1000000))</f>
        <v/>
      </c>
      <c r="KB9">
        <f>IF($B9=0,1000000,IF(INDEX('計算A'!$D$60:$DS$104,$B9,71)*FK9=1,'計算A'!BV$6,1000000))</f>
        <v/>
      </c>
      <c r="KC9">
        <f>IF($B9=0,1000000,IF(INDEX('計算A'!$D$60:$DS$104,$B9,72)*FL9=1,'計算A'!BW$6,1000000))</f>
        <v/>
      </c>
      <c r="KD9">
        <f>IF($B9=0,1000000,IF(INDEX('計算A'!$D$60:$DS$104,$B9,73)*FM9=1,'計算A'!BX$6,1000000))</f>
        <v/>
      </c>
      <c r="KE9">
        <f>IF($B9=0,1000000,IF(INDEX('計算A'!$D$60:$DS$104,$B9,74)*FN9=1,'計算A'!BY$6,1000000))</f>
        <v/>
      </c>
      <c r="KF9">
        <f>IF($B9=0,1000000,IF(INDEX('計算A'!$D$60:$DS$104,$B9,75)*FO9=1,'計算A'!BZ$6,1000000))</f>
        <v/>
      </c>
      <c r="KG9">
        <f>IF($B9=0,1000000,IF(INDEX('計算A'!$D$60:$DS$104,$B9,76)*FP9=1,'計算A'!CA$6,1000000))</f>
        <v/>
      </c>
      <c r="KH9">
        <f>IF($B9=0,1000000,IF(INDEX('計算A'!$D$60:$DS$104,$B9,77)*FQ9=1,'計算A'!CB$6,1000000))</f>
        <v/>
      </c>
      <c r="KI9">
        <f>IF($B9=0,1000000,IF(INDEX('計算A'!$D$60:$DS$104,$B9,78)*FR9=1,'計算A'!CC$6,1000000))</f>
        <v/>
      </c>
      <c r="KJ9">
        <f>IF($B9=0,1000000,IF(INDEX('計算A'!$D$60:$DS$104,$B9,79)*FS9=1,'計算A'!CD$6,1000000))</f>
        <v/>
      </c>
      <c r="KK9">
        <f>IF($B9=0,1000000,IF(INDEX('計算A'!$D$60:$DS$104,$B9,80)*FT9=1,'計算A'!CE$6,1000000))</f>
        <v/>
      </c>
      <c r="KL9">
        <f>IF($B9=0,1000000,IF(INDEX('計算A'!$D$60:$DS$104,$B9,81)*FU9=1,'計算A'!CF$6,1000000))</f>
        <v/>
      </c>
      <c r="KM9">
        <f>IF($B9=0,1000000,IF(INDEX('計算A'!$D$60:$DS$104,$B9,82)*FV9=1,'計算A'!CG$6,1000000))</f>
        <v/>
      </c>
      <c r="KN9">
        <f>IF($B9=0,1000000,IF(INDEX('計算A'!$D$60:$DS$104,$B9,83)*FW9=1,'計算A'!CH$6,1000000))</f>
        <v/>
      </c>
      <c r="KO9">
        <f>IF($B9=0,1000000,IF(INDEX('計算A'!$D$60:$DS$104,$B9,84)*FX9=1,'計算A'!CI$6,1000000))</f>
        <v/>
      </c>
      <c r="KP9">
        <f>IF($B9=0,1000000,IF(INDEX('計算A'!$D$60:$DS$104,$B9,85)*FY9=1,'計算A'!CJ$6,1000000))</f>
        <v/>
      </c>
      <c r="KQ9">
        <f>IF($B9=0,1000000,IF(INDEX('計算A'!$D$60:$DS$104,$B9,86)*FZ9=1,'計算A'!CK$6,1000000))</f>
        <v/>
      </c>
      <c r="KR9">
        <f>IF($B9=0,1000000,IF(INDEX('計算A'!$D$60:$DS$104,$B9,87)*GA9=1,'計算A'!CL$6,1000000))</f>
        <v/>
      </c>
      <c r="KS9">
        <f>IF($B9=0,1000000,IF(INDEX('計算A'!$D$60:$DS$104,$B9,88)*GB9=1,'計算A'!CM$6,1000000))</f>
        <v/>
      </c>
      <c r="KT9">
        <f>IF($B9=0,1000000,IF(INDEX('計算A'!$D$60:$DS$104,$B9,89)*GC9=1,'計算A'!CN$6,1000000))</f>
        <v/>
      </c>
      <c r="KU9">
        <f>IF($B9=0,1000000,IF(INDEX('計算A'!$D$60:$DS$104,$B9,90)*GD9=1,'計算A'!CO$6,1000000))</f>
        <v/>
      </c>
      <c r="KV9">
        <f>IF($B9=0,1000000,IF(INDEX('計算A'!$D$60:$DS$104,$B9,91)*GE9=1,'計算A'!CP$6,1000000))</f>
        <v/>
      </c>
      <c r="KW9">
        <f>IF($B9=0,1000000,IF(INDEX('計算A'!$D$60:$DS$104,$B9,92)*GF9=1,'計算A'!CQ$6,1000000))</f>
        <v/>
      </c>
      <c r="KX9">
        <f>IF($B9=0,1000000,IF(INDEX('計算A'!$D$60:$DS$104,$B9,93)*GG9=1,'計算A'!CR$6,1000000))</f>
        <v/>
      </c>
      <c r="KY9">
        <f>IF($B9=0,1000000,IF(INDEX('計算A'!$D$60:$DS$104,$B9,94)*GH9=1,'計算A'!CS$6,1000000))</f>
        <v/>
      </c>
      <c r="KZ9">
        <f>IF($B9=0,1000000,IF(INDEX('計算A'!$D$60:$DS$104,$B9,95)*GI9=1,'計算A'!CT$6,1000000))</f>
        <v/>
      </c>
      <c r="LA9">
        <f>IF($B9=0,1000000,IF(INDEX('計算A'!$D$60:$DS$104,$B9,96)*GJ9=1,'計算A'!CU$6,1000000))</f>
        <v/>
      </c>
      <c r="LB9">
        <f>IF($B9=0,1000000,IF(INDEX('計算A'!$D$60:$DS$104,$B9,97)*GK9=1,'計算A'!CV$6,1000000))</f>
        <v/>
      </c>
      <c r="LC9">
        <f>IF($B9=0,1000000,IF(INDEX('計算A'!$D$60:$DS$104,$B9,98)*GL9=1,'計算A'!CW$6,1000000))</f>
        <v/>
      </c>
      <c r="LD9">
        <f>IF($B9=0,1000000,IF(INDEX('計算A'!$D$60:$DS$104,$B9,99)*GM9=1,'計算A'!CX$6,1000000))</f>
        <v/>
      </c>
      <c r="LE9">
        <f>IF($B9=0,1000000,IF(INDEX('計算A'!$D$60:$DS$104,$B9,100)*GN9=1,'計算A'!CY$6,1000000))</f>
        <v/>
      </c>
      <c r="LF9">
        <f>IF($B9=0,1000000,IF(INDEX('計算A'!$D$60:$DS$104,$B9,101)*GO9=1,'計算A'!CZ$6,1000000))</f>
        <v/>
      </c>
      <c r="LG9">
        <f>IF($B9=0,1000000,IF(INDEX('計算A'!$D$60:$DS$104,$B9,102)*GP9=1,'計算A'!DA$6,1000000))</f>
        <v/>
      </c>
      <c r="LH9">
        <f>IF($B9=0,1000000,IF(INDEX('計算A'!$D$60:$DS$104,$B9,103)*GQ9=1,'計算A'!DB$6,1000000))</f>
        <v/>
      </c>
      <c r="LI9">
        <f>IF($B9=0,1000000,IF(INDEX('計算A'!$D$60:$DS$104,$B9,104)*GR9=1,'計算A'!DC$6,1000000))</f>
        <v/>
      </c>
      <c r="LJ9">
        <f>IF($B9=0,1000000,IF(INDEX('計算A'!$D$60:$DS$104,$B9,105)*GS9=1,'計算A'!DD$6,1000000))</f>
        <v/>
      </c>
      <c r="LK9">
        <f>IF($B9=0,1000000,IF(INDEX('計算A'!$D$60:$DS$104,$B9,106)*GT9=1,'計算A'!DE$6,1000000))</f>
        <v/>
      </c>
      <c r="LL9">
        <f>IF($B9=0,1000000,IF(INDEX('計算A'!$D$60:$DS$104,$B9,107)*GU9=1,'計算A'!DF$6,1000000))</f>
        <v/>
      </c>
      <c r="LM9">
        <f>IF($B9=0,1000000,IF(INDEX('計算A'!$D$60:$DS$104,$B9,108)*GV9=1,'計算A'!DG$6,1000000))</f>
        <v/>
      </c>
      <c r="LN9">
        <f>IF($B9=0,1000000,IF(INDEX('計算A'!$D$60:$DS$104,$B9,109)*GW9=1,'計算A'!DH$6,1000000))</f>
        <v/>
      </c>
      <c r="LO9">
        <f>IF($B9=0,1000000,IF(INDEX('計算A'!$D$60:$DS$104,$B9,110)*GX9=1,'計算A'!DI$6,1000000))</f>
        <v/>
      </c>
      <c r="LP9">
        <f>IF($B9=0,1000000,IF(INDEX('計算A'!$D$60:$DS$104,$B9,111)*GY9=1,'計算A'!DJ$6,1000000))</f>
        <v/>
      </c>
      <c r="LQ9">
        <f>IF($B9=0,1000000,IF(INDEX('計算A'!$D$60:$DS$104,$B9,112)*GZ9=1,'計算A'!DK$6,1000000))</f>
        <v/>
      </c>
      <c r="LR9">
        <f>IF($B9=0,1000000,IF(INDEX('計算A'!$D$60:$DS$104,$B9,113)*HA9=1,'計算A'!DL$6,1000000))</f>
        <v/>
      </c>
      <c r="LS9">
        <f>IF($B9=0,1000000,IF(INDEX('計算A'!$D$60:$DS$104,$B9,114)*HB9=1,'計算A'!DM$6,1000000))</f>
        <v/>
      </c>
      <c r="LT9">
        <f>IF($B9=0,1000000,IF(INDEX('計算A'!$D$60:$DS$104,$B9,115)*HC9=1,'計算A'!DN$6,1000000))</f>
        <v/>
      </c>
      <c r="LU9">
        <f>IF($B9=0,1000000,IF(INDEX('計算A'!$D$60:$DS$104,$B9,116)*HD9=1,'計算A'!DO$6,1000000))</f>
        <v/>
      </c>
      <c r="LV9">
        <f>IF($B9=0,1000000,IF(INDEX('計算A'!$D$60:$DS$104,$B9,117)*HE9=1,'計算A'!DP$6,1000000))</f>
        <v/>
      </c>
      <c r="LW9">
        <f>IF($B9=0,1000000,IF(INDEX('計算A'!$D$60:$DS$104,$B9,118)*HF9=1,'計算A'!DQ$6,1000000))</f>
        <v/>
      </c>
      <c r="LX9">
        <f>IF($B9=0,1000000,IF(INDEX('計算A'!$D$60:$DS$104,$B9,119)*HG9=1,'計算A'!DR$6,1000000))</f>
        <v/>
      </c>
      <c r="LY9">
        <f>IF($B9=0,1000000,IF(INDEX('計算A'!$D$60:$DS$104,$B9,120)*HH9=1,'計算A'!DS$6,1000000))</f>
        <v/>
      </c>
    </row>
    <row r="10">
      <c r="A10" t="n">
        <v>8</v>
      </c>
      <c r="B10">
        <f>IF(MIN(AY10:CQ10)&gt;=1000000,0,MATCH(MIN(AY10:CQ10),AY10:CQ10,0))</f>
        <v/>
      </c>
      <c r="C10">
        <f>IF(MIN(HJ10:LY10)&gt;=1000000,0,MATCH(MIN(HJ10:LY10),HJ10:LY10,0))</f>
        <v/>
      </c>
      <c r="D10">
        <f>IF(C10&gt;0,INDEX('計算A'!$D$5:$DS$5,C10),0)</f>
        <v/>
      </c>
      <c r="E10">
        <f>MAX(E9,IF($B9=1,1,0))</f>
        <v/>
      </c>
      <c r="F10">
        <f>MAX(F9,IF($B9=2,1,0))</f>
        <v/>
      </c>
      <c r="G10">
        <f>MAX(G9,IF($B9=3,1,0))</f>
        <v/>
      </c>
      <c r="H10">
        <f>MAX(H9,IF($B9=4,1,0))</f>
        <v/>
      </c>
      <c r="I10">
        <f>MAX(I9,IF($B9=5,1,0))</f>
        <v/>
      </c>
      <c r="J10">
        <f>MAX(J9,IF($B9=6,1,0))</f>
        <v/>
      </c>
      <c r="K10">
        <f>MAX(K9,IF($B9=7,1,0))</f>
        <v/>
      </c>
      <c r="L10">
        <f>MAX(L9,IF($B9=8,1,0))</f>
        <v/>
      </c>
      <c r="M10">
        <f>MAX(M9,IF($B9=9,1,0))</f>
        <v/>
      </c>
      <c r="N10">
        <f>MAX(N9,IF($B9=10,1,0))</f>
        <v/>
      </c>
      <c r="O10">
        <f>MAX(O9,IF($B9=11,1,0))</f>
        <v/>
      </c>
      <c r="P10">
        <f>MAX(P9,IF($B9=12,1,0))</f>
        <v/>
      </c>
      <c r="Q10">
        <f>MAX(Q9,IF($B9=13,1,0))</f>
        <v/>
      </c>
      <c r="R10">
        <f>MAX(R9,IF($B9=14,1,0))</f>
        <v/>
      </c>
      <c r="S10">
        <f>MAX(S9,IF($B9=15,1,0))</f>
        <v/>
      </c>
      <c r="T10">
        <f>MAX(T9,IF($B9=16,1,0))</f>
        <v/>
      </c>
      <c r="U10">
        <f>MAX(U9,IF($B9=17,1,0))</f>
        <v/>
      </c>
      <c r="V10">
        <f>MAX(V9,IF($B9=18,1,0))</f>
        <v/>
      </c>
      <c r="W10">
        <f>MAX(W9,IF($B9=19,1,0))</f>
        <v/>
      </c>
      <c r="X10">
        <f>MAX(X9,IF($B9=20,1,0))</f>
        <v/>
      </c>
      <c r="Y10">
        <f>MAX(Y9,IF($B9=21,1,0))</f>
        <v/>
      </c>
      <c r="Z10">
        <f>MAX(Z9,IF($B9=22,1,0))</f>
        <v/>
      </c>
      <c r="AA10">
        <f>MAX(AA9,IF($B9=23,1,0))</f>
        <v/>
      </c>
      <c r="AB10">
        <f>MAX(AB9,IF($B9=24,1,0))</f>
        <v/>
      </c>
      <c r="AC10">
        <f>MAX(AC9,IF($B9=25,1,0))</f>
        <v/>
      </c>
      <c r="AD10">
        <f>MAX(AD9,IF($B9=26,1,0))</f>
        <v/>
      </c>
      <c r="AE10">
        <f>MAX(AE9,IF($B9=27,1,0))</f>
        <v/>
      </c>
      <c r="AF10">
        <f>MAX(AF9,IF($B9=28,1,0))</f>
        <v/>
      </c>
      <c r="AG10">
        <f>MAX(AG9,IF($B9=29,1,0))</f>
        <v/>
      </c>
      <c r="AH10">
        <f>MAX(AH9,IF($B9=30,1,0))</f>
        <v/>
      </c>
      <c r="AI10">
        <f>MAX(AI9,IF($B9=31,1,0))</f>
        <v/>
      </c>
      <c r="AJ10">
        <f>MAX(AJ9,IF($B9=32,1,0))</f>
        <v/>
      </c>
      <c r="AK10">
        <f>MAX(AK9,IF($B9=33,1,0))</f>
        <v/>
      </c>
      <c r="AL10">
        <f>MAX(AL9,IF($B9=34,1,0))</f>
        <v/>
      </c>
      <c r="AM10">
        <f>MAX(AM9,IF($B9=35,1,0))</f>
        <v/>
      </c>
      <c r="AN10">
        <f>MAX(AN9,IF($B9=36,1,0))</f>
        <v/>
      </c>
      <c r="AO10">
        <f>MAX(AO9,IF($B9=37,1,0))</f>
        <v/>
      </c>
      <c r="AP10">
        <f>MAX(AP9,IF($B9=38,1,0))</f>
        <v/>
      </c>
      <c r="AQ10">
        <f>MAX(AQ9,IF($B9=39,1,0))</f>
        <v/>
      </c>
      <c r="AR10">
        <f>MAX(AR9,IF($B9=40,1,0))</f>
        <v/>
      </c>
      <c r="AS10">
        <f>MAX(AS9,IF($B9=41,1,0))</f>
        <v/>
      </c>
      <c r="AT10">
        <f>MAX(AT9,IF($B9=42,1,0))</f>
        <v/>
      </c>
      <c r="AU10">
        <f>MAX(AU9,IF($B9=43,1,0))</f>
        <v/>
      </c>
      <c r="AV10">
        <f>MAX(AV9,IF($B9=44,1,0))</f>
        <v/>
      </c>
      <c r="AW10">
        <f>MAX(AW9,IF($B9=45,1,0))</f>
        <v/>
      </c>
      <c r="AY10">
        <f>IF(E10=1,1000000,SUMPRODUCT('計算A'!$D$60:$DS$60,$CS10:$HH10)*1000+1)</f>
        <v/>
      </c>
      <c r="AZ10">
        <f>IF(F10=1,1000000,SUMPRODUCT('計算A'!$D$61:$DS$61,$CS10:$HH10)*1000+2)</f>
        <v/>
      </c>
      <c r="BA10">
        <f>IF(G10=1,1000000,SUMPRODUCT('計算A'!$D$62:$DS$62,$CS10:$HH10)*1000+3)</f>
        <v/>
      </c>
      <c r="BB10">
        <f>IF(H10=1,1000000,SUMPRODUCT('計算A'!$D$63:$DS$63,$CS10:$HH10)*1000+4)</f>
        <v/>
      </c>
      <c r="BC10">
        <f>IF(I10=1,1000000,SUMPRODUCT('計算A'!$D$64:$DS$64,$CS10:$HH10)*1000+5)</f>
        <v/>
      </c>
      <c r="BD10">
        <f>IF(J10=1,1000000,SUMPRODUCT('計算A'!$D$65:$DS$65,$CS10:$HH10)*1000+6)</f>
        <v/>
      </c>
      <c r="BE10">
        <f>IF(K10=1,1000000,SUMPRODUCT('計算A'!$D$66:$DS$66,$CS10:$HH10)*1000+7)</f>
        <v/>
      </c>
      <c r="BF10">
        <f>IF(L10=1,1000000,SUMPRODUCT('計算A'!$D$67:$DS$67,$CS10:$HH10)*1000+8)</f>
        <v/>
      </c>
      <c r="BG10">
        <f>IF(M10=1,1000000,SUMPRODUCT('計算A'!$D$68:$DS$68,$CS10:$HH10)*1000+9)</f>
        <v/>
      </c>
      <c r="BH10">
        <f>IF(N10=1,1000000,SUMPRODUCT('計算A'!$D$69:$DS$69,$CS10:$HH10)*1000+10)</f>
        <v/>
      </c>
      <c r="BI10">
        <f>IF(O10=1,1000000,SUMPRODUCT('計算A'!$D$70:$DS$70,$CS10:$HH10)*1000+11)</f>
        <v/>
      </c>
      <c r="BJ10">
        <f>IF(P10=1,1000000,SUMPRODUCT('計算A'!$D$71:$DS$71,$CS10:$HH10)*1000+12)</f>
        <v/>
      </c>
      <c r="BK10">
        <f>IF(Q10=1,1000000,SUMPRODUCT('計算A'!$D$72:$DS$72,$CS10:$HH10)*1000+13)</f>
        <v/>
      </c>
      <c r="BL10">
        <f>IF(R10=1,1000000,SUMPRODUCT('計算A'!$D$73:$DS$73,$CS10:$HH10)*1000+14)</f>
        <v/>
      </c>
      <c r="BM10">
        <f>IF(S10=1,1000000,SUMPRODUCT('計算A'!$D$74:$DS$74,$CS10:$HH10)*1000+15)</f>
        <v/>
      </c>
      <c r="BN10">
        <f>IF(T10=1,1000000,SUMPRODUCT('計算A'!$D$75:$DS$75,$CS10:$HH10)*1000+16)</f>
        <v/>
      </c>
      <c r="BO10">
        <f>IF(U10=1,1000000,SUMPRODUCT('計算A'!$D$76:$DS$76,$CS10:$HH10)*1000+17)</f>
        <v/>
      </c>
      <c r="BP10">
        <f>IF(V10=1,1000000,SUMPRODUCT('計算A'!$D$77:$DS$77,$CS10:$HH10)*1000+18)</f>
        <v/>
      </c>
      <c r="BQ10">
        <f>IF(W10=1,1000000,SUMPRODUCT('計算A'!$D$78:$DS$78,$CS10:$HH10)*1000+19)</f>
        <v/>
      </c>
      <c r="BR10">
        <f>IF(X10=1,1000000,SUMPRODUCT('計算A'!$D$79:$DS$79,$CS10:$HH10)*1000+20)</f>
        <v/>
      </c>
      <c r="BS10">
        <f>IF(Y10=1,1000000,SUMPRODUCT('計算A'!$D$80:$DS$80,$CS10:$HH10)*1000+21)</f>
        <v/>
      </c>
      <c r="BT10">
        <f>IF(Z10=1,1000000,SUMPRODUCT('計算A'!$D$81:$DS$81,$CS10:$HH10)*1000+22)</f>
        <v/>
      </c>
      <c r="BU10">
        <f>IF(AA10=1,1000000,SUMPRODUCT('計算A'!$D$82:$DS$82,$CS10:$HH10)*1000+23)</f>
        <v/>
      </c>
      <c r="BV10">
        <f>IF(AB10=1,1000000,SUMPRODUCT('計算A'!$D$83:$DS$83,$CS10:$HH10)*1000+24)</f>
        <v/>
      </c>
      <c r="BW10">
        <f>IF(AC10=1,1000000,SUMPRODUCT('計算A'!$D$84:$DS$84,$CS10:$HH10)*1000+25)</f>
        <v/>
      </c>
      <c r="BX10">
        <f>IF(AD10=1,1000000,SUMPRODUCT('計算A'!$D$85:$DS$85,$CS10:$HH10)*1000+26)</f>
        <v/>
      </c>
      <c r="BY10">
        <f>IF(AE10=1,1000000,SUMPRODUCT('計算A'!$D$86:$DS$86,$CS10:$HH10)*1000+27)</f>
        <v/>
      </c>
      <c r="BZ10">
        <f>IF(AF10=1,1000000,SUMPRODUCT('計算A'!$D$87:$DS$87,$CS10:$HH10)*1000+28)</f>
        <v/>
      </c>
      <c r="CA10">
        <f>IF(AG10=1,1000000,SUMPRODUCT('計算A'!$D$88:$DS$88,$CS10:$HH10)*1000+29)</f>
        <v/>
      </c>
      <c r="CB10">
        <f>IF(AH10=1,1000000,SUMPRODUCT('計算A'!$D$89:$DS$89,$CS10:$HH10)*1000+30)</f>
        <v/>
      </c>
      <c r="CC10">
        <f>IF(AI10=1,1000000,SUMPRODUCT('計算A'!$D$90:$DS$90,$CS10:$HH10)*1000+31)</f>
        <v/>
      </c>
      <c r="CD10">
        <f>IF(AJ10=1,1000000,SUMPRODUCT('計算A'!$D$91:$DS$91,$CS10:$HH10)*1000+32)</f>
        <v/>
      </c>
      <c r="CE10">
        <f>IF(AK10=1,1000000,SUMPRODUCT('計算A'!$D$92:$DS$92,$CS10:$HH10)*1000+33)</f>
        <v/>
      </c>
      <c r="CF10">
        <f>IF(AL10=1,1000000,SUMPRODUCT('計算A'!$D$93:$DS$93,$CS10:$HH10)*1000+34)</f>
        <v/>
      </c>
      <c r="CG10">
        <f>IF(AM10=1,1000000,SUMPRODUCT('計算A'!$D$94:$DS$94,$CS10:$HH10)*1000+35)</f>
        <v/>
      </c>
      <c r="CH10">
        <f>IF(AN10=1,1000000,SUMPRODUCT('計算A'!$D$95:$DS$95,$CS10:$HH10)*1000+36)</f>
        <v/>
      </c>
      <c r="CI10">
        <f>IF(AO10=1,1000000,SUMPRODUCT('計算A'!$D$96:$DS$96,$CS10:$HH10)*1000+37)</f>
        <v/>
      </c>
      <c r="CJ10">
        <f>IF(AP10=1,1000000,SUMPRODUCT('計算A'!$D$97:$DS$97,$CS10:$HH10)*1000+38)</f>
        <v/>
      </c>
      <c r="CK10">
        <f>IF(AQ10=1,1000000,SUMPRODUCT('計算A'!$D$98:$DS$98,$CS10:$HH10)*1000+39)</f>
        <v/>
      </c>
      <c r="CL10">
        <f>IF(AR10=1,1000000,SUMPRODUCT('計算A'!$D$99:$DS$99,$CS10:$HH10)*1000+40)</f>
        <v/>
      </c>
      <c r="CM10">
        <f>IF(AS10=1,1000000,SUMPRODUCT('計算A'!$D$100:$DS$100,$CS10:$HH10)*1000+41)</f>
        <v/>
      </c>
      <c r="CN10">
        <f>IF(AT10=1,1000000,SUMPRODUCT('計算A'!$D$101:$DS$101,$CS10:$HH10)*1000+42)</f>
        <v/>
      </c>
      <c r="CO10">
        <f>IF(AU10=1,1000000,SUMPRODUCT('計算A'!$D$102:$DS$102,$CS10:$HH10)*1000+43)</f>
        <v/>
      </c>
      <c r="CP10">
        <f>IF(AV10=1,1000000,SUMPRODUCT('計算A'!$D$103:$DS$103,$CS10:$HH10)*1000+44)</f>
        <v/>
      </c>
      <c r="CQ10">
        <f>IF(AW10=1,1000000,SUMPRODUCT('計算A'!$D$104:$DS$104,$CS10:$HH10)*1000+45)</f>
        <v/>
      </c>
      <c r="CS10">
        <f>CS9*IF($C9=1,0,1)</f>
        <v/>
      </c>
      <c r="CT10">
        <f>CT9*IF($C9=2,0,1)</f>
        <v/>
      </c>
      <c r="CU10">
        <f>CU9*IF($C9=3,0,1)</f>
        <v/>
      </c>
      <c r="CV10">
        <f>CV9*IF($C9=4,0,1)</f>
        <v/>
      </c>
      <c r="CW10">
        <f>CW9*IF($C9=5,0,1)</f>
        <v/>
      </c>
      <c r="CX10">
        <f>CX9*IF($C9=6,0,1)</f>
        <v/>
      </c>
      <c r="CY10">
        <f>CY9*IF($C9=7,0,1)</f>
        <v/>
      </c>
      <c r="CZ10">
        <f>CZ9*IF($C9=8,0,1)</f>
        <v/>
      </c>
      <c r="DA10">
        <f>DA9*IF($C9=9,0,1)</f>
        <v/>
      </c>
      <c r="DB10">
        <f>DB9*IF($C9=10,0,1)</f>
        <v/>
      </c>
      <c r="DC10">
        <f>DC9*IF($C9=11,0,1)</f>
        <v/>
      </c>
      <c r="DD10">
        <f>DD9*IF($C9=12,0,1)</f>
        <v/>
      </c>
      <c r="DE10">
        <f>DE9*IF($C9=13,0,1)</f>
        <v/>
      </c>
      <c r="DF10">
        <f>DF9*IF($C9=14,0,1)</f>
        <v/>
      </c>
      <c r="DG10">
        <f>DG9*IF($C9=15,0,1)</f>
        <v/>
      </c>
      <c r="DH10">
        <f>DH9*IF($C9=16,0,1)</f>
        <v/>
      </c>
      <c r="DI10">
        <f>DI9*IF($C9=17,0,1)</f>
        <v/>
      </c>
      <c r="DJ10">
        <f>DJ9*IF($C9=18,0,1)</f>
        <v/>
      </c>
      <c r="DK10">
        <f>DK9*IF($C9=19,0,1)</f>
        <v/>
      </c>
      <c r="DL10">
        <f>DL9*IF($C9=20,0,1)</f>
        <v/>
      </c>
      <c r="DM10">
        <f>DM9*IF($C9=21,0,1)</f>
        <v/>
      </c>
      <c r="DN10">
        <f>DN9*IF($C9=22,0,1)</f>
        <v/>
      </c>
      <c r="DO10">
        <f>DO9*IF($C9=23,0,1)</f>
        <v/>
      </c>
      <c r="DP10">
        <f>DP9*IF($C9=24,0,1)</f>
        <v/>
      </c>
      <c r="DQ10">
        <f>DQ9*IF($C9=25,0,1)</f>
        <v/>
      </c>
      <c r="DR10">
        <f>DR9*IF($C9=26,0,1)</f>
        <v/>
      </c>
      <c r="DS10">
        <f>DS9*IF($C9=27,0,1)</f>
        <v/>
      </c>
      <c r="DT10">
        <f>DT9*IF($C9=28,0,1)</f>
        <v/>
      </c>
      <c r="DU10">
        <f>DU9*IF($C9=29,0,1)</f>
        <v/>
      </c>
      <c r="DV10">
        <f>DV9*IF($C9=30,0,1)</f>
        <v/>
      </c>
      <c r="DW10">
        <f>DW9*IF($C9=31,0,1)</f>
        <v/>
      </c>
      <c r="DX10">
        <f>DX9*IF($C9=32,0,1)</f>
        <v/>
      </c>
      <c r="DY10">
        <f>DY9*IF($C9=33,0,1)</f>
        <v/>
      </c>
      <c r="DZ10">
        <f>DZ9*IF($C9=34,0,1)</f>
        <v/>
      </c>
      <c r="EA10">
        <f>EA9*IF($C9=35,0,1)</f>
        <v/>
      </c>
      <c r="EB10">
        <f>EB9*IF($C9=36,0,1)</f>
        <v/>
      </c>
      <c r="EC10">
        <f>EC9*IF($C9=37,0,1)</f>
        <v/>
      </c>
      <c r="ED10">
        <f>ED9*IF($C9=38,0,1)</f>
        <v/>
      </c>
      <c r="EE10">
        <f>EE9*IF($C9=39,0,1)</f>
        <v/>
      </c>
      <c r="EF10">
        <f>EF9*IF($C9=40,0,1)</f>
        <v/>
      </c>
      <c r="EG10">
        <f>EG9*IF($C9=41,0,1)</f>
        <v/>
      </c>
      <c r="EH10">
        <f>EH9*IF($C9=42,0,1)</f>
        <v/>
      </c>
      <c r="EI10">
        <f>EI9*IF($C9=43,0,1)</f>
        <v/>
      </c>
      <c r="EJ10">
        <f>EJ9*IF($C9=44,0,1)</f>
        <v/>
      </c>
      <c r="EK10">
        <f>EK9*IF($C9=45,0,1)</f>
        <v/>
      </c>
      <c r="EL10">
        <f>EL9*IF($C9=46,0,1)</f>
        <v/>
      </c>
      <c r="EM10">
        <f>EM9*IF($C9=47,0,1)</f>
        <v/>
      </c>
      <c r="EN10">
        <f>EN9*IF($C9=48,0,1)</f>
        <v/>
      </c>
      <c r="EO10">
        <f>EO9*IF($C9=49,0,1)</f>
        <v/>
      </c>
      <c r="EP10">
        <f>EP9*IF($C9=50,0,1)</f>
        <v/>
      </c>
      <c r="EQ10">
        <f>EQ9*IF($C9=51,0,1)</f>
        <v/>
      </c>
      <c r="ER10">
        <f>ER9*IF($C9=52,0,1)</f>
        <v/>
      </c>
      <c r="ES10">
        <f>ES9*IF($C9=53,0,1)</f>
        <v/>
      </c>
      <c r="ET10">
        <f>ET9*IF($C9=54,0,1)</f>
        <v/>
      </c>
      <c r="EU10">
        <f>EU9*IF($C9=55,0,1)</f>
        <v/>
      </c>
      <c r="EV10">
        <f>EV9*IF($C9=56,0,1)</f>
        <v/>
      </c>
      <c r="EW10">
        <f>EW9*IF($C9=57,0,1)</f>
        <v/>
      </c>
      <c r="EX10">
        <f>EX9*IF($C9=58,0,1)</f>
        <v/>
      </c>
      <c r="EY10">
        <f>EY9*IF($C9=59,0,1)</f>
        <v/>
      </c>
      <c r="EZ10">
        <f>EZ9*IF($C9=60,0,1)</f>
        <v/>
      </c>
      <c r="FA10">
        <f>FA9*IF($C9=61,0,1)</f>
        <v/>
      </c>
      <c r="FB10">
        <f>FB9*IF($C9=62,0,1)</f>
        <v/>
      </c>
      <c r="FC10">
        <f>FC9*IF($C9=63,0,1)</f>
        <v/>
      </c>
      <c r="FD10">
        <f>FD9*IF($C9=64,0,1)</f>
        <v/>
      </c>
      <c r="FE10">
        <f>FE9*IF($C9=65,0,1)</f>
        <v/>
      </c>
      <c r="FF10">
        <f>FF9*IF($C9=66,0,1)</f>
        <v/>
      </c>
      <c r="FG10">
        <f>FG9*IF($C9=67,0,1)</f>
        <v/>
      </c>
      <c r="FH10">
        <f>FH9*IF($C9=68,0,1)</f>
        <v/>
      </c>
      <c r="FI10">
        <f>FI9*IF($C9=69,0,1)</f>
        <v/>
      </c>
      <c r="FJ10">
        <f>FJ9*IF($C9=70,0,1)</f>
        <v/>
      </c>
      <c r="FK10">
        <f>FK9*IF($C9=71,0,1)</f>
        <v/>
      </c>
      <c r="FL10">
        <f>FL9*IF($C9=72,0,1)</f>
        <v/>
      </c>
      <c r="FM10">
        <f>FM9*IF($C9=73,0,1)</f>
        <v/>
      </c>
      <c r="FN10">
        <f>FN9*IF($C9=74,0,1)</f>
        <v/>
      </c>
      <c r="FO10">
        <f>FO9*IF($C9=75,0,1)</f>
        <v/>
      </c>
      <c r="FP10">
        <f>FP9*IF($C9=76,0,1)</f>
        <v/>
      </c>
      <c r="FQ10">
        <f>FQ9*IF($C9=77,0,1)</f>
        <v/>
      </c>
      <c r="FR10">
        <f>FR9*IF($C9=78,0,1)</f>
        <v/>
      </c>
      <c r="FS10">
        <f>FS9*IF($C9=79,0,1)</f>
        <v/>
      </c>
      <c r="FT10">
        <f>FT9*IF($C9=80,0,1)</f>
        <v/>
      </c>
      <c r="FU10">
        <f>FU9*IF($C9=81,0,1)</f>
        <v/>
      </c>
      <c r="FV10">
        <f>FV9*IF($C9=82,0,1)</f>
        <v/>
      </c>
      <c r="FW10">
        <f>FW9*IF($C9=83,0,1)</f>
        <v/>
      </c>
      <c r="FX10">
        <f>FX9*IF($C9=84,0,1)</f>
        <v/>
      </c>
      <c r="FY10">
        <f>FY9*IF($C9=85,0,1)</f>
        <v/>
      </c>
      <c r="FZ10">
        <f>FZ9*IF($C9=86,0,1)</f>
        <v/>
      </c>
      <c r="GA10">
        <f>GA9*IF($C9=87,0,1)</f>
        <v/>
      </c>
      <c r="GB10">
        <f>GB9*IF($C9=88,0,1)</f>
        <v/>
      </c>
      <c r="GC10">
        <f>GC9*IF($C9=89,0,1)</f>
        <v/>
      </c>
      <c r="GD10">
        <f>GD9*IF($C9=90,0,1)</f>
        <v/>
      </c>
      <c r="GE10">
        <f>GE9*IF($C9=91,0,1)</f>
        <v/>
      </c>
      <c r="GF10">
        <f>GF9*IF($C9=92,0,1)</f>
        <v/>
      </c>
      <c r="GG10">
        <f>GG9*IF($C9=93,0,1)</f>
        <v/>
      </c>
      <c r="GH10">
        <f>GH9*IF($C9=94,0,1)</f>
        <v/>
      </c>
      <c r="GI10">
        <f>GI9*IF($C9=95,0,1)</f>
        <v/>
      </c>
      <c r="GJ10">
        <f>GJ9*IF($C9=96,0,1)</f>
        <v/>
      </c>
      <c r="GK10">
        <f>GK9*IF($C9=97,0,1)</f>
        <v/>
      </c>
      <c r="GL10">
        <f>GL9*IF($C9=98,0,1)</f>
        <v/>
      </c>
      <c r="GM10">
        <f>GM9*IF($C9=99,0,1)</f>
        <v/>
      </c>
      <c r="GN10">
        <f>GN9*IF($C9=100,0,1)</f>
        <v/>
      </c>
      <c r="GO10">
        <f>GO9*IF($C9=101,0,1)</f>
        <v/>
      </c>
      <c r="GP10">
        <f>GP9*IF($C9=102,0,1)</f>
        <v/>
      </c>
      <c r="GQ10">
        <f>GQ9*IF($C9=103,0,1)</f>
        <v/>
      </c>
      <c r="GR10">
        <f>GR9*IF($C9=104,0,1)</f>
        <v/>
      </c>
      <c r="GS10">
        <f>GS9*IF($C9=105,0,1)</f>
        <v/>
      </c>
      <c r="GT10">
        <f>GT9*IF($C9=106,0,1)</f>
        <v/>
      </c>
      <c r="GU10">
        <f>GU9*IF($C9=107,0,1)</f>
        <v/>
      </c>
      <c r="GV10">
        <f>GV9*IF($C9=108,0,1)</f>
        <v/>
      </c>
      <c r="GW10">
        <f>GW9*IF($C9=109,0,1)</f>
        <v/>
      </c>
      <c r="GX10">
        <f>GX9*IF($C9=110,0,1)</f>
        <v/>
      </c>
      <c r="GY10">
        <f>GY9*IF($C9=111,0,1)</f>
        <v/>
      </c>
      <c r="GZ10">
        <f>GZ9*IF($C9=112,0,1)</f>
        <v/>
      </c>
      <c r="HA10">
        <f>HA9*IF($C9=113,0,1)</f>
        <v/>
      </c>
      <c r="HB10">
        <f>HB9*IF($C9=114,0,1)</f>
        <v/>
      </c>
      <c r="HC10">
        <f>HC9*IF($C9=115,0,1)</f>
        <v/>
      </c>
      <c r="HD10">
        <f>HD9*IF($C9=116,0,1)</f>
        <v/>
      </c>
      <c r="HE10">
        <f>HE9*IF($C9=117,0,1)</f>
        <v/>
      </c>
      <c r="HF10">
        <f>HF9*IF($C9=118,0,1)</f>
        <v/>
      </c>
      <c r="HG10">
        <f>HG9*IF($C9=119,0,1)</f>
        <v/>
      </c>
      <c r="HH10">
        <f>HH9*IF($C9=120,0,1)</f>
        <v/>
      </c>
      <c r="HJ10">
        <f>IF($B10=0,1000000,IF(INDEX('計算A'!$D$60:$DS$104,$B10,1)*CS10=1,'計算A'!D$6,1000000))</f>
        <v/>
      </c>
      <c r="HK10">
        <f>IF($B10=0,1000000,IF(INDEX('計算A'!$D$60:$DS$104,$B10,2)*CT10=1,'計算A'!E$6,1000000))</f>
        <v/>
      </c>
      <c r="HL10">
        <f>IF($B10=0,1000000,IF(INDEX('計算A'!$D$60:$DS$104,$B10,3)*CU10=1,'計算A'!F$6,1000000))</f>
        <v/>
      </c>
      <c r="HM10">
        <f>IF($B10=0,1000000,IF(INDEX('計算A'!$D$60:$DS$104,$B10,4)*CV10=1,'計算A'!G$6,1000000))</f>
        <v/>
      </c>
      <c r="HN10">
        <f>IF($B10=0,1000000,IF(INDEX('計算A'!$D$60:$DS$104,$B10,5)*CW10=1,'計算A'!H$6,1000000))</f>
        <v/>
      </c>
      <c r="HO10">
        <f>IF($B10=0,1000000,IF(INDEX('計算A'!$D$60:$DS$104,$B10,6)*CX10=1,'計算A'!I$6,1000000))</f>
        <v/>
      </c>
      <c r="HP10">
        <f>IF($B10=0,1000000,IF(INDEX('計算A'!$D$60:$DS$104,$B10,7)*CY10=1,'計算A'!J$6,1000000))</f>
        <v/>
      </c>
      <c r="HQ10">
        <f>IF($B10=0,1000000,IF(INDEX('計算A'!$D$60:$DS$104,$B10,8)*CZ10=1,'計算A'!K$6,1000000))</f>
        <v/>
      </c>
      <c r="HR10">
        <f>IF($B10=0,1000000,IF(INDEX('計算A'!$D$60:$DS$104,$B10,9)*DA10=1,'計算A'!L$6,1000000))</f>
        <v/>
      </c>
      <c r="HS10">
        <f>IF($B10=0,1000000,IF(INDEX('計算A'!$D$60:$DS$104,$B10,10)*DB10=1,'計算A'!M$6,1000000))</f>
        <v/>
      </c>
      <c r="HT10">
        <f>IF($B10=0,1000000,IF(INDEX('計算A'!$D$60:$DS$104,$B10,11)*DC10=1,'計算A'!N$6,1000000))</f>
        <v/>
      </c>
      <c r="HU10">
        <f>IF($B10=0,1000000,IF(INDEX('計算A'!$D$60:$DS$104,$B10,12)*DD10=1,'計算A'!O$6,1000000))</f>
        <v/>
      </c>
      <c r="HV10">
        <f>IF($B10=0,1000000,IF(INDEX('計算A'!$D$60:$DS$104,$B10,13)*DE10=1,'計算A'!P$6,1000000))</f>
        <v/>
      </c>
      <c r="HW10">
        <f>IF($B10=0,1000000,IF(INDEX('計算A'!$D$60:$DS$104,$B10,14)*DF10=1,'計算A'!Q$6,1000000))</f>
        <v/>
      </c>
      <c r="HX10">
        <f>IF($B10=0,1000000,IF(INDEX('計算A'!$D$60:$DS$104,$B10,15)*DG10=1,'計算A'!R$6,1000000))</f>
        <v/>
      </c>
      <c r="HY10">
        <f>IF($B10=0,1000000,IF(INDEX('計算A'!$D$60:$DS$104,$B10,16)*DH10=1,'計算A'!S$6,1000000))</f>
        <v/>
      </c>
      <c r="HZ10">
        <f>IF($B10=0,1000000,IF(INDEX('計算A'!$D$60:$DS$104,$B10,17)*DI10=1,'計算A'!T$6,1000000))</f>
        <v/>
      </c>
      <c r="IA10">
        <f>IF($B10=0,1000000,IF(INDEX('計算A'!$D$60:$DS$104,$B10,18)*DJ10=1,'計算A'!U$6,1000000))</f>
        <v/>
      </c>
      <c r="IB10">
        <f>IF($B10=0,1000000,IF(INDEX('計算A'!$D$60:$DS$104,$B10,19)*DK10=1,'計算A'!V$6,1000000))</f>
        <v/>
      </c>
      <c r="IC10">
        <f>IF($B10=0,1000000,IF(INDEX('計算A'!$D$60:$DS$104,$B10,20)*DL10=1,'計算A'!W$6,1000000))</f>
        <v/>
      </c>
      <c r="ID10">
        <f>IF($B10=0,1000000,IF(INDEX('計算A'!$D$60:$DS$104,$B10,21)*DM10=1,'計算A'!X$6,1000000))</f>
        <v/>
      </c>
      <c r="IE10">
        <f>IF($B10=0,1000000,IF(INDEX('計算A'!$D$60:$DS$104,$B10,22)*DN10=1,'計算A'!Y$6,1000000))</f>
        <v/>
      </c>
      <c r="IF10">
        <f>IF($B10=0,1000000,IF(INDEX('計算A'!$D$60:$DS$104,$B10,23)*DO10=1,'計算A'!Z$6,1000000))</f>
        <v/>
      </c>
      <c r="IG10">
        <f>IF($B10=0,1000000,IF(INDEX('計算A'!$D$60:$DS$104,$B10,24)*DP10=1,'計算A'!AA$6,1000000))</f>
        <v/>
      </c>
      <c r="IH10">
        <f>IF($B10=0,1000000,IF(INDEX('計算A'!$D$60:$DS$104,$B10,25)*DQ10=1,'計算A'!AB$6,1000000))</f>
        <v/>
      </c>
      <c r="II10">
        <f>IF($B10=0,1000000,IF(INDEX('計算A'!$D$60:$DS$104,$B10,26)*DR10=1,'計算A'!AC$6,1000000))</f>
        <v/>
      </c>
      <c r="IJ10">
        <f>IF($B10=0,1000000,IF(INDEX('計算A'!$D$60:$DS$104,$B10,27)*DS10=1,'計算A'!AD$6,1000000))</f>
        <v/>
      </c>
      <c r="IK10">
        <f>IF($B10=0,1000000,IF(INDEX('計算A'!$D$60:$DS$104,$B10,28)*DT10=1,'計算A'!AE$6,1000000))</f>
        <v/>
      </c>
      <c r="IL10">
        <f>IF($B10=0,1000000,IF(INDEX('計算A'!$D$60:$DS$104,$B10,29)*DU10=1,'計算A'!AF$6,1000000))</f>
        <v/>
      </c>
      <c r="IM10">
        <f>IF($B10=0,1000000,IF(INDEX('計算A'!$D$60:$DS$104,$B10,30)*DV10=1,'計算A'!AG$6,1000000))</f>
        <v/>
      </c>
      <c r="IN10">
        <f>IF($B10=0,1000000,IF(INDEX('計算A'!$D$60:$DS$104,$B10,31)*DW10=1,'計算A'!AH$6,1000000))</f>
        <v/>
      </c>
      <c r="IO10">
        <f>IF($B10=0,1000000,IF(INDEX('計算A'!$D$60:$DS$104,$B10,32)*DX10=1,'計算A'!AI$6,1000000))</f>
        <v/>
      </c>
      <c r="IP10">
        <f>IF($B10=0,1000000,IF(INDEX('計算A'!$D$60:$DS$104,$B10,33)*DY10=1,'計算A'!AJ$6,1000000))</f>
        <v/>
      </c>
      <c r="IQ10">
        <f>IF($B10=0,1000000,IF(INDEX('計算A'!$D$60:$DS$104,$B10,34)*DZ10=1,'計算A'!AK$6,1000000))</f>
        <v/>
      </c>
      <c r="IR10">
        <f>IF($B10=0,1000000,IF(INDEX('計算A'!$D$60:$DS$104,$B10,35)*EA10=1,'計算A'!AL$6,1000000))</f>
        <v/>
      </c>
      <c r="IS10">
        <f>IF($B10=0,1000000,IF(INDEX('計算A'!$D$60:$DS$104,$B10,36)*EB10=1,'計算A'!AM$6,1000000))</f>
        <v/>
      </c>
      <c r="IT10">
        <f>IF($B10=0,1000000,IF(INDEX('計算A'!$D$60:$DS$104,$B10,37)*EC10=1,'計算A'!AN$6,1000000))</f>
        <v/>
      </c>
      <c r="IU10">
        <f>IF($B10=0,1000000,IF(INDEX('計算A'!$D$60:$DS$104,$B10,38)*ED10=1,'計算A'!AO$6,1000000))</f>
        <v/>
      </c>
      <c r="IV10">
        <f>IF($B10=0,1000000,IF(INDEX('計算A'!$D$60:$DS$104,$B10,39)*EE10=1,'計算A'!AP$6,1000000))</f>
        <v/>
      </c>
      <c r="IW10">
        <f>IF($B10=0,1000000,IF(INDEX('計算A'!$D$60:$DS$104,$B10,40)*EF10=1,'計算A'!AQ$6,1000000))</f>
        <v/>
      </c>
      <c r="IX10">
        <f>IF($B10=0,1000000,IF(INDEX('計算A'!$D$60:$DS$104,$B10,41)*EG10=1,'計算A'!AR$6,1000000))</f>
        <v/>
      </c>
      <c r="IY10">
        <f>IF($B10=0,1000000,IF(INDEX('計算A'!$D$60:$DS$104,$B10,42)*EH10=1,'計算A'!AS$6,1000000))</f>
        <v/>
      </c>
      <c r="IZ10">
        <f>IF($B10=0,1000000,IF(INDEX('計算A'!$D$60:$DS$104,$B10,43)*EI10=1,'計算A'!AT$6,1000000))</f>
        <v/>
      </c>
      <c r="JA10">
        <f>IF($B10=0,1000000,IF(INDEX('計算A'!$D$60:$DS$104,$B10,44)*EJ10=1,'計算A'!AU$6,1000000))</f>
        <v/>
      </c>
      <c r="JB10">
        <f>IF($B10=0,1000000,IF(INDEX('計算A'!$D$60:$DS$104,$B10,45)*EK10=1,'計算A'!AV$6,1000000))</f>
        <v/>
      </c>
      <c r="JC10">
        <f>IF($B10=0,1000000,IF(INDEX('計算A'!$D$60:$DS$104,$B10,46)*EL10=1,'計算A'!AW$6,1000000))</f>
        <v/>
      </c>
      <c r="JD10">
        <f>IF($B10=0,1000000,IF(INDEX('計算A'!$D$60:$DS$104,$B10,47)*EM10=1,'計算A'!AX$6,1000000))</f>
        <v/>
      </c>
      <c r="JE10">
        <f>IF($B10=0,1000000,IF(INDEX('計算A'!$D$60:$DS$104,$B10,48)*EN10=1,'計算A'!AY$6,1000000))</f>
        <v/>
      </c>
      <c r="JF10">
        <f>IF($B10=0,1000000,IF(INDEX('計算A'!$D$60:$DS$104,$B10,49)*EO10=1,'計算A'!AZ$6,1000000))</f>
        <v/>
      </c>
      <c r="JG10">
        <f>IF($B10=0,1000000,IF(INDEX('計算A'!$D$60:$DS$104,$B10,50)*EP10=1,'計算A'!BA$6,1000000))</f>
        <v/>
      </c>
      <c r="JH10">
        <f>IF($B10=0,1000000,IF(INDEX('計算A'!$D$60:$DS$104,$B10,51)*EQ10=1,'計算A'!BB$6,1000000))</f>
        <v/>
      </c>
      <c r="JI10">
        <f>IF($B10=0,1000000,IF(INDEX('計算A'!$D$60:$DS$104,$B10,52)*ER10=1,'計算A'!BC$6,1000000))</f>
        <v/>
      </c>
      <c r="JJ10">
        <f>IF($B10=0,1000000,IF(INDEX('計算A'!$D$60:$DS$104,$B10,53)*ES10=1,'計算A'!BD$6,1000000))</f>
        <v/>
      </c>
      <c r="JK10">
        <f>IF($B10=0,1000000,IF(INDEX('計算A'!$D$60:$DS$104,$B10,54)*ET10=1,'計算A'!BE$6,1000000))</f>
        <v/>
      </c>
      <c r="JL10">
        <f>IF($B10=0,1000000,IF(INDEX('計算A'!$D$60:$DS$104,$B10,55)*EU10=1,'計算A'!BF$6,1000000))</f>
        <v/>
      </c>
      <c r="JM10">
        <f>IF($B10=0,1000000,IF(INDEX('計算A'!$D$60:$DS$104,$B10,56)*EV10=1,'計算A'!BG$6,1000000))</f>
        <v/>
      </c>
      <c r="JN10">
        <f>IF($B10=0,1000000,IF(INDEX('計算A'!$D$60:$DS$104,$B10,57)*EW10=1,'計算A'!BH$6,1000000))</f>
        <v/>
      </c>
      <c r="JO10">
        <f>IF($B10=0,1000000,IF(INDEX('計算A'!$D$60:$DS$104,$B10,58)*EX10=1,'計算A'!BI$6,1000000))</f>
        <v/>
      </c>
      <c r="JP10">
        <f>IF($B10=0,1000000,IF(INDEX('計算A'!$D$60:$DS$104,$B10,59)*EY10=1,'計算A'!BJ$6,1000000))</f>
        <v/>
      </c>
      <c r="JQ10">
        <f>IF($B10=0,1000000,IF(INDEX('計算A'!$D$60:$DS$104,$B10,60)*EZ10=1,'計算A'!BK$6,1000000))</f>
        <v/>
      </c>
      <c r="JR10">
        <f>IF($B10=0,1000000,IF(INDEX('計算A'!$D$60:$DS$104,$B10,61)*FA10=1,'計算A'!BL$6,1000000))</f>
        <v/>
      </c>
      <c r="JS10">
        <f>IF($B10=0,1000000,IF(INDEX('計算A'!$D$60:$DS$104,$B10,62)*FB10=1,'計算A'!BM$6,1000000))</f>
        <v/>
      </c>
      <c r="JT10">
        <f>IF($B10=0,1000000,IF(INDEX('計算A'!$D$60:$DS$104,$B10,63)*FC10=1,'計算A'!BN$6,1000000))</f>
        <v/>
      </c>
      <c r="JU10">
        <f>IF($B10=0,1000000,IF(INDEX('計算A'!$D$60:$DS$104,$B10,64)*FD10=1,'計算A'!BO$6,1000000))</f>
        <v/>
      </c>
      <c r="JV10">
        <f>IF($B10=0,1000000,IF(INDEX('計算A'!$D$60:$DS$104,$B10,65)*FE10=1,'計算A'!BP$6,1000000))</f>
        <v/>
      </c>
      <c r="JW10">
        <f>IF($B10=0,1000000,IF(INDEX('計算A'!$D$60:$DS$104,$B10,66)*FF10=1,'計算A'!BQ$6,1000000))</f>
        <v/>
      </c>
      <c r="JX10">
        <f>IF($B10=0,1000000,IF(INDEX('計算A'!$D$60:$DS$104,$B10,67)*FG10=1,'計算A'!BR$6,1000000))</f>
        <v/>
      </c>
      <c r="JY10">
        <f>IF($B10=0,1000000,IF(INDEX('計算A'!$D$60:$DS$104,$B10,68)*FH10=1,'計算A'!BS$6,1000000))</f>
        <v/>
      </c>
      <c r="JZ10">
        <f>IF($B10=0,1000000,IF(INDEX('計算A'!$D$60:$DS$104,$B10,69)*FI10=1,'計算A'!BT$6,1000000))</f>
        <v/>
      </c>
      <c r="KA10">
        <f>IF($B10=0,1000000,IF(INDEX('計算A'!$D$60:$DS$104,$B10,70)*FJ10=1,'計算A'!BU$6,1000000))</f>
        <v/>
      </c>
      <c r="KB10">
        <f>IF($B10=0,1000000,IF(INDEX('計算A'!$D$60:$DS$104,$B10,71)*FK10=1,'計算A'!BV$6,1000000))</f>
        <v/>
      </c>
      <c r="KC10">
        <f>IF($B10=0,1000000,IF(INDEX('計算A'!$D$60:$DS$104,$B10,72)*FL10=1,'計算A'!BW$6,1000000))</f>
        <v/>
      </c>
      <c r="KD10">
        <f>IF($B10=0,1000000,IF(INDEX('計算A'!$D$60:$DS$104,$B10,73)*FM10=1,'計算A'!BX$6,1000000))</f>
        <v/>
      </c>
      <c r="KE10">
        <f>IF($B10=0,1000000,IF(INDEX('計算A'!$D$60:$DS$104,$B10,74)*FN10=1,'計算A'!BY$6,1000000))</f>
        <v/>
      </c>
      <c r="KF10">
        <f>IF($B10=0,1000000,IF(INDEX('計算A'!$D$60:$DS$104,$B10,75)*FO10=1,'計算A'!BZ$6,1000000))</f>
        <v/>
      </c>
      <c r="KG10">
        <f>IF($B10=0,1000000,IF(INDEX('計算A'!$D$60:$DS$104,$B10,76)*FP10=1,'計算A'!CA$6,1000000))</f>
        <v/>
      </c>
      <c r="KH10">
        <f>IF($B10=0,1000000,IF(INDEX('計算A'!$D$60:$DS$104,$B10,77)*FQ10=1,'計算A'!CB$6,1000000))</f>
        <v/>
      </c>
      <c r="KI10">
        <f>IF($B10=0,1000000,IF(INDEX('計算A'!$D$60:$DS$104,$B10,78)*FR10=1,'計算A'!CC$6,1000000))</f>
        <v/>
      </c>
      <c r="KJ10">
        <f>IF($B10=0,1000000,IF(INDEX('計算A'!$D$60:$DS$104,$B10,79)*FS10=1,'計算A'!CD$6,1000000))</f>
        <v/>
      </c>
      <c r="KK10">
        <f>IF($B10=0,1000000,IF(INDEX('計算A'!$D$60:$DS$104,$B10,80)*FT10=1,'計算A'!CE$6,1000000))</f>
        <v/>
      </c>
      <c r="KL10">
        <f>IF($B10=0,1000000,IF(INDEX('計算A'!$D$60:$DS$104,$B10,81)*FU10=1,'計算A'!CF$6,1000000))</f>
        <v/>
      </c>
      <c r="KM10">
        <f>IF($B10=0,1000000,IF(INDEX('計算A'!$D$60:$DS$104,$B10,82)*FV10=1,'計算A'!CG$6,1000000))</f>
        <v/>
      </c>
      <c r="KN10">
        <f>IF($B10=0,1000000,IF(INDEX('計算A'!$D$60:$DS$104,$B10,83)*FW10=1,'計算A'!CH$6,1000000))</f>
        <v/>
      </c>
      <c r="KO10">
        <f>IF($B10=0,1000000,IF(INDEX('計算A'!$D$60:$DS$104,$B10,84)*FX10=1,'計算A'!CI$6,1000000))</f>
        <v/>
      </c>
      <c r="KP10">
        <f>IF($B10=0,1000000,IF(INDEX('計算A'!$D$60:$DS$104,$B10,85)*FY10=1,'計算A'!CJ$6,1000000))</f>
        <v/>
      </c>
      <c r="KQ10">
        <f>IF($B10=0,1000000,IF(INDEX('計算A'!$D$60:$DS$104,$B10,86)*FZ10=1,'計算A'!CK$6,1000000))</f>
        <v/>
      </c>
      <c r="KR10">
        <f>IF($B10=0,1000000,IF(INDEX('計算A'!$D$60:$DS$104,$B10,87)*GA10=1,'計算A'!CL$6,1000000))</f>
        <v/>
      </c>
      <c r="KS10">
        <f>IF($B10=0,1000000,IF(INDEX('計算A'!$D$60:$DS$104,$B10,88)*GB10=1,'計算A'!CM$6,1000000))</f>
        <v/>
      </c>
      <c r="KT10">
        <f>IF($B10=0,1000000,IF(INDEX('計算A'!$D$60:$DS$104,$B10,89)*GC10=1,'計算A'!CN$6,1000000))</f>
        <v/>
      </c>
      <c r="KU10">
        <f>IF($B10=0,1000000,IF(INDEX('計算A'!$D$60:$DS$104,$B10,90)*GD10=1,'計算A'!CO$6,1000000))</f>
        <v/>
      </c>
      <c r="KV10">
        <f>IF($B10=0,1000000,IF(INDEX('計算A'!$D$60:$DS$104,$B10,91)*GE10=1,'計算A'!CP$6,1000000))</f>
        <v/>
      </c>
      <c r="KW10">
        <f>IF($B10=0,1000000,IF(INDEX('計算A'!$D$60:$DS$104,$B10,92)*GF10=1,'計算A'!CQ$6,1000000))</f>
        <v/>
      </c>
      <c r="KX10">
        <f>IF($B10=0,1000000,IF(INDEX('計算A'!$D$60:$DS$104,$B10,93)*GG10=1,'計算A'!CR$6,1000000))</f>
        <v/>
      </c>
      <c r="KY10">
        <f>IF($B10=0,1000000,IF(INDEX('計算A'!$D$60:$DS$104,$B10,94)*GH10=1,'計算A'!CS$6,1000000))</f>
        <v/>
      </c>
      <c r="KZ10">
        <f>IF($B10=0,1000000,IF(INDEX('計算A'!$D$60:$DS$104,$B10,95)*GI10=1,'計算A'!CT$6,1000000))</f>
        <v/>
      </c>
      <c r="LA10">
        <f>IF($B10=0,1000000,IF(INDEX('計算A'!$D$60:$DS$104,$B10,96)*GJ10=1,'計算A'!CU$6,1000000))</f>
        <v/>
      </c>
      <c r="LB10">
        <f>IF($B10=0,1000000,IF(INDEX('計算A'!$D$60:$DS$104,$B10,97)*GK10=1,'計算A'!CV$6,1000000))</f>
        <v/>
      </c>
      <c r="LC10">
        <f>IF($B10=0,1000000,IF(INDEX('計算A'!$D$60:$DS$104,$B10,98)*GL10=1,'計算A'!CW$6,1000000))</f>
        <v/>
      </c>
      <c r="LD10">
        <f>IF($B10=0,1000000,IF(INDEX('計算A'!$D$60:$DS$104,$B10,99)*GM10=1,'計算A'!CX$6,1000000))</f>
        <v/>
      </c>
      <c r="LE10">
        <f>IF($B10=0,1000000,IF(INDEX('計算A'!$D$60:$DS$104,$B10,100)*GN10=1,'計算A'!CY$6,1000000))</f>
        <v/>
      </c>
      <c r="LF10">
        <f>IF($B10=0,1000000,IF(INDEX('計算A'!$D$60:$DS$104,$B10,101)*GO10=1,'計算A'!CZ$6,1000000))</f>
        <v/>
      </c>
      <c r="LG10">
        <f>IF($B10=0,1000000,IF(INDEX('計算A'!$D$60:$DS$104,$B10,102)*GP10=1,'計算A'!DA$6,1000000))</f>
        <v/>
      </c>
      <c r="LH10">
        <f>IF($B10=0,1000000,IF(INDEX('計算A'!$D$60:$DS$104,$B10,103)*GQ10=1,'計算A'!DB$6,1000000))</f>
        <v/>
      </c>
      <c r="LI10">
        <f>IF($B10=0,1000000,IF(INDEX('計算A'!$D$60:$DS$104,$B10,104)*GR10=1,'計算A'!DC$6,1000000))</f>
        <v/>
      </c>
      <c r="LJ10">
        <f>IF($B10=0,1000000,IF(INDEX('計算A'!$D$60:$DS$104,$B10,105)*GS10=1,'計算A'!DD$6,1000000))</f>
        <v/>
      </c>
      <c r="LK10">
        <f>IF($B10=0,1000000,IF(INDEX('計算A'!$D$60:$DS$104,$B10,106)*GT10=1,'計算A'!DE$6,1000000))</f>
        <v/>
      </c>
      <c r="LL10">
        <f>IF($B10=0,1000000,IF(INDEX('計算A'!$D$60:$DS$104,$B10,107)*GU10=1,'計算A'!DF$6,1000000))</f>
        <v/>
      </c>
      <c r="LM10">
        <f>IF($B10=0,1000000,IF(INDEX('計算A'!$D$60:$DS$104,$B10,108)*GV10=1,'計算A'!DG$6,1000000))</f>
        <v/>
      </c>
      <c r="LN10">
        <f>IF($B10=0,1000000,IF(INDEX('計算A'!$D$60:$DS$104,$B10,109)*GW10=1,'計算A'!DH$6,1000000))</f>
        <v/>
      </c>
      <c r="LO10">
        <f>IF($B10=0,1000000,IF(INDEX('計算A'!$D$60:$DS$104,$B10,110)*GX10=1,'計算A'!DI$6,1000000))</f>
        <v/>
      </c>
      <c r="LP10">
        <f>IF($B10=0,1000000,IF(INDEX('計算A'!$D$60:$DS$104,$B10,111)*GY10=1,'計算A'!DJ$6,1000000))</f>
        <v/>
      </c>
      <c r="LQ10">
        <f>IF($B10=0,1000000,IF(INDEX('計算A'!$D$60:$DS$104,$B10,112)*GZ10=1,'計算A'!DK$6,1000000))</f>
        <v/>
      </c>
      <c r="LR10">
        <f>IF($B10=0,1000000,IF(INDEX('計算A'!$D$60:$DS$104,$B10,113)*HA10=1,'計算A'!DL$6,1000000))</f>
        <v/>
      </c>
      <c r="LS10">
        <f>IF($B10=0,1000000,IF(INDEX('計算A'!$D$60:$DS$104,$B10,114)*HB10=1,'計算A'!DM$6,1000000))</f>
        <v/>
      </c>
      <c r="LT10">
        <f>IF($B10=0,1000000,IF(INDEX('計算A'!$D$60:$DS$104,$B10,115)*HC10=1,'計算A'!DN$6,1000000))</f>
        <v/>
      </c>
      <c r="LU10">
        <f>IF($B10=0,1000000,IF(INDEX('計算A'!$D$60:$DS$104,$B10,116)*HD10=1,'計算A'!DO$6,1000000))</f>
        <v/>
      </c>
      <c r="LV10">
        <f>IF($B10=0,1000000,IF(INDEX('計算A'!$D$60:$DS$104,$B10,117)*HE10=1,'計算A'!DP$6,1000000))</f>
        <v/>
      </c>
      <c r="LW10">
        <f>IF($B10=0,1000000,IF(INDEX('計算A'!$D$60:$DS$104,$B10,118)*HF10=1,'計算A'!DQ$6,1000000))</f>
        <v/>
      </c>
      <c r="LX10">
        <f>IF($B10=0,1000000,IF(INDEX('計算A'!$D$60:$DS$104,$B10,119)*HG10=1,'計算A'!DR$6,1000000))</f>
        <v/>
      </c>
      <c r="LY10">
        <f>IF($B10=0,1000000,IF(INDEX('計算A'!$D$60:$DS$104,$B10,120)*HH10=1,'計算A'!DS$6,1000000))</f>
        <v/>
      </c>
    </row>
    <row r="11">
      <c r="A11" t="n">
        <v>9</v>
      </c>
      <c r="B11">
        <f>IF(MIN(AY11:CQ11)&gt;=1000000,0,MATCH(MIN(AY11:CQ11),AY11:CQ11,0))</f>
        <v/>
      </c>
      <c r="C11">
        <f>IF(MIN(HJ11:LY11)&gt;=1000000,0,MATCH(MIN(HJ11:LY11),HJ11:LY11,0))</f>
        <v/>
      </c>
      <c r="D11">
        <f>IF(C11&gt;0,INDEX('計算A'!$D$5:$DS$5,C11),0)</f>
        <v/>
      </c>
      <c r="E11">
        <f>MAX(E10,IF($B10=1,1,0))</f>
        <v/>
      </c>
      <c r="F11">
        <f>MAX(F10,IF($B10=2,1,0))</f>
        <v/>
      </c>
      <c r="G11">
        <f>MAX(G10,IF($B10=3,1,0))</f>
        <v/>
      </c>
      <c r="H11">
        <f>MAX(H10,IF($B10=4,1,0))</f>
        <v/>
      </c>
      <c r="I11">
        <f>MAX(I10,IF($B10=5,1,0))</f>
        <v/>
      </c>
      <c r="J11">
        <f>MAX(J10,IF($B10=6,1,0))</f>
        <v/>
      </c>
      <c r="K11">
        <f>MAX(K10,IF($B10=7,1,0))</f>
        <v/>
      </c>
      <c r="L11">
        <f>MAX(L10,IF($B10=8,1,0))</f>
        <v/>
      </c>
      <c r="M11">
        <f>MAX(M10,IF($B10=9,1,0))</f>
        <v/>
      </c>
      <c r="N11">
        <f>MAX(N10,IF($B10=10,1,0))</f>
        <v/>
      </c>
      <c r="O11">
        <f>MAX(O10,IF($B10=11,1,0))</f>
        <v/>
      </c>
      <c r="P11">
        <f>MAX(P10,IF($B10=12,1,0))</f>
        <v/>
      </c>
      <c r="Q11">
        <f>MAX(Q10,IF($B10=13,1,0))</f>
        <v/>
      </c>
      <c r="R11">
        <f>MAX(R10,IF($B10=14,1,0))</f>
        <v/>
      </c>
      <c r="S11">
        <f>MAX(S10,IF($B10=15,1,0))</f>
        <v/>
      </c>
      <c r="T11">
        <f>MAX(T10,IF($B10=16,1,0))</f>
        <v/>
      </c>
      <c r="U11">
        <f>MAX(U10,IF($B10=17,1,0))</f>
        <v/>
      </c>
      <c r="V11">
        <f>MAX(V10,IF($B10=18,1,0))</f>
        <v/>
      </c>
      <c r="W11">
        <f>MAX(W10,IF($B10=19,1,0))</f>
        <v/>
      </c>
      <c r="X11">
        <f>MAX(X10,IF($B10=20,1,0))</f>
        <v/>
      </c>
      <c r="Y11">
        <f>MAX(Y10,IF($B10=21,1,0))</f>
        <v/>
      </c>
      <c r="Z11">
        <f>MAX(Z10,IF($B10=22,1,0))</f>
        <v/>
      </c>
      <c r="AA11">
        <f>MAX(AA10,IF($B10=23,1,0))</f>
        <v/>
      </c>
      <c r="AB11">
        <f>MAX(AB10,IF($B10=24,1,0))</f>
        <v/>
      </c>
      <c r="AC11">
        <f>MAX(AC10,IF($B10=25,1,0))</f>
        <v/>
      </c>
      <c r="AD11">
        <f>MAX(AD10,IF($B10=26,1,0))</f>
        <v/>
      </c>
      <c r="AE11">
        <f>MAX(AE10,IF($B10=27,1,0))</f>
        <v/>
      </c>
      <c r="AF11">
        <f>MAX(AF10,IF($B10=28,1,0))</f>
        <v/>
      </c>
      <c r="AG11">
        <f>MAX(AG10,IF($B10=29,1,0))</f>
        <v/>
      </c>
      <c r="AH11">
        <f>MAX(AH10,IF($B10=30,1,0))</f>
        <v/>
      </c>
      <c r="AI11">
        <f>MAX(AI10,IF($B10=31,1,0))</f>
        <v/>
      </c>
      <c r="AJ11">
        <f>MAX(AJ10,IF($B10=32,1,0))</f>
        <v/>
      </c>
      <c r="AK11">
        <f>MAX(AK10,IF($B10=33,1,0))</f>
        <v/>
      </c>
      <c r="AL11">
        <f>MAX(AL10,IF($B10=34,1,0))</f>
        <v/>
      </c>
      <c r="AM11">
        <f>MAX(AM10,IF($B10=35,1,0))</f>
        <v/>
      </c>
      <c r="AN11">
        <f>MAX(AN10,IF($B10=36,1,0))</f>
        <v/>
      </c>
      <c r="AO11">
        <f>MAX(AO10,IF($B10=37,1,0))</f>
        <v/>
      </c>
      <c r="AP11">
        <f>MAX(AP10,IF($B10=38,1,0))</f>
        <v/>
      </c>
      <c r="AQ11">
        <f>MAX(AQ10,IF($B10=39,1,0))</f>
        <v/>
      </c>
      <c r="AR11">
        <f>MAX(AR10,IF($B10=40,1,0))</f>
        <v/>
      </c>
      <c r="AS11">
        <f>MAX(AS10,IF($B10=41,1,0))</f>
        <v/>
      </c>
      <c r="AT11">
        <f>MAX(AT10,IF($B10=42,1,0))</f>
        <v/>
      </c>
      <c r="AU11">
        <f>MAX(AU10,IF($B10=43,1,0))</f>
        <v/>
      </c>
      <c r="AV11">
        <f>MAX(AV10,IF($B10=44,1,0))</f>
        <v/>
      </c>
      <c r="AW11">
        <f>MAX(AW10,IF($B10=45,1,0))</f>
        <v/>
      </c>
      <c r="AY11">
        <f>IF(E11=1,1000000,SUMPRODUCT('計算A'!$D$60:$DS$60,$CS11:$HH11)*1000+1)</f>
        <v/>
      </c>
      <c r="AZ11">
        <f>IF(F11=1,1000000,SUMPRODUCT('計算A'!$D$61:$DS$61,$CS11:$HH11)*1000+2)</f>
        <v/>
      </c>
      <c r="BA11">
        <f>IF(G11=1,1000000,SUMPRODUCT('計算A'!$D$62:$DS$62,$CS11:$HH11)*1000+3)</f>
        <v/>
      </c>
      <c r="BB11">
        <f>IF(H11=1,1000000,SUMPRODUCT('計算A'!$D$63:$DS$63,$CS11:$HH11)*1000+4)</f>
        <v/>
      </c>
      <c r="BC11">
        <f>IF(I11=1,1000000,SUMPRODUCT('計算A'!$D$64:$DS$64,$CS11:$HH11)*1000+5)</f>
        <v/>
      </c>
      <c r="BD11">
        <f>IF(J11=1,1000000,SUMPRODUCT('計算A'!$D$65:$DS$65,$CS11:$HH11)*1000+6)</f>
        <v/>
      </c>
      <c r="BE11">
        <f>IF(K11=1,1000000,SUMPRODUCT('計算A'!$D$66:$DS$66,$CS11:$HH11)*1000+7)</f>
        <v/>
      </c>
      <c r="BF11">
        <f>IF(L11=1,1000000,SUMPRODUCT('計算A'!$D$67:$DS$67,$CS11:$HH11)*1000+8)</f>
        <v/>
      </c>
      <c r="BG11">
        <f>IF(M11=1,1000000,SUMPRODUCT('計算A'!$D$68:$DS$68,$CS11:$HH11)*1000+9)</f>
        <v/>
      </c>
      <c r="BH11">
        <f>IF(N11=1,1000000,SUMPRODUCT('計算A'!$D$69:$DS$69,$CS11:$HH11)*1000+10)</f>
        <v/>
      </c>
      <c r="BI11">
        <f>IF(O11=1,1000000,SUMPRODUCT('計算A'!$D$70:$DS$70,$CS11:$HH11)*1000+11)</f>
        <v/>
      </c>
      <c r="BJ11">
        <f>IF(P11=1,1000000,SUMPRODUCT('計算A'!$D$71:$DS$71,$CS11:$HH11)*1000+12)</f>
        <v/>
      </c>
      <c r="BK11">
        <f>IF(Q11=1,1000000,SUMPRODUCT('計算A'!$D$72:$DS$72,$CS11:$HH11)*1000+13)</f>
        <v/>
      </c>
      <c r="BL11">
        <f>IF(R11=1,1000000,SUMPRODUCT('計算A'!$D$73:$DS$73,$CS11:$HH11)*1000+14)</f>
        <v/>
      </c>
      <c r="BM11">
        <f>IF(S11=1,1000000,SUMPRODUCT('計算A'!$D$74:$DS$74,$CS11:$HH11)*1000+15)</f>
        <v/>
      </c>
      <c r="BN11">
        <f>IF(T11=1,1000000,SUMPRODUCT('計算A'!$D$75:$DS$75,$CS11:$HH11)*1000+16)</f>
        <v/>
      </c>
      <c r="BO11">
        <f>IF(U11=1,1000000,SUMPRODUCT('計算A'!$D$76:$DS$76,$CS11:$HH11)*1000+17)</f>
        <v/>
      </c>
      <c r="BP11">
        <f>IF(V11=1,1000000,SUMPRODUCT('計算A'!$D$77:$DS$77,$CS11:$HH11)*1000+18)</f>
        <v/>
      </c>
      <c r="BQ11">
        <f>IF(W11=1,1000000,SUMPRODUCT('計算A'!$D$78:$DS$78,$CS11:$HH11)*1000+19)</f>
        <v/>
      </c>
      <c r="BR11">
        <f>IF(X11=1,1000000,SUMPRODUCT('計算A'!$D$79:$DS$79,$CS11:$HH11)*1000+20)</f>
        <v/>
      </c>
      <c r="BS11">
        <f>IF(Y11=1,1000000,SUMPRODUCT('計算A'!$D$80:$DS$80,$CS11:$HH11)*1000+21)</f>
        <v/>
      </c>
      <c r="BT11">
        <f>IF(Z11=1,1000000,SUMPRODUCT('計算A'!$D$81:$DS$81,$CS11:$HH11)*1000+22)</f>
        <v/>
      </c>
      <c r="BU11">
        <f>IF(AA11=1,1000000,SUMPRODUCT('計算A'!$D$82:$DS$82,$CS11:$HH11)*1000+23)</f>
        <v/>
      </c>
      <c r="BV11">
        <f>IF(AB11=1,1000000,SUMPRODUCT('計算A'!$D$83:$DS$83,$CS11:$HH11)*1000+24)</f>
        <v/>
      </c>
      <c r="BW11">
        <f>IF(AC11=1,1000000,SUMPRODUCT('計算A'!$D$84:$DS$84,$CS11:$HH11)*1000+25)</f>
        <v/>
      </c>
      <c r="BX11">
        <f>IF(AD11=1,1000000,SUMPRODUCT('計算A'!$D$85:$DS$85,$CS11:$HH11)*1000+26)</f>
        <v/>
      </c>
      <c r="BY11">
        <f>IF(AE11=1,1000000,SUMPRODUCT('計算A'!$D$86:$DS$86,$CS11:$HH11)*1000+27)</f>
        <v/>
      </c>
      <c r="BZ11">
        <f>IF(AF11=1,1000000,SUMPRODUCT('計算A'!$D$87:$DS$87,$CS11:$HH11)*1000+28)</f>
        <v/>
      </c>
      <c r="CA11">
        <f>IF(AG11=1,1000000,SUMPRODUCT('計算A'!$D$88:$DS$88,$CS11:$HH11)*1000+29)</f>
        <v/>
      </c>
      <c r="CB11">
        <f>IF(AH11=1,1000000,SUMPRODUCT('計算A'!$D$89:$DS$89,$CS11:$HH11)*1000+30)</f>
        <v/>
      </c>
      <c r="CC11">
        <f>IF(AI11=1,1000000,SUMPRODUCT('計算A'!$D$90:$DS$90,$CS11:$HH11)*1000+31)</f>
        <v/>
      </c>
      <c r="CD11">
        <f>IF(AJ11=1,1000000,SUMPRODUCT('計算A'!$D$91:$DS$91,$CS11:$HH11)*1000+32)</f>
        <v/>
      </c>
      <c r="CE11">
        <f>IF(AK11=1,1000000,SUMPRODUCT('計算A'!$D$92:$DS$92,$CS11:$HH11)*1000+33)</f>
        <v/>
      </c>
      <c r="CF11">
        <f>IF(AL11=1,1000000,SUMPRODUCT('計算A'!$D$93:$DS$93,$CS11:$HH11)*1000+34)</f>
        <v/>
      </c>
      <c r="CG11">
        <f>IF(AM11=1,1000000,SUMPRODUCT('計算A'!$D$94:$DS$94,$CS11:$HH11)*1000+35)</f>
        <v/>
      </c>
      <c r="CH11">
        <f>IF(AN11=1,1000000,SUMPRODUCT('計算A'!$D$95:$DS$95,$CS11:$HH11)*1000+36)</f>
        <v/>
      </c>
      <c r="CI11">
        <f>IF(AO11=1,1000000,SUMPRODUCT('計算A'!$D$96:$DS$96,$CS11:$HH11)*1000+37)</f>
        <v/>
      </c>
      <c r="CJ11">
        <f>IF(AP11=1,1000000,SUMPRODUCT('計算A'!$D$97:$DS$97,$CS11:$HH11)*1000+38)</f>
        <v/>
      </c>
      <c r="CK11">
        <f>IF(AQ11=1,1000000,SUMPRODUCT('計算A'!$D$98:$DS$98,$CS11:$HH11)*1000+39)</f>
        <v/>
      </c>
      <c r="CL11">
        <f>IF(AR11=1,1000000,SUMPRODUCT('計算A'!$D$99:$DS$99,$CS11:$HH11)*1000+40)</f>
        <v/>
      </c>
      <c r="CM11">
        <f>IF(AS11=1,1000000,SUMPRODUCT('計算A'!$D$100:$DS$100,$CS11:$HH11)*1000+41)</f>
        <v/>
      </c>
      <c r="CN11">
        <f>IF(AT11=1,1000000,SUMPRODUCT('計算A'!$D$101:$DS$101,$CS11:$HH11)*1000+42)</f>
        <v/>
      </c>
      <c r="CO11">
        <f>IF(AU11=1,1000000,SUMPRODUCT('計算A'!$D$102:$DS$102,$CS11:$HH11)*1000+43)</f>
        <v/>
      </c>
      <c r="CP11">
        <f>IF(AV11=1,1000000,SUMPRODUCT('計算A'!$D$103:$DS$103,$CS11:$HH11)*1000+44)</f>
        <v/>
      </c>
      <c r="CQ11">
        <f>IF(AW11=1,1000000,SUMPRODUCT('計算A'!$D$104:$DS$104,$CS11:$HH11)*1000+45)</f>
        <v/>
      </c>
      <c r="CS11">
        <f>CS10*IF($C10=1,0,1)</f>
        <v/>
      </c>
      <c r="CT11">
        <f>CT10*IF($C10=2,0,1)</f>
        <v/>
      </c>
      <c r="CU11">
        <f>CU10*IF($C10=3,0,1)</f>
        <v/>
      </c>
      <c r="CV11">
        <f>CV10*IF($C10=4,0,1)</f>
        <v/>
      </c>
      <c r="CW11">
        <f>CW10*IF($C10=5,0,1)</f>
        <v/>
      </c>
      <c r="CX11">
        <f>CX10*IF($C10=6,0,1)</f>
        <v/>
      </c>
      <c r="CY11">
        <f>CY10*IF($C10=7,0,1)</f>
        <v/>
      </c>
      <c r="CZ11">
        <f>CZ10*IF($C10=8,0,1)</f>
        <v/>
      </c>
      <c r="DA11">
        <f>DA10*IF($C10=9,0,1)</f>
        <v/>
      </c>
      <c r="DB11">
        <f>DB10*IF($C10=10,0,1)</f>
        <v/>
      </c>
      <c r="DC11">
        <f>DC10*IF($C10=11,0,1)</f>
        <v/>
      </c>
      <c r="DD11">
        <f>DD10*IF($C10=12,0,1)</f>
        <v/>
      </c>
      <c r="DE11">
        <f>DE10*IF($C10=13,0,1)</f>
        <v/>
      </c>
      <c r="DF11">
        <f>DF10*IF($C10=14,0,1)</f>
        <v/>
      </c>
      <c r="DG11">
        <f>DG10*IF($C10=15,0,1)</f>
        <v/>
      </c>
      <c r="DH11">
        <f>DH10*IF($C10=16,0,1)</f>
        <v/>
      </c>
      <c r="DI11">
        <f>DI10*IF($C10=17,0,1)</f>
        <v/>
      </c>
      <c r="DJ11">
        <f>DJ10*IF($C10=18,0,1)</f>
        <v/>
      </c>
      <c r="DK11">
        <f>DK10*IF($C10=19,0,1)</f>
        <v/>
      </c>
      <c r="DL11">
        <f>DL10*IF($C10=20,0,1)</f>
        <v/>
      </c>
      <c r="DM11">
        <f>DM10*IF($C10=21,0,1)</f>
        <v/>
      </c>
      <c r="DN11">
        <f>DN10*IF($C10=22,0,1)</f>
        <v/>
      </c>
      <c r="DO11">
        <f>DO10*IF($C10=23,0,1)</f>
        <v/>
      </c>
      <c r="DP11">
        <f>DP10*IF($C10=24,0,1)</f>
        <v/>
      </c>
      <c r="DQ11">
        <f>DQ10*IF($C10=25,0,1)</f>
        <v/>
      </c>
      <c r="DR11">
        <f>DR10*IF($C10=26,0,1)</f>
        <v/>
      </c>
      <c r="DS11">
        <f>DS10*IF($C10=27,0,1)</f>
        <v/>
      </c>
      <c r="DT11">
        <f>DT10*IF($C10=28,0,1)</f>
        <v/>
      </c>
      <c r="DU11">
        <f>DU10*IF($C10=29,0,1)</f>
        <v/>
      </c>
      <c r="DV11">
        <f>DV10*IF($C10=30,0,1)</f>
        <v/>
      </c>
      <c r="DW11">
        <f>DW10*IF($C10=31,0,1)</f>
        <v/>
      </c>
      <c r="DX11">
        <f>DX10*IF($C10=32,0,1)</f>
        <v/>
      </c>
      <c r="DY11">
        <f>DY10*IF($C10=33,0,1)</f>
        <v/>
      </c>
      <c r="DZ11">
        <f>DZ10*IF($C10=34,0,1)</f>
        <v/>
      </c>
      <c r="EA11">
        <f>EA10*IF($C10=35,0,1)</f>
        <v/>
      </c>
      <c r="EB11">
        <f>EB10*IF($C10=36,0,1)</f>
        <v/>
      </c>
      <c r="EC11">
        <f>EC10*IF($C10=37,0,1)</f>
        <v/>
      </c>
      <c r="ED11">
        <f>ED10*IF($C10=38,0,1)</f>
        <v/>
      </c>
      <c r="EE11">
        <f>EE10*IF($C10=39,0,1)</f>
        <v/>
      </c>
      <c r="EF11">
        <f>EF10*IF($C10=40,0,1)</f>
        <v/>
      </c>
      <c r="EG11">
        <f>EG10*IF($C10=41,0,1)</f>
        <v/>
      </c>
      <c r="EH11">
        <f>EH10*IF($C10=42,0,1)</f>
        <v/>
      </c>
      <c r="EI11">
        <f>EI10*IF($C10=43,0,1)</f>
        <v/>
      </c>
      <c r="EJ11">
        <f>EJ10*IF($C10=44,0,1)</f>
        <v/>
      </c>
      <c r="EK11">
        <f>EK10*IF($C10=45,0,1)</f>
        <v/>
      </c>
      <c r="EL11">
        <f>EL10*IF($C10=46,0,1)</f>
        <v/>
      </c>
      <c r="EM11">
        <f>EM10*IF($C10=47,0,1)</f>
        <v/>
      </c>
      <c r="EN11">
        <f>EN10*IF($C10=48,0,1)</f>
        <v/>
      </c>
      <c r="EO11">
        <f>EO10*IF($C10=49,0,1)</f>
        <v/>
      </c>
      <c r="EP11">
        <f>EP10*IF($C10=50,0,1)</f>
        <v/>
      </c>
      <c r="EQ11">
        <f>EQ10*IF($C10=51,0,1)</f>
        <v/>
      </c>
      <c r="ER11">
        <f>ER10*IF($C10=52,0,1)</f>
        <v/>
      </c>
      <c r="ES11">
        <f>ES10*IF($C10=53,0,1)</f>
        <v/>
      </c>
      <c r="ET11">
        <f>ET10*IF($C10=54,0,1)</f>
        <v/>
      </c>
      <c r="EU11">
        <f>EU10*IF($C10=55,0,1)</f>
        <v/>
      </c>
      <c r="EV11">
        <f>EV10*IF($C10=56,0,1)</f>
        <v/>
      </c>
      <c r="EW11">
        <f>EW10*IF($C10=57,0,1)</f>
        <v/>
      </c>
      <c r="EX11">
        <f>EX10*IF($C10=58,0,1)</f>
        <v/>
      </c>
      <c r="EY11">
        <f>EY10*IF($C10=59,0,1)</f>
        <v/>
      </c>
      <c r="EZ11">
        <f>EZ10*IF($C10=60,0,1)</f>
        <v/>
      </c>
      <c r="FA11">
        <f>FA10*IF($C10=61,0,1)</f>
        <v/>
      </c>
      <c r="FB11">
        <f>FB10*IF($C10=62,0,1)</f>
        <v/>
      </c>
      <c r="FC11">
        <f>FC10*IF($C10=63,0,1)</f>
        <v/>
      </c>
      <c r="FD11">
        <f>FD10*IF($C10=64,0,1)</f>
        <v/>
      </c>
      <c r="FE11">
        <f>FE10*IF($C10=65,0,1)</f>
        <v/>
      </c>
      <c r="FF11">
        <f>FF10*IF($C10=66,0,1)</f>
        <v/>
      </c>
      <c r="FG11">
        <f>FG10*IF($C10=67,0,1)</f>
        <v/>
      </c>
      <c r="FH11">
        <f>FH10*IF($C10=68,0,1)</f>
        <v/>
      </c>
      <c r="FI11">
        <f>FI10*IF($C10=69,0,1)</f>
        <v/>
      </c>
      <c r="FJ11">
        <f>FJ10*IF($C10=70,0,1)</f>
        <v/>
      </c>
      <c r="FK11">
        <f>FK10*IF($C10=71,0,1)</f>
        <v/>
      </c>
      <c r="FL11">
        <f>FL10*IF($C10=72,0,1)</f>
        <v/>
      </c>
      <c r="FM11">
        <f>FM10*IF($C10=73,0,1)</f>
        <v/>
      </c>
      <c r="FN11">
        <f>FN10*IF($C10=74,0,1)</f>
        <v/>
      </c>
      <c r="FO11">
        <f>FO10*IF($C10=75,0,1)</f>
        <v/>
      </c>
      <c r="FP11">
        <f>FP10*IF($C10=76,0,1)</f>
        <v/>
      </c>
      <c r="FQ11">
        <f>FQ10*IF($C10=77,0,1)</f>
        <v/>
      </c>
      <c r="FR11">
        <f>FR10*IF($C10=78,0,1)</f>
        <v/>
      </c>
      <c r="FS11">
        <f>FS10*IF($C10=79,0,1)</f>
        <v/>
      </c>
      <c r="FT11">
        <f>FT10*IF($C10=80,0,1)</f>
        <v/>
      </c>
      <c r="FU11">
        <f>FU10*IF($C10=81,0,1)</f>
        <v/>
      </c>
      <c r="FV11">
        <f>FV10*IF($C10=82,0,1)</f>
        <v/>
      </c>
      <c r="FW11">
        <f>FW10*IF($C10=83,0,1)</f>
        <v/>
      </c>
      <c r="FX11">
        <f>FX10*IF($C10=84,0,1)</f>
        <v/>
      </c>
      <c r="FY11">
        <f>FY10*IF($C10=85,0,1)</f>
        <v/>
      </c>
      <c r="FZ11">
        <f>FZ10*IF($C10=86,0,1)</f>
        <v/>
      </c>
      <c r="GA11">
        <f>GA10*IF($C10=87,0,1)</f>
        <v/>
      </c>
      <c r="GB11">
        <f>GB10*IF($C10=88,0,1)</f>
        <v/>
      </c>
      <c r="GC11">
        <f>GC10*IF($C10=89,0,1)</f>
        <v/>
      </c>
      <c r="GD11">
        <f>GD10*IF($C10=90,0,1)</f>
        <v/>
      </c>
      <c r="GE11">
        <f>GE10*IF($C10=91,0,1)</f>
        <v/>
      </c>
      <c r="GF11">
        <f>GF10*IF($C10=92,0,1)</f>
        <v/>
      </c>
      <c r="GG11">
        <f>GG10*IF($C10=93,0,1)</f>
        <v/>
      </c>
      <c r="GH11">
        <f>GH10*IF($C10=94,0,1)</f>
        <v/>
      </c>
      <c r="GI11">
        <f>GI10*IF($C10=95,0,1)</f>
        <v/>
      </c>
      <c r="GJ11">
        <f>GJ10*IF($C10=96,0,1)</f>
        <v/>
      </c>
      <c r="GK11">
        <f>GK10*IF($C10=97,0,1)</f>
        <v/>
      </c>
      <c r="GL11">
        <f>GL10*IF($C10=98,0,1)</f>
        <v/>
      </c>
      <c r="GM11">
        <f>GM10*IF($C10=99,0,1)</f>
        <v/>
      </c>
      <c r="GN11">
        <f>GN10*IF($C10=100,0,1)</f>
        <v/>
      </c>
      <c r="GO11">
        <f>GO10*IF($C10=101,0,1)</f>
        <v/>
      </c>
      <c r="GP11">
        <f>GP10*IF($C10=102,0,1)</f>
        <v/>
      </c>
      <c r="GQ11">
        <f>GQ10*IF($C10=103,0,1)</f>
        <v/>
      </c>
      <c r="GR11">
        <f>GR10*IF($C10=104,0,1)</f>
        <v/>
      </c>
      <c r="GS11">
        <f>GS10*IF($C10=105,0,1)</f>
        <v/>
      </c>
      <c r="GT11">
        <f>GT10*IF($C10=106,0,1)</f>
        <v/>
      </c>
      <c r="GU11">
        <f>GU10*IF($C10=107,0,1)</f>
        <v/>
      </c>
      <c r="GV11">
        <f>GV10*IF($C10=108,0,1)</f>
        <v/>
      </c>
      <c r="GW11">
        <f>GW10*IF($C10=109,0,1)</f>
        <v/>
      </c>
      <c r="GX11">
        <f>GX10*IF($C10=110,0,1)</f>
        <v/>
      </c>
      <c r="GY11">
        <f>GY10*IF($C10=111,0,1)</f>
        <v/>
      </c>
      <c r="GZ11">
        <f>GZ10*IF($C10=112,0,1)</f>
        <v/>
      </c>
      <c r="HA11">
        <f>HA10*IF($C10=113,0,1)</f>
        <v/>
      </c>
      <c r="HB11">
        <f>HB10*IF($C10=114,0,1)</f>
        <v/>
      </c>
      <c r="HC11">
        <f>HC10*IF($C10=115,0,1)</f>
        <v/>
      </c>
      <c r="HD11">
        <f>HD10*IF($C10=116,0,1)</f>
        <v/>
      </c>
      <c r="HE11">
        <f>HE10*IF($C10=117,0,1)</f>
        <v/>
      </c>
      <c r="HF11">
        <f>HF10*IF($C10=118,0,1)</f>
        <v/>
      </c>
      <c r="HG11">
        <f>HG10*IF($C10=119,0,1)</f>
        <v/>
      </c>
      <c r="HH11">
        <f>HH10*IF($C10=120,0,1)</f>
        <v/>
      </c>
      <c r="HJ11">
        <f>IF($B11=0,1000000,IF(INDEX('計算A'!$D$60:$DS$104,$B11,1)*CS11=1,'計算A'!D$6,1000000))</f>
        <v/>
      </c>
      <c r="HK11">
        <f>IF($B11=0,1000000,IF(INDEX('計算A'!$D$60:$DS$104,$B11,2)*CT11=1,'計算A'!E$6,1000000))</f>
        <v/>
      </c>
      <c r="HL11">
        <f>IF($B11=0,1000000,IF(INDEX('計算A'!$D$60:$DS$104,$B11,3)*CU11=1,'計算A'!F$6,1000000))</f>
        <v/>
      </c>
      <c r="HM11">
        <f>IF($B11=0,1000000,IF(INDEX('計算A'!$D$60:$DS$104,$B11,4)*CV11=1,'計算A'!G$6,1000000))</f>
        <v/>
      </c>
      <c r="HN11">
        <f>IF($B11=0,1000000,IF(INDEX('計算A'!$D$60:$DS$104,$B11,5)*CW11=1,'計算A'!H$6,1000000))</f>
        <v/>
      </c>
      <c r="HO11">
        <f>IF($B11=0,1000000,IF(INDEX('計算A'!$D$60:$DS$104,$B11,6)*CX11=1,'計算A'!I$6,1000000))</f>
        <v/>
      </c>
      <c r="HP11">
        <f>IF($B11=0,1000000,IF(INDEX('計算A'!$D$60:$DS$104,$B11,7)*CY11=1,'計算A'!J$6,1000000))</f>
        <v/>
      </c>
      <c r="HQ11">
        <f>IF($B11=0,1000000,IF(INDEX('計算A'!$D$60:$DS$104,$B11,8)*CZ11=1,'計算A'!K$6,1000000))</f>
        <v/>
      </c>
      <c r="HR11">
        <f>IF($B11=0,1000000,IF(INDEX('計算A'!$D$60:$DS$104,$B11,9)*DA11=1,'計算A'!L$6,1000000))</f>
        <v/>
      </c>
      <c r="HS11">
        <f>IF($B11=0,1000000,IF(INDEX('計算A'!$D$60:$DS$104,$B11,10)*DB11=1,'計算A'!M$6,1000000))</f>
        <v/>
      </c>
      <c r="HT11">
        <f>IF($B11=0,1000000,IF(INDEX('計算A'!$D$60:$DS$104,$B11,11)*DC11=1,'計算A'!N$6,1000000))</f>
        <v/>
      </c>
      <c r="HU11">
        <f>IF($B11=0,1000000,IF(INDEX('計算A'!$D$60:$DS$104,$B11,12)*DD11=1,'計算A'!O$6,1000000))</f>
        <v/>
      </c>
      <c r="HV11">
        <f>IF($B11=0,1000000,IF(INDEX('計算A'!$D$60:$DS$104,$B11,13)*DE11=1,'計算A'!P$6,1000000))</f>
        <v/>
      </c>
      <c r="HW11">
        <f>IF($B11=0,1000000,IF(INDEX('計算A'!$D$60:$DS$104,$B11,14)*DF11=1,'計算A'!Q$6,1000000))</f>
        <v/>
      </c>
      <c r="HX11">
        <f>IF($B11=0,1000000,IF(INDEX('計算A'!$D$60:$DS$104,$B11,15)*DG11=1,'計算A'!R$6,1000000))</f>
        <v/>
      </c>
      <c r="HY11">
        <f>IF($B11=0,1000000,IF(INDEX('計算A'!$D$60:$DS$104,$B11,16)*DH11=1,'計算A'!S$6,1000000))</f>
        <v/>
      </c>
      <c r="HZ11">
        <f>IF($B11=0,1000000,IF(INDEX('計算A'!$D$60:$DS$104,$B11,17)*DI11=1,'計算A'!T$6,1000000))</f>
        <v/>
      </c>
      <c r="IA11">
        <f>IF($B11=0,1000000,IF(INDEX('計算A'!$D$60:$DS$104,$B11,18)*DJ11=1,'計算A'!U$6,1000000))</f>
        <v/>
      </c>
      <c r="IB11">
        <f>IF($B11=0,1000000,IF(INDEX('計算A'!$D$60:$DS$104,$B11,19)*DK11=1,'計算A'!V$6,1000000))</f>
        <v/>
      </c>
      <c r="IC11">
        <f>IF($B11=0,1000000,IF(INDEX('計算A'!$D$60:$DS$104,$B11,20)*DL11=1,'計算A'!W$6,1000000))</f>
        <v/>
      </c>
      <c r="ID11">
        <f>IF($B11=0,1000000,IF(INDEX('計算A'!$D$60:$DS$104,$B11,21)*DM11=1,'計算A'!X$6,1000000))</f>
        <v/>
      </c>
      <c r="IE11">
        <f>IF($B11=0,1000000,IF(INDEX('計算A'!$D$60:$DS$104,$B11,22)*DN11=1,'計算A'!Y$6,1000000))</f>
        <v/>
      </c>
      <c r="IF11">
        <f>IF($B11=0,1000000,IF(INDEX('計算A'!$D$60:$DS$104,$B11,23)*DO11=1,'計算A'!Z$6,1000000))</f>
        <v/>
      </c>
      <c r="IG11">
        <f>IF($B11=0,1000000,IF(INDEX('計算A'!$D$60:$DS$104,$B11,24)*DP11=1,'計算A'!AA$6,1000000))</f>
        <v/>
      </c>
      <c r="IH11">
        <f>IF($B11=0,1000000,IF(INDEX('計算A'!$D$60:$DS$104,$B11,25)*DQ11=1,'計算A'!AB$6,1000000))</f>
        <v/>
      </c>
      <c r="II11">
        <f>IF($B11=0,1000000,IF(INDEX('計算A'!$D$60:$DS$104,$B11,26)*DR11=1,'計算A'!AC$6,1000000))</f>
        <v/>
      </c>
      <c r="IJ11">
        <f>IF($B11=0,1000000,IF(INDEX('計算A'!$D$60:$DS$104,$B11,27)*DS11=1,'計算A'!AD$6,1000000))</f>
        <v/>
      </c>
      <c r="IK11">
        <f>IF($B11=0,1000000,IF(INDEX('計算A'!$D$60:$DS$104,$B11,28)*DT11=1,'計算A'!AE$6,1000000))</f>
        <v/>
      </c>
      <c r="IL11">
        <f>IF($B11=0,1000000,IF(INDEX('計算A'!$D$60:$DS$104,$B11,29)*DU11=1,'計算A'!AF$6,1000000))</f>
        <v/>
      </c>
      <c r="IM11">
        <f>IF($B11=0,1000000,IF(INDEX('計算A'!$D$60:$DS$104,$B11,30)*DV11=1,'計算A'!AG$6,1000000))</f>
        <v/>
      </c>
      <c r="IN11">
        <f>IF($B11=0,1000000,IF(INDEX('計算A'!$D$60:$DS$104,$B11,31)*DW11=1,'計算A'!AH$6,1000000))</f>
        <v/>
      </c>
      <c r="IO11">
        <f>IF($B11=0,1000000,IF(INDEX('計算A'!$D$60:$DS$104,$B11,32)*DX11=1,'計算A'!AI$6,1000000))</f>
        <v/>
      </c>
      <c r="IP11">
        <f>IF($B11=0,1000000,IF(INDEX('計算A'!$D$60:$DS$104,$B11,33)*DY11=1,'計算A'!AJ$6,1000000))</f>
        <v/>
      </c>
      <c r="IQ11">
        <f>IF($B11=0,1000000,IF(INDEX('計算A'!$D$60:$DS$104,$B11,34)*DZ11=1,'計算A'!AK$6,1000000))</f>
        <v/>
      </c>
      <c r="IR11">
        <f>IF($B11=0,1000000,IF(INDEX('計算A'!$D$60:$DS$104,$B11,35)*EA11=1,'計算A'!AL$6,1000000))</f>
        <v/>
      </c>
      <c r="IS11">
        <f>IF($B11=0,1000000,IF(INDEX('計算A'!$D$60:$DS$104,$B11,36)*EB11=1,'計算A'!AM$6,1000000))</f>
        <v/>
      </c>
      <c r="IT11">
        <f>IF($B11=0,1000000,IF(INDEX('計算A'!$D$60:$DS$104,$B11,37)*EC11=1,'計算A'!AN$6,1000000))</f>
        <v/>
      </c>
      <c r="IU11">
        <f>IF($B11=0,1000000,IF(INDEX('計算A'!$D$60:$DS$104,$B11,38)*ED11=1,'計算A'!AO$6,1000000))</f>
        <v/>
      </c>
      <c r="IV11">
        <f>IF($B11=0,1000000,IF(INDEX('計算A'!$D$60:$DS$104,$B11,39)*EE11=1,'計算A'!AP$6,1000000))</f>
        <v/>
      </c>
      <c r="IW11">
        <f>IF($B11=0,1000000,IF(INDEX('計算A'!$D$60:$DS$104,$B11,40)*EF11=1,'計算A'!AQ$6,1000000))</f>
        <v/>
      </c>
      <c r="IX11">
        <f>IF($B11=0,1000000,IF(INDEX('計算A'!$D$60:$DS$104,$B11,41)*EG11=1,'計算A'!AR$6,1000000))</f>
        <v/>
      </c>
      <c r="IY11">
        <f>IF($B11=0,1000000,IF(INDEX('計算A'!$D$60:$DS$104,$B11,42)*EH11=1,'計算A'!AS$6,1000000))</f>
        <v/>
      </c>
      <c r="IZ11">
        <f>IF($B11=0,1000000,IF(INDEX('計算A'!$D$60:$DS$104,$B11,43)*EI11=1,'計算A'!AT$6,1000000))</f>
        <v/>
      </c>
      <c r="JA11">
        <f>IF($B11=0,1000000,IF(INDEX('計算A'!$D$60:$DS$104,$B11,44)*EJ11=1,'計算A'!AU$6,1000000))</f>
        <v/>
      </c>
      <c r="JB11">
        <f>IF($B11=0,1000000,IF(INDEX('計算A'!$D$60:$DS$104,$B11,45)*EK11=1,'計算A'!AV$6,1000000))</f>
        <v/>
      </c>
      <c r="JC11">
        <f>IF($B11=0,1000000,IF(INDEX('計算A'!$D$60:$DS$104,$B11,46)*EL11=1,'計算A'!AW$6,1000000))</f>
        <v/>
      </c>
      <c r="JD11">
        <f>IF($B11=0,1000000,IF(INDEX('計算A'!$D$60:$DS$104,$B11,47)*EM11=1,'計算A'!AX$6,1000000))</f>
        <v/>
      </c>
      <c r="JE11">
        <f>IF($B11=0,1000000,IF(INDEX('計算A'!$D$60:$DS$104,$B11,48)*EN11=1,'計算A'!AY$6,1000000))</f>
        <v/>
      </c>
      <c r="JF11">
        <f>IF($B11=0,1000000,IF(INDEX('計算A'!$D$60:$DS$104,$B11,49)*EO11=1,'計算A'!AZ$6,1000000))</f>
        <v/>
      </c>
      <c r="JG11">
        <f>IF($B11=0,1000000,IF(INDEX('計算A'!$D$60:$DS$104,$B11,50)*EP11=1,'計算A'!BA$6,1000000))</f>
        <v/>
      </c>
      <c r="JH11">
        <f>IF($B11=0,1000000,IF(INDEX('計算A'!$D$60:$DS$104,$B11,51)*EQ11=1,'計算A'!BB$6,1000000))</f>
        <v/>
      </c>
      <c r="JI11">
        <f>IF($B11=0,1000000,IF(INDEX('計算A'!$D$60:$DS$104,$B11,52)*ER11=1,'計算A'!BC$6,1000000))</f>
        <v/>
      </c>
      <c r="JJ11">
        <f>IF($B11=0,1000000,IF(INDEX('計算A'!$D$60:$DS$104,$B11,53)*ES11=1,'計算A'!BD$6,1000000))</f>
        <v/>
      </c>
      <c r="JK11">
        <f>IF($B11=0,1000000,IF(INDEX('計算A'!$D$60:$DS$104,$B11,54)*ET11=1,'計算A'!BE$6,1000000))</f>
        <v/>
      </c>
      <c r="JL11">
        <f>IF($B11=0,1000000,IF(INDEX('計算A'!$D$60:$DS$104,$B11,55)*EU11=1,'計算A'!BF$6,1000000))</f>
        <v/>
      </c>
      <c r="JM11">
        <f>IF($B11=0,1000000,IF(INDEX('計算A'!$D$60:$DS$104,$B11,56)*EV11=1,'計算A'!BG$6,1000000))</f>
        <v/>
      </c>
      <c r="JN11">
        <f>IF($B11=0,1000000,IF(INDEX('計算A'!$D$60:$DS$104,$B11,57)*EW11=1,'計算A'!BH$6,1000000))</f>
        <v/>
      </c>
      <c r="JO11">
        <f>IF($B11=0,1000000,IF(INDEX('計算A'!$D$60:$DS$104,$B11,58)*EX11=1,'計算A'!BI$6,1000000))</f>
        <v/>
      </c>
      <c r="JP11">
        <f>IF($B11=0,1000000,IF(INDEX('計算A'!$D$60:$DS$104,$B11,59)*EY11=1,'計算A'!BJ$6,1000000))</f>
        <v/>
      </c>
      <c r="JQ11">
        <f>IF($B11=0,1000000,IF(INDEX('計算A'!$D$60:$DS$104,$B11,60)*EZ11=1,'計算A'!BK$6,1000000))</f>
        <v/>
      </c>
      <c r="JR11">
        <f>IF($B11=0,1000000,IF(INDEX('計算A'!$D$60:$DS$104,$B11,61)*FA11=1,'計算A'!BL$6,1000000))</f>
        <v/>
      </c>
      <c r="JS11">
        <f>IF($B11=0,1000000,IF(INDEX('計算A'!$D$60:$DS$104,$B11,62)*FB11=1,'計算A'!BM$6,1000000))</f>
        <v/>
      </c>
      <c r="JT11">
        <f>IF($B11=0,1000000,IF(INDEX('計算A'!$D$60:$DS$104,$B11,63)*FC11=1,'計算A'!BN$6,1000000))</f>
        <v/>
      </c>
      <c r="JU11">
        <f>IF($B11=0,1000000,IF(INDEX('計算A'!$D$60:$DS$104,$B11,64)*FD11=1,'計算A'!BO$6,1000000))</f>
        <v/>
      </c>
      <c r="JV11">
        <f>IF($B11=0,1000000,IF(INDEX('計算A'!$D$60:$DS$104,$B11,65)*FE11=1,'計算A'!BP$6,1000000))</f>
        <v/>
      </c>
      <c r="JW11">
        <f>IF($B11=0,1000000,IF(INDEX('計算A'!$D$60:$DS$104,$B11,66)*FF11=1,'計算A'!BQ$6,1000000))</f>
        <v/>
      </c>
      <c r="JX11">
        <f>IF($B11=0,1000000,IF(INDEX('計算A'!$D$60:$DS$104,$B11,67)*FG11=1,'計算A'!BR$6,1000000))</f>
        <v/>
      </c>
      <c r="JY11">
        <f>IF($B11=0,1000000,IF(INDEX('計算A'!$D$60:$DS$104,$B11,68)*FH11=1,'計算A'!BS$6,1000000))</f>
        <v/>
      </c>
      <c r="JZ11">
        <f>IF($B11=0,1000000,IF(INDEX('計算A'!$D$60:$DS$104,$B11,69)*FI11=1,'計算A'!BT$6,1000000))</f>
        <v/>
      </c>
      <c r="KA11">
        <f>IF($B11=0,1000000,IF(INDEX('計算A'!$D$60:$DS$104,$B11,70)*FJ11=1,'計算A'!BU$6,1000000))</f>
        <v/>
      </c>
      <c r="KB11">
        <f>IF($B11=0,1000000,IF(INDEX('計算A'!$D$60:$DS$104,$B11,71)*FK11=1,'計算A'!BV$6,1000000))</f>
        <v/>
      </c>
      <c r="KC11">
        <f>IF($B11=0,1000000,IF(INDEX('計算A'!$D$60:$DS$104,$B11,72)*FL11=1,'計算A'!BW$6,1000000))</f>
        <v/>
      </c>
      <c r="KD11">
        <f>IF($B11=0,1000000,IF(INDEX('計算A'!$D$60:$DS$104,$B11,73)*FM11=1,'計算A'!BX$6,1000000))</f>
        <v/>
      </c>
      <c r="KE11">
        <f>IF($B11=0,1000000,IF(INDEX('計算A'!$D$60:$DS$104,$B11,74)*FN11=1,'計算A'!BY$6,1000000))</f>
        <v/>
      </c>
      <c r="KF11">
        <f>IF($B11=0,1000000,IF(INDEX('計算A'!$D$60:$DS$104,$B11,75)*FO11=1,'計算A'!BZ$6,1000000))</f>
        <v/>
      </c>
      <c r="KG11">
        <f>IF($B11=0,1000000,IF(INDEX('計算A'!$D$60:$DS$104,$B11,76)*FP11=1,'計算A'!CA$6,1000000))</f>
        <v/>
      </c>
      <c r="KH11">
        <f>IF($B11=0,1000000,IF(INDEX('計算A'!$D$60:$DS$104,$B11,77)*FQ11=1,'計算A'!CB$6,1000000))</f>
        <v/>
      </c>
      <c r="KI11">
        <f>IF($B11=0,1000000,IF(INDEX('計算A'!$D$60:$DS$104,$B11,78)*FR11=1,'計算A'!CC$6,1000000))</f>
        <v/>
      </c>
      <c r="KJ11">
        <f>IF($B11=0,1000000,IF(INDEX('計算A'!$D$60:$DS$104,$B11,79)*FS11=1,'計算A'!CD$6,1000000))</f>
        <v/>
      </c>
      <c r="KK11">
        <f>IF($B11=0,1000000,IF(INDEX('計算A'!$D$60:$DS$104,$B11,80)*FT11=1,'計算A'!CE$6,1000000))</f>
        <v/>
      </c>
      <c r="KL11">
        <f>IF($B11=0,1000000,IF(INDEX('計算A'!$D$60:$DS$104,$B11,81)*FU11=1,'計算A'!CF$6,1000000))</f>
        <v/>
      </c>
      <c r="KM11">
        <f>IF($B11=0,1000000,IF(INDEX('計算A'!$D$60:$DS$104,$B11,82)*FV11=1,'計算A'!CG$6,1000000))</f>
        <v/>
      </c>
      <c r="KN11">
        <f>IF($B11=0,1000000,IF(INDEX('計算A'!$D$60:$DS$104,$B11,83)*FW11=1,'計算A'!CH$6,1000000))</f>
        <v/>
      </c>
      <c r="KO11">
        <f>IF($B11=0,1000000,IF(INDEX('計算A'!$D$60:$DS$104,$B11,84)*FX11=1,'計算A'!CI$6,1000000))</f>
        <v/>
      </c>
      <c r="KP11">
        <f>IF($B11=0,1000000,IF(INDEX('計算A'!$D$60:$DS$104,$B11,85)*FY11=1,'計算A'!CJ$6,1000000))</f>
        <v/>
      </c>
      <c r="KQ11">
        <f>IF($B11=0,1000000,IF(INDEX('計算A'!$D$60:$DS$104,$B11,86)*FZ11=1,'計算A'!CK$6,1000000))</f>
        <v/>
      </c>
      <c r="KR11">
        <f>IF($B11=0,1000000,IF(INDEX('計算A'!$D$60:$DS$104,$B11,87)*GA11=1,'計算A'!CL$6,1000000))</f>
        <v/>
      </c>
      <c r="KS11">
        <f>IF($B11=0,1000000,IF(INDEX('計算A'!$D$60:$DS$104,$B11,88)*GB11=1,'計算A'!CM$6,1000000))</f>
        <v/>
      </c>
      <c r="KT11">
        <f>IF($B11=0,1000000,IF(INDEX('計算A'!$D$60:$DS$104,$B11,89)*GC11=1,'計算A'!CN$6,1000000))</f>
        <v/>
      </c>
      <c r="KU11">
        <f>IF($B11=0,1000000,IF(INDEX('計算A'!$D$60:$DS$104,$B11,90)*GD11=1,'計算A'!CO$6,1000000))</f>
        <v/>
      </c>
      <c r="KV11">
        <f>IF($B11=0,1000000,IF(INDEX('計算A'!$D$60:$DS$104,$B11,91)*GE11=1,'計算A'!CP$6,1000000))</f>
        <v/>
      </c>
      <c r="KW11">
        <f>IF($B11=0,1000000,IF(INDEX('計算A'!$D$60:$DS$104,$B11,92)*GF11=1,'計算A'!CQ$6,1000000))</f>
        <v/>
      </c>
      <c r="KX11">
        <f>IF($B11=0,1000000,IF(INDEX('計算A'!$D$60:$DS$104,$B11,93)*GG11=1,'計算A'!CR$6,1000000))</f>
        <v/>
      </c>
      <c r="KY11">
        <f>IF($B11=0,1000000,IF(INDEX('計算A'!$D$60:$DS$104,$B11,94)*GH11=1,'計算A'!CS$6,1000000))</f>
        <v/>
      </c>
      <c r="KZ11">
        <f>IF($B11=0,1000000,IF(INDEX('計算A'!$D$60:$DS$104,$B11,95)*GI11=1,'計算A'!CT$6,1000000))</f>
        <v/>
      </c>
      <c r="LA11">
        <f>IF($B11=0,1000000,IF(INDEX('計算A'!$D$60:$DS$104,$B11,96)*GJ11=1,'計算A'!CU$6,1000000))</f>
        <v/>
      </c>
      <c r="LB11">
        <f>IF($B11=0,1000000,IF(INDEX('計算A'!$D$60:$DS$104,$B11,97)*GK11=1,'計算A'!CV$6,1000000))</f>
        <v/>
      </c>
      <c r="LC11">
        <f>IF($B11=0,1000000,IF(INDEX('計算A'!$D$60:$DS$104,$B11,98)*GL11=1,'計算A'!CW$6,1000000))</f>
        <v/>
      </c>
      <c r="LD11">
        <f>IF($B11=0,1000000,IF(INDEX('計算A'!$D$60:$DS$104,$B11,99)*GM11=1,'計算A'!CX$6,1000000))</f>
        <v/>
      </c>
      <c r="LE11">
        <f>IF($B11=0,1000000,IF(INDEX('計算A'!$D$60:$DS$104,$B11,100)*GN11=1,'計算A'!CY$6,1000000))</f>
        <v/>
      </c>
      <c r="LF11">
        <f>IF($B11=0,1000000,IF(INDEX('計算A'!$D$60:$DS$104,$B11,101)*GO11=1,'計算A'!CZ$6,1000000))</f>
        <v/>
      </c>
      <c r="LG11">
        <f>IF($B11=0,1000000,IF(INDEX('計算A'!$D$60:$DS$104,$B11,102)*GP11=1,'計算A'!DA$6,1000000))</f>
        <v/>
      </c>
      <c r="LH11">
        <f>IF($B11=0,1000000,IF(INDEX('計算A'!$D$60:$DS$104,$B11,103)*GQ11=1,'計算A'!DB$6,1000000))</f>
        <v/>
      </c>
      <c r="LI11">
        <f>IF($B11=0,1000000,IF(INDEX('計算A'!$D$60:$DS$104,$B11,104)*GR11=1,'計算A'!DC$6,1000000))</f>
        <v/>
      </c>
      <c r="LJ11">
        <f>IF($B11=0,1000000,IF(INDEX('計算A'!$D$60:$DS$104,$B11,105)*GS11=1,'計算A'!DD$6,1000000))</f>
        <v/>
      </c>
      <c r="LK11">
        <f>IF($B11=0,1000000,IF(INDEX('計算A'!$D$60:$DS$104,$B11,106)*GT11=1,'計算A'!DE$6,1000000))</f>
        <v/>
      </c>
      <c r="LL11">
        <f>IF($B11=0,1000000,IF(INDEX('計算A'!$D$60:$DS$104,$B11,107)*GU11=1,'計算A'!DF$6,1000000))</f>
        <v/>
      </c>
      <c r="LM11">
        <f>IF($B11=0,1000000,IF(INDEX('計算A'!$D$60:$DS$104,$B11,108)*GV11=1,'計算A'!DG$6,1000000))</f>
        <v/>
      </c>
      <c r="LN11">
        <f>IF($B11=0,1000000,IF(INDEX('計算A'!$D$60:$DS$104,$B11,109)*GW11=1,'計算A'!DH$6,1000000))</f>
        <v/>
      </c>
      <c r="LO11">
        <f>IF($B11=0,1000000,IF(INDEX('計算A'!$D$60:$DS$104,$B11,110)*GX11=1,'計算A'!DI$6,1000000))</f>
        <v/>
      </c>
      <c r="LP11">
        <f>IF($B11=0,1000000,IF(INDEX('計算A'!$D$60:$DS$104,$B11,111)*GY11=1,'計算A'!DJ$6,1000000))</f>
        <v/>
      </c>
      <c r="LQ11">
        <f>IF($B11=0,1000000,IF(INDEX('計算A'!$D$60:$DS$104,$B11,112)*GZ11=1,'計算A'!DK$6,1000000))</f>
        <v/>
      </c>
      <c r="LR11">
        <f>IF($B11=0,1000000,IF(INDEX('計算A'!$D$60:$DS$104,$B11,113)*HA11=1,'計算A'!DL$6,1000000))</f>
        <v/>
      </c>
      <c r="LS11">
        <f>IF($B11=0,1000000,IF(INDEX('計算A'!$D$60:$DS$104,$B11,114)*HB11=1,'計算A'!DM$6,1000000))</f>
        <v/>
      </c>
      <c r="LT11">
        <f>IF($B11=0,1000000,IF(INDEX('計算A'!$D$60:$DS$104,$B11,115)*HC11=1,'計算A'!DN$6,1000000))</f>
        <v/>
      </c>
      <c r="LU11">
        <f>IF($B11=0,1000000,IF(INDEX('計算A'!$D$60:$DS$104,$B11,116)*HD11=1,'計算A'!DO$6,1000000))</f>
        <v/>
      </c>
      <c r="LV11">
        <f>IF($B11=0,1000000,IF(INDEX('計算A'!$D$60:$DS$104,$B11,117)*HE11=1,'計算A'!DP$6,1000000))</f>
        <v/>
      </c>
      <c r="LW11">
        <f>IF($B11=0,1000000,IF(INDEX('計算A'!$D$60:$DS$104,$B11,118)*HF11=1,'計算A'!DQ$6,1000000))</f>
        <v/>
      </c>
      <c r="LX11">
        <f>IF($B11=0,1000000,IF(INDEX('計算A'!$D$60:$DS$104,$B11,119)*HG11=1,'計算A'!DR$6,1000000))</f>
        <v/>
      </c>
      <c r="LY11">
        <f>IF($B11=0,1000000,IF(INDEX('計算A'!$D$60:$DS$104,$B11,120)*HH11=1,'計算A'!DS$6,1000000))</f>
        <v/>
      </c>
    </row>
    <row r="12">
      <c r="A12" t="n">
        <v>10</v>
      </c>
      <c r="B12">
        <f>IF(MIN(AY12:CQ12)&gt;=1000000,0,MATCH(MIN(AY12:CQ12),AY12:CQ12,0))</f>
        <v/>
      </c>
      <c r="C12">
        <f>IF(MIN(HJ12:LY12)&gt;=1000000,0,MATCH(MIN(HJ12:LY12),HJ12:LY12,0))</f>
        <v/>
      </c>
      <c r="D12">
        <f>IF(C12&gt;0,INDEX('計算A'!$D$5:$DS$5,C12),0)</f>
        <v/>
      </c>
      <c r="E12">
        <f>MAX(E11,IF($B11=1,1,0))</f>
        <v/>
      </c>
      <c r="F12">
        <f>MAX(F11,IF($B11=2,1,0))</f>
        <v/>
      </c>
      <c r="G12">
        <f>MAX(G11,IF($B11=3,1,0))</f>
        <v/>
      </c>
      <c r="H12">
        <f>MAX(H11,IF($B11=4,1,0))</f>
        <v/>
      </c>
      <c r="I12">
        <f>MAX(I11,IF($B11=5,1,0))</f>
        <v/>
      </c>
      <c r="J12">
        <f>MAX(J11,IF($B11=6,1,0))</f>
        <v/>
      </c>
      <c r="K12">
        <f>MAX(K11,IF($B11=7,1,0))</f>
        <v/>
      </c>
      <c r="L12">
        <f>MAX(L11,IF($B11=8,1,0))</f>
        <v/>
      </c>
      <c r="M12">
        <f>MAX(M11,IF($B11=9,1,0))</f>
        <v/>
      </c>
      <c r="N12">
        <f>MAX(N11,IF($B11=10,1,0))</f>
        <v/>
      </c>
      <c r="O12">
        <f>MAX(O11,IF($B11=11,1,0))</f>
        <v/>
      </c>
      <c r="P12">
        <f>MAX(P11,IF($B11=12,1,0))</f>
        <v/>
      </c>
      <c r="Q12">
        <f>MAX(Q11,IF($B11=13,1,0))</f>
        <v/>
      </c>
      <c r="R12">
        <f>MAX(R11,IF($B11=14,1,0))</f>
        <v/>
      </c>
      <c r="S12">
        <f>MAX(S11,IF($B11=15,1,0))</f>
        <v/>
      </c>
      <c r="T12">
        <f>MAX(T11,IF($B11=16,1,0))</f>
        <v/>
      </c>
      <c r="U12">
        <f>MAX(U11,IF($B11=17,1,0))</f>
        <v/>
      </c>
      <c r="V12">
        <f>MAX(V11,IF($B11=18,1,0))</f>
        <v/>
      </c>
      <c r="W12">
        <f>MAX(W11,IF($B11=19,1,0))</f>
        <v/>
      </c>
      <c r="X12">
        <f>MAX(X11,IF($B11=20,1,0))</f>
        <v/>
      </c>
      <c r="Y12">
        <f>MAX(Y11,IF($B11=21,1,0))</f>
        <v/>
      </c>
      <c r="Z12">
        <f>MAX(Z11,IF($B11=22,1,0))</f>
        <v/>
      </c>
      <c r="AA12">
        <f>MAX(AA11,IF($B11=23,1,0))</f>
        <v/>
      </c>
      <c r="AB12">
        <f>MAX(AB11,IF($B11=24,1,0))</f>
        <v/>
      </c>
      <c r="AC12">
        <f>MAX(AC11,IF($B11=25,1,0))</f>
        <v/>
      </c>
      <c r="AD12">
        <f>MAX(AD11,IF($B11=26,1,0))</f>
        <v/>
      </c>
      <c r="AE12">
        <f>MAX(AE11,IF($B11=27,1,0))</f>
        <v/>
      </c>
      <c r="AF12">
        <f>MAX(AF11,IF($B11=28,1,0))</f>
        <v/>
      </c>
      <c r="AG12">
        <f>MAX(AG11,IF($B11=29,1,0))</f>
        <v/>
      </c>
      <c r="AH12">
        <f>MAX(AH11,IF($B11=30,1,0))</f>
        <v/>
      </c>
      <c r="AI12">
        <f>MAX(AI11,IF($B11=31,1,0))</f>
        <v/>
      </c>
      <c r="AJ12">
        <f>MAX(AJ11,IF($B11=32,1,0))</f>
        <v/>
      </c>
      <c r="AK12">
        <f>MAX(AK11,IF($B11=33,1,0))</f>
        <v/>
      </c>
      <c r="AL12">
        <f>MAX(AL11,IF($B11=34,1,0))</f>
        <v/>
      </c>
      <c r="AM12">
        <f>MAX(AM11,IF($B11=35,1,0))</f>
        <v/>
      </c>
      <c r="AN12">
        <f>MAX(AN11,IF($B11=36,1,0))</f>
        <v/>
      </c>
      <c r="AO12">
        <f>MAX(AO11,IF($B11=37,1,0))</f>
        <v/>
      </c>
      <c r="AP12">
        <f>MAX(AP11,IF($B11=38,1,0))</f>
        <v/>
      </c>
      <c r="AQ12">
        <f>MAX(AQ11,IF($B11=39,1,0))</f>
        <v/>
      </c>
      <c r="AR12">
        <f>MAX(AR11,IF($B11=40,1,0))</f>
        <v/>
      </c>
      <c r="AS12">
        <f>MAX(AS11,IF($B11=41,1,0))</f>
        <v/>
      </c>
      <c r="AT12">
        <f>MAX(AT11,IF($B11=42,1,0))</f>
        <v/>
      </c>
      <c r="AU12">
        <f>MAX(AU11,IF($B11=43,1,0))</f>
        <v/>
      </c>
      <c r="AV12">
        <f>MAX(AV11,IF($B11=44,1,0))</f>
        <v/>
      </c>
      <c r="AW12">
        <f>MAX(AW11,IF($B11=45,1,0))</f>
        <v/>
      </c>
      <c r="AY12">
        <f>IF(E12=1,1000000,SUMPRODUCT('計算A'!$D$60:$DS$60,$CS12:$HH12)*1000+1)</f>
        <v/>
      </c>
      <c r="AZ12">
        <f>IF(F12=1,1000000,SUMPRODUCT('計算A'!$D$61:$DS$61,$CS12:$HH12)*1000+2)</f>
        <v/>
      </c>
      <c r="BA12">
        <f>IF(G12=1,1000000,SUMPRODUCT('計算A'!$D$62:$DS$62,$CS12:$HH12)*1000+3)</f>
        <v/>
      </c>
      <c r="BB12">
        <f>IF(H12=1,1000000,SUMPRODUCT('計算A'!$D$63:$DS$63,$CS12:$HH12)*1000+4)</f>
        <v/>
      </c>
      <c r="BC12">
        <f>IF(I12=1,1000000,SUMPRODUCT('計算A'!$D$64:$DS$64,$CS12:$HH12)*1000+5)</f>
        <v/>
      </c>
      <c r="BD12">
        <f>IF(J12=1,1000000,SUMPRODUCT('計算A'!$D$65:$DS$65,$CS12:$HH12)*1000+6)</f>
        <v/>
      </c>
      <c r="BE12">
        <f>IF(K12=1,1000000,SUMPRODUCT('計算A'!$D$66:$DS$66,$CS12:$HH12)*1000+7)</f>
        <v/>
      </c>
      <c r="BF12">
        <f>IF(L12=1,1000000,SUMPRODUCT('計算A'!$D$67:$DS$67,$CS12:$HH12)*1000+8)</f>
        <v/>
      </c>
      <c r="BG12">
        <f>IF(M12=1,1000000,SUMPRODUCT('計算A'!$D$68:$DS$68,$CS12:$HH12)*1000+9)</f>
        <v/>
      </c>
      <c r="BH12">
        <f>IF(N12=1,1000000,SUMPRODUCT('計算A'!$D$69:$DS$69,$CS12:$HH12)*1000+10)</f>
        <v/>
      </c>
      <c r="BI12">
        <f>IF(O12=1,1000000,SUMPRODUCT('計算A'!$D$70:$DS$70,$CS12:$HH12)*1000+11)</f>
        <v/>
      </c>
      <c r="BJ12">
        <f>IF(P12=1,1000000,SUMPRODUCT('計算A'!$D$71:$DS$71,$CS12:$HH12)*1000+12)</f>
        <v/>
      </c>
      <c r="BK12">
        <f>IF(Q12=1,1000000,SUMPRODUCT('計算A'!$D$72:$DS$72,$CS12:$HH12)*1000+13)</f>
        <v/>
      </c>
      <c r="BL12">
        <f>IF(R12=1,1000000,SUMPRODUCT('計算A'!$D$73:$DS$73,$CS12:$HH12)*1000+14)</f>
        <v/>
      </c>
      <c r="BM12">
        <f>IF(S12=1,1000000,SUMPRODUCT('計算A'!$D$74:$DS$74,$CS12:$HH12)*1000+15)</f>
        <v/>
      </c>
      <c r="BN12">
        <f>IF(T12=1,1000000,SUMPRODUCT('計算A'!$D$75:$DS$75,$CS12:$HH12)*1000+16)</f>
        <v/>
      </c>
      <c r="BO12">
        <f>IF(U12=1,1000000,SUMPRODUCT('計算A'!$D$76:$DS$76,$CS12:$HH12)*1000+17)</f>
        <v/>
      </c>
      <c r="BP12">
        <f>IF(V12=1,1000000,SUMPRODUCT('計算A'!$D$77:$DS$77,$CS12:$HH12)*1000+18)</f>
        <v/>
      </c>
      <c r="BQ12">
        <f>IF(W12=1,1000000,SUMPRODUCT('計算A'!$D$78:$DS$78,$CS12:$HH12)*1000+19)</f>
        <v/>
      </c>
      <c r="BR12">
        <f>IF(X12=1,1000000,SUMPRODUCT('計算A'!$D$79:$DS$79,$CS12:$HH12)*1000+20)</f>
        <v/>
      </c>
      <c r="BS12">
        <f>IF(Y12=1,1000000,SUMPRODUCT('計算A'!$D$80:$DS$80,$CS12:$HH12)*1000+21)</f>
        <v/>
      </c>
      <c r="BT12">
        <f>IF(Z12=1,1000000,SUMPRODUCT('計算A'!$D$81:$DS$81,$CS12:$HH12)*1000+22)</f>
        <v/>
      </c>
      <c r="BU12">
        <f>IF(AA12=1,1000000,SUMPRODUCT('計算A'!$D$82:$DS$82,$CS12:$HH12)*1000+23)</f>
        <v/>
      </c>
      <c r="BV12">
        <f>IF(AB12=1,1000000,SUMPRODUCT('計算A'!$D$83:$DS$83,$CS12:$HH12)*1000+24)</f>
        <v/>
      </c>
      <c r="BW12">
        <f>IF(AC12=1,1000000,SUMPRODUCT('計算A'!$D$84:$DS$84,$CS12:$HH12)*1000+25)</f>
        <v/>
      </c>
      <c r="BX12">
        <f>IF(AD12=1,1000000,SUMPRODUCT('計算A'!$D$85:$DS$85,$CS12:$HH12)*1000+26)</f>
        <v/>
      </c>
      <c r="BY12">
        <f>IF(AE12=1,1000000,SUMPRODUCT('計算A'!$D$86:$DS$86,$CS12:$HH12)*1000+27)</f>
        <v/>
      </c>
      <c r="BZ12">
        <f>IF(AF12=1,1000000,SUMPRODUCT('計算A'!$D$87:$DS$87,$CS12:$HH12)*1000+28)</f>
        <v/>
      </c>
      <c r="CA12">
        <f>IF(AG12=1,1000000,SUMPRODUCT('計算A'!$D$88:$DS$88,$CS12:$HH12)*1000+29)</f>
        <v/>
      </c>
      <c r="CB12">
        <f>IF(AH12=1,1000000,SUMPRODUCT('計算A'!$D$89:$DS$89,$CS12:$HH12)*1000+30)</f>
        <v/>
      </c>
      <c r="CC12">
        <f>IF(AI12=1,1000000,SUMPRODUCT('計算A'!$D$90:$DS$90,$CS12:$HH12)*1000+31)</f>
        <v/>
      </c>
      <c r="CD12">
        <f>IF(AJ12=1,1000000,SUMPRODUCT('計算A'!$D$91:$DS$91,$CS12:$HH12)*1000+32)</f>
        <v/>
      </c>
      <c r="CE12">
        <f>IF(AK12=1,1000000,SUMPRODUCT('計算A'!$D$92:$DS$92,$CS12:$HH12)*1000+33)</f>
        <v/>
      </c>
      <c r="CF12">
        <f>IF(AL12=1,1000000,SUMPRODUCT('計算A'!$D$93:$DS$93,$CS12:$HH12)*1000+34)</f>
        <v/>
      </c>
      <c r="CG12">
        <f>IF(AM12=1,1000000,SUMPRODUCT('計算A'!$D$94:$DS$94,$CS12:$HH12)*1000+35)</f>
        <v/>
      </c>
      <c r="CH12">
        <f>IF(AN12=1,1000000,SUMPRODUCT('計算A'!$D$95:$DS$95,$CS12:$HH12)*1000+36)</f>
        <v/>
      </c>
      <c r="CI12">
        <f>IF(AO12=1,1000000,SUMPRODUCT('計算A'!$D$96:$DS$96,$CS12:$HH12)*1000+37)</f>
        <v/>
      </c>
      <c r="CJ12">
        <f>IF(AP12=1,1000000,SUMPRODUCT('計算A'!$D$97:$DS$97,$CS12:$HH12)*1000+38)</f>
        <v/>
      </c>
      <c r="CK12">
        <f>IF(AQ12=1,1000000,SUMPRODUCT('計算A'!$D$98:$DS$98,$CS12:$HH12)*1000+39)</f>
        <v/>
      </c>
      <c r="CL12">
        <f>IF(AR12=1,1000000,SUMPRODUCT('計算A'!$D$99:$DS$99,$CS12:$HH12)*1000+40)</f>
        <v/>
      </c>
      <c r="CM12">
        <f>IF(AS12=1,1000000,SUMPRODUCT('計算A'!$D$100:$DS$100,$CS12:$HH12)*1000+41)</f>
        <v/>
      </c>
      <c r="CN12">
        <f>IF(AT12=1,1000000,SUMPRODUCT('計算A'!$D$101:$DS$101,$CS12:$HH12)*1000+42)</f>
        <v/>
      </c>
      <c r="CO12">
        <f>IF(AU12=1,1000000,SUMPRODUCT('計算A'!$D$102:$DS$102,$CS12:$HH12)*1000+43)</f>
        <v/>
      </c>
      <c r="CP12">
        <f>IF(AV12=1,1000000,SUMPRODUCT('計算A'!$D$103:$DS$103,$CS12:$HH12)*1000+44)</f>
        <v/>
      </c>
      <c r="CQ12">
        <f>IF(AW12=1,1000000,SUMPRODUCT('計算A'!$D$104:$DS$104,$CS12:$HH12)*1000+45)</f>
        <v/>
      </c>
      <c r="CS12">
        <f>CS11*IF($C11=1,0,1)</f>
        <v/>
      </c>
      <c r="CT12">
        <f>CT11*IF($C11=2,0,1)</f>
        <v/>
      </c>
      <c r="CU12">
        <f>CU11*IF($C11=3,0,1)</f>
        <v/>
      </c>
      <c r="CV12">
        <f>CV11*IF($C11=4,0,1)</f>
        <v/>
      </c>
      <c r="CW12">
        <f>CW11*IF($C11=5,0,1)</f>
        <v/>
      </c>
      <c r="CX12">
        <f>CX11*IF($C11=6,0,1)</f>
        <v/>
      </c>
      <c r="CY12">
        <f>CY11*IF($C11=7,0,1)</f>
        <v/>
      </c>
      <c r="CZ12">
        <f>CZ11*IF($C11=8,0,1)</f>
        <v/>
      </c>
      <c r="DA12">
        <f>DA11*IF($C11=9,0,1)</f>
        <v/>
      </c>
      <c r="DB12">
        <f>DB11*IF($C11=10,0,1)</f>
        <v/>
      </c>
      <c r="DC12">
        <f>DC11*IF($C11=11,0,1)</f>
        <v/>
      </c>
      <c r="DD12">
        <f>DD11*IF($C11=12,0,1)</f>
        <v/>
      </c>
      <c r="DE12">
        <f>DE11*IF($C11=13,0,1)</f>
        <v/>
      </c>
      <c r="DF12">
        <f>DF11*IF($C11=14,0,1)</f>
        <v/>
      </c>
      <c r="DG12">
        <f>DG11*IF($C11=15,0,1)</f>
        <v/>
      </c>
      <c r="DH12">
        <f>DH11*IF($C11=16,0,1)</f>
        <v/>
      </c>
      <c r="DI12">
        <f>DI11*IF($C11=17,0,1)</f>
        <v/>
      </c>
      <c r="DJ12">
        <f>DJ11*IF($C11=18,0,1)</f>
        <v/>
      </c>
      <c r="DK12">
        <f>DK11*IF($C11=19,0,1)</f>
        <v/>
      </c>
      <c r="DL12">
        <f>DL11*IF($C11=20,0,1)</f>
        <v/>
      </c>
      <c r="DM12">
        <f>DM11*IF($C11=21,0,1)</f>
        <v/>
      </c>
      <c r="DN12">
        <f>DN11*IF($C11=22,0,1)</f>
        <v/>
      </c>
      <c r="DO12">
        <f>DO11*IF($C11=23,0,1)</f>
        <v/>
      </c>
      <c r="DP12">
        <f>DP11*IF($C11=24,0,1)</f>
        <v/>
      </c>
      <c r="DQ12">
        <f>DQ11*IF($C11=25,0,1)</f>
        <v/>
      </c>
      <c r="DR12">
        <f>DR11*IF($C11=26,0,1)</f>
        <v/>
      </c>
      <c r="DS12">
        <f>DS11*IF($C11=27,0,1)</f>
        <v/>
      </c>
      <c r="DT12">
        <f>DT11*IF($C11=28,0,1)</f>
        <v/>
      </c>
      <c r="DU12">
        <f>DU11*IF($C11=29,0,1)</f>
        <v/>
      </c>
      <c r="DV12">
        <f>DV11*IF($C11=30,0,1)</f>
        <v/>
      </c>
      <c r="DW12">
        <f>DW11*IF($C11=31,0,1)</f>
        <v/>
      </c>
      <c r="DX12">
        <f>DX11*IF($C11=32,0,1)</f>
        <v/>
      </c>
      <c r="DY12">
        <f>DY11*IF($C11=33,0,1)</f>
        <v/>
      </c>
      <c r="DZ12">
        <f>DZ11*IF($C11=34,0,1)</f>
        <v/>
      </c>
      <c r="EA12">
        <f>EA11*IF($C11=35,0,1)</f>
        <v/>
      </c>
      <c r="EB12">
        <f>EB11*IF($C11=36,0,1)</f>
        <v/>
      </c>
      <c r="EC12">
        <f>EC11*IF($C11=37,0,1)</f>
        <v/>
      </c>
      <c r="ED12">
        <f>ED11*IF($C11=38,0,1)</f>
        <v/>
      </c>
      <c r="EE12">
        <f>EE11*IF($C11=39,0,1)</f>
        <v/>
      </c>
      <c r="EF12">
        <f>EF11*IF($C11=40,0,1)</f>
        <v/>
      </c>
      <c r="EG12">
        <f>EG11*IF($C11=41,0,1)</f>
        <v/>
      </c>
      <c r="EH12">
        <f>EH11*IF($C11=42,0,1)</f>
        <v/>
      </c>
      <c r="EI12">
        <f>EI11*IF($C11=43,0,1)</f>
        <v/>
      </c>
      <c r="EJ12">
        <f>EJ11*IF($C11=44,0,1)</f>
        <v/>
      </c>
      <c r="EK12">
        <f>EK11*IF($C11=45,0,1)</f>
        <v/>
      </c>
      <c r="EL12">
        <f>EL11*IF($C11=46,0,1)</f>
        <v/>
      </c>
      <c r="EM12">
        <f>EM11*IF($C11=47,0,1)</f>
        <v/>
      </c>
      <c r="EN12">
        <f>EN11*IF($C11=48,0,1)</f>
        <v/>
      </c>
      <c r="EO12">
        <f>EO11*IF($C11=49,0,1)</f>
        <v/>
      </c>
      <c r="EP12">
        <f>EP11*IF($C11=50,0,1)</f>
        <v/>
      </c>
      <c r="EQ12">
        <f>EQ11*IF($C11=51,0,1)</f>
        <v/>
      </c>
      <c r="ER12">
        <f>ER11*IF($C11=52,0,1)</f>
        <v/>
      </c>
      <c r="ES12">
        <f>ES11*IF($C11=53,0,1)</f>
        <v/>
      </c>
      <c r="ET12">
        <f>ET11*IF($C11=54,0,1)</f>
        <v/>
      </c>
      <c r="EU12">
        <f>EU11*IF($C11=55,0,1)</f>
        <v/>
      </c>
      <c r="EV12">
        <f>EV11*IF($C11=56,0,1)</f>
        <v/>
      </c>
      <c r="EW12">
        <f>EW11*IF($C11=57,0,1)</f>
        <v/>
      </c>
      <c r="EX12">
        <f>EX11*IF($C11=58,0,1)</f>
        <v/>
      </c>
      <c r="EY12">
        <f>EY11*IF($C11=59,0,1)</f>
        <v/>
      </c>
      <c r="EZ12">
        <f>EZ11*IF($C11=60,0,1)</f>
        <v/>
      </c>
      <c r="FA12">
        <f>FA11*IF($C11=61,0,1)</f>
        <v/>
      </c>
      <c r="FB12">
        <f>FB11*IF($C11=62,0,1)</f>
        <v/>
      </c>
      <c r="FC12">
        <f>FC11*IF($C11=63,0,1)</f>
        <v/>
      </c>
      <c r="FD12">
        <f>FD11*IF($C11=64,0,1)</f>
        <v/>
      </c>
      <c r="FE12">
        <f>FE11*IF($C11=65,0,1)</f>
        <v/>
      </c>
      <c r="FF12">
        <f>FF11*IF($C11=66,0,1)</f>
        <v/>
      </c>
      <c r="FG12">
        <f>FG11*IF($C11=67,0,1)</f>
        <v/>
      </c>
      <c r="FH12">
        <f>FH11*IF($C11=68,0,1)</f>
        <v/>
      </c>
      <c r="FI12">
        <f>FI11*IF($C11=69,0,1)</f>
        <v/>
      </c>
      <c r="FJ12">
        <f>FJ11*IF($C11=70,0,1)</f>
        <v/>
      </c>
      <c r="FK12">
        <f>FK11*IF($C11=71,0,1)</f>
        <v/>
      </c>
      <c r="FL12">
        <f>FL11*IF($C11=72,0,1)</f>
        <v/>
      </c>
      <c r="FM12">
        <f>FM11*IF($C11=73,0,1)</f>
        <v/>
      </c>
      <c r="FN12">
        <f>FN11*IF($C11=74,0,1)</f>
        <v/>
      </c>
      <c r="FO12">
        <f>FO11*IF($C11=75,0,1)</f>
        <v/>
      </c>
      <c r="FP12">
        <f>FP11*IF($C11=76,0,1)</f>
        <v/>
      </c>
      <c r="FQ12">
        <f>FQ11*IF($C11=77,0,1)</f>
        <v/>
      </c>
      <c r="FR12">
        <f>FR11*IF($C11=78,0,1)</f>
        <v/>
      </c>
      <c r="FS12">
        <f>FS11*IF($C11=79,0,1)</f>
        <v/>
      </c>
      <c r="FT12">
        <f>FT11*IF($C11=80,0,1)</f>
        <v/>
      </c>
      <c r="FU12">
        <f>FU11*IF($C11=81,0,1)</f>
        <v/>
      </c>
      <c r="FV12">
        <f>FV11*IF($C11=82,0,1)</f>
        <v/>
      </c>
      <c r="FW12">
        <f>FW11*IF($C11=83,0,1)</f>
        <v/>
      </c>
      <c r="FX12">
        <f>FX11*IF($C11=84,0,1)</f>
        <v/>
      </c>
      <c r="FY12">
        <f>FY11*IF($C11=85,0,1)</f>
        <v/>
      </c>
      <c r="FZ12">
        <f>FZ11*IF($C11=86,0,1)</f>
        <v/>
      </c>
      <c r="GA12">
        <f>GA11*IF($C11=87,0,1)</f>
        <v/>
      </c>
      <c r="GB12">
        <f>GB11*IF($C11=88,0,1)</f>
        <v/>
      </c>
      <c r="GC12">
        <f>GC11*IF($C11=89,0,1)</f>
        <v/>
      </c>
      <c r="GD12">
        <f>GD11*IF($C11=90,0,1)</f>
        <v/>
      </c>
      <c r="GE12">
        <f>GE11*IF($C11=91,0,1)</f>
        <v/>
      </c>
      <c r="GF12">
        <f>GF11*IF($C11=92,0,1)</f>
        <v/>
      </c>
      <c r="GG12">
        <f>GG11*IF($C11=93,0,1)</f>
        <v/>
      </c>
      <c r="GH12">
        <f>GH11*IF($C11=94,0,1)</f>
        <v/>
      </c>
      <c r="GI12">
        <f>GI11*IF($C11=95,0,1)</f>
        <v/>
      </c>
      <c r="GJ12">
        <f>GJ11*IF($C11=96,0,1)</f>
        <v/>
      </c>
      <c r="GK12">
        <f>GK11*IF($C11=97,0,1)</f>
        <v/>
      </c>
      <c r="GL12">
        <f>GL11*IF($C11=98,0,1)</f>
        <v/>
      </c>
      <c r="GM12">
        <f>GM11*IF($C11=99,0,1)</f>
        <v/>
      </c>
      <c r="GN12">
        <f>GN11*IF($C11=100,0,1)</f>
        <v/>
      </c>
      <c r="GO12">
        <f>GO11*IF($C11=101,0,1)</f>
        <v/>
      </c>
      <c r="GP12">
        <f>GP11*IF($C11=102,0,1)</f>
        <v/>
      </c>
      <c r="GQ12">
        <f>GQ11*IF($C11=103,0,1)</f>
        <v/>
      </c>
      <c r="GR12">
        <f>GR11*IF($C11=104,0,1)</f>
        <v/>
      </c>
      <c r="GS12">
        <f>GS11*IF($C11=105,0,1)</f>
        <v/>
      </c>
      <c r="GT12">
        <f>GT11*IF($C11=106,0,1)</f>
        <v/>
      </c>
      <c r="GU12">
        <f>GU11*IF($C11=107,0,1)</f>
        <v/>
      </c>
      <c r="GV12">
        <f>GV11*IF($C11=108,0,1)</f>
        <v/>
      </c>
      <c r="GW12">
        <f>GW11*IF($C11=109,0,1)</f>
        <v/>
      </c>
      <c r="GX12">
        <f>GX11*IF($C11=110,0,1)</f>
        <v/>
      </c>
      <c r="GY12">
        <f>GY11*IF($C11=111,0,1)</f>
        <v/>
      </c>
      <c r="GZ12">
        <f>GZ11*IF($C11=112,0,1)</f>
        <v/>
      </c>
      <c r="HA12">
        <f>HA11*IF($C11=113,0,1)</f>
        <v/>
      </c>
      <c r="HB12">
        <f>HB11*IF($C11=114,0,1)</f>
        <v/>
      </c>
      <c r="HC12">
        <f>HC11*IF($C11=115,0,1)</f>
        <v/>
      </c>
      <c r="HD12">
        <f>HD11*IF($C11=116,0,1)</f>
        <v/>
      </c>
      <c r="HE12">
        <f>HE11*IF($C11=117,0,1)</f>
        <v/>
      </c>
      <c r="HF12">
        <f>HF11*IF($C11=118,0,1)</f>
        <v/>
      </c>
      <c r="HG12">
        <f>HG11*IF($C11=119,0,1)</f>
        <v/>
      </c>
      <c r="HH12">
        <f>HH11*IF($C11=120,0,1)</f>
        <v/>
      </c>
      <c r="HJ12">
        <f>IF($B12=0,1000000,IF(INDEX('計算A'!$D$60:$DS$104,$B12,1)*CS12=1,'計算A'!D$6,1000000))</f>
        <v/>
      </c>
      <c r="HK12">
        <f>IF($B12=0,1000000,IF(INDEX('計算A'!$D$60:$DS$104,$B12,2)*CT12=1,'計算A'!E$6,1000000))</f>
        <v/>
      </c>
      <c r="HL12">
        <f>IF($B12=0,1000000,IF(INDEX('計算A'!$D$60:$DS$104,$B12,3)*CU12=1,'計算A'!F$6,1000000))</f>
        <v/>
      </c>
      <c r="HM12">
        <f>IF($B12=0,1000000,IF(INDEX('計算A'!$D$60:$DS$104,$B12,4)*CV12=1,'計算A'!G$6,1000000))</f>
        <v/>
      </c>
      <c r="HN12">
        <f>IF($B12=0,1000000,IF(INDEX('計算A'!$D$60:$DS$104,$B12,5)*CW12=1,'計算A'!H$6,1000000))</f>
        <v/>
      </c>
      <c r="HO12">
        <f>IF($B12=0,1000000,IF(INDEX('計算A'!$D$60:$DS$104,$B12,6)*CX12=1,'計算A'!I$6,1000000))</f>
        <v/>
      </c>
      <c r="HP12">
        <f>IF($B12=0,1000000,IF(INDEX('計算A'!$D$60:$DS$104,$B12,7)*CY12=1,'計算A'!J$6,1000000))</f>
        <v/>
      </c>
      <c r="HQ12">
        <f>IF($B12=0,1000000,IF(INDEX('計算A'!$D$60:$DS$104,$B12,8)*CZ12=1,'計算A'!K$6,1000000))</f>
        <v/>
      </c>
      <c r="HR12">
        <f>IF($B12=0,1000000,IF(INDEX('計算A'!$D$60:$DS$104,$B12,9)*DA12=1,'計算A'!L$6,1000000))</f>
        <v/>
      </c>
      <c r="HS12">
        <f>IF($B12=0,1000000,IF(INDEX('計算A'!$D$60:$DS$104,$B12,10)*DB12=1,'計算A'!M$6,1000000))</f>
        <v/>
      </c>
      <c r="HT12">
        <f>IF($B12=0,1000000,IF(INDEX('計算A'!$D$60:$DS$104,$B12,11)*DC12=1,'計算A'!N$6,1000000))</f>
        <v/>
      </c>
      <c r="HU12">
        <f>IF($B12=0,1000000,IF(INDEX('計算A'!$D$60:$DS$104,$B12,12)*DD12=1,'計算A'!O$6,1000000))</f>
        <v/>
      </c>
      <c r="HV12">
        <f>IF($B12=0,1000000,IF(INDEX('計算A'!$D$60:$DS$104,$B12,13)*DE12=1,'計算A'!P$6,1000000))</f>
        <v/>
      </c>
      <c r="HW12">
        <f>IF($B12=0,1000000,IF(INDEX('計算A'!$D$60:$DS$104,$B12,14)*DF12=1,'計算A'!Q$6,1000000))</f>
        <v/>
      </c>
      <c r="HX12">
        <f>IF($B12=0,1000000,IF(INDEX('計算A'!$D$60:$DS$104,$B12,15)*DG12=1,'計算A'!R$6,1000000))</f>
        <v/>
      </c>
      <c r="HY12">
        <f>IF($B12=0,1000000,IF(INDEX('計算A'!$D$60:$DS$104,$B12,16)*DH12=1,'計算A'!S$6,1000000))</f>
        <v/>
      </c>
      <c r="HZ12">
        <f>IF($B12=0,1000000,IF(INDEX('計算A'!$D$60:$DS$104,$B12,17)*DI12=1,'計算A'!T$6,1000000))</f>
        <v/>
      </c>
      <c r="IA12">
        <f>IF($B12=0,1000000,IF(INDEX('計算A'!$D$60:$DS$104,$B12,18)*DJ12=1,'計算A'!U$6,1000000))</f>
        <v/>
      </c>
      <c r="IB12">
        <f>IF($B12=0,1000000,IF(INDEX('計算A'!$D$60:$DS$104,$B12,19)*DK12=1,'計算A'!V$6,1000000))</f>
        <v/>
      </c>
      <c r="IC12">
        <f>IF($B12=0,1000000,IF(INDEX('計算A'!$D$60:$DS$104,$B12,20)*DL12=1,'計算A'!W$6,1000000))</f>
        <v/>
      </c>
      <c r="ID12">
        <f>IF($B12=0,1000000,IF(INDEX('計算A'!$D$60:$DS$104,$B12,21)*DM12=1,'計算A'!X$6,1000000))</f>
        <v/>
      </c>
      <c r="IE12">
        <f>IF($B12=0,1000000,IF(INDEX('計算A'!$D$60:$DS$104,$B12,22)*DN12=1,'計算A'!Y$6,1000000))</f>
        <v/>
      </c>
      <c r="IF12">
        <f>IF($B12=0,1000000,IF(INDEX('計算A'!$D$60:$DS$104,$B12,23)*DO12=1,'計算A'!Z$6,1000000))</f>
        <v/>
      </c>
      <c r="IG12">
        <f>IF($B12=0,1000000,IF(INDEX('計算A'!$D$60:$DS$104,$B12,24)*DP12=1,'計算A'!AA$6,1000000))</f>
        <v/>
      </c>
      <c r="IH12">
        <f>IF($B12=0,1000000,IF(INDEX('計算A'!$D$60:$DS$104,$B12,25)*DQ12=1,'計算A'!AB$6,1000000))</f>
        <v/>
      </c>
      <c r="II12">
        <f>IF($B12=0,1000000,IF(INDEX('計算A'!$D$60:$DS$104,$B12,26)*DR12=1,'計算A'!AC$6,1000000))</f>
        <v/>
      </c>
      <c r="IJ12">
        <f>IF($B12=0,1000000,IF(INDEX('計算A'!$D$60:$DS$104,$B12,27)*DS12=1,'計算A'!AD$6,1000000))</f>
        <v/>
      </c>
      <c r="IK12">
        <f>IF($B12=0,1000000,IF(INDEX('計算A'!$D$60:$DS$104,$B12,28)*DT12=1,'計算A'!AE$6,1000000))</f>
        <v/>
      </c>
      <c r="IL12">
        <f>IF($B12=0,1000000,IF(INDEX('計算A'!$D$60:$DS$104,$B12,29)*DU12=1,'計算A'!AF$6,1000000))</f>
        <v/>
      </c>
      <c r="IM12">
        <f>IF($B12=0,1000000,IF(INDEX('計算A'!$D$60:$DS$104,$B12,30)*DV12=1,'計算A'!AG$6,1000000))</f>
        <v/>
      </c>
      <c r="IN12">
        <f>IF($B12=0,1000000,IF(INDEX('計算A'!$D$60:$DS$104,$B12,31)*DW12=1,'計算A'!AH$6,1000000))</f>
        <v/>
      </c>
      <c r="IO12">
        <f>IF($B12=0,1000000,IF(INDEX('計算A'!$D$60:$DS$104,$B12,32)*DX12=1,'計算A'!AI$6,1000000))</f>
        <v/>
      </c>
      <c r="IP12">
        <f>IF($B12=0,1000000,IF(INDEX('計算A'!$D$60:$DS$104,$B12,33)*DY12=1,'計算A'!AJ$6,1000000))</f>
        <v/>
      </c>
      <c r="IQ12">
        <f>IF($B12=0,1000000,IF(INDEX('計算A'!$D$60:$DS$104,$B12,34)*DZ12=1,'計算A'!AK$6,1000000))</f>
        <v/>
      </c>
      <c r="IR12">
        <f>IF($B12=0,1000000,IF(INDEX('計算A'!$D$60:$DS$104,$B12,35)*EA12=1,'計算A'!AL$6,1000000))</f>
        <v/>
      </c>
      <c r="IS12">
        <f>IF($B12=0,1000000,IF(INDEX('計算A'!$D$60:$DS$104,$B12,36)*EB12=1,'計算A'!AM$6,1000000))</f>
        <v/>
      </c>
      <c r="IT12">
        <f>IF($B12=0,1000000,IF(INDEX('計算A'!$D$60:$DS$104,$B12,37)*EC12=1,'計算A'!AN$6,1000000))</f>
        <v/>
      </c>
      <c r="IU12">
        <f>IF($B12=0,1000000,IF(INDEX('計算A'!$D$60:$DS$104,$B12,38)*ED12=1,'計算A'!AO$6,1000000))</f>
        <v/>
      </c>
      <c r="IV12">
        <f>IF($B12=0,1000000,IF(INDEX('計算A'!$D$60:$DS$104,$B12,39)*EE12=1,'計算A'!AP$6,1000000))</f>
        <v/>
      </c>
      <c r="IW12">
        <f>IF($B12=0,1000000,IF(INDEX('計算A'!$D$60:$DS$104,$B12,40)*EF12=1,'計算A'!AQ$6,1000000))</f>
        <v/>
      </c>
      <c r="IX12">
        <f>IF($B12=0,1000000,IF(INDEX('計算A'!$D$60:$DS$104,$B12,41)*EG12=1,'計算A'!AR$6,1000000))</f>
        <v/>
      </c>
      <c r="IY12">
        <f>IF($B12=0,1000000,IF(INDEX('計算A'!$D$60:$DS$104,$B12,42)*EH12=1,'計算A'!AS$6,1000000))</f>
        <v/>
      </c>
      <c r="IZ12">
        <f>IF($B12=0,1000000,IF(INDEX('計算A'!$D$60:$DS$104,$B12,43)*EI12=1,'計算A'!AT$6,1000000))</f>
        <v/>
      </c>
      <c r="JA12">
        <f>IF($B12=0,1000000,IF(INDEX('計算A'!$D$60:$DS$104,$B12,44)*EJ12=1,'計算A'!AU$6,1000000))</f>
        <v/>
      </c>
      <c r="JB12">
        <f>IF($B12=0,1000000,IF(INDEX('計算A'!$D$60:$DS$104,$B12,45)*EK12=1,'計算A'!AV$6,1000000))</f>
        <v/>
      </c>
      <c r="JC12">
        <f>IF($B12=0,1000000,IF(INDEX('計算A'!$D$60:$DS$104,$B12,46)*EL12=1,'計算A'!AW$6,1000000))</f>
        <v/>
      </c>
      <c r="JD12">
        <f>IF($B12=0,1000000,IF(INDEX('計算A'!$D$60:$DS$104,$B12,47)*EM12=1,'計算A'!AX$6,1000000))</f>
        <v/>
      </c>
      <c r="JE12">
        <f>IF($B12=0,1000000,IF(INDEX('計算A'!$D$60:$DS$104,$B12,48)*EN12=1,'計算A'!AY$6,1000000))</f>
        <v/>
      </c>
      <c r="JF12">
        <f>IF($B12=0,1000000,IF(INDEX('計算A'!$D$60:$DS$104,$B12,49)*EO12=1,'計算A'!AZ$6,1000000))</f>
        <v/>
      </c>
      <c r="JG12">
        <f>IF($B12=0,1000000,IF(INDEX('計算A'!$D$60:$DS$104,$B12,50)*EP12=1,'計算A'!BA$6,1000000))</f>
        <v/>
      </c>
      <c r="JH12">
        <f>IF($B12=0,1000000,IF(INDEX('計算A'!$D$60:$DS$104,$B12,51)*EQ12=1,'計算A'!BB$6,1000000))</f>
        <v/>
      </c>
      <c r="JI12">
        <f>IF($B12=0,1000000,IF(INDEX('計算A'!$D$60:$DS$104,$B12,52)*ER12=1,'計算A'!BC$6,1000000))</f>
        <v/>
      </c>
      <c r="JJ12">
        <f>IF($B12=0,1000000,IF(INDEX('計算A'!$D$60:$DS$104,$B12,53)*ES12=1,'計算A'!BD$6,1000000))</f>
        <v/>
      </c>
      <c r="JK12">
        <f>IF($B12=0,1000000,IF(INDEX('計算A'!$D$60:$DS$104,$B12,54)*ET12=1,'計算A'!BE$6,1000000))</f>
        <v/>
      </c>
      <c r="JL12">
        <f>IF($B12=0,1000000,IF(INDEX('計算A'!$D$60:$DS$104,$B12,55)*EU12=1,'計算A'!BF$6,1000000))</f>
        <v/>
      </c>
      <c r="JM12">
        <f>IF($B12=0,1000000,IF(INDEX('計算A'!$D$60:$DS$104,$B12,56)*EV12=1,'計算A'!BG$6,1000000))</f>
        <v/>
      </c>
      <c r="JN12">
        <f>IF($B12=0,1000000,IF(INDEX('計算A'!$D$60:$DS$104,$B12,57)*EW12=1,'計算A'!BH$6,1000000))</f>
        <v/>
      </c>
      <c r="JO12">
        <f>IF($B12=0,1000000,IF(INDEX('計算A'!$D$60:$DS$104,$B12,58)*EX12=1,'計算A'!BI$6,1000000))</f>
        <v/>
      </c>
      <c r="JP12">
        <f>IF($B12=0,1000000,IF(INDEX('計算A'!$D$60:$DS$104,$B12,59)*EY12=1,'計算A'!BJ$6,1000000))</f>
        <v/>
      </c>
      <c r="JQ12">
        <f>IF($B12=0,1000000,IF(INDEX('計算A'!$D$60:$DS$104,$B12,60)*EZ12=1,'計算A'!BK$6,1000000))</f>
        <v/>
      </c>
      <c r="JR12">
        <f>IF($B12=0,1000000,IF(INDEX('計算A'!$D$60:$DS$104,$B12,61)*FA12=1,'計算A'!BL$6,1000000))</f>
        <v/>
      </c>
      <c r="JS12">
        <f>IF($B12=0,1000000,IF(INDEX('計算A'!$D$60:$DS$104,$B12,62)*FB12=1,'計算A'!BM$6,1000000))</f>
        <v/>
      </c>
      <c r="JT12">
        <f>IF($B12=0,1000000,IF(INDEX('計算A'!$D$60:$DS$104,$B12,63)*FC12=1,'計算A'!BN$6,1000000))</f>
        <v/>
      </c>
      <c r="JU12">
        <f>IF($B12=0,1000000,IF(INDEX('計算A'!$D$60:$DS$104,$B12,64)*FD12=1,'計算A'!BO$6,1000000))</f>
        <v/>
      </c>
      <c r="JV12">
        <f>IF($B12=0,1000000,IF(INDEX('計算A'!$D$60:$DS$104,$B12,65)*FE12=1,'計算A'!BP$6,1000000))</f>
        <v/>
      </c>
      <c r="JW12">
        <f>IF($B12=0,1000000,IF(INDEX('計算A'!$D$60:$DS$104,$B12,66)*FF12=1,'計算A'!BQ$6,1000000))</f>
        <v/>
      </c>
      <c r="JX12">
        <f>IF($B12=0,1000000,IF(INDEX('計算A'!$D$60:$DS$104,$B12,67)*FG12=1,'計算A'!BR$6,1000000))</f>
        <v/>
      </c>
      <c r="JY12">
        <f>IF($B12=0,1000000,IF(INDEX('計算A'!$D$60:$DS$104,$B12,68)*FH12=1,'計算A'!BS$6,1000000))</f>
        <v/>
      </c>
      <c r="JZ12">
        <f>IF($B12=0,1000000,IF(INDEX('計算A'!$D$60:$DS$104,$B12,69)*FI12=1,'計算A'!BT$6,1000000))</f>
        <v/>
      </c>
      <c r="KA12">
        <f>IF($B12=0,1000000,IF(INDEX('計算A'!$D$60:$DS$104,$B12,70)*FJ12=1,'計算A'!BU$6,1000000))</f>
        <v/>
      </c>
      <c r="KB12">
        <f>IF($B12=0,1000000,IF(INDEX('計算A'!$D$60:$DS$104,$B12,71)*FK12=1,'計算A'!BV$6,1000000))</f>
        <v/>
      </c>
      <c r="KC12">
        <f>IF($B12=0,1000000,IF(INDEX('計算A'!$D$60:$DS$104,$B12,72)*FL12=1,'計算A'!BW$6,1000000))</f>
        <v/>
      </c>
      <c r="KD12">
        <f>IF($B12=0,1000000,IF(INDEX('計算A'!$D$60:$DS$104,$B12,73)*FM12=1,'計算A'!BX$6,1000000))</f>
        <v/>
      </c>
      <c r="KE12">
        <f>IF($B12=0,1000000,IF(INDEX('計算A'!$D$60:$DS$104,$B12,74)*FN12=1,'計算A'!BY$6,1000000))</f>
        <v/>
      </c>
      <c r="KF12">
        <f>IF($B12=0,1000000,IF(INDEX('計算A'!$D$60:$DS$104,$B12,75)*FO12=1,'計算A'!BZ$6,1000000))</f>
        <v/>
      </c>
      <c r="KG12">
        <f>IF($B12=0,1000000,IF(INDEX('計算A'!$D$60:$DS$104,$B12,76)*FP12=1,'計算A'!CA$6,1000000))</f>
        <v/>
      </c>
      <c r="KH12">
        <f>IF($B12=0,1000000,IF(INDEX('計算A'!$D$60:$DS$104,$B12,77)*FQ12=1,'計算A'!CB$6,1000000))</f>
        <v/>
      </c>
      <c r="KI12">
        <f>IF($B12=0,1000000,IF(INDEX('計算A'!$D$60:$DS$104,$B12,78)*FR12=1,'計算A'!CC$6,1000000))</f>
        <v/>
      </c>
      <c r="KJ12">
        <f>IF($B12=0,1000000,IF(INDEX('計算A'!$D$60:$DS$104,$B12,79)*FS12=1,'計算A'!CD$6,1000000))</f>
        <v/>
      </c>
      <c r="KK12">
        <f>IF($B12=0,1000000,IF(INDEX('計算A'!$D$60:$DS$104,$B12,80)*FT12=1,'計算A'!CE$6,1000000))</f>
        <v/>
      </c>
      <c r="KL12">
        <f>IF($B12=0,1000000,IF(INDEX('計算A'!$D$60:$DS$104,$B12,81)*FU12=1,'計算A'!CF$6,1000000))</f>
        <v/>
      </c>
      <c r="KM12">
        <f>IF($B12=0,1000000,IF(INDEX('計算A'!$D$60:$DS$104,$B12,82)*FV12=1,'計算A'!CG$6,1000000))</f>
        <v/>
      </c>
      <c r="KN12">
        <f>IF($B12=0,1000000,IF(INDEX('計算A'!$D$60:$DS$104,$B12,83)*FW12=1,'計算A'!CH$6,1000000))</f>
        <v/>
      </c>
      <c r="KO12">
        <f>IF($B12=0,1000000,IF(INDEX('計算A'!$D$60:$DS$104,$B12,84)*FX12=1,'計算A'!CI$6,1000000))</f>
        <v/>
      </c>
      <c r="KP12">
        <f>IF($B12=0,1000000,IF(INDEX('計算A'!$D$60:$DS$104,$B12,85)*FY12=1,'計算A'!CJ$6,1000000))</f>
        <v/>
      </c>
      <c r="KQ12">
        <f>IF($B12=0,1000000,IF(INDEX('計算A'!$D$60:$DS$104,$B12,86)*FZ12=1,'計算A'!CK$6,1000000))</f>
        <v/>
      </c>
      <c r="KR12">
        <f>IF($B12=0,1000000,IF(INDEX('計算A'!$D$60:$DS$104,$B12,87)*GA12=1,'計算A'!CL$6,1000000))</f>
        <v/>
      </c>
      <c r="KS12">
        <f>IF($B12=0,1000000,IF(INDEX('計算A'!$D$60:$DS$104,$B12,88)*GB12=1,'計算A'!CM$6,1000000))</f>
        <v/>
      </c>
      <c r="KT12">
        <f>IF($B12=0,1000000,IF(INDEX('計算A'!$D$60:$DS$104,$B12,89)*GC12=1,'計算A'!CN$6,1000000))</f>
        <v/>
      </c>
      <c r="KU12">
        <f>IF($B12=0,1000000,IF(INDEX('計算A'!$D$60:$DS$104,$B12,90)*GD12=1,'計算A'!CO$6,1000000))</f>
        <v/>
      </c>
      <c r="KV12">
        <f>IF($B12=0,1000000,IF(INDEX('計算A'!$D$60:$DS$104,$B12,91)*GE12=1,'計算A'!CP$6,1000000))</f>
        <v/>
      </c>
      <c r="KW12">
        <f>IF($B12=0,1000000,IF(INDEX('計算A'!$D$60:$DS$104,$B12,92)*GF12=1,'計算A'!CQ$6,1000000))</f>
        <v/>
      </c>
      <c r="KX12">
        <f>IF($B12=0,1000000,IF(INDEX('計算A'!$D$60:$DS$104,$B12,93)*GG12=1,'計算A'!CR$6,1000000))</f>
        <v/>
      </c>
      <c r="KY12">
        <f>IF($B12=0,1000000,IF(INDEX('計算A'!$D$60:$DS$104,$B12,94)*GH12=1,'計算A'!CS$6,1000000))</f>
        <v/>
      </c>
      <c r="KZ12">
        <f>IF($B12=0,1000000,IF(INDEX('計算A'!$D$60:$DS$104,$B12,95)*GI12=1,'計算A'!CT$6,1000000))</f>
        <v/>
      </c>
      <c r="LA12">
        <f>IF($B12=0,1000000,IF(INDEX('計算A'!$D$60:$DS$104,$B12,96)*GJ12=1,'計算A'!CU$6,1000000))</f>
        <v/>
      </c>
      <c r="LB12">
        <f>IF($B12=0,1000000,IF(INDEX('計算A'!$D$60:$DS$104,$B12,97)*GK12=1,'計算A'!CV$6,1000000))</f>
        <v/>
      </c>
      <c r="LC12">
        <f>IF($B12=0,1000000,IF(INDEX('計算A'!$D$60:$DS$104,$B12,98)*GL12=1,'計算A'!CW$6,1000000))</f>
        <v/>
      </c>
      <c r="LD12">
        <f>IF($B12=0,1000000,IF(INDEX('計算A'!$D$60:$DS$104,$B12,99)*GM12=1,'計算A'!CX$6,1000000))</f>
        <v/>
      </c>
      <c r="LE12">
        <f>IF($B12=0,1000000,IF(INDEX('計算A'!$D$60:$DS$104,$B12,100)*GN12=1,'計算A'!CY$6,1000000))</f>
        <v/>
      </c>
      <c r="LF12">
        <f>IF($B12=0,1000000,IF(INDEX('計算A'!$D$60:$DS$104,$B12,101)*GO12=1,'計算A'!CZ$6,1000000))</f>
        <v/>
      </c>
      <c r="LG12">
        <f>IF($B12=0,1000000,IF(INDEX('計算A'!$D$60:$DS$104,$B12,102)*GP12=1,'計算A'!DA$6,1000000))</f>
        <v/>
      </c>
      <c r="LH12">
        <f>IF($B12=0,1000000,IF(INDEX('計算A'!$D$60:$DS$104,$B12,103)*GQ12=1,'計算A'!DB$6,1000000))</f>
        <v/>
      </c>
      <c r="LI12">
        <f>IF($B12=0,1000000,IF(INDEX('計算A'!$D$60:$DS$104,$B12,104)*GR12=1,'計算A'!DC$6,1000000))</f>
        <v/>
      </c>
      <c r="LJ12">
        <f>IF($B12=0,1000000,IF(INDEX('計算A'!$D$60:$DS$104,$B12,105)*GS12=1,'計算A'!DD$6,1000000))</f>
        <v/>
      </c>
      <c r="LK12">
        <f>IF($B12=0,1000000,IF(INDEX('計算A'!$D$60:$DS$104,$B12,106)*GT12=1,'計算A'!DE$6,1000000))</f>
        <v/>
      </c>
      <c r="LL12">
        <f>IF($B12=0,1000000,IF(INDEX('計算A'!$D$60:$DS$104,$B12,107)*GU12=1,'計算A'!DF$6,1000000))</f>
        <v/>
      </c>
      <c r="LM12">
        <f>IF($B12=0,1000000,IF(INDEX('計算A'!$D$60:$DS$104,$B12,108)*GV12=1,'計算A'!DG$6,1000000))</f>
        <v/>
      </c>
      <c r="LN12">
        <f>IF($B12=0,1000000,IF(INDEX('計算A'!$D$60:$DS$104,$B12,109)*GW12=1,'計算A'!DH$6,1000000))</f>
        <v/>
      </c>
      <c r="LO12">
        <f>IF($B12=0,1000000,IF(INDEX('計算A'!$D$60:$DS$104,$B12,110)*GX12=1,'計算A'!DI$6,1000000))</f>
        <v/>
      </c>
      <c r="LP12">
        <f>IF($B12=0,1000000,IF(INDEX('計算A'!$D$60:$DS$104,$B12,111)*GY12=1,'計算A'!DJ$6,1000000))</f>
        <v/>
      </c>
      <c r="LQ12">
        <f>IF($B12=0,1000000,IF(INDEX('計算A'!$D$60:$DS$104,$B12,112)*GZ12=1,'計算A'!DK$6,1000000))</f>
        <v/>
      </c>
      <c r="LR12">
        <f>IF($B12=0,1000000,IF(INDEX('計算A'!$D$60:$DS$104,$B12,113)*HA12=1,'計算A'!DL$6,1000000))</f>
        <v/>
      </c>
      <c r="LS12">
        <f>IF($B12=0,1000000,IF(INDEX('計算A'!$D$60:$DS$104,$B12,114)*HB12=1,'計算A'!DM$6,1000000))</f>
        <v/>
      </c>
      <c r="LT12">
        <f>IF($B12=0,1000000,IF(INDEX('計算A'!$D$60:$DS$104,$B12,115)*HC12=1,'計算A'!DN$6,1000000))</f>
        <v/>
      </c>
      <c r="LU12">
        <f>IF($B12=0,1000000,IF(INDEX('計算A'!$D$60:$DS$104,$B12,116)*HD12=1,'計算A'!DO$6,1000000))</f>
        <v/>
      </c>
      <c r="LV12">
        <f>IF($B12=0,1000000,IF(INDEX('計算A'!$D$60:$DS$104,$B12,117)*HE12=1,'計算A'!DP$6,1000000))</f>
        <v/>
      </c>
      <c r="LW12">
        <f>IF($B12=0,1000000,IF(INDEX('計算A'!$D$60:$DS$104,$B12,118)*HF12=1,'計算A'!DQ$6,1000000))</f>
        <v/>
      </c>
      <c r="LX12">
        <f>IF($B12=0,1000000,IF(INDEX('計算A'!$D$60:$DS$104,$B12,119)*HG12=1,'計算A'!DR$6,1000000))</f>
        <v/>
      </c>
      <c r="LY12">
        <f>IF($B12=0,1000000,IF(INDEX('計算A'!$D$60:$DS$104,$B12,120)*HH12=1,'計算A'!DS$6,1000000))</f>
        <v/>
      </c>
    </row>
    <row r="13">
      <c r="A13" t="n">
        <v>11</v>
      </c>
      <c r="B13">
        <f>IF(MIN(AY13:CQ13)&gt;=1000000,0,MATCH(MIN(AY13:CQ13),AY13:CQ13,0))</f>
        <v/>
      </c>
      <c r="C13">
        <f>IF(MIN(HJ13:LY13)&gt;=1000000,0,MATCH(MIN(HJ13:LY13),HJ13:LY13,0))</f>
        <v/>
      </c>
      <c r="D13">
        <f>IF(C13&gt;0,INDEX('計算A'!$D$5:$DS$5,C13),0)</f>
        <v/>
      </c>
      <c r="E13">
        <f>MAX(E12,IF($B12=1,1,0))</f>
        <v/>
      </c>
      <c r="F13">
        <f>MAX(F12,IF($B12=2,1,0))</f>
        <v/>
      </c>
      <c r="G13">
        <f>MAX(G12,IF($B12=3,1,0))</f>
        <v/>
      </c>
      <c r="H13">
        <f>MAX(H12,IF($B12=4,1,0))</f>
        <v/>
      </c>
      <c r="I13">
        <f>MAX(I12,IF($B12=5,1,0))</f>
        <v/>
      </c>
      <c r="J13">
        <f>MAX(J12,IF($B12=6,1,0))</f>
        <v/>
      </c>
      <c r="K13">
        <f>MAX(K12,IF($B12=7,1,0))</f>
        <v/>
      </c>
      <c r="L13">
        <f>MAX(L12,IF($B12=8,1,0))</f>
        <v/>
      </c>
      <c r="M13">
        <f>MAX(M12,IF($B12=9,1,0))</f>
        <v/>
      </c>
      <c r="N13">
        <f>MAX(N12,IF($B12=10,1,0))</f>
        <v/>
      </c>
      <c r="O13">
        <f>MAX(O12,IF($B12=11,1,0))</f>
        <v/>
      </c>
      <c r="P13">
        <f>MAX(P12,IF($B12=12,1,0))</f>
        <v/>
      </c>
      <c r="Q13">
        <f>MAX(Q12,IF($B12=13,1,0))</f>
        <v/>
      </c>
      <c r="R13">
        <f>MAX(R12,IF($B12=14,1,0))</f>
        <v/>
      </c>
      <c r="S13">
        <f>MAX(S12,IF($B12=15,1,0))</f>
        <v/>
      </c>
      <c r="T13">
        <f>MAX(T12,IF($B12=16,1,0))</f>
        <v/>
      </c>
      <c r="U13">
        <f>MAX(U12,IF($B12=17,1,0))</f>
        <v/>
      </c>
      <c r="V13">
        <f>MAX(V12,IF($B12=18,1,0))</f>
        <v/>
      </c>
      <c r="W13">
        <f>MAX(W12,IF($B12=19,1,0))</f>
        <v/>
      </c>
      <c r="X13">
        <f>MAX(X12,IF($B12=20,1,0))</f>
        <v/>
      </c>
      <c r="Y13">
        <f>MAX(Y12,IF($B12=21,1,0))</f>
        <v/>
      </c>
      <c r="Z13">
        <f>MAX(Z12,IF($B12=22,1,0))</f>
        <v/>
      </c>
      <c r="AA13">
        <f>MAX(AA12,IF($B12=23,1,0))</f>
        <v/>
      </c>
      <c r="AB13">
        <f>MAX(AB12,IF($B12=24,1,0))</f>
        <v/>
      </c>
      <c r="AC13">
        <f>MAX(AC12,IF($B12=25,1,0))</f>
        <v/>
      </c>
      <c r="AD13">
        <f>MAX(AD12,IF($B12=26,1,0))</f>
        <v/>
      </c>
      <c r="AE13">
        <f>MAX(AE12,IF($B12=27,1,0))</f>
        <v/>
      </c>
      <c r="AF13">
        <f>MAX(AF12,IF($B12=28,1,0))</f>
        <v/>
      </c>
      <c r="AG13">
        <f>MAX(AG12,IF($B12=29,1,0))</f>
        <v/>
      </c>
      <c r="AH13">
        <f>MAX(AH12,IF($B12=30,1,0))</f>
        <v/>
      </c>
      <c r="AI13">
        <f>MAX(AI12,IF($B12=31,1,0))</f>
        <v/>
      </c>
      <c r="AJ13">
        <f>MAX(AJ12,IF($B12=32,1,0))</f>
        <v/>
      </c>
      <c r="AK13">
        <f>MAX(AK12,IF($B12=33,1,0))</f>
        <v/>
      </c>
      <c r="AL13">
        <f>MAX(AL12,IF($B12=34,1,0))</f>
        <v/>
      </c>
      <c r="AM13">
        <f>MAX(AM12,IF($B12=35,1,0))</f>
        <v/>
      </c>
      <c r="AN13">
        <f>MAX(AN12,IF($B12=36,1,0))</f>
        <v/>
      </c>
      <c r="AO13">
        <f>MAX(AO12,IF($B12=37,1,0))</f>
        <v/>
      </c>
      <c r="AP13">
        <f>MAX(AP12,IF($B12=38,1,0))</f>
        <v/>
      </c>
      <c r="AQ13">
        <f>MAX(AQ12,IF($B12=39,1,0))</f>
        <v/>
      </c>
      <c r="AR13">
        <f>MAX(AR12,IF($B12=40,1,0))</f>
        <v/>
      </c>
      <c r="AS13">
        <f>MAX(AS12,IF($B12=41,1,0))</f>
        <v/>
      </c>
      <c r="AT13">
        <f>MAX(AT12,IF($B12=42,1,0))</f>
        <v/>
      </c>
      <c r="AU13">
        <f>MAX(AU12,IF($B12=43,1,0))</f>
        <v/>
      </c>
      <c r="AV13">
        <f>MAX(AV12,IF($B12=44,1,0))</f>
        <v/>
      </c>
      <c r="AW13">
        <f>MAX(AW12,IF($B12=45,1,0))</f>
        <v/>
      </c>
      <c r="AY13">
        <f>IF(E13=1,1000000,SUMPRODUCT('計算A'!$D$60:$DS$60,$CS13:$HH13)*1000+1)</f>
        <v/>
      </c>
      <c r="AZ13">
        <f>IF(F13=1,1000000,SUMPRODUCT('計算A'!$D$61:$DS$61,$CS13:$HH13)*1000+2)</f>
        <v/>
      </c>
      <c r="BA13">
        <f>IF(G13=1,1000000,SUMPRODUCT('計算A'!$D$62:$DS$62,$CS13:$HH13)*1000+3)</f>
        <v/>
      </c>
      <c r="BB13">
        <f>IF(H13=1,1000000,SUMPRODUCT('計算A'!$D$63:$DS$63,$CS13:$HH13)*1000+4)</f>
        <v/>
      </c>
      <c r="BC13">
        <f>IF(I13=1,1000000,SUMPRODUCT('計算A'!$D$64:$DS$64,$CS13:$HH13)*1000+5)</f>
        <v/>
      </c>
      <c r="BD13">
        <f>IF(J13=1,1000000,SUMPRODUCT('計算A'!$D$65:$DS$65,$CS13:$HH13)*1000+6)</f>
        <v/>
      </c>
      <c r="BE13">
        <f>IF(K13=1,1000000,SUMPRODUCT('計算A'!$D$66:$DS$66,$CS13:$HH13)*1000+7)</f>
        <v/>
      </c>
      <c r="BF13">
        <f>IF(L13=1,1000000,SUMPRODUCT('計算A'!$D$67:$DS$67,$CS13:$HH13)*1000+8)</f>
        <v/>
      </c>
      <c r="BG13">
        <f>IF(M13=1,1000000,SUMPRODUCT('計算A'!$D$68:$DS$68,$CS13:$HH13)*1000+9)</f>
        <v/>
      </c>
      <c r="BH13">
        <f>IF(N13=1,1000000,SUMPRODUCT('計算A'!$D$69:$DS$69,$CS13:$HH13)*1000+10)</f>
        <v/>
      </c>
      <c r="BI13">
        <f>IF(O13=1,1000000,SUMPRODUCT('計算A'!$D$70:$DS$70,$CS13:$HH13)*1000+11)</f>
        <v/>
      </c>
      <c r="BJ13">
        <f>IF(P13=1,1000000,SUMPRODUCT('計算A'!$D$71:$DS$71,$CS13:$HH13)*1000+12)</f>
        <v/>
      </c>
      <c r="BK13">
        <f>IF(Q13=1,1000000,SUMPRODUCT('計算A'!$D$72:$DS$72,$CS13:$HH13)*1000+13)</f>
        <v/>
      </c>
      <c r="BL13">
        <f>IF(R13=1,1000000,SUMPRODUCT('計算A'!$D$73:$DS$73,$CS13:$HH13)*1000+14)</f>
        <v/>
      </c>
      <c r="BM13">
        <f>IF(S13=1,1000000,SUMPRODUCT('計算A'!$D$74:$DS$74,$CS13:$HH13)*1000+15)</f>
        <v/>
      </c>
      <c r="BN13">
        <f>IF(T13=1,1000000,SUMPRODUCT('計算A'!$D$75:$DS$75,$CS13:$HH13)*1000+16)</f>
        <v/>
      </c>
      <c r="BO13">
        <f>IF(U13=1,1000000,SUMPRODUCT('計算A'!$D$76:$DS$76,$CS13:$HH13)*1000+17)</f>
        <v/>
      </c>
      <c r="BP13">
        <f>IF(V13=1,1000000,SUMPRODUCT('計算A'!$D$77:$DS$77,$CS13:$HH13)*1000+18)</f>
        <v/>
      </c>
      <c r="BQ13">
        <f>IF(W13=1,1000000,SUMPRODUCT('計算A'!$D$78:$DS$78,$CS13:$HH13)*1000+19)</f>
        <v/>
      </c>
      <c r="BR13">
        <f>IF(X13=1,1000000,SUMPRODUCT('計算A'!$D$79:$DS$79,$CS13:$HH13)*1000+20)</f>
        <v/>
      </c>
      <c r="BS13">
        <f>IF(Y13=1,1000000,SUMPRODUCT('計算A'!$D$80:$DS$80,$CS13:$HH13)*1000+21)</f>
        <v/>
      </c>
      <c r="BT13">
        <f>IF(Z13=1,1000000,SUMPRODUCT('計算A'!$D$81:$DS$81,$CS13:$HH13)*1000+22)</f>
        <v/>
      </c>
      <c r="BU13">
        <f>IF(AA13=1,1000000,SUMPRODUCT('計算A'!$D$82:$DS$82,$CS13:$HH13)*1000+23)</f>
        <v/>
      </c>
      <c r="BV13">
        <f>IF(AB13=1,1000000,SUMPRODUCT('計算A'!$D$83:$DS$83,$CS13:$HH13)*1000+24)</f>
        <v/>
      </c>
      <c r="BW13">
        <f>IF(AC13=1,1000000,SUMPRODUCT('計算A'!$D$84:$DS$84,$CS13:$HH13)*1000+25)</f>
        <v/>
      </c>
      <c r="BX13">
        <f>IF(AD13=1,1000000,SUMPRODUCT('計算A'!$D$85:$DS$85,$CS13:$HH13)*1000+26)</f>
        <v/>
      </c>
      <c r="BY13">
        <f>IF(AE13=1,1000000,SUMPRODUCT('計算A'!$D$86:$DS$86,$CS13:$HH13)*1000+27)</f>
        <v/>
      </c>
      <c r="BZ13">
        <f>IF(AF13=1,1000000,SUMPRODUCT('計算A'!$D$87:$DS$87,$CS13:$HH13)*1000+28)</f>
        <v/>
      </c>
      <c r="CA13">
        <f>IF(AG13=1,1000000,SUMPRODUCT('計算A'!$D$88:$DS$88,$CS13:$HH13)*1000+29)</f>
        <v/>
      </c>
      <c r="CB13">
        <f>IF(AH13=1,1000000,SUMPRODUCT('計算A'!$D$89:$DS$89,$CS13:$HH13)*1000+30)</f>
        <v/>
      </c>
      <c r="CC13">
        <f>IF(AI13=1,1000000,SUMPRODUCT('計算A'!$D$90:$DS$90,$CS13:$HH13)*1000+31)</f>
        <v/>
      </c>
      <c r="CD13">
        <f>IF(AJ13=1,1000000,SUMPRODUCT('計算A'!$D$91:$DS$91,$CS13:$HH13)*1000+32)</f>
        <v/>
      </c>
      <c r="CE13">
        <f>IF(AK13=1,1000000,SUMPRODUCT('計算A'!$D$92:$DS$92,$CS13:$HH13)*1000+33)</f>
        <v/>
      </c>
      <c r="CF13">
        <f>IF(AL13=1,1000000,SUMPRODUCT('計算A'!$D$93:$DS$93,$CS13:$HH13)*1000+34)</f>
        <v/>
      </c>
      <c r="CG13">
        <f>IF(AM13=1,1000000,SUMPRODUCT('計算A'!$D$94:$DS$94,$CS13:$HH13)*1000+35)</f>
        <v/>
      </c>
      <c r="CH13">
        <f>IF(AN13=1,1000000,SUMPRODUCT('計算A'!$D$95:$DS$95,$CS13:$HH13)*1000+36)</f>
        <v/>
      </c>
      <c r="CI13">
        <f>IF(AO13=1,1000000,SUMPRODUCT('計算A'!$D$96:$DS$96,$CS13:$HH13)*1000+37)</f>
        <v/>
      </c>
      <c r="CJ13">
        <f>IF(AP13=1,1000000,SUMPRODUCT('計算A'!$D$97:$DS$97,$CS13:$HH13)*1000+38)</f>
        <v/>
      </c>
      <c r="CK13">
        <f>IF(AQ13=1,1000000,SUMPRODUCT('計算A'!$D$98:$DS$98,$CS13:$HH13)*1000+39)</f>
        <v/>
      </c>
      <c r="CL13">
        <f>IF(AR13=1,1000000,SUMPRODUCT('計算A'!$D$99:$DS$99,$CS13:$HH13)*1000+40)</f>
        <v/>
      </c>
      <c r="CM13">
        <f>IF(AS13=1,1000000,SUMPRODUCT('計算A'!$D$100:$DS$100,$CS13:$HH13)*1000+41)</f>
        <v/>
      </c>
      <c r="CN13">
        <f>IF(AT13=1,1000000,SUMPRODUCT('計算A'!$D$101:$DS$101,$CS13:$HH13)*1000+42)</f>
        <v/>
      </c>
      <c r="CO13">
        <f>IF(AU13=1,1000000,SUMPRODUCT('計算A'!$D$102:$DS$102,$CS13:$HH13)*1000+43)</f>
        <v/>
      </c>
      <c r="CP13">
        <f>IF(AV13=1,1000000,SUMPRODUCT('計算A'!$D$103:$DS$103,$CS13:$HH13)*1000+44)</f>
        <v/>
      </c>
      <c r="CQ13">
        <f>IF(AW13=1,1000000,SUMPRODUCT('計算A'!$D$104:$DS$104,$CS13:$HH13)*1000+45)</f>
        <v/>
      </c>
      <c r="CS13">
        <f>CS12*IF($C12=1,0,1)</f>
        <v/>
      </c>
      <c r="CT13">
        <f>CT12*IF($C12=2,0,1)</f>
        <v/>
      </c>
      <c r="CU13">
        <f>CU12*IF($C12=3,0,1)</f>
        <v/>
      </c>
      <c r="CV13">
        <f>CV12*IF($C12=4,0,1)</f>
        <v/>
      </c>
      <c r="CW13">
        <f>CW12*IF($C12=5,0,1)</f>
        <v/>
      </c>
      <c r="CX13">
        <f>CX12*IF($C12=6,0,1)</f>
        <v/>
      </c>
      <c r="CY13">
        <f>CY12*IF($C12=7,0,1)</f>
        <v/>
      </c>
      <c r="CZ13">
        <f>CZ12*IF($C12=8,0,1)</f>
        <v/>
      </c>
      <c r="DA13">
        <f>DA12*IF($C12=9,0,1)</f>
        <v/>
      </c>
      <c r="DB13">
        <f>DB12*IF($C12=10,0,1)</f>
        <v/>
      </c>
      <c r="DC13">
        <f>DC12*IF($C12=11,0,1)</f>
        <v/>
      </c>
      <c r="DD13">
        <f>DD12*IF($C12=12,0,1)</f>
        <v/>
      </c>
      <c r="DE13">
        <f>DE12*IF($C12=13,0,1)</f>
        <v/>
      </c>
      <c r="DF13">
        <f>DF12*IF($C12=14,0,1)</f>
        <v/>
      </c>
      <c r="DG13">
        <f>DG12*IF($C12=15,0,1)</f>
        <v/>
      </c>
      <c r="DH13">
        <f>DH12*IF($C12=16,0,1)</f>
        <v/>
      </c>
      <c r="DI13">
        <f>DI12*IF($C12=17,0,1)</f>
        <v/>
      </c>
      <c r="DJ13">
        <f>DJ12*IF($C12=18,0,1)</f>
        <v/>
      </c>
      <c r="DK13">
        <f>DK12*IF($C12=19,0,1)</f>
        <v/>
      </c>
      <c r="DL13">
        <f>DL12*IF($C12=20,0,1)</f>
        <v/>
      </c>
      <c r="DM13">
        <f>DM12*IF($C12=21,0,1)</f>
        <v/>
      </c>
      <c r="DN13">
        <f>DN12*IF($C12=22,0,1)</f>
        <v/>
      </c>
      <c r="DO13">
        <f>DO12*IF($C12=23,0,1)</f>
        <v/>
      </c>
      <c r="DP13">
        <f>DP12*IF($C12=24,0,1)</f>
        <v/>
      </c>
      <c r="DQ13">
        <f>DQ12*IF($C12=25,0,1)</f>
        <v/>
      </c>
      <c r="DR13">
        <f>DR12*IF($C12=26,0,1)</f>
        <v/>
      </c>
      <c r="DS13">
        <f>DS12*IF($C12=27,0,1)</f>
        <v/>
      </c>
      <c r="DT13">
        <f>DT12*IF($C12=28,0,1)</f>
        <v/>
      </c>
      <c r="DU13">
        <f>DU12*IF($C12=29,0,1)</f>
        <v/>
      </c>
      <c r="DV13">
        <f>DV12*IF($C12=30,0,1)</f>
        <v/>
      </c>
      <c r="DW13">
        <f>DW12*IF($C12=31,0,1)</f>
        <v/>
      </c>
      <c r="DX13">
        <f>DX12*IF($C12=32,0,1)</f>
        <v/>
      </c>
      <c r="DY13">
        <f>DY12*IF($C12=33,0,1)</f>
        <v/>
      </c>
      <c r="DZ13">
        <f>DZ12*IF($C12=34,0,1)</f>
        <v/>
      </c>
      <c r="EA13">
        <f>EA12*IF($C12=35,0,1)</f>
        <v/>
      </c>
      <c r="EB13">
        <f>EB12*IF($C12=36,0,1)</f>
        <v/>
      </c>
      <c r="EC13">
        <f>EC12*IF($C12=37,0,1)</f>
        <v/>
      </c>
      <c r="ED13">
        <f>ED12*IF($C12=38,0,1)</f>
        <v/>
      </c>
      <c r="EE13">
        <f>EE12*IF($C12=39,0,1)</f>
        <v/>
      </c>
      <c r="EF13">
        <f>EF12*IF($C12=40,0,1)</f>
        <v/>
      </c>
      <c r="EG13">
        <f>EG12*IF($C12=41,0,1)</f>
        <v/>
      </c>
      <c r="EH13">
        <f>EH12*IF($C12=42,0,1)</f>
        <v/>
      </c>
      <c r="EI13">
        <f>EI12*IF($C12=43,0,1)</f>
        <v/>
      </c>
      <c r="EJ13">
        <f>EJ12*IF($C12=44,0,1)</f>
        <v/>
      </c>
      <c r="EK13">
        <f>EK12*IF($C12=45,0,1)</f>
        <v/>
      </c>
      <c r="EL13">
        <f>EL12*IF($C12=46,0,1)</f>
        <v/>
      </c>
      <c r="EM13">
        <f>EM12*IF($C12=47,0,1)</f>
        <v/>
      </c>
      <c r="EN13">
        <f>EN12*IF($C12=48,0,1)</f>
        <v/>
      </c>
      <c r="EO13">
        <f>EO12*IF($C12=49,0,1)</f>
        <v/>
      </c>
      <c r="EP13">
        <f>EP12*IF($C12=50,0,1)</f>
        <v/>
      </c>
      <c r="EQ13">
        <f>EQ12*IF($C12=51,0,1)</f>
        <v/>
      </c>
      <c r="ER13">
        <f>ER12*IF($C12=52,0,1)</f>
        <v/>
      </c>
      <c r="ES13">
        <f>ES12*IF($C12=53,0,1)</f>
        <v/>
      </c>
      <c r="ET13">
        <f>ET12*IF($C12=54,0,1)</f>
        <v/>
      </c>
      <c r="EU13">
        <f>EU12*IF($C12=55,0,1)</f>
        <v/>
      </c>
      <c r="EV13">
        <f>EV12*IF($C12=56,0,1)</f>
        <v/>
      </c>
      <c r="EW13">
        <f>EW12*IF($C12=57,0,1)</f>
        <v/>
      </c>
      <c r="EX13">
        <f>EX12*IF($C12=58,0,1)</f>
        <v/>
      </c>
      <c r="EY13">
        <f>EY12*IF($C12=59,0,1)</f>
        <v/>
      </c>
      <c r="EZ13">
        <f>EZ12*IF($C12=60,0,1)</f>
        <v/>
      </c>
      <c r="FA13">
        <f>FA12*IF($C12=61,0,1)</f>
        <v/>
      </c>
      <c r="FB13">
        <f>FB12*IF($C12=62,0,1)</f>
        <v/>
      </c>
      <c r="FC13">
        <f>FC12*IF($C12=63,0,1)</f>
        <v/>
      </c>
      <c r="FD13">
        <f>FD12*IF($C12=64,0,1)</f>
        <v/>
      </c>
      <c r="FE13">
        <f>FE12*IF($C12=65,0,1)</f>
        <v/>
      </c>
      <c r="FF13">
        <f>FF12*IF($C12=66,0,1)</f>
        <v/>
      </c>
      <c r="FG13">
        <f>FG12*IF($C12=67,0,1)</f>
        <v/>
      </c>
      <c r="FH13">
        <f>FH12*IF($C12=68,0,1)</f>
        <v/>
      </c>
      <c r="FI13">
        <f>FI12*IF($C12=69,0,1)</f>
        <v/>
      </c>
      <c r="FJ13">
        <f>FJ12*IF($C12=70,0,1)</f>
        <v/>
      </c>
      <c r="FK13">
        <f>FK12*IF($C12=71,0,1)</f>
        <v/>
      </c>
      <c r="FL13">
        <f>FL12*IF($C12=72,0,1)</f>
        <v/>
      </c>
      <c r="FM13">
        <f>FM12*IF($C12=73,0,1)</f>
        <v/>
      </c>
      <c r="FN13">
        <f>FN12*IF($C12=74,0,1)</f>
        <v/>
      </c>
      <c r="FO13">
        <f>FO12*IF($C12=75,0,1)</f>
        <v/>
      </c>
      <c r="FP13">
        <f>FP12*IF($C12=76,0,1)</f>
        <v/>
      </c>
      <c r="FQ13">
        <f>FQ12*IF($C12=77,0,1)</f>
        <v/>
      </c>
      <c r="FR13">
        <f>FR12*IF($C12=78,0,1)</f>
        <v/>
      </c>
      <c r="FS13">
        <f>FS12*IF($C12=79,0,1)</f>
        <v/>
      </c>
      <c r="FT13">
        <f>FT12*IF($C12=80,0,1)</f>
        <v/>
      </c>
      <c r="FU13">
        <f>FU12*IF($C12=81,0,1)</f>
        <v/>
      </c>
      <c r="FV13">
        <f>FV12*IF($C12=82,0,1)</f>
        <v/>
      </c>
      <c r="FW13">
        <f>FW12*IF($C12=83,0,1)</f>
        <v/>
      </c>
      <c r="FX13">
        <f>FX12*IF($C12=84,0,1)</f>
        <v/>
      </c>
      <c r="FY13">
        <f>FY12*IF($C12=85,0,1)</f>
        <v/>
      </c>
      <c r="FZ13">
        <f>FZ12*IF($C12=86,0,1)</f>
        <v/>
      </c>
      <c r="GA13">
        <f>GA12*IF($C12=87,0,1)</f>
        <v/>
      </c>
      <c r="GB13">
        <f>GB12*IF($C12=88,0,1)</f>
        <v/>
      </c>
      <c r="GC13">
        <f>GC12*IF($C12=89,0,1)</f>
        <v/>
      </c>
      <c r="GD13">
        <f>GD12*IF($C12=90,0,1)</f>
        <v/>
      </c>
      <c r="GE13">
        <f>GE12*IF($C12=91,0,1)</f>
        <v/>
      </c>
      <c r="GF13">
        <f>GF12*IF($C12=92,0,1)</f>
        <v/>
      </c>
      <c r="GG13">
        <f>GG12*IF($C12=93,0,1)</f>
        <v/>
      </c>
      <c r="GH13">
        <f>GH12*IF($C12=94,0,1)</f>
        <v/>
      </c>
      <c r="GI13">
        <f>GI12*IF($C12=95,0,1)</f>
        <v/>
      </c>
      <c r="GJ13">
        <f>GJ12*IF($C12=96,0,1)</f>
        <v/>
      </c>
      <c r="GK13">
        <f>GK12*IF($C12=97,0,1)</f>
        <v/>
      </c>
      <c r="GL13">
        <f>GL12*IF($C12=98,0,1)</f>
        <v/>
      </c>
      <c r="GM13">
        <f>GM12*IF($C12=99,0,1)</f>
        <v/>
      </c>
      <c r="GN13">
        <f>GN12*IF($C12=100,0,1)</f>
        <v/>
      </c>
      <c r="GO13">
        <f>GO12*IF($C12=101,0,1)</f>
        <v/>
      </c>
      <c r="GP13">
        <f>GP12*IF($C12=102,0,1)</f>
        <v/>
      </c>
      <c r="GQ13">
        <f>GQ12*IF($C12=103,0,1)</f>
        <v/>
      </c>
      <c r="GR13">
        <f>GR12*IF($C12=104,0,1)</f>
        <v/>
      </c>
      <c r="GS13">
        <f>GS12*IF($C12=105,0,1)</f>
        <v/>
      </c>
      <c r="GT13">
        <f>GT12*IF($C12=106,0,1)</f>
        <v/>
      </c>
      <c r="GU13">
        <f>GU12*IF($C12=107,0,1)</f>
        <v/>
      </c>
      <c r="GV13">
        <f>GV12*IF($C12=108,0,1)</f>
        <v/>
      </c>
      <c r="GW13">
        <f>GW12*IF($C12=109,0,1)</f>
        <v/>
      </c>
      <c r="GX13">
        <f>GX12*IF($C12=110,0,1)</f>
        <v/>
      </c>
      <c r="GY13">
        <f>GY12*IF($C12=111,0,1)</f>
        <v/>
      </c>
      <c r="GZ13">
        <f>GZ12*IF($C12=112,0,1)</f>
        <v/>
      </c>
      <c r="HA13">
        <f>HA12*IF($C12=113,0,1)</f>
        <v/>
      </c>
      <c r="HB13">
        <f>HB12*IF($C12=114,0,1)</f>
        <v/>
      </c>
      <c r="HC13">
        <f>HC12*IF($C12=115,0,1)</f>
        <v/>
      </c>
      <c r="HD13">
        <f>HD12*IF($C12=116,0,1)</f>
        <v/>
      </c>
      <c r="HE13">
        <f>HE12*IF($C12=117,0,1)</f>
        <v/>
      </c>
      <c r="HF13">
        <f>HF12*IF($C12=118,0,1)</f>
        <v/>
      </c>
      <c r="HG13">
        <f>HG12*IF($C12=119,0,1)</f>
        <v/>
      </c>
      <c r="HH13">
        <f>HH12*IF($C12=120,0,1)</f>
        <v/>
      </c>
      <c r="HJ13">
        <f>IF($B13=0,1000000,IF(INDEX('計算A'!$D$60:$DS$104,$B13,1)*CS13=1,'計算A'!D$6,1000000))</f>
        <v/>
      </c>
      <c r="HK13">
        <f>IF($B13=0,1000000,IF(INDEX('計算A'!$D$60:$DS$104,$B13,2)*CT13=1,'計算A'!E$6,1000000))</f>
        <v/>
      </c>
      <c r="HL13">
        <f>IF($B13=0,1000000,IF(INDEX('計算A'!$D$60:$DS$104,$B13,3)*CU13=1,'計算A'!F$6,1000000))</f>
        <v/>
      </c>
      <c r="HM13">
        <f>IF($B13=0,1000000,IF(INDEX('計算A'!$D$60:$DS$104,$B13,4)*CV13=1,'計算A'!G$6,1000000))</f>
        <v/>
      </c>
      <c r="HN13">
        <f>IF($B13=0,1000000,IF(INDEX('計算A'!$D$60:$DS$104,$B13,5)*CW13=1,'計算A'!H$6,1000000))</f>
        <v/>
      </c>
      <c r="HO13">
        <f>IF($B13=0,1000000,IF(INDEX('計算A'!$D$60:$DS$104,$B13,6)*CX13=1,'計算A'!I$6,1000000))</f>
        <v/>
      </c>
      <c r="HP13">
        <f>IF($B13=0,1000000,IF(INDEX('計算A'!$D$60:$DS$104,$B13,7)*CY13=1,'計算A'!J$6,1000000))</f>
        <v/>
      </c>
      <c r="HQ13">
        <f>IF($B13=0,1000000,IF(INDEX('計算A'!$D$60:$DS$104,$B13,8)*CZ13=1,'計算A'!K$6,1000000))</f>
        <v/>
      </c>
      <c r="HR13">
        <f>IF($B13=0,1000000,IF(INDEX('計算A'!$D$60:$DS$104,$B13,9)*DA13=1,'計算A'!L$6,1000000))</f>
        <v/>
      </c>
      <c r="HS13">
        <f>IF($B13=0,1000000,IF(INDEX('計算A'!$D$60:$DS$104,$B13,10)*DB13=1,'計算A'!M$6,1000000))</f>
        <v/>
      </c>
      <c r="HT13">
        <f>IF($B13=0,1000000,IF(INDEX('計算A'!$D$60:$DS$104,$B13,11)*DC13=1,'計算A'!N$6,1000000))</f>
        <v/>
      </c>
      <c r="HU13">
        <f>IF($B13=0,1000000,IF(INDEX('計算A'!$D$60:$DS$104,$B13,12)*DD13=1,'計算A'!O$6,1000000))</f>
        <v/>
      </c>
      <c r="HV13">
        <f>IF($B13=0,1000000,IF(INDEX('計算A'!$D$60:$DS$104,$B13,13)*DE13=1,'計算A'!P$6,1000000))</f>
        <v/>
      </c>
      <c r="HW13">
        <f>IF($B13=0,1000000,IF(INDEX('計算A'!$D$60:$DS$104,$B13,14)*DF13=1,'計算A'!Q$6,1000000))</f>
        <v/>
      </c>
      <c r="HX13">
        <f>IF($B13=0,1000000,IF(INDEX('計算A'!$D$60:$DS$104,$B13,15)*DG13=1,'計算A'!R$6,1000000))</f>
        <v/>
      </c>
      <c r="HY13">
        <f>IF($B13=0,1000000,IF(INDEX('計算A'!$D$60:$DS$104,$B13,16)*DH13=1,'計算A'!S$6,1000000))</f>
        <v/>
      </c>
      <c r="HZ13">
        <f>IF($B13=0,1000000,IF(INDEX('計算A'!$D$60:$DS$104,$B13,17)*DI13=1,'計算A'!T$6,1000000))</f>
        <v/>
      </c>
      <c r="IA13">
        <f>IF($B13=0,1000000,IF(INDEX('計算A'!$D$60:$DS$104,$B13,18)*DJ13=1,'計算A'!U$6,1000000))</f>
        <v/>
      </c>
      <c r="IB13">
        <f>IF($B13=0,1000000,IF(INDEX('計算A'!$D$60:$DS$104,$B13,19)*DK13=1,'計算A'!V$6,1000000))</f>
        <v/>
      </c>
      <c r="IC13">
        <f>IF($B13=0,1000000,IF(INDEX('計算A'!$D$60:$DS$104,$B13,20)*DL13=1,'計算A'!W$6,1000000))</f>
        <v/>
      </c>
      <c r="ID13">
        <f>IF($B13=0,1000000,IF(INDEX('計算A'!$D$60:$DS$104,$B13,21)*DM13=1,'計算A'!X$6,1000000))</f>
        <v/>
      </c>
      <c r="IE13">
        <f>IF($B13=0,1000000,IF(INDEX('計算A'!$D$60:$DS$104,$B13,22)*DN13=1,'計算A'!Y$6,1000000))</f>
        <v/>
      </c>
      <c r="IF13">
        <f>IF($B13=0,1000000,IF(INDEX('計算A'!$D$60:$DS$104,$B13,23)*DO13=1,'計算A'!Z$6,1000000))</f>
        <v/>
      </c>
      <c r="IG13">
        <f>IF($B13=0,1000000,IF(INDEX('計算A'!$D$60:$DS$104,$B13,24)*DP13=1,'計算A'!AA$6,1000000))</f>
        <v/>
      </c>
      <c r="IH13">
        <f>IF($B13=0,1000000,IF(INDEX('計算A'!$D$60:$DS$104,$B13,25)*DQ13=1,'計算A'!AB$6,1000000))</f>
        <v/>
      </c>
      <c r="II13">
        <f>IF($B13=0,1000000,IF(INDEX('計算A'!$D$60:$DS$104,$B13,26)*DR13=1,'計算A'!AC$6,1000000))</f>
        <v/>
      </c>
      <c r="IJ13">
        <f>IF($B13=0,1000000,IF(INDEX('計算A'!$D$60:$DS$104,$B13,27)*DS13=1,'計算A'!AD$6,1000000))</f>
        <v/>
      </c>
      <c r="IK13">
        <f>IF($B13=0,1000000,IF(INDEX('計算A'!$D$60:$DS$104,$B13,28)*DT13=1,'計算A'!AE$6,1000000))</f>
        <v/>
      </c>
      <c r="IL13">
        <f>IF($B13=0,1000000,IF(INDEX('計算A'!$D$60:$DS$104,$B13,29)*DU13=1,'計算A'!AF$6,1000000))</f>
        <v/>
      </c>
      <c r="IM13">
        <f>IF($B13=0,1000000,IF(INDEX('計算A'!$D$60:$DS$104,$B13,30)*DV13=1,'計算A'!AG$6,1000000))</f>
        <v/>
      </c>
      <c r="IN13">
        <f>IF($B13=0,1000000,IF(INDEX('計算A'!$D$60:$DS$104,$B13,31)*DW13=1,'計算A'!AH$6,1000000))</f>
        <v/>
      </c>
      <c r="IO13">
        <f>IF($B13=0,1000000,IF(INDEX('計算A'!$D$60:$DS$104,$B13,32)*DX13=1,'計算A'!AI$6,1000000))</f>
        <v/>
      </c>
      <c r="IP13">
        <f>IF($B13=0,1000000,IF(INDEX('計算A'!$D$60:$DS$104,$B13,33)*DY13=1,'計算A'!AJ$6,1000000))</f>
        <v/>
      </c>
      <c r="IQ13">
        <f>IF($B13=0,1000000,IF(INDEX('計算A'!$D$60:$DS$104,$B13,34)*DZ13=1,'計算A'!AK$6,1000000))</f>
        <v/>
      </c>
      <c r="IR13">
        <f>IF($B13=0,1000000,IF(INDEX('計算A'!$D$60:$DS$104,$B13,35)*EA13=1,'計算A'!AL$6,1000000))</f>
        <v/>
      </c>
      <c r="IS13">
        <f>IF($B13=0,1000000,IF(INDEX('計算A'!$D$60:$DS$104,$B13,36)*EB13=1,'計算A'!AM$6,1000000))</f>
        <v/>
      </c>
      <c r="IT13">
        <f>IF($B13=0,1000000,IF(INDEX('計算A'!$D$60:$DS$104,$B13,37)*EC13=1,'計算A'!AN$6,1000000))</f>
        <v/>
      </c>
      <c r="IU13">
        <f>IF($B13=0,1000000,IF(INDEX('計算A'!$D$60:$DS$104,$B13,38)*ED13=1,'計算A'!AO$6,1000000))</f>
        <v/>
      </c>
      <c r="IV13">
        <f>IF($B13=0,1000000,IF(INDEX('計算A'!$D$60:$DS$104,$B13,39)*EE13=1,'計算A'!AP$6,1000000))</f>
        <v/>
      </c>
      <c r="IW13">
        <f>IF($B13=0,1000000,IF(INDEX('計算A'!$D$60:$DS$104,$B13,40)*EF13=1,'計算A'!AQ$6,1000000))</f>
        <v/>
      </c>
      <c r="IX13">
        <f>IF($B13=0,1000000,IF(INDEX('計算A'!$D$60:$DS$104,$B13,41)*EG13=1,'計算A'!AR$6,1000000))</f>
        <v/>
      </c>
      <c r="IY13">
        <f>IF($B13=0,1000000,IF(INDEX('計算A'!$D$60:$DS$104,$B13,42)*EH13=1,'計算A'!AS$6,1000000))</f>
        <v/>
      </c>
      <c r="IZ13">
        <f>IF($B13=0,1000000,IF(INDEX('計算A'!$D$60:$DS$104,$B13,43)*EI13=1,'計算A'!AT$6,1000000))</f>
        <v/>
      </c>
      <c r="JA13">
        <f>IF($B13=0,1000000,IF(INDEX('計算A'!$D$60:$DS$104,$B13,44)*EJ13=1,'計算A'!AU$6,1000000))</f>
        <v/>
      </c>
      <c r="JB13">
        <f>IF($B13=0,1000000,IF(INDEX('計算A'!$D$60:$DS$104,$B13,45)*EK13=1,'計算A'!AV$6,1000000))</f>
        <v/>
      </c>
      <c r="JC13">
        <f>IF($B13=0,1000000,IF(INDEX('計算A'!$D$60:$DS$104,$B13,46)*EL13=1,'計算A'!AW$6,1000000))</f>
        <v/>
      </c>
      <c r="JD13">
        <f>IF($B13=0,1000000,IF(INDEX('計算A'!$D$60:$DS$104,$B13,47)*EM13=1,'計算A'!AX$6,1000000))</f>
        <v/>
      </c>
      <c r="JE13">
        <f>IF($B13=0,1000000,IF(INDEX('計算A'!$D$60:$DS$104,$B13,48)*EN13=1,'計算A'!AY$6,1000000))</f>
        <v/>
      </c>
      <c r="JF13">
        <f>IF($B13=0,1000000,IF(INDEX('計算A'!$D$60:$DS$104,$B13,49)*EO13=1,'計算A'!AZ$6,1000000))</f>
        <v/>
      </c>
      <c r="JG13">
        <f>IF($B13=0,1000000,IF(INDEX('計算A'!$D$60:$DS$104,$B13,50)*EP13=1,'計算A'!BA$6,1000000))</f>
        <v/>
      </c>
      <c r="JH13">
        <f>IF($B13=0,1000000,IF(INDEX('計算A'!$D$60:$DS$104,$B13,51)*EQ13=1,'計算A'!BB$6,1000000))</f>
        <v/>
      </c>
      <c r="JI13">
        <f>IF($B13=0,1000000,IF(INDEX('計算A'!$D$60:$DS$104,$B13,52)*ER13=1,'計算A'!BC$6,1000000))</f>
        <v/>
      </c>
      <c r="JJ13">
        <f>IF($B13=0,1000000,IF(INDEX('計算A'!$D$60:$DS$104,$B13,53)*ES13=1,'計算A'!BD$6,1000000))</f>
        <v/>
      </c>
      <c r="JK13">
        <f>IF($B13=0,1000000,IF(INDEX('計算A'!$D$60:$DS$104,$B13,54)*ET13=1,'計算A'!BE$6,1000000))</f>
        <v/>
      </c>
      <c r="JL13">
        <f>IF($B13=0,1000000,IF(INDEX('計算A'!$D$60:$DS$104,$B13,55)*EU13=1,'計算A'!BF$6,1000000))</f>
        <v/>
      </c>
      <c r="JM13">
        <f>IF($B13=0,1000000,IF(INDEX('計算A'!$D$60:$DS$104,$B13,56)*EV13=1,'計算A'!BG$6,1000000))</f>
        <v/>
      </c>
      <c r="JN13">
        <f>IF($B13=0,1000000,IF(INDEX('計算A'!$D$60:$DS$104,$B13,57)*EW13=1,'計算A'!BH$6,1000000))</f>
        <v/>
      </c>
      <c r="JO13">
        <f>IF($B13=0,1000000,IF(INDEX('計算A'!$D$60:$DS$104,$B13,58)*EX13=1,'計算A'!BI$6,1000000))</f>
        <v/>
      </c>
      <c r="JP13">
        <f>IF($B13=0,1000000,IF(INDEX('計算A'!$D$60:$DS$104,$B13,59)*EY13=1,'計算A'!BJ$6,1000000))</f>
        <v/>
      </c>
      <c r="JQ13">
        <f>IF($B13=0,1000000,IF(INDEX('計算A'!$D$60:$DS$104,$B13,60)*EZ13=1,'計算A'!BK$6,1000000))</f>
        <v/>
      </c>
      <c r="JR13">
        <f>IF($B13=0,1000000,IF(INDEX('計算A'!$D$60:$DS$104,$B13,61)*FA13=1,'計算A'!BL$6,1000000))</f>
        <v/>
      </c>
      <c r="JS13">
        <f>IF($B13=0,1000000,IF(INDEX('計算A'!$D$60:$DS$104,$B13,62)*FB13=1,'計算A'!BM$6,1000000))</f>
        <v/>
      </c>
      <c r="JT13">
        <f>IF($B13=0,1000000,IF(INDEX('計算A'!$D$60:$DS$104,$B13,63)*FC13=1,'計算A'!BN$6,1000000))</f>
        <v/>
      </c>
      <c r="JU13">
        <f>IF($B13=0,1000000,IF(INDEX('計算A'!$D$60:$DS$104,$B13,64)*FD13=1,'計算A'!BO$6,1000000))</f>
        <v/>
      </c>
      <c r="JV13">
        <f>IF($B13=0,1000000,IF(INDEX('計算A'!$D$60:$DS$104,$B13,65)*FE13=1,'計算A'!BP$6,1000000))</f>
        <v/>
      </c>
      <c r="JW13">
        <f>IF($B13=0,1000000,IF(INDEX('計算A'!$D$60:$DS$104,$B13,66)*FF13=1,'計算A'!BQ$6,1000000))</f>
        <v/>
      </c>
      <c r="JX13">
        <f>IF($B13=0,1000000,IF(INDEX('計算A'!$D$60:$DS$104,$B13,67)*FG13=1,'計算A'!BR$6,1000000))</f>
        <v/>
      </c>
      <c r="JY13">
        <f>IF($B13=0,1000000,IF(INDEX('計算A'!$D$60:$DS$104,$B13,68)*FH13=1,'計算A'!BS$6,1000000))</f>
        <v/>
      </c>
      <c r="JZ13">
        <f>IF($B13=0,1000000,IF(INDEX('計算A'!$D$60:$DS$104,$B13,69)*FI13=1,'計算A'!BT$6,1000000))</f>
        <v/>
      </c>
      <c r="KA13">
        <f>IF($B13=0,1000000,IF(INDEX('計算A'!$D$60:$DS$104,$B13,70)*FJ13=1,'計算A'!BU$6,1000000))</f>
        <v/>
      </c>
      <c r="KB13">
        <f>IF($B13=0,1000000,IF(INDEX('計算A'!$D$60:$DS$104,$B13,71)*FK13=1,'計算A'!BV$6,1000000))</f>
        <v/>
      </c>
      <c r="KC13">
        <f>IF($B13=0,1000000,IF(INDEX('計算A'!$D$60:$DS$104,$B13,72)*FL13=1,'計算A'!BW$6,1000000))</f>
        <v/>
      </c>
      <c r="KD13">
        <f>IF($B13=0,1000000,IF(INDEX('計算A'!$D$60:$DS$104,$B13,73)*FM13=1,'計算A'!BX$6,1000000))</f>
        <v/>
      </c>
      <c r="KE13">
        <f>IF($B13=0,1000000,IF(INDEX('計算A'!$D$60:$DS$104,$B13,74)*FN13=1,'計算A'!BY$6,1000000))</f>
        <v/>
      </c>
      <c r="KF13">
        <f>IF($B13=0,1000000,IF(INDEX('計算A'!$D$60:$DS$104,$B13,75)*FO13=1,'計算A'!BZ$6,1000000))</f>
        <v/>
      </c>
      <c r="KG13">
        <f>IF($B13=0,1000000,IF(INDEX('計算A'!$D$60:$DS$104,$B13,76)*FP13=1,'計算A'!CA$6,1000000))</f>
        <v/>
      </c>
      <c r="KH13">
        <f>IF($B13=0,1000000,IF(INDEX('計算A'!$D$60:$DS$104,$B13,77)*FQ13=1,'計算A'!CB$6,1000000))</f>
        <v/>
      </c>
      <c r="KI13">
        <f>IF($B13=0,1000000,IF(INDEX('計算A'!$D$60:$DS$104,$B13,78)*FR13=1,'計算A'!CC$6,1000000))</f>
        <v/>
      </c>
      <c r="KJ13">
        <f>IF($B13=0,1000000,IF(INDEX('計算A'!$D$60:$DS$104,$B13,79)*FS13=1,'計算A'!CD$6,1000000))</f>
        <v/>
      </c>
      <c r="KK13">
        <f>IF($B13=0,1000000,IF(INDEX('計算A'!$D$60:$DS$104,$B13,80)*FT13=1,'計算A'!CE$6,1000000))</f>
        <v/>
      </c>
      <c r="KL13">
        <f>IF($B13=0,1000000,IF(INDEX('計算A'!$D$60:$DS$104,$B13,81)*FU13=1,'計算A'!CF$6,1000000))</f>
        <v/>
      </c>
      <c r="KM13">
        <f>IF($B13=0,1000000,IF(INDEX('計算A'!$D$60:$DS$104,$B13,82)*FV13=1,'計算A'!CG$6,1000000))</f>
        <v/>
      </c>
      <c r="KN13">
        <f>IF($B13=0,1000000,IF(INDEX('計算A'!$D$60:$DS$104,$B13,83)*FW13=1,'計算A'!CH$6,1000000))</f>
        <v/>
      </c>
      <c r="KO13">
        <f>IF($B13=0,1000000,IF(INDEX('計算A'!$D$60:$DS$104,$B13,84)*FX13=1,'計算A'!CI$6,1000000))</f>
        <v/>
      </c>
      <c r="KP13">
        <f>IF($B13=0,1000000,IF(INDEX('計算A'!$D$60:$DS$104,$B13,85)*FY13=1,'計算A'!CJ$6,1000000))</f>
        <v/>
      </c>
      <c r="KQ13">
        <f>IF($B13=0,1000000,IF(INDEX('計算A'!$D$60:$DS$104,$B13,86)*FZ13=1,'計算A'!CK$6,1000000))</f>
        <v/>
      </c>
      <c r="KR13">
        <f>IF($B13=0,1000000,IF(INDEX('計算A'!$D$60:$DS$104,$B13,87)*GA13=1,'計算A'!CL$6,1000000))</f>
        <v/>
      </c>
      <c r="KS13">
        <f>IF($B13=0,1000000,IF(INDEX('計算A'!$D$60:$DS$104,$B13,88)*GB13=1,'計算A'!CM$6,1000000))</f>
        <v/>
      </c>
      <c r="KT13">
        <f>IF($B13=0,1000000,IF(INDEX('計算A'!$D$60:$DS$104,$B13,89)*GC13=1,'計算A'!CN$6,1000000))</f>
        <v/>
      </c>
      <c r="KU13">
        <f>IF($B13=0,1000000,IF(INDEX('計算A'!$D$60:$DS$104,$B13,90)*GD13=1,'計算A'!CO$6,1000000))</f>
        <v/>
      </c>
      <c r="KV13">
        <f>IF($B13=0,1000000,IF(INDEX('計算A'!$D$60:$DS$104,$B13,91)*GE13=1,'計算A'!CP$6,1000000))</f>
        <v/>
      </c>
      <c r="KW13">
        <f>IF($B13=0,1000000,IF(INDEX('計算A'!$D$60:$DS$104,$B13,92)*GF13=1,'計算A'!CQ$6,1000000))</f>
        <v/>
      </c>
      <c r="KX13">
        <f>IF($B13=0,1000000,IF(INDEX('計算A'!$D$60:$DS$104,$B13,93)*GG13=1,'計算A'!CR$6,1000000))</f>
        <v/>
      </c>
      <c r="KY13">
        <f>IF($B13=0,1000000,IF(INDEX('計算A'!$D$60:$DS$104,$B13,94)*GH13=1,'計算A'!CS$6,1000000))</f>
        <v/>
      </c>
      <c r="KZ13">
        <f>IF($B13=0,1000000,IF(INDEX('計算A'!$D$60:$DS$104,$B13,95)*GI13=1,'計算A'!CT$6,1000000))</f>
        <v/>
      </c>
      <c r="LA13">
        <f>IF($B13=0,1000000,IF(INDEX('計算A'!$D$60:$DS$104,$B13,96)*GJ13=1,'計算A'!CU$6,1000000))</f>
        <v/>
      </c>
      <c r="LB13">
        <f>IF($B13=0,1000000,IF(INDEX('計算A'!$D$60:$DS$104,$B13,97)*GK13=1,'計算A'!CV$6,1000000))</f>
        <v/>
      </c>
      <c r="LC13">
        <f>IF($B13=0,1000000,IF(INDEX('計算A'!$D$60:$DS$104,$B13,98)*GL13=1,'計算A'!CW$6,1000000))</f>
        <v/>
      </c>
      <c r="LD13">
        <f>IF($B13=0,1000000,IF(INDEX('計算A'!$D$60:$DS$104,$B13,99)*GM13=1,'計算A'!CX$6,1000000))</f>
        <v/>
      </c>
      <c r="LE13">
        <f>IF($B13=0,1000000,IF(INDEX('計算A'!$D$60:$DS$104,$B13,100)*GN13=1,'計算A'!CY$6,1000000))</f>
        <v/>
      </c>
      <c r="LF13">
        <f>IF($B13=0,1000000,IF(INDEX('計算A'!$D$60:$DS$104,$B13,101)*GO13=1,'計算A'!CZ$6,1000000))</f>
        <v/>
      </c>
      <c r="LG13">
        <f>IF($B13=0,1000000,IF(INDEX('計算A'!$D$60:$DS$104,$B13,102)*GP13=1,'計算A'!DA$6,1000000))</f>
        <v/>
      </c>
      <c r="LH13">
        <f>IF($B13=0,1000000,IF(INDEX('計算A'!$D$60:$DS$104,$B13,103)*GQ13=1,'計算A'!DB$6,1000000))</f>
        <v/>
      </c>
      <c r="LI13">
        <f>IF($B13=0,1000000,IF(INDEX('計算A'!$D$60:$DS$104,$B13,104)*GR13=1,'計算A'!DC$6,1000000))</f>
        <v/>
      </c>
      <c r="LJ13">
        <f>IF($B13=0,1000000,IF(INDEX('計算A'!$D$60:$DS$104,$B13,105)*GS13=1,'計算A'!DD$6,1000000))</f>
        <v/>
      </c>
      <c r="LK13">
        <f>IF($B13=0,1000000,IF(INDEX('計算A'!$D$60:$DS$104,$B13,106)*GT13=1,'計算A'!DE$6,1000000))</f>
        <v/>
      </c>
      <c r="LL13">
        <f>IF($B13=0,1000000,IF(INDEX('計算A'!$D$60:$DS$104,$B13,107)*GU13=1,'計算A'!DF$6,1000000))</f>
        <v/>
      </c>
      <c r="LM13">
        <f>IF($B13=0,1000000,IF(INDEX('計算A'!$D$60:$DS$104,$B13,108)*GV13=1,'計算A'!DG$6,1000000))</f>
        <v/>
      </c>
      <c r="LN13">
        <f>IF($B13=0,1000000,IF(INDEX('計算A'!$D$60:$DS$104,$B13,109)*GW13=1,'計算A'!DH$6,1000000))</f>
        <v/>
      </c>
      <c r="LO13">
        <f>IF($B13=0,1000000,IF(INDEX('計算A'!$D$60:$DS$104,$B13,110)*GX13=1,'計算A'!DI$6,1000000))</f>
        <v/>
      </c>
      <c r="LP13">
        <f>IF($B13=0,1000000,IF(INDEX('計算A'!$D$60:$DS$104,$B13,111)*GY13=1,'計算A'!DJ$6,1000000))</f>
        <v/>
      </c>
      <c r="LQ13">
        <f>IF($B13=0,1000000,IF(INDEX('計算A'!$D$60:$DS$104,$B13,112)*GZ13=1,'計算A'!DK$6,1000000))</f>
        <v/>
      </c>
      <c r="LR13">
        <f>IF($B13=0,1000000,IF(INDEX('計算A'!$D$60:$DS$104,$B13,113)*HA13=1,'計算A'!DL$6,1000000))</f>
        <v/>
      </c>
      <c r="LS13">
        <f>IF($B13=0,1000000,IF(INDEX('計算A'!$D$60:$DS$104,$B13,114)*HB13=1,'計算A'!DM$6,1000000))</f>
        <v/>
      </c>
      <c r="LT13">
        <f>IF($B13=0,1000000,IF(INDEX('計算A'!$D$60:$DS$104,$B13,115)*HC13=1,'計算A'!DN$6,1000000))</f>
        <v/>
      </c>
      <c r="LU13">
        <f>IF($B13=0,1000000,IF(INDEX('計算A'!$D$60:$DS$104,$B13,116)*HD13=1,'計算A'!DO$6,1000000))</f>
        <v/>
      </c>
      <c r="LV13">
        <f>IF($B13=0,1000000,IF(INDEX('計算A'!$D$60:$DS$104,$B13,117)*HE13=1,'計算A'!DP$6,1000000))</f>
        <v/>
      </c>
      <c r="LW13">
        <f>IF($B13=0,1000000,IF(INDEX('計算A'!$D$60:$DS$104,$B13,118)*HF13=1,'計算A'!DQ$6,1000000))</f>
        <v/>
      </c>
      <c r="LX13">
        <f>IF($B13=0,1000000,IF(INDEX('計算A'!$D$60:$DS$104,$B13,119)*HG13=1,'計算A'!DR$6,1000000))</f>
        <v/>
      </c>
      <c r="LY13">
        <f>IF($B13=0,1000000,IF(INDEX('計算A'!$D$60:$DS$104,$B13,120)*HH13=1,'計算A'!DS$6,1000000))</f>
        <v/>
      </c>
    </row>
    <row r="14">
      <c r="A14" t="n">
        <v>12</v>
      </c>
      <c r="B14">
        <f>IF(MIN(AY14:CQ14)&gt;=1000000,0,MATCH(MIN(AY14:CQ14),AY14:CQ14,0))</f>
        <v/>
      </c>
      <c r="C14">
        <f>IF(MIN(HJ14:LY14)&gt;=1000000,0,MATCH(MIN(HJ14:LY14),HJ14:LY14,0))</f>
        <v/>
      </c>
      <c r="D14">
        <f>IF(C14&gt;0,INDEX('計算A'!$D$5:$DS$5,C14),0)</f>
        <v/>
      </c>
      <c r="E14">
        <f>MAX(E13,IF($B13=1,1,0))</f>
        <v/>
      </c>
      <c r="F14">
        <f>MAX(F13,IF($B13=2,1,0))</f>
        <v/>
      </c>
      <c r="G14">
        <f>MAX(G13,IF($B13=3,1,0))</f>
        <v/>
      </c>
      <c r="H14">
        <f>MAX(H13,IF($B13=4,1,0))</f>
        <v/>
      </c>
      <c r="I14">
        <f>MAX(I13,IF($B13=5,1,0))</f>
        <v/>
      </c>
      <c r="J14">
        <f>MAX(J13,IF($B13=6,1,0))</f>
        <v/>
      </c>
      <c r="K14">
        <f>MAX(K13,IF($B13=7,1,0))</f>
        <v/>
      </c>
      <c r="L14">
        <f>MAX(L13,IF($B13=8,1,0))</f>
        <v/>
      </c>
      <c r="M14">
        <f>MAX(M13,IF($B13=9,1,0))</f>
        <v/>
      </c>
      <c r="N14">
        <f>MAX(N13,IF($B13=10,1,0))</f>
        <v/>
      </c>
      <c r="O14">
        <f>MAX(O13,IF($B13=11,1,0))</f>
        <v/>
      </c>
      <c r="P14">
        <f>MAX(P13,IF($B13=12,1,0))</f>
        <v/>
      </c>
      <c r="Q14">
        <f>MAX(Q13,IF($B13=13,1,0))</f>
        <v/>
      </c>
      <c r="R14">
        <f>MAX(R13,IF($B13=14,1,0))</f>
        <v/>
      </c>
      <c r="S14">
        <f>MAX(S13,IF($B13=15,1,0))</f>
        <v/>
      </c>
      <c r="T14">
        <f>MAX(T13,IF($B13=16,1,0))</f>
        <v/>
      </c>
      <c r="U14">
        <f>MAX(U13,IF($B13=17,1,0))</f>
        <v/>
      </c>
      <c r="V14">
        <f>MAX(V13,IF($B13=18,1,0))</f>
        <v/>
      </c>
      <c r="W14">
        <f>MAX(W13,IF($B13=19,1,0))</f>
        <v/>
      </c>
      <c r="X14">
        <f>MAX(X13,IF($B13=20,1,0))</f>
        <v/>
      </c>
      <c r="Y14">
        <f>MAX(Y13,IF($B13=21,1,0))</f>
        <v/>
      </c>
      <c r="Z14">
        <f>MAX(Z13,IF($B13=22,1,0))</f>
        <v/>
      </c>
      <c r="AA14">
        <f>MAX(AA13,IF($B13=23,1,0))</f>
        <v/>
      </c>
      <c r="AB14">
        <f>MAX(AB13,IF($B13=24,1,0))</f>
        <v/>
      </c>
      <c r="AC14">
        <f>MAX(AC13,IF($B13=25,1,0))</f>
        <v/>
      </c>
      <c r="AD14">
        <f>MAX(AD13,IF($B13=26,1,0))</f>
        <v/>
      </c>
      <c r="AE14">
        <f>MAX(AE13,IF($B13=27,1,0))</f>
        <v/>
      </c>
      <c r="AF14">
        <f>MAX(AF13,IF($B13=28,1,0))</f>
        <v/>
      </c>
      <c r="AG14">
        <f>MAX(AG13,IF($B13=29,1,0))</f>
        <v/>
      </c>
      <c r="AH14">
        <f>MAX(AH13,IF($B13=30,1,0))</f>
        <v/>
      </c>
      <c r="AI14">
        <f>MAX(AI13,IF($B13=31,1,0))</f>
        <v/>
      </c>
      <c r="AJ14">
        <f>MAX(AJ13,IF($B13=32,1,0))</f>
        <v/>
      </c>
      <c r="AK14">
        <f>MAX(AK13,IF($B13=33,1,0))</f>
        <v/>
      </c>
      <c r="AL14">
        <f>MAX(AL13,IF($B13=34,1,0))</f>
        <v/>
      </c>
      <c r="AM14">
        <f>MAX(AM13,IF($B13=35,1,0))</f>
        <v/>
      </c>
      <c r="AN14">
        <f>MAX(AN13,IF($B13=36,1,0))</f>
        <v/>
      </c>
      <c r="AO14">
        <f>MAX(AO13,IF($B13=37,1,0))</f>
        <v/>
      </c>
      <c r="AP14">
        <f>MAX(AP13,IF($B13=38,1,0))</f>
        <v/>
      </c>
      <c r="AQ14">
        <f>MAX(AQ13,IF($B13=39,1,0))</f>
        <v/>
      </c>
      <c r="AR14">
        <f>MAX(AR13,IF($B13=40,1,0))</f>
        <v/>
      </c>
      <c r="AS14">
        <f>MAX(AS13,IF($B13=41,1,0))</f>
        <v/>
      </c>
      <c r="AT14">
        <f>MAX(AT13,IF($B13=42,1,0))</f>
        <v/>
      </c>
      <c r="AU14">
        <f>MAX(AU13,IF($B13=43,1,0))</f>
        <v/>
      </c>
      <c r="AV14">
        <f>MAX(AV13,IF($B13=44,1,0))</f>
        <v/>
      </c>
      <c r="AW14">
        <f>MAX(AW13,IF($B13=45,1,0))</f>
        <v/>
      </c>
      <c r="AY14">
        <f>IF(E14=1,1000000,SUMPRODUCT('計算A'!$D$60:$DS$60,$CS14:$HH14)*1000+1)</f>
        <v/>
      </c>
      <c r="AZ14">
        <f>IF(F14=1,1000000,SUMPRODUCT('計算A'!$D$61:$DS$61,$CS14:$HH14)*1000+2)</f>
        <v/>
      </c>
      <c r="BA14">
        <f>IF(G14=1,1000000,SUMPRODUCT('計算A'!$D$62:$DS$62,$CS14:$HH14)*1000+3)</f>
        <v/>
      </c>
      <c r="BB14">
        <f>IF(H14=1,1000000,SUMPRODUCT('計算A'!$D$63:$DS$63,$CS14:$HH14)*1000+4)</f>
        <v/>
      </c>
      <c r="BC14">
        <f>IF(I14=1,1000000,SUMPRODUCT('計算A'!$D$64:$DS$64,$CS14:$HH14)*1000+5)</f>
        <v/>
      </c>
      <c r="BD14">
        <f>IF(J14=1,1000000,SUMPRODUCT('計算A'!$D$65:$DS$65,$CS14:$HH14)*1000+6)</f>
        <v/>
      </c>
      <c r="BE14">
        <f>IF(K14=1,1000000,SUMPRODUCT('計算A'!$D$66:$DS$66,$CS14:$HH14)*1000+7)</f>
        <v/>
      </c>
      <c r="BF14">
        <f>IF(L14=1,1000000,SUMPRODUCT('計算A'!$D$67:$DS$67,$CS14:$HH14)*1000+8)</f>
        <v/>
      </c>
      <c r="BG14">
        <f>IF(M14=1,1000000,SUMPRODUCT('計算A'!$D$68:$DS$68,$CS14:$HH14)*1000+9)</f>
        <v/>
      </c>
      <c r="BH14">
        <f>IF(N14=1,1000000,SUMPRODUCT('計算A'!$D$69:$DS$69,$CS14:$HH14)*1000+10)</f>
        <v/>
      </c>
      <c r="BI14">
        <f>IF(O14=1,1000000,SUMPRODUCT('計算A'!$D$70:$DS$70,$CS14:$HH14)*1000+11)</f>
        <v/>
      </c>
      <c r="BJ14">
        <f>IF(P14=1,1000000,SUMPRODUCT('計算A'!$D$71:$DS$71,$CS14:$HH14)*1000+12)</f>
        <v/>
      </c>
      <c r="BK14">
        <f>IF(Q14=1,1000000,SUMPRODUCT('計算A'!$D$72:$DS$72,$CS14:$HH14)*1000+13)</f>
        <v/>
      </c>
      <c r="BL14">
        <f>IF(R14=1,1000000,SUMPRODUCT('計算A'!$D$73:$DS$73,$CS14:$HH14)*1000+14)</f>
        <v/>
      </c>
      <c r="BM14">
        <f>IF(S14=1,1000000,SUMPRODUCT('計算A'!$D$74:$DS$74,$CS14:$HH14)*1000+15)</f>
        <v/>
      </c>
      <c r="BN14">
        <f>IF(T14=1,1000000,SUMPRODUCT('計算A'!$D$75:$DS$75,$CS14:$HH14)*1000+16)</f>
        <v/>
      </c>
      <c r="BO14">
        <f>IF(U14=1,1000000,SUMPRODUCT('計算A'!$D$76:$DS$76,$CS14:$HH14)*1000+17)</f>
        <v/>
      </c>
      <c r="BP14">
        <f>IF(V14=1,1000000,SUMPRODUCT('計算A'!$D$77:$DS$77,$CS14:$HH14)*1000+18)</f>
        <v/>
      </c>
      <c r="BQ14">
        <f>IF(W14=1,1000000,SUMPRODUCT('計算A'!$D$78:$DS$78,$CS14:$HH14)*1000+19)</f>
        <v/>
      </c>
      <c r="BR14">
        <f>IF(X14=1,1000000,SUMPRODUCT('計算A'!$D$79:$DS$79,$CS14:$HH14)*1000+20)</f>
        <v/>
      </c>
      <c r="BS14">
        <f>IF(Y14=1,1000000,SUMPRODUCT('計算A'!$D$80:$DS$80,$CS14:$HH14)*1000+21)</f>
        <v/>
      </c>
      <c r="BT14">
        <f>IF(Z14=1,1000000,SUMPRODUCT('計算A'!$D$81:$DS$81,$CS14:$HH14)*1000+22)</f>
        <v/>
      </c>
      <c r="BU14">
        <f>IF(AA14=1,1000000,SUMPRODUCT('計算A'!$D$82:$DS$82,$CS14:$HH14)*1000+23)</f>
        <v/>
      </c>
      <c r="BV14">
        <f>IF(AB14=1,1000000,SUMPRODUCT('計算A'!$D$83:$DS$83,$CS14:$HH14)*1000+24)</f>
        <v/>
      </c>
      <c r="BW14">
        <f>IF(AC14=1,1000000,SUMPRODUCT('計算A'!$D$84:$DS$84,$CS14:$HH14)*1000+25)</f>
        <v/>
      </c>
      <c r="BX14">
        <f>IF(AD14=1,1000000,SUMPRODUCT('計算A'!$D$85:$DS$85,$CS14:$HH14)*1000+26)</f>
        <v/>
      </c>
      <c r="BY14">
        <f>IF(AE14=1,1000000,SUMPRODUCT('計算A'!$D$86:$DS$86,$CS14:$HH14)*1000+27)</f>
        <v/>
      </c>
      <c r="BZ14">
        <f>IF(AF14=1,1000000,SUMPRODUCT('計算A'!$D$87:$DS$87,$CS14:$HH14)*1000+28)</f>
        <v/>
      </c>
      <c r="CA14">
        <f>IF(AG14=1,1000000,SUMPRODUCT('計算A'!$D$88:$DS$88,$CS14:$HH14)*1000+29)</f>
        <v/>
      </c>
      <c r="CB14">
        <f>IF(AH14=1,1000000,SUMPRODUCT('計算A'!$D$89:$DS$89,$CS14:$HH14)*1000+30)</f>
        <v/>
      </c>
      <c r="CC14">
        <f>IF(AI14=1,1000000,SUMPRODUCT('計算A'!$D$90:$DS$90,$CS14:$HH14)*1000+31)</f>
        <v/>
      </c>
      <c r="CD14">
        <f>IF(AJ14=1,1000000,SUMPRODUCT('計算A'!$D$91:$DS$91,$CS14:$HH14)*1000+32)</f>
        <v/>
      </c>
      <c r="CE14">
        <f>IF(AK14=1,1000000,SUMPRODUCT('計算A'!$D$92:$DS$92,$CS14:$HH14)*1000+33)</f>
        <v/>
      </c>
      <c r="CF14">
        <f>IF(AL14=1,1000000,SUMPRODUCT('計算A'!$D$93:$DS$93,$CS14:$HH14)*1000+34)</f>
        <v/>
      </c>
      <c r="CG14">
        <f>IF(AM14=1,1000000,SUMPRODUCT('計算A'!$D$94:$DS$94,$CS14:$HH14)*1000+35)</f>
        <v/>
      </c>
      <c r="CH14">
        <f>IF(AN14=1,1000000,SUMPRODUCT('計算A'!$D$95:$DS$95,$CS14:$HH14)*1000+36)</f>
        <v/>
      </c>
      <c r="CI14">
        <f>IF(AO14=1,1000000,SUMPRODUCT('計算A'!$D$96:$DS$96,$CS14:$HH14)*1000+37)</f>
        <v/>
      </c>
      <c r="CJ14">
        <f>IF(AP14=1,1000000,SUMPRODUCT('計算A'!$D$97:$DS$97,$CS14:$HH14)*1000+38)</f>
        <v/>
      </c>
      <c r="CK14">
        <f>IF(AQ14=1,1000000,SUMPRODUCT('計算A'!$D$98:$DS$98,$CS14:$HH14)*1000+39)</f>
        <v/>
      </c>
      <c r="CL14">
        <f>IF(AR14=1,1000000,SUMPRODUCT('計算A'!$D$99:$DS$99,$CS14:$HH14)*1000+40)</f>
        <v/>
      </c>
      <c r="CM14">
        <f>IF(AS14=1,1000000,SUMPRODUCT('計算A'!$D$100:$DS$100,$CS14:$HH14)*1000+41)</f>
        <v/>
      </c>
      <c r="CN14">
        <f>IF(AT14=1,1000000,SUMPRODUCT('計算A'!$D$101:$DS$101,$CS14:$HH14)*1000+42)</f>
        <v/>
      </c>
      <c r="CO14">
        <f>IF(AU14=1,1000000,SUMPRODUCT('計算A'!$D$102:$DS$102,$CS14:$HH14)*1000+43)</f>
        <v/>
      </c>
      <c r="CP14">
        <f>IF(AV14=1,1000000,SUMPRODUCT('計算A'!$D$103:$DS$103,$CS14:$HH14)*1000+44)</f>
        <v/>
      </c>
      <c r="CQ14">
        <f>IF(AW14=1,1000000,SUMPRODUCT('計算A'!$D$104:$DS$104,$CS14:$HH14)*1000+45)</f>
        <v/>
      </c>
      <c r="CS14">
        <f>CS13*IF($C13=1,0,1)</f>
        <v/>
      </c>
      <c r="CT14">
        <f>CT13*IF($C13=2,0,1)</f>
        <v/>
      </c>
      <c r="CU14">
        <f>CU13*IF($C13=3,0,1)</f>
        <v/>
      </c>
      <c r="CV14">
        <f>CV13*IF($C13=4,0,1)</f>
        <v/>
      </c>
      <c r="CW14">
        <f>CW13*IF($C13=5,0,1)</f>
        <v/>
      </c>
      <c r="CX14">
        <f>CX13*IF($C13=6,0,1)</f>
        <v/>
      </c>
      <c r="CY14">
        <f>CY13*IF($C13=7,0,1)</f>
        <v/>
      </c>
      <c r="CZ14">
        <f>CZ13*IF($C13=8,0,1)</f>
        <v/>
      </c>
      <c r="DA14">
        <f>DA13*IF($C13=9,0,1)</f>
        <v/>
      </c>
      <c r="DB14">
        <f>DB13*IF($C13=10,0,1)</f>
        <v/>
      </c>
      <c r="DC14">
        <f>DC13*IF($C13=11,0,1)</f>
        <v/>
      </c>
      <c r="DD14">
        <f>DD13*IF($C13=12,0,1)</f>
        <v/>
      </c>
      <c r="DE14">
        <f>DE13*IF($C13=13,0,1)</f>
        <v/>
      </c>
      <c r="DF14">
        <f>DF13*IF($C13=14,0,1)</f>
        <v/>
      </c>
      <c r="DG14">
        <f>DG13*IF($C13=15,0,1)</f>
        <v/>
      </c>
      <c r="DH14">
        <f>DH13*IF($C13=16,0,1)</f>
        <v/>
      </c>
      <c r="DI14">
        <f>DI13*IF($C13=17,0,1)</f>
        <v/>
      </c>
      <c r="DJ14">
        <f>DJ13*IF($C13=18,0,1)</f>
        <v/>
      </c>
      <c r="DK14">
        <f>DK13*IF($C13=19,0,1)</f>
        <v/>
      </c>
      <c r="DL14">
        <f>DL13*IF($C13=20,0,1)</f>
        <v/>
      </c>
      <c r="DM14">
        <f>DM13*IF($C13=21,0,1)</f>
        <v/>
      </c>
      <c r="DN14">
        <f>DN13*IF($C13=22,0,1)</f>
        <v/>
      </c>
      <c r="DO14">
        <f>DO13*IF($C13=23,0,1)</f>
        <v/>
      </c>
      <c r="DP14">
        <f>DP13*IF($C13=24,0,1)</f>
        <v/>
      </c>
      <c r="DQ14">
        <f>DQ13*IF($C13=25,0,1)</f>
        <v/>
      </c>
      <c r="DR14">
        <f>DR13*IF($C13=26,0,1)</f>
        <v/>
      </c>
      <c r="DS14">
        <f>DS13*IF($C13=27,0,1)</f>
        <v/>
      </c>
      <c r="DT14">
        <f>DT13*IF($C13=28,0,1)</f>
        <v/>
      </c>
      <c r="DU14">
        <f>DU13*IF($C13=29,0,1)</f>
        <v/>
      </c>
      <c r="DV14">
        <f>DV13*IF($C13=30,0,1)</f>
        <v/>
      </c>
      <c r="DW14">
        <f>DW13*IF($C13=31,0,1)</f>
        <v/>
      </c>
      <c r="DX14">
        <f>DX13*IF($C13=32,0,1)</f>
        <v/>
      </c>
      <c r="DY14">
        <f>DY13*IF($C13=33,0,1)</f>
        <v/>
      </c>
      <c r="DZ14">
        <f>DZ13*IF($C13=34,0,1)</f>
        <v/>
      </c>
      <c r="EA14">
        <f>EA13*IF($C13=35,0,1)</f>
        <v/>
      </c>
      <c r="EB14">
        <f>EB13*IF($C13=36,0,1)</f>
        <v/>
      </c>
      <c r="EC14">
        <f>EC13*IF($C13=37,0,1)</f>
        <v/>
      </c>
      <c r="ED14">
        <f>ED13*IF($C13=38,0,1)</f>
        <v/>
      </c>
      <c r="EE14">
        <f>EE13*IF($C13=39,0,1)</f>
        <v/>
      </c>
      <c r="EF14">
        <f>EF13*IF($C13=40,0,1)</f>
        <v/>
      </c>
      <c r="EG14">
        <f>EG13*IF($C13=41,0,1)</f>
        <v/>
      </c>
      <c r="EH14">
        <f>EH13*IF($C13=42,0,1)</f>
        <v/>
      </c>
      <c r="EI14">
        <f>EI13*IF($C13=43,0,1)</f>
        <v/>
      </c>
      <c r="EJ14">
        <f>EJ13*IF($C13=44,0,1)</f>
        <v/>
      </c>
      <c r="EK14">
        <f>EK13*IF($C13=45,0,1)</f>
        <v/>
      </c>
      <c r="EL14">
        <f>EL13*IF($C13=46,0,1)</f>
        <v/>
      </c>
      <c r="EM14">
        <f>EM13*IF($C13=47,0,1)</f>
        <v/>
      </c>
      <c r="EN14">
        <f>EN13*IF($C13=48,0,1)</f>
        <v/>
      </c>
      <c r="EO14">
        <f>EO13*IF($C13=49,0,1)</f>
        <v/>
      </c>
      <c r="EP14">
        <f>EP13*IF($C13=50,0,1)</f>
        <v/>
      </c>
      <c r="EQ14">
        <f>EQ13*IF($C13=51,0,1)</f>
        <v/>
      </c>
      <c r="ER14">
        <f>ER13*IF($C13=52,0,1)</f>
        <v/>
      </c>
      <c r="ES14">
        <f>ES13*IF($C13=53,0,1)</f>
        <v/>
      </c>
      <c r="ET14">
        <f>ET13*IF($C13=54,0,1)</f>
        <v/>
      </c>
      <c r="EU14">
        <f>EU13*IF($C13=55,0,1)</f>
        <v/>
      </c>
      <c r="EV14">
        <f>EV13*IF($C13=56,0,1)</f>
        <v/>
      </c>
      <c r="EW14">
        <f>EW13*IF($C13=57,0,1)</f>
        <v/>
      </c>
      <c r="EX14">
        <f>EX13*IF($C13=58,0,1)</f>
        <v/>
      </c>
      <c r="EY14">
        <f>EY13*IF($C13=59,0,1)</f>
        <v/>
      </c>
      <c r="EZ14">
        <f>EZ13*IF($C13=60,0,1)</f>
        <v/>
      </c>
      <c r="FA14">
        <f>FA13*IF($C13=61,0,1)</f>
        <v/>
      </c>
      <c r="FB14">
        <f>FB13*IF($C13=62,0,1)</f>
        <v/>
      </c>
      <c r="FC14">
        <f>FC13*IF($C13=63,0,1)</f>
        <v/>
      </c>
      <c r="FD14">
        <f>FD13*IF($C13=64,0,1)</f>
        <v/>
      </c>
      <c r="FE14">
        <f>FE13*IF($C13=65,0,1)</f>
        <v/>
      </c>
      <c r="FF14">
        <f>FF13*IF($C13=66,0,1)</f>
        <v/>
      </c>
      <c r="FG14">
        <f>FG13*IF($C13=67,0,1)</f>
        <v/>
      </c>
      <c r="FH14">
        <f>FH13*IF($C13=68,0,1)</f>
        <v/>
      </c>
      <c r="FI14">
        <f>FI13*IF($C13=69,0,1)</f>
        <v/>
      </c>
      <c r="FJ14">
        <f>FJ13*IF($C13=70,0,1)</f>
        <v/>
      </c>
      <c r="FK14">
        <f>FK13*IF($C13=71,0,1)</f>
        <v/>
      </c>
      <c r="FL14">
        <f>FL13*IF($C13=72,0,1)</f>
        <v/>
      </c>
      <c r="FM14">
        <f>FM13*IF($C13=73,0,1)</f>
        <v/>
      </c>
      <c r="FN14">
        <f>FN13*IF($C13=74,0,1)</f>
        <v/>
      </c>
      <c r="FO14">
        <f>FO13*IF($C13=75,0,1)</f>
        <v/>
      </c>
      <c r="FP14">
        <f>FP13*IF($C13=76,0,1)</f>
        <v/>
      </c>
      <c r="FQ14">
        <f>FQ13*IF($C13=77,0,1)</f>
        <v/>
      </c>
      <c r="FR14">
        <f>FR13*IF($C13=78,0,1)</f>
        <v/>
      </c>
      <c r="FS14">
        <f>FS13*IF($C13=79,0,1)</f>
        <v/>
      </c>
      <c r="FT14">
        <f>FT13*IF($C13=80,0,1)</f>
        <v/>
      </c>
      <c r="FU14">
        <f>FU13*IF($C13=81,0,1)</f>
        <v/>
      </c>
      <c r="FV14">
        <f>FV13*IF($C13=82,0,1)</f>
        <v/>
      </c>
      <c r="FW14">
        <f>FW13*IF($C13=83,0,1)</f>
        <v/>
      </c>
      <c r="FX14">
        <f>FX13*IF($C13=84,0,1)</f>
        <v/>
      </c>
      <c r="FY14">
        <f>FY13*IF($C13=85,0,1)</f>
        <v/>
      </c>
      <c r="FZ14">
        <f>FZ13*IF($C13=86,0,1)</f>
        <v/>
      </c>
      <c r="GA14">
        <f>GA13*IF($C13=87,0,1)</f>
        <v/>
      </c>
      <c r="GB14">
        <f>GB13*IF($C13=88,0,1)</f>
        <v/>
      </c>
      <c r="GC14">
        <f>GC13*IF($C13=89,0,1)</f>
        <v/>
      </c>
      <c r="GD14">
        <f>GD13*IF($C13=90,0,1)</f>
        <v/>
      </c>
      <c r="GE14">
        <f>GE13*IF($C13=91,0,1)</f>
        <v/>
      </c>
      <c r="GF14">
        <f>GF13*IF($C13=92,0,1)</f>
        <v/>
      </c>
      <c r="GG14">
        <f>GG13*IF($C13=93,0,1)</f>
        <v/>
      </c>
      <c r="GH14">
        <f>GH13*IF($C13=94,0,1)</f>
        <v/>
      </c>
      <c r="GI14">
        <f>GI13*IF($C13=95,0,1)</f>
        <v/>
      </c>
      <c r="GJ14">
        <f>GJ13*IF($C13=96,0,1)</f>
        <v/>
      </c>
      <c r="GK14">
        <f>GK13*IF($C13=97,0,1)</f>
        <v/>
      </c>
      <c r="GL14">
        <f>GL13*IF($C13=98,0,1)</f>
        <v/>
      </c>
      <c r="GM14">
        <f>GM13*IF($C13=99,0,1)</f>
        <v/>
      </c>
      <c r="GN14">
        <f>GN13*IF($C13=100,0,1)</f>
        <v/>
      </c>
      <c r="GO14">
        <f>GO13*IF($C13=101,0,1)</f>
        <v/>
      </c>
      <c r="GP14">
        <f>GP13*IF($C13=102,0,1)</f>
        <v/>
      </c>
      <c r="GQ14">
        <f>GQ13*IF($C13=103,0,1)</f>
        <v/>
      </c>
      <c r="GR14">
        <f>GR13*IF($C13=104,0,1)</f>
        <v/>
      </c>
      <c r="GS14">
        <f>GS13*IF($C13=105,0,1)</f>
        <v/>
      </c>
      <c r="GT14">
        <f>GT13*IF($C13=106,0,1)</f>
        <v/>
      </c>
      <c r="GU14">
        <f>GU13*IF($C13=107,0,1)</f>
        <v/>
      </c>
      <c r="GV14">
        <f>GV13*IF($C13=108,0,1)</f>
        <v/>
      </c>
      <c r="GW14">
        <f>GW13*IF($C13=109,0,1)</f>
        <v/>
      </c>
      <c r="GX14">
        <f>GX13*IF($C13=110,0,1)</f>
        <v/>
      </c>
      <c r="GY14">
        <f>GY13*IF($C13=111,0,1)</f>
        <v/>
      </c>
      <c r="GZ14">
        <f>GZ13*IF($C13=112,0,1)</f>
        <v/>
      </c>
      <c r="HA14">
        <f>HA13*IF($C13=113,0,1)</f>
        <v/>
      </c>
      <c r="HB14">
        <f>HB13*IF($C13=114,0,1)</f>
        <v/>
      </c>
      <c r="HC14">
        <f>HC13*IF($C13=115,0,1)</f>
        <v/>
      </c>
      <c r="HD14">
        <f>HD13*IF($C13=116,0,1)</f>
        <v/>
      </c>
      <c r="HE14">
        <f>HE13*IF($C13=117,0,1)</f>
        <v/>
      </c>
      <c r="HF14">
        <f>HF13*IF($C13=118,0,1)</f>
        <v/>
      </c>
      <c r="HG14">
        <f>HG13*IF($C13=119,0,1)</f>
        <v/>
      </c>
      <c r="HH14">
        <f>HH13*IF($C13=120,0,1)</f>
        <v/>
      </c>
      <c r="HJ14">
        <f>IF($B14=0,1000000,IF(INDEX('計算A'!$D$60:$DS$104,$B14,1)*CS14=1,'計算A'!D$6,1000000))</f>
        <v/>
      </c>
      <c r="HK14">
        <f>IF($B14=0,1000000,IF(INDEX('計算A'!$D$60:$DS$104,$B14,2)*CT14=1,'計算A'!E$6,1000000))</f>
        <v/>
      </c>
      <c r="HL14">
        <f>IF($B14=0,1000000,IF(INDEX('計算A'!$D$60:$DS$104,$B14,3)*CU14=1,'計算A'!F$6,1000000))</f>
        <v/>
      </c>
      <c r="HM14">
        <f>IF($B14=0,1000000,IF(INDEX('計算A'!$D$60:$DS$104,$B14,4)*CV14=1,'計算A'!G$6,1000000))</f>
        <v/>
      </c>
      <c r="HN14">
        <f>IF($B14=0,1000000,IF(INDEX('計算A'!$D$60:$DS$104,$B14,5)*CW14=1,'計算A'!H$6,1000000))</f>
        <v/>
      </c>
      <c r="HO14">
        <f>IF($B14=0,1000000,IF(INDEX('計算A'!$D$60:$DS$104,$B14,6)*CX14=1,'計算A'!I$6,1000000))</f>
        <v/>
      </c>
      <c r="HP14">
        <f>IF($B14=0,1000000,IF(INDEX('計算A'!$D$60:$DS$104,$B14,7)*CY14=1,'計算A'!J$6,1000000))</f>
        <v/>
      </c>
      <c r="HQ14">
        <f>IF($B14=0,1000000,IF(INDEX('計算A'!$D$60:$DS$104,$B14,8)*CZ14=1,'計算A'!K$6,1000000))</f>
        <v/>
      </c>
      <c r="HR14">
        <f>IF($B14=0,1000000,IF(INDEX('計算A'!$D$60:$DS$104,$B14,9)*DA14=1,'計算A'!L$6,1000000))</f>
        <v/>
      </c>
      <c r="HS14">
        <f>IF($B14=0,1000000,IF(INDEX('計算A'!$D$60:$DS$104,$B14,10)*DB14=1,'計算A'!M$6,1000000))</f>
        <v/>
      </c>
      <c r="HT14">
        <f>IF($B14=0,1000000,IF(INDEX('計算A'!$D$60:$DS$104,$B14,11)*DC14=1,'計算A'!N$6,1000000))</f>
        <v/>
      </c>
      <c r="HU14">
        <f>IF($B14=0,1000000,IF(INDEX('計算A'!$D$60:$DS$104,$B14,12)*DD14=1,'計算A'!O$6,1000000))</f>
        <v/>
      </c>
      <c r="HV14">
        <f>IF($B14=0,1000000,IF(INDEX('計算A'!$D$60:$DS$104,$B14,13)*DE14=1,'計算A'!P$6,1000000))</f>
        <v/>
      </c>
      <c r="HW14">
        <f>IF($B14=0,1000000,IF(INDEX('計算A'!$D$60:$DS$104,$B14,14)*DF14=1,'計算A'!Q$6,1000000))</f>
        <v/>
      </c>
      <c r="HX14">
        <f>IF($B14=0,1000000,IF(INDEX('計算A'!$D$60:$DS$104,$B14,15)*DG14=1,'計算A'!R$6,1000000))</f>
        <v/>
      </c>
      <c r="HY14">
        <f>IF($B14=0,1000000,IF(INDEX('計算A'!$D$60:$DS$104,$B14,16)*DH14=1,'計算A'!S$6,1000000))</f>
        <v/>
      </c>
      <c r="HZ14">
        <f>IF($B14=0,1000000,IF(INDEX('計算A'!$D$60:$DS$104,$B14,17)*DI14=1,'計算A'!T$6,1000000))</f>
        <v/>
      </c>
      <c r="IA14">
        <f>IF($B14=0,1000000,IF(INDEX('計算A'!$D$60:$DS$104,$B14,18)*DJ14=1,'計算A'!U$6,1000000))</f>
        <v/>
      </c>
      <c r="IB14">
        <f>IF($B14=0,1000000,IF(INDEX('計算A'!$D$60:$DS$104,$B14,19)*DK14=1,'計算A'!V$6,1000000))</f>
        <v/>
      </c>
      <c r="IC14">
        <f>IF($B14=0,1000000,IF(INDEX('計算A'!$D$60:$DS$104,$B14,20)*DL14=1,'計算A'!W$6,1000000))</f>
        <v/>
      </c>
      <c r="ID14">
        <f>IF($B14=0,1000000,IF(INDEX('計算A'!$D$60:$DS$104,$B14,21)*DM14=1,'計算A'!X$6,1000000))</f>
        <v/>
      </c>
      <c r="IE14">
        <f>IF($B14=0,1000000,IF(INDEX('計算A'!$D$60:$DS$104,$B14,22)*DN14=1,'計算A'!Y$6,1000000))</f>
        <v/>
      </c>
      <c r="IF14">
        <f>IF($B14=0,1000000,IF(INDEX('計算A'!$D$60:$DS$104,$B14,23)*DO14=1,'計算A'!Z$6,1000000))</f>
        <v/>
      </c>
      <c r="IG14">
        <f>IF($B14=0,1000000,IF(INDEX('計算A'!$D$60:$DS$104,$B14,24)*DP14=1,'計算A'!AA$6,1000000))</f>
        <v/>
      </c>
      <c r="IH14">
        <f>IF($B14=0,1000000,IF(INDEX('計算A'!$D$60:$DS$104,$B14,25)*DQ14=1,'計算A'!AB$6,1000000))</f>
        <v/>
      </c>
      <c r="II14">
        <f>IF($B14=0,1000000,IF(INDEX('計算A'!$D$60:$DS$104,$B14,26)*DR14=1,'計算A'!AC$6,1000000))</f>
        <v/>
      </c>
      <c r="IJ14">
        <f>IF($B14=0,1000000,IF(INDEX('計算A'!$D$60:$DS$104,$B14,27)*DS14=1,'計算A'!AD$6,1000000))</f>
        <v/>
      </c>
      <c r="IK14">
        <f>IF($B14=0,1000000,IF(INDEX('計算A'!$D$60:$DS$104,$B14,28)*DT14=1,'計算A'!AE$6,1000000))</f>
        <v/>
      </c>
      <c r="IL14">
        <f>IF($B14=0,1000000,IF(INDEX('計算A'!$D$60:$DS$104,$B14,29)*DU14=1,'計算A'!AF$6,1000000))</f>
        <v/>
      </c>
      <c r="IM14">
        <f>IF($B14=0,1000000,IF(INDEX('計算A'!$D$60:$DS$104,$B14,30)*DV14=1,'計算A'!AG$6,1000000))</f>
        <v/>
      </c>
      <c r="IN14">
        <f>IF($B14=0,1000000,IF(INDEX('計算A'!$D$60:$DS$104,$B14,31)*DW14=1,'計算A'!AH$6,1000000))</f>
        <v/>
      </c>
      <c r="IO14">
        <f>IF($B14=0,1000000,IF(INDEX('計算A'!$D$60:$DS$104,$B14,32)*DX14=1,'計算A'!AI$6,1000000))</f>
        <v/>
      </c>
      <c r="IP14">
        <f>IF($B14=0,1000000,IF(INDEX('計算A'!$D$60:$DS$104,$B14,33)*DY14=1,'計算A'!AJ$6,1000000))</f>
        <v/>
      </c>
      <c r="IQ14">
        <f>IF($B14=0,1000000,IF(INDEX('計算A'!$D$60:$DS$104,$B14,34)*DZ14=1,'計算A'!AK$6,1000000))</f>
        <v/>
      </c>
      <c r="IR14">
        <f>IF($B14=0,1000000,IF(INDEX('計算A'!$D$60:$DS$104,$B14,35)*EA14=1,'計算A'!AL$6,1000000))</f>
        <v/>
      </c>
      <c r="IS14">
        <f>IF($B14=0,1000000,IF(INDEX('計算A'!$D$60:$DS$104,$B14,36)*EB14=1,'計算A'!AM$6,1000000))</f>
        <v/>
      </c>
      <c r="IT14">
        <f>IF($B14=0,1000000,IF(INDEX('計算A'!$D$60:$DS$104,$B14,37)*EC14=1,'計算A'!AN$6,1000000))</f>
        <v/>
      </c>
      <c r="IU14">
        <f>IF($B14=0,1000000,IF(INDEX('計算A'!$D$60:$DS$104,$B14,38)*ED14=1,'計算A'!AO$6,1000000))</f>
        <v/>
      </c>
      <c r="IV14">
        <f>IF($B14=0,1000000,IF(INDEX('計算A'!$D$60:$DS$104,$B14,39)*EE14=1,'計算A'!AP$6,1000000))</f>
        <v/>
      </c>
      <c r="IW14">
        <f>IF($B14=0,1000000,IF(INDEX('計算A'!$D$60:$DS$104,$B14,40)*EF14=1,'計算A'!AQ$6,1000000))</f>
        <v/>
      </c>
      <c r="IX14">
        <f>IF($B14=0,1000000,IF(INDEX('計算A'!$D$60:$DS$104,$B14,41)*EG14=1,'計算A'!AR$6,1000000))</f>
        <v/>
      </c>
      <c r="IY14">
        <f>IF($B14=0,1000000,IF(INDEX('計算A'!$D$60:$DS$104,$B14,42)*EH14=1,'計算A'!AS$6,1000000))</f>
        <v/>
      </c>
      <c r="IZ14">
        <f>IF($B14=0,1000000,IF(INDEX('計算A'!$D$60:$DS$104,$B14,43)*EI14=1,'計算A'!AT$6,1000000))</f>
        <v/>
      </c>
      <c r="JA14">
        <f>IF($B14=0,1000000,IF(INDEX('計算A'!$D$60:$DS$104,$B14,44)*EJ14=1,'計算A'!AU$6,1000000))</f>
        <v/>
      </c>
      <c r="JB14">
        <f>IF($B14=0,1000000,IF(INDEX('計算A'!$D$60:$DS$104,$B14,45)*EK14=1,'計算A'!AV$6,1000000))</f>
        <v/>
      </c>
      <c r="JC14">
        <f>IF($B14=0,1000000,IF(INDEX('計算A'!$D$60:$DS$104,$B14,46)*EL14=1,'計算A'!AW$6,1000000))</f>
        <v/>
      </c>
      <c r="JD14">
        <f>IF($B14=0,1000000,IF(INDEX('計算A'!$D$60:$DS$104,$B14,47)*EM14=1,'計算A'!AX$6,1000000))</f>
        <v/>
      </c>
      <c r="JE14">
        <f>IF($B14=0,1000000,IF(INDEX('計算A'!$D$60:$DS$104,$B14,48)*EN14=1,'計算A'!AY$6,1000000))</f>
        <v/>
      </c>
      <c r="JF14">
        <f>IF($B14=0,1000000,IF(INDEX('計算A'!$D$60:$DS$104,$B14,49)*EO14=1,'計算A'!AZ$6,1000000))</f>
        <v/>
      </c>
      <c r="JG14">
        <f>IF($B14=0,1000000,IF(INDEX('計算A'!$D$60:$DS$104,$B14,50)*EP14=1,'計算A'!BA$6,1000000))</f>
        <v/>
      </c>
      <c r="JH14">
        <f>IF($B14=0,1000000,IF(INDEX('計算A'!$D$60:$DS$104,$B14,51)*EQ14=1,'計算A'!BB$6,1000000))</f>
        <v/>
      </c>
      <c r="JI14">
        <f>IF($B14=0,1000000,IF(INDEX('計算A'!$D$60:$DS$104,$B14,52)*ER14=1,'計算A'!BC$6,1000000))</f>
        <v/>
      </c>
      <c r="JJ14">
        <f>IF($B14=0,1000000,IF(INDEX('計算A'!$D$60:$DS$104,$B14,53)*ES14=1,'計算A'!BD$6,1000000))</f>
        <v/>
      </c>
      <c r="JK14">
        <f>IF($B14=0,1000000,IF(INDEX('計算A'!$D$60:$DS$104,$B14,54)*ET14=1,'計算A'!BE$6,1000000))</f>
        <v/>
      </c>
      <c r="JL14">
        <f>IF($B14=0,1000000,IF(INDEX('計算A'!$D$60:$DS$104,$B14,55)*EU14=1,'計算A'!BF$6,1000000))</f>
        <v/>
      </c>
      <c r="JM14">
        <f>IF($B14=0,1000000,IF(INDEX('計算A'!$D$60:$DS$104,$B14,56)*EV14=1,'計算A'!BG$6,1000000))</f>
        <v/>
      </c>
      <c r="JN14">
        <f>IF($B14=0,1000000,IF(INDEX('計算A'!$D$60:$DS$104,$B14,57)*EW14=1,'計算A'!BH$6,1000000))</f>
        <v/>
      </c>
      <c r="JO14">
        <f>IF($B14=0,1000000,IF(INDEX('計算A'!$D$60:$DS$104,$B14,58)*EX14=1,'計算A'!BI$6,1000000))</f>
        <v/>
      </c>
      <c r="JP14">
        <f>IF($B14=0,1000000,IF(INDEX('計算A'!$D$60:$DS$104,$B14,59)*EY14=1,'計算A'!BJ$6,1000000))</f>
        <v/>
      </c>
      <c r="JQ14">
        <f>IF($B14=0,1000000,IF(INDEX('計算A'!$D$60:$DS$104,$B14,60)*EZ14=1,'計算A'!BK$6,1000000))</f>
        <v/>
      </c>
      <c r="JR14">
        <f>IF($B14=0,1000000,IF(INDEX('計算A'!$D$60:$DS$104,$B14,61)*FA14=1,'計算A'!BL$6,1000000))</f>
        <v/>
      </c>
      <c r="JS14">
        <f>IF($B14=0,1000000,IF(INDEX('計算A'!$D$60:$DS$104,$B14,62)*FB14=1,'計算A'!BM$6,1000000))</f>
        <v/>
      </c>
      <c r="JT14">
        <f>IF($B14=0,1000000,IF(INDEX('計算A'!$D$60:$DS$104,$B14,63)*FC14=1,'計算A'!BN$6,1000000))</f>
        <v/>
      </c>
      <c r="JU14">
        <f>IF($B14=0,1000000,IF(INDEX('計算A'!$D$60:$DS$104,$B14,64)*FD14=1,'計算A'!BO$6,1000000))</f>
        <v/>
      </c>
      <c r="JV14">
        <f>IF($B14=0,1000000,IF(INDEX('計算A'!$D$60:$DS$104,$B14,65)*FE14=1,'計算A'!BP$6,1000000))</f>
        <v/>
      </c>
      <c r="JW14">
        <f>IF($B14=0,1000000,IF(INDEX('計算A'!$D$60:$DS$104,$B14,66)*FF14=1,'計算A'!BQ$6,1000000))</f>
        <v/>
      </c>
      <c r="JX14">
        <f>IF($B14=0,1000000,IF(INDEX('計算A'!$D$60:$DS$104,$B14,67)*FG14=1,'計算A'!BR$6,1000000))</f>
        <v/>
      </c>
      <c r="JY14">
        <f>IF($B14=0,1000000,IF(INDEX('計算A'!$D$60:$DS$104,$B14,68)*FH14=1,'計算A'!BS$6,1000000))</f>
        <v/>
      </c>
      <c r="JZ14">
        <f>IF($B14=0,1000000,IF(INDEX('計算A'!$D$60:$DS$104,$B14,69)*FI14=1,'計算A'!BT$6,1000000))</f>
        <v/>
      </c>
      <c r="KA14">
        <f>IF($B14=0,1000000,IF(INDEX('計算A'!$D$60:$DS$104,$B14,70)*FJ14=1,'計算A'!BU$6,1000000))</f>
        <v/>
      </c>
      <c r="KB14">
        <f>IF($B14=0,1000000,IF(INDEX('計算A'!$D$60:$DS$104,$B14,71)*FK14=1,'計算A'!BV$6,1000000))</f>
        <v/>
      </c>
      <c r="KC14">
        <f>IF($B14=0,1000000,IF(INDEX('計算A'!$D$60:$DS$104,$B14,72)*FL14=1,'計算A'!BW$6,1000000))</f>
        <v/>
      </c>
      <c r="KD14">
        <f>IF($B14=0,1000000,IF(INDEX('計算A'!$D$60:$DS$104,$B14,73)*FM14=1,'計算A'!BX$6,1000000))</f>
        <v/>
      </c>
      <c r="KE14">
        <f>IF($B14=0,1000000,IF(INDEX('計算A'!$D$60:$DS$104,$B14,74)*FN14=1,'計算A'!BY$6,1000000))</f>
        <v/>
      </c>
      <c r="KF14">
        <f>IF($B14=0,1000000,IF(INDEX('計算A'!$D$60:$DS$104,$B14,75)*FO14=1,'計算A'!BZ$6,1000000))</f>
        <v/>
      </c>
      <c r="KG14">
        <f>IF($B14=0,1000000,IF(INDEX('計算A'!$D$60:$DS$104,$B14,76)*FP14=1,'計算A'!CA$6,1000000))</f>
        <v/>
      </c>
      <c r="KH14">
        <f>IF($B14=0,1000000,IF(INDEX('計算A'!$D$60:$DS$104,$B14,77)*FQ14=1,'計算A'!CB$6,1000000))</f>
        <v/>
      </c>
      <c r="KI14">
        <f>IF($B14=0,1000000,IF(INDEX('計算A'!$D$60:$DS$104,$B14,78)*FR14=1,'計算A'!CC$6,1000000))</f>
        <v/>
      </c>
      <c r="KJ14">
        <f>IF($B14=0,1000000,IF(INDEX('計算A'!$D$60:$DS$104,$B14,79)*FS14=1,'計算A'!CD$6,1000000))</f>
        <v/>
      </c>
      <c r="KK14">
        <f>IF($B14=0,1000000,IF(INDEX('計算A'!$D$60:$DS$104,$B14,80)*FT14=1,'計算A'!CE$6,1000000))</f>
        <v/>
      </c>
      <c r="KL14">
        <f>IF($B14=0,1000000,IF(INDEX('計算A'!$D$60:$DS$104,$B14,81)*FU14=1,'計算A'!CF$6,1000000))</f>
        <v/>
      </c>
      <c r="KM14">
        <f>IF($B14=0,1000000,IF(INDEX('計算A'!$D$60:$DS$104,$B14,82)*FV14=1,'計算A'!CG$6,1000000))</f>
        <v/>
      </c>
      <c r="KN14">
        <f>IF($B14=0,1000000,IF(INDEX('計算A'!$D$60:$DS$104,$B14,83)*FW14=1,'計算A'!CH$6,1000000))</f>
        <v/>
      </c>
      <c r="KO14">
        <f>IF($B14=0,1000000,IF(INDEX('計算A'!$D$60:$DS$104,$B14,84)*FX14=1,'計算A'!CI$6,1000000))</f>
        <v/>
      </c>
      <c r="KP14">
        <f>IF($B14=0,1000000,IF(INDEX('計算A'!$D$60:$DS$104,$B14,85)*FY14=1,'計算A'!CJ$6,1000000))</f>
        <v/>
      </c>
      <c r="KQ14">
        <f>IF($B14=0,1000000,IF(INDEX('計算A'!$D$60:$DS$104,$B14,86)*FZ14=1,'計算A'!CK$6,1000000))</f>
        <v/>
      </c>
      <c r="KR14">
        <f>IF($B14=0,1000000,IF(INDEX('計算A'!$D$60:$DS$104,$B14,87)*GA14=1,'計算A'!CL$6,1000000))</f>
        <v/>
      </c>
      <c r="KS14">
        <f>IF($B14=0,1000000,IF(INDEX('計算A'!$D$60:$DS$104,$B14,88)*GB14=1,'計算A'!CM$6,1000000))</f>
        <v/>
      </c>
      <c r="KT14">
        <f>IF($B14=0,1000000,IF(INDEX('計算A'!$D$60:$DS$104,$B14,89)*GC14=1,'計算A'!CN$6,1000000))</f>
        <v/>
      </c>
      <c r="KU14">
        <f>IF($B14=0,1000000,IF(INDEX('計算A'!$D$60:$DS$104,$B14,90)*GD14=1,'計算A'!CO$6,1000000))</f>
        <v/>
      </c>
      <c r="KV14">
        <f>IF($B14=0,1000000,IF(INDEX('計算A'!$D$60:$DS$104,$B14,91)*GE14=1,'計算A'!CP$6,1000000))</f>
        <v/>
      </c>
      <c r="KW14">
        <f>IF($B14=0,1000000,IF(INDEX('計算A'!$D$60:$DS$104,$B14,92)*GF14=1,'計算A'!CQ$6,1000000))</f>
        <v/>
      </c>
      <c r="KX14">
        <f>IF($B14=0,1000000,IF(INDEX('計算A'!$D$60:$DS$104,$B14,93)*GG14=1,'計算A'!CR$6,1000000))</f>
        <v/>
      </c>
      <c r="KY14">
        <f>IF($B14=0,1000000,IF(INDEX('計算A'!$D$60:$DS$104,$B14,94)*GH14=1,'計算A'!CS$6,1000000))</f>
        <v/>
      </c>
      <c r="KZ14">
        <f>IF($B14=0,1000000,IF(INDEX('計算A'!$D$60:$DS$104,$B14,95)*GI14=1,'計算A'!CT$6,1000000))</f>
        <v/>
      </c>
      <c r="LA14">
        <f>IF($B14=0,1000000,IF(INDEX('計算A'!$D$60:$DS$104,$B14,96)*GJ14=1,'計算A'!CU$6,1000000))</f>
        <v/>
      </c>
      <c r="LB14">
        <f>IF($B14=0,1000000,IF(INDEX('計算A'!$D$60:$DS$104,$B14,97)*GK14=1,'計算A'!CV$6,1000000))</f>
        <v/>
      </c>
      <c r="LC14">
        <f>IF($B14=0,1000000,IF(INDEX('計算A'!$D$60:$DS$104,$B14,98)*GL14=1,'計算A'!CW$6,1000000))</f>
        <v/>
      </c>
      <c r="LD14">
        <f>IF($B14=0,1000000,IF(INDEX('計算A'!$D$60:$DS$104,$B14,99)*GM14=1,'計算A'!CX$6,1000000))</f>
        <v/>
      </c>
      <c r="LE14">
        <f>IF($B14=0,1000000,IF(INDEX('計算A'!$D$60:$DS$104,$B14,100)*GN14=1,'計算A'!CY$6,1000000))</f>
        <v/>
      </c>
      <c r="LF14">
        <f>IF($B14=0,1000000,IF(INDEX('計算A'!$D$60:$DS$104,$B14,101)*GO14=1,'計算A'!CZ$6,1000000))</f>
        <v/>
      </c>
      <c r="LG14">
        <f>IF($B14=0,1000000,IF(INDEX('計算A'!$D$60:$DS$104,$B14,102)*GP14=1,'計算A'!DA$6,1000000))</f>
        <v/>
      </c>
      <c r="LH14">
        <f>IF($B14=0,1000000,IF(INDEX('計算A'!$D$60:$DS$104,$B14,103)*GQ14=1,'計算A'!DB$6,1000000))</f>
        <v/>
      </c>
      <c r="LI14">
        <f>IF($B14=0,1000000,IF(INDEX('計算A'!$D$60:$DS$104,$B14,104)*GR14=1,'計算A'!DC$6,1000000))</f>
        <v/>
      </c>
      <c r="LJ14">
        <f>IF($B14=0,1000000,IF(INDEX('計算A'!$D$60:$DS$104,$B14,105)*GS14=1,'計算A'!DD$6,1000000))</f>
        <v/>
      </c>
      <c r="LK14">
        <f>IF($B14=0,1000000,IF(INDEX('計算A'!$D$60:$DS$104,$B14,106)*GT14=1,'計算A'!DE$6,1000000))</f>
        <v/>
      </c>
      <c r="LL14">
        <f>IF($B14=0,1000000,IF(INDEX('計算A'!$D$60:$DS$104,$B14,107)*GU14=1,'計算A'!DF$6,1000000))</f>
        <v/>
      </c>
      <c r="LM14">
        <f>IF($B14=0,1000000,IF(INDEX('計算A'!$D$60:$DS$104,$B14,108)*GV14=1,'計算A'!DG$6,1000000))</f>
        <v/>
      </c>
      <c r="LN14">
        <f>IF($B14=0,1000000,IF(INDEX('計算A'!$D$60:$DS$104,$B14,109)*GW14=1,'計算A'!DH$6,1000000))</f>
        <v/>
      </c>
      <c r="LO14">
        <f>IF($B14=0,1000000,IF(INDEX('計算A'!$D$60:$DS$104,$B14,110)*GX14=1,'計算A'!DI$6,1000000))</f>
        <v/>
      </c>
      <c r="LP14">
        <f>IF($B14=0,1000000,IF(INDEX('計算A'!$D$60:$DS$104,$B14,111)*GY14=1,'計算A'!DJ$6,1000000))</f>
        <v/>
      </c>
      <c r="LQ14">
        <f>IF($B14=0,1000000,IF(INDEX('計算A'!$D$60:$DS$104,$B14,112)*GZ14=1,'計算A'!DK$6,1000000))</f>
        <v/>
      </c>
      <c r="LR14">
        <f>IF($B14=0,1000000,IF(INDEX('計算A'!$D$60:$DS$104,$B14,113)*HA14=1,'計算A'!DL$6,1000000))</f>
        <v/>
      </c>
      <c r="LS14">
        <f>IF($B14=0,1000000,IF(INDEX('計算A'!$D$60:$DS$104,$B14,114)*HB14=1,'計算A'!DM$6,1000000))</f>
        <v/>
      </c>
      <c r="LT14">
        <f>IF($B14=0,1000000,IF(INDEX('計算A'!$D$60:$DS$104,$B14,115)*HC14=1,'計算A'!DN$6,1000000))</f>
        <v/>
      </c>
      <c r="LU14">
        <f>IF($B14=0,1000000,IF(INDEX('計算A'!$D$60:$DS$104,$B14,116)*HD14=1,'計算A'!DO$6,1000000))</f>
        <v/>
      </c>
      <c r="LV14">
        <f>IF($B14=0,1000000,IF(INDEX('計算A'!$D$60:$DS$104,$B14,117)*HE14=1,'計算A'!DP$6,1000000))</f>
        <v/>
      </c>
      <c r="LW14">
        <f>IF($B14=0,1000000,IF(INDEX('計算A'!$D$60:$DS$104,$B14,118)*HF14=1,'計算A'!DQ$6,1000000))</f>
        <v/>
      </c>
      <c r="LX14">
        <f>IF($B14=0,1000000,IF(INDEX('計算A'!$D$60:$DS$104,$B14,119)*HG14=1,'計算A'!DR$6,1000000))</f>
        <v/>
      </c>
      <c r="LY14">
        <f>IF($B14=0,1000000,IF(INDEX('計算A'!$D$60:$DS$104,$B14,120)*HH14=1,'計算A'!DS$6,1000000))</f>
        <v/>
      </c>
    </row>
    <row r="15">
      <c r="A15" t="n">
        <v>13</v>
      </c>
      <c r="B15">
        <f>IF(MIN(AY15:CQ15)&gt;=1000000,0,MATCH(MIN(AY15:CQ15),AY15:CQ15,0))</f>
        <v/>
      </c>
      <c r="C15">
        <f>IF(MIN(HJ15:LY15)&gt;=1000000,0,MATCH(MIN(HJ15:LY15),HJ15:LY15,0))</f>
        <v/>
      </c>
      <c r="D15">
        <f>IF(C15&gt;0,INDEX('計算A'!$D$5:$DS$5,C15),0)</f>
        <v/>
      </c>
      <c r="E15">
        <f>MAX(E14,IF($B14=1,1,0))</f>
        <v/>
      </c>
      <c r="F15">
        <f>MAX(F14,IF($B14=2,1,0))</f>
        <v/>
      </c>
      <c r="G15">
        <f>MAX(G14,IF($B14=3,1,0))</f>
        <v/>
      </c>
      <c r="H15">
        <f>MAX(H14,IF($B14=4,1,0))</f>
        <v/>
      </c>
      <c r="I15">
        <f>MAX(I14,IF($B14=5,1,0))</f>
        <v/>
      </c>
      <c r="J15">
        <f>MAX(J14,IF($B14=6,1,0))</f>
        <v/>
      </c>
      <c r="K15">
        <f>MAX(K14,IF($B14=7,1,0))</f>
        <v/>
      </c>
      <c r="L15">
        <f>MAX(L14,IF($B14=8,1,0))</f>
        <v/>
      </c>
      <c r="M15">
        <f>MAX(M14,IF($B14=9,1,0))</f>
        <v/>
      </c>
      <c r="N15">
        <f>MAX(N14,IF($B14=10,1,0))</f>
        <v/>
      </c>
      <c r="O15">
        <f>MAX(O14,IF($B14=11,1,0))</f>
        <v/>
      </c>
      <c r="P15">
        <f>MAX(P14,IF($B14=12,1,0))</f>
        <v/>
      </c>
      <c r="Q15">
        <f>MAX(Q14,IF($B14=13,1,0))</f>
        <v/>
      </c>
      <c r="R15">
        <f>MAX(R14,IF($B14=14,1,0))</f>
        <v/>
      </c>
      <c r="S15">
        <f>MAX(S14,IF($B14=15,1,0))</f>
        <v/>
      </c>
      <c r="T15">
        <f>MAX(T14,IF($B14=16,1,0))</f>
        <v/>
      </c>
      <c r="U15">
        <f>MAX(U14,IF($B14=17,1,0))</f>
        <v/>
      </c>
      <c r="V15">
        <f>MAX(V14,IF($B14=18,1,0))</f>
        <v/>
      </c>
      <c r="W15">
        <f>MAX(W14,IF($B14=19,1,0))</f>
        <v/>
      </c>
      <c r="X15">
        <f>MAX(X14,IF($B14=20,1,0))</f>
        <v/>
      </c>
      <c r="Y15">
        <f>MAX(Y14,IF($B14=21,1,0))</f>
        <v/>
      </c>
      <c r="Z15">
        <f>MAX(Z14,IF($B14=22,1,0))</f>
        <v/>
      </c>
      <c r="AA15">
        <f>MAX(AA14,IF($B14=23,1,0))</f>
        <v/>
      </c>
      <c r="AB15">
        <f>MAX(AB14,IF($B14=24,1,0))</f>
        <v/>
      </c>
      <c r="AC15">
        <f>MAX(AC14,IF($B14=25,1,0))</f>
        <v/>
      </c>
      <c r="AD15">
        <f>MAX(AD14,IF($B14=26,1,0))</f>
        <v/>
      </c>
      <c r="AE15">
        <f>MAX(AE14,IF($B14=27,1,0))</f>
        <v/>
      </c>
      <c r="AF15">
        <f>MAX(AF14,IF($B14=28,1,0))</f>
        <v/>
      </c>
      <c r="AG15">
        <f>MAX(AG14,IF($B14=29,1,0))</f>
        <v/>
      </c>
      <c r="AH15">
        <f>MAX(AH14,IF($B14=30,1,0))</f>
        <v/>
      </c>
      <c r="AI15">
        <f>MAX(AI14,IF($B14=31,1,0))</f>
        <v/>
      </c>
      <c r="AJ15">
        <f>MAX(AJ14,IF($B14=32,1,0))</f>
        <v/>
      </c>
      <c r="AK15">
        <f>MAX(AK14,IF($B14=33,1,0))</f>
        <v/>
      </c>
      <c r="AL15">
        <f>MAX(AL14,IF($B14=34,1,0))</f>
        <v/>
      </c>
      <c r="AM15">
        <f>MAX(AM14,IF($B14=35,1,0))</f>
        <v/>
      </c>
      <c r="AN15">
        <f>MAX(AN14,IF($B14=36,1,0))</f>
        <v/>
      </c>
      <c r="AO15">
        <f>MAX(AO14,IF($B14=37,1,0))</f>
        <v/>
      </c>
      <c r="AP15">
        <f>MAX(AP14,IF($B14=38,1,0))</f>
        <v/>
      </c>
      <c r="AQ15">
        <f>MAX(AQ14,IF($B14=39,1,0))</f>
        <v/>
      </c>
      <c r="AR15">
        <f>MAX(AR14,IF($B14=40,1,0))</f>
        <v/>
      </c>
      <c r="AS15">
        <f>MAX(AS14,IF($B14=41,1,0))</f>
        <v/>
      </c>
      <c r="AT15">
        <f>MAX(AT14,IF($B14=42,1,0))</f>
        <v/>
      </c>
      <c r="AU15">
        <f>MAX(AU14,IF($B14=43,1,0))</f>
        <v/>
      </c>
      <c r="AV15">
        <f>MAX(AV14,IF($B14=44,1,0))</f>
        <v/>
      </c>
      <c r="AW15">
        <f>MAX(AW14,IF($B14=45,1,0))</f>
        <v/>
      </c>
      <c r="AY15">
        <f>IF(E15=1,1000000,SUMPRODUCT('計算A'!$D$60:$DS$60,$CS15:$HH15)*1000+1)</f>
        <v/>
      </c>
      <c r="AZ15">
        <f>IF(F15=1,1000000,SUMPRODUCT('計算A'!$D$61:$DS$61,$CS15:$HH15)*1000+2)</f>
        <v/>
      </c>
      <c r="BA15">
        <f>IF(G15=1,1000000,SUMPRODUCT('計算A'!$D$62:$DS$62,$CS15:$HH15)*1000+3)</f>
        <v/>
      </c>
      <c r="BB15">
        <f>IF(H15=1,1000000,SUMPRODUCT('計算A'!$D$63:$DS$63,$CS15:$HH15)*1000+4)</f>
        <v/>
      </c>
      <c r="BC15">
        <f>IF(I15=1,1000000,SUMPRODUCT('計算A'!$D$64:$DS$64,$CS15:$HH15)*1000+5)</f>
        <v/>
      </c>
      <c r="BD15">
        <f>IF(J15=1,1000000,SUMPRODUCT('計算A'!$D$65:$DS$65,$CS15:$HH15)*1000+6)</f>
        <v/>
      </c>
      <c r="BE15">
        <f>IF(K15=1,1000000,SUMPRODUCT('計算A'!$D$66:$DS$66,$CS15:$HH15)*1000+7)</f>
        <v/>
      </c>
      <c r="BF15">
        <f>IF(L15=1,1000000,SUMPRODUCT('計算A'!$D$67:$DS$67,$CS15:$HH15)*1000+8)</f>
        <v/>
      </c>
      <c r="BG15">
        <f>IF(M15=1,1000000,SUMPRODUCT('計算A'!$D$68:$DS$68,$CS15:$HH15)*1000+9)</f>
        <v/>
      </c>
      <c r="BH15">
        <f>IF(N15=1,1000000,SUMPRODUCT('計算A'!$D$69:$DS$69,$CS15:$HH15)*1000+10)</f>
        <v/>
      </c>
      <c r="BI15">
        <f>IF(O15=1,1000000,SUMPRODUCT('計算A'!$D$70:$DS$70,$CS15:$HH15)*1000+11)</f>
        <v/>
      </c>
      <c r="BJ15">
        <f>IF(P15=1,1000000,SUMPRODUCT('計算A'!$D$71:$DS$71,$CS15:$HH15)*1000+12)</f>
        <v/>
      </c>
      <c r="BK15">
        <f>IF(Q15=1,1000000,SUMPRODUCT('計算A'!$D$72:$DS$72,$CS15:$HH15)*1000+13)</f>
        <v/>
      </c>
      <c r="BL15">
        <f>IF(R15=1,1000000,SUMPRODUCT('計算A'!$D$73:$DS$73,$CS15:$HH15)*1000+14)</f>
        <v/>
      </c>
      <c r="BM15">
        <f>IF(S15=1,1000000,SUMPRODUCT('計算A'!$D$74:$DS$74,$CS15:$HH15)*1000+15)</f>
        <v/>
      </c>
      <c r="BN15">
        <f>IF(T15=1,1000000,SUMPRODUCT('計算A'!$D$75:$DS$75,$CS15:$HH15)*1000+16)</f>
        <v/>
      </c>
      <c r="BO15">
        <f>IF(U15=1,1000000,SUMPRODUCT('計算A'!$D$76:$DS$76,$CS15:$HH15)*1000+17)</f>
        <v/>
      </c>
      <c r="BP15">
        <f>IF(V15=1,1000000,SUMPRODUCT('計算A'!$D$77:$DS$77,$CS15:$HH15)*1000+18)</f>
        <v/>
      </c>
      <c r="BQ15">
        <f>IF(W15=1,1000000,SUMPRODUCT('計算A'!$D$78:$DS$78,$CS15:$HH15)*1000+19)</f>
        <v/>
      </c>
      <c r="BR15">
        <f>IF(X15=1,1000000,SUMPRODUCT('計算A'!$D$79:$DS$79,$CS15:$HH15)*1000+20)</f>
        <v/>
      </c>
      <c r="BS15">
        <f>IF(Y15=1,1000000,SUMPRODUCT('計算A'!$D$80:$DS$80,$CS15:$HH15)*1000+21)</f>
        <v/>
      </c>
      <c r="BT15">
        <f>IF(Z15=1,1000000,SUMPRODUCT('計算A'!$D$81:$DS$81,$CS15:$HH15)*1000+22)</f>
        <v/>
      </c>
      <c r="BU15">
        <f>IF(AA15=1,1000000,SUMPRODUCT('計算A'!$D$82:$DS$82,$CS15:$HH15)*1000+23)</f>
        <v/>
      </c>
      <c r="BV15">
        <f>IF(AB15=1,1000000,SUMPRODUCT('計算A'!$D$83:$DS$83,$CS15:$HH15)*1000+24)</f>
        <v/>
      </c>
      <c r="BW15">
        <f>IF(AC15=1,1000000,SUMPRODUCT('計算A'!$D$84:$DS$84,$CS15:$HH15)*1000+25)</f>
        <v/>
      </c>
      <c r="BX15">
        <f>IF(AD15=1,1000000,SUMPRODUCT('計算A'!$D$85:$DS$85,$CS15:$HH15)*1000+26)</f>
        <v/>
      </c>
      <c r="BY15">
        <f>IF(AE15=1,1000000,SUMPRODUCT('計算A'!$D$86:$DS$86,$CS15:$HH15)*1000+27)</f>
        <v/>
      </c>
      <c r="BZ15">
        <f>IF(AF15=1,1000000,SUMPRODUCT('計算A'!$D$87:$DS$87,$CS15:$HH15)*1000+28)</f>
        <v/>
      </c>
      <c r="CA15">
        <f>IF(AG15=1,1000000,SUMPRODUCT('計算A'!$D$88:$DS$88,$CS15:$HH15)*1000+29)</f>
        <v/>
      </c>
      <c r="CB15">
        <f>IF(AH15=1,1000000,SUMPRODUCT('計算A'!$D$89:$DS$89,$CS15:$HH15)*1000+30)</f>
        <v/>
      </c>
      <c r="CC15">
        <f>IF(AI15=1,1000000,SUMPRODUCT('計算A'!$D$90:$DS$90,$CS15:$HH15)*1000+31)</f>
        <v/>
      </c>
      <c r="CD15">
        <f>IF(AJ15=1,1000000,SUMPRODUCT('計算A'!$D$91:$DS$91,$CS15:$HH15)*1000+32)</f>
        <v/>
      </c>
      <c r="CE15">
        <f>IF(AK15=1,1000000,SUMPRODUCT('計算A'!$D$92:$DS$92,$CS15:$HH15)*1000+33)</f>
        <v/>
      </c>
      <c r="CF15">
        <f>IF(AL15=1,1000000,SUMPRODUCT('計算A'!$D$93:$DS$93,$CS15:$HH15)*1000+34)</f>
        <v/>
      </c>
      <c r="CG15">
        <f>IF(AM15=1,1000000,SUMPRODUCT('計算A'!$D$94:$DS$94,$CS15:$HH15)*1000+35)</f>
        <v/>
      </c>
      <c r="CH15">
        <f>IF(AN15=1,1000000,SUMPRODUCT('計算A'!$D$95:$DS$95,$CS15:$HH15)*1000+36)</f>
        <v/>
      </c>
      <c r="CI15">
        <f>IF(AO15=1,1000000,SUMPRODUCT('計算A'!$D$96:$DS$96,$CS15:$HH15)*1000+37)</f>
        <v/>
      </c>
      <c r="CJ15">
        <f>IF(AP15=1,1000000,SUMPRODUCT('計算A'!$D$97:$DS$97,$CS15:$HH15)*1000+38)</f>
        <v/>
      </c>
      <c r="CK15">
        <f>IF(AQ15=1,1000000,SUMPRODUCT('計算A'!$D$98:$DS$98,$CS15:$HH15)*1000+39)</f>
        <v/>
      </c>
      <c r="CL15">
        <f>IF(AR15=1,1000000,SUMPRODUCT('計算A'!$D$99:$DS$99,$CS15:$HH15)*1000+40)</f>
        <v/>
      </c>
      <c r="CM15">
        <f>IF(AS15=1,1000000,SUMPRODUCT('計算A'!$D$100:$DS$100,$CS15:$HH15)*1000+41)</f>
        <v/>
      </c>
      <c r="CN15">
        <f>IF(AT15=1,1000000,SUMPRODUCT('計算A'!$D$101:$DS$101,$CS15:$HH15)*1000+42)</f>
        <v/>
      </c>
      <c r="CO15">
        <f>IF(AU15=1,1000000,SUMPRODUCT('計算A'!$D$102:$DS$102,$CS15:$HH15)*1000+43)</f>
        <v/>
      </c>
      <c r="CP15">
        <f>IF(AV15=1,1000000,SUMPRODUCT('計算A'!$D$103:$DS$103,$CS15:$HH15)*1000+44)</f>
        <v/>
      </c>
      <c r="CQ15">
        <f>IF(AW15=1,1000000,SUMPRODUCT('計算A'!$D$104:$DS$104,$CS15:$HH15)*1000+45)</f>
        <v/>
      </c>
      <c r="CS15">
        <f>CS14*IF($C14=1,0,1)</f>
        <v/>
      </c>
      <c r="CT15">
        <f>CT14*IF($C14=2,0,1)</f>
        <v/>
      </c>
      <c r="CU15">
        <f>CU14*IF($C14=3,0,1)</f>
        <v/>
      </c>
      <c r="CV15">
        <f>CV14*IF($C14=4,0,1)</f>
        <v/>
      </c>
      <c r="CW15">
        <f>CW14*IF($C14=5,0,1)</f>
        <v/>
      </c>
      <c r="CX15">
        <f>CX14*IF($C14=6,0,1)</f>
        <v/>
      </c>
      <c r="CY15">
        <f>CY14*IF($C14=7,0,1)</f>
        <v/>
      </c>
      <c r="CZ15">
        <f>CZ14*IF($C14=8,0,1)</f>
        <v/>
      </c>
      <c r="DA15">
        <f>DA14*IF($C14=9,0,1)</f>
        <v/>
      </c>
      <c r="DB15">
        <f>DB14*IF($C14=10,0,1)</f>
        <v/>
      </c>
      <c r="DC15">
        <f>DC14*IF($C14=11,0,1)</f>
        <v/>
      </c>
      <c r="DD15">
        <f>DD14*IF($C14=12,0,1)</f>
        <v/>
      </c>
      <c r="DE15">
        <f>DE14*IF($C14=13,0,1)</f>
        <v/>
      </c>
      <c r="DF15">
        <f>DF14*IF($C14=14,0,1)</f>
        <v/>
      </c>
      <c r="DG15">
        <f>DG14*IF($C14=15,0,1)</f>
        <v/>
      </c>
      <c r="DH15">
        <f>DH14*IF($C14=16,0,1)</f>
        <v/>
      </c>
      <c r="DI15">
        <f>DI14*IF($C14=17,0,1)</f>
        <v/>
      </c>
      <c r="DJ15">
        <f>DJ14*IF($C14=18,0,1)</f>
        <v/>
      </c>
      <c r="DK15">
        <f>DK14*IF($C14=19,0,1)</f>
        <v/>
      </c>
      <c r="DL15">
        <f>DL14*IF($C14=20,0,1)</f>
        <v/>
      </c>
      <c r="DM15">
        <f>DM14*IF($C14=21,0,1)</f>
        <v/>
      </c>
      <c r="DN15">
        <f>DN14*IF($C14=22,0,1)</f>
        <v/>
      </c>
      <c r="DO15">
        <f>DO14*IF($C14=23,0,1)</f>
        <v/>
      </c>
      <c r="DP15">
        <f>DP14*IF($C14=24,0,1)</f>
        <v/>
      </c>
      <c r="DQ15">
        <f>DQ14*IF($C14=25,0,1)</f>
        <v/>
      </c>
      <c r="DR15">
        <f>DR14*IF($C14=26,0,1)</f>
        <v/>
      </c>
      <c r="DS15">
        <f>DS14*IF($C14=27,0,1)</f>
        <v/>
      </c>
      <c r="DT15">
        <f>DT14*IF($C14=28,0,1)</f>
        <v/>
      </c>
      <c r="DU15">
        <f>DU14*IF($C14=29,0,1)</f>
        <v/>
      </c>
      <c r="DV15">
        <f>DV14*IF($C14=30,0,1)</f>
        <v/>
      </c>
      <c r="DW15">
        <f>DW14*IF($C14=31,0,1)</f>
        <v/>
      </c>
      <c r="DX15">
        <f>DX14*IF($C14=32,0,1)</f>
        <v/>
      </c>
      <c r="DY15">
        <f>DY14*IF($C14=33,0,1)</f>
        <v/>
      </c>
      <c r="DZ15">
        <f>DZ14*IF($C14=34,0,1)</f>
        <v/>
      </c>
      <c r="EA15">
        <f>EA14*IF($C14=35,0,1)</f>
        <v/>
      </c>
      <c r="EB15">
        <f>EB14*IF($C14=36,0,1)</f>
        <v/>
      </c>
      <c r="EC15">
        <f>EC14*IF($C14=37,0,1)</f>
        <v/>
      </c>
      <c r="ED15">
        <f>ED14*IF($C14=38,0,1)</f>
        <v/>
      </c>
      <c r="EE15">
        <f>EE14*IF($C14=39,0,1)</f>
        <v/>
      </c>
      <c r="EF15">
        <f>EF14*IF($C14=40,0,1)</f>
        <v/>
      </c>
      <c r="EG15">
        <f>EG14*IF($C14=41,0,1)</f>
        <v/>
      </c>
      <c r="EH15">
        <f>EH14*IF($C14=42,0,1)</f>
        <v/>
      </c>
      <c r="EI15">
        <f>EI14*IF($C14=43,0,1)</f>
        <v/>
      </c>
      <c r="EJ15">
        <f>EJ14*IF($C14=44,0,1)</f>
        <v/>
      </c>
      <c r="EK15">
        <f>EK14*IF($C14=45,0,1)</f>
        <v/>
      </c>
      <c r="EL15">
        <f>EL14*IF($C14=46,0,1)</f>
        <v/>
      </c>
      <c r="EM15">
        <f>EM14*IF($C14=47,0,1)</f>
        <v/>
      </c>
      <c r="EN15">
        <f>EN14*IF($C14=48,0,1)</f>
        <v/>
      </c>
      <c r="EO15">
        <f>EO14*IF($C14=49,0,1)</f>
        <v/>
      </c>
      <c r="EP15">
        <f>EP14*IF($C14=50,0,1)</f>
        <v/>
      </c>
      <c r="EQ15">
        <f>EQ14*IF($C14=51,0,1)</f>
        <v/>
      </c>
      <c r="ER15">
        <f>ER14*IF($C14=52,0,1)</f>
        <v/>
      </c>
      <c r="ES15">
        <f>ES14*IF($C14=53,0,1)</f>
        <v/>
      </c>
      <c r="ET15">
        <f>ET14*IF($C14=54,0,1)</f>
        <v/>
      </c>
      <c r="EU15">
        <f>EU14*IF($C14=55,0,1)</f>
        <v/>
      </c>
      <c r="EV15">
        <f>EV14*IF($C14=56,0,1)</f>
        <v/>
      </c>
      <c r="EW15">
        <f>EW14*IF($C14=57,0,1)</f>
        <v/>
      </c>
      <c r="EX15">
        <f>EX14*IF($C14=58,0,1)</f>
        <v/>
      </c>
      <c r="EY15">
        <f>EY14*IF($C14=59,0,1)</f>
        <v/>
      </c>
      <c r="EZ15">
        <f>EZ14*IF($C14=60,0,1)</f>
        <v/>
      </c>
      <c r="FA15">
        <f>FA14*IF($C14=61,0,1)</f>
        <v/>
      </c>
      <c r="FB15">
        <f>FB14*IF($C14=62,0,1)</f>
        <v/>
      </c>
      <c r="FC15">
        <f>FC14*IF($C14=63,0,1)</f>
        <v/>
      </c>
      <c r="FD15">
        <f>FD14*IF($C14=64,0,1)</f>
        <v/>
      </c>
      <c r="FE15">
        <f>FE14*IF($C14=65,0,1)</f>
        <v/>
      </c>
      <c r="FF15">
        <f>FF14*IF($C14=66,0,1)</f>
        <v/>
      </c>
      <c r="FG15">
        <f>FG14*IF($C14=67,0,1)</f>
        <v/>
      </c>
      <c r="FH15">
        <f>FH14*IF($C14=68,0,1)</f>
        <v/>
      </c>
      <c r="FI15">
        <f>FI14*IF($C14=69,0,1)</f>
        <v/>
      </c>
      <c r="FJ15">
        <f>FJ14*IF($C14=70,0,1)</f>
        <v/>
      </c>
      <c r="FK15">
        <f>FK14*IF($C14=71,0,1)</f>
        <v/>
      </c>
      <c r="FL15">
        <f>FL14*IF($C14=72,0,1)</f>
        <v/>
      </c>
      <c r="FM15">
        <f>FM14*IF($C14=73,0,1)</f>
        <v/>
      </c>
      <c r="FN15">
        <f>FN14*IF($C14=74,0,1)</f>
        <v/>
      </c>
      <c r="FO15">
        <f>FO14*IF($C14=75,0,1)</f>
        <v/>
      </c>
      <c r="FP15">
        <f>FP14*IF($C14=76,0,1)</f>
        <v/>
      </c>
      <c r="FQ15">
        <f>FQ14*IF($C14=77,0,1)</f>
        <v/>
      </c>
      <c r="FR15">
        <f>FR14*IF($C14=78,0,1)</f>
        <v/>
      </c>
      <c r="FS15">
        <f>FS14*IF($C14=79,0,1)</f>
        <v/>
      </c>
      <c r="FT15">
        <f>FT14*IF($C14=80,0,1)</f>
        <v/>
      </c>
      <c r="FU15">
        <f>FU14*IF($C14=81,0,1)</f>
        <v/>
      </c>
      <c r="FV15">
        <f>FV14*IF($C14=82,0,1)</f>
        <v/>
      </c>
      <c r="FW15">
        <f>FW14*IF($C14=83,0,1)</f>
        <v/>
      </c>
      <c r="FX15">
        <f>FX14*IF($C14=84,0,1)</f>
        <v/>
      </c>
      <c r="FY15">
        <f>FY14*IF($C14=85,0,1)</f>
        <v/>
      </c>
      <c r="FZ15">
        <f>FZ14*IF($C14=86,0,1)</f>
        <v/>
      </c>
      <c r="GA15">
        <f>GA14*IF($C14=87,0,1)</f>
        <v/>
      </c>
      <c r="GB15">
        <f>GB14*IF($C14=88,0,1)</f>
        <v/>
      </c>
      <c r="GC15">
        <f>GC14*IF($C14=89,0,1)</f>
        <v/>
      </c>
      <c r="GD15">
        <f>GD14*IF($C14=90,0,1)</f>
        <v/>
      </c>
      <c r="GE15">
        <f>GE14*IF($C14=91,0,1)</f>
        <v/>
      </c>
      <c r="GF15">
        <f>GF14*IF($C14=92,0,1)</f>
        <v/>
      </c>
      <c r="GG15">
        <f>GG14*IF($C14=93,0,1)</f>
        <v/>
      </c>
      <c r="GH15">
        <f>GH14*IF($C14=94,0,1)</f>
        <v/>
      </c>
      <c r="GI15">
        <f>GI14*IF($C14=95,0,1)</f>
        <v/>
      </c>
      <c r="GJ15">
        <f>GJ14*IF($C14=96,0,1)</f>
        <v/>
      </c>
      <c r="GK15">
        <f>GK14*IF($C14=97,0,1)</f>
        <v/>
      </c>
      <c r="GL15">
        <f>GL14*IF($C14=98,0,1)</f>
        <v/>
      </c>
      <c r="GM15">
        <f>GM14*IF($C14=99,0,1)</f>
        <v/>
      </c>
      <c r="GN15">
        <f>GN14*IF($C14=100,0,1)</f>
        <v/>
      </c>
      <c r="GO15">
        <f>GO14*IF($C14=101,0,1)</f>
        <v/>
      </c>
      <c r="GP15">
        <f>GP14*IF($C14=102,0,1)</f>
        <v/>
      </c>
      <c r="GQ15">
        <f>GQ14*IF($C14=103,0,1)</f>
        <v/>
      </c>
      <c r="GR15">
        <f>GR14*IF($C14=104,0,1)</f>
        <v/>
      </c>
      <c r="GS15">
        <f>GS14*IF($C14=105,0,1)</f>
        <v/>
      </c>
      <c r="GT15">
        <f>GT14*IF($C14=106,0,1)</f>
        <v/>
      </c>
      <c r="GU15">
        <f>GU14*IF($C14=107,0,1)</f>
        <v/>
      </c>
      <c r="GV15">
        <f>GV14*IF($C14=108,0,1)</f>
        <v/>
      </c>
      <c r="GW15">
        <f>GW14*IF($C14=109,0,1)</f>
        <v/>
      </c>
      <c r="GX15">
        <f>GX14*IF($C14=110,0,1)</f>
        <v/>
      </c>
      <c r="GY15">
        <f>GY14*IF($C14=111,0,1)</f>
        <v/>
      </c>
      <c r="GZ15">
        <f>GZ14*IF($C14=112,0,1)</f>
        <v/>
      </c>
      <c r="HA15">
        <f>HA14*IF($C14=113,0,1)</f>
        <v/>
      </c>
      <c r="HB15">
        <f>HB14*IF($C14=114,0,1)</f>
        <v/>
      </c>
      <c r="HC15">
        <f>HC14*IF($C14=115,0,1)</f>
        <v/>
      </c>
      <c r="HD15">
        <f>HD14*IF($C14=116,0,1)</f>
        <v/>
      </c>
      <c r="HE15">
        <f>HE14*IF($C14=117,0,1)</f>
        <v/>
      </c>
      <c r="HF15">
        <f>HF14*IF($C14=118,0,1)</f>
        <v/>
      </c>
      <c r="HG15">
        <f>HG14*IF($C14=119,0,1)</f>
        <v/>
      </c>
      <c r="HH15">
        <f>HH14*IF($C14=120,0,1)</f>
        <v/>
      </c>
      <c r="HJ15">
        <f>IF($B15=0,1000000,IF(INDEX('計算A'!$D$60:$DS$104,$B15,1)*CS15=1,'計算A'!D$6,1000000))</f>
        <v/>
      </c>
      <c r="HK15">
        <f>IF($B15=0,1000000,IF(INDEX('計算A'!$D$60:$DS$104,$B15,2)*CT15=1,'計算A'!E$6,1000000))</f>
        <v/>
      </c>
      <c r="HL15">
        <f>IF($B15=0,1000000,IF(INDEX('計算A'!$D$60:$DS$104,$B15,3)*CU15=1,'計算A'!F$6,1000000))</f>
        <v/>
      </c>
      <c r="HM15">
        <f>IF($B15=0,1000000,IF(INDEX('計算A'!$D$60:$DS$104,$B15,4)*CV15=1,'計算A'!G$6,1000000))</f>
        <v/>
      </c>
      <c r="HN15">
        <f>IF($B15=0,1000000,IF(INDEX('計算A'!$D$60:$DS$104,$B15,5)*CW15=1,'計算A'!H$6,1000000))</f>
        <v/>
      </c>
      <c r="HO15">
        <f>IF($B15=0,1000000,IF(INDEX('計算A'!$D$60:$DS$104,$B15,6)*CX15=1,'計算A'!I$6,1000000))</f>
        <v/>
      </c>
      <c r="HP15">
        <f>IF($B15=0,1000000,IF(INDEX('計算A'!$D$60:$DS$104,$B15,7)*CY15=1,'計算A'!J$6,1000000))</f>
        <v/>
      </c>
      <c r="HQ15">
        <f>IF($B15=0,1000000,IF(INDEX('計算A'!$D$60:$DS$104,$B15,8)*CZ15=1,'計算A'!K$6,1000000))</f>
        <v/>
      </c>
      <c r="HR15">
        <f>IF($B15=0,1000000,IF(INDEX('計算A'!$D$60:$DS$104,$B15,9)*DA15=1,'計算A'!L$6,1000000))</f>
        <v/>
      </c>
      <c r="HS15">
        <f>IF($B15=0,1000000,IF(INDEX('計算A'!$D$60:$DS$104,$B15,10)*DB15=1,'計算A'!M$6,1000000))</f>
        <v/>
      </c>
      <c r="HT15">
        <f>IF($B15=0,1000000,IF(INDEX('計算A'!$D$60:$DS$104,$B15,11)*DC15=1,'計算A'!N$6,1000000))</f>
        <v/>
      </c>
      <c r="HU15">
        <f>IF($B15=0,1000000,IF(INDEX('計算A'!$D$60:$DS$104,$B15,12)*DD15=1,'計算A'!O$6,1000000))</f>
        <v/>
      </c>
      <c r="HV15">
        <f>IF($B15=0,1000000,IF(INDEX('計算A'!$D$60:$DS$104,$B15,13)*DE15=1,'計算A'!P$6,1000000))</f>
        <v/>
      </c>
      <c r="HW15">
        <f>IF($B15=0,1000000,IF(INDEX('計算A'!$D$60:$DS$104,$B15,14)*DF15=1,'計算A'!Q$6,1000000))</f>
        <v/>
      </c>
      <c r="HX15">
        <f>IF($B15=0,1000000,IF(INDEX('計算A'!$D$60:$DS$104,$B15,15)*DG15=1,'計算A'!R$6,1000000))</f>
        <v/>
      </c>
      <c r="HY15">
        <f>IF($B15=0,1000000,IF(INDEX('計算A'!$D$60:$DS$104,$B15,16)*DH15=1,'計算A'!S$6,1000000))</f>
        <v/>
      </c>
      <c r="HZ15">
        <f>IF($B15=0,1000000,IF(INDEX('計算A'!$D$60:$DS$104,$B15,17)*DI15=1,'計算A'!T$6,1000000))</f>
        <v/>
      </c>
      <c r="IA15">
        <f>IF($B15=0,1000000,IF(INDEX('計算A'!$D$60:$DS$104,$B15,18)*DJ15=1,'計算A'!U$6,1000000))</f>
        <v/>
      </c>
      <c r="IB15">
        <f>IF($B15=0,1000000,IF(INDEX('計算A'!$D$60:$DS$104,$B15,19)*DK15=1,'計算A'!V$6,1000000))</f>
        <v/>
      </c>
      <c r="IC15">
        <f>IF($B15=0,1000000,IF(INDEX('計算A'!$D$60:$DS$104,$B15,20)*DL15=1,'計算A'!W$6,1000000))</f>
        <v/>
      </c>
      <c r="ID15">
        <f>IF($B15=0,1000000,IF(INDEX('計算A'!$D$60:$DS$104,$B15,21)*DM15=1,'計算A'!X$6,1000000))</f>
        <v/>
      </c>
      <c r="IE15">
        <f>IF($B15=0,1000000,IF(INDEX('計算A'!$D$60:$DS$104,$B15,22)*DN15=1,'計算A'!Y$6,1000000))</f>
        <v/>
      </c>
      <c r="IF15">
        <f>IF($B15=0,1000000,IF(INDEX('計算A'!$D$60:$DS$104,$B15,23)*DO15=1,'計算A'!Z$6,1000000))</f>
        <v/>
      </c>
      <c r="IG15">
        <f>IF($B15=0,1000000,IF(INDEX('計算A'!$D$60:$DS$104,$B15,24)*DP15=1,'計算A'!AA$6,1000000))</f>
        <v/>
      </c>
      <c r="IH15">
        <f>IF($B15=0,1000000,IF(INDEX('計算A'!$D$60:$DS$104,$B15,25)*DQ15=1,'計算A'!AB$6,1000000))</f>
        <v/>
      </c>
      <c r="II15">
        <f>IF($B15=0,1000000,IF(INDEX('計算A'!$D$60:$DS$104,$B15,26)*DR15=1,'計算A'!AC$6,1000000))</f>
        <v/>
      </c>
      <c r="IJ15">
        <f>IF($B15=0,1000000,IF(INDEX('計算A'!$D$60:$DS$104,$B15,27)*DS15=1,'計算A'!AD$6,1000000))</f>
        <v/>
      </c>
      <c r="IK15">
        <f>IF($B15=0,1000000,IF(INDEX('計算A'!$D$60:$DS$104,$B15,28)*DT15=1,'計算A'!AE$6,1000000))</f>
        <v/>
      </c>
      <c r="IL15">
        <f>IF($B15=0,1000000,IF(INDEX('計算A'!$D$60:$DS$104,$B15,29)*DU15=1,'計算A'!AF$6,1000000))</f>
        <v/>
      </c>
      <c r="IM15">
        <f>IF($B15=0,1000000,IF(INDEX('計算A'!$D$60:$DS$104,$B15,30)*DV15=1,'計算A'!AG$6,1000000))</f>
        <v/>
      </c>
      <c r="IN15">
        <f>IF($B15=0,1000000,IF(INDEX('計算A'!$D$60:$DS$104,$B15,31)*DW15=1,'計算A'!AH$6,1000000))</f>
        <v/>
      </c>
      <c r="IO15">
        <f>IF($B15=0,1000000,IF(INDEX('計算A'!$D$60:$DS$104,$B15,32)*DX15=1,'計算A'!AI$6,1000000))</f>
        <v/>
      </c>
      <c r="IP15">
        <f>IF($B15=0,1000000,IF(INDEX('計算A'!$D$60:$DS$104,$B15,33)*DY15=1,'計算A'!AJ$6,1000000))</f>
        <v/>
      </c>
      <c r="IQ15">
        <f>IF($B15=0,1000000,IF(INDEX('計算A'!$D$60:$DS$104,$B15,34)*DZ15=1,'計算A'!AK$6,1000000))</f>
        <v/>
      </c>
      <c r="IR15">
        <f>IF($B15=0,1000000,IF(INDEX('計算A'!$D$60:$DS$104,$B15,35)*EA15=1,'計算A'!AL$6,1000000))</f>
        <v/>
      </c>
      <c r="IS15">
        <f>IF($B15=0,1000000,IF(INDEX('計算A'!$D$60:$DS$104,$B15,36)*EB15=1,'計算A'!AM$6,1000000))</f>
        <v/>
      </c>
      <c r="IT15">
        <f>IF($B15=0,1000000,IF(INDEX('計算A'!$D$60:$DS$104,$B15,37)*EC15=1,'計算A'!AN$6,1000000))</f>
        <v/>
      </c>
      <c r="IU15">
        <f>IF($B15=0,1000000,IF(INDEX('計算A'!$D$60:$DS$104,$B15,38)*ED15=1,'計算A'!AO$6,1000000))</f>
        <v/>
      </c>
      <c r="IV15">
        <f>IF($B15=0,1000000,IF(INDEX('計算A'!$D$60:$DS$104,$B15,39)*EE15=1,'計算A'!AP$6,1000000))</f>
        <v/>
      </c>
      <c r="IW15">
        <f>IF($B15=0,1000000,IF(INDEX('計算A'!$D$60:$DS$104,$B15,40)*EF15=1,'計算A'!AQ$6,1000000))</f>
        <v/>
      </c>
      <c r="IX15">
        <f>IF($B15=0,1000000,IF(INDEX('計算A'!$D$60:$DS$104,$B15,41)*EG15=1,'計算A'!AR$6,1000000))</f>
        <v/>
      </c>
      <c r="IY15">
        <f>IF($B15=0,1000000,IF(INDEX('計算A'!$D$60:$DS$104,$B15,42)*EH15=1,'計算A'!AS$6,1000000))</f>
        <v/>
      </c>
      <c r="IZ15">
        <f>IF($B15=0,1000000,IF(INDEX('計算A'!$D$60:$DS$104,$B15,43)*EI15=1,'計算A'!AT$6,1000000))</f>
        <v/>
      </c>
      <c r="JA15">
        <f>IF($B15=0,1000000,IF(INDEX('計算A'!$D$60:$DS$104,$B15,44)*EJ15=1,'計算A'!AU$6,1000000))</f>
        <v/>
      </c>
      <c r="JB15">
        <f>IF($B15=0,1000000,IF(INDEX('計算A'!$D$60:$DS$104,$B15,45)*EK15=1,'計算A'!AV$6,1000000))</f>
        <v/>
      </c>
      <c r="JC15">
        <f>IF($B15=0,1000000,IF(INDEX('計算A'!$D$60:$DS$104,$B15,46)*EL15=1,'計算A'!AW$6,1000000))</f>
        <v/>
      </c>
      <c r="JD15">
        <f>IF($B15=0,1000000,IF(INDEX('計算A'!$D$60:$DS$104,$B15,47)*EM15=1,'計算A'!AX$6,1000000))</f>
        <v/>
      </c>
      <c r="JE15">
        <f>IF($B15=0,1000000,IF(INDEX('計算A'!$D$60:$DS$104,$B15,48)*EN15=1,'計算A'!AY$6,1000000))</f>
        <v/>
      </c>
      <c r="JF15">
        <f>IF($B15=0,1000000,IF(INDEX('計算A'!$D$60:$DS$104,$B15,49)*EO15=1,'計算A'!AZ$6,1000000))</f>
        <v/>
      </c>
      <c r="JG15">
        <f>IF($B15=0,1000000,IF(INDEX('計算A'!$D$60:$DS$104,$B15,50)*EP15=1,'計算A'!BA$6,1000000))</f>
        <v/>
      </c>
      <c r="JH15">
        <f>IF($B15=0,1000000,IF(INDEX('計算A'!$D$60:$DS$104,$B15,51)*EQ15=1,'計算A'!BB$6,1000000))</f>
        <v/>
      </c>
      <c r="JI15">
        <f>IF($B15=0,1000000,IF(INDEX('計算A'!$D$60:$DS$104,$B15,52)*ER15=1,'計算A'!BC$6,1000000))</f>
        <v/>
      </c>
      <c r="JJ15">
        <f>IF($B15=0,1000000,IF(INDEX('計算A'!$D$60:$DS$104,$B15,53)*ES15=1,'計算A'!BD$6,1000000))</f>
        <v/>
      </c>
      <c r="JK15">
        <f>IF($B15=0,1000000,IF(INDEX('計算A'!$D$60:$DS$104,$B15,54)*ET15=1,'計算A'!BE$6,1000000))</f>
        <v/>
      </c>
      <c r="JL15">
        <f>IF($B15=0,1000000,IF(INDEX('計算A'!$D$60:$DS$104,$B15,55)*EU15=1,'計算A'!BF$6,1000000))</f>
        <v/>
      </c>
      <c r="JM15">
        <f>IF($B15=0,1000000,IF(INDEX('計算A'!$D$60:$DS$104,$B15,56)*EV15=1,'計算A'!BG$6,1000000))</f>
        <v/>
      </c>
      <c r="JN15">
        <f>IF($B15=0,1000000,IF(INDEX('計算A'!$D$60:$DS$104,$B15,57)*EW15=1,'計算A'!BH$6,1000000))</f>
        <v/>
      </c>
      <c r="JO15">
        <f>IF($B15=0,1000000,IF(INDEX('計算A'!$D$60:$DS$104,$B15,58)*EX15=1,'計算A'!BI$6,1000000))</f>
        <v/>
      </c>
      <c r="JP15">
        <f>IF($B15=0,1000000,IF(INDEX('計算A'!$D$60:$DS$104,$B15,59)*EY15=1,'計算A'!BJ$6,1000000))</f>
        <v/>
      </c>
      <c r="JQ15">
        <f>IF($B15=0,1000000,IF(INDEX('計算A'!$D$60:$DS$104,$B15,60)*EZ15=1,'計算A'!BK$6,1000000))</f>
        <v/>
      </c>
      <c r="JR15">
        <f>IF($B15=0,1000000,IF(INDEX('計算A'!$D$60:$DS$104,$B15,61)*FA15=1,'計算A'!BL$6,1000000))</f>
        <v/>
      </c>
      <c r="JS15">
        <f>IF($B15=0,1000000,IF(INDEX('計算A'!$D$60:$DS$104,$B15,62)*FB15=1,'計算A'!BM$6,1000000))</f>
        <v/>
      </c>
      <c r="JT15">
        <f>IF($B15=0,1000000,IF(INDEX('計算A'!$D$60:$DS$104,$B15,63)*FC15=1,'計算A'!BN$6,1000000))</f>
        <v/>
      </c>
      <c r="JU15">
        <f>IF($B15=0,1000000,IF(INDEX('計算A'!$D$60:$DS$104,$B15,64)*FD15=1,'計算A'!BO$6,1000000))</f>
        <v/>
      </c>
      <c r="JV15">
        <f>IF($B15=0,1000000,IF(INDEX('計算A'!$D$60:$DS$104,$B15,65)*FE15=1,'計算A'!BP$6,1000000))</f>
        <v/>
      </c>
      <c r="JW15">
        <f>IF($B15=0,1000000,IF(INDEX('計算A'!$D$60:$DS$104,$B15,66)*FF15=1,'計算A'!BQ$6,1000000))</f>
        <v/>
      </c>
      <c r="JX15">
        <f>IF($B15=0,1000000,IF(INDEX('計算A'!$D$60:$DS$104,$B15,67)*FG15=1,'計算A'!BR$6,1000000))</f>
        <v/>
      </c>
      <c r="JY15">
        <f>IF($B15=0,1000000,IF(INDEX('計算A'!$D$60:$DS$104,$B15,68)*FH15=1,'計算A'!BS$6,1000000))</f>
        <v/>
      </c>
      <c r="JZ15">
        <f>IF($B15=0,1000000,IF(INDEX('計算A'!$D$60:$DS$104,$B15,69)*FI15=1,'計算A'!BT$6,1000000))</f>
        <v/>
      </c>
      <c r="KA15">
        <f>IF($B15=0,1000000,IF(INDEX('計算A'!$D$60:$DS$104,$B15,70)*FJ15=1,'計算A'!BU$6,1000000))</f>
        <v/>
      </c>
      <c r="KB15">
        <f>IF($B15=0,1000000,IF(INDEX('計算A'!$D$60:$DS$104,$B15,71)*FK15=1,'計算A'!BV$6,1000000))</f>
        <v/>
      </c>
      <c r="KC15">
        <f>IF($B15=0,1000000,IF(INDEX('計算A'!$D$60:$DS$104,$B15,72)*FL15=1,'計算A'!BW$6,1000000))</f>
        <v/>
      </c>
      <c r="KD15">
        <f>IF($B15=0,1000000,IF(INDEX('計算A'!$D$60:$DS$104,$B15,73)*FM15=1,'計算A'!BX$6,1000000))</f>
        <v/>
      </c>
      <c r="KE15">
        <f>IF($B15=0,1000000,IF(INDEX('計算A'!$D$60:$DS$104,$B15,74)*FN15=1,'計算A'!BY$6,1000000))</f>
        <v/>
      </c>
      <c r="KF15">
        <f>IF($B15=0,1000000,IF(INDEX('計算A'!$D$60:$DS$104,$B15,75)*FO15=1,'計算A'!BZ$6,1000000))</f>
        <v/>
      </c>
      <c r="KG15">
        <f>IF($B15=0,1000000,IF(INDEX('計算A'!$D$60:$DS$104,$B15,76)*FP15=1,'計算A'!CA$6,1000000))</f>
        <v/>
      </c>
      <c r="KH15">
        <f>IF($B15=0,1000000,IF(INDEX('計算A'!$D$60:$DS$104,$B15,77)*FQ15=1,'計算A'!CB$6,1000000))</f>
        <v/>
      </c>
      <c r="KI15">
        <f>IF($B15=0,1000000,IF(INDEX('計算A'!$D$60:$DS$104,$B15,78)*FR15=1,'計算A'!CC$6,1000000))</f>
        <v/>
      </c>
      <c r="KJ15">
        <f>IF($B15=0,1000000,IF(INDEX('計算A'!$D$60:$DS$104,$B15,79)*FS15=1,'計算A'!CD$6,1000000))</f>
        <v/>
      </c>
      <c r="KK15">
        <f>IF($B15=0,1000000,IF(INDEX('計算A'!$D$60:$DS$104,$B15,80)*FT15=1,'計算A'!CE$6,1000000))</f>
        <v/>
      </c>
      <c r="KL15">
        <f>IF($B15=0,1000000,IF(INDEX('計算A'!$D$60:$DS$104,$B15,81)*FU15=1,'計算A'!CF$6,1000000))</f>
        <v/>
      </c>
      <c r="KM15">
        <f>IF($B15=0,1000000,IF(INDEX('計算A'!$D$60:$DS$104,$B15,82)*FV15=1,'計算A'!CG$6,1000000))</f>
        <v/>
      </c>
      <c r="KN15">
        <f>IF($B15=0,1000000,IF(INDEX('計算A'!$D$60:$DS$104,$B15,83)*FW15=1,'計算A'!CH$6,1000000))</f>
        <v/>
      </c>
      <c r="KO15">
        <f>IF($B15=0,1000000,IF(INDEX('計算A'!$D$60:$DS$104,$B15,84)*FX15=1,'計算A'!CI$6,1000000))</f>
        <v/>
      </c>
      <c r="KP15">
        <f>IF($B15=0,1000000,IF(INDEX('計算A'!$D$60:$DS$104,$B15,85)*FY15=1,'計算A'!CJ$6,1000000))</f>
        <v/>
      </c>
      <c r="KQ15">
        <f>IF($B15=0,1000000,IF(INDEX('計算A'!$D$60:$DS$104,$B15,86)*FZ15=1,'計算A'!CK$6,1000000))</f>
        <v/>
      </c>
      <c r="KR15">
        <f>IF($B15=0,1000000,IF(INDEX('計算A'!$D$60:$DS$104,$B15,87)*GA15=1,'計算A'!CL$6,1000000))</f>
        <v/>
      </c>
      <c r="KS15">
        <f>IF($B15=0,1000000,IF(INDEX('計算A'!$D$60:$DS$104,$B15,88)*GB15=1,'計算A'!CM$6,1000000))</f>
        <v/>
      </c>
      <c r="KT15">
        <f>IF($B15=0,1000000,IF(INDEX('計算A'!$D$60:$DS$104,$B15,89)*GC15=1,'計算A'!CN$6,1000000))</f>
        <v/>
      </c>
      <c r="KU15">
        <f>IF($B15=0,1000000,IF(INDEX('計算A'!$D$60:$DS$104,$B15,90)*GD15=1,'計算A'!CO$6,1000000))</f>
        <v/>
      </c>
      <c r="KV15">
        <f>IF($B15=0,1000000,IF(INDEX('計算A'!$D$60:$DS$104,$B15,91)*GE15=1,'計算A'!CP$6,1000000))</f>
        <v/>
      </c>
      <c r="KW15">
        <f>IF($B15=0,1000000,IF(INDEX('計算A'!$D$60:$DS$104,$B15,92)*GF15=1,'計算A'!CQ$6,1000000))</f>
        <v/>
      </c>
      <c r="KX15">
        <f>IF($B15=0,1000000,IF(INDEX('計算A'!$D$60:$DS$104,$B15,93)*GG15=1,'計算A'!CR$6,1000000))</f>
        <v/>
      </c>
      <c r="KY15">
        <f>IF($B15=0,1000000,IF(INDEX('計算A'!$D$60:$DS$104,$B15,94)*GH15=1,'計算A'!CS$6,1000000))</f>
        <v/>
      </c>
      <c r="KZ15">
        <f>IF($B15=0,1000000,IF(INDEX('計算A'!$D$60:$DS$104,$B15,95)*GI15=1,'計算A'!CT$6,1000000))</f>
        <v/>
      </c>
      <c r="LA15">
        <f>IF($B15=0,1000000,IF(INDEX('計算A'!$D$60:$DS$104,$B15,96)*GJ15=1,'計算A'!CU$6,1000000))</f>
        <v/>
      </c>
      <c r="LB15">
        <f>IF($B15=0,1000000,IF(INDEX('計算A'!$D$60:$DS$104,$B15,97)*GK15=1,'計算A'!CV$6,1000000))</f>
        <v/>
      </c>
      <c r="LC15">
        <f>IF($B15=0,1000000,IF(INDEX('計算A'!$D$60:$DS$104,$B15,98)*GL15=1,'計算A'!CW$6,1000000))</f>
        <v/>
      </c>
      <c r="LD15">
        <f>IF($B15=0,1000000,IF(INDEX('計算A'!$D$60:$DS$104,$B15,99)*GM15=1,'計算A'!CX$6,1000000))</f>
        <v/>
      </c>
      <c r="LE15">
        <f>IF($B15=0,1000000,IF(INDEX('計算A'!$D$60:$DS$104,$B15,100)*GN15=1,'計算A'!CY$6,1000000))</f>
        <v/>
      </c>
      <c r="LF15">
        <f>IF($B15=0,1000000,IF(INDEX('計算A'!$D$60:$DS$104,$B15,101)*GO15=1,'計算A'!CZ$6,1000000))</f>
        <v/>
      </c>
      <c r="LG15">
        <f>IF($B15=0,1000000,IF(INDEX('計算A'!$D$60:$DS$104,$B15,102)*GP15=1,'計算A'!DA$6,1000000))</f>
        <v/>
      </c>
      <c r="LH15">
        <f>IF($B15=0,1000000,IF(INDEX('計算A'!$D$60:$DS$104,$B15,103)*GQ15=1,'計算A'!DB$6,1000000))</f>
        <v/>
      </c>
      <c r="LI15">
        <f>IF($B15=0,1000000,IF(INDEX('計算A'!$D$60:$DS$104,$B15,104)*GR15=1,'計算A'!DC$6,1000000))</f>
        <v/>
      </c>
      <c r="LJ15">
        <f>IF($B15=0,1000000,IF(INDEX('計算A'!$D$60:$DS$104,$B15,105)*GS15=1,'計算A'!DD$6,1000000))</f>
        <v/>
      </c>
      <c r="LK15">
        <f>IF($B15=0,1000000,IF(INDEX('計算A'!$D$60:$DS$104,$B15,106)*GT15=1,'計算A'!DE$6,1000000))</f>
        <v/>
      </c>
      <c r="LL15">
        <f>IF($B15=0,1000000,IF(INDEX('計算A'!$D$60:$DS$104,$B15,107)*GU15=1,'計算A'!DF$6,1000000))</f>
        <v/>
      </c>
      <c r="LM15">
        <f>IF($B15=0,1000000,IF(INDEX('計算A'!$D$60:$DS$104,$B15,108)*GV15=1,'計算A'!DG$6,1000000))</f>
        <v/>
      </c>
      <c r="LN15">
        <f>IF($B15=0,1000000,IF(INDEX('計算A'!$D$60:$DS$104,$B15,109)*GW15=1,'計算A'!DH$6,1000000))</f>
        <v/>
      </c>
      <c r="LO15">
        <f>IF($B15=0,1000000,IF(INDEX('計算A'!$D$60:$DS$104,$B15,110)*GX15=1,'計算A'!DI$6,1000000))</f>
        <v/>
      </c>
      <c r="LP15">
        <f>IF($B15=0,1000000,IF(INDEX('計算A'!$D$60:$DS$104,$B15,111)*GY15=1,'計算A'!DJ$6,1000000))</f>
        <v/>
      </c>
      <c r="LQ15">
        <f>IF($B15=0,1000000,IF(INDEX('計算A'!$D$60:$DS$104,$B15,112)*GZ15=1,'計算A'!DK$6,1000000))</f>
        <v/>
      </c>
      <c r="LR15">
        <f>IF($B15=0,1000000,IF(INDEX('計算A'!$D$60:$DS$104,$B15,113)*HA15=1,'計算A'!DL$6,1000000))</f>
        <v/>
      </c>
      <c r="LS15">
        <f>IF($B15=0,1000000,IF(INDEX('計算A'!$D$60:$DS$104,$B15,114)*HB15=1,'計算A'!DM$6,1000000))</f>
        <v/>
      </c>
      <c r="LT15">
        <f>IF($B15=0,1000000,IF(INDEX('計算A'!$D$60:$DS$104,$B15,115)*HC15=1,'計算A'!DN$6,1000000))</f>
        <v/>
      </c>
      <c r="LU15">
        <f>IF($B15=0,1000000,IF(INDEX('計算A'!$D$60:$DS$104,$B15,116)*HD15=1,'計算A'!DO$6,1000000))</f>
        <v/>
      </c>
      <c r="LV15">
        <f>IF($B15=0,1000000,IF(INDEX('計算A'!$D$60:$DS$104,$B15,117)*HE15=1,'計算A'!DP$6,1000000))</f>
        <v/>
      </c>
      <c r="LW15">
        <f>IF($B15=0,1000000,IF(INDEX('計算A'!$D$60:$DS$104,$B15,118)*HF15=1,'計算A'!DQ$6,1000000))</f>
        <v/>
      </c>
      <c r="LX15">
        <f>IF($B15=0,1000000,IF(INDEX('計算A'!$D$60:$DS$104,$B15,119)*HG15=1,'計算A'!DR$6,1000000))</f>
        <v/>
      </c>
      <c r="LY15">
        <f>IF($B15=0,1000000,IF(INDEX('計算A'!$D$60:$DS$104,$B15,120)*HH15=1,'計算A'!DS$6,1000000))</f>
        <v/>
      </c>
    </row>
    <row r="16">
      <c r="A16" t="n">
        <v>14</v>
      </c>
      <c r="B16">
        <f>IF(MIN(AY16:CQ16)&gt;=1000000,0,MATCH(MIN(AY16:CQ16),AY16:CQ16,0))</f>
        <v/>
      </c>
      <c r="C16">
        <f>IF(MIN(HJ16:LY16)&gt;=1000000,0,MATCH(MIN(HJ16:LY16),HJ16:LY16,0))</f>
        <v/>
      </c>
      <c r="D16">
        <f>IF(C16&gt;0,INDEX('計算A'!$D$5:$DS$5,C16),0)</f>
        <v/>
      </c>
      <c r="E16">
        <f>MAX(E15,IF($B15=1,1,0))</f>
        <v/>
      </c>
      <c r="F16">
        <f>MAX(F15,IF($B15=2,1,0))</f>
        <v/>
      </c>
      <c r="G16">
        <f>MAX(G15,IF($B15=3,1,0))</f>
        <v/>
      </c>
      <c r="H16">
        <f>MAX(H15,IF($B15=4,1,0))</f>
        <v/>
      </c>
      <c r="I16">
        <f>MAX(I15,IF($B15=5,1,0))</f>
        <v/>
      </c>
      <c r="J16">
        <f>MAX(J15,IF($B15=6,1,0))</f>
        <v/>
      </c>
      <c r="K16">
        <f>MAX(K15,IF($B15=7,1,0))</f>
        <v/>
      </c>
      <c r="L16">
        <f>MAX(L15,IF($B15=8,1,0))</f>
        <v/>
      </c>
      <c r="M16">
        <f>MAX(M15,IF($B15=9,1,0))</f>
        <v/>
      </c>
      <c r="N16">
        <f>MAX(N15,IF($B15=10,1,0))</f>
        <v/>
      </c>
      <c r="O16">
        <f>MAX(O15,IF($B15=11,1,0))</f>
        <v/>
      </c>
      <c r="P16">
        <f>MAX(P15,IF($B15=12,1,0))</f>
        <v/>
      </c>
      <c r="Q16">
        <f>MAX(Q15,IF($B15=13,1,0))</f>
        <v/>
      </c>
      <c r="R16">
        <f>MAX(R15,IF($B15=14,1,0))</f>
        <v/>
      </c>
      <c r="S16">
        <f>MAX(S15,IF($B15=15,1,0))</f>
        <v/>
      </c>
      <c r="T16">
        <f>MAX(T15,IF($B15=16,1,0))</f>
        <v/>
      </c>
      <c r="U16">
        <f>MAX(U15,IF($B15=17,1,0))</f>
        <v/>
      </c>
      <c r="V16">
        <f>MAX(V15,IF($B15=18,1,0))</f>
        <v/>
      </c>
      <c r="W16">
        <f>MAX(W15,IF($B15=19,1,0))</f>
        <v/>
      </c>
      <c r="X16">
        <f>MAX(X15,IF($B15=20,1,0))</f>
        <v/>
      </c>
      <c r="Y16">
        <f>MAX(Y15,IF($B15=21,1,0))</f>
        <v/>
      </c>
      <c r="Z16">
        <f>MAX(Z15,IF($B15=22,1,0))</f>
        <v/>
      </c>
      <c r="AA16">
        <f>MAX(AA15,IF($B15=23,1,0))</f>
        <v/>
      </c>
      <c r="AB16">
        <f>MAX(AB15,IF($B15=24,1,0))</f>
        <v/>
      </c>
      <c r="AC16">
        <f>MAX(AC15,IF($B15=25,1,0))</f>
        <v/>
      </c>
      <c r="AD16">
        <f>MAX(AD15,IF($B15=26,1,0))</f>
        <v/>
      </c>
      <c r="AE16">
        <f>MAX(AE15,IF($B15=27,1,0))</f>
        <v/>
      </c>
      <c r="AF16">
        <f>MAX(AF15,IF($B15=28,1,0))</f>
        <v/>
      </c>
      <c r="AG16">
        <f>MAX(AG15,IF($B15=29,1,0))</f>
        <v/>
      </c>
      <c r="AH16">
        <f>MAX(AH15,IF($B15=30,1,0))</f>
        <v/>
      </c>
      <c r="AI16">
        <f>MAX(AI15,IF($B15=31,1,0))</f>
        <v/>
      </c>
      <c r="AJ16">
        <f>MAX(AJ15,IF($B15=32,1,0))</f>
        <v/>
      </c>
      <c r="AK16">
        <f>MAX(AK15,IF($B15=33,1,0))</f>
        <v/>
      </c>
      <c r="AL16">
        <f>MAX(AL15,IF($B15=34,1,0))</f>
        <v/>
      </c>
      <c r="AM16">
        <f>MAX(AM15,IF($B15=35,1,0))</f>
        <v/>
      </c>
      <c r="AN16">
        <f>MAX(AN15,IF($B15=36,1,0))</f>
        <v/>
      </c>
      <c r="AO16">
        <f>MAX(AO15,IF($B15=37,1,0))</f>
        <v/>
      </c>
      <c r="AP16">
        <f>MAX(AP15,IF($B15=38,1,0))</f>
        <v/>
      </c>
      <c r="AQ16">
        <f>MAX(AQ15,IF($B15=39,1,0))</f>
        <v/>
      </c>
      <c r="AR16">
        <f>MAX(AR15,IF($B15=40,1,0))</f>
        <v/>
      </c>
      <c r="AS16">
        <f>MAX(AS15,IF($B15=41,1,0))</f>
        <v/>
      </c>
      <c r="AT16">
        <f>MAX(AT15,IF($B15=42,1,0))</f>
        <v/>
      </c>
      <c r="AU16">
        <f>MAX(AU15,IF($B15=43,1,0))</f>
        <v/>
      </c>
      <c r="AV16">
        <f>MAX(AV15,IF($B15=44,1,0))</f>
        <v/>
      </c>
      <c r="AW16">
        <f>MAX(AW15,IF($B15=45,1,0))</f>
        <v/>
      </c>
      <c r="AY16">
        <f>IF(E16=1,1000000,SUMPRODUCT('計算A'!$D$60:$DS$60,$CS16:$HH16)*1000+1)</f>
        <v/>
      </c>
      <c r="AZ16">
        <f>IF(F16=1,1000000,SUMPRODUCT('計算A'!$D$61:$DS$61,$CS16:$HH16)*1000+2)</f>
        <v/>
      </c>
      <c r="BA16">
        <f>IF(G16=1,1000000,SUMPRODUCT('計算A'!$D$62:$DS$62,$CS16:$HH16)*1000+3)</f>
        <v/>
      </c>
      <c r="BB16">
        <f>IF(H16=1,1000000,SUMPRODUCT('計算A'!$D$63:$DS$63,$CS16:$HH16)*1000+4)</f>
        <v/>
      </c>
      <c r="BC16">
        <f>IF(I16=1,1000000,SUMPRODUCT('計算A'!$D$64:$DS$64,$CS16:$HH16)*1000+5)</f>
        <v/>
      </c>
      <c r="BD16">
        <f>IF(J16=1,1000000,SUMPRODUCT('計算A'!$D$65:$DS$65,$CS16:$HH16)*1000+6)</f>
        <v/>
      </c>
      <c r="BE16">
        <f>IF(K16=1,1000000,SUMPRODUCT('計算A'!$D$66:$DS$66,$CS16:$HH16)*1000+7)</f>
        <v/>
      </c>
      <c r="BF16">
        <f>IF(L16=1,1000000,SUMPRODUCT('計算A'!$D$67:$DS$67,$CS16:$HH16)*1000+8)</f>
        <v/>
      </c>
      <c r="BG16">
        <f>IF(M16=1,1000000,SUMPRODUCT('計算A'!$D$68:$DS$68,$CS16:$HH16)*1000+9)</f>
        <v/>
      </c>
      <c r="BH16">
        <f>IF(N16=1,1000000,SUMPRODUCT('計算A'!$D$69:$DS$69,$CS16:$HH16)*1000+10)</f>
        <v/>
      </c>
      <c r="BI16">
        <f>IF(O16=1,1000000,SUMPRODUCT('計算A'!$D$70:$DS$70,$CS16:$HH16)*1000+11)</f>
        <v/>
      </c>
      <c r="BJ16">
        <f>IF(P16=1,1000000,SUMPRODUCT('計算A'!$D$71:$DS$71,$CS16:$HH16)*1000+12)</f>
        <v/>
      </c>
      <c r="BK16">
        <f>IF(Q16=1,1000000,SUMPRODUCT('計算A'!$D$72:$DS$72,$CS16:$HH16)*1000+13)</f>
        <v/>
      </c>
      <c r="BL16">
        <f>IF(R16=1,1000000,SUMPRODUCT('計算A'!$D$73:$DS$73,$CS16:$HH16)*1000+14)</f>
        <v/>
      </c>
      <c r="BM16">
        <f>IF(S16=1,1000000,SUMPRODUCT('計算A'!$D$74:$DS$74,$CS16:$HH16)*1000+15)</f>
        <v/>
      </c>
      <c r="BN16">
        <f>IF(T16=1,1000000,SUMPRODUCT('計算A'!$D$75:$DS$75,$CS16:$HH16)*1000+16)</f>
        <v/>
      </c>
      <c r="BO16">
        <f>IF(U16=1,1000000,SUMPRODUCT('計算A'!$D$76:$DS$76,$CS16:$HH16)*1000+17)</f>
        <v/>
      </c>
      <c r="BP16">
        <f>IF(V16=1,1000000,SUMPRODUCT('計算A'!$D$77:$DS$77,$CS16:$HH16)*1000+18)</f>
        <v/>
      </c>
      <c r="BQ16">
        <f>IF(W16=1,1000000,SUMPRODUCT('計算A'!$D$78:$DS$78,$CS16:$HH16)*1000+19)</f>
        <v/>
      </c>
      <c r="BR16">
        <f>IF(X16=1,1000000,SUMPRODUCT('計算A'!$D$79:$DS$79,$CS16:$HH16)*1000+20)</f>
        <v/>
      </c>
      <c r="BS16">
        <f>IF(Y16=1,1000000,SUMPRODUCT('計算A'!$D$80:$DS$80,$CS16:$HH16)*1000+21)</f>
        <v/>
      </c>
      <c r="BT16">
        <f>IF(Z16=1,1000000,SUMPRODUCT('計算A'!$D$81:$DS$81,$CS16:$HH16)*1000+22)</f>
        <v/>
      </c>
      <c r="BU16">
        <f>IF(AA16=1,1000000,SUMPRODUCT('計算A'!$D$82:$DS$82,$CS16:$HH16)*1000+23)</f>
        <v/>
      </c>
      <c r="BV16">
        <f>IF(AB16=1,1000000,SUMPRODUCT('計算A'!$D$83:$DS$83,$CS16:$HH16)*1000+24)</f>
        <v/>
      </c>
      <c r="BW16">
        <f>IF(AC16=1,1000000,SUMPRODUCT('計算A'!$D$84:$DS$84,$CS16:$HH16)*1000+25)</f>
        <v/>
      </c>
      <c r="BX16">
        <f>IF(AD16=1,1000000,SUMPRODUCT('計算A'!$D$85:$DS$85,$CS16:$HH16)*1000+26)</f>
        <v/>
      </c>
      <c r="BY16">
        <f>IF(AE16=1,1000000,SUMPRODUCT('計算A'!$D$86:$DS$86,$CS16:$HH16)*1000+27)</f>
        <v/>
      </c>
      <c r="BZ16">
        <f>IF(AF16=1,1000000,SUMPRODUCT('計算A'!$D$87:$DS$87,$CS16:$HH16)*1000+28)</f>
        <v/>
      </c>
      <c r="CA16">
        <f>IF(AG16=1,1000000,SUMPRODUCT('計算A'!$D$88:$DS$88,$CS16:$HH16)*1000+29)</f>
        <v/>
      </c>
      <c r="CB16">
        <f>IF(AH16=1,1000000,SUMPRODUCT('計算A'!$D$89:$DS$89,$CS16:$HH16)*1000+30)</f>
        <v/>
      </c>
      <c r="CC16">
        <f>IF(AI16=1,1000000,SUMPRODUCT('計算A'!$D$90:$DS$90,$CS16:$HH16)*1000+31)</f>
        <v/>
      </c>
      <c r="CD16">
        <f>IF(AJ16=1,1000000,SUMPRODUCT('計算A'!$D$91:$DS$91,$CS16:$HH16)*1000+32)</f>
        <v/>
      </c>
      <c r="CE16">
        <f>IF(AK16=1,1000000,SUMPRODUCT('計算A'!$D$92:$DS$92,$CS16:$HH16)*1000+33)</f>
        <v/>
      </c>
      <c r="CF16">
        <f>IF(AL16=1,1000000,SUMPRODUCT('計算A'!$D$93:$DS$93,$CS16:$HH16)*1000+34)</f>
        <v/>
      </c>
      <c r="CG16">
        <f>IF(AM16=1,1000000,SUMPRODUCT('計算A'!$D$94:$DS$94,$CS16:$HH16)*1000+35)</f>
        <v/>
      </c>
      <c r="CH16">
        <f>IF(AN16=1,1000000,SUMPRODUCT('計算A'!$D$95:$DS$95,$CS16:$HH16)*1000+36)</f>
        <v/>
      </c>
      <c r="CI16">
        <f>IF(AO16=1,1000000,SUMPRODUCT('計算A'!$D$96:$DS$96,$CS16:$HH16)*1000+37)</f>
        <v/>
      </c>
      <c r="CJ16">
        <f>IF(AP16=1,1000000,SUMPRODUCT('計算A'!$D$97:$DS$97,$CS16:$HH16)*1000+38)</f>
        <v/>
      </c>
      <c r="CK16">
        <f>IF(AQ16=1,1000000,SUMPRODUCT('計算A'!$D$98:$DS$98,$CS16:$HH16)*1000+39)</f>
        <v/>
      </c>
      <c r="CL16">
        <f>IF(AR16=1,1000000,SUMPRODUCT('計算A'!$D$99:$DS$99,$CS16:$HH16)*1000+40)</f>
        <v/>
      </c>
      <c r="CM16">
        <f>IF(AS16=1,1000000,SUMPRODUCT('計算A'!$D$100:$DS$100,$CS16:$HH16)*1000+41)</f>
        <v/>
      </c>
      <c r="CN16">
        <f>IF(AT16=1,1000000,SUMPRODUCT('計算A'!$D$101:$DS$101,$CS16:$HH16)*1000+42)</f>
        <v/>
      </c>
      <c r="CO16">
        <f>IF(AU16=1,1000000,SUMPRODUCT('計算A'!$D$102:$DS$102,$CS16:$HH16)*1000+43)</f>
        <v/>
      </c>
      <c r="CP16">
        <f>IF(AV16=1,1000000,SUMPRODUCT('計算A'!$D$103:$DS$103,$CS16:$HH16)*1000+44)</f>
        <v/>
      </c>
      <c r="CQ16">
        <f>IF(AW16=1,1000000,SUMPRODUCT('計算A'!$D$104:$DS$104,$CS16:$HH16)*1000+45)</f>
        <v/>
      </c>
      <c r="CS16">
        <f>CS15*IF($C15=1,0,1)</f>
        <v/>
      </c>
      <c r="CT16">
        <f>CT15*IF($C15=2,0,1)</f>
        <v/>
      </c>
      <c r="CU16">
        <f>CU15*IF($C15=3,0,1)</f>
        <v/>
      </c>
      <c r="CV16">
        <f>CV15*IF($C15=4,0,1)</f>
        <v/>
      </c>
      <c r="CW16">
        <f>CW15*IF($C15=5,0,1)</f>
        <v/>
      </c>
      <c r="CX16">
        <f>CX15*IF($C15=6,0,1)</f>
        <v/>
      </c>
      <c r="CY16">
        <f>CY15*IF($C15=7,0,1)</f>
        <v/>
      </c>
      <c r="CZ16">
        <f>CZ15*IF($C15=8,0,1)</f>
        <v/>
      </c>
      <c r="DA16">
        <f>DA15*IF($C15=9,0,1)</f>
        <v/>
      </c>
      <c r="DB16">
        <f>DB15*IF($C15=10,0,1)</f>
        <v/>
      </c>
      <c r="DC16">
        <f>DC15*IF($C15=11,0,1)</f>
        <v/>
      </c>
      <c r="DD16">
        <f>DD15*IF($C15=12,0,1)</f>
        <v/>
      </c>
      <c r="DE16">
        <f>DE15*IF($C15=13,0,1)</f>
        <v/>
      </c>
      <c r="DF16">
        <f>DF15*IF($C15=14,0,1)</f>
        <v/>
      </c>
      <c r="DG16">
        <f>DG15*IF($C15=15,0,1)</f>
        <v/>
      </c>
      <c r="DH16">
        <f>DH15*IF($C15=16,0,1)</f>
        <v/>
      </c>
      <c r="DI16">
        <f>DI15*IF($C15=17,0,1)</f>
        <v/>
      </c>
      <c r="DJ16">
        <f>DJ15*IF($C15=18,0,1)</f>
        <v/>
      </c>
      <c r="DK16">
        <f>DK15*IF($C15=19,0,1)</f>
        <v/>
      </c>
      <c r="DL16">
        <f>DL15*IF($C15=20,0,1)</f>
        <v/>
      </c>
      <c r="DM16">
        <f>DM15*IF($C15=21,0,1)</f>
        <v/>
      </c>
      <c r="DN16">
        <f>DN15*IF($C15=22,0,1)</f>
        <v/>
      </c>
      <c r="DO16">
        <f>DO15*IF($C15=23,0,1)</f>
        <v/>
      </c>
      <c r="DP16">
        <f>DP15*IF($C15=24,0,1)</f>
        <v/>
      </c>
      <c r="DQ16">
        <f>DQ15*IF($C15=25,0,1)</f>
        <v/>
      </c>
      <c r="DR16">
        <f>DR15*IF($C15=26,0,1)</f>
        <v/>
      </c>
      <c r="DS16">
        <f>DS15*IF($C15=27,0,1)</f>
        <v/>
      </c>
      <c r="DT16">
        <f>DT15*IF($C15=28,0,1)</f>
        <v/>
      </c>
      <c r="DU16">
        <f>DU15*IF($C15=29,0,1)</f>
        <v/>
      </c>
      <c r="DV16">
        <f>DV15*IF($C15=30,0,1)</f>
        <v/>
      </c>
      <c r="DW16">
        <f>DW15*IF($C15=31,0,1)</f>
        <v/>
      </c>
      <c r="DX16">
        <f>DX15*IF($C15=32,0,1)</f>
        <v/>
      </c>
      <c r="DY16">
        <f>DY15*IF($C15=33,0,1)</f>
        <v/>
      </c>
      <c r="DZ16">
        <f>DZ15*IF($C15=34,0,1)</f>
        <v/>
      </c>
      <c r="EA16">
        <f>EA15*IF($C15=35,0,1)</f>
        <v/>
      </c>
      <c r="EB16">
        <f>EB15*IF($C15=36,0,1)</f>
        <v/>
      </c>
      <c r="EC16">
        <f>EC15*IF($C15=37,0,1)</f>
        <v/>
      </c>
      <c r="ED16">
        <f>ED15*IF($C15=38,0,1)</f>
        <v/>
      </c>
      <c r="EE16">
        <f>EE15*IF($C15=39,0,1)</f>
        <v/>
      </c>
      <c r="EF16">
        <f>EF15*IF($C15=40,0,1)</f>
        <v/>
      </c>
      <c r="EG16">
        <f>EG15*IF($C15=41,0,1)</f>
        <v/>
      </c>
      <c r="EH16">
        <f>EH15*IF($C15=42,0,1)</f>
        <v/>
      </c>
      <c r="EI16">
        <f>EI15*IF($C15=43,0,1)</f>
        <v/>
      </c>
      <c r="EJ16">
        <f>EJ15*IF($C15=44,0,1)</f>
        <v/>
      </c>
      <c r="EK16">
        <f>EK15*IF($C15=45,0,1)</f>
        <v/>
      </c>
      <c r="EL16">
        <f>EL15*IF($C15=46,0,1)</f>
        <v/>
      </c>
      <c r="EM16">
        <f>EM15*IF($C15=47,0,1)</f>
        <v/>
      </c>
      <c r="EN16">
        <f>EN15*IF($C15=48,0,1)</f>
        <v/>
      </c>
      <c r="EO16">
        <f>EO15*IF($C15=49,0,1)</f>
        <v/>
      </c>
      <c r="EP16">
        <f>EP15*IF($C15=50,0,1)</f>
        <v/>
      </c>
      <c r="EQ16">
        <f>EQ15*IF($C15=51,0,1)</f>
        <v/>
      </c>
      <c r="ER16">
        <f>ER15*IF($C15=52,0,1)</f>
        <v/>
      </c>
      <c r="ES16">
        <f>ES15*IF($C15=53,0,1)</f>
        <v/>
      </c>
      <c r="ET16">
        <f>ET15*IF($C15=54,0,1)</f>
        <v/>
      </c>
      <c r="EU16">
        <f>EU15*IF($C15=55,0,1)</f>
        <v/>
      </c>
      <c r="EV16">
        <f>EV15*IF($C15=56,0,1)</f>
        <v/>
      </c>
      <c r="EW16">
        <f>EW15*IF($C15=57,0,1)</f>
        <v/>
      </c>
      <c r="EX16">
        <f>EX15*IF($C15=58,0,1)</f>
        <v/>
      </c>
      <c r="EY16">
        <f>EY15*IF($C15=59,0,1)</f>
        <v/>
      </c>
      <c r="EZ16">
        <f>EZ15*IF($C15=60,0,1)</f>
        <v/>
      </c>
      <c r="FA16">
        <f>FA15*IF($C15=61,0,1)</f>
        <v/>
      </c>
      <c r="FB16">
        <f>FB15*IF($C15=62,0,1)</f>
        <v/>
      </c>
      <c r="FC16">
        <f>FC15*IF($C15=63,0,1)</f>
        <v/>
      </c>
      <c r="FD16">
        <f>FD15*IF($C15=64,0,1)</f>
        <v/>
      </c>
      <c r="FE16">
        <f>FE15*IF($C15=65,0,1)</f>
        <v/>
      </c>
      <c r="FF16">
        <f>FF15*IF($C15=66,0,1)</f>
        <v/>
      </c>
      <c r="FG16">
        <f>FG15*IF($C15=67,0,1)</f>
        <v/>
      </c>
      <c r="FH16">
        <f>FH15*IF($C15=68,0,1)</f>
        <v/>
      </c>
      <c r="FI16">
        <f>FI15*IF($C15=69,0,1)</f>
        <v/>
      </c>
      <c r="FJ16">
        <f>FJ15*IF($C15=70,0,1)</f>
        <v/>
      </c>
      <c r="FK16">
        <f>FK15*IF($C15=71,0,1)</f>
        <v/>
      </c>
      <c r="FL16">
        <f>FL15*IF($C15=72,0,1)</f>
        <v/>
      </c>
      <c r="FM16">
        <f>FM15*IF($C15=73,0,1)</f>
        <v/>
      </c>
      <c r="FN16">
        <f>FN15*IF($C15=74,0,1)</f>
        <v/>
      </c>
      <c r="FO16">
        <f>FO15*IF($C15=75,0,1)</f>
        <v/>
      </c>
      <c r="FP16">
        <f>FP15*IF($C15=76,0,1)</f>
        <v/>
      </c>
      <c r="FQ16">
        <f>FQ15*IF($C15=77,0,1)</f>
        <v/>
      </c>
      <c r="FR16">
        <f>FR15*IF($C15=78,0,1)</f>
        <v/>
      </c>
      <c r="FS16">
        <f>FS15*IF($C15=79,0,1)</f>
        <v/>
      </c>
      <c r="FT16">
        <f>FT15*IF($C15=80,0,1)</f>
        <v/>
      </c>
      <c r="FU16">
        <f>FU15*IF($C15=81,0,1)</f>
        <v/>
      </c>
      <c r="FV16">
        <f>FV15*IF($C15=82,0,1)</f>
        <v/>
      </c>
      <c r="FW16">
        <f>FW15*IF($C15=83,0,1)</f>
        <v/>
      </c>
      <c r="FX16">
        <f>FX15*IF($C15=84,0,1)</f>
        <v/>
      </c>
      <c r="FY16">
        <f>FY15*IF($C15=85,0,1)</f>
        <v/>
      </c>
      <c r="FZ16">
        <f>FZ15*IF($C15=86,0,1)</f>
        <v/>
      </c>
      <c r="GA16">
        <f>GA15*IF($C15=87,0,1)</f>
        <v/>
      </c>
      <c r="GB16">
        <f>GB15*IF($C15=88,0,1)</f>
        <v/>
      </c>
      <c r="GC16">
        <f>GC15*IF($C15=89,0,1)</f>
        <v/>
      </c>
      <c r="GD16">
        <f>GD15*IF($C15=90,0,1)</f>
        <v/>
      </c>
      <c r="GE16">
        <f>GE15*IF($C15=91,0,1)</f>
        <v/>
      </c>
      <c r="GF16">
        <f>GF15*IF($C15=92,0,1)</f>
        <v/>
      </c>
      <c r="GG16">
        <f>GG15*IF($C15=93,0,1)</f>
        <v/>
      </c>
      <c r="GH16">
        <f>GH15*IF($C15=94,0,1)</f>
        <v/>
      </c>
      <c r="GI16">
        <f>GI15*IF($C15=95,0,1)</f>
        <v/>
      </c>
      <c r="GJ16">
        <f>GJ15*IF($C15=96,0,1)</f>
        <v/>
      </c>
      <c r="GK16">
        <f>GK15*IF($C15=97,0,1)</f>
        <v/>
      </c>
      <c r="GL16">
        <f>GL15*IF($C15=98,0,1)</f>
        <v/>
      </c>
      <c r="GM16">
        <f>GM15*IF($C15=99,0,1)</f>
        <v/>
      </c>
      <c r="GN16">
        <f>GN15*IF($C15=100,0,1)</f>
        <v/>
      </c>
      <c r="GO16">
        <f>GO15*IF($C15=101,0,1)</f>
        <v/>
      </c>
      <c r="GP16">
        <f>GP15*IF($C15=102,0,1)</f>
        <v/>
      </c>
      <c r="GQ16">
        <f>GQ15*IF($C15=103,0,1)</f>
        <v/>
      </c>
      <c r="GR16">
        <f>GR15*IF($C15=104,0,1)</f>
        <v/>
      </c>
      <c r="GS16">
        <f>GS15*IF($C15=105,0,1)</f>
        <v/>
      </c>
      <c r="GT16">
        <f>GT15*IF($C15=106,0,1)</f>
        <v/>
      </c>
      <c r="GU16">
        <f>GU15*IF($C15=107,0,1)</f>
        <v/>
      </c>
      <c r="GV16">
        <f>GV15*IF($C15=108,0,1)</f>
        <v/>
      </c>
      <c r="GW16">
        <f>GW15*IF($C15=109,0,1)</f>
        <v/>
      </c>
      <c r="GX16">
        <f>GX15*IF($C15=110,0,1)</f>
        <v/>
      </c>
      <c r="GY16">
        <f>GY15*IF($C15=111,0,1)</f>
        <v/>
      </c>
      <c r="GZ16">
        <f>GZ15*IF($C15=112,0,1)</f>
        <v/>
      </c>
      <c r="HA16">
        <f>HA15*IF($C15=113,0,1)</f>
        <v/>
      </c>
      <c r="HB16">
        <f>HB15*IF($C15=114,0,1)</f>
        <v/>
      </c>
      <c r="HC16">
        <f>HC15*IF($C15=115,0,1)</f>
        <v/>
      </c>
      <c r="HD16">
        <f>HD15*IF($C15=116,0,1)</f>
        <v/>
      </c>
      <c r="HE16">
        <f>HE15*IF($C15=117,0,1)</f>
        <v/>
      </c>
      <c r="HF16">
        <f>HF15*IF($C15=118,0,1)</f>
        <v/>
      </c>
      <c r="HG16">
        <f>HG15*IF($C15=119,0,1)</f>
        <v/>
      </c>
      <c r="HH16">
        <f>HH15*IF($C15=120,0,1)</f>
        <v/>
      </c>
      <c r="HJ16">
        <f>IF($B16=0,1000000,IF(INDEX('計算A'!$D$60:$DS$104,$B16,1)*CS16=1,'計算A'!D$6,1000000))</f>
        <v/>
      </c>
      <c r="HK16">
        <f>IF($B16=0,1000000,IF(INDEX('計算A'!$D$60:$DS$104,$B16,2)*CT16=1,'計算A'!E$6,1000000))</f>
        <v/>
      </c>
      <c r="HL16">
        <f>IF($B16=0,1000000,IF(INDEX('計算A'!$D$60:$DS$104,$B16,3)*CU16=1,'計算A'!F$6,1000000))</f>
        <v/>
      </c>
      <c r="HM16">
        <f>IF($B16=0,1000000,IF(INDEX('計算A'!$D$60:$DS$104,$B16,4)*CV16=1,'計算A'!G$6,1000000))</f>
        <v/>
      </c>
      <c r="HN16">
        <f>IF($B16=0,1000000,IF(INDEX('計算A'!$D$60:$DS$104,$B16,5)*CW16=1,'計算A'!H$6,1000000))</f>
        <v/>
      </c>
      <c r="HO16">
        <f>IF($B16=0,1000000,IF(INDEX('計算A'!$D$60:$DS$104,$B16,6)*CX16=1,'計算A'!I$6,1000000))</f>
        <v/>
      </c>
      <c r="HP16">
        <f>IF($B16=0,1000000,IF(INDEX('計算A'!$D$60:$DS$104,$B16,7)*CY16=1,'計算A'!J$6,1000000))</f>
        <v/>
      </c>
      <c r="HQ16">
        <f>IF($B16=0,1000000,IF(INDEX('計算A'!$D$60:$DS$104,$B16,8)*CZ16=1,'計算A'!K$6,1000000))</f>
        <v/>
      </c>
      <c r="HR16">
        <f>IF($B16=0,1000000,IF(INDEX('計算A'!$D$60:$DS$104,$B16,9)*DA16=1,'計算A'!L$6,1000000))</f>
        <v/>
      </c>
      <c r="HS16">
        <f>IF($B16=0,1000000,IF(INDEX('計算A'!$D$60:$DS$104,$B16,10)*DB16=1,'計算A'!M$6,1000000))</f>
        <v/>
      </c>
      <c r="HT16">
        <f>IF($B16=0,1000000,IF(INDEX('計算A'!$D$60:$DS$104,$B16,11)*DC16=1,'計算A'!N$6,1000000))</f>
        <v/>
      </c>
      <c r="HU16">
        <f>IF($B16=0,1000000,IF(INDEX('計算A'!$D$60:$DS$104,$B16,12)*DD16=1,'計算A'!O$6,1000000))</f>
        <v/>
      </c>
      <c r="HV16">
        <f>IF($B16=0,1000000,IF(INDEX('計算A'!$D$60:$DS$104,$B16,13)*DE16=1,'計算A'!P$6,1000000))</f>
        <v/>
      </c>
      <c r="HW16">
        <f>IF($B16=0,1000000,IF(INDEX('計算A'!$D$60:$DS$104,$B16,14)*DF16=1,'計算A'!Q$6,1000000))</f>
        <v/>
      </c>
      <c r="HX16">
        <f>IF($B16=0,1000000,IF(INDEX('計算A'!$D$60:$DS$104,$B16,15)*DG16=1,'計算A'!R$6,1000000))</f>
        <v/>
      </c>
      <c r="HY16">
        <f>IF($B16=0,1000000,IF(INDEX('計算A'!$D$60:$DS$104,$B16,16)*DH16=1,'計算A'!S$6,1000000))</f>
        <v/>
      </c>
      <c r="HZ16">
        <f>IF($B16=0,1000000,IF(INDEX('計算A'!$D$60:$DS$104,$B16,17)*DI16=1,'計算A'!T$6,1000000))</f>
        <v/>
      </c>
      <c r="IA16">
        <f>IF($B16=0,1000000,IF(INDEX('計算A'!$D$60:$DS$104,$B16,18)*DJ16=1,'計算A'!U$6,1000000))</f>
        <v/>
      </c>
      <c r="IB16">
        <f>IF($B16=0,1000000,IF(INDEX('計算A'!$D$60:$DS$104,$B16,19)*DK16=1,'計算A'!V$6,1000000))</f>
        <v/>
      </c>
      <c r="IC16">
        <f>IF($B16=0,1000000,IF(INDEX('計算A'!$D$60:$DS$104,$B16,20)*DL16=1,'計算A'!W$6,1000000))</f>
        <v/>
      </c>
      <c r="ID16">
        <f>IF($B16=0,1000000,IF(INDEX('計算A'!$D$60:$DS$104,$B16,21)*DM16=1,'計算A'!X$6,1000000))</f>
        <v/>
      </c>
      <c r="IE16">
        <f>IF($B16=0,1000000,IF(INDEX('計算A'!$D$60:$DS$104,$B16,22)*DN16=1,'計算A'!Y$6,1000000))</f>
        <v/>
      </c>
      <c r="IF16">
        <f>IF($B16=0,1000000,IF(INDEX('計算A'!$D$60:$DS$104,$B16,23)*DO16=1,'計算A'!Z$6,1000000))</f>
        <v/>
      </c>
      <c r="IG16">
        <f>IF($B16=0,1000000,IF(INDEX('計算A'!$D$60:$DS$104,$B16,24)*DP16=1,'計算A'!AA$6,1000000))</f>
        <v/>
      </c>
      <c r="IH16">
        <f>IF($B16=0,1000000,IF(INDEX('計算A'!$D$60:$DS$104,$B16,25)*DQ16=1,'計算A'!AB$6,1000000))</f>
        <v/>
      </c>
      <c r="II16">
        <f>IF($B16=0,1000000,IF(INDEX('計算A'!$D$60:$DS$104,$B16,26)*DR16=1,'計算A'!AC$6,1000000))</f>
        <v/>
      </c>
      <c r="IJ16">
        <f>IF($B16=0,1000000,IF(INDEX('計算A'!$D$60:$DS$104,$B16,27)*DS16=1,'計算A'!AD$6,1000000))</f>
        <v/>
      </c>
      <c r="IK16">
        <f>IF($B16=0,1000000,IF(INDEX('計算A'!$D$60:$DS$104,$B16,28)*DT16=1,'計算A'!AE$6,1000000))</f>
        <v/>
      </c>
      <c r="IL16">
        <f>IF($B16=0,1000000,IF(INDEX('計算A'!$D$60:$DS$104,$B16,29)*DU16=1,'計算A'!AF$6,1000000))</f>
        <v/>
      </c>
      <c r="IM16">
        <f>IF($B16=0,1000000,IF(INDEX('計算A'!$D$60:$DS$104,$B16,30)*DV16=1,'計算A'!AG$6,1000000))</f>
        <v/>
      </c>
      <c r="IN16">
        <f>IF($B16=0,1000000,IF(INDEX('計算A'!$D$60:$DS$104,$B16,31)*DW16=1,'計算A'!AH$6,1000000))</f>
        <v/>
      </c>
      <c r="IO16">
        <f>IF($B16=0,1000000,IF(INDEX('計算A'!$D$60:$DS$104,$B16,32)*DX16=1,'計算A'!AI$6,1000000))</f>
        <v/>
      </c>
      <c r="IP16">
        <f>IF($B16=0,1000000,IF(INDEX('計算A'!$D$60:$DS$104,$B16,33)*DY16=1,'計算A'!AJ$6,1000000))</f>
        <v/>
      </c>
      <c r="IQ16">
        <f>IF($B16=0,1000000,IF(INDEX('計算A'!$D$60:$DS$104,$B16,34)*DZ16=1,'計算A'!AK$6,1000000))</f>
        <v/>
      </c>
      <c r="IR16">
        <f>IF($B16=0,1000000,IF(INDEX('計算A'!$D$60:$DS$104,$B16,35)*EA16=1,'計算A'!AL$6,1000000))</f>
        <v/>
      </c>
      <c r="IS16">
        <f>IF($B16=0,1000000,IF(INDEX('計算A'!$D$60:$DS$104,$B16,36)*EB16=1,'計算A'!AM$6,1000000))</f>
        <v/>
      </c>
      <c r="IT16">
        <f>IF($B16=0,1000000,IF(INDEX('計算A'!$D$60:$DS$104,$B16,37)*EC16=1,'計算A'!AN$6,1000000))</f>
        <v/>
      </c>
      <c r="IU16">
        <f>IF($B16=0,1000000,IF(INDEX('計算A'!$D$60:$DS$104,$B16,38)*ED16=1,'計算A'!AO$6,1000000))</f>
        <v/>
      </c>
      <c r="IV16">
        <f>IF($B16=0,1000000,IF(INDEX('計算A'!$D$60:$DS$104,$B16,39)*EE16=1,'計算A'!AP$6,1000000))</f>
        <v/>
      </c>
      <c r="IW16">
        <f>IF($B16=0,1000000,IF(INDEX('計算A'!$D$60:$DS$104,$B16,40)*EF16=1,'計算A'!AQ$6,1000000))</f>
        <v/>
      </c>
      <c r="IX16">
        <f>IF($B16=0,1000000,IF(INDEX('計算A'!$D$60:$DS$104,$B16,41)*EG16=1,'計算A'!AR$6,1000000))</f>
        <v/>
      </c>
      <c r="IY16">
        <f>IF($B16=0,1000000,IF(INDEX('計算A'!$D$60:$DS$104,$B16,42)*EH16=1,'計算A'!AS$6,1000000))</f>
        <v/>
      </c>
      <c r="IZ16">
        <f>IF($B16=0,1000000,IF(INDEX('計算A'!$D$60:$DS$104,$B16,43)*EI16=1,'計算A'!AT$6,1000000))</f>
        <v/>
      </c>
      <c r="JA16">
        <f>IF($B16=0,1000000,IF(INDEX('計算A'!$D$60:$DS$104,$B16,44)*EJ16=1,'計算A'!AU$6,1000000))</f>
        <v/>
      </c>
      <c r="JB16">
        <f>IF($B16=0,1000000,IF(INDEX('計算A'!$D$60:$DS$104,$B16,45)*EK16=1,'計算A'!AV$6,1000000))</f>
        <v/>
      </c>
      <c r="JC16">
        <f>IF($B16=0,1000000,IF(INDEX('計算A'!$D$60:$DS$104,$B16,46)*EL16=1,'計算A'!AW$6,1000000))</f>
        <v/>
      </c>
      <c r="JD16">
        <f>IF($B16=0,1000000,IF(INDEX('計算A'!$D$60:$DS$104,$B16,47)*EM16=1,'計算A'!AX$6,1000000))</f>
        <v/>
      </c>
      <c r="JE16">
        <f>IF($B16=0,1000000,IF(INDEX('計算A'!$D$60:$DS$104,$B16,48)*EN16=1,'計算A'!AY$6,1000000))</f>
        <v/>
      </c>
      <c r="JF16">
        <f>IF($B16=0,1000000,IF(INDEX('計算A'!$D$60:$DS$104,$B16,49)*EO16=1,'計算A'!AZ$6,1000000))</f>
        <v/>
      </c>
      <c r="JG16">
        <f>IF($B16=0,1000000,IF(INDEX('計算A'!$D$60:$DS$104,$B16,50)*EP16=1,'計算A'!BA$6,1000000))</f>
        <v/>
      </c>
      <c r="JH16">
        <f>IF($B16=0,1000000,IF(INDEX('計算A'!$D$60:$DS$104,$B16,51)*EQ16=1,'計算A'!BB$6,1000000))</f>
        <v/>
      </c>
      <c r="JI16">
        <f>IF($B16=0,1000000,IF(INDEX('計算A'!$D$60:$DS$104,$B16,52)*ER16=1,'計算A'!BC$6,1000000))</f>
        <v/>
      </c>
      <c r="JJ16">
        <f>IF($B16=0,1000000,IF(INDEX('計算A'!$D$60:$DS$104,$B16,53)*ES16=1,'計算A'!BD$6,1000000))</f>
        <v/>
      </c>
      <c r="JK16">
        <f>IF($B16=0,1000000,IF(INDEX('計算A'!$D$60:$DS$104,$B16,54)*ET16=1,'計算A'!BE$6,1000000))</f>
        <v/>
      </c>
      <c r="JL16">
        <f>IF($B16=0,1000000,IF(INDEX('計算A'!$D$60:$DS$104,$B16,55)*EU16=1,'計算A'!BF$6,1000000))</f>
        <v/>
      </c>
      <c r="JM16">
        <f>IF($B16=0,1000000,IF(INDEX('計算A'!$D$60:$DS$104,$B16,56)*EV16=1,'計算A'!BG$6,1000000))</f>
        <v/>
      </c>
      <c r="JN16">
        <f>IF($B16=0,1000000,IF(INDEX('計算A'!$D$60:$DS$104,$B16,57)*EW16=1,'計算A'!BH$6,1000000))</f>
        <v/>
      </c>
      <c r="JO16">
        <f>IF($B16=0,1000000,IF(INDEX('計算A'!$D$60:$DS$104,$B16,58)*EX16=1,'計算A'!BI$6,1000000))</f>
        <v/>
      </c>
      <c r="JP16">
        <f>IF($B16=0,1000000,IF(INDEX('計算A'!$D$60:$DS$104,$B16,59)*EY16=1,'計算A'!BJ$6,1000000))</f>
        <v/>
      </c>
      <c r="JQ16">
        <f>IF($B16=0,1000000,IF(INDEX('計算A'!$D$60:$DS$104,$B16,60)*EZ16=1,'計算A'!BK$6,1000000))</f>
        <v/>
      </c>
      <c r="JR16">
        <f>IF($B16=0,1000000,IF(INDEX('計算A'!$D$60:$DS$104,$B16,61)*FA16=1,'計算A'!BL$6,1000000))</f>
        <v/>
      </c>
      <c r="JS16">
        <f>IF($B16=0,1000000,IF(INDEX('計算A'!$D$60:$DS$104,$B16,62)*FB16=1,'計算A'!BM$6,1000000))</f>
        <v/>
      </c>
      <c r="JT16">
        <f>IF($B16=0,1000000,IF(INDEX('計算A'!$D$60:$DS$104,$B16,63)*FC16=1,'計算A'!BN$6,1000000))</f>
        <v/>
      </c>
      <c r="JU16">
        <f>IF($B16=0,1000000,IF(INDEX('計算A'!$D$60:$DS$104,$B16,64)*FD16=1,'計算A'!BO$6,1000000))</f>
        <v/>
      </c>
      <c r="JV16">
        <f>IF($B16=0,1000000,IF(INDEX('計算A'!$D$60:$DS$104,$B16,65)*FE16=1,'計算A'!BP$6,1000000))</f>
        <v/>
      </c>
      <c r="JW16">
        <f>IF($B16=0,1000000,IF(INDEX('計算A'!$D$60:$DS$104,$B16,66)*FF16=1,'計算A'!BQ$6,1000000))</f>
        <v/>
      </c>
      <c r="JX16">
        <f>IF($B16=0,1000000,IF(INDEX('計算A'!$D$60:$DS$104,$B16,67)*FG16=1,'計算A'!BR$6,1000000))</f>
        <v/>
      </c>
      <c r="JY16">
        <f>IF($B16=0,1000000,IF(INDEX('計算A'!$D$60:$DS$104,$B16,68)*FH16=1,'計算A'!BS$6,1000000))</f>
        <v/>
      </c>
      <c r="JZ16">
        <f>IF($B16=0,1000000,IF(INDEX('計算A'!$D$60:$DS$104,$B16,69)*FI16=1,'計算A'!BT$6,1000000))</f>
        <v/>
      </c>
      <c r="KA16">
        <f>IF($B16=0,1000000,IF(INDEX('計算A'!$D$60:$DS$104,$B16,70)*FJ16=1,'計算A'!BU$6,1000000))</f>
        <v/>
      </c>
      <c r="KB16">
        <f>IF($B16=0,1000000,IF(INDEX('計算A'!$D$60:$DS$104,$B16,71)*FK16=1,'計算A'!BV$6,1000000))</f>
        <v/>
      </c>
      <c r="KC16">
        <f>IF($B16=0,1000000,IF(INDEX('計算A'!$D$60:$DS$104,$B16,72)*FL16=1,'計算A'!BW$6,1000000))</f>
        <v/>
      </c>
      <c r="KD16">
        <f>IF($B16=0,1000000,IF(INDEX('計算A'!$D$60:$DS$104,$B16,73)*FM16=1,'計算A'!BX$6,1000000))</f>
        <v/>
      </c>
      <c r="KE16">
        <f>IF($B16=0,1000000,IF(INDEX('計算A'!$D$60:$DS$104,$B16,74)*FN16=1,'計算A'!BY$6,1000000))</f>
        <v/>
      </c>
      <c r="KF16">
        <f>IF($B16=0,1000000,IF(INDEX('計算A'!$D$60:$DS$104,$B16,75)*FO16=1,'計算A'!BZ$6,1000000))</f>
        <v/>
      </c>
      <c r="KG16">
        <f>IF($B16=0,1000000,IF(INDEX('計算A'!$D$60:$DS$104,$B16,76)*FP16=1,'計算A'!CA$6,1000000))</f>
        <v/>
      </c>
      <c r="KH16">
        <f>IF($B16=0,1000000,IF(INDEX('計算A'!$D$60:$DS$104,$B16,77)*FQ16=1,'計算A'!CB$6,1000000))</f>
        <v/>
      </c>
      <c r="KI16">
        <f>IF($B16=0,1000000,IF(INDEX('計算A'!$D$60:$DS$104,$B16,78)*FR16=1,'計算A'!CC$6,1000000))</f>
        <v/>
      </c>
      <c r="KJ16">
        <f>IF($B16=0,1000000,IF(INDEX('計算A'!$D$60:$DS$104,$B16,79)*FS16=1,'計算A'!CD$6,1000000))</f>
        <v/>
      </c>
      <c r="KK16">
        <f>IF($B16=0,1000000,IF(INDEX('計算A'!$D$60:$DS$104,$B16,80)*FT16=1,'計算A'!CE$6,1000000))</f>
        <v/>
      </c>
      <c r="KL16">
        <f>IF($B16=0,1000000,IF(INDEX('計算A'!$D$60:$DS$104,$B16,81)*FU16=1,'計算A'!CF$6,1000000))</f>
        <v/>
      </c>
      <c r="KM16">
        <f>IF($B16=0,1000000,IF(INDEX('計算A'!$D$60:$DS$104,$B16,82)*FV16=1,'計算A'!CG$6,1000000))</f>
        <v/>
      </c>
      <c r="KN16">
        <f>IF($B16=0,1000000,IF(INDEX('計算A'!$D$60:$DS$104,$B16,83)*FW16=1,'計算A'!CH$6,1000000))</f>
        <v/>
      </c>
      <c r="KO16">
        <f>IF($B16=0,1000000,IF(INDEX('計算A'!$D$60:$DS$104,$B16,84)*FX16=1,'計算A'!CI$6,1000000))</f>
        <v/>
      </c>
      <c r="KP16">
        <f>IF($B16=0,1000000,IF(INDEX('計算A'!$D$60:$DS$104,$B16,85)*FY16=1,'計算A'!CJ$6,1000000))</f>
        <v/>
      </c>
      <c r="KQ16">
        <f>IF($B16=0,1000000,IF(INDEX('計算A'!$D$60:$DS$104,$B16,86)*FZ16=1,'計算A'!CK$6,1000000))</f>
        <v/>
      </c>
      <c r="KR16">
        <f>IF($B16=0,1000000,IF(INDEX('計算A'!$D$60:$DS$104,$B16,87)*GA16=1,'計算A'!CL$6,1000000))</f>
        <v/>
      </c>
      <c r="KS16">
        <f>IF($B16=0,1000000,IF(INDEX('計算A'!$D$60:$DS$104,$B16,88)*GB16=1,'計算A'!CM$6,1000000))</f>
        <v/>
      </c>
      <c r="KT16">
        <f>IF($B16=0,1000000,IF(INDEX('計算A'!$D$60:$DS$104,$B16,89)*GC16=1,'計算A'!CN$6,1000000))</f>
        <v/>
      </c>
      <c r="KU16">
        <f>IF($B16=0,1000000,IF(INDEX('計算A'!$D$60:$DS$104,$B16,90)*GD16=1,'計算A'!CO$6,1000000))</f>
        <v/>
      </c>
      <c r="KV16">
        <f>IF($B16=0,1000000,IF(INDEX('計算A'!$D$60:$DS$104,$B16,91)*GE16=1,'計算A'!CP$6,1000000))</f>
        <v/>
      </c>
      <c r="KW16">
        <f>IF($B16=0,1000000,IF(INDEX('計算A'!$D$60:$DS$104,$B16,92)*GF16=1,'計算A'!CQ$6,1000000))</f>
        <v/>
      </c>
      <c r="KX16">
        <f>IF($B16=0,1000000,IF(INDEX('計算A'!$D$60:$DS$104,$B16,93)*GG16=1,'計算A'!CR$6,1000000))</f>
        <v/>
      </c>
      <c r="KY16">
        <f>IF($B16=0,1000000,IF(INDEX('計算A'!$D$60:$DS$104,$B16,94)*GH16=1,'計算A'!CS$6,1000000))</f>
        <v/>
      </c>
      <c r="KZ16">
        <f>IF($B16=0,1000000,IF(INDEX('計算A'!$D$60:$DS$104,$B16,95)*GI16=1,'計算A'!CT$6,1000000))</f>
        <v/>
      </c>
      <c r="LA16">
        <f>IF($B16=0,1000000,IF(INDEX('計算A'!$D$60:$DS$104,$B16,96)*GJ16=1,'計算A'!CU$6,1000000))</f>
        <v/>
      </c>
      <c r="LB16">
        <f>IF($B16=0,1000000,IF(INDEX('計算A'!$D$60:$DS$104,$B16,97)*GK16=1,'計算A'!CV$6,1000000))</f>
        <v/>
      </c>
      <c r="LC16">
        <f>IF($B16=0,1000000,IF(INDEX('計算A'!$D$60:$DS$104,$B16,98)*GL16=1,'計算A'!CW$6,1000000))</f>
        <v/>
      </c>
      <c r="LD16">
        <f>IF($B16=0,1000000,IF(INDEX('計算A'!$D$60:$DS$104,$B16,99)*GM16=1,'計算A'!CX$6,1000000))</f>
        <v/>
      </c>
      <c r="LE16">
        <f>IF($B16=0,1000000,IF(INDEX('計算A'!$D$60:$DS$104,$B16,100)*GN16=1,'計算A'!CY$6,1000000))</f>
        <v/>
      </c>
      <c r="LF16">
        <f>IF($B16=0,1000000,IF(INDEX('計算A'!$D$60:$DS$104,$B16,101)*GO16=1,'計算A'!CZ$6,1000000))</f>
        <v/>
      </c>
      <c r="LG16">
        <f>IF($B16=0,1000000,IF(INDEX('計算A'!$D$60:$DS$104,$B16,102)*GP16=1,'計算A'!DA$6,1000000))</f>
        <v/>
      </c>
      <c r="LH16">
        <f>IF($B16=0,1000000,IF(INDEX('計算A'!$D$60:$DS$104,$B16,103)*GQ16=1,'計算A'!DB$6,1000000))</f>
        <v/>
      </c>
      <c r="LI16">
        <f>IF($B16=0,1000000,IF(INDEX('計算A'!$D$60:$DS$104,$B16,104)*GR16=1,'計算A'!DC$6,1000000))</f>
        <v/>
      </c>
      <c r="LJ16">
        <f>IF($B16=0,1000000,IF(INDEX('計算A'!$D$60:$DS$104,$B16,105)*GS16=1,'計算A'!DD$6,1000000))</f>
        <v/>
      </c>
      <c r="LK16">
        <f>IF($B16=0,1000000,IF(INDEX('計算A'!$D$60:$DS$104,$B16,106)*GT16=1,'計算A'!DE$6,1000000))</f>
        <v/>
      </c>
      <c r="LL16">
        <f>IF($B16=0,1000000,IF(INDEX('計算A'!$D$60:$DS$104,$B16,107)*GU16=1,'計算A'!DF$6,1000000))</f>
        <v/>
      </c>
      <c r="LM16">
        <f>IF($B16=0,1000000,IF(INDEX('計算A'!$D$60:$DS$104,$B16,108)*GV16=1,'計算A'!DG$6,1000000))</f>
        <v/>
      </c>
      <c r="LN16">
        <f>IF($B16=0,1000000,IF(INDEX('計算A'!$D$60:$DS$104,$B16,109)*GW16=1,'計算A'!DH$6,1000000))</f>
        <v/>
      </c>
      <c r="LO16">
        <f>IF($B16=0,1000000,IF(INDEX('計算A'!$D$60:$DS$104,$B16,110)*GX16=1,'計算A'!DI$6,1000000))</f>
        <v/>
      </c>
      <c r="LP16">
        <f>IF($B16=0,1000000,IF(INDEX('計算A'!$D$60:$DS$104,$B16,111)*GY16=1,'計算A'!DJ$6,1000000))</f>
        <v/>
      </c>
      <c r="LQ16">
        <f>IF($B16=0,1000000,IF(INDEX('計算A'!$D$60:$DS$104,$B16,112)*GZ16=1,'計算A'!DK$6,1000000))</f>
        <v/>
      </c>
      <c r="LR16">
        <f>IF($B16=0,1000000,IF(INDEX('計算A'!$D$60:$DS$104,$B16,113)*HA16=1,'計算A'!DL$6,1000000))</f>
        <v/>
      </c>
      <c r="LS16">
        <f>IF($B16=0,1000000,IF(INDEX('計算A'!$D$60:$DS$104,$B16,114)*HB16=1,'計算A'!DM$6,1000000))</f>
        <v/>
      </c>
      <c r="LT16">
        <f>IF($B16=0,1000000,IF(INDEX('計算A'!$D$60:$DS$104,$B16,115)*HC16=1,'計算A'!DN$6,1000000))</f>
        <v/>
      </c>
      <c r="LU16">
        <f>IF($B16=0,1000000,IF(INDEX('計算A'!$D$60:$DS$104,$B16,116)*HD16=1,'計算A'!DO$6,1000000))</f>
        <v/>
      </c>
      <c r="LV16">
        <f>IF($B16=0,1000000,IF(INDEX('計算A'!$D$60:$DS$104,$B16,117)*HE16=1,'計算A'!DP$6,1000000))</f>
        <v/>
      </c>
      <c r="LW16">
        <f>IF($B16=0,1000000,IF(INDEX('計算A'!$D$60:$DS$104,$B16,118)*HF16=1,'計算A'!DQ$6,1000000))</f>
        <v/>
      </c>
      <c r="LX16">
        <f>IF($B16=0,1000000,IF(INDEX('計算A'!$D$60:$DS$104,$B16,119)*HG16=1,'計算A'!DR$6,1000000))</f>
        <v/>
      </c>
      <c r="LY16">
        <f>IF($B16=0,1000000,IF(INDEX('計算A'!$D$60:$DS$104,$B16,120)*HH16=1,'計算A'!DS$6,1000000))</f>
        <v/>
      </c>
    </row>
    <row r="17">
      <c r="A17" t="n">
        <v>15</v>
      </c>
      <c r="B17">
        <f>IF(MIN(AY17:CQ17)&gt;=1000000,0,MATCH(MIN(AY17:CQ17),AY17:CQ17,0))</f>
        <v/>
      </c>
      <c r="C17">
        <f>IF(MIN(HJ17:LY17)&gt;=1000000,0,MATCH(MIN(HJ17:LY17),HJ17:LY17,0))</f>
        <v/>
      </c>
      <c r="D17">
        <f>IF(C17&gt;0,INDEX('計算A'!$D$5:$DS$5,C17),0)</f>
        <v/>
      </c>
      <c r="E17">
        <f>MAX(E16,IF($B16=1,1,0))</f>
        <v/>
      </c>
      <c r="F17">
        <f>MAX(F16,IF($B16=2,1,0))</f>
        <v/>
      </c>
      <c r="G17">
        <f>MAX(G16,IF($B16=3,1,0))</f>
        <v/>
      </c>
      <c r="H17">
        <f>MAX(H16,IF($B16=4,1,0))</f>
        <v/>
      </c>
      <c r="I17">
        <f>MAX(I16,IF($B16=5,1,0))</f>
        <v/>
      </c>
      <c r="J17">
        <f>MAX(J16,IF($B16=6,1,0))</f>
        <v/>
      </c>
      <c r="K17">
        <f>MAX(K16,IF($B16=7,1,0))</f>
        <v/>
      </c>
      <c r="L17">
        <f>MAX(L16,IF($B16=8,1,0))</f>
        <v/>
      </c>
      <c r="M17">
        <f>MAX(M16,IF($B16=9,1,0))</f>
        <v/>
      </c>
      <c r="N17">
        <f>MAX(N16,IF($B16=10,1,0))</f>
        <v/>
      </c>
      <c r="O17">
        <f>MAX(O16,IF($B16=11,1,0))</f>
        <v/>
      </c>
      <c r="P17">
        <f>MAX(P16,IF($B16=12,1,0))</f>
        <v/>
      </c>
      <c r="Q17">
        <f>MAX(Q16,IF($B16=13,1,0))</f>
        <v/>
      </c>
      <c r="R17">
        <f>MAX(R16,IF($B16=14,1,0))</f>
        <v/>
      </c>
      <c r="S17">
        <f>MAX(S16,IF($B16=15,1,0))</f>
        <v/>
      </c>
      <c r="T17">
        <f>MAX(T16,IF($B16=16,1,0))</f>
        <v/>
      </c>
      <c r="U17">
        <f>MAX(U16,IF($B16=17,1,0))</f>
        <v/>
      </c>
      <c r="V17">
        <f>MAX(V16,IF($B16=18,1,0))</f>
        <v/>
      </c>
      <c r="W17">
        <f>MAX(W16,IF($B16=19,1,0))</f>
        <v/>
      </c>
      <c r="X17">
        <f>MAX(X16,IF($B16=20,1,0))</f>
        <v/>
      </c>
      <c r="Y17">
        <f>MAX(Y16,IF($B16=21,1,0))</f>
        <v/>
      </c>
      <c r="Z17">
        <f>MAX(Z16,IF($B16=22,1,0))</f>
        <v/>
      </c>
      <c r="AA17">
        <f>MAX(AA16,IF($B16=23,1,0))</f>
        <v/>
      </c>
      <c r="AB17">
        <f>MAX(AB16,IF($B16=24,1,0))</f>
        <v/>
      </c>
      <c r="AC17">
        <f>MAX(AC16,IF($B16=25,1,0))</f>
        <v/>
      </c>
      <c r="AD17">
        <f>MAX(AD16,IF($B16=26,1,0))</f>
        <v/>
      </c>
      <c r="AE17">
        <f>MAX(AE16,IF($B16=27,1,0))</f>
        <v/>
      </c>
      <c r="AF17">
        <f>MAX(AF16,IF($B16=28,1,0))</f>
        <v/>
      </c>
      <c r="AG17">
        <f>MAX(AG16,IF($B16=29,1,0))</f>
        <v/>
      </c>
      <c r="AH17">
        <f>MAX(AH16,IF($B16=30,1,0))</f>
        <v/>
      </c>
      <c r="AI17">
        <f>MAX(AI16,IF($B16=31,1,0))</f>
        <v/>
      </c>
      <c r="AJ17">
        <f>MAX(AJ16,IF($B16=32,1,0))</f>
        <v/>
      </c>
      <c r="AK17">
        <f>MAX(AK16,IF($B16=33,1,0))</f>
        <v/>
      </c>
      <c r="AL17">
        <f>MAX(AL16,IF($B16=34,1,0))</f>
        <v/>
      </c>
      <c r="AM17">
        <f>MAX(AM16,IF($B16=35,1,0))</f>
        <v/>
      </c>
      <c r="AN17">
        <f>MAX(AN16,IF($B16=36,1,0))</f>
        <v/>
      </c>
      <c r="AO17">
        <f>MAX(AO16,IF($B16=37,1,0))</f>
        <v/>
      </c>
      <c r="AP17">
        <f>MAX(AP16,IF($B16=38,1,0))</f>
        <v/>
      </c>
      <c r="AQ17">
        <f>MAX(AQ16,IF($B16=39,1,0))</f>
        <v/>
      </c>
      <c r="AR17">
        <f>MAX(AR16,IF($B16=40,1,0))</f>
        <v/>
      </c>
      <c r="AS17">
        <f>MAX(AS16,IF($B16=41,1,0))</f>
        <v/>
      </c>
      <c r="AT17">
        <f>MAX(AT16,IF($B16=42,1,0))</f>
        <v/>
      </c>
      <c r="AU17">
        <f>MAX(AU16,IF($B16=43,1,0))</f>
        <v/>
      </c>
      <c r="AV17">
        <f>MAX(AV16,IF($B16=44,1,0))</f>
        <v/>
      </c>
      <c r="AW17">
        <f>MAX(AW16,IF($B16=45,1,0))</f>
        <v/>
      </c>
      <c r="AY17">
        <f>IF(E17=1,1000000,SUMPRODUCT('計算A'!$D$60:$DS$60,$CS17:$HH17)*1000+1)</f>
        <v/>
      </c>
      <c r="AZ17">
        <f>IF(F17=1,1000000,SUMPRODUCT('計算A'!$D$61:$DS$61,$CS17:$HH17)*1000+2)</f>
        <v/>
      </c>
      <c r="BA17">
        <f>IF(G17=1,1000000,SUMPRODUCT('計算A'!$D$62:$DS$62,$CS17:$HH17)*1000+3)</f>
        <v/>
      </c>
      <c r="BB17">
        <f>IF(H17=1,1000000,SUMPRODUCT('計算A'!$D$63:$DS$63,$CS17:$HH17)*1000+4)</f>
        <v/>
      </c>
      <c r="BC17">
        <f>IF(I17=1,1000000,SUMPRODUCT('計算A'!$D$64:$DS$64,$CS17:$HH17)*1000+5)</f>
        <v/>
      </c>
      <c r="BD17">
        <f>IF(J17=1,1000000,SUMPRODUCT('計算A'!$D$65:$DS$65,$CS17:$HH17)*1000+6)</f>
        <v/>
      </c>
      <c r="BE17">
        <f>IF(K17=1,1000000,SUMPRODUCT('計算A'!$D$66:$DS$66,$CS17:$HH17)*1000+7)</f>
        <v/>
      </c>
      <c r="BF17">
        <f>IF(L17=1,1000000,SUMPRODUCT('計算A'!$D$67:$DS$67,$CS17:$HH17)*1000+8)</f>
        <v/>
      </c>
      <c r="BG17">
        <f>IF(M17=1,1000000,SUMPRODUCT('計算A'!$D$68:$DS$68,$CS17:$HH17)*1000+9)</f>
        <v/>
      </c>
      <c r="BH17">
        <f>IF(N17=1,1000000,SUMPRODUCT('計算A'!$D$69:$DS$69,$CS17:$HH17)*1000+10)</f>
        <v/>
      </c>
      <c r="BI17">
        <f>IF(O17=1,1000000,SUMPRODUCT('計算A'!$D$70:$DS$70,$CS17:$HH17)*1000+11)</f>
        <v/>
      </c>
      <c r="BJ17">
        <f>IF(P17=1,1000000,SUMPRODUCT('計算A'!$D$71:$DS$71,$CS17:$HH17)*1000+12)</f>
        <v/>
      </c>
      <c r="BK17">
        <f>IF(Q17=1,1000000,SUMPRODUCT('計算A'!$D$72:$DS$72,$CS17:$HH17)*1000+13)</f>
        <v/>
      </c>
      <c r="BL17">
        <f>IF(R17=1,1000000,SUMPRODUCT('計算A'!$D$73:$DS$73,$CS17:$HH17)*1000+14)</f>
        <v/>
      </c>
      <c r="BM17">
        <f>IF(S17=1,1000000,SUMPRODUCT('計算A'!$D$74:$DS$74,$CS17:$HH17)*1000+15)</f>
        <v/>
      </c>
      <c r="BN17">
        <f>IF(T17=1,1000000,SUMPRODUCT('計算A'!$D$75:$DS$75,$CS17:$HH17)*1000+16)</f>
        <v/>
      </c>
      <c r="BO17">
        <f>IF(U17=1,1000000,SUMPRODUCT('計算A'!$D$76:$DS$76,$CS17:$HH17)*1000+17)</f>
        <v/>
      </c>
      <c r="BP17">
        <f>IF(V17=1,1000000,SUMPRODUCT('計算A'!$D$77:$DS$77,$CS17:$HH17)*1000+18)</f>
        <v/>
      </c>
      <c r="BQ17">
        <f>IF(W17=1,1000000,SUMPRODUCT('計算A'!$D$78:$DS$78,$CS17:$HH17)*1000+19)</f>
        <v/>
      </c>
      <c r="BR17">
        <f>IF(X17=1,1000000,SUMPRODUCT('計算A'!$D$79:$DS$79,$CS17:$HH17)*1000+20)</f>
        <v/>
      </c>
      <c r="BS17">
        <f>IF(Y17=1,1000000,SUMPRODUCT('計算A'!$D$80:$DS$80,$CS17:$HH17)*1000+21)</f>
        <v/>
      </c>
      <c r="BT17">
        <f>IF(Z17=1,1000000,SUMPRODUCT('計算A'!$D$81:$DS$81,$CS17:$HH17)*1000+22)</f>
        <v/>
      </c>
      <c r="BU17">
        <f>IF(AA17=1,1000000,SUMPRODUCT('計算A'!$D$82:$DS$82,$CS17:$HH17)*1000+23)</f>
        <v/>
      </c>
      <c r="BV17">
        <f>IF(AB17=1,1000000,SUMPRODUCT('計算A'!$D$83:$DS$83,$CS17:$HH17)*1000+24)</f>
        <v/>
      </c>
      <c r="BW17">
        <f>IF(AC17=1,1000000,SUMPRODUCT('計算A'!$D$84:$DS$84,$CS17:$HH17)*1000+25)</f>
        <v/>
      </c>
      <c r="BX17">
        <f>IF(AD17=1,1000000,SUMPRODUCT('計算A'!$D$85:$DS$85,$CS17:$HH17)*1000+26)</f>
        <v/>
      </c>
      <c r="BY17">
        <f>IF(AE17=1,1000000,SUMPRODUCT('計算A'!$D$86:$DS$86,$CS17:$HH17)*1000+27)</f>
        <v/>
      </c>
      <c r="BZ17">
        <f>IF(AF17=1,1000000,SUMPRODUCT('計算A'!$D$87:$DS$87,$CS17:$HH17)*1000+28)</f>
        <v/>
      </c>
      <c r="CA17">
        <f>IF(AG17=1,1000000,SUMPRODUCT('計算A'!$D$88:$DS$88,$CS17:$HH17)*1000+29)</f>
        <v/>
      </c>
      <c r="CB17">
        <f>IF(AH17=1,1000000,SUMPRODUCT('計算A'!$D$89:$DS$89,$CS17:$HH17)*1000+30)</f>
        <v/>
      </c>
      <c r="CC17">
        <f>IF(AI17=1,1000000,SUMPRODUCT('計算A'!$D$90:$DS$90,$CS17:$HH17)*1000+31)</f>
        <v/>
      </c>
      <c r="CD17">
        <f>IF(AJ17=1,1000000,SUMPRODUCT('計算A'!$D$91:$DS$91,$CS17:$HH17)*1000+32)</f>
        <v/>
      </c>
      <c r="CE17">
        <f>IF(AK17=1,1000000,SUMPRODUCT('計算A'!$D$92:$DS$92,$CS17:$HH17)*1000+33)</f>
        <v/>
      </c>
      <c r="CF17">
        <f>IF(AL17=1,1000000,SUMPRODUCT('計算A'!$D$93:$DS$93,$CS17:$HH17)*1000+34)</f>
        <v/>
      </c>
      <c r="CG17">
        <f>IF(AM17=1,1000000,SUMPRODUCT('計算A'!$D$94:$DS$94,$CS17:$HH17)*1000+35)</f>
        <v/>
      </c>
      <c r="CH17">
        <f>IF(AN17=1,1000000,SUMPRODUCT('計算A'!$D$95:$DS$95,$CS17:$HH17)*1000+36)</f>
        <v/>
      </c>
      <c r="CI17">
        <f>IF(AO17=1,1000000,SUMPRODUCT('計算A'!$D$96:$DS$96,$CS17:$HH17)*1000+37)</f>
        <v/>
      </c>
      <c r="CJ17">
        <f>IF(AP17=1,1000000,SUMPRODUCT('計算A'!$D$97:$DS$97,$CS17:$HH17)*1000+38)</f>
        <v/>
      </c>
      <c r="CK17">
        <f>IF(AQ17=1,1000000,SUMPRODUCT('計算A'!$D$98:$DS$98,$CS17:$HH17)*1000+39)</f>
        <v/>
      </c>
      <c r="CL17">
        <f>IF(AR17=1,1000000,SUMPRODUCT('計算A'!$D$99:$DS$99,$CS17:$HH17)*1000+40)</f>
        <v/>
      </c>
      <c r="CM17">
        <f>IF(AS17=1,1000000,SUMPRODUCT('計算A'!$D$100:$DS$100,$CS17:$HH17)*1000+41)</f>
        <v/>
      </c>
      <c r="CN17">
        <f>IF(AT17=1,1000000,SUMPRODUCT('計算A'!$D$101:$DS$101,$CS17:$HH17)*1000+42)</f>
        <v/>
      </c>
      <c r="CO17">
        <f>IF(AU17=1,1000000,SUMPRODUCT('計算A'!$D$102:$DS$102,$CS17:$HH17)*1000+43)</f>
        <v/>
      </c>
      <c r="CP17">
        <f>IF(AV17=1,1000000,SUMPRODUCT('計算A'!$D$103:$DS$103,$CS17:$HH17)*1000+44)</f>
        <v/>
      </c>
      <c r="CQ17">
        <f>IF(AW17=1,1000000,SUMPRODUCT('計算A'!$D$104:$DS$104,$CS17:$HH17)*1000+45)</f>
        <v/>
      </c>
      <c r="CS17">
        <f>CS16*IF($C16=1,0,1)</f>
        <v/>
      </c>
      <c r="CT17">
        <f>CT16*IF($C16=2,0,1)</f>
        <v/>
      </c>
      <c r="CU17">
        <f>CU16*IF($C16=3,0,1)</f>
        <v/>
      </c>
      <c r="CV17">
        <f>CV16*IF($C16=4,0,1)</f>
        <v/>
      </c>
      <c r="CW17">
        <f>CW16*IF($C16=5,0,1)</f>
        <v/>
      </c>
      <c r="CX17">
        <f>CX16*IF($C16=6,0,1)</f>
        <v/>
      </c>
      <c r="CY17">
        <f>CY16*IF($C16=7,0,1)</f>
        <v/>
      </c>
      <c r="CZ17">
        <f>CZ16*IF($C16=8,0,1)</f>
        <v/>
      </c>
      <c r="DA17">
        <f>DA16*IF($C16=9,0,1)</f>
        <v/>
      </c>
      <c r="DB17">
        <f>DB16*IF($C16=10,0,1)</f>
        <v/>
      </c>
      <c r="DC17">
        <f>DC16*IF($C16=11,0,1)</f>
        <v/>
      </c>
      <c r="DD17">
        <f>DD16*IF($C16=12,0,1)</f>
        <v/>
      </c>
      <c r="DE17">
        <f>DE16*IF($C16=13,0,1)</f>
        <v/>
      </c>
      <c r="DF17">
        <f>DF16*IF($C16=14,0,1)</f>
        <v/>
      </c>
      <c r="DG17">
        <f>DG16*IF($C16=15,0,1)</f>
        <v/>
      </c>
      <c r="DH17">
        <f>DH16*IF($C16=16,0,1)</f>
        <v/>
      </c>
      <c r="DI17">
        <f>DI16*IF($C16=17,0,1)</f>
        <v/>
      </c>
      <c r="DJ17">
        <f>DJ16*IF($C16=18,0,1)</f>
        <v/>
      </c>
      <c r="DK17">
        <f>DK16*IF($C16=19,0,1)</f>
        <v/>
      </c>
      <c r="DL17">
        <f>DL16*IF($C16=20,0,1)</f>
        <v/>
      </c>
      <c r="DM17">
        <f>DM16*IF($C16=21,0,1)</f>
        <v/>
      </c>
      <c r="DN17">
        <f>DN16*IF($C16=22,0,1)</f>
        <v/>
      </c>
      <c r="DO17">
        <f>DO16*IF($C16=23,0,1)</f>
        <v/>
      </c>
      <c r="DP17">
        <f>DP16*IF($C16=24,0,1)</f>
        <v/>
      </c>
      <c r="DQ17">
        <f>DQ16*IF($C16=25,0,1)</f>
        <v/>
      </c>
      <c r="DR17">
        <f>DR16*IF($C16=26,0,1)</f>
        <v/>
      </c>
      <c r="DS17">
        <f>DS16*IF($C16=27,0,1)</f>
        <v/>
      </c>
      <c r="DT17">
        <f>DT16*IF($C16=28,0,1)</f>
        <v/>
      </c>
      <c r="DU17">
        <f>DU16*IF($C16=29,0,1)</f>
        <v/>
      </c>
      <c r="DV17">
        <f>DV16*IF($C16=30,0,1)</f>
        <v/>
      </c>
      <c r="DW17">
        <f>DW16*IF($C16=31,0,1)</f>
        <v/>
      </c>
      <c r="DX17">
        <f>DX16*IF($C16=32,0,1)</f>
        <v/>
      </c>
      <c r="DY17">
        <f>DY16*IF($C16=33,0,1)</f>
        <v/>
      </c>
      <c r="DZ17">
        <f>DZ16*IF($C16=34,0,1)</f>
        <v/>
      </c>
      <c r="EA17">
        <f>EA16*IF($C16=35,0,1)</f>
        <v/>
      </c>
      <c r="EB17">
        <f>EB16*IF($C16=36,0,1)</f>
        <v/>
      </c>
      <c r="EC17">
        <f>EC16*IF($C16=37,0,1)</f>
        <v/>
      </c>
      <c r="ED17">
        <f>ED16*IF($C16=38,0,1)</f>
        <v/>
      </c>
      <c r="EE17">
        <f>EE16*IF($C16=39,0,1)</f>
        <v/>
      </c>
      <c r="EF17">
        <f>EF16*IF($C16=40,0,1)</f>
        <v/>
      </c>
      <c r="EG17">
        <f>EG16*IF($C16=41,0,1)</f>
        <v/>
      </c>
      <c r="EH17">
        <f>EH16*IF($C16=42,0,1)</f>
        <v/>
      </c>
      <c r="EI17">
        <f>EI16*IF($C16=43,0,1)</f>
        <v/>
      </c>
      <c r="EJ17">
        <f>EJ16*IF($C16=44,0,1)</f>
        <v/>
      </c>
      <c r="EK17">
        <f>EK16*IF($C16=45,0,1)</f>
        <v/>
      </c>
      <c r="EL17">
        <f>EL16*IF($C16=46,0,1)</f>
        <v/>
      </c>
      <c r="EM17">
        <f>EM16*IF($C16=47,0,1)</f>
        <v/>
      </c>
      <c r="EN17">
        <f>EN16*IF($C16=48,0,1)</f>
        <v/>
      </c>
      <c r="EO17">
        <f>EO16*IF($C16=49,0,1)</f>
        <v/>
      </c>
      <c r="EP17">
        <f>EP16*IF($C16=50,0,1)</f>
        <v/>
      </c>
      <c r="EQ17">
        <f>EQ16*IF($C16=51,0,1)</f>
        <v/>
      </c>
      <c r="ER17">
        <f>ER16*IF($C16=52,0,1)</f>
        <v/>
      </c>
      <c r="ES17">
        <f>ES16*IF($C16=53,0,1)</f>
        <v/>
      </c>
      <c r="ET17">
        <f>ET16*IF($C16=54,0,1)</f>
        <v/>
      </c>
      <c r="EU17">
        <f>EU16*IF($C16=55,0,1)</f>
        <v/>
      </c>
      <c r="EV17">
        <f>EV16*IF($C16=56,0,1)</f>
        <v/>
      </c>
      <c r="EW17">
        <f>EW16*IF($C16=57,0,1)</f>
        <v/>
      </c>
      <c r="EX17">
        <f>EX16*IF($C16=58,0,1)</f>
        <v/>
      </c>
      <c r="EY17">
        <f>EY16*IF($C16=59,0,1)</f>
        <v/>
      </c>
      <c r="EZ17">
        <f>EZ16*IF($C16=60,0,1)</f>
        <v/>
      </c>
      <c r="FA17">
        <f>FA16*IF($C16=61,0,1)</f>
        <v/>
      </c>
      <c r="FB17">
        <f>FB16*IF($C16=62,0,1)</f>
        <v/>
      </c>
      <c r="FC17">
        <f>FC16*IF($C16=63,0,1)</f>
        <v/>
      </c>
      <c r="FD17">
        <f>FD16*IF($C16=64,0,1)</f>
        <v/>
      </c>
      <c r="FE17">
        <f>FE16*IF($C16=65,0,1)</f>
        <v/>
      </c>
      <c r="FF17">
        <f>FF16*IF($C16=66,0,1)</f>
        <v/>
      </c>
      <c r="FG17">
        <f>FG16*IF($C16=67,0,1)</f>
        <v/>
      </c>
      <c r="FH17">
        <f>FH16*IF($C16=68,0,1)</f>
        <v/>
      </c>
      <c r="FI17">
        <f>FI16*IF($C16=69,0,1)</f>
        <v/>
      </c>
      <c r="FJ17">
        <f>FJ16*IF($C16=70,0,1)</f>
        <v/>
      </c>
      <c r="FK17">
        <f>FK16*IF($C16=71,0,1)</f>
        <v/>
      </c>
      <c r="FL17">
        <f>FL16*IF($C16=72,0,1)</f>
        <v/>
      </c>
      <c r="FM17">
        <f>FM16*IF($C16=73,0,1)</f>
        <v/>
      </c>
      <c r="FN17">
        <f>FN16*IF($C16=74,0,1)</f>
        <v/>
      </c>
      <c r="FO17">
        <f>FO16*IF($C16=75,0,1)</f>
        <v/>
      </c>
      <c r="FP17">
        <f>FP16*IF($C16=76,0,1)</f>
        <v/>
      </c>
      <c r="FQ17">
        <f>FQ16*IF($C16=77,0,1)</f>
        <v/>
      </c>
      <c r="FR17">
        <f>FR16*IF($C16=78,0,1)</f>
        <v/>
      </c>
      <c r="FS17">
        <f>FS16*IF($C16=79,0,1)</f>
        <v/>
      </c>
      <c r="FT17">
        <f>FT16*IF($C16=80,0,1)</f>
        <v/>
      </c>
      <c r="FU17">
        <f>FU16*IF($C16=81,0,1)</f>
        <v/>
      </c>
      <c r="FV17">
        <f>FV16*IF($C16=82,0,1)</f>
        <v/>
      </c>
      <c r="FW17">
        <f>FW16*IF($C16=83,0,1)</f>
        <v/>
      </c>
      <c r="FX17">
        <f>FX16*IF($C16=84,0,1)</f>
        <v/>
      </c>
      <c r="FY17">
        <f>FY16*IF($C16=85,0,1)</f>
        <v/>
      </c>
      <c r="FZ17">
        <f>FZ16*IF($C16=86,0,1)</f>
        <v/>
      </c>
      <c r="GA17">
        <f>GA16*IF($C16=87,0,1)</f>
        <v/>
      </c>
      <c r="GB17">
        <f>GB16*IF($C16=88,0,1)</f>
        <v/>
      </c>
      <c r="GC17">
        <f>GC16*IF($C16=89,0,1)</f>
        <v/>
      </c>
      <c r="GD17">
        <f>GD16*IF($C16=90,0,1)</f>
        <v/>
      </c>
      <c r="GE17">
        <f>GE16*IF($C16=91,0,1)</f>
        <v/>
      </c>
      <c r="GF17">
        <f>GF16*IF($C16=92,0,1)</f>
        <v/>
      </c>
      <c r="GG17">
        <f>GG16*IF($C16=93,0,1)</f>
        <v/>
      </c>
      <c r="GH17">
        <f>GH16*IF($C16=94,0,1)</f>
        <v/>
      </c>
      <c r="GI17">
        <f>GI16*IF($C16=95,0,1)</f>
        <v/>
      </c>
      <c r="GJ17">
        <f>GJ16*IF($C16=96,0,1)</f>
        <v/>
      </c>
      <c r="GK17">
        <f>GK16*IF($C16=97,0,1)</f>
        <v/>
      </c>
      <c r="GL17">
        <f>GL16*IF($C16=98,0,1)</f>
        <v/>
      </c>
      <c r="GM17">
        <f>GM16*IF($C16=99,0,1)</f>
        <v/>
      </c>
      <c r="GN17">
        <f>GN16*IF($C16=100,0,1)</f>
        <v/>
      </c>
      <c r="GO17">
        <f>GO16*IF($C16=101,0,1)</f>
        <v/>
      </c>
      <c r="GP17">
        <f>GP16*IF($C16=102,0,1)</f>
        <v/>
      </c>
      <c r="GQ17">
        <f>GQ16*IF($C16=103,0,1)</f>
        <v/>
      </c>
      <c r="GR17">
        <f>GR16*IF($C16=104,0,1)</f>
        <v/>
      </c>
      <c r="GS17">
        <f>GS16*IF($C16=105,0,1)</f>
        <v/>
      </c>
      <c r="GT17">
        <f>GT16*IF($C16=106,0,1)</f>
        <v/>
      </c>
      <c r="GU17">
        <f>GU16*IF($C16=107,0,1)</f>
        <v/>
      </c>
      <c r="GV17">
        <f>GV16*IF($C16=108,0,1)</f>
        <v/>
      </c>
      <c r="GW17">
        <f>GW16*IF($C16=109,0,1)</f>
        <v/>
      </c>
      <c r="GX17">
        <f>GX16*IF($C16=110,0,1)</f>
        <v/>
      </c>
      <c r="GY17">
        <f>GY16*IF($C16=111,0,1)</f>
        <v/>
      </c>
      <c r="GZ17">
        <f>GZ16*IF($C16=112,0,1)</f>
        <v/>
      </c>
      <c r="HA17">
        <f>HA16*IF($C16=113,0,1)</f>
        <v/>
      </c>
      <c r="HB17">
        <f>HB16*IF($C16=114,0,1)</f>
        <v/>
      </c>
      <c r="HC17">
        <f>HC16*IF($C16=115,0,1)</f>
        <v/>
      </c>
      <c r="HD17">
        <f>HD16*IF($C16=116,0,1)</f>
        <v/>
      </c>
      <c r="HE17">
        <f>HE16*IF($C16=117,0,1)</f>
        <v/>
      </c>
      <c r="HF17">
        <f>HF16*IF($C16=118,0,1)</f>
        <v/>
      </c>
      <c r="HG17">
        <f>HG16*IF($C16=119,0,1)</f>
        <v/>
      </c>
      <c r="HH17">
        <f>HH16*IF($C16=120,0,1)</f>
        <v/>
      </c>
      <c r="HJ17">
        <f>IF($B17=0,1000000,IF(INDEX('計算A'!$D$60:$DS$104,$B17,1)*CS17=1,'計算A'!D$6,1000000))</f>
        <v/>
      </c>
      <c r="HK17">
        <f>IF($B17=0,1000000,IF(INDEX('計算A'!$D$60:$DS$104,$B17,2)*CT17=1,'計算A'!E$6,1000000))</f>
        <v/>
      </c>
      <c r="HL17">
        <f>IF($B17=0,1000000,IF(INDEX('計算A'!$D$60:$DS$104,$B17,3)*CU17=1,'計算A'!F$6,1000000))</f>
        <v/>
      </c>
      <c r="HM17">
        <f>IF($B17=0,1000000,IF(INDEX('計算A'!$D$60:$DS$104,$B17,4)*CV17=1,'計算A'!G$6,1000000))</f>
        <v/>
      </c>
      <c r="HN17">
        <f>IF($B17=0,1000000,IF(INDEX('計算A'!$D$60:$DS$104,$B17,5)*CW17=1,'計算A'!H$6,1000000))</f>
        <v/>
      </c>
      <c r="HO17">
        <f>IF($B17=0,1000000,IF(INDEX('計算A'!$D$60:$DS$104,$B17,6)*CX17=1,'計算A'!I$6,1000000))</f>
        <v/>
      </c>
      <c r="HP17">
        <f>IF($B17=0,1000000,IF(INDEX('計算A'!$D$60:$DS$104,$B17,7)*CY17=1,'計算A'!J$6,1000000))</f>
        <v/>
      </c>
      <c r="HQ17">
        <f>IF($B17=0,1000000,IF(INDEX('計算A'!$D$60:$DS$104,$B17,8)*CZ17=1,'計算A'!K$6,1000000))</f>
        <v/>
      </c>
      <c r="HR17">
        <f>IF($B17=0,1000000,IF(INDEX('計算A'!$D$60:$DS$104,$B17,9)*DA17=1,'計算A'!L$6,1000000))</f>
        <v/>
      </c>
      <c r="HS17">
        <f>IF($B17=0,1000000,IF(INDEX('計算A'!$D$60:$DS$104,$B17,10)*DB17=1,'計算A'!M$6,1000000))</f>
        <v/>
      </c>
      <c r="HT17">
        <f>IF($B17=0,1000000,IF(INDEX('計算A'!$D$60:$DS$104,$B17,11)*DC17=1,'計算A'!N$6,1000000))</f>
        <v/>
      </c>
      <c r="HU17">
        <f>IF($B17=0,1000000,IF(INDEX('計算A'!$D$60:$DS$104,$B17,12)*DD17=1,'計算A'!O$6,1000000))</f>
        <v/>
      </c>
      <c r="HV17">
        <f>IF($B17=0,1000000,IF(INDEX('計算A'!$D$60:$DS$104,$B17,13)*DE17=1,'計算A'!P$6,1000000))</f>
        <v/>
      </c>
      <c r="HW17">
        <f>IF($B17=0,1000000,IF(INDEX('計算A'!$D$60:$DS$104,$B17,14)*DF17=1,'計算A'!Q$6,1000000))</f>
        <v/>
      </c>
      <c r="HX17">
        <f>IF($B17=0,1000000,IF(INDEX('計算A'!$D$60:$DS$104,$B17,15)*DG17=1,'計算A'!R$6,1000000))</f>
        <v/>
      </c>
      <c r="HY17">
        <f>IF($B17=0,1000000,IF(INDEX('計算A'!$D$60:$DS$104,$B17,16)*DH17=1,'計算A'!S$6,1000000))</f>
        <v/>
      </c>
      <c r="HZ17">
        <f>IF($B17=0,1000000,IF(INDEX('計算A'!$D$60:$DS$104,$B17,17)*DI17=1,'計算A'!T$6,1000000))</f>
        <v/>
      </c>
      <c r="IA17">
        <f>IF($B17=0,1000000,IF(INDEX('計算A'!$D$60:$DS$104,$B17,18)*DJ17=1,'計算A'!U$6,1000000))</f>
        <v/>
      </c>
      <c r="IB17">
        <f>IF($B17=0,1000000,IF(INDEX('計算A'!$D$60:$DS$104,$B17,19)*DK17=1,'計算A'!V$6,1000000))</f>
        <v/>
      </c>
      <c r="IC17">
        <f>IF($B17=0,1000000,IF(INDEX('計算A'!$D$60:$DS$104,$B17,20)*DL17=1,'計算A'!W$6,1000000))</f>
        <v/>
      </c>
      <c r="ID17">
        <f>IF($B17=0,1000000,IF(INDEX('計算A'!$D$60:$DS$104,$B17,21)*DM17=1,'計算A'!X$6,1000000))</f>
        <v/>
      </c>
      <c r="IE17">
        <f>IF($B17=0,1000000,IF(INDEX('計算A'!$D$60:$DS$104,$B17,22)*DN17=1,'計算A'!Y$6,1000000))</f>
        <v/>
      </c>
      <c r="IF17">
        <f>IF($B17=0,1000000,IF(INDEX('計算A'!$D$60:$DS$104,$B17,23)*DO17=1,'計算A'!Z$6,1000000))</f>
        <v/>
      </c>
      <c r="IG17">
        <f>IF($B17=0,1000000,IF(INDEX('計算A'!$D$60:$DS$104,$B17,24)*DP17=1,'計算A'!AA$6,1000000))</f>
        <v/>
      </c>
      <c r="IH17">
        <f>IF($B17=0,1000000,IF(INDEX('計算A'!$D$60:$DS$104,$B17,25)*DQ17=1,'計算A'!AB$6,1000000))</f>
        <v/>
      </c>
      <c r="II17">
        <f>IF($B17=0,1000000,IF(INDEX('計算A'!$D$60:$DS$104,$B17,26)*DR17=1,'計算A'!AC$6,1000000))</f>
        <v/>
      </c>
      <c r="IJ17">
        <f>IF($B17=0,1000000,IF(INDEX('計算A'!$D$60:$DS$104,$B17,27)*DS17=1,'計算A'!AD$6,1000000))</f>
        <v/>
      </c>
      <c r="IK17">
        <f>IF($B17=0,1000000,IF(INDEX('計算A'!$D$60:$DS$104,$B17,28)*DT17=1,'計算A'!AE$6,1000000))</f>
        <v/>
      </c>
      <c r="IL17">
        <f>IF($B17=0,1000000,IF(INDEX('計算A'!$D$60:$DS$104,$B17,29)*DU17=1,'計算A'!AF$6,1000000))</f>
        <v/>
      </c>
      <c r="IM17">
        <f>IF($B17=0,1000000,IF(INDEX('計算A'!$D$60:$DS$104,$B17,30)*DV17=1,'計算A'!AG$6,1000000))</f>
        <v/>
      </c>
      <c r="IN17">
        <f>IF($B17=0,1000000,IF(INDEX('計算A'!$D$60:$DS$104,$B17,31)*DW17=1,'計算A'!AH$6,1000000))</f>
        <v/>
      </c>
      <c r="IO17">
        <f>IF($B17=0,1000000,IF(INDEX('計算A'!$D$60:$DS$104,$B17,32)*DX17=1,'計算A'!AI$6,1000000))</f>
        <v/>
      </c>
      <c r="IP17">
        <f>IF($B17=0,1000000,IF(INDEX('計算A'!$D$60:$DS$104,$B17,33)*DY17=1,'計算A'!AJ$6,1000000))</f>
        <v/>
      </c>
      <c r="IQ17">
        <f>IF($B17=0,1000000,IF(INDEX('計算A'!$D$60:$DS$104,$B17,34)*DZ17=1,'計算A'!AK$6,1000000))</f>
        <v/>
      </c>
      <c r="IR17">
        <f>IF($B17=0,1000000,IF(INDEX('計算A'!$D$60:$DS$104,$B17,35)*EA17=1,'計算A'!AL$6,1000000))</f>
        <v/>
      </c>
      <c r="IS17">
        <f>IF($B17=0,1000000,IF(INDEX('計算A'!$D$60:$DS$104,$B17,36)*EB17=1,'計算A'!AM$6,1000000))</f>
        <v/>
      </c>
      <c r="IT17">
        <f>IF($B17=0,1000000,IF(INDEX('計算A'!$D$60:$DS$104,$B17,37)*EC17=1,'計算A'!AN$6,1000000))</f>
        <v/>
      </c>
      <c r="IU17">
        <f>IF($B17=0,1000000,IF(INDEX('計算A'!$D$60:$DS$104,$B17,38)*ED17=1,'計算A'!AO$6,1000000))</f>
        <v/>
      </c>
      <c r="IV17">
        <f>IF($B17=0,1000000,IF(INDEX('計算A'!$D$60:$DS$104,$B17,39)*EE17=1,'計算A'!AP$6,1000000))</f>
        <v/>
      </c>
      <c r="IW17">
        <f>IF($B17=0,1000000,IF(INDEX('計算A'!$D$60:$DS$104,$B17,40)*EF17=1,'計算A'!AQ$6,1000000))</f>
        <v/>
      </c>
      <c r="IX17">
        <f>IF($B17=0,1000000,IF(INDEX('計算A'!$D$60:$DS$104,$B17,41)*EG17=1,'計算A'!AR$6,1000000))</f>
        <v/>
      </c>
      <c r="IY17">
        <f>IF($B17=0,1000000,IF(INDEX('計算A'!$D$60:$DS$104,$B17,42)*EH17=1,'計算A'!AS$6,1000000))</f>
        <v/>
      </c>
      <c r="IZ17">
        <f>IF($B17=0,1000000,IF(INDEX('計算A'!$D$60:$DS$104,$B17,43)*EI17=1,'計算A'!AT$6,1000000))</f>
        <v/>
      </c>
      <c r="JA17">
        <f>IF($B17=0,1000000,IF(INDEX('計算A'!$D$60:$DS$104,$B17,44)*EJ17=1,'計算A'!AU$6,1000000))</f>
        <v/>
      </c>
      <c r="JB17">
        <f>IF($B17=0,1000000,IF(INDEX('計算A'!$D$60:$DS$104,$B17,45)*EK17=1,'計算A'!AV$6,1000000))</f>
        <v/>
      </c>
      <c r="JC17">
        <f>IF($B17=0,1000000,IF(INDEX('計算A'!$D$60:$DS$104,$B17,46)*EL17=1,'計算A'!AW$6,1000000))</f>
        <v/>
      </c>
      <c r="JD17">
        <f>IF($B17=0,1000000,IF(INDEX('計算A'!$D$60:$DS$104,$B17,47)*EM17=1,'計算A'!AX$6,1000000))</f>
        <v/>
      </c>
      <c r="JE17">
        <f>IF($B17=0,1000000,IF(INDEX('計算A'!$D$60:$DS$104,$B17,48)*EN17=1,'計算A'!AY$6,1000000))</f>
        <v/>
      </c>
      <c r="JF17">
        <f>IF($B17=0,1000000,IF(INDEX('計算A'!$D$60:$DS$104,$B17,49)*EO17=1,'計算A'!AZ$6,1000000))</f>
        <v/>
      </c>
      <c r="JG17">
        <f>IF($B17=0,1000000,IF(INDEX('計算A'!$D$60:$DS$104,$B17,50)*EP17=1,'計算A'!BA$6,1000000))</f>
        <v/>
      </c>
      <c r="JH17">
        <f>IF($B17=0,1000000,IF(INDEX('計算A'!$D$60:$DS$104,$B17,51)*EQ17=1,'計算A'!BB$6,1000000))</f>
        <v/>
      </c>
      <c r="JI17">
        <f>IF($B17=0,1000000,IF(INDEX('計算A'!$D$60:$DS$104,$B17,52)*ER17=1,'計算A'!BC$6,1000000))</f>
        <v/>
      </c>
      <c r="JJ17">
        <f>IF($B17=0,1000000,IF(INDEX('計算A'!$D$60:$DS$104,$B17,53)*ES17=1,'計算A'!BD$6,1000000))</f>
        <v/>
      </c>
      <c r="JK17">
        <f>IF($B17=0,1000000,IF(INDEX('計算A'!$D$60:$DS$104,$B17,54)*ET17=1,'計算A'!BE$6,1000000))</f>
        <v/>
      </c>
      <c r="JL17">
        <f>IF($B17=0,1000000,IF(INDEX('計算A'!$D$60:$DS$104,$B17,55)*EU17=1,'計算A'!BF$6,1000000))</f>
        <v/>
      </c>
      <c r="JM17">
        <f>IF($B17=0,1000000,IF(INDEX('計算A'!$D$60:$DS$104,$B17,56)*EV17=1,'計算A'!BG$6,1000000))</f>
        <v/>
      </c>
      <c r="JN17">
        <f>IF($B17=0,1000000,IF(INDEX('計算A'!$D$60:$DS$104,$B17,57)*EW17=1,'計算A'!BH$6,1000000))</f>
        <v/>
      </c>
      <c r="JO17">
        <f>IF($B17=0,1000000,IF(INDEX('計算A'!$D$60:$DS$104,$B17,58)*EX17=1,'計算A'!BI$6,1000000))</f>
        <v/>
      </c>
      <c r="JP17">
        <f>IF($B17=0,1000000,IF(INDEX('計算A'!$D$60:$DS$104,$B17,59)*EY17=1,'計算A'!BJ$6,1000000))</f>
        <v/>
      </c>
      <c r="JQ17">
        <f>IF($B17=0,1000000,IF(INDEX('計算A'!$D$60:$DS$104,$B17,60)*EZ17=1,'計算A'!BK$6,1000000))</f>
        <v/>
      </c>
      <c r="JR17">
        <f>IF($B17=0,1000000,IF(INDEX('計算A'!$D$60:$DS$104,$B17,61)*FA17=1,'計算A'!BL$6,1000000))</f>
        <v/>
      </c>
      <c r="JS17">
        <f>IF($B17=0,1000000,IF(INDEX('計算A'!$D$60:$DS$104,$B17,62)*FB17=1,'計算A'!BM$6,1000000))</f>
        <v/>
      </c>
      <c r="JT17">
        <f>IF($B17=0,1000000,IF(INDEX('計算A'!$D$60:$DS$104,$B17,63)*FC17=1,'計算A'!BN$6,1000000))</f>
        <v/>
      </c>
      <c r="JU17">
        <f>IF($B17=0,1000000,IF(INDEX('計算A'!$D$60:$DS$104,$B17,64)*FD17=1,'計算A'!BO$6,1000000))</f>
        <v/>
      </c>
      <c r="JV17">
        <f>IF($B17=0,1000000,IF(INDEX('計算A'!$D$60:$DS$104,$B17,65)*FE17=1,'計算A'!BP$6,1000000))</f>
        <v/>
      </c>
      <c r="JW17">
        <f>IF($B17=0,1000000,IF(INDEX('計算A'!$D$60:$DS$104,$B17,66)*FF17=1,'計算A'!BQ$6,1000000))</f>
        <v/>
      </c>
      <c r="JX17">
        <f>IF($B17=0,1000000,IF(INDEX('計算A'!$D$60:$DS$104,$B17,67)*FG17=1,'計算A'!BR$6,1000000))</f>
        <v/>
      </c>
      <c r="JY17">
        <f>IF($B17=0,1000000,IF(INDEX('計算A'!$D$60:$DS$104,$B17,68)*FH17=1,'計算A'!BS$6,1000000))</f>
        <v/>
      </c>
      <c r="JZ17">
        <f>IF($B17=0,1000000,IF(INDEX('計算A'!$D$60:$DS$104,$B17,69)*FI17=1,'計算A'!BT$6,1000000))</f>
        <v/>
      </c>
      <c r="KA17">
        <f>IF($B17=0,1000000,IF(INDEX('計算A'!$D$60:$DS$104,$B17,70)*FJ17=1,'計算A'!BU$6,1000000))</f>
        <v/>
      </c>
      <c r="KB17">
        <f>IF($B17=0,1000000,IF(INDEX('計算A'!$D$60:$DS$104,$B17,71)*FK17=1,'計算A'!BV$6,1000000))</f>
        <v/>
      </c>
      <c r="KC17">
        <f>IF($B17=0,1000000,IF(INDEX('計算A'!$D$60:$DS$104,$B17,72)*FL17=1,'計算A'!BW$6,1000000))</f>
        <v/>
      </c>
      <c r="KD17">
        <f>IF($B17=0,1000000,IF(INDEX('計算A'!$D$60:$DS$104,$B17,73)*FM17=1,'計算A'!BX$6,1000000))</f>
        <v/>
      </c>
      <c r="KE17">
        <f>IF($B17=0,1000000,IF(INDEX('計算A'!$D$60:$DS$104,$B17,74)*FN17=1,'計算A'!BY$6,1000000))</f>
        <v/>
      </c>
      <c r="KF17">
        <f>IF($B17=0,1000000,IF(INDEX('計算A'!$D$60:$DS$104,$B17,75)*FO17=1,'計算A'!BZ$6,1000000))</f>
        <v/>
      </c>
      <c r="KG17">
        <f>IF($B17=0,1000000,IF(INDEX('計算A'!$D$60:$DS$104,$B17,76)*FP17=1,'計算A'!CA$6,1000000))</f>
        <v/>
      </c>
      <c r="KH17">
        <f>IF($B17=0,1000000,IF(INDEX('計算A'!$D$60:$DS$104,$B17,77)*FQ17=1,'計算A'!CB$6,1000000))</f>
        <v/>
      </c>
      <c r="KI17">
        <f>IF($B17=0,1000000,IF(INDEX('計算A'!$D$60:$DS$104,$B17,78)*FR17=1,'計算A'!CC$6,1000000))</f>
        <v/>
      </c>
      <c r="KJ17">
        <f>IF($B17=0,1000000,IF(INDEX('計算A'!$D$60:$DS$104,$B17,79)*FS17=1,'計算A'!CD$6,1000000))</f>
        <v/>
      </c>
      <c r="KK17">
        <f>IF($B17=0,1000000,IF(INDEX('計算A'!$D$60:$DS$104,$B17,80)*FT17=1,'計算A'!CE$6,1000000))</f>
        <v/>
      </c>
      <c r="KL17">
        <f>IF($B17=0,1000000,IF(INDEX('計算A'!$D$60:$DS$104,$B17,81)*FU17=1,'計算A'!CF$6,1000000))</f>
        <v/>
      </c>
      <c r="KM17">
        <f>IF($B17=0,1000000,IF(INDEX('計算A'!$D$60:$DS$104,$B17,82)*FV17=1,'計算A'!CG$6,1000000))</f>
        <v/>
      </c>
      <c r="KN17">
        <f>IF($B17=0,1000000,IF(INDEX('計算A'!$D$60:$DS$104,$B17,83)*FW17=1,'計算A'!CH$6,1000000))</f>
        <v/>
      </c>
      <c r="KO17">
        <f>IF($B17=0,1000000,IF(INDEX('計算A'!$D$60:$DS$104,$B17,84)*FX17=1,'計算A'!CI$6,1000000))</f>
        <v/>
      </c>
      <c r="KP17">
        <f>IF($B17=0,1000000,IF(INDEX('計算A'!$D$60:$DS$104,$B17,85)*FY17=1,'計算A'!CJ$6,1000000))</f>
        <v/>
      </c>
      <c r="KQ17">
        <f>IF($B17=0,1000000,IF(INDEX('計算A'!$D$60:$DS$104,$B17,86)*FZ17=1,'計算A'!CK$6,1000000))</f>
        <v/>
      </c>
      <c r="KR17">
        <f>IF($B17=0,1000000,IF(INDEX('計算A'!$D$60:$DS$104,$B17,87)*GA17=1,'計算A'!CL$6,1000000))</f>
        <v/>
      </c>
      <c r="KS17">
        <f>IF($B17=0,1000000,IF(INDEX('計算A'!$D$60:$DS$104,$B17,88)*GB17=1,'計算A'!CM$6,1000000))</f>
        <v/>
      </c>
      <c r="KT17">
        <f>IF($B17=0,1000000,IF(INDEX('計算A'!$D$60:$DS$104,$B17,89)*GC17=1,'計算A'!CN$6,1000000))</f>
        <v/>
      </c>
      <c r="KU17">
        <f>IF($B17=0,1000000,IF(INDEX('計算A'!$D$60:$DS$104,$B17,90)*GD17=1,'計算A'!CO$6,1000000))</f>
        <v/>
      </c>
      <c r="KV17">
        <f>IF($B17=0,1000000,IF(INDEX('計算A'!$D$60:$DS$104,$B17,91)*GE17=1,'計算A'!CP$6,1000000))</f>
        <v/>
      </c>
      <c r="KW17">
        <f>IF($B17=0,1000000,IF(INDEX('計算A'!$D$60:$DS$104,$B17,92)*GF17=1,'計算A'!CQ$6,1000000))</f>
        <v/>
      </c>
      <c r="KX17">
        <f>IF($B17=0,1000000,IF(INDEX('計算A'!$D$60:$DS$104,$B17,93)*GG17=1,'計算A'!CR$6,1000000))</f>
        <v/>
      </c>
      <c r="KY17">
        <f>IF($B17=0,1000000,IF(INDEX('計算A'!$D$60:$DS$104,$B17,94)*GH17=1,'計算A'!CS$6,1000000))</f>
        <v/>
      </c>
      <c r="KZ17">
        <f>IF($B17=0,1000000,IF(INDEX('計算A'!$D$60:$DS$104,$B17,95)*GI17=1,'計算A'!CT$6,1000000))</f>
        <v/>
      </c>
      <c r="LA17">
        <f>IF($B17=0,1000000,IF(INDEX('計算A'!$D$60:$DS$104,$B17,96)*GJ17=1,'計算A'!CU$6,1000000))</f>
        <v/>
      </c>
      <c r="LB17">
        <f>IF($B17=0,1000000,IF(INDEX('計算A'!$D$60:$DS$104,$B17,97)*GK17=1,'計算A'!CV$6,1000000))</f>
        <v/>
      </c>
      <c r="LC17">
        <f>IF($B17=0,1000000,IF(INDEX('計算A'!$D$60:$DS$104,$B17,98)*GL17=1,'計算A'!CW$6,1000000))</f>
        <v/>
      </c>
      <c r="LD17">
        <f>IF($B17=0,1000000,IF(INDEX('計算A'!$D$60:$DS$104,$B17,99)*GM17=1,'計算A'!CX$6,1000000))</f>
        <v/>
      </c>
      <c r="LE17">
        <f>IF($B17=0,1000000,IF(INDEX('計算A'!$D$60:$DS$104,$B17,100)*GN17=1,'計算A'!CY$6,1000000))</f>
        <v/>
      </c>
      <c r="LF17">
        <f>IF($B17=0,1000000,IF(INDEX('計算A'!$D$60:$DS$104,$B17,101)*GO17=1,'計算A'!CZ$6,1000000))</f>
        <v/>
      </c>
      <c r="LG17">
        <f>IF($B17=0,1000000,IF(INDEX('計算A'!$D$60:$DS$104,$B17,102)*GP17=1,'計算A'!DA$6,1000000))</f>
        <v/>
      </c>
      <c r="LH17">
        <f>IF($B17=0,1000000,IF(INDEX('計算A'!$D$60:$DS$104,$B17,103)*GQ17=1,'計算A'!DB$6,1000000))</f>
        <v/>
      </c>
      <c r="LI17">
        <f>IF($B17=0,1000000,IF(INDEX('計算A'!$D$60:$DS$104,$B17,104)*GR17=1,'計算A'!DC$6,1000000))</f>
        <v/>
      </c>
      <c r="LJ17">
        <f>IF($B17=0,1000000,IF(INDEX('計算A'!$D$60:$DS$104,$B17,105)*GS17=1,'計算A'!DD$6,1000000))</f>
        <v/>
      </c>
      <c r="LK17">
        <f>IF($B17=0,1000000,IF(INDEX('計算A'!$D$60:$DS$104,$B17,106)*GT17=1,'計算A'!DE$6,1000000))</f>
        <v/>
      </c>
      <c r="LL17">
        <f>IF($B17=0,1000000,IF(INDEX('計算A'!$D$60:$DS$104,$B17,107)*GU17=1,'計算A'!DF$6,1000000))</f>
        <v/>
      </c>
      <c r="LM17">
        <f>IF($B17=0,1000000,IF(INDEX('計算A'!$D$60:$DS$104,$B17,108)*GV17=1,'計算A'!DG$6,1000000))</f>
        <v/>
      </c>
      <c r="LN17">
        <f>IF($B17=0,1000000,IF(INDEX('計算A'!$D$60:$DS$104,$B17,109)*GW17=1,'計算A'!DH$6,1000000))</f>
        <v/>
      </c>
      <c r="LO17">
        <f>IF($B17=0,1000000,IF(INDEX('計算A'!$D$60:$DS$104,$B17,110)*GX17=1,'計算A'!DI$6,1000000))</f>
        <v/>
      </c>
      <c r="LP17">
        <f>IF($B17=0,1000000,IF(INDEX('計算A'!$D$60:$DS$104,$B17,111)*GY17=1,'計算A'!DJ$6,1000000))</f>
        <v/>
      </c>
      <c r="LQ17">
        <f>IF($B17=0,1000000,IF(INDEX('計算A'!$D$60:$DS$104,$B17,112)*GZ17=1,'計算A'!DK$6,1000000))</f>
        <v/>
      </c>
      <c r="LR17">
        <f>IF($B17=0,1000000,IF(INDEX('計算A'!$D$60:$DS$104,$B17,113)*HA17=1,'計算A'!DL$6,1000000))</f>
        <v/>
      </c>
      <c r="LS17">
        <f>IF($B17=0,1000000,IF(INDEX('計算A'!$D$60:$DS$104,$B17,114)*HB17=1,'計算A'!DM$6,1000000))</f>
        <v/>
      </c>
      <c r="LT17">
        <f>IF($B17=0,1000000,IF(INDEX('計算A'!$D$60:$DS$104,$B17,115)*HC17=1,'計算A'!DN$6,1000000))</f>
        <v/>
      </c>
      <c r="LU17">
        <f>IF($B17=0,1000000,IF(INDEX('計算A'!$D$60:$DS$104,$B17,116)*HD17=1,'計算A'!DO$6,1000000))</f>
        <v/>
      </c>
      <c r="LV17">
        <f>IF($B17=0,1000000,IF(INDEX('計算A'!$D$60:$DS$104,$B17,117)*HE17=1,'計算A'!DP$6,1000000))</f>
        <v/>
      </c>
      <c r="LW17">
        <f>IF($B17=0,1000000,IF(INDEX('計算A'!$D$60:$DS$104,$B17,118)*HF17=1,'計算A'!DQ$6,1000000))</f>
        <v/>
      </c>
      <c r="LX17">
        <f>IF($B17=0,1000000,IF(INDEX('計算A'!$D$60:$DS$104,$B17,119)*HG17=1,'計算A'!DR$6,1000000))</f>
        <v/>
      </c>
      <c r="LY17">
        <f>IF($B17=0,1000000,IF(INDEX('計算A'!$D$60:$DS$104,$B17,120)*HH17=1,'計算A'!DS$6,1000000))</f>
        <v/>
      </c>
    </row>
    <row r="18">
      <c r="A18" t="n">
        <v>16</v>
      </c>
      <c r="B18">
        <f>IF(MIN(AY18:CQ18)&gt;=1000000,0,MATCH(MIN(AY18:CQ18),AY18:CQ18,0))</f>
        <v/>
      </c>
      <c r="C18">
        <f>IF(MIN(HJ18:LY18)&gt;=1000000,0,MATCH(MIN(HJ18:LY18),HJ18:LY18,0))</f>
        <v/>
      </c>
      <c r="D18">
        <f>IF(C18&gt;0,INDEX('計算A'!$D$5:$DS$5,C18),0)</f>
        <v/>
      </c>
      <c r="E18">
        <f>MAX(E17,IF($B17=1,1,0))</f>
        <v/>
      </c>
      <c r="F18">
        <f>MAX(F17,IF($B17=2,1,0))</f>
        <v/>
      </c>
      <c r="G18">
        <f>MAX(G17,IF($B17=3,1,0))</f>
        <v/>
      </c>
      <c r="H18">
        <f>MAX(H17,IF($B17=4,1,0))</f>
        <v/>
      </c>
      <c r="I18">
        <f>MAX(I17,IF($B17=5,1,0))</f>
        <v/>
      </c>
      <c r="J18">
        <f>MAX(J17,IF($B17=6,1,0))</f>
        <v/>
      </c>
      <c r="K18">
        <f>MAX(K17,IF($B17=7,1,0))</f>
        <v/>
      </c>
      <c r="L18">
        <f>MAX(L17,IF($B17=8,1,0))</f>
        <v/>
      </c>
      <c r="M18">
        <f>MAX(M17,IF($B17=9,1,0))</f>
        <v/>
      </c>
      <c r="N18">
        <f>MAX(N17,IF($B17=10,1,0))</f>
        <v/>
      </c>
      <c r="O18">
        <f>MAX(O17,IF($B17=11,1,0))</f>
        <v/>
      </c>
      <c r="P18">
        <f>MAX(P17,IF($B17=12,1,0))</f>
        <v/>
      </c>
      <c r="Q18">
        <f>MAX(Q17,IF($B17=13,1,0))</f>
        <v/>
      </c>
      <c r="R18">
        <f>MAX(R17,IF($B17=14,1,0))</f>
        <v/>
      </c>
      <c r="S18">
        <f>MAX(S17,IF($B17=15,1,0))</f>
        <v/>
      </c>
      <c r="T18">
        <f>MAX(T17,IF($B17=16,1,0))</f>
        <v/>
      </c>
      <c r="U18">
        <f>MAX(U17,IF($B17=17,1,0))</f>
        <v/>
      </c>
      <c r="V18">
        <f>MAX(V17,IF($B17=18,1,0))</f>
        <v/>
      </c>
      <c r="W18">
        <f>MAX(W17,IF($B17=19,1,0))</f>
        <v/>
      </c>
      <c r="X18">
        <f>MAX(X17,IF($B17=20,1,0))</f>
        <v/>
      </c>
      <c r="Y18">
        <f>MAX(Y17,IF($B17=21,1,0))</f>
        <v/>
      </c>
      <c r="Z18">
        <f>MAX(Z17,IF($B17=22,1,0))</f>
        <v/>
      </c>
      <c r="AA18">
        <f>MAX(AA17,IF($B17=23,1,0))</f>
        <v/>
      </c>
      <c r="AB18">
        <f>MAX(AB17,IF($B17=24,1,0))</f>
        <v/>
      </c>
      <c r="AC18">
        <f>MAX(AC17,IF($B17=25,1,0))</f>
        <v/>
      </c>
      <c r="AD18">
        <f>MAX(AD17,IF($B17=26,1,0))</f>
        <v/>
      </c>
      <c r="AE18">
        <f>MAX(AE17,IF($B17=27,1,0))</f>
        <v/>
      </c>
      <c r="AF18">
        <f>MAX(AF17,IF($B17=28,1,0))</f>
        <v/>
      </c>
      <c r="AG18">
        <f>MAX(AG17,IF($B17=29,1,0))</f>
        <v/>
      </c>
      <c r="AH18">
        <f>MAX(AH17,IF($B17=30,1,0))</f>
        <v/>
      </c>
      <c r="AI18">
        <f>MAX(AI17,IF($B17=31,1,0))</f>
        <v/>
      </c>
      <c r="AJ18">
        <f>MAX(AJ17,IF($B17=32,1,0))</f>
        <v/>
      </c>
      <c r="AK18">
        <f>MAX(AK17,IF($B17=33,1,0))</f>
        <v/>
      </c>
      <c r="AL18">
        <f>MAX(AL17,IF($B17=34,1,0))</f>
        <v/>
      </c>
      <c r="AM18">
        <f>MAX(AM17,IF($B17=35,1,0))</f>
        <v/>
      </c>
      <c r="AN18">
        <f>MAX(AN17,IF($B17=36,1,0))</f>
        <v/>
      </c>
      <c r="AO18">
        <f>MAX(AO17,IF($B17=37,1,0))</f>
        <v/>
      </c>
      <c r="AP18">
        <f>MAX(AP17,IF($B17=38,1,0))</f>
        <v/>
      </c>
      <c r="AQ18">
        <f>MAX(AQ17,IF($B17=39,1,0))</f>
        <v/>
      </c>
      <c r="AR18">
        <f>MAX(AR17,IF($B17=40,1,0))</f>
        <v/>
      </c>
      <c r="AS18">
        <f>MAX(AS17,IF($B17=41,1,0))</f>
        <v/>
      </c>
      <c r="AT18">
        <f>MAX(AT17,IF($B17=42,1,0))</f>
        <v/>
      </c>
      <c r="AU18">
        <f>MAX(AU17,IF($B17=43,1,0))</f>
        <v/>
      </c>
      <c r="AV18">
        <f>MAX(AV17,IF($B17=44,1,0))</f>
        <v/>
      </c>
      <c r="AW18">
        <f>MAX(AW17,IF($B17=45,1,0))</f>
        <v/>
      </c>
      <c r="AY18">
        <f>IF(E18=1,1000000,SUMPRODUCT('計算A'!$D$60:$DS$60,$CS18:$HH18)*1000+1)</f>
        <v/>
      </c>
      <c r="AZ18">
        <f>IF(F18=1,1000000,SUMPRODUCT('計算A'!$D$61:$DS$61,$CS18:$HH18)*1000+2)</f>
        <v/>
      </c>
      <c r="BA18">
        <f>IF(G18=1,1000000,SUMPRODUCT('計算A'!$D$62:$DS$62,$CS18:$HH18)*1000+3)</f>
        <v/>
      </c>
      <c r="BB18">
        <f>IF(H18=1,1000000,SUMPRODUCT('計算A'!$D$63:$DS$63,$CS18:$HH18)*1000+4)</f>
        <v/>
      </c>
      <c r="BC18">
        <f>IF(I18=1,1000000,SUMPRODUCT('計算A'!$D$64:$DS$64,$CS18:$HH18)*1000+5)</f>
        <v/>
      </c>
      <c r="BD18">
        <f>IF(J18=1,1000000,SUMPRODUCT('計算A'!$D$65:$DS$65,$CS18:$HH18)*1000+6)</f>
        <v/>
      </c>
      <c r="BE18">
        <f>IF(K18=1,1000000,SUMPRODUCT('計算A'!$D$66:$DS$66,$CS18:$HH18)*1000+7)</f>
        <v/>
      </c>
      <c r="BF18">
        <f>IF(L18=1,1000000,SUMPRODUCT('計算A'!$D$67:$DS$67,$CS18:$HH18)*1000+8)</f>
        <v/>
      </c>
      <c r="BG18">
        <f>IF(M18=1,1000000,SUMPRODUCT('計算A'!$D$68:$DS$68,$CS18:$HH18)*1000+9)</f>
        <v/>
      </c>
      <c r="BH18">
        <f>IF(N18=1,1000000,SUMPRODUCT('計算A'!$D$69:$DS$69,$CS18:$HH18)*1000+10)</f>
        <v/>
      </c>
      <c r="BI18">
        <f>IF(O18=1,1000000,SUMPRODUCT('計算A'!$D$70:$DS$70,$CS18:$HH18)*1000+11)</f>
        <v/>
      </c>
      <c r="BJ18">
        <f>IF(P18=1,1000000,SUMPRODUCT('計算A'!$D$71:$DS$71,$CS18:$HH18)*1000+12)</f>
        <v/>
      </c>
      <c r="BK18">
        <f>IF(Q18=1,1000000,SUMPRODUCT('計算A'!$D$72:$DS$72,$CS18:$HH18)*1000+13)</f>
        <v/>
      </c>
      <c r="BL18">
        <f>IF(R18=1,1000000,SUMPRODUCT('計算A'!$D$73:$DS$73,$CS18:$HH18)*1000+14)</f>
        <v/>
      </c>
      <c r="BM18">
        <f>IF(S18=1,1000000,SUMPRODUCT('計算A'!$D$74:$DS$74,$CS18:$HH18)*1000+15)</f>
        <v/>
      </c>
      <c r="BN18">
        <f>IF(T18=1,1000000,SUMPRODUCT('計算A'!$D$75:$DS$75,$CS18:$HH18)*1000+16)</f>
        <v/>
      </c>
      <c r="BO18">
        <f>IF(U18=1,1000000,SUMPRODUCT('計算A'!$D$76:$DS$76,$CS18:$HH18)*1000+17)</f>
        <v/>
      </c>
      <c r="BP18">
        <f>IF(V18=1,1000000,SUMPRODUCT('計算A'!$D$77:$DS$77,$CS18:$HH18)*1000+18)</f>
        <v/>
      </c>
      <c r="BQ18">
        <f>IF(W18=1,1000000,SUMPRODUCT('計算A'!$D$78:$DS$78,$CS18:$HH18)*1000+19)</f>
        <v/>
      </c>
      <c r="BR18">
        <f>IF(X18=1,1000000,SUMPRODUCT('計算A'!$D$79:$DS$79,$CS18:$HH18)*1000+20)</f>
        <v/>
      </c>
      <c r="BS18">
        <f>IF(Y18=1,1000000,SUMPRODUCT('計算A'!$D$80:$DS$80,$CS18:$HH18)*1000+21)</f>
        <v/>
      </c>
      <c r="BT18">
        <f>IF(Z18=1,1000000,SUMPRODUCT('計算A'!$D$81:$DS$81,$CS18:$HH18)*1000+22)</f>
        <v/>
      </c>
      <c r="BU18">
        <f>IF(AA18=1,1000000,SUMPRODUCT('計算A'!$D$82:$DS$82,$CS18:$HH18)*1000+23)</f>
        <v/>
      </c>
      <c r="BV18">
        <f>IF(AB18=1,1000000,SUMPRODUCT('計算A'!$D$83:$DS$83,$CS18:$HH18)*1000+24)</f>
        <v/>
      </c>
      <c r="BW18">
        <f>IF(AC18=1,1000000,SUMPRODUCT('計算A'!$D$84:$DS$84,$CS18:$HH18)*1000+25)</f>
        <v/>
      </c>
      <c r="BX18">
        <f>IF(AD18=1,1000000,SUMPRODUCT('計算A'!$D$85:$DS$85,$CS18:$HH18)*1000+26)</f>
        <v/>
      </c>
      <c r="BY18">
        <f>IF(AE18=1,1000000,SUMPRODUCT('計算A'!$D$86:$DS$86,$CS18:$HH18)*1000+27)</f>
        <v/>
      </c>
      <c r="BZ18">
        <f>IF(AF18=1,1000000,SUMPRODUCT('計算A'!$D$87:$DS$87,$CS18:$HH18)*1000+28)</f>
        <v/>
      </c>
      <c r="CA18">
        <f>IF(AG18=1,1000000,SUMPRODUCT('計算A'!$D$88:$DS$88,$CS18:$HH18)*1000+29)</f>
        <v/>
      </c>
      <c r="CB18">
        <f>IF(AH18=1,1000000,SUMPRODUCT('計算A'!$D$89:$DS$89,$CS18:$HH18)*1000+30)</f>
        <v/>
      </c>
      <c r="CC18">
        <f>IF(AI18=1,1000000,SUMPRODUCT('計算A'!$D$90:$DS$90,$CS18:$HH18)*1000+31)</f>
        <v/>
      </c>
      <c r="CD18">
        <f>IF(AJ18=1,1000000,SUMPRODUCT('計算A'!$D$91:$DS$91,$CS18:$HH18)*1000+32)</f>
        <v/>
      </c>
      <c r="CE18">
        <f>IF(AK18=1,1000000,SUMPRODUCT('計算A'!$D$92:$DS$92,$CS18:$HH18)*1000+33)</f>
        <v/>
      </c>
      <c r="CF18">
        <f>IF(AL18=1,1000000,SUMPRODUCT('計算A'!$D$93:$DS$93,$CS18:$HH18)*1000+34)</f>
        <v/>
      </c>
      <c r="CG18">
        <f>IF(AM18=1,1000000,SUMPRODUCT('計算A'!$D$94:$DS$94,$CS18:$HH18)*1000+35)</f>
        <v/>
      </c>
      <c r="CH18">
        <f>IF(AN18=1,1000000,SUMPRODUCT('計算A'!$D$95:$DS$95,$CS18:$HH18)*1000+36)</f>
        <v/>
      </c>
      <c r="CI18">
        <f>IF(AO18=1,1000000,SUMPRODUCT('計算A'!$D$96:$DS$96,$CS18:$HH18)*1000+37)</f>
        <v/>
      </c>
      <c r="CJ18">
        <f>IF(AP18=1,1000000,SUMPRODUCT('計算A'!$D$97:$DS$97,$CS18:$HH18)*1000+38)</f>
        <v/>
      </c>
      <c r="CK18">
        <f>IF(AQ18=1,1000000,SUMPRODUCT('計算A'!$D$98:$DS$98,$CS18:$HH18)*1000+39)</f>
        <v/>
      </c>
      <c r="CL18">
        <f>IF(AR18=1,1000000,SUMPRODUCT('計算A'!$D$99:$DS$99,$CS18:$HH18)*1000+40)</f>
        <v/>
      </c>
      <c r="CM18">
        <f>IF(AS18=1,1000000,SUMPRODUCT('計算A'!$D$100:$DS$100,$CS18:$HH18)*1000+41)</f>
        <v/>
      </c>
      <c r="CN18">
        <f>IF(AT18=1,1000000,SUMPRODUCT('計算A'!$D$101:$DS$101,$CS18:$HH18)*1000+42)</f>
        <v/>
      </c>
      <c r="CO18">
        <f>IF(AU18=1,1000000,SUMPRODUCT('計算A'!$D$102:$DS$102,$CS18:$HH18)*1000+43)</f>
        <v/>
      </c>
      <c r="CP18">
        <f>IF(AV18=1,1000000,SUMPRODUCT('計算A'!$D$103:$DS$103,$CS18:$HH18)*1000+44)</f>
        <v/>
      </c>
      <c r="CQ18">
        <f>IF(AW18=1,1000000,SUMPRODUCT('計算A'!$D$104:$DS$104,$CS18:$HH18)*1000+45)</f>
        <v/>
      </c>
      <c r="CS18">
        <f>CS17*IF($C17=1,0,1)</f>
        <v/>
      </c>
      <c r="CT18">
        <f>CT17*IF($C17=2,0,1)</f>
        <v/>
      </c>
      <c r="CU18">
        <f>CU17*IF($C17=3,0,1)</f>
        <v/>
      </c>
      <c r="CV18">
        <f>CV17*IF($C17=4,0,1)</f>
        <v/>
      </c>
      <c r="CW18">
        <f>CW17*IF($C17=5,0,1)</f>
        <v/>
      </c>
      <c r="CX18">
        <f>CX17*IF($C17=6,0,1)</f>
        <v/>
      </c>
      <c r="CY18">
        <f>CY17*IF($C17=7,0,1)</f>
        <v/>
      </c>
      <c r="CZ18">
        <f>CZ17*IF($C17=8,0,1)</f>
        <v/>
      </c>
      <c r="DA18">
        <f>DA17*IF($C17=9,0,1)</f>
        <v/>
      </c>
      <c r="DB18">
        <f>DB17*IF($C17=10,0,1)</f>
        <v/>
      </c>
      <c r="DC18">
        <f>DC17*IF($C17=11,0,1)</f>
        <v/>
      </c>
      <c r="DD18">
        <f>DD17*IF($C17=12,0,1)</f>
        <v/>
      </c>
      <c r="DE18">
        <f>DE17*IF($C17=13,0,1)</f>
        <v/>
      </c>
      <c r="DF18">
        <f>DF17*IF($C17=14,0,1)</f>
        <v/>
      </c>
      <c r="DG18">
        <f>DG17*IF($C17=15,0,1)</f>
        <v/>
      </c>
      <c r="DH18">
        <f>DH17*IF($C17=16,0,1)</f>
        <v/>
      </c>
      <c r="DI18">
        <f>DI17*IF($C17=17,0,1)</f>
        <v/>
      </c>
      <c r="DJ18">
        <f>DJ17*IF($C17=18,0,1)</f>
        <v/>
      </c>
      <c r="DK18">
        <f>DK17*IF($C17=19,0,1)</f>
        <v/>
      </c>
      <c r="DL18">
        <f>DL17*IF($C17=20,0,1)</f>
        <v/>
      </c>
      <c r="DM18">
        <f>DM17*IF($C17=21,0,1)</f>
        <v/>
      </c>
      <c r="DN18">
        <f>DN17*IF($C17=22,0,1)</f>
        <v/>
      </c>
      <c r="DO18">
        <f>DO17*IF($C17=23,0,1)</f>
        <v/>
      </c>
      <c r="DP18">
        <f>DP17*IF($C17=24,0,1)</f>
        <v/>
      </c>
      <c r="DQ18">
        <f>DQ17*IF($C17=25,0,1)</f>
        <v/>
      </c>
      <c r="DR18">
        <f>DR17*IF($C17=26,0,1)</f>
        <v/>
      </c>
      <c r="DS18">
        <f>DS17*IF($C17=27,0,1)</f>
        <v/>
      </c>
      <c r="DT18">
        <f>DT17*IF($C17=28,0,1)</f>
        <v/>
      </c>
      <c r="DU18">
        <f>DU17*IF($C17=29,0,1)</f>
        <v/>
      </c>
      <c r="DV18">
        <f>DV17*IF($C17=30,0,1)</f>
        <v/>
      </c>
      <c r="DW18">
        <f>DW17*IF($C17=31,0,1)</f>
        <v/>
      </c>
      <c r="DX18">
        <f>DX17*IF($C17=32,0,1)</f>
        <v/>
      </c>
      <c r="DY18">
        <f>DY17*IF($C17=33,0,1)</f>
        <v/>
      </c>
      <c r="DZ18">
        <f>DZ17*IF($C17=34,0,1)</f>
        <v/>
      </c>
      <c r="EA18">
        <f>EA17*IF($C17=35,0,1)</f>
        <v/>
      </c>
      <c r="EB18">
        <f>EB17*IF($C17=36,0,1)</f>
        <v/>
      </c>
      <c r="EC18">
        <f>EC17*IF($C17=37,0,1)</f>
        <v/>
      </c>
      <c r="ED18">
        <f>ED17*IF($C17=38,0,1)</f>
        <v/>
      </c>
      <c r="EE18">
        <f>EE17*IF($C17=39,0,1)</f>
        <v/>
      </c>
      <c r="EF18">
        <f>EF17*IF($C17=40,0,1)</f>
        <v/>
      </c>
      <c r="EG18">
        <f>EG17*IF($C17=41,0,1)</f>
        <v/>
      </c>
      <c r="EH18">
        <f>EH17*IF($C17=42,0,1)</f>
        <v/>
      </c>
      <c r="EI18">
        <f>EI17*IF($C17=43,0,1)</f>
        <v/>
      </c>
      <c r="EJ18">
        <f>EJ17*IF($C17=44,0,1)</f>
        <v/>
      </c>
      <c r="EK18">
        <f>EK17*IF($C17=45,0,1)</f>
        <v/>
      </c>
      <c r="EL18">
        <f>EL17*IF($C17=46,0,1)</f>
        <v/>
      </c>
      <c r="EM18">
        <f>EM17*IF($C17=47,0,1)</f>
        <v/>
      </c>
      <c r="EN18">
        <f>EN17*IF($C17=48,0,1)</f>
        <v/>
      </c>
      <c r="EO18">
        <f>EO17*IF($C17=49,0,1)</f>
        <v/>
      </c>
      <c r="EP18">
        <f>EP17*IF($C17=50,0,1)</f>
        <v/>
      </c>
      <c r="EQ18">
        <f>EQ17*IF($C17=51,0,1)</f>
        <v/>
      </c>
      <c r="ER18">
        <f>ER17*IF($C17=52,0,1)</f>
        <v/>
      </c>
      <c r="ES18">
        <f>ES17*IF($C17=53,0,1)</f>
        <v/>
      </c>
      <c r="ET18">
        <f>ET17*IF($C17=54,0,1)</f>
        <v/>
      </c>
      <c r="EU18">
        <f>EU17*IF($C17=55,0,1)</f>
        <v/>
      </c>
      <c r="EV18">
        <f>EV17*IF($C17=56,0,1)</f>
        <v/>
      </c>
      <c r="EW18">
        <f>EW17*IF($C17=57,0,1)</f>
        <v/>
      </c>
      <c r="EX18">
        <f>EX17*IF($C17=58,0,1)</f>
        <v/>
      </c>
      <c r="EY18">
        <f>EY17*IF($C17=59,0,1)</f>
        <v/>
      </c>
      <c r="EZ18">
        <f>EZ17*IF($C17=60,0,1)</f>
        <v/>
      </c>
      <c r="FA18">
        <f>FA17*IF($C17=61,0,1)</f>
        <v/>
      </c>
      <c r="FB18">
        <f>FB17*IF($C17=62,0,1)</f>
        <v/>
      </c>
      <c r="FC18">
        <f>FC17*IF($C17=63,0,1)</f>
        <v/>
      </c>
      <c r="FD18">
        <f>FD17*IF($C17=64,0,1)</f>
        <v/>
      </c>
      <c r="FE18">
        <f>FE17*IF($C17=65,0,1)</f>
        <v/>
      </c>
      <c r="FF18">
        <f>FF17*IF($C17=66,0,1)</f>
        <v/>
      </c>
      <c r="FG18">
        <f>FG17*IF($C17=67,0,1)</f>
        <v/>
      </c>
      <c r="FH18">
        <f>FH17*IF($C17=68,0,1)</f>
        <v/>
      </c>
      <c r="FI18">
        <f>FI17*IF($C17=69,0,1)</f>
        <v/>
      </c>
      <c r="FJ18">
        <f>FJ17*IF($C17=70,0,1)</f>
        <v/>
      </c>
      <c r="FK18">
        <f>FK17*IF($C17=71,0,1)</f>
        <v/>
      </c>
      <c r="FL18">
        <f>FL17*IF($C17=72,0,1)</f>
        <v/>
      </c>
      <c r="FM18">
        <f>FM17*IF($C17=73,0,1)</f>
        <v/>
      </c>
      <c r="FN18">
        <f>FN17*IF($C17=74,0,1)</f>
        <v/>
      </c>
      <c r="FO18">
        <f>FO17*IF($C17=75,0,1)</f>
        <v/>
      </c>
      <c r="FP18">
        <f>FP17*IF($C17=76,0,1)</f>
        <v/>
      </c>
      <c r="FQ18">
        <f>FQ17*IF($C17=77,0,1)</f>
        <v/>
      </c>
      <c r="FR18">
        <f>FR17*IF($C17=78,0,1)</f>
        <v/>
      </c>
      <c r="FS18">
        <f>FS17*IF($C17=79,0,1)</f>
        <v/>
      </c>
      <c r="FT18">
        <f>FT17*IF($C17=80,0,1)</f>
        <v/>
      </c>
      <c r="FU18">
        <f>FU17*IF($C17=81,0,1)</f>
        <v/>
      </c>
      <c r="FV18">
        <f>FV17*IF($C17=82,0,1)</f>
        <v/>
      </c>
      <c r="FW18">
        <f>FW17*IF($C17=83,0,1)</f>
        <v/>
      </c>
      <c r="FX18">
        <f>FX17*IF($C17=84,0,1)</f>
        <v/>
      </c>
      <c r="FY18">
        <f>FY17*IF($C17=85,0,1)</f>
        <v/>
      </c>
      <c r="FZ18">
        <f>FZ17*IF($C17=86,0,1)</f>
        <v/>
      </c>
      <c r="GA18">
        <f>GA17*IF($C17=87,0,1)</f>
        <v/>
      </c>
      <c r="GB18">
        <f>GB17*IF($C17=88,0,1)</f>
        <v/>
      </c>
      <c r="GC18">
        <f>GC17*IF($C17=89,0,1)</f>
        <v/>
      </c>
      <c r="GD18">
        <f>GD17*IF($C17=90,0,1)</f>
        <v/>
      </c>
      <c r="GE18">
        <f>GE17*IF($C17=91,0,1)</f>
        <v/>
      </c>
      <c r="GF18">
        <f>GF17*IF($C17=92,0,1)</f>
        <v/>
      </c>
      <c r="GG18">
        <f>GG17*IF($C17=93,0,1)</f>
        <v/>
      </c>
      <c r="GH18">
        <f>GH17*IF($C17=94,0,1)</f>
        <v/>
      </c>
      <c r="GI18">
        <f>GI17*IF($C17=95,0,1)</f>
        <v/>
      </c>
      <c r="GJ18">
        <f>GJ17*IF($C17=96,0,1)</f>
        <v/>
      </c>
      <c r="GK18">
        <f>GK17*IF($C17=97,0,1)</f>
        <v/>
      </c>
      <c r="GL18">
        <f>GL17*IF($C17=98,0,1)</f>
        <v/>
      </c>
      <c r="GM18">
        <f>GM17*IF($C17=99,0,1)</f>
        <v/>
      </c>
      <c r="GN18">
        <f>GN17*IF($C17=100,0,1)</f>
        <v/>
      </c>
      <c r="GO18">
        <f>GO17*IF($C17=101,0,1)</f>
        <v/>
      </c>
      <c r="GP18">
        <f>GP17*IF($C17=102,0,1)</f>
        <v/>
      </c>
      <c r="GQ18">
        <f>GQ17*IF($C17=103,0,1)</f>
        <v/>
      </c>
      <c r="GR18">
        <f>GR17*IF($C17=104,0,1)</f>
        <v/>
      </c>
      <c r="GS18">
        <f>GS17*IF($C17=105,0,1)</f>
        <v/>
      </c>
      <c r="GT18">
        <f>GT17*IF($C17=106,0,1)</f>
        <v/>
      </c>
      <c r="GU18">
        <f>GU17*IF($C17=107,0,1)</f>
        <v/>
      </c>
      <c r="GV18">
        <f>GV17*IF($C17=108,0,1)</f>
        <v/>
      </c>
      <c r="GW18">
        <f>GW17*IF($C17=109,0,1)</f>
        <v/>
      </c>
      <c r="GX18">
        <f>GX17*IF($C17=110,0,1)</f>
        <v/>
      </c>
      <c r="GY18">
        <f>GY17*IF($C17=111,0,1)</f>
        <v/>
      </c>
      <c r="GZ18">
        <f>GZ17*IF($C17=112,0,1)</f>
        <v/>
      </c>
      <c r="HA18">
        <f>HA17*IF($C17=113,0,1)</f>
        <v/>
      </c>
      <c r="HB18">
        <f>HB17*IF($C17=114,0,1)</f>
        <v/>
      </c>
      <c r="HC18">
        <f>HC17*IF($C17=115,0,1)</f>
        <v/>
      </c>
      <c r="HD18">
        <f>HD17*IF($C17=116,0,1)</f>
        <v/>
      </c>
      <c r="HE18">
        <f>HE17*IF($C17=117,0,1)</f>
        <v/>
      </c>
      <c r="HF18">
        <f>HF17*IF($C17=118,0,1)</f>
        <v/>
      </c>
      <c r="HG18">
        <f>HG17*IF($C17=119,0,1)</f>
        <v/>
      </c>
      <c r="HH18">
        <f>HH17*IF($C17=120,0,1)</f>
        <v/>
      </c>
      <c r="HJ18">
        <f>IF($B18=0,1000000,IF(INDEX('計算A'!$D$60:$DS$104,$B18,1)*CS18=1,'計算A'!D$6,1000000))</f>
        <v/>
      </c>
      <c r="HK18">
        <f>IF($B18=0,1000000,IF(INDEX('計算A'!$D$60:$DS$104,$B18,2)*CT18=1,'計算A'!E$6,1000000))</f>
        <v/>
      </c>
      <c r="HL18">
        <f>IF($B18=0,1000000,IF(INDEX('計算A'!$D$60:$DS$104,$B18,3)*CU18=1,'計算A'!F$6,1000000))</f>
        <v/>
      </c>
      <c r="HM18">
        <f>IF($B18=0,1000000,IF(INDEX('計算A'!$D$60:$DS$104,$B18,4)*CV18=1,'計算A'!G$6,1000000))</f>
        <v/>
      </c>
      <c r="HN18">
        <f>IF($B18=0,1000000,IF(INDEX('計算A'!$D$60:$DS$104,$B18,5)*CW18=1,'計算A'!H$6,1000000))</f>
        <v/>
      </c>
      <c r="HO18">
        <f>IF($B18=0,1000000,IF(INDEX('計算A'!$D$60:$DS$104,$B18,6)*CX18=1,'計算A'!I$6,1000000))</f>
        <v/>
      </c>
      <c r="HP18">
        <f>IF($B18=0,1000000,IF(INDEX('計算A'!$D$60:$DS$104,$B18,7)*CY18=1,'計算A'!J$6,1000000))</f>
        <v/>
      </c>
      <c r="HQ18">
        <f>IF($B18=0,1000000,IF(INDEX('計算A'!$D$60:$DS$104,$B18,8)*CZ18=1,'計算A'!K$6,1000000))</f>
        <v/>
      </c>
      <c r="HR18">
        <f>IF($B18=0,1000000,IF(INDEX('計算A'!$D$60:$DS$104,$B18,9)*DA18=1,'計算A'!L$6,1000000))</f>
        <v/>
      </c>
      <c r="HS18">
        <f>IF($B18=0,1000000,IF(INDEX('計算A'!$D$60:$DS$104,$B18,10)*DB18=1,'計算A'!M$6,1000000))</f>
        <v/>
      </c>
      <c r="HT18">
        <f>IF($B18=0,1000000,IF(INDEX('計算A'!$D$60:$DS$104,$B18,11)*DC18=1,'計算A'!N$6,1000000))</f>
        <v/>
      </c>
      <c r="HU18">
        <f>IF($B18=0,1000000,IF(INDEX('計算A'!$D$60:$DS$104,$B18,12)*DD18=1,'計算A'!O$6,1000000))</f>
        <v/>
      </c>
      <c r="HV18">
        <f>IF($B18=0,1000000,IF(INDEX('計算A'!$D$60:$DS$104,$B18,13)*DE18=1,'計算A'!P$6,1000000))</f>
        <v/>
      </c>
      <c r="HW18">
        <f>IF($B18=0,1000000,IF(INDEX('計算A'!$D$60:$DS$104,$B18,14)*DF18=1,'計算A'!Q$6,1000000))</f>
        <v/>
      </c>
      <c r="HX18">
        <f>IF($B18=0,1000000,IF(INDEX('計算A'!$D$60:$DS$104,$B18,15)*DG18=1,'計算A'!R$6,1000000))</f>
        <v/>
      </c>
      <c r="HY18">
        <f>IF($B18=0,1000000,IF(INDEX('計算A'!$D$60:$DS$104,$B18,16)*DH18=1,'計算A'!S$6,1000000))</f>
        <v/>
      </c>
      <c r="HZ18">
        <f>IF($B18=0,1000000,IF(INDEX('計算A'!$D$60:$DS$104,$B18,17)*DI18=1,'計算A'!T$6,1000000))</f>
        <v/>
      </c>
      <c r="IA18">
        <f>IF($B18=0,1000000,IF(INDEX('計算A'!$D$60:$DS$104,$B18,18)*DJ18=1,'計算A'!U$6,1000000))</f>
        <v/>
      </c>
      <c r="IB18">
        <f>IF($B18=0,1000000,IF(INDEX('計算A'!$D$60:$DS$104,$B18,19)*DK18=1,'計算A'!V$6,1000000))</f>
        <v/>
      </c>
      <c r="IC18">
        <f>IF($B18=0,1000000,IF(INDEX('計算A'!$D$60:$DS$104,$B18,20)*DL18=1,'計算A'!W$6,1000000))</f>
        <v/>
      </c>
      <c r="ID18">
        <f>IF($B18=0,1000000,IF(INDEX('計算A'!$D$60:$DS$104,$B18,21)*DM18=1,'計算A'!X$6,1000000))</f>
        <v/>
      </c>
      <c r="IE18">
        <f>IF($B18=0,1000000,IF(INDEX('計算A'!$D$60:$DS$104,$B18,22)*DN18=1,'計算A'!Y$6,1000000))</f>
        <v/>
      </c>
      <c r="IF18">
        <f>IF($B18=0,1000000,IF(INDEX('計算A'!$D$60:$DS$104,$B18,23)*DO18=1,'計算A'!Z$6,1000000))</f>
        <v/>
      </c>
      <c r="IG18">
        <f>IF($B18=0,1000000,IF(INDEX('計算A'!$D$60:$DS$104,$B18,24)*DP18=1,'計算A'!AA$6,1000000))</f>
        <v/>
      </c>
      <c r="IH18">
        <f>IF($B18=0,1000000,IF(INDEX('計算A'!$D$60:$DS$104,$B18,25)*DQ18=1,'計算A'!AB$6,1000000))</f>
        <v/>
      </c>
      <c r="II18">
        <f>IF($B18=0,1000000,IF(INDEX('計算A'!$D$60:$DS$104,$B18,26)*DR18=1,'計算A'!AC$6,1000000))</f>
        <v/>
      </c>
      <c r="IJ18">
        <f>IF($B18=0,1000000,IF(INDEX('計算A'!$D$60:$DS$104,$B18,27)*DS18=1,'計算A'!AD$6,1000000))</f>
        <v/>
      </c>
      <c r="IK18">
        <f>IF($B18=0,1000000,IF(INDEX('計算A'!$D$60:$DS$104,$B18,28)*DT18=1,'計算A'!AE$6,1000000))</f>
        <v/>
      </c>
      <c r="IL18">
        <f>IF($B18=0,1000000,IF(INDEX('計算A'!$D$60:$DS$104,$B18,29)*DU18=1,'計算A'!AF$6,1000000))</f>
        <v/>
      </c>
      <c r="IM18">
        <f>IF($B18=0,1000000,IF(INDEX('計算A'!$D$60:$DS$104,$B18,30)*DV18=1,'計算A'!AG$6,1000000))</f>
        <v/>
      </c>
      <c r="IN18">
        <f>IF($B18=0,1000000,IF(INDEX('計算A'!$D$60:$DS$104,$B18,31)*DW18=1,'計算A'!AH$6,1000000))</f>
        <v/>
      </c>
      <c r="IO18">
        <f>IF($B18=0,1000000,IF(INDEX('計算A'!$D$60:$DS$104,$B18,32)*DX18=1,'計算A'!AI$6,1000000))</f>
        <v/>
      </c>
      <c r="IP18">
        <f>IF($B18=0,1000000,IF(INDEX('計算A'!$D$60:$DS$104,$B18,33)*DY18=1,'計算A'!AJ$6,1000000))</f>
        <v/>
      </c>
      <c r="IQ18">
        <f>IF($B18=0,1000000,IF(INDEX('計算A'!$D$60:$DS$104,$B18,34)*DZ18=1,'計算A'!AK$6,1000000))</f>
        <v/>
      </c>
      <c r="IR18">
        <f>IF($B18=0,1000000,IF(INDEX('計算A'!$D$60:$DS$104,$B18,35)*EA18=1,'計算A'!AL$6,1000000))</f>
        <v/>
      </c>
      <c r="IS18">
        <f>IF($B18=0,1000000,IF(INDEX('計算A'!$D$60:$DS$104,$B18,36)*EB18=1,'計算A'!AM$6,1000000))</f>
        <v/>
      </c>
      <c r="IT18">
        <f>IF($B18=0,1000000,IF(INDEX('計算A'!$D$60:$DS$104,$B18,37)*EC18=1,'計算A'!AN$6,1000000))</f>
        <v/>
      </c>
      <c r="IU18">
        <f>IF($B18=0,1000000,IF(INDEX('計算A'!$D$60:$DS$104,$B18,38)*ED18=1,'計算A'!AO$6,1000000))</f>
        <v/>
      </c>
      <c r="IV18">
        <f>IF($B18=0,1000000,IF(INDEX('計算A'!$D$60:$DS$104,$B18,39)*EE18=1,'計算A'!AP$6,1000000))</f>
        <v/>
      </c>
      <c r="IW18">
        <f>IF($B18=0,1000000,IF(INDEX('計算A'!$D$60:$DS$104,$B18,40)*EF18=1,'計算A'!AQ$6,1000000))</f>
        <v/>
      </c>
      <c r="IX18">
        <f>IF($B18=0,1000000,IF(INDEX('計算A'!$D$60:$DS$104,$B18,41)*EG18=1,'計算A'!AR$6,1000000))</f>
        <v/>
      </c>
      <c r="IY18">
        <f>IF($B18=0,1000000,IF(INDEX('計算A'!$D$60:$DS$104,$B18,42)*EH18=1,'計算A'!AS$6,1000000))</f>
        <v/>
      </c>
      <c r="IZ18">
        <f>IF($B18=0,1000000,IF(INDEX('計算A'!$D$60:$DS$104,$B18,43)*EI18=1,'計算A'!AT$6,1000000))</f>
        <v/>
      </c>
      <c r="JA18">
        <f>IF($B18=0,1000000,IF(INDEX('計算A'!$D$60:$DS$104,$B18,44)*EJ18=1,'計算A'!AU$6,1000000))</f>
        <v/>
      </c>
      <c r="JB18">
        <f>IF($B18=0,1000000,IF(INDEX('計算A'!$D$60:$DS$104,$B18,45)*EK18=1,'計算A'!AV$6,1000000))</f>
        <v/>
      </c>
      <c r="JC18">
        <f>IF($B18=0,1000000,IF(INDEX('計算A'!$D$60:$DS$104,$B18,46)*EL18=1,'計算A'!AW$6,1000000))</f>
        <v/>
      </c>
      <c r="JD18">
        <f>IF($B18=0,1000000,IF(INDEX('計算A'!$D$60:$DS$104,$B18,47)*EM18=1,'計算A'!AX$6,1000000))</f>
        <v/>
      </c>
      <c r="JE18">
        <f>IF($B18=0,1000000,IF(INDEX('計算A'!$D$60:$DS$104,$B18,48)*EN18=1,'計算A'!AY$6,1000000))</f>
        <v/>
      </c>
      <c r="JF18">
        <f>IF($B18=0,1000000,IF(INDEX('計算A'!$D$60:$DS$104,$B18,49)*EO18=1,'計算A'!AZ$6,1000000))</f>
        <v/>
      </c>
      <c r="JG18">
        <f>IF($B18=0,1000000,IF(INDEX('計算A'!$D$60:$DS$104,$B18,50)*EP18=1,'計算A'!BA$6,1000000))</f>
        <v/>
      </c>
      <c r="JH18">
        <f>IF($B18=0,1000000,IF(INDEX('計算A'!$D$60:$DS$104,$B18,51)*EQ18=1,'計算A'!BB$6,1000000))</f>
        <v/>
      </c>
      <c r="JI18">
        <f>IF($B18=0,1000000,IF(INDEX('計算A'!$D$60:$DS$104,$B18,52)*ER18=1,'計算A'!BC$6,1000000))</f>
        <v/>
      </c>
      <c r="JJ18">
        <f>IF($B18=0,1000000,IF(INDEX('計算A'!$D$60:$DS$104,$B18,53)*ES18=1,'計算A'!BD$6,1000000))</f>
        <v/>
      </c>
      <c r="JK18">
        <f>IF($B18=0,1000000,IF(INDEX('計算A'!$D$60:$DS$104,$B18,54)*ET18=1,'計算A'!BE$6,1000000))</f>
        <v/>
      </c>
      <c r="JL18">
        <f>IF($B18=0,1000000,IF(INDEX('計算A'!$D$60:$DS$104,$B18,55)*EU18=1,'計算A'!BF$6,1000000))</f>
        <v/>
      </c>
      <c r="JM18">
        <f>IF($B18=0,1000000,IF(INDEX('計算A'!$D$60:$DS$104,$B18,56)*EV18=1,'計算A'!BG$6,1000000))</f>
        <v/>
      </c>
      <c r="JN18">
        <f>IF($B18=0,1000000,IF(INDEX('計算A'!$D$60:$DS$104,$B18,57)*EW18=1,'計算A'!BH$6,1000000))</f>
        <v/>
      </c>
      <c r="JO18">
        <f>IF($B18=0,1000000,IF(INDEX('計算A'!$D$60:$DS$104,$B18,58)*EX18=1,'計算A'!BI$6,1000000))</f>
        <v/>
      </c>
      <c r="JP18">
        <f>IF($B18=0,1000000,IF(INDEX('計算A'!$D$60:$DS$104,$B18,59)*EY18=1,'計算A'!BJ$6,1000000))</f>
        <v/>
      </c>
      <c r="JQ18">
        <f>IF($B18=0,1000000,IF(INDEX('計算A'!$D$60:$DS$104,$B18,60)*EZ18=1,'計算A'!BK$6,1000000))</f>
        <v/>
      </c>
      <c r="JR18">
        <f>IF($B18=0,1000000,IF(INDEX('計算A'!$D$60:$DS$104,$B18,61)*FA18=1,'計算A'!BL$6,1000000))</f>
        <v/>
      </c>
      <c r="JS18">
        <f>IF($B18=0,1000000,IF(INDEX('計算A'!$D$60:$DS$104,$B18,62)*FB18=1,'計算A'!BM$6,1000000))</f>
        <v/>
      </c>
      <c r="JT18">
        <f>IF($B18=0,1000000,IF(INDEX('計算A'!$D$60:$DS$104,$B18,63)*FC18=1,'計算A'!BN$6,1000000))</f>
        <v/>
      </c>
      <c r="JU18">
        <f>IF($B18=0,1000000,IF(INDEX('計算A'!$D$60:$DS$104,$B18,64)*FD18=1,'計算A'!BO$6,1000000))</f>
        <v/>
      </c>
      <c r="JV18">
        <f>IF($B18=0,1000000,IF(INDEX('計算A'!$D$60:$DS$104,$B18,65)*FE18=1,'計算A'!BP$6,1000000))</f>
        <v/>
      </c>
      <c r="JW18">
        <f>IF($B18=0,1000000,IF(INDEX('計算A'!$D$60:$DS$104,$B18,66)*FF18=1,'計算A'!BQ$6,1000000))</f>
        <v/>
      </c>
      <c r="JX18">
        <f>IF($B18=0,1000000,IF(INDEX('計算A'!$D$60:$DS$104,$B18,67)*FG18=1,'計算A'!BR$6,1000000))</f>
        <v/>
      </c>
      <c r="JY18">
        <f>IF($B18=0,1000000,IF(INDEX('計算A'!$D$60:$DS$104,$B18,68)*FH18=1,'計算A'!BS$6,1000000))</f>
        <v/>
      </c>
      <c r="JZ18">
        <f>IF($B18=0,1000000,IF(INDEX('計算A'!$D$60:$DS$104,$B18,69)*FI18=1,'計算A'!BT$6,1000000))</f>
        <v/>
      </c>
      <c r="KA18">
        <f>IF($B18=0,1000000,IF(INDEX('計算A'!$D$60:$DS$104,$B18,70)*FJ18=1,'計算A'!BU$6,1000000))</f>
        <v/>
      </c>
      <c r="KB18">
        <f>IF($B18=0,1000000,IF(INDEX('計算A'!$D$60:$DS$104,$B18,71)*FK18=1,'計算A'!BV$6,1000000))</f>
        <v/>
      </c>
      <c r="KC18">
        <f>IF($B18=0,1000000,IF(INDEX('計算A'!$D$60:$DS$104,$B18,72)*FL18=1,'計算A'!BW$6,1000000))</f>
        <v/>
      </c>
      <c r="KD18">
        <f>IF($B18=0,1000000,IF(INDEX('計算A'!$D$60:$DS$104,$B18,73)*FM18=1,'計算A'!BX$6,1000000))</f>
        <v/>
      </c>
      <c r="KE18">
        <f>IF($B18=0,1000000,IF(INDEX('計算A'!$D$60:$DS$104,$B18,74)*FN18=1,'計算A'!BY$6,1000000))</f>
        <v/>
      </c>
      <c r="KF18">
        <f>IF($B18=0,1000000,IF(INDEX('計算A'!$D$60:$DS$104,$B18,75)*FO18=1,'計算A'!BZ$6,1000000))</f>
        <v/>
      </c>
      <c r="KG18">
        <f>IF($B18=0,1000000,IF(INDEX('計算A'!$D$60:$DS$104,$B18,76)*FP18=1,'計算A'!CA$6,1000000))</f>
        <v/>
      </c>
      <c r="KH18">
        <f>IF($B18=0,1000000,IF(INDEX('計算A'!$D$60:$DS$104,$B18,77)*FQ18=1,'計算A'!CB$6,1000000))</f>
        <v/>
      </c>
      <c r="KI18">
        <f>IF($B18=0,1000000,IF(INDEX('計算A'!$D$60:$DS$104,$B18,78)*FR18=1,'計算A'!CC$6,1000000))</f>
        <v/>
      </c>
      <c r="KJ18">
        <f>IF($B18=0,1000000,IF(INDEX('計算A'!$D$60:$DS$104,$B18,79)*FS18=1,'計算A'!CD$6,1000000))</f>
        <v/>
      </c>
      <c r="KK18">
        <f>IF($B18=0,1000000,IF(INDEX('計算A'!$D$60:$DS$104,$B18,80)*FT18=1,'計算A'!CE$6,1000000))</f>
        <v/>
      </c>
      <c r="KL18">
        <f>IF($B18=0,1000000,IF(INDEX('計算A'!$D$60:$DS$104,$B18,81)*FU18=1,'計算A'!CF$6,1000000))</f>
        <v/>
      </c>
      <c r="KM18">
        <f>IF($B18=0,1000000,IF(INDEX('計算A'!$D$60:$DS$104,$B18,82)*FV18=1,'計算A'!CG$6,1000000))</f>
        <v/>
      </c>
      <c r="KN18">
        <f>IF($B18=0,1000000,IF(INDEX('計算A'!$D$60:$DS$104,$B18,83)*FW18=1,'計算A'!CH$6,1000000))</f>
        <v/>
      </c>
      <c r="KO18">
        <f>IF($B18=0,1000000,IF(INDEX('計算A'!$D$60:$DS$104,$B18,84)*FX18=1,'計算A'!CI$6,1000000))</f>
        <v/>
      </c>
      <c r="KP18">
        <f>IF($B18=0,1000000,IF(INDEX('計算A'!$D$60:$DS$104,$B18,85)*FY18=1,'計算A'!CJ$6,1000000))</f>
        <v/>
      </c>
      <c r="KQ18">
        <f>IF($B18=0,1000000,IF(INDEX('計算A'!$D$60:$DS$104,$B18,86)*FZ18=1,'計算A'!CK$6,1000000))</f>
        <v/>
      </c>
      <c r="KR18">
        <f>IF($B18=0,1000000,IF(INDEX('計算A'!$D$60:$DS$104,$B18,87)*GA18=1,'計算A'!CL$6,1000000))</f>
        <v/>
      </c>
      <c r="KS18">
        <f>IF($B18=0,1000000,IF(INDEX('計算A'!$D$60:$DS$104,$B18,88)*GB18=1,'計算A'!CM$6,1000000))</f>
        <v/>
      </c>
      <c r="KT18">
        <f>IF($B18=0,1000000,IF(INDEX('計算A'!$D$60:$DS$104,$B18,89)*GC18=1,'計算A'!CN$6,1000000))</f>
        <v/>
      </c>
      <c r="KU18">
        <f>IF($B18=0,1000000,IF(INDEX('計算A'!$D$60:$DS$104,$B18,90)*GD18=1,'計算A'!CO$6,1000000))</f>
        <v/>
      </c>
      <c r="KV18">
        <f>IF($B18=0,1000000,IF(INDEX('計算A'!$D$60:$DS$104,$B18,91)*GE18=1,'計算A'!CP$6,1000000))</f>
        <v/>
      </c>
      <c r="KW18">
        <f>IF($B18=0,1000000,IF(INDEX('計算A'!$D$60:$DS$104,$B18,92)*GF18=1,'計算A'!CQ$6,1000000))</f>
        <v/>
      </c>
      <c r="KX18">
        <f>IF($B18=0,1000000,IF(INDEX('計算A'!$D$60:$DS$104,$B18,93)*GG18=1,'計算A'!CR$6,1000000))</f>
        <v/>
      </c>
      <c r="KY18">
        <f>IF($B18=0,1000000,IF(INDEX('計算A'!$D$60:$DS$104,$B18,94)*GH18=1,'計算A'!CS$6,1000000))</f>
        <v/>
      </c>
      <c r="KZ18">
        <f>IF($B18=0,1000000,IF(INDEX('計算A'!$D$60:$DS$104,$B18,95)*GI18=1,'計算A'!CT$6,1000000))</f>
        <v/>
      </c>
      <c r="LA18">
        <f>IF($B18=0,1000000,IF(INDEX('計算A'!$D$60:$DS$104,$B18,96)*GJ18=1,'計算A'!CU$6,1000000))</f>
        <v/>
      </c>
      <c r="LB18">
        <f>IF($B18=0,1000000,IF(INDEX('計算A'!$D$60:$DS$104,$B18,97)*GK18=1,'計算A'!CV$6,1000000))</f>
        <v/>
      </c>
      <c r="LC18">
        <f>IF($B18=0,1000000,IF(INDEX('計算A'!$D$60:$DS$104,$B18,98)*GL18=1,'計算A'!CW$6,1000000))</f>
        <v/>
      </c>
      <c r="LD18">
        <f>IF($B18=0,1000000,IF(INDEX('計算A'!$D$60:$DS$104,$B18,99)*GM18=1,'計算A'!CX$6,1000000))</f>
        <v/>
      </c>
      <c r="LE18">
        <f>IF($B18=0,1000000,IF(INDEX('計算A'!$D$60:$DS$104,$B18,100)*GN18=1,'計算A'!CY$6,1000000))</f>
        <v/>
      </c>
      <c r="LF18">
        <f>IF($B18=0,1000000,IF(INDEX('計算A'!$D$60:$DS$104,$B18,101)*GO18=1,'計算A'!CZ$6,1000000))</f>
        <v/>
      </c>
      <c r="LG18">
        <f>IF($B18=0,1000000,IF(INDEX('計算A'!$D$60:$DS$104,$B18,102)*GP18=1,'計算A'!DA$6,1000000))</f>
        <v/>
      </c>
      <c r="LH18">
        <f>IF($B18=0,1000000,IF(INDEX('計算A'!$D$60:$DS$104,$B18,103)*GQ18=1,'計算A'!DB$6,1000000))</f>
        <v/>
      </c>
      <c r="LI18">
        <f>IF($B18=0,1000000,IF(INDEX('計算A'!$D$60:$DS$104,$B18,104)*GR18=1,'計算A'!DC$6,1000000))</f>
        <v/>
      </c>
      <c r="LJ18">
        <f>IF($B18=0,1000000,IF(INDEX('計算A'!$D$60:$DS$104,$B18,105)*GS18=1,'計算A'!DD$6,1000000))</f>
        <v/>
      </c>
      <c r="LK18">
        <f>IF($B18=0,1000000,IF(INDEX('計算A'!$D$60:$DS$104,$B18,106)*GT18=1,'計算A'!DE$6,1000000))</f>
        <v/>
      </c>
      <c r="LL18">
        <f>IF($B18=0,1000000,IF(INDEX('計算A'!$D$60:$DS$104,$B18,107)*GU18=1,'計算A'!DF$6,1000000))</f>
        <v/>
      </c>
      <c r="LM18">
        <f>IF($B18=0,1000000,IF(INDEX('計算A'!$D$60:$DS$104,$B18,108)*GV18=1,'計算A'!DG$6,1000000))</f>
        <v/>
      </c>
      <c r="LN18">
        <f>IF($B18=0,1000000,IF(INDEX('計算A'!$D$60:$DS$104,$B18,109)*GW18=1,'計算A'!DH$6,1000000))</f>
        <v/>
      </c>
      <c r="LO18">
        <f>IF($B18=0,1000000,IF(INDEX('計算A'!$D$60:$DS$104,$B18,110)*GX18=1,'計算A'!DI$6,1000000))</f>
        <v/>
      </c>
      <c r="LP18">
        <f>IF($B18=0,1000000,IF(INDEX('計算A'!$D$60:$DS$104,$B18,111)*GY18=1,'計算A'!DJ$6,1000000))</f>
        <v/>
      </c>
      <c r="LQ18">
        <f>IF($B18=0,1000000,IF(INDEX('計算A'!$D$60:$DS$104,$B18,112)*GZ18=1,'計算A'!DK$6,1000000))</f>
        <v/>
      </c>
      <c r="LR18">
        <f>IF($B18=0,1000000,IF(INDEX('計算A'!$D$60:$DS$104,$B18,113)*HA18=1,'計算A'!DL$6,1000000))</f>
        <v/>
      </c>
      <c r="LS18">
        <f>IF($B18=0,1000000,IF(INDEX('計算A'!$D$60:$DS$104,$B18,114)*HB18=1,'計算A'!DM$6,1000000))</f>
        <v/>
      </c>
      <c r="LT18">
        <f>IF($B18=0,1000000,IF(INDEX('計算A'!$D$60:$DS$104,$B18,115)*HC18=1,'計算A'!DN$6,1000000))</f>
        <v/>
      </c>
      <c r="LU18">
        <f>IF($B18=0,1000000,IF(INDEX('計算A'!$D$60:$DS$104,$B18,116)*HD18=1,'計算A'!DO$6,1000000))</f>
        <v/>
      </c>
      <c r="LV18">
        <f>IF($B18=0,1000000,IF(INDEX('計算A'!$D$60:$DS$104,$B18,117)*HE18=1,'計算A'!DP$6,1000000))</f>
        <v/>
      </c>
      <c r="LW18">
        <f>IF($B18=0,1000000,IF(INDEX('計算A'!$D$60:$DS$104,$B18,118)*HF18=1,'計算A'!DQ$6,1000000))</f>
        <v/>
      </c>
      <c r="LX18">
        <f>IF($B18=0,1000000,IF(INDEX('計算A'!$D$60:$DS$104,$B18,119)*HG18=1,'計算A'!DR$6,1000000))</f>
        <v/>
      </c>
      <c r="LY18">
        <f>IF($B18=0,1000000,IF(INDEX('計算A'!$D$60:$DS$104,$B18,120)*HH18=1,'計算A'!DS$6,1000000))</f>
        <v/>
      </c>
    </row>
    <row r="19">
      <c r="A19" t="n">
        <v>17</v>
      </c>
      <c r="B19">
        <f>IF(MIN(AY19:CQ19)&gt;=1000000,0,MATCH(MIN(AY19:CQ19),AY19:CQ19,0))</f>
        <v/>
      </c>
      <c r="C19">
        <f>IF(MIN(HJ19:LY19)&gt;=1000000,0,MATCH(MIN(HJ19:LY19),HJ19:LY19,0))</f>
        <v/>
      </c>
      <c r="D19">
        <f>IF(C19&gt;0,INDEX('計算A'!$D$5:$DS$5,C19),0)</f>
        <v/>
      </c>
      <c r="E19">
        <f>MAX(E18,IF($B18=1,1,0))</f>
        <v/>
      </c>
      <c r="F19">
        <f>MAX(F18,IF($B18=2,1,0))</f>
        <v/>
      </c>
      <c r="G19">
        <f>MAX(G18,IF($B18=3,1,0))</f>
        <v/>
      </c>
      <c r="H19">
        <f>MAX(H18,IF($B18=4,1,0))</f>
        <v/>
      </c>
      <c r="I19">
        <f>MAX(I18,IF($B18=5,1,0))</f>
        <v/>
      </c>
      <c r="J19">
        <f>MAX(J18,IF($B18=6,1,0))</f>
        <v/>
      </c>
      <c r="K19">
        <f>MAX(K18,IF($B18=7,1,0))</f>
        <v/>
      </c>
      <c r="L19">
        <f>MAX(L18,IF($B18=8,1,0))</f>
        <v/>
      </c>
      <c r="M19">
        <f>MAX(M18,IF($B18=9,1,0))</f>
        <v/>
      </c>
      <c r="N19">
        <f>MAX(N18,IF($B18=10,1,0))</f>
        <v/>
      </c>
      <c r="O19">
        <f>MAX(O18,IF($B18=11,1,0))</f>
        <v/>
      </c>
      <c r="P19">
        <f>MAX(P18,IF($B18=12,1,0))</f>
        <v/>
      </c>
      <c r="Q19">
        <f>MAX(Q18,IF($B18=13,1,0))</f>
        <v/>
      </c>
      <c r="R19">
        <f>MAX(R18,IF($B18=14,1,0))</f>
        <v/>
      </c>
      <c r="S19">
        <f>MAX(S18,IF($B18=15,1,0))</f>
        <v/>
      </c>
      <c r="T19">
        <f>MAX(T18,IF($B18=16,1,0))</f>
        <v/>
      </c>
      <c r="U19">
        <f>MAX(U18,IF($B18=17,1,0))</f>
        <v/>
      </c>
      <c r="V19">
        <f>MAX(V18,IF($B18=18,1,0))</f>
        <v/>
      </c>
      <c r="W19">
        <f>MAX(W18,IF($B18=19,1,0))</f>
        <v/>
      </c>
      <c r="X19">
        <f>MAX(X18,IF($B18=20,1,0))</f>
        <v/>
      </c>
      <c r="Y19">
        <f>MAX(Y18,IF($B18=21,1,0))</f>
        <v/>
      </c>
      <c r="Z19">
        <f>MAX(Z18,IF($B18=22,1,0))</f>
        <v/>
      </c>
      <c r="AA19">
        <f>MAX(AA18,IF($B18=23,1,0))</f>
        <v/>
      </c>
      <c r="AB19">
        <f>MAX(AB18,IF($B18=24,1,0))</f>
        <v/>
      </c>
      <c r="AC19">
        <f>MAX(AC18,IF($B18=25,1,0))</f>
        <v/>
      </c>
      <c r="AD19">
        <f>MAX(AD18,IF($B18=26,1,0))</f>
        <v/>
      </c>
      <c r="AE19">
        <f>MAX(AE18,IF($B18=27,1,0))</f>
        <v/>
      </c>
      <c r="AF19">
        <f>MAX(AF18,IF($B18=28,1,0))</f>
        <v/>
      </c>
      <c r="AG19">
        <f>MAX(AG18,IF($B18=29,1,0))</f>
        <v/>
      </c>
      <c r="AH19">
        <f>MAX(AH18,IF($B18=30,1,0))</f>
        <v/>
      </c>
      <c r="AI19">
        <f>MAX(AI18,IF($B18=31,1,0))</f>
        <v/>
      </c>
      <c r="AJ19">
        <f>MAX(AJ18,IF($B18=32,1,0))</f>
        <v/>
      </c>
      <c r="AK19">
        <f>MAX(AK18,IF($B18=33,1,0))</f>
        <v/>
      </c>
      <c r="AL19">
        <f>MAX(AL18,IF($B18=34,1,0))</f>
        <v/>
      </c>
      <c r="AM19">
        <f>MAX(AM18,IF($B18=35,1,0))</f>
        <v/>
      </c>
      <c r="AN19">
        <f>MAX(AN18,IF($B18=36,1,0))</f>
        <v/>
      </c>
      <c r="AO19">
        <f>MAX(AO18,IF($B18=37,1,0))</f>
        <v/>
      </c>
      <c r="AP19">
        <f>MAX(AP18,IF($B18=38,1,0))</f>
        <v/>
      </c>
      <c r="AQ19">
        <f>MAX(AQ18,IF($B18=39,1,0))</f>
        <v/>
      </c>
      <c r="AR19">
        <f>MAX(AR18,IF($B18=40,1,0))</f>
        <v/>
      </c>
      <c r="AS19">
        <f>MAX(AS18,IF($B18=41,1,0))</f>
        <v/>
      </c>
      <c r="AT19">
        <f>MAX(AT18,IF($B18=42,1,0))</f>
        <v/>
      </c>
      <c r="AU19">
        <f>MAX(AU18,IF($B18=43,1,0))</f>
        <v/>
      </c>
      <c r="AV19">
        <f>MAX(AV18,IF($B18=44,1,0))</f>
        <v/>
      </c>
      <c r="AW19">
        <f>MAX(AW18,IF($B18=45,1,0))</f>
        <v/>
      </c>
      <c r="AY19">
        <f>IF(E19=1,1000000,SUMPRODUCT('計算A'!$D$60:$DS$60,$CS19:$HH19)*1000+1)</f>
        <v/>
      </c>
      <c r="AZ19">
        <f>IF(F19=1,1000000,SUMPRODUCT('計算A'!$D$61:$DS$61,$CS19:$HH19)*1000+2)</f>
        <v/>
      </c>
      <c r="BA19">
        <f>IF(G19=1,1000000,SUMPRODUCT('計算A'!$D$62:$DS$62,$CS19:$HH19)*1000+3)</f>
        <v/>
      </c>
      <c r="BB19">
        <f>IF(H19=1,1000000,SUMPRODUCT('計算A'!$D$63:$DS$63,$CS19:$HH19)*1000+4)</f>
        <v/>
      </c>
      <c r="BC19">
        <f>IF(I19=1,1000000,SUMPRODUCT('計算A'!$D$64:$DS$64,$CS19:$HH19)*1000+5)</f>
        <v/>
      </c>
      <c r="BD19">
        <f>IF(J19=1,1000000,SUMPRODUCT('計算A'!$D$65:$DS$65,$CS19:$HH19)*1000+6)</f>
        <v/>
      </c>
      <c r="BE19">
        <f>IF(K19=1,1000000,SUMPRODUCT('計算A'!$D$66:$DS$66,$CS19:$HH19)*1000+7)</f>
        <v/>
      </c>
      <c r="BF19">
        <f>IF(L19=1,1000000,SUMPRODUCT('計算A'!$D$67:$DS$67,$CS19:$HH19)*1000+8)</f>
        <v/>
      </c>
      <c r="BG19">
        <f>IF(M19=1,1000000,SUMPRODUCT('計算A'!$D$68:$DS$68,$CS19:$HH19)*1000+9)</f>
        <v/>
      </c>
      <c r="BH19">
        <f>IF(N19=1,1000000,SUMPRODUCT('計算A'!$D$69:$DS$69,$CS19:$HH19)*1000+10)</f>
        <v/>
      </c>
      <c r="BI19">
        <f>IF(O19=1,1000000,SUMPRODUCT('計算A'!$D$70:$DS$70,$CS19:$HH19)*1000+11)</f>
        <v/>
      </c>
      <c r="BJ19">
        <f>IF(P19=1,1000000,SUMPRODUCT('計算A'!$D$71:$DS$71,$CS19:$HH19)*1000+12)</f>
        <v/>
      </c>
      <c r="BK19">
        <f>IF(Q19=1,1000000,SUMPRODUCT('計算A'!$D$72:$DS$72,$CS19:$HH19)*1000+13)</f>
        <v/>
      </c>
      <c r="BL19">
        <f>IF(R19=1,1000000,SUMPRODUCT('計算A'!$D$73:$DS$73,$CS19:$HH19)*1000+14)</f>
        <v/>
      </c>
      <c r="BM19">
        <f>IF(S19=1,1000000,SUMPRODUCT('計算A'!$D$74:$DS$74,$CS19:$HH19)*1000+15)</f>
        <v/>
      </c>
      <c r="BN19">
        <f>IF(T19=1,1000000,SUMPRODUCT('計算A'!$D$75:$DS$75,$CS19:$HH19)*1000+16)</f>
        <v/>
      </c>
      <c r="BO19">
        <f>IF(U19=1,1000000,SUMPRODUCT('計算A'!$D$76:$DS$76,$CS19:$HH19)*1000+17)</f>
        <v/>
      </c>
      <c r="BP19">
        <f>IF(V19=1,1000000,SUMPRODUCT('計算A'!$D$77:$DS$77,$CS19:$HH19)*1000+18)</f>
        <v/>
      </c>
      <c r="BQ19">
        <f>IF(W19=1,1000000,SUMPRODUCT('計算A'!$D$78:$DS$78,$CS19:$HH19)*1000+19)</f>
        <v/>
      </c>
      <c r="BR19">
        <f>IF(X19=1,1000000,SUMPRODUCT('計算A'!$D$79:$DS$79,$CS19:$HH19)*1000+20)</f>
        <v/>
      </c>
      <c r="BS19">
        <f>IF(Y19=1,1000000,SUMPRODUCT('計算A'!$D$80:$DS$80,$CS19:$HH19)*1000+21)</f>
        <v/>
      </c>
      <c r="BT19">
        <f>IF(Z19=1,1000000,SUMPRODUCT('計算A'!$D$81:$DS$81,$CS19:$HH19)*1000+22)</f>
        <v/>
      </c>
      <c r="BU19">
        <f>IF(AA19=1,1000000,SUMPRODUCT('計算A'!$D$82:$DS$82,$CS19:$HH19)*1000+23)</f>
        <v/>
      </c>
      <c r="BV19">
        <f>IF(AB19=1,1000000,SUMPRODUCT('計算A'!$D$83:$DS$83,$CS19:$HH19)*1000+24)</f>
        <v/>
      </c>
      <c r="BW19">
        <f>IF(AC19=1,1000000,SUMPRODUCT('計算A'!$D$84:$DS$84,$CS19:$HH19)*1000+25)</f>
        <v/>
      </c>
      <c r="BX19">
        <f>IF(AD19=1,1000000,SUMPRODUCT('計算A'!$D$85:$DS$85,$CS19:$HH19)*1000+26)</f>
        <v/>
      </c>
      <c r="BY19">
        <f>IF(AE19=1,1000000,SUMPRODUCT('計算A'!$D$86:$DS$86,$CS19:$HH19)*1000+27)</f>
        <v/>
      </c>
      <c r="BZ19">
        <f>IF(AF19=1,1000000,SUMPRODUCT('計算A'!$D$87:$DS$87,$CS19:$HH19)*1000+28)</f>
        <v/>
      </c>
      <c r="CA19">
        <f>IF(AG19=1,1000000,SUMPRODUCT('計算A'!$D$88:$DS$88,$CS19:$HH19)*1000+29)</f>
        <v/>
      </c>
      <c r="CB19">
        <f>IF(AH19=1,1000000,SUMPRODUCT('計算A'!$D$89:$DS$89,$CS19:$HH19)*1000+30)</f>
        <v/>
      </c>
      <c r="CC19">
        <f>IF(AI19=1,1000000,SUMPRODUCT('計算A'!$D$90:$DS$90,$CS19:$HH19)*1000+31)</f>
        <v/>
      </c>
      <c r="CD19">
        <f>IF(AJ19=1,1000000,SUMPRODUCT('計算A'!$D$91:$DS$91,$CS19:$HH19)*1000+32)</f>
        <v/>
      </c>
      <c r="CE19">
        <f>IF(AK19=1,1000000,SUMPRODUCT('計算A'!$D$92:$DS$92,$CS19:$HH19)*1000+33)</f>
        <v/>
      </c>
      <c r="CF19">
        <f>IF(AL19=1,1000000,SUMPRODUCT('計算A'!$D$93:$DS$93,$CS19:$HH19)*1000+34)</f>
        <v/>
      </c>
      <c r="CG19">
        <f>IF(AM19=1,1000000,SUMPRODUCT('計算A'!$D$94:$DS$94,$CS19:$HH19)*1000+35)</f>
        <v/>
      </c>
      <c r="CH19">
        <f>IF(AN19=1,1000000,SUMPRODUCT('計算A'!$D$95:$DS$95,$CS19:$HH19)*1000+36)</f>
        <v/>
      </c>
      <c r="CI19">
        <f>IF(AO19=1,1000000,SUMPRODUCT('計算A'!$D$96:$DS$96,$CS19:$HH19)*1000+37)</f>
        <v/>
      </c>
      <c r="CJ19">
        <f>IF(AP19=1,1000000,SUMPRODUCT('計算A'!$D$97:$DS$97,$CS19:$HH19)*1000+38)</f>
        <v/>
      </c>
      <c r="CK19">
        <f>IF(AQ19=1,1000000,SUMPRODUCT('計算A'!$D$98:$DS$98,$CS19:$HH19)*1000+39)</f>
        <v/>
      </c>
      <c r="CL19">
        <f>IF(AR19=1,1000000,SUMPRODUCT('計算A'!$D$99:$DS$99,$CS19:$HH19)*1000+40)</f>
        <v/>
      </c>
      <c r="CM19">
        <f>IF(AS19=1,1000000,SUMPRODUCT('計算A'!$D$100:$DS$100,$CS19:$HH19)*1000+41)</f>
        <v/>
      </c>
      <c r="CN19">
        <f>IF(AT19=1,1000000,SUMPRODUCT('計算A'!$D$101:$DS$101,$CS19:$HH19)*1000+42)</f>
        <v/>
      </c>
      <c r="CO19">
        <f>IF(AU19=1,1000000,SUMPRODUCT('計算A'!$D$102:$DS$102,$CS19:$HH19)*1000+43)</f>
        <v/>
      </c>
      <c r="CP19">
        <f>IF(AV19=1,1000000,SUMPRODUCT('計算A'!$D$103:$DS$103,$CS19:$HH19)*1000+44)</f>
        <v/>
      </c>
      <c r="CQ19">
        <f>IF(AW19=1,1000000,SUMPRODUCT('計算A'!$D$104:$DS$104,$CS19:$HH19)*1000+45)</f>
        <v/>
      </c>
      <c r="CS19">
        <f>CS18*IF($C18=1,0,1)</f>
        <v/>
      </c>
      <c r="CT19">
        <f>CT18*IF($C18=2,0,1)</f>
        <v/>
      </c>
      <c r="CU19">
        <f>CU18*IF($C18=3,0,1)</f>
        <v/>
      </c>
      <c r="CV19">
        <f>CV18*IF($C18=4,0,1)</f>
        <v/>
      </c>
      <c r="CW19">
        <f>CW18*IF($C18=5,0,1)</f>
        <v/>
      </c>
      <c r="CX19">
        <f>CX18*IF($C18=6,0,1)</f>
        <v/>
      </c>
      <c r="CY19">
        <f>CY18*IF($C18=7,0,1)</f>
        <v/>
      </c>
      <c r="CZ19">
        <f>CZ18*IF($C18=8,0,1)</f>
        <v/>
      </c>
      <c r="DA19">
        <f>DA18*IF($C18=9,0,1)</f>
        <v/>
      </c>
      <c r="DB19">
        <f>DB18*IF($C18=10,0,1)</f>
        <v/>
      </c>
      <c r="DC19">
        <f>DC18*IF($C18=11,0,1)</f>
        <v/>
      </c>
      <c r="DD19">
        <f>DD18*IF($C18=12,0,1)</f>
        <v/>
      </c>
      <c r="DE19">
        <f>DE18*IF($C18=13,0,1)</f>
        <v/>
      </c>
      <c r="DF19">
        <f>DF18*IF($C18=14,0,1)</f>
        <v/>
      </c>
      <c r="DG19">
        <f>DG18*IF($C18=15,0,1)</f>
        <v/>
      </c>
      <c r="DH19">
        <f>DH18*IF($C18=16,0,1)</f>
        <v/>
      </c>
      <c r="DI19">
        <f>DI18*IF($C18=17,0,1)</f>
        <v/>
      </c>
      <c r="DJ19">
        <f>DJ18*IF($C18=18,0,1)</f>
        <v/>
      </c>
      <c r="DK19">
        <f>DK18*IF($C18=19,0,1)</f>
        <v/>
      </c>
      <c r="DL19">
        <f>DL18*IF($C18=20,0,1)</f>
        <v/>
      </c>
      <c r="DM19">
        <f>DM18*IF($C18=21,0,1)</f>
        <v/>
      </c>
      <c r="DN19">
        <f>DN18*IF($C18=22,0,1)</f>
        <v/>
      </c>
      <c r="DO19">
        <f>DO18*IF($C18=23,0,1)</f>
        <v/>
      </c>
      <c r="DP19">
        <f>DP18*IF($C18=24,0,1)</f>
        <v/>
      </c>
      <c r="DQ19">
        <f>DQ18*IF($C18=25,0,1)</f>
        <v/>
      </c>
      <c r="DR19">
        <f>DR18*IF($C18=26,0,1)</f>
        <v/>
      </c>
      <c r="DS19">
        <f>DS18*IF($C18=27,0,1)</f>
        <v/>
      </c>
      <c r="DT19">
        <f>DT18*IF($C18=28,0,1)</f>
        <v/>
      </c>
      <c r="DU19">
        <f>DU18*IF($C18=29,0,1)</f>
        <v/>
      </c>
      <c r="DV19">
        <f>DV18*IF($C18=30,0,1)</f>
        <v/>
      </c>
      <c r="DW19">
        <f>DW18*IF($C18=31,0,1)</f>
        <v/>
      </c>
      <c r="DX19">
        <f>DX18*IF($C18=32,0,1)</f>
        <v/>
      </c>
      <c r="DY19">
        <f>DY18*IF($C18=33,0,1)</f>
        <v/>
      </c>
      <c r="DZ19">
        <f>DZ18*IF($C18=34,0,1)</f>
        <v/>
      </c>
      <c r="EA19">
        <f>EA18*IF($C18=35,0,1)</f>
        <v/>
      </c>
      <c r="EB19">
        <f>EB18*IF($C18=36,0,1)</f>
        <v/>
      </c>
      <c r="EC19">
        <f>EC18*IF($C18=37,0,1)</f>
        <v/>
      </c>
      <c r="ED19">
        <f>ED18*IF($C18=38,0,1)</f>
        <v/>
      </c>
      <c r="EE19">
        <f>EE18*IF($C18=39,0,1)</f>
        <v/>
      </c>
      <c r="EF19">
        <f>EF18*IF($C18=40,0,1)</f>
        <v/>
      </c>
      <c r="EG19">
        <f>EG18*IF($C18=41,0,1)</f>
        <v/>
      </c>
      <c r="EH19">
        <f>EH18*IF($C18=42,0,1)</f>
        <v/>
      </c>
      <c r="EI19">
        <f>EI18*IF($C18=43,0,1)</f>
        <v/>
      </c>
      <c r="EJ19">
        <f>EJ18*IF($C18=44,0,1)</f>
        <v/>
      </c>
      <c r="EK19">
        <f>EK18*IF($C18=45,0,1)</f>
        <v/>
      </c>
      <c r="EL19">
        <f>EL18*IF($C18=46,0,1)</f>
        <v/>
      </c>
      <c r="EM19">
        <f>EM18*IF($C18=47,0,1)</f>
        <v/>
      </c>
      <c r="EN19">
        <f>EN18*IF($C18=48,0,1)</f>
        <v/>
      </c>
      <c r="EO19">
        <f>EO18*IF($C18=49,0,1)</f>
        <v/>
      </c>
      <c r="EP19">
        <f>EP18*IF($C18=50,0,1)</f>
        <v/>
      </c>
      <c r="EQ19">
        <f>EQ18*IF($C18=51,0,1)</f>
        <v/>
      </c>
      <c r="ER19">
        <f>ER18*IF($C18=52,0,1)</f>
        <v/>
      </c>
      <c r="ES19">
        <f>ES18*IF($C18=53,0,1)</f>
        <v/>
      </c>
      <c r="ET19">
        <f>ET18*IF($C18=54,0,1)</f>
        <v/>
      </c>
      <c r="EU19">
        <f>EU18*IF($C18=55,0,1)</f>
        <v/>
      </c>
      <c r="EV19">
        <f>EV18*IF($C18=56,0,1)</f>
        <v/>
      </c>
      <c r="EW19">
        <f>EW18*IF($C18=57,0,1)</f>
        <v/>
      </c>
      <c r="EX19">
        <f>EX18*IF($C18=58,0,1)</f>
        <v/>
      </c>
      <c r="EY19">
        <f>EY18*IF($C18=59,0,1)</f>
        <v/>
      </c>
      <c r="EZ19">
        <f>EZ18*IF($C18=60,0,1)</f>
        <v/>
      </c>
      <c r="FA19">
        <f>FA18*IF($C18=61,0,1)</f>
        <v/>
      </c>
      <c r="FB19">
        <f>FB18*IF($C18=62,0,1)</f>
        <v/>
      </c>
      <c r="FC19">
        <f>FC18*IF($C18=63,0,1)</f>
        <v/>
      </c>
      <c r="FD19">
        <f>FD18*IF($C18=64,0,1)</f>
        <v/>
      </c>
      <c r="FE19">
        <f>FE18*IF($C18=65,0,1)</f>
        <v/>
      </c>
      <c r="FF19">
        <f>FF18*IF($C18=66,0,1)</f>
        <v/>
      </c>
      <c r="FG19">
        <f>FG18*IF($C18=67,0,1)</f>
        <v/>
      </c>
      <c r="FH19">
        <f>FH18*IF($C18=68,0,1)</f>
        <v/>
      </c>
      <c r="FI19">
        <f>FI18*IF($C18=69,0,1)</f>
        <v/>
      </c>
      <c r="FJ19">
        <f>FJ18*IF($C18=70,0,1)</f>
        <v/>
      </c>
      <c r="FK19">
        <f>FK18*IF($C18=71,0,1)</f>
        <v/>
      </c>
      <c r="FL19">
        <f>FL18*IF($C18=72,0,1)</f>
        <v/>
      </c>
      <c r="FM19">
        <f>FM18*IF($C18=73,0,1)</f>
        <v/>
      </c>
      <c r="FN19">
        <f>FN18*IF($C18=74,0,1)</f>
        <v/>
      </c>
      <c r="FO19">
        <f>FO18*IF($C18=75,0,1)</f>
        <v/>
      </c>
      <c r="FP19">
        <f>FP18*IF($C18=76,0,1)</f>
        <v/>
      </c>
      <c r="FQ19">
        <f>FQ18*IF($C18=77,0,1)</f>
        <v/>
      </c>
      <c r="FR19">
        <f>FR18*IF($C18=78,0,1)</f>
        <v/>
      </c>
      <c r="FS19">
        <f>FS18*IF($C18=79,0,1)</f>
        <v/>
      </c>
      <c r="FT19">
        <f>FT18*IF($C18=80,0,1)</f>
        <v/>
      </c>
      <c r="FU19">
        <f>FU18*IF($C18=81,0,1)</f>
        <v/>
      </c>
      <c r="FV19">
        <f>FV18*IF($C18=82,0,1)</f>
        <v/>
      </c>
      <c r="FW19">
        <f>FW18*IF($C18=83,0,1)</f>
        <v/>
      </c>
      <c r="FX19">
        <f>FX18*IF($C18=84,0,1)</f>
        <v/>
      </c>
      <c r="FY19">
        <f>FY18*IF($C18=85,0,1)</f>
        <v/>
      </c>
      <c r="FZ19">
        <f>FZ18*IF($C18=86,0,1)</f>
        <v/>
      </c>
      <c r="GA19">
        <f>GA18*IF($C18=87,0,1)</f>
        <v/>
      </c>
      <c r="GB19">
        <f>GB18*IF($C18=88,0,1)</f>
        <v/>
      </c>
      <c r="GC19">
        <f>GC18*IF($C18=89,0,1)</f>
        <v/>
      </c>
      <c r="GD19">
        <f>GD18*IF($C18=90,0,1)</f>
        <v/>
      </c>
      <c r="GE19">
        <f>GE18*IF($C18=91,0,1)</f>
        <v/>
      </c>
      <c r="GF19">
        <f>GF18*IF($C18=92,0,1)</f>
        <v/>
      </c>
      <c r="GG19">
        <f>GG18*IF($C18=93,0,1)</f>
        <v/>
      </c>
      <c r="GH19">
        <f>GH18*IF($C18=94,0,1)</f>
        <v/>
      </c>
      <c r="GI19">
        <f>GI18*IF($C18=95,0,1)</f>
        <v/>
      </c>
      <c r="GJ19">
        <f>GJ18*IF($C18=96,0,1)</f>
        <v/>
      </c>
      <c r="GK19">
        <f>GK18*IF($C18=97,0,1)</f>
        <v/>
      </c>
      <c r="GL19">
        <f>GL18*IF($C18=98,0,1)</f>
        <v/>
      </c>
      <c r="GM19">
        <f>GM18*IF($C18=99,0,1)</f>
        <v/>
      </c>
      <c r="GN19">
        <f>GN18*IF($C18=100,0,1)</f>
        <v/>
      </c>
      <c r="GO19">
        <f>GO18*IF($C18=101,0,1)</f>
        <v/>
      </c>
      <c r="GP19">
        <f>GP18*IF($C18=102,0,1)</f>
        <v/>
      </c>
      <c r="GQ19">
        <f>GQ18*IF($C18=103,0,1)</f>
        <v/>
      </c>
      <c r="GR19">
        <f>GR18*IF($C18=104,0,1)</f>
        <v/>
      </c>
      <c r="GS19">
        <f>GS18*IF($C18=105,0,1)</f>
        <v/>
      </c>
      <c r="GT19">
        <f>GT18*IF($C18=106,0,1)</f>
        <v/>
      </c>
      <c r="GU19">
        <f>GU18*IF($C18=107,0,1)</f>
        <v/>
      </c>
      <c r="GV19">
        <f>GV18*IF($C18=108,0,1)</f>
        <v/>
      </c>
      <c r="GW19">
        <f>GW18*IF($C18=109,0,1)</f>
        <v/>
      </c>
      <c r="GX19">
        <f>GX18*IF($C18=110,0,1)</f>
        <v/>
      </c>
      <c r="GY19">
        <f>GY18*IF($C18=111,0,1)</f>
        <v/>
      </c>
      <c r="GZ19">
        <f>GZ18*IF($C18=112,0,1)</f>
        <v/>
      </c>
      <c r="HA19">
        <f>HA18*IF($C18=113,0,1)</f>
        <v/>
      </c>
      <c r="HB19">
        <f>HB18*IF($C18=114,0,1)</f>
        <v/>
      </c>
      <c r="HC19">
        <f>HC18*IF($C18=115,0,1)</f>
        <v/>
      </c>
      <c r="HD19">
        <f>HD18*IF($C18=116,0,1)</f>
        <v/>
      </c>
      <c r="HE19">
        <f>HE18*IF($C18=117,0,1)</f>
        <v/>
      </c>
      <c r="HF19">
        <f>HF18*IF($C18=118,0,1)</f>
        <v/>
      </c>
      <c r="HG19">
        <f>HG18*IF($C18=119,0,1)</f>
        <v/>
      </c>
      <c r="HH19">
        <f>HH18*IF($C18=120,0,1)</f>
        <v/>
      </c>
      <c r="HJ19">
        <f>IF($B19=0,1000000,IF(INDEX('計算A'!$D$60:$DS$104,$B19,1)*CS19=1,'計算A'!D$6,1000000))</f>
        <v/>
      </c>
      <c r="HK19">
        <f>IF($B19=0,1000000,IF(INDEX('計算A'!$D$60:$DS$104,$B19,2)*CT19=1,'計算A'!E$6,1000000))</f>
        <v/>
      </c>
      <c r="HL19">
        <f>IF($B19=0,1000000,IF(INDEX('計算A'!$D$60:$DS$104,$B19,3)*CU19=1,'計算A'!F$6,1000000))</f>
        <v/>
      </c>
      <c r="HM19">
        <f>IF($B19=0,1000000,IF(INDEX('計算A'!$D$60:$DS$104,$B19,4)*CV19=1,'計算A'!G$6,1000000))</f>
        <v/>
      </c>
      <c r="HN19">
        <f>IF($B19=0,1000000,IF(INDEX('計算A'!$D$60:$DS$104,$B19,5)*CW19=1,'計算A'!H$6,1000000))</f>
        <v/>
      </c>
      <c r="HO19">
        <f>IF($B19=0,1000000,IF(INDEX('計算A'!$D$60:$DS$104,$B19,6)*CX19=1,'計算A'!I$6,1000000))</f>
        <v/>
      </c>
      <c r="HP19">
        <f>IF($B19=0,1000000,IF(INDEX('計算A'!$D$60:$DS$104,$B19,7)*CY19=1,'計算A'!J$6,1000000))</f>
        <v/>
      </c>
      <c r="HQ19">
        <f>IF($B19=0,1000000,IF(INDEX('計算A'!$D$60:$DS$104,$B19,8)*CZ19=1,'計算A'!K$6,1000000))</f>
        <v/>
      </c>
      <c r="HR19">
        <f>IF($B19=0,1000000,IF(INDEX('計算A'!$D$60:$DS$104,$B19,9)*DA19=1,'計算A'!L$6,1000000))</f>
        <v/>
      </c>
      <c r="HS19">
        <f>IF($B19=0,1000000,IF(INDEX('計算A'!$D$60:$DS$104,$B19,10)*DB19=1,'計算A'!M$6,1000000))</f>
        <v/>
      </c>
      <c r="HT19">
        <f>IF($B19=0,1000000,IF(INDEX('計算A'!$D$60:$DS$104,$B19,11)*DC19=1,'計算A'!N$6,1000000))</f>
        <v/>
      </c>
      <c r="HU19">
        <f>IF($B19=0,1000000,IF(INDEX('計算A'!$D$60:$DS$104,$B19,12)*DD19=1,'計算A'!O$6,1000000))</f>
        <v/>
      </c>
      <c r="HV19">
        <f>IF($B19=0,1000000,IF(INDEX('計算A'!$D$60:$DS$104,$B19,13)*DE19=1,'計算A'!P$6,1000000))</f>
        <v/>
      </c>
      <c r="HW19">
        <f>IF($B19=0,1000000,IF(INDEX('計算A'!$D$60:$DS$104,$B19,14)*DF19=1,'計算A'!Q$6,1000000))</f>
        <v/>
      </c>
      <c r="HX19">
        <f>IF($B19=0,1000000,IF(INDEX('計算A'!$D$60:$DS$104,$B19,15)*DG19=1,'計算A'!R$6,1000000))</f>
        <v/>
      </c>
      <c r="HY19">
        <f>IF($B19=0,1000000,IF(INDEX('計算A'!$D$60:$DS$104,$B19,16)*DH19=1,'計算A'!S$6,1000000))</f>
        <v/>
      </c>
      <c r="HZ19">
        <f>IF($B19=0,1000000,IF(INDEX('計算A'!$D$60:$DS$104,$B19,17)*DI19=1,'計算A'!T$6,1000000))</f>
        <v/>
      </c>
      <c r="IA19">
        <f>IF($B19=0,1000000,IF(INDEX('計算A'!$D$60:$DS$104,$B19,18)*DJ19=1,'計算A'!U$6,1000000))</f>
        <v/>
      </c>
      <c r="IB19">
        <f>IF($B19=0,1000000,IF(INDEX('計算A'!$D$60:$DS$104,$B19,19)*DK19=1,'計算A'!V$6,1000000))</f>
        <v/>
      </c>
      <c r="IC19">
        <f>IF($B19=0,1000000,IF(INDEX('計算A'!$D$60:$DS$104,$B19,20)*DL19=1,'計算A'!W$6,1000000))</f>
        <v/>
      </c>
      <c r="ID19">
        <f>IF($B19=0,1000000,IF(INDEX('計算A'!$D$60:$DS$104,$B19,21)*DM19=1,'計算A'!X$6,1000000))</f>
        <v/>
      </c>
      <c r="IE19">
        <f>IF($B19=0,1000000,IF(INDEX('計算A'!$D$60:$DS$104,$B19,22)*DN19=1,'計算A'!Y$6,1000000))</f>
        <v/>
      </c>
      <c r="IF19">
        <f>IF($B19=0,1000000,IF(INDEX('計算A'!$D$60:$DS$104,$B19,23)*DO19=1,'計算A'!Z$6,1000000))</f>
        <v/>
      </c>
      <c r="IG19">
        <f>IF($B19=0,1000000,IF(INDEX('計算A'!$D$60:$DS$104,$B19,24)*DP19=1,'計算A'!AA$6,1000000))</f>
        <v/>
      </c>
      <c r="IH19">
        <f>IF($B19=0,1000000,IF(INDEX('計算A'!$D$60:$DS$104,$B19,25)*DQ19=1,'計算A'!AB$6,1000000))</f>
        <v/>
      </c>
      <c r="II19">
        <f>IF($B19=0,1000000,IF(INDEX('計算A'!$D$60:$DS$104,$B19,26)*DR19=1,'計算A'!AC$6,1000000))</f>
        <v/>
      </c>
      <c r="IJ19">
        <f>IF($B19=0,1000000,IF(INDEX('計算A'!$D$60:$DS$104,$B19,27)*DS19=1,'計算A'!AD$6,1000000))</f>
        <v/>
      </c>
      <c r="IK19">
        <f>IF($B19=0,1000000,IF(INDEX('計算A'!$D$60:$DS$104,$B19,28)*DT19=1,'計算A'!AE$6,1000000))</f>
        <v/>
      </c>
      <c r="IL19">
        <f>IF($B19=0,1000000,IF(INDEX('計算A'!$D$60:$DS$104,$B19,29)*DU19=1,'計算A'!AF$6,1000000))</f>
        <v/>
      </c>
      <c r="IM19">
        <f>IF($B19=0,1000000,IF(INDEX('計算A'!$D$60:$DS$104,$B19,30)*DV19=1,'計算A'!AG$6,1000000))</f>
        <v/>
      </c>
      <c r="IN19">
        <f>IF($B19=0,1000000,IF(INDEX('計算A'!$D$60:$DS$104,$B19,31)*DW19=1,'計算A'!AH$6,1000000))</f>
        <v/>
      </c>
      <c r="IO19">
        <f>IF($B19=0,1000000,IF(INDEX('計算A'!$D$60:$DS$104,$B19,32)*DX19=1,'計算A'!AI$6,1000000))</f>
        <v/>
      </c>
      <c r="IP19">
        <f>IF($B19=0,1000000,IF(INDEX('計算A'!$D$60:$DS$104,$B19,33)*DY19=1,'計算A'!AJ$6,1000000))</f>
        <v/>
      </c>
      <c r="IQ19">
        <f>IF($B19=0,1000000,IF(INDEX('計算A'!$D$60:$DS$104,$B19,34)*DZ19=1,'計算A'!AK$6,1000000))</f>
        <v/>
      </c>
      <c r="IR19">
        <f>IF($B19=0,1000000,IF(INDEX('計算A'!$D$60:$DS$104,$B19,35)*EA19=1,'計算A'!AL$6,1000000))</f>
        <v/>
      </c>
      <c r="IS19">
        <f>IF($B19=0,1000000,IF(INDEX('計算A'!$D$60:$DS$104,$B19,36)*EB19=1,'計算A'!AM$6,1000000))</f>
        <v/>
      </c>
      <c r="IT19">
        <f>IF($B19=0,1000000,IF(INDEX('計算A'!$D$60:$DS$104,$B19,37)*EC19=1,'計算A'!AN$6,1000000))</f>
        <v/>
      </c>
      <c r="IU19">
        <f>IF($B19=0,1000000,IF(INDEX('計算A'!$D$60:$DS$104,$B19,38)*ED19=1,'計算A'!AO$6,1000000))</f>
        <v/>
      </c>
      <c r="IV19">
        <f>IF($B19=0,1000000,IF(INDEX('計算A'!$D$60:$DS$104,$B19,39)*EE19=1,'計算A'!AP$6,1000000))</f>
        <v/>
      </c>
      <c r="IW19">
        <f>IF($B19=0,1000000,IF(INDEX('計算A'!$D$60:$DS$104,$B19,40)*EF19=1,'計算A'!AQ$6,1000000))</f>
        <v/>
      </c>
      <c r="IX19">
        <f>IF($B19=0,1000000,IF(INDEX('計算A'!$D$60:$DS$104,$B19,41)*EG19=1,'計算A'!AR$6,1000000))</f>
        <v/>
      </c>
      <c r="IY19">
        <f>IF($B19=0,1000000,IF(INDEX('計算A'!$D$60:$DS$104,$B19,42)*EH19=1,'計算A'!AS$6,1000000))</f>
        <v/>
      </c>
      <c r="IZ19">
        <f>IF($B19=0,1000000,IF(INDEX('計算A'!$D$60:$DS$104,$B19,43)*EI19=1,'計算A'!AT$6,1000000))</f>
        <v/>
      </c>
      <c r="JA19">
        <f>IF($B19=0,1000000,IF(INDEX('計算A'!$D$60:$DS$104,$B19,44)*EJ19=1,'計算A'!AU$6,1000000))</f>
        <v/>
      </c>
      <c r="JB19">
        <f>IF($B19=0,1000000,IF(INDEX('計算A'!$D$60:$DS$104,$B19,45)*EK19=1,'計算A'!AV$6,1000000))</f>
        <v/>
      </c>
      <c r="JC19">
        <f>IF($B19=0,1000000,IF(INDEX('計算A'!$D$60:$DS$104,$B19,46)*EL19=1,'計算A'!AW$6,1000000))</f>
        <v/>
      </c>
      <c r="JD19">
        <f>IF($B19=0,1000000,IF(INDEX('計算A'!$D$60:$DS$104,$B19,47)*EM19=1,'計算A'!AX$6,1000000))</f>
        <v/>
      </c>
      <c r="JE19">
        <f>IF($B19=0,1000000,IF(INDEX('計算A'!$D$60:$DS$104,$B19,48)*EN19=1,'計算A'!AY$6,1000000))</f>
        <v/>
      </c>
      <c r="JF19">
        <f>IF($B19=0,1000000,IF(INDEX('計算A'!$D$60:$DS$104,$B19,49)*EO19=1,'計算A'!AZ$6,1000000))</f>
        <v/>
      </c>
      <c r="JG19">
        <f>IF($B19=0,1000000,IF(INDEX('計算A'!$D$60:$DS$104,$B19,50)*EP19=1,'計算A'!BA$6,1000000))</f>
        <v/>
      </c>
      <c r="JH19">
        <f>IF($B19=0,1000000,IF(INDEX('計算A'!$D$60:$DS$104,$B19,51)*EQ19=1,'計算A'!BB$6,1000000))</f>
        <v/>
      </c>
      <c r="JI19">
        <f>IF($B19=0,1000000,IF(INDEX('計算A'!$D$60:$DS$104,$B19,52)*ER19=1,'計算A'!BC$6,1000000))</f>
        <v/>
      </c>
      <c r="JJ19">
        <f>IF($B19=0,1000000,IF(INDEX('計算A'!$D$60:$DS$104,$B19,53)*ES19=1,'計算A'!BD$6,1000000))</f>
        <v/>
      </c>
      <c r="JK19">
        <f>IF($B19=0,1000000,IF(INDEX('計算A'!$D$60:$DS$104,$B19,54)*ET19=1,'計算A'!BE$6,1000000))</f>
        <v/>
      </c>
      <c r="JL19">
        <f>IF($B19=0,1000000,IF(INDEX('計算A'!$D$60:$DS$104,$B19,55)*EU19=1,'計算A'!BF$6,1000000))</f>
        <v/>
      </c>
      <c r="JM19">
        <f>IF($B19=0,1000000,IF(INDEX('計算A'!$D$60:$DS$104,$B19,56)*EV19=1,'計算A'!BG$6,1000000))</f>
        <v/>
      </c>
      <c r="JN19">
        <f>IF($B19=0,1000000,IF(INDEX('計算A'!$D$60:$DS$104,$B19,57)*EW19=1,'計算A'!BH$6,1000000))</f>
        <v/>
      </c>
      <c r="JO19">
        <f>IF($B19=0,1000000,IF(INDEX('計算A'!$D$60:$DS$104,$B19,58)*EX19=1,'計算A'!BI$6,1000000))</f>
        <v/>
      </c>
      <c r="JP19">
        <f>IF($B19=0,1000000,IF(INDEX('計算A'!$D$60:$DS$104,$B19,59)*EY19=1,'計算A'!BJ$6,1000000))</f>
        <v/>
      </c>
      <c r="JQ19">
        <f>IF($B19=0,1000000,IF(INDEX('計算A'!$D$60:$DS$104,$B19,60)*EZ19=1,'計算A'!BK$6,1000000))</f>
        <v/>
      </c>
      <c r="JR19">
        <f>IF($B19=0,1000000,IF(INDEX('計算A'!$D$60:$DS$104,$B19,61)*FA19=1,'計算A'!BL$6,1000000))</f>
        <v/>
      </c>
      <c r="JS19">
        <f>IF($B19=0,1000000,IF(INDEX('計算A'!$D$60:$DS$104,$B19,62)*FB19=1,'計算A'!BM$6,1000000))</f>
        <v/>
      </c>
      <c r="JT19">
        <f>IF($B19=0,1000000,IF(INDEX('計算A'!$D$60:$DS$104,$B19,63)*FC19=1,'計算A'!BN$6,1000000))</f>
        <v/>
      </c>
      <c r="JU19">
        <f>IF($B19=0,1000000,IF(INDEX('計算A'!$D$60:$DS$104,$B19,64)*FD19=1,'計算A'!BO$6,1000000))</f>
        <v/>
      </c>
      <c r="JV19">
        <f>IF($B19=0,1000000,IF(INDEX('計算A'!$D$60:$DS$104,$B19,65)*FE19=1,'計算A'!BP$6,1000000))</f>
        <v/>
      </c>
      <c r="JW19">
        <f>IF($B19=0,1000000,IF(INDEX('計算A'!$D$60:$DS$104,$B19,66)*FF19=1,'計算A'!BQ$6,1000000))</f>
        <v/>
      </c>
      <c r="JX19">
        <f>IF($B19=0,1000000,IF(INDEX('計算A'!$D$60:$DS$104,$B19,67)*FG19=1,'計算A'!BR$6,1000000))</f>
        <v/>
      </c>
      <c r="JY19">
        <f>IF($B19=0,1000000,IF(INDEX('計算A'!$D$60:$DS$104,$B19,68)*FH19=1,'計算A'!BS$6,1000000))</f>
        <v/>
      </c>
      <c r="JZ19">
        <f>IF($B19=0,1000000,IF(INDEX('計算A'!$D$60:$DS$104,$B19,69)*FI19=1,'計算A'!BT$6,1000000))</f>
        <v/>
      </c>
      <c r="KA19">
        <f>IF($B19=0,1000000,IF(INDEX('計算A'!$D$60:$DS$104,$B19,70)*FJ19=1,'計算A'!BU$6,1000000))</f>
        <v/>
      </c>
      <c r="KB19">
        <f>IF($B19=0,1000000,IF(INDEX('計算A'!$D$60:$DS$104,$B19,71)*FK19=1,'計算A'!BV$6,1000000))</f>
        <v/>
      </c>
      <c r="KC19">
        <f>IF($B19=0,1000000,IF(INDEX('計算A'!$D$60:$DS$104,$B19,72)*FL19=1,'計算A'!BW$6,1000000))</f>
        <v/>
      </c>
      <c r="KD19">
        <f>IF($B19=0,1000000,IF(INDEX('計算A'!$D$60:$DS$104,$B19,73)*FM19=1,'計算A'!BX$6,1000000))</f>
        <v/>
      </c>
      <c r="KE19">
        <f>IF($B19=0,1000000,IF(INDEX('計算A'!$D$60:$DS$104,$B19,74)*FN19=1,'計算A'!BY$6,1000000))</f>
        <v/>
      </c>
      <c r="KF19">
        <f>IF($B19=0,1000000,IF(INDEX('計算A'!$D$60:$DS$104,$B19,75)*FO19=1,'計算A'!BZ$6,1000000))</f>
        <v/>
      </c>
      <c r="KG19">
        <f>IF($B19=0,1000000,IF(INDEX('計算A'!$D$60:$DS$104,$B19,76)*FP19=1,'計算A'!CA$6,1000000))</f>
        <v/>
      </c>
      <c r="KH19">
        <f>IF($B19=0,1000000,IF(INDEX('計算A'!$D$60:$DS$104,$B19,77)*FQ19=1,'計算A'!CB$6,1000000))</f>
        <v/>
      </c>
      <c r="KI19">
        <f>IF($B19=0,1000000,IF(INDEX('計算A'!$D$60:$DS$104,$B19,78)*FR19=1,'計算A'!CC$6,1000000))</f>
        <v/>
      </c>
      <c r="KJ19">
        <f>IF($B19=0,1000000,IF(INDEX('計算A'!$D$60:$DS$104,$B19,79)*FS19=1,'計算A'!CD$6,1000000))</f>
        <v/>
      </c>
      <c r="KK19">
        <f>IF($B19=0,1000000,IF(INDEX('計算A'!$D$60:$DS$104,$B19,80)*FT19=1,'計算A'!CE$6,1000000))</f>
        <v/>
      </c>
      <c r="KL19">
        <f>IF($B19=0,1000000,IF(INDEX('計算A'!$D$60:$DS$104,$B19,81)*FU19=1,'計算A'!CF$6,1000000))</f>
        <v/>
      </c>
      <c r="KM19">
        <f>IF($B19=0,1000000,IF(INDEX('計算A'!$D$60:$DS$104,$B19,82)*FV19=1,'計算A'!CG$6,1000000))</f>
        <v/>
      </c>
      <c r="KN19">
        <f>IF($B19=0,1000000,IF(INDEX('計算A'!$D$60:$DS$104,$B19,83)*FW19=1,'計算A'!CH$6,1000000))</f>
        <v/>
      </c>
      <c r="KO19">
        <f>IF($B19=0,1000000,IF(INDEX('計算A'!$D$60:$DS$104,$B19,84)*FX19=1,'計算A'!CI$6,1000000))</f>
        <v/>
      </c>
      <c r="KP19">
        <f>IF($B19=0,1000000,IF(INDEX('計算A'!$D$60:$DS$104,$B19,85)*FY19=1,'計算A'!CJ$6,1000000))</f>
        <v/>
      </c>
      <c r="KQ19">
        <f>IF($B19=0,1000000,IF(INDEX('計算A'!$D$60:$DS$104,$B19,86)*FZ19=1,'計算A'!CK$6,1000000))</f>
        <v/>
      </c>
      <c r="KR19">
        <f>IF($B19=0,1000000,IF(INDEX('計算A'!$D$60:$DS$104,$B19,87)*GA19=1,'計算A'!CL$6,1000000))</f>
        <v/>
      </c>
      <c r="KS19">
        <f>IF($B19=0,1000000,IF(INDEX('計算A'!$D$60:$DS$104,$B19,88)*GB19=1,'計算A'!CM$6,1000000))</f>
        <v/>
      </c>
      <c r="KT19">
        <f>IF($B19=0,1000000,IF(INDEX('計算A'!$D$60:$DS$104,$B19,89)*GC19=1,'計算A'!CN$6,1000000))</f>
        <v/>
      </c>
      <c r="KU19">
        <f>IF($B19=0,1000000,IF(INDEX('計算A'!$D$60:$DS$104,$B19,90)*GD19=1,'計算A'!CO$6,1000000))</f>
        <v/>
      </c>
      <c r="KV19">
        <f>IF($B19=0,1000000,IF(INDEX('計算A'!$D$60:$DS$104,$B19,91)*GE19=1,'計算A'!CP$6,1000000))</f>
        <v/>
      </c>
      <c r="KW19">
        <f>IF($B19=0,1000000,IF(INDEX('計算A'!$D$60:$DS$104,$B19,92)*GF19=1,'計算A'!CQ$6,1000000))</f>
        <v/>
      </c>
      <c r="KX19">
        <f>IF($B19=0,1000000,IF(INDEX('計算A'!$D$60:$DS$104,$B19,93)*GG19=1,'計算A'!CR$6,1000000))</f>
        <v/>
      </c>
      <c r="KY19">
        <f>IF($B19=0,1000000,IF(INDEX('計算A'!$D$60:$DS$104,$B19,94)*GH19=1,'計算A'!CS$6,1000000))</f>
        <v/>
      </c>
      <c r="KZ19">
        <f>IF($B19=0,1000000,IF(INDEX('計算A'!$D$60:$DS$104,$B19,95)*GI19=1,'計算A'!CT$6,1000000))</f>
        <v/>
      </c>
      <c r="LA19">
        <f>IF($B19=0,1000000,IF(INDEX('計算A'!$D$60:$DS$104,$B19,96)*GJ19=1,'計算A'!CU$6,1000000))</f>
        <v/>
      </c>
      <c r="LB19">
        <f>IF($B19=0,1000000,IF(INDEX('計算A'!$D$60:$DS$104,$B19,97)*GK19=1,'計算A'!CV$6,1000000))</f>
        <v/>
      </c>
      <c r="LC19">
        <f>IF($B19=0,1000000,IF(INDEX('計算A'!$D$60:$DS$104,$B19,98)*GL19=1,'計算A'!CW$6,1000000))</f>
        <v/>
      </c>
      <c r="LD19">
        <f>IF($B19=0,1000000,IF(INDEX('計算A'!$D$60:$DS$104,$B19,99)*GM19=1,'計算A'!CX$6,1000000))</f>
        <v/>
      </c>
      <c r="LE19">
        <f>IF($B19=0,1000000,IF(INDEX('計算A'!$D$60:$DS$104,$B19,100)*GN19=1,'計算A'!CY$6,1000000))</f>
        <v/>
      </c>
      <c r="LF19">
        <f>IF($B19=0,1000000,IF(INDEX('計算A'!$D$60:$DS$104,$B19,101)*GO19=1,'計算A'!CZ$6,1000000))</f>
        <v/>
      </c>
      <c r="LG19">
        <f>IF($B19=0,1000000,IF(INDEX('計算A'!$D$60:$DS$104,$B19,102)*GP19=1,'計算A'!DA$6,1000000))</f>
        <v/>
      </c>
      <c r="LH19">
        <f>IF($B19=0,1000000,IF(INDEX('計算A'!$D$60:$DS$104,$B19,103)*GQ19=1,'計算A'!DB$6,1000000))</f>
        <v/>
      </c>
      <c r="LI19">
        <f>IF($B19=0,1000000,IF(INDEX('計算A'!$D$60:$DS$104,$B19,104)*GR19=1,'計算A'!DC$6,1000000))</f>
        <v/>
      </c>
      <c r="LJ19">
        <f>IF($B19=0,1000000,IF(INDEX('計算A'!$D$60:$DS$104,$B19,105)*GS19=1,'計算A'!DD$6,1000000))</f>
        <v/>
      </c>
      <c r="LK19">
        <f>IF($B19=0,1000000,IF(INDEX('計算A'!$D$60:$DS$104,$B19,106)*GT19=1,'計算A'!DE$6,1000000))</f>
        <v/>
      </c>
      <c r="LL19">
        <f>IF($B19=0,1000000,IF(INDEX('計算A'!$D$60:$DS$104,$B19,107)*GU19=1,'計算A'!DF$6,1000000))</f>
        <v/>
      </c>
      <c r="LM19">
        <f>IF($B19=0,1000000,IF(INDEX('計算A'!$D$60:$DS$104,$B19,108)*GV19=1,'計算A'!DG$6,1000000))</f>
        <v/>
      </c>
      <c r="LN19">
        <f>IF($B19=0,1000000,IF(INDEX('計算A'!$D$60:$DS$104,$B19,109)*GW19=1,'計算A'!DH$6,1000000))</f>
        <v/>
      </c>
      <c r="LO19">
        <f>IF($B19=0,1000000,IF(INDEX('計算A'!$D$60:$DS$104,$B19,110)*GX19=1,'計算A'!DI$6,1000000))</f>
        <v/>
      </c>
      <c r="LP19">
        <f>IF($B19=0,1000000,IF(INDEX('計算A'!$D$60:$DS$104,$B19,111)*GY19=1,'計算A'!DJ$6,1000000))</f>
        <v/>
      </c>
      <c r="LQ19">
        <f>IF($B19=0,1000000,IF(INDEX('計算A'!$D$60:$DS$104,$B19,112)*GZ19=1,'計算A'!DK$6,1000000))</f>
        <v/>
      </c>
      <c r="LR19">
        <f>IF($B19=0,1000000,IF(INDEX('計算A'!$D$60:$DS$104,$B19,113)*HA19=1,'計算A'!DL$6,1000000))</f>
        <v/>
      </c>
      <c r="LS19">
        <f>IF($B19=0,1000000,IF(INDEX('計算A'!$D$60:$DS$104,$B19,114)*HB19=1,'計算A'!DM$6,1000000))</f>
        <v/>
      </c>
      <c r="LT19">
        <f>IF($B19=0,1000000,IF(INDEX('計算A'!$D$60:$DS$104,$B19,115)*HC19=1,'計算A'!DN$6,1000000))</f>
        <v/>
      </c>
      <c r="LU19">
        <f>IF($B19=0,1000000,IF(INDEX('計算A'!$D$60:$DS$104,$B19,116)*HD19=1,'計算A'!DO$6,1000000))</f>
        <v/>
      </c>
      <c r="LV19">
        <f>IF($B19=0,1000000,IF(INDEX('計算A'!$D$60:$DS$104,$B19,117)*HE19=1,'計算A'!DP$6,1000000))</f>
        <v/>
      </c>
      <c r="LW19">
        <f>IF($B19=0,1000000,IF(INDEX('計算A'!$D$60:$DS$104,$B19,118)*HF19=1,'計算A'!DQ$6,1000000))</f>
        <v/>
      </c>
      <c r="LX19">
        <f>IF($B19=0,1000000,IF(INDEX('計算A'!$D$60:$DS$104,$B19,119)*HG19=1,'計算A'!DR$6,1000000))</f>
        <v/>
      </c>
      <c r="LY19">
        <f>IF($B19=0,1000000,IF(INDEX('計算A'!$D$60:$DS$104,$B19,120)*HH19=1,'計算A'!DS$6,1000000))</f>
        <v/>
      </c>
    </row>
    <row r="20">
      <c r="A20" t="n">
        <v>18</v>
      </c>
      <c r="B20">
        <f>IF(MIN(AY20:CQ20)&gt;=1000000,0,MATCH(MIN(AY20:CQ20),AY20:CQ20,0))</f>
        <v/>
      </c>
      <c r="C20">
        <f>IF(MIN(HJ20:LY20)&gt;=1000000,0,MATCH(MIN(HJ20:LY20),HJ20:LY20,0))</f>
        <v/>
      </c>
      <c r="D20">
        <f>IF(C20&gt;0,INDEX('計算A'!$D$5:$DS$5,C20),0)</f>
        <v/>
      </c>
      <c r="E20">
        <f>MAX(E19,IF($B19=1,1,0))</f>
        <v/>
      </c>
      <c r="F20">
        <f>MAX(F19,IF($B19=2,1,0))</f>
        <v/>
      </c>
      <c r="G20">
        <f>MAX(G19,IF($B19=3,1,0))</f>
        <v/>
      </c>
      <c r="H20">
        <f>MAX(H19,IF($B19=4,1,0))</f>
        <v/>
      </c>
      <c r="I20">
        <f>MAX(I19,IF($B19=5,1,0))</f>
        <v/>
      </c>
      <c r="J20">
        <f>MAX(J19,IF($B19=6,1,0))</f>
        <v/>
      </c>
      <c r="K20">
        <f>MAX(K19,IF($B19=7,1,0))</f>
        <v/>
      </c>
      <c r="L20">
        <f>MAX(L19,IF($B19=8,1,0))</f>
        <v/>
      </c>
      <c r="M20">
        <f>MAX(M19,IF($B19=9,1,0))</f>
        <v/>
      </c>
      <c r="N20">
        <f>MAX(N19,IF($B19=10,1,0))</f>
        <v/>
      </c>
      <c r="O20">
        <f>MAX(O19,IF($B19=11,1,0))</f>
        <v/>
      </c>
      <c r="P20">
        <f>MAX(P19,IF($B19=12,1,0))</f>
        <v/>
      </c>
      <c r="Q20">
        <f>MAX(Q19,IF($B19=13,1,0))</f>
        <v/>
      </c>
      <c r="R20">
        <f>MAX(R19,IF($B19=14,1,0))</f>
        <v/>
      </c>
      <c r="S20">
        <f>MAX(S19,IF($B19=15,1,0))</f>
        <v/>
      </c>
      <c r="T20">
        <f>MAX(T19,IF($B19=16,1,0))</f>
        <v/>
      </c>
      <c r="U20">
        <f>MAX(U19,IF($B19=17,1,0))</f>
        <v/>
      </c>
      <c r="V20">
        <f>MAX(V19,IF($B19=18,1,0))</f>
        <v/>
      </c>
      <c r="W20">
        <f>MAX(W19,IF($B19=19,1,0))</f>
        <v/>
      </c>
      <c r="X20">
        <f>MAX(X19,IF($B19=20,1,0))</f>
        <v/>
      </c>
      <c r="Y20">
        <f>MAX(Y19,IF($B19=21,1,0))</f>
        <v/>
      </c>
      <c r="Z20">
        <f>MAX(Z19,IF($B19=22,1,0))</f>
        <v/>
      </c>
      <c r="AA20">
        <f>MAX(AA19,IF($B19=23,1,0))</f>
        <v/>
      </c>
      <c r="AB20">
        <f>MAX(AB19,IF($B19=24,1,0))</f>
        <v/>
      </c>
      <c r="AC20">
        <f>MAX(AC19,IF($B19=25,1,0))</f>
        <v/>
      </c>
      <c r="AD20">
        <f>MAX(AD19,IF($B19=26,1,0))</f>
        <v/>
      </c>
      <c r="AE20">
        <f>MAX(AE19,IF($B19=27,1,0))</f>
        <v/>
      </c>
      <c r="AF20">
        <f>MAX(AF19,IF($B19=28,1,0))</f>
        <v/>
      </c>
      <c r="AG20">
        <f>MAX(AG19,IF($B19=29,1,0))</f>
        <v/>
      </c>
      <c r="AH20">
        <f>MAX(AH19,IF($B19=30,1,0))</f>
        <v/>
      </c>
      <c r="AI20">
        <f>MAX(AI19,IF($B19=31,1,0))</f>
        <v/>
      </c>
      <c r="AJ20">
        <f>MAX(AJ19,IF($B19=32,1,0))</f>
        <v/>
      </c>
      <c r="AK20">
        <f>MAX(AK19,IF($B19=33,1,0))</f>
        <v/>
      </c>
      <c r="AL20">
        <f>MAX(AL19,IF($B19=34,1,0))</f>
        <v/>
      </c>
      <c r="AM20">
        <f>MAX(AM19,IF($B19=35,1,0))</f>
        <v/>
      </c>
      <c r="AN20">
        <f>MAX(AN19,IF($B19=36,1,0))</f>
        <v/>
      </c>
      <c r="AO20">
        <f>MAX(AO19,IF($B19=37,1,0))</f>
        <v/>
      </c>
      <c r="AP20">
        <f>MAX(AP19,IF($B19=38,1,0))</f>
        <v/>
      </c>
      <c r="AQ20">
        <f>MAX(AQ19,IF($B19=39,1,0))</f>
        <v/>
      </c>
      <c r="AR20">
        <f>MAX(AR19,IF($B19=40,1,0))</f>
        <v/>
      </c>
      <c r="AS20">
        <f>MAX(AS19,IF($B19=41,1,0))</f>
        <v/>
      </c>
      <c r="AT20">
        <f>MAX(AT19,IF($B19=42,1,0))</f>
        <v/>
      </c>
      <c r="AU20">
        <f>MAX(AU19,IF($B19=43,1,0))</f>
        <v/>
      </c>
      <c r="AV20">
        <f>MAX(AV19,IF($B19=44,1,0))</f>
        <v/>
      </c>
      <c r="AW20">
        <f>MAX(AW19,IF($B19=45,1,0))</f>
        <v/>
      </c>
      <c r="AY20">
        <f>IF(E20=1,1000000,SUMPRODUCT('計算A'!$D$60:$DS$60,$CS20:$HH20)*1000+1)</f>
        <v/>
      </c>
      <c r="AZ20">
        <f>IF(F20=1,1000000,SUMPRODUCT('計算A'!$D$61:$DS$61,$CS20:$HH20)*1000+2)</f>
        <v/>
      </c>
      <c r="BA20">
        <f>IF(G20=1,1000000,SUMPRODUCT('計算A'!$D$62:$DS$62,$CS20:$HH20)*1000+3)</f>
        <v/>
      </c>
      <c r="BB20">
        <f>IF(H20=1,1000000,SUMPRODUCT('計算A'!$D$63:$DS$63,$CS20:$HH20)*1000+4)</f>
        <v/>
      </c>
      <c r="BC20">
        <f>IF(I20=1,1000000,SUMPRODUCT('計算A'!$D$64:$DS$64,$CS20:$HH20)*1000+5)</f>
        <v/>
      </c>
      <c r="BD20">
        <f>IF(J20=1,1000000,SUMPRODUCT('計算A'!$D$65:$DS$65,$CS20:$HH20)*1000+6)</f>
        <v/>
      </c>
      <c r="BE20">
        <f>IF(K20=1,1000000,SUMPRODUCT('計算A'!$D$66:$DS$66,$CS20:$HH20)*1000+7)</f>
        <v/>
      </c>
      <c r="BF20">
        <f>IF(L20=1,1000000,SUMPRODUCT('計算A'!$D$67:$DS$67,$CS20:$HH20)*1000+8)</f>
        <v/>
      </c>
      <c r="BG20">
        <f>IF(M20=1,1000000,SUMPRODUCT('計算A'!$D$68:$DS$68,$CS20:$HH20)*1000+9)</f>
        <v/>
      </c>
      <c r="BH20">
        <f>IF(N20=1,1000000,SUMPRODUCT('計算A'!$D$69:$DS$69,$CS20:$HH20)*1000+10)</f>
        <v/>
      </c>
      <c r="BI20">
        <f>IF(O20=1,1000000,SUMPRODUCT('計算A'!$D$70:$DS$70,$CS20:$HH20)*1000+11)</f>
        <v/>
      </c>
      <c r="BJ20">
        <f>IF(P20=1,1000000,SUMPRODUCT('計算A'!$D$71:$DS$71,$CS20:$HH20)*1000+12)</f>
        <v/>
      </c>
      <c r="BK20">
        <f>IF(Q20=1,1000000,SUMPRODUCT('計算A'!$D$72:$DS$72,$CS20:$HH20)*1000+13)</f>
        <v/>
      </c>
      <c r="BL20">
        <f>IF(R20=1,1000000,SUMPRODUCT('計算A'!$D$73:$DS$73,$CS20:$HH20)*1000+14)</f>
        <v/>
      </c>
      <c r="BM20">
        <f>IF(S20=1,1000000,SUMPRODUCT('計算A'!$D$74:$DS$74,$CS20:$HH20)*1000+15)</f>
        <v/>
      </c>
      <c r="BN20">
        <f>IF(T20=1,1000000,SUMPRODUCT('計算A'!$D$75:$DS$75,$CS20:$HH20)*1000+16)</f>
        <v/>
      </c>
      <c r="BO20">
        <f>IF(U20=1,1000000,SUMPRODUCT('計算A'!$D$76:$DS$76,$CS20:$HH20)*1000+17)</f>
        <v/>
      </c>
      <c r="BP20">
        <f>IF(V20=1,1000000,SUMPRODUCT('計算A'!$D$77:$DS$77,$CS20:$HH20)*1000+18)</f>
        <v/>
      </c>
      <c r="BQ20">
        <f>IF(W20=1,1000000,SUMPRODUCT('計算A'!$D$78:$DS$78,$CS20:$HH20)*1000+19)</f>
        <v/>
      </c>
      <c r="BR20">
        <f>IF(X20=1,1000000,SUMPRODUCT('計算A'!$D$79:$DS$79,$CS20:$HH20)*1000+20)</f>
        <v/>
      </c>
      <c r="BS20">
        <f>IF(Y20=1,1000000,SUMPRODUCT('計算A'!$D$80:$DS$80,$CS20:$HH20)*1000+21)</f>
        <v/>
      </c>
      <c r="BT20">
        <f>IF(Z20=1,1000000,SUMPRODUCT('計算A'!$D$81:$DS$81,$CS20:$HH20)*1000+22)</f>
        <v/>
      </c>
      <c r="BU20">
        <f>IF(AA20=1,1000000,SUMPRODUCT('計算A'!$D$82:$DS$82,$CS20:$HH20)*1000+23)</f>
        <v/>
      </c>
      <c r="BV20">
        <f>IF(AB20=1,1000000,SUMPRODUCT('計算A'!$D$83:$DS$83,$CS20:$HH20)*1000+24)</f>
        <v/>
      </c>
      <c r="BW20">
        <f>IF(AC20=1,1000000,SUMPRODUCT('計算A'!$D$84:$DS$84,$CS20:$HH20)*1000+25)</f>
        <v/>
      </c>
      <c r="BX20">
        <f>IF(AD20=1,1000000,SUMPRODUCT('計算A'!$D$85:$DS$85,$CS20:$HH20)*1000+26)</f>
        <v/>
      </c>
      <c r="BY20">
        <f>IF(AE20=1,1000000,SUMPRODUCT('計算A'!$D$86:$DS$86,$CS20:$HH20)*1000+27)</f>
        <v/>
      </c>
      <c r="BZ20">
        <f>IF(AF20=1,1000000,SUMPRODUCT('計算A'!$D$87:$DS$87,$CS20:$HH20)*1000+28)</f>
        <v/>
      </c>
      <c r="CA20">
        <f>IF(AG20=1,1000000,SUMPRODUCT('計算A'!$D$88:$DS$88,$CS20:$HH20)*1000+29)</f>
        <v/>
      </c>
      <c r="CB20">
        <f>IF(AH20=1,1000000,SUMPRODUCT('計算A'!$D$89:$DS$89,$CS20:$HH20)*1000+30)</f>
        <v/>
      </c>
      <c r="CC20">
        <f>IF(AI20=1,1000000,SUMPRODUCT('計算A'!$D$90:$DS$90,$CS20:$HH20)*1000+31)</f>
        <v/>
      </c>
      <c r="CD20">
        <f>IF(AJ20=1,1000000,SUMPRODUCT('計算A'!$D$91:$DS$91,$CS20:$HH20)*1000+32)</f>
        <v/>
      </c>
      <c r="CE20">
        <f>IF(AK20=1,1000000,SUMPRODUCT('計算A'!$D$92:$DS$92,$CS20:$HH20)*1000+33)</f>
        <v/>
      </c>
      <c r="CF20">
        <f>IF(AL20=1,1000000,SUMPRODUCT('計算A'!$D$93:$DS$93,$CS20:$HH20)*1000+34)</f>
        <v/>
      </c>
      <c r="CG20">
        <f>IF(AM20=1,1000000,SUMPRODUCT('計算A'!$D$94:$DS$94,$CS20:$HH20)*1000+35)</f>
        <v/>
      </c>
      <c r="CH20">
        <f>IF(AN20=1,1000000,SUMPRODUCT('計算A'!$D$95:$DS$95,$CS20:$HH20)*1000+36)</f>
        <v/>
      </c>
      <c r="CI20">
        <f>IF(AO20=1,1000000,SUMPRODUCT('計算A'!$D$96:$DS$96,$CS20:$HH20)*1000+37)</f>
        <v/>
      </c>
      <c r="CJ20">
        <f>IF(AP20=1,1000000,SUMPRODUCT('計算A'!$D$97:$DS$97,$CS20:$HH20)*1000+38)</f>
        <v/>
      </c>
      <c r="CK20">
        <f>IF(AQ20=1,1000000,SUMPRODUCT('計算A'!$D$98:$DS$98,$CS20:$HH20)*1000+39)</f>
        <v/>
      </c>
      <c r="CL20">
        <f>IF(AR20=1,1000000,SUMPRODUCT('計算A'!$D$99:$DS$99,$CS20:$HH20)*1000+40)</f>
        <v/>
      </c>
      <c r="CM20">
        <f>IF(AS20=1,1000000,SUMPRODUCT('計算A'!$D$100:$DS$100,$CS20:$HH20)*1000+41)</f>
        <v/>
      </c>
      <c r="CN20">
        <f>IF(AT20=1,1000000,SUMPRODUCT('計算A'!$D$101:$DS$101,$CS20:$HH20)*1000+42)</f>
        <v/>
      </c>
      <c r="CO20">
        <f>IF(AU20=1,1000000,SUMPRODUCT('計算A'!$D$102:$DS$102,$CS20:$HH20)*1000+43)</f>
        <v/>
      </c>
      <c r="CP20">
        <f>IF(AV20=1,1000000,SUMPRODUCT('計算A'!$D$103:$DS$103,$CS20:$HH20)*1000+44)</f>
        <v/>
      </c>
      <c r="CQ20">
        <f>IF(AW20=1,1000000,SUMPRODUCT('計算A'!$D$104:$DS$104,$CS20:$HH20)*1000+45)</f>
        <v/>
      </c>
      <c r="CS20">
        <f>CS19*IF($C19=1,0,1)</f>
        <v/>
      </c>
      <c r="CT20">
        <f>CT19*IF($C19=2,0,1)</f>
        <v/>
      </c>
      <c r="CU20">
        <f>CU19*IF($C19=3,0,1)</f>
        <v/>
      </c>
      <c r="CV20">
        <f>CV19*IF($C19=4,0,1)</f>
        <v/>
      </c>
      <c r="CW20">
        <f>CW19*IF($C19=5,0,1)</f>
        <v/>
      </c>
      <c r="CX20">
        <f>CX19*IF($C19=6,0,1)</f>
        <v/>
      </c>
      <c r="CY20">
        <f>CY19*IF($C19=7,0,1)</f>
        <v/>
      </c>
      <c r="CZ20">
        <f>CZ19*IF($C19=8,0,1)</f>
        <v/>
      </c>
      <c r="DA20">
        <f>DA19*IF($C19=9,0,1)</f>
        <v/>
      </c>
      <c r="DB20">
        <f>DB19*IF($C19=10,0,1)</f>
        <v/>
      </c>
      <c r="DC20">
        <f>DC19*IF($C19=11,0,1)</f>
        <v/>
      </c>
      <c r="DD20">
        <f>DD19*IF($C19=12,0,1)</f>
        <v/>
      </c>
      <c r="DE20">
        <f>DE19*IF($C19=13,0,1)</f>
        <v/>
      </c>
      <c r="DF20">
        <f>DF19*IF($C19=14,0,1)</f>
        <v/>
      </c>
      <c r="DG20">
        <f>DG19*IF($C19=15,0,1)</f>
        <v/>
      </c>
      <c r="DH20">
        <f>DH19*IF($C19=16,0,1)</f>
        <v/>
      </c>
      <c r="DI20">
        <f>DI19*IF($C19=17,0,1)</f>
        <v/>
      </c>
      <c r="DJ20">
        <f>DJ19*IF($C19=18,0,1)</f>
        <v/>
      </c>
      <c r="DK20">
        <f>DK19*IF($C19=19,0,1)</f>
        <v/>
      </c>
      <c r="DL20">
        <f>DL19*IF($C19=20,0,1)</f>
        <v/>
      </c>
      <c r="DM20">
        <f>DM19*IF($C19=21,0,1)</f>
        <v/>
      </c>
      <c r="DN20">
        <f>DN19*IF($C19=22,0,1)</f>
        <v/>
      </c>
      <c r="DO20">
        <f>DO19*IF($C19=23,0,1)</f>
        <v/>
      </c>
      <c r="DP20">
        <f>DP19*IF($C19=24,0,1)</f>
        <v/>
      </c>
      <c r="DQ20">
        <f>DQ19*IF($C19=25,0,1)</f>
        <v/>
      </c>
      <c r="DR20">
        <f>DR19*IF($C19=26,0,1)</f>
        <v/>
      </c>
      <c r="DS20">
        <f>DS19*IF($C19=27,0,1)</f>
        <v/>
      </c>
      <c r="DT20">
        <f>DT19*IF($C19=28,0,1)</f>
        <v/>
      </c>
      <c r="DU20">
        <f>DU19*IF($C19=29,0,1)</f>
        <v/>
      </c>
      <c r="DV20">
        <f>DV19*IF($C19=30,0,1)</f>
        <v/>
      </c>
      <c r="DW20">
        <f>DW19*IF($C19=31,0,1)</f>
        <v/>
      </c>
      <c r="DX20">
        <f>DX19*IF($C19=32,0,1)</f>
        <v/>
      </c>
      <c r="DY20">
        <f>DY19*IF($C19=33,0,1)</f>
        <v/>
      </c>
      <c r="DZ20">
        <f>DZ19*IF($C19=34,0,1)</f>
        <v/>
      </c>
      <c r="EA20">
        <f>EA19*IF($C19=35,0,1)</f>
        <v/>
      </c>
      <c r="EB20">
        <f>EB19*IF($C19=36,0,1)</f>
        <v/>
      </c>
      <c r="EC20">
        <f>EC19*IF($C19=37,0,1)</f>
        <v/>
      </c>
      <c r="ED20">
        <f>ED19*IF($C19=38,0,1)</f>
        <v/>
      </c>
      <c r="EE20">
        <f>EE19*IF($C19=39,0,1)</f>
        <v/>
      </c>
      <c r="EF20">
        <f>EF19*IF($C19=40,0,1)</f>
        <v/>
      </c>
      <c r="EG20">
        <f>EG19*IF($C19=41,0,1)</f>
        <v/>
      </c>
      <c r="EH20">
        <f>EH19*IF($C19=42,0,1)</f>
        <v/>
      </c>
      <c r="EI20">
        <f>EI19*IF($C19=43,0,1)</f>
        <v/>
      </c>
      <c r="EJ20">
        <f>EJ19*IF($C19=44,0,1)</f>
        <v/>
      </c>
      <c r="EK20">
        <f>EK19*IF($C19=45,0,1)</f>
        <v/>
      </c>
      <c r="EL20">
        <f>EL19*IF($C19=46,0,1)</f>
        <v/>
      </c>
      <c r="EM20">
        <f>EM19*IF($C19=47,0,1)</f>
        <v/>
      </c>
      <c r="EN20">
        <f>EN19*IF($C19=48,0,1)</f>
        <v/>
      </c>
      <c r="EO20">
        <f>EO19*IF($C19=49,0,1)</f>
        <v/>
      </c>
      <c r="EP20">
        <f>EP19*IF($C19=50,0,1)</f>
        <v/>
      </c>
      <c r="EQ20">
        <f>EQ19*IF($C19=51,0,1)</f>
        <v/>
      </c>
      <c r="ER20">
        <f>ER19*IF($C19=52,0,1)</f>
        <v/>
      </c>
      <c r="ES20">
        <f>ES19*IF($C19=53,0,1)</f>
        <v/>
      </c>
      <c r="ET20">
        <f>ET19*IF($C19=54,0,1)</f>
        <v/>
      </c>
      <c r="EU20">
        <f>EU19*IF($C19=55,0,1)</f>
        <v/>
      </c>
      <c r="EV20">
        <f>EV19*IF($C19=56,0,1)</f>
        <v/>
      </c>
      <c r="EW20">
        <f>EW19*IF($C19=57,0,1)</f>
        <v/>
      </c>
      <c r="EX20">
        <f>EX19*IF($C19=58,0,1)</f>
        <v/>
      </c>
      <c r="EY20">
        <f>EY19*IF($C19=59,0,1)</f>
        <v/>
      </c>
      <c r="EZ20">
        <f>EZ19*IF($C19=60,0,1)</f>
        <v/>
      </c>
      <c r="FA20">
        <f>FA19*IF($C19=61,0,1)</f>
        <v/>
      </c>
      <c r="FB20">
        <f>FB19*IF($C19=62,0,1)</f>
        <v/>
      </c>
      <c r="FC20">
        <f>FC19*IF($C19=63,0,1)</f>
        <v/>
      </c>
      <c r="FD20">
        <f>FD19*IF($C19=64,0,1)</f>
        <v/>
      </c>
      <c r="FE20">
        <f>FE19*IF($C19=65,0,1)</f>
        <v/>
      </c>
      <c r="FF20">
        <f>FF19*IF($C19=66,0,1)</f>
        <v/>
      </c>
      <c r="FG20">
        <f>FG19*IF($C19=67,0,1)</f>
        <v/>
      </c>
      <c r="FH20">
        <f>FH19*IF($C19=68,0,1)</f>
        <v/>
      </c>
      <c r="FI20">
        <f>FI19*IF($C19=69,0,1)</f>
        <v/>
      </c>
      <c r="FJ20">
        <f>FJ19*IF($C19=70,0,1)</f>
        <v/>
      </c>
      <c r="FK20">
        <f>FK19*IF($C19=71,0,1)</f>
        <v/>
      </c>
      <c r="FL20">
        <f>FL19*IF($C19=72,0,1)</f>
        <v/>
      </c>
      <c r="FM20">
        <f>FM19*IF($C19=73,0,1)</f>
        <v/>
      </c>
      <c r="FN20">
        <f>FN19*IF($C19=74,0,1)</f>
        <v/>
      </c>
      <c r="FO20">
        <f>FO19*IF($C19=75,0,1)</f>
        <v/>
      </c>
      <c r="FP20">
        <f>FP19*IF($C19=76,0,1)</f>
        <v/>
      </c>
      <c r="FQ20">
        <f>FQ19*IF($C19=77,0,1)</f>
        <v/>
      </c>
      <c r="FR20">
        <f>FR19*IF($C19=78,0,1)</f>
        <v/>
      </c>
      <c r="FS20">
        <f>FS19*IF($C19=79,0,1)</f>
        <v/>
      </c>
      <c r="FT20">
        <f>FT19*IF($C19=80,0,1)</f>
        <v/>
      </c>
      <c r="FU20">
        <f>FU19*IF($C19=81,0,1)</f>
        <v/>
      </c>
      <c r="FV20">
        <f>FV19*IF($C19=82,0,1)</f>
        <v/>
      </c>
      <c r="FW20">
        <f>FW19*IF($C19=83,0,1)</f>
        <v/>
      </c>
      <c r="FX20">
        <f>FX19*IF($C19=84,0,1)</f>
        <v/>
      </c>
      <c r="FY20">
        <f>FY19*IF($C19=85,0,1)</f>
        <v/>
      </c>
      <c r="FZ20">
        <f>FZ19*IF($C19=86,0,1)</f>
        <v/>
      </c>
      <c r="GA20">
        <f>GA19*IF($C19=87,0,1)</f>
        <v/>
      </c>
      <c r="GB20">
        <f>GB19*IF($C19=88,0,1)</f>
        <v/>
      </c>
      <c r="GC20">
        <f>GC19*IF($C19=89,0,1)</f>
        <v/>
      </c>
      <c r="GD20">
        <f>GD19*IF($C19=90,0,1)</f>
        <v/>
      </c>
      <c r="GE20">
        <f>GE19*IF($C19=91,0,1)</f>
        <v/>
      </c>
      <c r="GF20">
        <f>GF19*IF($C19=92,0,1)</f>
        <v/>
      </c>
      <c r="GG20">
        <f>GG19*IF($C19=93,0,1)</f>
        <v/>
      </c>
      <c r="GH20">
        <f>GH19*IF($C19=94,0,1)</f>
        <v/>
      </c>
      <c r="GI20">
        <f>GI19*IF($C19=95,0,1)</f>
        <v/>
      </c>
      <c r="GJ20">
        <f>GJ19*IF($C19=96,0,1)</f>
        <v/>
      </c>
      <c r="GK20">
        <f>GK19*IF($C19=97,0,1)</f>
        <v/>
      </c>
      <c r="GL20">
        <f>GL19*IF($C19=98,0,1)</f>
        <v/>
      </c>
      <c r="GM20">
        <f>GM19*IF($C19=99,0,1)</f>
        <v/>
      </c>
      <c r="GN20">
        <f>GN19*IF($C19=100,0,1)</f>
        <v/>
      </c>
      <c r="GO20">
        <f>GO19*IF($C19=101,0,1)</f>
        <v/>
      </c>
      <c r="GP20">
        <f>GP19*IF($C19=102,0,1)</f>
        <v/>
      </c>
      <c r="GQ20">
        <f>GQ19*IF($C19=103,0,1)</f>
        <v/>
      </c>
      <c r="GR20">
        <f>GR19*IF($C19=104,0,1)</f>
        <v/>
      </c>
      <c r="GS20">
        <f>GS19*IF($C19=105,0,1)</f>
        <v/>
      </c>
      <c r="GT20">
        <f>GT19*IF($C19=106,0,1)</f>
        <v/>
      </c>
      <c r="GU20">
        <f>GU19*IF($C19=107,0,1)</f>
        <v/>
      </c>
      <c r="GV20">
        <f>GV19*IF($C19=108,0,1)</f>
        <v/>
      </c>
      <c r="GW20">
        <f>GW19*IF($C19=109,0,1)</f>
        <v/>
      </c>
      <c r="GX20">
        <f>GX19*IF($C19=110,0,1)</f>
        <v/>
      </c>
      <c r="GY20">
        <f>GY19*IF($C19=111,0,1)</f>
        <v/>
      </c>
      <c r="GZ20">
        <f>GZ19*IF($C19=112,0,1)</f>
        <v/>
      </c>
      <c r="HA20">
        <f>HA19*IF($C19=113,0,1)</f>
        <v/>
      </c>
      <c r="HB20">
        <f>HB19*IF($C19=114,0,1)</f>
        <v/>
      </c>
      <c r="HC20">
        <f>HC19*IF($C19=115,0,1)</f>
        <v/>
      </c>
      <c r="HD20">
        <f>HD19*IF($C19=116,0,1)</f>
        <v/>
      </c>
      <c r="HE20">
        <f>HE19*IF($C19=117,0,1)</f>
        <v/>
      </c>
      <c r="HF20">
        <f>HF19*IF($C19=118,0,1)</f>
        <v/>
      </c>
      <c r="HG20">
        <f>HG19*IF($C19=119,0,1)</f>
        <v/>
      </c>
      <c r="HH20">
        <f>HH19*IF($C19=120,0,1)</f>
        <v/>
      </c>
      <c r="HJ20">
        <f>IF($B20=0,1000000,IF(INDEX('計算A'!$D$60:$DS$104,$B20,1)*CS20=1,'計算A'!D$6,1000000))</f>
        <v/>
      </c>
      <c r="HK20">
        <f>IF($B20=0,1000000,IF(INDEX('計算A'!$D$60:$DS$104,$B20,2)*CT20=1,'計算A'!E$6,1000000))</f>
        <v/>
      </c>
      <c r="HL20">
        <f>IF($B20=0,1000000,IF(INDEX('計算A'!$D$60:$DS$104,$B20,3)*CU20=1,'計算A'!F$6,1000000))</f>
        <v/>
      </c>
      <c r="HM20">
        <f>IF($B20=0,1000000,IF(INDEX('計算A'!$D$60:$DS$104,$B20,4)*CV20=1,'計算A'!G$6,1000000))</f>
        <v/>
      </c>
      <c r="HN20">
        <f>IF($B20=0,1000000,IF(INDEX('計算A'!$D$60:$DS$104,$B20,5)*CW20=1,'計算A'!H$6,1000000))</f>
        <v/>
      </c>
      <c r="HO20">
        <f>IF($B20=0,1000000,IF(INDEX('計算A'!$D$60:$DS$104,$B20,6)*CX20=1,'計算A'!I$6,1000000))</f>
        <v/>
      </c>
      <c r="HP20">
        <f>IF($B20=0,1000000,IF(INDEX('計算A'!$D$60:$DS$104,$B20,7)*CY20=1,'計算A'!J$6,1000000))</f>
        <v/>
      </c>
      <c r="HQ20">
        <f>IF($B20=0,1000000,IF(INDEX('計算A'!$D$60:$DS$104,$B20,8)*CZ20=1,'計算A'!K$6,1000000))</f>
        <v/>
      </c>
      <c r="HR20">
        <f>IF($B20=0,1000000,IF(INDEX('計算A'!$D$60:$DS$104,$B20,9)*DA20=1,'計算A'!L$6,1000000))</f>
        <v/>
      </c>
      <c r="HS20">
        <f>IF($B20=0,1000000,IF(INDEX('計算A'!$D$60:$DS$104,$B20,10)*DB20=1,'計算A'!M$6,1000000))</f>
        <v/>
      </c>
      <c r="HT20">
        <f>IF($B20=0,1000000,IF(INDEX('計算A'!$D$60:$DS$104,$B20,11)*DC20=1,'計算A'!N$6,1000000))</f>
        <v/>
      </c>
      <c r="HU20">
        <f>IF($B20=0,1000000,IF(INDEX('計算A'!$D$60:$DS$104,$B20,12)*DD20=1,'計算A'!O$6,1000000))</f>
        <v/>
      </c>
      <c r="HV20">
        <f>IF($B20=0,1000000,IF(INDEX('計算A'!$D$60:$DS$104,$B20,13)*DE20=1,'計算A'!P$6,1000000))</f>
        <v/>
      </c>
      <c r="HW20">
        <f>IF($B20=0,1000000,IF(INDEX('計算A'!$D$60:$DS$104,$B20,14)*DF20=1,'計算A'!Q$6,1000000))</f>
        <v/>
      </c>
      <c r="HX20">
        <f>IF($B20=0,1000000,IF(INDEX('計算A'!$D$60:$DS$104,$B20,15)*DG20=1,'計算A'!R$6,1000000))</f>
        <v/>
      </c>
      <c r="HY20">
        <f>IF($B20=0,1000000,IF(INDEX('計算A'!$D$60:$DS$104,$B20,16)*DH20=1,'計算A'!S$6,1000000))</f>
        <v/>
      </c>
      <c r="HZ20">
        <f>IF($B20=0,1000000,IF(INDEX('計算A'!$D$60:$DS$104,$B20,17)*DI20=1,'計算A'!T$6,1000000))</f>
        <v/>
      </c>
      <c r="IA20">
        <f>IF($B20=0,1000000,IF(INDEX('計算A'!$D$60:$DS$104,$B20,18)*DJ20=1,'計算A'!U$6,1000000))</f>
        <v/>
      </c>
      <c r="IB20">
        <f>IF($B20=0,1000000,IF(INDEX('計算A'!$D$60:$DS$104,$B20,19)*DK20=1,'計算A'!V$6,1000000))</f>
        <v/>
      </c>
      <c r="IC20">
        <f>IF($B20=0,1000000,IF(INDEX('計算A'!$D$60:$DS$104,$B20,20)*DL20=1,'計算A'!W$6,1000000))</f>
        <v/>
      </c>
      <c r="ID20">
        <f>IF($B20=0,1000000,IF(INDEX('計算A'!$D$60:$DS$104,$B20,21)*DM20=1,'計算A'!X$6,1000000))</f>
        <v/>
      </c>
      <c r="IE20">
        <f>IF($B20=0,1000000,IF(INDEX('計算A'!$D$60:$DS$104,$B20,22)*DN20=1,'計算A'!Y$6,1000000))</f>
        <v/>
      </c>
      <c r="IF20">
        <f>IF($B20=0,1000000,IF(INDEX('計算A'!$D$60:$DS$104,$B20,23)*DO20=1,'計算A'!Z$6,1000000))</f>
        <v/>
      </c>
      <c r="IG20">
        <f>IF($B20=0,1000000,IF(INDEX('計算A'!$D$60:$DS$104,$B20,24)*DP20=1,'計算A'!AA$6,1000000))</f>
        <v/>
      </c>
      <c r="IH20">
        <f>IF($B20=0,1000000,IF(INDEX('計算A'!$D$60:$DS$104,$B20,25)*DQ20=1,'計算A'!AB$6,1000000))</f>
        <v/>
      </c>
      <c r="II20">
        <f>IF($B20=0,1000000,IF(INDEX('計算A'!$D$60:$DS$104,$B20,26)*DR20=1,'計算A'!AC$6,1000000))</f>
        <v/>
      </c>
      <c r="IJ20">
        <f>IF($B20=0,1000000,IF(INDEX('計算A'!$D$60:$DS$104,$B20,27)*DS20=1,'計算A'!AD$6,1000000))</f>
        <v/>
      </c>
      <c r="IK20">
        <f>IF($B20=0,1000000,IF(INDEX('計算A'!$D$60:$DS$104,$B20,28)*DT20=1,'計算A'!AE$6,1000000))</f>
        <v/>
      </c>
      <c r="IL20">
        <f>IF($B20=0,1000000,IF(INDEX('計算A'!$D$60:$DS$104,$B20,29)*DU20=1,'計算A'!AF$6,1000000))</f>
        <v/>
      </c>
      <c r="IM20">
        <f>IF($B20=0,1000000,IF(INDEX('計算A'!$D$60:$DS$104,$B20,30)*DV20=1,'計算A'!AG$6,1000000))</f>
        <v/>
      </c>
      <c r="IN20">
        <f>IF($B20=0,1000000,IF(INDEX('計算A'!$D$60:$DS$104,$B20,31)*DW20=1,'計算A'!AH$6,1000000))</f>
        <v/>
      </c>
      <c r="IO20">
        <f>IF($B20=0,1000000,IF(INDEX('計算A'!$D$60:$DS$104,$B20,32)*DX20=1,'計算A'!AI$6,1000000))</f>
        <v/>
      </c>
      <c r="IP20">
        <f>IF($B20=0,1000000,IF(INDEX('計算A'!$D$60:$DS$104,$B20,33)*DY20=1,'計算A'!AJ$6,1000000))</f>
        <v/>
      </c>
      <c r="IQ20">
        <f>IF($B20=0,1000000,IF(INDEX('計算A'!$D$60:$DS$104,$B20,34)*DZ20=1,'計算A'!AK$6,1000000))</f>
        <v/>
      </c>
      <c r="IR20">
        <f>IF($B20=0,1000000,IF(INDEX('計算A'!$D$60:$DS$104,$B20,35)*EA20=1,'計算A'!AL$6,1000000))</f>
        <v/>
      </c>
      <c r="IS20">
        <f>IF($B20=0,1000000,IF(INDEX('計算A'!$D$60:$DS$104,$B20,36)*EB20=1,'計算A'!AM$6,1000000))</f>
        <v/>
      </c>
      <c r="IT20">
        <f>IF($B20=0,1000000,IF(INDEX('計算A'!$D$60:$DS$104,$B20,37)*EC20=1,'計算A'!AN$6,1000000))</f>
        <v/>
      </c>
      <c r="IU20">
        <f>IF($B20=0,1000000,IF(INDEX('計算A'!$D$60:$DS$104,$B20,38)*ED20=1,'計算A'!AO$6,1000000))</f>
        <v/>
      </c>
      <c r="IV20">
        <f>IF($B20=0,1000000,IF(INDEX('計算A'!$D$60:$DS$104,$B20,39)*EE20=1,'計算A'!AP$6,1000000))</f>
        <v/>
      </c>
      <c r="IW20">
        <f>IF($B20=0,1000000,IF(INDEX('計算A'!$D$60:$DS$104,$B20,40)*EF20=1,'計算A'!AQ$6,1000000))</f>
        <v/>
      </c>
      <c r="IX20">
        <f>IF($B20=0,1000000,IF(INDEX('計算A'!$D$60:$DS$104,$B20,41)*EG20=1,'計算A'!AR$6,1000000))</f>
        <v/>
      </c>
      <c r="IY20">
        <f>IF($B20=0,1000000,IF(INDEX('計算A'!$D$60:$DS$104,$B20,42)*EH20=1,'計算A'!AS$6,1000000))</f>
        <v/>
      </c>
      <c r="IZ20">
        <f>IF($B20=0,1000000,IF(INDEX('計算A'!$D$60:$DS$104,$B20,43)*EI20=1,'計算A'!AT$6,1000000))</f>
        <v/>
      </c>
      <c r="JA20">
        <f>IF($B20=0,1000000,IF(INDEX('計算A'!$D$60:$DS$104,$B20,44)*EJ20=1,'計算A'!AU$6,1000000))</f>
        <v/>
      </c>
      <c r="JB20">
        <f>IF($B20=0,1000000,IF(INDEX('計算A'!$D$60:$DS$104,$B20,45)*EK20=1,'計算A'!AV$6,1000000))</f>
        <v/>
      </c>
      <c r="JC20">
        <f>IF($B20=0,1000000,IF(INDEX('計算A'!$D$60:$DS$104,$B20,46)*EL20=1,'計算A'!AW$6,1000000))</f>
        <v/>
      </c>
      <c r="JD20">
        <f>IF($B20=0,1000000,IF(INDEX('計算A'!$D$60:$DS$104,$B20,47)*EM20=1,'計算A'!AX$6,1000000))</f>
        <v/>
      </c>
      <c r="JE20">
        <f>IF($B20=0,1000000,IF(INDEX('計算A'!$D$60:$DS$104,$B20,48)*EN20=1,'計算A'!AY$6,1000000))</f>
        <v/>
      </c>
      <c r="JF20">
        <f>IF($B20=0,1000000,IF(INDEX('計算A'!$D$60:$DS$104,$B20,49)*EO20=1,'計算A'!AZ$6,1000000))</f>
        <v/>
      </c>
      <c r="JG20">
        <f>IF($B20=0,1000000,IF(INDEX('計算A'!$D$60:$DS$104,$B20,50)*EP20=1,'計算A'!BA$6,1000000))</f>
        <v/>
      </c>
      <c r="JH20">
        <f>IF($B20=0,1000000,IF(INDEX('計算A'!$D$60:$DS$104,$B20,51)*EQ20=1,'計算A'!BB$6,1000000))</f>
        <v/>
      </c>
      <c r="JI20">
        <f>IF($B20=0,1000000,IF(INDEX('計算A'!$D$60:$DS$104,$B20,52)*ER20=1,'計算A'!BC$6,1000000))</f>
        <v/>
      </c>
      <c r="JJ20">
        <f>IF($B20=0,1000000,IF(INDEX('計算A'!$D$60:$DS$104,$B20,53)*ES20=1,'計算A'!BD$6,1000000))</f>
        <v/>
      </c>
      <c r="JK20">
        <f>IF($B20=0,1000000,IF(INDEX('計算A'!$D$60:$DS$104,$B20,54)*ET20=1,'計算A'!BE$6,1000000))</f>
        <v/>
      </c>
      <c r="JL20">
        <f>IF($B20=0,1000000,IF(INDEX('計算A'!$D$60:$DS$104,$B20,55)*EU20=1,'計算A'!BF$6,1000000))</f>
        <v/>
      </c>
      <c r="JM20">
        <f>IF($B20=0,1000000,IF(INDEX('計算A'!$D$60:$DS$104,$B20,56)*EV20=1,'計算A'!BG$6,1000000))</f>
        <v/>
      </c>
      <c r="JN20">
        <f>IF($B20=0,1000000,IF(INDEX('計算A'!$D$60:$DS$104,$B20,57)*EW20=1,'計算A'!BH$6,1000000))</f>
        <v/>
      </c>
      <c r="JO20">
        <f>IF($B20=0,1000000,IF(INDEX('計算A'!$D$60:$DS$104,$B20,58)*EX20=1,'計算A'!BI$6,1000000))</f>
        <v/>
      </c>
      <c r="JP20">
        <f>IF($B20=0,1000000,IF(INDEX('計算A'!$D$60:$DS$104,$B20,59)*EY20=1,'計算A'!BJ$6,1000000))</f>
        <v/>
      </c>
      <c r="JQ20">
        <f>IF($B20=0,1000000,IF(INDEX('計算A'!$D$60:$DS$104,$B20,60)*EZ20=1,'計算A'!BK$6,1000000))</f>
        <v/>
      </c>
      <c r="JR20">
        <f>IF($B20=0,1000000,IF(INDEX('計算A'!$D$60:$DS$104,$B20,61)*FA20=1,'計算A'!BL$6,1000000))</f>
        <v/>
      </c>
      <c r="JS20">
        <f>IF($B20=0,1000000,IF(INDEX('計算A'!$D$60:$DS$104,$B20,62)*FB20=1,'計算A'!BM$6,1000000))</f>
        <v/>
      </c>
      <c r="JT20">
        <f>IF($B20=0,1000000,IF(INDEX('計算A'!$D$60:$DS$104,$B20,63)*FC20=1,'計算A'!BN$6,1000000))</f>
        <v/>
      </c>
      <c r="JU20">
        <f>IF($B20=0,1000000,IF(INDEX('計算A'!$D$60:$DS$104,$B20,64)*FD20=1,'計算A'!BO$6,1000000))</f>
        <v/>
      </c>
      <c r="JV20">
        <f>IF($B20=0,1000000,IF(INDEX('計算A'!$D$60:$DS$104,$B20,65)*FE20=1,'計算A'!BP$6,1000000))</f>
        <v/>
      </c>
      <c r="JW20">
        <f>IF($B20=0,1000000,IF(INDEX('計算A'!$D$60:$DS$104,$B20,66)*FF20=1,'計算A'!BQ$6,1000000))</f>
        <v/>
      </c>
      <c r="JX20">
        <f>IF($B20=0,1000000,IF(INDEX('計算A'!$D$60:$DS$104,$B20,67)*FG20=1,'計算A'!BR$6,1000000))</f>
        <v/>
      </c>
      <c r="JY20">
        <f>IF($B20=0,1000000,IF(INDEX('計算A'!$D$60:$DS$104,$B20,68)*FH20=1,'計算A'!BS$6,1000000))</f>
        <v/>
      </c>
      <c r="JZ20">
        <f>IF($B20=0,1000000,IF(INDEX('計算A'!$D$60:$DS$104,$B20,69)*FI20=1,'計算A'!BT$6,1000000))</f>
        <v/>
      </c>
      <c r="KA20">
        <f>IF($B20=0,1000000,IF(INDEX('計算A'!$D$60:$DS$104,$B20,70)*FJ20=1,'計算A'!BU$6,1000000))</f>
        <v/>
      </c>
      <c r="KB20">
        <f>IF($B20=0,1000000,IF(INDEX('計算A'!$D$60:$DS$104,$B20,71)*FK20=1,'計算A'!BV$6,1000000))</f>
        <v/>
      </c>
      <c r="KC20">
        <f>IF($B20=0,1000000,IF(INDEX('計算A'!$D$60:$DS$104,$B20,72)*FL20=1,'計算A'!BW$6,1000000))</f>
        <v/>
      </c>
      <c r="KD20">
        <f>IF($B20=0,1000000,IF(INDEX('計算A'!$D$60:$DS$104,$B20,73)*FM20=1,'計算A'!BX$6,1000000))</f>
        <v/>
      </c>
      <c r="KE20">
        <f>IF($B20=0,1000000,IF(INDEX('計算A'!$D$60:$DS$104,$B20,74)*FN20=1,'計算A'!BY$6,1000000))</f>
        <v/>
      </c>
      <c r="KF20">
        <f>IF($B20=0,1000000,IF(INDEX('計算A'!$D$60:$DS$104,$B20,75)*FO20=1,'計算A'!BZ$6,1000000))</f>
        <v/>
      </c>
      <c r="KG20">
        <f>IF($B20=0,1000000,IF(INDEX('計算A'!$D$60:$DS$104,$B20,76)*FP20=1,'計算A'!CA$6,1000000))</f>
        <v/>
      </c>
      <c r="KH20">
        <f>IF($B20=0,1000000,IF(INDEX('計算A'!$D$60:$DS$104,$B20,77)*FQ20=1,'計算A'!CB$6,1000000))</f>
        <v/>
      </c>
      <c r="KI20">
        <f>IF($B20=0,1000000,IF(INDEX('計算A'!$D$60:$DS$104,$B20,78)*FR20=1,'計算A'!CC$6,1000000))</f>
        <v/>
      </c>
      <c r="KJ20">
        <f>IF($B20=0,1000000,IF(INDEX('計算A'!$D$60:$DS$104,$B20,79)*FS20=1,'計算A'!CD$6,1000000))</f>
        <v/>
      </c>
      <c r="KK20">
        <f>IF($B20=0,1000000,IF(INDEX('計算A'!$D$60:$DS$104,$B20,80)*FT20=1,'計算A'!CE$6,1000000))</f>
        <v/>
      </c>
      <c r="KL20">
        <f>IF($B20=0,1000000,IF(INDEX('計算A'!$D$60:$DS$104,$B20,81)*FU20=1,'計算A'!CF$6,1000000))</f>
        <v/>
      </c>
      <c r="KM20">
        <f>IF($B20=0,1000000,IF(INDEX('計算A'!$D$60:$DS$104,$B20,82)*FV20=1,'計算A'!CG$6,1000000))</f>
        <v/>
      </c>
      <c r="KN20">
        <f>IF($B20=0,1000000,IF(INDEX('計算A'!$D$60:$DS$104,$B20,83)*FW20=1,'計算A'!CH$6,1000000))</f>
        <v/>
      </c>
      <c r="KO20">
        <f>IF($B20=0,1000000,IF(INDEX('計算A'!$D$60:$DS$104,$B20,84)*FX20=1,'計算A'!CI$6,1000000))</f>
        <v/>
      </c>
      <c r="KP20">
        <f>IF($B20=0,1000000,IF(INDEX('計算A'!$D$60:$DS$104,$B20,85)*FY20=1,'計算A'!CJ$6,1000000))</f>
        <v/>
      </c>
      <c r="KQ20">
        <f>IF($B20=0,1000000,IF(INDEX('計算A'!$D$60:$DS$104,$B20,86)*FZ20=1,'計算A'!CK$6,1000000))</f>
        <v/>
      </c>
      <c r="KR20">
        <f>IF($B20=0,1000000,IF(INDEX('計算A'!$D$60:$DS$104,$B20,87)*GA20=1,'計算A'!CL$6,1000000))</f>
        <v/>
      </c>
      <c r="KS20">
        <f>IF($B20=0,1000000,IF(INDEX('計算A'!$D$60:$DS$104,$B20,88)*GB20=1,'計算A'!CM$6,1000000))</f>
        <v/>
      </c>
      <c r="KT20">
        <f>IF($B20=0,1000000,IF(INDEX('計算A'!$D$60:$DS$104,$B20,89)*GC20=1,'計算A'!CN$6,1000000))</f>
        <v/>
      </c>
      <c r="KU20">
        <f>IF($B20=0,1000000,IF(INDEX('計算A'!$D$60:$DS$104,$B20,90)*GD20=1,'計算A'!CO$6,1000000))</f>
        <v/>
      </c>
      <c r="KV20">
        <f>IF($B20=0,1000000,IF(INDEX('計算A'!$D$60:$DS$104,$B20,91)*GE20=1,'計算A'!CP$6,1000000))</f>
        <v/>
      </c>
      <c r="KW20">
        <f>IF($B20=0,1000000,IF(INDEX('計算A'!$D$60:$DS$104,$B20,92)*GF20=1,'計算A'!CQ$6,1000000))</f>
        <v/>
      </c>
      <c r="KX20">
        <f>IF($B20=0,1000000,IF(INDEX('計算A'!$D$60:$DS$104,$B20,93)*GG20=1,'計算A'!CR$6,1000000))</f>
        <v/>
      </c>
      <c r="KY20">
        <f>IF($B20=0,1000000,IF(INDEX('計算A'!$D$60:$DS$104,$B20,94)*GH20=1,'計算A'!CS$6,1000000))</f>
        <v/>
      </c>
      <c r="KZ20">
        <f>IF($B20=0,1000000,IF(INDEX('計算A'!$D$60:$DS$104,$B20,95)*GI20=1,'計算A'!CT$6,1000000))</f>
        <v/>
      </c>
      <c r="LA20">
        <f>IF($B20=0,1000000,IF(INDEX('計算A'!$D$60:$DS$104,$B20,96)*GJ20=1,'計算A'!CU$6,1000000))</f>
        <v/>
      </c>
      <c r="LB20">
        <f>IF($B20=0,1000000,IF(INDEX('計算A'!$D$60:$DS$104,$B20,97)*GK20=1,'計算A'!CV$6,1000000))</f>
        <v/>
      </c>
      <c r="LC20">
        <f>IF($B20=0,1000000,IF(INDEX('計算A'!$D$60:$DS$104,$B20,98)*GL20=1,'計算A'!CW$6,1000000))</f>
        <v/>
      </c>
      <c r="LD20">
        <f>IF($B20=0,1000000,IF(INDEX('計算A'!$D$60:$DS$104,$B20,99)*GM20=1,'計算A'!CX$6,1000000))</f>
        <v/>
      </c>
      <c r="LE20">
        <f>IF($B20=0,1000000,IF(INDEX('計算A'!$D$60:$DS$104,$B20,100)*GN20=1,'計算A'!CY$6,1000000))</f>
        <v/>
      </c>
      <c r="LF20">
        <f>IF($B20=0,1000000,IF(INDEX('計算A'!$D$60:$DS$104,$B20,101)*GO20=1,'計算A'!CZ$6,1000000))</f>
        <v/>
      </c>
      <c r="LG20">
        <f>IF($B20=0,1000000,IF(INDEX('計算A'!$D$60:$DS$104,$B20,102)*GP20=1,'計算A'!DA$6,1000000))</f>
        <v/>
      </c>
      <c r="LH20">
        <f>IF($B20=0,1000000,IF(INDEX('計算A'!$D$60:$DS$104,$B20,103)*GQ20=1,'計算A'!DB$6,1000000))</f>
        <v/>
      </c>
      <c r="LI20">
        <f>IF($B20=0,1000000,IF(INDEX('計算A'!$D$60:$DS$104,$B20,104)*GR20=1,'計算A'!DC$6,1000000))</f>
        <v/>
      </c>
      <c r="LJ20">
        <f>IF($B20=0,1000000,IF(INDEX('計算A'!$D$60:$DS$104,$B20,105)*GS20=1,'計算A'!DD$6,1000000))</f>
        <v/>
      </c>
      <c r="LK20">
        <f>IF($B20=0,1000000,IF(INDEX('計算A'!$D$60:$DS$104,$B20,106)*GT20=1,'計算A'!DE$6,1000000))</f>
        <v/>
      </c>
      <c r="LL20">
        <f>IF($B20=0,1000000,IF(INDEX('計算A'!$D$60:$DS$104,$B20,107)*GU20=1,'計算A'!DF$6,1000000))</f>
        <v/>
      </c>
      <c r="LM20">
        <f>IF($B20=0,1000000,IF(INDEX('計算A'!$D$60:$DS$104,$B20,108)*GV20=1,'計算A'!DG$6,1000000))</f>
        <v/>
      </c>
      <c r="LN20">
        <f>IF($B20=0,1000000,IF(INDEX('計算A'!$D$60:$DS$104,$B20,109)*GW20=1,'計算A'!DH$6,1000000))</f>
        <v/>
      </c>
      <c r="LO20">
        <f>IF($B20=0,1000000,IF(INDEX('計算A'!$D$60:$DS$104,$B20,110)*GX20=1,'計算A'!DI$6,1000000))</f>
        <v/>
      </c>
      <c r="LP20">
        <f>IF($B20=0,1000000,IF(INDEX('計算A'!$D$60:$DS$104,$B20,111)*GY20=1,'計算A'!DJ$6,1000000))</f>
        <v/>
      </c>
      <c r="LQ20">
        <f>IF($B20=0,1000000,IF(INDEX('計算A'!$D$60:$DS$104,$B20,112)*GZ20=1,'計算A'!DK$6,1000000))</f>
        <v/>
      </c>
      <c r="LR20">
        <f>IF($B20=0,1000000,IF(INDEX('計算A'!$D$60:$DS$104,$B20,113)*HA20=1,'計算A'!DL$6,1000000))</f>
        <v/>
      </c>
      <c r="LS20">
        <f>IF($B20=0,1000000,IF(INDEX('計算A'!$D$60:$DS$104,$B20,114)*HB20=1,'計算A'!DM$6,1000000))</f>
        <v/>
      </c>
      <c r="LT20">
        <f>IF($B20=0,1000000,IF(INDEX('計算A'!$D$60:$DS$104,$B20,115)*HC20=1,'計算A'!DN$6,1000000))</f>
        <v/>
      </c>
      <c r="LU20">
        <f>IF($B20=0,1000000,IF(INDEX('計算A'!$D$60:$DS$104,$B20,116)*HD20=1,'計算A'!DO$6,1000000))</f>
        <v/>
      </c>
      <c r="LV20">
        <f>IF($B20=0,1000000,IF(INDEX('計算A'!$D$60:$DS$104,$B20,117)*HE20=1,'計算A'!DP$6,1000000))</f>
        <v/>
      </c>
      <c r="LW20">
        <f>IF($B20=0,1000000,IF(INDEX('計算A'!$D$60:$DS$104,$B20,118)*HF20=1,'計算A'!DQ$6,1000000))</f>
        <v/>
      </c>
      <c r="LX20">
        <f>IF($B20=0,1000000,IF(INDEX('計算A'!$D$60:$DS$104,$B20,119)*HG20=1,'計算A'!DR$6,1000000))</f>
        <v/>
      </c>
      <c r="LY20">
        <f>IF($B20=0,1000000,IF(INDEX('計算A'!$D$60:$DS$104,$B20,120)*HH20=1,'計算A'!DS$6,1000000))</f>
        <v/>
      </c>
    </row>
    <row r="21">
      <c r="A21" t="n">
        <v>19</v>
      </c>
      <c r="B21">
        <f>IF(MIN(AY21:CQ21)&gt;=1000000,0,MATCH(MIN(AY21:CQ21),AY21:CQ21,0))</f>
        <v/>
      </c>
      <c r="C21">
        <f>IF(MIN(HJ21:LY21)&gt;=1000000,0,MATCH(MIN(HJ21:LY21),HJ21:LY21,0))</f>
        <v/>
      </c>
      <c r="D21">
        <f>IF(C21&gt;0,INDEX('計算A'!$D$5:$DS$5,C21),0)</f>
        <v/>
      </c>
      <c r="E21">
        <f>MAX(E20,IF($B20=1,1,0))</f>
        <v/>
      </c>
      <c r="F21">
        <f>MAX(F20,IF($B20=2,1,0))</f>
        <v/>
      </c>
      <c r="G21">
        <f>MAX(G20,IF($B20=3,1,0))</f>
        <v/>
      </c>
      <c r="H21">
        <f>MAX(H20,IF($B20=4,1,0))</f>
        <v/>
      </c>
      <c r="I21">
        <f>MAX(I20,IF($B20=5,1,0))</f>
        <v/>
      </c>
      <c r="J21">
        <f>MAX(J20,IF($B20=6,1,0))</f>
        <v/>
      </c>
      <c r="K21">
        <f>MAX(K20,IF($B20=7,1,0))</f>
        <v/>
      </c>
      <c r="L21">
        <f>MAX(L20,IF($B20=8,1,0))</f>
        <v/>
      </c>
      <c r="M21">
        <f>MAX(M20,IF($B20=9,1,0))</f>
        <v/>
      </c>
      <c r="N21">
        <f>MAX(N20,IF($B20=10,1,0))</f>
        <v/>
      </c>
      <c r="O21">
        <f>MAX(O20,IF($B20=11,1,0))</f>
        <v/>
      </c>
      <c r="P21">
        <f>MAX(P20,IF($B20=12,1,0))</f>
        <v/>
      </c>
      <c r="Q21">
        <f>MAX(Q20,IF($B20=13,1,0))</f>
        <v/>
      </c>
      <c r="R21">
        <f>MAX(R20,IF($B20=14,1,0))</f>
        <v/>
      </c>
      <c r="S21">
        <f>MAX(S20,IF($B20=15,1,0))</f>
        <v/>
      </c>
      <c r="T21">
        <f>MAX(T20,IF($B20=16,1,0))</f>
        <v/>
      </c>
      <c r="U21">
        <f>MAX(U20,IF($B20=17,1,0))</f>
        <v/>
      </c>
      <c r="V21">
        <f>MAX(V20,IF($B20=18,1,0))</f>
        <v/>
      </c>
      <c r="W21">
        <f>MAX(W20,IF($B20=19,1,0))</f>
        <v/>
      </c>
      <c r="X21">
        <f>MAX(X20,IF($B20=20,1,0))</f>
        <v/>
      </c>
      <c r="Y21">
        <f>MAX(Y20,IF($B20=21,1,0))</f>
        <v/>
      </c>
      <c r="Z21">
        <f>MAX(Z20,IF($B20=22,1,0))</f>
        <v/>
      </c>
      <c r="AA21">
        <f>MAX(AA20,IF($B20=23,1,0))</f>
        <v/>
      </c>
      <c r="AB21">
        <f>MAX(AB20,IF($B20=24,1,0))</f>
        <v/>
      </c>
      <c r="AC21">
        <f>MAX(AC20,IF($B20=25,1,0))</f>
        <v/>
      </c>
      <c r="AD21">
        <f>MAX(AD20,IF($B20=26,1,0))</f>
        <v/>
      </c>
      <c r="AE21">
        <f>MAX(AE20,IF($B20=27,1,0))</f>
        <v/>
      </c>
      <c r="AF21">
        <f>MAX(AF20,IF($B20=28,1,0))</f>
        <v/>
      </c>
      <c r="AG21">
        <f>MAX(AG20,IF($B20=29,1,0))</f>
        <v/>
      </c>
      <c r="AH21">
        <f>MAX(AH20,IF($B20=30,1,0))</f>
        <v/>
      </c>
      <c r="AI21">
        <f>MAX(AI20,IF($B20=31,1,0))</f>
        <v/>
      </c>
      <c r="AJ21">
        <f>MAX(AJ20,IF($B20=32,1,0))</f>
        <v/>
      </c>
      <c r="AK21">
        <f>MAX(AK20,IF($B20=33,1,0))</f>
        <v/>
      </c>
      <c r="AL21">
        <f>MAX(AL20,IF($B20=34,1,0))</f>
        <v/>
      </c>
      <c r="AM21">
        <f>MAX(AM20,IF($B20=35,1,0))</f>
        <v/>
      </c>
      <c r="AN21">
        <f>MAX(AN20,IF($B20=36,1,0))</f>
        <v/>
      </c>
      <c r="AO21">
        <f>MAX(AO20,IF($B20=37,1,0))</f>
        <v/>
      </c>
      <c r="AP21">
        <f>MAX(AP20,IF($B20=38,1,0))</f>
        <v/>
      </c>
      <c r="AQ21">
        <f>MAX(AQ20,IF($B20=39,1,0))</f>
        <v/>
      </c>
      <c r="AR21">
        <f>MAX(AR20,IF($B20=40,1,0))</f>
        <v/>
      </c>
      <c r="AS21">
        <f>MAX(AS20,IF($B20=41,1,0))</f>
        <v/>
      </c>
      <c r="AT21">
        <f>MAX(AT20,IF($B20=42,1,0))</f>
        <v/>
      </c>
      <c r="AU21">
        <f>MAX(AU20,IF($B20=43,1,0))</f>
        <v/>
      </c>
      <c r="AV21">
        <f>MAX(AV20,IF($B20=44,1,0))</f>
        <v/>
      </c>
      <c r="AW21">
        <f>MAX(AW20,IF($B20=45,1,0))</f>
        <v/>
      </c>
      <c r="AY21">
        <f>IF(E21=1,1000000,SUMPRODUCT('計算A'!$D$60:$DS$60,$CS21:$HH21)*1000+1)</f>
        <v/>
      </c>
      <c r="AZ21">
        <f>IF(F21=1,1000000,SUMPRODUCT('計算A'!$D$61:$DS$61,$CS21:$HH21)*1000+2)</f>
        <v/>
      </c>
      <c r="BA21">
        <f>IF(G21=1,1000000,SUMPRODUCT('計算A'!$D$62:$DS$62,$CS21:$HH21)*1000+3)</f>
        <v/>
      </c>
      <c r="BB21">
        <f>IF(H21=1,1000000,SUMPRODUCT('計算A'!$D$63:$DS$63,$CS21:$HH21)*1000+4)</f>
        <v/>
      </c>
      <c r="BC21">
        <f>IF(I21=1,1000000,SUMPRODUCT('計算A'!$D$64:$DS$64,$CS21:$HH21)*1000+5)</f>
        <v/>
      </c>
      <c r="BD21">
        <f>IF(J21=1,1000000,SUMPRODUCT('計算A'!$D$65:$DS$65,$CS21:$HH21)*1000+6)</f>
        <v/>
      </c>
      <c r="BE21">
        <f>IF(K21=1,1000000,SUMPRODUCT('計算A'!$D$66:$DS$66,$CS21:$HH21)*1000+7)</f>
        <v/>
      </c>
      <c r="BF21">
        <f>IF(L21=1,1000000,SUMPRODUCT('計算A'!$D$67:$DS$67,$CS21:$HH21)*1000+8)</f>
        <v/>
      </c>
      <c r="BG21">
        <f>IF(M21=1,1000000,SUMPRODUCT('計算A'!$D$68:$DS$68,$CS21:$HH21)*1000+9)</f>
        <v/>
      </c>
      <c r="BH21">
        <f>IF(N21=1,1000000,SUMPRODUCT('計算A'!$D$69:$DS$69,$CS21:$HH21)*1000+10)</f>
        <v/>
      </c>
      <c r="BI21">
        <f>IF(O21=1,1000000,SUMPRODUCT('計算A'!$D$70:$DS$70,$CS21:$HH21)*1000+11)</f>
        <v/>
      </c>
      <c r="BJ21">
        <f>IF(P21=1,1000000,SUMPRODUCT('計算A'!$D$71:$DS$71,$CS21:$HH21)*1000+12)</f>
        <v/>
      </c>
      <c r="BK21">
        <f>IF(Q21=1,1000000,SUMPRODUCT('計算A'!$D$72:$DS$72,$CS21:$HH21)*1000+13)</f>
        <v/>
      </c>
      <c r="BL21">
        <f>IF(R21=1,1000000,SUMPRODUCT('計算A'!$D$73:$DS$73,$CS21:$HH21)*1000+14)</f>
        <v/>
      </c>
      <c r="BM21">
        <f>IF(S21=1,1000000,SUMPRODUCT('計算A'!$D$74:$DS$74,$CS21:$HH21)*1000+15)</f>
        <v/>
      </c>
      <c r="BN21">
        <f>IF(T21=1,1000000,SUMPRODUCT('計算A'!$D$75:$DS$75,$CS21:$HH21)*1000+16)</f>
        <v/>
      </c>
      <c r="BO21">
        <f>IF(U21=1,1000000,SUMPRODUCT('計算A'!$D$76:$DS$76,$CS21:$HH21)*1000+17)</f>
        <v/>
      </c>
      <c r="BP21">
        <f>IF(V21=1,1000000,SUMPRODUCT('計算A'!$D$77:$DS$77,$CS21:$HH21)*1000+18)</f>
        <v/>
      </c>
      <c r="BQ21">
        <f>IF(W21=1,1000000,SUMPRODUCT('計算A'!$D$78:$DS$78,$CS21:$HH21)*1000+19)</f>
        <v/>
      </c>
      <c r="BR21">
        <f>IF(X21=1,1000000,SUMPRODUCT('計算A'!$D$79:$DS$79,$CS21:$HH21)*1000+20)</f>
        <v/>
      </c>
      <c r="BS21">
        <f>IF(Y21=1,1000000,SUMPRODUCT('計算A'!$D$80:$DS$80,$CS21:$HH21)*1000+21)</f>
        <v/>
      </c>
      <c r="BT21">
        <f>IF(Z21=1,1000000,SUMPRODUCT('計算A'!$D$81:$DS$81,$CS21:$HH21)*1000+22)</f>
        <v/>
      </c>
      <c r="BU21">
        <f>IF(AA21=1,1000000,SUMPRODUCT('計算A'!$D$82:$DS$82,$CS21:$HH21)*1000+23)</f>
        <v/>
      </c>
      <c r="BV21">
        <f>IF(AB21=1,1000000,SUMPRODUCT('計算A'!$D$83:$DS$83,$CS21:$HH21)*1000+24)</f>
        <v/>
      </c>
      <c r="BW21">
        <f>IF(AC21=1,1000000,SUMPRODUCT('計算A'!$D$84:$DS$84,$CS21:$HH21)*1000+25)</f>
        <v/>
      </c>
      <c r="BX21">
        <f>IF(AD21=1,1000000,SUMPRODUCT('計算A'!$D$85:$DS$85,$CS21:$HH21)*1000+26)</f>
        <v/>
      </c>
      <c r="BY21">
        <f>IF(AE21=1,1000000,SUMPRODUCT('計算A'!$D$86:$DS$86,$CS21:$HH21)*1000+27)</f>
        <v/>
      </c>
      <c r="BZ21">
        <f>IF(AF21=1,1000000,SUMPRODUCT('計算A'!$D$87:$DS$87,$CS21:$HH21)*1000+28)</f>
        <v/>
      </c>
      <c r="CA21">
        <f>IF(AG21=1,1000000,SUMPRODUCT('計算A'!$D$88:$DS$88,$CS21:$HH21)*1000+29)</f>
        <v/>
      </c>
      <c r="CB21">
        <f>IF(AH21=1,1000000,SUMPRODUCT('計算A'!$D$89:$DS$89,$CS21:$HH21)*1000+30)</f>
        <v/>
      </c>
      <c r="CC21">
        <f>IF(AI21=1,1000000,SUMPRODUCT('計算A'!$D$90:$DS$90,$CS21:$HH21)*1000+31)</f>
        <v/>
      </c>
      <c r="CD21">
        <f>IF(AJ21=1,1000000,SUMPRODUCT('計算A'!$D$91:$DS$91,$CS21:$HH21)*1000+32)</f>
        <v/>
      </c>
      <c r="CE21">
        <f>IF(AK21=1,1000000,SUMPRODUCT('計算A'!$D$92:$DS$92,$CS21:$HH21)*1000+33)</f>
        <v/>
      </c>
      <c r="CF21">
        <f>IF(AL21=1,1000000,SUMPRODUCT('計算A'!$D$93:$DS$93,$CS21:$HH21)*1000+34)</f>
        <v/>
      </c>
      <c r="CG21">
        <f>IF(AM21=1,1000000,SUMPRODUCT('計算A'!$D$94:$DS$94,$CS21:$HH21)*1000+35)</f>
        <v/>
      </c>
      <c r="CH21">
        <f>IF(AN21=1,1000000,SUMPRODUCT('計算A'!$D$95:$DS$95,$CS21:$HH21)*1000+36)</f>
        <v/>
      </c>
      <c r="CI21">
        <f>IF(AO21=1,1000000,SUMPRODUCT('計算A'!$D$96:$DS$96,$CS21:$HH21)*1000+37)</f>
        <v/>
      </c>
      <c r="CJ21">
        <f>IF(AP21=1,1000000,SUMPRODUCT('計算A'!$D$97:$DS$97,$CS21:$HH21)*1000+38)</f>
        <v/>
      </c>
      <c r="CK21">
        <f>IF(AQ21=1,1000000,SUMPRODUCT('計算A'!$D$98:$DS$98,$CS21:$HH21)*1000+39)</f>
        <v/>
      </c>
      <c r="CL21">
        <f>IF(AR21=1,1000000,SUMPRODUCT('計算A'!$D$99:$DS$99,$CS21:$HH21)*1000+40)</f>
        <v/>
      </c>
      <c r="CM21">
        <f>IF(AS21=1,1000000,SUMPRODUCT('計算A'!$D$100:$DS$100,$CS21:$HH21)*1000+41)</f>
        <v/>
      </c>
      <c r="CN21">
        <f>IF(AT21=1,1000000,SUMPRODUCT('計算A'!$D$101:$DS$101,$CS21:$HH21)*1000+42)</f>
        <v/>
      </c>
      <c r="CO21">
        <f>IF(AU21=1,1000000,SUMPRODUCT('計算A'!$D$102:$DS$102,$CS21:$HH21)*1000+43)</f>
        <v/>
      </c>
      <c r="CP21">
        <f>IF(AV21=1,1000000,SUMPRODUCT('計算A'!$D$103:$DS$103,$CS21:$HH21)*1000+44)</f>
        <v/>
      </c>
      <c r="CQ21">
        <f>IF(AW21=1,1000000,SUMPRODUCT('計算A'!$D$104:$DS$104,$CS21:$HH21)*1000+45)</f>
        <v/>
      </c>
      <c r="CS21">
        <f>CS20*IF($C20=1,0,1)</f>
        <v/>
      </c>
      <c r="CT21">
        <f>CT20*IF($C20=2,0,1)</f>
        <v/>
      </c>
      <c r="CU21">
        <f>CU20*IF($C20=3,0,1)</f>
        <v/>
      </c>
      <c r="CV21">
        <f>CV20*IF($C20=4,0,1)</f>
        <v/>
      </c>
      <c r="CW21">
        <f>CW20*IF($C20=5,0,1)</f>
        <v/>
      </c>
      <c r="CX21">
        <f>CX20*IF($C20=6,0,1)</f>
        <v/>
      </c>
      <c r="CY21">
        <f>CY20*IF($C20=7,0,1)</f>
        <v/>
      </c>
      <c r="CZ21">
        <f>CZ20*IF($C20=8,0,1)</f>
        <v/>
      </c>
      <c r="DA21">
        <f>DA20*IF($C20=9,0,1)</f>
        <v/>
      </c>
      <c r="DB21">
        <f>DB20*IF($C20=10,0,1)</f>
        <v/>
      </c>
      <c r="DC21">
        <f>DC20*IF($C20=11,0,1)</f>
        <v/>
      </c>
      <c r="DD21">
        <f>DD20*IF($C20=12,0,1)</f>
        <v/>
      </c>
      <c r="DE21">
        <f>DE20*IF($C20=13,0,1)</f>
        <v/>
      </c>
      <c r="DF21">
        <f>DF20*IF($C20=14,0,1)</f>
        <v/>
      </c>
      <c r="DG21">
        <f>DG20*IF($C20=15,0,1)</f>
        <v/>
      </c>
      <c r="DH21">
        <f>DH20*IF($C20=16,0,1)</f>
        <v/>
      </c>
      <c r="DI21">
        <f>DI20*IF($C20=17,0,1)</f>
        <v/>
      </c>
      <c r="DJ21">
        <f>DJ20*IF($C20=18,0,1)</f>
        <v/>
      </c>
      <c r="DK21">
        <f>DK20*IF($C20=19,0,1)</f>
        <v/>
      </c>
      <c r="DL21">
        <f>DL20*IF($C20=20,0,1)</f>
        <v/>
      </c>
      <c r="DM21">
        <f>DM20*IF($C20=21,0,1)</f>
        <v/>
      </c>
      <c r="DN21">
        <f>DN20*IF($C20=22,0,1)</f>
        <v/>
      </c>
      <c r="DO21">
        <f>DO20*IF($C20=23,0,1)</f>
        <v/>
      </c>
      <c r="DP21">
        <f>DP20*IF($C20=24,0,1)</f>
        <v/>
      </c>
      <c r="DQ21">
        <f>DQ20*IF($C20=25,0,1)</f>
        <v/>
      </c>
      <c r="DR21">
        <f>DR20*IF($C20=26,0,1)</f>
        <v/>
      </c>
      <c r="DS21">
        <f>DS20*IF($C20=27,0,1)</f>
        <v/>
      </c>
      <c r="DT21">
        <f>DT20*IF($C20=28,0,1)</f>
        <v/>
      </c>
      <c r="DU21">
        <f>DU20*IF($C20=29,0,1)</f>
        <v/>
      </c>
      <c r="DV21">
        <f>DV20*IF($C20=30,0,1)</f>
        <v/>
      </c>
      <c r="DW21">
        <f>DW20*IF($C20=31,0,1)</f>
        <v/>
      </c>
      <c r="DX21">
        <f>DX20*IF($C20=32,0,1)</f>
        <v/>
      </c>
      <c r="DY21">
        <f>DY20*IF($C20=33,0,1)</f>
        <v/>
      </c>
      <c r="DZ21">
        <f>DZ20*IF($C20=34,0,1)</f>
        <v/>
      </c>
      <c r="EA21">
        <f>EA20*IF($C20=35,0,1)</f>
        <v/>
      </c>
      <c r="EB21">
        <f>EB20*IF($C20=36,0,1)</f>
        <v/>
      </c>
      <c r="EC21">
        <f>EC20*IF($C20=37,0,1)</f>
        <v/>
      </c>
      <c r="ED21">
        <f>ED20*IF($C20=38,0,1)</f>
        <v/>
      </c>
      <c r="EE21">
        <f>EE20*IF($C20=39,0,1)</f>
        <v/>
      </c>
      <c r="EF21">
        <f>EF20*IF($C20=40,0,1)</f>
        <v/>
      </c>
      <c r="EG21">
        <f>EG20*IF($C20=41,0,1)</f>
        <v/>
      </c>
      <c r="EH21">
        <f>EH20*IF($C20=42,0,1)</f>
        <v/>
      </c>
      <c r="EI21">
        <f>EI20*IF($C20=43,0,1)</f>
        <v/>
      </c>
      <c r="EJ21">
        <f>EJ20*IF($C20=44,0,1)</f>
        <v/>
      </c>
      <c r="EK21">
        <f>EK20*IF($C20=45,0,1)</f>
        <v/>
      </c>
      <c r="EL21">
        <f>EL20*IF($C20=46,0,1)</f>
        <v/>
      </c>
      <c r="EM21">
        <f>EM20*IF($C20=47,0,1)</f>
        <v/>
      </c>
      <c r="EN21">
        <f>EN20*IF($C20=48,0,1)</f>
        <v/>
      </c>
      <c r="EO21">
        <f>EO20*IF($C20=49,0,1)</f>
        <v/>
      </c>
      <c r="EP21">
        <f>EP20*IF($C20=50,0,1)</f>
        <v/>
      </c>
      <c r="EQ21">
        <f>EQ20*IF($C20=51,0,1)</f>
        <v/>
      </c>
      <c r="ER21">
        <f>ER20*IF($C20=52,0,1)</f>
        <v/>
      </c>
      <c r="ES21">
        <f>ES20*IF($C20=53,0,1)</f>
        <v/>
      </c>
      <c r="ET21">
        <f>ET20*IF($C20=54,0,1)</f>
        <v/>
      </c>
      <c r="EU21">
        <f>EU20*IF($C20=55,0,1)</f>
        <v/>
      </c>
      <c r="EV21">
        <f>EV20*IF($C20=56,0,1)</f>
        <v/>
      </c>
      <c r="EW21">
        <f>EW20*IF($C20=57,0,1)</f>
        <v/>
      </c>
      <c r="EX21">
        <f>EX20*IF($C20=58,0,1)</f>
        <v/>
      </c>
      <c r="EY21">
        <f>EY20*IF($C20=59,0,1)</f>
        <v/>
      </c>
      <c r="EZ21">
        <f>EZ20*IF($C20=60,0,1)</f>
        <v/>
      </c>
      <c r="FA21">
        <f>FA20*IF($C20=61,0,1)</f>
        <v/>
      </c>
      <c r="FB21">
        <f>FB20*IF($C20=62,0,1)</f>
        <v/>
      </c>
      <c r="FC21">
        <f>FC20*IF($C20=63,0,1)</f>
        <v/>
      </c>
      <c r="FD21">
        <f>FD20*IF($C20=64,0,1)</f>
        <v/>
      </c>
      <c r="FE21">
        <f>FE20*IF($C20=65,0,1)</f>
        <v/>
      </c>
      <c r="FF21">
        <f>FF20*IF($C20=66,0,1)</f>
        <v/>
      </c>
      <c r="FG21">
        <f>FG20*IF($C20=67,0,1)</f>
        <v/>
      </c>
      <c r="FH21">
        <f>FH20*IF($C20=68,0,1)</f>
        <v/>
      </c>
      <c r="FI21">
        <f>FI20*IF($C20=69,0,1)</f>
        <v/>
      </c>
      <c r="FJ21">
        <f>FJ20*IF($C20=70,0,1)</f>
        <v/>
      </c>
      <c r="FK21">
        <f>FK20*IF($C20=71,0,1)</f>
        <v/>
      </c>
      <c r="FL21">
        <f>FL20*IF($C20=72,0,1)</f>
        <v/>
      </c>
      <c r="FM21">
        <f>FM20*IF($C20=73,0,1)</f>
        <v/>
      </c>
      <c r="FN21">
        <f>FN20*IF($C20=74,0,1)</f>
        <v/>
      </c>
      <c r="FO21">
        <f>FO20*IF($C20=75,0,1)</f>
        <v/>
      </c>
      <c r="FP21">
        <f>FP20*IF($C20=76,0,1)</f>
        <v/>
      </c>
      <c r="FQ21">
        <f>FQ20*IF($C20=77,0,1)</f>
        <v/>
      </c>
      <c r="FR21">
        <f>FR20*IF($C20=78,0,1)</f>
        <v/>
      </c>
      <c r="FS21">
        <f>FS20*IF($C20=79,0,1)</f>
        <v/>
      </c>
      <c r="FT21">
        <f>FT20*IF($C20=80,0,1)</f>
        <v/>
      </c>
      <c r="FU21">
        <f>FU20*IF($C20=81,0,1)</f>
        <v/>
      </c>
      <c r="FV21">
        <f>FV20*IF($C20=82,0,1)</f>
        <v/>
      </c>
      <c r="FW21">
        <f>FW20*IF($C20=83,0,1)</f>
        <v/>
      </c>
      <c r="FX21">
        <f>FX20*IF($C20=84,0,1)</f>
        <v/>
      </c>
      <c r="FY21">
        <f>FY20*IF($C20=85,0,1)</f>
        <v/>
      </c>
      <c r="FZ21">
        <f>FZ20*IF($C20=86,0,1)</f>
        <v/>
      </c>
      <c r="GA21">
        <f>GA20*IF($C20=87,0,1)</f>
        <v/>
      </c>
      <c r="GB21">
        <f>GB20*IF($C20=88,0,1)</f>
        <v/>
      </c>
      <c r="GC21">
        <f>GC20*IF($C20=89,0,1)</f>
        <v/>
      </c>
      <c r="GD21">
        <f>GD20*IF($C20=90,0,1)</f>
        <v/>
      </c>
      <c r="GE21">
        <f>GE20*IF($C20=91,0,1)</f>
        <v/>
      </c>
      <c r="GF21">
        <f>GF20*IF($C20=92,0,1)</f>
        <v/>
      </c>
      <c r="GG21">
        <f>GG20*IF($C20=93,0,1)</f>
        <v/>
      </c>
      <c r="GH21">
        <f>GH20*IF($C20=94,0,1)</f>
        <v/>
      </c>
      <c r="GI21">
        <f>GI20*IF($C20=95,0,1)</f>
        <v/>
      </c>
      <c r="GJ21">
        <f>GJ20*IF($C20=96,0,1)</f>
        <v/>
      </c>
      <c r="GK21">
        <f>GK20*IF($C20=97,0,1)</f>
        <v/>
      </c>
      <c r="GL21">
        <f>GL20*IF($C20=98,0,1)</f>
        <v/>
      </c>
      <c r="GM21">
        <f>GM20*IF($C20=99,0,1)</f>
        <v/>
      </c>
      <c r="GN21">
        <f>GN20*IF($C20=100,0,1)</f>
        <v/>
      </c>
      <c r="GO21">
        <f>GO20*IF($C20=101,0,1)</f>
        <v/>
      </c>
      <c r="GP21">
        <f>GP20*IF($C20=102,0,1)</f>
        <v/>
      </c>
      <c r="GQ21">
        <f>GQ20*IF($C20=103,0,1)</f>
        <v/>
      </c>
      <c r="GR21">
        <f>GR20*IF($C20=104,0,1)</f>
        <v/>
      </c>
      <c r="GS21">
        <f>GS20*IF($C20=105,0,1)</f>
        <v/>
      </c>
      <c r="GT21">
        <f>GT20*IF($C20=106,0,1)</f>
        <v/>
      </c>
      <c r="GU21">
        <f>GU20*IF($C20=107,0,1)</f>
        <v/>
      </c>
      <c r="GV21">
        <f>GV20*IF($C20=108,0,1)</f>
        <v/>
      </c>
      <c r="GW21">
        <f>GW20*IF($C20=109,0,1)</f>
        <v/>
      </c>
      <c r="GX21">
        <f>GX20*IF($C20=110,0,1)</f>
        <v/>
      </c>
      <c r="GY21">
        <f>GY20*IF($C20=111,0,1)</f>
        <v/>
      </c>
      <c r="GZ21">
        <f>GZ20*IF($C20=112,0,1)</f>
        <v/>
      </c>
      <c r="HA21">
        <f>HA20*IF($C20=113,0,1)</f>
        <v/>
      </c>
      <c r="HB21">
        <f>HB20*IF($C20=114,0,1)</f>
        <v/>
      </c>
      <c r="HC21">
        <f>HC20*IF($C20=115,0,1)</f>
        <v/>
      </c>
      <c r="HD21">
        <f>HD20*IF($C20=116,0,1)</f>
        <v/>
      </c>
      <c r="HE21">
        <f>HE20*IF($C20=117,0,1)</f>
        <v/>
      </c>
      <c r="HF21">
        <f>HF20*IF($C20=118,0,1)</f>
        <v/>
      </c>
      <c r="HG21">
        <f>HG20*IF($C20=119,0,1)</f>
        <v/>
      </c>
      <c r="HH21">
        <f>HH20*IF($C20=120,0,1)</f>
        <v/>
      </c>
      <c r="HJ21">
        <f>IF($B21=0,1000000,IF(INDEX('計算A'!$D$60:$DS$104,$B21,1)*CS21=1,'計算A'!D$6,1000000))</f>
        <v/>
      </c>
      <c r="HK21">
        <f>IF($B21=0,1000000,IF(INDEX('計算A'!$D$60:$DS$104,$B21,2)*CT21=1,'計算A'!E$6,1000000))</f>
        <v/>
      </c>
      <c r="HL21">
        <f>IF($B21=0,1000000,IF(INDEX('計算A'!$D$60:$DS$104,$B21,3)*CU21=1,'計算A'!F$6,1000000))</f>
        <v/>
      </c>
      <c r="HM21">
        <f>IF($B21=0,1000000,IF(INDEX('計算A'!$D$60:$DS$104,$B21,4)*CV21=1,'計算A'!G$6,1000000))</f>
        <v/>
      </c>
      <c r="HN21">
        <f>IF($B21=0,1000000,IF(INDEX('計算A'!$D$60:$DS$104,$B21,5)*CW21=1,'計算A'!H$6,1000000))</f>
        <v/>
      </c>
      <c r="HO21">
        <f>IF($B21=0,1000000,IF(INDEX('計算A'!$D$60:$DS$104,$B21,6)*CX21=1,'計算A'!I$6,1000000))</f>
        <v/>
      </c>
      <c r="HP21">
        <f>IF($B21=0,1000000,IF(INDEX('計算A'!$D$60:$DS$104,$B21,7)*CY21=1,'計算A'!J$6,1000000))</f>
        <v/>
      </c>
      <c r="HQ21">
        <f>IF($B21=0,1000000,IF(INDEX('計算A'!$D$60:$DS$104,$B21,8)*CZ21=1,'計算A'!K$6,1000000))</f>
        <v/>
      </c>
      <c r="HR21">
        <f>IF($B21=0,1000000,IF(INDEX('計算A'!$D$60:$DS$104,$B21,9)*DA21=1,'計算A'!L$6,1000000))</f>
        <v/>
      </c>
      <c r="HS21">
        <f>IF($B21=0,1000000,IF(INDEX('計算A'!$D$60:$DS$104,$B21,10)*DB21=1,'計算A'!M$6,1000000))</f>
        <v/>
      </c>
      <c r="HT21">
        <f>IF($B21=0,1000000,IF(INDEX('計算A'!$D$60:$DS$104,$B21,11)*DC21=1,'計算A'!N$6,1000000))</f>
        <v/>
      </c>
      <c r="HU21">
        <f>IF($B21=0,1000000,IF(INDEX('計算A'!$D$60:$DS$104,$B21,12)*DD21=1,'計算A'!O$6,1000000))</f>
        <v/>
      </c>
      <c r="HV21">
        <f>IF($B21=0,1000000,IF(INDEX('計算A'!$D$60:$DS$104,$B21,13)*DE21=1,'計算A'!P$6,1000000))</f>
        <v/>
      </c>
      <c r="HW21">
        <f>IF($B21=0,1000000,IF(INDEX('計算A'!$D$60:$DS$104,$B21,14)*DF21=1,'計算A'!Q$6,1000000))</f>
        <v/>
      </c>
      <c r="HX21">
        <f>IF($B21=0,1000000,IF(INDEX('計算A'!$D$60:$DS$104,$B21,15)*DG21=1,'計算A'!R$6,1000000))</f>
        <v/>
      </c>
      <c r="HY21">
        <f>IF($B21=0,1000000,IF(INDEX('計算A'!$D$60:$DS$104,$B21,16)*DH21=1,'計算A'!S$6,1000000))</f>
        <v/>
      </c>
      <c r="HZ21">
        <f>IF($B21=0,1000000,IF(INDEX('計算A'!$D$60:$DS$104,$B21,17)*DI21=1,'計算A'!T$6,1000000))</f>
        <v/>
      </c>
      <c r="IA21">
        <f>IF($B21=0,1000000,IF(INDEX('計算A'!$D$60:$DS$104,$B21,18)*DJ21=1,'計算A'!U$6,1000000))</f>
        <v/>
      </c>
      <c r="IB21">
        <f>IF($B21=0,1000000,IF(INDEX('計算A'!$D$60:$DS$104,$B21,19)*DK21=1,'計算A'!V$6,1000000))</f>
        <v/>
      </c>
      <c r="IC21">
        <f>IF($B21=0,1000000,IF(INDEX('計算A'!$D$60:$DS$104,$B21,20)*DL21=1,'計算A'!W$6,1000000))</f>
        <v/>
      </c>
      <c r="ID21">
        <f>IF($B21=0,1000000,IF(INDEX('計算A'!$D$60:$DS$104,$B21,21)*DM21=1,'計算A'!X$6,1000000))</f>
        <v/>
      </c>
      <c r="IE21">
        <f>IF($B21=0,1000000,IF(INDEX('計算A'!$D$60:$DS$104,$B21,22)*DN21=1,'計算A'!Y$6,1000000))</f>
        <v/>
      </c>
      <c r="IF21">
        <f>IF($B21=0,1000000,IF(INDEX('計算A'!$D$60:$DS$104,$B21,23)*DO21=1,'計算A'!Z$6,1000000))</f>
        <v/>
      </c>
      <c r="IG21">
        <f>IF($B21=0,1000000,IF(INDEX('計算A'!$D$60:$DS$104,$B21,24)*DP21=1,'計算A'!AA$6,1000000))</f>
        <v/>
      </c>
      <c r="IH21">
        <f>IF($B21=0,1000000,IF(INDEX('計算A'!$D$60:$DS$104,$B21,25)*DQ21=1,'計算A'!AB$6,1000000))</f>
        <v/>
      </c>
      <c r="II21">
        <f>IF($B21=0,1000000,IF(INDEX('計算A'!$D$60:$DS$104,$B21,26)*DR21=1,'計算A'!AC$6,1000000))</f>
        <v/>
      </c>
      <c r="IJ21">
        <f>IF($B21=0,1000000,IF(INDEX('計算A'!$D$60:$DS$104,$B21,27)*DS21=1,'計算A'!AD$6,1000000))</f>
        <v/>
      </c>
      <c r="IK21">
        <f>IF($B21=0,1000000,IF(INDEX('計算A'!$D$60:$DS$104,$B21,28)*DT21=1,'計算A'!AE$6,1000000))</f>
        <v/>
      </c>
      <c r="IL21">
        <f>IF($B21=0,1000000,IF(INDEX('計算A'!$D$60:$DS$104,$B21,29)*DU21=1,'計算A'!AF$6,1000000))</f>
        <v/>
      </c>
      <c r="IM21">
        <f>IF($B21=0,1000000,IF(INDEX('計算A'!$D$60:$DS$104,$B21,30)*DV21=1,'計算A'!AG$6,1000000))</f>
        <v/>
      </c>
      <c r="IN21">
        <f>IF($B21=0,1000000,IF(INDEX('計算A'!$D$60:$DS$104,$B21,31)*DW21=1,'計算A'!AH$6,1000000))</f>
        <v/>
      </c>
      <c r="IO21">
        <f>IF($B21=0,1000000,IF(INDEX('計算A'!$D$60:$DS$104,$B21,32)*DX21=1,'計算A'!AI$6,1000000))</f>
        <v/>
      </c>
      <c r="IP21">
        <f>IF($B21=0,1000000,IF(INDEX('計算A'!$D$60:$DS$104,$B21,33)*DY21=1,'計算A'!AJ$6,1000000))</f>
        <v/>
      </c>
      <c r="IQ21">
        <f>IF($B21=0,1000000,IF(INDEX('計算A'!$D$60:$DS$104,$B21,34)*DZ21=1,'計算A'!AK$6,1000000))</f>
        <v/>
      </c>
      <c r="IR21">
        <f>IF($B21=0,1000000,IF(INDEX('計算A'!$D$60:$DS$104,$B21,35)*EA21=1,'計算A'!AL$6,1000000))</f>
        <v/>
      </c>
      <c r="IS21">
        <f>IF($B21=0,1000000,IF(INDEX('計算A'!$D$60:$DS$104,$B21,36)*EB21=1,'計算A'!AM$6,1000000))</f>
        <v/>
      </c>
      <c r="IT21">
        <f>IF($B21=0,1000000,IF(INDEX('計算A'!$D$60:$DS$104,$B21,37)*EC21=1,'計算A'!AN$6,1000000))</f>
        <v/>
      </c>
      <c r="IU21">
        <f>IF($B21=0,1000000,IF(INDEX('計算A'!$D$60:$DS$104,$B21,38)*ED21=1,'計算A'!AO$6,1000000))</f>
        <v/>
      </c>
      <c r="IV21">
        <f>IF($B21=0,1000000,IF(INDEX('計算A'!$D$60:$DS$104,$B21,39)*EE21=1,'計算A'!AP$6,1000000))</f>
        <v/>
      </c>
      <c r="IW21">
        <f>IF($B21=0,1000000,IF(INDEX('計算A'!$D$60:$DS$104,$B21,40)*EF21=1,'計算A'!AQ$6,1000000))</f>
        <v/>
      </c>
      <c r="IX21">
        <f>IF($B21=0,1000000,IF(INDEX('計算A'!$D$60:$DS$104,$B21,41)*EG21=1,'計算A'!AR$6,1000000))</f>
        <v/>
      </c>
      <c r="IY21">
        <f>IF($B21=0,1000000,IF(INDEX('計算A'!$D$60:$DS$104,$B21,42)*EH21=1,'計算A'!AS$6,1000000))</f>
        <v/>
      </c>
      <c r="IZ21">
        <f>IF($B21=0,1000000,IF(INDEX('計算A'!$D$60:$DS$104,$B21,43)*EI21=1,'計算A'!AT$6,1000000))</f>
        <v/>
      </c>
      <c r="JA21">
        <f>IF($B21=0,1000000,IF(INDEX('計算A'!$D$60:$DS$104,$B21,44)*EJ21=1,'計算A'!AU$6,1000000))</f>
        <v/>
      </c>
      <c r="JB21">
        <f>IF($B21=0,1000000,IF(INDEX('計算A'!$D$60:$DS$104,$B21,45)*EK21=1,'計算A'!AV$6,1000000))</f>
        <v/>
      </c>
      <c r="JC21">
        <f>IF($B21=0,1000000,IF(INDEX('計算A'!$D$60:$DS$104,$B21,46)*EL21=1,'計算A'!AW$6,1000000))</f>
        <v/>
      </c>
      <c r="JD21">
        <f>IF($B21=0,1000000,IF(INDEX('計算A'!$D$60:$DS$104,$B21,47)*EM21=1,'計算A'!AX$6,1000000))</f>
        <v/>
      </c>
      <c r="JE21">
        <f>IF($B21=0,1000000,IF(INDEX('計算A'!$D$60:$DS$104,$B21,48)*EN21=1,'計算A'!AY$6,1000000))</f>
        <v/>
      </c>
      <c r="JF21">
        <f>IF($B21=0,1000000,IF(INDEX('計算A'!$D$60:$DS$104,$B21,49)*EO21=1,'計算A'!AZ$6,1000000))</f>
        <v/>
      </c>
      <c r="JG21">
        <f>IF($B21=0,1000000,IF(INDEX('計算A'!$D$60:$DS$104,$B21,50)*EP21=1,'計算A'!BA$6,1000000))</f>
        <v/>
      </c>
      <c r="JH21">
        <f>IF($B21=0,1000000,IF(INDEX('計算A'!$D$60:$DS$104,$B21,51)*EQ21=1,'計算A'!BB$6,1000000))</f>
        <v/>
      </c>
      <c r="JI21">
        <f>IF($B21=0,1000000,IF(INDEX('計算A'!$D$60:$DS$104,$B21,52)*ER21=1,'計算A'!BC$6,1000000))</f>
        <v/>
      </c>
      <c r="JJ21">
        <f>IF($B21=0,1000000,IF(INDEX('計算A'!$D$60:$DS$104,$B21,53)*ES21=1,'計算A'!BD$6,1000000))</f>
        <v/>
      </c>
      <c r="JK21">
        <f>IF($B21=0,1000000,IF(INDEX('計算A'!$D$60:$DS$104,$B21,54)*ET21=1,'計算A'!BE$6,1000000))</f>
        <v/>
      </c>
      <c r="JL21">
        <f>IF($B21=0,1000000,IF(INDEX('計算A'!$D$60:$DS$104,$B21,55)*EU21=1,'計算A'!BF$6,1000000))</f>
        <v/>
      </c>
      <c r="JM21">
        <f>IF($B21=0,1000000,IF(INDEX('計算A'!$D$60:$DS$104,$B21,56)*EV21=1,'計算A'!BG$6,1000000))</f>
        <v/>
      </c>
      <c r="JN21">
        <f>IF($B21=0,1000000,IF(INDEX('計算A'!$D$60:$DS$104,$B21,57)*EW21=1,'計算A'!BH$6,1000000))</f>
        <v/>
      </c>
      <c r="JO21">
        <f>IF($B21=0,1000000,IF(INDEX('計算A'!$D$60:$DS$104,$B21,58)*EX21=1,'計算A'!BI$6,1000000))</f>
        <v/>
      </c>
      <c r="JP21">
        <f>IF($B21=0,1000000,IF(INDEX('計算A'!$D$60:$DS$104,$B21,59)*EY21=1,'計算A'!BJ$6,1000000))</f>
        <v/>
      </c>
      <c r="JQ21">
        <f>IF($B21=0,1000000,IF(INDEX('計算A'!$D$60:$DS$104,$B21,60)*EZ21=1,'計算A'!BK$6,1000000))</f>
        <v/>
      </c>
      <c r="JR21">
        <f>IF($B21=0,1000000,IF(INDEX('計算A'!$D$60:$DS$104,$B21,61)*FA21=1,'計算A'!BL$6,1000000))</f>
        <v/>
      </c>
      <c r="JS21">
        <f>IF($B21=0,1000000,IF(INDEX('計算A'!$D$60:$DS$104,$B21,62)*FB21=1,'計算A'!BM$6,1000000))</f>
        <v/>
      </c>
      <c r="JT21">
        <f>IF($B21=0,1000000,IF(INDEX('計算A'!$D$60:$DS$104,$B21,63)*FC21=1,'計算A'!BN$6,1000000))</f>
        <v/>
      </c>
      <c r="JU21">
        <f>IF($B21=0,1000000,IF(INDEX('計算A'!$D$60:$DS$104,$B21,64)*FD21=1,'計算A'!BO$6,1000000))</f>
        <v/>
      </c>
      <c r="JV21">
        <f>IF($B21=0,1000000,IF(INDEX('計算A'!$D$60:$DS$104,$B21,65)*FE21=1,'計算A'!BP$6,1000000))</f>
        <v/>
      </c>
      <c r="JW21">
        <f>IF($B21=0,1000000,IF(INDEX('計算A'!$D$60:$DS$104,$B21,66)*FF21=1,'計算A'!BQ$6,1000000))</f>
        <v/>
      </c>
      <c r="JX21">
        <f>IF($B21=0,1000000,IF(INDEX('計算A'!$D$60:$DS$104,$B21,67)*FG21=1,'計算A'!BR$6,1000000))</f>
        <v/>
      </c>
      <c r="JY21">
        <f>IF($B21=0,1000000,IF(INDEX('計算A'!$D$60:$DS$104,$B21,68)*FH21=1,'計算A'!BS$6,1000000))</f>
        <v/>
      </c>
      <c r="JZ21">
        <f>IF($B21=0,1000000,IF(INDEX('計算A'!$D$60:$DS$104,$B21,69)*FI21=1,'計算A'!BT$6,1000000))</f>
        <v/>
      </c>
      <c r="KA21">
        <f>IF($B21=0,1000000,IF(INDEX('計算A'!$D$60:$DS$104,$B21,70)*FJ21=1,'計算A'!BU$6,1000000))</f>
        <v/>
      </c>
      <c r="KB21">
        <f>IF($B21=0,1000000,IF(INDEX('計算A'!$D$60:$DS$104,$B21,71)*FK21=1,'計算A'!BV$6,1000000))</f>
        <v/>
      </c>
      <c r="KC21">
        <f>IF($B21=0,1000000,IF(INDEX('計算A'!$D$60:$DS$104,$B21,72)*FL21=1,'計算A'!BW$6,1000000))</f>
        <v/>
      </c>
      <c r="KD21">
        <f>IF($B21=0,1000000,IF(INDEX('計算A'!$D$60:$DS$104,$B21,73)*FM21=1,'計算A'!BX$6,1000000))</f>
        <v/>
      </c>
      <c r="KE21">
        <f>IF($B21=0,1000000,IF(INDEX('計算A'!$D$60:$DS$104,$B21,74)*FN21=1,'計算A'!BY$6,1000000))</f>
        <v/>
      </c>
      <c r="KF21">
        <f>IF($B21=0,1000000,IF(INDEX('計算A'!$D$60:$DS$104,$B21,75)*FO21=1,'計算A'!BZ$6,1000000))</f>
        <v/>
      </c>
      <c r="KG21">
        <f>IF($B21=0,1000000,IF(INDEX('計算A'!$D$60:$DS$104,$B21,76)*FP21=1,'計算A'!CA$6,1000000))</f>
        <v/>
      </c>
      <c r="KH21">
        <f>IF($B21=0,1000000,IF(INDEX('計算A'!$D$60:$DS$104,$B21,77)*FQ21=1,'計算A'!CB$6,1000000))</f>
        <v/>
      </c>
      <c r="KI21">
        <f>IF($B21=0,1000000,IF(INDEX('計算A'!$D$60:$DS$104,$B21,78)*FR21=1,'計算A'!CC$6,1000000))</f>
        <v/>
      </c>
      <c r="KJ21">
        <f>IF($B21=0,1000000,IF(INDEX('計算A'!$D$60:$DS$104,$B21,79)*FS21=1,'計算A'!CD$6,1000000))</f>
        <v/>
      </c>
      <c r="KK21">
        <f>IF($B21=0,1000000,IF(INDEX('計算A'!$D$60:$DS$104,$B21,80)*FT21=1,'計算A'!CE$6,1000000))</f>
        <v/>
      </c>
      <c r="KL21">
        <f>IF($B21=0,1000000,IF(INDEX('計算A'!$D$60:$DS$104,$B21,81)*FU21=1,'計算A'!CF$6,1000000))</f>
        <v/>
      </c>
      <c r="KM21">
        <f>IF($B21=0,1000000,IF(INDEX('計算A'!$D$60:$DS$104,$B21,82)*FV21=1,'計算A'!CG$6,1000000))</f>
        <v/>
      </c>
      <c r="KN21">
        <f>IF($B21=0,1000000,IF(INDEX('計算A'!$D$60:$DS$104,$B21,83)*FW21=1,'計算A'!CH$6,1000000))</f>
        <v/>
      </c>
      <c r="KO21">
        <f>IF($B21=0,1000000,IF(INDEX('計算A'!$D$60:$DS$104,$B21,84)*FX21=1,'計算A'!CI$6,1000000))</f>
        <v/>
      </c>
      <c r="KP21">
        <f>IF($B21=0,1000000,IF(INDEX('計算A'!$D$60:$DS$104,$B21,85)*FY21=1,'計算A'!CJ$6,1000000))</f>
        <v/>
      </c>
      <c r="KQ21">
        <f>IF($B21=0,1000000,IF(INDEX('計算A'!$D$60:$DS$104,$B21,86)*FZ21=1,'計算A'!CK$6,1000000))</f>
        <v/>
      </c>
      <c r="KR21">
        <f>IF($B21=0,1000000,IF(INDEX('計算A'!$D$60:$DS$104,$B21,87)*GA21=1,'計算A'!CL$6,1000000))</f>
        <v/>
      </c>
      <c r="KS21">
        <f>IF($B21=0,1000000,IF(INDEX('計算A'!$D$60:$DS$104,$B21,88)*GB21=1,'計算A'!CM$6,1000000))</f>
        <v/>
      </c>
      <c r="KT21">
        <f>IF($B21=0,1000000,IF(INDEX('計算A'!$D$60:$DS$104,$B21,89)*GC21=1,'計算A'!CN$6,1000000))</f>
        <v/>
      </c>
      <c r="KU21">
        <f>IF($B21=0,1000000,IF(INDEX('計算A'!$D$60:$DS$104,$B21,90)*GD21=1,'計算A'!CO$6,1000000))</f>
        <v/>
      </c>
      <c r="KV21">
        <f>IF($B21=0,1000000,IF(INDEX('計算A'!$D$60:$DS$104,$B21,91)*GE21=1,'計算A'!CP$6,1000000))</f>
        <v/>
      </c>
      <c r="KW21">
        <f>IF($B21=0,1000000,IF(INDEX('計算A'!$D$60:$DS$104,$B21,92)*GF21=1,'計算A'!CQ$6,1000000))</f>
        <v/>
      </c>
      <c r="KX21">
        <f>IF($B21=0,1000000,IF(INDEX('計算A'!$D$60:$DS$104,$B21,93)*GG21=1,'計算A'!CR$6,1000000))</f>
        <v/>
      </c>
      <c r="KY21">
        <f>IF($B21=0,1000000,IF(INDEX('計算A'!$D$60:$DS$104,$B21,94)*GH21=1,'計算A'!CS$6,1000000))</f>
        <v/>
      </c>
      <c r="KZ21">
        <f>IF($B21=0,1000000,IF(INDEX('計算A'!$D$60:$DS$104,$B21,95)*GI21=1,'計算A'!CT$6,1000000))</f>
        <v/>
      </c>
      <c r="LA21">
        <f>IF($B21=0,1000000,IF(INDEX('計算A'!$D$60:$DS$104,$B21,96)*GJ21=1,'計算A'!CU$6,1000000))</f>
        <v/>
      </c>
      <c r="LB21">
        <f>IF($B21=0,1000000,IF(INDEX('計算A'!$D$60:$DS$104,$B21,97)*GK21=1,'計算A'!CV$6,1000000))</f>
        <v/>
      </c>
      <c r="LC21">
        <f>IF($B21=0,1000000,IF(INDEX('計算A'!$D$60:$DS$104,$B21,98)*GL21=1,'計算A'!CW$6,1000000))</f>
        <v/>
      </c>
      <c r="LD21">
        <f>IF($B21=0,1000000,IF(INDEX('計算A'!$D$60:$DS$104,$B21,99)*GM21=1,'計算A'!CX$6,1000000))</f>
        <v/>
      </c>
      <c r="LE21">
        <f>IF($B21=0,1000000,IF(INDEX('計算A'!$D$60:$DS$104,$B21,100)*GN21=1,'計算A'!CY$6,1000000))</f>
        <v/>
      </c>
      <c r="LF21">
        <f>IF($B21=0,1000000,IF(INDEX('計算A'!$D$60:$DS$104,$B21,101)*GO21=1,'計算A'!CZ$6,1000000))</f>
        <v/>
      </c>
      <c r="LG21">
        <f>IF($B21=0,1000000,IF(INDEX('計算A'!$D$60:$DS$104,$B21,102)*GP21=1,'計算A'!DA$6,1000000))</f>
        <v/>
      </c>
      <c r="LH21">
        <f>IF($B21=0,1000000,IF(INDEX('計算A'!$D$60:$DS$104,$B21,103)*GQ21=1,'計算A'!DB$6,1000000))</f>
        <v/>
      </c>
      <c r="LI21">
        <f>IF($B21=0,1000000,IF(INDEX('計算A'!$D$60:$DS$104,$B21,104)*GR21=1,'計算A'!DC$6,1000000))</f>
        <v/>
      </c>
      <c r="LJ21">
        <f>IF($B21=0,1000000,IF(INDEX('計算A'!$D$60:$DS$104,$B21,105)*GS21=1,'計算A'!DD$6,1000000))</f>
        <v/>
      </c>
      <c r="LK21">
        <f>IF($B21=0,1000000,IF(INDEX('計算A'!$D$60:$DS$104,$B21,106)*GT21=1,'計算A'!DE$6,1000000))</f>
        <v/>
      </c>
      <c r="LL21">
        <f>IF($B21=0,1000000,IF(INDEX('計算A'!$D$60:$DS$104,$B21,107)*GU21=1,'計算A'!DF$6,1000000))</f>
        <v/>
      </c>
      <c r="LM21">
        <f>IF($B21=0,1000000,IF(INDEX('計算A'!$D$60:$DS$104,$B21,108)*GV21=1,'計算A'!DG$6,1000000))</f>
        <v/>
      </c>
      <c r="LN21">
        <f>IF($B21=0,1000000,IF(INDEX('計算A'!$D$60:$DS$104,$B21,109)*GW21=1,'計算A'!DH$6,1000000))</f>
        <v/>
      </c>
      <c r="LO21">
        <f>IF($B21=0,1000000,IF(INDEX('計算A'!$D$60:$DS$104,$B21,110)*GX21=1,'計算A'!DI$6,1000000))</f>
        <v/>
      </c>
      <c r="LP21">
        <f>IF($B21=0,1000000,IF(INDEX('計算A'!$D$60:$DS$104,$B21,111)*GY21=1,'計算A'!DJ$6,1000000))</f>
        <v/>
      </c>
      <c r="LQ21">
        <f>IF($B21=0,1000000,IF(INDEX('計算A'!$D$60:$DS$104,$B21,112)*GZ21=1,'計算A'!DK$6,1000000))</f>
        <v/>
      </c>
      <c r="LR21">
        <f>IF($B21=0,1000000,IF(INDEX('計算A'!$D$60:$DS$104,$B21,113)*HA21=1,'計算A'!DL$6,1000000))</f>
        <v/>
      </c>
      <c r="LS21">
        <f>IF($B21=0,1000000,IF(INDEX('計算A'!$D$60:$DS$104,$B21,114)*HB21=1,'計算A'!DM$6,1000000))</f>
        <v/>
      </c>
      <c r="LT21">
        <f>IF($B21=0,1000000,IF(INDEX('計算A'!$D$60:$DS$104,$B21,115)*HC21=1,'計算A'!DN$6,1000000))</f>
        <v/>
      </c>
      <c r="LU21">
        <f>IF($B21=0,1000000,IF(INDEX('計算A'!$D$60:$DS$104,$B21,116)*HD21=1,'計算A'!DO$6,1000000))</f>
        <v/>
      </c>
      <c r="LV21">
        <f>IF($B21=0,1000000,IF(INDEX('計算A'!$D$60:$DS$104,$B21,117)*HE21=1,'計算A'!DP$6,1000000))</f>
        <v/>
      </c>
      <c r="LW21">
        <f>IF($B21=0,1000000,IF(INDEX('計算A'!$D$60:$DS$104,$B21,118)*HF21=1,'計算A'!DQ$6,1000000))</f>
        <v/>
      </c>
      <c r="LX21">
        <f>IF($B21=0,1000000,IF(INDEX('計算A'!$D$60:$DS$104,$B21,119)*HG21=1,'計算A'!DR$6,1000000))</f>
        <v/>
      </c>
      <c r="LY21">
        <f>IF($B21=0,1000000,IF(INDEX('計算A'!$D$60:$DS$104,$B21,120)*HH21=1,'計算A'!DS$6,1000000))</f>
        <v/>
      </c>
    </row>
    <row r="22">
      <c r="A22" t="n">
        <v>20</v>
      </c>
      <c r="B22">
        <f>IF(MIN(AY22:CQ22)&gt;=1000000,0,MATCH(MIN(AY22:CQ22),AY22:CQ22,0))</f>
        <v/>
      </c>
      <c r="C22">
        <f>IF(MIN(HJ22:LY22)&gt;=1000000,0,MATCH(MIN(HJ22:LY22),HJ22:LY22,0))</f>
        <v/>
      </c>
      <c r="D22">
        <f>IF(C22&gt;0,INDEX('計算A'!$D$5:$DS$5,C22),0)</f>
        <v/>
      </c>
      <c r="E22">
        <f>MAX(E21,IF($B21=1,1,0))</f>
        <v/>
      </c>
      <c r="F22">
        <f>MAX(F21,IF($B21=2,1,0))</f>
        <v/>
      </c>
      <c r="G22">
        <f>MAX(G21,IF($B21=3,1,0))</f>
        <v/>
      </c>
      <c r="H22">
        <f>MAX(H21,IF($B21=4,1,0))</f>
        <v/>
      </c>
      <c r="I22">
        <f>MAX(I21,IF($B21=5,1,0))</f>
        <v/>
      </c>
      <c r="J22">
        <f>MAX(J21,IF($B21=6,1,0))</f>
        <v/>
      </c>
      <c r="K22">
        <f>MAX(K21,IF($B21=7,1,0))</f>
        <v/>
      </c>
      <c r="L22">
        <f>MAX(L21,IF($B21=8,1,0))</f>
        <v/>
      </c>
      <c r="M22">
        <f>MAX(M21,IF($B21=9,1,0))</f>
        <v/>
      </c>
      <c r="N22">
        <f>MAX(N21,IF($B21=10,1,0))</f>
        <v/>
      </c>
      <c r="O22">
        <f>MAX(O21,IF($B21=11,1,0))</f>
        <v/>
      </c>
      <c r="P22">
        <f>MAX(P21,IF($B21=12,1,0))</f>
        <v/>
      </c>
      <c r="Q22">
        <f>MAX(Q21,IF($B21=13,1,0))</f>
        <v/>
      </c>
      <c r="R22">
        <f>MAX(R21,IF($B21=14,1,0))</f>
        <v/>
      </c>
      <c r="S22">
        <f>MAX(S21,IF($B21=15,1,0))</f>
        <v/>
      </c>
      <c r="T22">
        <f>MAX(T21,IF($B21=16,1,0))</f>
        <v/>
      </c>
      <c r="U22">
        <f>MAX(U21,IF($B21=17,1,0))</f>
        <v/>
      </c>
      <c r="V22">
        <f>MAX(V21,IF($B21=18,1,0))</f>
        <v/>
      </c>
      <c r="W22">
        <f>MAX(W21,IF($B21=19,1,0))</f>
        <v/>
      </c>
      <c r="X22">
        <f>MAX(X21,IF($B21=20,1,0))</f>
        <v/>
      </c>
      <c r="Y22">
        <f>MAX(Y21,IF($B21=21,1,0))</f>
        <v/>
      </c>
      <c r="Z22">
        <f>MAX(Z21,IF($B21=22,1,0))</f>
        <v/>
      </c>
      <c r="AA22">
        <f>MAX(AA21,IF($B21=23,1,0))</f>
        <v/>
      </c>
      <c r="AB22">
        <f>MAX(AB21,IF($B21=24,1,0))</f>
        <v/>
      </c>
      <c r="AC22">
        <f>MAX(AC21,IF($B21=25,1,0))</f>
        <v/>
      </c>
      <c r="AD22">
        <f>MAX(AD21,IF($B21=26,1,0))</f>
        <v/>
      </c>
      <c r="AE22">
        <f>MAX(AE21,IF($B21=27,1,0))</f>
        <v/>
      </c>
      <c r="AF22">
        <f>MAX(AF21,IF($B21=28,1,0))</f>
        <v/>
      </c>
      <c r="AG22">
        <f>MAX(AG21,IF($B21=29,1,0))</f>
        <v/>
      </c>
      <c r="AH22">
        <f>MAX(AH21,IF($B21=30,1,0))</f>
        <v/>
      </c>
      <c r="AI22">
        <f>MAX(AI21,IF($B21=31,1,0))</f>
        <v/>
      </c>
      <c r="AJ22">
        <f>MAX(AJ21,IF($B21=32,1,0))</f>
        <v/>
      </c>
      <c r="AK22">
        <f>MAX(AK21,IF($B21=33,1,0))</f>
        <v/>
      </c>
      <c r="AL22">
        <f>MAX(AL21,IF($B21=34,1,0))</f>
        <v/>
      </c>
      <c r="AM22">
        <f>MAX(AM21,IF($B21=35,1,0))</f>
        <v/>
      </c>
      <c r="AN22">
        <f>MAX(AN21,IF($B21=36,1,0))</f>
        <v/>
      </c>
      <c r="AO22">
        <f>MAX(AO21,IF($B21=37,1,0))</f>
        <v/>
      </c>
      <c r="AP22">
        <f>MAX(AP21,IF($B21=38,1,0))</f>
        <v/>
      </c>
      <c r="AQ22">
        <f>MAX(AQ21,IF($B21=39,1,0))</f>
        <v/>
      </c>
      <c r="AR22">
        <f>MAX(AR21,IF($B21=40,1,0))</f>
        <v/>
      </c>
      <c r="AS22">
        <f>MAX(AS21,IF($B21=41,1,0))</f>
        <v/>
      </c>
      <c r="AT22">
        <f>MAX(AT21,IF($B21=42,1,0))</f>
        <v/>
      </c>
      <c r="AU22">
        <f>MAX(AU21,IF($B21=43,1,0))</f>
        <v/>
      </c>
      <c r="AV22">
        <f>MAX(AV21,IF($B21=44,1,0))</f>
        <v/>
      </c>
      <c r="AW22">
        <f>MAX(AW21,IF($B21=45,1,0))</f>
        <v/>
      </c>
      <c r="AY22">
        <f>IF(E22=1,1000000,SUMPRODUCT('計算A'!$D$60:$DS$60,$CS22:$HH22)*1000+1)</f>
        <v/>
      </c>
      <c r="AZ22">
        <f>IF(F22=1,1000000,SUMPRODUCT('計算A'!$D$61:$DS$61,$CS22:$HH22)*1000+2)</f>
        <v/>
      </c>
      <c r="BA22">
        <f>IF(G22=1,1000000,SUMPRODUCT('計算A'!$D$62:$DS$62,$CS22:$HH22)*1000+3)</f>
        <v/>
      </c>
      <c r="BB22">
        <f>IF(H22=1,1000000,SUMPRODUCT('計算A'!$D$63:$DS$63,$CS22:$HH22)*1000+4)</f>
        <v/>
      </c>
      <c r="BC22">
        <f>IF(I22=1,1000000,SUMPRODUCT('計算A'!$D$64:$DS$64,$CS22:$HH22)*1000+5)</f>
        <v/>
      </c>
      <c r="BD22">
        <f>IF(J22=1,1000000,SUMPRODUCT('計算A'!$D$65:$DS$65,$CS22:$HH22)*1000+6)</f>
        <v/>
      </c>
      <c r="BE22">
        <f>IF(K22=1,1000000,SUMPRODUCT('計算A'!$D$66:$DS$66,$CS22:$HH22)*1000+7)</f>
        <v/>
      </c>
      <c r="BF22">
        <f>IF(L22=1,1000000,SUMPRODUCT('計算A'!$D$67:$DS$67,$CS22:$HH22)*1000+8)</f>
        <v/>
      </c>
      <c r="BG22">
        <f>IF(M22=1,1000000,SUMPRODUCT('計算A'!$D$68:$DS$68,$CS22:$HH22)*1000+9)</f>
        <v/>
      </c>
      <c r="BH22">
        <f>IF(N22=1,1000000,SUMPRODUCT('計算A'!$D$69:$DS$69,$CS22:$HH22)*1000+10)</f>
        <v/>
      </c>
      <c r="BI22">
        <f>IF(O22=1,1000000,SUMPRODUCT('計算A'!$D$70:$DS$70,$CS22:$HH22)*1000+11)</f>
        <v/>
      </c>
      <c r="BJ22">
        <f>IF(P22=1,1000000,SUMPRODUCT('計算A'!$D$71:$DS$71,$CS22:$HH22)*1000+12)</f>
        <v/>
      </c>
      <c r="BK22">
        <f>IF(Q22=1,1000000,SUMPRODUCT('計算A'!$D$72:$DS$72,$CS22:$HH22)*1000+13)</f>
        <v/>
      </c>
      <c r="BL22">
        <f>IF(R22=1,1000000,SUMPRODUCT('計算A'!$D$73:$DS$73,$CS22:$HH22)*1000+14)</f>
        <v/>
      </c>
      <c r="BM22">
        <f>IF(S22=1,1000000,SUMPRODUCT('計算A'!$D$74:$DS$74,$CS22:$HH22)*1000+15)</f>
        <v/>
      </c>
      <c r="BN22">
        <f>IF(T22=1,1000000,SUMPRODUCT('計算A'!$D$75:$DS$75,$CS22:$HH22)*1000+16)</f>
        <v/>
      </c>
      <c r="BO22">
        <f>IF(U22=1,1000000,SUMPRODUCT('計算A'!$D$76:$DS$76,$CS22:$HH22)*1000+17)</f>
        <v/>
      </c>
      <c r="BP22">
        <f>IF(V22=1,1000000,SUMPRODUCT('計算A'!$D$77:$DS$77,$CS22:$HH22)*1000+18)</f>
        <v/>
      </c>
      <c r="BQ22">
        <f>IF(W22=1,1000000,SUMPRODUCT('計算A'!$D$78:$DS$78,$CS22:$HH22)*1000+19)</f>
        <v/>
      </c>
      <c r="BR22">
        <f>IF(X22=1,1000000,SUMPRODUCT('計算A'!$D$79:$DS$79,$CS22:$HH22)*1000+20)</f>
        <v/>
      </c>
      <c r="BS22">
        <f>IF(Y22=1,1000000,SUMPRODUCT('計算A'!$D$80:$DS$80,$CS22:$HH22)*1000+21)</f>
        <v/>
      </c>
      <c r="BT22">
        <f>IF(Z22=1,1000000,SUMPRODUCT('計算A'!$D$81:$DS$81,$CS22:$HH22)*1000+22)</f>
        <v/>
      </c>
      <c r="BU22">
        <f>IF(AA22=1,1000000,SUMPRODUCT('計算A'!$D$82:$DS$82,$CS22:$HH22)*1000+23)</f>
        <v/>
      </c>
      <c r="BV22">
        <f>IF(AB22=1,1000000,SUMPRODUCT('計算A'!$D$83:$DS$83,$CS22:$HH22)*1000+24)</f>
        <v/>
      </c>
      <c r="BW22">
        <f>IF(AC22=1,1000000,SUMPRODUCT('計算A'!$D$84:$DS$84,$CS22:$HH22)*1000+25)</f>
        <v/>
      </c>
      <c r="BX22">
        <f>IF(AD22=1,1000000,SUMPRODUCT('計算A'!$D$85:$DS$85,$CS22:$HH22)*1000+26)</f>
        <v/>
      </c>
      <c r="BY22">
        <f>IF(AE22=1,1000000,SUMPRODUCT('計算A'!$D$86:$DS$86,$CS22:$HH22)*1000+27)</f>
        <v/>
      </c>
      <c r="BZ22">
        <f>IF(AF22=1,1000000,SUMPRODUCT('計算A'!$D$87:$DS$87,$CS22:$HH22)*1000+28)</f>
        <v/>
      </c>
      <c r="CA22">
        <f>IF(AG22=1,1000000,SUMPRODUCT('計算A'!$D$88:$DS$88,$CS22:$HH22)*1000+29)</f>
        <v/>
      </c>
      <c r="CB22">
        <f>IF(AH22=1,1000000,SUMPRODUCT('計算A'!$D$89:$DS$89,$CS22:$HH22)*1000+30)</f>
        <v/>
      </c>
      <c r="CC22">
        <f>IF(AI22=1,1000000,SUMPRODUCT('計算A'!$D$90:$DS$90,$CS22:$HH22)*1000+31)</f>
        <v/>
      </c>
      <c r="CD22">
        <f>IF(AJ22=1,1000000,SUMPRODUCT('計算A'!$D$91:$DS$91,$CS22:$HH22)*1000+32)</f>
        <v/>
      </c>
      <c r="CE22">
        <f>IF(AK22=1,1000000,SUMPRODUCT('計算A'!$D$92:$DS$92,$CS22:$HH22)*1000+33)</f>
        <v/>
      </c>
      <c r="CF22">
        <f>IF(AL22=1,1000000,SUMPRODUCT('計算A'!$D$93:$DS$93,$CS22:$HH22)*1000+34)</f>
        <v/>
      </c>
      <c r="CG22">
        <f>IF(AM22=1,1000000,SUMPRODUCT('計算A'!$D$94:$DS$94,$CS22:$HH22)*1000+35)</f>
        <v/>
      </c>
      <c r="CH22">
        <f>IF(AN22=1,1000000,SUMPRODUCT('計算A'!$D$95:$DS$95,$CS22:$HH22)*1000+36)</f>
        <v/>
      </c>
      <c r="CI22">
        <f>IF(AO22=1,1000000,SUMPRODUCT('計算A'!$D$96:$DS$96,$CS22:$HH22)*1000+37)</f>
        <v/>
      </c>
      <c r="CJ22">
        <f>IF(AP22=1,1000000,SUMPRODUCT('計算A'!$D$97:$DS$97,$CS22:$HH22)*1000+38)</f>
        <v/>
      </c>
      <c r="CK22">
        <f>IF(AQ22=1,1000000,SUMPRODUCT('計算A'!$D$98:$DS$98,$CS22:$HH22)*1000+39)</f>
        <v/>
      </c>
      <c r="CL22">
        <f>IF(AR22=1,1000000,SUMPRODUCT('計算A'!$D$99:$DS$99,$CS22:$HH22)*1000+40)</f>
        <v/>
      </c>
      <c r="CM22">
        <f>IF(AS22=1,1000000,SUMPRODUCT('計算A'!$D$100:$DS$100,$CS22:$HH22)*1000+41)</f>
        <v/>
      </c>
      <c r="CN22">
        <f>IF(AT22=1,1000000,SUMPRODUCT('計算A'!$D$101:$DS$101,$CS22:$HH22)*1000+42)</f>
        <v/>
      </c>
      <c r="CO22">
        <f>IF(AU22=1,1000000,SUMPRODUCT('計算A'!$D$102:$DS$102,$CS22:$HH22)*1000+43)</f>
        <v/>
      </c>
      <c r="CP22">
        <f>IF(AV22=1,1000000,SUMPRODUCT('計算A'!$D$103:$DS$103,$CS22:$HH22)*1000+44)</f>
        <v/>
      </c>
      <c r="CQ22">
        <f>IF(AW22=1,1000000,SUMPRODUCT('計算A'!$D$104:$DS$104,$CS22:$HH22)*1000+45)</f>
        <v/>
      </c>
      <c r="CS22">
        <f>CS21*IF($C21=1,0,1)</f>
        <v/>
      </c>
      <c r="CT22">
        <f>CT21*IF($C21=2,0,1)</f>
        <v/>
      </c>
      <c r="CU22">
        <f>CU21*IF($C21=3,0,1)</f>
        <v/>
      </c>
      <c r="CV22">
        <f>CV21*IF($C21=4,0,1)</f>
        <v/>
      </c>
      <c r="CW22">
        <f>CW21*IF($C21=5,0,1)</f>
        <v/>
      </c>
      <c r="CX22">
        <f>CX21*IF($C21=6,0,1)</f>
        <v/>
      </c>
      <c r="CY22">
        <f>CY21*IF($C21=7,0,1)</f>
        <v/>
      </c>
      <c r="CZ22">
        <f>CZ21*IF($C21=8,0,1)</f>
        <v/>
      </c>
      <c r="DA22">
        <f>DA21*IF($C21=9,0,1)</f>
        <v/>
      </c>
      <c r="DB22">
        <f>DB21*IF($C21=10,0,1)</f>
        <v/>
      </c>
      <c r="DC22">
        <f>DC21*IF($C21=11,0,1)</f>
        <v/>
      </c>
      <c r="DD22">
        <f>DD21*IF($C21=12,0,1)</f>
        <v/>
      </c>
      <c r="DE22">
        <f>DE21*IF($C21=13,0,1)</f>
        <v/>
      </c>
      <c r="DF22">
        <f>DF21*IF($C21=14,0,1)</f>
        <v/>
      </c>
      <c r="DG22">
        <f>DG21*IF($C21=15,0,1)</f>
        <v/>
      </c>
      <c r="DH22">
        <f>DH21*IF($C21=16,0,1)</f>
        <v/>
      </c>
      <c r="DI22">
        <f>DI21*IF($C21=17,0,1)</f>
        <v/>
      </c>
      <c r="DJ22">
        <f>DJ21*IF($C21=18,0,1)</f>
        <v/>
      </c>
      <c r="DK22">
        <f>DK21*IF($C21=19,0,1)</f>
        <v/>
      </c>
      <c r="DL22">
        <f>DL21*IF($C21=20,0,1)</f>
        <v/>
      </c>
      <c r="DM22">
        <f>DM21*IF($C21=21,0,1)</f>
        <v/>
      </c>
      <c r="DN22">
        <f>DN21*IF($C21=22,0,1)</f>
        <v/>
      </c>
      <c r="DO22">
        <f>DO21*IF($C21=23,0,1)</f>
        <v/>
      </c>
      <c r="DP22">
        <f>DP21*IF($C21=24,0,1)</f>
        <v/>
      </c>
      <c r="DQ22">
        <f>DQ21*IF($C21=25,0,1)</f>
        <v/>
      </c>
      <c r="DR22">
        <f>DR21*IF($C21=26,0,1)</f>
        <v/>
      </c>
      <c r="DS22">
        <f>DS21*IF($C21=27,0,1)</f>
        <v/>
      </c>
      <c r="DT22">
        <f>DT21*IF($C21=28,0,1)</f>
        <v/>
      </c>
      <c r="DU22">
        <f>DU21*IF($C21=29,0,1)</f>
        <v/>
      </c>
      <c r="DV22">
        <f>DV21*IF($C21=30,0,1)</f>
        <v/>
      </c>
      <c r="DW22">
        <f>DW21*IF($C21=31,0,1)</f>
        <v/>
      </c>
      <c r="DX22">
        <f>DX21*IF($C21=32,0,1)</f>
        <v/>
      </c>
      <c r="DY22">
        <f>DY21*IF($C21=33,0,1)</f>
        <v/>
      </c>
      <c r="DZ22">
        <f>DZ21*IF($C21=34,0,1)</f>
        <v/>
      </c>
      <c r="EA22">
        <f>EA21*IF($C21=35,0,1)</f>
        <v/>
      </c>
      <c r="EB22">
        <f>EB21*IF($C21=36,0,1)</f>
        <v/>
      </c>
      <c r="EC22">
        <f>EC21*IF($C21=37,0,1)</f>
        <v/>
      </c>
      <c r="ED22">
        <f>ED21*IF($C21=38,0,1)</f>
        <v/>
      </c>
      <c r="EE22">
        <f>EE21*IF($C21=39,0,1)</f>
        <v/>
      </c>
      <c r="EF22">
        <f>EF21*IF($C21=40,0,1)</f>
        <v/>
      </c>
      <c r="EG22">
        <f>EG21*IF($C21=41,0,1)</f>
        <v/>
      </c>
      <c r="EH22">
        <f>EH21*IF($C21=42,0,1)</f>
        <v/>
      </c>
      <c r="EI22">
        <f>EI21*IF($C21=43,0,1)</f>
        <v/>
      </c>
      <c r="EJ22">
        <f>EJ21*IF($C21=44,0,1)</f>
        <v/>
      </c>
      <c r="EK22">
        <f>EK21*IF($C21=45,0,1)</f>
        <v/>
      </c>
      <c r="EL22">
        <f>EL21*IF($C21=46,0,1)</f>
        <v/>
      </c>
      <c r="EM22">
        <f>EM21*IF($C21=47,0,1)</f>
        <v/>
      </c>
      <c r="EN22">
        <f>EN21*IF($C21=48,0,1)</f>
        <v/>
      </c>
      <c r="EO22">
        <f>EO21*IF($C21=49,0,1)</f>
        <v/>
      </c>
      <c r="EP22">
        <f>EP21*IF($C21=50,0,1)</f>
        <v/>
      </c>
      <c r="EQ22">
        <f>EQ21*IF($C21=51,0,1)</f>
        <v/>
      </c>
      <c r="ER22">
        <f>ER21*IF($C21=52,0,1)</f>
        <v/>
      </c>
      <c r="ES22">
        <f>ES21*IF($C21=53,0,1)</f>
        <v/>
      </c>
      <c r="ET22">
        <f>ET21*IF($C21=54,0,1)</f>
        <v/>
      </c>
      <c r="EU22">
        <f>EU21*IF($C21=55,0,1)</f>
        <v/>
      </c>
      <c r="EV22">
        <f>EV21*IF($C21=56,0,1)</f>
        <v/>
      </c>
      <c r="EW22">
        <f>EW21*IF($C21=57,0,1)</f>
        <v/>
      </c>
      <c r="EX22">
        <f>EX21*IF($C21=58,0,1)</f>
        <v/>
      </c>
      <c r="EY22">
        <f>EY21*IF($C21=59,0,1)</f>
        <v/>
      </c>
      <c r="EZ22">
        <f>EZ21*IF($C21=60,0,1)</f>
        <v/>
      </c>
      <c r="FA22">
        <f>FA21*IF($C21=61,0,1)</f>
        <v/>
      </c>
      <c r="FB22">
        <f>FB21*IF($C21=62,0,1)</f>
        <v/>
      </c>
      <c r="FC22">
        <f>FC21*IF($C21=63,0,1)</f>
        <v/>
      </c>
      <c r="FD22">
        <f>FD21*IF($C21=64,0,1)</f>
        <v/>
      </c>
      <c r="FE22">
        <f>FE21*IF($C21=65,0,1)</f>
        <v/>
      </c>
      <c r="FF22">
        <f>FF21*IF($C21=66,0,1)</f>
        <v/>
      </c>
      <c r="FG22">
        <f>FG21*IF($C21=67,0,1)</f>
        <v/>
      </c>
      <c r="FH22">
        <f>FH21*IF($C21=68,0,1)</f>
        <v/>
      </c>
      <c r="FI22">
        <f>FI21*IF($C21=69,0,1)</f>
        <v/>
      </c>
      <c r="FJ22">
        <f>FJ21*IF($C21=70,0,1)</f>
        <v/>
      </c>
      <c r="FK22">
        <f>FK21*IF($C21=71,0,1)</f>
        <v/>
      </c>
      <c r="FL22">
        <f>FL21*IF($C21=72,0,1)</f>
        <v/>
      </c>
      <c r="FM22">
        <f>FM21*IF($C21=73,0,1)</f>
        <v/>
      </c>
      <c r="FN22">
        <f>FN21*IF($C21=74,0,1)</f>
        <v/>
      </c>
      <c r="FO22">
        <f>FO21*IF($C21=75,0,1)</f>
        <v/>
      </c>
      <c r="FP22">
        <f>FP21*IF($C21=76,0,1)</f>
        <v/>
      </c>
      <c r="FQ22">
        <f>FQ21*IF($C21=77,0,1)</f>
        <v/>
      </c>
      <c r="FR22">
        <f>FR21*IF($C21=78,0,1)</f>
        <v/>
      </c>
      <c r="FS22">
        <f>FS21*IF($C21=79,0,1)</f>
        <v/>
      </c>
      <c r="FT22">
        <f>FT21*IF($C21=80,0,1)</f>
        <v/>
      </c>
      <c r="FU22">
        <f>FU21*IF($C21=81,0,1)</f>
        <v/>
      </c>
      <c r="FV22">
        <f>FV21*IF($C21=82,0,1)</f>
        <v/>
      </c>
      <c r="FW22">
        <f>FW21*IF($C21=83,0,1)</f>
        <v/>
      </c>
      <c r="FX22">
        <f>FX21*IF($C21=84,0,1)</f>
        <v/>
      </c>
      <c r="FY22">
        <f>FY21*IF($C21=85,0,1)</f>
        <v/>
      </c>
      <c r="FZ22">
        <f>FZ21*IF($C21=86,0,1)</f>
        <v/>
      </c>
      <c r="GA22">
        <f>GA21*IF($C21=87,0,1)</f>
        <v/>
      </c>
      <c r="GB22">
        <f>GB21*IF($C21=88,0,1)</f>
        <v/>
      </c>
      <c r="GC22">
        <f>GC21*IF($C21=89,0,1)</f>
        <v/>
      </c>
      <c r="GD22">
        <f>GD21*IF($C21=90,0,1)</f>
        <v/>
      </c>
      <c r="GE22">
        <f>GE21*IF($C21=91,0,1)</f>
        <v/>
      </c>
      <c r="GF22">
        <f>GF21*IF($C21=92,0,1)</f>
        <v/>
      </c>
      <c r="GG22">
        <f>GG21*IF($C21=93,0,1)</f>
        <v/>
      </c>
      <c r="GH22">
        <f>GH21*IF($C21=94,0,1)</f>
        <v/>
      </c>
      <c r="GI22">
        <f>GI21*IF($C21=95,0,1)</f>
        <v/>
      </c>
      <c r="GJ22">
        <f>GJ21*IF($C21=96,0,1)</f>
        <v/>
      </c>
      <c r="GK22">
        <f>GK21*IF($C21=97,0,1)</f>
        <v/>
      </c>
      <c r="GL22">
        <f>GL21*IF($C21=98,0,1)</f>
        <v/>
      </c>
      <c r="GM22">
        <f>GM21*IF($C21=99,0,1)</f>
        <v/>
      </c>
      <c r="GN22">
        <f>GN21*IF($C21=100,0,1)</f>
        <v/>
      </c>
      <c r="GO22">
        <f>GO21*IF($C21=101,0,1)</f>
        <v/>
      </c>
      <c r="GP22">
        <f>GP21*IF($C21=102,0,1)</f>
        <v/>
      </c>
      <c r="GQ22">
        <f>GQ21*IF($C21=103,0,1)</f>
        <v/>
      </c>
      <c r="GR22">
        <f>GR21*IF($C21=104,0,1)</f>
        <v/>
      </c>
      <c r="GS22">
        <f>GS21*IF($C21=105,0,1)</f>
        <v/>
      </c>
      <c r="GT22">
        <f>GT21*IF($C21=106,0,1)</f>
        <v/>
      </c>
      <c r="GU22">
        <f>GU21*IF($C21=107,0,1)</f>
        <v/>
      </c>
      <c r="GV22">
        <f>GV21*IF($C21=108,0,1)</f>
        <v/>
      </c>
      <c r="GW22">
        <f>GW21*IF($C21=109,0,1)</f>
        <v/>
      </c>
      <c r="GX22">
        <f>GX21*IF($C21=110,0,1)</f>
        <v/>
      </c>
      <c r="GY22">
        <f>GY21*IF($C21=111,0,1)</f>
        <v/>
      </c>
      <c r="GZ22">
        <f>GZ21*IF($C21=112,0,1)</f>
        <v/>
      </c>
      <c r="HA22">
        <f>HA21*IF($C21=113,0,1)</f>
        <v/>
      </c>
      <c r="HB22">
        <f>HB21*IF($C21=114,0,1)</f>
        <v/>
      </c>
      <c r="HC22">
        <f>HC21*IF($C21=115,0,1)</f>
        <v/>
      </c>
      <c r="HD22">
        <f>HD21*IF($C21=116,0,1)</f>
        <v/>
      </c>
      <c r="HE22">
        <f>HE21*IF($C21=117,0,1)</f>
        <v/>
      </c>
      <c r="HF22">
        <f>HF21*IF($C21=118,0,1)</f>
        <v/>
      </c>
      <c r="HG22">
        <f>HG21*IF($C21=119,0,1)</f>
        <v/>
      </c>
      <c r="HH22">
        <f>HH21*IF($C21=120,0,1)</f>
        <v/>
      </c>
      <c r="HJ22">
        <f>IF($B22=0,1000000,IF(INDEX('計算A'!$D$60:$DS$104,$B22,1)*CS22=1,'計算A'!D$6,1000000))</f>
        <v/>
      </c>
      <c r="HK22">
        <f>IF($B22=0,1000000,IF(INDEX('計算A'!$D$60:$DS$104,$B22,2)*CT22=1,'計算A'!E$6,1000000))</f>
        <v/>
      </c>
      <c r="HL22">
        <f>IF($B22=0,1000000,IF(INDEX('計算A'!$D$60:$DS$104,$B22,3)*CU22=1,'計算A'!F$6,1000000))</f>
        <v/>
      </c>
      <c r="HM22">
        <f>IF($B22=0,1000000,IF(INDEX('計算A'!$D$60:$DS$104,$B22,4)*CV22=1,'計算A'!G$6,1000000))</f>
        <v/>
      </c>
      <c r="HN22">
        <f>IF($B22=0,1000000,IF(INDEX('計算A'!$D$60:$DS$104,$B22,5)*CW22=1,'計算A'!H$6,1000000))</f>
        <v/>
      </c>
      <c r="HO22">
        <f>IF($B22=0,1000000,IF(INDEX('計算A'!$D$60:$DS$104,$B22,6)*CX22=1,'計算A'!I$6,1000000))</f>
        <v/>
      </c>
      <c r="HP22">
        <f>IF($B22=0,1000000,IF(INDEX('計算A'!$D$60:$DS$104,$B22,7)*CY22=1,'計算A'!J$6,1000000))</f>
        <v/>
      </c>
      <c r="HQ22">
        <f>IF($B22=0,1000000,IF(INDEX('計算A'!$D$60:$DS$104,$B22,8)*CZ22=1,'計算A'!K$6,1000000))</f>
        <v/>
      </c>
      <c r="HR22">
        <f>IF($B22=0,1000000,IF(INDEX('計算A'!$D$60:$DS$104,$B22,9)*DA22=1,'計算A'!L$6,1000000))</f>
        <v/>
      </c>
      <c r="HS22">
        <f>IF($B22=0,1000000,IF(INDEX('計算A'!$D$60:$DS$104,$B22,10)*DB22=1,'計算A'!M$6,1000000))</f>
        <v/>
      </c>
      <c r="HT22">
        <f>IF($B22=0,1000000,IF(INDEX('計算A'!$D$60:$DS$104,$B22,11)*DC22=1,'計算A'!N$6,1000000))</f>
        <v/>
      </c>
      <c r="HU22">
        <f>IF($B22=0,1000000,IF(INDEX('計算A'!$D$60:$DS$104,$B22,12)*DD22=1,'計算A'!O$6,1000000))</f>
        <v/>
      </c>
      <c r="HV22">
        <f>IF($B22=0,1000000,IF(INDEX('計算A'!$D$60:$DS$104,$B22,13)*DE22=1,'計算A'!P$6,1000000))</f>
        <v/>
      </c>
      <c r="HW22">
        <f>IF($B22=0,1000000,IF(INDEX('計算A'!$D$60:$DS$104,$B22,14)*DF22=1,'計算A'!Q$6,1000000))</f>
        <v/>
      </c>
      <c r="HX22">
        <f>IF($B22=0,1000000,IF(INDEX('計算A'!$D$60:$DS$104,$B22,15)*DG22=1,'計算A'!R$6,1000000))</f>
        <v/>
      </c>
      <c r="HY22">
        <f>IF($B22=0,1000000,IF(INDEX('計算A'!$D$60:$DS$104,$B22,16)*DH22=1,'計算A'!S$6,1000000))</f>
        <v/>
      </c>
      <c r="HZ22">
        <f>IF($B22=0,1000000,IF(INDEX('計算A'!$D$60:$DS$104,$B22,17)*DI22=1,'計算A'!T$6,1000000))</f>
        <v/>
      </c>
      <c r="IA22">
        <f>IF($B22=0,1000000,IF(INDEX('計算A'!$D$60:$DS$104,$B22,18)*DJ22=1,'計算A'!U$6,1000000))</f>
        <v/>
      </c>
      <c r="IB22">
        <f>IF($B22=0,1000000,IF(INDEX('計算A'!$D$60:$DS$104,$B22,19)*DK22=1,'計算A'!V$6,1000000))</f>
        <v/>
      </c>
      <c r="IC22">
        <f>IF($B22=0,1000000,IF(INDEX('計算A'!$D$60:$DS$104,$B22,20)*DL22=1,'計算A'!W$6,1000000))</f>
        <v/>
      </c>
      <c r="ID22">
        <f>IF($B22=0,1000000,IF(INDEX('計算A'!$D$60:$DS$104,$B22,21)*DM22=1,'計算A'!X$6,1000000))</f>
        <v/>
      </c>
      <c r="IE22">
        <f>IF($B22=0,1000000,IF(INDEX('計算A'!$D$60:$DS$104,$B22,22)*DN22=1,'計算A'!Y$6,1000000))</f>
        <v/>
      </c>
      <c r="IF22">
        <f>IF($B22=0,1000000,IF(INDEX('計算A'!$D$60:$DS$104,$B22,23)*DO22=1,'計算A'!Z$6,1000000))</f>
        <v/>
      </c>
      <c r="IG22">
        <f>IF($B22=0,1000000,IF(INDEX('計算A'!$D$60:$DS$104,$B22,24)*DP22=1,'計算A'!AA$6,1000000))</f>
        <v/>
      </c>
      <c r="IH22">
        <f>IF($B22=0,1000000,IF(INDEX('計算A'!$D$60:$DS$104,$B22,25)*DQ22=1,'計算A'!AB$6,1000000))</f>
        <v/>
      </c>
      <c r="II22">
        <f>IF($B22=0,1000000,IF(INDEX('計算A'!$D$60:$DS$104,$B22,26)*DR22=1,'計算A'!AC$6,1000000))</f>
        <v/>
      </c>
      <c r="IJ22">
        <f>IF($B22=0,1000000,IF(INDEX('計算A'!$D$60:$DS$104,$B22,27)*DS22=1,'計算A'!AD$6,1000000))</f>
        <v/>
      </c>
      <c r="IK22">
        <f>IF($B22=0,1000000,IF(INDEX('計算A'!$D$60:$DS$104,$B22,28)*DT22=1,'計算A'!AE$6,1000000))</f>
        <v/>
      </c>
      <c r="IL22">
        <f>IF($B22=0,1000000,IF(INDEX('計算A'!$D$60:$DS$104,$B22,29)*DU22=1,'計算A'!AF$6,1000000))</f>
        <v/>
      </c>
      <c r="IM22">
        <f>IF($B22=0,1000000,IF(INDEX('計算A'!$D$60:$DS$104,$B22,30)*DV22=1,'計算A'!AG$6,1000000))</f>
        <v/>
      </c>
      <c r="IN22">
        <f>IF($B22=0,1000000,IF(INDEX('計算A'!$D$60:$DS$104,$B22,31)*DW22=1,'計算A'!AH$6,1000000))</f>
        <v/>
      </c>
      <c r="IO22">
        <f>IF($B22=0,1000000,IF(INDEX('計算A'!$D$60:$DS$104,$B22,32)*DX22=1,'計算A'!AI$6,1000000))</f>
        <v/>
      </c>
      <c r="IP22">
        <f>IF($B22=0,1000000,IF(INDEX('計算A'!$D$60:$DS$104,$B22,33)*DY22=1,'計算A'!AJ$6,1000000))</f>
        <v/>
      </c>
      <c r="IQ22">
        <f>IF($B22=0,1000000,IF(INDEX('計算A'!$D$60:$DS$104,$B22,34)*DZ22=1,'計算A'!AK$6,1000000))</f>
        <v/>
      </c>
      <c r="IR22">
        <f>IF($B22=0,1000000,IF(INDEX('計算A'!$D$60:$DS$104,$B22,35)*EA22=1,'計算A'!AL$6,1000000))</f>
        <v/>
      </c>
      <c r="IS22">
        <f>IF($B22=0,1000000,IF(INDEX('計算A'!$D$60:$DS$104,$B22,36)*EB22=1,'計算A'!AM$6,1000000))</f>
        <v/>
      </c>
      <c r="IT22">
        <f>IF($B22=0,1000000,IF(INDEX('計算A'!$D$60:$DS$104,$B22,37)*EC22=1,'計算A'!AN$6,1000000))</f>
        <v/>
      </c>
      <c r="IU22">
        <f>IF($B22=0,1000000,IF(INDEX('計算A'!$D$60:$DS$104,$B22,38)*ED22=1,'計算A'!AO$6,1000000))</f>
        <v/>
      </c>
      <c r="IV22">
        <f>IF($B22=0,1000000,IF(INDEX('計算A'!$D$60:$DS$104,$B22,39)*EE22=1,'計算A'!AP$6,1000000))</f>
        <v/>
      </c>
      <c r="IW22">
        <f>IF($B22=0,1000000,IF(INDEX('計算A'!$D$60:$DS$104,$B22,40)*EF22=1,'計算A'!AQ$6,1000000))</f>
        <v/>
      </c>
      <c r="IX22">
        <f>IF($B22=0,1000000,IF(INDEX('計算A'!$D$60:$DS$104,$B22,41)*EG22=1,'計算A'!AR$6,1000000))</f>
        <v/>
      </c>
      <c r="IY22">
        <f>IF($B22=0,1000000,IF(INDEX('計算A'!$D$60:$DS$104,$B22,42)*EH22=1,'計算A'!AS$6,1000000))</f>
        <v/>
      </c>
      <c r="IZ22">
        <f>IF($B22=0,1000000,IF(INDEX('計算A'!$D$60:$DS$104,$B22,43)*EI22=1,'計算A'!AT$6,1000000))</f>
        <v/>
      </c>
      <c r="JA22">
        <f>IF($B22=0,1000000,IF(INDEX('計算A'!$D$60:$DS$104,$B22,44)*EJ22=1,'計算A'!AU$6,1000000))</f>
        <v/>
      </c>
      <c r="JB22">
        <f>IF($B22=0,1000000,IF(INDEX('計算A'!$D$60:$DS$104,$B22,45)*EK22=1,'計算A'!AV$6,1000000))</f>
        <v/>
      </c>
      <c r="JC22">
        <f>IF($B22=0,1000000,IF(INDEX('計算A'!$D$60:$DS$104,$B22,46)*EL22=1,'計算A'!AW$6,1000000))</f>
        <v/>
      </c>
      <c r="JD22">
        <f>IF($B22=0,1000000,IF(INDEX('計算A'!$D$60:$DS$104,$B22,47)*EM22=1,'計算A'!AX$6,1000000))</f>
        <v/>
      </c>
      <c r="JE22">
        <f>IF($B22=0,1000000,IF(INDEX('計算A'!$D$60:$DS$104,$B22,48)*EN22=1,'計算A'!AY$6,1000000))</f>
        <v/>
      </c>
      <c r="JF22">
        <f>IF($B22=0,1000000,IF(INDEX('計算A'!$D$60:$DS$104,$B22,49)*EO22=1,'計算A'!AZ$6,1000000))</f>
        <v/>
      </c>
      <c r="JG22">
        <f>IF($B22=0,1000000,IF(INDEX('計算A'!$D$60:$DS$104,$B22,50)*EP22=1,'計算A'!BA$6,1000000))</f>
        <v/>
      </c>
      <c r="JH22">
        <f>IF($B22=0,1000000,IF(INDEX('計算A'!$D$60:$DS$104,$B22,51)*EQ22=1,'計算A'!BB$6,1000000))</f>
        <v/>
      </c>
      <c r="JI22">
        <f>IF($B22=0,1000000,IF(INDEX('計算A'!$D$60:$DS$104,$B22,52)*ER22=1,'計算A'!BC$6,1000000))</f>
        <v/>
      </c>
      <c r="JJ22">
        <f>IF($B22=0,1000000,IF(INDEX('計算A'!$D$60:$DS$104,$B22,53)*ES22=1,'計算A'!BD$6,1000000))</f>
        <v/>
      </c>
      <c r="JK22">
        <f>IF($B22=0,1000000,IF(INDEX('計算A'!$D$60:$DS$104,$B22,54)*ET22=1,'計算A'!BE$6,1000000))</f>
        <v/>
      </c>
      <c r="JL22">
        <f>IF($B22=0,1000000,IF(INDEX('計算A'!$D$60:$DS$104,$B22,55)*EU22=1,'計算A'!BF$6,1000000))</f>
        <v/>
      </c>
      <c r="JM22">
        <f>IF($B22=0,1000000,IF(INDEX('計算A'!$D$60:$DS$104,$B22,56)*EV22=1,'計算A'!BG$6,1000000))</f>
        <v/>
      </c>
      <c r="JN22">
        <f>IF($B22=0,1000000,IF(INDEX('計算A'!$D$60:$DS$104,$B22,57)*EW22=1,'計算A'!BH$6,1000000))</f>
        <v/>
      </c>
      <c r="JO22">
        <f>IF($B22=0,1000000,IF(INDEX('計算A'!$D$60:$DS$104,$B22,58)*EX22=1,'計算A'!BI$6,1000000))</f>
        <v/>
      </c>
      <c r="JP22">
        <f>IF($B22=0,1000000,IF(INDEX('計算A'!$D$60:$DS$104,$B22,59)*EY22=1,'計算A'!BJ$6,1000000))</f>
        <v/>
      </c>
      <c r="JQ22">
        <f>IF($B22=0,1000000,IF(INDEX('計算A'!$D$60:$DS$104,$B22,60)*EZ22=1,'計算A'!BK$6,1000000))</f>
        <v/>
      </c>
      <c r="JR22">
        <f>IF($B22=0,1000000,IF(INDEX('計算A'!$D$60:$DS$104,$B22,61)*FA22=1,'計算A'!BL$6,1000000))</f>
        <v/>
      </c>
      <c r="JS22">
        <f>IF($B22=0,1000000,IF(INDEX('計算A'!$D$60:$DS$104,$B22,62)*FB22=1,'計算A'!BM$6,1000000))</f>
        <v/>
      </c>
      <c r="JT22">
        <f>IF($B22=0,1000000,IF(INDEX('計算A'!$D$60:$DS$104,$B22,63)*FC22=1,'計算A'!BN$6,1000000))</f>
        <v/>
      </c>
      <c r="JU22">
        <f>IF($B22=0,1000000,IF(INDEX('計算A'!$D$60:$DS$104,$B22,64)*FD22=1,'計算A'!BO$6,1000000))</f>
        <v/>
      </c>
      <c r="JV22">
        <f>IF($B22=0,1000000,IF(INDEX('計算A'!$D$60:$DS$104,$B22,65)*FE22=1,'計算A'!BP$6,1000000))</f>
        <v/>
      </c>
      <c r="JW22">
        <f>IF($B22=0,1000000,IF(INDEX('計算A'!$D$60:$DS$104,$B22,66)*FF22=1,'計算A'!BQ$6,1000000))</f>
        <v/>
      </c>
      <c r="JX22">
        <f>IF($B22=0,1000000,IF(INDEX('計算A'!$D$60:$DS$104,$B22,67)*FG22=1,'計算A'!BR$6,1000000))</f>
        <v/>
      </c>
      <c r="JY22">
        <f>IF($B22=0,1000000,IF(INDEX('計算A'!$D$60:$DS$104,$B22,68)*FH22=1,'計算A'!BS$6,1000000))</f>
        <v/>
      </c>
      <c r="JZ22">
        <f>IF($B22=0,1000000,IF(INDEX('計算A'!$D$60:$DS$104,$B22,69)*FI22=1,'計算A'!BT$6,1000000))</f>
        <v/>
      </c>
      <c r="KA22">
        <f>IF($B22=0,1000000,IF(INDEX('計算A'!$D$60:$DS$104,$B22,70)*FJ22=1,'計算A'!BU$6,1000000))</f>
        <v/>
      </c>
      <c r="KB22">
        <f>IF($B22=0,1000000,IF(INDEX('計算A'!$D$60:$DS$104,$B22,71)*FK22=1,'計算A'!BV$6,1000000))</f>
        <v/>
      </c>
      <c r="KC22">
        <f>IF($B22=0,1000000,IF(INDEX('計算A'!$D$60:$DS$104,$B22,72)*FL22=1,'計算A'!BW$6,1000000))</f>
        <v/>
      </c>
      <c r="KD22">
        <f>IF($B22=0,1000000,IF(INDEX('計算A'!$D$60:$DS$104,$B22,73)*FM22=1,'計算A'!BX$6,1000000))</f>
        <v/>
      </c>
      <c r="KE22">
        <f>IF($B22=0,1000000,IF(INDEX('計算A'!$D$60:$DS$104,$B22,74)*FN22=1,'計算A'!BY$6,1000000))</f>
        <v/>
      </c>
      <c r="KF22">
        <f>IF($B22=0,1000000,IF(INDEX('計算A'!$D$60:$DS$104,$B22,75)*FO22=1,'計算A'!BZ$6,1000000))</f>
        <v/>
      </c>
      <c r="KG22">
        <f>IF($B22=0,1000000,IF(INDEX('計算A'!$D$60:$DS$104,$B22,76)*FP22=1,'計算A'!CA$6,1000000))</f>
        <v/>
      </c>
      <c r="KH22">
        <f>IF($B22=0,1000000,IF(INDEX('計算A'!$D$60:$DS$104,$B22,77)*FQ22=1,'計算A'!CB$6,1000000))</f>
        <v/>
      </c>
      <c r="KI22">
        <f>IF($B22=0,1000000,IF(INDEX('計算A'!$D$60:$DS$104,$B22,78)*FR22=1,'計算A'!CC$6,1000000))</f>
        <v/>
      </c>
      <c r="KJ22">
        <f>IF($B22=0,1000000,IF(INDEX('計算A'!$D$60:$DS$104,$B22,79)*FS22=1,'計算A'!CD$6,1000000))</f>
        <v/>
      </c>
      <c r="KK22">
        <f>IF($B22=0,1000000,IF(INDEX('計算A'!$D$60:$DS$104,$B22,80)*FT22=1,'計算A'!CE$6,1000000))</f>
        <v/>
      </c>
      <c r="KL22">
        <f>IF($B22=0,1000000,IF(INDEX('計算A'!$D$60:$DS$104,$B22,81)*FU22=1,'計算A'!CF$6,1000000))</f>
        <v/>
      </c>
      <c r="KM22">
        <f>IF($B22=0,1000000,IF(INDEX('計算A'!$D$60:$DS$104,$B22,82)*FV22=1,'計算A'!CG$6,1000000))</f>
        <v/>
      </c>
      <c r="KN22">
        <f>IF($B22=0,1000000,IF(INDEX('計算A'!$D$60:$DS$104,$B22,83)*FW22=1,'計算A'!CH$6,1000000))</f>
        <v/>
      </c>
      <c r="KO22">
        <f>IF($B22=0,1000000,IF(INDEX('計算A'!$D$60:$DS$104,$B22,84)*FX22=1,'計算A'!CI$6,1000000))</f>
        <v/>
      </c>
      <c r="KP22">
        <f>IF($B22=0,1000000,IF(INDEX('計算A'!$D$60:$DS$104,$B22,85)*FY22=1,'計算A'!CJ$6,1000000))</f>
        <v/>
      </c>
      <c r="KQ22">
        <f>IF($B22=0,1000000,IF(INDEX('計算A'!$D$60:$DS$104,$B22,86)*FZ22=1,'計算A'!CK$6,1000000))</f>
        <v/>
      </c>
      <c r="KR22">
        <f>IF($B22=0,1000000,IF(INDEX('計算A'!$D$60:$DS$104,$B22,87)*GA22=1,'計算A'!CL$6,1000000))</f>
        <v/>
      </c>
      <c r="KS22">
        <f>IF($B22=0,1000000,IF(INDEX('計算A'!$D$60:$DS$104,$B22,88)*GB22=1,'計算A'!CM$6,1000000))</f>
        <v/>
      </c>
      <c r="KT22">
        <f>IF($B22=0,1000000,IF(INDEX('計算A'!$D$60:$DS$104,$B22,89)*GC22=1,'計算A'!CN$6,1000000))</f>
        <v/>
      </c>
      <c r="KU22">
        <f>IF($B22=0,1000000,IF(INDEX('計算A'!$D$60:$DS$104,$B22,90)*GD22=1,'計算A'!CO$6,1000000))</f>
        <v/>
      </c>
      <c r="KV22">
        <f>IF($B22=0,1000000,IF(INDEX('計算A'!$D$60:$DS$104,$B22,91)*GE22=1,'計算A'!CP$6,1000000))</f>
        <v/>
      </c>
      <c r="KW22">
        <f>IF($B22=0,1000000,IF(INDEX('計算A'!$D$60:$DS$104,$B22,92)*GF22=1,'計算A'!CQ$6,1000000))</f>
        <v/>
      </c>
      <c r="KX22">
        <f>IF($B22=0,1000000,IF(INDEX('計算A'!$D$60:$DS$104,$B22,93)*GG22=1,'計算A'!CR$6,1000000))</f>
        <v/>
      </c>
      <c r="KY22">
        <f>IF($B22=0,1000000,IF(INDEX('計算A'!$D$60:$DS$104,$B22,94)*GH22=1,'計算A'!CS$6,1000000))</f>
        <v/>
      </c>
      <c r="KZ22">
        <f>IF($B22=0,1000000,IF(INDEX('計算A'!$D$60:$DS$104,$B22,95)*GI22=1,'計算A'!CT$6,1000000))</f>
        <v/>
      </c>
      <c r="LA22">
        <f>IF($B22=0,1000000,IF(INDEX('計算A'!$D$60:$DS$104,$B22,96)*GJ22=1,'計算A'!CU$6,1000000))</f>
        <v/>
      </c>
      <c r="LB22">
        <f>IF($B22=0,1000000,IF(INDEX('計算A'!$D$60:$DS$104,$B22,97)*GK22=1,'計算A'!CV$6,1000000))</f>
        <v/>
      </c>
      <c r="LC22">
        <f>IF($B22=0,1000000,IF(INDEX('計算A'!$D$60:$DS$104,$B22,98)*GL22=1,'計算A'!CW$6,1000000))</f>
        <v/>
      </c>
      <c r="LD22">
        <f>IF($B22=0,1000000,IF(INDEX('計算A'!$D$60:$DS$104,$B22,99)*GM22=1,'計算A'!CX$6,1000000))</f>
        <v/>
      </c>
      <c r="LE22">
        <f>IF($B22=0,1000000,IF(INDEX('計算A'!$D$60:$DS$104,$B22,100)*GN22=1,'計算A'!CY$6,1000000))</f>
        <v/>
      </c>
      <c r="LF22">
        <f>IF($B22=0,1000000,IF(INDEX('計算A'!$D$60:$DS$104,$B22,101)*GO22=1,'計算A'!CZ$6,1000000))</f>
        <v/>
      </c>
      <c r="LG22">
        <f>IF($B22=0,1000000,IF(INDEX('計算A'!$D$60:$DS$104,$B22,102)*GP22=1,'計算A'!DA$6,1000000))</f>
        <v/>
      </c>
      <c r="LH22">
        <f>IF($B22=0,1000000,IF(INDEX('計算A'!$D$60:$DS$104,$B22,103)*GQ22=1,'計算A'!DB$6,1000000))</f>
        <v/>
      </c>
      <c r="LI22">
        <f>IF($B22=0,1000000,IF(INDEX('計算A'!$D$60:$DS$104,$B22,104)*GR22=1,'計算A'!DC$6,1000000))</f>
        <v/>
      </c>
      <c r="LJ22">
        <f>IF($B22=0,1000000,IF(INDEX('計算A'!$D$60:$DS$104,$B22,105)*GS22=1,'計算A'!DD$6,1000000))</f>
        <v/>
      </c>
      <c r="LK22">
        <f>IF($B22=0,1000000,IF(INDEX('計算A'!$D$60:$DS$104,$B22,106)*GT22=1,'計算A'!DE$6,1000000))</f>
        <v/>
      </c>
      <c r="LL22">
        <f>IF($B22=0,1000000,IF(INDEX('計算A'!$D$60:$DS$104,$B22,107)*GU22=1,'計算A'!DF$6,1000000))</f>
        <v/>
      </c>
      <c r="LM22">
        <f>IF($B22=0,1000000,IF(INDEX('計算A'!$D$60:$DS$104,$B22,108)*GV22=1,'計算A'!DG$6,1000000))</f>
        <v/>
      </c>
      <c r="LN22">
        <f>IF($B22=0,1000000,IF(INDEX('計算A'!$D$60:$DS$104,$B22,109)*GW22=1,'計算A'!DH$6,1000000))</f>
        <v/>
      </c>
      <c r="LO22">
        <f>IF($B22=0,1000000,IF(INDEX('計算A'!$D$60:$DS$104,$B22,110)*GX22=1,'計算A'!DI$6,1000000))</f>
        <v/>
      </c>
      <c r="LP22">
        <f>IF($B22=0,1000000,IF(INDEX('計算A'!$D$60:$DS$104,$B22,111)*GY22=1,'計算A'!DJ$6,1000000))</f>
        <v/>
      </c>
      <c r="LQ22">
        <f>IF($B22=0,1000000,IF(INDEX('計算A'!$D$60:$DS$104,$B22,112)*GZ22=1,'計算A'!DK$6,1000000))</f>
        <v/>
      </c>
      <c r="LR22">
        <f>IF($B22=0,1000000,IF(INDEX('計算A'!$D$60:$DS$104,$B22,113)*HA22=1,'計算A'!DL$6,1000000))</f>
        <v/>
      </c>
      <c r="LS22">
        <f>IF($B22=0,1000000,IF(INDEX('計算A'!$D$60:$DS$104,$B22,114)*HB22=1,'計算A'!DM$6,1000000))</f>
        <v/>
      </c>
      <c r="LT22">
        <f>IF($B22=0,1000000,IF(INDEX('計算A'!$D$60:$DS$104,$B22,115)*HC22=1,'計算A'!DN$6,1000000))</f>
        <v/>
      </c>
      <c r="LU22">
        <f>IF($B22=0,1000000,IF(INDEX('計算A'!$D$60:$DS$104,$B22,116)*HD22=1,'計算A'!DO$6,1000000))</f>
        <v/>
      </c>
      <c r="LV22">
        <f>IF($B22=0,1000000,IF(INDEX('計算A'!$D$60:$DS$104,$B22,117)*HE22=1,'計算A'!DP$6,1000000))</f>
        <v/>
      </c>
      <c r="LW22">
        <f>IF($B22=0,1000000,IF(INDEX('計算A'!$D$60:$DS$104,$B22,118)*HF22=1,'計算A'!DQ$6,1000000))</f>
        <v/>
      </c>
      <c r="LX22">
        <f>IF($B22=0,1000000,IF(INDEX('計算A'!$D$60:$DS$104,$B22,119)*HG22=1,'計算A'!DR$6,1000000))</f>
        <v/>
      </c>
      <c r="LY22">
        <f>IF($B22=0,1000000,IF(INDEX('計算A'!$D$60:$DS$104,$B22,120)*HH22=1,'計算A'!DS$6,1000000))</f>
        <v/>
      </c>
    </row>
    <row r="23">
      <c r="A23" t="n">
        <v>21</v>
      </c>
      <c r="B23">
        <f>IF(MIN(AY23:CQ23)&gt;=1000000,0,MATCH(MIN(AY23:CQ23),AY23:CQ23,0))</f>
        <v/>
      </c>
      <c r="C23">
        <f>IF(MIN(HJ23:LY23)&gt;=1000000,0,MATCH(MIN(HJ23:LY23),HJ23:LY23,0))</f>
        <v/>
      </c>
      <c r="D23">
        <f>IF(C23&gt;0,INDEX('計算A'!$D$5:$DS$5,C23),0)</f>
        <v/>
      </c>
      <c r="E23">
        <f>MAX(E22,IF($B22=1,1,0))</f>
        <v/>
      </c>
      <c r="F23">
        <f>MAX(F22,IF($B22=2,1,0))</f>
        <v/>
      </c>
      <c r="G23">
        <f>MAX(G22,IF($B22=3,1,0))</f>
        <v/>
      </c>
      <c r="H23">
        <f>MAX(H22,IF($B22=4,1,0))</f>
        <v/>
      </c>
      <c r="I23">
        <f>MAX(I22,IF($B22=5,1,0))</f>
        <v/>
      </c>
      <c r="J23">
        <f>MAX(J22,IF($B22=6,1,0))</f>
        <v/>
      </c>
      <c r="K23">
        <f>MAX(K22,IF($B22=7,1,0))</f>
        <v/>
      </c>
      <c r="L23">
        <f>MAX(L22,IF($B22=8,1,0))</f>
        <v/>
      </c>
      <c r="M23">
        <f>MAX(M22,IF($B22=9,1,0))</f>
        <v/>
      </c>
      <c r="N23">
        <f>MAX(N22,IF($B22=10,1,0))</f>
        <v/>
      </c>
      <c r="O23">
        <f>MAX(O22,IF($B22=11,1,0))</f>
        <v/>
      </c>
      <c r="P23">
        <f>MAX(P22,IF($B22=12,1,0))</f>
        <v/>
      </c>
      <c r="Q23">
        <f>MAX(Q22,IF($B22=13,1,0))</f>
        <v/>
      </c>
      <c r="R23">
        <f>MAX(R22,IF($B22=14,1,0))</f>
        <v/>
      </c>
      <c r="S23">
        <f>MAX(S22,IF($B22=15,1,0))</f>
        <v/>
      </c>
      <c r="T23">
        <f>MAX(T22,IF($B22=16,1,0))</f>
        <v/>
      </c>
      <c r="U23">
        <f>MAX(U22,IF($B22=17,1,0))</f>
        <v/>
      </c>
      <c r="V23">
        <f>MAX(V22,IF($B22=18,1,0))</f>
        <v/>
      </c>
      <c r="W23">
        <f>MAX(W22,IF($B22=19,1,0))</f>
        <v/>
      </c>
      <c r="X23">
        <f>MAX(X22,IF($B22=20,1,0))</f>
        <v/>
      </c>
      <c r="Y23">
        <f>MAX(Y22,IF($B22=21,1,0))</f>
        <v/>
      </c>
      <c r="Z23">
        <f>MAX(Z22,IF($B22=22,1,0))</f>
        <v/>
      </c>
      <c r="AA23">
        <f>MAX(AA22,IF($B22=23,1,0))</f>
        <v/>
      </c>
      <c r="AB23">
        <f>MAX(AB22,IF($B22=24,1,0))</f>
        <v/>
      </c>
      <c r="AC23">
        <f>MAX(AC22,IF($B22=25,1,0))</f>
        <v/>
      </c>
      <c r="AD23">
        <f>MAX(AD22,IF($B22=26,1,0))</f>
        <v/>
      </c>
      <c r="AE23">
        <f>MAX(AE22,IF($B22=27,1,0))</f>
        <v/>
      </c>
      <c r="AF23">
        <f>MAX(AF22,IF($B22=28,1,0))</f>
        <v/>
      </c>
      <c r="AG23">
        <f>MAX(AG22,IF($B22=29,1,0))</f>
        <v/>
      </c>
      <c r="AH23">
        <f>MAX(AH22,IF($B22=30,1,0))</f>
        <v/>
      </c>
      <c r="AI23">
        <f>MAX(AI22,IF($B22=31,1,0))</f>
        <v/>
      </c>
      <c r="AJ23">
        <f>MAX(AJ22,IF($B22=32,1,0))</f>
        <v/>
      </c>
      <c r="AK23">
        <f>MAX(AK22,IF($B22=33,1,0))</f>
        <v/>
      </c>
      <c r="AL23">
        <f>MAX(AL22,IF($B22=34,1,0))</f>
        <v/>
      </c>
      <c r="AM23">
        <f>MAX(AM22,IF($B22=35,1,0))</f>
        <v/>
      </c>
      <c r="AN23">
        <f>MAX(AN22,IF($B22=36,1,0))</f>
        <v/>
      </c>
      <c r="AO23">
        <f>MAX(AO22,IF($B22=37,1,0))</f>
        <v/>
      </c>
      <c r="AP23">
        <f>MAX(AP22,IF($B22=38,1,0))</f>
        <v/>
      </c>
      <c r="AQ23">
        <f>MAX(AQ22,IF($B22=39,1,0))</f>
        <v/>
      </c>
      <c r="AR23">
        <f>MAX(AR22,IF($B22=40,1,0))</f>
        <v/>
      </c>
      <c r="AS23">
        <f>MAX(AS22,IF($B22=41,1,0))</f>
        <v/>
      </c>
      <c r="AT23">
        <f>MAX(AT22,IF($B22=42,1,0))</f>
        <v/>
      </c>
      <c r="AU23">
        <f>MAX(AU22,IF($B22=43,1,0))</f>
        <v/>
      </c>
      <c r="AV23">
        <f>MAX(AV22,IF($B22=44,1,0))</f>
        <v/>
      </c>
      <c r="AW23">
        <f>MAX(AW22,IF($B22=45,1,0))</f>
        <v/>
      </c>
      <c r="AY23">
        <f>IF(E23=1,1000000,SUMPRODUCT('計算A'!$D$60:$DS$60,$CS23:$HH23)*1000+1)</f>
        <v/>
      </c>
      <c r="AZ23">
        <f>IF(F23=1,1000000,SUMPRODUCT('計算A'!$D$61:$DS$61,$CS23:$HH23)*1000+2)</f>
        <v/>
      </c>
      <c r="BA23">
        <f>IF(G23=1,1000000,SUMPRODUCT('計算A'!$D$62:$DS$62,$CS23:$HH23)*1000+3)</f>
        <v/>
      </c>
      <c r="BB23">
        <f>IF(H23=1,1000000,SUMPRODUCT('計算A'!$D$63:$DS$63,$CS23:$HH23)*1000+4)</f>
        <v/>
      </c>
      <c r="BC23">
        <f>IF(I23=1,1000000,SUMPRODUCT('計算A'!$D$64:$DS$64,$CS23:$HH23)*1000+5)</f>
        <v/>
      </c>
      <c r="BD23">
        <f>IF(J23=1,1000000,SUMPRODUCT('計算A'!$D$65:$DS$65,$CS23:$HH23)*1000+6)</f>
        <v/>
      </c>
      <c r="BE23">
        <f>IF(K23=1,1000000,SUMPRODUCT('計算A'!$D$66:$DS$66,$CS23:$HH23)*1000+7)</f>
        <v/>
      </c>
      <c r="BF23">
        <f>IF(L23=1,1000000,SUMPRODUCT('計算A'!$D$67:$DS$67,$CS23:$HH23)*1000+8)</f>
        <v/>
      </c>
      <c r="BG23">
        <f>IF(M23=1,1000000,SUMPRODUCT('計算A'!$D$68:$DS$68,$CS23:$HH23)*1000+9)</f>
        <v/>
      </c>
      <c r="BH23">
        <f>IF(N23=1,1000000,SUMPRODUCT('計算A'!$D$69:$DS$69,$CS23:$HH23)*1000+10)</f>
        <v/>
      </c>
      <c r="BI23">
        <f>IF(O23=1,1000000,SUMPRODUCT('計算A'!$D$70:$DS$70,$CS23:$HH23)*1000+11)</f>
        <v/>
      </c>
      <c r="BJ23">
        <f>IF(P23=1,1000000,SUMPRODUCT('計算A'!$D$71:$DS$71,$CS23:$HH23)*1000+12)</f>
        <v/>
      </c>
      <c r="BK23">
        <f>IF(Q23=1,1000000,SUMPRODUCT('計算A'!$D$72:$DS$72,$CS23:$HH23)*1000+13)</f>
        <v/>
      </c>
      <c r="BL23">
        <f>IF(R23=1,1000000,SUMPRODUCT('計算A'!$D$73:$DS$73,$CS23:$HH23)*1000+14)</f>
        <v/>
      </c>
      <c r="BM23">
        <f>IF(S23=1,1000000,SUMPRODUCT('計算A'!$D$74:$DS$74,$CS23:$HH23)*1000+15)</f>
        <v/>
      </c>
      <c r="BN23">
        <f>IF(T23=1,1000000,SUMPRODUCT('計算A'!$D$75:$DS$75,$CS23:$HH23)*1000+16)</f>
        <v/>
      </c>
      <c r="BO23">
        <f>IF(U23=1,1000000,SUMPRODUCT('計算A'!$D$76:$DS$76,$CS23:$HH23)*1000+17)</f>
        <v/>
      </c>
      <c r="BP23">
        <f>IF(V23=1,1000000,SUMPRODUCT('計算A'!$D$77:$DS$77,$CS23:$HH23)*1000+18)</f>
        <v/>
      </c>
      <c r="BQ23">
        <f>IF(W23=1,1000000,SUMPRODUCT('計算A'!$D$78:$DS$78,$CS23:$HH23)*1000+19)</f>
        <v/>
      </c>
      <c r="BR23">
        <f>IF(X23=1,1000000,SUMPRODUCT('計算A'!$D$79:$DS$79,$CS23:$HH23)*1000+20)</f>
        <v/>
      </c>
      <c r="BS23">
        <f>IF(Y23=1,1000000,SUMPRODUCT('計算A'!$D$80:$DS$80,$CS23:$HH23)*1000+21)</f>
        <v/>
      </c>
      <c r="BT23">
        <f>IF(Z23=1,1000000,SUMPRODUCT('計算A'!$D$81:$DS$81,$CS23:$HH23)*1000+22)</f>
        <v/>
      </c>
      <c r="BU23">
        <f>IF(AA23=1,1000000,SUMPRODUCT('計算A'!$D$82:$DS$82,$CS23:$HH23)*1000+23)</f>
        <v/>
      </c>
      <c r="BV23">
        <f>IF(AB23=1,1000000,SUMPRODUCT('計算A'!$D$83:$DS$83,$CS23:$HH23)*1000+24)</f>
        <v/>
      </c>
      <c r="BW23">
        <f>IF(AC23=1,1000000,SUMPRODUCT('計算A'!$D$84:$DS$84,$CS23:$HH23)*1000+25)</f>
        <v/>
      </c>
      <c r="BX23">
        <f>IF(AD23=1,1000000,SUMPRODUCT('計算A'!$D$85:$DS$85,$CS23:$HH23)*1000+26)</f>
        <v/>
      </c>
      <c r="BY23">
        <f>IF(AE23=1,1000000,SUMPRODUCT('計算A'!$D$86:$DS$86,$CS23:$HH23)*1000+27)</f>
        <v/>
      </c>
      <c r="BZ23">
        <f>IF(AF23=1,1000000,SUMPRODUCT('計算A'!$D$87:$DS$87,$CS23:$HH23)*1000+28)</f>
        <v/>
      </c>
      <c r="CA23">
        <f>IF(AG23=1,1000000,SUMPRODUCT('計算A'!$D$88:$DS$88,$CS23:$HH23)*1000+29)</f>
        <v/>
      </c>
      <c r="CB23">
        <f>IF(AH23=1,1000000,SUMPRODUCT('計算A'!$D$89:$DS$89,$CS23:$HH23)*1000+30)</f>
        <v/>
      </c>
      <c r="CC23">
        <f>IF(AI23=1,1000000,SUMPRODUCT('計算A'!$D$90:$DS$90,$CS23:$HH23)*1000+31)</f>
        <v/>
      </c>
      <c r="CD23">
        <f>IF(AJ23=1,1000000,SUMPRODUCT('計算A'!$D$91:$DS$91,$CS23:$HH23)*1000+32)</f>
        <v/>
      </c>
      <c r="CE23">
        <f>IF(AK23=1,1000000,SUMPRODUCT('計算A'!$D$92:$DS$92,$CS23:$HH23)*1000+33)</f>
        <v/>
      </c>
      <c r="CF23">
        <f>IF(AL23=1,1000000,SUMPRODUCT('計算A'!$D$93:$DS$93,$CS23:$HH23)*1000+34)</f>
        <v/>
      </c>
      <c r="CG23">
        <f>IF(AM23=1,1000000,SUMPRODUCT('計算A'!$D$94:$DS$94,$CS23:$HH23)*1000+35)</f>
        <v/>
      </c>
      <c r="CH23">
        <f>IF(AN23=1,1000000,SUMPRODUCT('計算A'!$D$95:$DS$95,$CS23:$HH23)*1000+36)</f>
        <v/>
      </c>
      <c r="CI23">
        <f>IF(AO23=1,1000000,SUMPRODUCT('計算A'!$D$96:$DS$96,$CS23:$HH23)*1000+37)</f>
        <v/>
      </c>
      <c r="CJ23">
        <f>IF(AP23=1,1000000,SUMPRODUCT('計算A'!$D$97:$DS$97,$CS23:$HH23)*1000+38)</f>
        <v/>
      </c>
      <c r="CK23">
        <f>IF(AQ23=1,1000000,SUMPRODUCT('計算A'!$D$98:$DS$98,$CS23:$HH23)*1000+39)</f>
        <v/>
      </c>
      <c r="CL23">
        <f>IF(AR23=1,1000000,SUMPRODUCT('計算A'!$D$99:$DS$99,$CS23:$HH23)*1000+40)</f>
        <v/>
      </c>
      <c r="CM23">
        <f>IF(AS23=1,1000000,SUMPRODUCT('計算A'!$D$100:$DS$100,$CS23:$HH23)*1000+41)</f>
        <v/>
      </c>
      <c r="CN23">
        <f>IF(AT23=1,1000000,SUMPRODUCT('計算A'!$D$101:$DS$101,$CS23:$HH23)*1000+42)</f>
        <v/>
      </c>
      <c r="CO23">
        <f>IF(AU23=1,1000000,SUMPRODUCT('計算A'!$D$102:$DS$102,$CS23:$HH23)*1000+43)</f>
        <v/>
      </c>
      <c r="CP23">
        <f>IF(AV23=1,1000000,SUMPRODUCT('計算A'!$D$103:$DS$103,$CS23:$HH23)*1000+44)</f>
        <v/>
      </c>
      <c r="CQ23">
        <f>IF(AW23=1,1000000,SUMPRODUCT('計算A'!$D$104:$DS$104,$CS23:$HH23)*1000+45)</f>
        <v/>
      </c>
      <c r="CS23">
        <f>CS22*IF($C22=1,0,1)</f>
        <v/>
      </c>
      <c r="CT23">
        <f>CT22*IF($C22=2,0,1)</f>
        <v/>
      </c>
      <c r="CU23">
        <f>CU22*IF($C22=3,0,1)</f>
        <v/>
      </c>
      <c r="CV23">
        <f>CV22*IF($C22=4,0,1)</f>
        <v/>
      </c>
      <c r="CW23">
        <f>CW22*IF($C22=5,0,1)</f>
        <v/>
      </c>
      <c r="CX23">
        <f>CX22*IF($C22=6,0,1)</f>
        <v/>
      </c>
      <c r="CY23">
        <f>CY22*IF($C22=7,0,1)</f>
        <v/>
      </c>
      <c r="CZ23">
        <f>CZ22*IF($C22=8,0,1)</f>
        <v/>
      </c>
      <c r="DA23">
        <f>DA22*IF($C22=9,0,1)</f>
        <v/>
      </c>
      <c r="DB23">
        <f>DB22*IF($C22=10,0,1)</f>
        <v/>
      </c>
      <c r="DC23">
        <f>DC22*IF($C22=11,0,1)</f>
        <v/>
      </c>
      <c r="DD23">
        <f>DD22*IF($C22=12,0,1)</f>
        <v/>
      </c>
      <c r="DE23">
        <f>DE22*IF($C22=13,0,1)</f>
        <v/>
      </c>
      <c r="DF23">
        <f>DF22*IF($C22=14,0,1)</f>
        <v/>
      </c>
      <c r="DG23">
        <f>DG22*IF($C22=15,0,1)</f>
        <v/>
      </c>
      <c r="DH23">
        <f>DH22*IF($C22=16,0,1)</f>
        <v/>
      </c>
      <c r="DI23">
        <f>DI22*IF($C22=17,0,1)</f>
        <v/>
      </c>
      <c r="DJ23">
        <f>DJ22*IF($C22=18,0,1)</f>
        <v/>
      </c>
      <c r="DK23">
        <f>DK22*IF($C22=19,0,1)</f>
        <v/>
      </c>
      <c r="DL23">
        <f>DL22*IF($C22=20,0,1)</f>
        <v/>
      </c>
      <c r="DM23">
        <f>DM22*IF($C22=21,0,1)</f>
        <v/>
      </c>
      <c r="DN23">
        <f>DN22*IF($C22=22,0,1)</f>
        <v/>
      </c>
      <c r="DO23">
        <f>DO22*IF($C22=23,0,1)</f>
        <v/>
      </c>
      <c r="DP23">
        <f>DP22*IF($C22=24,0,1)</f>
        <v/>
      </c>
      <c r="DQ23">
        <f>DQ22*IF($C22=25,0,1)</f>
        <v/>
      </c>
      <c r="DR23">
        <f>DR22*IF($C22=26,0,1)</f>
        <v/>
      </c>
      <c r="DS23">
        <f>DS22*IF($C22=27,0,1)</f>
        <v/>
      </c>
      <c r="DT23">
        <f>DT22*IF($C22=28,0,1)</f>
        <v/>
      </c>
      <c r="DU23">
        <f>DU22*IF($C22=29,0,1)</f>
        <v/>
      </c>
      <c r="DV23">
        <f>DV22*IF($C22=30,0,1)</f>
        <v/>
      </c>
      <c r="DW23">
        <f>DW22*IF($C22=31,0,1)</f>
        <v/>
      </c>
      <c r="DX23">
        <f>DX22*IF($C22=32,0,1)</f>
        <v/>
      </c>
      <c r="DY23">
        <f>DY22*IF($C22=33,0,1)</f>
        <v/>
      </c>
      <c r="DZ23">
        <f>DZ22*IF($C22=34,0,1)</f>
        <v/>
      </c>
      <c r="EA23">
        <f>EA22*IF($C22=35,0,1)</f>
        <v/>
      </c>
      <c r="EB23">
        <f>EB22*IF($C22=36,0,1)</f>
        <v/>
      </c>
      <c r="EC23">
        <f>EC22*IF($C22=37,0,1)</f>
        <v/>
      </c>
      <c r="ED23">
        <f>ED22*IF($C22=38,0,1)</f>
        <v/>
      </c>
      <c r="EE23">
        <f>EE22*IF($C22=39,0,1)</f>
        <v/>
      </c>
      <c r="EF23">
        <f>EF22*IF($C22=40,0,1)</f>
        <v/>
      </c>
      <c r="EG23">
        <f>EG22*IF($C22=41,0,1)</f>
        <v/>
      </c>
      <c r="EH23">
        <f>EH22*IF($C22=42,0,1)</f>
        <v/>
      </c>
      <c r="EI23">
        <f>EI22*IF($C22=43,0,1)</f>
        <v/>
      </c>
      <c r="EJ23">
        <f>EJ22*IF($C22=44,0,1)</f>
        <v/>
      </c>
      <c r="EK23">
        <f>EK22*IF($C22=45,0,1)</f>
        <v/>
      </c>
      <c r="EL23">
        <f>EL22*IF($C22=46,0,1)</f>
        <v/>
      </c>
      <c r="EM23">
        <f>EM22*IF($C22=47,0,1)</f>
        <v/>
      </c>
      <c r="EN23">
        <f>EN22*IF($C22=48,0,1)</f>
        <v/>
      </c>
      <c r="EO23">
        <f>EO22*IF($C22=49,0,1)</f>
        <v/>
      </c>
      <c r="EP23">
        <f>EP22*IF($C22=50,0,1)</f>
        <v/>
      </c>
      <c r="EQ23">
        <f>EQ22*IF($C22=51,0,1)</f>
        <v/>
      </c>
      <c r="ER23">
        <f>ER22*IF($C22=52,0,1)</f>
        <v/>
      </c>
      <c r="ES23">
        <f>ES22*IF($C22=53,0,1)</f>
        <v/>
      </c>
      <c r="ET23">
        <f>ET22*IF($C22=54,0,1)</f>
        <v/>
      </c>
      <c r="EU23">
        <f>EU22*IF($C22=55,0,1)</f>
        <v/>
      </c>
      <c r="EV23">
        <f>EV22*IF($C22=56,0,1)</f>
        <v/>
      </c>
      <c r="EW23">
        <f>EW22*IF($C22=57,0,1)</f>
        <v/>
      </c>
      <c r="EX23">
        <f>EX22*IF($C22=58,0,1)</f>
        <v/>
      </c>
      <c r="EY23">
        <f>EY22*IF($C22=59,0,1)</f>
        <v/>
      </c>
      <c r="EZ23">
        <f>EZ22*IF($C22=60,0,1)</f>
        <v/>
      </c>
      <c r="FA23">
        <f>FA22*IF($C22=61,0,1)</f>
        <v/>
      </c>
      <c r="FB23">
        <f>FB22*IF($C22=62,0,1)</f>
        <v/>
      </c>
      <c r="FC23">
        <f>FC22*IF($C22=63,0,1)</f>
        <v/>
      </c>
      <c r="FD23">
        <f>FD22*IF($C22=64,0,1)</f>
        <v/>
      </c>
      <c r="FE23">
        <f>FE22*IF($C22=65,0,1)</f>
        <v/>
      </c>
      <c r="FF23">
        <f>FF22*IF($C22=66,0,1)</f>
        <v/>
      </c>
      <c r="FG23">
        <f>FG22*IF($C22=67,0,1)</f>
        <v/>
      </c>
      <c r="FH23">
        <f>FH22*IF($C22=68,0,1)</f>
        <v/>
      </c>
      <c r="FI23">
        <f>FI22*IF($C22=69,0,1)</f>
        <v/>
      </c>
      <c r="FJ23">
        <f>FJ22*IF($C22=70,0,1)</f>
        <v/>
      </c>
      <c r="FK23">
        <f>FK22*IF($C22=71,0,1)</f>
        <v/>
      </c>
      <c r="FL23">
        <f>FL22*IF($C22=72,0,1)</f>
        <v/>
      </c>
      <c r="FM23">
        <f>FM22*IF($C22=73,0,1)</f>
        <v/>
      </c>
      <c r="FN23">
        <f>FN22*IF($C22=74,0,1)</f>
        <v/>
      </c>
      <c r="FO23">
        <f>FO22*IF($C22=75,0,1)</f>
        <v/>
      </c>
      <c r="FP23">
        <f>FP22*IF($C22=76,0,1)</f>
        <v/>
      </c>
      <c r="FQ23">
        <f>FQ22*IF($C22=77,0,1)</f>
        <v/>
      </c>
      <c r="FR23">
        <f>FR22*IF($C22=78,0,1)</f>
        <v/>
      </c>
      <c r="FS23">
        <f>FS22*IF($C22=79,0,1)</f>
        <v/>
      </c>
      <c r="FT23">
        <f>FT22*IF($C22=80,0,1)</f>
        <v/>
      </c>
      <c r="FU23">
        <f>FU22*IF($C22=81,0,1)</f>
        <v/>
      </c>
      <c r="FV23">
        <f>FV22*IF($C22=82,0,1)</f>
        <v/>
      </c>
      <c r="FW23">
        <f>FW22*IF($C22=83,0,1)</f>
        <v/>
      </c>
      <c r="FX23">
        <f>FX22*IF($C22=84,0,1)</f>
        <v/>
      </c>
      <c r="FY23">
        <f>FY22*IF($C22=85,0,1)</f>
        <v/>
      </c>
      <c r="FZ23">
        <f>FZ22*IF($C22=86,0,1)</f>
        <v/>
      </c>
      <c r="GA23">
        <f>GA22*IF($C22=87,0,1)</f>
        <v/>
      </c>
      <c r="GB23">
        <f>GB22*IF($C22=88,0,1)</f>
        <v/>
      </c>
      <c r="GC23">
        <f>GC22*IF($C22=89,0,1)</f>
        <v/>
      </c>
      <c r="GD23">
        <f>GD22*IF($C22=90,0,1)</f>
        <v/>
      </c>
      <c r="GE23">
        <f>GE22*IF($C22=91,0,1)</f>
        <v/>
      </c>
      <c r="GF23">
        <f>GF22*IF($C22=92,0,1)</f>
        <v/>
      </c>
      <c r="GG23">
        <f>GG22*IF($C22=93,0,1)</f>
        <v/>
      </c>
      <c r="GH23">
        <f>GH22*IF($C22=94,0,1)</f>
        <v/>
      </c>
      <c r="GI23">
        <f>GI22*IF($C22=95,0,1)</f>
        <v/>
      </c>
      <c r="GJ23">
        <f>GJ22*IF($C22=96,0,1)</f>
        <v/>
      </c>
      <c r="GK23">
        <f>GK22*IF($C22=97,0,1)</f>
        <v/>
      </c>
      <c r="GL23">
        <f>GL22*IF($C22=98,0,1)</f>
        <v/>
      </c>
      <c r="GM23">
        <f>GM22*IF($C22=99,0,1)</f>
        <v/>
      </c>
      <c r="GN23">
        <f>GN22*IF($C22=100,0,1)</f>
        <v/>
      </c>
      <c r="GO23">
        <f>GO22*IF($C22=101,0,1)</f>
        <v/>
      </c>
      <c r="GP23">
        <f>GP22*IF($C22=102,0,1)</f>
        <v/>
      </c>
      <c r="GQ23">
        <f>GQ22*IF($C22=103,0,1)</f>
        <v/>
      </c>
      <c r="GR23">
        <f>GR22*IF($C22=104,0,1)</f>
        <v/>
      </c>
      <c r="GS23">
        <f>GS22*IF($C22=105,0,1)</f>
        <v/>
      </c>
      <c r="GT23">
        <f>GT22*IF($C22=106,0,1)</f>
        <v/>
      </c>
      <c r="GU23">
        <f>GU22*IF($C22=107,0,1)</f>
        <v/>
      </c>
      <c r="GV23">
        <f>GV22*IF($C22=108,0,1)</f>
        <v/>
      </c>
      <c r="GW23">
        <f>GW22*IF($C22=109,0,1)</f>
        <v/>
      </c>
      <c r="GX23">
        <f>GX22*IF($C22=110,0,1)</f>
        <v/>
      </c>
      <c r="GY23">
        <f>GY22*IF($C22=111,0,1)</f>
        <v/>
      </c>
      <c r="GZ23">
        <f>GZ22*IF($C22=112,0,1)</f>
        <v/>
      </c>
      <c r="HA23">
        <f>HA22*IF($C22=113,0,1)</f>
        <v/>
      </c>
      <c r="HB23">
        <f>HB22*IF($C22=114,0,1)</f>
        <v/>
      </c>
      <c r="HC23">
        <f>HC22*IF($C22=115,0,1)</f>
        <v/>
      </c>
      <c r="HD23">
        <f>HD22*IF($C22=116,0,1)</f>
        <v/>
      </c>
      <c r="HE23">
        <f>HE22*IF($C22=117,0,1)</f>
        <v/>
      </c>
      <c r="HF23">
        <f>HF22*IF($C22=118,0,1)</f>
        <v/>
      </c>
      <c r="HG23">
        <f>HG22*IF($C22=119,0,1)</f>
        <v/>
      </c>
      <c r="HH23">
        <f>HH22*IF($C22=120,0,1)</f>
        <v/>
      </c>
      <c r="HJ23">
        <f>IF($B23=0,1000000,IF(INDEX('計算A'!$D$60:$DS$104,$B23,1)*CS23=1,'計算A'!D$6,1000000))</f>
        <v/>
      </c>
      <c r="HK23">
        <f>IF($B23=0,1000000,IF(INDEX('計算A'!$D$60:$DS$104,$B23,2)*CT23=1,'計算A'!E$6,1000000))</f>
        <v/>
      </c>
      <c r="HL23">
        <f>IF($B23=0,1000000,IF(INDEX('計算A'!$D$60:$DS$104,$B23,3)*CU23=1,'計算A'!F$6,1000000))</f>
        <v/>
      </c>
      <c r="HM23">
        <f>IF($B23=0,1000000,IF(INDEX('計算A'!$D$60:$DS$104,$B23,4)*CV23=1,'計算A'!G$6,1000000))</f>
        <v/>
      </c>
      <c r="HN23">
        <f>IF($B23=0,1000000,IF(INDEX('計算A'!$D$60:$DS$104,$B23,5)*CW23=1,'計算A'!H$6,1000000))</f>
        <v/>
      </c>
      <c r="HO23">
        <f>IF($B23=0,1000000,IF(INDEX('計算A'!$D$60:$DS$104,$B23,6)*CX23=1,'計算A'!I$6,1000000))</f>
        <v/>
      </c>
      <c r="HP23">
        <f>IF($B23=0,1000000,IF(INDEX('計算A'!$D$60:$DS$104,$B23,7)*CY23=1,'計算A'!J$6,1000000))</f>
        <v/>
      </c>
      <c r="HQ23">
        <f>IF($B23=0,1000000,IF(INDEX('計算A'!$D$60:$DS$104,$B23,8)*CZ23=1,'計算A'!K$6,1000000))</f>
        <v/>
      </c>
      <c r="HR23">
        <f>IF($B23=0,1000000,IF(INDEX('計算A'!$D$60:$DS$104,$B23,9)*DA23=1,'計算A'!L$6,1000000))</f>
        <v/>
      </c>
      <c r="HS23">
        <f>IF($B23=0,1000000,IF(INDEX('計算A'!$D$60:$DS$104,$B23,10)*DB23=1,'計算A'!M$6,1000000))</f>
        <v/>
      </c>
      <c r="HT23">
        <f>IF($B23=0,1000000,IF(INDEX('計算A'!$D$60:$DS$104,$B23,11)*DC23=1,'計算A'!N$6,1000000))</f>
        <v/>
      </c>
      <c r="HU23">
        <f>IF($B23=0,1000000,IF(INDEX('計算A'!$D$60:$DS$104,$B23,12)*DD23=1,'計算A'!O$6,1000000))</f>
        <v/>
      </c>
      <c r="HV23">
        <f>IF($B23=0,1000000,IF(INDEX('計算A'!$D$60:$DS$104,$B23,13)*DE23=1,'計算A'!P$6,1000000))</f>
        <v/>
      </c>
      <c r="HW23">
        <f>IF($B23=0,1000000,IF(INDEX('計算A'!$D$60:$DS$104,$B23,14)*DF23=1,'計算A'!Q$6,1000000))</f>
        <v/>
      </c>
      <c r="HX23">
        <f>IF($B23=0,1000000,IF(INDEX('計算A'!$D$60:$DS$104,$B23,15)*DG23=1,'計算A'!R$6,1000000))</f>
        <v/>
      </c>
      <c r="HY23">
        <f>IF($B23=0,1000000,IF(INDEX('計算A'!$D$60:$DS$104,$B23,16)*DH23=1,'計算A'!S$6,1000000))</f>
        <v/>
      </c>
      <c r="HZ23">
        <f>IF($B23=0,1000000,IF(INDEX('計算A'!$D$60:$DS$104,$B23,17)*DI23=1,'計算A'!T$6,1000000))</f>
        <v/>
      </c>
      <c r="IA23">
        <f>IF($B23=0,1000000,IF(INDEX('計算A'!$D$60:$DS$104,$B23,18)*DJ23=1,'計算A'!U$6,1000000))</f>
        <v/>
      </c>
      <c r="IB23">
        <f>IF($B23=0,1000000,IF(INDEX('計算A'!$D$60:$DS$104,$B23,19)*DK23=1,'計算A'!V$6,1000000))</f>
        <v/>
      </c>
      <c r="IC23">
        <f>IF($B23=0,1000000,IF(INDEX('計算A'!$D$60:$DS$104,$B23,20)*DL23=1,'計算A'!W$6,1000000))</f>
        <v/>
      </c>
      <c r="ID23">
        <f>IF($B23=0,1000000,IF(INDEX('計算A'!$D$60:$DS$104,$B23,21)*DM23=1,'計算A'!X$6,1000000))</f>
        <v/>
      </c>
      <c r="IE23">
        <f>IF($B23=0,1000000,IF(INDEX('計算A'!$D$60:$DS$104,$B23,22)*DN23=1,'計算A'!Y$6,1000000))</f>
        <v/>
      </c>
      <c r="IF23">
        <f>IF($B23=0,1000000,IF(INDEX('計算A'!$D$60:$DS$104,$B23,23)*DO23=1,'計算A'!Z$6,1000000))</f>
        <v/>
      </c>
      <c r="IG23">
        <f>IF($B23=0,1000000,IF(INDEX('計算A'!$D$60:$DS$104,$B23,24)*DP23=1,'計算A'!AA$6,1000000))</f>
        <v/>
      </c>
      <c r="IH23">
        <f>IF($B23=0,1000000,IF(INDEX('計算A'!$D$60:$DS$104,$B23,25)*DQ23=1,'計算A'!AB$6,1000000))</f>
        <v/>
      </c>
      <c r="II23">
        <f>IF($B23=0,1000000,IF(INDEX('計算A'!$D$60:$DS$104,$B23,26)*DR23=1,'計算A'!AC$6,1000000))</f>
        <v/>
      </c>
      <c r="IJ23">
        <f>IF($B23=0,1000000,IF(INDEX('計算A'!$D$60:$DS$104,$B23,27)*DS23=1,'計算A'!AD$6,1000000))</f>
        <v/>
      </c>
      <c r="IK23">
        <f>IF($B23=0,1000000,IF(INDEX('計算A'!$D$60:$DS$104,$B23,28)*DT23=1,'計算A'!AE$6,1000000))</f>
        <v/>
      </c>
      <c r="IL23">
        <f>IF($B23=0,1000000,IF(INDEX('計算A'!$D$60:$DS$104,$B23,29)*DU23=1,'計算A'!AF$6,1000000))</f>
        <v/>
      </c>
      <c r="IM23">
        <f>IF($B23=0,1000000,IF(INDEX('計算A'!$D$60:$DS$104,$B23,30)*DV23=1,'計算A'!AG$6,1000000))</f>
        <v/>
      </c>
      <c r="IN23">
        <f>IF($B23=0,1000000,IF(INDEX('計算A'!$D$60:$DS$104,$B23,31)*DW23=1,'計算A'!AH$6,1000000))</f>
        <v/>
      </c>
      <c r="IO23">
        <f>IF($B23=0,1000000,IF(INDEX('計算A'!$D$60:$DS$104,$B23,32)*DX23=1,'計算A'!AI$6,1000000))</f>
        <v/>
      </c>
      <c r="IP23">
        <f>IF($B23=0,1000000,IF(INDEX('計算A'!$D$60:$DS$104,$B23,33)*DY23=1,'計算A'!AJ$6,1000000))</f>
        <v/>
      </c>
      <c r="IQ23">
        <f>IF($B23=0,1000000,IF(INDEX('計算A'!$D$60:$DS$104,$B23,34)*DZ23=1,'計算A'!AK$6,1000000))</f>
        <v/>
      </c>
      <c r="IR23">
        <f>IF($B23=0,1000000,IF(INDEX('計算A'!$D$60:$DS$104,$B23,35)*EA23=1,'計算A'!AL$6,1000000))</f>
        <v/>
      </c>
      <c r="IS23">
        <f>IF($B23=0,1000000,IF(INDEX('計算A'!$D$60:$DS$104,$B23,36)*EB23=1,'計算A'!AM$6,1000000))</f>
        <v/>
      </c>
      <c r="IT23">
        <f>IF($B23=0,1000000,IF(INDEX('計算A'!$D$60:$DS$104,$B23,37)*EC23=1,'計算A'!AN$6,1000000))</f>
        <v/>
      </c>
      <c r="IU23">
        <f>IF($B23=0,1000000,IF(INDEX('計算A'!$D$60:$DS$104,$B23,38)*ED23=1,'計算A'!AO$6,1000000))</f>
        <v/>
      </c>
      <c r="IV23">
        <f>IF($B23=0,1000000,IF(INDEX('計算A'!$D$60:$DS$104,$B23,39)*EE23=1,'計算A'!AP$6,1000000))</f>
        <v/>
      </c>
      <c r="IW23">
        <f>IF($B23=0,1000000,IF(INDEX('計算A'!$D$60:$DS$104,$B23,40)*EF23=1,'計算A'!AQ$6,1000000))</f>
        <v/>
      </c>
      <c r="IX23">
        <f>IF($B23=0,1000000,IF(INDEX('計算A'!$D$60:$DS$104,$B23,41)*EG23=1,'計算A'!AR$6,1000000))</f>
        <v/>
      </c>
      <c r="IY23">
        <f>IF($B23=0,1000000,IF(INDEX('計算A'!$D$60:$DS$104,$B23,42)*EH23=1,'計算A'!AS$6,1000000))</f>
        <v/>
      </c>
      <c r="IZ23">
        <f>IF($B23=0,1000000,IF(INDEX('計算A'!$D$60:$DS$104,$B23,43)*EI23=1,'計算A'!AT$6,1000000))</f>
        <v/>
      </c>
      <c r="JA23">
        <f>IF($B23=0,1000000,IF(INDEX('計算A'!$D$60:$DS$104,$B23,44)*EJ23=1,'計算A'!AU$6,1000000))</f>
        <v/>
      </c>
      <c r="JB23">
        <f>IF($B23=0,1000000,IF(INDEX('計算A'!$D$60:$DS$104,$B23,45)*EK23=1,'計算A'!AV$6,1000000))</f>
        <v/>
      </c>
      <c r="JC23">
        <f>IF($B23=0,1000000,IF(INDEX('計算A'!$D$60:$DS$104,$B23,46)*EL23=1,'計算A'!AW$6,1000000))</f>
        <v/>
      </c>
      <c r="JD23">
        <f>IF($B23=0,1000000,IF(INDEX('計算A'!$D$60:$DS$104,$B23,47)*EM23=1,'計算A'!AX$6,1000000))</f>
        <v/>
      </c>
      <c r="JE23">
        <f>IF($B23=0,1000000,IF(INDEX('計算A'!$D$60:$DS$104,$B23,48)*EN23=1,'計算A'!AY$6,1000000))</f>
        <v/>
      </c>
      <c r="JF23">
        <f>IF($B23=0,1000000,IF(INDEX('計算A'!$D$60:$DS$104,$B23,49)*EO23=1,'計算A'!AZ$6,1000000))</f>
        <v/>
      </c>
      <c r="JG23">
        <f>IF($B23=0,1000000,IF(INDEX('計算A'!$D$60:$DS$104,$B23,50)*EP23=1,'計算A'!BA$6,1000000))</f>
        <v/>
      </c>
      <c r="JH23">
        <f>IF($B23=0,1000000,IF(INDEX('計算A'!$D$60:$DS$104,$B23,51)*EQ23=1,'計算A'!BB$6,1000000))</f>
        <v/>
      </c>
      <c r="JI23">
        <f>IF($B23=0,1000000,IF(INDEX('計算A'!$D$60:$DS$104,$B23,52)*ER23=1,'計算A'!BC$6,1000000))</f>
        <v/>
      </c>
      <c r="JJ23">
        <f>IF($B23=0,1000000,IF(INDEX('計算A'!$D$60:$DS$104,$B23,53)*ES23=1,'計算A'!BD$6,1000000))</f>
        <v/>
      </c>
      <c r="JK23">
        <f>IF($B23=0,1000000,IF(INDEX('計算A'!$D$60:$DS$104,$B23,54)*ET23=1,'計算A'!BE$6,1000000))</f>
        <v/>
      </c>
      <c r="JL23">
        <f>IF($B23=0,1000000,IF(INDEX('計算A'!$D$60:$DS$104,$B23,55)*EU23=1,'計算A'!BF$6,1000000))</f>
        <v/>
      </c>
      <c r="JM23">
        <f>IF($B23=0,1000000,IF(INDEX('計算A'!$D$60:$DS$104,$B23,56)*EV23=1,'計算A'!BG$6,1000000))</f>
        <v/>
      </c>
      <c r="JN23">
        <f>IF($B23=0,1000000,IF(INDEX('計算A'!$D$60:$DS$104,$B23,57)*EW23=1,'計算A'!BH$6,1000000))</f>
        <v/>
      </c>
      <c r="JO23">
        <f>IF($B23=0,1000000,IF(INDEX('計算A'!$D$60:$DS$104,$B23,58)*EX23=1,'計算A'!BI$6,1000000))</f>
        <v/>
      </c>
      <c r="JP23">
        <f>IF($B23=0,1000000,IF(INDEX('計算A'!$D$60:$DS$104,$B23,59)*EY23=1,'計算A'!BJ$6,1000000))</f>
        <v/>
      </c>
      <c r="JQ23">
        <f>IF($B23=0,1000000,IF(INDEX('計算A'!$D$60:$DS$104,$B23,60)*EZ23=1,'計算A'!BK$6,1000000))</f>
        <v/>
      </c>
      <c r="JR23">
        <f>IF($B23=0,1000000,IF(INDEX('計算A'!$D$60:$DS$104,$B23,61)*FA23=1,'計算A'!BL$6,1000000))</f>
        <v/>
      </c>
      <c r="JS23">
        <f>IF($B23=0,1000000,IF(INDEX('計算A'!$D$60:$DS$104,$B23,62)*FB23=1,'計算A'!BM$6,1000000))</f>
        <v/>
      </c>
      <c r="JT23">
        <f>IF($B23=0,1000000,IF(INDEX('計算A'!$D$60:$DS$104,$B23,63)*FC23=1,'計算A'!BN$6,1000000))</f>
        <v/>
      </c>
      <c r="JU23">
        <f>IF($B23=0,1000000,IF(INDEX('計算A'!$D$60:$DS$104,$B23,64)*FD23=1,'計算A'!BO$6,1000000))</f>
        <v/>
      </c>
      <c r="JV23">
        <f>IF($B23=0,1000000,IF(INDEX('計算A'!$D$60:$DS$104,$B23,65)*FE23=1,'計算A'!BP$6,1000000))</f>
        <v/>
      </c>
      <c r="JW23">
        <f>IF($B23=0,1000000,IF(INDEX('計算A'!$D$60:$DS$104,$B23,66)*FF23=1,'計算A'!BQ$6,1000000))</f>
        <v/>
      </c>
      <c r="JX23">
        <f>IF($B23=0,1000000,IF(INDEX('計算A'!$D$60:$DS$104,$B23,67)*FG23=1,'計算A'!BR$6,1000000))</f>
        <v/>
      </c>
      <c r="JY23">
        <f>IF($B23=0,1000000,IF(INDEX('計算A'!$D$60:$DS$104,$B23,68)*FH23=1,'計算A'!BS$6,1000000))</f>
        <v/>
      </c>
      <c r="JZ23">
        <f>IF($B23=0,1000000,IF(INDEX('計算A'!$D$60:$DS$104,$B23,69)*FI23=1,'計算A'!BT$6,1000000))</f>
        <v/>
      </c>
      <c r="KA23">
        <f>IF($B23=0,1000000,IF(INDEX('計算A'!$D$60:$DS$104,$B23,70)*FJ23=1,'計算A'!BU$6,1000000))</f>
        <v/>
      </c>
      <c r="KB23">
        <f>IF($B23=0,1000000,IF(INDEX('計算A'!$D$60:$DS$104,$B23,71)*FK23=1,'計算A'!BV$6,1000000))</f>
        <v/>
      </c>
      <c r="KC23">
        <f>IF($B23=0,1000000,IF(INDEX('計算A'!$D$60:$DS$104,$B23,72)*FL23=1,'計算A'!BW$6,1000000))</f>
        <v/>
      </c>
      <c r="KD23">
        <f>IF($B23=0,1000000,IF(INDEX('計算A'!$D$60:$DS$104,$B23,73)*FM23=1,'計算A'!BX$6,1000000))</f>
        <v/>
      </c>
      <c r="KE23">
        <f>IF($B23=0,1000000,IF(INDEX('計算A'!$D$60:$DS$104,$B23,74)*FN23=1,'計算A'!BY$6,1000000))</f>
        <v/>
      </c>
      <c r="KF23">
        <f>IF($B23=0,1000000,IF(INDEX('計算A'!$D$60:$DS$104,$B23,75)*FO23=1,'計算A'!BZ$6,1000000))</f>
        <v/>
      </c>
      <c r="KG23">
        <f>IF($B23=0,1000000,IF(INDEX('計算A'!$D$60:$DS$104,$B23,76)*FP23=1,'計算A'!CA$6,1000000))</f>
        <v/>
      </c>
      <c r="KH23">
        <f>IF($B23=0,1000000,IF(INDEX('計算A'!$D$60:$DS$104,$B23,77)*FQ23=1,'計算A'!CB$6,1000000))</f>
        <v/>
      </c>
      <c r="KI23">
        <f>IF($B23=0,1000000,IF(INDEX('計算A'!$D$60:$DS$104,$B23,78)*FR23=1,'計算A'!CC$6,1000000))</f>
        <v/>
      </c>
      <c r="KJ23">
        <f>IF($B23=0,1000000,IF(INDEX('計算A'!$D$60:$DS$104,$B23,79)*FS23=1,'計算A'!CD$6,1000000))</f>
        <v/>
      </c>
      <c r="KK23">
        <f>IF($B23=0,1000000,IF(INDEX('計算A'!$D$60:$DS$104,$B23,80)*FT23=1,'計算A'!CE$6,1000000))</f>
        <v/>
      </c>
      <c r="KL23">
        <f>IF($B23=0,1000000,IF(INDEX('計算A'!$D$60:$DS$104,$B23,81)*FU23=1,'計算A'!CF$6,1000000))</f>
        <v/>
      </c>
      <c r="KM23">
        <f>IF($B23=0,1000000,IF(INDEX('計算A'!$D$60:$DS$104,$B23,82)*FV23=1,'計算A'!CG$6,1000000))</f>
        <v/>
      </c>
      <c r="KN23">
        <f>IF($B23=0,1000000,IF(INDEX('計算A'!$D$60:$DS$104,$B23,83)*FW23=1,'計算A'!CH$6,1000000))</f>
        <v/>
      </c>
      <c r="KO23">
        <f>IF($B23=0,1000000,IF(INDEX('計算A'!$D$60:$DS$104,$B23,84)*FX23=1,'計算A'!CI$6,1000000))</f>
        <v/>
      </c>
      <c r="KP23">
        <f>IF($B23=0,1000000,IF(INDEX('計算A'!$D$60:$DS$104,$B23,85)*FY23=1,'計算A'!CJ$6,1000000))</f>
        <v/>
      </c>
      <c r="KQ23">
        <f>IF($B23=0,1000000,IF(INDEX('計算A'!$D$60:$DS$104,$B23,86)*FZ23=1,'計算A'!CK$6,1000000))</f>
        <v/>
      </c>
      <c r="KR23">
        <f>IF($B23=0,1000000,IF(INDEX('計算A'!$D$60:$DS$104,$B23,87)*GA23=1,'計算A'!CL$6,1000000))</f>
        <v/>
      </c>
      <c r="KS23">
        <f>IF($B23=0,1000000,IF(INDEX('計算A'!$D$60:$DS$104,$B23,88)*GB23=1,'計算A'!CM$6,1000000))</f>
        <v/>
      </c>
      <c r="KT23">
        <f>IF($B23=0,1000000,IF(INDEX('計算A'!$D$60:$DS$104,$B23,89)*GC23=1,'計算A'!CN$6,1000000))</f>
        <v/>
      </c>
      <c r="KU23">
        <f>IF($B23=0,1000000,IF(INDEX('計算A'!$D$60:$DS$104,$B23,90)*GD23=1,'計算A'!CO$6,1000000))</f>
        <v/>
      </c>
      <c r="KV23">
        <f>IF($B23=0,1000000,IF(INDEX('計算A'!$D$60:$DS$104,$B23,91)*GE23=1,'計算A'!CP$6,1000000))</f>
        <v/>
      </c>
      <c r="KW23">
        <f>IF($B23=0,1000000,IF(INDEX('計算A'!$D$60:$DS$104,$B23,92)*GF23=1,'計算A'!CQ$6,1000000))</f>
        <v/>
      </c>
      <c r="KX23">
        <f>IF($B23=0,1000000,IF(INDEX('計算A'!$D$60:$DS$104,$B23,93)*GG23=1,'計算A'!CR$6,1000000))</f>
        <v/>
      </c>
      <c r="KY23">
        <f>IF($B23=0,1000000,IF(INDEX('計算A'!$D$60:$DS$104,$B23,94)*GH23=1,'計算A'!CS$6,1000000))</f>
        <v/>
      </c>
      <c r="KZ23">
        <f>IF($B23=0,1000000,IF(INDEX('計算A'!$D$60:$DS$104,$B23,95)*GI23=1,'計算A'!CT$6,1000000))</f>
        <v/>
      </c>
      <c r="LA23">
        <f>IF($B23=0,1000000,IF(INDEX('計算A'!$D$60:$DS$104,$B23,96)*GJ23=1,'計算A'!CU$6,1000000))</f>
        <v/>
      </c>
      <c r="LB23">
        <f>IF($B23=0,1000000,IF(INDEX('計算A'!$D$60:$DS$104,$B23,97)*GK23=1,'計算A'!CV$6,1000000))</f>
        <v/>
      </c>
      <c r="LC23">
        <f>IF($B23=0,1000000,IF(INDEX('計算A'!$D$60:$DS$104,$B23,98)*GL23=1,'計算A'!CW$6,1000000))</f>
        <v/>
      </c>
      <c r="LD23">
        <f>IF($B23=0,1000000,IF(INDEX('計算A'!$D$60:$DS$104,$B23,99)*GM23=1,'計算A'!CX$6,1000000))</f>
        <v/>
      </c>
      <c r="LE23">
        <f>IF($B23=0,1000000,IF(INDEX('計算A'!$D$60:$DS$104,$B23,100)*GN23=1,'計算A'!CY$6,1000000))</f>
        <v/>
      </c>
      <c r="LF23">
        <f>IF($B23=0,1000000,IF(INDEX('計算A'!$D$60:$DS$104,$B23,101)*GO23=1,'計算A'!CZ$6,1000000))</f>
        <v/>
      </c>
      <c r="LG23">
        <f>IF($B23=0,1000000,IF(INDEX('計算A'!$D$60:$DS$104,$B23,102)*GP23=1,'計算A'!DA$6,1000000))</f>
        <v/>
      </c>
      <c r="LH23">
        <f>IF($B23=0,1000000,IF(INDEX('計算A'!$D$60:$DS$104,$B23,103)*GQ23=1,'計算A'!DB$6,1000000))</f>
        <v/>
      </c>
      <c r="LI23">
        <f>IF($B23=0,1000000,IF(INDEX('計算A'!$D$60:$DS$104,$B23,104)*GR23=1,'計算A'!DC$6,1000000))</f>
        <v/>
      </c>
      <c r="LJ23">
        <f>IF($B23=0,1000000,IF(INDEX('計算A'!$D$60:$DS$104,$B23,105)*GS23=1,'計算A'!DD$6,1000000))</f>
        <v/>
      </c>
      <c r="LK23">
        <f>IF($B23=0,1000000,IF(INDEX('計算A'!$D$60:$DS$104,$B23,106)*GT23=1,'計算A'!DE$6,1000000))</f>
        <v/>
      </c>
      <c r="LL23">
        <f>IF($B23=0,1000000,IF(INDEX('計算A'!$D$60:$DS$104,$B23,107)*GU23=1,'計算A'!DF$6,1000000))</f>
        <v/>
      </c>
      <c r="LM23">
        <f>IF($B23=0,1000000,IF(INDEX('計算A'!$D$60:$DS$104,$B23,108)*GV23=1,'計算A'!DG$6,1000000))</f>
        <v/>
      </c>
      <c r="LN23">
        <f>IF($B23=0,1000000,IF(INDEX('計算A'!$D$60:$DS$104,$B23,109)*GW23=1,'計算A'!DH$6,1000000))</f>
        <v/>
      </c>
      <c r="LO23">
        <f>IF($B23=0,1000000,IF(INDEX('計算A'!$D$60:$DS$104,$B23,110)*GX23=1,'計算A'!DI$6,1000000))</f>
        <v/>
      </c>
      <c r="LP23">
        <f>IF($B23=0,1000000,IF(INDEX('計算A'!$D$60:$DS$104,$B23,111)*GY23=1,'計算A'!DJ$6,1000000))</f>
        <v/>
      </c>
      <c r="LQ23">
        <f>IF($B23=0,1000000,IF(INDEX('計算A'!$D$60:$DS$104,$B23,112)*GZ23=1,'計算A'!DK$6,1000000))</f>
        <v/>
      </c>
      <c r="LR23">
        <f>IF($B23=0,1000000,IF(INDEX('計算A'!$D$60:$DS$104,$B23,113)*HA23=1,'計算A'!DL$6,1000000))</f>
        <v/>
      </c>
      <c r="LS23">
        <f>IF($B23=0,1000000,IF(INDEX('計算A'!$D$60:$DS$104,$B23,114)*HB23=1,'計算A'!DM$6,1000000))</f>
        <v/>
      </c>
      <c r="LT23">
        <f>IF($B23=0,1000000,IF(INDEX('計算A'!$D$60:$DS$104,$B23,115)*HC23=1,'計算A'!DN$6,1000000))</f>
        <v/>
      </c>
      <c r="LU23">
        <f>IF($B23=0,1000000,IF(INDEX('計算A'!$D$60:$DS$104,$B23,116)*HD23=1,'計算A'!DO$6,1000000))</f>
        <v/>
      </c>
      <c r="LV23">
        <f>IF($B23=0,1000000,IF(INDEX('計算A'!$D$60:$DS$104,$B23,117)*HE23=1,'計算A'!DP$6,1000000))</f>
        <v/>
      </c>
      <c r="LW23">
        <f>IF($B23=0,1000000,IF(INDEX('計算A'!$D$60:$DS$104,$B23,118)*HF23=1,'計算A'!DQ$6,1000000))</f>
        <v/>
      </c>
      <c r="LX23">
        <f>IF($B23=0,1000000,IF(INDEX('計算A'!$D$60:$DS$104,$B23,119)*HG23=1,'計算A'!DR$6,1000000))</f>
        <v/>
      </c>
      <c r="LY23">
        <f>IF($B23=0,1000000,IF(INDEX('計算A'!$D$60:$DS$104,$B23,120)*HH23=1,'計算A'!DS$6,1000000))</f>
        <v/>
      </c>
    </row>
    <row r="24">
      <c r="A24" t="n">
        <v>22</v>
      </c>
      <c r="B24">
        <f>IF(MIN(AY24:CQ24)&gt;=1000000,0,MATCH(MIN(AY24:CQ24),AY24:CQ24,0))</f>
        <v/>
      </c>
      <c r="C24">
        <f>IF(MIN(HJ24:LY24)&gt;=1000000,0,MATCH(MIN(HJ24:LY24),HJ24:LY24,0))</f>
        <v/>
      </c>
      <c r="D24">
        <f>IF(C24&gt;0,INDEX('計算A'!$D$5:$DS$5,C24),0)</f>
        <v/>
      </c>
      <c r="E24">
        <f>MAX(E23,IF($B23=1,1,0))</f>
        <v/>
      </c>
      <c r="F24">
        <f>MAX(F23,IF($B23=2,1,0))</f>
        <v/>
      </c>
      <c r="G24">
        <f>MAX(G23,IF($B23=3,1,0))</f>
        <v/>
      </c>
      <c r="H24">
        <f>MAX(H23,IF($B23=4,1,0))</f>
        <v/>
      </c>
      <c r="I24">
        <f>MAX(I23,IF($B23=5,1,0))</f>
        <v/>
      </c>
      <c r="J24">
        <f>MAX(J23,IF($B23=6,1,0))</f>
        <v/>
      </c>
      <c r="K24">
        <f>MAX(K23,IF($B23=7,1,0))</f>
        <v/>
      </c>
      <c r="L24">
        <f>MAX(L23,IF($B23=8,1,0))</f>
        <v/>
      </c>
      <c r="M24">
        <f>MAX(M23,IF($B23=9,1,0))</f>
        <v/>
      </c>
      <c r="N24">
        <f>MAX(N23,IF($B23=10,1,0))</f>
        <v/>
      </c>
      <c r="O24">
        <f>MAX(O23,IF($B23=11,1,0))</f>
        <v/>
      </c>
      <c r="P24">
        <f>MAX(P23,IF($B23=12,1,0))</f>
        <v/>
      </c>
      <c r="Q24">
        <f>MAX(Q23,IF($B23=13,1,0))</f>
        <v/>
      </c>
      <c r="R24">
        <f>MAX(R23,IF($B23=14,1,0))</f>
        <v/>
      </c>
      <c r="S24">
        <f>MAX(S23,IF($B23=15,1,0))</f>
        <v/>
      </c>
      <c r="T24">
        <f>MAX(T23,IF($B23=16,1,0))</f>
        <v/>
      </c>
      <c r="U24">
        <f>MAX(U23,IF($B23=17,1,0))</f>
        <v/>
      </c>
      <c r="V24">
        <f>MAX(V23,IF($B23=18,1,0))</f>
        <v/>
      </c>
      <c r="W24">
        <f>MAX(W23,IF($B23=19,1,0))</f>
        <v/>
      </c>
      <c r="X24">
        <f>MAX(X23,IF($B23=20,1,0))</f>
        <v/>
      </c>
      <c r="Y24">
        <f>MAX(Y23,IF($B23=21,1,0))</f>
        <v/>
      </c>
      <c r="Z24">
        <f>MAX(Z23,IF($B23=22,1,0))</f>
        <v/>
      </c>
      <c r="AA24">
        <f>MAX(AA23,IF($B23=23,1,0))</f>
        <v/>
      </c>
      <c r="AB24">
        <f>MAX(AB23,IF($B23=24,1,0))</f>
        <v/>
      </c>
      <c r="AC24">
        <f>MAX(AC23,IF($B23=25,1,0))</f>
        <v/>
      </c>
      <c r="AD24">
        <f>MAX(AD23,IF($B23=26,1,0))</f>
        <v/>
      </c>
      <c r="AE24">
        <f>MAX(AE23,IF($B23=27,1,0))</f>
        <v/>
      </c>
      <c r="AF24">
        <f>MAX(AF23,IF($B23=28,1,0))</f>
        <v/>
      </c>
      <c r="AG24">
        <f>MAX(AG23,IF($B23=29,1,0))</f>
        <v/>
      </c>
      <c r="AH24">
        <f>MAX(AH23,IF($B23=30,1,0))</f>
        <v/>
      </c>
      <c r="AI24">
        <f>MAX(AI23,IF($B23=31,1,0))</f>
        <v/>
      </c>
      <c r="AJ24">
        <f>MAX(AJ23,IF($B23=32,1,0))</f>
        <v/>
      </c>
      <c r="AK24">
        <f>MAX(AK23,IF($B23=33,1,0))</f>
        <v/>
      </c>
      <c r="AL24">
        <f>MAX(AL23,IF($B23=34,1,0))</f>
        <v/>
      </c>
      <c r="AM24">
        <f>MAX(AM23,IF($B23=35,1,0))</f>
        <v/>
      </c>
      <c r="AN24">
        <f>MAX(AN23,IF($B23=36,1,0))</f>
        <v/>
      </c>
      <c r="AO24">
        <f>MAX(AO23,IF($B23=37,1,0))</f>
        <v/>
      </c>
      <c r="AP24">
        <f>MAX(AP23,IF($B23=38,1,0))</f>
        <v/>
      </c>
      <c r="AQ24">
        <f>MAX(AQ23,IF($B23=39,1,0))</f>
        <v/>
      </c>
      <c r="AR24">
        <f>MAX(AR23,IF($B23=40,1,0))</f>
        <v/>
      </c>
      <c r="AS24">
        <f>MAX(AS23,IF($B23=41,1,0))</f>
        <v/>
      </c>
      <c r="AT24">
        <f>MAX(AT23,IF($B23=42,1,0))</f>
        <v/>
      </c>
      <c r="AU24">
        <f>MAX(AU23,IF($B23=43,1,0))</f>
        <v/>
      </c>
      <c r="AV24">
        <f>MAX(AV23,IF($B23=44,1,0))</f>
        <v/>
      </c>
      <c r="AW24">
        <f>MAX(AW23,IF($B23=45,1,0))</f>
        <v/>
      </c>
      <c r="AY24">
        <f>IF(E24=1,1000000,SUMPRODUCT('計算A'!$D$60:$DS$60,$CS24:$HH24)*1000+1)</f>
        <v/>
      </c>
      <c r="AZ24">
        <f>IF(F24=1,1000000,SUMPRODUCT('計算A'!$D$61:$DS$61,$CS24:$HH24)*1000+2)</f>
        <v/>
      </c>
      <c r="BA24">
        <f>IF(G24=1,1000000,SUMPRODUCT('計算A'!$D$62:$DS$62,$CS24:$HH24)*1000+3)</f>
        <v/>
      </c>
      <c r="BB24">
        <f>IF(H24=1,1000000,SUMPRODUCT('計算A'!$D$63:$DS$63,$CS24:$HH24)*1000+4)</f>
        <v/>
      </c>
      <c r="BC24">
        <f>IF(I24=1,1000000,SUMPRODUCT('計算A'!$D$64:$DS$64,$CS24:$HH24)*1000+5)</f>
        <v/>
      </c>
      <c r="BD24">
        <f>IF(J24=1,1000000,SUMPRODUCT('計算A'!$D$65:$DS$65,$CS24:$HH24)*1000+6)</f>
        <v/>
      </c>
      <c r="BE24">
        <f>IF(K24=1,1000000,SUMPRODUCT('計算A'!$D$66:$DS$66,$CS24:$HH24)*1000+7)</f>
        <v/>
      </c>
      <c r="BF24">
        <f>IF(L24=1,1000000,SUMPRODUCT('計算A'!$D$67:$DS$67,$CS24:$HH24)*1000+8)</f>
        <v/>
      </c>
      <c r="BG24">
        <f>IF(M24=1,1000000,SUMPRODUCT('計算A'!$D$68:$DS$68,$CS24:$HH24)*1000+9)</f>
        <v/>
      </c>
      <c r="BH24">
        <f>IF(N24=1,1000000,SUMPRODUCT('計算A'!$D$69:$DS$69,$CS24:$HH24)*1000+10)</f>
        <v/>
      </c>
      <c r="BI24">
        <f>IF(O24=1,1000000,SUMPRODUCT('計算A'!$D$70:$DS$70,$CS24:$HH24)*1000+11)</f>
        <v/>
      </c>
      <c r="BJ24">
        <f>IF(P24=1,1000000,SUMPRODUCT('計算A'!$D$71:$DS$71,$CS24:$HH24)*1000+12)</f>
        <v/>
      </c>
      <c r="BK24">
        <f>IF(Q24=1,1000000,SUMPRODUCT('計算A'!$D$72:$DS$72,$CS24:$HH24)*1000+13)</f>
        <v/>
      </c>
      <c r="BL24">
        <f>IF(R24=1,1000000,SUMPRODUCT('計算A'!$D$73:$DS$73,$CS24:$HH24)*1000+14)</f>
        <v/>
      </c>
      <c r="BM24">
        <f>IF(S24=1,1000000,SUMPRODUCT('計算A'!$D$74:$DS$74,$CS24:$HH24)*1000+15)</f>
        <v/>
      </c>
      <c r="BN24">
        <f>IF(T24=1,1000000,SUMPRODUCT('計算A'!$D$75:$DS$75,$CS24:$HH24)*1000+16)</f>
        <v/>
      </c>
      <c r="BO24">
        <f>IF(U24=1,1000000,SUMPRODUCT('計算A'!$D$76:$DS$76,$CS24:$HH24)*1000+17)</f>
        <v/>
      </c>
      <c r="BP24">
        <f>IF(V24=1,1000000,SUMPRODUCT('計算A'!$D$77:$DS$77,$CS24:$HH24)*1000+18)</f>
        <v/>
      </c>
      <c r="BQ24">
        <f>IF(W24=1,1000000,SUMPRODUCT('計算A'!$D$78:$DS$78,$CS24:$HH24)*1000+19)</f>
        <v/>
      </c>
      <c r="BR24">
        <f>IF(X24=1,1000000,SUMPRODUCT('計算A'!$D$79:$DS$79,$CS24:$HH24)*1000+20)</f>
        <v/>
      </c>
      <c r="BS24">
        <f>IF(Y24=1,1000000,SUMPRODUCT('計算A'!$D$80:$DS$80,$CS24:$HH24)*1000+21)</f>
        <v/>
      </c>
      <c r="BT24">
        <f>IF(Z24=1,1000000,SUMPRODUCT('計算A'!$D$81:$DS$81,$CS24:$HH24)*1000+22)</f>
        <v/>
      </c>
      <c r="BU24">
        <f>IF(AA24=1,1000000,SUMPRODUCT('計算A'!$D$82:$DS$82,$CS24:$HH24)*1000+23)</f>
        <v/>
      </c>
      <c r="BV24">
        <f>IF(AB24=1,1000000,SUMPRODUCT('計算A'!$D$83:$DS$83,$CS24:$HH24)*1000+24)</f>
        <v/>
      </c>
      <c r="BW24">
        <f>IF(AC24=1,1000000,SUMPRODUCT('計算A'!$D$84:$DS$84,$CS24:$HH24)*1000+25)</f>
        <v/>
      </c>
      <c r="BX24">
        <f>IF(AD24=1,1000000,SUMPRODUCT('計算A'!$D$85:$DS$85,$CS24:$HH24)*1000+26)</f>
        <v/>
      </c>
      <c r="BY24">
        <f>IF(AE24=1,1000000,SUMPRODUCT('計算A'!$D$86:$DS$86,$CS24:$HH24)*1000+27)</f>
        <v/>
      </c>
      <c r="BZ24">
        <f>IF(AF24=1,1000000,SUMPRODUCT('計算A'!$D$87:$DS$87,$CS24:$HH24)*1000+28)</f>
        <v/>
      </c>
      <c r="CA24">
        <f>IF(AG24=1,1000000,SUMPRODUCT('計算A'!$D$88:$DS$88,$CS24:$HH24)*1000+29)</f>
        <v/>
      </c>
      <c r="CB24">
        <f>IF(AH24=1,1000000,SUMPRODUCT('計算A'!$D$89:$DS$89,$CS24:$HH24)*1000+30)</f>
        <v/>
      </c>
      <c r="CC24">
        <f>IF(AI24=1,1000000,SUMPRODUCT('計算A'!$D$90:$DS$90,$CS24:$HH24)*1000+31)</f>
        <v/>
      </c>
      <c r="CD24">
        <f>IF(AJ24=1,1000000,SUMPRODUCT('計算A'!$D$91:$DS$91,$CS24:$HH24)*1000+32)</f>
        <v/>
      </c>
      <c r="CE24">
        <f>IF(AK24=1,1000000,SUMPRODUCT('計算A'!$D$92:$DS$92,$CS24:$HH24)*1000+33)</f>
        <v/>
      </c>
      <c r="CF24">
        <f>IF(AL24=1,1000000,SUMPRODUCT('計算A'!$D$93:$DS$93,$CS24:$HH24)*1000+34)</f>
        <v/>
      </c>
      <c r="CG24">
        <f>IF(AM24=1,1000000,SUMPRODUCT('計算A'!$D$94:$DS$94,$CS24:$HH24)*1000+35)</f>
        <v/>
      </c>
      <c r="CH24">
        <f>IF(AN24=1,1000000,SUMPRODUCT('計算A'!$D$95:$DS$95,$CS24:$HH24)*1000+36)</f>
        <v/>
      </c>
      <c r="CI24">
        <f>IF(AO24=1,1000000,SUMPRODUCT('計算A'!$D$96:$DS$96,$CS24:$HH24)*1000+37)</f>
        <v/>
      </c>
      <c r="CJ24">
        <f>IF(AP24=1,1000000,SUMPRODUCT('計算A'!$D$97:$DS$97,$CS24:$HH24)*1000+38)</f>
        <v/>
      </c>
      <c r="CK24">
        <f>IF(AQ24=1,1000000,SUMPRODUCT('計算A'!$D$98:$DS$98,$CS24:$HH24)*1000+39)</f>
        <v/>
      </c>
      <c r="CL24">
        <f>IF(AR24=1,1000000,SUMPRODUCT('計算A'!$D$99:$DS$99,$CS24:$HH24)*1000+40)</f>
        <v/>
      </c>
      <c r="CM24">
        <f>IF(AS24=1,1000000,SUMPRODUCT('計算A'!$D$100:$DS$100,$CS24:$HH24)*1000+41)</f>
        <v/>
      </c>
      <c r="CN24">
        <f>IF(AT24=1,1000000,SUMPRODUCT('計算A'!$D$101:$DS$101,$CS24:$HH24)*1000+42)</f>
        <v/>
      </c>
      <c r="CO24">
        <f>IF(AU24=1,1000000,SUMPRODUCT('計算A'!$D$102:$DS$102,$CS24:$HH24)*1000+43)</f>
        <v/>
      </c>
      <c r="CP24">
        <f>IF(AV24=1,1000000,SUMPRODUCT('計算A'!$D$103:$DS$103,$CS24:$HH24)*1000+44)</f>
        <v/>
      </c>
      <c r="CQ24">
        <f>IF(AW24=1,1000000,SUMPRODUCT('計算A'!$D$104:$DS$104,$CS24:$HH24)*1000+45)</f>
        <v/>
      </c>
      <c r="CS24">
        <f>CS23*IF($C23=1,0,1)</f>
        <v/>
      </c>
      <c r="CT24">
        <f>CT23*IF($C23=2,0,1)</f>
        <v/>
      </c>
      <c r="CU24">
        <f>CU23*IF($C23=3,0,1)</f>
        <v/>
      </c>
      <c r="CV24">
        <f>CV23*IF($C23=4,0,1)</f>
        <v/>
      </c>
      <c r="CW24">
        <f>CW23*IF($C23=5,0,1)</f>
        <v/>
      </c>
      <c r="CX24">
        <f>CX23*IF($C23=6,0,1)</f>
        <v/>
      </c>
      <c r="CY24">
        <f>CY23*IF($C23=7,0,1)</f>
        <v/>
      </c>
      <c r="CZ24">
        <f>CZ23*IF($C23=8,0,1)</f>
        <v/>
      </c>
      <c r="DA24">
        <f>DA23*IF($C23=9,0,1)</f>
        <v/>
      </c>
      <c r="DB24">
        <f>DB23*IF($C23=10,0,1)</f>
        <v/>
      </c>
      <c r="DC24">
        <f>DC23*IF($C23=11,0,1)</f>
        <v/>
      </c>
      <c r="DD24">
        <f>DD23*IF($C23=12,0,1)</f>
        <v/>
      </c>
      <c r="DE24">
        <f>DE23*IF($C23=13,0,1)</f>
        <v/>
      </c>
      <c r="DF24">
        <f>DF23*IF($C23=14,0,1)</f>
        <v/>
      </c>
      <c r="DG24">
        <f>DG23*IF($C23=15,0,1)</f>
        <v/>
      </c>
      <c r="DH24">
        <f>DH23*IF($C23=16,0,1)</f>
        <v/>
      </c>
      <c r="DI24">
        <f>DI23*IF($C23=17,0,1)</f>
        <v/>
      </c>
      <c r="DJ24">
        <f>DJ23*IF($C23=18,0,1)</f>
        <v/>
      </c>
      <c r="DK24">
        <f>DK23*IF($C23=19,0,1)</f>
        <v/>
      </c>
      <c r="DL24">
        <f>DL23*IF($C23=20,0,1)</f>
        <v/>
      </c>
      <c r="DM24">
        <f>DM23*IF($C23=21,0,1)</f>
        <v/>
      </c>
      <c r="DN24">
        <f>DN23*IF($C23=22,0,1)</f>
        <v/>
      </c>
      <c r="DO24">
        <f>DO23*IF($C23=23,0,1)</f>
        <v/>
      </c>
      <c r="DP24">
        <f>DP23*IF($C23=24,0,1)</f>
        <v/>
      </c>
      <c r="DQ24">
        <f>DQ23*IF($C23=25,0,1)</f>
        <v/>
      </c>
      <c r="DR24">
        <f>DR23*IF($C23=26,0,1)</f>
        <v/>
      </c>
      <c r="DS24">
        <f>DS23*IF($C23=27,0,1)</f>
        <v/>
      </c>
      <c r="DT24">
        <f>DT23*IF($C23=28,0,1)</f>
        <v/>
      </c>
      <c r="DU24">
        <f>DU23*IF($C23=29,0,1)</f>
        <v/>
      </c>
      <c r="DV24">
        <f>DV23*IF($C23=30,0,1)</f>
        <v/>
      </c>
      <c r="DW24">
        <f>DW23*IF($C23=31,0,1)</f>
        <v/>
      </c>
      <c r="DX24">
        <f>DX23*IF($C23=32,0,1)</f>
        <v/>
      </c>
      <c r="DY24">
        <f>DY23*IF($C23=33,0,1)</f>
        <v/>
      </c>
      <c r="DZ24">
        <f>DZ23*IF($C23=34,0,1)</f>
        <v/>
      </c>
      <c r="EA24">
        <f>EA23*IF($C23=35,0,1)</f>
        <v/>
      </c>
      <c r="EB24">
        <f>EB23*IF($C23=36,0,1)</f>
        <v/>
      </c>
      <c r="EC24">
        <f>EC23*IF($C23=37,0,1)</f>
        <v/>
      </c>
      <c r="ED24">
        <f>ED23*IF($C23=38,0,1)</f>
        <v/>
      </c>
      <c r="EE24">
        <f>EE23*IF($C23=39,0,1)</f>
        <v/>
      </c>
      <c r="EF24">
        <f>EF23*IF($C23=40,0,1)</f>
        <v/>
      </c>
      <c r="EG24">
        <f>EG23*IF($C23=41,0,1)</f>
        <v/>
      </c>
      <c r="EH24">
        <f>EH23*IF($C23=42,0,1)</f>
        <v/>
      </c>
      <c r="EI24">
        <f>EI23*IF($C23=43,0,1)</f>
        <v/>
      </c>
      <c r="EJ24">
        <f>EJ23*IF($C23=44,0,1)</f>
        <v/>
      </c>
      <c r="EK24">
        <f>EK23*IF($C23=45,0,1)</f>
        <v/>
      </c>
      <c r="EL24">
        <f>EL23*IF($C23=46,0,1)</f>
        <v/>
      </c>
      <c r="EM24">
        <f>EM23*IF($C23=47,0,1)</f>
        <v/>
      </c>
      <c r="EN24">
        <f>EN23*IF($C23=48,0,1)</f>
        <v/>
      </c>
      <c r="EO24">
        <f>EO23*IF($C23=49,0,1)</f>
        <v/>
      </c>
      <c r="EP24">
        <f>EP23*IF($C23=50,0,1)</f>
        <v/>
      </c>
      <c r="EQ24">
        <f>EQ23*IF($C23=51,0,1)</f>
        <v/>
      </c>
      <c r="ER24">
        <f>ER23*IF($C23=52,0,1)</f>
        <v/>
      </c>
      <c r="ES24">
        <f>ES23*IF($C23=53,0,1)</f>
        <v/>
      </c>
      <c r="ET24">
        <f>ET23*IF($C23=54,0,1)</f>
        <v/>
      </c>
      <c r="EU24">
        <f>EU23*IF($C23=55,0,1)</f>
        <v/>
      </c>
      <c r="EV24">
        <f>EV23*IF($C23=56,0,1)</f>
        <v/>
      </c>
      <c r="EW24">
        <f>EW23*IF($C23=57,0,1)</f>
        <v/>
      </c>
      <c r="EX24">
        <f>EX23*IF($C23=58,0,1)</f>
        <v/>
      </c>
      <c r="EY24">
        <f>EY23*IF($C23=59,0,1)</f>
        <v/>
      </c>
      <c r="EZ24">
        <f>EZ23*IF($C23=60,0,1)</f>
        <v/>
      </c>
      <c r="FA24">
        <f>FA23*IF($C23=61,0,1)</f>
        <v/>
      </c>
      <c r="FB24">
        <f>FB23*IF($C23=62,0,1)</f>
        <v/>
      </c>
      <c r="FC24">
        <f>FC23*IF($C23=63,0,1)</f>
        <v/>
      </c>
      <c r="FD24">
        <f>FD23*IF($C23=64,0,1)</f>
        <v/>
      </c>
      <c r="FE24">
        <f>FE23*IF($C23=65,0,1)</f>
        <v/>
      </c>
      <c r="FF24">
        <f>FF23*IF($C23=66,0,1)</f>
        <v/>
      </c>
      <c r="FG24">
        <f>FG23*IF($C23=67,0,1)</f>
        <v/>
      </c>
      <c r="FH24">
        <f>FH23*IF($C23=68,0,1)</f>
        <v/>
      </c>
      <c r="FI24">
        <f>FI23*IF($C23=69,0,1)</f>
        <v/>
      </c>
      <c r="FJ24">
        <f>FJ23*IF($C23=70,0,1)</f>
        <v/>
      </c>
      <c r="FK24">
        <f>FK23*IF($C23=71,0,1)</f>
        <v/>
      </c>
      <c r="FL24">
        <f>FL23*IF($C23=72,0,1)</f>
        <v/>
      </c>
      <c r="FM24">
        <f>FM23*IF($C23=73,0,1)</f>
        <v/>
      </c>
      <c r="FN24">
        <f>FN23*IF($C23=74,0,1)</f>
        <v/>
      </c>
      <c r="FO24">
        <f>FO23*IF($C23=75,0,1)</f>
        <v/>
      </c>
      <c r="FP24">
        <f>FP23*IF($C23=76,0,1)</f>
        <v/>
      </c>
      <c r="FQ24">
        <f>FQ23*IF($C23=77,0,1)</f>
        <v/>
      </c>
      <c r="FR24">
        <f>FR23*IF($C23=78,0,1)</f>
        <v/>
      </c>
      <c r="FS24">
        <f>FS23*IF($C23=79,0,1)</f>
        <v/>
      </c>
      <c r="FT24">
        <f>FT23*IF($C23=80,0,1)</f>
        <v/>
      </c>
      <c r="FU24">
        <f>FU23*IF($C23=81,0,1)</f>
        <v/>
      </c>
      <c r="FV24">
        <f>FV23*IF($C23=82,0,1)</f>
        <v/>
      </c>
      <c r="FW24">
        <f>FW23*IF($C23=83,0,1)</f>
        <v/>
      </c>
      <c r="FX24">
        <f>FX23*IF($C23=84,0,1)</f>
        <v/>
      </c>
      <c r="FY24">
        <f>FY23*IF($C23=85,0,1)</f>
        <v/>
      </c>
      <c r="FZ24">
        <f>FZ23*IF($C23=86,0,1)</f>
        <v/>
      </c>
      <c r="GA24">
        <f>GA23*IF($C23=87,0,1)</f>
        <v/>
      </c>
      <c r="GB24">
        <f>GB23*IF($C23=88,0,1)</f>
        <v/>
      </c>
      <c r="GC24">
        <f>GC23*IF($C23=89,0,1)</f>
        <v/>
      </c>
      <c r="GD24">
        <f>GD23*IF($C23=90,0,1)</f>
        <v/>
      </c>
      <c r="GE24">
        <f>GE23*IF($C23=91,0,1)</f>
        <v/>
      </c>
      <c r="GF24">
        <f>GF23*IF($C23=92,0,1)</f>
        <v/>
      </c>
      <c r="GG24">
        <f>GG23*IF($C23=93,0,1)</f>
        <v/>
      </c>
      <c r="GH24">
        <f>GH23*IF($C23=94,0,1)</f>
        <v/>
      </c>
      <c r="GI24">
        <f>GI23*IF($C23=95,0,1)</f>
        <v/>
      </c>
      <c r="GJ24">
        <f>GJ23*IF($C23=96,0,1)</f>
        <v/>
      </c>
      <c r="GK24">
        <f>GK23*IF($C23=97,0,1)</f>
        <v/>
      </c>
      <c r="GL24">
        <f>GL23*IF($C23=98,0,1)</f>
        <v/>
      </c>
      <c r="GM24">
        <f>GM23*IF($C23=99,0,1)</f>
        <v/>
      </c>
      <c r="GN24">
        <f>GN23*IF($C23=100,0,1)</f>
        <v/>
      </c>
      <c r="GO24">
        <f>GO23*IF($C23=101,0,1)</f>
        <v/>
      </c>
      <c r="GP24">
        <f>GP23*IF($C23=102,0,1)</f>
        <v/>
      </c>
      <c r="GQ24">
        <f>GQ23*IF($C23=103,0,1)</f>
        <v/>
      </c>
      <c r="GR24">
        <f>GR23*IF($C23=104,0,1)</f>
        <v/>
      </c>
      <c r="GS24">
        <f>GS23*IF($C23=105,0,1)</f>
        <v/>
      </c>
      <c r="GT24">
        <f>GT23*IF($C23=106,0,1)</f>
        <v/>
      </c>
      <c r="GU24">
        <f>GU23*IF($C23=107,0,1)</f>
        <v/>
      </c>
      <c r="GV24">
        <f>GV23*IF($C23=108,0,1)</f>
        <v/>
      </c>
      <c r="GW24">
        <f>GW23*IF($C23=109,0,1)</f>
        <v/>
      </c>
      <c r="GX24">
        <f>GX23*IF($C23=110,0,1)</f>
        <v/>
      </c>
      <c r="GY24">
        <f>GY23*IF($C23=111,0,1)</f>
        <v/>
      </c>
      <c r="GZ24">
        <f>GZ23*IF($C23=112,0,1)</f>
        <v/>
      </c>
      <c r="HA24">
        <f>HA23*IF($C23=113,0,1)</f>
        <v/>
      </c>
      <c r="HB24">
        <f>HB23*IF($C23=114,0,1)</f>
        <v/>
      </c>
      <c r="HC24">
        <f>HC23*IF($C23=115,0,1)</f>
        <v/>
      </c>
      <c r="HD24">
        <f>HD23*IF($C23=116,0,1)</f>
        <v/>
      </c>
      <c r="HE24">
        <f>HE23*IF($C23=117,0,1)</f>
        <v/>
      </c>
      <c r="HF24">
        <f>HF23*IF($C23=118,0,1)</f>
        <v/>
      </c>
      <c r="HG24">
        <f>HG23*IF($C23=119,0,1)</f>
        <v/>
      </c>
      <c r="HH24">
        <f>HH23*IF($C23=120,0,1)</f>
        <v/>
      </c>
      <c r="HJ24">
        <f>IF($B24=0,1000000,IF(INDEX('計算A'!$D$60:$DS$104,$B24,1)*CS24=1,'計算A'!D$6,1000000))</f>
        <v/>
      </c>
      <c r="HK24">
        <f>IF($B24=0,1000000,IF(INDEX('計算A'!$D$60:$DS$104,$B24,2)*CT24=1,'計算A'!E$6,1000000))</f>
        <v/>
      </c>
      <c r="HL24">
        <f>IF($B24=0,1000000,IF(INDEX('計算A'!$D$60:$DS$104,$B24,3)*CU24=1,'計算A'!F$6,1000000))</f>
        <v/>
      </c>
      <c r="HM24">
        <f>IF($B24=0,1000000,IF(INDEX('計算A'!$D$60:$DS$104,$B24,4)*CV24=1,'計算A'!G$6,1000000))</f>
        <v/>
      </c>
      <c r="HN24">
        <f>IF($B24=0,1000000,IF(INDEX('計算A'!$D$60:$DS$104,$B24,5)*CW24=1,'計算A'!H$6,1000000))</f>
        <v/>
      </c>
      <c r="HO24">
        <f>IF($B24=0,1000000,IF(INDEX('計算A'!$D$60:$DS$104,$B24,6)*CX24=1,'計算A'!I$6,1000000))</f>
        <v/>
      </c>
      <c r="HP24">
        <f>IF($B24=0,1000000,IF(INDEX('計算A'!$D$60:$DS$104,$B24,7)*CY24=1,'計算A'!J$6,1000000))</f>
        <v/>
      </c>
      <c r="HQ24">
        <f>IF($B24=0,1000000,IF(INDEX('計算A'!$D$60:$DS$104,$B24,8)*CZ24=1,'計算A'!K$6,1000000))</f>
        <v/>
      </c>
      <c r="HR24">
        <f>IF($B24=0,1000000,IF(INDEX('計算A'!$D$60:$DS$104,$B24,9)*DA24=1,'計算A'!L$6,1000000))</f>
        <v/>
      </c>
      <c r="HS24">
        <f>IF($B24=0,1000000,IF(INDEX('計算A'!$D$60:$DS$104,$B24,10)*DB24=1,'計算A'!M$6,1000000))</f>
        <v/>
      </c>
      <c r="HT24">
        <f>IF($B24=0,1000000,IF(INDEX('計算A'!$D$60:$DS$104,$B24,11)*DC24=1,'計算A'!N$6,1000000))</f>
        <v/>
      </c>
      <c r="HU24">
        <f>IF($B24=0,1000000,IF(INDEX('計算A'!$D$60:$DS$104,$B24,12)*DD24=1,'計算A'!O$6,1000000))</f>
        <v/>
      </c>
      <c r="HV24">
        <f>IF($B24=0,1000000,IF(INDEX('計算A'!$D$60:$DS$104,$B24,13)*DE24=1,'計算A'!P$6,1000000))</f>
        <v/>
      </c>
      <c r="HW24">
        <f>IF($B24=0,1000000,IF(INDEX('計算A'!$D$60:$DS$104,$B24,14)*DF24=1,'計算A'!Q$6,1000000))</f>
        <v/>
      </c>
      <c r="HX24">
        <f>IF($B24=0,1000000,IF(INDEX('計算A'!$D$60:$DS$104,$B24,15)*DG24=1,'計算A'!R$6,1000000))</f>
        <v/>
      </c>
      <c r="HY24">
        <f>IF($B24=0,1000000,IF(INDEX('計算A'!$D$60:$DS$104,$B24,16)*DH24=1,'計算A'!S$6,1000000))</f>
        <v/>
      </c>
      <c r="HZ24">
        <f>IF($B24=0,1000000,IF(INDEX('計算A'!$D$60:$DS$104,$B24,17)*DI24=1,'計算A'!T$6,1000000))</f>
        <v/>
      </c>
      <c r="IA24">
        <f>IF($B24=0,1000000,IF(INDEX('計算A'!$D$60:$DS$104,$B24,18)*DJ24=1,'計算A'!U$6,1000000))</f>
        <v/>
      </c>
      <c r="IB24">
        <f>IF($B24=0,1000000,IF(INDEX('計算A'!$D$60:$DS$104,$B24,19)*DK24=1,'計算A'!V$6,1000000))</f>
        <v/>
      </c>
      <c r="IC24">
        <f>IF($B24=0,1000000,IF(INDEX('計算A'!$D$60:$DS$104,$B24,20)*DL24=1,'計算A'!W$6,1000000))</f>
        <v/>
      </c>
      <c r="ID24">
        <f>IF($B24=0,1000000,IF(INDEX('計算A'!$D$60:$DS$104,$B24,21)*DM24=1,'計算A'!X$6,1000000))</f>
        <v/>
      </c>
      <c r="IE24">
        <f>IF($B24=0,1000000,IF(INDEX('計算A'!$D$60:$DS$104,$B24,22)*DN24=1,'計算A'!Y$6,1000000))</f>
        <v/>
      </c>
      <c r="IF24">
        <f>IF($B24=0,1000000,IF(INDEX('計算A'!$D$60:$DS$104,$B24,23)*DO24=1,'計算A'!Z$6,1000000))</f>
        <v/>
      </c>
      <c r="IG24">
        <f>IF($B24=0,1000000,IF(INDEX('計算A'!$D$60:$DS$104,$B24,24)*DP24=1,'計算A'!AA$6,1000000))</f>
        <v/>
      </c>
      <c r="IH24">
        <f>IF($B24=0,1000000,IF(INDEX('計算A'!$D$60:$DS$104,$B24,25)*DQ24=1,'計算A'!AB$6,1000000))</f>
        <v/>
      </c>
      <c r="II24">
        <f>IF($B24=0,1000000,IF(INDEX('計算A'!$D$60:$DS$104,$B24,26)*DR24=1,'計算A'!AC$6,1000000))</f>
        <v/>
      </c>
      <c r="IJ24">
        <f>IF($B24=0,1000000,IF(INDEX('計算A'!$D$60:$DS$104,$B24,27)*DS24=1,'計算A'!AD$6,1000000))</f>
        <v/>
      </c>
      <c r="IK24">
        <f>IF($B24=0,1000000,IF(INDEX('計算A'!$D$60:$DS$104,$B24,28)*DT24=1,'計算A'!AE$6,1000000))</f>
        <v/>
      </c>
      <c r="IL24">
        <f>IF($B24=0,1000000,IF(INDEX('計算A'!$D$60:$DS$104,$B24,29)*DU24=1,'計算A'!AF$6,1000000))</f>
        <v/>
      </c>
      <c r="IM24">
        <f>IF($B24=0,1000000,IF(INDEX('計算A'!$D$60:$DS$104,$B24,30)*DV24=1,'計算A'!AG$6,1000000))</f>
        <v/>
      </c>
      <c r="IN24">
        <f>IF($B24=0,1000000,IF(INDEX('計算A'!$D$60:$DS$104,$B24,31)*DW24=1,'計算A'!AH$6,1000000))</f>
        <v/>
      </c>
      <c r="IO24">
        <f>IF($B24=0,1000000,IF(INDEX('計算A'!$D$60:$DS$104,$B24,32)*DX24=1,'計算A'!AI$6,1000000))</f>
        <v/>
      </c>
      <c r="IP24">
        <f>IF($B24=0,1000000,IF(INDEX('計算A'!$D$60:$DS$104,$B24,33)*DY24=1,'計算A'!AJ$6,1000000))</f>
        <v/>
      </c>
      <c r="IQ24">
        <f>IF($B24=0,1000000,IF(INDEX('計算A'!$D$60:$DS$104,$B24,34)*DZ24=1,'計算A'!AK$6,1000000))</f>
        <v/>
      </c>
      <c r="IR24">
        <f>IF($B24=0,1000000,IF(INDEX('計算A'!$D$60:$DS$104,$B24,35)*EA24=1,'計算A'!AL$6,1000000))</f>
        <v/>
      </c>
      <c r="IS24">
        <f>IF($B24=0,1000000,IF(INDEX('計算A'!$D$60:$DS$104,$B24,36)*EB24=1,'計算A'!AM$6,1000000))</f>
        <v/>
      </c>
      <c r="IT24">
        <f>IF($B24=0,1000000,IF(INDEX('計算A'!$D$60:$DS$104,$B24,37)*EC24=1,'計算A'!AN$6,1000000))</f>
        <v/>
      </c>
      <c r="IU24">
        <f>IF($B24=0,1000000,IF(INDEX('計算A'!$D$60:$DS$104,$B24,38)*ED24=1,'計算A'!AO$6,1000000))</f>
        <v/>
      </c>
      <c r="IV24">
        <f>IF($B24=0,1000000,IF(INDEX('計算A'!$D$60:$DS$104,$B24,39)*EE24=1,'計算A'!AP$6,1000000))</f>
        <v/>
      </c>
      <c r="IW24">
        <f>IF($B24=0,1000000,IF(INDEX('計算A'!$D$60:$DS$104,$B24,40)*EF24=1,'計算A'!AQ$6,1000000))</f>
        <v/>
      </c>
      <c r="IX24">
        <f>IF($B24=0,1000000,IF(INDEX('計算A'!$D$60:$DS$104,$B24,41)*EG24=1,'計算A'!AR$6,1000000))</f>
        <v/>
      </c>
      <c r="IY24">
        <f>IF($B24=0,1000000,IF(INDEX('計算A'!$D$60:$DS$104,$B24,42)*EH24=1,'計算A'!AS$6,1000000))</f>
        <v/>
      </c>
      <c r="IZ24">
        <f>IF($B24=0,1000000,IF(INDEX('計算A'!$D$60:$DS$104,$B24,43)*EI24=1,'計算A'!AT$6,1000000))</f>
        <v/>
      </c>
      <c r="JA24">
        <f>IF($B24=0,1000000,IF(INDEX('計算A'!$D$60:$DS$104,$B24,44)*EJ24=1,'計算A'!AU$6,1000000))</f>
        <v/>
      </c>
      <c r="JB24">
        <f>IF($B24=0,1000000,IF(INDEX('計算A'!$D$60:$DS$104,$B24,45)*EK24=1,'計算A'!AV$6,1000000))</f>
        <v/>
      </c>
      <c r="JC24">
        <f>IF($B24=0,1000000,IF(INDEX('計算A'!$D$60:$DS$104,$B24,46)*EL24=1,'計算A'!AW$6,1000000))</f>
        <v/>
      </c>
      <c r="JD24">
        <f>IF($B24=0,1000000,IF(INDEX('計算A'!$D$60:$DS$104,$B24,47)*EM24=1,'計算A'!AX$6,1000000))</f>
        <v/>
      </c>
      <c r="JE24">
        <f>IF($B24=0,1000000,IF(INDEX('計算A'!$D$60:$DS$104,$B24,48)*EN24=1,'計算A'!AY$6,1000000))</f>
        <v/>
      </c>
      <c r="JF24">
        <f>IF($B24=0,1000000,IF(INDEX('計算A'!$D$60:$DS$104,$B24,49)*EO24=1,'計算A'!AZ$6,1000000))</f>
        <v/>
      </c>
      <c r="JG24">
        <f>IF($B24=0,1000000,IF(INDEX('計算A'!$D$60:$DS$104,$B24,50)*EP24=1,'計算A'!BA$6,1000000))</f>
        <v/>
      </c>
      <c r="JH24">
        <f>IF($B24=0,1000000,IF(INDEX('計算A'!$D$60:$DS$104,$B24,51)*EQ24=1,'計算A'!BB$6,1000000))</f>
        <v/>
      </c>
      <c r="JI24">
        <f>IF($B24=0,1000000,IF(INDEX('計算A'!$D$60:$DS$104,$B24,52)*ER24=1,'計算A'!BC$6,1000000))</f>
        <v/>
      </c>
      <c r="JJ24">
        <f>IF($B24=0,1000000,IF(INDEX('計算A'!$D$60:$DS$104,$B24,53)*ES24=1,'計算A'!BD$6,1000000))</f>
        <v/>
      </c>
      <c r="JK24">
        <f>IF($B24=0,1000000,IF(INDEX('計算A'!$D$60:$DS$104,$B24,54)*ET24=1,'計算A'!BE$6,1000000))</f>
        <v/>
      </c>
      <c r="JL24">
        <f>IF($B24=0,1000000,IF(INDEX('計算A'!$D$60:$DS$104,$B24,55)*EU24=1,'計算A'!BF$6,1000000))</f>
        <v/>
      </c>
      <c r="JM24">
        <f>IF($B24=0,1000000,IF(INDEX('計算A'!$D$60:$DS$104,$B24,56)*EV24=1,'計算A'!BG$6,1000000))</f>
        <v/>
      </c>
      <c r="JN24">
        <f>IF($B24=0,1000000,IF(INDEX('計算A'!$D$60:$DS$104,$B24,57)*EW24=1,'計算A'!BH$6,1000000))</f>
        <v/>
      </c>
      <c r="JO24">
        <f>IF($B24=0,1000000,IF(INDEX('計算A'!$D$60:$DS$104,$B24,58)*EX24=1,'計算A'!BI$6,1000000))</f>
        <v/>
      </c>
      <c r="JP24">
        <f>IF($B24=0,1000000,IF(INDEX('計算A'!$D$60:$DS$104,$B24,59)*EY24=1,'計算A'!BJ$6,1000000))</f>
        <v/>
      </c>
      <c r="JQ24">
        <f>IF($B24=0,1000000,IF(INDEX('計算A'!$D$60:$DS$104,$B24,60)*EZ24=1,'計算A'!BK$6,1000000))</f>
        <v/>
      </c>
      <c r="JR24">
        <f>IF($B24=0,1000000,IF(INDEX('計算A'!$D$60:$DS$104,$B24,61)*FA24=1,'計算A'!BL$6,1000000))</f>
        <v/>
      </c>
      <c r="JS24">
        <f>IF($B24=0,1000000,IF(INDEX('計算A'!$D$60:$DS$104,$B24,62)*FB24=1,'計算A'!BM$6,1000000))</f>
        <v/>
      </c>
      <c r="JT24">
        <f>IF($B24=0,1000000,IF(INDEX('計算A'!$D$60:$DS$104,$B24,63)*FC24=1,'計算A'!BN$6,1000000))</f>
        <v/>
      </c>
      <c r="JU24">
        <f>IF($B24=0,1000000,IF(INDEX('計算A'!$D$60:$DS$104,$B24,64)*FD24=1,'計算A'!BO$6,1000000))</f>
        <v/>
      </c>
      <c r="JV24">
        <f>IF($B24=0,1000000,IF(INDEX('計算A'!$D$60:$DS$104,$B24,65)*FE24=1,'計算A'!BP$6,1000000))</f>
        <v/>
      </c>
      <c r="JW24">
        <f>IF($B24=0,1000000,IF(INDEX('計算A'!$D$60:$DS$104,$B24,66)*FF24=1,'計算A'!BQ$6,1000000))</f>
        <v/>
      </c>
      <c r="JX24">
        <f>IF($B24=0,1000000,IF(INDEX('計算A'!$D$60:$DS$104,$B24,67)*FG24=1,'計算A'!BR$6,1000000))</f>
        <v/>
      </c>
      <c r="JY24">
        <f>IF($B24=0,1000000,IF(INDEX('計算A'!$D$60:$DS$104,$B24,68)*FH24=1,'計算A'!BS$6,1000000))</f>
        <v/>
      </c>
      <c r="JZ24">
        <f>IF($B24=0,1000000,IF(INDEX('計算A'!$D$60:$DS$104,$B24,69)*FI24=1,'計算A'!BT$6,1000000))</f>
        <v/>
      </c>
      <c r="KA24">
        <f>IF($B24=0,1000000,IF(INDEX('計算A'!$D$60:$DS$104,$B24,70)*FJ24=1,'計算A'!BU$6,1000000))</f>
        <v/>
      </c>
      <c r="KB24">
        <f>IF($B24=0,1000000,IF(INDEX('計算A'!$D$60:$DS$104,$B24,71)*FK24=1,'計算A'!BV$6,1000000))</f>
        <v/>
      </c>
      <c r="KC24">
        <f>IF($B24=0,1000000,IF(INDEX('計算A'!$D$60:$DS$104,$B24,72)*FL24=1,'計算A'!BW$6,1000000))</f>
        <v/>
      </c>
      <c r="KD24">
        <f>IF($B24=0,1000000,IF(INDEX('計算A'!$D$60:$DS$104,$B24,73)*FM24=1,'計算A'!BX$6,1000000))</f>
        <v/>
      </c>
      <c r="KE24">
        <f>IF($B24=0,1000000,IF(INDEX('計算A'!$D$60:$DS$104,$B24,74)*FN24=1,'計算A'!BY$6,1000000))</f>
        <v/>
      </c>
      <c r="KF24">
        <f>IF($B24=0,1000000,IF(INDEX('計算A'!$D$60:$DS$104,$B24,75)*FO24=1,'計算A'!BZ$6,1000000))</f>
        <v/>
      </c>
      <c r="KG24">
        <f>IF($B24=0,1000000,IF(INDEX('計算A'!$D$60:$DS$104,$B24,76)*FP24=1,'計算A'!CA$6,1000000))</f>
        <v/>
      </c>
      <c r="KH24">
        <f>IF($B24=0,1000000,IF(INDEX('計算A'!$D$60:$DS$104,$B24,77)*FQ24=1,'計算A'!CB$6,1000000))</f>
        <v/>
      </c>
      <c r="KI24">
        <f>IF($B24=0,1000000,IF(INDEX('計算A'!$D$60:$DS$104,$B24,78)*FR24=1,'計算A'!CC$6,1000000))</f>
        <v/>
      </c>
      <c r="KJ24">
        <f>IF($B24=0,1000000,IF(INDEX('計算A'!$D$60:$DS$104,$B24,79)*FS24=1,'計算A'!CD$6,1000000))</f>
        <v/>
      </c>
      <c r="KK24">
        <f>IF($B24=0,1000000,IF(INDEX('計算A'!$D$60:$DS$104,$B24,80)*FT24=1,'計算A'!CE$6,1000000))</f>
        <v/>
      </c>
      <c r="KL24">
        <f>IF($B24=0,1000000,IF(INDEX('計算A'!$D$60:$DS$104,$B24,81)*FU24=1,'計算A'!CF$6,1000000))</f>
        <v/>
      </c>
      <c r="KM24">
        <f>IF($B24=0,1000000,IF(INDEX('計算A'!$D$60:$DS$104,$B24,82)*FV24=1,'計算A'!CG$6,1000000))</f>
        <v/>
      </c>
      <c r="KN24">
        <f>IF($B24=0,1000000,IF(INDEX('計算A'!$D$60:$DS$104,$B24,83)*FW24=1,'計算A'!CH$6,1000000))</f>
        <v/>
      </c>
      <c r="KO24">
        <f>IF($B24=0,1000000,IF(INDEX('計算A'!$D$60:$DS$104,$B24,84)*FX24=1,'計算A'!CI$6,1000000))</f>
        <v/>
      </c>
      <c r="KP24">
        <f>IF($B24=0,1000000,IF(INDEX('計算A'!$D$60:$DS$104,$B24,85)*FY24=1,'計算A'!CJ$6,1000000))</f>
        <v/>
      </c>
      <c r="KQ24">
        <f>IF($B24=0,1000000,IF(INDEX('計算A'!$D$60:$DS$104,$B24,86)*FZ24=1,'計算A'!CK$6,1000000))</f>
        <v/>
      </c>
      <c r="KR24">
        <f>IF($B24=0,1000000,IF(INDEX('計算A'!$D$60:$DS$104,$B24,87)*GA24=1,'計算A'!CL$6,1000000))</f>
        <v/>
      </c>
      <c r="KS24">
        <f>IF($B24=0,1000000,IF(INDEX('計算A'!$D$60:$DS$104,$B24,88)*GB24=1,'計算A'!CM$6,1000000))</f>
        <v/>
      </c>
      <c r="KT24">
        <f>IF($B24=0,1000000,IF(INDEX('計算A'!$D$60:$DS$104,$B24,89)*GC24=1,'計算A'!CN$6,1000000))</f>
        <v/>
      </c>
      <c r="KU24">
        <f>IF($B24=0,1000000,IF(INDEX('計算A'!$D$60:$DS$104,$B24,90)*GD24=1,'計算A'!CO$6,1000000))</f>
        <v/>
      </c>
      <c r="KV24">
        <f>IF($B24=0,1000000,IF(INDEX('計算A'!$D$60:$DS$104,$B24,91)*GE24=1,'計算A'!CP$6,1000000))</f>
        <v/>
      </c>
      <c r="KW24">
        <f>IF($B24=0,1000000,IF(INDEX('計算A'!$D$60:$DS$104,$B24,92)*GF24=1,'計算A'!CQ$6,1000000))</f>
        <v/>
      </c>
      <c r="KX24">
        <f>IF($B24=0,1000000,IF(INDEX('計算A'!$D$60:$DS$104,$B24,93)*GG24=1,'計算A'!CR$6,1000000))</f>
        <v/>
      </c>
      <c r="KY24">
        <f>IF($B24=0,1000000,IF(INDEX('計算A'!$D$60:$DS$104,$B24,94)*GH24=1,'計算A'!CS$6,1000000))</f>
        <v/>
      </c>
      <c r="KZ24">
        <f>IF($B24=0,1000000,IF(INDEX('計算A'!$D$60:$DS$104,$B24,95)*GI24=1,'計算A'!CT$6,1000000))</f>
        <v/>
      </c>
      <c r="LA24">
        <f>IF($B24=0,1000000,IF(INDEX('計算A'!$D$60:$DS$104,$B24,96)*GJ24=1,'計算A'!CU$6,1000000))</f>
        <v/>
      </c>
      <c r="LB24">
        <f>IF($B24=0,1000000,IF(INDEX('計算A'!$D$60:$DS$104,$B24,97)*GK24=1,'計算A'!CV$6,1000000))</f>
        <v/>
      </c>
      <c r="LC24">
        <f>IF($B24=0,1000000,IF(INDEX('計算A'!$D$60:$DS$104,$B24,98)*GL24=1,'計算A'!CW$6,1000000))</f>
        <v/>
      </c>
      <c r="LD24">
        <f>IF($B24=0,1000000,IF(INDEX('計算A'!$D$60:$DS$104,$B24,99)*GM24=1,'計算A'!CX$6,1000000))</f>
        <v/>
      </c>
      <c r="LE24">
        <f>IF($B24=0,1000000,IF(INDEX('計算A'!$D$60:$DS$104,$B24,100)*GN24=1,'計算A'!CY$6,1000000))</f>
        <v/>
      </c>
      <c r="LF24">
        <f>IF($B24=0,1000000,IF(INDEX('計算A'!$D$60:$DS$104,$B24,101)*GO24=1,'計算A'!CZ$6,1000000))</f>
        <v/>
      </c>
      <c r="LG24">
        <f>IF($B24=0,1000000,IF(INDEX('計算A'!$D$60:$DS$104,$B24,102)*GP24=1,'計算A'!DA$6,1000000))</f>
        <v/>
      </c>
      <c r="LH24">
        <f>IF($B24=0,1000000,IF(INDEX('計算A'!$D$60:$DS$104,$B24,103)*GQ24=1,'計算A'!DB$6,1000000))</f>
        <v/>
      </c>
      <c r="LI24">
        <f>IF($B24=0,1000000,IF(INDEX('計算A'!$D$60:$DS$104,$B24,104)*GR24=1,'計算A'!DC$6,1000000))</f>
        <v/>
      </c>
      <c r="LJ24">
        <f>IF($B24=0,1000000,IF(INDEX('計算A'!$D$60:$DS$104,$B24,105)*GS24=1,'計算A'!DD$6,1000000))</f>
        <v/>
      </c>
      <c r="LK24">
        <f>IF($B24=0,1000000,IF(INDEX('計算A'!$D$60:$DS$104,$B24,106)*GT24=1,'計算A'!DE$6,1000000))</f>
        <v/>
      </c>
      <c r="LL24">
        <f>IF($B24=0,1000000,IF(INDEX('計算A'!$D$60:$DS$104,$B24,107)*GU24=1,'計算A'!DF$6,1000000))</f>
        <v/>
      </c>
      <c r="LM24">
        <f>IF($B24=0,1000000,IF(INDEX('計算A'!$D$60:$DS$104,$B24,108)*GV24=1,'計算A'!DG$6,1000000))</f>
        <v/>
      </c>
      <c r="LN24">
        <f>IF($B24=0,1000000,IF(INDEX('計算A'!$D$60:$DS$104,$B24,109)*GW24=1,'計算A'!DH$6,1000000))</f>
        <v/>
      </c>
      <c r="LO24">
        <f>IF($B24=0,1000000,IF(INDEX('計算A'!$D$60:$DS$104,$B24,110)*GX24=1,'計算A'!DI$6,1000000))</f>
        <v/>
      </c>
      <c r="LP24">
        <f>IF($B24=0,1000000,IF(INDEX('計算A'!$D$60:$DS$104,$B24,111)*GY24=1,'計算A'!DJ$6,1000000))</f>
        <v/>
      </c>
      <c r="LQ24">
        <f>IF($B24=0,1000000,IF(INDEX('計算A'!$D$60:$DS$104,$B24,112)*GZ24=1,'計算A'!DK$6,1000000))</f>
        <v/>
      </c>
      <c r="LR24">
        <f>IF($B24=0,1000000,IF(INDEX('計算A'!$D$60:$DS$104,$B24,113)*HA24=1,'計算A'!DL$6,1000000))</f>
        <v/>
      </c>
      <c r="LS24">
        <f>IF($B24=0,1000000,IF(INDEX('計算A'!$D$60:$DS$104,$B24,114)*HB24=1,'計算A'!DM$6,1000000))</f>
        <v/>
      </c>
      <c r="LT24">
        <f>IF($B24=0,1000000,IF(INDEX('計算A'!$D$60:$DS$104,$B24,115)*HC24=1,'計算A'!DN$6,1000000))</f>
        <v/>
      </c>
      <c r="LU24">
        <f>IF($B24=0,1000000,IF(INDEX('計算A'!$D$60:$DS$104,$B24,116)*HD24=1,'計算A'!DO$6,1000000))</f>
        <v/>
      </c>
      <c r="LV24">
        <f>IF($B24=0,1000000,IF(INDEX('計算A'!$D$60:$DS$104,$B24,117)*HE24=1,'計算A'!DP$6,1000000))</f>
        <v/>
      </c>
      <c r="LW24">
        <f>IF($B24=0,1000000,IF(INDEX('計算A'!$D$60:$DS$104,$B24,118)*HF24=1,'計算A'!DQ$6,1000000))</f>
        <v/>
      </c>
      <c r="LX24">
        <f>IF($B24=0,1000000,IF(INDEX('計算A'!$D$60:$DS$104,$B24,119)*HG24=1,'計算A'!DR$6,1000000))</f>
        <v/>
      </c>
      <c r="LY24">
        <f>IF($B24=0,1000000,IF(INDEX('計算A'!$D$60:$DS$104,$B24,120)*HH24=1,'計算A'!DS$6,1000000))</f>
        <v/>
      </c>
    </row>
    <row r="25">
      <c r="A25" t="n">
        <v>23</v>
      </c>
      <c r="B25">
        <f>IF(MIN(AY25:CQ25)&gt;=1000000,0,MATCH(MIN(AY25:CQ25),AY25:CQ25,0))</f>
        <v/>
      </c>
      <c r="C25">
        <f>IF(MIN(HJ25:LY25)&gt;=1000000,0,MATCH(MIN(HJ25:LY25),HJ25:LY25,0))</f>
        <v/>
      </c>
      <c r="D25">
        <f>IF(C25&gt;0,INDEX('計算A'!$D$5:$DS$5,C25),0)</f>
        <v/>
      </c>
      <c r="E25">
        <f>MAX(E24,IF($B24=1,1,0))</f>
        <v/>
      </c>
      <c r="F25">
        <f>MAX(F24,IF($B24=2,1,0))</f>
        <v/>
      </c>
      <c r="G25">
        <f>MAX(G24,IF($B24=3,1,0))</f>
        <v/>
      </c>
      <c r="H25">
        <f>MAX(H24,IF($B24=4,1,0))</f>
        <v/>
      </c>
      <c r="I25">
        <f>MAX(I24,IF($B24=5,1,0))</f>
        <v/>
      </c>
      <c r="J25">
        <f>MAX(J24,IF($B24=6,1,0))</f>
        <v/>
      </c>
      <c r="K25">
        <f>MAX(K24,IF($B24=7,1,0))</f>
        <v/>
      </c>
      <c r="L25">
        <f>MAX(L24,IF($B24=8,1,0))</f>
        <v/>
      </c>
      <c r="M25">
        <f>MAX(M24,IF($B24=9,1,0))</f>
        <v/>
      </c>
      <c r="N25">
        <f>MAX(N24,IF($B24=10,1,0))</f>
        <v/>
      </c>
      <c r="O25">
        <f>MAX(O24,IF($B24=11,1,0))</f>
        <v/>
      </c>
      <c r="P25">
        <f>MAX(P24,IF($B24=12,1,0))</f>
        <v/>
      </c>
      <c r="Q25">
        <f>MAX(Q24,IF($B24=13,1,0))</f>
        <v/>
      </c>
      <c r="R25">
        <f>MAX(R24,IF($B24=14,1,0))</f>
        <v/>
      </c>
      <c r="S25">
        <f>MAX(S24,IF($B24=15,1,0))</f>
        <v/>
      </c>
      <c r="T25">
        <f>MAX(T24,IF($B24=16,1,0))</f>
        <v/>
      </c>
      <c r="U25">
        <f>MAX(U24,IF($B24=17,1,0))</f>
        <v/>
      </c>
      <c r="V25">
        <f>MAX(V24,IF($B24=18,1,0))</f>
        <v/>
      </c>
      <c r="W25">
        <f>MAX(W24,IF($B24=19,1,0))</f>
        <v/>
      </c>
      <c r="X25">
        <f>MAX(X24,IF($B24=20,1,0))</f>
        <v/>
      </c>
      <c r="Y25">
        <f>MAX(Y24,IF($B24=21,1,0))</f>
        <v/>
      </c>
      <c r="Z25">
        <f>MAX(Z24,IF($B24=22,1,0))</f>
        <v/>
      </c>
      <c r="AA25">
        <f>MAX(AA24,IF($B24=23,1,0))</f>
        <v/>
      </c>
      <c r="AB25">
        <f>MAX(AB24,IF($B24=24,1,0))</f>
        <v/>
      </c>
      <c r="AC25">
        <f>MAX(AC24,IF($B24=25,1,0))</f>
        <v/>
      </c>
      <c r="AD25">
        <f>MAX(AD24,IF($B24=26,1,0))</f>
        <v/>
      </c>
      <c r="AE25">
        <f>MAX(AE24,IF($B24=27,1,0))</f>
        <v/>
      </c>
      <c r="AF25">
        <f>MAX(AF24,IF($B24=28,1,0))</f>
        <v/>
      </c>
      <c r="AG25">
        <f>MAX(AG24,IF($B24=29,1,0))</f>
        <v/>
      </c>
      <c r="AH25">
        <f>MAX(AH24,IF($B24=30,1,0))</f>
        <v/>
      </c>
      <c r="AI25">
        <f>MAX(AI24,IF($B24=31,1,0))</f>
        <v/>
      </c>
      <c r="AJ25">
        <f>MAX(AJ24,IF($B24=32,1,0))</f>
        <v/>
      </c>
      <c r="AK25">
        <f>MAX(AK24,IF($B24=33,1,0))</f>
        <v/>
      </c>
      <c r="AL25">
        <f>MAX(AL24,IF($B24=34,1,0))</f>
        <v/>
      </c>
      <c r="AM25">
        <f>MAX(AM24,IF($B24=35,1,0))</f>
        <v/>
      </c>
      <c r="AN25">
        <f>MAX(AN24,IF($B24=36,1,0))</f>
        <v/>
      </c>
      <c r="AO25">
        <f>MAX(AO24,IF($B24=37,1,0))</f>
        <v/>
      </c>
      <c r="AP25">
        <f>MAX(AP24,IF($B24=38,1,0))</f>
        <v/>
      </c>
      <c r="AQ25">
        <f>MAX(AQ24,IF($B24=39,1,0))</f>
        <v/>
      </c>
      <c r="AR25">
        <f>MAX(AR24,IF($B24=40,1,0))</f>
        <v/>
      </c>
      <c r="AS25">
        <f>MAX(AS24,IF($B24=41,1,0))</f>
        <v/>
      </c>
      <c r="AT25">
        <f>MAX(AT24,IF($B24=42,1,0))</f>
        <v/>
      </c>
      <c r="AU25">
        <f>MAX(AU24,IF($B24=43,1,0))</f>
        <v/>
      </c>
      <c r="AV25">
        <f>MAX(AV24,IF($B24=44,1,0))</f>
        <v/>
      </c>
      <c r="AW25">
        <f>MAX(AW24,IF($B24=45,1,0))</f>
        <v/>
      </c>
      <c r="AY25">
        <f>IF(E25=1,1000000,SUMPRODUCT('計算A'!$D$60:$DS$60,$CS25:$HH25)*1000+1)</f>
        <v/>
      </c>
      <c r="AZ25">
        <f>IF(F25=1,1000000,SUMPRODUCT('計算A'!$D$61:$DS$61,$CS25:$HH25)*1000+2)</f>
        <v/>
      </c>
      <c r="BA25">
        <f>IF(G25=1,1000000,SUMPRODUCT('計算A'!$D$62:$DS$62,$CS25:$HH25)*1000+3)</f>
        <v/>
      </c>
      <c r="BB25">
        <f>IF(H25=1,1000000,SUMPRODUCT('計算A'!$D$63:$DS$63,$CS25:$HH25)*1000+4)</f>
        <v/>
      </c>
      <c r="BC25">
        <f>IF(I25=1,1000000,SUMPRODUCT('計算A'!$D$64:$DS$64,$CS25:$HH25)*1000+5)</f>
        <v/>
      </c>
      <c r="BD25">
        <f>IF(J25=1,1000000,SUMPRODUCT('計算A'!$D$65:$DS$65,$CS25:$HH25)*1000+6)</f>
        <v/>
      </c>
      <c r="BE25">
        <f>IF(K25=1,1000000,SUMPRODUCT('計算A'!$D$66:$DS$66,$CS25:$HH25)*1000+7)</f>
        <v/>
      </c>
      <c r="BF25">
        <f>IF(L25=1,1000000,SUMPRODUCT('計算A'!$D$67:$DS$67,$CS25:$HH25)*1000+8)</f>
        <v/>
      </c>
      <c r="BG25">
        <f>IF(M25=1,1000000,SUMPRODUCT('計算A'!$D$68:$DS$68,$CS25:$HH25)*1000+9)</f>
        <v/>
      </c>
      <c r="BH25">
        <f>IF(N25=1,1000000,SUMPRODUCT('計算A'!$D$69:$DS$69,$CS25:$HH25)*1000+10)</f>
        <v/>
      </c>
      <c r="BI25">
        <f>IF(O25=1,1000000,SUMPRODUCT('計算A'!$D$70:$DS$70,$CS25:$HH25)*1000+11)</f>
        <v/>
      </c>
      <c r="BJ25">
        <f>IF(P25=1,1000000,SUMPRODUCT('計算A'!$D$71:$DS$71,$CS25:$HH25)*1000+12)</f>
        <v/>
      </c>
      <c r="BK25">
        <f>IF(Q25=1,1000000,SUMPRODUCT('計算A'!$D$72:$DS$72,$CS25:$HH25)*1000+13)</f>
        <v/>
      </c>
      <c r="BL25">
        <f>IF(R25=1,1000000,SUMPRODUCT('計算A'!$D$73:$DS$73,$CS25:$HH25)*1000+14)</f>
        <v/>
      </c>
      <c r="BM25">
        <f>IF(S25=1,1000000,SUMPRODUCT('計算A'!$D$74:$DS$74,$CS25:$HH25)*1000+15)</f>
        <v/>
      </c>
      <c r="BN25">
        <f>IF(T25=1,1000000,SUMPRODUCT('計算A'!$D$75:$DS$75,$CS25:$HH25)*1000+16)</f>
        <v/>
      </c>
      <c r="BO25">
        <f>IF(U25=1,1000000,SUMPRODUCT('計算A'!$D$76:$DS$76,$CS25:$HH25)*1000+17)</f>
        <v/>
      </c>
      <c r="BP25">
        <f>IF(V25=1,1000000,SUMPRODUCT('計算A'!$D$77:$DS$77,$CS25:$HH25)*1000+18)</f>
        <v/>
      </c>
      <c r="BQ25">
        <f>IF(W25=1,1000000,SUMPRODUCT('計算A'!$D$78:$DS$78,$CS25:$HH25)*1000+19)</f>
        <v/>
      </c>
      <c r="BR25">
        <f>IF(X25=1,1000000,SUMPRODUCT('計算A'!$D$79:$DS$79,$CS25:$HH25)*1000+20)</f>
        <v/>
      </c>
      <c r="BS25">
        <f>IF(Y25=1,1000000,SUMPRODUCT('計算A'!$D$80:$DS$80,$CS25:$HH25)*1000+21)</f>
        <v/>
      </c>
      <c r="BT25">
        <f>IF(Z25=1,1000000,SUMPRODUCT('計算A'!$D$81:$DS$81,$CS25:$HH25)*1000+22)</f>
        <v/>
      </c>
      <c r="BU25">
        <f>IF(AA25=1,1000000,SUMPRODUCT('計算A'!$D$82:$DS$82,$CS25:$HH25)*1000+23)</f>
        <v/>
      </c>
      <c r="BV25">
        <f>IF(AB25=1,1000000,SUMPRODUCT('計算A'!$D$83:$DS$83,$CS25:$HH25)*1000+24)</f>
        <v/>
      </c>
      <c r="BW25">
        <f>IF(AC25=1,1000000,SUMPRODUCT('計算A'!$D$84:$DS$84,$CS25:$HH25)*1000+25)</f>
        <v/>
      </c>
      <c r="BX25">
        <f>IF(AD25=1,1000000,SUMPRODUCT('計算A'!$D$85:$DS$85,$CS25:$HH25)*1000+26)</f>
        <v/>
      </c>
      <c r="BY25">
        <f>IF(AE25=1,1000000,SUMPRODUCT('計算A'!$D$86:$DS$86,$CS25:$HH25)*1000+27)</f>
        <v/>
      </c>
      <c r="BZ25">
        <f>IF(AF25=1,1000000,SUMPRODUCT('計算A'!$D$87:$DS$87,$CS25:$HH25)*1000+28)</f>
        <v/>
      </c>
      <c r="CA25">
        <f>IF(AG25=1,1000000,SUMPRODUCT('計算A'!$D$88:$DS$88,$CS25:$HH25)*1000+29)</f>
        <v/>
      </c>
      <c r="CB25">
        <f>IF(AH25=1,1000000,SUMPRODUCT('計算A'!$D$89:$DS$89,$CS25:$HH25)*1000+30)</f>
        <v/>
      </c>
      <c r="CC25">
        <f>IF(AI25=1,1000000,SUMPRODUCT('計算A'!$D$90:$DS$90,$CS25:$HH25)*1000+31)</f>
        <v/>
      </c>
      <c r="CD25">
        <f>IF(AJ25=1,1000000,SUMPRODUCT('計算A'!$D$91:$DS$91,$CS25:$HH25)*1000+32)</f>
        <v/>
      </c>
      <c r="CE25">
        <f>IF(AK25=1,1000000,SUMPRODUCT('計算A'!$D$92:$DS$92,$CS25:$HH25)*1000+33)</f>
        <v/>
      </c>
      <c r="CF25">
        <f>IF(AL25=1,1000000,SUMPRODUCT('計算A'!$D$93:$DS$93,$CS25:$HH25)*1000+34)</f>
        <v/>
      </c>
      <c r="CG25">
        <f>IF(AM25=1,1000000,SUMPRODUCT('計算A'!$D$94:$DS$94,$CS25:$HH25)*1000+35)</f>
        <v/>
      </c>
      <c r="CH25">
        <f>IF(AN25=1,1000000,SUMPRODUCT('計算A'!$D$95:$DS$95,$CS25:$HH25)*1000+36)</f>
        <v/>
      </c>
      <c r="CI25">
        <f>IF(AO25=1,1000000,SUMPRODUCT('計算A'!$D$96:$DS$96,$CS25:$HH25)*1000+37)</f>
        <v/>
      </c>
      <c r="CJ25">
        <f>IF(AP25=1,1000000,SUMPRODUCT('計算A'!$D$97:$DS$97,$CS25:$HH25)*1000+38)</f>
        <v/>
      </c>
      <c r="CK25">
        <f>IF(AQ25=1,1000000,SUMPRODUCT('計算A'!$D$98:$DS$98,$CS25:$HH25)*1000+39)</f>
        <v/>
      </c>
      <c r="CL25">
        <f>IF(AR25=1,1000000,SUMPRODUCT('計算A'!$D$99:$DS$99,$CS25:$HH25)*1000+40)</f>
        <v/>
      </c>
      <c r="CM25">
        <f>IF(AS25=1,1000000,SUMPRODUCT('計算A'!$D$100:$DS$100,$CS25:$HH25)*1000+41)</f>
        <v/>
      </c>
      <c r="CN25">
        <f>IF(AT25=1,1000000,SUMPRODUCT('計算A'!$D$101:$DS$101,$CS25:$HH25)*1000+42)</f>
        <v/>
      </c>
      <c r="CO25">
        <f>IF(AU25=1,1000000,SUMPRODUCT('計算A'!$D$102:$DS$102,$CS25:$HH25)*1000+43)</f>
        <v/>
      </c>
      <c r="CP25">
        <f>IF(AV25=1,1000000,SUMPRODUCT('計算A'!$D$103:$DS$103,$CS25:$HH25)*1000+44)</f>
        <v/>
      </c>
      <c r="CQ25">
        <f>IF(AW25=1,1000000,SUMPRODUCT('計算A'!$D$104:$DS$104,$CS25:$HH25)*1000+45)</f>
        <v/>
      </c>
      <c r="CS25">
        <f>CS24*IF($C24=1,0,1)</f>
        <v/>
      </c>
      <c r="CT25">
        <f>CT24*IF($C24=2,0,1)</f>
        <v/>
      </c>
      <c r="CU25">
        <f>CU24*IF($C24=3,0,1)</f>
        <v/>
      </c>
      <c r="CV25">
        <f>CV24*IF($C24=4,0,1)</f>
        <v/>
      </c>
      <c r="CW25">
        <f>CW24*IF($C24=5,0,1)</f>
        <v/>
      </c>
      <c r="CX25">
        <f>CX24*IF($C24=6,0,1)</f>
        <v/>
      </c>
      <c r="CY25">
        <f>CY24*IF($C24=7,0,1)</f>
        <v/>
      </c>
      <c r="CZ25">
        <f>CZ24*IF($C24=8,0,1)</f>
        <v/>
      </c>
      <c r="DA25">
        <f>DA24*IF($C24=9,0,1)</f>
        <v/>
      </c>
      <c r="DB25">
        <f>DB24*IF($C24=10,0,1)</f>
        <v/>
      </c>
      <c r="DC25">
        <f>DC24*IF($C24=11,0,1)</f>
        <v/>
      </c>
      <c r="DD25">
        <f>DD24*IF($C24=12,0,1)</f>
        <v/>
      </c>
      <c r="DE25">
        <f>DE24*IF($C24=13,0,1)</f>
        <v/>
      </c>
      <c r="DF25">
        <f>DF24*IF($C24=14,0,1)</f>
        <v/>
      </c>
      <c r="DG25">
        <f>DG24*IF($C24=15,0,1)</f>
        <v/>
      </c>
      <c r="DH25">
        <f>DH24*IF($C24=16,0,1)</f>
        <v/>
      </c>
      <c r="DI25">
        <f>DI24*IF($C24=17,0,1)</f>
        <v/>
      </c>
      <c r="DJ25">
        <f>DJ24*IF($C24=18,0,1)</f>
        <v/>
      </c>
      <c r="DK25">
        <f>DK24*IF($C24=19,0,1)</f>
        <v/>
      </c>
      <c r="DL25">
        <f>DL24*IF($C24=20,0,1)</f>
        <v/>
      </c>
      <c r="DM25">
        <f>DM24*IF($C24=21,0,1)</f>
        <v/>
      </c>
      <c r="DN25">
        <f>DN24*IF($C24=22,0,1)</f>
        <v/>
      </c>
      <c r="DO25">
        <f>DO24*IF($C24=23,0,1)</f>
        <v/>
      </c>
      <c r="DP25">
        <f>DP24*IF($C24=24,0,1)</f>
        <v/>
      </c>
      <c r="DQ25">
        <f>DQ24*IF($C24=25,0,1)</f>
        <v/>
      </c>
      <c r="DR25">
        <f>DR24*IF($C24=26,0,1)</f>
        <v/>
      </c>
      <c r="DS25">
        <f>DS24*IF($C24=27,0,1)</f>
        <v/>
      </c>
      <c r="DT25">
        <f>DT24*IF($C24=28,0,1)</f>
        <v/>
      </c>
      <c r="DU25">
        <f>DU24*IF($C24=29,0,1)</f>
        <v/>
      </c>
      <c r="DV25">
        <f>DV24*IF($C24=30,0,1)</f>
        <v/>
      </c>
      <c r="DW25">
        <f>DW24*IF($C24=31,0,1)</f>
        <v/>
      </c>
      <c r="DX25">
        <f>DX24*IF($C24=32,0,1)</f>
        <v/>
      </c>
      <c r="DY25">
        <f>DY24*IF($C24=33,0,1)</f>
        <v/>
      </c>
      <c r="DZ25">
        <f>DZ24*IF($C24=34,0,1)</f>
        <v/>
      </c>
      <c r="EA25">
        <f>EA24*IF($C24=35,0,1)</f>
        <v/>
      </c>
      <c r="EB25">
        <f>EB24*IF($C24=36,0,1)</f>
        <v/>
      </c>
      <c r="EC25">
        <f>EC24*IF($C24=37,0,1)</f>
        <v/>
      </c>
      <c r="ED25">
        <f>ED24*IF($C24=38,0,1)</f>
        <v/>
      </c>
      <c r="EE25">
        <f>EE24*IF($C24=39,0,1)</f>
        <v/>
      </c>
      <c r="EF25">
        <f>EF24*IF($C24=40,0,1)</f>
        <v/>
      </c>
      <c r="EG25">
        <f>EG24*IF($C24=41,0,1)</f>
        <v/>
      </c>
      <c r="EH25">
        <f>EH24*IF($C24=42,0,1)</f>
        <v/>
      </c>
      <c r="EI25">
        <f>EI24*IF($C24=43,0,1)</f>
        <v/>
      </c>
      <c r="EJ25">
        <f>EJ24*IF($C24=44,0,1)</f>
        <v/>
      </c>
      <c r="EK25">
        <f>EK24*IF($C24=45,0,1)</f>
        <v/>
      </c>
      <c r="EL25">
        <f>EL24*IF($C24=46,0,1)</f>
        <v/>
      </c>
      <c r="EM25">
        <f>EM24*IF($C24=47,0,1)</f>
        <v/>
      </c>
      <c r="EN25">
        <f>EN24*IF($C24=48,0,1)</f>
        <v/>
      </c>
      <c r="EO25">
        <f>EO24*IF($C24=49,0,1)</f>
        <v/>
      </c>
      <c r="EP25">
        <f>EP24*IF($C24=50,0,1)</f>
        <v/>
      </c>
      <c r="EQ25">
        <f>EQ24*IF($C24=51,0,1)</f>
        <v/>
      </c>
      <c r="ER25">
        <f>ER24*IF($C24=52,0,1)</f>
        <v/>
      </c>
      <c r="ES25">
        <f>ES24*IF($C24=53,0,1)</f>
        <v/>
      </c>
      <c r="ET25">
        <f>ET24*IF($C24=54,0,1)</f>
        <v/>
      </c>
      <c r="EU25">
        <f>EU24*IF($C24=55,0,1)</f>
        <v/>
      </c>
      <c r="EV25">
        <f>EV24*IF($C24=56,0,1)</f>
        <v/>
      </c>
      <c r="EW25">
        <f>EW24*IF($C24=57,0,1)</f>
        <v/>
      </c>
      <c r="EX25">
        <f>EX24*IF($C24=58,0,1)</f>
        <v/>
      </c>
      <c r="EY25">
        <f>EY24*IF($C24=59,0,1)</f>
        <v/>
      </c>
      <c r="EZ25">
        <f>EZ24*IF($C24=60,0,1)</f>
        <v/>
      </c>
      <c r="FA25">
        <f>FA24*IF($C24=61,0,1)</f>
        <v/>
      </c>
      <c r="FB25">
        <f>FB24*IF($C24=62,0,1)</f>
        <v/>
      </c>
      <c r="FC25">
        <f>FC24*IF($C24=63,0,1)</f>
        <v/>
      </c>
      <c r="FD25">
        <f>FD24*IF($C24=64,0,1)</f>
        <v/>
      </c>
      <c r="FE25">
        <f>FE24*IF($C24=65,0,1)</f>
        <v/>
      </c>
      <c r="FF25">
        <f>FF24*IF($C24=66,0,1)</f>
        <v/>
      </c>
      <c r="FG25">
        <f>FG24*IF($C24=67,0,1)</f>
        <v/>
      </c>
      <c r="FH25">
        <f>FH24*IF($C24=68,0,1)</f>
        <v/>
      </c>
      <c r="FI25">
        <f>FI24*IF($C24=69,0,1)</f>
        <v/>
      </c>
      <c r="FJ25">
        <f>FJ24*IF($C24=70,0,1)</f>
        <v/>
      </c>
      <c r="FK25">
        <f>FK24*IF($C24=71,0,1)</f>
        <v/>
      </c>
      <c r="FL25">
        <f>FL24*IF($C24=72,0,1)</f>
        <v/>
      </c>
      <c r="FM25">
        <f>FM24*IF($C24=73,0,1)</f>
        <v/>
      </c>
      <c r="FN25">
        <f>FN24*IF($C24=74,0,1)</f>
        <v/>
      </c>
      <c r="FO25">
        <f>FO24*IF($C24=75,0,1)</f>
        <v/>
      </c>
      <c r="FP25">
        <f>FP24*IF($C24=76,0,1)</f>
        <v/>
      </c>
      <c r="FQ25">
        <f>FQ24*IF($C24=77,0,1)</f>
        <v/>
      </c>
      <c r="FR25">
        <f>FR24*IF($C24=78,0,1)</f>
        <v/>
      </c>
      <c r="FS25">
        <f>FS24*IF($C24=79,0,1)</f>
        <v/>
      </c>
      <c r="FT25">
        <f>FT24*IF($C24=80,0,1)</f>
        <v/>
      </c>
      <c r="FU25">
        <f>FU24*IF($C24=81,0,1)</f>
        <v/>
      </c>
      <c r="FV25">
        <f>FV24*IF($C24=82,0,1)</f>
        <v/>
      </c>
      <c r="FW25">
        <f>FW24*IF($C24=83,0,1)</f>
        <v/>
      </c>
      <c r="FX25">
        <f>FX24*IF($C24=84,0,1)</f>
        <v/>
      </c>
      <c r="FY25">
        <f>FY24*IF($C24=85,0,1)</f>
        <v/>
      </c>
      <c r="FZ25">
        <f>FZ24*IF($C24=86,0,1)</f>
        <v/>
      </c>
      <c r="GA25">
        <f>GA24*IF($C24=87,0,1)</f>
        <v/>
      </c>
      <c r="GB25">
        <f>GB24*IF($C24=88,0,1)</f>
        <v/>
      </c>
      <c r="GC25">
        <f>GC24*IF($C24=89,0,1)</f>
        <v/>
      </c>
      <c r="GD25">
        <f>GD24*IF($C24=90,0,1)</f>
        <v/>
      </c>
      <c r="GE25">
        <f>GE24*IF($C24=91,0,1)</f>
        <v/>
      </c>
      <c r="GF25">
        <f>GF24*IF($C24=92,0,1)</f>
        <v/>
      </c>
      <c r="GG25">
        <f>GG24*IF($C24=93,0,1)</f>
        <v/>
      </c>
      <c r="GH25">
        <f>GH24*IF($C24=94,0,1)</f>
        <v/>
      </c>
      <c r="GI25">
        <f>GI24*IF($C24=95,0,1)</f>
        <v/>
      </c>
      <c r="GJ25">
        <f>GJ24*IF($C24=96,0,1)</f>
        <v/>
      </c>
      <c r="GK25">
        <f>GK24*IF($C24=97,0,1)</f>
        <v/>
      </c>
      <c r="GL25">
        <f>GL24*IF($C24=98,0,1)</f>
        <v/>
      </c>
      <c r="GM25">
        <f>GM24*IF($C24=99,0,1)</f>
        <v/>
      </c>
      <c r="GN25">
        <f>GN24*IF($C24=100,0,1)</f>
        <v/>
      </c>
      <c r="GO25">
        <f>GO24*IF($C24=101,0,1)</f>
        <v/>
      </c>
      <c r="GP25">
        <f>GP24*IF($C24=102,0,1)</f>
        <v/>
      </c>
      <c r="GQ25">
        <f>GQ24*IF($C24=103,0,1)</f>
        <v/>
      </c>
      <c r="GR25">
        <f>GR24*IF($C24=104,0,1)</f>
        <v/>
      </c>
      <c r="GS25">
        <f>GS24*IF($C24=105,0,1)</f>
        <v/>
      </c>
      <c r="GT25">
        <f>GT24*IF($C24=106,0,1)</f>
        <v/>
      </c>
      <c r="GU25">
        <f>GU24*IF($C24=107,0,1)</f>
        <v/>
      </c>
      <c r="GV25">
        <f>GV24*IF($C24=108,0,1)</f>
        <v/>
      </c>
      <c r="GW25">
        <f>GW24*IF($C24=109,0,1)</f>
        <v/>
      </c>
      <c r="GX25">
        <f>GX24*IF($C24=110,0,1)</f>
        <v/>
      </c>
      <c r="GY25">
        <f>GY24*IF($C24=111,0,1)</f>
        <v/>
      </c>
      <c r="GZ25">
        <f>GZ24*IF($C24=112,0,1)</f>
        <v/>
      </c>
      <c r="HA25">
        <f>HA24*IF($C24=113,0,1)</f>
        <v/>
      </c>
      <c r="HB25">
        <f>HB24*IF($C24=114,0,1)</f>
        <v/>
      </c>
      <c r="HC25">
        <f>HC24*IF($C24=115,0,1)</f>
        <v/>
      </c>
      <c r="HD25">
        <f>HD24*IF($C24=116,0,1)</f>
        <v/>
      </c>
      <c r="HE25">
        <f>HE24*IF($C24=117,0,1)</f>
        <v/>
      </c>
      <c r="HF25">
        <f>HF24*IF($C24=118,0,1)</f>
        <v/>
      </c>
      <c r="HG25">
        <f>HG24*IF($C24=119,0,1)</f>
        <v/>
      </c>
      <c r="HH25">
        <f>HH24*IF($C24=120,0,1)</f>
        <v/>
      </c>
      <c r="HJ25">
        <f>IF($B25=0,1000000,IF(INDEX('計算A'!$D$60:$DS$104,$B25,1)*CS25=1,'計算A'!D$6,1000000))</f>
        <v/>
      </c>
      <c r="HK25">
        <f>IF($B25=0,1000000,IF(INDEX('計算A'!$D$60:$DS$104,$B25,2)*CT25=1,'計算A'!E$6,1000000))</f>
        <v/>
      </c>
      <c r="HL25">
        <f>IF($B25=0,1000000,IF(INDEX('計算A'!$D$60:$DS$104,$B25,3)*CU25=1,'計算A'!F$6,1000000))</f>
        <v/>
      </c>
      <c r="HM25">
        <f>IF($B25=0,1000000,IF(INDEX('計算A'!$D$60:$DS$104,$B25,4)*CV25=1,'計算A'!G$6,1000000))</f>
        <v/>
      </c>
      <c r="HN25">
        <f>IF($B25=0,1000000,IF(INDEX('計算A'!$D$60:$DS$104,$B25,5)*CW25=1,'計算A'!H$6,1000000))</f>
        <v/>
      </c>
      <c r="HO25">
        <f>IF($B25=0,1000000,IF(INDEX('計算A'!$D$60:$DS$104,$B25,6)*CX25=1,'計算A'!I$6,1000000))</f>
        <v/>
      </c>
      <c r="HP25">
        <f>IF($B25=0,1000000,IF(INDEX('計算A'!$D$60:$DS$104,$B25,7)*CY25=1,'計算A'!J$6,1000000))</f>
        <v/>
      </c>
      <c r="HQ25">
        <f>IF($B25=0,1000000,IF(INDEX('計算A'!$D$60:$DS$104,$B25,8)*CZ25=1,'計算A'!K$6,1000000))</f>
        <v/>
      </c>
      <c r="HR25">
        <f>IF($B25=0,1000000,IF(INDEX('計算A'!$D$60:$DS$104,$B25,9)*DA25=1,'計算A'!L$6,1000000))</f>
        <v/>
      </c>
      <c r="HS25">
        <f>IF($B25=0,1000000,IF(INDEX('計算A'!$D$60:$DS$104,$B25,10)*DB25=1,'計算A'!M$6,1000000))</f>
        <v/>
      </c>
      <c r="HT25">
        <f>IF($B25=0,1000000,IF(INDEX('計算A'!$D$60:$DS$104,$B25,11)*DC25=1,'計算A'!N$6,1000000))</f>
        <v/>
      </c>
      <c r="HU25">
        <f>IF($B25=0,1000000,IF(INDEX('計算A'!$D$60:$DS$104,$B25,12)*DD25=1,'計算A'!O$6,1000000))</f>
        <v/>
      </c>
      <c r="HV25">
        <f>IF($B25=0,1000000,IF(INDEX('計算A'!$D$60:$DS$104,$B25,13)*DE25=1,'計算A'!P$6,1000000))</f>
        <v/>
      </c>
      <c r="HW25">
        <f>IF($B25=0,1000000,IF(INDEX('計算A'!$D$60:$DS$104,$B25,14)*DF25=1,'計算A'!Q$6,1000000))</f>
        <v/>
      </c>
      <c r="HX25">
        <f>IF($B25=0,1000000,IF(INDEX('計算A'!$D$60:$DS$104,$B25,15)*DG25=1,'計算A'!R$6,1000000))</f>
        <v/>
      </c>
      <c r="HY25">
        <f>IF($B25=0,1000000,IF(INDEX('計算A'!$D$60:$DS$104,$B25,16)*DH25=1,'計算A'!S$6,1000000))</f>
        <v/>
      </c>
      <c r="HZ25">
        <f>IF($B25=0,1000000,IF(INDEX('計算A'!$D$60:$DS$104,$B25,17)*DI25=1,'計算A'!T$6,1000000))</f>
        <v/>
      </c>
      <c r="IA25">
        <f>IF($B25=0,1000000,IF(INDEX('計算A'!$D$60:$DS$104,$B25,18)*DJ25=1,'計算A'!U$6,1000000))</f>
        <v/>
      </c>
      <c r="IB25">
        <f>IF($B25=0,1000000,IF(INDEX('計算A'!$D$60:$DS$104,$B25,19)*DK25=1,'計算A'!V$6,1000000))</f>
        <v/>
      </c>
      <c r="IC25">
        <f>IF($B25=0,1000000,IF(INDEX('計算A'!$D$60:$DS$104,$B25,20)*DL25=1,'計算A'!W$6,1000000))</f>
        <v/>
      </c>
      <c r="ID25">
        <f>IF($B25=0,1000000,IF(INDEX('計算A'!$D$60:$DS$104,$B25,21)*DM25=1,'計算A'!X$6,1000000))</f>
        <v/>
      </c>
      <c r="IE25">
        <f>IF($B25=0,1000000,IF(INDEX('計算A'!$D$60:$DS$104,$B25,22)*DN25=1,'計算A'!Y$6,1000000))</f>
        <v/>
      </c>
      <c r="IF25">
        <f>IF($B25=0,1000000,IF(INDEX('計算A'!$D$60:$DS$104,$B25,23)*DO25=1,'計算A'!Z$6,1000000))</f>
        <v/>
      </c>
      <c r="IG25">
        <f>IF($B25=0,1000000,IF(INDEX('計算A'!$D$60:$DS$104,$B25,24)*DP25=1,'計算A'!AA$6,1000000))</f>
        <v/>
      </c>
      <c r="IH25">
        <f>IF($B25=0,1000000,IF(INDEX('計算A'!$D$60:$DS$104,$B25,25)*DQ25=1,'計算A'!AB$6,1000000))</f>
        <v/>
      </c>
      <c r="II25">
        <f>IF($B25=0,1000000,IF(INDEX('計算A'!$D$60:$DS$104,$B25,26)*DR25=1,'計算A'!AC$6,1000000))</f>
        <v/>
      </c>
      <c r="IJ25">
        <f>IF($B25=0,1000000,IF(INDEX('計算A'!$D$60:$DS$104,$B25,27)*DS25=1,'計算A'!AD$6,1000000))</f>
        <v/>
      </c>
      <c r="IK25">
        <f>IF($B25=0,1000000,IF(INDEX('計算A'!$D$60:$DS$104,$B25,28)*DT25=1,'計算A'!AE$6,1000000))</f>
        <v/>
      </c>
      <c r="IL25">
        <f>IF($B25=0,1000000,IF(INDEX('計算A'!$D$60:$DS$104,$B25,29)*DU25=1,'計算A'!AF$6,1000000))</f>
        <v/>
      </c>
      <c r="IM25">
        <f>IF($B25=0,1000000,IF(INDEX('計算A'!$D$60:$DS$104,$B25,30)*DV25=1,'計算A'!AG$6,1000000))</f>
        <v/>
      </c>
      <c r="IN25">
        <f>IF($B25=0,1000000,IF(INDEX('計算A'!$D$60:$DS$104,$B25,31)*DW25=1,'計算A'!AH$6,1000000))</f>
        <v/>
      </c>
      <c r="IO25">
        <f>IF($B25=0,1000000,IF(INDEX('計算A'!$D$60:$DS$104,$B25,32)*DX25=1,'計算A'!AI$6,1000000))</f>
        <v/>
      </c>
      <c r="IP25">
        <f>IF($B25=0,1000000,IF(INDEX('計算A'!$D$60:$DS$104,$B25,33)*DY25=1,'計算A'!AJ$6,1000000))</f>
        <v/>
      </c>
      <c r="IQ25">
        <f>IF($B25=0,1000000,IF(INDEX('計算A'!$D$60:$DS$104,$B25,34)*DZ25=1,'計算A'!AK$6,1000000))</f>
        <v/>
      </c>
      <c r="IR25">
        <f>IF($B25=0,1000000,IF(INDEX('計算A'!$D$60:$DS$104,$B25,35)*EA25=1,'計算A'!AL$6,1000000))</f>
        <v/>
      </c>
      <c r="IS25">
        <f>IF($B25=0,1000000,IF(INDEX('計算A'!$D$60:$DS$104,$B25,36)*EB25=1,'計算A'!AM$6,1000000))</f>
        <v/>
      </c>
      <c r="IT25">
        <f>IF($B25=0,1000000,IF(INDEX('計算A'!$D$60:$DS$104,$B25,37)*EC25=1,'計算A'!AN$6,1000000))</f>
        <v/>
      </c>
      <c r="IU25">
        <f>IF($B25=0,1000000,IF(INDEX('計算A'!$D$60:$DS$104,$B25,38)*ED25=1,'計算A'!AO$6,1000000))</f>
        <v/>
      </c>
      <c r="IV25">
        <f>IF($B25=0,1000000,IF(INDEX('計算A'!$D$60:$DS$104,$B25,39)*EE25=1,'計算A'!AP$6,1000000))</f>
        <v/>
      </c>
      <c r="IW25">
        <f>IF($B25=0,1000000,IF(INDEX('計算A'!$D$60:$DS$104,$B25,40)*EF25=1,'計算A'!AQ$6,1000000))</f>
        <v/>
      </c>
      <c r="IX25">
        <f>IF($B25=0,1000000,IF(INDEX('計算A'!$D$60:$DS$104,$B25,41)*EG25=1,'計算A'!AR$6,1000000))</f>
        <v/>
      </c>
      <c r="IY25">
        <f>IF($B25=0,1000000,IF(INDEX('計算A'!$D$60:$DS$104,$B25,42)*EH25=1,'計算A'!AS$6,1000000))</f>
        <v/>
      </c>
      <c r="IZ25">
        <f>IF($B25=0,1000000,IF(INDEX('計算A'!$D$60:$DS$104,$B25,43)*EI25=1,'計算A'!AT$6,1000000))</f>
        <v/>
      </c>
      <c r="JA25">
        <f>IF($B25=0,1000000,IF(INDEX('計算A'!$D$60:$DS$104,$B25,44)*EJ25=1,'計算A'!AU$6,1000000))</f>
        <v/>
      </c>
      <c r="JB25">
        <f>IF($B25=0,1000000,IF(INDEX('計算A'!$D$60:$DS$104,$B25,45)*EK25=1,'計算A'!AV$6,1000000))</f>
        <v/>
      </c>
      <c r="JC25">
        <f>IF($B25=0,1000000,IF(INDEX('計算A'!$D$60:$DS$104,$B25,46)*EL25=1,'計算A'!AW$6,1000000))</f>
        <v/>
      </c>
      <c r="JD25">
        <f>IF($B25=0,1000000,IF(INDEX('計算A'!$D$60:$DS$104,$B25,47)*EM25=1,'計算A'!AX$6,1000000))</f>
        <v/>
      </c>
      <c r="JE25">
        <f>IF($B25=0,1000000,IF(INDEX('計算A'!$D$60:$DS$104,$B25,48)*EN25=1,'計算A'!AY$6,1000000))</f>
        <v/>
      </c>
      <c r="JF25">
        <f>IF($B25=0,1000000,IF(INDEX('計算A'!$D$60:$DS$104,$B25,49)*EO25=1,'計算A'!AZ$6,1000000))</f>
        <v/>
      </c>
      <c r="JG25">
        <f>IF($B25=0,1000000,IF(INDEX('計算A'!$D$60:$DS$104,$B25,50)*EP25=1,'計算A'!BA$6,1000000))</f>
        <v/>
      </c>
      <c r="JH25">
        <f>IF($B25=0,1000000,IF(INDEX('計算A'!$D$60:$DS$104,$B25,51)*EQ25=1,'計算A'!BB$6,1000000))</f>
        <v/>
      </c>
      <c r="JI25">
        <f>IF($B25=0,1000000,IF(INDEX('計算A'!$D$60:$DS$104,$B25,52)*ER25=1,'計算A'!BC$6,1000000))</f>
        <v/>
      </c>
      <c r="JJ25">
        <f>IF($B25=0,1000000,IF(INDEX('計算A'!$D$60:$DS$104,$B25,53)*ES25=1,'計算A'!BD$6,1000000))</f>
        <v/>
      </c>
      <c r="JK25">
        <f>IF($B25=0,1000000,IF(INDEX('計算A'!$D$60:$DS$104,$B25,54)*ET25=1,'計算A'!BE$6,1000000))</f>
        <v/>
      </c>
      <c r="JL25">
        <f>IF($B25=0,1000000,IF(INDEX('計算A'!$D$60:$DS$104,$B25,55)*EU25=1,'計算A'!BF$6,1000000))</f>
        <v/>
      </c>
      <c r="JM25">
        <f>IF($B25=0,1000000,IF(INDEX('計算A'!$D$60:$DS$104,$B25,56)*EV25=1,'計算A'!BG$6,1000000))</f>
        <v/>
      </c>
      <c r="JN25">
        <f>IF($B25=0,1000000,IF(INDEX('計算A'!$D$60:$DS$104,$B25,57)*EW25=1,'計算A'!BH$6,1000000))</f>
        <v/>
      </c>
      <c r="JO25">
        <f>IF($B25=0,1000000,IF(INDEX('計算A'!$D$60:$DS$104,$B25,58)*EX25=1,'計算A'!BI$6,1000000))</f>
        <v/>
      </c>
      <c r="JP25">
        <f>IF($B25=0,1000000,IF(INDEX('計算A'!$D$60:$DS$104,$B25,59)*EY25=1,'計算A'!BJ$6,1000000))</f>
        <v/>
      </c>
      <c r="JQ25">
        <f>IF($B25=0,1000000,IF(INDEX('計算A'!$D$60:$DS$104,$B25,60)*EZ25=1,'計算A'!BK$6,1000000))</f>
        <v/>
      </c>
      <c r="JR25">
        <f>IF($B25=0,1000000,IF(INDEX('計算A'!$D$60:$DS$104,$B25,61)*FA25=1,'計算A'!BL$6,1000000))</f>
        <v/>
      </c>
      <c r="JS25">
        <f>IF($B25=0,1000000,IF(INDEX('計算A'!$D$60:$DS$104,$B25,62)*FB25=1,'計算A'!BM$6,1000000))</f>
        <v/>
      </c>
      <c r="JT25">
        <f>IF($B25=0,1000000,IF(INDEX('計算A'!$D$60:$DS$104,$B25,63)*FC25=1,'計算A'!BN$6,1000000))</f>
        <v/>
      </c>
      <c r="JU25">
        <f>IF($B25=0,1000000,IF(INDEX('計算A'!$D$60:$DS$104,$B25,64)*FD25=1,'計算A'!BO$6,1000000))</f>
        <v/>
      </c>
      <c r="JV25">
        <f>IF($B25=0,1000000,IF(INDEX('計算A'!$D$60:$DS$104,$B25,65)*FE25=1,'計算A'!BP$6,1000000))</f>
        <v/>
      </c>
      <c r="JW25">
        <f>IF($B25=0,1000000,IF(INDEX('計算A'!$D$60:$DS$104,$B25,66)*FF25=1,'計算A'!BQ$6,1000000))</f>
        <v/>
      </c>
      <c r="JX25">
        <f>IF($B25=0,1000000,IF(INDEX('計算A'!$D$60:$DS$104,$B25,67)*FG25=1,'計算A'!BR$6,1000000))</f>
        <v/>
      </c>
      <c r="JY25">
        <f>IF($B25=0,1000000,IF(INDEX('計算A'!$D$60:$DS$104,$B25,68)*FH25=1,'計算A'!BS$6,1000000))</f>
        <v/>
      </c>
      <c r="JZ25">
        <f>IF($B25=0,1000000,IF(INDEX('計算A'!$D$60:$DS$104,$B25,69)*FI25=1,'計算A'!BT$6,1000000))</f>
        <v/>
      </c>
      <c r="KA25">
        <f>IF($B25=0,1000000,IF(INDEX('計算A'!$D$60:$DS$104,$B25,70)*FJ25=1,'計算A'!BU$6,1000000))</f>
        <v/>
      </c>
      <c r="KB25">
        <f>IF($B25=0,1000000,IF(INDEX('計算A'!$D$60:$DS$104,$B25,71)*FK25=1,'計算A'!BV$6,1000000))</f>
        <v/>
      </c>
      <c r="KC25">
        <f>IF($B25=0,1000000,IF(INDEX('計算A'!$D$60:$DS$104,$B25,72)*FL25=1,'計算A'!BW$6,1000000))</f>
        <v/>
      </c>
      <c r="KD25">
        <f>IF($B25=0,1000000,IF(INDEX('計算A'!$D$60:$DS$104,$B25,73)*FM25=1,'計算A'!BX$6,1000000))</f>
        <v/>
      </c>
      <c r="KE25">
        <f>IF($B25=0,1000000,IF(INDEX('計算A'!$D$60:$DS$104,$B25,74)*FN25=1,'計算A'!BY$6,1000000))</f>
        <v/>
      </c>
      <c r="KF25">
        <f>IF($B25=0,1000000,IF(INDEX('計算A'!$D$60:$DS$104,$B25,75)*FO25=1,'計算A'!BZ$6,1000000))</f>
        <v/>
      </c>
      <c r="KG25">
        <f>IF($B25=0,1000000,IF(INDEX('計算A'!$D$60:$DS$104,$B25,76)*FP25=1,'計算A'!CA$6,1000000))</f>
        <v/>
      </c>
      <c r="KH25">
        <f>IF($B25=0,1000000,IF(INDEX('計算A'!$D$60:$DS$104,$B25,77)*FQ25=1,'計算A'!CB$6,1000000))</f>
        <v/>
      </c>
      <c r="KI25">
        <f>IF($B25=0,1000000,IF(INDEX('計算A'!$D$60:$DS$104,$B25,78)*FR25=1,'計算A'!CC$6,1000000))</f>
        <v/>
      </c>
      <c r="KJ25">
        <f>IF($B25=0,1000000,IF(INDEX('計算A'!$D$60:$DS$104,$B25,79)*FS25=1,'計算A'!CD$6,1000000))</f>
        <v/>
      </c>
      <c r="KK25">
        <f>IF($B25=0,1000000,IF(INDEX('計算A'!$D$60:$DS$104,$B25,80)*FT25=1,'計算A'!CE$6,1000000))</f>
        <v/>
      </c>
      <c r="KL25">
        <f>IF($B25=0,1000000,IF(INDEX('計算A'!$D$60:$DS$104,$B25,81)*FU25=1,'計算A'!CF$6,1000000))</f>
        <v/>
      </c>
      <c r="KM25">
        <f>IF($B25=0,1000000,IF(INDEX('計算A'!$D$60:$DS$104,$B25,82)*FV25=1,'計算A'!CG$6,1000000))</f>
        <v/>
      </c>
      <c r="KN25">
        <f>IF($B25=0,1000000,IF(INDEX('計算A'!$D$60:$DS$104,$B25,83)*FW25=1,'計算A'!CH$6,1000000))</f>
        <v/>
      </c>
      <c r="KO25">
        <f>IF($B25=0,1000000,IF(INDEX('計算A'!$D$60:$DS$104,$B25,84)*FX25=1,'計算A'!CI$6,1000000))</f>
        <v/>
      </c>
      <c r="KP25">
        <f>IF($B25=0,1000000,IF(INDEX('計算A'!$D$60:$DS$104,$B25,85)*FY25=1,'計算A'!CJ$6,1000000))</f>
        <v/>
      </c>
      <c r="KQ25">
        <f>IF($B25=0,1000000,IF(INDEX('計算A'!$D$60:$DS$104,$B25,86)*FZ25=1,'計算A'!CK$6,1000000))</f>
        <v/>
      </c>
      <c r="KR25">
        <f>IF($B25=0,1000000,IF(INDEX('計算A'!$D$60:$DS$104,$B25,87)*GA25=1,'計算A'!CL$6,1000000))</f>
        <v/>
      </c>
      <c r="KS25">
        <f>IF($B25=0,1000000,IF(INDEX('計算A'!$D$60:$DS$104,$B25,88)*GB25=1,'計算A'!CM$6,1000000))</f>
        <v/>
      </c>
      <c r="KT25">
        <f>IF($B25=0,1000000,IF(INDEX('計算A'!$D$60:$DS$104,$B25,89)*GC25=1,'計算A'!CN$6,1000000))</f>
        <v/>
      </c>
      <c r="KU25">
        <f>IF($B25=0,1000000,IF(INDEX('計算A'!$D$60:$DS$104,$B25,90)*GD25=1,'計算A'!CO$6,1000000))</f>
        <v/>
      </c>
      <c r="KV25">
        <f>IF($B25=0,1000000,IF(INDEX('計算A'!$D$60:$DS$104,$B25,91)*GE25=1,'計算A'!CP$6,1000000))</f>
        <v/>
      </c>
      <c r="KW25">
        <f>IF($B25=0,1000000,IF(INDEX('計算A'!$D$60:$DS$104,$B25,92)*GF25=1,'計算A'!CQ$6,1000000))</f>
        <v/>
      </c>
      <c r="KX25">
        <f>IF($B25=0,1000000,IF(INDEX('計算A'!$D$60:$DS$104,$B25,93)*GG25=1,'計算A'!CR$6,1000000))</f>
        <v/>
      </c>
      <c r="KY25">
        <f>IF($B25=0,1000000,IF(INDEX('計算A'!$D$60:$DS$104,$B25,94)*GH25=1,'計算A'!CS$6,1000000))</f>
        <v/>
      </c>
      <c r="KZ25">
        <f>IF($B25=0,1000000,IF(INDEX('計算A'!$D$60:$DS$104,$B25,95)*GI25=1,'計算A'!CT$6,1000000))</f>
        <v/>
      </c>
      <c r="LA25">
        <f>IF($B25=0,1000000,IF(INDEX('計算A'!$D$60:$DS$104,$B25,96)*GJ25=1,'計算A'!CU$6,1000000))</f>
        <v/>
      </c>
      <c r="LB25">
        <f>IF($B25=0,1000000,IF(INDEX('計算A'!$D$60:$DS$104,$B25,97)*GK25=1,'計算A'!CV$6,1000000))</f>
        <v/>
      </c>
      <c r="LC25">
        <f>IF($B25=0,1000000,IF(INDEX('計算A'!$D$60:$DS$104,$B25,98)*GL25=1,'計算A'!CW$6,1000000))</f>
        <v/>
      </c>
      <c r="LD25">
        <f>IF($B25=0,1000000,IF(INDEX('計算A'!$D$60:$DS$104,$B25,99)*GM25=1,'計算A'!CX$6,1000000))</f>
        <v/>
      </c>
      <c r="LE25">
        <f>IF($B25=0,1000000,IF(INDEX('計算A'!$D$60:$DS$104,$B25,100)*GN25=1,'計算A'!CY$6,1000000))</f>
        <v/>
      </c>
      <c r="LF25">
        <f>IF($B25=0,1000000,IF(INDEX('計算A'!$D$60:$DS$104,$B25,101)*GO25=1,'計算A'!CZ$6,1000000))</f>
        <v/>
      </c>
      <c r="LG25">
        <f>IF($B25=0,1000000,IF(INDEX('計算A'!$D$60:$DS$104,$B25,102)*GP25=1,'計算A'!DA$6,1000000))</f>
        <v/>
      </c>
      <c r="LH25">
        <f>IF($B25=0,1000000,IF(INDEX('計算A'!$D$60:$DS$104,$B25,103)*GQ25=1,'計算A'!DB$6,1000000))</f>
        <v/>
      </c>
      <c r="LI25">
        <f>IF($B25=0,1000000,IF(INDEX('計算A'!$D$60:$DS$104,$B25,104)*GR25=1,'計算A'!DC$6,1000000))</f>
        <v/>
      </c>
      <c r="LJ25">
        <f>IF($B25=0,1000000,IF(INDEX('計算A'!$D$60:$DS$104,$B25,105)*GS25=1,'計算A'!DD$6,1000000))</f>
        <v/>
      </c>
      <c r="LK25">
        <f>IF($B25=0,1000000,IF(INDEX('計算A'!$D$60:$DS$104,$B25,106)*GT25=1,'計算A'!DE$6,1000000))</f>
        <v/>
      </c>
      <c r="LL25">
        <f>IF($B25=0,1000000,IF(INDEX('計算A'!$D$60:$DS$104,$B25,107)*GU25=1,'計算A'!DF$6,1000000))</f>
        <v/>
      </c>
      <c r="LM25">
        <f>IF($B25=0,1000000,IF(INDEX('計算A'!$D$60:$DS$104,$B25,108)*GV25=1,'計算A'!DG$6,1000000))</f>
        <v/>
      </c>
      <c r="LN25">
        <f>IF($B25=0,1000000,IF(INDEX('計算A'!$D$60:$DS$104,$B25,109)*GW25=1,'計算A'!DH$6,1000000))</f>
        <v/>
      </c>
      <c r="LO25">
        <f>IF($B25=0,1000000,IF(INDEX('計算A'!$D$60:$DS$104,$B25,110)*GX25=1,'計算A'!DI$6,1000000))</f>
        <v/>
      </c>
      <c r="LP25">
        <f>IF($B25=0,1000000,IF(INDEX('計算A'!$D$60:$DS$104,$B25,111)*GY25=1,'計算A'!DJ$6,1000000))</f>
        <v/>
      </c>
      <c r="LQ25">
        <f>IF($B25=0,1000000,IF(INDEX('計算A'!$D$60:$DS$104,$B25,112)*GZ25=1,'計算A'!DK$6,1000000))</f>
        <v/>
      </c>
      <c r="LR25">
        <f>IF($B25=0,1000000,IF(INDEX('計算A'!$D$60:$DS$104,$B25,113)*HA25=1,'計算A'!DL$6,1000000))</f>
        <v/>
      </c>
      <c r="LS25">
        <f>IF($B25=0,1000000,IF(INDEX('計算A'!$D$60:$DS$104,$B25,114)*HB25=1,'計算A'!DM$6,1000000))</f>
        <v/>
      </c>
      <c r="LT25">
        <f>IF($B25=0,1000000,IF(INDEX('計算A'!$D$60:$DS$104,$B25,115)*HC25=1,'計算A'!DN$6,1000000))</f>
        <v/>
      </c>
      <c r="LU25">
        <f>IF($B25=0,1000000,IF(INDEX('計算A'!$D$60:$DS$104,$B25,116)*HD25=1,'計算A'!DO$6,1000000))</f>
        <v/>
      </c>
      <c r="LV25">
        <f>IF($B25=0,1000000,IF(INDEX('計算A'!$D$60:$DS$104,$B25,117)*HE25=1,'計算A'!DP$6,1000000))</f>
        <v/>
      </c>
      <c r="LW25">
        <f>IF($B25=0,1000000,IF(INDEX('計算A'!$D$60:$DS$104,$B25,118)*HF25=1,'計算A'!DQ$6,1000000))</f>
        <v/>
      </c>
      <c r="LX25">
        <f>IF($B25=0,1000000,IF(INDEX('計算A'!$D$60:$DS$104,$B25,119)*HG25=1,'計算A'!DR$6,1000000))</f>
        <v/>
      </c>
      <c r="LY25">
        <f>IF($B25=0,1000000,IF(INDEX('計算A'!$D$60:$DS$104,$B25,120)*HH25=1,'計算A'!DS$6,1000000))</f>
        <v/>
      </c>
    </row>
    <row r="26">
      <c r="A26" t="n">
        <v>24</v>
      </c>
      <c r="B26">
        <f>IF(MIN(AY26:CQ26)&gt;=1000000,0,MATCH(MIN(AY26:CQ26),AY26:CQ26,0))</f>
        <v/>
      </c>
      <c r="C26">
        <f>IF(MIN(HJ26:LY26)&gt;=1000000,0,MATCH(MIN(HJ26:LY26),HJ26:LY26,0))</f>
        <v/>
      </c>
      <c r="D26">
        <f>IF(C26&gt;0,INDEX('計算A'!$D$5:$DS$5,C26),0)</f>
        <v/>
      </c>
      <c r="E26">
        <f>MAX(E25,IF($B25=1,1,0))</f>
        <v/>
      </c>
      <c r="F26">
        <f>MAX(F25,IF($B25=2,1,0))</f>
        <v/>
      </c>
      <c r="G26">
        <f>MAX(G25,IF($B25=3,1,0))</f>
        <v/>
      </c>
      <c r="H26">
        <f>MAX(H25,IF($B25=4,1,0))</f>
        <v/>
      </c>
      <c r="I26">
        <f>MAX(I25,IF($B25=5,1,0))</f>
        <v/>
      </c>
      <c r="J26">
        <f>MAX(J25,IF($B25=6,1,0))</f>
        <v/>
      </c>
      <c r="K26">
        <f>MAX(K25,IF($B25=7,1,0))</f>
        <v/>
      </c>
      <c r="L26">
        <f>MAX(L25,IF($B25=8,1,0))</f>
        <v/>
      </c>
      <c r="M26">
        <f>MAX(M25,IF($B25=9,1,0))</f>
        <v/>
      </c>
      <c r="N26">
        <f>MAX(N25,IF($B25=10,1,0))</f>
        <v/>
      </c>
      <c r="O26">
        <f>MAX(O25,IF($B25=11,1,0))</f>
        <v/>
      </c>
      <c r="P26">
        <f>MAX(P25,IF($B25=12,1,0))</f>
        <v/>
      </c>
      <c r="Q26">
        <f>MAX(Q25,IF($B25=13,1,0))</f>
        <v/>
      </c>
      <c r="R26">
        <f>MAX(R25,IF($B25=14,1,0))</f>
        <v/>
      </c>
      <c r="S26">
        <f>MAX(S25,IF($B25=15,1,0))</f>
        <v/>
      </c>
      <c r="T26">
        <f>MAX(T25,IF($B25=16,1,0))</f>
        <v/>
      </c>
      <c r="U26">
        <f>MAX(U25,IF($B25=17,1,0))</f>
        <v/>
      </c>
      <c r="V26">
        <f>MAX(V25,IF($B25=18,1,0))</f>
        <v/>
      </c>
      <c r="W26">
        <f>MAX(W25,IF($B25=19,1,0))</f>
        <v/>
      </c>
      <c r="X26">
        <f>MAX(X25,IF($B25=20,1,0))</f>
        <v/>
      </c>
      <c r="Y26">
        <f>MAX(Y25,IF($B25=21,1,0))</f>
        <v/>
      </c>
      <c r="Z26">
        <f>MAX(Z25,IF($B25=22,1,0))</f>
        <v/>
      </c>
      <c r="AA26">
        <f>MAX(AA25,IF($B25=23,1,0))</f>
        <v/>
      </c>
      <c r="AB26">
        <f>MAX(AB25,IF($B25=24,1,0))</f>
        <v/>
      </c>
      <c r="AC26">
        <f>MAX(AC25,IF($B25=25,1,0))</f>
        <v/>
      </c>
      <c r="AD26">
        <f>MAX(AD25,IF($B25=26,1,0))</f>
        <v/>
      </c>
      <c r="AE26">
        <f>MAX(AE25,IF($B25=27,1,0))</f>
        <v/>
      </c>
      <c r="AF26">
        <f>MAX(AF25,IF($B25=28,1,0))</f>
        <v/>
      </c>
      <c r="AG26">
        <f>MAX(AG25,IF($B25=29,1,0))</f>
        <v/>
      </c>
      <c r="AH26">
        <f>MAX(AH25,IF($B25=30,1,0))</f>
        <v/>
      </c>
      <c r="AI26">
        <f>MAX(AI25,IF($B25=31,1,0))</f>
        <v/>
      </c>
      <c r="AJ26">
        <f>MAX(AJ25,IF($B25=32,1,0))</f>
        <v/>
      </c>
      <c r="AK26">
        <f>MAX(AK25,IF($B25=33,1,0))</f>
        <v/>
      </c>
      <c r="AL26">
        <f>MAX(AL25,IF($B25=34,1,0))</f>
        <v/>
      </c>
      <c r="AM26">
        <f>MAX(AM25,IF($B25=35,1,0))</f>
        <v/>
      </c>
      <c r="AN26">
        <f>MAX(AN25,IF($B25=36,1,0))</f>
        <v/>
      </c>
      <c r="AO26">
        <f>MAX(AO25,IF($B25=37,1,0))</f>
        <v/>
      </c>
      <c r="AP26">
        <f>MAX(AP25,IF($B25=38,1,0))</f>
        <v/>
      </c>
      <c r="AQ26">
        <f>MAX(AQ25,IF($B25=39,1,0))</f>
        <v/>
      </c>
      <c r="AR26">
        <f>MAX(AR25,IF($B25=40,1,0))</f>
        <v/>
      </c>
      <c r="AS26">
        <f>MAX(AS25,IF($B25=41,1,0))</f>
        <v/>
      </c>
      <c r="AT26">
        <f>MAX(AT25,IF($B25=42,1,0))</f>
        <v/>
      </c>
      <c r="AU26">
        <f>MAX(AU25,IF($B25=43,1,0))</f>
        <v/>
      </c>
      <c r="AV26">
        <f>MAX(AV25,IF($B25=44,1,0))</f>
        <v/>
      </c>
      <c r="AW26">
        <f>MAX(AW25,IF($B25=45,1,0))</f>
        <v/>
      </c>
      <c r="AY26">
        <f>IF(E26=1,1000000,SUMPRODUCT('計算A'!$D$60:$DS$60,$CS26:$HH26)*1000+1)</f>
        <v/>
      </c>
      <c r="AZ26">
        <f>IF(F26=1,1000000,SUMPRODUCT('計算A'!$D$61:$DS$61,$CS26:$HH26)*1000+2)</f>
        <v/>
      </c>
      <c r="BA26">
        <f>IF(G26=1,1000000,SUMPRODUCT('計算A'!$D$62:$DS$62,$CS26:$HH26)*1000+3)</f>
        <v/>
      </c>
      <c r="BB26">
        <f>IF(H26=1,1000000,SUMPRODUCT('計算A'!$D$63:$DS$63,$CS26:$HH26)*1000+4)</f>
        <v/>
      </c>
      <c r="BC26">
        <f>IF(I26=1,1000000,SUMPRODUCT('計算A'!$D$64:$DS$64,$CS26:$HH26)*1000+5)</f>
        <v/>
      </c>
      <c r="BD26">
        <f>IF(J26=1,1000000,SUMPRODUCT('計算A'!$D$65:$DS$65,$CS26:$HH26)*1000+6)</f>
        <v/>
      </c>
      <c r="BE26">
        <f>IF(K26=1,1000000,SUMPRODUCT('計算A'!$D$66:$DS$66,$CS26:$HH26)*1000+7)</f>
        <v/>
      </c>
      <c r="BF26">
        <f>IF(L26=1,1000000,SUMPRODUCT('計算A'!$D$67:$DS$67,$CS26:$HH26)*1000+8)</f>
        <v/>
      </c>
      <c r="BG26">
        <f>IF(M26=1,1000000,SUMPRODUCT('計算A'!$D$68:$DS$68,$CS26:$HH26)*1000+9)</f>
        <v/>
      </c>
      <c r="BH26">
        <f>IF(N26=1,1000000,SUMPRODUCT('計算A'!$D$69:$DS$69,$CS26:$HH26)*1000+10)</f>
        <v/>
      </c>
      <c r="BI26">
        <f>IF(O26=1,1000000,SUMPRODUCT('計算A'!$D$70:$DS$70,$CS26:$HH26)*1000+11)</f>
        <v/>
      </c>
      <c r="BJ26">
        <f>IF(P26=1,1000000,SUMPRODUCT('計算A'!$D$71:$DS$71,$CS26:$HH26)*1000+12)</f>
        <v/>
      </c>
      <c r="BK26">
        <f>IF(Q26=1,1000000,SUMPRODUCT('計算A'!$D$72:$DS$72,$CS26:$HH26)*1000+13)</f>
        <v/>
      </c>
      <c r="BL26">
        <f>IF(R26=1,1000000,SUMPRODUCT('計算A'!$D$73:$DS$73,$CS26:$HH26)*1000+14)</f>
        <v/>
      </c>
      <c r="BM26">
        <f>IF(S26=1,1000000,SUMPRODUCT('計算A'!$D$74:$DS$74,$CS26:$HH26)*1000+15)</f>
        <v/>
      </c>
      <c r="BN26">
        <f>IF(T26=1,1000000,SUMPRODUCT('計算A'!$D$75:$DS$75,$CS26:$HH26)*1000+16)</f>
        <v/>
      </c>
      <c r="BO26">
        <f>IF(U26=1,1000000,SUMPRODUCT('計算A'!$D$76:$DS$76,$CS26:$HH26)*1000+17)</f>
        <v/>
      </c>
      <c r="BP26">
        <f>IF(V26=1,1000000,SUMPRODUCT('計算A'!$D$77:$DS$77,$CS26:$HH26)*1000+18)</f>
        <v/>
      </c>
      <c r="BQ26">
        <f>IF(W26=1,1000000,SUMPRODUCT('計算A'!$D$78:$DS$78,$CS26:$HH26)*1000+19)</f>
        <v/>
      </c>
      <c r="BR26">
        <f>IF(X26=1,1000000,SUMPRODUCT('計算A'!$D$79:$DS$79,$CS26:$HH26)*1000+20)</f>
        <v/>
      </c>
      <c r="BS26">
        <f>IF(Y26=1,1000000,SUMPRODUCT('計算A'!$D$80:$DS$80,$CS26:$HH26)*1000+21)</f>
        <v/>
      </c>
      <c r="BT26">
        <f>IF(Z26=1,1000000,SUMPRODUCT('計算A'!$D$81:$DS$81,$CS26:$HH26)*1000+22)</f>
        <v/>
      </c>
      <c r="BU26">
        <f>IF(AA26=1,1000000,SUMPRODUCT('計算A'!$D$82:$DS$82,$CS26:$HH26)*1000+23)</f>
        <v/>
      </c>
      <c r="BV26">
        <f>IF(AB26=1,1000000,SUMPRODUCT('計算A'!$D$83:$DS$83,$CS26:$HH26)*1000+24)</f>
        <v/>
      </c>
      <c r="BW26">
        <f>IF(AC26=1,1000000,SUMPRODUCT('計算A'!$D$84:$DS$84,$CS26:$HH26)*1000+25)</f>
        <v/>
      </c>
      <c r="BX26">
        <f>IF(AD26=1,1000000,SUMPRODUCT('計算A'!$D$85:$DS$85,$CS26:$HH26)*1000+26)</f>
        <v/>
      </c>
      <c r="BY26">
        <f>IF(AE26=1,1000000,SUMPRODUCT('計算A'!$D$86:$DS$86,$CS26:$HH26)*1000+27)</f>
        <v/>
      </c>
      <c r="BZ26">
        <f>IF(AF26=1,1000000,SUMPRODUCT('計算A'!$D$87:$DS$87,$CS26:$HH26)*1000+28)</f>
        <v/>
      </c>
      <c r="CA26">
        <f>IF(AG26=1,1000000,SUMPRODUCT('計算A'!$D$88:$DS$88,$CS26:$HH26)*1000+29)</f>
        <v/>
      </c>
      <c r="CB26">
        <f>IF(AH26=1,1000000,SUMPRODUCT('計算A'!$D$89:$DS$89,$CS26:$HH26)*1000+30)</f>
        <v/>
      </c>
      <c r="CC26">
        <f>IF(AI26=1,1000000,SUMPRODUCT('計算A'!$D$90:$DS$90,$CS26:$HH26)*1000+31)</f>
        <v/>
      </c>
      <c r="CD26">
        <f>IF(AJ26=1,1000000,SUMPRODUCT('計算A'!$D$91:$DS$91,$CS26:$HH26)*1000+32)</f>
        <v/>
      </c>
      <c r="CE26">
        <f>IF(AK26=1,1000000,SUMPRODUCT('計算A'!$D$92:$DS$92,$CS26:$HH26)*1000+33)</f>
        <v/>
      </c>
      <c r="CF26">
        <f>IF(AL26=1,1000000,SUMPRODUCT('計算A'!$D$93:$DS$93,$CS26:$HH26)*1000+34)</f>
        <v/>
      </c>
      <c r="CG26">
        <f>IF(AM26=1,1000000,SUMPRODUCT('計算A'!$D$94:$DS$94,$CS26:$HH26)*1000+35)</f>
        <v/>
      </c>
      <c r="CH26">
        <f>IF(AN26=1,1000000,SUMPRODUCT('計算A'!$D$95:$DS$95,$CS26:$HH26)*1000+36)</f>
        <v/>
      </c>
      <c r="CI26">
        <f>IF(AO26=1,1000000,SUMPRODUCT('計算A'!$D$96:$DS$96,$CS26:$HH26)*1000+37)</f>
        <v/>
      </c>
      <c r="CJ26">
        <f>IF(AP26=1,1000000,SUMPRODUCT('計算A'!$D$97:$DS$97,$CS26:$HH26)*1000+38)</f>
        <v/>
      </c>
      <c r="CK26">
        <f>IF(AQ26=1,1000000,SUMPRODUCT('計算A'!$D$98:$DS$98,$CS26:$HH26)*1000+39)</f>
        <v/>
      </c>
      <c r="CL26">
        <f>IF(AR26=1,1000000,SUMPRODUCT('計算A'!$D$99:$DS$99,$CS26:$HH26)*1000+40)</f>
        <v/>
      </c>
      <c r="CM26">
        <f>IF(AS26=1,1000000,SUMPRODUCT('計算A'!$D$100:$DS$100,$CS26:$HH26)*1000+41)</f>
        <v/>
      </c>
      <c r="CN26">
        <f>IF(AT26=1,1000000,SUMPRODUCT('計算A'!$D$101:$DS$101,$CS26:$HH26)*1000+42)</f>
        <v/>
      </c>
      <c r="CO26">
        <f>IF(AU26=1,1000000,SUMPRODUCT('計算A'!$D$102:$DS$102,$CS26:$HH26)*1000+43)</f>
        <v/>
      </c>
      <c r="CP26">
        <f>IF(AV26=1,1000000,SUMPRODUCT('計算A'!$D$103:$DS$103,$CS26:$HH26)*1000+44)</f>
        <v/>
      </c>
      <c r="CQ26">
        <f>IF(AW26=1,1000000,SUMPRODUCT('計算A'!$D$104:$DS$104,$CS26:$HH26)*1000+45)</f>
        <v/>
      </c>
      <c r="CS26">
        <f>CS25*IF($C25=1,0,1)</f>
        <v/>
      </c>
      <c r="CT26">
        <f>CT25*IF($C25=2,0,1)</f>
        <v/>
      </c>
      <c r="CU26">
        <f>CU25*IF($C25=3,0,1)</f>
        <v/>
      </c>
      <c r="CV26">
        <f>CV25*IF($C25=4,0,1)</f>
        <v/>
      </c>
      <c r="CW26">
        <f>CW25*IF($C25=5,0,1)</f>
        <v/>
      </c>
      <c r="CX26">
        <f>CX25*IF($C25=6,0,1)</f>
        <v/>
      </c>
      <c r="CY26">
        <f>CY25*IF($C25=7,0,1)</f>
        <v/>
      </c>
      <c r="CZ26">
        <f>CZ25*IF($C25=8,0,1)</f>
        <v/>
      </c>
      <c r="DA26">
        <f>DA25*IF($C25=9,0,1)</f>
        <v/>
      </c>
      <c r="DB26">
        <f>DB25*IF($C25=10,0,1)</f>
        <v/>
      </c>
      <c r="DC26">
        <f>DC25*IF($C25=11,0,1)</f>
        <v/>
      </c>
      <c r="DD26">
        <f>DD25*IF($C25=12,0,1)</f>
        <v/>
      </c>
      <c r="DE26">
        <f>DE25*IF($C25=13,0,1)</f>
        <v/>
      </c>
      <c r="DF26">
        <f>DF25*IF($C25=14,0,1)</f>
        <v/>
      </c>
      <c r="DG26">
        <f>DG25*IF($C25=15,0,1)</f>
        <v/>
      </c>
      <c r="DH26">
        <f>DH25*IF($C25=16,0,1)</f>
        <v/>
      </c>
      <c r="DI26">
        <f>DI25*IF($C25=17,0,1)</f>
        <v/>
      </c>
      <c r="DJ26">
        <f>DJ25*IF($C25=18,0,1)</f>
        <v/>
      </c>
      <c r="DK26">
        <f>DK25*IF($C25=19,0,1)</f>
        <v/>
      </c>
      <c r="DL26">
        <f>DL25*IF($C25=20,0,1)</f>
        <v/>
      </c>
      <c r="DM26">
        <f>DM25*IF($C25=21,0,1)</f>
        <v/>
      </c>
      <c r="DN26">
        <f>DN25*IF($C25=22,0,1)</f>
        <v/>
      </c>
      <c r="DO26">
        <f>DO25*IF($C25=23,0,1)</f>
        <v/>
      </c>
      <c r="DP26">
        <f>DP25*IF($C25=24,0,1)</f>
        <v/>
      </c>
      <c r="DQ26">
        <f>DQ25*IF($C25=25,0,1)</f>
        <v/>
      </c>
      <c r="DR26">
        <f>DR25*IF($C25=26,0,1)</f>
        <v/>
      </c>
      <c r="DS26">
        <f>DS25*IF($C25=27,0,1)</f>
        <v/>
      </c>
      <c r="DT26">
        <f>DT25*IF($C25=28,0,1)</f>
        <v/>
      </c>
      <c r="DU26">
        <f>DU25*IF($C25=29,0,1)</f>
        <v/>
      </c>
      <c r="DV26">
        <f>DV25*IF($C25=30,0,1)</f>
        <v/>
      </c>
      <c r="DW26">
        <f>DW25*IF($C25=31,0,1)</f>
        <v/>
      </c>
      <c r="DX26">
        <f>DX25*IF($C25=32,0,1)</f>
        <v/>
      </c>
      <c r="DY26">
        <f>DY25*IF($C25=33,0,1)</f>
        <v/>
      </c>
      <c r="DZ26">
        <f>DZ25*IF($C25=34,0,1)</f>
        <v/>
      </c>
      <c r="EA26">
        <f>EA25*IF($C25=35,0,1)</f>
        <v/>
      </c>
      <c r="EB26">
        <f>EB25*IF($C25=36,0,1)</f>
        <v/>
      </c>
      <c r="EC26">
        <f>EC25*IF($C25=37,0,1)</f>
        <v/>
      </c>
      <c r="ED26">
        <f>ED25*IF($C25=38,0,1)</f>
        <v/>
      </c>
      <c r="EE26">
        <f>EE25*IF($C25=39,0,1)</f>
        <v/>
      </c>
      <c r="EF26">
        <f>EF25*IF($C25=40,0,1)</f>
        <v/>
      </c>
      <c r="EG26">
        <f>EG25*IF($C25=41,0,1)</f>
        <v/>
      </c>
      <c r="EH26">
        <f>EH25*IF($C25=42,0,1)</f>
        <v/>
      </c>
      <c r="EI26">
        <f>EI25*IF($C25=43,0,1)</f>
        <v/>
      </c>
      <c r="EJ26">
        <f>EJ25*IF($C25=44,0,1)</f>
        <v/>
      </c>
      <c r="EK26">
        <f>EK25*IF($C25=45,0,1)</f>
        <v/>
      </c>
      <c r="EL26">
        <f>EL25*IF($C25=46,0,1)</f>
        <v/>
      </c>
      <c r="EM26">
        <f>EM25*IF($C25=47,0,1)</f>
        <v/>
      </c>
      <c r="EN26">
        <f>EN25*IF($C25=48,0,1)</f>
        <v/>
      </c>
      <c r="EO26">
        <f>EO25*IF($C25=49,0,1)</f>
        <v/>
      </c>
      <c r="EP26">
        <f>EP25*IF($C25=50,0,1)</f>
        <v/>
      </c>
      <c r="EQ26">
        <f>EQ25*IF($C25=51,0,1)</f>
        <v/>
      </c>
      <c r="ER26">
        <f>ER25*IF($C25=52,0,1)</f>
        <v/>
      </c>
      <c r="ES26">
        <f>ES25*IF($C25=53,0,1)</f>
        <v/>
      </c>
      <c r="ET26">
        <f>ET25*IF($C25=54,0,1)</f>
        <v/>
      </c>
      <c r="EU26">
        <f>EU25*IF($C25=55,0,1)</f>
        <v/>
      </c>
      <c r="EV26">
        <f>EV25*IF($C25=56,0,1)</f>
        <v/>
      </c>
      <c r="EW26">
        <f>EW25*IF($C25=57,0,1)</f>
        <v/>
      </c>
      <c r="EX26">
        <f>EX25*IF($C25=58,0,1)</f>
        <v/>
      </c>
      <c r="EY26">
        <f>EY25*IF($C25=59,0,1)</f>
        <v/>
      </c>
      <c r="EZ26">
        <f>EZ25*IF($C25=60,0,1)</f>
        <v/>
      </c>
      <c r="FA26">
        <f>FA25*IF($C25=61,0,1)</f>
        <v/>
      </c>
      <c r="FB26">
        <f>FB25*IF($C25=62,0,1)</f>
        <v/>
      </c>
      <c r="FC26">
        <f>FC25*IF($C25=63,0,1)</f>
        <v/>
      </c>
      <c r="FD26">
        <f>FD25*IF($C25=64,0,1)</f>
        <v/>
      </c>
      <c r="FE26">
        <f>FE25*IF($C25=65,0,1)</f>
        <v/>
      </c>
      <c r="FF26">
        <f>FF25*IF($C25=66,0,1)</f>
        <v/>
      </c>
      <c r="FG26">
        <f>FG25*IF($C25=67,0,1)</f>
        <v/>
      </c>
      <c r="FH26">
        <f>FH25*IF($C25=68,0,1)</f>
        <v/>
      </c>
      <c r="FI26">
        <f>FI25*IF($C25=69,0,1)</f>
        <v/>
      </c>
      <c r="FJ26">
        <f>FJ25*IF($C25=70,0,1)</f>
        <v/>
      </c>
      <c r="FK26">
        <f>FK25*IF($C25=71,0,1)</f>
        <v/>
      </c>
      <c r="FL26">
        <f>FL25*IF($C25=72,0,1)</f>
        <v/>
      </c>
      <c r="FM26">
        <f>FM25*IF($C25=73,0,1)</f>
        <v/>
      </c>
      <c r="FN26">
        <f>FN25*IF($C25=74,0,1)</f>
        <v/>
      </c>
      <c r="FO26">
        <f>FO25*IF($C25=75,0,1)</f>
        <v/>
      </c>
      <c r="FP26">
        <f>FP25*IF($C25=76,0,1)</f>
        <v/>
      </c>
      <c r="FQ26">
        <f>FQ25*IF($C25=77,0,1)</f>
        <v/>
      </c>
      <c r="FR26">
        <f>FR25*IF($C25=78,0,1)</f>
        <v/>
      </c>
      <c r="FS26">
        <f>FS25*IF($C25=79,0,1)</f>
        <v/>
      </c>
      <c r="FT26">
        <f>FT25*IF($C25=80,0,1)</f>
        <v/>
      </c>
      <c r="FU26">
        <f>FU25*IF($C25=81,0,1)</f>
        <v/>
      </c>
      <c r="FV26">
        <f>FV25*IF($C25=82,0,1)</f>
        <v/>
      </c>
      <c r="FW26">
        <f>FW25*IF($C25=83,0,1)</f>
        <v/>
      </c>
      <c r="FX26">
        <f>FX25*IF($C25=84,0,1)</f>
        <v/>
      </c>
      <c r="FY26">
        <f>FY25*IF($C25=85,0,1)</f>
        <v/>
      </c>
      <c r="FZ26">
        <f>FZ25*IF($C25=86,0,1)</f>
        <v/>
      </c>
      <c r="GA26">
        <f>GA25*IF($C25=87,0,1)</f>
        <v/>
      </c>
      <c r="GB26">
        <f>GB25*IF($C25=88,0,1)</f>
        <v/>
      </c>
      <c r="GC26">
        <f>GC25*IF($C25=89,0,1)</f>
        <v/>
      </c>
      <c r="GD26">
        <f>GD25*IF($C25=90,0,1)</f>
        <v/>
      </c>
      <c r="GE26">
        <f>GE25*IF($C25=91,0,1)</f>
        <v/>
      </c>
      <c r="GF26">
        <f>GF25*IF($C25=92,0,1)</f>
        <v/>
      </c>
      <c r="GG26">
        <f>GG25*IF($C25=93,0,1)</f>
        <v/>
      </c>
      <c r="GH26">
        <f>GH25*IF($C25=94,0,1)</f>
        <v/>
      </c>
      <c r="GI26">
        <f>GI25*IF($C25=95,0,1)</f>
        <v/>
      </c>
      <c r="GJ26">
        <f>GJ25*IF($C25=96,0,1)</f>
        <v/>
      </c>
      <c r="GK26">
        <f>GK25*IF($C25=97,0,1)</f>
        <v/>
      </c>
      <c r="GL26">
        <f>GL25*IF($C25=98,0,1)</f>
        <v/>
      </c>
      <c r="GM26">
        <f>GM25*IF($C25=99,0,1)</f>
        <v/>
      </c>
      <c r="GN26">
        <f>GN25*IF($C25=100,0,1)</f>
        <v/>
      </c>
      <c r="GO26">
        <f>GO25*IF($C25=101,0,1)</f>
        <v/>
      </c>
      <c r="GP26">
        <f>GP25*IF($C25=102,0,1)</f>
        <v/>
      </c>
      <c r="GQ26">
        <f>GQ25*IF($C25=103,0,1)</f>
        <v/>
      </c>
      <c r="GR26">
        <f>GR25*IF($C25=104,0,1)</f>
        <v/>
      </c>
      <c r="GS26">
        <f>GS25*IF($C25=105,0,1)</f>
        <v/>
      </c>
      <c r="GT26">
        <f>GT25*IF($C25=106,0,1)</f>
        <v/>
      </c>
      <c r="GU26">
        <f>GU25*IF($C25=107,0,1)</f>
        <v/>
      </c>
      <c r="GV26">
        <f>GV25*IF($C25=108,0,1)</f>
        <v/>
      </c>
      <c r="GW26">
        <f>GW25*IF($C25=109,0,1)</f>
        <v/>
      </c>
      <c r="GX26">
        <f>GX25*IF($C25=110,0,1)</f>
        <v/>
      </c>
      <c r="GY26">
        <f>GY25*IF($C25=111,0,1)</f>
        <v/>
      </c>
      <c r="GZ26">
        <f>GZ25*IF($C25=112,0,1)</f>
        <v/>
      </c>
      <c r="HA26">
        <f>HA25*IF($C25=113,0,1)</f>
        <v/>
      </c>
      <c r="HB26">
        <f>HB25*IF($C25=114,0,1)</f>
        <v/>
      </c>
      <c r="HC26">
        <f>HC25*IF($C25=115,0,1)</f>
        <v/>
      </c>
      <c r="HD26">
        <f>HD25*IF($C25=116,0,1)</f>
        <v/>
      </c>
      <c r="HE26">
        <f>HE25*IF($C25=117,0,1)</f>
        <v/>
      </c>
      <c r="HF26">
        <f>HF25*IF($C25=118,0,1)</f>
        <v/>
      </c>
      <c r="HG26">
        <f>HG25*IF($C25=119,0,1)</f>
        <v/>
      </c>
      <c r="HH26">
        <f>HH25*IF($C25=120,0,1)</f>
        <v/>
      </c>
      <c r="HJ26">
        <f>IF($B26=0,1000000,IF(INDEX('計算A'!$D$60:$DS$104,$B26,1)*CS26=1,'計算A'!D$6,1000000))</f>
        <v/>
      </c>
      <c r="HK26">
        <f>IF($B26=0,1000000,IF(INDEX('計算A'!$D$60:$DS$104,$B26,2)*CT26=1,'計算A'!E$6,1000000))</f>
        <v/>
      </c>
      <c r="HL26">
        <f>IF($B26=0,1000000,IF(INDEX('計算A'!$D$60:$DS$104,$B26,3)*CU26=1,'計算A'!F$6,1000000))</f>
        <v/>
      </c>
      <c r="HM26">
        <f>IF($B26=0,1000000,IF(INDEX('計算A'!$D$60:$DS$104,$B26,4)*CV26=1,'計算A'!G$6,1000000))</f>
        <v/>
      </c>
      <c r="HN26">
        <f>IF($B26=0,1000000,IF(INDEX('計算A'!$D$60:$DS$104,$B26,5)*CW26=1,'計算A'!H$6,1000000))</f>
        <v/>
      </c>
      <c r="HO26">
        <f>IF($B26=0,1000000,IF(INDEX('計算A'!$D$60:$DS$104,$B26,6)*CX26=1,'計算A'!I$6,1000000))</f>
        <v/>
      </c>
      <c r="HP26">
        <f>IF($B26=0,1000000,IF(INDEX('計算A'!$D$60:$DS$104,$B26,7)*CY26=1,'計算A'!J$6,1000000))</f>
        <v/>
      </c>
      <c r="HQ26">
        <f>IF($B26=0,1000000,IF(INDEX('計算A'!$D$60:$DS$104,$B26,8)*CZ26=1,'計算A'!K$6,1000000))</f>
        <v/>
      </c>
      <c r="HR26">
        <f>IF($B26=0,1000000,IF(INDEX('計算A'!$D$60:$DS$104,$B26,9)*DA26=1,'計算A'!L$6,1000000))</f>
        <v/>
      </c>
      <c r="HS26">
        <f>IF($B26=0,1000000,IF(INDEX('計算A'!$D$60:$DS$104,$B26,10)*DB26=1,'計算A'!M$6,1000000))</f>
        <v/>
      </c>
      <c r="HT26">
        <f>IF($B26=0,1000000,IF(INDEX('計算A'!$D$60:$DS$104,$B26,11)*DC26=1,'計算A'!N$6,1000000))</f>
        <v/>
      </c>
      <c r="HU26">
        <f>IF($B26=0,1000000,IF(INDEX('計算A'!$D$60:$DS$104,$B26,12)*DD26=1,'計算A'!O$6,1000000))</f>
        <v/>
      </c>
      <c r="HV26">
        <f>IF($B26=0,1000000,IF(INDEX('計算A'!$D$60:$DS$104,$B26,13)*DE26=1,'計算A'!P$6,1000000))</f>
        <v/>
      </c>
      <c r="HW26">
        <f>IF($B26=0,1000000,IF(INDEX('計算A'!$D$60:$DS$104,$B26,14)*DF26=1,'計算A'!Q$6,1000000))</f>
        <v/>
      </c>
      <c r="HX26">
        <f>IF($B26=0,1000000,IF(INDEX('計算A'!$D$60:$DS$104,$B26,15)*DG26=1,'計算A'!R$6,1000000))</f>
        <v/>
      </c>
      <c r="HY26">
        <f>IF($B26=0,1000000,IF(INDEX('計算A'!$D$60:$DS$104,$B26,16)*DH26=1,'計算A'!S$6,1000000))</f>
        <v/>
      </c>
      <c r="HZ26">
        <f>IF($B26=0,1000000,IF(INDEX('計算A'!$D$60:$DS$104,$B26,17)*DI26=1,'計算A'!T$6,1000000))</f>
        <v/>
      </c>
      <c r="IA26">
        <f>IF($B26=0,1000000,IF(INDEX('計算A'!$D$60:$DS$104,$B26,18)*DJ26=1,'計算A'!U$6,1000000))</f>
        <v/>
      </c>
      <c r="IB26">
        <f>IF($B26=0,1000000,IF(INDEX('計算A'!$D$60:$DS$104,$B26,19)*DK26=1,'計算A'!V$6,1000000))</f>
        <v/>
      </c>
      <c r="IC26">
        <f>IF($B26=0,1000000,IF(INDEX('計算A'!$D$60:$DS$104,$B26,20)*DL26=1,'計算A'!W$6,1000000))</f>
        <v/>
      </c>
      <c r="ID26">
        <f>IF($B26=0,1000000,IF(INDEX('計算A'!$D$60:$DS$104,$B26,21)*DM26=1,'計算A'!X$6,1000000))</f>
        <v/>
      </c>
      <c r="IE26">
        <f>IF($B26=0,1000000,IF(INDEX('計算A'!$D$60:$DS$104,$B26,22)*DN26=1,'計算A'!Y$6,1000000))</f>
        <v/>
      </c>
      <c r="IF26">
        <f>IF($B26=0,1000000,IF(INDEX('計算A'!$D$60:$DS$104,$B26,23)*DO26=1,'計算A'!Z$6,1000000))</f>
        <v/>
      </c>
      <c r="IG26">
        <f>IF($B26=0,1000000,IF(INDEX('計算A'!$D$60:$DS$104,$B26,24)*DP26=1,'計算A'!AA$6,1000000))</f>
        <v/>
      </c>
      <c r="IH26">
        <f>IF($B26=0,1000000,IF(INDEX('計算A'!$D$60:$DS$104,$B26,25)*DQ26=1,'計算A'!AB$6,1000000))</f>
        <v/>
      </c>
      <c r="II26">
        <f>IF($B26=0,1000000,IF(INDEX('計算A'!$D$60:$DS$104,$B26,26)*DR26=1,'計算A'!AC$6,1000000))</f>
        <v/>
      </c>
      <c r="IJ26">
        <f>IF($B26=0,1000000,IF(INDEX('計算A'!$D$60:$DS$104,$B26,27)*DS26=1,'計算A'!AD$6,1000000))</f>
        <v/>
      </c>
      <c r="IK26">
        <f>IF($B26=0,1000000,IF(INDEX('計算A'!$D$60:$DS$104,$B26,28)*DT26=1,'計算A'!AE$6,1000000))</f>
        <v/>
      </c>
      <c r="IL26">
        <f>IF($B26=0,1000000,IF(INDEX('計算A'!$D$60:$DS$104,$B26,29)*DU26=1,'計算A'!AF$6,1000000))</f>
        <v/>
      </c>
      <c r="IM26">
        <f>IF($B26=0,1000000,IF(INDEX('計算A'!$D$60:$DS$104,$B26,30)*DV26=1,'計算A'!AG$6,1000000))</f>
        <v/>
      </c>
      <c r="IN26">
        <f>IF($B26=0,1000000,IF(INDEX('計算A'!$D$60:$DS$104,$B26,31)*DW26=1,'計算A'!AH$6,1000000))</f>
        <v/>
      </c>
      <c r="IO26">
        <f>IF($B26=0,1000000,IF(INDEX('計算A'!$D$60:$DS$104,$B26,32)*DX26=1,'計算A'!AI$6,1000000))</f>
        <v/>
      </c>
      <c r="IP26">
        <f>IF($B26=0,1000000,IF(INDEX('計算A'!$D$60:$DS$104,$B26,33)*DY26=1,'計算A'!AJ$6,1000000))</f>
        <v/>
      </c>
      <c r="IQ26">
        <f>IF($B26=0,1000000,IF(INDEX('計算A'!$D$60:$DS$104,$B26,34)*DZ26=1,'計算A'!AK$6,1000000))</f>
        <v/>
      </c>
      <c r="IR26">
        <f>IF($B26=0,1000000,IF(INDEX('計算A'!$D$60:$DS$104,$B26,35)*EA26=1,'計算A'!AL$6,1000000))</f>
        <v/>
      </c>
      <c r="IS26">
        <f>IF($B26=0,1000000,IF(INDEX('計算A'!$D$60:$DS$104,$B26,36)*EB26=1,'計算A'!AM$6,1000000))</f>
        <v/>
      </c>
      <c r="IT26">
        <f>IF($B26=0,1000000,IF(INDEX('計算A'!$D$60:$DS$104,$B26,37)*EC26=1,'計算A'!AN$6,1000000))</f>
        <v/>
      </c>
      <c r="IU26">
        <f>IF($B26=0,1000000,IF(INDEX('計算A'!$D$60:$DS$104,$B26,38)*ED26=1,'計算A'!AO$6,1000000))</f>
        <v/>
      </c>
      <c r="IV26">
        <f>IF($B26=0,1000000,IF(INDEX('計算A'!$D$60:$DS$104,$B26,39)*EE26=1,'計算A'!AP$6,1000000))</f>
        <v/>
      </c>
      <c r="IW26">
        <f>IF($B26=0,1000000,IF(INDEX('計算A'!$D$60:$DS$104,$B26,40)*EF26=1,'計算A'!AQ$6,1000000))</f>
        <v/>
      </c>
      <c r="IX26">
        <f>IF($B26=0,1000000,IF(INDEX('計算A'!$D$60:$DS$104,$B26,41)*EG26=1,'計算A'!AR$6,1000000))</f>
        <v/>
      </c>
      <c r="IY26">
        <f>IF($B26=0,1000000,IF(INDEX('計算A'!$D$60:$DS$104,$B26,42)*EH26=1,'計算A'!AS$6,1000000))</f>
        <v/>
      </c>
      <c r="IZ26">
        <f>IF($B26=0,1000000,IF(INDEX('計算A'!$D$60:$DS$104,$B26,43)*EI26=1,'計算A'!AT$6,1000000))</f>
        <v/>
      </c>
      <c r="JA26">
        <f>IF($B26=0,1000000,IF(INDEX('計算A'!$D$60:$DS$104,$B26,44)*EJ26=1,'計算A'!AU$6,1000000))</f>
        <v/>
      </c>
      <c r="JB26">
        <f>IF($B26=0,1000000,IF(INDEX('計算A'!$D$60:$DS$104,$B26,45)*EK26=1,'計算A'!AV$6,1000000))</f>
        <v/>
      </c>
      <c r="JC26">
        <f>IF($B26=0,1000000,IF(INDEX('計算A'!$D$60:$DS$104,$B26,46)*EL26=1,'計算A'!AW$6,1000000))</f>
        <v/>
      </c>
      <c r="JD26">
        <f>IF($B26=0,1000000,IF(INDEX('計算A'!$D$60:$DS$104,$B26,47)*EM26=1,'計算A'!AX$6,1000000))</f>
        <v/>
      </c>
      <c r="JE26">
        <f>IF($B26=0,1000000,IF(INDEX('計算A'!$D$60:$DS$104,$B26,48)*EN26=1,'計算A'!AY$6,1000000))</f>
        <v/>
      </c>
      <c r="JF26">
        <f>IF($B26=0,1000000,IF(INDEX('計算A'!$D$60:$DS$104,$B26,49)*EO26=1,'計算A'!AZ$6,1000000))</f>
        <v/>
      </c>
      <c r="JG26">
        <f>IF($B26=0,1000000,IF(INDEX('計算A'!$D$60:$DS$104,$B26,50)*EP26=1,'計算A'!BA$6,1000000))</f>
        <v/>
      </c>
      <c r="JH26">
        <f>IF($B26=0,1000000,IF(INDEX('計算A'!$D$60:$DS$104,$B26,51)*EQ26=1,'計算A'!BB$6,1000000))</f>
        <v/>
      </c>
      <c r="JI26">
        <f>IF($B26=0,1000000,IF(INDEX('計算A'!$D$60:$DS$104,$B26,52)*ER26=1,'計算A'!BC$6,1000000))</f>
        <v/>
      </c>
      <c r="JJ26">
        <f>IF($B26=0,1000000,IF(INDEX('計算A'!$D$60:$DS$104,$B26,53)*ES26=1,'計算A'!BD$6,1000000))</f>
        <v/>
      </c>
      <c r="JK26">
        <f>IF($B26=0,1000000,IF(INDEX('計算A'!$D$60:$DS$104,$B26,54)*ET26=1,'計算A'!BE$6,1000000))</f>
        <v/>
      </c>
      <c r="JL26">
        <f>IF($B26=0,1000000,IF(INDEX('計算A'!$D$60:$DS$104,$B26,55)*EU26=1,'計算A'!BF$6,1000000))</f>
        <v/>
      </c>
      <c r="JM26">
        <f>IF($B26=0,1000000,IF(INDEX('計算A'!$D$60:$DS$104,$B26,56)*EV26=1,'計算A'!BG$6,1000000))</f>
        <v/>
      </c>
      <c r="JN26">
        <f>IF($B26=0,1000000,IF(INDEX('計算A'!$D$60:$DS$104,$B26,57)*EW26=1,'計算A'!BH$6,1000000))</f>
        <v/>
      </c>
      <c r="JO26">
        <f>IF($B26=0,1000000,IF(INDEX('計算A'!$D$60:$DS$104,$B26,58)*EX26=1,'計算A'!BI$6,1000000))</f>
        <v/>
      </c>
      <c r="JP26">
        <f>IF($B26=0,1000000,IF(INDEX('計算A'!$D$60:$DS$104,$B26,59)*EY26=1,'計算A'!BJ$6,1000000))</f>
        <v/>
      </c>
      <c r="JQ26">
        <f>IF($B26=0,1000000,IF(INDEX('計算A'!$D$60:$DS$104,$B26,60)*EZ26=1,'計算A'!BK$6,1000000))</f>
        <v/>
      </c>
      <c r="JR26">
        <f>IF($B26=0,1000000,IF(INDEX('計算A'!$D$60:$DS$104,$B26,61)*FA26=1,'計算A'!BL$6,1000000))</f>
        <v/>
      </c>
      <c r="JS26">
        <f>IF($B26=0,1000000,IF(INDEX('計算A'!$D$60:$DS$104,$B26,62)*FB26=1,'計算A'!BM$6,1000000))</f>
        <v/>
      </c>
      <c r="JT26">
        <f>IF($B26=0,1000000,IF(INDEX('計算A'!$D$60:$DS$104,$B26,63)*FC26=1,'計算A'!BN$6,1000000))</f>
        <v/>
      </c>
      <c r="JU26">
        <f>IF($B26=0,1000000,IF(INDEX('計算A'!$D$60:$DS$104,$B26,64)*FD26=1,'計算A'!BO$6,1000000))</f>
        <v/>
      </c>
      <c r="JV26">
        <f>IF($B26=0,1000000,IF(INDEX('計算A'!$D$60:$DS$104,$B26,65)*FE26=1,'計算A'!BP$6,1000000))</f>
        <v/>
      </c>
      <c r="JW26">
        <f>IF($B26=0,1000000,IF(INDEX('計算A'!$D$60:$DS$104,$B26,66)*FF26=1,'計算A'!BQ$6,1000000))</f>
        <v/>
      </c>
      <c r="JX26">
        <f>IF($B26=0,1000000,IF(INDEX('計算A'!$D$60:$DS$104,$B26,67)*FG26=1,'計算A'!BR$6,1000000))</f>
        <v/>
      </c>
      <c r="JY26">
        <f>IF($B26=0,1000000,IF(INDEX('計算A'!$D$60:$DS$104,$B26,68)*FH26=1,'計算A'!BS$6,1000000))</f>
        <v/>
      </c>
      <c r="JZ26">
        <f>IF($B26=0,1000000,IF(INDEX('計算A'!$D$60:$DS$104,$B26,69)*FI26=1,'計算A'!BT$6,1000000))</f>
        <v/>
      </c>
      <c r="KA26">
        <f>IF($B26=0,1000000,IF(INDEX('計算A'!$D$60:$DS$104,$B26,70)*FJ26=1,'計算A'!BU$6,1000000))</f>
        <v/>
      </c>
      <c r="KB26">
        <f>IF($B26=0,1000000,IF(INDEX('計算A'!$D$60:$DS$104,$B26,71)*FK26=1,'計算A'!BV$6,1000000))</f>
        <v/>
      </c>
      <c r="KC26">
        <f>IF($B26=0,1000000,IF(INDEX('計算A'!$D$60:$DS$104,$B26,72)*FL26=1,'計算A'!BW$6,1000000))</f>
        <v/>
      </c>
      <c r="KD26">
        <f>IF($B26=0,1000000,IF(INDEX('計算A'!$D$60:$DS$104,$B26,73)*FM26=1,'計算A'!BX$6,1000000))</f>
        <v/>
      </c>
      <c r="KE26">
        <f>IF($B26=0,1000000,IF(INDEX('計算A'!$D$60:$DS$104,$B26,74)*FN26=1,'計算A'!BY$6,1000000))</f>
        <v/>
      </c>
      <c r="KF26">
        <f>IF($B26=0,1000000,IF(INDEX('計算A'!$D$60:$DS$104,$B26,75)*FO26=1,'計算A'!BZ$6,1000000))</f>
        <v/>
      </c>
      <c r="KG26">
        <f>IF($B26=0,1000000,IF(INDEX('計算A'!$D$60:$DS$104,$B26,76)*FP26=1,'計算A'!CA$6,1000000))</f>
        <v/>
      </c>
      <c r="KH26">
        <f>IF($B26=0,1000000,IF(INDEX('計算A'!$D$60:$DS$104,$B26,77)*FQ26=1,'計算A'!CB$6,1000000))</f>
        <v/>
      </c>
      <c r="KI26">
        <f>IF($B26=0,1000000,IF(INDEX('計算A'!$D$60:$DS$104,$B26,78)*FR26=1,'計算A'!CC$6,1000000))</f>
        <v/>
      </c>
      <c r="KJ26">
        <f>IF($B26=0,1000000,IF(INDEX('計算A'!$D$60:$DS$104,$B26,79)*FS26=1,'計算A'!CD$6,1000000))</f>
        <v/>
      </c>
      <c r="KK26">
        <f>IF($B26=0,1000000,IF(INDEX('計算A'!$D$60:$DS$104,$B26,80)*FT26=1,'計算A'!CE$6,1000000))</f>
        <v/>
      </c>
      <c r="KL26">
        <f>IF($B26=0,1000000,IF(INDEX('計算A'!$D$60:$DS$104,$B26,81)*FU26=1,'計算A'!CF$6,1000000))</f>
        <v/>
      </c>
      <c r="KM26">
        <f>IF($B26=0,1000000,IF(INDEX('計算A'!$D$60:$DS$104,$B26,82)*FV26=1,'計算A'!CG$6,1000000))</f>
        <v/>
      </c>
      <c r="KN26">
        <f>IF($B26=0,1000000,IF(INDEX('計算A'!$D$60:$DS$104,$B26,83)*FW26=1,'計算A'!CH$6,1000000))</f>
        <v/>
      </c>
      <c r="KO26">
        <f>IF($B26=0,1000000,IF(INDEX('計算A'!$D$60:$DS$104,$B26,84)*FX26=1,'計算A'!CI$6,1000000))</f>
        <v/>
      </c>
      <c r="KP26">
        <f>IF($B26=0,1000000,IF(INDEX('計算A'!$D$60:$DS$104,$B26,85)*FY26=1,'計算A'!CJ$6,1000000))</f>
        <v/>
      </c>
      <c r="KQ26">
        <f>IF($B26=0,1000000,IF(INDEX('計算A'!$D$60:$DS$104,$B26,86)*FZ26=1,'計算A'!CK$6,1000000))</f>
        <v/>
      </c>
      <c r="KR26">
        <f>IF($B26=0,1000000,IF(INDEX('計算A'!$D$60:$DS$104,$B26,87)*GA26=1,'計算A'!CL$6,1000000))</f>
        <v/>
      </c>
      <c r="KS26">
        <f>IF($B26=0,1000000,IF(INDEX('計算A'!$D$60:$DS$104,$B26,88)*GB26=1,'計算A'!CM$6,1000000))</f>
        <v/>
      </c>
      <c r="KT26">
        <f>IF($B26=0,1000000,IF(INDEX('計算A'!$D$60:$DS$104,$B26,89)*GC26=1,'計算A'!CN$6,1000000))</f>
        <v/>
      </c>
      <c r="KU26">
        <f>IF($B26=0,1000000,IF(INDEX('計算A'!$D$60:$DS$104,$B26,90)*GD26=1,'計算A'!CO$6,1000000))</f>
        <v/>
      </c>
      <c r="KV26">
        <f>IF($B26=0,1000000,IF(INDEX('計算A'!$D$60:$DS$104,$B26,91)*GE26=1,'計算A'!CP$6,1000000))</f>
        <v/>
      </c>
      <c r="KW26">
        <f>IF($B26=0,1000000,IF(INDEX('計算A'!$D$60:$DS$104,$B26,92)*GF26=1,'計算A'!CQ$6,1000000))</f>
        <v/>
      </c>
      <c r="KX26">
        <f>IF($B26=0,1000000,IF(INDEX('計算A'!$D$60:$DS$104,$B26,93)*GG26=1,'計算A'!CR$6,1000000))</f>
        <v/>
      </c>
      <c r="KY26">
        <f>IF($B26=0,1000000,IF(INDEX('計算A'!$D$60:$DS$104,$B26,94)*GH26=1,'計算A'!CS$6,1000000))</f>
        <v/>
      </c>
      <c r="KZ26">
        <f>IF($B26=0,1000000,IF(INDEX('計算A'!$D$60:$DS$104,$B26,95)*GI26=1,'計算A'!CT$6,1000000))</f>
        <v/>
      </c>
      <c r="LA26">
        <f>IF($B26=0,1000000,IF(INDEX('計算A'!$D$60:$DS$104,$B26,96)*GJ26=1,'計算A'!CU$6,1000000))</f>
        <v/>
      </c>
      <c r="LB26">
        <f>IF($B26=0,1000000,IF(INDEX('計算A'!$D$60:$DS$104,$B26,97)*GK26=1,'計算A'!CV$6,1000000))</f>
        <v/>
      </c>
      <c r="LC26">
        <f>IF($B26=0,1000000,IF(INDEX('計算A'!$D$60:$DS$104,$B26,98)*GL26=1,'計算A'!CW$6,1000000))</f>
        <v/>
      </c>
      <c r="LD26">
        <f>IF($B26=0,1000000,IF(INDEX('計算A'!$D$60:$DS$104,$B26,99)*GM26=1,'計算A'!CX$6,1000000))</f>
        <v/>
      </c>
      <c r="LE26">
        <f>IF($B26=0,1000000,IF(INDEX('計算A'!$D$60:$DS$104,$B26,100)*GN26=1,'計算A'!CY$6,1000000))</f>
        <v/>
      </c>
      <c r="LF26">
        <f>IF($B26=0,1000000,IF(INDEX('計算A'!$D$60:$DS$104,$B26,101)*GO26=1,'計算A'!CZ$6,1000000))</f>
        <v/>
      </c>
      <c r="LG26">
        <f>IF($B26=0,1000000,IF(INDEX('計算A'!$D$60:$DS$104,$B26,102)*GP26=1,'計算A'!DA$6,1000000))</f>
        <v/>
      </c>
      <c r="LH26">
        <f>IF($B26=0,1000000,IF(INDEX('計算A'!$D$60:$DS$104,$B26,103)*GQ26=1,'計算A'!DB$6,1000000))</f>
        <v/>
      </c>
      <c r="LI26">
        <f>IF($B26=0,1000000,IF(INDEX('計算A'!$D$60:$DS$104,$B26,104)*GR26=1,'計算A'!DC$6,1000000))</f>
        <v/>
      </c>
      <c r="LJ26">
        <f>IF($B26=0,1000000,IF(INDEX('計算A'!$D$60:$DS$104,$B26,105)*GS26=1,'計算A'!DD$6,1000000))</f>
        <v/>
      </c>
      <c r="LK26">
        <f>IF($B26=0,1000000,IF(INDEX('計算A'!$D$60:$DS$104,$B26,106)*GT26=1,'計算A'!DE$6,1000000))</f>
        <v/>
      </c>
      <c r="LL26">
        <f>IF($B26=0,1000000,IF(INDEX('計算A'!$D$60:$DS$104,$B26,107)*GU26=1,'計算A'!DF$6,1000000))</f>
        <v/>
      </c>
      <c r="LM26">
        <f>IF($B26=0,1000000,IF(INDEX('計算A'!$D$60:$DS$104,$B26,108)*GV26=1,'計算A'!DG$6,1000000))</f>
        <v/>
      </c>
      <c r="LN26">
        <f>IF($B26=0,1000000,IF(INDEX('計算A'!$D$60:$DS$104,$B26,109)*GW26=1,'計算A'!DH$6,1000000))</f>
        <v/>
      </c>
      <c r="LO26">
        <f>IF($B26=0,1000000,IF(INDEX('計算A'!$D$60:$DS$104,$B26,110)*GX26=1,'計算A'!DI$6,1000000))</f>
        <v/>
      </c>
      <c r="LP26">
        <f>IF($B26=0,1000000,IF(INDEX('計算A'!$D$60:$DS$104,$B26,111)*GY26=1,'計算A'!DJ$6,1000000))</f>
        <v/>
      </c>
      <c r="LQ26">
        <f>IF($B26=0,1000000,IF(INDEX('計算A'!$D$60:$DS$104,$B26,112)*GZ26=1,'計算A'!DK$6,1000000))</f>
        <v/>
      </c>
      <c r="LR26">
        <f>IF($B26=0,1000000,IF(INDEX('計算A'!$D$60:$DS$104,$B26,113)*HA26=1,'計算A'!DL$6,1000000))</f>
        <v/>
      </c>
      <c r="LS26">
        <f>IF($B26=0,1000000,IF(INDEX('計算A'!$D$60:$DS$104,$B26,114)*HB26=1,'計算A'!DM$6,1000000))</f>
        <v/>
      </c>
      <c r="LT26">
        <f>IF($B26=0,1000000,IF(INDEX('計算A'!$D$60:$DS$104,$B26,115)*HC26=1,'計算A'!DN$6,1000000))</f>
        <v/>
      </c>
      <c r="LU26">
        <f>IF($B26=0,1000000,IF(INDEX('計算A'!$D$60:$DS$104,$B26,116)*HD26=1,'計算A'!DO$6,1000000))</f>
        <v/>
      </c>
      <c r="LV26">
        <f>IF($B26=0,1000000,IF(INDEX('計算A'!$D$60:$DS$104,$B26,117)*HE26=1,'計算A'!DP$6,1000000))</f>
        <v/>
      </c>
      <c r="LW26">
        <f>IF($B26=0,1000000,IF(INDEX('計算A'!$D$60:$DS$104,$B26,118)*HF26=1,'計算A'!DQ$6,1000000))</f>
        <v/>
      </c>
      <c r="LX26">
        <f>IF($B26=0,1000000,IF(INDEX('計算A'!$D$60:$DS$104,$B26,119)*HG26=1,'計算A'!DR$6,1000000))</f>
        <v/>
      </c>
      <c r="LY26">
        <f>IF($B26=0,1000000,IF(INDEX('計算A'!$D$60:$DS$104,$B26,120)*HH26=1,'計算A'!DS$6,1000000))</f>
        <v/>
      </c>
    </row>
    <row r="27">
      <c r="A27" t="n">
        <v>25</v>
      </c>
      <c r="B27">
        <f>IF(MIN(AY27:CQ27)&gt;=1000000,0,MATCH(MIN(AY27:CQ27),AY27:CQ27,0))</f>
        <v/>
      </c>
      <c r="C27">
        <f>IF(MIN(HJ27:LY27)&gt;=1000000,0,MATCH(MIN(HJ27:LY27),HJ27:LY27,0))</f>
        <v/>
      </c>
      <c r="D27">
        <f>IF(C27&gt;0,INDEX('計算A'!$D$5:$DS$5,C27),0)</f>
        <v/>
      </c>
      <c r="E27">
        <f>MAX(E26,IF($B26=1,1,0))</f>
        <v/>
      </c>
      <c r="F27">
        <f>MAX(F26,IF($B26=2,1,0))</f>
        <v/>
      </c>
      <c r="G27">
        <f>MAX(G26,IF($B26=3,1,0))</f>
        <v/>
      </c>
      <c r="H27">
        <f>MAX(H26,IF($B26=4,1,0))</f>
        <v/>
      </c>
      <c r="I27">
        <f>MAX(I26,IF($B26=5,1,0))</f>
        <v/>
      </c>
      <c r="J27">
        <f>MAX(J26,IF($B26=6,1,0))</f>
        <v/>
      </c>
      <c r="K27">
        <f>MAX(K26,IF($B26=7,1,0))</f>
        <v/>
      </c>
      <c r="L27">
        <f>MAX(L26,IF($B26=8,1,0))</f>
        <v/>
      </c>
      <c r="M27">
        <f>MAX(M26,IF($B26=9,1,0))</f>
        <v/>
      </c>
      <c r="N27">
        <f>MAX(N26,IF($B26=10,1,0))</f>
        <v/>
      </c>
      <c r="O27">
        <f>MAX(O26,IF($B26=11,1,0))</f>
        <v/>
      </c>
      <c r="P27">
        <f>MAX(P26,IF($B26=12,1,0))</f>
        <v/>
      </c>
      <c r="Q27">
        <f>MAX(Q26,IF($B26=13,1,0))</f>
        <v/>
      </c>
      <c r="R27">
        <f>MAX(R26,IF($B26=14,1,0))</f>
        <v/>
      </c>
      <c r="S27">
        <f>MAX(S26,IF($B26=15,1,0))</f>
        <v/>
      </c>
      <c r="T27">
        <f>MAX(T26,IF($B26=16,1,0))</f>
        <v/>
      </c>
      <c r="U27">
        <f>MAX(U26,IF($B26=17,1,0))</f>
        <v/>
      </c>
      <c r="V27">
        <f>MAX(V26,IF($B26=18,1,0))</f>
        <v/>
      </c>
      <c r="W27">
        <f>MAX(W26,IF($B26=19,1,0))</f>
        <v/>
      </c>
      <c r="X27">
        <f>MAX(X26,IF($B26=20,1,0))</f>
        <v/>
      </c>
      <c r="Y27">
        <f>MAX(Y26,IF($B26=21,1,0))</f>
        <v/>
      </c>
      <c r="Z27">
        <f>MAX(Z26,IF($B26=22,1,0))</f>
        <v/>
      </c>
      <c r="AA27">
        <f>MAX(AA26,IF($B26=23,1,0))</f>
        <v/>
      </c>
      <c r="AB27">
        <f>MAX(AB26,IF($B26=24,1,0))</f>
        <v/>
      </c>
      <c r="AC27">
        <f>MAX(AC26,IF($B26=25,1,0))</f>
        <v/>
      </c>
      <c r="AD27">
        <f>MAX(AD26,IF($B26=26,1,0))</f>
        <v/>
      </c>
      <c r="AE27">
        <f>MAX(AE26,IF($B26=27,1,0))</f>
        <v/>
      </c>
      <c r="AF27">
        <f>MAX(AF26,IF($B26=28,1,0))</f>
        <v/>
      </c>
      <c r="AG27">
        <f>MAX(AG26,IF($B26=29,1,0))</f>
        <v/>
      </c>
      <c r="AH27">
        <f>MAX(AH26,IF($B26=30,1,0))</f>
        <v/>
      </c>
      <c r="AI27">
        <f>MAX(AI26,IF($B26=31,1,0))</f>
        <v/>
      </c>
      <c r="AJ27">
        <f>MAX(AJ26,IF($B26=32,1,0))</f>
        <v/>
      </c>
      <c r="AK27">
        <f>MAX(AK26,IF($B26=33,1,0))</f>
        <v/>
      </c>
      <c r="AL27">
        <f>MAX(AL26,IF($B26=34,1,0))</f>
        <v/>
      </c>
      <c r="AM27">
        <f>MAX(AM26,IF($B26=35,1,0))</f>
        <v/>
      </c>
      <c r="AN27">
        <f>MAX(AN26,IF($B26=36,1,0))</f>
        <v/>
      </c>
      <c r="AO27">
        <f>MAX(AO26,IF($B26=37,1,0))</f>
        <v/>
      </c>
      <c r="AP27">
        <f>MAX(AP26,IF($B26=38,1,0))</f>
        <v/>
      </c>
      <c r="AQ27">
        <f>MAX(AQ26,IF($B26=39,1,0))</f>
        <v/>
      </c>
      <c r="AR27">
        <f>MAX(AR26,IF($B26=40,1,0))</f>
        <v/>
      </c>
      <c r="AS27">
        <f>MAX(AS26,IF($B26=41,1,0))</f>
        <v/>
      </c>
      <c r="AT27">
        <f>MAX(AT26,IF($B26=42,1,0))</f>
        <v/>
      </c>
      <c r="AU27">
        <f>MAX(AU26,IF($B26=43,1,0))</f>
        <v/>
      </c>
      <c r="AV27">
        <f>MAX(AV26,IF($B26=44,1,0))</f>
        <v/>
      </c>
      <c r="AW27">
        <f>MAX(AW26,IF($B26=45,1,0))</f>
        <v/>
      </c>
      <c r="AY27">
        <f>IF(E27=1,1000000,SUMPRODUCT('計算A'!$D$60:$DS$60,$CS27:$HH27)*1000+1)</f>
        <v/>
      </c>
      <c r="AZ27">
        <f>IF(F27=1,1000000,SUMPRODUCT('計算A'!$D$61:$DS$61,$CS27:$HH27)*1000+2)</f>
        <v/>
      </c>
      <c r="BA27">
        <f>IF(G27=1,1000000,SUMPRODUCT('計算A'!$D$62:$DS$62,$CS27:$HH27)*1000+3)</f>
        <v/>
      </c>
      <c r="BB27">
        <f>IF(H27=1,1000000,SUMPRODUCT('計算A'!$D$63:$DS$63,$CS27:$HH27)*1000+4)</f>
        <v/>
      </c>
      <c r="BC27">
        <f>IF(I27=1,1000000,SUMPRODUCT('計算A'!$D$64:$DS$64,$CS27:$HH27)*1000+5)</f>
        <v/>
      </c>
      <c r="BD27">
        <f>IF(J27=1,1000000,SUMPRODUCT('計算A'!$D$65:$DS$65,$CS27:$HH27)*1000+6)</f>
        <v/>
      </c>
      <c r="BE27">
        <f>IF(K27=1,1000000,SUMPRODUCT('計算A'!$D$66:$DS$66,$CS27:$HH27)*1000+7)</f>
        <v/>
      </c>
      <c r="BF27">
        <f>IF(L27=1,1000000,SUMPRODUCT('計算A'!$D$67:$DS$67,$CS27:$HH27)*1000+8)</f>
        <v/>
      </c>
      <c r="BG27">
        <f>IF(M27=1,1000000,SUMPRODUCT('計算A'!$D$68:$DS$68,$CS27:$HH27)*1000+9)</f>
        <v/>
      </c>
      <c r="BH27">
        <f>IF(N27=1,1000000,SUMPRODUCT('計算A'!$D$69:$DS$69,$CS27:$HH27)*1000+10)</f>
        <v/>
      </c>
      <c r="BI27">
        <f>IF(O27=1,1000000,SUMPRODUCT('計算A'!$D$70:$DS$70,$CS27:$HH27)*1000+11)</f>
        <v/>
      </c>
      <c r="BJ27">
        <f>IF(P27=1,1000000,SUMPRODUCT('計算A'!$D$71:$DS$71,$CS27:$HH27)*1000+12)</f>
        <v/>
      </c>
      <c r="BK27">
        <f>IF(Q27=1,1000000,SUMPRODUCT('計算A'!$D$72:$DS$72,$CS27:$HH27)*1000+13)</f>
        <v/>
      </c>
      <c r="BL27">
        <f>IF(R27=1,1000000,SUMPRODUCT('計算A'!$D$73:$DS$73,$CS27:$HH27)*1000+14)</f>
        <v/>
      </c>
      <c r="BM27">
        <f>IF(S27=1,1000000,SUMPRODUCT('計算A'!$D$74:$DS$74,$CS27:$HH27)*1000+15)</f>
        <v/>
      </c>
      <c r="BN27">
        <f>IF(T27=1,1000000,SUMPRODUCT('計算A'!$D$75:$DS$75,$CS27:$HH27)*1000+16)</f>
        <v/>
      </c>
      <c r="BO27">
        <f>IF(U27=1,1000000,SUMPRODUCT('計算A'!$D$76:$DS$76,$CS27:$HH27)*1000+17)</f>
        <v/>
      </c>
      <c r="BP27">
        <f>IF(V27=1,1000000,SUMPRODUCT('計算A'!$D$77:$DS$77,$CS27:$HH27)*1000+18)</f>
        <v/>
      </c>
      <c r="BQ27">
        <f>IF(W27=1,1000000,SUMPRODUCT('計算A'!$D$78:$DS$78,$CS27:$HH27)*1000+19)</f>
        <v/>
      </c>
      <c r="BR27">
        <f>IF(X27=1,1000000,SUMPRODUCT('計算A'!$D$79:$DS$79,$CS27:$HH27)*1000+20)</f>
        <v/>
      </c>
      <c r="BS27">
        <f>IF(Y27=1,1000000,SUMPRODUCT('計算A'!$D$80:$DS$80,$CS27:$HH27)*1000+21)</f>
        <v/>
      </c>
      <c r="BT27">
        <f>IF(Z27=1,1000000,SUMPRODUCT('計算A'!$D$81:$DS$81,$CS27:$HH27)*1000+22)</f>
        <v/>
      </c>
      <c r="BU27">
        <f>IF(AA27=1,1000000,SUMPRODUCT('計算A'!$D$82:$DS$82,$CS27:$HH27)*1000+23)</f>
        <v/>
      </c>
      <c r="BV27">
        <f>IF(AB27=1,1000000,SUMPRODUCT('計算A'!$D$83:$DS$83,$CS27:$HH27)*1000+24)</f>
        <v/>
      </c>
      <c r="BW27">
        <f>IF(AC27=1,1000000,SUMPRODUCT('計算A'!$D$84:$DS$84,$CS27:$HH27)*1000+25)</f>
        <v/>
      </c>
      <c r="BX27">
        <f>IF(AD27=1,1000000,SUMPRODUCT('計算A'!$D$85:$DS$85,$CS27:$HH27)*1000+26)</f>
        <v/>
      </c>
      <c r="BY27">
        <f>IF(AE27=1,1000000,SUMPRODUCT('計算A'!$D$86:$DS$86,$CS27:$HH27)*1000+27)</f>
        <v/>
      </c>
      <c r="BZ27">
        <f>IF(AF27=1,1000000,SUMPRODUCT('計算A'!$D$87:$DS$87,$CS27:$HH27)*1000+28)</f>
        <v/>
      </c>
      <c r="CA27">
        <f>IF(AG27=1,1000000,SUMPRODUCT('計算A'!$D$88:$DS$88,$CS27:$HH27)*1000+29)</f>
        <v/>
      </c>
      <c r="CB27">
        <f>IF(AH27=1,1000000,SUMPRODUCT('計算A'!$D$89:$DS$89,$CS27:$HH27)*1000+30)</f>
        <v/>
      </c>
      <c r="CC27">
        <f>IF(AI27=1,1000000,SUMPRODUCT('計算A'!$D$90:$DS$90,$CS27:$HH27)*1000+31)</f>
        <v/>
      </c>
      <c r="CD27">
        <f>IF(AJ27=1,1000000,SUMPRODUCT('計算A'!$D$91:$DS$91,$CS27:$HH27)*1000+32)</f>
        <v/>
      </c>
      <c r="CE27">
        <f>IF(AK27=1,1000000,SUMPRODUCT('計算A'!$D$92:$DS$92,$CS27:$HH27)*1000+33)</f>
        <v/>
      </c>
      <c r="CF27">
        <f>IF(AL27=1,1000000,SUMPRODUCT('計算A'!$D$93:$DS$93,$CS27:$HH27)*1000+34)</f>
        <v/>
      </c>
      <c r="CG27">
        <f>IF(AM27=1,1000000,SUMPRODUCT('計算A'!$D$94:$DS$94,$CS27:$HH27)*1000+35)</f>
        <v/>
      </c>
      <c r="CH27">
        <f>IF(AN27=1,1000000,SUMPRODUCT('計算A'!$D$95:$DS$95,$CS27:$HH27)*1000+36)</f>
        <v/>
      </c>
      <c r="CI27">
        <f>IF(AO27=1,1000000,SUMPRODUCT('計算A'!$D$96:$DS$96,$CS27:$HH27)*1000+37)</f>
        <v/>
      </c>
      <c r="CJ27">
        <f>IF(AP27=1,1000000,SUMPRODUCT('計算A'!$D$97:$DS$97,$CS27:$HH27)*1000+38)</f>
        <v/>
      </c>
      <c r="CK27">
        <f>IF(AQ27=1,1000000,SUMPRODUCT('計算A'!$D$98:$DS$98,$CS27:$HH27)*1000+39)</f>
        <v/>
      </c>
      <c r="CL27">
        <f>IF(AR27=1,1000000,SUMPRODUCT('計算A'!$D$99:$DS$99,$CS27:$HH27)*1000+40)</f>
        <v/>
      </c>
      <c r="CM27">
        <f>IF(AS27=1,1000000,SUMPRODUCT('計算A'!$D$100:$DS$100,$CS27:$HH27)*1000+41)</f>
        <v/>
      </c>
      <c r="CN27">
        <f>IF(AT27=1,1000000,SUMPRODUCT('計算A'!$D$101:$DS$101,$CS27:$HH27)*1000+42)</f>
        <v/>
      </c>
      <c r="CO27">
        <f>IF(AU27=1,1000000,SUMPRODUCT('計算A'!$D$102:$DS$102,$CS27:$HH27)*1000+43)</f>
        <v/>
      </c>
      <c r="CP27">
        <f>IF(AV27=1,1000000,SUMPRODUCT('計算A'!$D$103:$DS$103,$CS27:$HH27)*1000+44)</f>
        <v/>
      </c>
      <c r="CQ27">
        <f>IF(AW27=1,1000000,SUMPRODUCT('計算A'!$D$104:$DS$104,$CS27:$HH27)*1000+45)</f>
        <v/>
      </c>
      <c r="CS27">
        <f>CS26*IF($C26=1,0,1)</f>
        <v/>
      </c>
      <c r="CT27">
        <f>CT26*IF($C26=2,0,1)</f>
        <v/>
      </c>
      <c r="CU27">
        <f>CU26*IF($C26=3,0,1)</f>
        <v/>
      </c>
      <c r="CV27">
        <f>CV26*IF($C26=4,0,1)</f>
        <v/>
      </c>
      <c r="CW27">
        <f>CW26*IF($C26=5,0,1)</f>
        <v/>
      </c>
      <c r="CX27">
        <f>CX26*IF($C26=6,0,1)</f>
        <v/>
      </c>
      <c r="CY27">
        <f>CY26*IF($C26=7,0,1)</f>
        <v/>
      </c>
      <c r="CZ27">
        <f>CZ26*IF($C26=8,0,1)</f>
        <v/>
      </c>
      <c r="DA27">
        <f>DA26*IF($C26=9,0,1)</f>
        <v/>
      </c>
      <c r="DB27">
        <f>DB26*IF($C26=10,0,1)</f>
        <v/>
      </c>
      <c r="DC27">
        <f>DC26*IF($C26=11,0,1)</f>
        <v/>
      </c>
      <c r="DD27">
        <f>DD26*IF($C26=12,0,1)</f>
        <v/>
      </c>
      <c r="DE27">
        <f>DE26*IF($C26=13,0,1)</f>
        <v/>
      </c>
      <c r="DF27">
        <f>DF26*IF($C26=14,0,1)</f>
        <v/>
      </c>
      <c r="DG27">
        <f>DG26*IF($C26=15,0,1)</f>
        <v/>
      </c>
      <c r="DH27">
        <f>DH26*IF($C26=16,0,1)</f>
        <v/>
      </c>
      <c r="DI27">
        <f>DI26*IF($C26=17,0,1)</f>
        <v/>
      </c>
      <c r="DJ27">
        <f>DJ26*IF($C26=18,0,1)</f>
        <v/>
      </c>
      <c r="DK27">
        <f>DK26*IF($C26=19,0,1)</f>
        <v/>
      </c>
      <c r="DL27">
        <f>DL26*IF($C26=20,0,1)</f>
        <v/>
      </c>
      <c r="DM27">
        <f>DM26*IF($C26=21,0,1)</f>
        <v/>
      </c>
      <c r="DN27">
        <f>DN26*IF($C26=22,0,1)</f>
        <v/>
      </c>
      <c r="DO27">
        <f>DO26*IF($C26=23,0,1)</f>
        <v/>
      </c>
      <c r="DP27">
        <f>DP26*IF($C26=24,0,1)</f>
        <v/>
      </c>
      <c r="DQ27">
        <f>DQ26*IF($C26=25,0,1)</f>
        <v/>
      </c>
      <c r="DR27">
        <f>DR26*IF($C26=26,0,1)</f>
        <v/>
      </c>
      <c r="DS27">
        <f>DS26*IF($C26=27,0,1)</f>
        <v/>
      </c>
      <c r="DT27">
        <f>DT26*IF($C26=28,0,1)</f>
        <v/>
      </c>
      <c r="DU27">
        <f>DU26*IF($C26=29,0,1)</f>
        <v/>
      </c>
      <c r="DV27">
        <f>DV26*IF($C26=30,0,1)</f>
        <v/>
      </c>
      <c r="DW27">
        <f>DW26*IF($C26=31,0,1)</f>
        <v/>
      </c>
      <c r="DX27">
        <f>DX26*IF($C26=32,0,1)</f>
        <v/>
      </c>
      <c r="DY27">
        <f>DY26*IF($C26=33,0,1)</f>
        <v/>
      </c>
      <c r="DZ27">
        <f>DZ26*IF($C26=34,0,1)</f>
        <v/>
      </c>
      <c r="EA27">
        <f>EA26*IF($C26=35,0,1)</f>
        <v/>
      </c>
      <c r="EB27">
        <f>EB26*IF($C26=36,0,1)</f>
        <v/>
      </c>
      <c r="EC27">
        <f>EC26*IF($C26=37,0,1)</f>
        <v/>
      </c>
      <c r="ED27">
        <f>ED26*IF($C26=38,0,1)</f>
        <v/>
      </c>
      <c r="EE27">
        <f>EE26*IF($C26=39,0,1)</f>
        <v/>
      </c>
      <c r="EF27">
        <f>EF26*IF($C26=40,0,1)</f>
        <v/>
      </c>
      <c r="EG27">
        <f>EG26*IF($C26=41,0,1)</f>
        <v/>
      </c>
      <c r="EH27">
        <f>EH26*IF($C26=42,0,1)</f>
        <v/>
      </c>
      <c r="EI27">
        <f>EI26*IF($C26=43,0,1)</f>
        <v/>
      </c>
      <c r="EJ27">
        <f>EJ26*IF($C26=44,0,1)</f>
        <v/>
      </c>
      <c r="EK27">
        <f>EK26*IF($C26=45,0,1)</f>
        <v/>
      </c>
      <c r="EL27">
        <f>EL26*IF($C26=46,0,1)</f>
        <v/>
      </c>
      <c r="EM27">
        <f>EM26*IF($C26=47,0,1)</f>
        <v/>
      </c>
      <c r="EN27">
        <f>EN26*IF($C26=48,0,1)</f>
        <v/>
      </c>
      <c r="EO27">
        <f>EO26*IF($C26=49,0,1)</f>
        <v/>
      </c>
      <c r="EP27">
        <f>EP26*IF($C26=50,0,1)</f>
        <v/>
      </c>
      <c r="EQ27">
        <f>EQ26*IF($C26=51,0,1)</f>
        <v/>
      </c>
      <c r="ER27">
        <f>ER26*IF($C26=52,0,1)</f>
        <v/>
      </c>
      <c r="ES27">
        <f>ES26*IF($C26=53,0,1)</f>
        <v/>
      </c>
      <c r="ET27">
        <f>ET26*IF($C26=54,0,1)</f>
        <v/>
      </c>
      <c r="EU27">
        <f>EU26*IF($C26=55,0,1)</f>
        <v/>
      </c>
      <c r="EV27">
        <f>EV26*IF($C26=56,0,1)</f>
        <v/>
      </c>
      <c r="EW27">
        <f>EW26*IF($C26=57,0,1)</f>
        <v/>
      </c>
      <c r="EX27">
        <f>EX26*IF($C26=58,0,1)</f>
        <v/>
      </c>
      <c r="EY27">
        <f>EY26*IF($C26=59,0,1)</f>
        <v/>
      </c>
      <c r="EZ27">
        <f>EZ26*IF($C26=60,0,1)</f>
        <v/>
      </c>
      <c r="FA27">
        <f>FA26*IF($C26=61,0,1)</f>
        <v/>
      </c>
      <c r="FB27">
        <f>FB26*IF($C26=62,0,1)</f>
        <v/>
      </c>
      <c r="FC27">
        <f>FC26*IF($C26=63,0,1)</f>
        <v/>
      </c>
      <c r="FD27">
        <f>FD26*IF($C26=64,0,1)</f>
        <v/>
      </c>
      <c r="FE27">
        <f>FE26*IF($C26=65,0,1)</f>
        <v/>
      </c>
      <c r="FF27">
        <f>FF26*IF($C26=66,0,1)</f>
        <v/>
      </c>
      <c r="FG27">
        <f>FG26*IF($C26=67,0,1)</f>
        <v/>
      </c>
      <c r="FH27">
        <f>FH26*IF($C26=68,0,1)</f>
        <v/>
      </c>
      <c r="FI27">
        <f>FI26*IF($C26=69,0,1)</f>
        <v/>
      </c>
      <c r="FJ27">
        <f>FJ26*IF($C26=70,0,1)</f>
        <v/>
      </c>
      <c r="FK27">
        <f>FK26*IF($C26=71,0,1)</f>
        <v/>
      </c>
      <c r="FL27">
        <f>FL26*IF($C26=72,0,1)</f>
        <v/>
      </c>
      <c r="FM27">
        <f>FM26*IF($C26=73,0,1)</f>
        <v/>
      </c>
      <c r="FN27">
        <f>FN26*IF($C26=74,0,1)</f>
        <v/>
      </c>
      <c r="FO27">
        <f>FO26*IF($C26=75,0,1)</f>
        <v/>
      </c>
      <c r="FP27">
        <f>FP26*IF($C26=76,0,1)</f>
        <v/>
      </c>
      <c r="FQ27">
        <f>FQ26*IF($C26=77,0,1)</f>
        <v/>
      </c>
      <c r="FR27">
        <f>FR26*IF($C26=78,0,1)</f>
        <v/>
      </c>
      <c r="FS27">
        <f>FS26*IF($C26=79,0,1)</f>
        <v/>
      </c>
      <c r="FT27">
        <f>FT26*IF($C26=80,0,1)</f>
        <v/>
      </c>
      <c r="FU27">
        <f>FU26*IF($C26=81,0,1)</f>
        <v/>
      </c>
      <c r="FV27">
        <f>FV26*IF($C26=82,0,1)</f>
        <v/>
      </c>
      <c r="FW27">
        <f>FW26*IF($C26=83,0,1)</f>
        <v/>
      </c>
      <c r="FX27">
        <f>FX26*IF($C26=84,0,1)</f>
        <v/>
      </c>
      <c r="FY27">
        <f>FY26*IF($C26=85,0,1)</f>
        <v/>
      </c>
      <c r="FZ27">
        <f>FZ26*IF($C26=86,0,1)</f>
        <v/>
      </c>
      <c r="GA27">
        <f>GA26*IF($C26=87,0,1)</f>
        <v/>
      </c>
      <c r="GB27">
        <f>GB26*IF($C26=88,0,1)</f>
        <v/>
      </c>
      <c r="GC27">
        <f>GC26*IF($C26=89,0,1)</f>
        <v/>
      </c>
      <c r="GD27">
        <f>GD26*IF($C26=90,0,1)</f>
        <v/>
      </c>
      <c r="GE27">
        <f>GE26*IF($C26=91,0,1)</f>
        <v/>
      </c>
      <c r="GF27">
        <f>GF26*IF($C26=92,0,1)</f>
        <v/>
      </c>
      <c r="GG27">
        <f>GG26*IF($C26=93,0,1)</f>
        <v/>
      </c>
      <c r="GH27">
        <f>GH26*IF($C26=94,0,1)</f>
        <v/>
      </c>
      <c r="GI27">
        <f>GI26*IF($C26=95,0,1)</f>
        <v/>
      </c>
      <c r="GJ27">
        <f>GJ26*IF($C26=96,0,1)</f>
        <v/>
      </c>
      <c r="GK27">
        <f>GK26*IF($C26=97,0,1)</f>
        <v/>
      </c>
      <c r="GL27">
        <f>GL26*IF($C26=98,0,1)</f>
        <v/>
      </c>
      <c r="GM27">
        <f>GM26*IF($C26=99,0,1)</f>
        <v/>
      </c>
      <c r="GN27">
        <f>GN26*IF($C26=100,0,1)</f>
        <v/>
      </c>
      <c r="GO27">
        <f>GO26*IF($C26=101,0,1)</f>
        <v/>
      </c>
      <c r="GP27">
        <f>GP26*IF($C26=102,0,1)</f>
        <v/>
      </c>
      <c r="GQ27">
        <f>GQ26*IF($C26=103,0,1)</f>
        <v/>
      </c>
      <c r="GR27">
        <f>GR26*IF($C26=104,0,1)</f>
        <v/>
      </c>
      <c r="GS27">
        <f>GS26*IF($C26=105,0,1)</f>
        <v/>
      </c>
      <c r="GT27">
        <f>GT26*IF($C26=106,0,1)</f>
        <v/>
      </c>
      <c r="GU27">
        <f>GU26*IF($C26=107,0,1)</f>
        <v/>
      </c>
      <c r="GV27">
        <f>GV26*IF($C26=108,0,1)</f>
        <v/>
      </c>
      <c r="GW27">
        <f>GW26*IF($C26=109,0,1)</f>
        <v/>
      </c>
      <c r="GX27">
        <f>GX26*IF($C26=110,0,1)</f>
        <v/>
      </c>
      <c r="GY27">
        <f>GY26*IF($C26=111,0,1)</f>
        <v/>
      </c>
      <c r="GZ27">
        <f>GZ26*IF($C26=112,0,1)</f>
        <v/>
      </c>
      <c r="HA27">
        <f>HA26*IF($C26=113,0,1)</f>
        <v/>
      </c>
      <c r="HB27">
        <f>HB26*IF($C26=114,0,1)</f>
        <v/>
      </c>
      <c r="HC27">
        <f>HC26*IF($C26=115,0,1)</f>
        <v/>
      </c>
      <c r="HD27">
        <f>HD26*IF($C26=116,0,1)</f>
        <v/>
      </c>
      <c r="HE27">
        <f>HE26*IF($C26=117,0,1)</f>
        <v/>
      </c>
      <c r="HF27">
        <f>HF26*IF($C26=118,0,1)</f>
        <v/>
      </c>
      <c r="HG27">
        <f>HG26*IF($C26=119,0,1)</f>
        <v/>
      </c>
      <c r="HH27">
        <f>HH26*IF($C26=120,0,1)</f>
        <v/>
      </c>
      <c r="HJ27">
        <f>IF($B27=0,1000000,IF(INDEX('計算A'!$D$60:$DS$104,$B27,1)*CS27=1,'計算A'!D$6,1000000))</f>
        <v/>
      </c>
      <c r="HK27">
        <f>IF($B27=0,1000000,IF(INDEX('計算A'!$D$60:$DS$104,$B27,2)*CT27=1,'計算A'!E$6,1000000))</f>
        <v/>
      </c>
      <c r="HL27">
        <f>IF($B27=0,1000000,IF(INDEX('計算A'!$D$60:$DS$104,$B27,3)*CU27=1,'計算A'!F$6,1000000))</f>
        <v/>
      </c>
      <c r="HM27">
        <f>IF($B27=0,1000000,IF(INDEX('計算A'!$D$60:$DS$104,$B27,4)*CV27=1,'計算A'!G$6,1000000))</f>
        <v/>
      </c>
      <c r="HN27">
        <f>IF($B27=0,1000000,IF(INDEX('計算A'!$D$60:$DS$104,$B27,5)*CW27=1,'計算A'!H$6,1000000))</f>
        <v/>
      </c>
      <c r="HO27">
        <f>IF($B27=0,1000000,IF(INDEX('計算A'!$D$60:$DS$104,$B27,6)*CX27=1,'計算A'!I$6,1000000))</f>
        <v/>
      </c>
      <c r="HP27">
        <f>IF($B27=0,1000000,IF(INDEX('計算A'!$D$60:$DS$104,$B27,7)*CY27=1,'計算A'!J$6,1000000))</f>
        <v/>
      </c>
      <c r="HQ27">
        <f>IF($B27=0,1000000,IF(INDEX('計算A'!$D$60:$DS$104,$B27,8)*CZ27=1,'計算A'!K$6,1000000))</f>
        <v/>
      </c>
      <c r="HR27">
        <f>IF($B27=0,1000000,IF(INDEX('計算A'!$D$60:$DS$104,$B27,9)*DA27=1,'計算A'!L$6,1000000))</f>
        <v/>
      </c>
      <c r="HS27">
        <f>IF($B27=0,1000000,IF(INDEX('計算A'!$D$60:$DS$104,$B27,10)*DB27=1,'計算A'!M$6,1000000))</f>
        <v/>
      </c>
      <c r="HT27">
        <f>IF($B27=0,1000000,IF(INDEX('計算A'!$D$60:$DS$104,$B27,11)*DC27=1,'計算A'!N$6,1000000))</f>
        <v/>
      </c>
      <c r="HU27">
        <f>IF($B27=0,1000000,IF(INDEX('計算A'!$D$60:$DS$104,$B27,12)*DD27=1,'計算A'!O$6,1000000))</f>
        <v/>
      </c>
      <c r="HV27">
        <f>IF($B27=0,1000000,IF(INDEX('計算A'!$D$60:$DS$104,$B27,13)*DE27=1,'計算A'!P$6,1000000))</f>
        <v/>
      </c>
      <c r="HW27">
        <f>IF($B27=0,1000000,IF(INDEX('計算A'!$D$60:$DS$104,$B27,14)*DF27=1,'計算A'!Q$6,1000000))</f>
        <v/>
      </c>
      <c r="HX27">
        <f>IF($B27=0,1000000,IF(INDEX('計算A'!$D$60:$DS$104,$B27,15)*DG27=1,'計算A'!R$6,1000000))</f>
        <v/>
      </c>
      <c r="HY27">
        <f>IF($B27=0,1000000,IF(INDEX('計算A'!$D$60:$DS$104,$B27,16)*DH27=1,'計算A'!S$6,1000000))</f>
        <v/>
      </c>
      <c r="HZ27">
        <f>IF($B27=0,1000000,IF(INDEX('計算A'!$D$60:$DS$104,$B27,17)*DI27=1,'計算A'!T$6,1000000))</f>
        <v/>
      </c>
      <c r="IA27">
        <f>IF($B27=0,1000000,IF(INDEX('計算A'!$D$60:$DS$104,$B27,18)*DJ27=1,'計算A'!U$6,1000000))</f>
        <v/>
      </c>
      <c r="IB27">
        <f>IF($B27=0,1000000,IF(INDEX('計算A'!$D$60:$DS$104,$B27,19)*DK27=1,'計算A'!V$6,1000000))</f>
        <v/>
      </c>
      <c r="IC27">
        <f>IF($B27=0,1000000,IF(INDEX('計算A'!$D$60:$DS$104,$B27,20)*DL27=1,'計算A'!W$6,1000000))</f>
        <v/>
      </c>
      <c r="ID27">
        <f>IF($B27=0,1000000,IF(INDEX('計算A'!$D$60:$DS$104,$B27,21)*DM27=1,'計算A'!X$6,1000000))</f>
        <v/>
      </c>
      <c r="IE27">
        <f>IF($B27=0,1000000,IF(INDEX('計算A'!$D$60:$DS$104,$B27,22)*DN27=1,'計算A'!Y$6,1000000))</f>
        <v/>
      </c>
      <c r="IF27">
        <f>IF($B27=0,1000000,IF(INDEX('計算A'!$D$60:$DS$104,$B27,23)*DO27=1,'計算A'!Z$6,1000000))</f>
        <v/>
      </c>
      <c r="IG27">
        <f>IF($B27=0,1000000,IF(INDEX('計算A'!$D$60:$DS$104,$B27,24)*DP27=1,'計算A'!AA$6,1000000))</f>
        <v/>
      </c>
      <c r="IH27">
        <f>IF($B27=0,1000000,IF(INDEX('計算A'!$D$60:$DS$104,$B27,25)*DQ27=1,'計算A'!AB$6,1000000))</f>
        <v/>
      </c>
      <c r="II27">
        <f>IF($B27=0,1000000,IF(INDEX('計算A'!$D$60:$DS$104,$B27,26)*DR27=1,'計算A'!AC$6,1000000))</f>
        <v/>
      </c>
      <c r="IJ27">
        <f>IF($B27=0,1000000,IF(INDEX('計算A'!$D$60:$DS$104,$B27,27)*DS27=1,'計算A'!AD$6,1000000))</f>
        <v/>
      </c>
      <c r="IK27">
        <f>IF($B27=0,1000000,IF(INDEX('計算A'!$D$60:$DS$104,$B27,28)*DT27=1,'計算A'!AE$6,1000000))</f>
        <v/>
      </c>
      <c r="IL27">
        <f>IF($B27=0,1000000,IF(INDEX('計算A'!$D$60:$DS$104,$B27,29)*DU27=1,'計算A'!AF$6,1000000))</f>
        <v/>
      </c>
      <c r="IM27">
        <f>IF($B27=0,1000000,IF(INDEX('計算A'!$D$60:$DS$104,$B27,30)*DV27=1,'計算A'!AG$6,1000000))</f>
        <v/>
      </c>
      <c r="IN27">
        <f>IF($B27=0,1000000,IF(INDEX('計算A'!$D$60:$DS$104,$B27,31)*DW27=1,'計算A'!AH$6,1000000))</f>
        <v/>
      </c>
      <c r="IO27">
        <f>IF($B27=0,1000000,IF(INDEX('計算A'!$D$60:$DS$104,$B27,32)*DX27=1,'計算A'!AI$6,1000000))</f>
        <v/>
      </c>
      <c r="IP27">
        <f>IF($B27=0,1000000,IF(INDEX('計算A'!$D$60:$DS$104,$B27,33)*DY27=1,'計算A'!AJ$6,1000000))</f>
        <v/>
      </c>
      <c r="IQ27">
        <f>IF($B27=0,1000000,IF(INDEX('計算A'!$D$60:$DS$104,$B27,34)*DZ27=1,'計算A'!AK$6,1000000))</f>
        <v/>
      </c>
      <c r="IR27">
        <f>IF($B27=0,1000000,IF(INDEX('計算A'!$D$60:$DS$104,$B27,35)*EA27=1,'計算A'!AL$6,1000000))</f>
        <v/>
      </c>
      <c r="IS27">
        <f>IF($B27=0,1000000,IF(INDEX('計算A'!$D$60:$DS$104,$B27,36)*EB27=1,'計算A'!AM$6,1000000))</f>
        <v/>
      </c>
      <c r="IT27">
        <f>IF($B27=0,1000000,IF(INDEX('計算A'!$D$60:$DS$104,$B27,37)*EC27=1,'計算A'!AN$6,1000000))</f>
        <v/>
      </c>
      <c r="IU27">
        <f>IF($B27=0,1000000,IF(INDEX('計算A'!$D$60:$DS$104,$B27,38)*ED27=1,'計算A'!AO$6,1000000))</f>
        <v/>
      </c>
      <c r="IV27">
        <f>IF($B27=0,1000000,IF(INDEX('計算A'!$D$60:$DS$104,$B27,39)*EE27=1,'計算A'!AP$6,1000000))</f>
        <v/>
      </c>
      <c r="IW27">
        <f>IF($B27=0,1000000,IF(INDEX('計算A'!$D$60:$DS$104,$B27,40)*EF27=1,'計算A'!AQ$6,1000000))</f>
        <v/>
      </c>
      <c r="IX27">
        <f>IF($B27=0,1000000,IF(INDEX('計算A'!$D$60:$DS$104,$B27,41)*EG27=1,'計算A'!AR$6,1000000))</f>
        <v/>
      </c>
      <c r="IY27">
        <f>IF($B27=0,1000000,IF(INDEX('計算A'!$D$60:$DS$104,$B27,42)*EH27=1,'計算A'!AS$6,1000000))</f>
        <v/>
      </c>
      <c r="IZ27">
        <f>IF($B27=0,1000000,IF(INDEX('計算A'!$D$60:$DS$104,$B27,43)*EI27=1,'計算A'!AT$6,1000000))</f>
        <v/>
      </c>
      <c r="JA27">
        <f>IF($B27=0,1000000,IF(INDEX('計算A'!$D$60:$DS$104,$B27,44)*EJ27=1,'計算A'!AU$6,1000000))</f>
        <v/>
      </c>
      <c r="JB27">
        <f>IF($B27=0,1000000,IF(INDEX('計算A'!$D$60:$DS$104,$B27,45)*EK27=1,'計算A'!AV$6,1000000))</f>
        <v/>
      </c>
      <c r="JC27">
        <f>IF($B27=0,1000000,IF(INDEX('計算A'!$D$60:$DS$104,$B27,46)*EL27=1,'計算A'!AW$6,1000000))</f>
        <v/>
      </c>
      <c r="JD27">
        <f>IF($B27=0,1000000,IF(INDEX('計算A'!$D$60:$DS$104,$B27,47)*EM27=1,'計算A'!AX$6,1000000))</f>
        <v/>
      </c>
      <c r="JE27">
        <f>IF($B27=0,1000000,IF(INDEX('計算A'!$D$60:$DS$104,$B27,48)*EN27=1,'計算A'!AY$6,1000000))</f>
        <v/>
      </c>
      <c r="JF27">
        <f>IF($B27=0,1000000,IF(INDEX('計算A'!$D$60:$DS$104,$B27,49)*EO27=1,'計算A'!AZ$6,1000000))</f>
        <v/>
      </c>
      <c r="JG27">
        <f>IF($B27=0,1000000,IF(INDEX('計算A'!$D$60:$DS$104,$B27,50)*EP27=1,'計算A'!BA$6,1000000))</f>
        <v/>
      </c>
      <c r="JH27">
        <f>IF($B27=0,1000000,IF(INDEX('計算A'!$D$60:$DS$104,$B27,51)*EQ27=1,'計算A'!BB$6,1000000))</f>
        <v/>
      </c>
      <c r="JI27">
        <f>IF($B27=0,1000000,IF(INDEX('計算A'!$D$60:$DS$104,$B27,52)*ER27=1,'計算A'!BC$6,1000000))</f>
        <v/>
      </c>
      <c r="JJ27">
        <f>IF($B27=0,1000000,IF(INDEX('計算A'!$D$60:$DS$104,$B27,53)*ES27=1,'計算A'!BD$6,1000000))</f>
        <v/>
      </c>
      <c r="JK27">
        <f>IF($B27=0,1000000,IF(INDEX('計算A'!$D$60:$DS$104,$B27,54)*ET27=1,'計算A'!BE$6,1000000))</f>
        <v/>
      </c>
      <c r="JL27">
        <f>IF($B27=0,1000000,IF(INDEX('計算A'!$D$60:$DS$104,$B27,55)*EU27=1,'計算A'!BF$6,1000000))</f>
        <v/>
      </c>
      <c r="JM27">
        <f>IF($B27=0,1000000,IF(INDEX('計算A'!$D$60:$DS$104,$B27,56)*EV27=1,'計算A'!BG$6,1000000))</f>
        <v/>
      </c>
      <c r="JN27">
        <f>IF($B27=0,1000000,IF(INDEX('計算A'!$D$60:$DS$104,$B27,57)*EW27=1,'計算A'!BH$6,1000000))</f>
        <v/>
      </c>
      <c r="JO27">
        <f>IF($B27=0,1000000,IF(INDEX('計算A'!$D$60:$DS$104,$B27,58)*EX27=1,'計算A'!BI$6,1000000))</f>
        <v/>
      </c>
      <c r="JP27">
        <f>IF($B27=0,1000000,IF(INDEX('計算A'!$D$60:$DS$104,$B27,59)*EY27=1,'計算A'!BJ$6,1000000))</f>
        <v/>
      </c>
      <c r="JQ27">
        <f>IF($B27=0,1000000,IF(INDEX('計算A'!$D$60:$DS$104,$B27,60)*EZ27=1,'計算A'!BK$6,1000000))</f>
        <v/>
      </c>
      <c r="JR27">
        <f>IF($B27=0,1000000,IF(INDEX('計算A'!$D$60:$DS$104,$B27,61)*FA27=1,'計算A'!BL$6,1000000))</f>
        <v/>
      </c>
      <c r="JS27">
        <f>IF($B27=0,1000000,IF(INDEX('計算A'!$D$60:$DS$104,$B27,62)*FB27=1,'計算A'!BM$6,1000000))</f>
        <v/>
      </c>
      <c r="JT27">
        <f>IF($B27=0,1000000,IF(INDEX('計算A'!$D$60:$DS$104,$B27,63)*FC27=1,'計算A'!BN$6,1000000))</f>
        <v/>
      </c>
      <c r="JU27">
        <f>IF($B27=0,1000000,IF(INDEX('計算A'!$D$60:$DS$104,$B27,64)*FD27=1,'計算A'!BO$6,1000000))</f>
        <v/>
      </c>
      <c r="JV27">
        <f>IF($B27=0,1000000,IF(INDEX('計算A'!$D$60:$DS$104,$B27,65)*FE27=1,'計算A'!BP$6,1000000))</f>
        <v/>
      </c>
      <c r="JW27">
        <f>IF($B27=0,1000000,IF(INDEX('計算A'!$D$60:$DS$104,$B27,66)*FF27=1,'計算A'!BQ$6,1000000))</f>
        <v/>
      </c>
      <c r="JX27">
        <f>IF($B27=0,1000000,IF(INDEX('計算A'!$D$60:$DS$104,$B27,67)*FG27=1,'計算A'!BR$6,1000000))</f>
        <v/>
      </c>
      <c r="JY27">
        <f>IF($B27=0,1000000,IF(INDEX('計算A'!$D$60:$DS$104,$B27,68)*FH27=1,'計算A'!BS$6,1000000))</f>
        <v/>
      </c>
      <c r="JZ27">
        <f>IF($B27=0,1000000,IF(INDEX('計算A'!$D$60:$DS$104,$B27,69)*FI27=1,'計算A'!BT$6,1000000))</f>
        <v/>
      </c>
      <c r="KA27">
        <f>IF($B27=0,1000000,IF(INDEX('計算A'!$D$60:$DS$104,$B27,70)*FJ27=1,'計算A'!BU$6,1000000))</f>
        <v/>
      </c>
      <c r="KB27">
        <f>IF($B27=0,1000000,IF(INDEX('計算A'!$D$60:$DS$104,$B27,71)*FK27=1,'計算A'!BV$6,1000000))</f>
        <v/>
      </c>
      <c r="KC27">
        <f>IF($B27=0,1000000,IF(INDEX('計算A'!$D$60:$DS$104,$B27,72)*FL27=1,'計算A'!BW$6,1000000))</f>
        <v/>
      </c>
      <c r="KD27">
        <f>IF($B27=0,1000000,IF(INDEX('計算A'!$D$60:$DS$104,$B27,73)*FM27=1,'計算A'!BX$6,1000000))</f>
        <v/>
      </c>
      <c r="KE27">
        <f>IF($B27=0,1000000,IF(INDEX('計算A'!$D$60:$DS$104,$B27,74)*FN27=1,'計算A'!BY$6,1000000))</f>
        <v/>
      </c>
      <c r="KF27">
        <f>IF($B27=0,1000000,IF(INDEX('計算A'!$D$60:$DS$104,$B27,75)*FO27=1,'計算A'!BZ$6,1000000))</f>
        <v/>
      </c>
      <c r="KG27">
        <f>IF($B27=0,1000000,IF(INDEX('計算A'!$D$60:$DS$104,$B27,76)*FP27=1,'計算A'!CA$6,1000000))</f>
        <v/>
      </c>
      <c r="KH27">
        <f>IF($B27=0,1000000,IF(INDEX('計算A'!$D$60:$DS$104,$B27,77)*FQ27=1,'計算A'!CB$6,1000000))</f>
        <v/>
      </c>
      <c r="KI27">
        <f>IF($B27=0,1000000,IF(INDEX('計算A'!$D$60:$DS$104,$B27,78)*FR27=1,'計算A'!CC$6,1000000))</f>
        <v/>
      </c>
      <c r="KJ27">
        <f>IF($B27=0,1000000,IF(INDEX('計算A'!$D$60:$DS$104,$B27,79)*FS27=1,'計算A'!CD$6,1000000))</f>
        <v/>
      </c>
      <c r="KK27">
        <f>IF($B27=0,1000000,IF(INDEX('計算A'!$D$60:$DS$104,$B27,80)*FT27=1,'計算A'!CE$6,1000000))</f>
        <v/>
      </c>
      <c r="KL27">
        <f>IF($B27=0,1000000,IF(INDEX('計算A'!$D$60:$DS$104,$B27,81)*FU27=1,'計算A'!CF$6,1000000))</f>
        <v/>
      </c>
      <c r="KM27">
        <f>IF($B27=0,1000000,IF(INDEX('計算A'!$D$60:$DS$104,$B27,82)*FV27=1,'計算A'!CG$6,1000000))</f>
        <v/>
      </c>
      <c r="KN27">
        <f>IF($B27=0,1000000,IF(INDEX('計算A'!$D$60:$DS$104,$B27,83)*FW27=1,'計算A'!CH$6,1000000))</f>
        <v/>
      </c>
      <c r="KO27">
        <f>IF($B27=0,1000000,IF(INDEX('計算A'!$D$60:$DS$104,$B27,84)*FX27=1,'計算A'!CI$6,1000000))</f>
        <v/>
      </c>
      <c r="KP27">
        <f>IF($B27=0,1000000,IF(INDEX('計算A'!$D$60:$DS$104,$B27,85)*FY27=1,'計算A'!CJ$6,1000000))</f>
        <v/>
      </c>
      <c r="KQ27">
        <f>IF($B27=0,1000000,IF(INDEX('計算A'!$D$60:$DS$104,$B27,86)*FZ27=1,'計算A'!CK$6,1000000))</f>
        <v/>
      </c>
      <c r="KR27">
        <f>IF($B27=0,1000000,IF(INDEX('計算A'!$D$60:$DS$104,$B27,87)*GA27=1,'計算A'!CL$6,1000000))</f>
        <v/>
      </c>
      <c r="KS27">
        <f>IF($B27=0,1000000,IF(INDEX('計算A'!$D$60:$DS$104,$B27,88)*GB27=1,'計算A'!CM$6,1000000))</f>
        <v/>
      </c>
      <c r="KT27">
        <f>IF($B27=0,1000000,IF(INDEX('計算A'!$D$60:$DS$104,$B27,89)*GC27=1,'計算A'!CN$6,1000000))</f>
        <v/>
      </c>
      <c r="KU27">
        <f>IF($B27=0,1000000,IF(INDEX('計算A'!$D$60:$DS$104,$B27,90)*GD27=1,'計算A'!CO$6,1000000))</f>
        <v/>
      </c>
      <c r="KV27">
        <f>IF($B27=0,1000000,IF(INDEX('計算A'!$D$60:$DS$104,$B27,91)*GE27=1,'計算A'!CP$6,1000000))</f>
        <v/>
      </c>
      <c r="KW27">
        <f>IF($B27=0,1000000,IF(INDEX('計算A'!$D$60:$DS$104,$B27,92)*GF27=1,'計算A'!CQ$6,1000000))</f>
        <v/>
      </c>
      <c r="KX27">
        <f>IF($B27=0,1000000,IF(INDEX('計算A'!$D$60:$DS$104,$B27,93)*GG27=1,'計算A'!CR$6,1000000))</f>
        <v/>
      </c>
      <c r="KY27">
        <f>IF($B27=0,1000000,IF(INDEX('計算A'!$D$60:$DS$104,$B27,94)*GH27=1,'計算A'!CS$6,1000000))</f>
        <v/>
      </c>
      <c r="KZ27">
        <f>IF($B27=0,1000000,IF(INDEX('計算A'!$D$60:$DS$104,$B27,95)*GI27=1,'計算A'!CT$6,1000000))</f>
        <v/>
      </c>
      <c r="LA27">
        <f>IF($B27=0,1000000,IF(INDEX('計算A'!$D$60:$DS$104,$B27,96)*GJ27=1,'計算A'!CU$6,1000000))</f>
        <v/>
      </c>
      <c r="LB27">
        <f>IF($B27=0,1000000,IF(INDEX('計算A'!$D$60:$DS$104,$B27,97)*GK27=1,'計算A'!CV$6,1000000))</f>
        <v/>
      </c>
      <c r="LC27">
        <f>IF($B27=0,1000000,IF(INDEX('計算A'!$D$60:$DS$104,$B27,98)*GL27=1,'計算A'!CW$6,1000000))</f>
        <v/>
      </c>
      <c r="LD27">
        <f>IF($B27=0,1000000,IF(INDEX('計算A'!$D$60:$DS$104,$B27,99)*GM27=1,'計算A'!CX$6,1000000))</f>
        <v/>
      </c>
      <c r="LE27">
        <f>IF($B27=0,1000000,IF(INDEX('計算A'!$D$60:$DS$104,$B27,100)*GN27=1,'計算A'!CY$6,1000000))</f>
        <v/>
      </c>
      <c r="LF27">
        <f>IF($B27=0,1000000,IF(INDEX('計算A'!$D$60:$DS$104,$B27,101)*GO27=1,'計算A'!CZ$6,1000000))</f>
        <v/>
      </c>
      <c r="LG27">
        <f>IF($B27=0,1000000,IF(INDEX('計算A'!$D$60:$DS$104,$B27,102)*GP27=1,'計算A'!DA$6,1000000))</f>
        <v/>
      </c>
      <c r="LH27">
        <f>IF($B27=0,1000000,IF(INDEX('計算A'!$D$60:$DS$104,$B27,103)*GQ27=1,'計算A'!DB$6,1000000))</f>
        <v/>
      </c>
      <c r="LI27">
        <f>IF($B27=0,1000000,IF(INDEX('計算A'!$D$60:$DS$104,$B27,104)*GR27=1,'計算A'!DC$6,1000000))</f>
        <v/>
      </c>
      <c r="LJ27">
        <f>IF($B27=0,1000000,IF(INDEX('計算A'!$D$60:$DS$104,$B27,105)*GS27=1,'計算A'!DD$6,1000000))</f>
        <v/>
      </c>
      <c r="LK27">
        <f>IF($B27=0,1000000,IF(INDEX('計算A'!$D$60:$DS$104,$B27,106)*GT27=1,'計算A'!DE$6,1000000))</f>
        <v/>
      </c>
      <c r="LL27">
        <f>IF($B27=0,1000000,IF(INDEX('計算A'!$D$60:$DS$104,$B27,107)*GU27=1,'計算A'!DF$6,1000000))</f>
        <v/>
      </c>
      <c r="LM27">
        <f>IF($B27=0,1000000,IF(INDEX('計算A'!$D$60:$DS$104,$B27,108)*GV27=1,'計算A'!DG$6,1000000))</f>
        <v/>
      </c>
      <c r="LN27">
        <f>IF($B27=0,1000000,IF(INDEX('計算A'!$D$60:$DS$104,$B27,109)*GW27=1,'計算A'!DH$6,1000000))</f>
        <v/>
      </c>
      <c r="LO27">
        <f>IF($B27=0,1000000,IF(INDEX('計算A'!$D$60:$DS$104,$B27,110)*GX27=1,'計算A'!DI$6,1000000))</f>
        <v/>
      </c>
      <c r="LP27">
        <f>IF($B27=0,1000000,IF(INDEX('計算A'!$D$60:$DS$104,$B27,111)*GY27=1,'計算A'!DJ$6,1000000))</f>
        <v/>
      </c>
      <c r="LQ27">
        <f>IF($B27=0,1000000,IF(INDEX('計算A'!$D$60:$DS$104,$B27,112)*GZ27=1,'計算A'!DK$6,1000000))</f>
        <v/>
      </c>
      <c r="LR27">
        <f>IF($B27=0,1000000,IF(INDEX('計算A'!$D$60:$DS$104,$B27,113)*HA27=1,'計算A'!DL$6,1000000))</f>
        <v/>
      </c>
      <c r="LS27">
        <f>IF($B27=0,1000000,IF(INDEX('計算A'!$D$60:$DS$104,$B27,114)*HB27=1,'計算A'!DM$6,1000000))</f>
        <v/>
      </c>
      <c r="LT27">
        <f>IF($B27=0,1000000,IF(INDEX('計算A'!$D$60:$DS$104,$B27,115)*HC27=1,'計算A'!DN$6,1000000))</f>
        <v/>
      </c>
      <c r="LU27">
        <f>IF($B27=0,1000000,IF(INDEX('計算A'!$D$60:$DS$104,$B27,116)*HD27=1,'計算A'!DO$6,1000000))</f>
        <v/>
      </c>
      <c r="LV27">
        <f>IF($B27=0,1000000,IF(INDEX('計算A'!$D$60:$DS$104,$B27,117)*HE27=1,'計算A'!DP$6,1000000))</f>
        <v/>
      </c>
      <c r="LW27">
        <f>IF($B27=0,1000000,IF(INDEX('計算A'!$D$60:$DS$104,$B27,118)*HF27=1,'計算A'!DQ$6,1000000))</f>
        <v/>
      </c>
      <c r="LX27">
        <f>IF($B27=0,1000000,IF(INDEX('計算A'!$D$60:$DS$104,$B27,119)*HG27=1,'計算A'!DR$6,1000000))</f>
        <v/>
      </c>
      <c r="LY27">
        <f>IF($B27=0,1000000,IF(INDEX('計算A'!$D$60:$DS$104,$B27,120)*HH27=1,'計算A'!DS$6,1000000))</f>
        <v/>
      </c>
    </row>
    <row r="28">
      <c r="A28" t="n">
        <v>26</v>
      </c>
      <c r="B28">
        <f>IF(MIN(AY28:CQ28)&gt;=1000000,0,MATCH(MIN(AY28:CQ28),AY28:CQ28,0))</f>
        <v/>
      </c>
      <c r="C28">
        <f>IF(MIN(HJ28:LY28)&gt;=1000000,0,MATCH(MIN(HJ28:LY28),HJ28:LY28,0))</f>
        <v/>
      </c>
      <c r="D28">
        <f>IF(C28&gt;0,INDEX('計算A'!$D$5:$DS$5,C28),0)</f>
        <v/>
      </c>
      <c r="E28">
        <f>MAX(E27,IF($B27=1,1,0))</f>
        <v/>
      </c>
      <c r="F28">
        <f>MAX(F27,IF($B27=2,1,0))</f>
        <v/>
      </c>
      <c r="G28">
        <f>MAX(G27,IF($B27=3,1,0))</f>
        <v/>
      </c>
      <c r="H28">
        <f>MAX(H27,IF($B27=4,1,0))</f>
        <v/>
      </c>
      <c r="I28">
        <f>MAX(I27,IF($B27=5,1,0))</f>
        <v/>
      </c>
      <c r="J28">
        <f>MAX(J27,IF($B27=6,1,0))</f>
        <v/>
      </c>
      <c r="K28">
        <f>MAX(K27,IF($B27=7,1,0))</f>
        <v/>
      </c>
      <c r="L28">
        <f>MAX(L27,IF($B27=8,1,0))</f>
        <v/>
      </c>
      <c r="M28">
        <f>MAX(M27,IF($B27=9,1,0))</f>
        <v/>
      </c>
      <c r="N28">
        <f>MAX(N27,IF($B27=10,1,0))</f>
        <v/>
      </c>
      <c r="O28">
        <f>MAX(O27,IF($B27=11,1,0))</f>
        <v/>
      </c>
      <c r="P28">
        <f>MAX(P27,IF($B27=12,1,0))</f>
        <v/>
      </c>
      <c r="Q28">
        <f>MAX(Q27,IF($B27=13,1,0))</f>
        <v/>
      </c>
      <c r="R28">
        <f>MAX(R27,IF($B27=14,1,0))</f>
        <v/>
      </c>
      <c r="S28">
        <f>MAX(S27,IF($B27=15,1,0))</f>
        <v/>
      </c>
      <c r="T28">
        <f>MAX(T27,IF($B27=16,1,0))</f>
        <v/>
      </c>
      <c r="U28">
        <f>MAX(U27,IF($B27=17,1,0))</f>
        <v/>
      </c>
      <c r="V28">
        <f>MAX(V27,IF($B27=18,1,0))</f>
        <v/>
      </c>
      <c r="W28">
        <f>MAX(W27,IF($B27=19,1,0))</f>
        <v/>
      </c>
      <c r="X28">
        <f>MAX(X27,IF($B27=20,1,0))</f>
        <v/>
      </c>
      <c r="Y28">
        <f>MAX(Y27,IF($B27=21,1,0))</f>
        <v/>
      </c>
      <c r="Z28">
        <f>MAX(Z27,IF($B27=22,1,0))</f>
        <v/>
      </c>
      <c r="AA28">
        <f>MAX(AA27,IF($B27=23,1,0))</f>
        <v/>
      </c>
      <c r="AB28">
        <f>MAX(AB27,IF($B27=24,1,0))</f>
        <v/>
      </c>
      <c r="AC28">
        <f>MAX(AC27,IF($B27=25,1,0))</f>
        <v/>
      </c>
      <c r="AD28">
        <f>MAX(AD27,IF($B27=26,1,0))</f>
        <v/>
      </c>
      <c r="AE28">
        <f>MAX(AE27,IF($B27=27,1,0))</f>
        <v/>
      </c>
      <c r="AF28">
        <f>MAX(AF27,IF($B27=28,1,0))</f>
        <v/>
      </c>
      <c r="AG28">
        <f>MAX(AG27,IF($B27=29,1,0))</f>
        <v/>
      </c>
      <c r="AH28">
        <f>MAX(AH27,IF($B27=30,1,0))</f>
        <v/>
      </c>
      <c r="AI28">
        <f>MAX(AI27,IF($B27=31,1,0))</f>
        <v/>
      </c>
      <c r="AJ28">
        <f>MAX(AJ27,IF($B27=32,1,0))</f>
        <v/>
      </c>
      <c r="AK28">
        <f>MAX(AK27,IF($B27=33,1,0))</f>
        <v/>
      </c>
      <c r="AL28">
        <f>MAX(AL27,IF($B27=34,1,0))</f>
        <v/>
      </c>
      <c r="AM28">
        <f>MAX(AM27,IF($B27=35,1,0))</f>
        <v/>
      </c>
      <c r="AN28">
        <f>MAX(AN27,IF($B27=36,1,0))</f>
        <v/>
      </c>
      <c r="AO28">
        <f>MAX(AO27,IF($B27=37,1,0))</f>
        <v/>
      </c>
      <c r="AP28">
        <f>MAX(AP27,IF($B27=38,1,0))</f>
        <v/>
      </c>
      <c r="AQ28">
        <f>MAX(AQ27,IF($B27=39,1,0))</f>
        <v/>
      </c>
      <c r="AR28">
        <f>MAX(AR27,IF($B27=40,1,0))</f>
        <v/>
      </c>
      <c r="AS28">
        <f>MAX(AS27,IF($B27=41,1,0))</f>
        <v/>
      </c>
      <c r="AT28">
        <f>MAX(AT27,IF($B27=42,1,0))</f>
        <v/>
      </c>
      <c r="AU28">
        <f>MAX(AU27,IF($B27=43,1,0))</f>
        <v/>
      </c>
      <c r="AV28">
        <f>MAX(AV27,IF($B27=44,1,0))</f>
        <v/>
      </c>
      <c r="AW28">
        <f>MAX(AW27,IF($B27=45,1,0))</f>
        <v/>
      </c>
      <c r="AY28">
        <f>IF(E28=1,1000000,SUMPRODUCT('計算A'!$D$60:$DS$60,$CS28:$HH28)*1000+1)</f>
        <v/>
      </c>
      <c r="AZ28">
        <f>IF(F28=1,1000000,SUMPRODUCT('計算A'!$D$61:$DS$61,$CS28:$HH28)*1000+2)</f>
        <v/>
      </c>
      <c r="BA28">
        <f>IF(G28=1,1000000,SUMPRODUCT('計算A'!$D$62:$DS$62,$CS28:$HH28)*1000+3)</f>
        <v/>
      </c>
      <c r="BB28">
        <f>IF(H28=1,1000000,SUMPRODUCT('計算A'!$D$63:$DS$63,$CS28:$HH28)*1000+4)</f>
        <v/>
      </c>
      <c r="BC28">
        <f>IF(I28=1,1000000,SUMPRODUCT('計算A'!$D$64:$DS$64,$CS28:$HH28)*1000+5)</f>
        <v/>
      </c>
      <c r="BD28">
        <f>IF(J28=1,1000000,SUMPRODUCT('計算A'!$D$65:$DS$65,$CS28:$HH28)*1000+6)</f>
        <v/>
      </c>
      <c r="BE28">
        <f>IF(K28=1,1000000,SUMPRODUCT('計算A'!$D$66:$DS$66,$CS28:$HH28)*1000+7)</f>
        <v/>
      </c>
      <c r="BF28">
        <f>IF(L28=1,1000000,SUMPRODUCT('計算A'!$D$67:$DS$67,$CS28:$HH28)*1000+8)</f>
        <v/>
      </c>
      <c r="BG28">
        <f>IF(M28=1,1000000,SUMPRODUCT('計算A'!$D$68:$DS$68,$CS28:$HH28)*1000+9)</f>
        <v/>
      </c>
      <c r="BH28">
        <f>IF(N28=1,1000000,SUMPRODUCT('計算A'!$D$69:$DS$69,$CS28:$HH28)*1000+10)</f>
        <v/>
      </c>
      <c r="BI28">
        <f>IF(O28=1,1000000,SUMPRODUCT('計算A'!$D$70:$DS$70,$CS28:$HH28)*1000+11)</f>
        <v/>
      </c>
      <c r="BJ28">
        <f>IF(P28=1,1000000,SUMPRODUCT('計算A'!$D$71:$DS$71,$CS28:$HH28)*1000+12)</f>
        <v/>
      </c>
      <c r="BK28">
        <f>IF(Q28=1,1000000,SUMPRODUCT('計算A'!$D$72:$DS$72,$CS28:$HH28)*1000+13)</f>
        <v/>
      </c>
      <c r="BL28">
        <f>IF(R28=1,1000000,SUMPRODUCT('計算A'!$D$73:$DS$73,$CS28:$HH28)*1000+14)</f>
        <v/>
      </c>
      <c r="BM28">
        <f>IF(S28=1,1000000,SUMPRODUCT('計算A'!$D$74:$DS$74,$CS28:$HH28)*1000+15)</f>
        <v/>
      </c>
      <c r="BN28">
        <f>IF(T28=1,1000000,SUMPRODUCT('計算A'!$D$75:$DS$75,$CS28:$HH28)*1000+16)</f>
        <v/>
      </c>
      <c r="BO28">
        <f>IF(U28=1,1000000,SUMPRODUCT('計算A'!$D$76:$DS$76,$CS28:$HH28)*1000+17)</f>
        <v/>
      </c>
      <c r="BP28">
        <f>IF(V28=1,1000000,SUMPRODUCT('計算A'!$D$77:$DS$77,$CS28:$HH28)*1000+18)</f>
        <v/>
      </c>
      <c r="BQ28">
        <f>IF(W28=1,1000000,SUMPRODUCT('計算A'!$D$78:$DS$78,$CS28:$HH28)*1000+19)</f>
        <v/>
      </c>
      <c r="BR28">
        <f>IF(X28=1,1000000,SUMPRODUCT('計算A'!$D$79:$DS$79,$CS28:$HH28)*1000+20)</f>
        <v/>
      </c>
      <c r="BS28">
        <f>IF(Y28=1,1000000,SUMPRODUCT('計算A'!$D$80:$DS$80,$CS28:$HH28)*1000+21)</f>
        <v/>
      </c>
      <c r="BT28">
        <f>IF(Z28=1,1000000,SUMPRODUCT('計算A'!$D$81:$DS$81,$CS28:$HH28)*1000+22)</f>
        <v/>
      </c>
      <c r="BU28">
        <f>IF(AA28=1,1000000,SUMPRODUCT('計算A'!$D$82:$DS$82,$CS28:$HH28)*1000+23)</f>
        <v/>
      </c>
      <c r="BV28">
        <f>IF(AB28=1,1000000,SUMPRODUCT('計算A'!$D$83:$DS$83,$CS28:$HH28)*1000+24)</f>
        <v/>
      </c>
      <c r="BW28">
        <f>IF(AC28=1,1000000,SUMPRODUCT('計算A'!$D$84:$DS$84,$CS28:$HH28)*1000+25)</f>
        <v/>
      </c>
      <c r="BX28">
        <f>IF(AD28=1,1000000,SUMPRODUCT('計算A'!$D$85:$DS$85,$CS28:$HH28)*1000+26)</f>
        <v/>
      </c>
      <c r="BY28">
        <f>IF(AE28=1,1000000,SUMPRODUCT('計算A'!$D$86:$DS$86,$CS28:$HH28)*1000+27)</f>
        <v/>
      </c>
      <c r="BZ28">
        <f>IF(AF28=1,1000000,SUMPRODUCT('計算A'!$D$87:$DS$87,$CS28:$HH28)*1000+28)</f>
        <v/>
      </c>
      <c r="CA28">
        <f>IF(AG28=1,1000000,SUMPRODUCT('計算A'!$D$88:$DS$88,$CS28:$HH28)*1000+29)</f>
        <v/>
      </c>
      <c r="CB28">
        <f>IF(AH28=1,1000000,SUMPRODUCT('計算A'!$D$89:$DS$89,$CS28:$HH28)*1000+30)</f>
        <v/>
      </c>
      <c r="CC28">
        <f>IF(AI28=1,1000000,SUMPRODUCT('計算A'!$D$90:$DS$90,$CS28:$HH28)*1000+31)</f>
        <v/>
      </c>
      <c r="CD28">
        <f>IF(AJ28=1,1000000,SUMPRODUCT('計算A'!$D$91:$DS$91,$CS28:$HH28)*1000+32)</f>
        <v/>
      </c>
      <c r="CE28">
        <f>IF(AK28=1,1000000,SUMPRODUCT('計算A'!$D$92:$DS$92,$CS28:$HH28)*1000+33)</f>
        <v/>
      </c>
      <c r="CF28">
        <f>IF(AL28=1,1000000,SUMPRODUCT('計算A'!$D$93:$DS$93,$CS28:$HH28)*1000+34)</f>
        <v/>
      </c>
      <c r="CG28">
        <f>IF(AM28=1,1000000,SUMPRODUCT('計算A'!$D$94:$DS$94,$CS28:$HH28)*1000+35)</f>
        <v/>
      </c>
      <c r="CH28">
        <f>IF(AN28=1,1000000,SUMPRODUCT('計算A'!$D$95:$DS$95,$CS28:$HH28)*1000+36)</f>
        <v/>
      </c>
      <c r="CI28">
        <f>IF(AO28=1,1000000,SUMPRODUCT('計算A'!$D$96:$DS$96,$CS28:$HH28)*1000+37)</f>
        <v/>
      </c>
      <c r="CJ28">
        <f>IF(AP28=1,1000000,SUMPRODUCT('計算A'!$D$97:$DS$97,$CS28:$HH28)*1000+38)</f>
        <v/>
      </c>
      <c r="CK28">
        <f>IF(AQ28=1,1000000,SUMPRODUCT('計算A'!$D$98:$DS$98,$CS28:$HH28)*1000+39)</f>
        <v/>
      </c>
      <c r="CL28">
        <f>IF(AR28=1,1000000,SUMPRODUCT('計算A'!$D$99:$DS$99,$CS28:$HH28)*1000+40)</f>
        <v/>
      </c>
      <c r="CM28">
        <f>IF(AS28=1,1000000,SUMPRODUCT('計算A'!$D$100:$DS$100,$CS28:$HH28)*1000+41)</f>
        <v/>
      </c>
      <c r="CN28">
        <f>IF(AT28=1,1000000,SUMPRODUCT('計算A'!$D$101:$DS$101,$CS28:$HH28)*1000+42)</f>
        <v/>
      </c>
      <c r="CO28">
        <f>IF(AU28=1,1000000,SUMPRODUCT('計算A'!$D$102:$DS$102,$CS28:$HH28)*1000+43)</f>
        <v/>
      </c>
      <c r="CP28">
        <f>IF(AV28=1,1000000,SUMPRODUCT('計算A'!$D$103:$DS$103,$CS28:$HH28)*1000+44)</f>
        <v/>
      </c>
      <c r="CQ28">
        <f>IF(AW28=1,1000000,SUMPRODUCT('計算A'!$D$104:$DS$104,$CS28:$HH28)*1000+45)</f>
        <v/>
      </c>
      <c r="CS28">
        <f>CS27*IF($C27=1,0,1)</f>
        <v/>
      </c>
      <c r="CT28">
        <f>CT27*IF($C27=2,0,1)</f>
        <v/>
      </c>
      <c r="CU28">
        <f>CU27*IF($C27=3,0,1)</f>
        <v/>
      </c>
      <c r="CV28">
        <f>CV27*IF($C27=4,0,1)</f>
        <v/>
      </c>
      <c r="CW28">
        <f>CW27*IF($C27=5,0,1)</f>
        <v/>
      </c>
      <c r="CX28">
        <f>CX27*IF($C27=6,0,1)</f>
        <v/>
      </c>
      <c r="CY28">
        <f>CY27*IF($C27=7,0,1)</f>
        <v/>
      </c>
      <c r="CZ28">
        <f>CZ27*IF($C27=8,0,1)</f>
        <v/>
      </c>
      <c r="DA28">
        <f>DA27*IF($C27=9,0,1)</f>
        <v/>
      </c>
      <c r="DB28">
        <f>DB27*IF($C27=10,0,1)</f>
        <v/>
      </c>
      <c r="DC28">
        <f>DC27*IF($C27=11,0,1)</f>
        <v/>
      </c>
      <c r="DD28">
        <f>DD27*IF($C27=12,0,1)</f>
        <v/>
      </c>
      <c r="DE28">
        <f>DE27*IF($C27=13,0,1)</f>
        <v/>
      </c>
      <c r="DF28">
        <f>DF27*IF($C27=14,0,1)</f>
        <v/>
      </c>
      <c r="DG28">
        <f>DG27*IF($C27=15,0,1)</f>
        <v/>
      </c>
      <c r="DH28">
        <f>DH27*IF($C27=16,0,1)</f>
        <v/>
      </c>
      <c r="DI28">
        <f>DI27*IF($C27=17,0,1)</f>
        <v/>
      </c>
      <c r="DJ28">
        <f>DJ27*IF($C27=18,0,1)</f>
        <v/>
      </c>
      <c r="DK28">
        <f>DK27*IF($C27=19,0,1)</f>
        <v/>
      </c>
      <c r="DL28">
        <f>DL27*IF($C27=20,0,1)</f>
        <v/>
      </c>
      <c r="DM28">
        <f>DM27*IF($C27=21,0,1)</f>
        <v/>
      </c>
      <c r="DN28">
        <f>DN27*IF($C27=22,0,1)</f>
        <v/>
      </c>
      <c r="DO28">
        <f>DO27*IF($C27=23,0,1)</f>
        <v/>
      </c>
      <c r="DP28">
        <f>DP27*IF($C27=24,0,1)</f>
        <v/>
      </c>
      <c r="DQ28">
        <f>DQ27*IF($C27=25,0,1)</f>
        <v/>
      </c>
      <c r="DR28">
        <f>DR27*IF($C27=26,0,1)</f>
        <v/>
      </c>
      <c r="DS28">
        <f>DS27*IF($C27=27,0,1)</f>
        <v/>
      </c>
      <c r="DT28">
        <f>DT27*IF($C27=28,0,1)</f>
        <v/>
      </c>
      <c r="DU28">
        <f>DU27*IF($C27=29,0,1)</f>
        <v/>
      </c>
      <c r="DV28">
        <f>DV27*IF($C27=30,0,1)</f>
        <v/>
      </c>
      <c r="DW28">
        <f>DW27*IF($C27=31,0,1)</f>
        <v/>
      </c>
      <c r="DX28">
        <f>DX27*IF($C27=32,0,1)</f>
        <v/>
      </c>
      <c r="DY28">
        <f>DY27*IF($C27=33,0,1)</f>
        <v/>
      </c>
      <c r="DZ28">
        <f>DZ27*IF($C27=34,0,1)</f>
        <v/>
      </c>
      <c r="EA28">
        <f>EA27*IF($C27=35,0,1)</f>
        <v/>
      </c>
      <c r="EB28">
        <f>EB27*IF($C27=36,0,1)</f>
        <v/>
      </c>
      <c r="EC28">
        <f>EC27*IF($C27=37,0,1)</f>
        <v/>
      </c>
      <c r="ED28">
        <f>ED27*IF($C27=38,0,1)</f>
        <v/>
      </c>
      <c r="EE28">
        <f>EE27*IF($C27=39,0,1)</f>
        <v/>
      </c>
      <c r="EF28">
        <f>EF27*IF($C27=40,0,1)</f>
        <v/>
      </c>
      <c r="EG28">
        <f>EG27*IF($C27=41,0,1)</f>
        <v/>
      </c>
      <c r="EH28">
        <f>EH27*IF($C27=42,0,1)</f>
        <v/>
      </c>
      <c r="EI28">
        <f>EI27*IF($C27=43,0,1)</f>
        <v/>
      </c>
      <c r="EJ28">
        <f>EJ27*IF($C27=44,0,1)</f>
        <v/>
      </c>
      <c r="EK28">
        <f>EK27*IF($C27=45,0,1)</f>
        <v/>
      </c>
      <c r="EL28">
        <f>EL27*IF($C27=46,0,1)</f>
        <v/>
      </c>
      <c r="EM28">
        <f>EM27*IF($C27=47,0,1)</f>
        <v/>
      </c>
      <c r="EN28">
        <f>EN27*IF($C27=48,0,1)</f>
        <v/>
      </c>
      <c r="EO28">
        <f>EO27*IF($C27=49,0,1)</f>
        <v/>
      </c>
      <c r="EP28">
        <f>EP27*IF($C27=50,0,1)</f>
        <v/>
      </c>
      <c r="EQ28">
        <f>EQ27*IF($C27=51,0,1)</f>
        <v/>
      </c>
      <c r="ER28">
        <f>ER27*IF($C27=52,0,1)</f>
        <v/>
      </c>
      <c r="ES28">
        <f>ES27*IF($C27=53,0,1)</f>
        <v/>
      </c>
      <c r="ET28">
        <f>ET27*IF($C27=54,0,1)</f>
        <v/>
      </c>
      <c r="EU28">
        <f>EU27*IF($C27=55,0,1)</f>
        <v/>
      </c>
      <c r="EV28">
        <f>EV27*IF($C27=56,0,1)</f>
        <v/>
      </c>
      <c r="EW28">
        <f>EW27*IF($C27=57,0,1)</f>
        <v/>
      </c>
      <c r="EX28">
        <f>EX27*IF($C27=58,0,1)</f>
        <v/>
      </c>
      <c r="EY28">
        <f>EY27*IF($C27=59,0,1)</f>
        <v/>
      </c>
      <c r="EZ28">
        <f>EZ27*IF($C27=60,0,1)</f>
        <v/>
      </c>
      <c r="FA28">
        <f>FA27*IF($C27=61,0,1)</f>
        <v/>
      </c>
      <c r="FB28">
        <f>FB27*IF($C27=62,0,1)</f>
        <v/>
      </c>
      <c r="FC28">
        <f>FC27*IF($C27=63,0,1)</f>
        <v/>
      </c>
      <c r="FD28">
        <f>FD27*IF($C27=64,0,1)</f>
        <v/>
      </c>
      <c r="FE28">
        <f>FE27*IF($C27=65,0,1)</f>
        <v/>
      </c>
      <c r="FF28">
        <f>FF27*IF($C27=66,0,1)</f>
        <v/>
      </c>
      <c r="FG28">
        <f>FG27*IF($C27=67,0,1)</f>
        <v/>
      </c>
      <c r="FH28">
        <f>FH27*IF($C27=68,0,1)</f>
        <v/>
      </c>
      <c r="FI28">
        <f>FI27*IF($C27=69,0,1)</f>
        <v/>
      </c>
      <c r="FJ28">
        <f>FJ27*IF($C27=70,0,1)</f>
        <v/>
      </c>
      <c r="FK28">
        <f>FK27*IF($C27=71,0,1)</f>
        <v/>
      </c>
      <c r="FL28">
        <f>FL27*IF($C27=72,0,1)</f>
        <v/>
      </c>
      <c r="FM28">
        <f>FM27*IF($C27=73,0,1)</f>
        <v/>
      </c>
      <c r="FN28">
        <f>FN27*IF($C27=74,0,1)</f>
        <v/>
      </c>
      <c r="FO28">
        <f>FO27*IF($C27=75,0,1)</f>
        <v/>
      </c>
      <c r="FP28">
        <f>FP27*IF($C27=76,0,1)</f>
        <v/>
      </c>
      <c r="FQ28">
        <f>FQ27*IF($C27=77,0,1)</f>
        <v/>
      </c>
      <c r="FR28">
        <f>FR27*IF($C27=78,0,1)</f>
        <v/>
      </c>
      <c r="FS28">
        <f>FS27*IF($C27=79,0,1)</f>
        <v/>
      </c>
      <c r="FT28">
        <f>FT27*IF($C27=80,0,1)</f>
        <v/>
      </c>
      <c r="FU28">
        <f>FU27*IF($C27=81,0,1)</f>
        <v/>
      </c>
      <c r="FV28">
        <f>FV27*IF($C27=82,0,1)</f>
        <v/>
      </c>
      <c r="FW28">
        <f>FW27*IF($C27=83,0,1)</f>
        <v/>
      </c>
      <c r="FX28">
        <f>FX27*IF($C27=84,0,1)</f>
        <v/>
      </c>
      <c r="FY28">
        <f>FY27*IF($C27=85,0,1)</f>
        <v/>
      </c>
      <c r="FZ28">
        <f>FZ27*IF($C27=86,0,1)</f>
        <v/>
      </c>
      <c r="GA28">
        <f>GA27*IF($C27=87,0,1)</f>
        <v/>
      </c>
      <c r="GB28">
        <f>GB27*IF($C27=88,0,1)</f>
        <v/>
      </c>
      <c r="GC28">
        <f>GC27*IF($C27=89,0,1)</f>
        <v/>
      </c>
      <c r="GD28">
        <f>GD27*IF($C27=90,0,1)</f>
        <v/>
      </c>
      <c r="GE28">
        <f>GE27*IF($C27=91,0,1)</f>
        <v/>
      </c>
      <c r="GF28">
        <f>GF27*IF($C27=92,0,1)</f>
        <v/>
      </c>
      <c r="GG28">
        <f>GG27*IF($C27=93,0,1)</f>
        <v/>
      </c>
      <c r="GH28">
        <f>GH27*IF($C27=94,0,1)</f>
        <v/>
      </c>
      <c r="GI28">
        <f>GI27*IF($C27=95,0,1)</f>
        <v/>
      </c>
      <c r="GJ28">
        <f>GJ27*IF($C27=96,0,1)</f>
        <v/>
      </c>
      <c r="GK28">
        <f>GK27*IF($C27=97,0,1)</f>
        <v/>
      </c>
      <c r="GL28">
        <f>GL27*IF($C27=98,0,1)</f>
        <v/>
      </c>
      <c r="GM28">
        <f>GM27*IF($C27=99,0,1)</f>
        <v/>
      </c>
      <c r="GN28">
        <f>GN27*IF($C27=100,0,1)</f>
        <v/>
      </c>
      <c r="GO28">
        <f>GO27*IF($C27=101,0,1)</f>
        <v/>
      </c>
      <c r="GP28">
        <f>GP27*IF($C27=102,0,1)</f>
        <v/>
      </c>
      <c r="GQ28">
        <f>GQ27*IF($C27=103,0,1)</f>
        <v/>
      </c>
      <c r="GR28">
        <f>GR27*IF($C27=104,0,1)</f>
        <v/>
      </c>
      <c r="GS28">
        <f>GS27*IF($C27=105,0,1)</f>
        <v/>
      </c>
      <c r="GT28">
        <f>GT27*IF($C27=106,0,1)</f>
        <v/>
      </c>
      <c r="GU28">
        <f>GU27*IF($C27=107,0,1)</f>
        <v/>
      </c>
      <c r="GV28">
        <f>GV27*IF($C27=108,0,1)</f>
        <v/>
      </c>
      <c r="GW28">
        <f>GW27*IF($C27=109,0,1)</f>
        <v/>
      </c>
      <c r="GX28">
        <f>GX27*IF($C27=110,0,1)</f>
        <v/>
      </c>
      <c r="GY28">
        <f>GY27*IF($C27=111,0,1)</f>
        <v/>
      </c>
      <c r="GZ28">
        <f>GZ27*IF($C27=112,0,1)</f>
        <v/>
      </c>
      <c r="HA28">
        <f>HA27*IF($C27=113,0,1)</f>
        <v/>
      </c>
      <c r="HB28">
        <f>HB27*IF($C27=114,0,1)</f>
        <v/>
      </c>
      <c r="HC28">
        <f>HC27*IF($C27=115,0,1)</f>
        <v/>
      </c>
      <c r="HD28">
        <f>HD27*IF($C27=116,0,1)</f>
        <v/>
      </c>
      <c r="HE28">
        <f>HE27*IF($C27=117,0,1)</f>
        <v/>
      </c>
      <c r="HF28">
        <f>HF27*IF($C27=118,0,1)</f>
        <v/>
      </c>
      <c r="HG28">
        <f>HG27*IF($C27=119,0,1)</f>
        <v/>
      </c>
      <c r="HH28">
        <f>HH27*IF($C27=120,0,1)</f>
        <v/>
      </c>
      <c r="HJ28">
        <f>IF($B28=0,1000000,IF(INDEX('計算A'!$D$60:$DS$104,$B28,1)*CS28=1,'計算A'!D$6,1000000))</f>
        <v/>
      </c>
      <c r="HK28">
        <f>IF($B28=0,1000000,IF(INDEX('計算A'!$D$60:$DS$104,$B28,2)*CT28=1,'計算A'!E$6,1000000))</f>
        <v/>
      </c>
      <c r="HL28">
        <f>IF($B28=0,1000000,IF(INDEX('計算A'!$D$60:$DS$104,$B28,3)*CU28=1,'計算A'!F$6,1000000))</f>
        <v/>
      </c>
      <c r="HM28">
        <f>IF($B28=0,1000000,IF(INDEX('計算A'!$D$60:$DS$104,$B28,4)*CV28=1,'計算A'!G$6,1000000))</f>
        <v/>
      </c>
      <c r="HN28">
        <f>IF($B28=0,1000000,IF(INDEX('計算A'!$D$60:$DS$104,$B28,5)*CW28=1,'計算A'!H$6,1000000))</f>
        <v/>
      </c>
      <c r="HO28">
        <f>IF($B28=0,1000000,IF(INDEX('計算A'!$D$60:$DS$104,$B28,6)*CX28=1,'計算A'!I$6,1000000))</f>
        <v/>
      </c>
      <c r="HP28">
        <f>IF($B28=0,1000000,IF(INDEX('計算A'!$D$60:$DS$104,$B28,7)*CY28=1,'計算A'!J$6,1000000))</f>
        <v/>
      </c>
      <c r="HQ28">
        <f>IF($B28=0,1000000,IF(INDEX('計算A'!$D$60:$DS$104,$B28,8)*CZ28=1,'計算A'!K$6,1000000))</f>
        <v/>
      </c>
      <c r="HR28">
        <f>IF($B28=0,1000000,IF(INDEX('計算A'!$D$60:$DS$104,$B28,9)*DA28=1,'計算A'!L$6,1000000))</f>
        <v/>
      </c>
      <c r="HS28">
        <f>IF($B28=0,1000000,IF(INDEX('計算A'!$D$60:$DS$104,$B28,10)*DB28=1,'計算A'!M$6,1000000))</f>
        <v/>
      </c>
      <c r="HT28">
        <f>IF($B28=0,1000000,IF(INDEX('計算A'!$D$60:$DS$104,$B28,11)*DC28=1,'計算A'!N$6,1000000))</f>
        <v/>
      </c>
      <c r="HU28">
        <f>IF($B28=0,1000000,IF(INDEX('計算A'!$D$60:$DS$104,$B28,12)*DD28=1,'計算A'!O$6,1000000))</f>
        <v/>
      </c>
      <c r="HV28">
        <f>IF($B28=0,1000000,IF(INDEX('計算A'!$D$60:$DS$104,$B28,13)*DE28=1,'計算A'!P$6,1000000))</f>
        <v/>
      </c>
      <c r="HW28">
        <f>IF($B28=0,1000000,IF(INDEX('計算A'!$D$60:$DS$104,$B28,14)*DF28=1,'計算A'!Q$6,1000000))</f>
        <v/>
      </c>
      <c r="HX28">
        <f>IF($B28=0,1000000,IF(INDEX('計算A'!$D$60:$DS$104,$B28,15)*DG28=1,'計算A'!R$6,1000000))</f>
        <v/>
      </c>
      <c r="HY28">
        <f>IF($B28=0,1000000,IF(INDEX('計算A'!$D$60:$DS$104,$B28,16)*DH28=1,'計算A'!S$6,1000000))</f>
        <v/>
      </c>
      <c r="HZ28">
        <f>IF($B28=0,1000000,IF(INDEX('計算A'!$D$60:$DS$104,$B28,17)*DI28=1,'計算A'!T$6,1000000))</f>
        <v/>
      </c>
      <c r="IA28">
        <f>IF($B28=0,1000000,IF(INDEX('計算A'!$D$60:$DS$104,$B28,18)*DJ28=1,'計算A'!U$6,1000000))</f>
        <v/>
      </c>
      <c r="IB28">
        <f>IF($B28=0,1000000,IF(INDEX('計算A'!$D$60:$DS$104,$B28,19)*DK28=1,'計算A'!V$6,1000000))</f>
        <v/>
      </c>
      <c r="IC28">
        <f>IF($B28=0,1000000,IF(INDEX('計算A'!$D$60:$DS$104,$B28,20)*DL28=1,'計算A'!W$6,1000000))</f>
        <v/>
      </c>
      <c r="ID28">
        <f>IF($B28=0,1000000,IF(INDEX('計算A'!$D$60:$DS$104,$B28,21)*DM28=1,'計算A'!X$6,1000000))</f>
        <v/>
      </c>
      <c r="IE28">
        <f>IF($B28=0,1000000,IF(INDEX('計算A'!$D$60:$DS$104,$B28,22)*DN28=1,'計算A'!Y$6,1000000))</f>
        <v/>
      </c>
      <c r="IF28">
        <f>IF($B28=0,1000000,IF(INDEX('計算A'!$D$60:$DS$104,$B28,23)*DO28=1,'計算A'!Z$6,1000000))</f>
        <v/>
      </c>
      <c r="IG28">
        <f>IF($B28=0,1000000,IF(INDEX('計算A'!$D$60:$DS$104,$B28,24)*DP28=1,'計算A'!AA$6,1000000))</f>
        <v/>
      </c>
      <c r="IH28">
        <f>IF($B28=0,1000000,IF(INDEX('計算A'!$D$60:$DS$104,$B28,25)*DQ28=1,'計算A'!AB$6,1000000))</f>
        <v/>
      </c>
      <c r="II28">
        <f>IF($B28=0,1000000,IF(INDEX('計算A'!$D$60:$DS$104,$B28,26)*DR28=1,'計算A'!AC$6,1000000))</f>
        <v/>
      </c>
      <c r="IJ28">
        <f>IF($B28=0,1000000,IF(INDEX('計算A'!$D$60:$DS$104,$B28,27)*DS28=1,'計算A'!AD$6,1000000))</f>
        <v/>
      </c>
      <c r="IK28">
        <f>IF($B28=0,1000000,IF(INDEX('計算A'!$D$60:$DS$104,$B28,28)*DT28=1,'計算A'!AE$6,1000000))</f>
        <v/>
      </c>
      <c r="IL28">
        <f>IF($B28=0,1000000,IF(INDEX('計算A'!$D$60:$DS$104,$B28,29)*DU28=1,'計算A'!AF$6,1000000))</f>
        <v/>
      </c>
      <c r="IM28">
        <f>IF($B28=0,1000000,IF(INDEX('計算A'!$D$60:$DS$104,$B28,30)*DV28=1,'計算A'!AG$6,1000000))</f>
        <v/>
      </c>
      <c r="IN28">
        <f>IF($B28=0,1000000,IF(INDEX('計算A'!$D$60:$DS$104,$B28,31)*DW28=1,'計算A'!AH$6,1000000))</f>
        <v/>
      </c>
      <c r="IO28">
        <f>IF($B28=0,1000000,IF(INDEX('計算A'!$D$60:$DS$104,$B28,32)*DX28=1,'計算A'!AI$6,1000000))</f>
        <v/>
      </c>
      <c r="IP28">
        <f>IF($B28=0,1000000,IF(INDEX('計算A'!$D$60:$DS$104,$B28,33)*DY28=1,'計算A'!AJ$6,1000000))</f>
        <v/>
      </c>
      <c r="IQ28">
        <f>IF($B28=0,1000000,IF(INDEX('計算A'!$D$60:$DS$104,$B28,34)*DZ28=1,'計算A'!AK$6,1000000))</f>
        <v/>
      </c>
      <c r="IR28">
        <f>IF($B28=0,1000000,IF(INDEX('計算A'!$D$60:$DS$104,$B28,35)*EA28=1,'計算A'!AL$6,1000000))</f>
        <v/>
      </c>
      <c r="IS28">
        <f>IF($B28=0,1000000,IF(INDEX('計算A'!$D$60:$DS$104,$B28,36)*EB28=1,'計算A'!AM$6,1000000))</f>
        <v/>
      </c>
      <c r="IT28">
        <f>IF($B28=0,1000000,IF(INDEX('計算A'!$D$60:$DS$104,$B28,37)*EC28=1,'計算A'!AN$6,1000000))</f>
        <v/>
      </c>
      <c r="IU28">
        <f>IF($B28=0,1000000,IF(INDEX('計算A'!$D$60:$DS$104,$B28,38)*ED28=1,'計算A'!AO$6,1000000))</f>
        <v/>
      </c>
      <c r="IV28">
        <f>IF($B28=0,1000000,IF(INDEX('計算A'!$D$60:$DS$104,$B28,39)*EE28=1,'計算A'!AP$6,1000000))</f>
        <v/>
      </c>
      <c r="IW28">
        <f>IF($B28=0,1000000,IF(INDEX('計算A'!$D$60:$DS$104,$B28,40)*EF28=1,'計算A'!AQ$6,1000000))</f>
        <v/>
      </c>
      <c r="IX28">
        <f>IF($B28=0,1000000,IF(INDEX('計算A'!$D$60:$DS$104,$B28,41)*EG28=1,'計算A'!AR$6,1000000))</f>
        <v/>
      </c>
      <c r="IY28">
        <f>IF($B28=0,1000000,IF(INDEX('計算A'!$D$60:$DS$104,$B28,42)*EH28=1,'計算A'!AS$6,1000000))</f>
        <v/>
      </c>
      <c r="IZ28">
        <f>IF($B28=0,1000000,IF(INDEX('計算A'!$D$60:$DS$104,$B28,43)*EI28=1,'計算A'!AT$6,1000000))</f>
        <v/>
      </c>
      <c r="JA28">
        <f>IF($B28=0,1000000,IF(INDEX('計算A'!$D$60:$DS$104,$B28,44)*EJ28=1,'計算A'!AU$6,1000000))</f>
        <v/>
      </c>
      <c r="JB28">
        <f>IF($B28=0,1000000,IF(INDEX('計算A'!$D$60:$DS$104,$B28,45)*EK28=1,'計算A'!AV$6,1000000))</f>
        <v/>
      </c>
      <c r="JC28">
        <f>IF($B28=0,1000000,IF(INDEX('計算A'!$D$60:$DS$104,$B28,46)*EL28=1,'計算A'!AW$6,1000000))</f>
        <v/>
      </c>
      <c r="JD28">
        <f>IF($B28=0,1000000,IF(INDEX('計算A'!$D$60:$DS$104,$B28,47)*EM28=1,'計算A'!AX$6,1000000))</f>
        <v/>
      </c>
      <c r="JE28">
        <f>IF($B28=0,1000000,IF(INDEX('計算A'!$D$60:$DS$104,$B28,48)*EN28=1,'計算A'!AY$6,1000000))</f>
        <v/>
      </c>
      <c r="JF28">
        <f>IF($B28=0,1000000,IF(INDEX('計算A'!$D$60:$DS$104,$B28,49)*EO28=1,'計算A'!AZ$6,1000000))</f>
        <v/>
      </c>
      <c r="JG28">
        <f>IF($B28=0,1000000,IF(INDEX('計算A'!$D$60:$DS$104,$B28,50)*EP28=1,'計算A'!BA$6,1000000))</f>
        <v/>
      </c>
      <c r="JH28">
        <f>IF($B28=0,1000000,IF(INDEX('計算A'!$D$60:$DS$104,$B28,51)*EQ28=1,'計算A'!BB$6,1000000))</f>
        <v/>
      </c>
      <c r="JI28">
        <f>IF($B28=0,1000000,IF(INDEX('計算A'!$D$60:$DS$104,$B28,52)*ER28=1,'計算A'!BC$6,1000000))</f>
        <v/>
      </c>
      <c r="JJ28">
        <f>IF($B28=0,1000000,IF(INDEX('計算A'!$D$60:$DS$104,$B28,53)*ES28=1,'計算A'!BD$6,1000000))</f>
        <v/>
      </c>
      <c r="JK28">
        <f>IF($B28=0,1000000,IF(INDEX('計算A'!$D$60:$DS$104,$B28,54)*ET28=1,'計算A'!BE$6,1000000))</f>
        <v/>
      </c>
      <c r="JL28">
        <f>IF($B28=0,1000000,IF(INDEX('計算A'!$D$60:$DS$104,$B28,55)*EU28=1,'計算A'!BF$6,1000000))</f>
        <v/>
      </c>
      <c r="JM28">
        <f>IF($B28=0,1000000,IF(INDEX('計算A'!$D$60:$DS$104,$B28,56)*EV28=1,'計算A'!BG$6,1000000))</f>
        <v/>
      </c>
      <c r="JN28">
        <f>IF($B28=0,1000000,IF(INDEX('計算A'!$D$60:$DS$104,$B28,57)*EW28=1,'計算A'!BH$6,1000000))</f>
        <v/>
      </c>
      <c r="JO28">
        <f>IF($B28=0,1000000,IF(INDEX('計算A'!$D$60:$DS$104,$B28,58)*EX28=1,'計算A'!BI$6,1000000))</f>
        <v/>
      </c>
      <c r="JP28">
        <f>IF($B28=0,1000000,IF(INDEX('計算A'!$D$60:$DS$104,$B28,59)*EY28=1,'計算A'!BJ$6,1000000))</f>
        <v/>
      </c>
      <c r="JQ28">
        <f>IF($B28=0,1000000,IF(INDEX('計算A'!$D$60:$DS$104,$B28,60)*EZ28=1,'計算A'!BK$6,1000000))</f>
        <v/>
      </c>
      <c r="JR28">
        <f>IF($B28=0,1000000,IF(INDEX('計算A'!$D$60:$DS$104,$B28,61)*FA28=1,'計算A'!BL$6,1000000))</f>
        <v/>
      </c>
      <c r="JS28">
        <f>IF($B28=0,1000000,IF(INDEX('計算A'!$D$60:$DS$104,$B28,62)*FB28=1,'計算A'!BM$6,1000000))</f>
        <v/>
      </c>
      <c r="JT28">
        <f>IF($B28=0,1000000,IF(INDEX('計算A'!$D$60:$DS$104,$B28,63)*FC28=1,'計算A'!BN$6,1000000))</f>
        <v/>
      </c>
      <c r="JU28">
        <f>IF($B28=0,1000000,IF(INDEX('計算A'!$D$60:$DS$104,$B28,64)*FD28=1,'計算A'!BO$6,1000000))</f>
        <v/>
      </c>
      <c r="JV28">
        <f>IF($B28=0,1000000,IF(INDEX('計算A'!$D$60:$DS$104,$B28,65)*FE28=1,'計算A'!BP$6,1000000))</f>
        <v/>
      </c>
      <c r="JW28">
        <f>IF($B28=0,1000000,IF(INDEX('計算A'!$D$60:$DS$104,$B28,66)*FF28=1,'計算A'!BQ$6,1000000))</f>
        <v/>
      </c>
      <c r="JX28">
        <f>IF($B28=0,1000000,IF(INDEX('計算A'!$D$60:$DS$104,$B28,67)*FG28=1,'計算A'!BR$6,1000000))</f>
        <v/>
      </c>
      <c r="JY28">
        <f>IF($B28=0,1000000,IF(INDEX('計算A'!$D$60:$DS$104,$B28,68)*FH28=1,'計算A'!BS$6,1000000))</f>
        <v/>
      </c>
      <c r="JZ28">
        <f>IF($B28=0,1000000,IF(INDEX('計算A'!$D$60:$DS$104,$B28,69)*FI28=1,'計算A'!BT$6,1000000))</f>
        <v/>
      </c>
      <c r="KA28">
        <f>IF($B28=0,1000000,IF(INDEX('計算A'!$D$60:$DS$104,$B28,70)*FJ28=1,'計算A'!BU$6,1000000))</f>
        <v/>
      </c>
      <c r="KB28">
        <f>IF($B28=0,1000000,IF(INDEX('計算A'!$D$60:$DS$104,$B28,71)*FK28=1,'計算A'!BV$6,1000000))</f>
        <v/>
      </c>
      <c r="KC28">
        <f>IF($B28=0,1000000,IF(INDEX('計算A'!$D$60:$DS$104,$B28,72)*FL28=1,'計算A'!BW$6,1000000))</f>
        <v/>
      </c>
      <c r="KD28">
        <f>IF($B28=0,1000000,IF(INDEX('計算A'!$D$60:$DS$104,$B28,73)*FM28=1,'計算A'!BX$6,1000000))</f>
        <v/>
      </c>
      <c r="KE28">
        <f>IF($B28=0,1000000,IF(INDEX('計算A'!$D$60:$DS$104,$B28,74)*FN28=1,'計算A'!BY$6,1000000))</f>
        <v/>
      </c>
      <c r="KF28">
        <f>IF($B28=0,1000000,IF(INDEX('計算A'!$D$60:$DS$104,$B28,75)*FO28=1,'計算A'!BZ$6,1000000))</f>
        <v/>
      </c>
      <c r="KG28">
        <f>IF($B28=0,1000000,IF(INDEX('計算A'!$D$60:$DS$104,$B28,76)*FP28=1,'計算A'!CA$6,1000000))</f>
        <v/>
      </c>
      <c r="KH28">
        <f>IF($B28=0,1000000,IF(INDEX('計算A'!$D$60:$DS$104,$B28,77)*FQ28=1,'計算A'!CB$6,1000000))</f>
        <v/>
      </c>
      <c r="KI28">
        <f>IF($B28=0,1000000,IF(INDEX('計算A'!$D$60:$DS$104,$B28,78)*FR28=1,'計算A'!CC$6,1000000))</f>
        <v/>
      </c>
      <c r="KJ28">
        <f>IF($B28=0,1000000,IF(INDEX('計算A'!$D$60:$DS$104,$B28,79)*FS28=1,'計算A'!CD$6,1000000))</f>
        <v/>
      </c>
      <c r="KK28">
        <f>IF($B28=0,1000000,IF(INDEX('計算A'!$D$60:$DS$104,$B28,80)*FT28=1,'計算A'!CE$6,1000000))</f>
        <v/>
      </c>
      <c r="KL28">
        <f>IF($B28=0,1000000,IF(INDEX('計算A'!$D$60:$DS$104,$B28,81)*FU28=1,'計算A'!CF$6,1000000))</f>
        <v/>
      </c>
      <c r="KM28">
        <f>IF($B28=0,1000000,IF(INDEX('計算A'!$D$60:$DS$104,$B28,82)*FV28=1,'計算A'!CG$6,1000000))</f>
        <v/>
      </c>
      <c r="KN28">
        <f>IF($B28=0,1000000,IF(INDEX('計算A'!$D$60:$DS$104,$B28,83)*FW28=1,'計算A'!CH$6,1000000))</f>
        <v/>
      </c>
      <c r="KO28">
        <f>IF($B28=0,1000000,IF(INDEX('計算A'!$D$60:$DS$104,$B28,84)*FX28=1,'計算A'!CI$6,1000000))</f>
        <v/>
      </c>
      <c r="KP28">
        <f>IF($B28=0,1000000,IF(INDEX('計算A'!$D$60:$DS$104,$B28,85)*FY28=1,'計算A'!CJ$6,1000000))</f>
        <v/>
      </c>
      <c r="KQ28">
        <f>IF($B28=0,1000000,IF(INDEX('計算A'!$D$60:$DS$104,$B28,86)*FZ28=1,'計算A'!CK$6,1000000))</f>
        <v/>
      </c>
      <c r="KR28">
        <f>IF($B28=0,1000000,IF(INDEX('計算A'!$D$60:$DS$104,$B28,87)*GA28=1,'計算A'!CL$6,1000000))</f>
        <v/>
      </c>
      <c r="KS28">
        <f>IF($B28=0,1000000,IF(INDEX('計算A'!$D$60:$DS$104,$B28,88)*GB28=1,'計算A'!CM$6,1000000))</f>
        <v/>
      </c>
      <c r="KT28">
        <f>IF($B28=0,1000000,IF(INDEX('計算A'!$D$60:$DS$104,$B28,89)*GC28=1,'計算A'!CN$6,1000000))</f>
        <v/>
      </c>
      <c r="KU28">
        <f>IF($B28=0,1000000,IF(INDEX('計算A'!$D$60:$DS$104,$B28,90)*GD28=1,'計算A'!CO$6,1000000))</f>
        <v/>
      </c>
      <c r="KV28">
        <f>IF($B28=0,1000000,IF(INDEX('計算A'!$D$60:$DS$104,$B28,91)*GE28=1,'計算A'!CP$6,1000000))</f>
        <v/>
      </c>
      <c r="KW28">
        <f>IF($B28=0,1000000,IF(INDEX('計算A'!$D$60:$DS$104,$B28,92)*GF28=1,'計算A'!CQ$6,1000000))</f>
        <v/>
      </c>
      <c r="KX28">
        <f>IF($B28=0,1000000,IF(INDEX('計算A'!$D$60:$DS$104,$B28,93)*GG28=1,'計算A'!CR$6,1000000))</f>
        <v/>
      </c>
      <c r="KY28">
        <f>IF($B28=0,1000000,IF(INDEX('計算A'!$D$60:$DS$104,$B28,94)*GH28=1,'計算A'!CS$6,1000000))</f>
        <v/>
      </c>
      <c r="KZ28">
        <f>IF($B28=0,1000000,IF(INDEX('計算A'!$D$60:$DS$104,$B28,95)*GI28=1,'計算A'!CT$6,1000000))</f>
        <v/>
      </c>
      <c r="LA28">
        <f>IF($B28=0,1000000,IF(INDEX('計算A'!$D$60:$DS$104,$B28,96)*GJ28=1,'計算A'!CU$6,1000000))</f>
        <v/>
      </c>
      <c r="LB28">
        <f>IF($B28=0,1000000,IF(INDEX('計算A'!$D$60:$DS$104,$B28,97)*GK28=1,'計算A'!CV$6,1000000))</f>
        <v/>
      </c>
      <c r="LC28">
        <f>IF($B28=0,1000000,IF(INDEX('計算A'!$D$60:$DS$104,$B28,98)*GL28=1,'計算A'!CW$6,1000000))</f>
        <v/>
      </c>
      <c r="LD28">
        <f>IF($B28=0,1000000,IF(INDEX('計算A'!$D$60:$DS$104,$B28,99)*GM28=1,'計算A'!CX$6,1000000))</f>
        <v/>
      </c>
      <c r="LE28">
        <f>IF($B28=0,1000000,IF(INDEX('計算A'!$D$60:$DS$104,$B28,100)*GN28=1,'計算A'!CY$6,1000000))</f>
        <v/>
      </c>
      <c r="LF28">
        <f>IF($B28=0,1000000,IF(INDEX('計算A'!$D$60:$DS$104,$B28,101)*GO28=1,'計算A'!CZ$6,1000000))</f>
        <v/>
      </c>
      <c r="LG28">
        <f>IF($B28=0,1000000,IF(INDEX('計算A'!$D$60:$DS$104,$B28,102)*GP28=1,'計算A'!DA$6,1000000))</f>
        <v/>
      </c>
      <c r="LH28">
        <f>IF($B28=0,1000000,IF(INDEX('計算A'!$D$60:$DS$104,$B28,103)*GQ28=1,'計算A'!DB$6,1000000))</f>
        <v/>
      </c>
      <c r="LI28">
        <f>IF($B28=0,1000000,IF(INDEX('計算A'!$D$60:$DS$104,$B28,104)*GR28=1,'計算A'!DC$6,1000000))</f>
        <v/>
      </c>
      <c r="LJ28">
        <f>IF($B28=0,1000000,IF(INDEX('計算A'!$D$60:$DS$104,$B28,105)*GS28=1,'計算A'!DD$6,1000000))</f>
        <v/>
      </c>
      <c r="LK28">
        <f>IF($B28=0,1000000,IF(INDEX('計算A'!$D$60:$DS$104,$B28,106)*GT28=1,'計算A'!DE$6,1000000))</f>
        <v/>
      </c>
      <c r="LL28">
        <f>IF($B28=0,1000000,IF(INDEX('計算A'!$D$60:$DS$104,$B28,107)*GU28=1,'計算A'!DF$6,1000000))</f>
        <v/>
      </c>
      <c r="LM28">
        <f>IF($B28=0,1000000,IF(INDEX('計算A'!$D$60:$DS$104,$B28,108)*GV28=1,'計算A'!DG$6,1000000))</f>
        <v/>
      </c>
      <c r="LN28">
        <f>IF($B28=0,1000000,IF(INDEX('計算A'!$D$60:$DS$104,$B28,109)*GW28=1,'計算A'!DH$6,1000000))</f>
        <v/>
      </c>
      <c r="LO28">
        <f>IF($B28=0,1000000,IF(INDEX('計算A'!$D$60:$DS$104,$B28,110)*GX28=1,'計算A'!DI$6,1000000))</f>
        <v/>
      </c>
      <c r="LP28">
        <f>IF($B28=0,1000000,IF(INDEX('計算A'!$D$60:$DS$104,$B28,111)*GY28=1,'計算A'!DJ$6,1000000))</f>
        <v/>
      </c>
      <c r="LQ28">
        <f>IF($B28=0,1000000,IF(INDEX('計算A'!$D$60:$DS$104,$B28,112)*GZ28=1,'計算A'!DK$6,1000000))</f>
        <v/>
      </c>
      <c r="LR28">
        <f>IF($B28=0,1000000,IF(INDEX('計算A'!$D$60:$DS$104,$B28,113)*HA28=1,'計算A'!DL$6,1000000))</f>
        <v/>
      </c>
      <c r="LS28">
        <f>IF($B28=0,1000000,IF(INDEX('計算A'!$D$60:$DS$104,$B28,114)*HB28=1,'計算A'!DM$6,1000000))</f>
        <v/>
      </c>
      <c r="LT28">
        <f>IF($B28=0,1000000,IF(INDEX('計算A'!$D$60:$DS$104,$B28,115)*HC28=1,'計算A'!DN$6,1000000))</f>
        <v/>
      </c>
      <c r="LU28">
        <f>IF($B28=0,1000000,IF(INDEX('計算A'!$D$60:$DS$104,$B28,116)*HD28=1,'計算A'!DO$6,1000000))</f>
        <v/>
      </c>
      <c r="LV28">
        <f>IF($B28=0,1000000,IF(INDEX('計算A'!$D$60:$DS$104,$B28,117)*HE28=1,'計算A'!DP$6,1000000))</f>
        <v/>
      </c>
      <c r="LW28">
        <f>IF($B28=0,1000000,IF(INDEX('計算A'!$D$60:$DS$104,$B28,118)*HF28=1,'計算A'!DQ$6,1000000))</f>
        <v/>
      </c>
      <c r="LX28">
        <f>IF($B28=0,1000000,IF(INDEX('計算A'!$D$60:$DS$104,$B28,119)*HG28=1,'計算A'!DR$6,1000000))</f>
        <v/>
      </c>
      <c r="LY28">
        <f>IF($B28=0,1000000,IF(INDEX('計算A'!$D$60:$DS$104,$B28,120)*HH28=1,'計算A'!DS$6,1000000))</f>
        <v/>
      </c>
    </row>
    <row r="29">
      <c r="A29" t="n">
        <v>27</v>
      </c>
      <c r="B29">
        <f>IF(MIN(AY29:CQ29)&gt;=1000000,0,MATCH(MIN(AY29:CQ29),AY29:CQ29,0))</f>
        <v/>
      </c>
      <c r="C29">
        <f>IF(MIN(HJ29:LY29)&gt;=1000000,0,MATCH(MIN(HJ29:LY29),HJ29:LY29,0))</f>
        <v/>
      </c>
      <c r="D29">
        <f>IF(C29&gt;0,INDEX('計算A'!$D$5:$DS$5,C29),0)</f>
        <v/>
      </c>
      <c r="E29">
        <f>MAX(E28,IF($B28=1,1,0))</f>
        <v/>
      </c>
      <c r="F29">
        <f>MAX(F28,IF($B28=2,1,0))</f>
        <v/>
      </c>
      <c r="G29">
        <f>MAX(G28,IF($B28=3,1,0))</f>
        <v/>
      </c>
      <c r="H29">
        <f>MAX(H28,IF($B28=4,1,0))</f>
        <v/>
      </c>
      <c r="I29">
        <f>MAX(I28,IF($B28=5,1,0))</f>
        <v/>
      </c>
      <c r="J29">
        <f>MAX(J28,IF($B28=6,1,0))</f>
        <v/>
      </c>
      <c r="K29">
        <f>MAX(K28,IF($B28=7,1,0))</f>
        <v/>
      </c>
      <c r="L29">
        <f>MAX(L28,IF($B28=8,1,0))</f>
        <v/>
      </c>
      <c r="M29">
        <f>MAX(M28,IF($B28=9,1,0))</f>
        <v/>
      </c>
      <c r="N29">
        <f>MAX(N28,IF($B28=10,1,0))</f>
        <v/>
      </c>
      <c r="O29">
        <f>MAX(O28,IF($B28=11,1,0))</f>
        <v/>
      </c>
      <c r="P29">
        <f>MAX(P28,IF($B28=12,1,0))</f>
        <v/>
      </c>
      <c r="Q29">
        <f>MAX(Q28,IF($B28=13,1,0))</f>
        <v/>
      </c>
      <c r="R29">
        <f>MAX(R28,IF($B28=14,1,0))</f>
        <v/>
      </c>
      <c r="S29">
        <f>MAX(S28,IF($B28=15,1,0))</f>
        <v/>
      </c>
      <c r="T29">
        <f>MAX(T28,IF($B28=16,1,0))</f>
        <v/>
      </c>
      <c r="U29">
        <f>MAX(U28,IF($B28=17,1,0))</f>
        <v/>
      </c>
      <c r="V29">
        <f>MAX(V28,IF($B28=18,1,0))</f>
        <v/>
      </c>
      <c r="W29">
        <f>MAX(W28,IF($B28=19,1,0))</f>
        <v/>
      </c>
      <c r="X29">
        <f>MAX(X28,IF($B28=20,1,0))</f>
        <v/>
      </c>
      <c r="Y29">
        <f>MAX(Y28,IF($B28=21,1,0))</f>
        <v/>
      </c>
      <c r="Z29">
        <f>MAX(Z28,IF($B28=22,1,0))</f>
        <v/>
      </c>
      <c r="AA29">
        <f>MAX(AA28,IF($B28=23,1,0))</f>
        <v/>
      </c>
      <c r="AB29">
        <f>MAX(AB28,IF($B28=24,1,0))</f>
        <v/>
      </c>
      <c r="AC29">
        <f>MAX(AC28,IF($B28=25,1,0))</f>
        <v/>
      </c>
      <c r="AD29">
        <f>MAX(AD28,IF($B28=26,1,0))</f>
        <v/>
      </c>
      <c r="AE29">
        <f>MAX(AE28,IF($B28=27,1,0))</f>
        <v/>
      </c>
      <c r="AF29">
        <f>MAX(AF28,IF($B28=28,1,0))</f>
        <v/>
      </c>
      <c r="AG29">
        <f>MAX(AG28,IF($B28=29,1,0))</f>
        <v/>
      </c>
      <c r="AH29">
        <f>MAX(AH28,IF($B28=30,1,0))</f>
        <v/>
      </c>
      <c r="AI29">
        <f>MAX(AI28,IF($B28=31,1,0))</f>
        <v/>
      </c>
      <c r="AJ29">
        <f>MAX(AJ28,IF($B28=32,1,0))</f>
        <v/>
      </c>
      <c r="AK29">
        <f>MAX(AK28,IF($B28=33,1,0))</f>
        <v/>
      </c>
      <c r="AL29">
        <f>MAX(AL28,IF($B28=34,1,0))</f>
        <v/>
      </c>
      <c r="AM29">
        <f>MAX(AM28,IF($B28=35,1,0))</f>
        <v/>
      </c>
      <c r="AN29">
        <f>MAX(AN28,IF($B28=36,1,0))</f>
        <v/>
      </c>
      <c r="AO29">
        <f>MAX(AO28,IF($B28=37,1,0))</f>
        <v/>
      </c>
      <c r="AP29">
        <f>MAX(AP28,IF($B28=38,1,0))</f>
        <v/>
      </c>
      <c r="AQ29">
        <f>MAX(AQ28,IF($B28=39,1,0))</f>
        <v/>
      </c>
      <c r="AR29">
        <f>MAX(AR28,IF($B28=40,1,0))</f>
        <v/>
      </c>
      <c r="AS29">
        <f>MAX(AS28,IF($B28=41,1,0))</f>
        <v/>
      </c>
      <c r="AT29">
        <f>MAX(AT28,IF($B28=42,1,0))</f>
        <v/>
      </c>
      <c r="AU29">
        <f>MAX(AU28,IF($B28=43,1,0))</f>
        <v/>
      </c>
      <c r="AV29">
        <f>MAX(AV28,IF($B28=44,1,0))</f>
        <v/>
      </c>
      <c r="AW29">
        <f>MAX(AW28,IF($B28=45,1,0))</f>
        <v/>
      </c>
      <c r="AY29">
        <f>IF(E29=1,1000000,SUMPRODUCT('計算A'!$D$60:$DS$60,$CS29:$HH29)*1000+1)</f>
        <v/>
      </c>
      <c r="AZ29">
        <f>IF(F29=1,1000000,SUMPRODUCT('計算A'!$D$61:$DS$61,$CS29:$HH29)*1000+2)</f>
        <v/>
      </c>
      <c r="BA29">
        <f>IF(G29=1,1000000,SUMPRODUCT('計算A'!$D$62:$DS$62,$CS29:$HH29)*1000+3)</f>
        <v/>
      </c>
      <c r="BB29">
        <f>IF(H29=1,1000000,SUMPRODUCT('計算A'!$D$63:$DS$63,$CS29:$HH29)*1000+4)</f>
        <v/>
      </c>
      <c r="BC29">
        <f>IF(I29=1,1000000,SUMPRODUCT('計算A'!$D$64:$DS$64,$CS29:$HH29)*1000+5)</f>
        <v/>
      </c>
      <c r="BD29">
        <f>IF(J29=1,1000000,SUMPRODUCT('計算A'!$D$65:$DS$65,$CS29:$HH29)*1000+6)</f>
        <v/>
      </c>
      <c r="BE29">
        <f>IF(K29=1,1000000,SUMPRODUCT('計算A'!$D$66:$DS$66,$CS29:$HH29)*1000+7)</f>
        <v/>
      </c>
      <c r="BF29">
        <f>IF(L29=1,1000000,SUMPRODUCT('計算A'!$D$67:$DS$67,$CS29:$HH29)*1000+8)</f>
        <v/>
      </c>
      <c r="BG29">
        <f>IF(M29=1,1000000,SUMPRODUCT('計算A'!$D$68:$DS$68,$CS29:$HH29)*1000+9)</f>
        <v/>
      </c>
      <c r="BH29">
        <f>IF(N29=1,1000000,SUMPRODUCT('計算A'!$D$69:$DS$69,$CS29:$HH29)*1000+10)</f>
        <v/>
      </c>
      <c r="BI29">
        <f>IF(O29=1,1000000,SUMPRODUCT('計算A'!$D$70:$DS$70,$CS29:$HH29)*1000+11)</f>
        <v/>
      </c>
      <c r="BJ29">
        <f>IF(P29=1,1000000,SUMPRODUCT('計算A'!$D$71:$DS$71,$CS29:$HH29)*1000+12)</f>
        <v/>
      </c>
      <c r="BK29">
        <f>IF(Q29=1,1000000,SUMPRODUCT('計算A'!$D$72:$DS$72,$CS29:$HH29)*1000+13)</f>
        <v/>
      </c>
      <c r="BL29">
        <f>IF(R29=1,1000000,SUMPRODUCT('計算A'!$D$73:$DS$73,$CS29:$HH29)*1000+14)</f>
        <v/>
      </c>
      <c r="BM29">
        <f>IF(S29=1,1000000,SUMPRODUCT('計算A'!$D$74:$DS$74,$CS29:$HH29)*1000+15)</f>
        <v/>
      </c>
      <c r="BN29">
        <f>IF(T29=1,1000000,SUMPRODUCT('計算A'!$D$75:$DS$75,$CS29:$HH29)*1000+16)</f>
        <v/>
      </c>
      <c r="BO29">
        <f>IF(U29=1,1000000,SUMPRODUCT('計算A'!$D$76:$DS$76,$CS29:$HH29)*1000+17)</f>
        <v/>
      </c>
      <c r="BP29">
        <f>IF(V29=1,1000000,SUMPRODUCT('計算A'!$D$77:$DS$77,$CS29:$HH29)*1000+18)</f>
        <v/>
      </c>
      <c r="BQ29">
        <f>IF(W29=1,1000000,SUMPRODUCT('計算A'!$D$78:$DS$78,$CS29:$HH29)*1000+19)</f>
        <v/>
      </c>
      <c r="BR29">
        <f>IF(X29=1,1000000,SUMPRODUCT('計算A'!$D$79:$DS$79,$CS29:$HH29)*1000+20)</f>
        <v/>
      </c>
      <c r="BS29">
        <f>IF(Y29=1,1000000,SUMPRODUCT('計算A'!$D$80:$DS$80,$CS29:$HH29)*1000+21)</f>
        <v/>
      </c>
      <c r="BT29">
        <f>IF(Z29=1,1000000,SUMPRODUCT('計算A'!$D$81:$DS$81,$CS29:$HH29)*1000+22)</f>
        <v/>
      </c>
      <c r="BU29">
        <f>IF(AA29=1,1000000,SUMPRODUCT('計算A'!$D$82:$DS$82,$CS29:$HH29)*1000+23)</f>
        <v/>
      </c>
      <c r="BV29">
        <f>IF(AB29=1,1000000,SUMPRODUCT('計算A'!$D$83:$DS$83,$CS29:$HH29)*1000+24)</f>
        <v/>
      </c>
      <c r="BW29">
        <f>IF(AC29=1,1000000,SUMPRODUCT('計算A'!$D$84:$DS$84,$CS29:$HH29)*1000+25)</f>
        <v/>
      </c>
      <c r="BX29">
        <f>IF(AD29=1,1000000,SUMPRODUCT('計算A'!$D$85:$DS$85,$CS29:$HH29)*1000+26)</f>
        <v/>
      </c>
      <c r="BY29">
        <f>IF(AE29=1,1000000,SUMPRODUCT('計算A'!$D$86:$DS$86,$CS29:$HH29)*1000+27)</f>
        <v/>
      </c>
      <c r="BZ29">
        <f>IF(AF29=1,1000000,SUMPRODUCT('計算A'!$D$87:$DS$87,$CS29:$HH29)*1000+28)</f>
        <v/>
      </c>
      <c r="CA29">
        <f>IF(AG29=1,1000000,SUMPRODUCT('計算A'!$D$88:$DS$88,$CS29:$HH29)*1000+29)</f>
        <v/>
      </c>
      <c r="CB29">
        <f>IF(AH29=1,1000000,SUMPRODUCT('計算A'!$D$89:$DS$89,$CS29:$HH29)*1000+30)</f>
        <v/>
      </c>
      <c r="CC29">
        <f>IF(AI29=1,1000000,SUMPRODUCT('計算A'!$D$90:$DS$90,$CS29:$HH29)*1000+31)</f>
        <v/>
      </c>
      <c r="CD29">
        <f>IF(AJ29=1,1000000,SUMPRODUCT('計算A'!$D$91:$DS$91,$CS29:$HH29)*1000+32)</f>
        <v/>
      </c>
      <c r="CE29">
        <f>IF(AK29=1,1000000,SUMPRODUCT('計算A'!$D$92:$DS$92,$CS29:$HH29)*1000+33)</f>
        <v/>
      </c>
      <c r="CF29">
        <f>IF(AL29=1,1000000,SUMPRODUCT('計算A'!$D$93:$DS$93,$CS29:$HH29)*1000+34)</f>
        <v/>
      </c>
      <c r="CG29">
        <f>IF(AM29=1,1000000,SUMPRODUCT('計算A'!$D$94:$DS$94,$CS29:$HH29)*1000+35)</f>
        <v/>
      </c>
      <c r="CH29">
        <f>IF(AN29=1,1000000,SUMPRODUCT('計算A'!$D$95:$DS$95,$CS29:$HH29)*1000+36)</f>
        <v/>
      </c>
      <c r="CI29">
        <f>IF(AO29=1,1000000,SUMPRODUCT('計算A'!$D$96:$DS$96,$CS29:$HH29)*1000+37)</f>
        <v/>
      </c>
      <c r="CJ29">
        <f>IF(AP29=1,1000000,SUMPRODUCT('計算A'!$D$97:$DS$97,$CS29:$HH29)*1000+38)</f>
        <v/>
      </c>
      <c r="CK29">
        <f>IF(AQ29=1,1000000,SUMPRODUCT('計算A'!$D$98:$DS$98,$CS29:$HH29)*1000+39)</f>
        <v/>
      </c>
      <c r="CL29">
        <f>IF(AR29=1,1000000,SUMPRODUCT('計算A'!$D$99:$DS$99,$CS29:$HH29)*1000+40)</f>
        <v/>
      </c>
      <c r="CM29">
        <f>IF(AS29=1,1000000,SUMPRODUCT('計算A'!$D$100:$DS$100,$CS29:$HH29)*1000+41)</f>
        <v/>
      </c>
      <c r="CN29">
        <f>IF(AT29=1,1000000,SUMPRODUCT('計算A'!$D$101:$DS$101,$CS29:$HH29)*1000+42)</f>
        <v/>
      </c>
      <c r="CO29">
        <f>IF(AU29=1,1000000,SUMPRODUCT('計算A'!$D$102:$DS$102,$CS29:$HH29)*1000+43)</f>
        <v/>
      </c>
      <c r="CP29">
        <f>IF(AV29=1,1000000,SUMPRODUCT('計算A'!$D$103:$DS$103,$CS29:$HH29)*1000+44)</f>
        <v/>
      </c>
      <c r="CQ29">
        <f>IF(AW29=1,1000000,SUMPRODUCT('計算A'!$D$104:$DS$104,$CS29:$HH29)*1000+45)</f>
        <v/>
      </c>
      <c r="CS29">
        <f>CS28*IF($C28=1,0,1)</f>
        <v/>
      </c>
      <c r="CT29">
        <f>CT28*IF($C28=2,0,1)</f>
        <v/>
      </c>
      <c r="CU29">
        <f>CU28*IF($C28=3,0,1)</f>
        <v/>
      </c>
      <c r="CV29">
        <f>CV28*IF($C28=4,0,1)</f>
        <v/>
      </c>
      <c r="CW29">
        <f>CW28*IF($C28=5,0,1)</f>
        <v/>
      </c>
      <c r="CX29">
        <f>CX28*IF($C28=6,0,1)</f>
        <v/>
      </c>
      <c r="CY29">
        <f>CY28*IF($C28=7,0,1)</f>
        <v/>
      </c>
      <c r="CZ29">
        <f>CZ28*IF($C28=8,0,1)</f>
        <v/>
      </c>
      <c r="DA29">
        <f>DA28*IF($C28=9,0,1)</f>
        <v/>
      </c>
      <c r="DB29">
        <f>DB28*IF($C28=10,0,1)</f>
        <v/>
      </c>
      <c r="DC29">
        <f>DC28*IF($C28=11,0,1)</f>
        <v/>
      </c>
      <c r="DD29">
        <f>DD28*IF($C28=12,0,1)</f>
        <v/>
      </c>
      <c r="DE29">
        <f>DE28*IF($C28=13,0,1)</f>
        <v/>
      </c>
      <c r="DF29">
        <f>DF28*IF($C28=14,0,1)</f>
        <v/>
      </c>
      <c r="DG29">
        <f>DG28*IF($C28=15,0,1)</f>
        <v/>
      </c>
      <c r="DH29">
        <f>DH28*IF($C28=16,0,1)</f>
        <v/>
      </c>
      <c r="DI29">
        <f>DI28*IF($C28=17,0,1)</f>
        <v/>
      </c>
      <c r="DJ29">
        <f>DJ28*IF($C28=18,0,1)</f>
        <v/>
      </c>
      <c r="DK29">
        <f>DK28*IF($C28=19,0,1)</f>
        <v/>
      </c>
      <c r="DL29">
        <f>DL28*IF($C28=20,0,1)</f>
        <v/>
      </c>
      <c r="DM29">
        <f>DM28*IF($C28=21,0,1)</f>
        <v/>
      </c>
      <c r="DN29">
        <f>DN28*IF($C28=22,0,1)</f>
        <v/>
      </c>
      <c r="DO29">
        <f>DO28*IF($C28=23,0,1)</f>
        <v/>
      </c>
      <c r="DP29">
        <f>DP28*IF($C28=24,0,1)</f>
        <v/>
      </c>
      <c r="DQ29">
        <f>DQ28*IF($C28=25,0,1)</f>
        <v/>
      </c>
      <c r="DR29">
        <f>DR28*IF($C28=26,0,1)</f>
        <v/>
      </c>
      <c r="DS29">
        <f>DS28*IF($C28=27,0,1)</f>
        <v/>
      </c>
      <c r="DT29">
        <f>DT28*IF($C28=28,0,1)</f>
        <v/>
      </c>
      <c r="DU29">
        <f>DU28*IF($C28=29,0,1)</f>
        <v/>
      </c>
      <c r="DV29">
        <f>DV28*IF($C28=30,0,1)</f>
        <v/>
      </c>
      <c r="DW29">
        <f>DW28*IF($C28=31,0,1)</f>
        <v/>
      </c>
      <c r="DX29">
        <f>DX28*IF($C28=32,0,1)</f>
        <v/>
      </c>
      <c r="DY29">
        <f>DY28*IF($C28=33,0,1)</f>
        <v/>
      </c>
      <c r="DZ29">
        <f>DZ28*IF($C28=34,0,1)</f>
        <v/>
      </c>
      <c r="EA29">
        <f>EA28*IF($C28=35,0,1)</f>
        <v/>
      </c>
      <c r="EB29">
        <f>EB28*IF($C28=36,0,1)</f>
        <v/>
      </c>
      <c r="EC29">
        <f>EC28*IF($C28=37,0,1)</f>
        <v/>
      </c>
      <c r="ED29">
        <f>ED28*IF($C28=38,0,1)</f>
        <v/>
      </c>
      <c r="EE29">
        <f>EE28*IF($C28=39,0,1)</f>
        <v/>
      </c>
      <c r="EF29">
        <f>EF28*IF($C28=40,0,1)</f>
        <v/>
      </c>
      <c r="EG29">
        <f>EG28*IF($C28=41,0,1)</f>
        <v/>
      </c>
      <c r="EH29">
        <f>EH28*IF($C28=42,0,1)</f>
        <v/>
      </c>
      <c r="EI29">
        <f>EI28*IF($C28=43,0,1)</f>
        <v/>
      </c>
      <c r="EJ29">
        <f>EJ28*IF($C28=44,0,1)</f>
        <v/>
      </c>
      <c r="EK29">
        <f>EK28*IF($C28=45,0,1)</f>
        <v/>
      </c>
      <c r="EL29">
        <f>EL28*IF($C28=46,0,1)</f>
        <v/>
      </c>
      <c r="EM29">
        <f>EM28*IF($C28=47,0,1)</f>
        <v/>
      </c>
      <c r="EN29">
        <f>EN28*IF($C28=48,0,1)</f>
        <v/>
      </c>
      <c r="EO29">
        <f>EO28*IF($C28=49,0,1)</f>
        <v/>
      </c>
      <c r="EP29">
        <f>EP28*IF($C28=50,0,1)</f>
        <v/>
      </c>
      <c r="EQ29">
        <f>EQ28*IF($C28=51,0,1)</f>
        <v/>
      </c>
      <c r="ER29">
        <f>ER28*IF($C28=52,0,1)</f>
        <v/>
      </c>
      <c r="ES29">
        <f>ES28*IF($C28=53,0,1)</f>
        <v/>
      </c>
      <c r="ET29">
        <f>ET28*IF($C28=54,0,1)</f>
        <v/>
      </c>
      <c r="EU29">
        <f>EU28*IF($C28=55,0,1)</f>
        <v/>
      </c>
      <c r="EV29">
        <f>EV28*IF($C28=56,0,1)</f>
        <v/>
      </c>
      <c r="EW29">
        <f>EW28*IF($C28=57,0,1)</f>
        <v/>
      </c>
      <c r="EX29">
        <f>EX28*IF($C28=58,0,1)</f>
        <v/>
      </c>
      <c r="EY29">
        <f>EY28*IF($C28=59,0,1)</f>
        <v/>
      </c>
      <c r="EZ29">
        <f>EZ28*IF($C28=60,0,1)</f>
        <v/>
      </c>
      <c r="FA29">
        <f>FA28*IF($C28=61,0,1)</f>
        <v/>
      </c>
      <c r="FB29">
        <f>FB28*IF($C28=62,0,1)</f>
        <v/>
      </c>
      <c r="FC29">
        <f>FC28*IF($C28=63,0,1)</f>
        <v/>
      </c>
      <c r="FD29">
        <f>FD28*IF($C28=64,0,1)</f>
        <v/>
      </c>
      <c r="FE29">
        <f>FE28*IF($C28=65,0,1)</f>
        <v/>
      </c>
      <c r="FF29">
        <f>FF28*IF($C28=66,0,1)</f>
        <v/>
      </c>
      <c r="FG29">
        <f>FG28*IF($C28=67,0,1)</f>
        <v/>
      </c>
      <c r="FH29">
        <f>FH28*IF($C28=68,0,1)</f>
        <v/>
      </c>
      <c r="FI29">
        <f>FI28*IF($C28=69,0,1)</f>
        <v/>
      </c>
      <c r="FJ29">
        <f>FJ28*IF($C28=70,0,1)</f>
        <v/>
      </c>
      <c r="FK29">
        <f>FK28*IF($C28=71,0,1)</f>
        <v/>
      </c>
      <c r="FL29">
        <f>FL28*IF($C28=72,0,1)</f>
        <v/>
      </c>
      <c r="FM29">
        <f>FM28*IF($C28=73,0,1)</f>
        <v/>
      </c>
      <c r="FN29">
        <f>FN28*IF($C28=74,0,1)</f>
        <v/>
      </c>
      <c r="FO29">
        <f>FO28*IF($C28=75,0,1)</f>
        <v/>
      </c>
      <c r="FP29">
        <f>FP28*IF($C28=76,0,1)</f>
        <v/>
      </c>
      <c r="FQ29">
        <f>FQ28*IF($C28=77,0,1)</f>
        <v/>
      </c>
      <c r="FR29">
        <f>FR28*IF($C28=78,0,1)</f>
        <v/>
      </c>
      <c r="FS29">
        <f>FS28*IF($C28=79,0,1)</f>
        <v/>
      </c>
      <c r="FT29">
        <f>FT28*IF($C28=80,0,1)</f>
        <v/>
      </c>
      <c r="FU29">
        <f>FU28*IF($C28=81,0,1)</f>
        <v/>
      </c>
      <c r="FV29">
        <f>FV28*IF($C28=82,0,1)</f>
        <v/>
      </c>
      <c r="FW29">
        <f>FW28*IF($C28=83,0,1)</f>
        <v/>
      </c>
      <c r="FX29">
        <f>FX28*IF($C28=84,0,1)</f>
        <v/>
      </c>
      <c r="FY29">
        <f>FY28*IF($C28=85,0,1)</f>
        <v/>
      </c>
      <c r="FZ29">
        <f>FZ28*IF($C28=86,0,1)</f>
        <v/>
      </c>
      <c r="GA29">
        <f>GA28*IF($C28=87,0,1)</f>
        <v/>
      </c>
      <c r="GB29">
        <f>GB28*IF($C28=88,0,1)</f>
        <v/>
      </c>
      <c r="GC29">
        <f>GC28*IF($C28=89,0,1)</f>
        <v/>
      </c>
      <c r="GD29">
        <f>GD28*IF($C28=90,0,1)</f>
        <v/>
      </c>
      <c r="GE29">
        <f>GE28*IF($C28=91,0,1)</f>
        <v/>
      </c>
      <c r="GF29">
        <f>GF28*IF($C28=92,0,1)</f>
        <v/>
      </c>
      <c r="GG29">
        <f>GG28*IF($C28=93,0,1)</f>
        <v/>
      </c>
      <c r="GH29">
        <f>GH28*IF($C28=94,0,1)</f>
        <v/>
      </c>
      <c r="GI29">
        <f>GI28*IF($C28=95,0,1)</f>
        <v/>
      </c>
      <c r="GJ29">
        <f>GJ28*IF($C28=96,0,1)</f>
        <v/>
      </c>
      <c r="GK29">
        <f>GK28*IF($C28=97,0,1)</f>
        <v/>
      </c>
      <c r="GL29">
        <f>GL28*IF($C28=98,0,1)</f>
        <v/>
      </c>
      <c r="GM29">
        <f>GM28*IF($C28=99,0,1)</f>
        <v/>
      </c>
      <c r="GN29">
        <f>GN28*IF($C28=100,0,1)</f>
        <v/>
      </c>
      <c r="GO29">
        <f>GO28*IF($C28=101,0,1)</f>
        <v/>
      </c>
      <c r="GP29">
        <f>GP28*IF($C28=102,0,1)</f>
        <v/>
      </c>
      <c r="GQ29">
        <f>GQ28*IF($C28=103,0,1)</f>
        <v/>
      </c>
      <c r="GR29">
        <f>GR28*IF($C28=104,0,1)</f>
        <v/>
      </c>
      <c r="GS29">
        <f>GS28*IF($C28=105,0,1)</f>
        <v/>
      </c>
      <c r="GT29">
        <f>GT28*IF($C28=106,0,1)</f>
        <v/>
      </c>
      <c r="GU29">
        <f>GU28*IF($C28=107,0,1)</f>
        <v/>
      </c>
      <c r="GV29">
        <f>GV28*IF($C28=108,0,1)</f>
        <v/>
      </c>
      <c r="GW29">
        <f>GW28*IF($C28=109,0,1)</f>
        <v/>
      </c>
      <c r="GX29">
        <f>GX28*IF($C28=110,0,1)</f>
        <v/>
      </c>
      <c r="GY29">
        <f>GY28*IF($C28=111,0,1)</f>
        <v/>
      </c>
      <c r="GZ29">
        <f>GZ28*IF($C28=112,0,1)</f>
        <v/>
      </c>
      <c r="HA29">
        <f>HA28*IF($C28=113,0,1)</f>
        <v/>
      </c>
      <c r="HB29">
        <f>HB28*IF($C28=114,0,1)</f>
        <v/>
      </c>
      <c r="HC29">
        <f>HC28*IF($C28=115,0,1)</f>
        <v/>
      </c>
      <c r="HD29">
        <f>HD28*IF($C28=116,0,1)</f>
        <v/>
      </c>
      <c r="HE29">
        <f>HE28*IF($C28=117,0,1)</f>
        <v/>
      </c>
      <c r="HF29">
        <f>HF28*IF($C28=118,0,1)</f>
        <v/>
      </c>
      <c r="HG29">
        <f>HG28*IF($C28=119,0,1)</f>
        <v/>
      </c>
      <c r="HH29">
        <f>HH28*IF($C28=120,0,1)</f>
        <v/>
      </c>
      <c r="HJ29">
        <f>IF($B29=0,1000000,IF(INDEX('計算A'!$D$60:$DS$104,$B29,1)*CS29=1,'計算A'!D$6,1000000))</f>
        <v/>
      </c>
      <c r="HK29">
        <f>IF($B29=0,1000000,IF(INDEX('計算A'!$D$60:$DS$104,$B29,2)*CT29=1,'計算A'!E$6,1000000))</f>
        <v/>
      </c>
      <c r="HL29">
        <f>IF($B29=0,1000000,IF(INDEX('計算A'!$D$60:$DS$104,$B29,3)*CU29=1,'計算A'!F$6,1000000))</f>
        <v/>
      </c>
      <c r="HM29">
        <f>IF($B29=0,1000000,IF(INDEX('計算A'!$D$60:$DS$104,$B29,4)*CV29=1,'計算A'!G$6,1000000))</f>
        <v/>
      </c>
      <c r="HN29">
        <f>IF($B29=0,1000000,IF(INDEX('計算A'!$D$60:$DS$104,$B29,5)*CW29=1,'計算A'!H$6,1000000))</f>
        <v/>
      </c>
      <c r="HO29">
        <f>IF($B29=0,1000000,IF(INDEX('計算A'!$D$60:$DS$104,$B29,6)*CX29=1,'計算A'!I$6,1000000))</f>
        <v/>
      </c>
      <c r="HP29">
        <f>IF($B29=0,1000000,IF(INDEX('計算A'!$D$60:$DS$104,$B29,7)*CY29=1,'計算A'!J$6,1000000))</f>
        <v/>
      </c>
      <c r="HQ29">
        <f>IF($B29=0,1000000,IF(INDEX('計算A'!$D$60:$DS$104,$B29,8)*CZ29=1,'計算A'!K$6,1000000))</f>
        <v/>
      </c>
      <c r="HR29">
        <f>IF($B29=0,1000000,IF(INDEX('計算A'!$D$60:$DS$104,$B29,9)*DA29=1,'計算A'!L$6,1000000))</f>
        <v/>
      </c>
      <c r="HS29">
        <f>IF($B29=0,1000000,IF(INDEX('計算A'!$D$60:$DS$104,$B29,10)*DB29=1,'計算A'!M$6,1000000))</f>
        <v/>
      </c>
      <c r="HT29">
        <f>IF($B29=0,1000000,IF(INDEX('計算A'!$D$60:$DS$104,$B29,11)*DC29=1,'計算A'!N$6,1000000))</f>
        <v/>
      </c>
      <c r="HU29">
        <f>IF($B29=0,1000000,IF(INDEX('計算A'!$D$60:$DS$104,$B29,12)*DD29=1,'計算A'!O$6,1000000))</f>
        <v/>
      </c>
      <c r="HV29">
        <f>IF($B29=0,1000000,IF(INDEX('計算A'!$D$60:$DS$104,$B29,13)*DE29=1,'計算A'!P$6,1000000))</f>
        <v/>
      </c>
      <c r="HW29">
        <f>IF($B29=0,1000000,IF(INDEX('計算A'!$D$60:$DS$104,$B29,14)*DF29=1,'計算A'!Q$6,1000000))</f>
        <v/>
      </c>
      <c r="HX29">
        <f>IF($B29=0,1000000,IF(INDEX('計算A'!$D$60:$DS$104,$B29,15)*DG29=1,'計算A'!R$6,1000000))</f>
        <v/>
      </c>
      <c r="HY29">
        <f>IF($B29=0,1000000,IF(INDEX('計算A'!$D$60:$DS$104,$B29,16)*DH29=1,'計算A'!S$6,1000000))</f>
        <v/>
      </c>
      <c r="HZ29">
        <f>IF($B29=0,1000000,IF(INDEX('計算A'!$D$60:$DS$104,$B29,17)*DI29=1,'計算A'!T$6,1000000))</f>
        <v/>
      </c>
      <c r="IA29">
        <f>IF($B29=0,1000000,IF(INDEX('計算A'!$D$60:$DS$104,$B29,18)*DJ29=1,'計算A'!U$6,1000000))</f>
        <v/>
      </c>
      <c r="IB29">
        <f>IF($B29=0,1000000,IF(INDEX('計算A'!$D$60:$DS$104,$B29,19)*DK29=1,'計算A'!V$6,1000000))</f>
        <v/>
      </c>
      <c r="IC29">
        <f>IF($B29=0,1000000,IF(INDEX('計算A'!$D$60:$DS$104,$B29,20)*DL29=1,'計算A'!W$6,1000000))</f>
        <v/>
      </c>
      <c r="ID29">
        <f>IF($B29=0,1000000,IF(INDEX('計算A'!$D$60:$DS$104,$B29,21)*DM29=1,'計算A'!X$6,1000000))</f>
        <v/>
      </c>
      <c r="IE29">
        <f>IF($B29=0,1000000,IF(INDEX('計算A'!$D$60:$DS$104,$B29,22)*DN29=1,'計算A'!Y$6,1000000))</f>
        <v/>
      </c>
      <c r="IF29">
        <f>IF($B29=0,1000000,IF(INDEX('計算A'!$D$60:$DS$104,$B29,23)*DO29=1,'計算A'!Z$6,1000000))</f>
        <v/>
      </c>
      <c r="IG29">
        <f>IF($B29=0,1000000,IF(INDEX('計算A'!$D$60:$DS$104,$B29,24)*DP29=1,'計算A'!AA$6,1000000))</f>
        <v/>
      </c>
      <c r="IH29">
        <f>IF($B29=0,1000000,IF(INDEX('計算A'!$D$60:$DS$104,$B29,25)*DQ29=1,'計算A'!AB$6,1000000))</f>
        <v/>
      </c>
      <c r="II29">
        <f>IF($B29=0,1000000,IF(INDEX('計算A'!$D$60:$DS$104,$B29,26)*DR29=1,'計算A'!AC$6,1000000))</f>
        <v/>
      </c>
      <c r="IJ29">
        <f>IF($B29=0,1000000,IF(INDEX('計算A'!$D$60:$DS$104,$B29,27)*DS29=1,'計算A'!AD$6,1000000))</f>
        <v/>
      </c>
      <c r="IK29">
        <f>IF($B29=0,1000000,IF(INDEX('計算A'!$D$60:$DS$104,$B29,28)*DT29=1,'計算A'!AE$6,1000000))</f>
        <v/>
      </c>
      <c r="IL29">
        <f>IF($B29=0,1000000,IF(INDEX('計算A'!$D$60:$DS$104,$B29,29)*DU29=1,'計算A'!AF$6,1000000))</f>
        <v/>
      </c>
      <c r="IM29">
        <f>IF($B29=0,1000000,IF(INDEX('計算A'!$D$60:$DS$104,$B29,30)*DV29=1,'計算A'!AG$6,1000000))</f>
        <v/>
      </c>
      <c r="IN29">
        <f>IF($B29=0,1000000,IF(INDEX('計算A'!$D$60:$DS$104,$B29,31)*DW29=1,'計算A'!AH$6,1000000))</f>
        <v/>
      </c>
      <c r="IO29">
        <f>IF($B29=0,1000000,IF(INDEX('計算A'!$D$60:$DS$104,$B29,32)*DX29=1,'計算A'!AI$6,1000000))</f>
        <v/>
      </c>
      <c r="IP29">
        <f>IF($B29=0,1000000,IF(INDEX('計算A'!$D$60:$DS$104,$B29,33)*DY29=1,'計算A'!AJ$6,1000000))</f>
        <v/>
      </c>
      <c r="IQ29">
        <f>IF($B29=0,1000000,IF(INDEX('計算A'!$D$60:$DS$104,$B29,34)*DZ29=1,'計算A'!AK$6,1000000))</f>
        <v/>
      </c>
      <c r="IR29">
        <f>IF($B29=0,1000000,IF(INDEX('計算A'!$D$60:$DS$104,$B29,35)*EA29=1,'計算A'!AL$6,1000000))</f>
        <v/>
      </c>
      <c r="IS29">
        <f>IF($B29=0,1000000,IF(INDEX('計算A'!$D$60:$DS$104,$B29,36)*EB29=1,'計算A'!AM$6,1000000))</f>
        <v/>
      </c>
      <c r="IT29">
        <f>IF($B29=0,1000000,IF(INDEX('計算A'!$D$60:$DS$104,$B29,37)*EC29=1,'計算A'!AN$6,1000000))</f>
        <v/>
      </c>
      <c r="IU29">
        <f>IF($B29=0,1000000,IF(INDEX('計算A'!$D$60:$DS$104,$B29,38)*ED29=1,'計算A'!AO$6,1000000))</f>
        <v/>
      </c>
      <c r="IV29">
        <f>IF($B29=0,1000000,IF(INDEX('計算A'!$D$60:$DS$104,$B29,39)*EE29=1,'計算A'!AP$6,1000000))</f>
        <v/>
      </c>
      <c r="IW29">
        <f>IF($B29=0,1000000,IF(INDEX('計算A'!$D$60:$DS$104,$B29,40)*EF29=1,'計算A'!AQ$6,1000000))</f>
        <v/>
      </c>
      <c r="IX29">
        <f>IF($B29=0,1000000,IF(INDEX('計算A'!$D$60:$DS$104,$B29,41)*EG29=1,'計算A'!AR$6,1000000))</f>
        <v/>
      </c>
      <c r="IY29">
        <f>IF($B29=0,1000000,IF(INDEX('計算A'!$D$60:$DS$104,$B29,42)*EH29=1,'計算A'!AS$6,1000000))</f>
        <v/>
      </c>
      <c r="IZ29">
        <f>IF($B29=0,1000000,IF(INDEX('計算A'!$D$60:$DS$104,$B29,43)*EI29=1,'計算A'!AT$6,1000000))</f>
        <v/>
      </c>
      <c r="JA29">
        <f>IF($B29=0,1000000,IF(INDEX('計算A'!$D$60:$DS$104,$B29,44)*EJ29=1,'計算A'!AU$6,1000000))</f>
        <v/>
      </c>
      <c r="JB29">
        <f>IF($B29=0,1000000,IF(INDEX('計算A'!$D$60:$DS$104,$B29,45)*EK29=1,'計算A'!AV$6,1000000))</f>
        <v/>
      </c>
      <c r="JC29">
        <f>IF($B29=0,1000000,IF(INDEX('計算A'!$D$60:$DS$104,$B29,46)*EL29=1,'計算A'!AW$6,1000000))</f>
        <v/>
      </c>
      <c r="JD29">
        <f>IF($B29=0,1000000,IF(INDEX('計算A'!$D$60:$DS$104,$B29,47)*EM29=1,'計算A'!AX$6,1000000))</f>
        <v/>
      </c>
      <c r="JE29">
        <f>IF($B29=0,1000000,IF(INDEX('計算A'!$D$60:$DS$104,$B29,48)*EN29=1,'計算A'!AY$6,1000000))</f>
        <v/>
      </c>
      <c r="JF29">
        <f>IF($B29=0,1000000,IF(INDEX('計算A'!$D$60:$DS$104,$B29,49)*EO29=1,'計算A'!AZ$6,1000000))</f>
        <v/>
      </c>
      <c r="JG29">
        <f>IF($B29=0,1000000,IF(INDEX('計算A'!$D$60:$DS$104,$B29,50)*EP29=1,'計算A'!BA$6,1000000))</f>
        <v/>
      </c>
      <c r="JH29">
        <f>IF($B29=0,1000000,IF(INDEX('計算A'!$D$60:$DS$104,$B29,51)*EQ29=1,'計算A'!BB$6,1000000))</f>
        <v/>
      </c>
      <c r="JI29">
        <f>IF($B29=0,1000000,IF(INDEX('計算A'!$D$60:$DS$104,$B29,52)*ER29=1,'計算A'!BC$6,1000000))</f>
        <v/>
      </c>
      <c r="JJ29">
        <f>IF($B29=0,1000000,IF(INDEX('計算A'!$D$60:$DS$104,$B29,53)*ES29=1,'計算A'!BD$6,1000000))</f>
        <v/>
      </c>
      <c r="JK29">
        <f>IF($B29=0,1000000,IF(INDEX('計算A'!$D$60:$DS$104,$B29,54)*ET29=1,'計算A'!BE$6,1000000))</f>
        <v/>
      </c>
      <c r="JL29">
        <f>IF($B29=0,1000000,IF(INDEX('計算A'!$D$60:$DS$104,$B29,55)*EU29=1,'計算A'!BF$6,1000000))</f>
        <v/>
      </c>
      <c r="JM29">
        <f>IF($B29=0,1000000,IF(INDEX('計算A'!$D$60:$DS$104,$B29,56)*EV29=1,'計算A'!BG$6,1000000))</f>
        <v/>
      </c>
      <c r="JN29">
        <f>IF($B29=0,1000000,IF(INDEX('計算A'!$D$60:$DS$104,$B29,57)*EW29=1,'計算A'!BH$6,1000000))</f>
        <v/>
      </c>
      <c r="JO29">
        <f>IF($B29=0,1000000,IF(INDEX('計算A'!$D$60:$DS$104,$B29,58)*EX29=1,'計算A'!BI$6,1000000))</f>
        <v/>
      </c>
      <c r="JP29">
        <f>IF($B29=0,1000000,IF(INDEX('計算A'!$D$60:$DS$104,$B29,59)*EY29=1,'計算A'!BJ$6,1000000))</f>
        <v/>
      </c>
      <c r="JQ29">
        <f>IF($B29=0,1000000,IF(INDEX('計算A'!$D$60:$DS$104,$B29,60)*EZ29=1,'計算A'!BK$6,1000000))</f>
        <v/>
      </c>
      <c r="JR29">
        <f>IF($B29=0,1000000,IF(INDEX('計算A'!$D$60:$DS$104,$B29,61)*FA29=1,'計算A'!BL$6,1000000))</f>
        <v/>
      </c>
      <c r="JS29">
        <f>IF($B29=0,1000000,IF(INDEX('計算A'!$D$60:$DS$104,$B29,62)*FB29=1,'計算A'!BM$6,1000000))</f>
        <v/>
      </c>
      <c r="JT29">
        <f>IF($B29=0,1000000,IF(INDEX('計算A'!$D$60:$DS$104,$B29,63)*FC29=1,'計算A'!BN$6,1000000))</f>
        <v/>
      </c>
      <c r="JU29">
        <f>IF($B29=0,1000000,IF(INDEX('計算A'!$D$60:$DS$104,$B29,64)*FD29=1,'計算A'!BO$6,1000000))</f>
        <v/>
      </c>
      <c r="JV29">
        <f>IF($B29=0,1000000,IF(INDEX('計算A'!$D$60:$DS$104,$B29,65)*FE29=1,'計算A'!BP$6,1000000))</f>
        <v/>
      </c>
      <c r="JW29">
        <f>IF($B29=0,1000000,IF(INDEX('計算A'!$D$60:$DS$104,$B29,66)*FF29=1,'計算A'!BQ$6,1000000))</f>
        <v/>
      </c>
      <c r="JX29">
        <f>IF($B29=0,1000000,IF(INDEX('計算A'!$D$60:$DS$104,$B29,67)*FG29=1,'計算A'!BR$6,1000000))</f>
        <v/>
      </c>
      <c r="JY29">
        <f>IF($B29=0,1000000,IF(INDEX('計算A'!$D$60:$DS$104,$B29,68)*FH29=1,'計算A'!BS$6,1000000))</f>
        <v/>
      </c>
      <c r="JZ29">
        <f>IF($B29=0,1000000,IF(INDEX('計算A'!$D$60:$DS$104,$B29,69)*FI29=1,'計算A'!BT$6,1000000))</f>
        <v/>
      </c>
      <c r="KA29">
        <f>IF($B29=0,1000000,IF(INDEX('計算A'!$D$60:$DS$104,$B29,70)*FJ29=1,'計算A'!BU$6,1000000))</f>
        <v/>
      </c>
      <c r="KB29">
        <f>IF($B29=0,1000000,IF(INDEX('計算A'!$D$60:$DS$104,$B29,71)*FK29=1,'計算A'!BV$6,1000000))</f>
        <v/>
      </c>
      <c r="KC29">
        <f>IF($B29=0,1000000,IF(INDEX('計算A'!$D$60:$DS$104,$B29,72)*FL29=1,'計算A'!BW$6,1000000))</f>
        <v/>
      </c>
      <c r="KD29">
        <f>IF($B29=0,1000000,IF(INDEX('計算A'!$D$60:$DS$104,$B29,73)*FM29=1,'計算A'!BX$6,1000000))</f>
        <v/>
      </c>
      <c r="KE29">
        <f>IF($B29=0,1000000,IF(INDEX('計算A'!$D$60:$DS$104,$B29,74)*FN29=1,'計算A'!BY$6,1000000))</f>
        <v/>
      </c>
      <c r="KF29">
        <f>IF($B29=0,1000000,IF(INDEX('計算A'!$D$60:$DS$104,$B29,75)*FO29=1,'計算A'!BZ$6,1000000))</f>
        <v/>
      </c>
      <c r="KG29">
        <f>IF($B29=0,1000000,IF(INDEX('計算A'!$D$60:$DS$104,$B29,76)*FP29=1,'計算A'!CA$6,1000000))</f>
        <v/>
      </c>
      <c r="KH29">
        <f>IF($B29=0,1000000,IF(INDEX('計算A'!$D$60:$DS$104,$B29,77)*FQ29=1,'計算A'!CB$6,1000000))</f>
        <v/>
      </c>
      <c r="KI29">
        <f>IF($B29=0,1000000,IF(INDEX('計算A'!$D$60:$DS$104,$B29,78)*FR29=1,'計算A'!CC$6,1000000))</f>
        <v/>
      </c>
      <c r="KJ29">
        <f>IF($B29=0,1000000,IF(INDEX('計算A'!$D$60:$DS$104,$B29,79)*FS29=1,'計算A'!CD$6,1000000))</f>
        <v/>
      </c>
      <c r="KK29">
        <f>IF($B29=0,1000000,IF(INDEX('計算A'!$D$60:$DS$104,$B29,80)*FT29=1,'計算A'!CE$6,1000000))</f>
        <v/>
      </c>
      <c r="KL29">
        <f>IF($B29=0,1000000,IF(INDEX('計算A'!$D$60:$DS$104,$B29,81)*FU29=1,'計算A'!CF$6,1000000))</f>
        <v/>
      </c>
      <c r="KM29">
        <f>IF($B29=0,1000000,IF(INDEX('計算A'!$D$60:$DS$104,$B29,82)*FV29=1,'計算A'!CG$6,1000000))</f>
        <v/>
      </c>
      <c r="KN29">
        <f>IF($B29=0,1000000,IF(INDEX('計算A'!$D$60:$DS$104,$B29,83)*FW29=1,'計算A'!CH$6,1000000))</f>
        <v/>
      </c>
      <c r="KO29">
        <f>IF($B29=0,1000000,IF(INDEX('計算A'!$D$60:$DS$104,$B29,84)*FX29=1,'計算A'!CI$6,1000000))</f>
        <v/>
      </c>
      <c r="KP29">
        <f>IF($B29=0,1000000,IF(INDEX('計算A'!$D$60:$DS$104,$B29,85)*FY29=1,'計算A'!CJ$6,1000000))</f>
        <v/>
      </c>
      <c r="KQ29">
        <f>IF($B29=0,1000000,IF(INDEX('計算A'!$D$60:$DS$104,$B29,86)*FZ29=1,'計算A'!CK$6,1000000))</f>
        <v/>
      </c>
      <c r="KR29">
        <f>IF($B29=0,1000000,IF(INDEX('計算A'!$D$60:$DS$104,$B29,87)*GA29=1,'計算A'!CL$6,1000000))</f>
        <v/>
      </c>
      <c r="KS29">
        <f>IF($B29=0,1000000,IF(INDEX('計算A'!$D$60:$DS$104,$B29,88)*GB29=1,'計算A'!CM$6,1000000))</f>
        <v/>
      </c>
      <c r="KT29">
        <f>IF($B29=0,1000000,IF(INDEX('計算A'!$D$60:$DS$104,$B29,89)*GC29=1,'計算A'!CN$6,1000000))</f>
        <v/>
      </c>
      <c r="KU29">
        <f>IF($B29=0,1000000,IF(INDEX('計算A'!$D$60:$DS$104,$B29,90)*GD29=1,'計算A'!CO$6,1000000))</f>
        <v/>
      </c>
      <c r="KV29">
        <f>IF($B29=0,1000000,IF(INDEX('計算A'!$D$60:$DS$104,$B29,91)*GE29=1,'計算A'!CP$6,1000000))</f>
        <v/>
      </c>
      <c r="KW29">
        <f>IF($B29=0,1000000,IF(INDEX('計算A'!$D$60:$DS$104,$B29,92)*GF29=1,'計算A'!CQ$6,1000000))</f>
        <v/>
      </c>
      <c r="KX29">
        <f>IF($B29=0,1000000,IF(INDEX('計算A'!$D$60:$DS$104,$B29,93)*GG29=1,'計算A'!CR$6,1000000))</f>
        <v/>
      </c>
      <c r="KY29">
        <f>IF($B29=0,1000000,IF(INDEX('計算A'!$D$60:$DS$104,$B29,94)*GH29=1,'計算A'!CS$6,1000000))</f>
        <v/>
      </c>
      <c r="KZ29">
        <f>IF($B29=0,1000000,IF(INDEX('計算A'!$D$60:$DS$104,$B29,95)*GI29=1,'計算A'!CT$6,1000000))</f>
        <v/>
      </c>
      <c r="LA29">
        <f>IF($B29=0,1000000,IF(INDEX('計算A'!$D$60:$DS$104,$B29,96)*GJ29=1,'計算A'!CU$6,1000000))</f>
        <v/>
      </c>
      <c r="LB29">
        <f>IF($B29=0,1000000,IF(INDEX('計算A'!$D$60:$DS$104,$B29,97)*GK29=1,'計算A'!CV$6,1000000))</f>
        <v/>
      </c>
      <c r="LC29">
        <f>IF($B29=0,1000000,IF(INDEX('計算A'!$D$60:$DS$104,$B29,98)*GL29=1,'計算A'!CW$6,1000000))</f>
        <v/>
      </c>
      <c r="LD29">
        <f>IF($B29=0,1000000,IF(INDEX('計算A'!$D$60:$DS$104,$B29,99)*GM29=1,'計算A'!CX$6,1000000))</f>
        <v/>
      </c>
      <c r="LE29">
        <f>IF($B29=0,1000000,IF(INDEX('計算A'!$D$60:$DS$104,$B29,100)*GN29=1,'計算A'!CY$6,1000000))</f>
        <v/>
      </c>
      <c r="LF29">
        <f>IF($B29=0,1000000,IF(INDEX('計算A'!$D$60:$DS$104,$B29,101)*GO29=1,'計算A'!CZ$6,1000000))</f>
        <v/>
      </c>
      <c r="LG29">
        <f>IF($B29=0,1000000,IF(INDEX('計算A'!$D$60:$DS$104,$B29,102)*GP29=1,'計算A'!DA$6,1000000))</f>
        <v/>
      </c>
      <c r="LH29">
        <f>IF($B29=0,1000000,IF(INDEX('計算A'!$D$60:$DS$104,$B29,103)*GQ29=1,'計算A'!DB$6,1000000))</f>
        <v/>
      </c>
      <c r="LI29">
        <f>IF($B29=0,1000000,IF(INDEX('計算A'!$D$60:$DS$104,$B29,104)*GR29=1,'計算A'!DC$6,1000000))</f>
        <v/>
      </c>
      <c r="LJ29">
        <f>IF($B29=0,1000000,IF(INDEX('計算A'!$D$60:$DS$104,$B29,105)*GS29=1,'計算A'!DD$6,1000000))</f>
        <v/>
      </c>
      <c r="LK29">
        <f>IF($B29=0,1000000,IF(INDEX('計算A'!$D$60:$DS$104,$B29,106)*GT29=1,'計算A'!DE$6,1000000))</f>
        <v/>
      </c>
      <c r="LL29">
        <f>IF($B29=0,1000000,IF(INDEX('計算A'!$D$60:$DS$104,$B29,107)*GU29=1,'計算A'!DF$6,1000000))</f>
        <v/>
      </c>
      <c r="LM29">
        <f>IF($B29=0,1000000,IF(INDEX('計算A'!$D$60:$DS$104,$B29,108)*GV29=1,'計算A'!DG$6,1000000))</f>
        <v/>
      </c>
      <c r="LN29">
        <f>IF($B29=0,1000000,IF(INDEX('計算A'!$D$60:$DS$104,$B29,109)*GW29=1,'計算A'!DH$6,1000000))</f>
        <v/>
      </c>
      <c r="LO29">
        <f>IF($B29=0,1000000,IF(INDEX('計算A'!$D$60:$DS$104,$B29,110)*GX29=1,'計算A'!DI$6,1000000))</f>
        <v/>
      </c>
      <c r="LP29">
        <f>IF($B29=0,1000000,IF(INDEX('計算A'!$D$60:$DS$104,$B29,111)*GY29=1,'計算A'!DJ$6,1000000))</f>
        <v/>
      </c>
      <c r="LQ29">
        <f>IF($B29=0,1000000,IF(INDEX('計算A'!$D$60:$DS$104,$B29,112)*GZ29=1,'計算A'!DK$6,1000000))</f>
        <v/>
      </c>
      <c r="LR29">
        <f>IF($B29=0,1000000,IF(INDEX('計算A'!$D$60:$DS$104,$B29,113)*HA29=1,'計算A'!DL$6,1000000))</f>
        <v/>
      </c>
      <c r="LS29">
        <f>IF($B29=0,1000000,IF(INDEX('計算A'!$D$60:$DS$104,$B29,114)*HB29=1,'計算A'!DM$6,1000000))</f>
        <v/>
      </c>
      <c r="LT29">
        <f>IF($B29=0,1000000,IF(INDEX('計算A'!$D$60:$DS$104,$B29,115)*HC29=1,'計算A'!DN$6,1000000))</f>
        <v/>
      </c>
      <c r="LU29">
        <f>IF($B29=0,1000000,IF(INDEX('計算A'!$D$60:$DS$104,$B29,116)*HD29=1,'計算A'!DO$6,1000000))</f>
        <v/>
      </c>
      <c r="LV29">
        <f>IF($B29=0,1000000,IF(INDEX('計算A'!$D$60:$DS$104,$B29,117)*HE29=1,'計算A'!DP$6,1000000))</f>
        <v/>
      </c>
      <c r="LW29">
        <f>IF($B29=0,1000000,IF(INDEX('計算A'!$D$60:$DS$104,$B29,118)*HF29=1,'計算A'!DQ$6,1000000))</f>
        <v/>
      </c>
      <c r="LX29">
        <f>IF($B29=0,1000000,IF(INDEX('計算A'!$D$60:$DS$104,$B29,119)*HG29=1,'計算A'!DR$6,1000000))</f>
        <v/>
      </c>
      <c r="LY29">
        <f>IF($B29=0,1000000,IF(INDEX('計算A'!$D$60:$DS$104,$B29,120)*HH29=1,'計算A'!DS$6,1000000))</f>
        <v/>
      </c>
    </row>
    <row r="30">
      <c r="A30" t="n">
        <v>28</v>
      </c>
      <c r="B30">
        <f>IF(MIN(AY30:CQ30)&gt;=1000000,0,MATCH(MIN(AY30:CQ30),AY30:CQ30,0))</f>
        <v/>
      </c>
      <c r="C30">
        <f>IF(MIN(HJ30:LY30)&gt;=1000000,0,MATCH(MIN(HJ30:LY30),HJ30:LY30,0))</f>
        <v/>
      </c>
      <c r="D30">
        <f>IF(C30&gt;0,INDEX('計算A'!$D$5:$DS$5,C30),0)</f>
        <v/>
      </c>
      <c r="E30">
        <f>MAX(E29,IF($B29=1,1,0))</f>
        <v/>
      </c>
      <c r="F30">
        <f>MAX(F29,IF($B29=2,1,0))</f>
        <v/>
      </c>
      <c r="G30">
        <f>MAX(G29,IF($B29=3,1,0))</f>
        <v/>
      </c>
      <c r="H30">
        <f>MAX(H29,IF($B29=4,1,0))</f>
        <v/>
      </c>
      <c r="I30">
        <f>MAX(I29,IF($B29=5,1,0))</f>
        <v/>
      </c>
      <c r="J30">
        <f>MAX(J29,IF($B29=6,1,0))</f>
        <v/>
      </c>
      <c r="K30">
        <f>MAX(K29,IF($B29=7,1,0))</f>
        <v/>
      </c>
      <c r="L30">
        <f>MAX(L29,IF($B29=8,1,0))</f>
        <v/>
      </c>
      <c r="M30">
        <f>MAX(M29,IF($B29=9,1,0))</f>
        <v/>
      </c>
      <c r="N30">
        <f>MAX(N29,IF($B29=10,1,0))</f>
        <v/>
      </c>
      <c r="O30">
        <f>MAX(O29,IF($B29=11,1,0))</f>
        <v/>
      </c>
      <c r="P30">
        <f>MAX(P29,IF($B29=12,1,0))</f>
        <v/>
      </c>
      <c r="Q30">
        <f>MAX(Q29,IF($B29=13,1,0))</f>
        <v/>
      </c>
      <c r="R30">
        <f>MAX(R29,IF($B29=14,1,0))</f>
        <v/>
      </c>
      <c r="S30">
        <f>MAX(S29,IF($B29=15,1,0))</f>
        <v/>
      </c>
      <c r="T30">
        <f>MAX(T29,IF($B29=16,1,0))</f>
        <v/>
      </c>
      <c r="U30">
        <f>MAX(U29,IF($B29=17,1,0))</f>
        <v/>
      </c>
      <c r="V30">
        <f>MAX(V29,IF($B29=18,1,0))</f>
        <v/>
      </c>
      <c r="W30">
        <f>MAX(W29,IF($B29=19,1,0))</f>
        <v/>
      </c>
      <c r="X30">
        <f>MAX(X29,IF($B29=20,1,0))</f>
        <v/>
      </c>
      <c r="Y30">
        <f>MAX(Y29,IF($B29=21,1,0))</f>
        <v/>
      </c>
      <c r="Z30">
        <f>MAX(Z29,IF($B29=22,1,0))</f>
        <v/>
      </c>
      <c r="AA30">
        <f>MAX(AA29,IF($B29=23,1,0))</f>
        <v/>
      </c>
      <c r="AB30">
        <f>MAX(AB29,IF($B29=24,1,0))</f>
        <v/>
      </c>
      <c r="AC30">
        <f>MAX(AC29,IF($B29=25,1,0))</f>
        <v/>
      </c>
      <c r="AD30">
        <f>MAX(AD29,IF($B29=26,1,0))</f>
        <v/>
      </c>
      <c r="AE30">
        <f>MAX(AE29,IF($B29=27,1,0))</f>
        <v/>
      </c>
      <c r="AF30">
        <f>MAX(AF29,IF($B29=28,1,0))</f>
        <v/>
      </c>
      <c r="AG30">
        <f>MAX(AG29,IF($B29=29,1,0))</f>
        <v/>
      </c>
      <c r="AH30">
        <f>MAX(AH29,IF($B29=30,1,0))</f>
        <v/>
      </c>
      <c r="AI30">
        <f>MAX(AI29,IF($B29=31,1,0))</f>
        <v/>
      </c>
      <c r="AJ30">
        <f>MAX(AJ29,IF($B29=32,1,0))</f>
        <v/>
      </c>
      <c r="AK30">
        <f>MAX(AK29,IF($B29=33,1,0))</f>
        <v/>
      </c>
      <c r="AL30">
        <f>MAX(AL29,IF($B29=34,1,0))</f>
        <v/>
      </c>
      <c r="AM30">
        <f>MAX(AM29,IF($B29=35,1,0))</f>
        <v/>
      </c>
      <c r="AN30">
        <f>MAX(AN29,IF($B29=36,1,0))</f>
        <v/>
      </c>
      <c r="AO30">
        <f>MAX(AO29,IF($B29=37,1,0))</f>
        <v/>
      </c>
      <c r="AP30">
        <f>MAX(AP29,IF($B29=38,1,0))</f>
        <v/>
      </c>
      <c r="AQ30">
        <f>MAX(AQ29,IF($B29=39,1,0))</f>
        <v/>
      </c>
      <c r="AR30">
        <f>MAX(AR29,IF($B29=40,1,0))</f>
        <v/>
      </c>
      <c r="AS30">
        <f>MAX(AS29,IF($B29=41,1,0))</f>
        <v/>
      </c>
      <c r="AT30">
        <f>MAX(AT29,IF($B29=42,1,0))</f>
        <v/>
      </c>
      <c r="AU30">
        <f>MAX(AU29,IF($B29=43,1,0))</f>
        <v/>
      </c>
      <c r="AV30">
        <f>MAX(AV29,IF($B29=44,1,0))</f>
        <v/>
      </c>
      <c r="AW30">
        <f>MAX(AW29,IF($B29=45,1,0))</f>
        <v/>
      </c>
      <c r="AY30">
        <f>IF(E30=1,1000000,SUMPRODUCT('計算A'!$D$60:$DS$60,$CS30:$HH30)*1000+1)</f>
        <v/>
      </c>
      <c r="AZ30">
        <f>IF(F30=1,1000000,SUMPRODUCT('計算A'!$D$61:$DS$61,$CS30:$HH30)*1000+2)</f>
        <v/>
      </c>
      <c r="BA30">
        <f>IF(G30=1,1000000,SUMPRODUCT('計算A'!$D$62:$DS$62,$CS30:$HH30)*1000+3)</f>
        <v/>
      </c>
      <c r="BB30">
        <f>IF(H30=1,1000000,SUMPRODUCT('計算A'!$D$63:$DS$63,$CS30:$HH30)*1000+4)</f>
        <v/>
      </c>
      <c r="BC30">
        <f>IF(I30=1,1000000,SUMPRODUCT('計算A'!$D$64:$DS$64,$CS30:$HH30)*1000+5)</f>
        <v/>
      </c>
      <c r="BD30">
        <f>IF(J30=1,1000000,SUMPRODUCT('計算A'!$D$65:$DS$65,$CS30:$HH30)*1000+6)</f>
        <v/>
      </c>
      <c r="BE30">
        <f>IF(K30=1,1000000,SUMPRODUCT('計算A'!$D$66:$DS$66,$CS30:$HH30)*1000+7)</f>
        <v/>
      </c>
      <c r="BF30">
        <f>IF(L30=1,1000000,SUMPRODUCT('計算A'!$D$67:$DS$67,$CS30:$HH30)*1000+8)</f>
        <v/>
      </c>
      <c r="BG30">
        <f>IF(M30=1,1000000,SUMPRODUCT('計算A'!$D$68:$DS$68,$CS30:$HH30)*1000+9)</f>
        <v/>
      </c>
      <c r="BH30">
        <f>IF(N30=1,1000000,SUMPRODUCT('計算A'!$D$69:$DS$69,$CS30:$HH30)*1000+10)</f>
        <v/>
      </c>
      <c r="BI30">
        <f>IF(O30=1,1000000,SUMPRODUCT('計算A'!$D$70:$DS$70,$CS30:$HH30)*1000+11)</f>
        <v/>
      </c>
      <c r="BJ30">
        <f>IF(P30=1,1000000,SUMPRODUCT('計算A'!$D$71:$DS$71,$CS30:$HH30)*1000+12)</f>
        <v/>
      </c>
      <c r="BK30">
        <f>IF(Q30=1,1000000,SUMPRODUCT('計算A'!$D$72:$DS$72,$CS30:$HH30)*1000+13)</f>
        <v/>
      </c>
      <c r="BL30">
        <f>IF(R30=1,1000000,SUMPRODUCT('計算A'!$D$73:$DS$73,$CS30:$HH30)*1000+14)</f>
        <v/>
      </c>
      <c r="BM30">
        <f>IF(S30=1,1000000,SUMPRODUCT('計算A'!$D$74:$DS$74,$CS30:$HH30)*1000+15)</f>
        <v/>
      </c>
      <c r="BN30">
        <f>IF(T30=1,1000000,SUMPRODUCT('計算A'!$D$75:$DS$75,$CS30:$HH30)*1000+16)</f>
        <v/>
      </c>
      <c r="BO30">
        <f>IF(U30=1,1000000,SUMPRODUCT('計算A'!$D$76:$DS$76,$CS30:$HH30)*1000+17)</f>
        <v/>
      </c>
      <c r="BP30">
        <f>IF(V30=1,1000000,SUMPRODUCT('計算A'!$D$77:$DS$77,$CS30:$HH30)*1000+18)</f>
        <v/>
      </c>
      <c r="BQ30">
        <f>IF(W30=1,1000000,SUMPRODUCT('計算A'!$D$78:$DS$78,$CS30:$HH30)*1000+19)</f>
        <v/>
      </c>
      <c r="BR30">
        <f>IF(X30=1,1000000,SUMPRODUCT('計算A'!$D$79:$DS$79,$CS30:$HH30)*1000+20)</f>
        <v/>
      </c>
      <c r="BS30">
        <f>IF(Y30=1,1000000,SUMPRODUCT('計算A'!$D$80:$DS$80,$CS30:$HH30)*1000+21)</f>
        <v/>
      </c>
      <c r="BT30">
        <f>IF(Z30=1,1000000,SUMPRODUCT('計算A'!$D$81:$DS$81,$CS30:$HH30)*1000+22)</f>
        <v/>
      </c>
      <c r="BU30">
        <f>IF(AA30=1,1000000,SUMPRODUCT('計算A'!$D$82:$DS$82,$CS30:$HH30)*1000+23)</f>
        <v/>
      </c>
      <c r="BV30">
        <f>IF(AB30=1,1000000,SUMPRODUCT('計算A'!$D$83:$DS$83,$CS30:$HH30)*1000+24)</f>
        <v/>
      </c>
      <c r="BW30">
        <f>IF(AC30=1,1000000,SUMPRODUCT('計算A'!$D$84:$DS$84,$CS30:$HH30)*1000+25)</f>
        <v/>
      </c>
      <c r="BX30">
        <f>IF(AD30=1,1000000,SUMPRODUCT('計算A'!$D$85:$DS$85,$CS30:$HH30)*1000+26)</f>
        <v/>
      </c>
      <c r="BY30">
        <f>IF(AE30=1,1000000,SUMPRODUCT('計算A'!$D$86:$DS$86,$CS30:$HH30)*1000+27)</f>
        <v/>
      </c>
      <c r="BZ30">
        <f>IF(AF30=1,1000000,SUMPRODUCT('計算A'!$D$87:$DS$87,$CS30:$HH30)*1000+28)</f>
        <v/>
      </c>
      <c r="CA30">
        <f>IF(AG30=1,1000000,SUMPRODUCT('計算A'!$D$88:$DS$88,$CS30:$HH30)*1000+29)</f>
        <v/>
      </c>
      <c r="CB30">
        <f>IF(AH30=1,1000000,SUMPRODUCT('計算A'!$D$89:$DS$89,$CS30:$HH30)*1000+30)</f>
        <v/>
      </c>
      <c r="CC30">
        <f>IF(AI30=1,1000000,SUMPRODUCT('計算A'!$D$90:$DS$90,$CS30:$HH30)*1000+31)</f>
        <v/>
      </c>
      <c r="CD30">
        <f>IF(AJ30=1,1000000,SUMPRODUCT('計算A'!$D$91:$DS$91,$CS30:$HH30)*1000+32)</f>
        <v/>
      </c>
      <c r="CE30">
        <f>IF(AK30=1,1000000,SUMPRODUCT('計算A'!$D$92:$DS$92,$CS30:$HH30)*1000+33)</f>
        <v/>
      </c>
      <c r="CF30">
        <f>IF(AL30=1,1000000,SUMPRODUCT('計算A'!$D$93:$DS$93,$CS30:$HH30)*1000+34)</f>
        <v/>
      </c>
      <c r="CG30">
        <f>IF(AM30=1,1000000,SUMPRODUCT('計算A'!$D$94:$DS$94,$CS30:$HH30)*1000+35)</f>
        <v/>
      </c>
      <c r="CH30">
        <f>IF(AN30=1,1000000,SUMPRODUCT('計算A'!$D$95:$DS$95,$CS30:$HH30)*1000+36)</f>
        <v/>
      </c>
      <c r="CI30">
        <f>IF(AO30=1,1000000,SUMPRODUCT('計算A'!$D$96:$DS$96,$CS30:$HH30)*1000+37)</f>
        <v/>
      </c>
      <c r="CJ30">
        <f>IF(AP30=1,1000000,SUMPRODUCT('計算A'!$D$97:$DS$97,$CS30:$HH30)*1000+38)</f>
        <v/>
      </c>
      <c r="CK30">
        <f>IF(AQ30=1,1000000,SUMPRODUCT('計算A'!$D$98:$DS$98,$CS30:$HH30)*1000+39)</f>
        <v/>
      </c>
      <c r="CL30">
        <f>IF(AR30=1,1000000,SUMPRODUCT('計算A'!$D$99:$DS$99,$CS30:$HH30)*1000+40)</f>
        <v/>
      </c>
      <c r="CM30">
        <f>IF(AS30=1,1000000,SUMPRODUCT('計算A'!$D$100:$DS$100,$CS30:$HH30)*1000+41)</f>
        <v/>
      </c>
      <c r="CN30">
        <f>IF(AT30=1,1000000,SUMPRODUCT('計算A'!$D$101:$DS$101,$CS30:$HH30)*1000+42)</f>
        <v/>
      </c>
      <c r="CO30">
        <f>IF(AU30=1,1000000,SUMPRODUCT('計算A'!$D$102:$DS$102,$CS30:$HH30)*1000+43)</f>
        <v/>
      </c>
      <c r="CP30">
        <f>IF(AV30=1,1000000,SUMPRODUCT('計算A'!$D$103:$DS$103,$CS30:$HH30)*1000+44)</f>
        <v/>
      </c>
      <c r="CQ30">
        <f>IF(AW30=1,1000000,SUMPRODUCT('計算A'!$D$104:$DS$104,$CS30:$HH30)*1000+45)</f>
        <v/>
      </c>
      <c r="CS30">
        <f>CS29*IF($C29=1,0,1)</f>
        <v/>
      </c>
      <c r="CT30">
        <f>CT29*IF($C29=2,0,1)</f>
        <v/>
      </c>
      <c r="CU30">
        <f>CU29*IF($C29=3,0,1)</f>
        <v/>
      </c>
      <c r="CV30">
        <f>CV29*IF($C29=4,0,1)</f>
        <v/>
      </c>
      <c r="CW30">
        <f>CW29*IF($C29=5,0,1)</f>
        <v/>
      </c>
      <c r="CX30">
        <f>CX29*IF($C29=6,0,1)</f>
        <v/>
      </c>
      <c r="CY30">
        <f>CY29*IF($C29=7,0,1)</f>
        <v/>
      </c>
      <c r="CZ30">
        <f>CZ29*IF($C29=8,0,1)</f>
        <v/>
      </c>
      <c r="DA30">
        <f>DA29*IF($C29=9,0,1)</f>
        <v/>
      </c>
      <c r="DB30">
        <f>DB29*IF($C29=10,0,1)</f>
        <v/>
      </c>
      <c r="DC30">
        <f>DC29*IF($C29=11,0,1)</f>
        <v/>
      </c>
      <c r="DD30">
        <f>DD29*IF($C29=12,0,1)</f>
        <v/>
      </c>
      <c r="DE30">
        <f>DE29*IF($C29=13,0,1)</f>
        <v/>
      </c>
      <c r="DF30">
        <f>DF29*IF($C29=14,0,1)</f>
        <v/>
      </c>
      <c r="DG30">
        <f>DG29*IF($C29=15,0,1)</f>
        <v/>
      </c>
      <c r="DH30">
        <f>DH29*IF($C29=16,0,1)</f>
        <v/>
      </c>
      <c r="DI30">
        <f>DI29*IF($C29=17,0,1)</f>
        <v/>
      </c>
      <c r="DJ30">
        <f>DJ29*IF($C29=18,0,1)</f>
        <v/>
      </c>
      <c r="DK30">
        <f>DK29*IF($C29=19,0,1)</f>
        <v/>
      </c>
      <c r="DL30">
        <f>DL29*IF($C29=20,0,1)</f>
        <v/>
      </c>
      <c r="DM30">
        <f>DM29*IF($C29=21,0,1)</f>
        <v/>
      </c>
      <c r="DN30">
        <f>DN29*IF($C29=22,0,1)</f>
        <v/>
      </c>
      <c r="DO30">
        <f>DO29*IF($C29=23,0,1)</f>
        <v/>
      </c>
      <c r="DP30">
        <f>DP29*IF($C29=24,0,1)</f>
        <v/>
      </c>
      <c r="DQ30">
        <f>DQ29*IF($C29=25,0,1)</f>
        <v/>
      </c>
      <c r="DR30">
        <f>DR29*IF($C29=26,0,1)</f>
        <v/>
      </c>
      <c r="DS30">
        <f>DS29*IF($C29=27,0,1)</f>
        <v/>
      </c>
      <c r="DT30">
        <f>DT29*IF($C29=28,0,1)</f>
        <v/>
      </c>
      <c r="DU30">
        <f>DU29*IF($C29=29,0,1)</f>
        <v/>
      </c>
      <c r="DV30">
        <f>DV29*IF($C29=30,0,1)</f>
        <v/>
      </c>
      <c r="DW30">
        <f>DW29*IF($C29=31,0,1)</f>
        <v/>
      </c>
      <c r="DX30">
        <f>DX29*IF($C29=32,0,1)</f>
        <v/>
      </c>
      <c r="DY30">
        <f>DY29*IF($C29=33,0,1)</f>
        <v/>
      </c>
      <c r="DZ30">
        <f>DZ29*IF($C29=34,0,1)</f>
        <v/>
      </c>
      <c r="EA30">
        <f>EA29*IF($C29=35,0,1)</f>
        <v/>
      </c>
      <c r="EB30">
        <f>EB29*IF($C29=36,0,1)</f>
        <v/>
      </c>
      <c r="EC30">
        <f>EC29*IF($C29=37,0,1)</f>
        <v/>
      </c>
      <c r="ED30">
        <f>ED29*IF($C29=38,0,1)</f>
        <v/>
      </c>
      <c r="EE30">
        <f>EE29*IF($C29=39,0,1)</f>
        <v/>
      </c>
      <c r="EF30">
        <f>EF29*IF($C29=40,0,1)</f>
        <v/>
      </c>
      <c r="EG30">
        <f>EG29*IF($C29=41,0,1)</f>
        <v/>
      </c>
      <c r="EH30">
        <f>EH29*IF($C29=42,0,1)</f>
        <v/>
      </c>
      <c r="EI30">
        <f>EI29*IF($C29=43,0,1)</f>
        <v/>
      </c>
      <c r="EJ30">
        <f>EJ29*IF($C29=44,0,1)</f>
        <v/>
      </c>
      <c r="EK30">
        <f>EK29*IF($C29=45,0,1)</f>
        <v/>
      </c>
      <c r="EL30">
        <f>EL29*IF($C29=46,0,1)</f>
        <v/>
      </c>
      <c r="EM30">
        <f>EM29*IF($C29=47,0,1)</f>
        <v/>
      </c>
      <c r="EN30">
        <f>EN29*IF($C29=48,0,1)</f>
        <v/>
      </c>
      <c r="EO30">
        <f>EO29*IF($C29=49,0,1)</f>
        <v/>
      </c>
      <c r="EP30">
        <f>EP29*IF($C29=50,0,1)</f>
        <v/>
      </c>
      <c r="EQ30">
        <f>EQ29*IF($C29=51,0,1)</f>
        <v/>
      </c>
      <c r="ER30">
        <f>ER29*IF($C29=52,0,1)</f>
        <v/>
      </c>
      <c r="ES30">
        <f>ES29*IF($C29=53,0,1)</f>
        <v/>
      </c>
      <c r="ET30">
        <f>ET29*IF($C29=54,0,1)</f>
        <v/>
      </c>
      <c r="EU30">
        <f>EU29*IF($C29=55,0,1)</f>
        <v/>
      </c>
      <c r="EV30">
        <f>EV29*IF($C29=56,0,1)</f>
        <v/>
      </c>
      <c r="EW30">
        <f>EW29*IF($C29=57,0,1)</f>
        <v/>
      </c>
      <c r="EX30">
        <f>EX29*IF($C29=58,0,1)</f>
        <v/>
      </c>
      <c r="EY30">
        <f>EY29*IF($C29=59,0,1)</f>
        <v/>
      </c>
      <c r="EZ30">
        <f>EZ29*IF($C29=60,0,1)</f>
        <v/>
      </c>
      <c r="FA30">
        <f>FA29*IF($C29=61,0,1)</f>
        <v/>
      </c>
      <c r="FB30">
        <f>FB29*IF($C29=62,0,1)</f>
        <v/>
      </c>
      <c r="FC30">
        <f>FC29*IF($C29=63,0,1)</f>
        <v/>
      </c>
      <c r="FD30">
        <f>FD29*IF($C29=64,0,1)</f>
        <v/>
      </c>
      <c r="FE30">
        <f>FE29*IF($C29=65,0,1)</f>
        <v/>
      </c>
      <c r="FF30">
        <f>FF29*IF($C29=66,0,1)</f>
        <v/>
      </c>
      <c r="FG30">
        <f>FG29*IF($C29=67,0,1)</f>
        <v/>
      </c>
      <c r="FH30">
        <f>FH29*IF($C29=68,0,1)</f>
        <v/>
      </c>
      <c r="FI30">
        <f>FI29*IF($C29=69,0,1)</f>
        <v/>
      </c>
      <c r="FJ30">
        <f>FJ29*IF($C29=70,0,1)</f>
        <v/>
      </c>
      <c r="FK30">
        <f>FK29*IF($C29=71,0,1)</f>
        <v/>
      </c>
      <c r="FL30">
        <f>FL29*IF($C29=72,0,1)</f>
        <v/>
      </c>
      <c r="FM30">
        <f>FM29*IF($C29=73,0,1)</f>
        <v/>
      </c>
      <c r="FN30">
        <f>FN29*IF($C29=74,0,1)</f>
        <v/>
      </c>
      <c r="FO30">
        <f>FO29*IF($C29=75,0,1)</f>
        <v/>
      </c>
      <c r="FP30">
        <f>FP29*IF($C29=76,0,1)</f>
        <v/>
      </c>
      <c r="FQ30">
        <f>FQ29*IF($C29=77,0,1)</f>
        <v/>
      </c>
      <c r="FR30">
        <f>FR29*IF($C29=78,0,1)</f>
        <v/>
      </c>
      <c r="FS30">
        <f>FS29*IF($C29=79,0,1)</f>
        <v/>
      </c>
      <c r="FT30">
        <f>FT29*IF($C29=80,0,1)</f>
        <v/>
      </c>
      <c r="FU30">
        <f>FU29*IF($C29=81,0,1)</f>
        <v/>
      </c>
      <c r="FV30">
        <f>FV29*IF($C29=82,0,1)</f>
        <v/>
      </c>
      <c r="FW30">
        <f>FW29*IF($C29=83,0,1)</f>
        <v/>
      </c>
      <c r="FX30">
        <f>FX29*IF($C29=84,0,1)</f>
        <v/>
      </c>
      <c r="FY30">
        <f>FY29*IF($C29=85,0,1)</f>
        <v/>
      </c>
      <c r="FZ30">
        <f>FZ29*IF($C29=86,0,1)</f>
        <v/>
      </c>
      <c r="GA30">
        <f>GA29*IF($C29=87,0,1)</f>
        <v/>
      </c>
      <c r="GB30">
        <f>GB29*IF($C29=88,0,1)</f>
        <v/>
      </c>
      <c r="GC30">
        <f>GC29*IF($C29=89,0,1)</f>
        <v/>
      </c>
      <c r="GD30">
        <f>GD29*IF($C29=90,0,1)</f>
        <v/>
      </c>
      <c r="GE30">
        <f>GE29*IF($C29=91,0,1)</f>
        <v/>
      </c>
      <c r="GF30">
        <f>GF29*IF($C29=92,0,1)</f>
        <v/>
      </c>
      <c r="GG30">
        <f>GG29*IF($C29=93,0,1)</f>
        <v/>
      </c>
      <c r="GH30">
        <f>GH29*IF($C29=94,0,1)</f>
        <v/>
      </c>
      <c r="GI30">
        <f>GI29*IF($C29=95,0,1)</f>
        <v/>
      </c>
      <c r="GJ30">
        <f>GJ29*IF($C29=96,0,1)</f>
        <v/>
      </c>
      <c r="GK30">
        <f>GK29*IF($C29=97,0,1)</f>
        <v/>
      </c>
      <c r="GL30">
        <f>GL29*IF($C29=98,0,1)</f>
        <v/>
      </c>
      <c r="GM30">
        <f>GM29*IF($C29=99,0,1)</f>
        <v/>
      </c>
      <c r="GN30">
        <f>GN29*IF($C29=100,0,1)</f>
        <v/>
      </c>
      <c r="GO30">
        <f>GO29*IF($C29=101,0,1)</f>
        <v/>
      </c>
      <c r="GP30">
        <f>GP29*IF($C29=102,0,1)</f>
        <v/>
      </c>
      <c r="GQ30">
        <f>GQ29*IF($C29=103,0,1)</f>
        <v/>
      </c>
      <c r="GR30">
        <f>GR29*IF($C29=104,0,1)</f>
        <v/>
      </c>
      <c r="GS30">
        <f>GS29*IF($C29=105,0,1)</f>
        <v/>
      </c>
      <c r="GT30">
        <f>GT29*IF($C29=106,0,1)</f>
        <v/>
      </c>
      <c r="GU30">
        <f>GU29*IF($C29=107,0,1)</f>
        <v/>
      </c>
      <c r="GV30">
        <f>GV29*IF($C29=108,0,1)</f>
        <v/>
      </c>
      <c r="GW30">
        <f>GW29*IF($C29=109,0,1)</f>
        <v/>
      </c>
      <c r="GX30">
        <f>GX29*IF($C29=110,0,1)</f>
        <v/>
      </c>
      <c r="GY30">
        <f>GY29*IF($C29=111,0,1)</f>
        <v/>
      </c>
      <c r="GZ30">
        <f>GZ29*IF($C29=112,0,1)</f>
        <v/>
      </c>
      <c r="HA30">
        <f>HA29*IF($C29=113,0,1)</f>
        <v/>
      </c>
      <c r="HB30">
        <f>HB29*IF($C29=114,0,1)</f>
        <v/>
      </c>
      <c r="HC30">
        <f>HC29*IF($C29=115,0,1)</f>
        <v/>
      </c>
      <c r="HD30">
        <f>HD29*IF($C29=116,0,1)</f>
        <v/>
      </c>
      <c r="HE30">
        <f>HE29*IF($C29=117,0,1)</f>
        <v/>
      </c>
      <c r="HF30">
        <f>HF29*IF($C29=118,0,1)</f>
        <v/>
      </c>
      <c r="HG30">
        <f>HG29*IF($C29=119,0,1)</f>
        <v/>
      </c>
      <c r="HH30">
        <f>HH29*IF($C29=120,0,1)</f>
        <v/>
      </c>
      <c r="HJ30">
        <f>IF($B30=0,1000000,IF(INDEX('計算A'!$D$60:$DS$104,$B30,1)*CS30=1,'計算A'!D$6,1000000))</f>
        <v/>
      </c>
      <c r="HK30">
        <f>IF($B30=0,1000000,IF(INDEX('計算A'!$D$60:$DS$104,$B30,2)*CT30=1,'計算A'!E$6,1000000))</f>
        <v/>
      </c>
      <c r="HL30">
        <f>IF($B30=0,1000000,IF(INDEX('計算A'!$D$60:$DS$104,$B30,3)*CU30=1,'計算A'!F$6,1000000))</f>
        <v/>
      </c>
      <c r="HM30">
        <f>IF($B30=0,1000000,IF(INDEX('計算A'!$D$60:$DS$104,$B30,4)*CV30=1,'計算A'!G$6,1000000))</f>
        <v/>
      </c>
      <c r="HN30">
        <f>IF($B30=0,1000000,IF(INDEX('計算A'!$D$60:$DS$104,$B30,5)*CW30=1,'計算A'!H$6,1000000))</f>
        <v/>
      </c>
      <c r="HO30">
        <f>IF($B30=0,1000000,IF(INDEX('計算A'!$D$60:$DS$104,$B30,6)*CX30=1,'計算A'!I$6,1000000))</f>
        <v/>
      </c>
      <c r="HP30">
        <f>IF($B30=0,1000000,IF(INDEX('計算A'!$D$60:$DS$104,$B30,7)*CY30=1,'計算A'!J$6,1000000))</f>
        <v/>
      </c>
      <c r="HQ30">
        <f>IF($B30=0,1000000,IF(INDEX('計算A'!$D$60:$DS$104,$B30,8)*CZ30=1,'計算A'!K$6,1000000))</f>
        <v/>
      </c>
      <c r="HR30">
        <f>IF($B30=0,1000000,IF(INDEX('計算A'!$D$60:$DS$104,$B30,9)*DA30=1,'計算A'!L$6,1000000))</f>
        <v/>
      </c>
      <c r="HS30">
        <f>IF($B30=0,1000000,IF(INDEX('計算A'!$D$60:$DS$104,$B30,10)*DB30=1,'計算A'!M$6,1000000))</f>
        <v/>
      </c>
      <c r="HT30">
        <f>IF($B30=0,1000000,IF(INDEX('計算A'!$D$60:$DS$104,$B30,11)*DC30=1,'計算A'!N$6,1000000))</f>
        <v/>
      </c>
      <c r="HU30">
        <f>IF($B30=0,1000000,IF(INDEX('計算A'!$D$60:$DS$104,$B30,12)*DD30=1,'計算A'!O$6,1000000))</f>
        <v/>
      </c>
      <c r="HV30">
        <f>IF($B30=0,1000000,IF(INDEX('計算A'!$D$60:$DS$104,$B30,13)*DE30=1,'計算A'!P$6,1000000))</f>
        <v/>
      </c>
      <c r="HW30">
        <f>IF($B30=0,1000000,IF(INDEX('計算A'!$D$60:$DS$104,$B30,14)*DF30=1,'計算A'!Q$6,1000000))</f>
        <v/>
      </c>
      <c r="HX30">
        <f>IF($B30=0,1000000,IF(INDEX('計算A'!$D$60:$DS$104,$B30,15)*DG30=1,'計算A'!R$6,1000000))</f>
        <v/>
      </c>
      <c r="HY30">
        <f>IF($B30=0,1000000,IF(INDEX('計算A'!$D$60:$DS$104,$B30,16)*DH30=1,'計算A'!S$6,1000000))</f>
        <v/>
      </c>
      <c r="HZ30">
        <f>IF($B30=0,1000000,IF(INDEX('計算A'!$D$60:$DS$104,$B30,17)*DI30=1,'計算A'!T$6,1000000))</f>
        <v/>
      </c>
      <c r="IA30">
        <f>IF($B30=0,1000000,IF(INDEX('計算A'!$D$60:$DS$104,$B30,18)*DJ30=1,'計算A'!U$6,1000000))</f>
        <v/>
      </c>
      <c r="IB30">
        <f>IF($B30=0,1000000,IF(INDEX('計算A'!$D$60:$DS$104,$B30,19)*DK30=1,'計算A'!V$6,1000000))</f>
        <v/>
      </c>
      <c r="IC30">
        <f>IF($B30=0,1000000,IF(INDEX('計算A'!$D$60:$DS$104,$B30,20)*DL30=1,'計算A'!W$6,1000000))</f>
        <v/>
      </c>
      <c r="ID30">
        <f>IF($B30=0,1000000,IF(INDEX('計算A'!$D$60:$DS$104,$B30,21)*DM30=1,'計算A'!X$6,1000000))</f>
        <v/>
      </c>
      <c r="IE30">
        <f>IF($B30=0,1000000,IF(INDEX('計算A'!$D$60:$DS$104,$B30,22)*DN30=1,'計算A'!Y$6,1000000))</f>
        <v/>
      </c>
      <c r="IF30">
        <f>IF($B30=0,1000000,IF(INDEX('計算A'!$D$60:$DS$104,$B30,23)*DO30=1,'計算A'!Z$6,1000000))</f>
        <v/>
      </c>
      <c r="IG30">
        <f>IF($B30=0,1000000,IF(INDEX('計算A'!$D$60:$DS$104,$B30,24)*DP30=1,'計算A'!AA$6,1000000))</f>
        <v/>
      </c>
      <c r="IH30">
        <f>IF($B30=0,1000000,IF(INDEX('計算A'!$D$60:$DS$104,$B30,25)*DQ30=1,'計算A'!AB$6,1000000))</f>
        <v/>
      </c>
      <c r="II30">
        <f>IF($B30=0,1000000,IF(INDEX('計算A'!$D$60:$DS$104,$B30,26)*DR30=1,'計算A'!AC$6,1000000))</f>
        <v/>
      </c>
      <c r="IJ30">
        <f>IF($B30=0,1000000,IF(INDEX('計算A'!$D$60:$DS$104,$B30,27)*DS30=1,'計算A'!AD$6,1000000))</f>
        <v/>
      </c>
      <c r="IK30">
        <f>IF($B30=0,1000000,IF(INDEX('計算A'!$D$60:$DS$104,$B30,28)*DT30=1,'計算A'!AE$6,1000000))</f>
        <v/>
      </c>
      <c r="IL30">
        <f>IF($B30=0,1000000,IF(INDEX('計算A'!$D$60:$DS$104,$B30,29)*DU30=1,'計算A'!AF$6,1000000))</f>
        <v/>
      </c>
      <c r="IM30">
        <f>IF($B30=0,1000000,IF(INDEX('計算A'!$D$60:$DS$104,$B30,30)*DV30=1,'計算A'!AG$6,1000000))</f>
        <v/>
      </c>
      <c r="IN30">
        <f>IF($B30=0,1000000,IF(INDEX('計算A'!$D$60:$DS$104,$B30,31)*DW30=1,'計算A'!AH$6,1000000))</f>
        <v/>
      </c>
      <c r="IO30">
        <f>IF($B30=0,1000000,IF(INDEX('計算A'!$D$60:$DS$104,$B30,32)*DX30=1,'計算A'!AI$6,1000000))</f>
        <v/>
      </c>
      <c r="IP30">
        <f>IF($B30=0,1000000,IF(INDEX('計算A'!$D$60:$DS$104,$B30,33)*DY30=1,'計算A'!AJ$6,1000000))</f>
        <v/>
      </c>
      <c r="IQ30">
        <f>IF($B30=0,1000000,IF(INDEX('計算A'!$D$60:$DS$104,$B30,34)*DZ30=1,'計算A'!AK$6,1000000))</f>
        <v/>
      </c>
      <c r="IR30">
        <f>IF($B30=0,1000000,IF(INDEX('計算A'!$D$60:$DS$104,$B30,35)*EA30=1,'計算A'!AL$6,1000000))</f>
        <v/>
      </c>
      <c r="IS30">
        <f>IF($B30=0,1000000,IF(INDEX('計算A'!$D$60:$DS$104,$B30,36)*EB30=1,'計算A'!AM$6,1000000))</f>
        <v/>
      </c>
      <c r="IT30">
        <f>IF($B30=0,1000000,IF(INDEX('計算A'!$D$60:$DS$104,$B30,37)*EC30=1,'計算A'!AN$6,1000000))</f>
        <v/>
      </c>
      <c r="IU30">
        <f>IF($B30=0,1000000,IF(INDEX('計算A'!$D$60:$DS$104,$B30,38)*ED30=1,'計算A'!AO$6,1000000))</f>
        <v/>
      </c>
      <c r="IV30">
        <f>IF($B30=0,1000000,IF(INDEX('計算A'!$D$60:$DS$104,$B30,39)*EE30=1,'計算A'!AP$6,1000000))</f>
        <v/>
      </c>
      <c r="IW30">
        <f>IF($B30=0,1000000,IF(INDEX('計算A'!$D$60:$DS$104,$B30,40)*EF30=1,'計算A'!AQ$6,1000000))</f>
        <v/>
      </c>
      <c r="IX30">
        <f>IF($B30=0,1000000,IF(INDEX('計算A'!$D$60:$DS$104,$B30,41)*EG30=1,'計算A'!AR$6,1000000))</f>
        <v/>
      </c>
      <c r="IY30">
        <f>IF($B30=0,1000000,IF(INDEX('計算A'!$D$60:$DS$104,$B30,42)*EH30=1,'計算A'!AS$6,1000000))</f>
        <v/>
      </c>
      <c r="IZ30">
        <f>IF($B30=0,1000000,IF(INDEX('計算A'!$D$60:$DS$104,$B30,43)*EI30=1,'計算A'!AT$6,1000000))</f>
        <v/>
      </c>
      <c r="JA30">
        <f>IF($B30=0,1000000,IF(INDEX('計算A'!$D$60:$DS$104,$B30,44)*EJ30=1,'計算A'!AU$6,1000000))</f>
        <v/>
      </c>
      <c r="JB30">
        <f>IF($B30=0,1000000,IF(INDEX('計算A'!$D$60:$DS$104,$B30,45)*EK30=1,'計算A'!AV$6,1000000))</f>
        <v/>
      </c>
      <c r="JC30">
        <f>IF($B30=0,1000000,IF(INDEX('計算A'!$D$60:$DS$104,$B30,46)*EL30=1,'計算A'!AW$6,1000000))</f>
        <v/>
      </c>
      <c r="JD30">
        <f>IF($B30=0,1000000,IF(INDEX('計算A'!$D$60:$DS$104,$B30,47)*EM30=1,'計算A'!AX$6,1000000))</f>
        <v/>
      </c>
      <c r="JE30">
        <f>IF($B30=0,1000000,IF(INDEX('計算A'!$D$60:$DS$104,$B30,48)*EN30=1,'計算A'!AY$6,1000000))</f>
        <v/>
      </c>
      <c r="JF30">
        <f>IF($B30=0,1000000,IF(INDEX('計算A'!$D$60:$DS$104,$B30,49)*EO30=1,'計算A'!AZ$6,1000000))</f>
        <v/>
      </c>
      <c r="JG30">
        <f>IF($B30=0,1000000,IF(INDEX('計算A'!$D$60:$DS$104,$B30,50)*EP30=1,'計算A'!BA$6,1000000))</f>
        <v/>
      </c>
      <c r="JH30">
        <f>IF($B30=0,1000000,IF(INDEX('計算A'!$D$60:$DS$104,$B30,51)*EQ30=1,'計算A'!BB$6,1000000))</f>
        <v/>
      </c>
      <c r="JI30">
        <f>IF($B30=0,1000000,IF(INDEX('計算A'!$D$60:$DS$104,$B30,52)*ER30=1,'計算A'!BC$6,1000000))</f>
        <v/>
      </c>
      <c r="JJ30">
        <f>IF($B30=0,1000000,IF(INDEX('計算A'!$D$60:$DS$104,$B30,53)*ES30=1,'計算A'!BD$6,1000000))</f>
        <v/>
      </c>
      <c r="JK30">
        <f>IF($B30=0,1000000,IF(INDEX('計算A'!$D$60:$DS$104,$B30,54)*ET30=1,'計算A'!BE$6,1000000))</f>
        <v/>
      </c>
      <c r="JL30">
        <f>IF($B30=0,1000000,IF(INDEX('計算A'!$D$60:$DS$104,$B30,55)*EU30=1,'計算A'!BF$6,1000000))</f>
        <v/>
      </c>
      <c r="JM30">
        <f>IF($B30=0,1000000,IF(INDEX('計算A'!$D$60:$DS$104,$B30,56)*EV30=1,'計算A'!BG$6,1000000))</f>
        <v/>
      </c>
      <c r="JN30">
        <f>IF($B30=0,1000000,IF(INDEX('計算A'!$D$60:$DS$104,$B30,57)*EW30=1,'計算A'!BH$6,1000000))</f>
        <v/>
      </c>
      <c r="JO30">
        <f>IF($B30=0,1000000,IF(INDEX('計算A'!$D$60:$DS$104,$B30,58)*EX30=1,'計算A'!BI$6,1000000))</f>
        <v/>
      </c>
      <c r="JP30">
        <f>IF($B30=0,1000000,IF(INDEX('計算A'!$D$60:$DS$104,$B30,59)*EY30=1,'計算A'!BJ$6,1000000))</f>
        <v/>
      </c>
      <c r="JQ30">
        <f>IF($B30=0,1000000,IF(INDEX('計算A'!$D$60:$DS$104,$B30,60)*EZ30=1,'計算A'!BK$6,1000000))</f>
        <v/>
      </c>
      <c r="JR30">
        <f>IF($B30=0,1000000,IF(INDEX('計算A'!$D$60:$DS$104,$B30,61)*FA30=1,'計算A'!BL$6,1000000))</f>
        <v/>
      </c>
      <c r="JS30">
        <f>IF($B30=0,1000000,IF(INDEX('計算A'!$D$60:$DS$104,$B30,62)*FB30=1,'計算A'!BM$6,1000000))</f>
        <v/>
      </c>
      <c r="JT30">
        <f>IF($B30=0,1000000,IF(INDEX('計算A'!$D$60:$DS$104,$B30,63)*FC30=1,'計算A'!BN$6,1000000))</f>
        <v/>
      </c>
      <c r="JU30">
        <f>IF($B30=0,1000000,IF(INDEX('計算A'!$D$60:$DS$104,$B30,64)*FD30=1,'計算A'!BO$6,1000000))</f>
        <v/>
      </c>
      <c r="JV30">
        <f>IF($B30=0,1000000,IF(INDEX('計算A'!$D$60:$DS$104,$B30,65)*FE30=1,'計算A'!BP$6,1000000))</f>
        <v/>
      </c>
      <c r="JW30">
        <f>IF($B30=0,1000000,IF(INDEX('計算A'!$D$60:$DS$104,$B30,66)*FF30=1,'計算A'!BQ$6,1000000))</f>
        <v/>
      </c>
      <c r="JX30">
        <f>IF($B30=0,1000000,IF(INDEX('計算A'!$D$60:$DS$104,$B30,67)*FG30=1,'計算A'!BR$6,1000000))</f>
        <v/>
      </c>
      <c r="JY30">
        <f>IF($B30=0,1000000,IF(INDEX('計算A'!$D$60:$DS$104,$B30,68)*FH30=1,'計算A'!BS$6,1000000))</f>
        <v/>
      </c>
      <c r="JZ30">
        <f>IF($B30=0,1000000,IF(INDEX('計算A'!$D$60:$DS$104,$B30,69)*FI30=1,'計算A'!BT$6,1000000))</f>
        <v/>
      </c>
      <c r="KA30">
        <f>IF($B30=0,1000000,IF(INDEX('計算A'!$D$60:$DS$104,$B30,70)*FJ30=1,'計算A'!BU$6,1000000))</f>
        <v/>
      </c>
      <c r="KB30">
        <f>IF($B30=0,1000000,IF(INDEX('計算A'!$D$60:$DS$104,$B30,71)*FK30=1,'計算A'!BV$6,1000000))</f>
        <v/>
      </c>
      <c r="KC30">
        <f>IF($B30=0,1000000,IF(INDEX('計算A'!$D$60:$DS$104,$B30,72)*FL30=1,'計算A'!BW$6,1000000))</f>
        <v/>
      </c>
      <c r="KD30">
        <f>IF($B30=0,1000000,IF(INDEX('計算A'!$D$60:$DS$104,$B30,73)*FM30=1,'計算A'!BX$6,1000000))</f>
        <v/>
      </c>
      <c r="KE30">
        <f>IF($B30=0,1000000,IF(INDEX('計算A'!$D$60:$DS$104,$B30,74)*FN30=1,'計算A'!BY$6,1000000))</f>
        <v/>
      </c>
      <c r="KF30">
        <f>IF($B30=0,1000000,IF(INDEX('計算A'!$D$60:$DS$104,$B30,75)*FO30=1,'計算A'!BZ$6,1000000))</f>
        <v/>
      </c>
      <c r="KG30">
        <f>IF($B30=0,1000000,IF(INDEX('計算A'!$D$60:$DS$104,$B30,76)*FP30=1,'計算A'!CA$6,1000000))</f>
        <v/>
      </c>
      <c r="KH30">
        <f>IF($B30=0,1000000,IF(INDEX('計算A'!$D$60:$DS$104,$B30,77)*FQ30=1,'計算A'!CB$6,1000000))</f>
        <v/>
      </c>
      <c r="KI30">
        <f>IF($B30=0,1000000,IF(INDEX('計算A'!$D$60:$DS$104,$B30,78)*FR30=1,'計算A'!CC$6,1000000))</f>
        <v/>
      </c>
      <c r="KJ30">
        <f>IF($B30=0,1000000,IF(INDEX('計算A'!$D$60:$DS$104,$B30,79)*FS30=1,'計算A'!CD$6,1000000))</f>
        <v/>
      </c>
      <c r="KK30">
        <f>IF($B30=0,1000000,IF(INDEX('計算A'!$D$60:$DS$104,$B30,80)*FT30=1,'計算A'!CE$6,1000000))</f>
        <v/>
      </c>
      <c r="KL30">
        <f>IF($B30=0,1000000,IF(INDEX('計算A'!$D$60:$DS$104,$B30,81)*FU30=1,'計算A'!CF$6,1000000))</f>
        <v/>
      </c>
      <c r="KM30">
        <f>IF($B30=0,1000000,IF(INDEX('計算A'!$D$60:$DS$104,$B30,82)*FV30=1,'計算A'!CG$6,1000000))</f>
        <v/>
      </c>
      <c r="KN30">
        <f>IF($B30=0,1000000,IF(INDEX('計算A'!$D$60:$DS$104,$B30,83)*FW30=1,'計算A'!CH$6,1000000))</f>
        <v/>
      </c>
      <c r="KO30">
        <f>IF($B30=0,1000000,IF(INDEX('計算A'!$D$60:$DS$104,$B30,84)*FX30=1,'計算A'!CI$6,1000000))</f>
        <v/>
      </c>
      <c r="KP30">
        <f>IF($B30=0,1000000,IF(INDEX('計算A'!$D$60:$DS$104,$B30,85)*FY30=1,'計算A'!CJ$6,1000000))</f>
        <v/>
      </c>
      <c r="KQ30">
        <f>IF($B30=0,1000000,IF(INDEX('計算A'!$D$60:$DS$104,$B30,86)*FZ30=1,'計算A'!CK$6,1000000))</f>
        <v/>
      </c>
      <c r="KR30">
        <f>IF($B30=0,1000000,IF(INDEX('計算A'!$D$60:$DS$104,$B30,87)*GA30=1,'計算A'!CL$6,1000000))</f>
        <v/>
      </c>
      <c r="KS30">
        <f>IF($B30=0,1000000,IF(INDEX('計算A'!$D$60:$DS$104,$B30,88)*GB30=1,'計算A'!CM$6,1000000))</f>
        <v/>
      </c>
      <c r="KT30">
        <f>IF($B30=0,1000000,IF(INDEX('計算A'!$D$60:$DS$104,$B30,89)*GC30=1,'計算A'!CN$6,1000000))</f>
        <v/>
      </c>
      <c r="KU30">
        <f>IF($B30=0,1000000,IF(INDEX('計算A'!$D$60:$DS$104,$B30,90)*GD30=1,'計算A'!CO$6,1000000))</f>
        <v/>
      </c>
      <c r="KV30">
        <f>IF($B30=0,1000000,IF(INDEX('計算A'!$D$60:$DS$104,$B30,91)*GE30=1,'計算A'!CP$6,1000000))</f>
        <v/>
      </c>
      <c r="KW30">
        <f>IF($B30=0,1000000,IF(INDEX('計算A'!$D$60:$DS$104,$B30,92)*GF30=1,'計算A'!CQ$6,1000000))</f>
        <v/>
      </c>
      <c r="KX30">
        <f>IF($B30=0,1000000,IF(INDEX('計算A'!$D$60:$DS$104,$B30,93)*GG30=1,'計算A'!CR$6,1000000))</f>
        <v/>
      </c>
      <c r="KY30">
        <f>IF($B30=0,1000000,IF(INDEX('計算A'!$D$60:$DS$104,$B30,94)*GH30=1,'計算A'!CS$6,1000000))</f>
        <v/>
      </c>
      <c r="KZ30">
        <f>IF($B30=0,1000000,IF(INDEX('計算A'!$D$60:$DS$104,$B30,95)*GI30=1,'計算A'!CT$6,1000000))</f>
        <v/>
      </c>
      <c r="LA30">
        <f>IF($B30=0,1000000,IF(INDEX('計算A'!$D$60:$DS$104,$B30,96)*GJ30=1,'計算A'!CU$6,1000000))</f>
        <v/>
      </c>
      <c r="LB30">
        <f>IF($B30=0,1000000,IF(INDEX('計算A'!$D$60:$DS$104,$B30,97)*GK30=1,'計算A'!CV$6,1000000))</f>
        <v/>
      </c>
      <c r="LC30">
        <f>IF($B30=0,1000000,IF(INDEX('計算A'!$D$60:$DS$104,$B30,98)*GL30=1,'計算A'!CW$6,1000000))</f>
        <v/>
      </c>
      <c r="LD30">
        <f>IF($B30=0,1000000,IF(INDEX('計算A'!$D$60:$DS$104,$B30,99)*GM30=1,'計算A'!CX$6,1000000))</f>
        <v/>
      </c>
      <c r="LE30">
        <f>IF($B30=0,1000000,IF(INDEX('計算A'!$D$60:$DS$104,$B30,100)*GN30=1,'計算A'!CY$6,1000000))</f>
        <v/>
      </c>
      <c r="LF30">
        <f>IF($B30=0,1000000,IF(INDEX('計算A'!$D$60:$DS$104,$B30,101)*GO30=1,'計算A'!CZ$6,1000000))</f>
        <v/>
      </c>
      <c r="LG30">
        <f>IF($B30=0,1000000,IF(INDEX('計算A'!$D$60:$DS$104,$B30,102)*GP30=1,'計算A'!DA$6,1000000))</f>
        <v/>
      </c>
      <c r="LH30">
        <f>IF($B30=0,1000000,IF(INDEX('計算A'!$D$60:$DS$104,$B30,103)*GQ30=1,'計算A'!DB$6,1000000))</f>
        <v/>
      </c>
      <c r="LI30">
        <f>IF($B30=0,1000000,IF(INDEX('計算A'!$D$60:$DS$104,$B30,104)*GR30=1,'計算A'!DC$6,1000000))</f>
        <v/>
      </c>
      <c r="LJ30">
        <f>IF($B30=0,1000000,IF(INDEX('計算A'!$D$60:$DS$104,$B30,105)*GS30=1,'計算A'!DD$6,1000000))</f>
        <v/>
      </c>
      <c r="LK30">
        <f>IF($B30=0,1000000,IF(INDEX('計算A'!$D$60:$DS$104,$B30,106)*GT30=1,'計算A'!DE$6,1000000))</f>
        <v/>
      </c>
      <c r="LL30">
        <f>IF($B30=0,1000000,IF(INDEX('計算A'!$D$60:$DS$104,$B30,107)*GU30=1,'計算A'!DF$6,1000000))</f>
        <v/>
      </c>
      <c r="LM30">
        <f>IF($B30=0,1000000,IF(INDEX('計算A'!$D$60:$DS$104,$B30,108)*GV30=1,'計算A'!DG$6,1000000))</f>
        <v/>
      </c>
      <c r="LN30">
        <f>IF($B30=0,1000000,IF(INDEX('計算A'!$D$60:$DS$104,$B30,109)*GW30=1,'計算A'!DH$6,1000000))</f>
        <v/>
      </c>
      <c r="LO30">
        <f>IF($B30=0,1000000,IF(INDEX('計算A'!$D$60:$DS$104,$B30,110)*GX30=1,'計算A'!DI$6,1000000))</f>
        <v/>
      </c>
      <c r="LP30">
        <f>IF($B30=0,1000000,IF(INDEX('計算A'!$D$60:$DS$104,$B30,111)*GY30=1,'計算A'!DJ$6,1000000))</f>
        <v/>
      </c>
      <c r="LQ30">
        <f>IF($B30=0,1000000,IF(INDEX('計算A'!$D$60:$DS$104,$B30,112)*GZ30=1,'計算A'!DK$6,1000000))</f>
        <v/>
      </c>
      <c r="LR30">
        <f>IF($B30=0,1000000,IF(INDEX('計算A'!$D$60:$DS$104,$B30,113)*HA30=1,'計算A'!DL$6,1000000))</f>
        <v/>
      </c>
      <c r="LS30">
        <f>IF($B30=0,1000000,IF(INDEX('計算A'!$D$60:$DS$104,$B30,114)*HB30=1,'計算A'!DM$6,1000000))</f>
        <v/>
      </c>
      <c r="LT30">
        <f>IF($B30=0,1000000,IF(INDEX('計算A'!$D$60:$DS$104,$B30,115)*HC30=1,'計算A'!DN$6,1000000))</f>
        <v/>
      </c>
      <c r="LU30">
        <f>IF($B30=0,1000000,IF(INDEX('計算A'!$D$60:$DS$104,$B30,116)*HD30=1,'計算A'!DO$6,1000000))</f>
        <v/>
      </c>
      <c r="LV30">
        <f>IF($B30=0,1000000,IF(INDEX('計算A'!$D$60:$DS$104,$B30,117)*HE30=1,'計算A'!DP$6,1000000))</f>
        <v/>
      </c>
      <c r="LW30">
        <f>IF($B30=0,1000000,IF(INDEX('計算A'!$D$60:$DS$104,$B30,118)*HF30=1,'計算A'!DQ$6,1000000))</f>
        <v/>
      </c>
      <c r="LX30">
        <f>IF($B30=0,1000000,IF(INDEX('計算A'!$D$60:$DS$104,$B30,119)*HG30=1,'計算A'!DR$6,1000000))</f>
        <v/>
      </c>
      <c r="LY30">
        <f>IF($B30=0,1000000,IF(INDEX('計算A'!$D$60:$DS$104,$B30,120)*HH30=1,'計算A'!DS$6,1000000))</f>
        <v/>
      </c>
    </row>
    <row r="31">
      <c r="A31" t="n">
        <v>29</v>
      </c>
      <c r="B31">
        <f>IF(MIN(AY31:CQ31)&gt;=1000000,0,MATCH(MIN(AY31:CQ31),AY31:CQ31,0))</f>
        <v/>
      </c>
      <c r="C31">
        <f>IF(MIN(HJ31:LY31)&gt;=1000000,0,MATCH(MIN(HJ31:LY31),HJ31:LY31,0))</f>
        <v/>
      </c>
      <c r="D31">
        <f>IF(C31&gt;0,INDEX('計算A'!$D$5:$DS$5,C31),0)</f>
        <v/>
      </c>
      <c r="E31">
        <f>MAX(E30,IF($B30=1,1,0))</f>
        <v/>
      </c>
      <c r="F31">
        <f>MAX(F30,IF($B30=2,1,0))</f>
        <v/>
      </c>
      <c r="G31">
        <f>MAX(G30,IF($B30=3,1,0))</f>
        <v/>
      </c>
      <c r="H31">
        <f>MAX(H30,IF($B30=4,1,0))</f>
        <v/>
      </c>
      <c r="I31">
        <f>MAX(I30,IF($B30=5,1,0))</f>
        <v/>
      </c>
      <c r="J31">
        <f>MAX(J30,IF($B30=6,1,0))</f>
        <v/>
      </c>
      <c r="K31">
        <f>MAX(K30,IF($B30=7,1,0))</f>
        <v/>
      </c>
      <c r="L31">
        <f>MAX(L30,IF($B30=8,1,0))</f>
        <v/>
      </c>
      <c r="M31">
        <f>MAX(M30,IF($B30=9,1,0))</f>
        <v/>
      </c>
      <c r="N31">
        <f>MAX(N30,IF($B30=10,1,0))</f>
        <v/>
      </c>
      <c r="O31">
        <f>MAX(O30,IF($B30=11,1,0))</f>
        <v/>
      </c>
      <c r="P31">
        <f>MAX(P30,IF($B30=12,1,0))</f>
        <v/>
      </c>
      <c r="Q31">
        <f>MAX(Q30,IF($B30=13,1,0))</f>
        <v/>
      </c>
      <c r="R31">
        <f>MAX(R30,IF($B30=14,1,0))</f>
        <v/>
      </c>
      <c r="S31">
        <f>MAX(S30,IF($B30=15,1,0))</f>
        <v/>
      </c>
      <c r="T31">
        <f>MAX(T30,IF($B30=16,1,0))</f>
        <v/>
      </c>
      <c r="U31">
        <f>MAX(U30,IF($B30=17,1,0))</f>
        <v/>
      </c>
      <c r="V31">
        <f>MAX(V30,IF($B30=18,1,0))</f>
        <v/>
      </c>
      <c r="W31">
        <f>MAX(W30,IF($B30=19,1,0))</f>
        <v/>
      </c>
      <c r="X31">
        <f>MAX(X30,IF($B30=20,1,0))</f>
        <v/>
      </c>
      <c r="Y31">
        <f>MAX(Y30,IF($B30=21,1,0))</f>
        <v/>
      </c>
      <c r="Z31">
        <f>MAX(Z30,IF($B30=22,1,0))</f>
        <v/>
      </c>
      <c r="AA31">
        <f>MAX(AA30,IF($B30=23,1,0))</f>
        <v/>
      </c>
      <c r="AB31">
        <f>MAX(AB30,IF($B30=24,1,0))</f>
        <v/>
      </c>
      <c r="AC31">
        <f>MAX(AC30,IF($B30=25,1,0))</f>
        <v/>
      </c>
      <c r="AD31">
        <f>MAX(AD30,IF($B30=26,1,0))</f>
        <v/>
      </c>
      <c r="AE31">
        <f>MAX(AE30,IF($B30=27,1,0))</f>
        <v/>
      </c>
      <c r="AF31">
        <f>MAX(AF30,IF($B30=28,1,0))</f>
        <v/>
      </c>
      <c r="AG31">
        <f>MAX(AG30,IF($B30=29,1,0))</f>
        <v/>
      </c>
      <c r="AH31">
        <f>MAX(AH30,IF($B30=30,1,0))</f>
        <v/>
      </c>
      <c r="AI31">
        <f>MAX(AI30,IF($B30=31,1,0))</f>
        <v/>
      </c>
      <c r="AJ31">
        <f>MAX(AJ30,IF($B30=32,1,0))</f>
        <v/>
      </c>
      <c r="AK31">
        <f>MAX(AK30,IF($B30=33,1,0))</f>
        <v/>
      </c>
      <c r="AL31">
        <f>MAX(AL30,IF($B30=34,1,0))</f>
        <v/>
      </c>
      <c r="AM31">
        <f>MAX(AM30,IF($B30=35,1,0))</f>
        <v/>
      </c>
      <c r="AN31">
        <f>MAX(AN30,IF($B30=36,1,0))</f>
        <v/>
      </c>
      <c r="AO31">
        <f>MAX(AO30,IF($B30=37,1,0))</f>
        <v/>
      </c>
      <c r="AP31">
        <f>MAX(AP30,IF($B30=38,1,0))</f>
        <v/>
      </c>
      <c r="AQ31">
        <f>MAX(AQ30,IF($B30=39,1,0))</f>
        <v/>
      </c>
      <c r="AR31">
        <f>MAX(AR30,IF($B30=40,1,0))</f>
        <v/>
      </c>
      <c r="AS31">
        <f>MAX(AS30,IF($B30=41,1,0))</f>
        <v/>
      </c>
      <c r="AT31">
        <f>MAX(AT30,IF($B30=42,1,0))</f>
        <v/>
      </c>
      <c r="AU31">
        <f>MAX(AU30,IF($B30=43,1,0))</f>
        <v/>
      </c>
      <c r="AV31">
        <f>MAX(AV30,IF($B30=44,1,0))</f>
        <v/>
      </c>
      <c r="AW31">
        <f>MAX(AW30,IF($B30=45,1,0))</f>
        <v/>
      </c>
      <c r="AY31">
        <f>IF(E31=1,1000000,SUMPRODUCT('計算A'!$D$60:$DS$60,$CS31:$HH31)*1000+1)</f>
        <v/>
      </c>
      <c r="AZ31">
        <f>IF(F31=1,1000000,SUMPRODUCT('計算A'!$D$61:$DS$61,$CS31:$HH31)*1000+2)</f>
        <v/>
      </c>
      <c r="BA31">
        <f>IF(G31=1,1000000,SUMPRODUCT('計算A'!$D$62:$DS$62,$CS31:$HH31)*1000+3)</f>
        <v/>
      </c>
      <c r="BB31">
        <f>IF(H31=1,1000000,SUMPRODUCT('計算A'!$D$63:$DS$63,$CS31:$HH31)*1000+4)</f>
        <v/>
      </c>
      <c r="BC31">
        <f>IF(I31=1,1000000,SUMPRODUCT('計算A'!$D$64:$DS$64,$CS31:$HH31)*1000+5)</f>
        <v/>
      </c>
      <c r="BD31">
        <f>IF(J31=1,1000000,SUMPRODUCT('計算A'!$D$65:$DS$65,$CS31:$HH31)*1000+6)</f>
        <v/>
      </c>
      <c r="BE31">
        <f>IF(K31=1,1000000,SUMPRODUCT('計算A'!$D$66:$DS$66,$CS31:$HH31)*1000+7)</f>
        <v/>
      </c>
      <c r="BF31">
        <f>IF(L31=1,1000000,SUMPRODUCT('計算A'!$D$67:$DS$67,$CS31:$HH31)*1000+8)</f>
        <v/>
      </c>
      <c r="BG31">
        <f>IF(M31=1,1000000,SUMPRODUCT('計算A'!$D$68:$DS$68,$CS31:$HH31)*1000+9)</f>
        <v/>
      </c>
      <c r="BH31">
        <f>IF(N31=1,1000000,SUMPRODUCT('計算A'!$D$69:$DS$69,$CS31:$HH31)*1000+10)</f>
        <v/>
      </c>
      <c r="BI31">
        <f>IF(O31=1,1000000,SUMPRODUCT('計算A'!$D$70:$DS$70,$CS31:$HH31)*1000+11)</f>
        <v/>
      </c>
      <c r="BJ31">
        <f>IF(P31=1,1000000,SUMPRODUCT('計算A'!$D$71:$DS$71,$CS31:$HH31)*1000+12)</f>
        <v/>
      </c>
      <c r="BK31">
        <f>IF(Q31=1,1000000,SUMPRODUCT('計算A'!$D$72:$DS$72,$CS31:$HH31)*1000+13)</f>
        <v/>
      </c>
      <c r="BL31">
        <f>IF(R31=1,1000000,SUMPRODUCT('計算A'!$D$73:$DS$73,$CS31:$HH31)*1000+14)</f>
        <v/>
      </c>
      <c r="BM31">
        <f>IF(S31=1,1000000,SUMPRODUCT('計算A'!$D$74:$DS$74,$CS31:$HH31)*1000+15)</f>
        <v/>
      </c>
      <c r="BN31">
        <f>IF(T31=1,1000000,SUMPRODUCT('計算A'!$D$75:$DS$75,$CS31:$HH31)*1000+16)</f>
        <v/>
      </c>
      <c r="BO31">
        <f>IF(U31=1,1000000,SUMPRODUCT('計算A'!$D$76:$DS$76,$CS31:$HH31)*1000+17)</f>
        <v/>
      </c>
      <c r="BP31">
        <f>IF(V31=1,1000000,SUMPRODUCT('計算A'!$D$77:$DS$77,$CS31:$HH31)*1000+18)</f>
        <v/>
      </c>
      <c r="BQ31">
        <f>IF(W31=1,1000000,SUMPRODUCT('計算A'!$D$78:$DS$78,$CS31:$HH31)*1000+19)</f>
        <v/>
      </c>
      <c r="BR31">
        <f>IF(X31=1,1000000,SUMPRODUCT('計算A'!$D$79:$DS$79,$CS31:$HH31)*1000+20)</f>
        <v/>
      </c>
      <c r="BS31">
        <f>IF(Y31=1,1000000,SUMPRODUCT('計算A'!$D$80:$DS$80,$CS31:$HH31)*1000+21)</f>
        <v/>
      </c>
      <c r="BT31">
        <f>IF(Z31=1,1000000,SUMPRODUCT('計算A'!$D$81:$DS$81,$CS31:$HH31)*1000+22)</f>
        <v/>
      </c>
      <c r="BU31">
        <f>IF(AA31=1,1000000,SUMPRODUCT('計算A'!$D$82:$DS$82,$CS31:$HH31)*1000+23)</f>
        <v/>
      </c>
      <c r="BV31">
        <f>IF(AB31=1,1000000,SUMPRODUCT('計算A'!$D$83:$DS$83,$CS31:$HH31)*1000+24)</f>
        <v/>
      </c>
      <c r="BW31">
        <f>IF(AC31=1,1000000,SUMPRODUCT('計算A'!$D$84:$DS$84,$CS31:$HH31)*1000+25)</f>
        <v/>
      </c>
      <c r="BX31">
        <f>IF(AD31=1,1000000,SUMPRODUCT('計算A'!$D$85:$DS$85,$CS31:$HH31)*1000+26)</f>
        <v/>
      </c>
      <c r="BY31">
        <f>IF(AE31=1,1000000,SUMPRODUCT('計算A'!$D$86:$DS$86,$CS31:$HH31)*1000+27)</f>
        <v/>
      </c>
      <c r="BZ31">
        <f>IF(AF31=1,1000000,SUMPRODUCT('計算A'!$D$87:$DS$87,$CS31:$HH31)*1000+28)</f>
        <v/>
      </c>
      <c r="CA31">
        <f>IF(AG31=1,1000000,SUMPRODUCT('計算A'!$D$88:$DS$88,$CS31:$HH31)*1000+29)</f>
        <v/>
      </c>
      <c r="CB31">
        <f>IF(AH31=1,1000000,SUMPRODUCT('計算A'!$D$89:$DS$89,$CS31:$HH31)*1000+30)</f>
        <v/>
      </c>
      <c r="CC31">
        <f>IF(AI31=1,1000000,SUMPRODUCT('計算A'!$D$90:$DS$90,$CS31:$HH31)*1000+31)</f>
        <v/>
      </c>
      <c r="CD31">
        <f>IF(AJ31=1,1000000,SUMPRODUCT('計算A'!$D$91:$DS$91,$CS31:$HH31)*1000+32)</f>
        <v/>
      </c>
      <c r="CE31">
        <f>IF(AK31=1,1000000,SUMPRODUCT('計算A'!$D$92:$DS$92,$CS31:$HH31)*1000+33)</f>
        <v/>
      </c>
      <c r="CF31">
        <f>IF(AL31=1,1000000,SUMPRODUCT('計算A'!$D$93:$DS$93,$CS31:$HH31)*1000+34)</f>
        <v/>
      </c>
      <c r="CG31">
        <f>IF(AM31=1,1000000,SUMPRODUCT('計算A'!$D$94:$DS$94,$CS31:$HH31)*1000+35)</f>
        <v/>
      </c>
      <c r="CH31">
        <f>IF(AN31=1,1000000,SUMPRODUCT('計算A'!$D$95:$DS$95,$CS31:$HH31)*1000+36)</f>
        <v/>
      </c>
      <c r="CI31">
        <f>IF(AO31=1,1000000,SUMPRODUCT('計算A'!$D$96:$DS$96,$CS31:$HH31)*1000+37)</f>
        <v/>
      </c>
      <c r="CJ31">
        <f>IF(AP31=1,1000000,SUMPRODUCT('計算A'!$D$97:$DS$97,$CS31:$HH31)*1000+38)</f>
        <v/>
      </c>
      <c r="CK31">
        <f>IF(AQ31=1,1000000,SUMPRODUCT('計算A'!$D$98:$DS$98,$CS31:$HH31)*1000+39)</f>
        <v/>
      </c>
      <c r="CL31">
        <f>IF(AR31=1,1000000,SUMPRODUCT('計算A'!$D$99:$DS$99,$CS31:$HH31)*1000+40)</f>
        <v/>
      </c>
      <c r="CM31">
        <f>IF(AS31=1,1000000,SUMPRODUCT('計算A'!$D$100:$DS$100,$CS31:$HH31)*1000+41)</f>
        <v/>
      </c>
      <c r="CN31">
        <f>IF(AT31=1,1000000,SUMPRODUCT('計算A'!$D$101:$DS$101,$CS31:$HH31)*1000+42)</f>
        <v/>
      </c>
      <c r="CO31">
        <f>IF(AU31=1,1000000,SUMPRODUCT('計算A'!$D$102:$DS$102,$CS31:$HH31)*1000+43)</f>
        <v/>
      </c>
      <c r="CP31">
        <f>IF(AV31=1,1000000,SUMPRODUCT('計算A'!$D$103:$DS$103,$CS31:$HH31)*1000+44)</f>
        <v/>
      </c>
      <c r="CQ31">
        <f>IF(AW31=1,1000000,SUMPRODUCT('計算A'!$D$104:$DS$104,$CS31:$HH31)*1000+45)</f>
        <v/>
      </c>
      <c r="CS31">
        <f>CS30*IF($C30=1,0,1)</f>
        <v/>
      </c>
      <c r="CT31">
        <f>CT30*IF($C30=2,0,1)</f>
        <v/>
      </c>
      <c r="CU31">
        <f>CU30*IF($C30=3,0,1)</f>
        <v/>
      </c>
      <c r="CV31">
        <f>CV30*IF($C30=4,0,1)</f>
        <v/>
      </c>
      <c r="CW31">
        <f>CW30*IF($C30=5,0,1)</f>
        <v/>
      </c>
      <c r="CX31">
        <f>CX30*IF($C30=6,0,1)</f>
        <v/>
      </c>
      <c r="CY31">
        <f>CY30*IF($C30=7,0,1)</f>
        <v/>
      </c>
      <c r="CZ31">
        <f>CZ30*IF($C30=8,0,1)</f>
        <v/>
      </c>
      <c r="DA31">
        <f>DA30*IF($C30=9,0,1)</f>
        <v/>
      </c>
      <c r="DB31">
        <f>DB30*IF($C30=10,0,1)</f>
        <v/>
      </c>
      <c r="DC31">
        <f>DC30*IF($C30=11,0,1)</f>
        <v/>
      </c>
      <c r="DD31">
        <f>DD30*IF($C30=12,0,1)</f>
        <v/>
      </c>
      <c r="DE31">
        <f>DE30*IF($C30=13,0,1)</f>
        <v/>
      </c>
      <c r="DF31">
        <f>DF30*IF($C30=14,0,1)</f>
        <v/>
      </c>
      <c r="DG31">
        <f>DG30*IF($C30=15,0,1)</f>
        <v/>
      </c>
      <c r="DH31">
        <f>DH30*IF($C30=16,0,1)</f>
        <v/>
      </c>
      <c r="DI31">
        <f>DI30*IF($C30=17,0,1)</f>
        <v/>
      </c>
      <c r="DJ31">
        <f>DJ30*IF($C30=18,0,1)</f>
        <v/>
      </c>
      <c r="DK31">
        <f>DK30*IF($C30=19,0,1)</f>
        <v/>
      </c>
      <c r="DL31">
        <f>DL30*IF($C30=20,0,1)</f>
        <v/>
      </c>
      <c r="DM31">
        <f>DM30*IF($C30=21,0,1)</f>
        <v/>
      </c>
      <c r="DN31">
        <f>DN30*IF($C30=22,0,1)</f>
        <v/>
      </c>
      <c r="DO31">
        <f>DO30*IF($C30=23,0,1)</f>
        <v/>
      </c>
      <c r="DP31">
        <f>DP30*IF($C30=24,0,1)</f>
        <v/>
      </c>
      <c r="DQ31">
        <f>DQ30*IF($C30=25,0,1)</f>
        <v/>
      </c>
      <c r="DR31">
        <f>DR30*IF($C30=26,0,1)</f>
        <v/>
      </c>
      <c r="DS31">
        <f>DS30*IF($C30=27,0,1)</f>
        <v/>
      </c>
      <c r="DT31">
        <f>DT30*IF($C30=28,0,1)</f>
        <v/>
      </c>
      <c r="DU31">
        <f>DU30*IF($C30=29,0,1)</f>
        <v/>
      </c>
      <c r="DV31">
        <f>DV30*IF($C30=30,0,1)</f>
        <v/>
      </c>
      <c r="DW31">
        <f>DW30*IF($C30=31,0,1)</f>
        <v/>
      </c>
      <c r="DX31">
        <f>DX30*IF($C30=32,0,1)</f>
        <v/>
      </c>
      <c r="DY31">
        <f>DY30*IF($C30=33,0,1)</f>
        <v/>
      </c>
      <c r="DZ31">
        <f>DZ30*IF($C30=34,0,1)</f>
        <v/>
      </c>
      <c r="EA31">
        <f>EA30*IF($C30=35,0,1)</f>
        <v/>
      </c>
      <c r="EB31">
        <f>EB30*IF($C30=36,0,1)</f>
        <v/>
      </c>
      <c r="EC31">
        <f>EC30*IF($C30=37,0,1)</f>
        <v/>
      </c>
      <c r="ED31">
        <f>ED30*IF($C30=38,0,1)</f>
        <v/>
      </c>
      <c r="EE31">
        <f>EE30*IF($C30=39,0,1)</f>
        <v/>
      </c>
      <c r="EF31">
        <f>EF30*IF($C30=40,0,1)</f>
        <v/>
      </c>
      <c r="EG31">
        <f>EG30*IF($C30=41,0,1)</f>
        <v/>
      </c>
      <c r="EH31">
        <f>EH30*IF($C30=42,0,1)</f>
        <v/>
      </c>
      <c r="EI31">
        <f>EI30*IF($C30=43,0,1)</f>
        <v/>
      </c>
      <c r="EJ31">
        <f>EJ30*IF($C30=44,0,1)</f>
        <v/>
      </c>
      <c r="EK31">
        <f>EK30*IF($C30=45,0,1)</f>
        <v/>
      </c>
      <c r="EL31">
        <f>EL30*IF($C30=46,0,1)</f>
        <v/>
      </c>
      <c r="EM31">
        <f>EM30*IF($C30=47,0,1)</f>
        <v/>
      </c>
      <c r="EN31">
        <f>EN30*IF($C30=48,0,1)</f>
        <v/>
      </c>
      <c r="EO31">
        <f>EO30*IF($C30=49,0,1)</f>
        <v/>
      </c>
      <c r="EP31">
        <f>EP30*IF($C30=50,0,1)</f>
        <v/>
      </c>
      <c r="EQ31">
        <f>EQ30*IF($C30=51,0,1)</f>
        <v/>
      </c>
      <c r="ER31">
        <f>ER30*IF($C30=52,0,1)</f>
        <v/>
      </c>
      <c r="ES31">
        <f>ES30*IF($C30=53,0,1)</f>
        <v/>
      </c>
      <c r="ET31">
        <f>ET30*IF($C30=54,0,1)</f>
        <v/>
      </c>
      <c r="EU31">
        <f>EU30*IF($C30=55,0,1)</f>
        <v/>
      </c>
      <c r="EV31">
        <f>EV30*IF($C30=56,0,1)</f>
        <v/>
      </c>
      <c r="EW31">
        <f>EW30*IF($C30=57,0,1)</f>
        <v/>
      </c>
      <c r="EX31">
        <f>EX30*IF($C30=58,0,1)</f>
        <v/>
      </c>
      <c r="EY31">
        <f>EY30*IF($C30=59,0,1)</f>
        <v/>
      </c>
      <c r="EZ31">
        <f>EZ30*IF($C30=60,0,1)</f>
        <v/>
      </c>
      <c r="FA31">
        <f>FA30*IF($C30=61,0,1)</f>
        <v/>
      </c>
      <c r="FB31">
        <f>FB30*IF($C30=62,0,1)</f>
        <v/>
      </c>
      <c r="FC31">
        <f>FC30*IF($C30=63,0,1)</f>
        <v/>
      </c>
      <c r="FD31">
        <f>FD30*IF($C30=64,0,1)</f>
        <v/>
      </c>
      <c r="FE31">
        <f>FE30*IF($C30=65,0,1)</f>
        <v/>
      </c>
      <c r="FF31">
        <f>FF30*IF($C30=66,0,1)</f>
        <v/>
      </c>
      <c r="FG31">
        <f>FG30*IF($C30=67,0,1)</f>
        <v/>
      </c>
      <c r="FH31">
        <f>FH30*IF($C30=68,0,1)</f>
        <v/>
      </c>
      <c r="FI31">
        <f>FI30*IF($C30=69,0,1)</f>
        <v/>
      </c>
      <c r="FJ31">
        <f>FJ30*IF($C30=70,0,1)</f>
        <v/>
      </c>
      <c r="FK31">
        <f>FK30*IF($C30=71,0,1)</f>
        <v/>
      </c>
      <c r="FL31">
        <f>FL30*IF($C30=72,0,1)</f>
        <v/>
      </c>
      <c r="FM31">
        <f>FM30*IF($C30=73,0,1)</f>
        <v/>
      </c>
      <c r="FN31">
        <f>FN30*IF($C30=74,0,1)</f>
        <v/>
      </c>
      <c r="FO31">
        <f>FO30*IF($C30=75,0,1)</f>
        <v/>
      </c>
      <c r="FP31">
        <f>FP30*IF($C30=76,0,1)</f>
        <v/>
      </c>
      <c r="FQ31">
        <f>FQ30*IF($C30=77,0,1)</f>
        <v/>
      </c>
      <c r="FR31">
        <f>FR30*IF($C30=78,0,1)</f>
        <v/>
      </c>
      <c r="FS31">
        <f>FS30*IF($C30=79,0,1)</f>
        <v/>
      </c>
      <c r="FT31">
        <f>FT30*IF($C30=80,0,1)</f>
        <v/>
      </c>
      <c r="FU31">
        <f>FU30*IF($C30=81,0,1)</f>
        <v/>
      </c>
      <c r="FV31">
        <f>FV30*IF($C30=82,0,1)</f>
        <v/>
      </c>
      <c r="FW31">
        <f>FW30*IF($C30=83,0,1)</f>
        <v/>
      </c>
      <c r="FX31">
        <f>FX30*IF($C30=84,0,1)</f>
        <v/>
      </c>
      <c r="FY31">
        <f>FY30*IF($C30=85,0,1)</f>
        <v/>
      </c>
      <c r="FZ31">
        <f>FZ30*IF($C30=86,0,1)</f>
        <v/>
      </c>
      <c r="GA31">
        <f>GA30*IF($C30=87,0,1)</f>
        <v/>
      </c>
      <c r="GB31">
        <f>GB30*IF($C30=88,0,1)</f>
        <v/>
      </c>
      <c r="GC31">
        <f>GC30*IF($C30=89,0,1)</f>
        <v/>
      </c>
      <c r="GD31">
        <f>GD30*IF($C30=90,0,1)</f>
        <v/>
      </c>
      <c r="GE31">
        <f>GE30*IF($C30=91,0,1)</f>
        <v/>
      </c>
      <c r="GF31">
        <f>GF30*IF($C30=92,0,1)</f>
        <v/>
      </c>
      <c r="GG31">
        <f>GG30*IF($C30=93,0,1)</f>
        <v/>
      </c>
      <c r="GH31">
        <f>GH30*IF($C30=94,0,1)</f>
        <v/>
      </c>
      <c r="GI31">
        <f>GI30*IF($C30=95,0,1)</f>
        <v/>
      </c>
      <c r="GJ31">
        <f>GJ30*IF($C30=96,0,1)</f>
        <v/>
      </c>
      <c r="GK31">
        <f>GK30*IF($C30=97,0,1)</f>
        <v/>
      </c>
      <c r="GL31">
        <f>GL30*IF($C30=98,0,1)</f>
        <v/>
      </c>
      <c r="GM31">
        <f>GM30*IF($C30=99,0,1)</f>
        <v/>
      </c>
      <c r="GN31">
        <f>GN30*IF($C30=100,0,1)</f>
        <v/>
      </c>
      <c r="GO31">
        <f>GO30*IF($C30=101,0,1)</f>
        <v/>
      </c>
      <c r="GP31">
        <f>GP30*IF($C30=102,0,1)</f>
        <v/>
      </c>
      <c r="GQ31">
        <f>GQ30*IF($C30=103,0,1)</f>
        <v/>
      </c>
      <c r="GR31">
        <f>GR30*IF($C30=104,0,1)</f>
        <v/>
      </c>
      <c r="GS31">
        <f>GS30*IF($C30=105,0,1)</f>
        <v/>
      </c>
      <c r="GT31">
        <f>GT30*IF($C30=106,0,1)</f>
        <v/>
      </c>
      <c r="GU31">
        <f>GU30*IF($C30=107,0,1)</f>
        <v/>
      </c>
      <c r="GV31">
        <f>GV30*IF($C30=108,0,1)</f>
        <v/>
      </c>
      <c r="GW31">
        <f>GW30*IF($C30=109,0,1)</f>
        <v/>
      </c>
      <c r="GX31">
        <f>GX30*IF($C30=110,0,1)</f>
        <v/>
      </c>
      <c r="GY31">
        <f>GY30*IF($C30=111,0,1)</f>
        <v/>
      </c>
      <c r="GZ31">
        <f>GZ30*IF($C30=112,0,1)</f>
        <v/>
      </c>
      <c r="HA31">
        <f>HA30*IF($C30=113,0,1)</f>
        <v/>
      </c>
      <c r="HB31">
        <f>HB30*IF($C30=114,0,1)</f>
        <v/>
      </c>
      <c r="HC31">
        <f>HC30*IF($C30=115,0,1)</f>
        <v/>
      </c>
      <c r="HD31">
        <f>HD30*IF($C30=116,0,1)</f>
        <v/>
      </c>
      <c r="HE31">
        <f>HE30*IF($C30=117,0,1)</f>
        <v/>
      </c>
      <c r="HF31">
        <f>HF30*IF($C30=118,0,1)</f>
        <v/>
      </c>
      <c r="HG31">
        <f>HG30*IF($C30=119,0,1)</f>
        <v/>
      </c>
      <c r="HH31">
        <f>HH30*IF($C30=120,0,1)</f>
        <v/>
      </c>
      <c r="HJ31">
        <f>IF($B31=0,1000000,IF(INDEX('計算A'!$D$60:$DS$104,$B31,1)*CS31=1,'計算A'!D$6,1000000))</f>
        <v/>
      </c>
      <c r="HK31">
        <f>IF($B31=0,1000000,IF(INDEX('計算A'!$D$60:$DS$104,$B31,2)*CT31=1,'計算A'!E$6,1000000))</f>
        <v/>
      </c>
      <c r="HL31">
        <f>IF($B31=0,1000000,IF(INDEX('計算A'!$D$60:$DS$104,$B31,3)*CU31=1,'計算A'!F$6,1000000))</f>
        <v/>
      </c>
      <c r="HM31">
        <f>IF($B31=0,1000000,IF(INDEX('計算A'!$D$60:$DS$104,$B31,4)*CV31=1,'計算A'!G$6,1000000))</f>
        <v/>
      </c>
      <c r="HN31">
        <f>IF($B31=0,1000000,IF(INDEX('計算A'!$D$60:$DS$104,$B31,5)*CW31=1,'計算A'!H$6,1000000))</f>
        <v/>
      </c>
      <c r="HO31">
        <f>IF($B31=0,1000000,IF(INDEX('計算A'!$D$60:$DS$104,$B31,6)*CX31=1,'計算A'!I$6,1000000))</f>
        <v/>
      </c>
      <c r="HP31">
        <f>IF($B31=0,1000000,IF(INDEX('計算A'!$D$60:$DS$104,$B31,7)*CY31=1,'計算A'!J$6,1000000))</f>
        <v/>
      </c>
      <c r="HQ31">
        <f>IF($B31=0,1000000,IF(INDEX('計算A'!$D$60:$DS$104,$B31,8)*CZ31=1,'計算A'!K$6,1000000))</f>
        <v/>
      </c>
      <c r="HR31">
        <f>IF($B31=0,1000000,IF(INDEX('計算A'!$D$60:$DS$104,$B31,9)*DA31=1,'計算A'!L$6,1000000))</f>
        <v/>
      </c>
      <c r="HS31">
        <f>IF($B31=0,1000000,IF(INDEX('計算A'!$D$60:$DS$104,$B31,10)*DB31=1,'計算A'!M$6,1000000))</f>
        <v/>
      </c>
      <c r="HT31">
        <f>IF($B31=0,1000000,IF(INDEX('計算A'!$D$60:$DS$104,$B31,11)*DC31=1,'計算A'!N$6,1000000))</f>
        <v/>
      </c>
      <c r="HU31">
        <f>IF($B31=0,1000000,IF(INDEX('計算A'!$D$60:$DS$104,$B31,12)*DD31=1,'計算A'!O$6,1000000))</f>
        <v/>
      </c>
      <c r="HV31">
        <f>IF($B31=0,1000000,IF(INDEX('計算A'!$D$60:$DS$104,$B31,13)*DE31=1,'計算A'!P$6,1000000))</f>
        <v/>
      </c>
      <c r="HW31">
        <f>IF($B31=0,1000000,IF(INDEX('計算A'!$D$60:$DS$104,$B31,14)*DF31=1,'計算A'!Q$6,1000000))</f>
        <v/>
      </c>
      <c r="HX31">
        <f>IF($B31=0,1000000,IF(INDEX('計算A'!$D$60:$DS$104,$B31,15)*DG31=1,'計算A'!R$6,1000000))</f>
        <v/>
      </c>
      <c r="HY31">
        <f>IF($B31=0,1000000,IF(INDEX('計算A'!$D$60:$DS$104,$B31,16)*DH31=1,'計算A'!S$6,1000000))</f>
        <v/>
      </c>
      <c r="HZ31">
        <f>IF($B31=0,1000000,IF(INDEX('計算A'!$D$60:$DS$104,$B31,17)*DI31=1,'計算A'!T$6,1000000))</f>
        <v/>
      </c>
      <c r="IA31">
        <f>IF($B31=0,1000000,IF(INDEX('計算A'!$D$60:$DS$104,$B31,18)*DJ31=1,'計算A'!U$6,1000000))</f>
        <v/>
      </c>
      <c r="IB31">
        <f>IF($B31=0,1000000,IF(INDEX('計算A'!$D$60:$DS$104,$B31,19)*DK31=1,'計算A'!V$6,1000000))</f>
        <v/>
      </c>
      <c r="IC31">
        <f>IF($B31=0,1000000,IF(INDEX('計算A'!$D$60:$DS$104,$B31,20)*DL31=1,'計算A'!W$6,1000000))</f>
        <v/>
      </c>
      <c r="ID31">
        <f>IF($B31=0,1000000,IF(INDEX('計算A'!$D$60:$DS$104,$B31,21)*DM31=1,'計算A'!X$6,1000000))</f>
        <v/>
      </c>
      <c r="IE31">
        <f>IF($B31=0,1000000,IF(INDEX('計算A'!$D$60:$DS$104,$B31,22)*DN31=1,'計算A'!Y$6,1000000))</f>
        <v/>
      </c>
      <c r="IF31">
        <f>IF($B31=0,1000000,IF(INDEX('計算A'!$D$60:$DS$104,$B31,23)*DO31=1,'計算A'!Z$6,1000000))</f>
        <v/>
      </c>
      <c r="IG31">
        <f>IF($B31=0,1000000,IF(INDEX('計算A'!$D$60:$DS$104,$B31,24)*DP31=1,'計算A'!AA$6,1000000))</f>
        <v/>
      </c>
      <c r="IH31">
        <f>IF($B31=0,1000000,IF(INDEX('計算A'!$D$60:$DS$104,$B31,25)*DQ31=1,'計算A'!AB$6,1000000))</f>
        <v/>
      </c>
      <c r="II31">
        <f>IF($B31=0,1000000,IF(INDEX('計算A'!$D$60:$DS$104,$B31,26)*DR31=1,'計算A'!AC$6,1000000))</f>
        <v/>
      </c>
      <c r="IJ31">
        <f>IF($B31=0,1000000,IF(INDEX('計算A'!$D$60:$DS$104,$B31,27)*DS31=1,'計算A'!AD$6,1000000))</f>
        <v/>
      </c>
      <c r="IK31">
        <f>IF($B31=0,1000000,IF(INDEX('計算A'!$D$60:$DS$104,$B31,28)*DT31=1,'計算A'!AE$6,1000000))</f>
        <v/>
      </c>
      <c r="IL31">
        <f>IF($B31=0,1000000,IF(INDEX('計算A'!$D$60:$DS$104,$B31,29)*DU31=1,'計算A'!AF$6,1000000))</f>
        <v/>
      </c>
      <c r="IM31">
        <f>IF($B31=0,1000000,IF(INDEX('計算A'!$D$60:$DS$104,$B31,30)*DV31=1,'計算A'!AG$6,1000000))</f>
        <v/>
      </c>
      <c r="IN31">
        <f>IF($B31=0,1000000,IF(INDEX('計算A'!$D$60:$DS$104,$B31,31)*DW31=1,'計算A'!AH$6,1000000))</f>
        <v/>
      </c>
      <c r="IO31">
        <f>IF($B31=0,1000000,IF(INDEX('計算A'!$D$60:$DS$104,$B31,32)*DX31=1,'計算A'!AI$6,1000000))</f>
        <v/>
      </c>
      <c r="IP31">
        <f>IF($B31=0,1000000,IF(INDEX('計算A'!$D$60:$DS$104,$B31,33)*DY31=1,'計算A'!AJ$6,1000000))</f>
        <v/>
      </c>
      <c r="IQ31">
        <f>IF($B31=0,1000000,IF(INDEX('計算A'!$D$60:$DS$104,$B31,34)*DZ31=1,'計算A'!AK$6,1000000))</f>
        <v/>
      </c>
      <c r="IR31">
        <f>IF($B31=0,1000000,IF(INDEX('計算A'!$D$60:$DS$104,$B31,35)*EA31=1,'計算A'!AL$6,1000000))</f>
        <v/>
      </c>
      <c r="IS31">
        <f>IF($B31=0,1000000,IF(INDEX('計算A'!$D$60:$DS$104,$B31,36)*EB31=1,'計算A'!AM$6,1000000))</f>
        <v/>
      </c>
      <c r="IT31">
        <f>IF($B31=0,1000000,IF(INDEX('計算A'!$D$60:$DS$104,$B31,37)*EC31=1,'計算A'!AN$6,1000000))</f>
        <v/>
      </c>
      <c r="IU31">
        <f>IF($B31=0,1000000,IF(INDEX('計算A'!$D$60:$DS$104,$B31,38)*ED31=1,'計算A'!AO$6,1000000))</f>
        <v/>
      </c>
      <c r="IV31">
        <f>IF($B31=0,1000000,IF(INDEX('計算A'!$D$60:$DS$104,$B31,39)*EE31=1,'計算A'!AP$6,1000000))</f>
        <v/>
      </c>
      <c r="IW31">
        <f>IF($B31=0,1000000,IF(INDEX('計算A'!$D$60:$DS$104,$B31,40)*EF31=1,'計算A'!AQ$6,1000000))</f>
        <v/>
      </c>
      <c r="IX31">
        <f>IF($B31=0,1000000,IF(INDEX('計算A'!$D$60:$DS$104,$B31,41)*EG31=1,'計算A'!AR$6,1000000))</f>
        <v/>
      </c>
      <c r="IY31">
        <f>IF($B31=0,1000000,IF(INDEX('計算A'!$D$60:$DS$104,$B31,42)*EH31=1,'計算A'!AS$6,1000000))</f>
        <v/>
      </c>
      <c r="IZ31">
        <f>IF($B31=0,1000000,IF(INDEX('計算A'!$D$60:$DS$104,$B31,43)*EI31=1,'計算A'!AT$6,1000000))</f>
        <v/>
      </c>
      <c r="JA31">
        <f>IF($B31=0,1000000,IF(INDEX('計算A'!$D$60:$DS$104,$B31,44)*EJ31=1,'計算A'!AU$6,1000000))</f>
        <v/>
      </c>
      <c r="JB31">
        <f>IF($B31=0,1000000,IF(INDEX('計算A'!$D$60:$DS$104,$B31,45)*EK31=1,'計算A'!AV$6,1000000))</f>
        <v/>
      </c>
      <c r="JC31">
        <f>IF($B31=0,1000000,IF(INDEX('計算A'!$D$60:$DS$104,$B31,46)*EL31=1,'計算A'!AW$6,1000000))</f>
        <v/>
      </c>
      <c r="JD31">
        <f>IF($B31=0,1000000,IF(INDEX('計算A'!$D$60:$DS$104,$B31,47)*EM31=1,'計算A'!AX$6,1000000))</f>
        <v/>
      </c>
      <c r="JE31">
        <f>IF($B31=0,1000000,IF(INDEX('計算A'!$D$60:$DS$104,$B31,48)*EN31=1,'計算A'!AY$6,1000000))</f>
        <v/>
      </c>
      <c r="JF31">
        <f>IF($B31=0,1000000,IF(INDEX('計算A'!$D$60:$DS$104,$B31,49)*EO31=1,'計算A'!AZ$6,1000000))</f>
        <v/>
      </c>
      <c r="JG31">
        <f>IF($B31=0,1000000,IF(INDEX('計算A'!$D$60:$DS$104,$B31,50)*EP31=1,'計算A'!BA$6,1000000))</f>
        <v/>
      </c>
      <c r="JH31">
        <f>IF($B31=0,1000000,IF(INDEX('計算A'!$D$60:$DS$104,$B31,51)*EQ31=1,'計算A'!BB$6,1000000))</f>
        <v/>
      </c>
      <c r="JI31">
        <f>IF($B31=0,1000000,IF(INDEX('計算A'!$D$60:$DS$104,$B31,52)*ER31=1,'計算A'!BC$6,1000000))</f>
        <v/>
      </c>
      <c r="JJ31">
        <f>IF($B31=0,1000000,IF(INDEX('計算A'!$D$60:$DS$104,$B31,53)*ES31=1,'計算A'!BD$6,1000000))</f>
        <v/>
      </c>
      <c r="JK31">
        <f>IF($B31=0,1000000,IF(INDEX('計算A'!$D$60:$DS$104,$B31,54)*ET31=1,'計算A'!BE$6,1000000))</f>
        <v/>
      </c>
      <c r="JL31">
        <f>IF($B31=0,1000000,IF(INDEX('計算A'!$D$60:$DS$104,$B31,55)*EU31=1,'計算A'!BF$6,1000000))</f>
        <v/>
      </c>
      <c r="JM31">
        <f>IF($B31=0,1000000,IF(INDEX('計算A'!$D$60:$DS$104,$B31,56)*EV31=1,'計算A'!BG$6,1000000))</f>
        <v/>
      </c>
      <c r="JN31">
        <f>IF($B31=0,1000000,IF(INDEX('計算A'!$D$60:$DS$104,$B31,57)*EW31=1,'計算A'!BH$6,1000000))</f>
        <v/>
      </c>
      <c r="JO31">
        <f>IF($B31=0,1000000,IF(INDEX('計算A'!$D$60:$DS$104,$B31,58)*EX31=1,'計算A'!BI$6,1000000))</f>
        <v/>
      </c>
      <c r="JP31">
        <f>IF($B31=0,1000000,IF(INDEX('計算A'!$D$60:$DS$104,$B31,59)*EY31=1,'計算A'!BJ$6,1000000))</f>
        <v/>
      </c>
      <c r="JQ31">
        <f>IF($B31=0,1000000,IF(INDEX('計算A'!$D$60:$DS$104,$B31,60)*EZ31=1,'計算A'!BK$6,1000000))</f>
        <v/>
      </c>
      <c r="JR31">
        <f>IF($B31=0,1000000,IF(INDEX('計算A'!$D$60:$DS$104,$B31,61)*FA31=1,'計算A'!BL$6,1000000))</f>
        <v/>
      </c>
      <c r="JS31">
        <f>IF($B31=0,1000000,IF(INDEX('計算A'!$D$60:$DS$104,$B31,62)*FB31=1,'計算A'!BM$6,1000000))</f>
        <v/>
      </c>
      <c r="JT31">
        <f>IF($B31=0,1000000,IF(INDEX('計算A'!$D$60:$DS$104,$B31,63)*FC31=1,'計算A'!BN$6,1000000))</f>
        <v/>
      </c>
      <c r="JU31">
        <f>IF($B31=0,1000000,IF(INDEX('計算A'!$D$60:$DS$104,$B31,64)*FD31=1,'計算A'!BO$6,1000000))</f>
        <v/>
      </c>
      <c r="JV31">
        <f>IF($B31=0,1000000,IF(INDEX('計算A'!$D$60:$DS$104,$B31,65)*FE31=1,'計算A'!BP$6,1000000))</f>
        <v/>
      </c>
      <c r="JW31">
        <f>IF($B31=0,1000000,IF(INDEX('計算A'!$D$60:$DS$104,$B31,66)*FF31=1,'計算A'!BQ$6,1000000))</f>
        <v/>
      </c>
      <c r="JX31">
        <f>IF($B31=0,1000000,IF(INDEX('計算A'!$D$60:$DS$104,$B31,67)*FG31=1,'計算A'!BR$6,1000000))</f>
        <v/>
      </c>
      <c r="JY31">
        <f>IF($B31=0,1000000,IF(INDEX('計算A'!$D$60:$DS$104,$B31,68)*FH31=1,'計算A'!BS$6,1000000))</f>
        <v/>
      </c>
      <c r="JZ31">
        <f>IF($B31=0,1000000,IF(INDEX('計算A'!$D$60:$DS$104,$B31,69)*FI31=1,'計算A'!BT$6,1000000))</f>
        <v/>
      </c>
      <c r="KA31">
        <f>IF($B31=0,1000000,IF(INDEX('計算A'!$D$60:$DS$104,$B31,70)*FJ31=1,'計算A'!BU$6,1000000))</f>
        <v/>
      </c>
      <c r="KB31">
        <f>IF($B31=0,1000000,IF(INDEX('計算A'!$D$60:$DS$104,$B31,71)*FK31=1,'計算A'!BV$6,1000000))</f>
        <v/>
      </c>
      <c r="KC31">
        <f>IF($B31=0,1000000,IF(INDEX('計算A'!$D$60:$DS$104,$B31,72)*FL31=1,'計算A'!BW$6,1000000))</f>
        <v/>
      </c>
      <c r="KD31">
        <f>IF($B31=0,1000000,IF(INDEX('計算A'!$D$60:$DS$104,$B31,73)*FM31=1,'計算A'!BX$6,1000000))</f>
        <v/>
      </c>
      <c r="KE31">
        <f>IF($B31=0,1000000,IF(INDEX('計算A'!$D$60:$DS$104,$B31,74)*FN31=1,'計算A'!BY$6,1000000))</f>
        <v/>
      </c>
      <c r="KF31">
        <f>IF($B31=0,1000000,IF(INDEX('計算A'!$D$60:$DS$104,$B31,75)*FO31=1,'計算A'!BZ$6,1000000))</f>
        <v/>
      </c>
      <c r="KG31">
        <f>IF($B31=0,1000000,IF(INDEX('計算A'!$D$60:$DS$104,$B31,76)*FP31=1,'計算A'!CA$6,1000000))</f>
        <v/>
      </c>
      <c r="KH31">
        <f>IF($B31=0,1000000,IF(INDEX('計算A'!$D$60:$DS$104,$B31,77)*FQ31=1,'計算A'!CB$6,1000000))</f>
        <v/>
      </c>
      <c r="KI31">
        <f>IF($B31=0,1000000,IF(INDEX('計算A'!$D$60:$DS$104,$B31,78)*FR31=1,'計算A'!CC$6,1000000))</f>
        <v/>
      </c>
      <c r="KJ31">
        <f>IF($B31=0,1000000,IF(INDEX('計算A'!$D$60:$DS$104,$B31,79)*FS31=1,'計算A'!CD$6,1000000))</f>
        <v/>
      </c>
      <c r="KK31">
        <f>IF($B31=0,1000000,IF(INDEX('計算A'!$D$60:$DS$104,$B31,80)*FT31=1,'計算A'!CE$6,1000000))</f>
        <v/>
      </c>
      <c r="KL31">
        <f>IF($B31=0,1000000,IF(INDEX('計算A'!$D$60:$DS$104,$B31,81)*FU31=1,'計算A'!CF$6,1000000))</f>
        <v/>
      </c>
      <c r="KM31">
        <f>IF($B31=0,1000000,IF(INDEX('計算A'!$D$60:$DS$104,$B31,82)*FV31=1,'計算A'!CG$6,1000000))</f>
        <v/>
      </c>
      <c r="KN31">
        <f>IF($B31=0,1000000,IF(INDEX('計算A'!$D$60:$DS$104,$B31,83)*FW31=1,'計算A'!CH$6,1000000))</f>
        <v/>
      </c>
      <c r="KO31">
        <f>IF($B31=0,1000000,IF(INDEX('計算A'!$D$60:$DS$104,$B31,84)*FX31=1,'計算A'!CI$6,1000000))</f>
        <v/>
      </c>
      <c r="KP31">
        <f>IF($B31=0,1000000,IF(INDEX('計算A'!$D$60:$DS$104,$B31,85)*FY31=1,'計算A'!CJ$6,1000000))</f>
        <v/>
      </c>
      <c r="KQ31">
        <f>IF($B31=0,1000000,IF(INDEX('計算A'!$D$60:$DS$104,$B31,86)*FZ31=1,'計算A'!CK$6,1000000))</f>
        <v/>
      </c>
      <c r="KR31">
        <f>IF($B31=0,1000000,IF(INDEX('計算A'!$D$60:$DS$104,$B31,87)*GA31=1,'計算A'!CL$6,1000000))</f>
        <v/>
      </c>
      <c r="KS31">
        <f>IF($B31=0,1000000,IF(INDEX('計算A'!$D$60:$DS$104,$B31,88)*GB31=1,'計算A'!CM$6,1000000))</f>
        <v/>
      </c>
      <c r="KT31">
        <f>IF($B31=0,1000000,IF(INDEX('計算A'!$D$60:$DS$104,$B31,89)*GC31=1,'計算A'!CN$6,1000000))</f>
        <v/>
      </c>
      <c r="KU31">
        <f>IF($B31=0,1000000,IF(INDEX('計算A'!$D$60:$DS$104,$B31,90)*GD31=1,'計算A'!CO$6,1000000))</f>
        <v/>
      </c>
      <c r="KV31">
        <f>IF($B31=0,1000000,IF(INDEX('計算A'!$D$60:$DS$104,$B31,91)*GE31=1,'計算A'!CP$6,1000000))</f>
        <v/>
      </c>
      <c r="KW31">
        <f>IF($B31=0,1000000,IF(INDEX('計算A'!$D$60:$DS$104,$B31,92)*GF31=1,'計算A'!CQ$6,1000000))</f>
        <v/>
      </c>
      <c r="KX31">
        <f>IF($B31=0,1000000,IF(INDEX('計算A'!$D$60:$DS$104,$B31,93)*GG31=1,'計算A'!CR$6,1000000))</f>
        <v/>
      </c>
      <c r="KY31">
        <f>IF($B31=0,1000000,IF(INDEX('計算A'!$D$60:$DS$104,$B31,94)*GH31=1,'計算A'!CS$6,1000000))</f>
        <v/>
      </c>
      <c r="KZ31">
        <f>IF($B31=0,1000000,IF(INDEX('計算A'!$D$60:$DS$104,$B31,95)*GI31=1,'計算A'!CT$6,1000000))</f>
        <v/>
      </c>
      <c r="LA31">
        <f>IF($B31=0,1000000,IF(INDEX('計算A'!$D$60:$DS$104,$B31,96)*GJ31=1,'計算A'!CU$6,1000000))</f>
        <v/>
      </c>
      <c r="LB31">
        <f>IF($B31=0,1000000,IF(INDEX('計算A'!$D$60:$DS$104,$B31,97)*GK31=1,'計算A'!CV$6,1000000))</f>
        <v/>
      </c>
      <c r="LC31">
        <f>IF($B31=0,1000000,IF(INDEX('計算A'!$D$60:$DS$104,$B31,98)*GL31=1,'計算A'!CW$6,1000000))</f>
        <v/>
      </c>
      <c r="LD31">
        <f>IF($B31=0,1000000,IF(INDEX('計算A'!$D$60:$DS$104,$B31,99)*GM31=1,'計算A'!CX$6,1000000))</f>
        <v/>
      </c>
      <c r="LE31">
        <f>IF($B31=0,1000000,IF(INDEX('計算A'!$D$60:$DS$104,$B31,100)*GN31=1,'計算A'!CY$6,1000000))</f>
        <v/>
      </c>
      <c r="LF31">
        <f>IF($B31=0,1000000,IF(INDEX('計算A'!$D$60:$DS$104,$B31,101)*GO31=1,'計算A'!CZ$6,1000000))</f>
        <v/>
      </c>
      <c r="LG31">
        <f>IF($B31=0,1000000,IF(INDEX('計算A'!$D$60:$DS$104,$B31,102)*GP31=1,'計算A'!DA$6,1000000))</f>
        <v/>
      </c>
      <c r="LH31">
        <f>IF($B31=0,1000000,IF(INDEX('計算A'!$D$60:$DS$104,$B31,103)*GQ31=1,'計算A'!DB$6,1000000))</f>
        <v/>
      </c>
      <c r="LI31">
        <f>IF($B31=0,1000000,IF(INDEX('計算A'!$D$60:$DS$104,$B31,104)*GR31=1,'計算A'!DC$6,1000000))</f>
        <v/>
      </c>
      <c r="LJ31">
        <f>IF($B31=0,1000000,IF(INDEX('計算A'!$D$60:$DS$104,$B31,105)*GS31=1,'計算A'!DD$6,1000000))</f>
        <v/>
      </c>
      <c r="LK31">
        <f>IF($B31=0,1000000,IF(INDEX('計算A'!$D$60:$DS$104,$B31,106)*GT31=1,'計算A'!DE$6,1000000))</f>
        <v/>
      </c>
      <c r="LL31">
        <f>IF($B31=0,1000000,IF(INDEX('計算A'!$D$60:$DS$104,$B31,107)*GU31=1,'計算A'!DF$6,1000000))</f>
        <v/>
      </c>
      <c r="LM31">
        <f>IF($B31=0,1000000,IF(INDEX('計算A'!$D$60:$DS$104,$B31,108)*GV31=1,'計算A'!DG$6,1000000))</f>
        <v/>
      </c>
      <c r="LN31">
        <f>IF($B31=0,1000000,IF(INDEX('計算A'!$D$60:$DS$104,$B31,109)*GW31=1,'計算A'!DH$6,1000000))</f>
        <v/>
      </c>
      <c r="LO31">
        <f>IF($B31=0,1000000,IF(INDEX('計算A'!$D$60:$DS$104,$B31,110)*GX31=1,'計算A'!DI$6,1000000))</f>
        <v/>
      </c>
      <c r="LP31">
        <f>IF($B31=0,1000000,IF(INDEX('計算A'!$D$60:$DS$104,$B31,111)*GY31=1,'計算A'!DJ$6,1000000))</f>
        <v/>
      </c>
      <c r="LQ31">
        <f>IF($B31=0,1000000,IF(INDEX('計算A'!$D$60:$DS$104,$B31,112)*GZ31=1,'計算A'!DK$6,1000000))</f>
        <v/>
      </c>
      <c r="LR31">
        <f>IF($B31=0,1000000,IF(INDEX('計算A'!$D$60:$DS$104,$B31,113)*HA31=1,'計算A'!DL$6,1000000))</f>
        <v/>
      </c>
      <c r="LS31">
        <f>IF($B31=0,1000000,IF(INDEX('計算A'!$D$60:$DS$104,$B31,114)*HB31=1,'計算A'!DM$6,1000000))</f>
        <v/>
      </c>
      <c r="LT31">
        <f>IF($B31=0,1000000,IF(INDEX('計算A'!$D$60:$DS$104,$B31,115)*HC31=1,'計算A'!DN$6,1000000))</f>
        <v/>
      </c>
      <c r="LU31">
        <f>IF($B31=0,1000000,IF(INDEX('計算A'!$D$60:$DS$104,$B31,116)*HD31=1,'計算A'!DO$6,1000000))</f>
        <v/>
      </c>
      <c r="LV31">
        <f>IF($B31=0,1000000,IF(INDEX('計算A'!$D$60:$DS$104,$B31,117)*HE31=1,'計算A'!DP$6,1000000))</f>
        <v/>
      </c>
      <c r="LW31">
        <f>IF($B31=0,1000000,IF(INDEX('計算A'!$D$60:$DS$104,$B31,118)*HF31=1,'計算A'!DQ$6,1000000))</f>
        <v/>
      </c>
      <c r="LX31">
        <f>IF($B31=0,1000000,IF(INDEX('計算A'!$D$60:$DS$104,$B31,119)*HG31=1,'計算A'!DR$6,1000000))</f>
        <v/>
      </c>
      <c r="LY31">
        <f>IF($B31=0,1000000,IF(INDEX('計算A'!$D$60:$DS$104,$B31,120)*HH31=1,'計算A'!DS$6,1000000))</f>
        <v/>
      </c>
    </row>
    <row r="32">
      <c r="A32" t="n">
        <v>30</v>
      </c>
      <c r="B32">
        <f>IF(MIN(AY32:CQ32)&gt;=1000000,0,MATCH(MIN(AY32:CQ32),AY32:CQ32,0))</f>
        <v/>
      </c>
      <c r="C32">
        <f>IF(MIN(HJ32:LY32)&gt;=1000000,0,MATCH(MIN(HJ32:LY32),HJ32:LY32,0))</f>
        <v/>
      </c>
      <c r="D32">
        <f>IF(C32&gt;0,INDEX('計算A'!$D$5:$DS$5,C32),0)</f>
        <v/>
      </c>
      <c r="E32">
        <f>MAX(E31,IF($B31=1,1,0))</f>
        <v/>
      </c>
      <c r="F32">
        <f>MAX(F31,IF($B31=2,1,0))</f>
        <v/>
      </c>
      <c r="G32">
        <f>MAX(G31,IF($B31=3,1,0))</f>
        <v/>
      </c>
      <c r="H32">
        <f>MAX(H31,IF($B31=4,1,0))</f>
        <v/>
      </c>
      <c r="I32">
        <f>MAX(I31,IF($B31=5,1,0))</f>
        <v/>
      </c>
      <c r="J32">
        <f>MAX(J31,IF($B31=6,1,0))</f>
        <v/>
      </c>
      <c r="K32">
        <f>MAX(K31,IF($B31=7,1,0))</f>
        <v/>
      </c>
      <c r="L32">
        <f>MAX(L31,IF($B31=8,1,0))</f>
        <v/>
      </c>
      <c r="M32">
        <f>MAX(M31,IF($B31=9,1,0))</f>
        <v/>
      </c>
      <c r="N32">
        <f>MAX(N31,IF($B31=10,1,0))</f>
        <v/>
      </c>
      <c r="O32">
        <f>MAX(O31,IF($B31=11,1,0))</f>
        <v/>
      </c>
      <c r="P32">
        <f>MAX(P31,IF($B31=12,1,0))</f>
        <v/>
      </c>
      <c r="Q32">
        <f>MAX(Q31,IF($B31=13,1,0))</f>
        <v/>
      </c>
      <c r="R32">
        <f>MAX(R31,IF($B31=14,1,0))</f>
        <v/>
      </c>
      <c r="S32">
        <f>MAX(S31,IF($B31=15,1,0))</f>
        <v/>
      </c>
      <c r="T32">
        <f>MAX(T31,IF($B31=16,1,0))</f>
        <v/>
      </c>
      <c r="U32">
        <f>MAX(U31,IF($B31=17,1,0))</f>
        <v/>
      </c>
      <c r="V32">
        <f>MAX(V31,IF($B31=18,1,0))</f>
        <v/>
      </c>
      <c r="W32">
        <f>MAX(W31,IF($B31=19,1,0))</f>
        <v/>
      </c>
      <c r="X32">
        <f>MAX(X31,IF($B31=20,1,0))</f>
        <v/>
      </c>
      <c r="Y32">
        <f>MAX(Y31,IF($B31=21,1,0))</f>
        <v/>
      </c>
      <c r="Z32">
        <f>MAX(Z31,IF($B31=22,1,0))</f>
        <v/>
      </c>
      <c r="AA32">
        <f>MAX(AA31,IF($B31=23,1,0))</f>
        <v/>
      </c>
      <c r="AB32">
        <f>MAX(AB31,IF($B31=24,1,0))</f>
        <v/>
      </c>
      <c r="AC32">
        <f>MAX(AC31,IF($B31=25,1,0))</f>
        <v/>
      </c>
      <c r="AD32">
        <f>MAX(AD31,IF($B31=26,1,0))</f>
        <v/>
      </c>
      <c r="AE32">
        <f>MAX(AE31,IF($B31=27,1,0))</f>
        <v/>
      </c>
      <c r="AF32">
        <f>MAX(AF31,IF($B31=28,1,0))</f>
        <v/>
      </c>
      <c r="AG32">
        <f>MAX(AG31,IF($B31=29,1,0))</f>
        <v/>
      </c>
      <c r="AH32">
        <f>MAX(AH31,IF($B31=30,1,0))</f>
        <v/>
      </c>
      <c r="AI32">
        <f>MAX(AI31,IF($B31=31,1,0))</f>
        <v/>
      </c>
      <c r="AJ32">
        <f>MAX(AJ31,IF($B31=32,1,0))</f>
        <v/>
      </c>
      <c r="AK32">
        <f>MAX(AK31,IF($B31=33,1,0))</f>
        <v/>
      </c>
      <c r="AL32">
        <f>MAX(AL31,IF($B31=34,1,0))</f>
        <v/>
      </c>
      <c r="AM32">
        <f>MAX(AM31,IF($B31=35,1,0))</f>
        <v/>
      </c>
      <c r="AN32">
        <f>MAX(AN31,IF($B31=36,1,0))</f>
        <v/>
      </c>
      <c r="AO32">
        <f>MAX(AO31,IF($B31=37,1,0))</f>
        <v/>
      </c>
      <c r="AP32">
        <f>MAX(AP31,IF($B31=38,1,0))</f>
        <v/>
      </c>
      <c r="AQ32">
        <f>MAX(AQ31,IF($B31=39,1,0))</f>
        <v/>
      </c>
      <c r="AR32">
        <f>MAX(AR31,IF($B31=40,1,0))</f>
        <v/>
      </c>
      <c r="AS32">
        <f>MAX(AS31,IF($B31=41,1,0))</f>
        <v/>
      </c>
      <c r="AT32">
        <f>MAX(AT31,IF($B31=42,1,0))</f>
        <v/>
      </c>
      <c r="AU32">
        <f>MAX(AU31,IF($B31=43,1,0))</f>
        <v/>
      </c>
      <c r="AV32">
        <f>MAX(AV31,IF($B31=44,1,0))</f>
        <v/>
      </c>
      <c r="AW32">
        <f>MAX(AW31,IF($B31=45,1,0))</f>
        <v/>
      </c>
      <c r="AY32">
        <f>IF(E32=1,1000000,SUMPRODUCT('計算A'!$D$60:$DS$60,$CS32:$HH32)*1000+1)</f>
        <v/>
      </c>
      <c r="AZ32">
        <f>IF(F32=1,1000000,SUMPRODUCT('計算A'!$D$61:$DS$61,$CS32:$HH32)*1000+2)</f>
        <v/>
      </c>
      <c r="BA32">
        <f>IF(G32=1,1000000,SUMPRODUCT('計算A'!$D$62:$DS$62,$CS32:$HH32)*1000+3)</f>
        <v/>
      </c>
      <c r="BB32">
        <f>IF(H32=1,1000000,SUMPRODUCT('計算A'!$D$63:$DS$63,$CS32:$HH32)*1000+4)</f>
        <v/>
      </c>
      <c r="BC32">
        <f>IF(I32=1,1000000,SUMPRODUCT('計算A'!$D$64:$DS$64,$CS32:$HH32)*1000+5)</f>
        <v/>
      </c>
      <c r="BD32">
        <f>IF(J32=1,1000000,SUMPRODUCT('計算A'!$D$65:$DS$65,$CS32:$HH32)*1000+6)</f>
        <v/>
      </c>
      <c r="BE32">
        <f>IF(K32=1,1000000,SUMPRODUCT('計算A'!$D$66:$DS$66,$CS32:$HH32)*1000+7)</f>
        <v/>
      </c>
      <c r="BF32">
        <f>IF(L32=1,1000000,SUMPRODUCT('計算A'!$D$67:$DS$67,$CS32:$HH32)*1000+8)</f>
        <v/>
      </c>
      <c r="BG32">
        <f>IF(M32=1,1000000,SUMPRODUCT('計算A'!$D$68:$DS$68,$CS32:$HH32)*1000+9)</f>
        <v/>
      </c>
      <c r="BH32">
        <f>IF(N32=1,1000000,SUMPRODUCT('計算A'!$D$69:$DS$69,$CS32:$HH32)*1000+10)</f>
        <v/>
      </c>
      <c r="BI32">
        <f>IF(O32=1,1000000,SUMPRODUCT('計算A'!$D$70:$DS$70,$CS32:$HH32)*1000+11)</f>
        <v/>
      </c>
      <c r="BJ32">
        <f>IF(P32=1,1000000,SUMPRODUCT('計算A'!$D$71:$DS$71,$CS32:$HH32)*1000+12)</f>
        <v/>
      </c>
      <c r="BK32">
        <f>IF(Q32=1,1000000,SUMPRODUCT('計算A'!$D$72:$DS$72,$CS32:$HH32)*1000+13)</f>
        <v/>
      </c>
      <c r="BL32">
        <f>IF(R32=1,1000000,SUMPRODUCT('計算A'!$D$73:$DS$73,$CS32:$HH32)*1000+14)</f>
        <v/>
      </c>
      <c r="BM32">
        <f>IF(S32=1,1000000,SUMPRODUCT('計算A'!$D$74:$DS$74,$CS32:$HH32)*1000+15)</f>
        <v/>
      </c>
      <c r="BN32">
        <f>IF(T32=1,1000000,SUMPRODUCT('計算A'!$D$75:$DS$75,$CS32:$HH32)*1000+16)</f>
        <v/>
      </c>
      <c r="BO32">
        <f>IF(U32=1,1000000,SUMPRODUCT('計算A'!$D$76:$DS$76,$CS32:$HH32)*1000+17)</f>
        <v/>
      </c>
      <c r="BP32">
        <f>IF(V32=1,1000000,SUMPRODUCT('計算A'!$D$77:$DS$77,$CS32:$HH32)*1000+18)</f>
        <v/>
      </c>
      <c r="BQ32">
        <f>IF(W32=1,1000000,SUMPRODUCT('計算A'!$D$78:$DS$78,$CS32:$HH32)*1000+19)</f>
        <v/>
      </c>
      <c r="BR32">
        <f>IF(X32=1,1000000,SUMPRODUCT('計算A'!$D$79:$DS$79,$CS32:$HH32)*1000+20)</f>
        <v/>
      </c>
      <c r="BS32">
        <f>IF(Y32=1,1000000,SUMPRODUCT('計算A'!$D$80:$DS$80,$CS32:$HH32)*1000+21)</f>
        <v/>
      </c>
      <c r="BT32">
        <f>IF(Z32=1,1000000,SUMPRODUCT('計算A'!$D$81:$DS$81,$CS32:$HH32)*1000+22)</f>
        <v/>
      </c>
      <c r="BU32">
        <f>IF(AA32=1,1000000,SUMPRODUCT('計算A'!$D$82:$DS$82,$CS32:$HH32)*1000+23)</f>
        <v/>
      </c>
      <c r="BV32">
        <f>IF(AB32=1,1000000,SUMPRODUCT('計算A'!$D$83:$DS$83,$CS32:$HH32)*1000+24)</f>
        <v/>
      </c>
      <c r="BW32">
        <f>IF(AC32=1,1000000,SUMPRODUCT('計算A'!$D$84:$DS$84,$CS32:$HH32)*1000+25)</f>
        <v/>
      </c>
      <c r="BX32">
        <f>IF(AD32=1,1000000,SUMPRODUCT('計算A'!$D$85:$DS$85,$CS32:$HH32)*1000+26)</f>
        <v/>
      </c>
      <c r="BY32">
        <f>IF(AE32=1,1000000,SUMPRODUCT('計算A'!$D$86:$DS$86,$CS32:$HH32)*1000+27)</f>
        <v/>
      </c>
      <c r="BZ32">
        <f>IF(AF32=1,1000000,SUMPRODUCT('計算A'!$D$87:$DS$87,$CS32:$HH32)*1000+28)</f>
        <v/>
      </c>
      <c r="CA32">
        <f>IF(AG32=1,1000000,SUMPRODUCT('計算A'!$D$88:$DS$88,$CS32:$HH32)*1000+29)</f>
        <v/>
      </c>
      <c r="CB32">
        <f>IF(AH32=1,1000000,SUMPRODUCT('計算A'!$D$89:$DS$89,$CS32:$HH32)*1000+30)</f>
        <v/>
      </c>
      <c r="CC32">
        <f>IF(AI32=1,1000000,SUMPRODUCT('計算A'!$D$90:$DS$90,$CS32:$HH32)*1000+31)</f>
        <v/>
      </c>
      <c r="CD32">
        <f>IF(AJ32=1,1000000,SUMPRODUCT('計算A'!$D$91:$DS$91,$CS32:$HH32)*1000+32)</f>
        <v/>
      </c>
      <c r="CE32">
        <f>IF(AK32=1,1000000,SUMPRODUCT('計算A'!$D$92:$DS$92,$CS32:$HH32)*1000+33)</f>
        <v/>
      </c>
      <c r="CF32">
        <f>IF(AL32=1,1000000,SUMPRODUCT('計算A'!$D$93:$DS$93,$CS32:$HH32)*1000+34)</f>
        <v/>
      </c>
      <c r="CG32">
        <f>IF(AM32=1,1000000,SUMPRODUCT('計算A'!$D$94:$DS$94,$CS32:$HH32)*1000+35)</f>
        <v/>
      </c>
      <c r="CH32">
        <f>IF(AN32=1,1000000,SUMPRODUCT('計算A'!$D$95:$DS$95,$CS32:$HH32)*1000+36)</f>
        <v/>
      </c>
      <c r="CI32">
        <f>IF(AO32=1,1000000,SUMPRODUCT('計算A'!$D$96:$DS$96,$CS32:$HH32)*1000+37)</f>
        <v/>
      </c>
      <c r="CJ32">
        <f>IF(AP32=1,1000000,SUMPRODUCT('計算A'!$D$97:$DS$97,$CS32:$HH32)*1000+38)</f>
        <v/>
      </c>
      <c r="CK32">
        <f>IF(AQ32=1,1000000,SUMPRODUCT('計算A'!$D$98:$DS$98,$CS32:$HH32)*1000+39)</f>
        <v/>
      </c>
      <c r="CL32">
        <f>IF(AR32=1,1000000,SUMPRODUCT('計算A'!$D$99:$DS$99,$CS32:$HH32)*1000+40)</f>
        <v/>
      </c>
      <c r="CM32">
        <f>IF(AS32=1,1000000,SUMPRODUCT('計算A'!$D$100:$DS$100,$CS32:$HH32)*1000+41)</f>
        <v/>
      </c>
      <c r="CN32">
        <f>IF(AT32=1,1000000,SUMPRODUCT('計算A'!$D$101:$DS$101,$CS32:$HH32)*1000+42)</f>
        <v/>
      </c>
      <c r="CO32">
        <f>IF(AU32=1,1000000,SUMPRODUCT('計算A'!$D$102:$DS$102,$CS32:$HH32)*1000+43)</f>
        <v/>
      </c>
      <c r="CP32">
        <f>IF(AV32=1,1000000,SUMPRODUCT('計算A'!$D$103:$DS$103,$CS32:$HH32)*1000+44)</f>
        <v/>
      </c>
      <c r="CQ32">
        <f>IF(AW32=1,1000000,SUMPRODUCT('計算A'!$D$104:$DS$104,$CS32:$HH32)*1000+45)</f>
        <v/>
      </c>
      <c r="CS32">
        <f>CS31*IF($C31=1,0,1)</f>
        <v/>
      </c>
      <c r="CT32">
        <f>CT31*IF($C31=2,0,1)</f>
        <v/>
      </c>
      <c r="CU32">
        <f>CU31*IF($C31=3,0,1)</f>
        <v/>
      </c>
      <c r="CV32">
        <f>CV31*IF($C31=4,0,1)</f>
        <v/>
      </c>
      <c r="CW32">
        <f>CW31*IF($C31=5,0,1)</f>
        <v/>
      </c>
      <c r="CX32">
        <f>CX31*IF($C31=6,0,1)</f>
        <v/>
      </c>
      <c r="CY32">
        <f>CY31*IF($C31=7,0,1)</f>
        <v/>
      </c>
      <c r="CZ32">
        <f>CZ31*IF($C31=8,0,1)</f>
        <v/>
      </c>
      <c r="DA32">
        <f>DA31*IF($C31=9,0,1)</f>
        <v/>
      </c>
      <c r="DB32">
        <f>DB31*IF($C31=10,0,1)</f>
        <v/>
      </c>
      <c r="DC32">
        <f>DC31*IF($C31=11,0,1)</f>
        <v/>
      </c>
      <c r="DD32">
        <f>DD31*IF($C31=12,0,1)</f>
        <v/>
      </c>
      <c r="DE32">
        <f>DE31*IF($C31=13,0,1)</f>
        <v/>
      </c>
      <c r="DF32">
        <f>DF31*IF($C31=14,0,1)</f>
        <v/>
      </c>
      <c r="DG32">
        <f>DG31*IF($C31=15,0,1)</f>
        <v/>
      </c>
      <c r="DH32">
        <f>DH31*IF($C31=16,0,1)</f>
        <v/>
      </c>
      <c r="DI32">
        <f>DI31*IF($C31=17,0,1)</f>
        <v/>
      </c>
      <c r="DJ32">
        <f>DJ31*IF($C31=18,0,1)</f>
        <v/>
      </c>
      <c r="DK32">
        <f>DK31*IF($C31=19,0,1)</f>
        <v/>
      </c>
      <c r="DL32">
        <f>DL31*IF($C31=20,0,1)</f>
        <v/>
      </c>
      <c r="DM32">
        <f>DM31*IF($C31=21,0,1)</f>
        <v/>
      </c>
      <c r="DN32">
        <f>DN31*IF($C31=22,0,1)</f>
        <v/>
      </c>
      <c r="DO32">
        <f>DO31*IF($C31=23,0,1)</f>
        <v/>
      </c>
      <c r="DP32">
        <f>DP31*IF($C31=24,0,1)</f>
        <v/>
      </c>
      <c r="DQ32">
        <f>DQ31*IF($C31=25,0,1)</f>
        <v/>
      </c>
      <c r="DR32">
        <f>DR31*IF($C31=26,0,1)</f>
        <v/>
      </c>
      <c r="DS32">
        <f>DS31*IF($C31=27,0,1)</f>
        <v/>
      </c>
      <c r="DT32">
        <f>DT31*IF($C31=28,0,1)</f>
        <v/>
      </c>
      <c r="DU32">
        <f>DU31*IF($C31=29,0,1)</f>
        <v/>
      </c>
      <c r="DV32">
        <f>DV31*IF($C31=30,0,1)</f>
        <v/>
      </c>
      <c r="DW32">
        <f>DW31*IF($C31=31,0,1)</f>
        <v/>
      </c>
      <c r="DX32">
        <f>DX31*IF($C31=32,0,1)</f>
        <v/>
      </c>
      <c r="DY32">
        <f>DY31*IF($C31=33,0,1)</f>
        <v/>
      </c>
      <c r="DZ32">
        <f>DZ31*IF($C31=34,0,1)</f>
        <v/>
      </c>
      <c r="EA32">
        <f>EA31*IF($C31=35,0,1)</f>
        <v/>
      </c>
      <c r="EB32">
        <f>EB31*IF($C31=36,0,1)</f>
        <v/>
      </c>
      <c r="EC32">
        <f>EC31*IF($C31=37,0,1)</f>
        <v/>
      </c>
      <c r="ED32">
        <f>ED31*IF($C31=38,0,1)</f>
        <v/>
      </c>
      <c r="EE32">
        <f>EE31*IF($C31=39,0,1)</f>
        <v/>
      </c>
      <c r="EF32">
        <f>EF31*IF($C31=40,0,1)</f>
        <v/>
      </c>
      <c r="EG32">
        <f>EG31*IF($C31=41,0,1)</f>
        <v/>
      </c>
      <c r="EH32">
        <f>EH31*IF($C31=42,0,1)</f>
        <v/>
      </c>
      <c r="EI32">
        <f>EI31*IF($C31=43,0,1)</f>
        <v/>
      </c>
      <c r="EJ32">
        <f>EJ31*IF($C31=44,0,1)</f>
        <v/>
      </c>
      <c r="EK32">
        <f>EK31*IF($C31=45,0,1)</f>
        <v/>
      </c>
      <c r="EL32">
        <f>EL31*IF($C31=46,0,1)</f>
        <v/>
      </c>
      <c r="EM32">
        <f>EM31*IF($C31=47,0,1)</f>
        <v/>
      </c>
      <c r="EN32">
        <f>EN31*IF($C31=48,0,1)</f>
        <v/>
      </c>
      <c r="EO32">
        <f>EO31*IF($C31=49,0,1)</f>
        <v/>
      </c>
      <c r="EP32">
        <f>EP31*IF($C31=50,0,1)</f>
        <v/>
      </c>
      <c r="EQ32">
        <f>EQ31*IF($C31=51,0,1)</f>
        <v/>
      </c>
      <c r="ER32">
        <f>ER31*IF($C31=52,0,1)</f>
        <v/>
      </c>
      <c r="ES32">
        <f>ES31*IF($C31=53,0,1)</f>
        <v/>
      </c>
      <c r="ET32">
        <f>ET31*IF($C31=54,0,1)</f>
        <v/>
      </c>
      <c r="EU32">
        <f>EU31*IF($C31=55,0,1)</f>
        <v/>
      </c>
      <c r="EV32">
        <f>EV31*IF($C31=56,0,1)</f>
        <v/>
      </c>
      <c r="EW32">
        <f>EW31*IF($C31=57,0,1)</f>
        <v/>
      </c>
      <c r="EX32">
        <f>EX31*IF($C31=58,0,1)</f>
        <v/>
      </c>
      <c r="EY32">
        <f>EY31*IF($C31=59,0,1)</f>
        <v/>
      </c>
      <c r="EZ32">
        <f>EZ31*IF($C31=60,0,1)</f>
        <v/>
      </c>
      <c r="FA32">
        <f>FA31*IF($C31=61,0,1)</f>
        <v/>
      </c>
      <c r="FB32">
        <f>FB31*IF($C31=62,0,1)</f>
        <v/>
      </c>
      <c r="FC32">
        <f>FC31*IF($C31=63,0,1)</f>
        <v/>
      </c>
      <c r="FD32">
        <f>FD31*IF($C31=64,0,1)</f>
        <v/>
      </c>
      <c r="FE32">
        <f>FE31*IF($C31=65,0,1)</f>
        <v/>
      </c>
      <c r="FF32">
        <f>FF31*IF($C31=66,0,1)</f>
        <v/>
      </c>
      <c r="FG32">
        <f>FG31*IF($C31=67,0,1)</f>
        <v/>
      </c>
      <c r="FH32">
        <f>FH31*IF($C31=68,0,1)</f>
        <v/>
      </c>
      <c r="FI32">
        <f>FI31*IF($C31=69,0,1)</f>
        <v/>
      </c>
      <c r="FJ32">
        <f>FJ31*IF($C31=70,0,1)</f>
        <v/>
      </c>
      <c r="FK32">
        <f>FK31*IF($C31=71,0,1)</f>
        <v/>
      </c>
      <c r="FL32">
        <f>FL31*IF($C31=72,0,1)</f>
        <v/>
      </c>
      <c r="FM32">
        <f>FM31*IF($C31=73,0,1)</f>
        <v/>
      </c>
      <c r="FN32">
        <f>FN31*IF($C31=74,0,1)</f>
        <v/>
      </c>
      <c r="FO32">
        <f>FO31*IF($C31=75,0,1)</f>
        <v/>
      </c>
      <c r="FP32">
        <f>FP31*IF($C31=76,0,1)</f>
        <v/>
      </c>
      <c r="FQ32">
        <f>FQ31*IF($C31=77,0,1)</f>
        <v/>
      </c>
      <c r="FR32">
        <f>FR31*IF($C31=78,0,1)</f>
        <v/>
      </c>
      <c r="FS32">
        <f>FS31*IF($C31=79,0,1)</f>
        <v/>
      </c>
      <c r="FT32">
        <f>FT31*IF($C31=80,0,1)</f>
        <v/>
      </c>
      <c r="FU32">
        <f>FU31*IF($C31=81,0,1)</f>
        <v/>
      </c>
      <c r="FV32">
        <f>FV31*IF($C31=82,0,1)</f>
        <v/>
      </c>
      <c r="FW32">
        <f>FW31*IF($C31=83,0,1)</f>
        <v/>
      </c>
      <c r="FX32">
        <f>FX31*IF($C31=84,0,1)</f>
        <v/>
      </c>
      <c r="FY32">
        <f>FY31*IF($C31=85,0,1)</f>
        <v/>
      </c>
      <c r="FZ32">
        <f>FZ31*IF($C31=86,0,1)</f>
        <v/>
      </c>
      <c r="GA32">
        <f>GA31*IF($C31=87,0,1)</f>
        <v/>
      </c>
      <c r="GB32">
        <f>GB31*IF($C31=88,0,1)</f>
        <v/>
      </c>
      <c r="GC32">
        <f>GC31*IF($C31=89,0,1)</f>
        <v/>
      </c>
      <c r="GD32">
        <f>GD31*IF($C31=90,0,1)</f>
        <v/>
      </c>
      <c r="GE32">
        <f>GE31*IF($C31=91,0,1)</f>
        <v/>
      </c>
      <c r="GF32">
        <f>GF31*IF($C31=92,0,1)</f>
        <v/>
      </c>
      <c r="GG32">
        <f>GG31*IF($C31=93,0,1)</f>
        <v/>
      </c>
      <c r="GH32">
        <f>GH31*IF($C31=94,0,1)</f>
        <v/>
      </c>
      <c r="GI32">
        <f>GI31*IF($C31=95,0,1)</f>
        <v/>
      </c>
      <c r="GJ32">
        <f>GJ31*IF($C31=96,0,1)</f>
        <v/>
      </c>
      <c r="GK32">
        <f>GK31*IF($C31=97,0,1)</f>
        <v/>
      </c>
      <c r="GL32">
        <f>GL31*IF($C31=98,0,1)</f>
        <v/>
      </c>
      <c r="GM32">
        <f>GM31*IF($C31=99,0,1)</f>
        <v/>
      </c>
      <c r="GN32">
        <f>GN31*IF($C31=100,0,1)</f>
        <v/>
      </c>
      <c r="GO32">
        <f>GO31*IF($C31=101,0,1)</f>
        <v/>
      </c>
      <c r="GP32">
        <f>GP31*IF($C31=102,0,1)</f>
        <v/>
      </c>
      <c r="GQ32">
        <f>GQ31*IF($C31=103,0,1)</f>
        <v/>
      </c>
      <c r="GR32">
        <f>GR31*IF($C31=104,0,1)</f>
        <v/>
      </c>
      <c r="GS32">
        <f>GS31*IF($C31=105,0,1)</f>
        <v/>
      </c>
      <c r="GT32">
        <f>GT31*IF($C31=106,0,1)</f>
        <v/>
      </c>
      <c r="GU32">
        <f>GU31*IF($C31=107,0,1)</f>
        <v/>
      </c>
      <c r="GV32">
        <f>GV31*IF($C31=108,0,1)</f>
        <v/>
      </c>
      <c r="GW32">
        <f>GW31*IF($C31=109,0,1)</f>
        <v/>
      </c>
      <c r="GX32">
        <f>GX31*IF($C31=110,0,1)</f>
        <v/>
      </c>
      <c r="GY32">
        <f>GY31*IF($C31=111,0,1)</f>
        <v/>
      </c>
      <c r="GZ32">
        <f>GZ31*IF($C31=112,0,1)</f>
        <v/>
      </c>
      <c r="HA32">
        <f>HA31*IF($C31=113,0,1)</f>
        <v/>
      </c>
      <c r="HB32">
        <f>HB31*IF($C31=114,0,1)</f>
        <v/>
      </c>
      <c r="HC32">
        <f>HC31*IF($C31=115,0,1)</f>
        <v/>
      </c>
      <c r="HD32">
        <f>HD31*IF($C31=116,0,1)</f>
        <v/>
      </c>
      <c r="HE32">
        <f>HE31*IF($C31=117,0,1)</f>
        <v/>
      </c>
      <c r="HF32">
        <f>HF31*IF($C31=118,0,1)</f>
        <v/>
      </c>
      <c r="HG32">
        <f>HG31*IF($C31=119,0,1)</f>
        <v/>
      </c>
      <c r="HH32">
        <f>HH31*IF($C31=120,0,1)</f>
        <v/>
      </c>
      <c r="HJ32">
        <f>IF($B32=0,1000000,IF(INDEX('計算A'!$D$60:$DS$104,$B32,1)*CS32=1,'計算A'!D$6,1000000))</f>
        <v/>
      </c>
      <c r="HK32">
        <f>IF($B32=0,1000000,IF(INDEX('計算A'!$D$60:$DS$104,$B32,2)*CT32=1,'計算A'!E$6,1000000))</f>
        <v/>
      </c>
      <c r="HL32">
        <f>IF($B32=0,1000000,IF(INDEX('計算A'!$D$60:$DS$104,$B32,3)*CU32=1,'計算A'!F$6,1000000))</f>
        <v/>
      </c>
      <c r="HM32">
        <f>IF($B32=0,1000000,IF(INDEX('計算A'!$D$60:$DS$104,$B32,4)*CV32=1,'計算A'!G$6,1000000))</f>
        <v/>
      </c>
      <c r="HN32">
        <f>IF($B32=0,1000000,IF(INDEX('計算A'!$D$60:$DS$104,$B32,5)*CW32=1,'計算A'!H$6,1000000))</f>
        <v/>
      </c>
      <c r="HO32">
        <f>IF($B32=0,1000000,IF(INDEX('計算A'!$D$60:$DS$104,$B32,6)*CX32=1,'計算A'!I$6,1000000))</f>
        <v/>
      </c>
      <c r="HP32">
        <f>IF($B32=0,1000000,IF(INDEX('計算A'!$D$60:$DS$104,$B32,7)*CY32=1,'計算A'!J$6,1000000))</f>
        <v/>
      </c>
      <c r="HQ32">
        <f>IF($B32=0,1000000,IF(INDEX('計算A'!$D$60:$DS$104,$B32,8)*CZ32=1,'計算A'!K$6,1000000))</f>
        <v/>
      </c>
      <c r="HR32">
        <f>IF($B32=0,1000000,IF(INDEX('計算A'!$D$60:$DS$104,$B32,9)*DA32=1,'計算A'!L$6,1000000))</f>
        <v/>
      </c>
      <c r="HS32">
        <f>IF($B32=0,1000000,IF(INDEX('計算A'!$D$60:$DS$104,$B32,10)*DB32=1,'計算A'!M$6,1000000))</f>
        <v/>
      </c>
      <c r="HT32">
        <f>IF($B32=0,1000000,IF(INDEX('計算A'!$D$60:$DS$104,$B32,11)*DC32=1,'計算A'!N$6,1000000))</f>
        <v/>
      </c>
      <c r="HU32">
        <f>IF($B32=0,1000000,IF(INDEX('計算A'!$D$60:$DS$104,$B32,12)*DD32=1,'計算A'!O$6,1000000))</f>
        <v/>
      </c>
      <c r="HV32">
        <f>IF($B32=0,1000000,IF(INDEX('計算A'!$D$60:$DS$104,$B32,13)*DE32=1,'計算A'!P$6,1000000))</f>
        <v/>
      </c>
      <c r="HW32">
        <f>IF($B32=0,1000000,IF(INDEX('計算A'!$D$60:$DS$104,$B32,14)*DF32=1,'計算A'!Q$6,1000000))</f>
        <v/>
      </c>
      <c r="HX32">
        <f>IF($B32=0,1000000,IF(INDEX('計算A'!$D$60:$DS$104,$B32,15)*DG32=1,'計算A'!R$6,1000000))</f>
        <v/>
      </c>
      <c r="HY32">
        <f>IF($B32=0,1000000,IF(INDEX('計算A'!$D$60:$DS$104,$B32,16)*DH32=1,'計算A'!S$6,1000000))</f>
        <v/>
      </c>
      <c r="HZ32">
        <f>IF($B32=0,1000000,IF(INDEX('計算A'!$D$60:$DS$104,$B32,17)*DI32=1,'計算A'!T$6,1000000))</f>
        <v/>
      </c>
      <c r="IA32">
        <f>IF($B32=0,1000000,IF(INDEX('計算A'!$D$60:$DS$104,$B32,18)*DJ32=1,'計算A'!U$6,1000000))</f>
        <v/>
      </c>
      <c r="IB32">
        <f>IF($B32=0,1000000,IF(INDEX('計算A'!$D$60:$DS$104,$B32,19)*DK32=1,'計算A'!V$6,1000000))</f>
        <v/>
      </c>
      <c r="IC32">
        <f>IF($B32=0,1000000,IF(INDEX('計算A'!$D$60:$DS$104,$B32,20)*DL32=1,'計算A'!W$6,1000000))</f>
        <v/>
      </c>
      <c r="ID32">
        <f>IF($B32=0,1000000,IF(INDEX('計算A'!$D$60:$DS$104,$B32,21)*DM32=1,'計算A'!X$6,1000000))</f>
        <v/>
      </c>
      <c r="IE32">
        <f>IF($B32=0,1000000,IF(INDEX('計算A'!$D$60:$DS$104,$B32,22)*DN32=1,'計算A'!Y$6,1000000))</f>
        <v/>
      </c>
      <c r="IF32">
        <f>IF($B32=0,1000000,IF(INDEX('計算A'!$D$60:$DS$104,$B32,23)*DO32=1,'計算A'!Z$6,1000000))</f>
        <v/>
      </c>
      <c r="IG32">
        <f>IF($B32=0,1000000,IF(INDEX('計算A'!$D$60:$DS$104,$B32,24)*DP32=1,'計算A'!AA$6,1000000))</f>
        <v/>
      </c>
      <c r="IH32">
        <f>IF($B32=0,1000000,IF(INDEX('計算A'!$D$60:$DS$104,$B32,25)*DQ32=1,'計算A'!AB$6,1000000))</f>
        <v/>
      </c>
      <c r="II32">
        <f>IF($B32=0,1000000,IF(INDEX('計算A'!$D$60:$DS$104,$B32,26)*DR32=1,'計算A'!AC$6,1000000))</f>
        <v/>
      </c>
      <c r="IJ32">
        <f>IF($B32=0,1000000,IF(INDEX('計算A'!$D$60:$DS$104,$B32,27)*DS32=1,'計算A'!AD$6,1000000))</f>
        <v/>
      </c>
      <c r="IK32">
        <f>IF($B32=0,1000000,IF(INDEX('計算A'!$D$60:$DS$104,$B32,28)*DT32=1,'計算A'!AE$6,1000000))</f>
        <v/>
      </c>
      <c r="IL32">
        <f>IF($B32=0,1000000,IF(INDEX('計算A'!$D$60:$DS$104,$B32,29)*DU32=1,'計算A'!AF$6,1000000))</f>
        <v/>
      </c>
      <c r="IM32">
        <f>IF($B32=0,1000000,IF(INDEX('計算A'!$D$60:$DS$104,$B32,30)*DV32=1,'計算A'!AG$6,1000000))</f>
        <v/>
      </c>
      <c r="IN32">
        <f>IF($B32=0,1000000,IF(INDEX('計算A'!$D$60:$DS$104,$B32,31)*DW32=1,'計算A'!AH$6,1000000))</f>
        <v/>
      </c>
      <c r="IO32">
        <f>IF($B32=0,1000000,IF(INDEX('計算A'!$D$60:$DS$104,$B32,32)*DX32=1,'計算A'!AI$6,1000000))</f>
        <v/>
      </c>
      <c r="IP32">
        <f>IF($B32=0,1000000,IF(INDEX('計算A'!$D$60:$DS$104,$B32,33)*DY32=1,'計算A'!AJ$6,1000000))</f>
        <v/>
      </c>
      <c r="IQ32">
        <f>IF($B32=0,1000000,IF(INDEX('計算A'!$D$60:$DS$104,$B32,34)*DZ32=1,'計算A'!AK$6,1000000))</f>
        <v/>
      </c>
      <c r="IR32">
        <f>IF($B32=0,1000000,IF(INDEX('計算A'!$D$60:$DS$104,$B32,35)*EA32=1,'計算A'!AL$6,1000000))</f>
        <v/>
      </c>
      <c r="IS32">
        <f>IF($B32=0,1000000,IF(INDEX('計算A'!$D$60:$DS$104,$B32,36)*EB32=1,'計算A'!AM$6,1000000))</f>
        <v/>
      </c>
      <c r="IT32">
        <f>IF($B32=0,1000000,IF(INDEX('計算A'!$D$60:$DS$104,$B32,37)*EC32=1,'計算A'!AN$6,1000000))</f>
        <v/>
      </c>
      <c r="IU32">
        <f>IF($B32=0,1000000,IF(INDEX('計算A'!$D$60:$DS$104,$B32,38)*ED32=1,'計算A'!AO$6,1000000))</f>
        <v/>
      </c>
      <c r="IV32">
        <f>IF($B32=0,1000000,IF(INDEX('計算A'!$D$60:$DS$104,$B32,39)*EE32=1,'計算A'!AP$6,1000000))</f>
        <v/>
      </c>
      <c r="IW32">
        <f>IF($B32=0,1000000,IF(INDEX('計算A'!$D$60:$DS$104,$B32,40)*EF32=1,'計算A'!AQ$6,1000000))</f>
        <v/>
      </c>
      <c r="IX32">
        <f>IF($B32=0,1000000,IF(INDEX('計算A'!$D$60:$DS$104,$B32,41)*EG32=1,'計算A'!AR$6,1000000))</f>
        <v/>
      </c>
      <c r="IY32">
        <f>IF($B32=0,1000000,IF(INDEX('計算A'!$D$60:$DS$104,$B32,42)*EH32=1,'計算A'!AS$6,1000000))</f>
        <v/>
      </c>
      <c r="IZ32">
        <f>IF($B32=0,1000000,IF(INDEX('計算A'!$D$60:$DS$104,$B32,43)*EI32=1,'計算A'!AT$6,1000000))</f>
        <v/>
      </c>
      <c r="JA32">
        <f>IF($B32=0,1000000,IF(INDEX('計算A'!$D$60:$DS$104,$B32,44)*EJ32=1,'計算A'!AU$6,1000000))</f>
        <v/>
      </c>
      <c r="JB32">
        <f>IF($B32=0,1000000,IF(INDEX('計算A'!$D$60:$DS$104,$B32,45)*EK32=1,'計算A'!AV$6,1000000))</f>
        <v/>
      </c>
      <c r="JC32">
        <f>IF($B32=0,1000000,IF(INDEX('計算A'!$D$60:$DS$104,$B32,46)*EL32=1,'計算A'!AW$6,1000000))</f>
        <v/>
      </c>
      <c r="JD32">
        <f>IF($B32=0,1000000,IF(INDEX('計算A'!$D$60:$DS$104,$B32,47)*EM32=1,'計算A'!AX$6,1000000))</f>
        <v/>
      </c>
      <c r="JE32">
        <f>IF($B32=0,1000000,IF(INDEX('計算A'!$D$60:$DS$104,$B32,48)*EN32=1,'計算A'!AY$6,1000000))</f>
        <v/>
      </c>
      <c r="JF32">
        <f>IF($B32=0,1000000,IF(INDEX('計算A'!$D$60:$DS$104,$B32,49)*EO32=1,'計算A'!AZ$6,1000000))</f>
        <v/>
      </c>
      <c r="JG32">
        <f>IF($B32=0,1000000,IF(INDEX('計算A'!$D$60:$DS$104,$B32,50)*EP32=1,'計算A'!BA$6,1000000))</f>
        <v/>
      </c>
      <c r="JH32">
        <f>IF($B32=0,1000000,IF(INDEX('計算A'!$D$60:$DS$104,$B32,51)*EQ32=1,'計算A'!BB$6,1000000))</f>
        <v/>
      </c>
      <c r="JI32">
        <f>IF($B32=0,1000000,IF(INDEX('計算A'!$D$60:$DS$104,$B32,52)*ER32=1,'計算A'!BC$6,1000000))</f>
        <v/>
      </c>
      <c r="JJ32">
        <f>IF($B32=0,1000000,IF(INDEX('計算A'!$D$60:$DS$104,$B32,53)*ES32=1,'計算A'!BD$6,1000000))</f>
        <v/>
      </c>
      <c r="JK32">
        <f>IF($B32=0,1000000,IF(INDEX('計算A'!$D$60:$DS$104,$B32,54)*ET32=1,'計算A'!BE$6,1000000))</f>
        <v/>
      </c>
      <c r="JL32">
        <f>IF($B32=0,1000000,IF(INDEX('計算A'!$D$60:$DS$104,$B32,55)*EU32=1,'計算A'!BF$6,1000000))</f>
        <v/>
      </c>
      <c r="JM32">
        <f>IF($B32=0,1000000,IF(INDEX('計算A'!$D$60:$DS$104,$B32,56)*EV32=1,'計算A'!BG$6,1000000))</f>
        <v/>
      </c>
      <c r="JN32">
        <f>IF($B32=0,1000000,IF(INDEX('計算A'!$D$60:$DS$104,$B32,57)*EW32=1,'計算A'!BH$6,1000000))</f>
        <v/>
      </c>
      <c r="JO32">
        <f>IF($B32=0,1000000,IF(INDEX('計算A'!$D$60:$DS$104,$B32,58)*EX32=1,'計算A'!BI$6,1000000))</f>
        <v/>
      </c>
      <c r="JP32">
        <f>IF($B32=0,1000000,IF(INDEX('計算A'!$D$60:$DS$104,$B32,59)*EY32=1,'計算A'!BJ$6,1000000))</f>
        <v/>
      </c>
      <c r="JQ32">
        <f>IF($B32=0,1000000,IF(INDEX('計算A'!$D$60:$DS$104,$B32,60)*EZ32=1,'計算A'!BK$6,1000000))</f>
        <v/>
      </c>
      <c r="JR32">
        <f>IF($B32=0,1000000,IF(INDEX('計算A'!$D$60:$DS$104,$B32,61)*FA32=1,'計算A'!BL$6,1000000))</f>
        <v/>
      </c>
      <c r="JS32">
        <f>IF($B32=0,1000000,IF(INDEX('計算A'!$D$60:$DS$104,$B32,62)*FB32=1,'計算A'!BM$6,1000000))</f>
        <v/>
      </c>
      <c r="JT32">
        <f>IF($B32=0,1000000,IF(INDEX('計算A'!$D$60:$DS$104,$B32,63)*FC32=1,'計算A'!BN$6,1000000))</f>
        <v/>
      </c>
      <c r="JU32">
        <f>IF($B32=0,1000000,IF(INDEX('計算A'!$D$60:$DS$104,$B32,64)*FD32=1,'計算A'!BO$6,1000000))</f>
        <v/>
      </c>
      <c r="JV32">
        <f>IF($B32=0,1000000,IF(INDEX('計算A'!$D$60:$DS$104,$B32,65)*FE32=1,'計算A'!BP$6,1000000))</f>
        <v/>
      </c>
      <c r="JW32">
        <f>IF($B32=0,1000000,IF(INDEX('計算A'!$D$60:$DS$104,$B32,66)*FF32=1,'計算A'!BQ$6,1000000))</f>
        <v/>
      </c>
      <c r="JX32">
        <f>IF($B32=0,1000000,IF(INDEX('計算A'!$D$60:$DS$104,$B32,67)*FG32=1,'計算A'!BR$6,1000000))</f>
        <v/>
      </c>
      <c r="JY32">
        <f>IF($B32=0,1000000,IF(INDEX('計算A'!$D$60:$DS$104,$B32,68)*FH32=1,'計算A'!BS$6,1000000))</f>
        <v/>
      </c>
      <c r="JZ32">
        <f>IF($B32=0,1000000,IF(INDEX('計算A'!$D$60:$DS$104,$B32,69)*FI32=1,'計算A'!BT$6,1000000))</f>
        <v/>
      </c>
      <c r="KA32">
        <f>IF($B32=0,1000000,IF(INDEX('計算A'!$D$60:$DS$104,$B32,70)*FJ32=1,'計算A'!BU$6,1000000))</f>
        <v/>
      </c>
      <c r="KB32">
        <f>IF($B32=0,1000000,IF(INDEX('計算A'!$D$60:$DS$104,$B32,71)*FK32=1,'計算A'!BV$6,1000000))</f>
        <v/>
      </c>
      <c r="KC32">
        <f>IF($B32=0,1000000,IF(INDEX('計算A'!$D$60:$DS$104,$B32,72)*FL32=1,'計算A'!BW$6,1000000))</f>
        <v/>
      </c>
      <c r="KD32">
        <f>IF($B32=0,1000000,IF(INDEX('計算A'!$D$60:$DS$104,$B32,73)*FM32=1,'計算A'!BX$6,1000000))</f>
        <v/>
      </c>
      <c r="KE32">
        <f>IF($B32=0,1000000,IF(INDEX('計算A'!$D$60:$DS$104,$B32,74)*FN32=1,'計算A'!BY$6,1000000))</f>
        <v/>
      </c>
      <c r="KF32">
        <f>IF($B32=0,1000000,IF(INDEX('計算A'!$D$60:$DS$104,$B32,75)*FO32=1,'計算A'!BZ$6,1000000))</f>
        <v/>
      </c>
      <c r="KG32">
        <f>IF($B32=0,1000000,IF(INDEX('計算A'!$D$60:$DS$104,$B32,76)*FP32=1,'計算A'!CA$6,1000000))</f>
        <v/>
      </c>
      <c r="KH32">
        <f>IF($B32=0,1000000,IF(INDEX('計算A'!$D$60:$DS$104,$B32,77)*FQ32=1,'計算A'!CB$6,1000000))</f>
        <v/>
      </c>
      <c r="KI32">
        <f>IF($B32=0,1000000,IF(INDEX('計算A'!$D$60:$DS$104,$B32,78)*FR32=1,'計算A'!CC$6,1000000))</f>
        <v/>
      </c>
      <c r="KJ32">
        <f>IF($B32=0,1000000,IF(INDEX('計算A'!$D$60:$DS$104,$B32,79)*FS32=1,'計算A'!CD$6,1000000))</f>
        <v/>
      </c>
      <c r="KK32">
        <f>IF($B32=0,1000000,IF(INDEX('計算A'!$D$60:$DS$104,$B32,80)*FT32=1,'計算A'!CE$6,1000000))</f>
        <v/>
      </c>
      <c r="KL32">
        <f>IF($B32=0,1000000,IF(INDEX('計算A'!$D$60:$DS$104,$B32,81)*FU32=1,'計算A'!CF$6,1000000))</f>
        <v/>
      </c>
      <c r="KM32">
        <f>IF($B32=0,1000000,IF(INDEX('計算A'!$D$60:$DS$104,$B32,82)*FV32=1,'計算A'!CG$6,1000000))</f>
        <v/>
      </c>
      <c r="KN32">
        <f>IF($B32=0,1000000,IF(INDEX('計算A'!$D$60:$DS$104,$B32,83)*FW32=1,'計算A'!CH$6,1000000))</f>
        <v/>
      </c>
      <c r="KO32">
        <f>IF($B32=0,1000000,IF(INDEX('計算A'!$D$60:$DS$104,$B32,84)*FX32=1,'計算A'!CI$6,1000000))</f>
        <v/>
      </c>
      <c r="KP32">
        <f>IF($B32=0,1000000,IF(INDEX('計算A'!$D$60:$DS$104,$B32,85)*FY32=1,'計算A'!CJ$6,1000000))</f>
        <v/>
      </c>
      <c r="KQ32">
        <f>IF($B32=0,1000000,IF(INDEX('計算A'!$D$60:$DS$104,$B32,86)*FZ32=1,'計算A'!CK$6,1000000))</f>
        <v/>
      </c>
      <c r="KR32">
        <f>IF($B32=0,1000000,IF(INDEX('計算A'!$D$60:$DS$104,$B32,87)*GA32=1,'計算A'!CL$6,1000000))</f>
        <v/>
      </c>
      <c r="KS32">
        <f>IF($B32=0,1000000,IF(INDEX('計算A'!$D$60:$DS$104,$B32,88)*GB32=1,'計算A'!CM$6,1000000))</f>
        <v/>
      </c>
      <c r="KT32">
        <f>IF($B32=0,1000000,IF(INDEX('計算A'!$D$60:$DS$104,$B32,89)*GC32=1,'計算A'!CN$6,1000000))</f>
        <v/>
      </c>
      <c r="KU32">
        <f>IF($B32=0,1000000,IF(INDEX('計算A'!$D$60:$DS$104,$B32,90)*GD32=1,'計算A'!CO$6,1000000))</f>
        <v/>
      </c>
      <c r="KV32">
        <f>IF($B32=0,1000000,IF(INDEX('計算A'!$D$60:$DS$104,$B32,91)*GE32=1,'計算A'!CP$6,1000000))</f>
        <v/>
      </c>
      <c r="KW32">
        <f>IF($B32=0,1000000,IF(INDEX('計算A'!$D$60:$DS$104,$B32,92)*GF32=1,'計算A'!CQ$6,1000000))</f>
        <v/>
      </c>
      <c r="KX32">
        <f>IF($B32=0,1000000,IF(INDEX('計算A'!$D$60:$DS$104,$B32,93)*GG32=1,'計算A'!CR$6,1000000))</f>
        <v/>
      </c>
      <c r="KY32">
        <f>IF($B32=0,1000000,IF(INDEX('計算A'!$D$60:$DS$104,$B32,94)*GH32=1,'計算A'!CS$6,1000000))</f>
        <v/>
      </c>
      <c r="KZ32">
        <f>IF($B32=0,1000000,IF(INDEX('計算A'!$D$60:$DS$104,$B32,95)*GI32=1,'計算A'!CT$6,1000000))</f>
        <v/>
      </c>
      <c r="LA32">
        <f>IF($B32=0,1000000,IF(INDEX('計算A'!$D$60:$DS$104,$B32,96)*GJ32=1,'計算A'!CU$6,1000000))</f>
        <v/>
      </c>
      <c r="LB32">
        <f>IF($B32=0,1000000,IF(INDEX('計算A'!$D$60:$DS$104,$B32,97)*GK32=1,'計算A'!CV$6,1000000))</f>
        <v/>
      </c>
      <c r="LC32">
        <f>IF($B32=0,1000000,IF(INDEX('計算A'!$D$60:$DS$104,$B32,98)*GL32=1,'計算A'!CW$6,1000000))</f>
        <v/>
      </c>
      <c r="LD32">
        <f>IF($B32=0,1000000,IF(INDEX('計算A'!$D$60:$DS$104,$B32,99)*GM32=1,'計算A'!CX$6,1000000))</f>
        <v/>
      </c>
      <c r="LE32">
        <f>IF($B32=0,1000000,IF(INDEX('計算A'!$D$60:$DS$104,$B32,100)*GN32=1,'計算A'!CY$6,1000000))</f>
        <v/>
      </c>
      <c r="LF32">
        <f>IF($B32=0,1000000,IF(INDEX('計算A'!$D$60:$DS$104,$B32,101)*GO32=1,'計算A'!CZ$6,1000000))</f>
        <v/>
      </c>
      <c r="LG32">
        <f>IF($B32=0,1000000,IF(INDEX('計算A'!$D$60:$DS$104,$B32,102)*GP32=1,'計算A'!DA$6,1000000))</f>
        <v/>
      </c>
      <c r="LH32">
        <f>IF($B32=0,1000000,IF(INDEX('計算A'!$D$60:$DS$104,$B32,103)*GQ32=1,'計算A'!DB$6,1000000))</f>
        <v/>
      </c>
      <c r="LI32">
        <f>IF($B32=0,1000000,IF(INDEX('計算A'!$D$60:$DS$104,$B32,104)*GR32=1,'計算A'!DC$6,1000000))</f>
        <v/>
      </c>
      <c r="LJ32">
        <f>IF($B32=0,1000000,IF(INDEX('計算A'!$D$60:$DS$104,$B32,105)*GS32=1,'計算A'!DD$6,1000000))</f>
        <v/>
      </c>
      <c r="LK32">
        <f>IF($B32=0,1000000,IF(INDEX('計算A'!$D$60:$DS$104,$B32,106)*GT32=1,'計算A'!DE$6,1000000))</f>
        <v/>
      </c>
      <c r="LL32">
        <f>IF($B32=0,1000000,IF(INDEX('計算A'!$D$60:$DS$104,$B32,107)*GU32=1,'計算A'!DF$6,1000000))</f>
        <v/>
      </c>
      <c r="LM32">
        <f>IF($B32=0,1000000,IF(INDEX('計算A'!$D$60:$DS$104,$B32,108)*GV32=1,'計算A'!DG$6,1000000))</f>
        <v/>
      </c>
      <c r="LN32">
        <f>IF($B32=0,1000000,IF(INDEX('計算A'!$D$60:$DS$104,$B32,109)*GW32=1,'計算A'!DH$6,1000000))</f>
        <v/>
      </c>
      <c r="LO32">
        <f>IF($B32=0,1000000,IF(INDEX('計算A'!$D$60:$DS$104,$B32,110)*GX32=1,'計算A'!DI$6,1000000))</f>
        <v/>
      </c>
      <c r="LP32">
        <f>IF($B32=0,1000000,IF(INDEX('計算A'!$D$60:$DS$104,$B32,111)*GY32=1,'計算A'!DJ$6,1000000))</f>
        <v/>
      </c>
      <c r="LQ32">
        <f>IF($B32=0,1000000,IF(INDEX('計算A'!$D$60:$DS$104,$B32,112)*GZ32=1,'計算A'!DK$6,1000000))</f>
        <v/>
      </c>
      <c r="LR32">
        <f>IF($B32=0,1000000,IF(INDEX('計算A'!$D$60:$DS$104,$B32,113)*HA32=1,'計算A'!DL$6,1000000))</f>
        <v/>
      </c>
      <c r="LS32">
        <f>IF($B32=0,1000000,IF(INDEX('計算A'!$D$60:$DS$104,$B32,114)*HB32=1,'計算A'!DM$6,1000000))</f>
        <v/>
      </c>
      <c r="LT32">
        <f>IF($B32=0,1000000,IF(INDEX('計算A'!$D$60:$DS$104,$B32,115)*HC32=1,'計算A'!DN$6,1000000))</f>
        <v/>
      </c>
      <c r="LU32">
        <f>IF($B32=0,1000000,IF(INDEX('計算A'!$D$60:$DS$104,$B32,116)*HD32=1,'計算A'!DO$6,1000000))</f>
        <v/>
      </c>
      <c r="LV32">
        <f>IF($B32=0,1000000,IF(INDEX('計算A'!$D$60:$DS$104,$B32,117)*HE32=1,'計算A'!DP$6,1000000))</f>
        <v/>
      </c>
      <c r="LW32">
        <f>IF($B32=0,1000000,IF(INDEX('計算A'!$D$60:$DS$104,$B32,118)*HF32=1,'計算A'!DQ$6,1000000))</f>
        <v/>
      </c>
      <c r="LX32">
        <f>IF($B32=0,1000000,IF(INDEX('計算A'!$D$60:$DS$104,$B32,119)*HG32=1,'計算A'!DR$6,1000000))</f>
        <v/>
      </c>
      <c r="LY32">
        <f>IF($B32=0,1000000,IF(INDEX('計算A'!$D$60:$DS$104,$B32,120)*HH32=1,'計算A'!DS$6,1000000))</f>
        <v/>
      </c>
    </row>
    <row r="33">
      <c r="A33" t="n">
        <v>31</v>
      </c>
      <c r="B33">
        <f>IF(MIN(AY33:CQ33)&gt;=1000000,0,MATCH(MIN(AY33:CQ33),AY33:CQ33,0))</f>
        <v/>
      </c>
      <c r="C33">
        <f>IF(MIN(HJ33:LY33)&gt;=1000000,0,MATCH(MIN(HJ33:LY33),HJ33:LY33,0))</f>
        <v/>
      </c>
      <c r="D33">
        <f>IF(C33&gt;0,INDEX('計算A'!$D$5:$DS$5,C33),0)</f>
        <v/>
      </c>
      <c r="E33">
        <f>MAX(E32,IF($B32=1,1,0))</f>
        <v/>
      </c>
      <c r="F33">
        <f>MAX(F32,IF($B32=2,1,0))</f>
        <v/>
      </c>
      <c r="G33">
        <f>MAX(G32,IF($B32=3,1,0))</f>
        <v/>
      </c>
      <c r="H33">
        <f>MAX(H32,IF($B32=4,1,0))</f>
        <v/>
      </c>
      <c r="I33">
        <f>MAX(I32,IF($B32=5,1,0))</f>
        <v/>
      </c>
      <c r="J33">
        <f>MAX(J32,IF($B32=6,1,0))</f>
        <v/>
      </c>
      <c r="K33">
        <f>MAX(K32,IF($B32=7,1,0))</f>
        <v/>
      </c>
      <c r="L33">
        <f>MAX(L32,IF($B32=8,1,0))</f>
        <v/>
      </c>
      <c r="M33">
        <f>MAX(M32,IF($B32=9,1,0))</f>
        <v/>
      </c>
      <c r="N33">
        <f>MAX(N32,IF($B32=10,1,0))</f>
        <v/>
      </c>
      <c r="O33">
        <f>MAX(O32,IF($B32=11,1,0))</f>
        <v/>
      </c>
      <c r="P33">
        <f>MAX(P32,IF($B32=12,1,0))</f>
        <v/>
      </c>
      <c r="Q33">
        <f>MAX(Q32,IF($B32=13,1,0))</f>
        <v/>
      </c>
      <c r="R33">
        <f>MAX(R32,IF($B32=14,1,0))</f>
        <v/>
      </c>
      <c r="S33">
        <f>MAX(S32,IF($B32=15,1,0))</f>
        <v/>
      </c>
      <c r="T33">
        <f>MAX(T32,IF($B32=16,1,0))</f>
        <v/>
      </c>
      <c r="U33">
        <f>MAX(U32,IF($B32=17,1,0))</f>
        <v/>
      </c>
      <c r="V33">
        <f>MAX(V32,IF($B32=18,1,0))</f>
        <v/>
      </c>
      <c r="W33">
        <f>MAX(W32,IF($B32=19,1,0))</f>
        <v/>
      </c>
      <c r="X33">
        <f>MAX(X32,IF($B32=20,1,0))</f>
        <v/>
      </c>
      <c r="Y33">
        <f>MAX(Y32,IF($B32=21,1,0))</f>
        <v/>
      </c>
      <c r="Z33">
        <f>MAX(Z32,IF($B32=22,1,0))</f>
        <v/>
      </c>
      <c r="AA33">
        <f>MAX(AA32,IF($B32=23,1,0))</f>
        <v/>
      </c>
      <c r="AB33">
        <f>MAX(AB32,IF($B32=24,1,0))</f>
        <v/>
      </c>
      <c r="AC33">
        <f>MAX(AC32,IF($B32=25,1,0))</f>
        <v/>
      </c>
      <c r="AD33">
        <f>MAX(AD32,IF($B32=26,1,0))</f>
        <v/>
      </c>
      <c r="AE33">
        <f>MAX(AE32,IF($B32=27,1,0))</f>
        <v/>
      </c>
      <c r="AF33">
        <f>MAX(AF32,IF($B32=28,1,0))</f>
        <v/>
      </c>
      <c r="AG33">
        <f>MAX(AG32,IF($B32=29,1,0))</f>
        <v/>
      </c>
      <c r="AH33">
        <f>MAX(AH32,IF($B32=30,1,0))</f>
        <v/>
      </c>
      <c r="AI33">
        <f>MAX(AI32,IF($B32=31,1,0))</f>
        <v/>
      </c>
      <c r="AJ33">
        <f>MAX(AJ32,IF($B32=32,1,0))</f>
        <v/>
      </c>
      <c r="AK33">
        <f>MAX(AK32,IF($B32=33,1,0))</f>
        <v/>
      </c>
      <c r="AL33">
        <f>MAX(AL32,IF($B32=34,1,0))</f>
        <v/>
      </c>
      <c r="AM33">
        <f>MAX(AM32,IF($B32=35,1,0))</f>
        <v/>
      </c>
      <c r="AN33">
        <f>MAX(AN32,IF($B32=36,1,0))</f>
        <v/>
      </c>
      <c r="AO33">
        <f>MAX(AO32,IF($B32=37,1,0))</f>
        <v/>
      </c>
      <c r="AP33">
        <f>MAX(AP32,IF($B32=38,1,0))</f>
        <v/>
      </c>
      <c r="AQ33">
        <f>MAX(AQ32,IF($B32=39,1,0))</f>
        <v/>
      </c>
      <c r="AR33">
        <f>MAX(AR32,IF($B32=40,1,0))</f>
        <v/>
      </c>
      <c r="AS33">
        <f>MAX(AS32,IF($B32=41,1,0))</f>
        <v/>
      </c>
      <c r="AT33">
        <f>MAX(AT32,IF($B32=42,1,0))</f>
        <v/>
      </c>
      <c r="AU33">
        <f>MAX(AU32,IF($B32=43,1,0))</f>
        <v/>
      </c>
      <c r="AV33">
        <f>MAX(AV32,IF($B32=44,1,0))</f>
        <v/>
      </c>
      <c r="AW33">
        <f>MAX(AW32,IF($B32=45,1,0))</f>
        <v/>
      </c>
      <c r="AY33">
        <f>IF(E33=1,1000000,SUMPRODUCT('計算A'!$D$60:$DS$60,$CS33:$HH33)*1000+1)</f>
        <v/>
      </c>
      <c r="AZ33">
        <f>IF(F33=1,1000000,SUMPRODUCT('計算A'!$D$61:$DS$61,$CS33:$HH33)*1000+2)</f>
        <v/>
      </c>
      <c r="BA33">
        <f>IF(G33=1,1000000,SUMPRODUCT('計算A'!$D$62:$DS$62,$CS33:$HH33)*1000+3)</f>
        <v/>
      </c>
      <c r="BB33">
        <f>IF(H33=1,1000000,SUMPRODUCT('計算A'!$D$63:$DS$63,$CS33:$HH33)*1000+4)</f>
        <v/>
      </c>
      <c r="BC33">
        <f>IF(I33=1,1000000,SUMPRODUCT('計算A'!$D$64:$DS$64,$CS33:$HH33)*1000+5)</f>
        <v/>
      </c>
      <c r="BD33">
        <f>IF(J33=1,1000000,SUMPRODUCT('計算A'!$D$65:$DS$65,$CS33:$HH33)*1000+6)</f>
        <v/>
      </c>
      <c r="BE33">
        <f>IF(K33=1,1000000,SUMPRODUCT('計算A'!$D$66:$DS$66,$CS33:$HH33)*1000+7)</f>
        <v/>
      </c>
      <c r="BF33">
        <f>IF(L33=1,1000000,SUMPRODUCT('計算A'!$D$67:$DS$67,$CS33:$HH33)*1000+8)</f>
        <v/>
      </c>
      <c r="BG33">
        <f>IF(M33=1,1000000,SUMPRODUCT('計算A'!$D$68:$DS$68,$CS33:$HH33)*1000+9)</f>
        <v/>
      </c>
      <c r="BH33">
        <f>IF(N33=1,1000000,SUMPRODUCT('計算A'!$D$69:$DS$69,$CS33:$HH33)*1000+10)</f>
        <v/>
      </c>
      <c r="BI33">
        <f>IF(O33=1,1000000,SUMPRODUCT('計算A'!$D$70:$DS$70,$CS33:$HH33)*1000+11)</f>
        <v/>
      </c>
      <c r="BJ33">
        <f>IF(P33=1,1000000,SUMPRODUCT('計算A'!$D$71:$DS$71,$CS33:$HH33)*1000+12)</f>
        <v/>
      </c>
      <c r="BK33">
        <f>IF(Q33=1,1000000,SUMPRODUCT('計算A'!$D$72:$DS$72,$CS33:$HH33)*1000+13)</f>
        <v/>
      </c>
      <c r="BL33">
        <f>IF(R33=1,1000000,SUMPRODUCT('計算A'!$D$73:$DS$73,$CS33:$HH33)*1000+14)</f>
        <v/>
      </c>
      <c r="BM33">
        <f>IF(S33=1,1000000,SUMPRODUCT('計算A'!$D$74:$DS$74,$CS33:$HH33)*1000+15)</f>
        <v/>
      </c>
      <c r="BN33">
        <f>IF(T33=1,1000000,SUMPRODUCT('計算A'!$D$75:$DS$75,$CS33:$HH33)*1000+16)</f>
        <v/>
      </c>
      <c r="BO33">
        <f>IF(U33=1,1000000,SUMPRODUCT('計算A'!$D$76:$DS$76,$CS33:$HH33)*1000+17)</f>
        <v/>
      </c>
      <c r="BP33">
        <f>IF(V33=1,1000000,SUMPRODUCT('計算A'!$D$77:$DS$77,$CS33:$HH33)*1000+18)</f>
        <v/>
      </c>
      <c r="BQ33">
        <f>IF(W33=1,1000000,SUMPRODUCT('計算A'!$D$78:$DS$78,$CS33:$HH33)*1000+19)</f>
        <v/>
      </c>
      <c r="BR33">
        <f>IF(X33=1,1000000,SUMPRODUCT('計算A'!$D$79:$DS$79,$CS33:$HH33)*1000+20)</f>
        <v/>
      </c>
      <c r="BS33">
        <f>IF(Y33=1,1000000,SUMPRODUCT('計算A'!$D$80:$DS$80,$CS33:$HH33)*1000+21)</f>
        <v/>
      </c>
      <c r="BT33">
        <f>IF(Z33=1,1000000,SUMPRODUCT('計算A'!$D$81:$DS$81,$CS33:$HH33)*1000+22)</f>
        <v/>
      </c>
      <c r="BU33">
        <f>IF(AA33=1,1000000,SUMPRODUCT('計算A'!$D$82:$DS$82,$CS33:$HH33)*1000+23)</f>
        <v/>
      </c>
      <c r="BV33">
        <f>IF(AB33=1,1000000,SUMPRODUCT('計算A'!$D$83:$DS$83,$CS33:$HH33)*1000+24)</f>
        <v/>
      </c>
      <c r="BW33">
        <f>IF(AC33=1,1000000,SUMPRODUCT('計算A'!$D$84:$DS$84,$CS33:$HH33)*1000+25)</f>
        <v/>
      </c>
      <c r="BX33">
        <f>IF(AD33=1,1000000,SUMPRODUCT('計算A'!$D$85:$DS$85,$CS33:$HH33)*1000+26)</f>
        <v/>
      </c>
      <c r="BY33">
        <f>IF(AE33=1,1000000,SUMPRODUCT('計算A'!$D$86:$DS$86,$CS33:$HH33)*1000+27)</f>
        <v/>
      </c>
      <c r="BZ33">
        <f>IF(AF33=1,1000000,SUMPRODUCT('計算A'!$D$87:$DS$87,$CS33:$HH33)*1000+28)</f>
        <v/>
      </c>
      <c r="CA33">
        <f>IF(AG33=1,1000000,SUMPRODUCT('計算A'!$D$88:$DS$88,$CS33:$HH33)*1000+29)</f>
        <v/>
      </c>
      <c r="CB33">
        <f>IF(AH33=1,1000000,SUMPRODUCT('計算A'!$D$89:$DS$89,$CS33:$HH33)*1000+30)</f>
        <v/>
      </c>
      <c r="CC33">
        <f>IF(AI33=1,1000000,SUMPRODUCT('計算A'!$D$90:$DS$90,$CS33:$HH33)*1000+31)</f>
        <v/>
      </c>
      <c r="CD33">
        <f>IF(AJ33=1,1000000,SUMPRODUCT('計算A'!$D$91:$DS$91,$CS33:$HH33)*1000+32)</f>
        <v/>
      </c>
      <c r="CE33">
        <f>IF(AK33=1,1000000,SUMPRODUCT('計算A'!$D$92:$DS$92,$CS33:$HH33)*1000+33)</f>
        <v/>
      </c>
      <c r="CF33">
        <f>IF(AL33=1,1000000,SUMPRODUCT('計算A'!$D$93:$DS$93,$CS33:$HH33)*1000+34)</f>
        <v/>
      </c>
      <c r="CG33">
        <f>IF(AM33=1,1000000,SUMPRODUCT('計算A'!$D$94:$DS$94,$CS33:$HH33)*1000+35)</f>
        <v/>
      </c>
      <c r="CH33">
        <f>IF(AN33=1,1000000,SUMPRODUCT('計算A'!$D$95:$DS$95,$CS33:$HH33)*1000+36)</f>
        <v/>
      </c>
      <c r="CI33">
        <f>IF(AO33=1,1000000,SUMPRODUCT('計算A'!$D$96:$DS$96,$CS33:$HH33)*1000+37)</f>
        <v/>
      </c>
      <c r="CJ33">
        <f>IF(AP33=1,1000000,SUMPRODUCT('計算A'!$D$97:$DS$97,$CS33:$HH33)*1000+38)</f>
        <v/>
      </c>
      <c r="CK33">
        <f>IF(AQ33=1,1000000,SUMPRODUCT('計算A'!$D$98:$DS$98,$CS33:$HH33)*1000+39)</f>
        <v/>
      </c>
      <c r="CL33">
        <f>IF(AR33=1,1000000,SUMPRODUCT('計算A'!$D$99:$DS$99,$CS33:$HH33)*1000+40)</f>
        <v/>
      </c>
      <c r="CM33">
        <f>IF(AS33=1,1000000,SUMPRODUCT('計算A'!$D$100:$DS$100,$CS33:$HH33)*1000+41)</f>
        <v/>
      </c>
      <c r="CN33">
        <f>IF(AT33=1,1000000,SUMPRODUCT('計算A'!$D$101:$DS$101,$CS33:$HH33)*1000+42)</f>
        <v/>
      </c>
      <c r="CO33">
        <f>IF(AU33=1,1000000,SUMPRODUCT('計算A'!$D$102:$DS$102,$CS33:$HH33)*1000+43)</f>
        <v/>
      </c>
      <c r="CP33">
        <f>IF(AV33=1,1000000,SUMPRODUCT('計算A'!$D$103:$DS$103,$CS33:$HH33)*1000+44)</f>
        <v/>
      </c>
      <c r="CQ33">
        <f>IF(AW33=1,1000000,SUMPRODUCT('計算A'!$D$104:$DS$104,$CS33:$HH33)*1000+45)</f>
        <v/>
      </c>
      <c r="CS33">
        <f>CS32*IF($C32=1,0,1)</f>
        <v/>
      </c>
      <c r="CT33">
        <f>CT32*IF($C32=2,0,1)</f>
        <v/>
      </c>
      <c r="CU33">
        <f>CU32*IF($C32=3,0,1)</f>
        <v/>
      </c>
      <c r="CV33">
        <f>CV32*IF($C32=4,0,1)</f>
        <v/>
      </c>
      <c r="CW33">
        <f>CW32*IF($C32=5,0,1)</f>
        <v/>
      </c>
      <c r="CX33">
        <f>CX32*IF($C32=6,0,1)</f>
        <v/>
      </c>
      <c r="CY33">
        <f>CY32*IF($C32=7,0,1)</f>
        <v/>
      </c>
      <c r="CZ33">
        <f>CZ32*IF($C32=8,0,1)</f>
        <v/>
      </c>
      <c r="DA33">
        <f>DA32*IF($C32=9,0,1)</f>
        <v/>
      </c>
      <c r="DB33">
        <f>DB32*IF($C32=10,0,1)</f>
        <v/>
      </c>
      <c r="DC33">
        <f>DC32*IF($C32=11,0,1)</f>
        <v/>
      </c>
      <c r="DD33">
        <f>DD32*IF($C32=12,0,1)</f>
        <v/>
      </c>
      <c r="DE33">
        <f>DE32*IF($C32=13,0,1)</f>
        <v/>
      </c>
      <c r="DF33">
        <f>DF32*IF($C32=14,0,1)</f>
        <v/>
      </c>
      <c r="DG33">
        <f>DG32*IF($C32=15,0,1)</f>
        <v/>
      </c>
      <c r="DH33">
        <f>DH32*IF($C32=16,0,1)</f>
        <v/>
      </c>
      <c r="DI33">
        <f>DI32*IF($C32=17,0,1)</f>
        <v/>
      </c>
      <c r="DJ33">
        <f>DJ32*IF($C32=18,0,1)</f>
        <v/>
      </c>
      <c r="DK33">
        <f>DK32*IF($C32=19,0,1)</f>
        <v/>
      </c>
      <c r="DL33">
        <f>DL32*IF($C32=20,0,1)</f>
        <v/>
      </c>
      <c r="DM33">
        <f>DM32*IF($C32=21,0,1)</f>
        <v/>
      </c>
      <c r="DN33">
        <f>DN32*IF($C32=22,0,1)</f>
        <v/>
      </c>
      <c r="DO33">
        <f>DO32*IF($C32=23,0,1)</f>
        <v/>
      </c>
      <c r="DP33">
        <f>DP32*IF($C32=24,0,1)</f>
        <v/>
      </c>
      <c r="DQ33">
        <f>DQ32*IF($C32=25,0,1)</f>
        <v/>
      </c>
      <c r="DR33">
        <f>DR32*IF($C32=26,0,1)</f>
        <v/>
      </c>
      <c r="DS33">
        <f>DS32*IF($C32=27,0,1)</f>
        <v/>
      </c>
      <c r="DT33">
        <f>DT32*IF($C32=28,0,1)</f>
        <v/>
      </c>
      <c r="DU33">
        <f>DU32*IF($C32=29,0,1)</f>
        <v/>
      </c>
      <c r="DV33">
        <f>DV32*IF($C32=30,0,1)</f>
        <v/>
      </c>
      <c r="DW33">
        <f>DW32*IF($C32=31,0,1)</f>
        <v/>
      </c>
      <c r="DX33">
        <f>DX32*IF($C32=32,0,1)</f>
        <v/>
      </c>
      <c r="DY33">
        <f>DY32*IF($C32=33,0,1)</f>
        <v/>
      </c>
      <c r="DZ33">
        <f>DZ32*IF($C32=34,0,1)</f>
        <v/>
      </c>
      <c r="EA33">
        <f>EA32*IF($C32=35,0,1)</f>
        <v/>
      </c>
      <c r="EB33">
        <f>EB32*IF($C32=36,0,1)</f>
        <v/>
      </c>
      <c r="EC33">
        <f>EC32*IF($C32=37,0,1)</f>
        <v/>
      </c>
      <c r="ED33">
        <f>ED32*IF($C32=38,0,1)</f>
        <v/>
      </c>
      <c r="EE33">
        <f>EE32*IF($C32=39,0,1)</f>
        <v/>
      </c>
      <c r="EF33">
        <f>EF32*IF($C32=40,0,1)</f>
        <v/>
      </c>
      <c r="EG33">
        <f>EG32*IF($C32=41,0,1)</f>
        <v/>
      </c>
      <c r="EH33">
        <f>EH32*IF($C32=42,0,1)</f>
        <v/>
      </c>
      <c r="EI33">
        <f>EI32*IF($C32=43,0,1)</f>
        <v/>
      </c>
      <c r="EJ33">
        <f>EJ32*IF($C32=44,0,1)</f>
        <v/>
      </c>
      <c r="EK33">
        <f>EK32*IF($C32=45,0,1)</f>
        <v/>
      </c>
      <c r="EL33">
        <f>EL32*IF($C32=46,0,1)</f>
        <v/>
      </c>
      <c r="EM33">
        <f>EM32*IF($C32=47,0,1)</f>
        <v/>
      </c>
      <c r="EN33">
        <f>EN32*IF($C32=48,0,1)</f>
        <v/>
      </c>
      <c r="EO33">
        <f>EO32*IF($C32=49,0,1)</f>
        <v/>
      </c>
      <c r="EP33">
        <f>EP32*IF($C32=50,0,1)</f>
        <v/>
      </c>
      <c r="EQ33">
        <f>EQ32*IF($C32=51,0,1)</f>
        <v/>
      </c>
      <c r="ER33">
        <f>ER32*IF($C32=52,0,1)</f>
        <v/>
      </c>
      <c r="ES33">
        <f>ES32*IF($C32=53,0,1)</f>
        <v/>
      </c>
      <c r="ET33">
        <f>ET32*IF($C32=54,0,1)</f>
        <v/>
      </c>
      <c r="EU33">
        <f>EU32*IF($C32=55,0,1)</f>
        <v/>
      </c>
      <c r="EV33">
        <f>EV32*IF($C32=56,0,1)</f>
        <v/>
      </c>
      <c r="EW33">
        <f>EW32*IF($C32=57,0,1)</f>
        <v/>
      </c>
      <c r="EX33">
        <f>EX32*IF($C32=58,0,1)</f>
        <v/>
      </c>
      <c r="EY33">
        <f>EY32*IF($C32=59,0,1)</f>
        <v/>
      </c>
      <c r="EZ33">
        <f>EZ32*IF($C32=60,0,1)</f>
        <v/>
      </c>
      <c r="FA33">
        <f>FA32*IF($C32=61,0,1)</f>
        <v/>
      </c>
      <c r="FB33">
        <f>FB32*IF($C32=62,0,1)</f>
        <v/>
      </c>
      <c r="FC33">
        <f>FC32*IF($C32=63,0,1)</f>
        <v/>
      </c>
      <c r="FD33">
        <f>FD32*IF($C32=64,0,1)</f>
        <v/>
      </c>
      <c r="FE33">
        <f>FE32*IF($C32=65,0,1)</f>
        <v/>
      </c>
      <c r="FF33">
        <f>FF32*IF($C32=66,0,1)</f>
        <v/>
      </c>
      <c r="FG33">
        <f>FG32*IF($C32=67,0,1)</f>
        <v/>
      </c>
      <c r="FH33">
        <f>FH32*IF($C32=68,0,1)</f>
        <v/>
      </c>
      <c r="FI33">
        <f>FI32*IF($C32=69,0,1)</f>
        <v/>
      </c>
      <c r="FJ33">
        <f>FJ32*IF($C32=70,0,1)</f>
        <v/>
      </c>
      <c r="FK33">
        <f>FK32*IF($C32=71,0,1)</f>
        <v/>
      </c>
      <c r="FL33">
        <f>FL32*IF($C32=72,0,1)</f>
        <v/>
      </c>
      <c r="FM33">
        <f>FM32*IF($C32=73,0,1)</f>
        <v/>
      </c>
      <c r="FN33">
        <f>FN32*IF($C32=74,0,1)</f>
        <v/>
      </c>
      <c r="FO33">
        <f>FO32*IF($C32=75,0,1)</f>
        <v/>
      </c>
      <c r="FP33">
        <f>FP32*IF($C32=76,0,1)</f>
        <v/>
      </c>
      <c r="FQ33">
        <f>FQ32*IF($C32=77,0,1)</f>
        <v/>
      </c>
      <c r="FR33">
        <f>FR32*IF($C32=78,0,1)</f>
        <v/>
      </c>
      <c r="FS33">
        <f>FS32*IF($C32=79,0,1)</f>
        <v/>
      </c>
      <c r="FT33">
        <f>FT32*IF($C32=80,0,1)</f>
        <v/>
      </c>
      <c r="FU33">
        <f>FU32*IF($C32=81,0,1)</f>
        <v/>
      </c>
      <c r="FV33">
        <f>FV32*IF($C32=82,0,1)</f>
        <v/>
      </c>
      <c r="FW33">
        <f>FW32*IF($C32=83,0,1)</f>
        <v/>
      </c>
      <c r="FX33">
        <f>FX32*IF($C32=84,0,1)</f>
        <v/>
      </c>
      <c r="FY33">
        <f>FY32*IF($C32=85,0,1)</f>
        <v/>
      </c>
      <c r="FZ33">
        <f>FZ32*IF($C32=86,0,1)</f>
        <v/>
      </c>
      <c r="GA33">
        <f>GA32*IF($C32=87,0,1)</f>
        <v/>
      </c>
      <c r="GB33">
        <f>GB32*IF($C32=88,0,1)</f>
        <v/>
      </c>
      <c r="GC33">
        <f>GC32*IF($C32=89,0,1)</f>
        <v/>
      </c>
      <c r="GD33">
        <f>GD32*IF($C32=90,0,1)</f>
        <v/>
      </c>
      <c r="GE33">
        <f>GE32*IF($C32=91,0,1)</f>
        <v/>
      </c>
      <c r="GF33">
        <f>GF32*IF($C32=92,0,1)</f>
        <v/>
      </c>
      <c r="GG33">
        <f>GG32*IF($C32=93,0,1)</f>
        <v/>
      </c>
      <c r="GH33">
        <f>GH32*IF($C32=94,0,1)</f>
        <v/>
      </c>
      <c r="GI33">
        <f>GI32*IF($C32=95,0,1)</f>
        <v/>
      </c>
      <c r="GJ33">
        <f>GJ32*IF($C32=96,0,1)</f>
        <v/>
      </c>
      <c r="GK33">
        <f>GK32*IF($C32=97,0,1)</f>
        <v/>
      </c>
      <c r="GL33">
        <f>GL32*IF($C32=98,0,1)</f>
        <v/>
      </c>
      <c r="GM33">
        <f>GM32*IF($C32=99,0,1)</f>
        <v/>
      </c>
      <c r="GN33">
        <f>GN32*IF($C32=100,0,1)</f>
        <v/>
      </c>
      <c r="GO33">
        <f>GO32*IF($C32=101,0,1)</f>
        <v/>
      </c>
      <c r="GP33">
        <f>GP32*IF($C32=102,0,1)</f>
        <v/>
      </c>
      <c r="GQ33">
        <f>GQ32*IF($C32=103,0,1)</f>
        <v/>
      </c>
      <c r="GR33">
        <f>GR32*IF($C32=104,0,1)</f>
        <v/>
      </c>
      <c r="GS33">
        <f>GS32*IF($C32=105,0,1)</f>
        <v/>
      </c>
      <c r="GT33">
        <f>GT32*IF($C32=106,0,1)</f>
        <v/>
      </c>
      <c r="GU33">
        <f>GU32*IF($C32=107,0,1)</f>
        <v/>
      </c>
      <c r="GV33">
        <f>GV32*IF($C32=108,0,1)</f>
        <v/>
      </c>
      <c r="GW33">
        <f>GW32*IF($C32=109,0,1)</f>
        <v/>
      </c>
      <c r="GX33">
        <f>GX32*IF($C32=110,0,1)</f>
        <v/>
      </c>
      <c r="GY33">
        <f>GY32*IF($C32=111,0,1)</f>
        <v/>
      </c>
      <c r="GZ33">
        <f>GZ32*IF($C32=112,0,1)</f>
        <v/>
      </c>
      <c r="HA33">
        <f>HA32*IF($C32=113,0,1)</f>
        <v/>
      </c>
      <c r="HB33">
        <f>HB32*IF($C32=114,0,1)</f>
        <v/>
      </c>
      <c r="HC33">
        <f>HC32*IF($C32=115,0,1)</f>
        <v/>
      </c>
      <c r="HD33">
        <f>HD32*IF($C32=116,0,1)</f>
        <v/>
      </c>
      <c r="HE33">
        <f>HE32*IF($C32=117,0,1)</f>
        <v/>
      </c>
      <c r="HF33">
        <f>HF32*IF($C32=118,0,1)</f>
        <v/>
      </c>
      <c r="HG33">
        <f>HG32*IF($C32=119,0,1)</f>
        <v/>
      </c>
      <c r="HH33">
        <f>HH32*IF($C32=120,0,1)</f>
        <v/>
      </c>
      <c r="HJ33">
        <f>IF($B33=0,1000000,IF(INDEX('計算A'!$D$60:$DS$104,$B33,1)*CS33=1,'計算A'!D$6,1000000))</f>
        <v/>
      </c>
      <c r="HK33">
        <f>IF($B33=0,1000000,IF(INDEX('計算A'!$D$60:$DS$104,$B33,2)*CT33=1,'計算A'!E$6,1000000))</f>
        <v/>
      </c>
      <c r="HL33">
        <f>IF($B33=0,1000000,IF(INDEX('計算A'!$D$60:$DS$104,$B33,3)*CU33=1,'計算A'!F$6,1000000))</f>
        <v/>
      </c>
      <c r="HM33">
        <f>IF($B33=0,1000000,IF(INDEX('計算A'!$D$60:$DS$104,$B33,4)*CV33=1,'計算A'!G$6,1000000))</f>
        <v/>
      </c>
      <c r="HN33">
        <f>IF($B33=0,1000000,IF(INDEX('計算A'!$D$60:$DS$104,$B33,5)*CW33=1,'計算A'!H$6,1000000))</f>
        <v/>
      </c>
      <c r="HO33">
        <f>IF($B33=0,1000000,IF(INDEX('計算A'!$D$60:$DS$104,$B33,6)*CX33=1,'計算A'!I$6,1000000))</f>
        <v/>
      </c>
      <c r="HP33">
        <f>IF($B33=0,1000000,IF(INDEX('計算A'!$D$60:$DS$104,$B33,7)*CY33=1,'計算A'!J$6,1000000))</f>
        <v/>
      </c>
      <c r="HQ33">
        <f>IF($B33=0,1000000,IF(INDEX('計算A'!$D$60:$DS$104,$B33,8)*CZ33=1,'計算A'!K$6,1000000))</f>
        <v/>
      </c>
      <c r="HR33">
        <f>IF($B33=0,1000000,IF(INDEX('計算A'!$D$60:$DS$104,$B33,9)*DA33=1,'計算A'!L$6,1000000))</f>
        <v/>
      </c>
      <c r="HS33">
        <f>IF($B33=0,1000000,IF(INDEX('計算A'!$D$60:$DS$104,$B33,10)*DB33=1,'計算A'!M$6,1000000))</f>
        <v/>
      </c>
      <c r="HT33">
        <f>IF($B33=0,1000000,IF(INDEX('計算A'!$D$60:$DS$104,$B33,11)*DC33=1,'計算A'!N$6,1000000))</f>
        <v/>
      </c>
      <c r="HU33">
        <f>IF($B33=0,1000000,IF(INDEX('計算A'!$D$60:$DS$104,$B33,12)*DD33=1,'計算A'!O$6,1000000))</f>
        <v/>
      </c>
      <c r="HV33">
        <f>IF($B33=0,1000000,IF(INDEX('計算A'!$D$60:$DS$104,$B33,13)*DE33=1,'計算A'!P$6,1000000))</f>
        <v/>
      </c>
      <c r="HW33">
        <f>IF($B33=0,1000000,IF(INDEX('計算A'!$D$60:$DS$104,$B33,14)*DF33=1,'計算A'!Q$6,1000000))</f>
        <v/>
      </c>
      <c r="HX33">
        <f>IF($B33=0,1000000,IF(INDEX('計算A'!$D$60:$DS$104,$B33,15)*DG33=1,'計算A'!R$6,1000000))</f>
        <v/>
      </c>
      <c r="HY33">
        <f>IF($B33=0,1000000,IF(INDEX('計算A'!$D$60:$DS$104,$B33,16)*DH33=1,'計算A'!S$6,1000000))</f>
        <v/>
      </c>
      <c r="HZ33">
        <f>IF($B33=0,1000000,IF(INDEX('計算A'!$D$60:$DS$104,$B33,17)*DI33=1,'計算A'!T$6,1000000))</f>
        <v/>
      </c>
      <c r="IA33">
        <f>IF($B33=0,1000000,IF(INDEX('計算A'!$D$60:$DS$104,$B33,18)*DJ33=1,'計算A'!U$6,1000000))</f>
        <v/>
      </c>
      <c r="IB33">
        <f>IF($B33=0,1000000,IF(INDEX('計算A'!$D$60:$DS$104,$B33,19)*DK33=1,'計算A'!V$6,1000000))</f>
        <v/>
      </c>
      <c r="IC33">
        <f>IF($B33=0,1000000,IF(INDEX('計算A'!$D$60:$DS$104,$B33,20)*DL33=1,'計算A'!W$6,1000000))</f>
        <v/>
      </c>
      <c r="ID33">
        <f>IF($B33=0,1000000,IF(INDEX('計算A'!$D$60:$DS$104,$B33,21)*DM33=1,'計算A'!X$6,1000000))</f>
        <v/>
      </c>
      <c r="IE33">
        <f>IF($B33=0,1000000,IF(INDEX('計算A'!$D$60:$DS$104,$B33,22)*DN33=1,'計算A'!Y$6,1000000))</f>
        <v/>
      </c>
      <c r="IF33">
        <f>IF($B33=0,1000000,IF(INDEX('計算A'!$D$60:$DS$104,$B33,23)*DO33=1,'計算A'!Z$6,1000000))</f>
        <v/>
      </c>
      <c r="IG33">
        <f>IF($B33=0,1000000,IF(INDEX('計算A'!$D$60:$DS$104,$B33,24)*DP33=1,'計算A'!AA$6,1000000))</f>
        <v/>
      </c>
      <c r="IH33">
        <f>IF($B33=0,1000000,IF(INDEX('計算A'!$D$60:$DS$104,$B33,25)*DQ33=1,'計算A'!AB$6,1000000))</f>
        <v/>
      </c>
      <c r="II33">
        <f>IF($B33=0,1000000,IF(INDEX('計算A'!$D$60:$DS$104,$B33,26)*DR33=1,'計算A'!AC$6,1000000))</f>
        <v/>
      </c>
      <c r="IJ33">
        <f>IF($B33=0,1000000,IF(INDEX('計算A'!$D$60:$DS$104,$B33,27)*DS33=1,'計算A'!AD$6,1000000))</f>
        <v/>
      </c>
      <c r="IK33">
        <f>IF($B33=0,1000000,IF(INDEX('計算A'!$D$60:$DS$104,$B33,28)*DT33=1,'計算A'!AE$6,1000000))</f>
        <v/>
      </c>
      <c r="IL33">
        <f>IF($B33=0,1000000,IF(INDEX('計算A'!$D$60:$DS$104,$B33,29)*DU33=1,'計算A'!AF$6,1000000))</f>
        <v/>
      </c>
      <c r="IM33">
        <f>IF($B33=0,1000000,IF(INDEX('計算A'!$D$60:$DS$104,$B33,30)*DV33=1,'計算A'!AG$6,1000000))</f>
        <v/>
      </c>
      <c r="IN33">
        <f>IF($B33=0,1000000,IF(INDEX('計算A'!$D$60:$DS$104,$B33,31)*DW33=1,'計算A'!AH$6,1000000))</f>
        <v/>
      </c>
      <c r="IO33">
        <f>IF($B33=0,1000000,IF(INDEX('計算A'!$D$60:$DS$104,$B33,32)*DX33=1,'計算A'!AI$6,1000000))</f>
        <v/>
      </c>
      <c r="IP33">
        <f>IF($B33=0,1000000,IF(INDEX('計算A'!$D$60:$DS$104,$B33,33)*DY33=1,'計算A'!AJ$6,1000000))</f>
        <v/>
      </c>
      <c r="IQ33">
        <f>IF($B33=0,1000000,IF(INDEX('計算A'!$D$60:$DS$104,$B33,34)*DZ33=1,'計算A'!AK$6,1000000))</f>
        <v/>
      </c>
      <c r="IR33">
        <f>IF($B33=0,1000000,IF(INDEX('計算A'!$D$60:$DS$104,$B33,35)*EA33=1,'計算A'!AL$6,1000000))</f>
        <v/>
      </c>
      <c r="IS33">
        <f>IF($B33=0,1000000,IF(INDEX('計算A'!$D$60:$DS$104,$B33,36)*EB33=1,'計算A'!AM$6,1000000))</f>
        <v/>
      </c>
      <c r="IT33">
        <f>IF($B33=0,1000000,IF(INDEX('計算A'!$D$60:$DS$104,$B33,37)*EC33=1,'計算A'!AN$6,1000000))</f>
        <v/>
      </c>
      <c r="IU33">
        <f>IF($B33=0,1000000,IF(INDEX('計算A'!$D$60:$DS$104,$B33,38)*ED33=1,'計算A'!AO$6,1000000))</f>
        <v/>
      </c>
      <c r="IV33">
        <f>IF($B33=0,1000000,IF(INDEX('計算A'!$D$60:$DS$104,$B33,39)*EE33=1,'計算A'!AP$6,1000000))</f>
        <v/>
      </c>
      <c r="IW33">
        <f>IF($B33=0,1000000,IF(INDEX('計算A'!$D$60:$DS$104,$B33,40)*EF33=1,'計算A'!AQ$6,1000000))</f>
        <v/>
      </c>
      <c r="IX33">
        <f>IF($B33=0,1000000,IF(INDEX('計算A'!$D$60:$DS$104,$B33,41)*EG33=1,'計算A'!AR$6,1000000))</f>
        <v/>
      </c>
      <c r="IY33">
        <f>IF($B33=0,1000000,IF(INDEX('計算A'!$D$60:$DS$104,$B33,42)*EH33=1,'計算A'!AS$6,1000000))</f>
        <v/>
      </c>
      <c r="IZ33">
        <f>IF($B33=0,1000000,IF(INDEX('計算A'!$D$60:$DS$104,$B33,43)*EI33=1,'計算A'!AT$6,1000000))</f>
        <v/>
      </c>
      <c r="JA33">
        <f>IF($B33=0,1000000,IF(INDEX('計算A'!$D$60:$DS$104,$B33,44)*EJ33=1,'計算A'!AU$6,1000000))</f>
        <v/>
      </c>
      <c r="JB33">
        <f>IF($B33=0,1000000,IF(INDEX('計算A'!$D$60:$DS$104,$B33,45)*EK33=1,'計算A'!AV$6,1000000))</f>
        <v/>
      </c>
      <c r="JC33">
        <f>IF($B33=0,1000000,IF(INDEX('計算A'!$D$60:$DS$104,$B33,46)*EL33=1,'計算A'!AW$6,1000000))</f>
        <v/>
      </c>
      <c r="JD33">
        <f>IF($B33=0,1000000,IF(INDEX('計算A'!$D$60:$DS$104,$B33,47)*EM33=1,'計算A'!AX$6,1000000))</f>
        <v/>
      </c>
      <c r="JE33">
        <f>IF($B33=0,1000000,IF(INDEX('計算A'!$D$60:$DS$104,$B33,48)*EN33=1,'計算A'!AY$6,1000000))</f>
        <v/>
      </c>
      <c r="JF33">
        <f>IF($B33=0,1000000,IF(INDEX('計算A'!$D$60:$DS$104,$B33,49)*EO33=1,'計算A'!AZ$6,1000000))</f>
        <v/>
      </c>
      <c r="JG33">
        <f>IF($B33=0,1000000,IF(INDEX('計算A'!$D$60:$DS$104,$B33,50)*EP33=1,'計算A'!BA$6,1000000))</f>
        <v/>
      </c>
      <c r="JH33">
        <f>IF($B33=0,1000000,IF(INDEX('計算A'!$D$60:$DS$104,$B33,51)*EQ33=1,'計算A'!BB$6,1000000))</f>
        <v/>
      </c>
      <c r="JI33">
        <f>IF($B33=0,1000000,IF(INDEX('計算A'!$D$60:$DS$104,$B33,52)*ER33=1,'計算A'!BC$6,1000000))</f>
        <v/>
      </c>
      <c r="JJ33">
        <f>IF($B33=0,1000000,IF(INDEX('計算A'!$D$60:$DS$104,$B33,53)*ES33=1,'計算A'!BD$6,1000000))</f>
        <v/>
      </c>
      <c r="JK33">
        <f>IF($B33=0,1000000,IF(INDEX('計算A'!$D$60:$DS$104,$B33,54)*ET33=1,'計算A'!BE$6,1000000))</f>
        <v/>
      </c>
      <c r="JL33">
        <f>IF($B33=0,1000000,IF(INDEX('計算A'!$D$60:$DS$104,$B33,55)*EU33=1,'計算A'!BF$6,1000000))</f>
        <v/>
      </c>
      <c r="JM33">
        <f>IF($B33=0,1000000,IF(INDEX('計算A'!$D$60:$DS$104,$B33,56)*EV33=1,'計算A'!BG$6,1000000))</f>
        <v/>
      </c>
      <c r="JN33">
        <f>IF($B33=0,1000000,IF(INDEX('計算A'!$D$60:$DS$104,$B33,57)*EW33=1,'計算A'!BH$6,1000000))</f>
        <v/>
      </c>
      <c r="JO33">
        <f>IF($B33=0,1000000,IF(INDEX('計算A'!$D$60:$DS$104,$B33,58)*EX33=1,'計算A'!BI$6,1000000))</f>
        <v/>
      </c>
      <c r="JP33">
        <f>IF($B33=0,1000000,IF(INDEX('計算A'!$D$60:$DS$104,$B33,59)*EY33=1,'計算A'!BJ$6,1000000))</f>
        <v/>
      </c>
      <c r="JQ33">
        <f>IF($B33=0,1000000,IF(INDEX('計算A'!$D$60:$DS$104,$B33,60)*EZ33=1,'計算A'!BK$6,1000000))</f>
        <v/>
      </c>
      <c r="JR33">
        <f>IF($B33=0,1000000,IF(INDEX('計算A'!$D$60:$DS$104,$B33,61)*FA33=1,'計算A'!BL$6,1000000))</f>
        <v/>
      </c>
      <c r="JS33">
        <f>IF($B33=0,1000000,IF(INDEX('計算A'!$D$60:$DS$104,$B33,62)*FB33=1,'計算A'!BM$6,1000000))</f>
        <v/>
      </c>
      <c r="JT33">
        <f>IF($B33=0,1000000,IF(INDEX('計算A'!$D$60:$DS$104,$B33,63)*FC33=1,'計算A'!BN$6,1000000))</f>
        <v/>
      </c>
      <c r="JU33">
        <f>IF($B33=0,1000000,IF(INDEX('計算A'!$D$60:$DS$104,$B33,64)*FD33=1,'計算A'!BO$6,1000000))</f>
        <v/>
      </c>
      <c r="JV33">
        <f>IF($B33=0,1000000,IF(INDEX('計算A'!$D$60:$DS$104,$B33,65)*FE33=1,'計算A'!BP$6,1000000))</f>
        <v/>
      </c>
      <c r="JW33">
        <f>IF($B33=0,1000000,IF(INDEX('計算A'!$D$60:$DS$104,$B33,66)*FF33=1,'計算A'!BQ$6,1000000))</f>
        <v/>
      </c>
      <c r="JX33">
        <f>IF($B33=0,1000000,IF(INDEX('計算A'!$D$60:$DS$104,$B33,67)*FG33=1,'計算A'!BR$6,1000000))</f>
        <v/>
      </c>
      <c r="JY33">
        <f>IF($B33=0,1000000,IF(INDEX('計算A'!$D$60:$DS$104,$B33,68)*FH33=1,'計算A'!BS$6,1000000))</f>
        <v/>
      </c>
      <c r="JZ33">
        <f>IF($B33=0,1000000,IF(INDEX('計算A'!$D$60:$DS$104,$B33,69)*FI33=1,'計算A'!BT$6,1000000))</f>
        <v/>
      </c>
      <c r="KA33">
        <f>IF($B33=0,1000000,IF(INDEX('計算A'!$D$60:$DS$104,$B33,70)*FJ33=1,'計算A'!BU$6,1000000))</f>
        <v/>
      </c>
      <c r="KB33">
        <f>IF($B33=0,1000000,IF(INDEX('計算A'!$D$60:$DS$104,$B33,71)*FK33=1,'計算A'!BV$6,1000000))</f>
        <v/>
      </c>
      <c r="KC33">
        <f>IF($B33=0,1000000,IF(INDEX('計算A'!$D$60:$DS$104,$B33,72)*FL33=1,'計算A'!BW$6,1000000))</f>
        <v/>
      </c>
      <c r="KD33">
        <f>IF($B33=0,1000000,IF(INDEX('計算A'!$D$60:$DS$104,$B33,73)*FM33=1,'計算A'!BX$6,1000000))</f>
        <v/>
      </c>
      <c r="KE33">
        <f>IF($B33=0,1000000,IF(INDEX('計算A'!$D$60:$DS$104,$B33,74)*FN33=1,'計算A'!BY$6,1000000))</f>
        <v/>
      </c>
      <c r="KF33">
        <f>IF($B33=0,1000000,IF(INDEX('計算A'!$D$60:$DS$104,$B33,75)*FO33=1,'計算A'!BZ$6,1000000))</f>
        <v/>
      </c>
      <c r="KG33">
        <f>IF($B33=0,1000000,IF(INDEX('計算A'!$D$60:$DS$104,$B33,76)*FP33=1,'計算A'!CA$6,1000000))</f>
        <v/>
      </c>
      <c r="KH33">
        <f>IF($B33=0,1000000,IF(INDEX('計算A'!$D$60:$DS$104,$B33,77)*FQ33=1,'計算A'!CB$6,1000000))</f>
        <v/>
      </c>
      <c r="KI33">
        <f>IF($B33=0,1000000,IF(INDEX('計算A'!$D$60:$DS$104,$B33,78)*FR33=1,'計算A'!CC$6,1000000))</f>
        <v/>
      </c>
      <c r="KJ33">
        <f>IF($B33=0,1000000,IF(INDEX('計算A'!$D$60:$DS$104,$B33,79)*FS33=1,'計算A'!CD$6,1000000))</f>
        <v/>
      </c>
      <c r="KK33">
        <f>IF($B33=0,1000000,IF(INDEX('計算A'!$D$60:$DS$104,$B33,80)*FT33=1,'計算A'!CE$6,1000000))</f>
        <v/>
      </c>
      <c r="KL33">
        <f>IF($B33=0,1000000,IF(INDEX('計算A'!$D$60:$DS$104,$B33,81)*FU33=1,'計算A'!CF$6,1000000))</f>
        <v/>
      </c>
      <c r="KM33">
        <f>IF($B33=0,1000000,IF(INDEX('計算A'!$D$60:$DS$104,$B33,82)*FV33=1,'計算A'!CG$6,1000000))</f>
        <v/>
      </c>
      <c r="KN33">
        <f>IF($B33=0,1000000,IF(INDEX('計算A'!$D$60:$DS$104,$B33,83)*FW33=1,'計算A'!CH$6,1000000))</f>
        <v/>
      </c>
      <c r="KO33">
        <f>IF($B33=0,1000000,IF(INDEX('計算A'!$D$60:$DS$104,$B33,84)*FX33=1,'計算A'!CI$6,1000000))</f>
        <v/>
      </c>
      <c r="KP33">
        <f>IF($B33=0,1000000,IF(INDEX('計算A'!$D$60:$DS$104,$B33,85)*FY33=1,'計算A'!CJ$6,1000000))</f>
        <v/>
      </c>
      <c r="KQ33">
        <f>IF($B33=0,1000000,IF(INDEX('計算A'!$D$60:$DS$104,$B33,86)*FZ33=1,'計算A'!CK$6,1000000))</f>
        <v/>
      </c>
      <c r="KR33">
        <f>IF($B33=0,1000000,IF(INDEX('計算A'!$D$60:$DS$104,$B33,87)*GA33=1,'計算A'!CL$6,1000000))</f>
        <v/>
      </c>
      <c r="KS33">
        <f>IF($B33=0,1000000,IF(INDEX('計算A'!$D$60:$DS$104,$B33,88)*GB33=1,'計算A'!CM$6,1000000))</f>
        <v/>
      </c>
      <c r="KT33">
        <f>IF($B33=0,1000000,IF(INDEX('計算A'!$D$60:$DS$104,$B33,89)*GC33=1,'計算A'!CN$6,1000000))</f>
        <v/>
      </c>
      <c r="KU33">
        <f>IF($B33=0,1000000,IF(INDEX('計算A'!$D$60:$DS$104,$B33,90)*GD33=1,'計算A'!CO$6,1000000))</f>
        <v/>
      </c>
      <c r="KV33">
        <f>IF($B33=0,1000000,IF(INDEX('計算A'!$D$60:$DS$104,$B33,91)*GE33=1,'計算A'!CP$6,1000000))</f>
        <v/>
      </c>
      <c r="KW33">
        <f>IF($B33=0,1000000,IF(INDEX('計算A'!$D$60:$DS$104,$B33,92)*GF33=1,'計算A'!CQ$6,1000000))</f>
        <v/>
      </c>
      <c r="KX33">
        <f>IF($B33=0,1000000,IF(INDEX('計算A'!$D$60:$DS$104,$B33,93)*GG33=1,'計算A'!CR$6,1000000))</f>
        <v/>
      </c>
      <c r="KY33">
        <f>IF($B33=0,1000000,IF(INDEX('計算A'!$D$60:$DS$104,$B33,94)*GH33=1,'計算A'!CS$6,1000000))</f>
        <v/>
      </c>
      <c r="KZ33">
        <f>IF($B33=0,1000000,IF(INDEX('計算A'!$D$60:$DS$104,$B33,95)*GI33=1,'計算A'!CT$6,1000000))</f>
        <v/>
      </c>
      <c r="LA33">
        <f>IF($B33=0,1000000,IF(INDEX('計算A'!$D$60:$DS$104,$B33,96)*GJ33=1,'計算A'!CU$6,1000000))</f>
        <v/>
      </c>
      <c r="LB33">
        <f>IF($B33=0,1000000,IF(INDEX('計算A'!$D$60:$DS$104,$B33,97)*GK33=1,'計算A'!CV$6,1000000))</f>
        <v/>
      </c>
      <c r="LC33">
        <f>IF($B33=0,1000000,IF(INDEX('計算A'!$D$60:$DS$104,$B33,98)*GL33=1,'計算A'!CW$6,1000000))</f>
        <v/>
      </c>
      <c r="LD33">
        <f>IF($B33=0,1000000,IF(INDEX('計算A'!$D$60:$DS$104,$B33,99)*GM33=1,'計算A'!CX$6,1000000))</f>
        <v/>
      </c>
      <c r="LE33">
        <f>IF($B33=0,1000000,IF(INDEX('計算A'!$D$60:$DS$104,$B33,100)*GN33=1,'計算A'!CY$6,1000000))</f>
        <v/>
      </c>
      <c r="LF33">
        <f>IF($B33=0,1000000,IF(INDEX('計算A'!$D$60:$DS$104,$B33,101)*GO33=1,'計算A'!CZ$6,1000000))</f>
        <v/>
      </c>
      <c r="LG33">
        <f>IF($B33=0,1000000,IF(INDEX('計算A'!$D$60:$DS$104,$B33,102)*GP33=1,'計算A'!DA$6,1000000))</f>
        <v/>
      </c>
      <c r="LH33">
        <f>IF($B33=0,1000000,IF(INDEX('計算A'!$D$60:$DS$104,$B33,103)*GQ33=1,'計算A'!DB$6,1000000))</f>
        <v/>
      </c>
      <c r="LI33">
        <f>IF($B33=0,1000000,IF(INDEX('計算A'!$D$60:$DS$104,$B33,104)*GR33=1,'計算A'!DC$6,1000000))</f>
        <v/>
      </c>
      <c r="LJ33">
        <f>IF($B33=0,1000000,IF(INDEX('計算A'!$D$60:$DS$104,$B33,105)*GS33=1,'計算A'!DD$6,1000000))</f>
        <v/>
      </c>
      <c r="LK33">
        <f>IF($B33=0,1000000,IF(INDEX('計算A'!$D$60:$DS$104,$B33,106)*GT33=1,'計算A'!DE$6,1000000))</f>
        <v/>
      </c>
      <c r="LL33">
        <f>IF($B33=0,1000000,IF(INDEX('計算A'!$D$60:$DS$104,$B33,107)*GU33=1,'計算A'!DF$6,1000000))</f>
        <v/>
      </c>
      <c r="LM33">
        <f>IF($B33=0,1000000,IF(INDEX('計算A'!$D$60:$DS$104,$B33,108)*GV33=1,'計算A'!DG$6,1000000))</f>
        <v/>
      </c>
      <c r="LN33">
        <f>IF($B33=0,1000000,IF(INDEX('計算A'!$D$60:$DS$104,$B33,109)*GW33=1,'計算A'!DH$6,1000000))</f>
        <v/>
      </c>
      <c r="LO33">
        <f>IF($B33=0,1000000,IF(INDEX('計算A'!$D$60:$DS$104,$B33,110)*GX33=1,'計算A'!DI$6,1000000))</f>
        <v/>
      </c>
      <c r="LP33">
        <f>IF($B33=0,1000000,IF(INDEX('計算A'!$D$60:$DS$104,$B33,111)*GY33=1,'計算A'!DJ$6,1000000))</f>
        <v/>
      </c>
      <c r="LQ33">
        <f>IF($B33=0,1000000,IF(INDEX('計算A'!$D$60:$DS$104,$B33,112)*GZ33=1,'計算A'!DK$6,1000000))</f>
        <v/>
      </c>
      <c r="LR33">
        <f>IF($B33=0,1000000,IF(INDEX('計算A'!$D$60:$DS$104,$B33,113)*HA33=1,'計算A'!DL$6,1000000))</f>
        <v/>
      </c>
      <c r="LS33">
        <f>IF($B33=0,1000000,IF(INDEX('計算A'!$D$60:$DS$104,$B33,114)*HB33=1,'計算A'!DM$6,1000000))</f>
        <v/>
      </c>
      <c r="LT33">
        <f>IF($B33=0,1000000,IF(INDEX('計算A'!$D$60:$DS$104,$B33,115)*HC33=1,'計算A'!DN$6,1000000))</f>
        <v/>
      </c>
      <c r="LU33">
        <f>IF($B33=0,1000000,IF(INDEX('計算A'!$D$60:$DS$104,$B33,116)*HD33=1,'計算A'!DO$6,1000000))</f>
        <v/>
      </c>
      <c r="LV33">
        <f>IF($B33=0,1000000,IF(INDEX('計算A'!$D$60:$DS$104,$B33,117)*HE33=1,'計算A'!DP$6,1000000))</f>
        <v/>
      </c>
      <c r="LW33">
        <f>IF($B33=0,1000000,IF(INDEX('計算A'!$D$60:$DS$104,$B33,118)*HF33=1,'計算A'!DQ$6,1000000))</f>
        <v/>
      </c>
      <c r="LX33">
        <f>IF($B33=0,1000000,IF(INDEX('計算A'!$D$60:$DS$104,$B33,119)*HG33=1,'計算A'!DR$6,1000000))</f>
        <v/>
      </c>
      <c r="LY33">
        <f>IF($B33=0,1000000,IF(INDEX('計算A'!$D$60:$DS$104,$B33,120)*HH33=1,'計算A'!DS$6,1000000))</f>
        <v/>
      </c>
    </row>
    <row r="34">
      <c r="A34" t="n">
        <v>32</v>
      </c>
      <c r="B34">
        <f>IF(MIN(AY34:CQ34)&gt;=1000000,0,MATCH(MIN(AY34:CQ34),AY34:CQ34,0))</f>
        <v/>
      </c>
      <c r="C34">
        <f>IF(MIN(HJ34:LY34)&gt;=1000000,0,MATCH(MIN(HJ34:LY34),HJ34:LY34,0))</f>
        <v/>
      </c>
      <c r="D34">
        <f>IF(C34&gt;0,INDEX('計算A'!$D$5:$DS$5,C34),0)</f>
        <v/>
      </c>
      <c r="E34">
        <f>MAX(E33,IF($B33=1,1,0))</f>
        <v/>
      </c>
      <c r="F34">
        <f>MAX(F33,IF($B33=2,1,0))</f>
        <v/>
      </c>
      <c r="G34">
        <f>MAX(G33,IF($B33=3,1,0))</f>
        <v/>
      </c>
      <c r="H34">
        <f>MAX(H33,IF($B33=4,1,0))</f>
        <v/>
      </c>
      <c r="I34">
        <f>MAX(I33,IF($B33=5,1,0))</f>
        <v/>
      </c>
      <c r="J34">
        <f>MAX(J33,IF($B33=6,1,0))</f>
        <v/>
      </c>
      <c r="K34">
        <f>MAX(K33,IF($B33=7,1,0))</f>
        <v/>
      </c>
      <c r="L34">
        <f>MAX(L33,IF($B33=8,1,0))</f>
        <v/>
      </c>
      <c r="M34">
        <f>MAX(M33,IF($B33=9,1,0))</f>
        <v/>
      </c>
      <c r="N34">
        <f>MAX(N33,IF($B33=10,1,0))</f>
        <v/>
      </c>
      <c r="O34">
        <f>MAX(O33,IF($B33=11,1,0))</f>
        <v/>
      </c>
      <c r="P34">
        <f>MAX(P33,IF($B33=12,1,0))</f>
        <v/>
      </c>
      <c r="Q34">
        <f>MAX(Q33,IF($B33=13,1,0))</f>
        <v/>
      </c>
      <c r="R34">
        <f>MAX(R33,IF($B33=14,1,0))</f>
        <v/>
      </c>
      <c r="S34">
        <f>MAX(S33,IF($B33=15,1,0))</f>
        <v/>
      </c>
      <c r="T34">
        <f>MAX(T33,IF($B33=16,1,0))</f>
        <v/>
      </c>
      <c r="U34">
        <f>MAX(U33,IF($B33=17,1,0))</f>
        <v/>
      </c>
      <c r="V34">
        <f>MAX(V33,IF($B33=18,1,0))</f>
        <v/>
      </c>
      <c r="W34">
        <f>MAX(W33,IF($B33=19,1,0))</f>
        <v/>
      </c>
      <c r="X34">
        <f>MAX(X33,IF($B33=20,1,0))</f>
        <v/>
      </c>
      <c r="Y34">
        <f>MAX(Y33,IF($B33=21,1,0))</f>
        <v/>
      </c>
      <c r="Z34">
        <f>MAX(Z33,IF($B33=22,1,0))</f>
        <v/>
      </c>
      <c r="AA34">
        <f>MAX(AA33,IF($B33=23,1,0))</f>
        <v/>
      </c>
      <c r="AB34">
        <f>MAX(AB33,IF($B33=24,1,0))</f>
        <v/>
      </c>
      <c r="AC34">
        <f>MAX(AC33,IF($B33=25,1,0))</f>
        <v/>
      </c>
      <c r="AD34">
        <f>MAX(AD33,IF($B33=26,1,0))</f>
        <v/>
      </c>
      <c r="AE34">
        <f>MAX(AE33,IF($B33=27,1,0))</f>
        <v/>
      </c>
      <c r="AF34">
        <f>MAX(AF33,IF($B33=28,1,0))</f>
        <v/>
      </c>
      <c r="AG34">
        <f>MAX(AG33,IF($B33=29,1,0))</f>
        <v/>
      </c>
      <c r="AH34">
        <f>MAX(AH33,IF($B33=30,1,0))</f>
        <v/>
      </c>
      <c r="AI34">
        <f>MAX(AI33,IF($B33=31,1,0))</f>
        <v/>
      </c>
      <c r="AJ34">
        <f>MAX(AJ33,IF($B33=32,1,0))</f>
        <v/>
      </c>
      <c r="AK34">
        <f>MAX(AK33,IF($B33=33,1,0))</f>
        <v/>
      </c>
      <c r="AL34">
        <f>MAX(AL33,IF($B33=34,1,0))</f>
        <v/>
      </c>
      <c r="AM34">
        <f>MAX(AM33,IF($B33=35,1,0))</f>
        <v/>
      </c>
      <c r="AN34">
        <f>MAX(AN33,IF($B33=36,1,0))</f>
        <v/>
      </c>
      <c r="AO34">
        <f>MAX(AO33,IF($B33=37,1,0))</f>
        <v/>
      </c>
      <c r="AP34">
        <f>MAX(AP33,IF($B33=38,1,0))</f>
        <v/>
      </c>
      <c r="AQ34">
        <f>MAX(AQ33,IF($B33=39,1,0))</f>
        <v/>
      </c>
      <c r="AR34">
        <f>MAX(AR33,IF($B33=40,1,0))</f>
        <v/>
      </c>
      <c r="AS34">
        <f>MAX(AS33,IF($B33=41,1,0))</f>
        <v/>
      </c>
      <c r="AT34">
        <f>MAX(AT33,IF($B33=42,1,0))</f>
        <v/>
      </c>
      <c r="AU34">
        <f>MAX(AU33,IF($B33=43,1,0))</f>
        <v/>
      </c>
      <c r="AV34">
        <f>MAX(AV33,IF($B33=44,1,0))</f>
        <v/>
      </c>
      <c r="AW34">
        <f>MAX(AW33,IF($B33=45,1,0))</f>
        <v/>
      </c>
      <c r="AY34">
        <f>IF(E34=1,1000000,SUMPRODUCT('計算A'!$D$60:$DS$60,$CS34:$HH34)*1000+1)</f>
        <v/>
      </c>
      <c r="AZ34">
        <f>IF(F34=1,1000000,SUMPRODUCT('計算A'!$D$61:$DS$61,$CS34:$HH34)*1000+2)</f>
        <v/>
      </c>
      <c r="BA34">
        <f>IF(G34=1,1000000,SUMPRODUCT('計算A'!$D$62:$DS$62,$CS34:$HH34)*1000+3)</f>
        <v/>
      </c>
      <c r="BB34">
        <f>IF(H34=1,1000000,SUMPRODUCT('計算A'!$D$63:$DS$63,$CS34:$HH34)*1000+4)</f>
        <v/>
      </c>
      <c r="BC34">
        <f>IF(I34=1,1000000,SUMPRODUCT('計算A'!$D$64:$DS$64,$CS34:$HH34)*1000+5)</f>
        <v/>
      </c>
      <c r="BD34">
        <f>IF(J34=1,1000000,SUMPRODUCT('計算A'!$D$65:$DS$65,$CS34:$HH34)*1000+6)</f>
        <v/>
      </c>
      <c r="BE34">
        <f>IF(K34=1,1000000,SUMPRODUCT('計算A'!$D$66:$DS$66,$CS34:$HH34)*1000+7)</f>
        <v/>
      </c>
      <c r="BF34">
        <f>IF(L34=1,1000000,SUMPRODUCT('計算A'!$D$67:$DS$67,$CS34:$HH34)*1000+8)</f>
        <v/>
      </c>
      <c r="BG34">
        <f>IF(M34=1,1000000,SUMPRODUCT('計算A'!$D$68:$DS$68,$CS34:$HH34)*1000+9)</f>
        <v/>
      </c>
      <c r="BH34">
        <f>IF(N34=1,1000000,SUMPRODUCT('計算A'!$D$69:$DS$69,$CS34:$HH34)*1000+10)</f>
        <v/>
      </c>
      <c r="BI34">
        <f>IF(O34=1,1000000,SUMPRODUCT('計算A'!$D$70:$DS$70,$CS34:$HH34)*1000+11)</f>
        <v/>
      </c>
      <c r="BJ34">
        <f>IF(P34=1,1000000,SUMPRODUCT('計算A'!$D$71:$DS$71,$CS34:$HH34)*1000+12)</f>
        <v/>
      </c>
      <c r="BK34">
        <f>IF(Q34=1,1000000,SUMPRODUCT('計算A'!$D$72:$DS$72,$CS34:$HH34)*1000+13)</f>
        <v/>
      </c>
      <c r="BL34">
        <f>IF(R34=1,1000000,SUMPRODUCT('計算A'!$D$73:$DS$73,$CS34:$HH34)*1000+14)</f>
        <v/>
      </c>
      <c r="BM34">
        <f>IF(S34=1,1000000,SUMPRODUCT('計算A'!$D$74:$DS$74,$CS34:$HH34)*1000+15)</f>
        <v/>
      </c>
      <c r="BN34">
        <f>IF(T34=1,1000000,SUMPRODUCT('計算A'!$D$75:$DS$75,$CS34:$HH34)*1000+16)</f>
        <v/>
      </c>
      <c r="BO34">
        <f>IF(U34=1,1000000,SUMPRODUCT('計算A'!$D$76:$DS$76,$CS34:$HH34)*1000+17)</f>
        <v/>
      </c>
      <c r="BP34">
        <f>IF(V34=1,1000000,SUMPRODUCT('計算A'!$D$77:$DS$77,$CS34:$HH34)*1000+18)</f>
        <v/>
      </c>
      <c r="BQ34">
        <f>IF(W34=1,1000000,SUMPRODUCT('計算A'!$D$78:$DS$78,$CS34:$HH34)*1000+19)</f>
        <v/>
      </c>
      <c r="BR34">
        <f>IF(X34=1,1000000,SUMPRODUCT('計算A'!$D$79:$DS$79,$CS34:$HH34)*1000+20)</f>
        <v/>
      </c>
      <c r="BS34">
        <f>IF(Y34=1,1000000,SUMPRODUCT('計算A'!$D$80:$DS$80,$CS34:$HH34)*1000+21)</f>
        <v/>
      </c>
      <c r="BT34">
        <f>IF(Z34=1,1000000,SUMPRODUCT('計算A'!$D$81:$DS$81,$CS34:$HH34)*1000+22)</f>
        <v/>
      </c>
      <c r="BU34">
        <f>IF(AA34=1,1000000,SUMPRODUCT('計算A'!$D$82:$DS$82,$CS34:$HH34)*1000+23)</f>
        <v/>
      </c>
      <c r="BV34">
        <f>IF(AB34=1,1000000,SUMPRODUCT('計算A'!$D$83:$DS$83,$CS34:$HH34)*1000+24)</f>
        <v/>
      </c>
      <c r="BW34">
        <f>IF(AC34=1,1000000,SUMPRODUCT('計算A'!$D$84:$DS$84,$CS34:$HH34)*1000+25)</f>
        <v/>
      </c>
      <c r="BX34">
        <f>IF(AD34=1,1000000,SUMPRODUCT('計算A'!$D$85:$DS$85,$CS34:$HH34)*1000+26)</f>
        <v/>
      </c>
      <c r="BY34">
        <f>IF(AE34=1,1000000,SUMPRODUCT('計算A'!$D$86:$DS$86,$CS34:$HH34)*1000+27)</f>
        <v/>
      </c>
      <c r="BZ34">
        <f>IF(AF34=1,1000000,SUMPRODUCT('計算A'!$D$87:$DS$87,$CS34:$HH34)*1000+28)</f>
        <v/>
      </c>
      <c r="CA34">
        <f>IF(AG34=1,1000000,SUMPRODUCT('計算A'!$D$88:$DS$88,$CS34:$HH34)*1000+29)</f>
        <v/>
      </c>
      <c r="CB34">
        <f>IF(AH34=1,1000000,SUMPRODUCT('計算A'!$D$89:$DS$89,$CS34:$HH34)*1000+30)</f>
        <v/>
      </c>
      <c r="CC34">
        <f>IF(AI34=1,1000000,SUMPRODUCT('計算A'!$D$90:$DS$90,$CS34:$HH34)*1000+31)</f>
        <v/>
      </c>
      <c r="CD34">
        <f>IF(AJ34=1,1000000,SUMPRODUCT('計算A'!$D$91:$DS$91,$CS34:$HH34)*1000+32)</f>
        <v/>
      </c>
      <c r="CE34">
        <f>IF(AK34=1,1000000,SUMPRODUCT('計算A'!$D$92:$DS$92,$CS34:$HH34)*1000+33)</f>
        <v/>
      </c>
      <c r="CF34">
        <f>IF(AL34=1,1000000,SUMPRODUCT('計算A'!$D$93:$DS$93,$CS34:$HH34)*1000+34)</f>
        <v/>
      </c>
      <c r="CG34">
        <f>IF(AM34=1,1000000,SUMPRODUCT('計算A'!$D$94:$DS$94,$CS34:$HH34)*1000+35)</f>
        <v/>
      </c>
      <c r="CH34">
        <f>IF(AN34=1,1000000,SUMPRODUCT('計算A'!$D$95:$DS$95,$CS34:$HH34)*1000+36)</f>
        <v/>
      </c>
      <c r="CI34">
        <f>IF(AO34=1,1000000,SUMPRODUCT('計算A'!$D$96:$DS$96,$CS34:$HH34)*1000+37)</f>
        <v/>
      </c>
      <c r="CJ34">
        <f>IF(AP34=1,1000000,SUMPRODUCT('計算A'!$D$97:$DS$97,$CS34:$HH34)*1000+38)</f>
        <v/>
      </c>
      <c r="CK34">
        <f>IF(AQ34=1,1000000,SUMPRODUCT('計算A'!$D$98:$DS$98,$CS34:$HH34)*1000+39)</f>
        <v/>
      </c>
      <c r="CL34">
        <f>IF(AR34=1,1000000,SUMPRODUCT('計算A'!$D$99:$DS$99,$CS34:$HH34)*1000+40)</f>
        <v/>
      </c>
      <c r="CM34">
        <f>IF(AS34=1,1000000,SUMPRODUCT('計算A'!$D$100:$DS$100,$CS34:$HH34)*1000+41)</f>
        <v/>
      </c>
      <c r="CN34">
        <f>IF(AT34=1,1000000,SUMPRODUCT('計算A'!$D$101:$DS$101,$CS34:$HH34)*1000+42)</f>
        <v/>
      </c>
      <c r="CO34">
        <f>IF(AU34=1,1000000,SUMPRODUCT('計算A'!$D$102:$DS$102,$CS34:$HH34)*1000+43)</f>
        <v/>
      </c>
      <c r="CP34">
        <f>IF(AV34=1,1000000,SUMPRODUCT('計算A'!$D$103:$DS$103,$CS34:$HH34)*1000+44)</f>
        <v/>
      </c>
      <c r="CQ34">
        <f>IF(AW34=1,1000000,SUMPRODUCT('計算A'!$D$104:$DS$104,$CS34:$HH34)*1000+45)</f>
        <v/>
      </c>
      <c r="CS34">
        <f>CS33*IF($C33=1,0,1)</f>
        <v/>
      </c>
      <c r="CT34">
        <f>CT33*IF($C33=2,0,1)</f>
        <v/>
      </c>
      <c r="CU34">
        <f>CU33*IF($C33=3,0,1)</f>
        <v/>
      </c>
      <c r="CV34">
        <f>CV33*IF($C33=4,0,1)</f>
        <v/>
      </c>
      <c r="CW34">
        <f>CW33*IF($C33=5,0,1)</f>
        <v/>
      </c>
      <c r="CX34">
        <f>CX33*IF($C33=6,0,1)</f>
        <v/>
      </c>
      <c r="CY34">
        <f>CY33*IF($C33=7,0,1)</f>
        <v/>
      </c>
      <c r="CZ34">
        <f>CZ33*IF($C33=8,0,1)</f>
        <v/>
      </c>
      <c r="DA34">
        <f>DA33*IF($C33=9,0,1)</f>
        <v/>
      </c>
      <c r="DB34">
        <f>DB33*IF($C33=10,0,1)</f>
        <v/>
      </c>
      <c r="DC34">
        <f>DC33*IF($C33=11,0,1)</f>
        <v/>
      </c>
      <c r="DD34">
        <f>DD33*IF($C33=12,0,1)</f>
        <v/>
      </c>
      <c r="DE34">
        <f>DE33*IF($C33=13,0,1)</f>
        <v/>
      </c>
      <c r="DF34">
        <f>DF33*IF($C33=14,0,1)</f>
        <v/>
      </c>
      <c r="DG34">
        <f>DG33*IF($C33=15,0,1)</f>
        <v/>
      </c>
      <c r="DH34">
        <f>DH33*IF($C33=16,0,1)</f>
        <v/>
      </c>
      <c r="DI34">
        <f>DI33*IF($C33=17,0,1)</f>
        <v/>
      </c>
      <c r="DJ34">
        <f>DJ33*IF($C33=18,0,1)</f>
        <v/>
      </c>
      <c r="DK34">
        <f>DK33*IF($C33=19,0,1)</f>
        <v/>
      </c>
      <c r="DL34">
        <f>DL33*IF($C33=20,0,1)</f>
        <v/>
      </c>
      <c r="DM34">
        <f>DM33*IF($C33=21,0,1)</f>
        <v/>
      </c>
      <c r="DN34">
        <f>DN33*IF($C33=22,0,1)</f>
        <v/>
      </c>
      <c r="DO34">
        <f>DO33*IF($C33=23,0,1)</f>
        <v/>
      </c>
      <c r="DP34">
        <f>DP33*IF($C33=24,0,1)</f>
        <v/>
      </c>
      <c r="DQ34">
        <f>DQ33*IF($C33=25,0,1)</f>
        <v/>
      </c>
      <c r="DR34">
        <f>DR33*IF($C33=26,0,1)</f>
        <v/>
      </c>
      <c r="DS34">
        <f>DS33*IF($C33=27,0,1)</f>
        <v/>
      </c>
      <c r="DT34">
        <f>DT33*IF($C33=28,0,1)</f>
        <v/>
      </c>
      <c r="DU34">
        <f>DU33*IF($C33=29,0,1)</f>
        <v/>
      </c>
      <c r="DV34">
        <f>DV33*IF($C33=30,0,1)</f>
        <v/>
      </c>
      <c r="DW34">
        <f>DW33*IF($C33=31,0,1)</f>
        <v/>
      </c>
      <c r="DX34">
        <f>DX33*IF($C33=32,0,1)</f>
        <v/>
      </c>
      <c r="DY34">
        <f>DY33*IF($C33=33,0,1)</f>
        <v/>
      </c>
      <c r="DZ34">
        <f>DZ33*IF($C33=34,0,1)</f>
        <v/>
      </c>
      <c r="EA34">
        <f>EA33*IF($C33=35,0,1)</f>
        <v/>
      </c>
      <c r="EB34">
        <f>EB33*IF($C33=36,0,1)</f>
        <v/>
      </c>
      <c r="EC34">
        <f>EC33*IF($C33=37,0,1)</f>
        <v/>
      </c>
      <c r="ED34">
        <f>ED33*IF($C33=38,0,1)</f>
        <v/>
      </c>
      <c r="EE34">
        <f>EE33*IF($C33=39,0,1)</f>
        <v/>
      </c>
      <c r="EF34">
        <f>EF33*IF($C33=40,0,1)</f>
        <v/>
      </c>
      <c r="EG34">
        <f>EG33*IF($C33=41,0,1)</f>
        <v/>
      </c>
      <c r="EH34">
        <f>EH33*IF($C33=42,0,1)</f>
        <v/>
      </c>
      <c r="EI34">
        <f>EI33*IF($C33=43,0,1)</f>
        <v/>
      </c>
      <c r="EJ34">
        <f>EJ33*IF($C33=44,0,1)</f>
        <v/>
      </c>
      <c r="EK34">
        <f>EK33*IF($C33=45,0,1)</f>
        <v/>
      </c>
      <c r="EL34">
        <f>EL33*IF($C33=46,0,1)</f>
        <v/>
      </c>
      <c r="EM34">
        <f>EM33*IF($C33=47,0,1)</f>
        <v/>
      </c>
      <c r="EN34">
        <f>EN33*IF($C33=48,0,1)</f>
        <v/>
      </c>
      <c r="EO34">
        <f>EO33*IF($C33=49,0,1)</f>
        <v/>
      </c>
      <c r="EP34">
        <f>EP33*IF($C33=50,0,1)</f>
        <v/>
      </c>
      <c r="EQ34">
        <f>EQ33*IF($C33=51,0,1)</f>
        <v/>
      </c>
      <c r="ER34">
        <f>ER33*IF($C33=52,0,1)</f>
        <v/>
      </c>
      <c r="ES34">
        <f>ES33*IF($C33=53,0,1)</f>
        <v/>
      </c>
      <c r="ET34">
        <f>ET33*IF($C33=54,0,1)</f>
        <v/>
      </c>
      <c r="EU34">
        <f>EU33*IF($C33=55,0,1)</f>
        <v/>
      </c>
      <c r="EV34">
        <f>EV33*IF($C33=56,0,1)</f>
        <v/>
      </c>
      <c r="EW34">
        <f>EW33*IF($C33=57,0,1)</f>
        <v/>
      </c>
      <c r="EX34">
        <f>EX33*IF($C33=58,0,1)</f>
        <v/>
      </c>
      <c r="EY34">
        <f>EY33*IF($C33=59,0,1)</f>
        <v/>
      </c>
      <c r="EZ34">
        <f>EZ33*IF($C33=60,0,1)</f>
        <v/>
      </c>
      <c r="FA34">
        <f>FA33*IF($C33=61,0,1)</f>
        <v/>
      </c>
      <c r="FB34">
        <f>FB33*IF($C33=62,0,1)</f>
        <v/>
      </c>
      <c r="FC34">
        <f>FC33*IF($C33=63,0,1)</f>
        <v/>
      </c>
      <c r="FD34">
        <f>FD33*IF($C33=64,0,1)</f>
        <v/>
      </c>
      <c r="FE34">
        <f>FE33*IF($C33=65,0,1)</f>
        <v/>
      </c>
      <c r="FF34">
        <f>FF33*IF($C33=66,0,1)</f>
        <v/>
      </c>
      <c r="FG34">
        <f>FG33*IF($C33=67,0,1)</f>
        <v/>
      </c>
      <c r="FH34">
        <f>FH33*IF($C33=68,0,1)</f>
        <v/>
      </c>
      <c r="FI34">
        <f>FI33*IF($C33=69,0,1)</f>
        <v/>
      </c>
      <c r="FJ34">
        <f>FJ33*IF($C33=70,0,1)</f>
        <v/>
      </c>
      <c r="FK34">
        <f>FK33*IF($C33=71,0,1)</f>
        <v/>
      </c>
      <c r="FL34">
        <f>FL33*IF($C33=72,0,1)</f>
        <v/>
      </c>
      <c r="FM34">
        <f>FM33*IF($C33=73,0,1)</f>
        <v/>
      </c>
      <c r="FN34">
        <f>FN33*IF($C33=74,0,1)</f>
        <v/>
      </c>
      <c r="FO34">
        <f>FO33*IF($C33=75,0,1)</f>
        <v/>
      </c>
      <c r="FP34">
        <f>FP33*IF($C33=76,0,1)</f>
        <v/>
      </c>
      <c r="FQ34">
        <f>FQ33*IF($C33=77,0,1)</f>
        <v/>
      </c>
      <c r="FR34">
        <f>FR33*IF($C33=78,0,1)</f>
        <v/>
      </c>
      <c r="FS34">
        <f>FS33*IF($C33=79,0,1)</f>
        <v/>
      </c>
      <c r="FT34">
        <f>FT33*IF($C33=80,0,1)</f>
        <v/>
      </c>
      <c r="FU34">
        <f>FU33*IF($C33=81,0,1)</f>
        <v/>
      </c>
      <c r="FV34">
        <f>FV33*IF($C33=82,0,1)</f>
        <v/>
      </c>
      <c r="FW34">
        <f>FW33*IF($C33=83,0,1)</f>
        <v/>
      </c>
      <c r="FX34">
        <f>FX33*IF($C33=84,0,1)</f>
        <v/>
      </c>
      <c r="FY34">
        <f>FY33*IF($C33=85,0,1)</f>
        <v/>
      </c>
      <c r="FZ34">
        <f>FZ33*IF($C33=86,0,1)</f>
        <v/>
      </c>
      <c r="GA34">
        <f>GA33*IF($C33=87,0,1)</f>
        <v/>
      </c>
      <c r="GB34">
        <f>GB33*IF($C33=88,0,1)</f>
        <v/>
      </c>
      <c r="GC34">
        <f>GC33*IF($C33=89,0,1)</f>
        <v/>
      </c>
      <c r="GD34">
        <f>GD33*IF($C33=90,0,1)</f>
        <v/>
      </c>
      <c r="GE34">
        <f>GE33*IF($C33=91,0,1)</f>
        <v/>
      </c>
      <c r="GF34">
        <f>GF33*IF($C33=92,0,1)</f>
        <v/>
      </c>
      <c r="GG34">
        <f>GG33*IF($C33=93,0,1)</f>
        <v/>
      </c>
      <c r="GH34">
        <f>GH33*IF($C33=94,0,1)</f>
        <v/>
      </c>
      <c r="GI34">
        <f>GI33*IF($C33=95,0,1)</f>
        <v/>
      </c>
      <c r="GJ34">
        <f>GJ33*IF($C33=96,0,1)</f>
        <v/>
      </c>
      <c r="GK34">
        <f>GK33*IF($C33=97,0,1)</f>
        <v/>
      </c>
      <c r="GL34">
        <f>GL33*IF($C33=98,0,1)</f>
        <v/>
      </c>
      <c r="GM34">
        <f>GM33*IF($C33=99,0,1)</f>
        <v/>
      </c>
      <c r="GN34">
        <f>GN33*IF($C33=100,0,1)</f>
        <v/>
      </c>
      <c r="GO34">
        <f>GO33*IF($C33=101,0,1)</f>
        <v/>
      </c>
      <c r="GP34">
        <f>GP33*IF($C33=102,0,1)</f>
        <v/>
      </c>
      <c r="GQ34">
        <f>GQ33*IF($C33=103,0,1)</f>
        <v/>
      </c>
      <c r="GR34">
        <f>GR33*IF($C33=104,0,1)</f>
        <v/>
      </c>
      <c r="GS34">
        <f>GS33*IF($C33=105,0,1)</f>
        <v/>
      </c>
      <c r="GT34">
        <f>GT33*IF($C33=106,0,1)</f>
        <v/>
      </c>
      <c r="GU34">
        <f>GU33*IF($C33=107,0,1)</f>
        <v/>
      </c>
      <c r="GV34">
        <f>GV33*IF($C33=108,0,1)</f>
        <v/>
      </c>
      <c r="GW34">
        <f>GW33*IF($C33=109,0,1)</f>
        <v/>
      </c>
      <c r="GX34">
        <f>GX33*IF($C33=110,0,1)</f>
        <v/>
      </c>
      <c r="GY34">
        <f>GY33*IF($C33=111,0,1)</f>
        <v/>
      </c>
      <c r="GZ34">
        <f>GZ33*IF($C33=112,0,1)</f>
        <v/>
      </c>
      <c r="HA34">
        <f>HA33*IF($C33=113,0,1)</f>
        <v/>
      </c>
      <c r="HB34">
        <f>HB33*IF($C33=114,0,1)</f>
        <v/>
      </c>
      <c r="HC34">
        <f>HC33*IF($C33=115,0,1)</f>
        <v/>
      </c>
      <c r="HD34">
        <f>HD33*IF($C33=116,0,1)</f>
        <v/>
      </c>
      <c r="HE34">
        <f>HE33*IF($C33=117,0,1)</f>
        <v/>
      </c>
      <c r="HF34">
        <f>HF33*IF($C33=118,0,1)</f>
        <v/>
      </c>
      <c r="HG34">
        <f>HG33*IF($C33=119,0,1)</f>
        <v/>
      </c>
      <c r="HH34">
        <f>HH33*IF($C33=120,0,1)</f>
        <v/>
      </c>
      <c r="HJ34">
        <f>IF($B34=0,1000000,IF(INDEX('計算A'!$D$60:$DS$104,$B34,1)*CS34=1,'計算A'!D$6,1000000))</f>
        <v/>
      </c>
      <c r="HK34">
        <f>IF($B34=0,1000000,IF(INDEX('計算A'!$D$60:$DS$104,$B34,2)*CT34=1,'計算A'!E$6,1000000))</f>
        <v/>
      </c>
      <c r="HL34">
        <f>IF($B34=0,1000000,IF(INDEX('計算A'!$D$60:$DS$104,$B34,3)*CU34=1,'計算A'!F$6,1000000))</f>
        <v/>
      </c>
      <c r="HM34">
        <f>IF($B34=0,1000000,IF(INDEX('計算A'!$D$60:$DS$104,$B34,4)*CV34=1,'計算A'!G$6,1000000))</f>
        <v/>
      </c>
      <c r="HN34">
        <f>IF($B34=0,1000000,IF(INDEX('計算A'!$D$60:$DS$104,$B34,5)*CW34=1,'計算A'!H$6,1000000))</f>
        <v/>
      </c>
      <c r="HO34">
        <f>IF($B34=0,1000000,IF(INDEX('計算A'!$D$60:$DS$104,$B34,6)*CX34=1,'計算A'!I$6,1000000))</f>
        <v/>
      </c>
      <c r="HP34">
        <f>IF($B34=0,1000000,IF(INDEX('計算A'!$D$60:$DS$104,$B34,7)*CY34=1,'計算A'!J$6,1000000))</f>
        <v/>
      </c>
      <c r="HQ34">
        <f>IF($B34=0,1000000,IF(INDEX('計算A'!$D$60:$DS$104,$B34,8)*CZ34=1,'計算A'!K$6,1000000))</f>
        <v/>
      </c>
      <c r="HR34">
        <f>IF($B34=0,1000000,IF(INDEX('計算A'!$D$60:$DS$104,$B34,9)*DA34=1,'計算A'!L$6,1000000))</f>
        <v/>
      </c>
      <c r="HS34">
        <f>IF($B34=0,1000000,IF(INDEX('計算A'!$D$60:$DS$104,$B34,10)*DB34=1,'計算A'!M$6,1000000))</f>
        <v/>
      </c>
      <c r="HT34">
        <f>IF($B34=0,1000000,IF(INDEX('計算A'!$D$60:$DS$104,$B34,11)*DC34=1,'計算A'!N$6,1000000))</f>
        <v/>
      </c>
      <c r="HU34">
        <f>IF($B34=0,1000000,IF(INDEX('計算A'!$D$60:$DS$104,$B34,12)*DD34=1,'計算A'!O$6,1000000))</f>
        <v/>
      </c>
      <c r="HV34">
        <f>IF($B34=0,1000000,IF(INDEX('計算A'!$D$60:$DS$104,$B34,13)*DE34=1,'計算A'!P$6,1000000))</f>
        <v/>
      </c>
      <c r="HW34">
        <f>IF($B34=0,1000000,IF(INDEX('計算A'!$D$60:$DS$104,$B34,14)*DF34=1,'計算A'!Q$6,1000000))</f>
        <v/>
      </c>
      <c r="HX34">
        <f>IF($B34=0,1000000,IF(INDEX('計算A'!$D$60:$DS$104,$B34,15)*DG34=1,'計算A'!R$6,1000000))</f>
        <v/>
      </c>
      <c r="HY34">
        <f>IF($B34=0,1000000,IF(INDEX('計算A'!$D$60:$DS$104,$B34,16)*DH34=1,'計算A'!S$6,1000000))</f>
        <v/>
      </c>
      <c r="HZ34">
        <f>IF($B34=0,1000000,IF(INDEX('計算A'!$D$60:$DS$104,$B34,17)*DI34=1,'計算A'!T$6,1000000))</f>
        <v/>
      </c>
      <c r="IA34">
        <f>IF($B34=0,1000000,IF(INDEX('計算A'!$D$60:$DS$104,$B34,18)*DJ34=1,'計算A'!U$6,1000000))</f>
        <v/>
      </c>
      <c r="IB34">
        <f>IF($B34=0,1000000,IF(INDEX('計算A'!$D$60:$DS$104,$B34,19)*DK34=1,'計算A'!V$6,1000000))</f>
        <v/>
      </c>
      <c r="IC34">
        <f>IF($B34=0,1000000,IF(INDEX('計算A'!$D$60:$DS$104,$B34,20)*DL34=1,'計算A'!W$6,1000000))</f>
        <v/>
      </c>
      <c r="ID34">
        <f>IF($B34=0,1000000,IF(INDEX('計算A'!$D$60:$DS$104,$B34,21)*DM34=1,'計算A'!X$6,1000000))</f>
        <v/>
      </c>
      <c r="IE34">
        <f>IF($B34=0,1000000,IF(INDEX('計算A'!$D$60:$DS$104,$B34,22)*DN34=1,'計算A'!Y$6,1000000))</f>
        <v/>
      </c>
      <c r="IF34">
        <f>IF($B34=0,1000000,IF(INDEX('計算A'!$D$60:$DS$104,$B34,23)*DO34=1,'計算A'!Z$6,1000000))</f>
        <v/>
      </c>
      <c r="IG34">
        <f>IF($B34=0,1000000,IF(INDEX('計算A'!$D$60:$DS$104,$B34,24)*DP34=1,'計算A'!AA$6,1000000))</f>
        <v/>
      </c>
      <c r="IH34">
        <f>IF($B34=0,1000000,IF(INDEX('計算A'!$D$60:$DS$104,$B34,25)*DQ34=1,'計算A'!AB$6,1000000))</f>
        <v/>
      </c>
      <c r="II34">
        <f>IF($B34=0,1000000,IF(INDEX('計算A'!$D$60:$DS$104,$B34,26)*DR34=1,'計算A'!AC$6,1000000))</f>
        <v/>
      </c>
      <c r="IJ34">
        <f>IF($B34=0,1000000,IF(INDEX('計算A'!$D$60:$DS$104,$B34,27)*DS34=1,'計算A'!AD$6,1000000))</f>
        <v/>
      </c>
      <c r="IK34">
        <f>IF($B34=0,1000000,IF(INDEX('計算A'!$D$60:$DS$104,$B34,28)*DT34=1,'計算A'!AE$6,1000000))</f>
        <v/>
      </c>
      <c r="IL34">
        <f>IF($B34=0,1000000,IF(INDEX('計算A'!$D$60:$DS$104,$B34,29)*DU34=1,'計算A'!AF$6,1000000))</f>
        <v/>
      </c>
      <c r="IM34">
        <f>IF($B34=0,1000000,IF(INDEX('計算A'!$D$60:$DS$104,$B34,30)*DV34=1,'計算A'!AG$6,1000000))</f>
        <v/>
      </c>
      <c r="IN34">
        <f>IF($B34=0,1000000,IF(INDEX('計算A'!$D$60:$DS$104,$B34,31)*DW34=1,'計算A'!AH$6,1000000))</f>
        <v/>
      </c>
      <c r="IO34">
        <f>IF($B34=0,1000000,IF(INDEX('計算A'!$D$60:$DS$104,$B34,32)*DX34=1,'計算A'!AI$6,1000000))</f>
        <v/>
      </c>
      <c r="IP34">
        <f>IF($B34=0,1000000,IF(INDEX('計算A'!$D$60:$DS$104,$B34,33)*DY34=1,'計算A'!AJ$6,1000000))</f>
        <v/>
      </c>
      <c r="IQ34">
        <f>IF($B34=0,1000000,IF(INDEX('計算A'!$D$60:$DS$104,$B34,34)*DZ34=1,'計算A'!AK$6,1000000))</f>
        <v/>
      </c>
      <c r="IR34">
        <f>IF($B34=0,1000000,IF(INDEX('計算A'!$D$60:$DS$104,$B34,35)*EA34=1,'計算A'!AL$6,1000000))</f>
        <v/>
      </c>
      <c r="IS34">
        <f>IF($B34=0,1000000,IF(INDEX('計算A'!$D$60:$DS$104,$B34,36)*EB34=1,'計算A'!AM$6,1000000))</f>
        <v/>
      </c>
      <c r="IT34">
        <f>IF($B34=0,1000000,IF(INDEX('計算A'!$D$60:$DS$104,$B34,37)*EC34=1,'計算A'!AN$6,1000000))</f>
        <v/>
      </c>
      <c r="IU34">
        <f>IF($B34=0,1000000,IF(INDEX('計算A'!$D$60:$DS$104,$B34,38)*ED34=1,'計算A'!AO$6,1000000))</f>
        <v/>
      </c>
      <c r="IV34">
        <f>IF($B34=0,1000000,IF(INDEX('計算A'!$D$60:$DS$104,$B34,39)*EE34=1,'計算A'!AP$6,1000000))</f>
        <v/>
      </c>
      <c r="IW34">
        <f>IF($B34=0,1000000,IF(INDEX('計算A'!$D$60:$DS$104,$B34,40)*EF34=1,'計算A'!AQ$6,1000000))</f>
        <v/>
      </c>
      <c r="IX34">
        <f>IF($B34=0,1000000,IF(INDEX('計算A'!$D$60:$DS$104,$B34,41)*EG34=1,'計算A'!AR$6,1000000))</f>
        <v/>
      </c>
      <c r="IY34">
        <f>IF($B34=0,1000000,IF(INDEX('計算A'!$D$60:$DS$104,$B34,42)*EH34=1,'計算A'!AS$6,1000000))</f>
        <v/>
      </c>
      <c r="IZ34">
        <f>IF($B34=0,1000000,IF(INDEX('計算A'!$D$60:$DS$104,$B34,43)*EI34=1,'計算A'!AT$6,1000000))</f>
        <v/>
      </c>
      <c r="JA34">
        <f>IF($B34=0,1000000,IF(INDEX('計算A'!$D$60:$DS$104,$B34,44)*EJ34=1,'計算A'!AU$6,1000000))</f>
        <v/>
      </c>
      <c r="JB34">
        <f>IF($B34=0,1000000,IF(INDEX('計算A'!$D$60:$DS$104,$B34,45)*EK34=1,'計算A'!AV$6,1000000))</f>
        <v/>
      </c>
      <c r="JC34">
        <f>IF($B34=0,1000000,IF(INDEX('計算A'!$D$60:$DS$104,$B34,46)*EL34=1,'計算A'!AW$6,1000000))</f>
        <v/>
      </c>
      <c r="JD34">
        <f>IF($B34=0,1000000,IF(INDEX('計算A'!$D$60:$DS$104,$B34,47)*EM34=1,'計算A'!AX$6,1000000))</f>
        <v/>
      </c>
      <c r="JE34">
        <f>IF($B34=0,1000000,IF(INDEX('計算A'!$D$60:$DS$104,$B34,48)*EN34=1,'計算A'!AY$6,1000000))</f>
        <v/>
      </c>
      <c r="JF34">
        <f>IF($B34=0,1000000,IF(INDEX('計算A'!$D$60:$DS$104,$B34,49)*EO34=1,'計算A'!AZ$6,1000000))</f>
        <v/>
      </c>
      <c r="JG34">
        <f>IF($B34=0,1000000,IF(INDEX('計算A'!$D$60:$DS$104,$B34,50)*EP34=1,'計算A'!BA$6,1000000))</f>
        <v/>
      </c>
      <c r="JH34">
        <f>IF($B34=0,1000000,IF(INDEX('計算A'!$D$60:$DS$104,$B34,51)*EQ34=1,'計算A'!BB$6,1000000))</f>
        <v/>
      </c>
      <c r="JI34">
        <f>IF($B34=0,1000000,IF(INDEX('計算A'!$D$60:$DS$104,$B34,52)*ER34=1,'計算A'!BC$6,1000000))</f>
        <v/>
      </c>
      <c r="JJ34">
        <f>IF($B34=0,1000000,IF(INDEX('計算A'!$D$60:$DS$104,$B34,53)*ES34=1,'計算A'!BD$6,1000000))</f>
        <v/>
      </c>
      <c r="JK34">
        <f>IF($B34=0,1000000,IF(INDEX('計算A'!$D$60:$DS$104,$B34,54)*ET34=1,'計算A'!BE$6,1000000))</f>
        <v/>
      </c>
      <c r="JL34">
        <f>IF($B34=0,1000000,IF(INDEX('計算A'!$D$60:$DS$104,$B34,55)*EU34=1,'計算A'!BF$6,1000000))</f>
        <v/>
      </c>
      <c r="JM34">
        <f>IF($B34=0,1000000,IF(INDEX('計算A'!$D$60:$DS$104,$B34,56)*EV34=1,'計算A'!BG$6,1000000))</f>
        <v/>
      </c>
      <c r="JN34">
        <f>IF($B34=0,1000000,IF(INDEX('計算A'!$D$60:$DS$104,$B34,57)*EW34=1,'計算A'!BH$6,1000000))</f>
        <v/>
      </c>
      <c r="JO34">
        <f>IF($B34=0,1000000,IF(INDEX('計算A'!$D$60:$DS$104,$B34,58)*EX34=1,'計算A'!BI$6,1000000))</f>
        <v/>
      </c>
      <c r="JP34">
        <f>IF($B34=0,1000000,IF(INDEX('計算A'!$D$60:$DS$104,$B34,59)*EY34=1,'計算A'!BJ$6,1000000))</f>
        <v/>
      </c>
      <c r="JQ34">
        <f>IF($B34=0,1000000,IF(INDEX('計算A'!$D$60:$DS$104,$B34,60)*EZ34=1,'計算A'!BK$6,1000000))</f>
        <v/>
      </c>
      <c r="JR34">
        <f>IF($B34=0,1000000,IF(INDEX('計算A'!$D$60:$DS$104,$B34,61)*FA34=1,'計算A'!BL$6,1000000))</f>
        <v/>
      </c>
      <c r="JS34">
        <f>IF($B34=0,1000000,IF(INDEX('計算A'!$D$60:$DS$104,$B34,62)*FB34=1,'計算A'!BM$6,1000000))</f>
        <v/>
      </c>
      <c r="JT34">
        <f>IF($B34=0,1000000,IF(INDEX('計算A'!$D$60:$DS$104,$B34,63)*FC34=1,'計算A'!BN$6,1000000))</f>
        <v/>
      </c>
      <c r="JU34">
        <f>IF($B34=0,1000000,IF(INDEX('計算A'!$D$60:$DS$104,$B34,64)*FD34=1,'計算A'!BO$6,1000000))</f>
        <v/>
      </c>
      <c r="JV34">
        <f>IF($B34=0,1000000,IF(INDEX('計算A'!$D$60:$DS$104,$B34,65)*FE34=1,'計算A'!BP$6,1000000))</f>
        <v/>
      </c>
      <c r="JW34">
        <f>IF($B34=0,1000000,IF(INDEX('計算A'!$D$60:$DS$104,$B34,66)*FF34=1,'計算A'!BQ$6,1000000))</f>
        <v/>
      </c>
      <c r="JX34">
        <f>IF($B34=0,1000000,IF(INDEX('計算A'!$D$60:$DS$104,$B34,67)*FG34=1,'計算A'!BR$6,1000000))</f>
        <v/>
      </c>
      <c r="JY34">
        <f>IF($B34=0,1000000,IF(INDEX('計算A'!$D$60:$DS$104,$B34,68)*FH34=1,'計算A'!BS$6,1000000))</f>
        <v/>
      </c>
      <c r="JZ34">
        <f>IF($B34=0,1000000,IF(INDEX('計算A'!$D$60:$DS$104,$B34,69)*FI34=1,'計算A'!BT$6,1000000))</f>
        <v/>
      </c>
      <c r="KA34">
        <f>IF($B34=0,1000000,IF(INDEX('計算A'!$D$60:$DS$104,$B34,70)*FJ34=1,'計算A'!BU$6,1000000))</f>
        <v/>
      </c>
      <c r="KB34">
        <f>IF($B34=0,1000000,IF(INDEX('計算A'!$D$60:$DS$104,$B34,71)*FK34=1,'計算A'!BV$6,1000000))</f>
        <v/>
      </c>
      <c r="KC34">
        <f>IF($B34=0,1000000,IF(INDEX('計算A'!$D$60:$DS$104,$B34,72)*FL34=1,'計算A'!BW$6,1000000))</f>
        <v/>
      </c>
      <c r="KD34">
        <f>IF($B34=0,1000000,IF(INDEX('計算A'!$D$60:$DS$104,$B34,73)*FM34=1,'計算A'!BX$6,1000000))</f>
        <v/>
      </c>
      <c r="KE34">
        <f>IF($B34=0,1000000,IF(INDEX('計算A'!$D$60:$DS$104,$B34,74)*FN34=1,'計算A'!BY$6,1000000))</f>
        <v/>
      </c>
      <c r="KF34">
        <f>IF($B34=0,1000000,IF(INDEX('計算A'!$D$60:$DS$104,$B34,75)*FO34=1,'計算A'!BZ$6,1000000))</f>
        <v/>
      </c>
      <c r="KG34">
        <f>IF($B34=0,1000000,IF(INDEX('計算A'!$D$60:$DS$104,$B34,76)*FP34=1,'計算A'!CA$6,1000000))</f>
        <v/>
      </c>
      <c r="KH34">
        <f>IF($B34=0,1000000,IF(INDEX('計算A'!$D$60:$DS$104,$B34,77)*FQ34=1,'計算A'!CB$6,1000000))</f>
        <v/>
      </c>
      <c r="KI34">
        <f>IF($B34=0,1000000,IF(INDEX('計算A'!$D$60:$DS$104,$B34,78)*FR34=1,'計算A'!CC$6,1000000))</f>
        <v/>
      </c>
      <c r="KJ34">
        <f>IF($B34=0,1000000,IF(INDEX('計算A'!$D$60:$DS$104,$B34,79)*FS34=1,'計算A'!CD$6,1000000))</f>
        <v/>
      </c>
      <c r="KK34">
        <f>IF($B34=0,1000000,IF(INDEX('計算A'!$D$60:$DS$104,$B34,80)*FT34=1,'計算A'!CE$6,1000000))</f>
        <v/>
      </c>
      <c r="KL34">
        <f>IF($B34=0,1000000,IF(INDEX('計算A'!$D$60:$DS$104,$B34,81)*FU34=1,'計算A'!CF$6,1000000))</f>
        <v/>
      </c>
      <c r="KM34">
        <f>IF($B34=0,1000000,IF(INDEX('計算A'!$D$60:$DS$104,$B34,82)*FV34=1,'計算A'!CG$6,1000000))</f>
        <v/>
      </c>
      <c r="KN34">
        <f>IF($B34=0,1000000,IF(INDEX('計算A'!$D$60:$DS$104,$B34,83)*FW34=1,'計算A'!CH$6,1000000))</f>
        <v/>
      </c>
      <c r="KO34">
        <f>IF($B34=0,1000000,IF(INDEX('計算A'!$D$60:$DS$104,$B34,84)*FX34=1,'計算A'!CI$6,1000000))</f>
        <v/>
      </c>
      <c r="KP34">
        <f>IF($B34=0,1000000,IF(INDEX('計算A'!$D$60:$DS$104,$B34,85)*FY34=1,'計算A'!CJ$6,1000000))</f>
        <v/>
      </c>
      <c r="KQ34">
        <f>IF($B34=0,1000000,IF(INDEX('計算A'!$D$60:$DS$104,$B34,86)*FZ34=1,'計算A'!CK$6,1000000))</f>
        <v/>
      </c>
      <c r="KR34">
        <f>IF($B34=0,1000000,IF(INDEX('計算A'!$D$60:$DS$104,$B34,87)*GA34=1,'計算A'!CL$6,1000000))</f>
        <v/>
      </c>
      <c r="KS34">
        <f>IF($B34=0,1000000,IF(INDEX('計算A'!$D$60:$DS$104,$B34,88)*GB34=1,'計算A'!CM$6,1000000))</f>
        <v/>
      </c>
      <c r="KT34">
        <f>IF($B34=0,1000000,IF(INDEX('計算A'!$D$60:$DS$104,$B34,89)*GC34=1,'計算A'!CN$6,1000000))</f>
        <v/>
      </c>
      <c r="KU34">
        <f>IF($B34=0,1000000,IF(INDEX('計算A'!$D$60:$DS$104,$B34,90)*GD34=1,'計算A'!CO$6,1000000))</f>
        <v/>
      </c>
      <c r="KV34">
        <f>IF($B34=0,1000000,IF(INDEX('計算A'!$D$60:$DS$104,$B34,91)*GE34=1,'計算A'!CP$6,1000000))</f>
        <v/>
      </c>
      <c r="KW34">
        <f>IF($B34=0,1000000,IF(INDEX('計算A'!$D$60:$DS$104,$B34,92)*GF34=1,'計算A'!CQ$6,1000000))</f>
        <v/>
      </c>
      <c r="KX34">
        <f>IF($B34=0,1000000,IF(INDEX('計算A'!$D$60:$DS$104,$B34,93)*GG34=1,'計算A'!CR$6,1000000))</f>
        <v/>
      </c>
      <c r="KY34">
        <f>IF($B34=0,1000000,IF(INDEX('計算A'!$D$60:$DS$104,$B34,94)*GH34=1,'計算A'!CS$6,1000000))</f>
        <v/>
      </c>
      <c r="KZ34">
        <f>IF($B34=0,1000000,IF(INDEX('計算A'!$D$60:$DS$104,$B34,95)*GI34=1,'計算A'!CT$6,1000000))</f>
        <v/>
      </c>
      <c r="LA34">
        <f>IF($B34=0,1000000,IF(INDEX('計算A'!$D$60:$DS$104,$B34,96)*GJ34=1,'計算A'!CU$6,1000000))</f>
        <v/>
      </c>
      <c r="LB34">
        <f>IF($B34=0,1000000,IF(INDEX('計算A'!$D$60:$DS$104,$B34,97)*GK34=1,'計算A'!CV$6,1000000))</f>
        <v/>
      </c>
      <c r="LC34">
        <f>IF($B34=0,1000000,IF(INDEX('計算A'!$D$60:$DS$104,$B34,98)*GL34=1,'計算A'!CW$6,1000000))</f>
        <v/>
      </c>
      <c r="LD34">
        <f>IF($B34=0,1000000,IF(INDEX('計算A'!$D$60:$DS$104,$B34,99)*GM34=1,'計算A'!CX$6,1000000))</f>
        <v/>
      </c>
      <c r="LE34">
        <f>IF($B34=0,1000000,IF(INDEX('計算A'!$D$60:$DS$104,$B34,100)*GN34=1,'計算A'!CY$6,1000000))</f>
        <v/>
      </c>
      <c r="LF34">
        <f>IF($B34=0,1000000,IF(INDEX('計算A'!$D$60:$DS$104,$B34,101)*GO34=1,'計算A'!CZ$6,1000000))</f>
        <v/>
      </c>
      <c r="LG34">
        <f>IF($B34=0,1000000,IF(INDEX('計算A'!$D$60:$DS$104,$B34,102)*GP34=1,'計算A'!DA$6,1000000))</f>
        <v/>
      </c>
      <c r="LH34">
        <f>IF($B34=0,1000000,IF(INDEX('計算A'!$D$60:$DS$104,$B34,103)*GQ34=1,'計算A'!DB$6,1000000))</f>
        <v/>
      </c>
      <c r="LI34">
        <f>IF($B34=0,1000000,IF(INDEX('計算A'!$D$60:$DS$104,$B34,104)*GR34=1,'計算A'!DC$6,1000000))</f>
        <v/>
      </c>
      <c r="LJ34">
        <f>IF($B34=0,1000000,IF(INDEX('計算A'!$D$60:$DS$104,$B34,105)*GS34=1,'計算A'!DD$6,1000000))</f>
        <v/>
      </c>
      <c r="LK34">
        <f>IF($B34=0,1000000,IF(INDEX('計算A'!$D$60:$DS$104,$B34,106)*GT34=1,'計算A'!DE$6,1000000))</f>
        <v/>
      </c>
      <c r="LL34">
        <f>IF($B34=0,1000000,IF(INDEX('計算A'!$D$60:$DS$104,$B34,107)*GU34=1,'計算A'!DF$6,1000000))</f>
        <v/>
      </c>
      <c r="LM34">
        <f>IF($B34=0,1000000,IF(INDEX('計算A'!$D$60:$DS$104,$B34,108)*GV34=1,'計算A'!DG$6,1000000))</f>
        <v/>
      </c>
      <c r="LN34">
        <f>IF($B34=0,1000000,IF(INDEX('計算A'!$D$60:$DS$104,$B34,109)*GW34=1,'計算A'!DH$6,1000000))</f>
        <v/>
      </c>
      <c r="LO34">
        <f>IF($B34=0,1000000,IF(INDEX('計算A'!$D$60:$DS$104,$B34,110)*GX34=1,'計算A'!DI$6,1000000))</f>
        <v/>
      </c>
      <c r="LP34">
        <f>IF($B34=0,1000000,IF(INDEX('計算A'!$D$60:$DS$104,$B34,111)*GY34=1,'計算A'!DJ$6,1000000))</f>
        <v/>
      </c>
      <c r="LQ34">
        <f>IF($B34=0,1000000,IF(INDEX('計算A'!$D$60:$DS$104,$B34,112)*GZ34=1,'計算A'!DK$6,1000000))</f>
        <v/>
      </c>
      <c r="LR34">
        <f>IF($B34=0,1000000,IF(INDEX('計算A'!$D$60:$DS$104,$B34,113)*HA34=1,'計算A'!DL$6,1000000))</f>
        <v/>
      </c>
      <c r="LS34">
        <f>IF($B34=0,1000000,IF(INDEX('計算A'!$D$60:$DS$104,$B34,114)*HB34=1,'計算A'!DM$6,1000000))</f>
        <v/>
      </c>
      <c r="LT34">
        <f>IF($B34=0,1000000,IF(INDEX('計算A'!$D$60:$DS$104,$B34,115)*HC34=1,'計算A'!DN$6,1000000))</f>
        <v/>
      </c>
      <c r="LU34">
        <f>IF($B34=0,1000000,IF(INDEX('計算A'!$D$60:$DS$104,$B34,116)*HD34=1,'計算A'!DO$6,1000000))</f>
        <v/>
      </c>
      <c r="LV34">
        <f>IF($B34=0,1000000,IF(INDEX('計算A'!$D$60:$DS$104,$B34,117)*HE34=1,'計算A'!DP$6,1000000))</f>
        <v/>
      </c>
      <c r="LW34">
        <f>IF($B34=0,1000000,IF(INDEX('計算A'!$D$60:$DS$104,$B34,118)*HF34=1,'計算A'!DQ$6,1000000))</f>
        <v/>
      </c>
      <c r="LX34">
        <f>IF($B34=0,1000000,IF(INDEX('計算A'!$D$60:$DS$104,$B34,119)*HG34=1,'計算A'!DR$6,1000000))</f>
        <v/>
      </c>
      <c r="LY34">
        <f>IF($B34=0,1000000,IF(INDEX('計算A'!$D$60:$DS$104,$B34,120)*HH34=1,'計算A'!DS$6,1000000))</f>
        <v/>
      </c>
    </row>
    <row r="35">
      <c r="A35" t="n">
        <v>33</v>
      </c>
      <c r="B35">
        <f>IF(MIN(AY35:CQ35)&gt;=1000000,0,MATCH(MIN(AY35:CQ35),AY35:CQ35,0))</f>
        <v/>
      </c>
      <c r="C35">
        <f>IF(MIN(HJ35:LY35)&gt;=1000000,0,MATCH(MIN(HJ35:LY35),HJ35:LY35,0))</f>
        <v/>
      </c>
      <c r="D35">
        <f>IF(C35&gt;0,INDEX('計算A'!$D$5:$DS$5,C35),0)</f>
        <v/>
      </c>
      <c r="E35">
        <f>MAX(E34,IF($B34=1,1,0))</f>
        <v/>
      </c>
      <c r="F35">
        <f>MAX(F34,IF($B34=2,1,0))</f>
        <v/>
      </c>
      <c r="G35">
        <f>MAX(G34,IF($B34=3,1,0))</f>
        <v/>
      </c>
      <c r="H35">
        <f>MAX(H34,IF($B34=4,1,0))</f>
        <v/>
      </c>
      <c r="I35">
        <f>MAX(I34,IF($B34=5,1,0))</f>
        <v/>
      </c>
      <c r="J35">
        <f>MAX(J34,IF($B34=6,1,0))</f>
        <v/>
      </c>
      <c r="K35">
        <f>MAX(K34,IF($B34=7,1,0))</f>
        <v/>
      </c>
      <c r="L35">
        <f>MAX(L34,IF($B34=8,1,0))</f>
        <v/>
      </c>
      <c r="M35">
        <f>MAX(M34,IF($B34=9,1,0))</f>
        <v/>
      </c>
      <c r="N35">
        <f>MAX(N34,IF($B34=10,1,0))</f>
        <v/>
      </c>
      <c r="O35">
        <f>MAX(O34,IF($B34=11,1,0))</f>
        <v/>
      </c>
      <c r="P35">
        <f>MAX(P34,IF($B34=12,1,0))</f>
        <v/>
      </c>
      <c r="Q35">
        <f>MAX(Q34,IF($B34=13,1,0))</f>
        <v/>
      </c>
      <c r="R35">
        <f>MAX(R34,IF($B34=14,1,0))</f>
        <v/>
      </c>
      <c r="S35">
        <f>MAX(S34,IF($B34=15,1,0))</f>
        <v/>
      </c>
      <c r="T35">
        <f>MAX(T34,IF($B34=16,1,0))</f>
        <v/>
      </c>
      <c r="U35">
        <f>MAX(U34,IF($B34=17,1,0))</f>
        <v/>
      </c>
      <c r="V35">
        <f>MAX(V34,IF($B34=18,1,0))</f>
        <v/>
      </c>
      <c r="W35">
        <f>MAX(W34,IF($B34=19,1,0))</f>
        <v/>
      </c>
      <c r="X35">
        <f>MAX(X34,IF($B34=20,1,0))</f>
        <v/>
      </c>
      <c r="Y35">
        <f>MAX(Y34,IF($B34=21,1,0))</f>
        <v/>
      </c>
      <c r="Z35">
        <f>MAX(Z34,IF($B34=22,1,0))</f>
        <v/>
      </c>
      <c r="AA35">
        <f>MAX(AA34,IF($B34=23,1,0))</f>
        <v/>
      </c>
      <c r="AB35">
        <f>MAX(AB34,IF($B34=24,1,0))</f>
        <v/>
      </c>
      <c r="AC35">
        <f>MAX(AC34,IF($B34=25,1,0))</f>
        <v/>
      </c>
      <c r="AD35">
        <f>MAX(AD34,IF($B34=26,1,0))</f>
        <v/>
      </c>
      <c r="AE35">
        <f>MAX(AE34,IF($B34=27,1,0))</f>
        <v/>
      </c>
      <c r="AF35">
        <f>MAX(AF34,IF($B34=28,1,0))</f>
        <v/>
      </c>
      <c r="AG35">
        <f>MAX(AG34,IF($B34=29,1,0))</f>
        <v/>
      </c>
      <c r="AH35">
        <f>MAX(AH34,IF($B34=30,1,0))</f>
        <v/>
      </c>
      <c r="AI35">
        <f>MAX(AI34,IF($B34=31,1,0))</f>
        <v/>
      </c>
      <c r="AJ35">
        <f>MAX(AJ34,IF($B34=32,1,0))</f>
        <v/>
      </c>
      <c r="AK35">
        <f>MAX(AK34,IF($B34=33,1,0))</f>
        <v/>
      </c>
      <c r="AL35">
        <f>MAX(AL34,IF($B34=34,1,0))</f>
        <v/>
      </c>
      <c r="AM35">
        <f>MAX(AM34,IF($B34=35,1,0))</f>
        <v/>
      </c>
      <c r="AN35">
        <f>MAX(AN34,IF($B34=36,1,0))</f>
        <v/>
      </c>
      <c r="AO35">
        <f>MAX(AO34,IF($B34=37,1,0))</f>
        <v/>
      </c>
      <c r="AP35">
        <f>MAX(AP34,IF($B34=38,1,0))</f>
        <v/>
      </c>
      <c r="AQ35">
        <f>MAX(AQ34,IF($B34=39,1,0))</f>
        <v/>
      </c>
      <c r="AR35">
        <f>MAX(AR34,IF($B34=40,1,0))</f>
        <v/>
      </c>
      <c r="AS35">
        <f>MAX(AS34,IF($B34=41,1,0))</f>
        <v/>
      </c>
      <c r="AT35">
        <f>MAX(AT34,IF($B34=42,1,0))</f>
        <v/>
      </c>
      <c r="AU35">
        <f>MAX(AU34,IF($B34=43,1,0))</f>
        <v/>
      </c>
      <c r="AV35">
        <f>MAX(AV34,IF($B34=44,1,0))</f>
        <v/>
      </c>
      <c r="AW35">
        <f>MAX(AW34,IF($B34=45,1,0))</f>
        <v/>
      </c>
      <c r="AY35">
        <f>IF(E35=1,1000000,SUMPRODUCT('計算A'!$D$60:$DS$60,$CS35:$HH35)*1000+1)</f>
        <v/>
      </c>
      <c r="AZ35">
        <f>IF(F35=1,1000000,SUMPRODUCT('計算A'!$D$61:$DS$61,$CS35:$HH35)*1000+2)</f>
        <v/>
      </c>
      <c r="BA35">
        <f>IF(G35=1,1000000,SUMPRODUCT('計算A'!$D$62:$DS$62,$CS35:$HH35)*1000+3)</f>
        <v/>
      </c>
      <c r="BB35">
        <f>IF(H35=1,1000000,SUMPRODUCT('計算A'!$D$63:$DS$63,$CS35:$HH35)*1000+4)</f>
        <v/>
      </c>
      <c r="BC35">
        <f>IF(I35=1,1000000,SUMPRODUCT('計算A'!$D$64:$DS$64,$CS35:$HH35)*1000+5)</f>
        <v/>
      </c>
      <c r="BD35">
        <f>IF(J35=1,1000000,SUMPRODUCT('計算A'!$D$65:$DS$65,$CS35:$HH35)*1000+6)</f>
        <v/>
      </c>
      <c r="BE35">
        <f>IF(K35=1,1000000,SUMPRODUCT('計算A'!$D$66:$DS$66,$CS35:$HH35)*1000+7)</f>
        <v/>
      </c>
      <c r="BF35">
        <f>IF(L35=1,1000000,SUMPRODUCT('計算A'!$D$67:$DS$67,$CS35:$HH35)*1000+8)</f>
        <v/>
      </c>
      <c r="BG35">
        <f>IF(M35=1,1000000,SUMPRODUCT('計算A'!$D$68:$DS$68,$CS35:$HH35)*1000+9)</f>
        <v/>
      </c>
      <c r="BH35">
        <f>IF(N35=1,1000000,SUMPRODUCT('計算A'!$D$69:$DS$69,$CS35:$HH35)*1000+10)</f>
        <v/>
      </c>
      <c r="BI35">
        <f>IF(O35=1,1000000,SUMPRODUCT('計算A'!$D$70:$DS$70,$CS35:$HH35)*1000+11)</f>
        <v/>
      </c>
      <c r="BJ35">
        <f>IF(P35=1,1000000,SUMPRODUCT('計算A'!$D$71:$DS$71,$CS35:$HH35)*1000+12)</f>
        <v/>
      </c>
      <c r="BK35">
        <f>IF(Q35=1,1000000,SUMPRODUCT('計算A'!$D$72:$DS$72,$CS35:$HH35)*1000+13)</f>
        <v/>
      </c>
      <c r="BL35">
        <f>IF(R35=1,1000000,SUMPRODUCT('計算A'!$D$73:$DS$73,$CS35:$HH35)*1000+14)</f>
        <v/>
      </c>
      <c r="BM35">
        <f>IF(S35=1,1000000,SUMPRODUCT('計算A'!$D$74:$DS$74,$CS35:$HH35)*1000+15)</f>
        <v/>
      </c>
      <c r="BN35">
        <f>IF(T35=1,1000000,SUMPRODUCT('計算A'!$D$75:$DS$75,$CS35:$HH35)*1000+16)</f>
        <v/>
      </c>
      <c r="BO35">
        <f>IF(U35=1,1000000,SUMPRODUCT('計算A'!$D$76:$DS$76,$CS35:$HH35)*1000+17)</f>
        <v/>
      </c>
      <c r="BP35">
        <f>IF(V35=1,1000000,SUMPRODUCT('計算A'!$D$77:$DS$77,$CS35:$HH35)*1000+18)</f>
        <v/>
      </c>
      <c r="BQ35">
        <f>IF(W35=1,1000000,SUMPRODUCT('計算A'!$D$78:$DS$78,$CS35:$HH35)*1000+19)</f>
        <v/>
      </c>
      <c r="BR35">
        <f>IF(X35=1,1000000,SUMPRODUCT('計算A'!$D$79:$DS$79,$CS35:$HH35)*1000+20)</f>
        <v/>
      </c>
      <c r="BS35">
        <f>IF(Y35=1,1000000,SUMPRODUCT('計算A'!$D$80:$DS$80,$CS35:$HH35)*1000+21)</f>
        <v/>
      </c>
      <c r="BT35">
        <f>IF(Z35=1,1000000,SUMPRODUCT('計算A'!$D$81:$DS$81,$CS35:$HH35)*1000+22)</f>
        <v/>
      </c>
      <c r="BU35">
        <f>IF(AA35=1,1000000,SUMPRODUCT('計算A'!$D$82:$DS$82,$CS35:$HH35)*1000+23)</f>
        <v/>
      </c>
      <c r="BV35">
        <f>IF(AB35=1,1000000,SUMPRODUCT('計算A'!$D$83:$DS$83,$CS35:$HH35)*1000+24)</f>
        <v/>
      </c>
      <c r="BW35">
        <f>IF(AC35=1,1000000,SUMPRODUCT('計算A'!$D$84:$DS$84,$CS35:$HH35)*1000+25)</f>
        <v/>
      </c>
      <c r="BX35">
        <f>IF(AD35=1,1000000,SUMPRODUCT('計算A'!$D$85:$DS$85,$CS35:$HH35)*1000+26)</f>
        <v/>
      </c>
      <c r="BY35">
        <f>IF(AE35=1,1000000,SUMPRODUCT('計算A'!$D$86:$DS$86,$CS35:$HH35)*1000+27)</f>
        <v/>
      </c>
      <c r="BZ35">
        <f>IF(AF35=1,1000000,SUMPRODUCT('計算A'!$D$87:$DS$87,$CS35:$HH35)*1000+28)</f>
        <v/>
      </c>
      <c r="CA35">
        <f>IF(AG35=1,1000000,SUMPRODUCT('計算A'!$D$88:$DS$88,$CS35:$HH35)*1000+29)</f>
        <v/>
      </c>
      <c r="CB35">
        <f>IF(AH35=1,1000000,SUMPRODUCT('計算A'!$D$89:$DS$89,$CS35:$HH35)*1000+30)</f>
        <v/>
      </c>
      <c r="CC35">
        <f>IF(AI35=1,1000000,SUMPRODUCT('計算A'!$D$90:$DS$90,$CS35:$HH35)*1000+31)</f>
        <v/>
      </c>
      <c r="CD35">
        <f>IF(AJ35=1,1000000,SUMPRODUCT('計算A'!$D$91:$DS$91,$CS35:$HH35)*1000+32)</f>
        <v/>
      </c>
      <c r="CE35">
        <f>IF(AK35=1,1000000,SUMPRODUCT('計算A'!$D$92:$DS$92,$CS35:$HH35)*1000+33)</f>
        <v/>
      </c>
      <c r="CF35">
        <f>IF(AL35=1,1000000,SUMPRODUCT('計算A'!$D$93:$DS$93,$CS35:$HH35)*1000+34)</f>
        <v/>
      </c>
      <c r="CG35">
        <f>IF(AM35=1,1000000,SUMPRODUCT('計算A'!$D$94:$DS$94,$CS35:$HH35)*1000+35)</f>
        <v/>
      </c>
      <c r="CH35">
        <f>IF(AN35=1,1000000,SUMPRODUCT('計算A'!$D$95:$DS$95,$CS35:$HH35)*1000+36)</f>
        <v/>
      </c>
      <c r="CI35">
        <f>IF(AO35=1,1000000,SUMPRODUCT('計算A'!$D$96:$DS$96,$CS35:$HH35)*1000+37)</f>
        <v/>
      </c>
      <c r="CJ35">
        <f>IF(AP35=1,1000000,SUMPRODUCT('計算A'!$D$97:$DS$97,$CS35:$HH35)*1000+38)</f>
        <v/>
      </c>
      <c r="CK35">
        <f>IF(AQ35=1,1000000,SUMPRODUCT('計算A'!$D$98:$DS$98,$CS35:$HH35)*1000+39)</f>
        <v/>
      </c>
      <c r="CL35">
        <f>IF(AR35=1,1000000,SUMPRODUCT('計算A'!$D$99:$DS$99,$CS35:$HH35)*1000+40)</f>
        <v/>
      </c>
      <c r="CM35">
        <f>IF(AS35=1,1000000,SUMPRODUCT('計算A'!$D$100:$DS$100,$CS35:$HH35)*1000+41)</f>
        <v/>
      </c>
      <c r="CN35">
        <f>IF(AT35=1,1000000,SUMPRODUCT('計算A'!$D$101:$DS$101,$CS35:$HH35)*1000+42)</f>
        <v/>
      </c>
      <c r="CO35">
        <f>IF(AU35=1,1000000,SUMPRODUCT('計算A'!$D$102:$DS$102,$CS35:$HH35)*1000+43)</f>
        <v/>
      </c>
      <c r="CP35">
        <f>IF(AV35=1,1000000,SUMPRODUCT('計算A'!$D$103:$DS$103,$CS35:$HH35)*1000+44)</f>
        <v/>
      </c>
      <c r="CQ35">
        <f>IF(AW35=1,1000000,SUMPRODUCT('計算A'!$D$104:$DS$104,$CS35:$HH35)*1000+45)</f>
        <v/>
      </c>
      <c r="CS35">
        <f>CS34*IF($C34=1,0,1)</f>
        <v/>
      </c>
      <c r="CT35">
        <f>CT34*IF($C34=2,0,1)</f>
        <v/>
      </c>
      <c r="CU35">
        <f>CU34*IF($C34=3,0,1)</f>
        <v/>
      </c>
      <c r="CV35">
        <f>CV34*IF($C34=4,0,1)</f>
        <v/>
      </c>
      <c r="CW35">
        <f>CW34*IF($C34=5,0,1)</f>
        <v/>
      </c>
      <c r="CX35">
        <f>CX34*IF($C34=6,0,1)</f>
        <v/>
      </c>
      <c r="CY35">
        <f>CY34*IF($C34=7,0,1)</f>
        <v/>
      </c>
      <c r="CZ35">
        <f>CZ34*IF($C34=8,0,1)</f>
        <v/>
      </c>
      <c r="DA35">
        <f>DA34*IF($C34=9,0,1)</f>
        <v/>
      </c>
      <c r="DB35">
        <f>DB34*IF($C34=10,0,1)</f>
        <v/>
      </c>
      <c r="DC35">
        <f>DC34*IF($C34=11,0,1)</f>
        <v/>
      </c>
      <c r="DD35">
        <f>DD34*IF($C34=12,0,1)</f>
        <v/>
      </c>
      <c r="DE35">
        <f>DE34*IF($C34=13,0,1)</f>
        <v/>
      </c>
      <c r="DF35">
        <f>DF34*IF($C34=14,0,1)</f>
        <v/>
      </c>
      <c r="DG35">
        <f>DG34*IF($C34=15,0,1)</f>
        <v/>
      </c>
      <c r="DH35">
        <f>DH34*IF($C34=16,0,1)</f>
        <v/>
      </c>
      <c r="DI35">
        <f>DI34*IF($C34=17,0,1)</f>
        <v/>
      </c>
      <c r="DJ35">
        <f>DJ34*IF($C34=18,0,1)</f>
        <v/>
      </c>
      <c r="DK35">
        <f>DK34*IF($C34=19,0,1)</f>
        <v/>
      </c>
      <c r="DL35">
        <f>DL34*IF($C34=20,0,1)</f>
        <v/>
      </c>
      <c r="DM35">
        <f>DM34*IF($C34=21,0,1)</f>
        <v/>
      </c>
      <c r="DN35">
        <f>DN34*IF($C34=22,0,1)</f>
        <v/>
      </c>
      <c r="DO35">
        <f>DO34*IF($C34=23,0,1)</f>
        <v/>
      </c>
      <c r="DP35">
        <f>DP34*IF($C34=24,0,1)</f>
        <v/>
      </c>
      <c r="DQ35">
        <f>DQ34*IF($C34=25,0,1)</f>
        <v/>
      </c>
      <c r="DR35">
        <f>DR34*IF($C34=26,0,1)</f>
        <v/>
      </c>
      <c r="DS35">
        <f>DS34*IF($C34=27,0,1)</f>
        <v/>
      </c>
      <c r="DT35">
        <f>DT34*IF($C34=28,0,1)</f>
        <v/>
      </c>
      <c r="DU35">
        <f>DU34*IF($C34=29,0,1)</f>
        <v/>
      </c>
      <c r="DV35">
        <f>DV34*IF($C34=30,0,1)</f>
        <v/>
      </c>
      <c r="DW35">
        <f>DW34*IF($C34=31,0,1)</f>
        <v/>
      </c>
      <c r="DX35">
        <f>DX34*IF($C34=32,0,1)</f>
        <v/>
      </c>
      <c r="DY35">
        <f>DY34*IF($C34=33,0,1)</f>
        <v/>
      </c>
      <c r="DZ35">
        <f>DZ34*IF($C34=34,0,1)</f>
        <v/>
      </c>
      <c r="EA35">
        <f>EA34*IF($C34=35,0,1)</f>
        <v/>
      </c>
      <c r="EB35">
        <f>EB34*IF($C34=36,0,1)</f>
        <v/>
      </c>
      <c r="EC35">
        <f>EC34*IF($C34=37,0,1)</f>
        <v/>
      </c>
      <c r="ED35">
        <f>ED34*IF($C34=38,0,1)</f>
        <v/>
      </c>
      <c r="EE35">
        <f>EE34*IF($C34=39,0,1)</f>
        <v/>
      </c>
      <c r="EF35">
        <f>EF34*IF($C34=40,0,1)</f>
        <v/>
      </c>
      <c r="EG35">
        <f>EG34*IF($C34=41,0,1)</f>
        <v/>
      </c>
      <c r="EH35">
        <f>EH34*IF($C34=42,0,1)</f>
        <v/>
      </c>
      <c r="EI35">
        <f>EI34*IF($C34=43,0,1)</f>
        <v/>
      </c>
      <c r="EJ35">
        <f>EJ34*IF($C34=44,0,1)</f>
        <v/>
      </c>
      <c r="EK35">
        <f>EK34*IF($C34=45,0,1)</f>
        <v/>
      </c>
      <c r="EL35">
        <f>EL34*IF($C34=46,0,1)</f>
        <v/>
      </c>
      <c r="EM35">
        <f>EM34*IF($C34=47,0,1)</f>
        <v/>
      </c>
      <c r="EN35">
        <f>EN34*IF($C34=48,0,1)</f>
        <v/>
      </c>
      <c r="EO35">
        <f>EO34*IF($C34=49,0,1)</f>
        <v/>
      </c>
      <c r="EP35">
        <f>EP34*IF($C34=50,0,1)</f>
        <v/>
      </c>
      <c r="EQ35">
        <f>EQ34*IF($C34=51,0,1)</f>
        <v/>
      </c>
      <c r="ER35">
        <f>ER34*IF($C34=52,0,1)</f>
        <v/>
      </c>
      <c r="ES35">
        <f>ES34*IF($C34=53,0,1)</f>
        <v/>
      </c>
      <c r="ET35">
        <f>ET34*IF($C34=54,0,1)</f>
        <v/>
      </c>
      <c r="EU35">
        <f>EU34*IF($C34=55,0,1)</f>
        <v/>
      </c>
      <c r="EV35">
        <f>EV34*IF($C34=56,0,1)</f>
        <v/>
      </c>
      <c r="EW35">
        <f>EW34*IF($C34=57,0,1)</f>
        <v/>
      </c>
      <c r="EX35">
        <f>EX34*IF($C34=58,0,1)</f>
        <v/>
      </c>
      <c r="EY35">
        <f>EY34*IF($C34=59,0,1)</f>
        <v/>
      </c>
      <c r="EZ35">
        <f>EZ34*IF($C34=60,0,1)</f>
        <v/>
      </c>
      <c r="FA35">
        <f>FA34*IF($C34=61,0,1)</f>
        <v/>
      </c>
      <c r="FB35">
        <f>FB34*IF($C34=62,0,1)</f>
        <v/>
      </c>
      <c r="FC35">
        <f>FC34*IF($C34=63,0,1)</f>
        <v/>
      </c>
      <c r="FD35">
        <f>FD34*IF($C34=64,0,1)</f>
        <v/>
      </c>
      <c r="FE35">
        <f>FE34*IF($C34=65,0,1)</f>
        <v/>
      </c>
      <c r="FF35">
        <f>FF34*IF($C34=66,0,1)</f>
        <v/>
      </c>
      <c r="FG35">
        <f>FG34*IF($C34=67,0,1)</f>
        <v/>
      </c>
      <c r="FH35">
        <f>FH34*IF($C34=68,0,1)</f>
        <v/>
      </c>
      <c r="FI35">
        <f>FI34*IF($C34=69,0,1)</f>
        <v/>
      </c>
      <c r="FJ35">
        <f>FJ34*IF($C34=70,0,1)</f>
        <v/>
      </c>
      <c r="FK35">
        <f>FK34*IF($C34=71,0,1)</f>
        <v/>
      </c>
      <c r="FL35">
        <f>FL34*IF($C34=72,0,1)</f>
        <v/>
      </c>
      <c r="FM35">
        <f>FM34*IF($C34=73,0,1)</f>
        <v/>
      </c>
      <c r="FN35">
        <f>FN34*IF($C34=74,0,1)</f>
        <v/>
      </c>
      <c r="FO35">
        <f>FO34*IF($C34=75,0,1)</f>
        <v/>
      </c>
      <c r="FP35">
        <f>FP34*IF($C34=76,0,1)</f>
        <v/>
      </c>
      <c r="FQ35">
        <f>FQ34*IF($C34=77,0,1)</f>
        <v/>
      </c>
      <c r="FR35">
        <f>FR34*IF($C34=78,0,1)</f>
        <v/>
      </c>
      <c r="FS35">
        <f>FS34*IF($C34=79,0,1)</f>
        <v/>
      </c>
      <c r="FT35">
        <f>FT34*IF($C34=80,0,1)</f>
        <v/>
      </c>
      <c r="FU35">
        <f>FU34*IF($C34=81,0,1)</f>
        <v/>
      </c>
      <c r="FV35">
        <f>FV34*IF($C34=82,0,1)</f>
        <v/>
      </c>
      <c r="FW35">
        <f>FW34*IF($C34=83,0,1)</f>
        <v/>
      </c>
      <c r="FX35">
        <f>FX34*IF($C34=84,0,1)</f>
        <v/>
      </c>
      <c r="FY35">
        <f>FY34*IF($C34=85,0,1)</f>
        <v/>
      </c>
      <c r="FZ35">
        <f>FZ34*IF($C34=86,0,1)</f>
        <v/>
      </c>
      <c r="GA35">
        <f>GA34*IF($C34=87,0,1)</f>
        <v/>
      </c>
      <c r="GB35">
        <f>GB34*IF($C34=88,0,1)</f>
        <v/>
      </c>
      <c r="GC35">
        <f>GC34*IF($C34=89,0,1)</f>
        <v/>
      </c>
      <c r="GD35">
        <f>GD34*IF($C34=90,0,1)</f>
        <v/>
      </c>
      <c r="GE35">
        <f>GE34*IF($C34=91,0,1)</f>
        <v/>
      </c>
      <c r="GF35">
        <f>GF34*IF($C34=92,0,1)</f>
        <v/>
      </c>
      <c r="GG35">
        <f>GG34*IF($C34=93,0,1)</f>
        <v/>
      </c>
      <c r="GH35">
        <f>GH34*IF($C34=94,0,1)</f>
        <v/>
      </c>
      <c r="GI35">
        <f>GI34*IF($C34=95,0,1)</f>
        <v/>
      </c>
      <c r="GJ35">
        <f>GJ34*IF($C34=96,0,1)</f>
        <v/>
      </c>
      <c r="GK35">
        <f>GK34*IF($C34=97,0,1)</f>
        <v/>
      </c>
      <c r="GL35">
        <f>GL34*IF($C34=98,0,1)</f>
        <v/>
      </c>
      <c r="GM35">
        <f>GM34*IF($C34=99,0,1)</f>
        <v/>
      </c>
      <c r="GN35">
        <f>GN34*IF($C34=100,0,1)</f>
        <v/>
      </c>
      <c r="GO35">
        <f>GO34*IF($C34=101,0,1)</f>
        <v/>
      </c>
      <c r="GP35">
        <f>GP34*IF($C34=102,0,1)</f>
        <v/>
      </c>
      <c r="GQ35">
        <f>GQ34*IF($C34=103,0,1)</f>
        <v/>
      </c>
      <c r="GR35">
        <f>GR34*IF($C34=104,0,1)</f>
        <v/>
      </c>
      <c r="GS35">
        <f>GS34*IF($C34=105,0,1)</f>
        <v/>
      </c>
      <c r="GT35">
        <f>GT34*IF($C34=106,0,1)</f>
        <v/>
      </c>
      <c r="GU35">
        <f>GU34*IF($C34=107,0,1)</f>
        <v/>
      </c>
      <c r="GV35">
        <f>GV34*IF($C34=108,0,1)</f>
        <v/>
      </c>
      <c r="GW35">
        <f>GW34*IF($C34=109,0,1)</f>
        <v/>
      </c>
      <c r="GX35">
        <f>GX34*IF($C34=110,0,1)</f>
        <v/>
      </c>
      <c r="GY35">
        <f>GY34*IF($C34=111,0,1)</f>
        <v/>
      </c>
      <c r="GZ35">
        <f>GZ34*IF($C34=112,0,1)</f>
        <v/>
      </c>
      <c r="HA35">
        <f>HA34*IF($C34=113,0,1)</f>
        <v/>
      </c>
      <c r="HB35">
        <f>HB34*IF($C34=114,0,1)</f>
        <v/>
      </c>
      <c r="HC35">
        <f>HC34*IF($C34=115,0,1)</f>
        <v/>
      </c>
      <c r="HD35">
        <f>HD34*IF($C34=116,0,1)</f>
        <v/>
      </c>
      <c r="HE35">
        <f>HE34*IF($C34=117,0,1)</f>
        <v/>
      </c>
      <c r="HF35">
        <f>HF34*IF($C34=118,0,1)</f>
        <v/>
      </c>
      <c r="HG35">
        <f>HG34*IF($C34=119,0,1)</f>
        <v/>
      </c>
      <c r="HH35">
        <f>HH34*IF($C34=120,0,1)</f>
        <v/>
      </c>
      <c r="HJ35">
        <f>IF($B35=0,1000000,IF(INDEX('計算A'!$D$60:$DS$104,$B35,1)*CS35=1,'計算A'!D$6,1000000))</f>
        <v/>
      </c>
      <c r="HK35">
        <f>IF($B35=0,1000000,IF(INDEX('計算A'!$D$60:$DS$104,$B35,2)*CT35=1,'計算A'!E$6,1000000))</f>
        <v/>
      </c>
      <c r="HL35">
        <f>IF($B35=0,1000000,IF(INDEX('計算A'!$D$60:$DS$104,$B35,3)*CU35=1,'計算A'!F$6,1000000))</f>
        <v/>
      </c>
      <c r="HM35">
        <f>IF($B35=0,1000000,IF(INDEX('計算A'!$D$60:$DS$104,$B35,4)*CV35=1,'計算A'!G$6,1000000))</f>
        <v/>
      </c>
      <c r="HN35">
        <f>IF($B35=0,1000000,IF(INDEX('計算A'!$D$60:$DS$104,$B35,5)*CW35=1,'計算A'!H$6,1000000))</f>
        <v/>
      </c>
      <c r="HO35">
        <f>IF($B35=0,1000000,IF(INDEX('計算A'!$D$60:$DS$104,$B35,6)*CX35=1,'計算A'!I$6,1000000))</f>
        <v/>
      </c>
      <c r="HP35">
        <f>IF($B35=0,1000000,IF(INDEX('計算A'!$D$60:$DS$104,$B35,7)*CY35=1,'計算A'!J$6,1000000))</f>
        <v/>
      </c>
      <c r="HQ35">
        <f>IF($B35=0,1000000,IF(INDEX('計算A'!$D$60:$DS$104,$B35,8)*CZ35=1,'計算A'!K$6,1000000))</f>
        <v/>
      </c>
      <c r="HR35">
        <f>IF($B35=0,1000000,IF(INDEX('計算A'!$D$60:$DS$104,$B35,9)*DA35=1,'計算A'!L$6,1000000))</f>
        <v/>
      </c>
      <c r="HS35">
        <f>IF($B35=0,1000000,IF(INDEX('計算A'!$D$60:$DS$104,$B35,10)*DB35=1,'計算A'!M$6,1000000))</f>
        <v/>
      </c>
      <c r="HT35">
        <f>IF($B35=0,1000000,IF(INDEX('計算A'!$D$60:$DS$104,$B35,11)*DC35=1,'計算A'!N$6,1000000))</f>
        <v/>
      </c>
      <c r="HU35">
        <f>IF($B35=0,1000000,IF(INDEX('計算A'!$D$60:$DS$104,$B35,12)*DD35=1,'計算A'!O$6,1000000))</f>
        <v/>
      </c>
      <c r="HV35">
        <f>IF($B35=0,1000000,IF(INDEX('計算A'!$D$60:$DS$104,$B35,13)*DE35=1,'計算A'!P$6,1000000))</f>
        <v/>
      </c>
      <c r="HW35">
        <f>IF($B35=0,1000000,IF(INDEX('計算A'!$D$60:$DS$104,$B35,14)*DF35=1,'計算A'!Q$6,1000000))</f>
        <v/>
      </c>
      <c r="HX35">
        <f>IF($B35=0,1000000,IF(INDEX('計算A'!$D$60:$DS$104,$B35,15)*DG35=1,'計算A'!R$6,1000000))</f>
        <v/>
      </c>
      <c r="HY35">
        <f>IF($B35=0,1000000,IF(INDEX('計算A'!$D$60:$DS$104,$B35,16)*DH35=1,'計算A'!S$6,1000000))</f>
        <v/>
      </c>
      <c r="HZ35">
        <f>IF($B35=0,1000000,IF(INDEX('計算A'!$D$60:$DS$104,$B35,17)*DI35=1,'計算A'!T$6,1000000))</f>
        <v/>
      </c>
      <c r="IA35">
        <f>IF($B35=0,1000000,IF(INDEX('計算A'!$D$60:$DS$104,$B35,18)*DJ35=1,'計算A'!U$6,1000000))</f>
        <v/>
      </c>
      <c r="IB35">
        <f>IF($B35=0,1000000,IF(INDEX('計算A'!$D$60:$DS$104,$B35,19)*DK35=1,'計算A'!V$6,1000000))</f>
        <v/>
      </c>
      <c r="IC35">
        <f>IF($B35=0,1000000,IF(INDEX('計算A'!$D$60:$DS$104,$B35,20)*DL35=1,'計算A'!W$6,1000000))</f>
        <v/>
      </c>
      <c r="ID35">
        <f>IF($B35=0,1000000,IF(INDEX('計算A'!$D$60:$DS$104,$B35,21)*DM35=1,'計算A'!X$6,1000000))</f>
        <v/>
      </c>
      <c r="IE35">
        <f>IF($B35=0,1000000,IF(INDEX('計算A'!$D$60:$DS$104,$B35,22)*DN35=1,'計算A'!Y$6,1000000))</f>
        <v/>
      </c>
      <c r="IF35">
        <f>IF($B35=0,1000000,IF(INDEX('計算A'!$D$60:$DS$104,$B35,23)*DO35=1,'計算A'!Z$6,1000000))</f>
        <v/>
      </c>
      <c r="IG35">
        <f>IF($B35=0,1000000,IF(INDEX('計算A'!$D$60:$DS$104,$B35,24)*DP35=1,'計算A'!AA$6,1000000))</f>
        <v/>
      </c>
      <c r="IH35">
        <f>IF($B35=0,1000000,IF(INDEX('計算A'!$D$60:$DS$104,$B35,25)*DQ35=1,'計算A'!AB$6,1000000))</f>
        <v/>
      </c>
      <c r="II35">
        <f>IF($B35=0,1000000,IF(INDEX('計算A'!$D$60:$DS$104,$B35,26)*DR35=1,'計算A'!AC$6,1000000))</f>
        <v/>
      </c>
      <c r="IJ35">
        <f>IF($B35=0,1000000,IF(INDEX('計算A'!$D$60:$DS$104,$B35,27)*DS35=1,'計算A'!AD$6,1000000))</f>
        <v/>
      </c>
      <c r="IK35">
        <f>IF($B35=0,1000000,IF(INDEX('計算A'!$D$60:$DS$104,$B35,28)*DT35=1,'計算A'!AE$6,1000000))</f>
        <v/>
      </c>
      <c r="IL35">
        <f>IF($B35=0,1000000,IF(INDEX('計算A'!$D$60:$DS$104,$B35,29)*DU35=1,'計算A'!AF$6,1000000))</f>
        <v/>
      </c>
      <c r="IM35">
        <f>IF($B35=0,1000000,IF(INDEX('計算A'!$D$60:$DS$104,$B35,30)*DV35=1,'計算A'!AG$6,1000000))</f>
        <v/>
      </c>
      <c r="IN35">
        <f>IF($B35=0,1000000,IF(INDEX('計算A'!$D$60:$DS$104,$B35,31)*DW35=1,'計算A'!AH$6,1000000))</f>
        <v/>
      </c>
      <c r="IO35">
        <f>IF($B35=0,1000000,IF(INDEX('計算A'!$D$60:$DS$104,$B35,32)*DX35=1,'計算A'!AI$6,1000000))</f>
        <v/>
      </c>
      <c r="IP35">
        <f>IF($B35=0,1000000,IF(INDEX('計算A'!$D$60:$DS$104,$B35,33)*DY35=1,'計算A'!AJ$6,1000000))</f>
        <v/>
      </c>
      <c r="IQ35">
        <f>IF($B35=0,1000000,IF(INDEX('計算A'!$D$60:$DS$104,$B35,34)*DZ35=1,'計算A'!AK$6,1000000))</f>
        <v/>
      </c>
      <c r="IR35">
        <f>IF($B35=0,1000000,IF(INDEX('計算A'!$D$60:$DS$104,$B35,35)*EA35=1,'計算A'!AL$6,1000000))</f>
        <v/>
      </c>
      <c r="IS35">
        <f>IF($B35=0,1000000,IF(INDEX('計算A'!$D$60:$DS$104,$B35,36)*EB35=1,'計算A'!AM$6,1000000))</f>
        <v/>
      </c>
      <c r="IT35">
        <f>IF($B35=0,1000000,IF(INDEX('計算A'!$D$60:$DS$104,$B35,37)*EC35=1,'計算A'!AN$6,1000000))</f>
        <v/>
      </c>
      <c r="IU35">
        <f>IF($B35=0,1000000,IF(INDEX('計算A'!$D$60:$DS$104,$B35,38)*ED35=1,'計算A'!AO$6,1000000))</f>
        <v/>
      </c>
      <c r="IV35">
        <f>IF($B35=0,1000000,IF(INDEX('計算A'!$D$60:$DS$104,$B35,39)*EE35=1,'計算A'!AP$6,1000000))</f>
        <v/>
      </c>
      <c r="IW35">
        <f>IF($B35=0,1000000,IF(INDEX('計算A'!$D$60:$DS$104,$B35,40)*EF35=1,'計算A'!AQ$6,1000000))</f>
        <v/>
      </c>
      <c r="IX35">
        <f>IF($B35=0,1000000,IF(INDEX('計算A'!$D$60:$DS$104,$B35,41)*EG35=1,'計算A'!AR$6,1000000))</f>
        <v/>
      </c>
      <c r="IY35">
        <f>IF($B35=0,1000000,IF(INDEX('計算A'!$D$60:$DS$104,$B35,42)*EH35=1,'計算A'!AS$6,1000000))</f>
        <v/>
      </c>
      <c r="IZ35">
        <f>IF($B35=0,1000000,IF(INDEX('計算A'!$D$60:$DS$104,$B35,43)*EI35=1,'計算A'!AT$6,1000000))</f>
        <v/>
      </c>
      <c r="JA35">
        <f>IF($B35=0,1000000,IF(INDEX('計算A'!$D$60:$DS$104,$B35,44)*EJ35=1,'計算A'!AU$6,1000000))</f>
        <v/>
      </c>
      <c r="JB35">
        <f>IF($B35=0,1000000,IF(INDEX('計算A'!$D$60:$DS$104,$B35,45)*EK35=1,'計算A'!AV$6,1000000))</f>
        <v/>
      </c>
      <c r="JC35">
        <f>IF($B35=0,1000000,IF(INDEX('計算A'!$D$60:$DS$104,$B35,46)*EL35=1,'計算A'!AW$6,1000000))</f>
        <v/>
      </c>
      <c r="JD35">
        <f>IF($B35=0,1000000,IF(INDEX('計算A'!$D$60:$DS$104,$B35,47)*EM35=1,'計算A'!AX$6,1000000))</f>
        <v/>
      </c>
      <c r="JE35">
        <f>IF($B35=0,1000000,IF(INDEX('計算A'!$D$60:$DS$104,$B35,48)*EN35=1,'計算A'!AY$6,1000000))</f>
        <v/>
      </c>
      <c r="JF35">
        <f>IF($B35=0,1000000,IF(INDEX('計算A'!$D$60:$DS$104,$B35,49)*EO35=1,'計算A'!AZ$6,1000000))</f>
        <v/>
      </c>
      <c r="JG35">
        <f>IF($B35=0,1000000,IF(INDEX('計算A'!$D$60:$DS$104,$B35,50)*EP35=1,'計算A'!BA$6,1000000))</f>
        <v/>
      </c>
      <c r="JH35">
        <f>IF($B35=0,1000000,IF(INDEX('計算A'!$D$60:$DS$104,$B35,51)*EQ35=1,'計算A'!BB$6,1000000))</f>
        <v/>
      </c>
      <c r="JI35">
        <f>IF($B35=0,1000000,IF(INDEX('計算A'!$D$60:$DS$104,$B35,52)*ER35=1,'計算A'!BC$6,1000000))</f>
        <v/>
      </c>
      <c r="JJ35">
        <f>IF($B35=0,1000000,IF(INDEX('計算A'!$D$60:$DS$104,$B35,53)*ES35=1,'計算A'!BD$6,1000000))</f>
        <v/>
      </c>
      <c r="JK35">
        <f>IF($B35=0,1000000,IF(INDEX('計算A'!$D$60:$DS$104,$B35,54)*ET35=1,'計算A'!BE$6,1000000))</f>
        <v/>
      </c>
      <c r="JL35">
        <f>IF($B35=0,1000000,IF(INDEX('計算A'!$D$60:$DS$104,$B35,55)*EU35=1,'計算A'!BF$6,1000000))</f>
        <v/>
      </c>
      <c r="JM35">
        <f>IF($B35=0,1000000,IF(INDEX('計算A'!$D$60:$DS$104,$B35,56)*EV35=1,'計算A'!BG$6,1000000))</f>
        <v/>
      </c>
      <c r="JN35">
        <f>IF($B35=0,1000000,IF(INDEX('計算A'!$D$60:$DS$104,$B35,57)*EW35=1,'計算A'!BH$6,1000000))</f>
        <v/>
      </c>
      <c r="JO35">
        <f>IF($B35=0,1000000,IF(INDEX('計算A'!$D$60:$DS$104,$B35,58)*EX35=1,'計算A'!BI$6,1000000))</f>
        <v/>
      </c>
      <c r="JP35">
        <f>IF($B35=0,1000000,IF(INDEX('計算A'!$D$60:$DS$104,$B35,59)*EY35=1,'計算A'!BJ$6,1000000))</f>
        <v/>
      </c>
      <c r="JQ35">
        <f>IF($B35=0,1000000,IF(INDEX('計算A'!$D$60:$DS$104,$B35,60)*EZ35=1,'計算A'!BK$6,1000000))</f>
        <v/>
      </c>
      <c r="JR35">
        <f>IF($B35=0,1000000,IF(INDEX('計算A'!$D$60:$DS$104,$B35,61)*FA35=1,'計算A'!BL$6,1000000))</f>
        <v/>
      </c>
      <c r="JS35">
        <f>IF($B35=0,1000000,IF(INDEX('計算A'!$D$60:$DS$104,$B35,62)*FB35=1,'計算A'!BM$6,1000000))</f>
        <v/>
      </c>
      <c r="JT35">
        <f>IF($B35=0,1000000,IF(INDEX('計算A'!$D$60:$DS$104,$B35,63)*FC35=1,'計算A'!BN$6,1000000))</f>
        <v/>
      </c>
      <c r="JU35">
        <f>IF($B35=0,1000000,IF(INDEX('計算A'!$D$60:$DS$104,$B35,64)*FD35=1,'計算A'!BO$6,1000000))</f>
        <v/>
      </c>
      <c r="JV35">
        <f>IF($B35=0,1000000,IF(INDEX('計算A'!$D$60:$DS$104,$B35,65)*FE35=1,'計算A'!BP$6,1000000))</f>
        <v/>
      </c>
      <c r="JW35">
        <f>IF($B35=0,1000000,IF(INDEX('計算A'!$D$60:$DS$104,$B35,66)*FF35=1,'計算A'!BQ$6,1000000))</f>
        <v/>
      </c>
      <c r="JX35">
        <f>IF($B35=0,1000000,IF(INDEX('計算A'!$D$60:$DS$104,$B35,67)*FG35=1,'計算A'!BR$6,1000000))</f>
        <v/>
      </c>
      <c r="JY35">
        <f>IF($B35=0,1000000,IF(INDEX('計算A'!$D$60:$DS$104,$B35,68)*FH35=1,'計算A'!BS$6,1000000))</f>
        <v/>
      </c>
      <c r="JZ35">
        <f>IF($B35=0,1000000,IF(INDEX('計算A'!$D$60:$DS$104,$B35,69)*FI35=1,'計算A'!BT$6,1000000))</f>
        <v/>
      </c>
      <c r="KA35">
        <f>IF($B35=0,1000000,IF(INDEX('計算A'!$D$60:$DS$104,$B35,70)*FJ35=1,'計算A'!BU$6,1000000))</f>
        <v/>
      </c>
      <c r="KB35">
        <f>IF($B35=0,1000000,IF(INDEX('計算A'!$D$60:$DS$104,$B35,71)*FK35=1,'計算A'!BV$6,1000000))</f>
        <v/>
      </c>
      <c r="KC35">
        <f>IF($B35=0,1000000,IF(INDEX('計算A'!$D$60:$DS$104,$B35,72)*FL35=1,'計算A'!BW$6,1000000))</f>
        <v/>
      </c>
      <c r="KD35">
        <f>IF($B35=0,1000000,IF(INDEX('計算A'!$D$60:$DS$104,$B35,73)*FM35=1,'計算A'!BX$6,1000000))</f>
        <v/>
      </c>
      <c r="KE35">
        <f>IF($B35=0,1000000,IF(INDEX('計算A'!$D$60:$DS$104,$B35,74)*FN35=1,'計算A'!BY$6,1000000))</f>
        <v/>
      </c>
      <c r="KF35">
        <f>IF($B35=0,1000000,IF(INDEX('計算A'!$D$60:$DS$104,$B35,75)*FO35=1,'計算A'!BZ$6,1000000))</f>
        <v/>
      </c>
      <c r="KG35">
        <f>IF($B35=0,1000000,IF(INDEX('計算A'!$D$60:$DS$104,$B35,76)*FP35=1,'計算A'!CA$6,1000000))</f>
        <v/>
      </c>
      <c r="KH35">
        <f>IF($B35=0,1000000,IF(INDEX('計算A'!$D$60:$DS$104,$B35,77)*FQ35=1,'計算A'!CB$6,1000000))</f>
        <v/>
      </c>
      <c r="KI35">
        <f>IF($B35=0,1000000,IF(INDEX('計算A'!$D$60:$DS$104,$B35,78)*FR35=1,'計算A'!CC$6,1000000))</f>
        <v/>
      </c>
      <c r="KJ35">
        <f>IF($B35=0,1000000,IF(INDEX('計算A'!$D$60:$DS$104,$B35,79)*FS35=1,'計算A'!CD$6,1000000))</f>
        <v/>
      </c>
      <c r="KK35">
        <f>IF($B35=0,1000000,IF(INDEX('計算A'!$D$60:$DS$104,$B35,80)*FT35=1,'計算A'!CE$6,1000000))</f>
        <v/>
      </c>
      <c r="KL35">
        <f>IF($B35=0,1000000,IF(INDEX('計算A'!$D$60:$DS$104,$B35,81)*FU35=1,'計算A'!CF$6,1000000))</f>
        <v/>
      </c>
      <c r="KM35">
        <f>IF($B35=0,1000000,IF(INDEX('計算A'!$D$60:$DS$104,$B35,82)*FV35=1,'計算A'!CG$6,1000000))</f>
        <v/>
      </c>
      <c r="KN35">
        <f>IF($B35=0,1000000,IF(INDEX('計算A'!$D$60:$DS$104,$B35,83)*FW35=1,'計算A'!CH$6,1000000))</f>
        <v/>
      </c>
      <c r="KO35">
        <f>IF($B35=0,1000000,IF(INDEX('計算A'!$D$60:$DS$104,$B35,84)*FX35=1,'計算A'!CI$6,1000000))</f>
        <v/>
      </c>
      <c r="KP35">
        <f>IF($B35=0,1000000,IF(INDEX('計算A'!$D$60:$DS$104,$B35,85)*FY35=1,'計算A'!CJ$6,1000000))</f>
        <v/>
      </c>
      <c r="KQ35">
        <f>IF($B35=0,1000000,IF(INDEX('計算A'!$D$60:$DS$104,$B35,86)*FZ35=1,'計算A'!CK$6,1000000))</f>
        <v/>
      </c>
      <c r="KR35">
        <f>IF($B35=0,1000000,IF(INDEX('計算A'!$D$60:$DS$104,$B35,87)*GA35=1,'計算A'!CL$6,1000000))</f>
        <v/>
      </c>
      <c r="KS35">
        <f>IF($B35=0,1000000,IF(INDEX('計算A'!$D$60:$DS$104,$B35,88)*GB35=1,'計算A'!CM$6,1000000))</f>
        <v/>
      </c>
      <c r="KT35">
        <f>IF($B35=0,1000000,IF(INDEX('計算A'!$D$60:$DS$104,$B35,89)*GC35=1,'計算A'!CN$6,1000000))</f>
        <v/>
      </c>
      <c r="KU35">
        <f>IF($B35=0,1000000,IF(INDEX('計算A'!$D$60:$DS$104,$B35,90)*GD35=1,'計算A'!CO$6,1000000))</f>
        <v/>
      </c>
      <c r="KV35">
        <f>IF($B35=0,1000000,IF(INDEX('計算A'!$D$60:$DS$104,$B35,91)*GE35=1,'計算A'!CP$6,1000000))</f>
        <v/>
      </c>
      <c r="KW35">
        <f>IF($B35=0,1000000,IF(INDEX('計算A'!$D$60:$DS$104,$B35,92)*GF35=1,'計算A'!CQ$6,1000000))</f>
        <v/>
      </c>
      <c r="KX35">
        <f>IF($B35=0,1000000,IF(INDEX('計算A'!$D$60:$DS$104,$B35,93)*GG35=1,'計算A'!CR$6,1000000))</f>
        <v/>
      </c>
      <c r="KY35">
        <f>IF($B35=0,1000000,IF(INDEX('計算A'!$D$60:$DS$104,$B35,94)*GH35=1,'計算A'!CS$6,1000000))</f>
        <v/>
      </c>
      <c r="KZ35">
        <f>IF($B35=0,1000000,IF(INDEX('計算A'!$D$60:$DS$104,$B35,95)*GI35=1,'計算A'!CT$6,1000000))</f>
        <v/>
      </c>
      <c r="LA35">
        <f>IF($B35=0,1000000,IF(INDEX('計算A'!$D$60:$DS$104,$B35,96)*GJ35=1,'計算A'!CU$6,1000000))</f>
        <v/>
      </c>
      <c r="LB35">
        <f>IF($B35=0,1000000,IF(INDEX('計算A'!$D$60:$DS$104,$B35,97)*GK35=1,'計算A'!CV$6,1000000))</f>
        <v/>
      </c>
      <c r="LC35">
        <f>IF($B35=0,1000000,IF(INDEX('計算A'!$D$60:$DS$104,$B35,98)*GL35=1,'計算A'!CW$6,1000000))</f>
        <v/>
      </c>
      <c r="LD35">
        <f>IF($B35=0,1000000,IF(INDEX('計算A'!$D$60:$DS$104,$B35,99)*GM35=1,'計算A'!CX$6,1000000))</f>
        <v/>
      </c>
      <c r="LE35">
        <f>IF($B35=0,1000000,IF(INDEX('計算A'!$D$60:$DS$104,$B35,100)*GN35=1,'計算A'!CY$6,1000000))</f>
        <v/>
      </c>
      <c r="LF35">
        <f>IF($B35=0,1000000,IF(INDEX('計算A'!$D$60:$DS$104,$B35,101)*GO35=1,'計算A'!CZ$6,1000000))</f>
        <v/>
      </c>
      <c r="LG35">
        <f>IF($B35=0,1000000,IF(INDEX('計算A'!$D$60:$DS$104,$B35,102)*GP35=1,'計算A'!DA$6,1000000))</f>
        <v/>
      </c>
      <c r="LH35">
        <f>IF($B35=0,1000000,IF(INDEX('計算A'!$D$60:$DS$104,$B35,103)*GQ35=1,'計算A'!DB$6,1000000))</f>
        <v/>
      </c>
      <c r="LI35">
        <f>IF($B35=0,1000000,IF(INDEX('計算A'!$D$60:$DS$104,$B35,104)*GR35=1,'計算A'!DC$6,1000000))</f>
        <v/>
      </c>
      <c r="LJ35">
        <f>IF($B35=0,1000000,IF(INDEX('計算A'!$D$60:$DS$104,$B35,105)*GS35=1,'計算A'!DD$6,1000000))</f>
        <v/>
      </c>
      <c r="LK35">
        <f>IF($B35=0,1000000,IF(INDEX('計算A'!$D$60:$DS$104,$B35,106)*GT35=1,'計算A'!DE$6,1000000))</f>
        <v/>
      </c>
      <c r="LL35">
        <f>IF($B35=0,1000000,IF(INDEX('計算A'!$D$60:$DS$104,$B35,107)*GU35=1,'計算A'!DF$6,1000000))</f>
        <v/>
      </c>
      <c r="LM35">
        <f>IF($B35=0,1000000,IF(INDEX('計算A'!$D$60:$DS$104,$B35,108)*GV35=1,'計算A'!DG$6,1000000))</f>
        <v/>
      </c>
      <c r="LN35">
        <f>IF($B35=0,1000000,IF(INDEX('計算A'!$D$60:$DS$104,$B35,109)*GW35=1,'計算A'!DH$6,1000000))</f>
        <v/>
      </c>
      <c r="LO35">
        <f>IF($B35=0,1000000,IF(INDEX('計算A'!$D$60:$DS$104,$B35,110)*GX35=1,'計算A'!DI$6,1000000))</f>
        <v/>
      </c>
      <c r="LP35">
        <f>IF($B35=0,1000000,IF(INDEX('計算A'!$D$60:$DS$104,$B35,111)*GY35=1,'計算A'!DJ$6,1000000))</f>
        <v/>
      </c>
      <c r="LQ35">
        <f>IF($B35=0,1000000,IF(INDEX('計算A'!$D$60:$DS$104,$B35,112)*GZ35=1,'計算A'!DK$6,1000000))</f>
        <v/>
      </c>
      <c r="LR35">
        <f>IF($B35=0,1000000,IF(INDEX('計算A'!$D$60:$DS$104,$B35,113)*HA35=1,'計算A'!DL$6,1000000))</f>
        <v/>
      </c>
      <c r="LS35">
        <f>IF($B35=0,1000000,IF(INDEX('計算A'!$D$60:$DS$104,$B35,114)*HB35=1,'計算A'!DM$6,1000000))</f>
        <v/>
      </c>
      <c r="LT35">
        <f>IF($B35=0,1000000,IF(INDEX('計算A'!$D$60:$DS$104,$B35,115)*HC35=1,'計算A'!DN$6,1000000))</f>
        <v/>
      </c>
      <c r="LU35">
        <f>IF($B35=0,1000000,IF(INDEX('計算A'!$D$60:$DS$104,$B35,116)*HD35=1,'計算A'!DO$6,1000000))</f>
        <v/>
      </c>
      <c r="LV35">
        <f>IF($B35=0,1000000,IF(INDEX('計算A'!$D$60:$DS$104,$B35,117)*HE35=1,'計算A'!DP$6,1000000))</f>
        <v/>
      </c>
      <c r="LW35">
        <f>IF($B35=0,1000000,IF(INDEX('計算A'!$D$60:$DS$104,$B35,118)*HF35=1,'計算A'!DQ$6,1000000))</f>
        <v/>
      </c>
      <c r="LX35">
        <f>IF($B35=0,1000000,IF(INDEX('計算A'!$D$60:$DS$104,$B35,119)*HG35=1,'計算A'!DR$6,1000000))</f>
        <v/>
      </c>
      <c r="LY35">
        <f>IF($B35=0,1000000,IF(INDEX('計算A'!$D$60:$DS$104,$B35,120)*HH35=1,'計算A'!DS$6,1000000))</f>
        <v/>
      </c>
    </row>
    <row r="36">
      <c r="A36" t="n">
        <v>34</v>
      </c>
      <c r="B36">
        <f>IF(MIN(AY36:CQ36)&gt;=1000000,0,MATCH(MIN(AY36:CQ36),AY36:CQ36,0))</f>
        <v/>
      </c>
      <c r="C36">
        <f>IF(MIN(HJ36:LY36)&gt;=1000000,0,MATCH(MIN(HJ36:LY36),HJ36:LY36,0))</f>
        <v/>
      </c>
      <c r="D36">
        <f>IF(C36&gt;0,INDEX('計算A'!$D$5:$DS$5,C36),0)</f>
        <v/>
      </c>
      <c r="E36">
        <f>MAX(E35,IF($B35=1,1,0))</f>
        <v/>
      </c>
      <c r="F36">
        <f>MAX(F35,IF($B35=2,1,0))</f>
        <v/>
      </c>
      <c r="G36">
        <f>MAX(G35,IF($B35=3,1,0))</f>
        <v/>
      </c>
      <c r="H36">
        <f>MAX(H35,IF($B35=4,1,0))</f>
        <v/>
      </c>
      <c r="I36">
        <f>MAX(I35,IF($B35=5,1,0))</f>
        <v/>
      </c>
      <c r="J36">
        <f>MAX(J35,IF($B35=6,1,0))</f>
        <v/>
      </c>
      <c r="K36">
        <f>MAX(K35,IF($B35=7,1,0))</f>
        <v/>
      </c>
      <c r="L36">
        <f>MAX(L35,IF($B35=8,1,0))</f>
        <v/>
      </c>
      <c r="M36">
        <f>MAX(M35,IF($B35=9,1,0))</f>
        <v/>
      </c>
      <c r="N36">
        <f>MAX(N35,IF($B35=10,1,0))</f>
        <v/>
      </c>
      <c r="O36">
        <f>MAX(O35,IF($B35=11,1,0))</f>
        <v/>
      </c>
      <c r="P36">
        <f>MAX(P35,IF($B35=12,1,0))</f>
        <v/>
      </c>
      <c r="Q36">
        <f>MAX(Q35,IF($B35=13,1,0))</f>
        <v/>
      </c>
      <c r="R36">
        <f>MAX(R35,IF($B35=14,1,0))</f>
        <v/>
      </c>
      <c r="S36">
        <f>MAX(S35,IF($B35=15,1,0))</f>
        <v/>
      </c>
      <c r="T36">
        <f>MAX(T35,IF($B35=16,1,0))</f>
        <v/>
      </c>
      <c r="U36">
        <f>MAX(U35,IF($B35=17,1,0))</f>
        <v/>
      </c>
      <c r="V36">
        <f>MAX(V35,IF($B35=18,1,0))</f>
        <v/>
      </c>
      <c r="W36">
        <f>MAX(W35,IF($B35=19,1,0))</f>
        <v/>
      </c>
      <c r="X36">
        <f>MAX(X35,IF($B35=20,1,0))</f>
        <v/>
      </c>
      <c r="Y36">
        <f>MAX(Y35,IF($B35=21,1,0))</f>
        <v/>
      </c>
      <c r="Z36">
        <f>MAX(Z35,IF($B35=22,1,0))</f>
        <v/>
      </c>
      <c r="AA36">
        <f>MAX(AA35,IF($B35=23,1,0))</f>
        <v/>
      </c>
      <c r="AB36">
        <f>MAX(AB35,IF($B35=24,1,0))</f>
        <v/>
      </c>
      <c r="AC36">
        <f>MAX(AC35,IF($B35=25,1,0))</f>
        <v/>
      </c>
      <c r="AD36">
        <f>MAX(AD35,IF($B35=26,1,0))</f>
        <v/>
      </c>
      <c r="AE36">
        <f>MAX(AE35,IF($B35=27,1,0))</f>
        <v/>
      </c>
      <c r="AF36">
        <f>MAX(AF35,IF($B35=28,1,0))</f>
        <v/>
      </c>
      <c r="AG36">
        <f>MAX(AG35,IF($B35=29,1,0))</f>
        <v/>
      </c>
      <c r="AH36">
        <f>MAX(AH35,IF($B35=30,1,0))</f>
        <v/>
      </c>
      <c r="AI36">
        <f>MAX(AI35,IF($B35=31,1,0))</f>
        <v/>
      </c>
      <c r="AJ36">
        <f>MAX(AJ35,IF($B35=32,1,0))</f>
        <v/>
      </c>
      <c r="AK36">
        <f>MAX(AK35,IF($B35=33,1,0))</f>
        <v/>
      </c>
      <c r="AL36">
        <f>MAX(AL35,IF($B35=34,1,0))</f>
        <v/>
      </c>
      <c r="AM36">
        <f>MAX(AM35,IF($B35=35,1,0))</f>
        <v/>
      </c>
      <c r="AN36">
        <f>MAX(AN35,IF($B35=36,1,0))</f>
        <v/>
      </c>
      <c r="AO36">
        <f>MAX(AO35,IF($B35=37,1,0))</f>
        <v/>
      </c>
      <c r="AP36">
        <f>MAX(AP35,IF($B35=38,1,0))</f>
        <v/>
      </c>
      <c r="AQ36">
        <f>MAX(AQ35,IF($B35=39,1,0))</f>
        <v/>
      </c>
      <c r="AR36">
        <f>MAX(AR35,IF($B35=40,1,0))</f>
        <v/>
      </c>
      <c r="AS36">
        <f>MAX(AS35,IF($B35=41,1,0))</f>
        <v/>
      </c>
      <c r="AT36">
        <f>MAX(AT35,IF($B35=42,1,0))</f>
        <v/>
      </c>
      <c r="AU36">
        <f>MAX(AU35,IF($B35=43,1,0))</f>
        <v/>
      </c>
      <c r="AV36">
        <f>MAX(AV35,IF($B35=44,1,0))</f>
        <v/>
      </c>
      <c r="AW36">
        <f>MAX(AW35,IF($B35=45,1,0))</f>
        <v/>
      </c>
      <c r="AY36">
        <f>IF(E36=1,1000000,SUMPRODUCT('計算A'!$D$60:$DS$60,$CS36:$HH36)*1000+1)</f>
        <v/>
      </c>
      <c r="AZ36">
        <f>IF(F36=1,1000000,SUMPRODUCT('計算A'!$D$61:$DS$61,$CS36:$HH36)*1000+2)</f>
        <v/>
      </c>
      <c r="BA36">
        <f>IF(G36=1,1000000,SUMPRODUCT('計算A'!$D$62:$DS$62,$CS36:$HH36)*1000+3)</f>
        <v/>
      </c>
      <c r="BB36">
        <f>IF(H36=1,1000000,SUMPRODUCT('計算A'!$D$63:$DS$63,$CS36:$HH36)*1000+4)</f>
        <v/>
      </c>
      <c r="BC36">
        <f>IF(I36=1,1000000,SUMPRODUCT('計算A'!$D$64:$DS$64,$CS36:$HH36)*1000+5)</f>
        <v/>
      </c>
      <c r="BD36">
        <f>IF(J36=1,1000000,SUMPRODUCT('計算A'!$D$65:$DS$65,$CS36:$HH36)*1000+6)</f>
        <v/>
      </c>
      <c r="BE36">
        <f>IF(K36=1,1000000,SUMPRODUCT('計算A'!$D$66:$DS$66,$CS36:$HH36)*1000+7)</f>
        <v/>
      </c>
      <c r="BF36">
        <f>IF(L36=1,1000000,SUMPRODUCT('計算A'!$D$67:$DS$67,$CS36:$HH36)*1000+8)</f>
        <v/>
      </c>
      <c r="BG36">
        <f>IF(M36=1,1000000,SUMPRODUCT('計算A'!$D$68:$DS$68,$CS36:$HH36)*1000+9)</f>
        <v/>
      </c>
      <c r="BH36">
        <f>IF(N36=1,1000000,SUMPRODUCT('計算A'!$D$69:$DS$69,$CS36:$HH36)*1000+10)</f>
        <v/>
      </c>
      <c r="BI36">
        <f>IF(O36=1,1000000,SUMPRODUCT('計算A'!$D$70:$DS$70,$CS36:$HH36)*1000+11)</f>
        <v/>
      </c>
      <c r="BJ36">
        <f>IF(P36=1,1000000,SUMPRODUCT('計算A'!$D$71:$DS$71,$CS36:$HH36)*1000+12)</f>
        <v/>
      </c>
      <c r="BK36">
        <f>IF(Q36=1,1000000,SUMPRODUCT('計算A'!$D$72:$DS$72,$CS36:$HH36)*1000+13)</f>
        <v/>
      </c>
      <c r="BL36">
        <f>IF(R36=1,1000000,SUMPRODUCT('計算A'!$D$73:$DS$73,$CS36:$HH36)*1000+14)</f>
        <v/>
      </c>
      <c r="BM36">
        <f>IF(S36=1,1000000,SUMPRODUCT('計算A'!$D$74:$DS$74,$CS36:$HH36)*1000+15)</f>
        <v/>
      </c>
      <c r="BN36">
        <f>IF(T36=1,1000000,SUMPRODUCT('計算A'!$D$75:$DS$75,$CS36:$HH36)*1000+16)</f>
        <v/>
      </c>
      <c r="BO36">
        <f>IF(U36=1,1000000,SUMPRODUCT('計算A'!$D$76:$DS$76,$CS36:$HH36)*1000+17)</f>
        <v/>
      </c>
      <c r="BP36">
        <f>IF(V36=1,1000000,SUMPRODUCT('計算A'!$D$77:$DS$77,$CS36:$HH36)*1000+18)</f>
        <v/>
      </c>
      <c r="BQ36">
        <f>IF(W36=1,1000000,SUMPRODUCT('計算A'!$D$78:$DS$78,$CS36:$HH36)*1000+19)</f>
        <v/>
      </c>
      <c r="BR36">
        <f>IF(X36=1,1000000,SUMPRODUCT('計算A'!$D$79:$DS$79,$CS36:$HH36)*1000+20)</f>
        <v/>
      </c>
      <c r="BS36">
        <f>IF(Y36=1,1000000,SUMPRODUCT('計算A'!$D$80:$DS$80,$CS36:$HH36)*1000+21)</f>
        <v/>
      </c>
      <c r="BT36">
        <f>IF(Z36=1,1000000,SUMPRODUCT('計算A'!$D$81:$DS$81,$CS36:$HH36)*1000+22)</f>
        <v/>
      </c>
      <c r="BU36">
        <f>IF(AA36=1,1000000,SUMPRODUCT('計算A'!$D$82:$DS$82,$CS36:$HH36)*1000+23)</f>
        <v/>
      </c>
      <c r="BV36">
        <f>IF(AB36=1,1000000,SUMPRODUCT('計算A'!$D$83:$DS$83,$CS36:$HH36)*1000+24)</f>
        <v/>
      </c>
      <c r="BW36">
        <f>IF(AC36=1,1000000,SUMPRODUCT('計算A'!$D$84:$DS$84,$CS36:$HH36)*1000+25)</f>
        <v/>
      </c>
      <c r="BX36">
        <f>IF(AD36=1,1000000,SUMPRODUCT('計算A'!$D$85:$DS$85,$CS36:$HH36)*1000+26)</f>
        <v/>
      </c>
      <c r="BY36">
        <f>IF(AE36=1,1000000,SUMPRODUCT('計算A'!$D$86:$DS$86,$CS36:$HH36)*1000+27)</f>
        <v/>
      </c>
      <c r="BZ36">
        <f>IF(AF36=1,1000000,SUMPRODUCT('計算A'!$D$87:$DS$87,$CS36:$HH36)*1000+28)</f>
        <v/>
      </c>
      <c r="CA36">
        <f>IF(AG36=1,1000000,SUMPRODUCT('計算A'!$D$88:$DS$88,$CS36:$HH36)*1000+29)</f>
        <v/>
      </c>
      <c r="CB36">
        <f>IF(AH36=1,1000000,SUMPRODUCT('計算A'!$D$89:$DS$89,$CS36:$HH36)*1000+30)</f>
        <v/>
      </c>
      <c r="CC36">
        <f>IF(AI36=1,1000000,SUMPRODUCT('計算A'!$D$90:$DS$90,$CS36:$HH36)*1000+31)</f>
        <v/>
      </c>
      <c r="CD36">
        <f>IF(AJ36=1,1000000,SUMPRODUCT('計算A'!$D$91:$DS$91,$CS36:$HH36)*1000+32)</f>
        <v/>
      </c>
      <c r="CE36">
        <f>IF(AK36=1,1000000,SUMPRODUCT('計算A'!$D$92:$DS$92,$CS36:$HH36)*1000+33)</f>
        <v/>
      </c>
      <c r="CF36">
        <f>IF(AL36=1,1000000,SUMPRODUCT('計算A'!$D$93:$DS$93,$CS36:$HH36)*1000+34)</f>
        <v/>
      </c>
      <c r="CG36">
        <f>IF(AM36=1,1000000,SUMPRODUCT('計算A'!$D$94:$DS$94,$CS36:$HH36)*1000+35)</f>
        <v/>
      </c>
      <c r="CH36">
        <f>IF(AN36=1,1000000,SUMPRODUCT('計算A'!$D$95:$DS$95,$CS36:$HH36)*1000+36)</f>
        <v/>
      </c>
      <c r="CI36">
        <f>IF(AO36=1,1000000,SUMPRODUCT('計算A'!$D$96:$DS$96,$CS36:$HH36)*1000+37)</f>
        <v/>
      </c>
      <c r="CJ36">
        <f>IF(AP36=1,1000000,SUMPRODUCT('計算A'!$D$97:$DS$97,$CS36:$HH36)*1000+38)</f>
        <v/>
      </c>
      <c r="CK36">
        <f>IF(AQ36=1,1000000,SUMPRODUCT('計算A'!$D$98:$DS$98,$CS36:$HH36)*1000+39)</f>
        <v/>
      </c>
      <c r="CL36">
        <f>IF(AR36=1,1000000,SUMPRODUCT('計算A'!$D$99:$DS$99,$CS36:$HH36)*1000+40)</f>
        <v/>
      </c>
      <c r="CM36">
        <f>IF(AS36=1,1000000,SUMPRODUCT('計算A'!$D$100:$DS$100,$CS36:$HH36)*1000+41)</f>
        <v/>
      </c>
      <c r="CN36">
        <f>IF(AT36=1,1000000,SUMPRODUCT('計算A'!$D$101:$DS$101,$CS36:$HH36)*1000+42)</f>
        <v/>
      </c>
      <c r="CO36">
        <f>IF(AU36=1,1000000,SUMPRODUCT('計算A'!$D$102:$DS$102,$CS36:$HH36)*1000+43)</f>
        <v/>
      </c>
      <c r="CP36">
        <f>IF(AV36=1,1000000,SUMPRODUCT('計算A'!$D$103:$DS$103,$CS36:$HH36)*1000+44)</f>
        <v/>
      </c>
      <c r="CQ36">
        <f>IF(AW36=1,1000000,SUMPRODUCT('計算A'!$D$104:$DS$104,$CS36:$HH36)*1000+45)</f>
        <v/>
      </c>
      <c r="CS36">
        <f>CS35*IF($C35=1,0,1)</f>
        <v/>
      </c>
      <c r="CT36">
        <f>CT35*IF($C35=2,0,1)</f>
        <v/>
      </c>
      <c r="CU36">
        <f>CU35*IF($C35=3,0,1)</f>
        <v/>
      </c>
      <c r="CV36">
        <f>CV35*IF($C35=4,0,1)</f>
        <v/>
      </c>
      <c r="CW36">
        <f>CW35*IF($C35=5,0,1)</f>
        <v/>
      </c>
      <c r="CX36">
        <f>CX35*IF($C35=6,0,1)</f>
        <v/>
      </c>
      <c r="CY36">
        <f>CY35*IF($C35=7,0,1)</f>
        <v/>
      </c>
      <c r="CZ36">
        <f>CZ35*IF($C35=8,0,1)</f>
        <v/>
      </c>
      <c r="DA36">
        <f>DA35*IF($C35=9,0,1)</f>
        <v/>
      </c>
      <c r="DB36">
        <f>DB35*IF($C35=10,0,1)</f>
        <v/>
      </c>
      <c r="DC36">
        <f>DC35*IF($C35=11,0,1)</f>
        <v/>
      </c>
      <c r="DD36">
        <f>DD35*IF($C35=12,0,1)</f>
        <v/>
      </c>
      <c r="DE36">
        <f>DE35*IF($C35=13,0,1)</f>
        <v/>
      </c>
      <c r="DF36">
        <f>DF35*IF($C35=14,0,1)</f>
        <v/>
      </c>
      <c r="DG36">
        <f>DG35*IF($C35=15,0,1)</f>
        <v/>
      </c>
      <c r="DH36">
        <f>DH35*IF($C35=16,0,1)</f>
        <v/>
      </c>
      <c r="DI36">
        <f>DI35*IF($C35=17,0,1)</f>
        <v/>
      </c>
      <c r="DJ36">
        <f>DJ35*IF($C35=18,0,1)</f>
        <v/>
      </c>
      <c r="DK36">
        <f>DK35*IF($C35=19,0,1)</f>
        <v/>
      </c>
      <c r="DL36">
        <f>DL35*IF($C35=20,0,1)</f>
        <v/>
      </c>
      <c r="DM36">
        <f>DM35*IF($C35=21,0,1)</f>
        <v/>
      </c>
      <c r="DN36">
        <f>DN35*IF($C35=22,0,1)</f>
        <v/>
      </c>
      <c r="DO36">
        <f>DO35*IF($C35=23,0,1)</f>
        <v/>
      </c>
      <c r="DP36">
        <f>DP35*IF($C35=24,0,1)</f>
        <v/>
      </c>
      <c r="DQ36">
        <f>DQ35*IF($C35=25,0,1)</f>
        <v/>
      </c>
      <c r="DR36">
        <f>DR35*IF($C35=26,0,1)</f>
        <v/>
      </c>
      <c r="DS36">
        <f>DS35*IF($C35=27,0,1)</f>
        <v/>
      </c>
      <c r="DT36">
        <f>DT35*IF($C35=28,0,1)</f>
        <v/>
      </c>
      <c r="DU36">
        <f>DU35*IF($C35=29,0,1)</f>
        <v/>
      </c>
      <c r="DV36">
        <f>DV35*IF($C35=30,0,1)</f>
        <v/>
      </c>
      <c r="DW36">
        <f>DW35*IF($C35=31,0,1)</f>
        <v/>
      </c>
      <c r="DX36">
        <f>DX35*IF($C35=32,0,1)</f>
        <v/>
      </c>
      <c r="DY36">
        <f>DY35*IF($C35=33,0,1)</f>
        <v/>
      </c>
      <c r="DZ36">
        <f>DZ35*IF($C35=34,0,1)</f>
        <v/>
      </c>
      <c r="EA36">
        <f>EA35*IF($C35=35,0,1)</f>
        <v/>
      </c>
      <c r="EB36">
        <f>EB35*IF($C35=36,0,1)</f>
        <v/>
      </c>
      <c r="EC36">
        <f>EC35*IF($C35=37,0,1)</f>
        <v/>
      </c>
      <c r="ED36">
        <f>ED35*IF($C35=38,0,1)</f>
        <v/>
      </c>
      <c r="EE36">
        <f>EE35*IF($C35=39,0,1)</f>
        <v/>
      </c>
      <c r="EF36">
        <f>EF35*IF($C35=40,0,1)</f>
        <v/>
      </c>
      <c r="EG36">
        <f>EG35*IF($C35=41,0,1)</f>
        <v/>
      </c>
      <c r="EH36">
        <f>EH35*IF($C35=42,0,1)</f>
        <v/>
      </c>
      <c r="EI36">
        <f>EI35*IF($C35=43,0,1)</f>
        <v/>
      </c>
      <c r="EJ36">
        <f>EJ35*IF($C35=44,0,1)</f>
        <v/>
      </c>
      <c r="EK36">
        <f>EK35*IF($C35=45,0,1)</f>
        <v/>
      </c>
      <c r="EL36">
        <f>EL35*IF($C35=46,0,1)</f>
        <v/>
      </c>
      <c r="EM36">
        <f>EM35*IF($C35=47,0,1)</f>
        <v/>
      </c>
      <c r="EN36">
        <f>EN35*IF($C35=48,0,1)</f>
        <v/>
      </c>
      <c r="EO36">
        <f>EO35*IF($C35=49,0,1)</f>
        <v/>
      </c>
      <c r="EP36">
        <f>EP35*IF($C35=50,0,1)</f>
        <v/>
      </c>
      <c r="EQ36">
        <f>EQ35*IF($C35=51,0,1)</f>
        <v/>
      </c>
      <c r="ER36">
        <f>ER35*IF($C35=52,0,1)</f>
        <v/>
      </c>
      <c r="ES36">
        <f>ES35*IF($C35=53,0,1)</f>
        <v/>
      </c>
      <c r="ET36">
        <f>ET35*IF($C35=54,0,1)</f>
        <v/>
      </c>
      <c r="EU36">
        <f>EU35*IF($C35=55,0,1)</f>
        <v/>
      </c>
      <c r="EV36">
        <f>EV35*IF($C35=56,0,1)</f>
        <v/>
      </c>
      <c r="EW36">
        <f>EW35*IF($C35=57,0,1)</f>
        <v/>
      </c>
      <c r="EX36">
        <f>EX35*IF($C35=58,0,1)</f>
        <v/>
      </c>
      <c r="EY36">
        <f>EY35*IF($C35=59,0,1)</f>
        <v/>
      </c>
      <c r="EZ36">
        <f>EZ35*IF($C35=60,0,1)</f>
        <v/>
      </c>
      <c r="FA36">
        <f>FA35*IF($C35=61,0,1)</f>
        <v/>
      </c>
      <c r="FB36">
        <f>FB35*IF($C35=62,0,1)</f>
        <v/>
      </c>
      <c r="FC36">
        <f>FC35*IF($C35=63,0,1)</f>
        <v/>
      </c>
      <c r="FD36">
        <f>FD35*IF($C35=64,0,1)</f>
        <v/>
      </c>
      <c r="FE36">
        <f>FE35*IF($C35=65,0,1)</f>
        <v/>
      </c>
      <c r="FF36">
        <f>FF35*IF($C35=66,0,1)</f>
        <v/>
      </c>
      <c r="FG36">
        <f>FG35*IF($C35=67,0,1)</f>
        <v/>
      </c>
      <c r="FH36">
        <f>FH35*IF($C35=68,0,1)</f>
        <v/>
      </c>
      <c r="FI36">
        <f>FI35*IF($C35=69,0,1)</f>
        <v/>
      </c>
      <c r="FJ36">
        <f>FJ35*IF($C35=70,0,1)</f>
        <v/>
      </c>
      <c r="FK36">
        <f>FK35*IF($C35=71,0,1)</f>
        <v/>
      </c>
      <c r="FL36">
        <f>FL35*IF($C35=72,0,1)</f>
        <v/>
      </c>
      <c r="FM36">
        <f>FM35*IF($C35=73,0,1)</f>
        <v/>
      </c>
      <c r="FN36">
        <f>FN35*IF($C35=74,0,1)</f>
        <v/>
      </c>
      <c r="FO36">
        <f>FO35*IF($C35=75,0,1)</f>
        <v/>
      </c>
      <c r="FP36">
        <f>FP35*IF($C35=76,0,1)</f>
        <v/>
      </c>
      <c r="FQ36">
        <f>FQ35*IF($C35=77,0,1)</f>
        <v/>
      </c>
      <c r="FR36">
        <f>FR35*IF($C35=78,0,1)</f>
        <v/>
      </c>
      <c r="FS36">
        <f>FS35*IF($C35=79,0,1)</f>
        <v/>
      </c>
      <c r="FT36">
        <f>FT35*IF($C35=80,0,1)</f>
        <v/>
      </c>
      <c r="FU36">
        <f>FU35*IF($C35=81,0,1)</f>
        <v/>
      </c>
      <c r="FV36">
        <f>FV35*IF($C35=82,0,1)</f>
        <v/>
      </c>
      <c r="FW36">
        <f>FW35*IF($C35=83,0,1)</f>
        <v/>
      </c>
      <c r="FX36">
        <f>FX35*IF($C35=84,0,1)</f>
        <v/>
      </c>
      <c r="FY36">
        <f>FY35*IF($C35=85,0,1)</f>
        <v/>
      </c>
      <c r="FZ36">
        <f>FZ35*IF($C35=86,0,1)</f>
        <v/>
      </c>
      <c r="GA36">
        <f>GA35*IF($C35=87,0,1)</f>
        <v/>
      </c>
      <c r="GB36">
        <f>GB35*IF($C35=88,0,1)</f>
        <v/>
      </c>
      <c r="GC36">
        <f>GC35*IF($C35=89,0,1)</f>
        <v/>
      </c>
      <c r="GD36">
        <f>GD35*IF($C35=90,0,1)</f>
        <v/>
      </c>
      <c r="GE36">
        <f>GE35*IF($C35=91,0,1)</f>
        <v/>
      </c>
      <c r="GF36">
        <f>GF35*IF($C35=92,0,1)</f>
        <v/>
      </c>
      <c r="GG36">
        <f>GG35*IF($C35=93,0,1)</f>
        <v/>
      </c>
      <c r="GH36">
        <f>GH35*IF($C35=94,0,1)</f>
        <v/>
      </c>
      <c r="GI36">
        <f>GI35*IF($C35=95,0,1)</f>
        <v/>
      </c>
      <c r="GJ36">
        <f>GJ35*IF($C35=96,0,1)</f>
        <v/>
      </c>
      <c r="GK36">
        <f>GK35*IF($C35=97,0,1)</f>
        <v/>
      </c>
      <c r="GL36">
        <f>GL35*IF($C35=98,0,1)</f>
        <v/>
      </c>
      <c r="GM36">
        <f>GM35*IF($C35=99,0,1)</f>
        <v/>
      </c>
      <c r="GN36">
        <f>GN35*IF($C35=100,0,1)</f>
        <v/>
      </c>
      <c r="GO36">
        <f>GO35*IF($C35=101,0,1)</f>
        <v/>
      </c>
      <c r="GP36">
        <f>GP35*IF($C35=102,0,1)</f>
        <v/>
      </c>
      <c r="GQ36">
        <f>GQ35*IF($C35=103,0,1)</f>
        <v/>
      </c>
      <c r="GR36">
        <f>GR35*IF($C35=104,0,1)</f>
        <v/>
      </c>
      <c r="GS36">
        <f>GS35*IF($C35=105,0,1)</f>
        <v/>
      </c>
      <c r="GT36">
        <f>GT35*IF($C35=106,0,1)</f>
        <v/>
      </c>
      <c r="GU36">
        <f>GU35*IF($C35=107,0,1)</f>
        <v/>
      </c>
      <c r="GV36">
        <f>GV35*IF($C35=108,0,1)</f>
        <v/>
      </c>
      <c r="GW36">
        <f>GW35*IF($C35=109,0,1)</f>
        <v/>
      </c>
      <c r="GX36">
        <f>GX35*IF($C35=110,0,1)</f>
        <v/>
      </c>
      <c r="GY36">
        <f>GY35*IF($C35=111,0,1)</f>
        <v/>
      </c>
      <c r="GZ36">
        <f>GZ35*IF($C35=112,0,1)</f>
        <v/>
      </c>
      <c r="HA36">
        <f>HA35*IF($C35=113,0,1)</f>
        <v/>
      </c>
      <c r="HB36">
        <f>HB35*IF($C35=114,0,1)</f>
        <v/>
      </c>
      <c r="HC36">
        <f>HC35*IF($C35=115,0,1)</f>
        <v/>
      </c>
      <c r="HD36">
        <f>HD35*IF($C35=116,0,1)</f>
        <v/>
      </c>
      <c r="HE36">
        <f>HE35*IF($C35=117,0,1)</f>
        <v/>
      </c>
      <c r="HF36">
        <f>HF35*IF($C35=118,0,1)</f>
        <v/>
      </c>
      <c r="HG36">
        <f>HG35*IF($C35=119,0,1)</f>
        <v/>
      </c>
      <c r="HH36">
        <f>HH35*IF($C35=120,0,1)</f>
        <v/>
      </c>
      <c r="HJ36">
        <f>IF($B36=0,1000000,IF(INDEX('計算A'!$D$60:$DS$104,$B36,1)*CS36=1,'計算A'!D$6,1000000))</f>
        <v/>
      </c>
      <c r="HK36">
        <f>IF($B36=0,1000000,IF(INDEX('計算A'!$D$60:$DS$104,$B36,2)*CT36=1,'計算A'!E$6,1000000))</f>
        <v/>
      </c>
      <c r="HL36">
        <f>IF($B36=0,1000000,IF(INDEX('計算A'!$D$60:$DS$104,$B36,3)*CU36=1,'計算A'!F$6,1000000))</f>
        <v/>
      </c>
      <c r="HM36">
        <f>IF($B36=0,1000000,IF(INDEX('計算A'!$D$60:$DS$104,$B36,4)*CV36=1,'計算A'!G$6,1000000))</f>
        <v/>
      </c>
      <c r="HN36">
        <f>IF($B36=0,1000000,IF(INDEX('計算A'!$D$60:$DS$104,$B36,5)*CW36=1,'計算A'!H$6,1000000))</f>
        <v/>
      </c>
      <c r="HO36">
        <f>IF($B36=0,1000000,IF(INDEX('計算A'!$D$60:$DS$104,$B36,6)*CX36=1,'計算A'!I$6,1000000))</f>
        <v/>
      </c>
      <c r="HP36">
        <f>IF($B36=0,1000000,IF(INDEX('計算A'!$D$60:$DS$104,$B36,7)*CY36=1,'計算A'!J$6,1000000))</f>
        <v/>
      </c>
      <c r="HQ36">
        <f>IF($B36=0,1000000,IF(INDEX('計算A'!$D$60:$DS$104,$B36,8)*CZ36=1,'計算A'!K$6,1000000))</f>
        <v/>
      </c>
      <c r="HR36">
        <f>IF($B36=0,1000000,IF(INDEX('計算A'!$D$60:$DS$104,$B36,9)*DA36=1,'計算A'!L$6,1000000))</f>
        <v/>
      </c>
      <c r="HS36">
        <f>IF($B36=0,1000000,IF(INDEX('計算A'!$D$60:$DS$104,$B36,10)*DB36=1,'計算A'!M$6,1000000))</f>
        <v/>
      </c>
      <c r="HT36">
        <f>IF($B36=0,1000000,IF(INDEX('計算A'!$D$60:$DS$104,$B36,11)*DC36=1,'計算A'!N$6,1000000))</f>
        <v/>
      </c>
      <c r="HU36">
        <f>IF($B36=0,1000000,IF(INDEX('計算A'!$D$60:$DS$104,$B36,12)*DD36=1,'計算A'!O$6,1000000))</f>
        <v/>
      </c>
      <c r="HV36">
        <f>IF($B36=0,1000000,IF(INDEX('計算A'!$D$60:$DS$104,$B36,13)*DE36=1,'計算A'!P$6,1000000))</f>
        <v/>
      </c>
      <c r="HW36">
        <f>IF($B36=0,1000000,IF(INDEX('計算A'!$D$60:$DS$104,$B36,14)*DF36=1,'計算A'!Q$6,1000000))</f>
        <v/>
      </c>
      <c r="HX36">
        <f>IF($B36=0,1000000,IF(INDEX('計算A'!$D$60:$DS$104,$B36,15)*DG36=1,'計算A'!R$6,1000000))</f>
        <v/>
      </c>
      <c r="HY36">
        <f>IF($B36=0,1000000,IF(INDEX('計算A'!$D$60:$DS$104,$B36,16)*DH36=1,'計算A'!S$6,1000000))</f>
        <v/>
      </c>
      <c r="HZ36">
        <f>IF($B36=0,1000000,IF(INDEX('計算A'!$D$60:$DS$104,$B36,17)*DI36=1,'計算A'!T$6,1000000))</f>
        <v/>
      </c>
      <c r="IA36">
        <f>IF($B36=0,1000000,IF(INDEX('計算A'!$D$60:$DS$104,$B36,18)*DJ36=1,'計算A'!U$6,1000000))</f>
        <v/>
      </c>
      <c r="IB36">
        <f>IF($B36=0,1000000,IF(INDEX('計算A'!$D$60:$DS$104,$B36,19)*DK36=1,'計算A'!V$6,1000000))</f>
        <v/>
      </c>
      <c r="IC36">
        <f>IF($B36=0,1000000,IF(INDEX('計算A'!$D$60:$DS$104,$B36,20)*DL36=1,'計算A'!W$6,1000000))</f>
        <v/>
      </c>
      <c r="ID36">
        <f>IF($B36=0,1000000,IF(INDEX('計算A'!$D$60:$DS$104,$B36,21)*DM36=1,'計算A'!X$6,1000000))</f>
        <v/>
      </c>
      <c r="IE36">
        <f>IF($B36=0,1000000,IF(INDEX('計算A'!$D$60:$DS$104,$B36,22)*DN36=1,'計算A'!Y$6,1000000))</f>
        <v/>
      </c>
      <c r="IF36">
        <f>IF($B36=0,1000000,IF(INDEX('計算A'!$D$60:$DS$104,$B36,23)*DO36=1,'計算A'!Z$6,1000000))</f>
        <v/>
      </c>
      <c r="IG36">
        <f>IF($B36=0,1000000,IF(INDEX('計算A'!$D$60:$DS$104,$B36,24)*DP36=1,'計算A'!AA$6,1000000))</f>
        <v/>
      </c>
      <c r="IH36">
        <f>IF($B36=0,1000000,IF(INDEX('計算A'!$D$60:$DS$104,$B36,25)*DQ36=1,'計算A'!AB$6,1000000))</f>
        <v/>
      </c>
      <c r="II36">
        <f>IF($B36=0,1000000,IF(INDEX('計算A'!$D$60:$DS$104,$B36,26)*DR36=1,'計算A'!AC$6,1000000))</f>
        <v/>
      </c>
      <c r="IJ36">
        <f>IF($B36=0,1000000,IF(INDEX('計算A'!$D$60:$DS$104,$B36,27)*DS36=1,'計算A'!AD$6,1000000))</f>
        <v/>
      </c>
      <c r="IK36">
        <f>IF($B36=0,1000000,IF(INDEX('計算A'!$D$60:$DS$104,$B36,28)*DT36=1,'計算A'!AE$6,1000000))</f>
        <v/>
      </c>
      <c r="IL36">
        <f>IF($B36=0,1000000,IF(INDEX('計算A'!$D$60:$DS$104,$B36,29)*DU36=1,'計算A'!AF$6,1000000))</f>
        <v/>
      </c>
      <c r="IM36">
        <f>IF($B36=0,1000000,IF(INDEX('計算A'!$D$60:$DS$104,$B36,30)*DV36=1,'計算A'!AG$6,1000000))</f>
        <v/>
      </c>
      <c r="IN36">
        <f>IF($B36=0,1000000,IF(INDEX('計算A'!$D$60:$DS$104,$B36,31)*DW36=1,'計算A'!AH$6,1000000))</f>
        <v/>
      </c>
      <c r="IO36">
        <f>IF($B36=0,1000000,IF(INDEX('計算A'!$D$60:$DS$104,$B36,32)*DX36=1,'計算A'!AI$6,1000000))</f>
        <v/>
      </c>
      <c r="IP36">
        <f>IF($B36=0,1000000,IF(INDEX('計算A'!$D$60:$DS$104,$B36,33)*DY36=1,'計算A'!AJ$6,1000000))</f>
        <v/>
      </c>
      <c r="IQ36">
        <f>IF($B36=0,1000000,IF(INDEX('計算A'!$D$60:$DS$104,$B36,34)*DZ36=1,'計算A'!AK$6,1000000))</f>
        <v/>
      </c>
      <c r="IR36">
        <f>IF($B36=0,1000000,IF(INDEX('計算A'!$D$60:$DS$104,$B36,35)*EA36=1,'計算A'!AL$6,1000000))</f>
        <v/>
      </c>
      <c r="IS36">
        <f>IF($B36=0,1000000,IF(INDEX('計算A'!$D$60:$DS$104,$B36,36)*EB36=1,'計算A'!AM$6,1000000))</f>
        <v/>
      </c>
      <c r="IT36">
        <f>IF($B36=0,1000000,IF(INDEX('計算A'!$D$60:$DS$104,$B36,37)*EC36=1,'計算A'!AN$6,1000000))</f>
        <v/>
      </c>
      <c r="IU36">
        <f>IF($B36=0,1000000,IF(INDEX('計算A'!$D$60:$DS$104,$B36,38)*ED36=1,'計算A'!AO$6,1000000))</f>
        <v/>
      </c>
      <c r="IV36">
        <f>IF($B36=0,1000000,IF(INDEX('計算A'!$D$60:$DS$104,$B36,39)*EE36=1,'計算A'!AP$6,1000000))</f>
        <v/>
      </c>
      <c r="IW36">
        <f>IF($B36=0,1000000,IF(INDEX('計算A'!$D$60:$DS$104,$B36,40)*EF36=1,'計算A'!AQ$6,1000000))</f>
        <v/>
      </c>
      <c r="IX36">
        <f>IF($B36=0,1000000,IF(INDEX('計算A'!$D$60:$DS$104,$B36,41)*EG36=1,'計算A'!AR$6,1000000))</f>
        <v/>
      </c>
      <c r="IY36">
        <f>IF($B36=0,1000000,IF(INDEX('計算A'!$D$60:$DS$104,$B36,42)*EH36=1,'計算A'!AS$6,1000000))</f>
        <v/>
      </c>
      <c r="IZ36">
        <f>IF($B36=0,1000000,IF(INDEX('計算A'!$D$60:$DS$104,$B36,43)*EI36=1,'計算A'!AT$6,1000000))</f>
        <v/>
      </c>
      <c r="JA36">
        <f>IF($B36=0,1000000,IF(INDEX('計算A'!$D$60:$DS$104,$B36,44)*EJ36=1,'計算A'!AU$6,1000000))</f>
        <v/>
      </c>
      <c r="JB36">
        <f>IF($B36=0,1000000,IF(INDEX('計算A'!$D$60:$DS$104,$B36,45)*EK36=1,'計算A'!AV$6,1000000))</f>
        <v/>
      </c>
      <c r="JC36">
        <f>IF($B36=0,1000000,IF(INDEX('計算A'!$D$60:$DS$104,$B36,46)*EL36=1,'計算A'!AW$6,1000000))</f>
        <v/>
      </c>
      <c r="JD36">
        <f>IF($B36=0,1000000,IF(INDEX('計算A'!$D$60:$DS$104,$B36,47)*EM36=1,'計算A'!AX$6,1000000))</f>
        <v/>
      </c>
      <c r="JE36">
        <f>IF($B36=0,1000000,IF(INDEX('計算A'!$D$60:$DS$104,$B36,48)*EN36=1,'計算A'!AY$6,1000000))</f>
        <v/>
      </c>
      <c r="JF36">
        <f>IF($B36=0,1000000,IF(INDEX('計算A'!$D$60:$DS$104,$B36,49)*EO36=1,'計算A'!AZ$6,1000000))</f>
        <v/>
      </c>
      <c r="JG36">
        <f>IF($B36=0,1000000,IF(INDEX('計算A'!$D$60:$DS$104,$B36,50)*EP36=1,'計算A'!BA$6,1000000))</f>
        <v/>
      </c>
      <c r="JH36">
        <f>IF($B36=0,1000000,IF(INDEX('計算A'!$D$60:$DS$104,$B36,51)*EQ36=1,'計算A'!BB$6,1000000))</f>
        <v/>
      </c>
      <c r="JI36">
        <f>IF($B36=0,1000000,IF(INDEX('計算A'!$D$60:$DS$104,$B36,52)*ER36=1,'計算A'!BC$6,1000000))</f>
        <v/>
      </c>
      <c r="JJ36">
        <f>IF($B36=0,1000000,IF(INDEX('計算A'!$D$60:$DS$104,$B36,53)*ES36=1,'計算A'!BD$6,1000000))</f>
        <v/>
      </c>
      <c r="JK36">
        <f>IF($B36=0,1000000,IF(INDEX('計算A'!$D$60:$DS$104,$B36,54)*ET36=1,'計算A'!BE$6,1000000))</f>
        <v/>
      </c>
      <c r="JL36">
        <f>IF($B36=0,1000000,IF(INDEX('計算A'!$D$60:$DS$104,$B36,55)*EU36=1,'計算A'!BF$6,1000000))</f>
        <v/>
      </c>
      <c r="JM36">
        <f>IF($B36=0,1000000,IF(INDEX('計算A'!$D$60:$DS$104,$B36,56)*EV36=1,'計算A'!BG$6,1000000))</f>
        <v/>
      </c>
      <c r="JN36">
        <f>IF($B36=0,1000000,IF(INDEX('計算A'!$D$60:$DS$104,$B36,57)*EW36=1,'計算A'!BH$6,1000000))</f>
        <v/>
      </c>
      <c r="JO36">
        <f>IF($B36=0,1000000,IF(INDEX('計算A'!$D$60:$DS$104,$B36,58)*EX36=1,'計算A'!BI$6,1000000))</f>
        <v/>
      </c>
      <c r="JP36">
        <f>IF($B36=0,1000000,IF(INDEX('計算A'!$D$60:$DS$104,$B36,59)*EY36=1,'計算A'!BJ$6,1000000))</f>
        <v/>
      </c>
      <c r="JQ36">
        <f>IF($B36=0,1000000,IF(INDEX('計算A'!$D$60:$DS$104,$B36,60)*EZ36=1,'計算A'!BK$6,1000000))</f>
        <v/>
      </c>
      <c r="JR36">
        <f>IF($B36=0,1000000,IF(INDEX('計算A'!$D$60:$DS$104,$B36,61)*FA36=1,'計算A'!BL$6,1000000))</f>
        <v/>
      </c>
      <c r="JS36">
        <f>IF($B36=0,1000000,IF(INDEX('計算A'!$D$60:$DS$104,$B36,62)*FB36=1,'計算A'!BM$6,1000000))</f>
        <v/>
      </c>
      <c r="JT36">
        <f>IF($B36=0,1000000,IF(INDEX('計算A'!$D$60:$DS$104,$B36,63)*FC36=1,'計算A'!BN$6,1000000))</f>
        <v/>
      </c>
      <c r="JU36">
        <f>IF($B36=0,1000000,IF(INDEX('計算A'!$D$60:$DS$104,$B36,64)*FD36=1,'計算A'!BO$6,1000000))</f>
        <v/>
      </c>
      <c r="JV36">
        <f>IF($B36=0,1000000,IF(INDEX('計算A'!$D$60:$DS$104,$B36,65)*FE36=1,'計算A'!BP$6,1000000))</f>
        <v/>
      </c>
      <c r="JW36">
        <f>IF($B36=0,1000000,IF(INDEX('計算A'!$D$60:$DS$104,$B36,66)*FF36=1,'計算A'!BQ$6,1000000))</f>
        <v/>
      </c>
      <c r="JX36">
        <f>IF($B36=0,1000000,IF(INDEX('計算A'!$D$60:$DS$104,$B36,67)*FG36=1,'計算A'!BR$6,1000000))</f>
        <v/>
      </c>
      <c r="JY36">
        <f>IF($B36=0,1000000,IF(INDEX('計算A'!$D$60:$DS$104,$B36,68)*FH36=1,'計算A'!BS$6,1000000))</f>
        <v/>
      </c>
      <c r="JZ36">
        <f>IF($B36=0,1000000,IF(INDEX('計算A'!$D$60:$DS$104,$B36,69)*FI36=1,'計算A'!BT$6,1000000))</f>
        <v/>
      </c>
      <c r="KA36">
        <f>IF($B36=0,1000000,IF(INDEX('計算A'!$D$60:$DS$104,$B36,70)*FJ36=1,'計算A'!BU$6,1000000))</f>
        <v/>
      </c>
      <c r="KB36">
        <f>IF($B36=0,1000000,IF(INDEX('計算A'!$D$60:$DS$104,$B36,71)*FK36=1,'計算A'!BV$6,1000000))</f>
        <v/>
      </c>
      <c r="KC36">
        <f>IF($B36=0,1000000,IF(INDEX('計算A'!$D$60:$DS$104,$B36,72)*FL36=1,'計算A'!BW$6,1000000))</f>
        <v/>
      </c>
      <c r="KD36">
        <f>IF($B36=0,1000000,IF(INDEX('計算A'!$D$60:$DS$104,$B36,73)*FM36=1,'計算A'!BX$6,1000000))</f>
        <v/>
      </c>
      <c r="KE36">
        <f>IF($B36=0,1000000,IF(INDEX('計算A'!$D$60:$DS$104,$B36,74)*FN36=1,'計算A'!BY$6,1000000))</f>
        <v/>
      </c>
      <c r="KF36">
        <f>IF($B36=0,1000000,IF(INDEX('計算A'!$D$60:$DS$104,$B36,75)*FO36=1,'計算A'!BZ$6,1000000))</f>
        <v/>
      </c>
      <c r="KG36">
        <f>IF($B36=0,1000000,IF(INDEX('計算A'!$D$60:$DS$104,$B36,76)*FP36=1,'計算A'!CA$6,1000000))</f>
        <v/>
      </c>
      <c r="KH36">
        <f>IF($B36=0,1000000,IF(INDEX('計算A'!$D$60:$DS$104,$B36,77)*FQ36=1,'計算A'!CB$6,1000000))</f>
        <v/>
      </c>
      <c r="KI36">
        <f>IF($B36=0,1000000,IF(INDEX('計算A'!$D$60:$DS$104,$B36,78)*FR36=1,'計算A'!CC$6,1000000))</f>
        <v/>
      </c>
      <c r="KJ36">
        <f>IF($B36=0,1000000,IF(INDEX('計算A'!$D$60:$DS$104,$B36,79)*FS36=1,'計算A'!CD$6,1000000))</f>
        <v/>
      </c>
      <c r="KK36">
        <f>IF($B36=0,1000000,IF(INDEX('計算A'!$D$60:$DS$104,$B36,80)*FT36=1,'計算A'!CE$6,1000000))</f>
        <v/>
      </c>
      <c r="KL36">
        <f>IF($B36=0,1000000,IF(INDEX('計算A'!$D$60:$DS$104,$B36,81)*FU36=1,'計算A'!CF$6,1000000))</f>
        <v/>
      </c>
      <c r="KM36">
        <f>IF($B36=0,1000000,IF(INDEX('計算A'!$D$60:$DS$104,$B36,82)*FV36=1,'計算A'!CG$6,1000000))</f>
        <v/>
      </c>
      <c r="KN36">
        <f>IF($B36=0,1000000,IF(INDEX('計算A'!$D$60:$DS$104,$B36,83)*FW36=1,'計算A'!CH$6,1000000))</f>
        <v/>
      </c>
      <c r="KO36">
        <f>IF($B36=0,1000000,IF(INDEX('計算A'!$D$60:$DS$104,$B36,84)*FX36=1,'計算A'!CI$6,1000000))</f>
        <v/>
      </c>
      <c r="KP36">
        <f>IF($B36=0,1000000,IF(INDEX('計算A'!$D$60:$DS$104,$B36,85)*FY36=1,'計算A'!CJ$6,1000000))</f>
        <v/>
      </c>
      <c r="KQ36">
        <f>IF($B36=0,1000000,IF(INDEX('計算A'!$D$60:$DS$104,$B36,86)*FZ36=1,'計算A'!CK$6,1000000))</f>
        <v/>
      </c>
      <c r="KR36">
        <f>IF($B36=0,1000000,IF(INDEX('計算A'!$D$60:$DS$104,$B36,87)*GA36=1,'計算A'!CL$6,1000000))</f>
        <v/>
      </c>
      <c r="KS36">
        <f>IF($B36=0,1000000,IF(INDEX('計算A'!$D$60:$DS$104,$B36,88)*GB36=1,'計算A'!CM$6,1000000))</f>
        <v/>
      </c>
      <c r="KT36">
        <f>IF($B36=0,1000000,IF(INDEX('計算A'!$D$60:$DS$104,$B36,89)*GC36=1,'計算A'!CN$6,1000000))</f>
        <v/>
      </c>
      <c r="KU36">
        <f>IF($B36=0,1000000,IF(INDEX('計算A'!$D$60:$DS$104,$B36,90)*GD36=1,'計算A'!CO$6,1000000))</f>
        <v/>
      </c>
      <c r="KV36">
        <f>IF($B36=0,1000000,IF(INDEX('計算A'!$D$60:$DS$104,$B36,91)*GE36=1,'計算A'!CP$6,1000000))</f>
        <v/>
      </c>
      <c r="KW36">
        <f>IF($B36=0,1000000,IF(INDEX('計算A'!$D$60:$DS$104,$B36,92)*GF36=1,'計算A'!CQ$6,1000000))</f>
        <v/>
      </c>
      <c r="KX36">
        <f>IF($B36=0,1000000,IF(INDEX('計算A'!$D$60:$DS$104,$B36,93)*GG36=1,'計算A'!CR$6,1000000))</f>
        <v/>
      </c>
      <c r="KY36">
        <f>IF($B36=0,1000000,IF(INDEX('計算A'!$D$60:$DS$104,$B36,94)*GH36=1,'計算A'!CS$6,1000000))</f>
        <v/>
      </c>
      <c r="KZ36">
        <f>IF($B36=0,1000000,IF(INDEX('計算A'!$D$60:$DS$104,$B36,95)*GI36=1,'計算A'!CT$6,1000000))</f>
        <v/>
      </c>
      <c r="LA36">
        <f>IF($B36=0,1000000,IF(INDEX('計算A'!$D$60:$DS$104,$B36,96)*GJ36=1,'計算A'!CU$6,1000000))</f>
        <v/>
      </c>
      <c r="LB36">
        <f>IF($B36=0,1000000,IF(INDEX('計算A'!$D$60:$DS$104,$B36,97)*GK36=1,'計算A'!CV$6,1000000))</f>
        <v/>
      </c>
      <c r="LC36">
        <f>IF($B36=0,1000000,IF(INDEX('計算A'!$D$60:$DS$104,$B36,98)*GL36=1,'計算A'!CW$6,1000000))</f>
        <v/>
      </c>
      <c r="LD36">
        <f>IF($B36=0,1000000,IF(INDEX('計算A'!$D$60:$DS$104,$B36,99)*GM36=1,'計算A'!CX$6,1000000))</f>
        <v/>
      </c>
      <c r="LE36">
        <f>IF($B36=0,1000000,IF(INDEX('計算A'!$D$60:$DS$104,$B36,100)*GN36=1,'計算A'!CY$6,1000000))</f>
        <v/>
      </c>
      <c r="LF36">
        <f>IF($B36=0,1000000,IF(INDEX('計算A'!$D$60:$DS$104,$B36,101)*GO36=1,'計算A'!CZ$6,1000000))</f>
        <v/>
      </c>
      <c r="LG36">
        <f>IF($B36=0,1000000,IF(INDEX('計算A'!$D$60:$DS$104,$B36,102)*GP36=1,'計算A'!DA$6,1000000))</f>
        <v/>
      </c>
      <c r="LH36">
        <f>IF($B36=0,1000000,IF(INDEX('計算A'!$D$60:$DS$104,$B36,103)*GQ36=1,'計算A'!DB$6,1000000))</f>
        <v/>
      </c>
      <c r="LI36">
        <f>IF($B36=0,1000000,IF(INDEX('計算A'!$D$60:$DS$104,$B36,104)*GR36=1,'計算A'!DC$6,1000000))</f>
        <v/>
      </c>
      <c r="LJ36">
        <f>IF($B36=0,1000000,IF(INDEX('計算A'!$D$60:$DS$104,$B36,105)*GS36=1,'計算A'!DD$6,1000000))</f>
        <v/>
      </c>
      <c r="LK36">
        <f>IF($B36=0,1000000,IF(INDEX('計算A'!$D$60:$DS$104,$B36,106)*GT36=1,'計算A'!DE$6,1000000))</f>
        <v/>
      </c>
      <c r="LL36">
        <f>IF($B36=0,1000000,IF(INDEX('計算A'!$D$60:$DS$104,$B36,107)*GU36=1,'計算A'!DF$6,1000000))</f>
        <v/>
      </c>
      <c r="LM36">
        <f>IF($B36=0,1000000,IF(INDEX('計算A'!$D$60:$DS$104,$B36,108)*GV36=1,'計算A'!DG$6,1000000))</f>
        <v/>
      </c>
      <c r="LN36">
        <f>IF($B36=0,1000000,IF(INDEX('計算A'!$D$60:$DS$104,$B36,109)*GW36=1,'計算A'!DH$6,1000000))</f>
        <v/>
      </c>
      <c r="LO36">
        <f>IF($B36=0,1000000,IF(INDEX('計算A'!$D$60:$DS$104,$B36,110)*GX36=1,'計算A'!DI$6,1000000))</f>
        <v/>
      </c>
      <c r="LP36">
        <f>IF($B36=0,1000000,IF(INDEX('計算A'!$D$60:$DS$104,$B36,111)*GY36=1,'計算A'!DJ$6,1000000))</f>
        <v/>
      </c>
      <c r="LQ36">
        <f>IF($B36=0,1000000,IF(INDEX('計算A'!$D$60:$DS$104,$B36,112)*GZ36=1,'計算A'!DK$6,1000000))</f>
        <v/>
      </c>
      <c r="LR36">
        <f>IF($B36=0,1000000,IF(INDEX('計算A'!$D$60:$DS$104,$B36,113)*HA36=1,'計算A'!DL$6,1000000))</f>
        <v/>
      </c>
      <c r="LS36">
        <f>IF($B36=0,1000000,IF(INDEX('計算A'!$D$60:$DS$104,$B36,114)*HB36=1,'計算A'!DM$6,1000000))</f>
        <v/>
      </c>
      <c r="LT36">
        <f>IF($B36=0,1000000,IF(INDEX('計算A'!$D$60:$DS$104,$B36,115)*HC36=1,'計算A'!DN$6,1000000))</f>
        <v/>
      </c>
      <c r="LU36">
        <f>IF($B36=0,1000000,IF(INDEX('計算A'!$D$60:$DS$104,$B36,116)*HD36=1,'計算A'!DO$6,1000000))</f>
        <v/>
      </c>
      <c r="LV36">
        <f>IF($B36=0,1000000,IF(INDEX('計算A'!$D$60:$DS$104,$B36,117)*HE36=1,'計算A'!DP$6,1000000))</f>
        <v/>
      </c>
      <c r="LW36">
        <f>IF($B36=0,1000000,IF(INDEX('計算A'!$D$60:$DS$104,$B36,118)*HF36=1,'計算A'!DQ$6,1000000))</f>
        <v/>
      </c>
      <c r="LX36">
        <f>IF($B36=0,1000000,IF(INDEX('計算A'!$D$60:$DS$104,$B36,119)*HG36=1,'計算A'!DR$6,1000000))</f>
        <v/>
      </c>
      <c r="LY36">
        <f>IF($B36=0,1000000,IF(INDEX('計算A'!$D$60:$DS$104,$B36,120)*HH36=1,'計算A'!DS$6,1000000))</f>
        <v/>
      </c>
    </row>
    <row r="37">
      <c r="A37" t="n">
        <v>35</v>
      </c>
      <c r="B37">
        <f>IF(MIN(AY37:CQ37)&gt;=1000000,0,MATCH(MIN(AY37:CQ37),AY37:CQ37,0))</f>
        <v/>
      </c>
      <c r="C37">
        <f>IF(MIN(HJ37:LY37)&gt;=1000000,0,MATCH(MIN(HJ37:LY37),HJ37:LY37,0))</f>
        <v/>
      </c>
      <c r="D37">
        <f>IF(C37&gt;0,INDEX('計算A'!$D$5:$DS$5,C37),0)</f>
        <v/>
      </c>
      <c r="E37">
        <f>MAX(E36,IF($B36=1,1,0))</f>
        <v/>
      </c>
      <c r="F37">
        <f>MAX(F36,IF($B36=2,1,0))</f>
        <v/>
      </c>
      <c r="G37">
        <f>MAX(G36,IF($B36=3,1,0))</f>
        <v/>
      </c>
      <c r="H37">
        <f>MAX(H36,IF($B36=4,1,0))</f>
        <v/>
      </c>
      <c r="I37">
        <f>MAX(I36,IF($B36=5,1,0))</f>
        <v/>
      </c>
      <c r="J37">
        <f>MAX(J36,IF($B36=6,1,0))</f>
        <v/>
      </c>
      <c r="K37">
        <f>MAX(K36,IF($B36=7,1,0))</f>
        <v/>
      </c>
      <c r="L37">
        <f>MAX(L36,IF($B36=8,1,0))</f>
        <v/>
      </c>
      <c r="M37">
        <f>MAX(M36,IF($B36=9,1,0))</f>
        <v/>
      </c>
      <c r="N37">
        <f>MAX(N36,IF($B36=10,1,0))</f>
        <v/>
      </c>
      <c r="O37">
        <f>MAX(O36,IF($B36=11,1,0))</f>
        <v/>
      </c>
      <c r="P37">
        <f>MAX(P36,IF($B36=12,1,0))</f>
        <v/>
      </c>
      <c r="Q37">
        <f>MAX(Q36,IF($B36=13,1,0))</f>
        <v/>
      </c>
      <c r="R37">
        <f>MAX(R36,IF($B36=14,1,0))</f>
        <v/>
      </c>
      <c r="S37">
        <f>MAX(S36,IF($B36=15,1,0))</f>
        <v/>
      </c>
      <c r="T37">
        <f>MAX(T36,IF($B36=16,1,0))</f>
        <v/>
      </c>
      <c r="U37">
        <f>MAX(U36,IF($B36=17,1,0))</f>
        <v/>
      </c>
      <c r="V37">
        <f>MAX(V36,IF($B36=18,1,0))</f>
        <v/>
      </c>
      <c r="W37">
        <f>MAX(W36,IF($B36=19,1,0))</f>
        <v/>
      </c>
      <c r="X37">
        <f>MAX(X36,IF($B36=20,1,0))</f>
        <v/>
      </c>
      <c r="Y37">
        <f>MAX(Y36,IF($B36=21,1,0))</f>
        <v/>
      </c>
      <c r="Z37">
        <f>MAX(Z36,IF($B36=22,1,0))</f>
        <v/>
      </c>
      <c r="AA37">
        <f>MAX(AA36,IF($B36=23,1,0))</f>
        <v/>
      </c>
      <c r="AB37">
        <f>MAX(AB36,IF($B36=24,1,0))</f>
        <v/>
      </c>
      <c r="AC37">
        <f>MAX(AC36,IF($B36=25,1,0))</f>
        <v/>
      </c>
      <c r="AD37">
        <f>MAX(AD36,IF($B36=26,1,0))</f>
        <v/>
      </c>
      <c r="AE37">
        <f>MAX(AE36,IF($B36=27,1,0))</f>
        <v/>
      </c>
      <c r="AF37">
        <f>MAX(AF36,IF($B36=28,1,0))</f>
        <v/>
      </c>
      <c r="AG37">
        <f>MAX(AG36,IF($B36=29,1,0))</f>
        <v/>
      </c>
      <c r="AH37">
        <f>MAX(AH36,IF($B36=30,1,0))</f>
        <v/>
      </c>
      <c r="AI37">
        <f>MAX(AI36,IF($B36=31,1,0))</f>
        <v/>
      </c>
      <c r="AJ37">
        <f>MAX(AJ36,IF($B36=32,1,0))</f>
        <v/>
      </c>
      <c r="AK37">
        <f>MAX(AK36,IF($B36=33,1,0))</f>
        <v/>
      </c>
      <c r="AL37">
        <f>MAX(AL36,IF($B36=34,1,0))</f>
        <v/>
      </c>
      <c r="AM37">
        <f>MAX(AM36,IF($B36=35,1,0))</f>
        <v/>
      </c>
      <c r="AN37">
        <f>MAX(AN36,IF($B36=36,1,0))</f>
        <v/>
      </c>
      <c r="AO37">
        <f>MAX(AO36,IF($B36=37,1,0))</f>
        <v/>
      </c>
      <c r="AP37">
        <f>MAX(AP36,IF($B36=38,1,0))</f>
        <v/>
      </c>
      <c r="AQ37">
        <f>MAX(AQ36,IF($B36=39,1,0))</f>
        <v/>
      </c>
      <c r="AR37">
        <f>MAX(AR36,IF($B36=40,1,0))</f>
        <v/>
      </c>
      <c r="AS37">
        <f>MAX(AS36,IF($B36=41,1,0))</f>
        <v/>
      </c>
      <c r="AT37">
        <f>MAX(AT36,IF($B36=42,1,0))</f>
        <v/>
      </c>
      <c r="AU37">
        <f>MAX(AU36,IF($B36=43,1,0))</f>
        <v/>
      </c>
      <c r="AV37">
        <f>MAX(AV36,IF($B36=44,1,0))</f>
        <v/>
      </c>
      <c r="AW37">
        <f>MAX(AW36,IF($B36=45,1,0))</f>
        <v/>
      </c>
      <c r="AY37">
        <f>IF(E37=1,1000000,SUMPRODUCT('計算A'!$D$60:$DS$60,$CS37:$HH37)*1000+1)</f>
        <v/>
      </c>
      <c r="AZ37">
        <f>IF(F37=1,1000000,SUMPRODUCT('計算A'!$D$61:$DS$61,$CS37:$HH37)*1000+2)</f>
        <v/>
      </c>
      <c r="BA37">
        <f>IF(G37=1,1000000,SUMPRODUCT('計算A'!$D$62:$DS$62,$CS37:$HH37)*1000+3)</f>
        <v/>
      </c>
      <c r="BB37">
        <f>IF(H37=1,1000000,SUMPRODUCT('計算A'!$D$63:$DS$63,$CS37:$HH37)*1000+4)</f>
        <v/>
      </c>
      <c r="BC37">
        <f>IF(I37=1,1000000,SUMPRODUCT('計算A'!$D$64:$DS$64,$CS37:$HH37)*1000+5)</f>
        <v/>
      </c>
      <c r="BD37">
        <f>IF(J37=1,1000000,SUMPRODUCT('計算A'!$D$65:$DS$65,$CS37:$HH37)*1000+6)</f>
        <v/>
      </c>
      <c r="BE37">
        <f>IF(K37=1,1000000,SUMPRODUCT('計算A'!$D$66:$DS$66,$CS37:$HH37)*1000+7)</f>
        <v/>
      </c>
      <c r="BF37">
        <f>IF(L37=1,1000000,SUMPRODUCT('計算A'!$D$67:$DS$67,$CS37:$HH37)*1000+8)</f>
        <v/>
      </c>
      <c r="BG37">
        <f>IF(M37=1,1000000,SUMPRODUCT('計算A'!$D$68:$DS$68,$CS37:$HH37)*1000+9)</f>
        <v/>
      </c>
      <c r="BH37">
        <f>IF(N37=1,1000000,SUMPRODUCT('計算A'!$D$69:$DS$69,$CS37:$HH37)*1000+10)</f>
        <v/>
      </c>
      <c r="BI37">
        <f>IF(O37=1,1000000,SUMPRODUCT('計算A'!$D$70:$DS$70,$CS37:$HH37)*1000+11)</f>
        <v/>
      </c>
      <c r="BJ37">
        <f>IF(P37=1,1000000,SUMPRODUCT('計算A'!$D$71:$DS$71,$CS37:$HH37)*1000+12)</f>
        <v/>
      </c>
      <c r="BK37">
        <f>IF(Q37=1,1000000,SUMPRODUCT('計算A'!$D$72:$DS$72,$CS37:$HH37)*1000+13)</f>
        <v/>
      </c>
      <c r="BL37">
        <f>IF(R37=1,1000000,SUMPRODUCT('計算A'!$D$73:$DS$73,$CS37:$HH37)*1000+14)</f>
        <v/>
      </c>
      <c r="BM37">
        <f>IF(S37=1,1000000,SUMPRODUCT('計算A'!$D$74:$DS$74,$CS37:$HH37)*1000+15)</f>
        <v/>
      </c>
      <c r="BN37">
        <f>IF(T37=1,1000000,SUMPRODUCT('計算A'!$D$75:$DS$75,$CS37:$HH37)*1000+16)</f>
        <v/>
      </c>
      <c r="BO37">
        <f>IF(U37=1,1000000,SUMPRODUCT('計算A'!$D$76:$DS$76,$CS37:$HH37)*1000+17)</f>
        <v/>
      </c>
      <c r="BP37">
        <f>IF(V37=1,1000000,SUMPRODUCT('計算A'!$D$77:$DS$77,$CS37:$HH37)*1000+18)</f>
        <v/>
      </c>
      <c r="BQ37">
        <f>IF(W37=1,1000000,SUMPRODUCT('計算A'!$D$78:$DS$78,$CS37:$HH37)*1000+19)</f>
        <v/>
      </c>
      <c r="BR37">
        <f>IF(X37=1,1000000,SUMPRODUCT('計算A'!$D$79:$DS$79,$CS37:$HH37)*1000+20)</f>
        <v/>
      </c>
      <c r="BS37">
        <f>IF(Y37=1,1000000,SUMPRODUCT('計算A'!$D$80:$DS$80,$CS37:$HH37)*1000+21)</f>
        <v/>
      </c>
      <c r="BT37">
        <f>IF(Z37=1,1000000,SUMPRODUCT('計算A'!$D$81:$DS$81,$CS37:$HH37)*1000+22)</f>
        <v/>
      </c>
      <c r="BU37">
        <f>IF(AA37=1,1000000,SUMPRODUCT('計算A'!$D$82:$DS$82,$CS37:$HH37)*1000+23)</f>
        <v/>
      </c>
      <c r="BV37">
        <f>IF(AB37=1,1000000,SUMPRODUCT('計算A'!$D$83:$DS$83,$CS37:$HH37)*1000+24)</f>
        <v/>
      </c>
      <c r="BW37">
        <f>IF(AC37=1,1000000,SUMPRODUCT('計算A'!$D$84:$DS$84,$CS37:$HH37)*1000+25)</f>
        <v/>
      </c>
      <c r="BX37">
        <f>IF(AD37=1,1000000,SUMPRODUCT('計算A'!$D$85:$DS$85,$CS37:$HH37)*1000+26)</f>
        <v/>
      </c>
      <c r="BY37">
        <f>IF(AE37=1,1000000,SUMPRODUCT('計算A'!$D$86:$DS$86,$CS37:$HH37)*1000+27)</f>
        <v/>
      </c>
      <c r="BZ37">
        <f>IF(AF37=1,1000000,SUMPRODUCT('計算A'!$D$87:$DS$87,$CS37:$HH37)*1000+28)</f>
        <v/>
      </c>
      <c r="CA37">
        <f>IF(AG37=1,1000000,SUMPRODUCT('計算A'!$D$88:$DS$88,$CS37:$HH37)*1000+29)</f>
        <v/>
      </c>
      <c r="CB37">
        <f>IF(AH37=1,1000000,SUMPRODUCT('計算A'!$D$89:$DS$89,$CS37:$HH37)*1000+30)</f>
        <v/>
      </c>
      <c r="CC37">
        <f>IF(AI37=1,1000000,SUMPRODUCT('計算A'!$D$90:$DS$90,$CS37:$HH37)*1000+31)</f>
        <v/>
      </c>
      <c r="CD37">
        <f>IF(AJ37=1,1000000,SUMPRODUCT('計算A'!$D$91:$DS$91,$CS37:$HH37)*1000+32)</f>
        <v/>
      </c>
      <c r="CE37">
        <f>IF(AK37=1,1000000,SUMPRODUCT('計算A'!$D$92:$DS$92,$CS37:$HH37)*1000+33)</f>
        <v/>
      </c>
      <c r="CF37">
        <f>IF(AL37=1,1000000,SUMPRODUCT('計算A'!$D$93:$DS$93,$CS37:$HH37)*1000+34)</f>
        <v/>
      </c>
      <c r="CG37">
        <f>IF(AM37=1,1000000,SUMPRODUCT('計算A'!$D$94:$DS$94,$CS37:$HH37)*1000+35)</f>
        <v/>
      </c>
      <c r="CH37">
        <f>IF(AN37=1,1000000,SUMPRODUCT('計算A'!$D$95:$DS$95,$CS37:$HH37)*1000+36)</f>
        <v/>
      </c>
      <c r="CI37">
        <f>IF(AO37=1,1000000,SUMPRODUCT('計算A'!$D$96:$DS$96,$CS37:$HH37)*1000+37)</f>
        <v/>
      </c>
      <c r="CJ37">
        <f>IF(AP37=1,1000000,SUMPRODUCT('計算A'!$D$97:$DS$97,$CS37:$HH37)*1000+38)</f>
        <v/>
      </c>
      <c r="CK37">
        <f>IF(AQ37=1,1000000,SUMPRODUCT('計算A'!$D$98:$DS$98,$CS37:$HH37)*1000+39)</f>
        <v/>
      </c>
      <c r="CL37">
        <f>IF(AR37=1,1000000,SUMPRODUCT('計算A'!$D$99:$DS$99,$CS37:$HH37)*1000+40)</f>
        <v/>
      </c>
      <c r="CM37">
        <f>IF(AS37=1,1000000,SUMPRODUCT('計算A'!$D$100:$DS$100,$CS37:$HH37)*1000+41)</f>
        <v/>
      </c>
      <c r="CN37">
        <f>IF(AT37=1,1000000,SUMPRODUCT('計算A'!$D$101:$DS$101,$CS37:$HH37)*1000+42)</f>
        <v/>
      </c>
      <c r="CO37">
        <f>IF(AU37=1,1000000,SUMPRODUCT('計算A'!$D$102:$DS$102,$CS37:$HH37)*1000+43)</f>
        <v/>
      </c>
      <c r="CP37">
        <f>IF(AV37=1,1000000,SUMPRODUCT('計算A'!$D$103:$DS$103,$CS37:$HH37)*1000+44)</f>
        <v/>
      </c>
      <c r="CQ37">
        <f>IF(AW37=1,1000000,SUMPRODUCT('計算A'!$D$104:$DS$104,$CS37:$HH37)*1000+45)</f>
        <v/>
      </c>
      <c r="CS37">
        <f>CS36*IF($C36=1,0,1)</f>
        <v/>
      </c>
      <c r="CT37">
        <f>CT36*IF($C36=2,0,1)</f>
        <v/>
      </c>
      <c r="CU37">
        <f>CU36*IF($C36=3,0,1)</f>
        <v/>
      </c>
      <c r="CV37">
        <f>CV36*IF($C36=4,0,1)</f>
        <v/>
      </c>
      <c r="CW37">
        <f>CW36*IF($C36=5,0,1)</f>
        <v/>
      </c>
      <c r="CX37">
        <f>CX36*IF($C36=6,0,1)</f>
        <v/>
      </c>
      <c r="CY37">
        <f>CY36*IF($C36=7,0,1)</f>
        <v/>
      </c>
      <c r="CZ37">
        <f>CZ36*IF($C36=8,0,1)</f>
        <v/>
      </c>
      <c r="DA37">
        <f>DA36*IF($C36=9,0,1)</f>
        <v/>
      </c>
      <c r="DB37">
        <f>DB36*IF($C36=10,0,1)</f>
        <v/>
      </c>
      <c r="DC37">
        <f>DC36*IF($C36=11,0,1)</f>
        <v/>
      </c>
      <c r="DD37">
        <f>DD36*IF($C36=12,0,1)</f>
        <v/>
      </c>
      <c r="DE37">
        <f>DE36*IF($C36=13,0,1)</f>
        <v/>
      </c>
      <c r="DF37">
        <f>DF36*IF($C36=14,0,1)</f>
        <v/>
      </c>
      <c r="DG37">
        <f>DG36*IF($C36=15,0,1)</f>
        <v/>
      </c>
      <c r="DH37">
        <f>DH36*IF($C36=16,0,1)</f>
        <v/>
      </c>
      <c r="DI37">
        <f>DI36*IF($C36=17,0,1)</f>
        <v/>
      </c>
      <c r="DJ37">
        <f>DJ36*IF($C36=18,0,1)</f>
        <v/>
      </c>
      <c r="DK37">
        <f>DK36*IF($C36=19,0,1)</f>
        <v/>
      </c>
      <c r="DL37">
        <f>DL36*IF($C36=20,0,1)</f>
        <v/>
      </c>
      <c r="DM37">
        <f>DM36*IF($C36=21,0,1)</f>
        <v/>
      </c>
      <c r="DN37">
        <f>DN36*IF($C36=22,0,1)</f>
        <v/>
      </c>
      <c r="DO37">
        <f>DO36*IF($C36=23,0,1)</f>
        <v/>
      </c>
      <c r="DP37">
        <f>DP36*IF($C36=24,0,1)</f>
        <v/>
      </c>
      <c r="DQ37">
        <f>DQ36*IF($C36=25,0,1)</f>
        <v/>
      </c>
      <c r="DR37">
        <f>DR36*IF($C36=26,0,1)</f>
        <v/>
      </c>
      <c r="DS37">
        <f>DS36*IF($C36=27,0,1)</f>
        <v/>
      </c>
      <c r="DT37">
        <f>DT36*IF($C36=28,0,1)</f>
        <v/>
      </c>
      <c r="DU37">
        <f>DU36*IF($C36=29,0,1)</f>
        <v/>
      </c>
      <c r="DV37">
        <f>DV36*IF($C36=30,0,1)</f>
        <v/>
      </c>
      <c r="DW37">
        <f>DW36*IF($C36=31,0,1)</f>
        <v/>
      </c>
      <c r="DX37">
        <f>DX36*IF($C36=32,0,1)</f>
        <v/>
      </c>
      <c r="DY37">
        <f>DY36*IF($C36=33,0,1)</f>
        <v/>
      </c>
      <c r="DZ37">
        <f>DZ36*IF($C36=34,0,1)</f>
        <v/>
      </c>
      <c r="EA37">
        <f>EA36*IF($C36=35,0,1)</f>
        <v/>
      </c>
      <c r="EB37">
        <f>EB36*IF($C36=36,0,1)</f>
        <v/>
      </c>
      <c r="EC37">
        <f>EC36*IF($C36=37,0,1)</f>
        <v/>
      </c>
      <c r="ED37">
        <f>ED36*IF($C36=38,0,1)</f>
        <v/>
      </c>
      <c r="EE37">
        <f>EE36*IF($C36=39,0,1)</f>
        <v/>
      </c>
      <c r="EF37">
        <f>EF36*IF($C36=40,0,1)</f>
        <v/>
      </c>
      <c r="EG37">
        <f>EG36*IF($C36=41,0,1)</f>
        <v/>
      </c>
      <c r="EH37">
        <f>EH36*IF($C36=42,0,1)</f>
        <v/>
      </c>
      <c r="EI37">
        <f>EI36*IF($C36=43,0,1)</f>
        <v/>
      </c>
      <c r="EJ37">
        <f>EJ36*IF($C36=44,0,1)</f>
        <v/>
      </c>
      <c r="EK37">
        <f>EK36*IF($C36=45,0,1)</f>
        <v/>
      </c>
      <c r="EL37">
        <f>EL36*IF($C36=46,0,1)</f>
        <v/>
      </c>
      <c r="EM37">
        <f>EM36*IF($C36=47,0,1)</f>
        <v/>
      </c>
      <c r="EN37">
        <f>EN36*IF($C36=48,0,1)</f>
        <v/>
      </c>
      <c r="EO37">
        <f>EO36*IF($C36=49,0,1)</f>
        <v/>
      </c>
      <c r="EP37">
        <f>EP36*IF($C36=50,0,1)</f>
        <v/>
      </c>
      <c r="EQ37">
        <f>EQ36*IF($C36=51,0,1)</f>
        <v/>
      </c>
      <c r="ER37">
        <f>ER36*IF($C36=52,0,1)</f>
        <v/>
      </c>
      <c r="ES37">
        <f>ES36*IF($C36=53,0,1)</f>
        <v/>
      </c>
      <c r="ET37">
        <f>ET36*IF($C36=54,0,1)</f>
        <v/>
      </c>
      <c r="EU37">
        <f>EU36*IF($C36=55,0,1)</f>
        <v/>
      </c>
      <c r="EV37">
        <f>EV36*IF($C36=56,0,1)</f>
        <v/>
      </c>
      <c r="EW37">
        <f>EW36*IF($C36=57,0,1)</f>
        <v/>
      </c>
      <c r="EX37">
        <f>EX36*IF($C36=58,0,1)</f>
        <v/>
      </c>
      <c r="EY37">
        <f>EY36*IF($C36=59,0,1)</f>
        <v/>
      </c>
      <c r="EZ37">
        <f>EZ36*IF($C36=60,0,1)</f>
        <v/>
      </c>
      <c r="FA37">
        <f>FA36*IF($C36=61,0,1)</f>
        <v/>
      </c>
      <c r="FB37">
        <f>FB36*IF($C36=62,0,1)</f>
        <v/>
      </c>
      <c r="FC37">
        <f>FC36*IF($C36=63,0,1)</f>
        <v/>
      </c>
      <c r="FD37">
        <f>FD36*IF($C36=64,0,1)</f>
        <v/>
      </c>
      <c r="FE37">
        <f>FE36*IF($C36=65,0,1)</f>
        <v/>
      </c>
      <c r="FF37">
        <f>FF36*IF($C36=66,0,1)</f>
        <v/>
      </c>
      <c r="FG37">
        <f>FG36*IF($C36=67,0,1)</f>
        <v/>
      </c>
      <c r="FH37">
        <f>FH36*IF($C36=68,0,1)</f>
        <v/>
      </c>
      <c r="FI37">
        <f>FI36*IF($C36=69,0,1)</f>
        <v/>
      </c>
      <c r="FJ37">
        <f>FJ36*IF($C36=70,0,1)</f>
        <v/>
      </c>
      <c r="FK37">
        <f>FK36*IF($C36=71,0,1)</f>
        <v/>
      </c>
      <c r="FL37">
        <f>FL36*IF($C36=72,0,1)</f>
        <v/>
      </c>
      <c r="FM37">
        <f>FM36*IF($C36=73,0,1)</f>
        <v/>
      </c>
      <c r="FN37">
        <f>FN36*IF($C36=74,0,1)</f>
        <v/>
      </c>
      <c r="FO37">
        <f>FO36*IF($C36=75,0,1)</f>
        <v/>
      </c>
      <c r="FP37">
        <f>FP36*IF($C36=76,0,1)</f>
        <v/>
      </c>
      <c r="FQ37">
        <f>FQ36*IF($C36=77,0,1)</f>
        <v/>
      </c>
      <c r="FR37">
        <f>FR36*IF($C36=78,0,1)</f>
        <v/>
      </c>
      <c r="FS37">
        <f>FS36*IF($C36=79,0,1)</f>
        <v/>
      </c>
      <c r="FT37">
        <f>FT36*IF($C36=80,0,1)</f>
        <v/>
      </c>
      <c r="FU37">
        <f>FU36*IF($C36=81,0,1)</f>
        <v/>
      </c>
      <c r="FV37">
        <f>FV36*IF($C36=82,0,1)</f>
        <v/>
      </c>
      <c r="FW37">
        <f>FW36*IF($C36=83,0,1)</f>
        <v/>
      </c>
      <c r="FX37">
        <f>FX36*IF($C36=84,0,1)</f>
        <v/>
      </c>
      <c r="FY37">
        <f>FY36*IF($C36=85,0,1)</f>
        <v/>
      </c>
      <c r="FZ37">
        <f>FZ36*IF($C36=86,0,1)</f>
        <v/>
      </c>
      <c r="GA37">
        <f>GA36*IF($C36=87,0,1)</f>
        <v/>
      </c>
      <c r="GB37">
        <f>GB36*IF($C36=88,0,1)</f>
        <v/>
      </c>
      <c r="GC37">
        <f>GC36*IF($C36=89,0,1)</f>
        <v/>
      </c>
      <c r="GD37">
        <f>GD36*IF($C36=90,0,1)</f>
        <v/>
      </c>
      <c r="GE37">
        <f>GE36*IF($C36=91,0,1)</f>
        <v/>
      </c>
      <c r="GF37">
        <f>GF36*IF($C36=92,0,1)</f>
        <v/>
      </c>
      <c r="GG37">
        <f>GG36*IF($C36=93,0,1)</f>
        <v/>
      </c>
      <c r="GH37">
        <f>GH36*IF($C36=94,0,1)</f>
        <v/>
      </c>
      <c r="GI37">
        <f>GI36*IF($C36=95,0,1)</f>
        <v/>
      </c>
      <c r="GJ37">
        <f>GJ36*IF($C36=96,0,1)</f>
        <v/>
      </c>
      <c r="GK37">
        <f>GK36*IF($C36=97,0,1)</f>
        <v/>
      </c>
      <c r="GL37">
        <f>GL36*IF($C36=98,0,1)</f>
        <v/>
      </c>
      <c r="GM37">
        <f>GM36*IF($C36=99,0,1)</f>
        <v/>
      </c>
      <c r="GN37">
        <f>GN36*IF($C36=100,0,1)</f>
        <v/>
      </c>
      <c r="GO37">
        <f>GO36*IF($C36=101,0,1)</f>
        <v/>
      </c>
      <c r="GP37">
        <f>GP36*IF($C36=102,0,1)</f>
        <v/>
      </c>
      <c r="GQ37">
        <f>GQ36*IF($C36=103,0,1)</f>
        <v/>
      </c>
      <c r="GR37">
        <f>GR36*IF($C36=104,0,1)</f>
        <v/>
      </c>
      <c r="GS37">
        <f>GS36*IF($C36=105,0,1)</f>
        <v/>
      </c>
      <c r="GT37">
        <f>GT36*IF($C36=106,0,1)</f>
        <v/>
      </c>
      <c r="GU37">
        <f>GU36*IF($C36=107,0,1)</f>
        <v/>
      </c>
      <c r="GV37">
        <f>GV36*IF($C36=108,0,1)</f>
        <v/>
      </c>
      <c r="GW37">
        <f>GW36*IF($C36=109,0,1)</f>
        <v/>
      </c>
      <c r="GX37">
        <f>GX36*IF($C36=110,0,1)</f>
        <v/>
      </c>
      <c r="GY37">
        <f>GY36*IF($C36=111,0,1)</f>
        <v/>
      </c>
      <c r="GZ37">
        <f>GZ36*IF($C36=112,0,1)</f>
        <v/>
      </c>
      <c r="HA37">
        <f>HA36*IF($C36=113,0,1)</f>
        <v/>
      </c>
      <c r="HB37">
        <f>HB36*IF($C36=114,0,1)</f>
        <v/>
      </c>
      <c r="HC37">
        <f>HC36*IF($C36=115,0,1)</f>
        <v/>
      </c>
      <c r="HD37">
        <f>HD36*IF($C36=116,0,1)</f>
        <v/>
      </c>
      <c r="HE37">
        <f>HE36*IF($C36=117,0,1)</f>
        <v/>
      </c>
      <c r="HF37">
        <f>HF36*IF($C36=118,0,1)</f>
        <v/>
      </c>
      <c r="HG37">
        <f>HG36*IF($C36=119,0,1)</f>
        <v/>
      </c>
      <c r="HH37">
        <f>HH36*IF($C36=120,0,1)</f>
        <v/>
      </c>
      <c r="HJ37">
        <f>IF($B37=0,1000000,IF(INDEX('計算A'!$D$60:$DS$104,$B37,1)*CS37=1,'計算A'!D$6,1000000))</f>
        <v/>
      </c>
      <c r="HK37">
        <f>IF($B37=0,1000000,IF(INDEX('計算A'!$D$60:$DS$104,$B37,2)*CT37=1,'計算A'!E$6,1000000))</f>
        <v/>
      </c>
      <c r="HL37">
        <f>IF($B37=0,1000000,IF(INDEX('計算A'!$D$60:$DS$104,$B37,3)*CU37=1,'計算A'!F$6,1000000))</f>
        <v/>
      </c>
      <c r="HM37">
        <f>IF($B37=0,1000000,IF(INDEX('計算A'!$D$60:$DS$104,$B37,4)*CV37=1,'計算A'!G$6,1000000))</f>
        <v/>
      </c>
      <c r="HN37">
        <f>IF($B37=0,1000000,IF(INDEX('計算A'!$D$60:$DS$104,$B37,5)*CW37=1,'計算A'!H$6,1000000))</f>
        <v/>
      </c>
      <c r="HO37">
        <f>IF($B37=0,1000000,IF(INDEX('計算A'!$D$60:$DS$104,$B37,6)*CX37=1,'計算A'!I$6,1000000))</f>
        <v/>
      </c>
      <c r="HP37">
        <f>IF($B37=0,1000000,IF(INDEX('計算A'!$D$60:$DS$104,$B37,7)*CY37=1,'計算A'!J$6,1000000))</f>
        <v/>
      </c>
      <c r="HQ37">
        <f>IF($B37=0,1000000,IF(INDEX('計算A'!$D$60:$DS$104,$B37,8)*CZ37=1,'計算A'!K$6,1000000))</f>
        <v/>
      </c>
      <c r="HR37">
        <f>IF($B37=0,1000000,IF(INDEX('計算A'!$D$60:$DS$104,$B37,9)*DA37=1,'計算A'!L$6,1000000))</f>
        <v/>
      </c>
      <c r="HS37">
        <f>IF($B37=0,1000000,IF(INDEX('計算A'!$D$60:$DS$104,$B37,10)*DB37=1,'計算A'!M$6,1000000))</f>
        <v/>
      </c>
      <c r="HT37">
        <f>IF($B37=0,1000000,IF(INDEX('計算A'!$D$60:$DS$104,$B37,11)*DC37=1,'計算A'!N$6,1000000))</f>
        <v/>
      </c>
      <c r="HU37">
        <f>IF($B37=0,1000000,IF(INDEX('計算A'!$D$60:$DS$104,$B37,12)*DD37=1,'計算A'!O$6,1000000))</f>
        <v/>
      </c>
      <c r="HV37">
        <f>IF($B37=0,1000000,IF(INDEX('計算A'!$D$60:$DS$104,$B37,13)*DE37=1,'計算A'!P$6,1000000))</f>
        <v/>
      </c>
      <c r="HW37">
        <f>IF($B37=0,1000000,IF(INDEX('計算A'!$D$60:$DS$104,$B37,14)*DF37=1,'計算A'!Q$6,1000000))</f>
        <v/>
      </c>
      <c r="HX37">
        <f>IF($B37=0,1000000,IF(INDEX('計算A'!$D$60:$DS$104,$B37,15)*DG37=1,'計算A'!R$6,1000000))</f>
        <v/>
      </c>
      <c r="HY37">
        <f>IF($B37=0,1000000,IF(INDEX('計算A'!$D$60:$DS$104,$B37,16)*DH37=1,'計算A'!S$6,1000000))</f>
        <v/>
      </c>
      <c r="HZ37">
        <f>IF($B37=0,1000000,IF(INDEX('計算A'!$D$60:$DS$104,$B37,17)*DI37=1,'計算A'!T$6,1000000))</f>
        <v/>
      </c>
      <c r="IA37">
        <f>IF($B37=0,1000000,IF(INDEX('計算A'!$D$60:$DS$104,$B37,18)*DJ37=1,'計算A'!U$6,1000000))</f>
        <v/>
      </c>
      <c r="IB37">
        <f>IF($B37=0,1000000,IF(INDEX('計算A'!$D$60:$DS$104,$B37,19)*DK37=1,'計算A'!V$6,1000000))</f>
        <v/>
      </c>
      <c r="IC37">
        <f>IF($B37=0,1000000,IF(INDEX('計算A'!$D$60:$DS$104,$B37,20)*DL37=1,'計算A'!W$6,1000000))</f>
        <v/>
      </c>
      <c r="ID37">
        <f>IF($B37=0,1000000,IF(INDEX('計算A'!$D$60:$DS$104,$B37,21)*DM37=1,'計算A'!X$6,1000000))</f>
        <v/>
      </c>
      <c r="IE37">
        <f>IF($B37=0,1000000,IF(INDEX('計算A'!$D$60:$DS$104,$B37,22)*DN37=1,'計算A'!Y$6,1000000))</f>
        <v/>
      </c>
      <c r="IF37">
        <f>IF($B37=0,1000000,IF(INDEX('計算A'!$D$60:$DS$104,$B37,23)*DO37=1,'計算A'!Z$6,1000000))</f>
        <v/>
      </c>
      <c r="IG37">
        <f>IF($B37=0,1000000,IF(INDEX('計算A'!$D$60:$DS$104,$B37,24)*DP37=1,'計算A'!AA$6,1000000))</f>
        <v/>
      </c>
      <c r="IH37">
        <f>IF($B37=0,1000000,IF(INDEX('計算A'!$D$60:$DS$104,$B37,25)*DQ37=1,'計算A'!AB$6,1000000))</f>
        <v/>
      </c>
      <c r="II37">
        <f>IF($B37=0,1000000,IF(INDEX('計算A'!$D$60:$DS$104,$B37,26)*DR37=1,'計算A'!AC$6,1000000))</f>
        <v/>
      </c>
      <c r="IJ37">
        <f>IF($B37=0,1000000,IF(INDEX('計算A'!$D$60:$DS$104,$B37,27)*DS37=1,'計算A'!AD$6,1000000))</f>
        <v/>
      </c>
      <c r="IK37">
        <f>IF($B37=0,1000000,IF(INDEX('計算A'!$D$60:$DS$104,$B37,28)*DT37=1,'計算A'!AE$6,1000000))</f>
        <v/>
      </c>
      <c r="IL37">
        <f>IF($B37=0,1000000,IF(INDEX('計算A'!$D$60:$DS$104,$B37,29)*DU37=1,'計算A'!AF$6,1000000))</f>
        <v/>
      </c>
      <c r="IM37">
        <f>IF($B37=0,1000000,IF(INDEX('計算A'!$D$60:$DS$104,$B37,30)*DV37=1,'計算A'!AG$6,1000000))</f>
        <v/>
      </c>
      <c r="IN37">
        <f>IF($B37=0,1000000,IF(INDEX('計算A'!$D$60:$DS$104,$B37,31)*DW37=1,'計算A'!AH$6,1000000))</f>
        <v/>
      </c>
      <c r="IO37">
        <f>IF($B37=0,1000000,IF(INDEX('計算A'!$D$60:$DS$104,$B37,32)*DX37=1,'計算A'!AI$6,1000000))</f>
        <v/>
      </c>
      <c r="IP37">
        <f>IF($B37=0,1000000,IF(INDEX('計算A'!$D$60:$DS$104,$B37,33)*DY37=1,'計算A'!AJ$6,1000000))</f>
        <v/>
      </c>
      <c r="IQ37">
        <f>IF($B37=0,1000000,IF(INDEX('計算A'!$D$60:$DS$104,$B37,34)*DZ37=1,'計算A'!AK$6,1000000))</f>
        <v/>
      </c>
      <c r="IR37">
        <f>IF($B37=0,1000000,IF(INDEX('計算A'!$D$60:$DS$104,$B37,35)*EA37=1,'計算A'!AL$6,1000000))</f>
        <v/>
      </c>
      <c r="IS37">
        <f>IF($B37=0,1000000,IF(INDEX('計算A'!$D$60:$DS$104,$B37,36)*EB37=1,'計算A'!AM$6,1000000))</f>
        <v/>
      </c>
      <c r="IT37">
        <f>IF($B37=0,1000000,IF(INDEX('計算A'!$D$60:$DS$104,$B37,37)*EC37=1,'計算A'!AN$6,1000000))</f>
        <v/>
      </c>
      <c r="IU37">
        <f>IF($B37=0,1000000,IF(INDEX('計算A'!$D$60:$DS$104,$B37,38)*ED37=1,'計算A'!AO$6,1000000))</f>
        <v/>
      </c>
      <c r="IV37">
        <f>IF($B37=0,1000000,IF(INDEX('計算A'!$D$60:$DS$104,$B37,39)*EE37=1,'計算A'!AP$6,1000000))</f>
        <v/>
      </c>
      <c r="IW37">
        <f>IF($B37=0,1000000,IF(INDEX('計算A'!$D$60:$DS$104,$B37,40)*EF37=1,'計算A'!AQ$6,1000000))</f>
        <v/>
      </c>
      <c r="IX37">
        <f>IF($B37=0,1000000,IF(INDEX('計算A'!$D$60:$DS$104,$B37,41)*EG37=1,'計算A'!AR$6,1000000))</f>
        <v/>
      </c>
      <c r="IY37">
        <f>IF($B37=0,1000000,IF(INDEX('計算A'!$D$60:$DS$104,$B37,42)*EH37=1,'計算A'!AS$6,1000000))</f>
        <v/>
      </c>
      <c r="IZ37">
        <f>IF($B37=0,1000000,IF(INDEX('計算A'!$D$60:$DS$104,$B37,43)*EI37=1,'計算A'!AT$6,1000000))</f>
        <v/>
      </c>
      <c r="JA37">
        <f>IF($B37=0,1000000,IF(INDEX('計算A'!$D$60:$DS$104,$B37,44)*EJ37=1,'計算A'!AU$6,1000000))</f>
        <v/>
      </c>
      <c r="JB37">
        <f>IF($B37=0,1000000,IF(INDEX('計算A'!$D$60:$DS$104,$B37,45)*EK37=1,'計算A'!AV$6,1000000))</f>
        <v/>
      </c>
      <c r="JC37">
        <f>IF($B37=0,1000000,IF(INDEX('計算A'!$D$60:$DS$104,$B37,46)*EL37=1,'計算A'!AW$6,1000000))</f>
        <v/>
      </c>
      <c r="JD37">
        <f>IF($B37=0,1000000,IF(INDEX('計算A'!$D$60:$DS$104,$B37,47)*EM37=1,'計算A'!AX$6,1000000))</f>
        <v/>
      </c>
      <c r="JE37">
        <f>IF($B37=0,1000000,IF(INDEX('計算A'!$D$60:$DS$104,$B37,48)*EN37=1,'計算A'!AY$6,1000000))</f>
        <v/>
      </c>
      <c r="JF37">
        <f>IF($B37=0,1000000,IF(INDEX('計算A'!$D$60:$DS$104,$B37,49)*EO37=1,'計算A'!AZ$6,1000000))</f>
        <v/>
      </c>
      <c r="JG37">
        <f>IF($B37=0,1000000,IF(INDEX('計算A'!$D$60:$DS$104,$B37,50)*EP37=1,'計算A'!BA$6,1000000))</f>
        <v/>
      </c>
      <c r="JH37">
        <f>IF($B37=0,1000000,IF(INDEX('計算A'!$D$60:$DS$104,$B37,51)*EQ37=1,'計算A'!BB$6,1000000))</f>
        <v/>
      </c>
      <c r="JI37">
        <f>IF($B37=0,1000000,IF(INDEX('計算A'!$D$60:$DS$104,$B37,52)*ER37=1,'計算A'!BC$6,1000000))</f>
        <v/>
      </c>
      <c r="JJ37">
        <f>IF($B37=0,1000000,IF(INDEX('計算A'!$D$60:$DS$104,$B37,53)*ES37=1,'計算A'!BD$6,1000000))</f>
        <v/>
      </c>
      <c r="JK37">
        <f>IF($B37=0,1000000,IF(INDEX('計算A'!$D$60:$DS$104,$B37,54)*ET37=1,'計算A'!BE$6,1000000))</f>
        <v/>
      </c>
      <c r="JL37">
        <f>IF($B37=0,1000000,IF(INDEX('計算A'!$D$60:$DS$104,$B37,55)*EU37=1,'計算A'!BF$6,1000000))</f>
        <v/>
      </c>
      <c r="JM37">
        <f>IF($B37=0,1000000,IF(INDEX('計算A'!$D$60:$DS$104,$B37,56)*EV37=1,'計算A'!BG$6,1000000))</f>
        <v/>
      </c>
      <c r="JN37">
        <f>IF($B37=0,1000000,IF(INDEX('計算A'!$D$60:$DS$104,$B37,57)*EW37=1,'計算A'!BH$6,1000000))</f>
        <v/>
      </c>
      <c r="JO37">
        <f>IF($B37=0,1000000,IF(INDEX('計算A'!$D$60:$DS$104,$B37,58)*EX37=1,'計算A'!BI$6,1000000))</f>
        <v/>
      </c>
      <c r="JP37">
        <f>IF($B37=0,1000000,IF(INDEX('計算A'!$D$60:$DS$104,$B37,59)*EY37=1,'計算A'!BJ$6,1000000))</f>
        <v/>
      </c>
      <c r="JQ37">
        <f>IF($B37=0,1000000,IF(INDEX('計算A'!$D$60:$DS$104,$B37,60)*EZ37=1,'計算A'!BK$6,1000000))</f>
        <v/>
      </c>
      <c r="JR37">
        <f>IF($B37=0,1000000,IF(INDEX('計算A'!$D$60:$DS$104,$B37,61)*FA37=1,'計算A'!BL$6,1000000))</f>
        <v/>
      </c>
      <c r="JS37">
        <f>IF($B37=0,1000000,IF(INDEX('計算A'!$D$60:$DS$104,$B37,62)*FB37=1,'計算A'!BM$6,1000000))</f>
        <v/>
      </c>
      <c r="JT37">
        <f>IF($B37=0,1000000,IF(INDEX('計算A'!$D$60:$DS$104,$B37,63)*FC37=1,'計算A'!BN$6,1000000))</f>
        <v/>
      </c>
      <c r="JU37">
        <f>IF($B37=0,1000000,IF(INDEX('計算A'!$D$60:$DS$104,$B37,64)*FD37=1,'計算A'!BO$6,1000000))</f>
        <v/>
      </c>
      <c r="JV37">
        <f>IF($B37=0,1000000,IF(INDEX('計算A'!$D$60:$DS$104,$B37,65)*FE37=1,'計算A'!BP$6,1000000))</f>
        <v/>
      </c>
      <c r="JW37">
        <f>IF($B37=0,1000000,IF(INDEX('計算A'!$D$60:$DS$104,$B37,66)*FF37=1,'計算A'!BQ$6,1000000))</f>
        <v/>
      </c>
      <c r="JX37">
        <f>IF($B37=0,1000000,IF(INDEX('計算A'!$D$60:$DS$104,$B37,67)*FG37=1,'計算A'!BR$6,1000000))</f>
        <v/>
      </c>
      <c r="JY37">
        <f>IF($B37=0,1000000,IF(INDEX('計算A'!$D$60:$DS$104,$B37,68)*FH37=1,'計算A'!BS$6,1000000))</f>
        <v/>
      </c>
      <c r="JZ37">
        <f>IF($B37=0,1000000,IF(INDEX('計算A'!$D$60:$DS$104,$B37,69)*FI37=1,'計算A'!BT$6,1000000))</f>
        <v/>
      </c>
      <c r="KA37">
        <f>IF($B37=0,1000000,IF(INDEX('計算A'!$D$60:$DS$104,$B37,70)*FJ37=1,'計算A'!BU$6,1000000))</f>
        <v/>
      </c>
      <c r="KB37">
        <f>IF($B37=0,1000000,IF(INDEX('計算A'!$D$60:$DS$104,$B37,71)*FK37=1,'計算A'!BV$6,1000000))</f>
        <v/>
      </c>
      <c r="KC37">
        <f>IF($B37=0,1000000,IF(INDEX('計算A'!$D$60:$DS$104,$B37,72)*FL37=1,'計算A'!BW$6,1000000))</f>
        <v/>
      </c>
      <c r="KD37">
        <f>IF($B37=0,1000000,IF(INDEX('計算A'!$D$60:$DS$104,$B37,73)*FM37=1,'計算A'!BX$6,1000000))</f>
        <v/>
      </c>
      <c r="KE37">
        <f>IF($B37=0,1000000,IF(INDEX('計算A'!$D$60:$DS$104,$B37,74)*FN37=1,'計算A'!BY$6,1000000))</f>
        <v/>
      </c>
      <c r="KF37">
        <f>IF($B37=0,1000000,IF(INDEX('計算A'!$D$60:$DS$104,$B37,75)*FO37=1,'計算A'!BZ$6,1000000))</f>
        <v/>
      </c>
      <c r="KG37">
        <f>IF($B37=0,1000000,IF(INDEX('計算A'!$D$60:$DS$104,$B37,76)*FP37=1,'計算A'!CA$6,1000000))</f>
        <v/>
      </c>
      <c r="KH37">
        <f>IF($B37=0,1000000,IF(INDEX('計算A'!$D$60:$DS$104,$B37,77)*FQ37=1,'計算A'!CB$6,1000000))</f>
        <v/>
      </c>
      <c r="KI37">
        <f>IF($B37=0,1000000,IF(INDEX('計算A'!$D$60:$DS$104,$B37,78)*FR37=1,'計算A'!CC$6,1000000))</f>
        <v/>
      </c>
      <c r="KJ37">
        <f>IF($B37=0,1000000,IF(INDEX('計算A'!$D$60:$DS$104,$B37,79)*FS37=1,'計算A'!CD$6,1000000))</f>
        <v/>
      </c>
      <c r="KK37">
        <f>IF($B37=0,1000000,IF(INDEX('計算A'!$D$60:$DS$104,$B37,80)*FT37=1,'計算A'!CE$6,1000000))</f>
        <v/>
      </c>
      <c r="KL37">
        <f>IF($B37=0,1000000,IF(INDEX('計算A'!$D$60:$DS$104,$B37,81)*FU37=1,'計算A'!CF$6,1000000))</f>
        <v/>
      </c>
      <c r="KM37">
        <f>IF($B37=0,1000000,IF(INDEX('計算A'!$D$60:$DS$104,$B37,82)*FV37=1,'計算A'!CG$6,1000000))</f>
        <v/>
      </c>
      <c r="KN37">
        <f>IF($B37=0,1000000,IF(INDEX('計算A'!$D$60:$DS$104,$B37,83)*FW37=1,'計算A'!CH$6,1000000))</f>
        <v/>
      </c>
      <c r="KO37">
        <f>IF($B37=0,1000000,IF(INDEX('計算A'!$D$60:$DS$104,$B37,84)*FX37=1,'計算A'!CI$6,1000000))</f>
        <v/>
      </c>
      <c r="KP37">
        <f>IF($B37=0,1000000,IF(INDEX('計算A'!$D$60:$DS$104,$B37,85)*FY37=1,'計算A'!CJ$6,1000000))</f>
        <v/>
      </c>
      <c r="KQ37">
        <f>IF($B37=0,1000000,IF(INDEX('計算A'!$D$60:$DS$104,$B37,86)*FZ37=1,'計算A'!CK$6,1000000))</f>
        <v/>
      </c>
      <c r="KR37">
        <f>IF($B37=0,1000000,IF(INDEX('計算A'!$D$60:$DS$104,$B37,87)*GA37=1,'計算A'!CL$6,1000000))</f>
        <v/>
      </c>
      <c r="KS37">
        <f>IF($B37=0,1000000,IF(INDEX('計算A'!$D$60:$DS$104,$B37,88)*GB37=1,'計算A'!CM$6,1000000))</f>
        <v/>
      </c>
      <c r="KT37">
        <f>IF($B37=0,1000000,IF(INDEX('計算A'!$D$60:$DS$104,$B37,89)*GC37=1,'計算A'!CN$6,1000000))</f>
        <v/>
      </c>
      <c r="KU37">
        <f>IF($B37=0,1000000,IF(INDEX('計算A'!$D$60:$DS$104,$B37,90)*GD37=1,'計算A'!CO$6,1000000))</f>
        <v/>
      </c>
      <c r="KV37">
        <f>IF($B37=0,1000000,IF(INDEX('計算A'!$D$60:$DS$104,$B37,91)*GE37=1,'計算A'!CP$6,1000000))</f>
        <v/>
      </c>
      <c r="KW37">
        <f>IF($B37=0,1000000,IF(INDEX('計算A'!$D$60:$DS$104,$B37,92)*GF37=1,'計算A'!CQ$6,1000000))</f>
        <v/>
      </c>
      <c r="KX37">
        <f>IF($B37=0,1000000,IF(INDEX('計算A'!$D$60:$DS$104,$B37,93)*GG37=1,'計算A'!CR$6,1000000))</f>
        <v/>
      </c>
      <c r="KY37">
        <f>IF($B37=0,1000000,IF(INDEX('計算A'!$D$60:$DS$104,$B37,94)*GH37=1,'計算A'!CS$6,1000000))</f>
        <v/>
      </c>
      <c r="KZ37">
        <f>IF($B37=0,1000000,IF(INDEX('計算A'!$D$60:$DS$104,$B37,95)*GI37=1,'計算A'!CT$6,1000000))</f>
        <v/>
      </c>
      <c r="LA37">
        <f>IF($B37=0,1000000,IF(INDEX('計算A'!$D$60:$DS$104,$B37,96)*GJ37=1,'計算A'!CU$6,1000000))</f>
        <v/>
      </c>
      <c r="LB37">
        <f>IF($B37=0,1000000,IF(INDEX('計算A'!$D$60:$DS$104,$B37,97)*GK37=1,'計算A'!CV$6,1000000))</f>
        <v/>
      </c>
      <c r="LC37">
        <f>IF($B37=0,1000000,IF(INDEX('計算A'!$D$60:$DS$104,$B37,98)*GL37=1,'計算A'!CW$6,1000000))</f>
        <v/>
      </c>
      <c r="LD37">
        <f>IF($B37=0,1000000,IF(INDEX('計算A'!$D$60:$DS$104,$B37,99)*GM37=1,'計算A'!CX$6,1000000))</f>
        <v/>
      </c>
      <c r="LE37">
        <f>IF($B37=0,1000000,IF(INDEX('計算A'!$D$60:$DS$104,$B37,100)*GN37=1,'計算A'!CY$6,1000000))</f>
        <v/>
      </c>
      <c r="LF37">
        <f>IF($B37=0,1000000,IF(INDEX('計算A'!$D$60:$DS$104,$B37,101)*GO37=1,'計算A'!CZ$6,1000000))</f>
        <v/>
      </c>
      <c r="LG37">
        <f>IF($B37=0,1000000,IF(INDEX('計算A'!$D$60:$DS$104,$B37,102)*GP37=1,'計算A'!DA$6,1000000))</f>
        <v/>
      </c>
      <c r="LH37">
        <f>IF($B37=0,1000000,IF(INDEX('計算A'!$D$60:$DS$104,$B37,103)*GQ37=1,'計算A'!DB$6,1000000))</f>
        <v/>
      </c>
      <c r="LI37">
        <f>IF($B37=0,1000000,IF(INDEX('計算A'!$D$60:$DS$104,$B37,104)*GR37=1,'計算A'!DC$6,1000000))</f>
        <v/>
      </c>
      <c r="LJ37">
        <f>IF($B37=0,1000000,IF(INDEX('計算A'!$D$60:$DS$104,$B37,105)*GS37=1,'計算A'!DD$6,1000000))</f>
        <v/>
      </c>
      <c r="LK37">
        <f>IF($B37=0,1000000,IF(INDEX('計算A'!$D$60:$DS$104,$B37,106)*GT37=1,'計算A'!DE$6,1000000))</f>
        <v/>
      </c>
      <c r="LL37">
        <f>IF($B37=0,1000000,IF(INDEX('計算A'!$D$60:$DS$104,$B37,107)*GU37=1,'計算A'!DF$6,1000000))</f>
        <v/>
      </c>
      <c r="LM37">
        <f>IF($B37=0,1000000,IF(INDEX('計算A'!$D$60:$DS$104,$B37,108)*GV37=1,'計算A'!DG$6,1000000))</f>
        <v/>
      </c>
      <c r="LN37">
        <f>IF($B37=0,1000000,IF(INDEX('計算A'!$D$60:$DS$104,$B37,109)*GW37=1,'計算A'!DH$6,1000000))</f>
        <v/>
      </c>
      <c r="LO37">
        <f>IF($B37=0,1000000,IF(INDEX('計算A'!$D$60:$DS$104,$B37,110)*GX37=1,'計算A'!DI$6,1000000))</f>
        <v/>
      </c>
      <c r="LP37">
        <f>IF($B37=0,1000000,IF(INDEX('計算A'!$D$60:$DS$104,$B37,111)*GY37=1,'計算A'!DJ$6,1000000))</f>
        <v/>
      </c>
      <c r="LQ37">
        <f>IF($B37=0,1000000,IF(INDEX('計算A'!$D$60:$DS$104,$B37,112)*GZ37=1,'計算A'!DK$6,1000000))</f>
        <v/>
      </c>
      <c r="LR37">
        <f>IF($B37=0,1000000,IF(INDEX('計算A'!$D$60:$DS$104,$B37,113)*HA37=1,'計算A'!DL$6,1000000))</f>
        <v/>
      </c>
      <c r="LS37">
        <f>IF($B37=0,1000000,IF(INDEX('計算A'!$D$60:$DS$104,$B37,114)*HB37=1,'計算A'!DM$6,1000000))</f>
        <v/>
      </c>
      <c r="LT37">
        <f>IF($B37=0,1000000,IF(INDEX('計算A'!$D$60:$DS$104,$B37,115)*HC37=1,'計算A'!DN$6,1000000))</f>
        <v/>
      </c>
      <c r="LU37">
        <f>IF($B37=0,1000000,IF(INDEX('計算A'!$D$60:$DS$104,$B37,116)*HD37=1,'計算A'!DO$6,1000000))</f>
        <v/>
      </c>
      <c r="LV37">
        <f>IF($B37=0,1000000,IF(INDEX('計算A'!$D$60:$DS$104,$B37,117)*HE37=1,'計算A'!DP$6,1000000))</f>
        <v/>
      </c>
      <c r="LW37">
        <f>IF($B37=0,1000000,IF(INDEX('計算A'!$D$60:$DS$104,$B37,118)*HF37=1,'計算A'!DQ$6,1000000))</f>
        <v/>
      </c>
      <c r="LX37">
        <f>IF($B37=0,1000000,IF(INDEX('計算A'!$D$60:$DS$104,$B37,119)*HG37=1,'計算A'!DR$6,1000000))</f>
        <v/>
      </c>
      <c r="LY37">
        <f>IF($B37=0,1000000,IF(INDEX('計算A'!$D$60:$DS$104,$B37,120)*HH37=1,'計算A'!DS$6,1000000))</f>
        <v/>
      </c>
    </row>
    <row r="38">
      <c r="A38" t="n">
        <v>36</v>
      </c>
      <c r="B38">
        <f>IF(MIN(AY38:CQ38)&gt;=1000000,0,MATCH(MIN(AY38:CQ38),AY38:CQ38,0))</f>
        <v/>
      </c>
      <c r="C38">
        <f>IF(MIN(HJ38:LY38)&gt;=1000000,0,MATCH(MIN(HJ38:LY38),HJ38:LY38,0))</f>
        <v/>
      </c>
      <c r="D38">
        <f>IF(C38&gt;0,INDEX('計算A'!$D$5:$DS$5,C38),0)</f>
        <v/>
      </c>
      <c r="E38">
        <f>MAX(E37,IF($B37=1,1,0))</f>
        <v/>
      </c>
      <c r="F38">
        <f>MAX(F37,IF($B37=2,1,0))</f>
        <v/>
      </c>
      <c r="G38">
        <f>MAX(G37,IF($B37=3,1,0))</f>
        <v/>
      </c>
      <c r="H38">
        <f>MAX(H37,IF($B37=4,1,0))</f>
        <v/>
      </c>
      <c r="I38">
        <f>MAX(I37,IF($B37=5,1,0))</f>
        <v/>
      </c>
      <c r="J38">
        <f>MAX(J37,IF($B37=6,1,0))</f>
        <v/>
      </c>
      <c r="K38">
        <f>MAX(K37,IF($B37=7,1,0))</f>
        <v/>
      </c>
      <c r="L38">
        <f>MAX(L37,IF($B37=8,1,0))</f>
        <v/>
      </c>
      <c r="M38">
        <f>MAX(M37,IF($B37=9,1,0))</f>
        <v/>
      </c>
      <c r="N38">
        <f>MAX(N37,IF($B37=10,1,0))</f>
        <v/>
      </c>
      <c r="O38">
        <f>MAX(O37,IF($B37=11,1,0))</f>
        <v/>
      </c>
      <c r="P38">
        <f>MAX(P37,IF($B37=12,1,0))</f>
        <v/>
      </c>
      <c r="Q38">
        <f>MAX(Q37,IF($B37=13,1,0))</f>
        <v/>
      </c>
      <c r="R38">
        <f>MAX(R37,IF($B37=14,1,0))</f>
        <v/>
      </c>
      <c r="S38">
        <f>MAX(S37,IF($B37=15,1,0))</f>
        <v/>
      </c>
      <c r="T38">
        <f>MAX(T37,IF($B37=16,1,0))</f>
        <v/>
      </c>
      <c r="U38">
        <f>MAX(U37,IF($B37=17,1,0))</f>
        <v/>
      </c>
      <c r="V38">
        <f>MAX(V37,IF($B37=18,1,0))</f>
        <v/>
      </c>
      <c r="W38">
        <f>MAX(W37,IF($B37=19,1,0))</f>
        <v/>
      </c>
      <c r="X38">
        <f>MAX(X37,IF($B37=20,1,0))</f>
        <v/>
      </c>
      <c r="Y38">
        <f>MAX(Y37,IF($B37=21,1,0))</f>
        <v/>
      </c>
      <c r="Z38">
        <f>MAX(Z37,IF($B37=22,1,0))</f>
        <v/>
      </c>
      <c r="AA38">
        <f>MAX(AA37,IF($B37=23,1,0))</f>
        <v/>
      </c>
      <c r="AB38">
        <f>MAX(AB37,IF($B37=24,1,0))</f>
        <v/>
      </c>
      <c r="AC38">
        <f>MAX(AC37,IF($B37=25,1,0))</f>
        <v/>
      </c>
      <c r="AD38">
        <f>MAX(AD37,IF($B37=26,1,0))</f>
        <v/>
      </c>
      <c r="AE38">
        <f>MAX(AE37,IF($B37=27,1,0))</f>
        <v/>
      </c>
      <c r="AF38">
        <f>MAX(AF37,IF($B37=28,1,0))</f>
        <v/>
      </c>
      <c r="AG38">
        <f>MAX(AG37,IF($B37=29,1,0))</f>
        <v/>
      </c>
      <c r="AH38">
        <f>MAX(AH37,IF($B37=30,1,0))</f>
        <v/>
      </c>
      <c r="AI38">
        <f>MAX(AI37,IF($B37=31,1,0))</f>
        <v/>
      </c>
      <c r="AJ38">
        <f>MAX(AJ37,IF($B37=32,1,0))</f>
        <v/>
      </c>
      <c r="AK38">
        <f>MAX(AK37,IF($B37=33,1,0))</f>
        <v/>
      </c>
      <c r="AL38">
        <f>MAX(AL37,IF($B37=34,1,0))</f>
        <v/>
      </c>
      <c r="AM38">
        <f>MAX(AM37,IF($B37=35,1,0))</f>
        <v/>
      </c>
      <c r="AN38">
        <f>MAX(AN37,IF($B37=36,1,0))</f>
        <v/>
      </c>
      <c r="AO38">
        <f>MAX(AO37,IF($B37=37,1,0))</f>
        <v/>
      </c>
      <c r="AP38">
        <f>MAX(AP37,IF($B37=38,1,0))</f>
        <v/>
      </c>
      <c r="AQ38">
        <f>MAX(AQ37,IF($B37=39,1,0))</f>
        <v/>
      </c>
      <c r="AR38">
        <f>MAX(AR37,IF($B37=40,1,0))</f>
        <v/>
      </c>
      <c r="AS38">
        <f>MAX(AS37,IF($B37=41,1,0))</f>
        <v/>
      </c>
      <c r="AT38">
        <f>MAX(AT37,IF($B37=42,1,0))</f>
        <v/>
      </c>
      <c r="AU38">
        <f>MAX(AU37,IF($B37=43,1,0))</f>
        <v/>
      </c>
      <c r="AV38">
        <f>MAX(AV37,IF($B37=44,1,0))</f>
        <v/>
      </c>
      <c r="AW38">
        <f>MAX(AW37,IF($B37=45,1,0))</f>
        <v/>
      </c>
      <c r="AY38">
        <f>IF(E38=1,1000000,SUMPRODUCT('計算A'!$D$60:$DS$60,$CS38:$HH38)*1000+1)</f>
        <v/>
      </c>
      <c r="AZ38">
        <f>IF(F38=1,1000000,SUMPRODUCT('計算A'!$D$61:$DS$61,$CS38:$HH38)*1000+2)</f>
        <v/>
      </c>
      <c r="BA38">
        <f>IF(G38=1,1000000,SUMPRODUCT('計算A'!$D$62:$DS$62,$CS38:$HH38)*1000+3)</f>
        <v/>
      </c>
      <c r="BB38">
        <f>IF(H38=1,1000000,SUMPRODUCT('計算A'!$D$63:$DS$63,$CS38:$HH38)*1000+4)</f>
        <v/>
      </c>
      <c r="BC38">
        <f>IF(I38=1,1000000,SUMPRODUCT('計算A'!$D$64:$DS$64,$CS38:$HH38)*1000+5)</f>
        <v/>
      </c>
      <c r="BD38">
        <f>IF(J38=1,1000000,SUMPRODUCT('計算A'!$D$65:$DS$65,$CS38:$HH38)*1000+6)</f>
        <v/>
      </c>
      <c r="BE38">
        <f>IF(K38=1,1000000,SUMPRODUCT('計算A'!$D$66:$DS$66,$CS38:$HH38)*1000+7)</f>
        <v/>
      </c>
      <c r="BF38">
        <f>IF(L38=1,1000000,SUMPRODUCT('計算A'!$D$67:$DS$67,$CS38:$HH38)*1000+8)</f>
        <v/>
      </c>
      <c r="BG38">
        <f>IF(M38=1,1000000,SUMPRODUCT('計算A'!$D$68:$DS$68,$CS38:$HH38)*1000+9)</f>
        <v/>
      </c>
      <c r="BH38">
        <f>IF(N38=1,1000000,SUMPRODUCT('計算A'!$D$69:$DS$69,$CS38:$HH38)*1000+10)</f>
        <v/>
      </c>
      <c r="BI38">
        <f>IF(O38=1,1000000,SUMPRODUCT('計算A'!$D$70:$DS$70,$CS38:$HH38)*1000+11)</f>
        <v/>
      </c>
      <c r="BJ38">
        <f>IF(P38=1,1000000,SUMPRODUCT('計算A'!$D$71:$DS$71,$CS38:$HH38)*1000+12)</f>
        <v/>
      </c>
      <c r="BK38">
        <f>IF(Q38=1,1000000,SUMPRODUCT('計算A'!$D$72:$DS$72,$CS38:$HH38)*1000+13)</f>
        <v/>
      </c>
      <c r="BL38">
        <f>IF(R38=1,1000000,SUMPRODUCT('計算A'!$D$73:$DS$73,$CS38:$HH38)*1000+14)</f>
        <v/>
      </c>
      <c r="BM38">
        <f>IF(S38=1,1000000,SUMPRODUCT('計算A'!$D$74:$DS$74,$CS38:$HH38)*1000+15)</f>
        <v/>
      </c>
      <c r="BN38">
        <f>IF(T38=1,1000000,SUMPRODUCT('計算A'!$D$75:$DS$75,$CS38:$HH38)*1000+16)</f>
        <v/>
      </c>
      <c r="BO38">
        <f>IF(U38=1,1000000,SUMPRODUCT('計算A'!$D$76:$DS$76,$CS38:$HH38)*1000+17)</f>
        <v/>
      </c>
      <c r="BP38">
        <f>IF(V38=1,1000000,SUMPRODUCT('計算A'!$D$77:$DS$77,$CS38:$HH38)*1000+18)</f>
        <v/>
      </c>
      <c r="BQ38">
        <f>IF(W38=1,1000000,SUMPRODUCT('計算A'!$D$78:$DS$78,$CS38:$HH38)*1000+19)</f>
        <v/>
      </c>
      <c r="BR38">
        <f>IF(X38=1,1000000,SUMPRODUCT('計算A'!$D$79:$DS$79,$CS38:$HH38)*1000+20)</f>
        <v/>
      </c>
      <c r="BS38">
        <f>IF(Y38=1,1000000,SUMPRODUCT('計算A'!$D$80:$DS$80,$CS38:$HH38)*1000+21)</f>
        <v/>
      </c>
      <c r="BT38">
        <f>IF(Z38=1,1000000,SUMPRODUCT('計算A'!$D$81:$DS$81,$CS38:$HH38)*1000+22)</f>
        <v/>
      </c>
      <c r="BU38">
        <f>IF(AA38=1,1000000,SUMPRODUCT('計算A'!$D$82:$DS$82,$CS38:$HH38)*1000+23)</f>
        <v/>
      </c>
      <c r="BV38">
        <f>IF(AB38=1,1000000,SUMPRODUCT('計算A'!$D$83:$DS$83,$CS38:$HH38)*1000+24)</f>
        <v/>
      </c>
      <c r="BW38">
        <f>IF(AC38=1,1000000,SUMPRODUCT('計算A'!$D$84:$DS$84,$CS38:$HH38)*1000+25)</f>
        <v/>
      </c>
      <c r="BX38">
        <f>IF(AD38=1,1000000,SUMPRODUCT('計算A'!$D$85:$DS$85,$CS38:$HH38)*1000+26)</f>
        <v/>
      </c>
      <c r="BY38">
        <f>IF(AE38=1,1000000,SUMPRODUCT('計算A'!$D$86:$DS$86,$CS38:$HH38)*1000+27)</f>
        <v/>
      </c>
      <c r="BZ38">
        <f>IF(AF38=1,1000000,SUMPRODUCT('計算A'!$D$87:$DS$87,$CS38:$HH38)*1000+28)</f>
        <v/>
      </c>
      <c r="CA38">
        <f>IF(AG38=1,1000000,SUMPRODUCT('計算A'!$D$88:$DS$88,$CS38:$HH38)*1000+29)</f>
        <v/>
      </c>
      <c r="CB38">
        <f>IF(AH38=1,1000000,SUMPRODUCT('計算A'!$D$89:$DS$89,$CS38:$HH38)*1000+30)</f>
        <v/>
      </c>
      <c r="CC38">
        <f>IF(AI38=1,1000000,SUMPRODUCT('計算A'!$D$90:$DS$90,$CS38:$HH38)*1000+31)</f>
        <v/>
      </c>
      <c r="CD38">
        <f>IF(AJ38=1,1000000,SUMPRODUCT('計算A'!$D$91:$DS$91,$CS38:$HH38)*1000+32)</f>
        <v/>
      </c>
      <c r="CE38">
        <f>IF(AK38=1,1000000,SUMPRODUCT('計算A'!$D$92:$DS$92,$CS38:$HH38)*1000+33)</f>
        <v/>
      </c>
      <c r="CF38">
        <f>IF(AL38=1,1000000,SUMPRODUCT('計算A'!$D$93:$DS$93,$CS38:$HH38)*1000+34)</f>
        <v/>
      </c>
      <c r="CG38">
        <f>IF(AM38=1,1000000,SUMPRODUCT('計算A'!$D$94:$DS$94,$CS38:$HH38)*1000+35)</f>
        <v/>
      </c>
      <c r="CH38">
        <f>IF(AN38=1,1000000,SUMPRODUCT('計算A'!$D$95:$DS$95,$CS38:$HH38)*1000+36)</f>
        <v/>
      </c>
      <c r="CI38">
        <f>IF(AO38=1,1000000,SUMPRODUCT('計算A'!$D$96:$DS$96,$CS38:$HH38)*1000+37)</f>
        <v/>
      </c>
      <c r="CJ38">
        <f>IF(AP38=1,1000000,SUMPRODUCT('計算A'!$D$97:$DS$97,$CS38:$HH38)*1000+38)</f>
        <v/>
      </c>
      <c r="CK38">
        <f>IF(AQ38=1,1000000,SUMPRODUCT('計算A'!$D$98:$DS$98,$CS38:$HH38)*1000+39)</f>
        <v/>
      </c>
      <c r="CL38">
        <f>IF(AR38=1,1000000,SUMPRODUCT('計算A'!$D$99:$DS$99,$CS38:$HH38)*1000+40)</f>
        <v/>
      </c>
      <c r="CM38">
        <f>IF(AS38=1,1000000,SUMPRODUCT('計算A'!$D$100:$DS$100,$CS38:$HH38)*1000+41)</f>
        <v/>
      </c>
      <c r="CN38">
        <f>IF(AT38=1,1000000,SUMPRODUCT('計算A'!$D$101:$DS$101,$CS38:$HH38)*1000+42)</f>
        <v/>
      </c>
      <c r="CO38">
        <f>IF(AU38=1,1000000,SUMPRODUCT('計算A'!$D$102:$DS$102,$CS38:$HH38)*1000+43)</f>
        <v/>
      </c>
      <c r="CP38">
        <f>IF(AV38=1,1000000,SUMPRODUCT('計算A'!$D$103:$DS$103,$CS38:$HH38)*1000+44)</f>
        <v/>
      </c>
      <c r="CQ38">
        <f>IF(AW38=1,1000000,SUMPRODUCT('計算A'!$D$104:$DS$104,$CS38:$HH38)*1000+45)</f>
        <v/>
      </c>
      <c r="CS38">
        <f>CS37*IF($C37=1,0,1)</f>
        <v/>
      </c>
      <c r="CT38">
        <f>CT37*IF($C37=2,0,1)</f>
        <v/>
      </c>
      <c r="CU38">
        <f>CU37*IF($C37=3,0,1)</f>
        <v/>
      </c>
      <c r="CV38">
        <f>CV37*IF($C37=4,0,1)</f>
        <v/>
      </c>
      <c r="CW38">
        <f>CW37*IF($C37=5,0,1)</f>
        <v/>
      </c>
      <c r="CX38">
        <f>CX37*IF($C37=6,0,1)</f>
        <v/>
      </c>
      <c r="CY38">
        <f>CY37*IF($C37=7,0,1)</f>
        <v/>
      </c>
      <c r="CZ38">
        <f>CZ37*IF($C37=8,0,1)</f>
        <v/>
      </c>
      <c r="DA38">
        <f>DA37*IF($C37=9,0,1)</f>
        <v/>
      </c>
      <c r="DB38">
        <f>DB37*IF($C37=10,0,1)</f>
        <v/>
      </c>
      <c r="DC38">
        <f>DC37*IF($C37=11,0,1)</f>
        <v/>
      </c>
      <c r="DD38">
        <f>DD37*IF($C37=12,0,1)</f>
        <v/>
      </c>
      <c r="DE38">
        <f>DE37*IF($C37=13,0,1)</f>
        <v/>
      </c>
      <c r="DF38">
        <f>DF37*IF($C37=14,0,1)</f>
        <v/>
      </c>
      <c r="DG38">
        <f>DG37*IF($C37=15,0,1)</f>
        <v/>
      </c>
      <c r="DH38">
        <f>DH37*IF($C37=16,0,1)</f>
        <v/>
      </c>
      <c r="DI38">
        <f>DI37*IF($C37=17,0,1)</f>
        <v/>
      </c>
      <c r="DJ38">
        <f>DJ37*IF($C37=18,0,1)</f>
        <v/>
      </c>
      <c r="DK38">
        <f>DK37*IF($C37=19,0,1)</f>
        <v/>
      </c>
      <c r="DL38">
        <f>DL37*IF($C37=20,0,1)</f>
        <v/>
      </c>
      <c r="DM38">
        <f>DM37*IF($C37=21,0,1)</f>
        <v/>
      </c>
      <c r="DN38">
        <f>DN37*IF($C37=22,0,1)</f>
        <v/>
      </c>
      <c r="DO38">
        <f>DO37*IF($C37=23,0,1)</f>
        <v/>
      </c>
      <c r="DP38">
        <f>DP37*IF($C37=24,0,1)</f>
        <v/>
      </c>
      <c r="DQ38">
        <f>DQ37*IF($C37=25,0,1)</f>
        <v/>
      </c>
      <c r="DR38">
        <f>DR37*IF($C37=26,0,1)</f>
        <v/>
      </c>
      <c r="DS38">
        <f>DS37*IF($C37=27,0,1)</f>
        <v/>
      </c>
      <c r="DT38">
        <f>DT37*IF($C37=28,0,1)</f>
        <v/>
      </c>
      <c r="DU38">
        <f>DU37*IF($C37=29,0,1)</f>
        <v/>
      </c>
      <c r="DV38">
        <f>DV37*IF($C37=30,0,1)</f>
        <v/>
      </c>
      <c r="DW38">
        <f>DW37*IF($C37=31,0,1)</f>
        <v/>
      </c>
      <c r="DX38">
        <f>DX37*IF($C37=32,0,1)</f>
        <v/>
      </c>
      <c r="DY38">
        <f>DY37*IF($C37=33,0,1)</f>
        <v/>
      </c>
      <c r="DZ38">
        <f>DZ37*IF($C37=34,0,1)</f>
        <v/>
      </c>
      <c r="EA38">
        <f>EA37*IF($C37=35,0,1)</f>
        <v/>
      </c>
      <c r="EB38">
        <f>EB37*IF($C37=36,0,1)</f>
        <v/>
      </c>
      <c r="EC38">
        <f>EC37*IF($C37=37,0,1)</f>
        <v/>
      </c>
      <c r="ED38">
        <f>ED37*IF($C37=38,0,1)</f>
        <v/>
      </c>
      <c r="EE38">
        <f>EE37*IF($C37=39,0,1)</f>
        <v/>
      </c>
      <c r="EF38">
        <f>EF37*IF($C37=40,0,1)</f>
        <v/>
      </c>
      <c r="EG38">
        <f>EG37*IF($C37=41,0,1)</f>
        <v/>
      </c>
      <c r="EH38">
        <f>EH37*IF($C37=42,0,1)</f>
        <v/>
      </c>
      <c r="EI38">
        <f>EI37*IF($C37=43,0,1)</f>
        <v/>
      </c>
      <c r="EJ38">
        <f>EJ37*IF($C37=44,0,1)</f>
        <v/>
      </c>
      <c r="EK38">
        <f>EK37*IF($C37=45,0,1)</f>
        <v/>
      </c>
      <c r="EL38">
        <f>EL37*IF($C37=46,0,1)</f>
        <v/>
      </c>
      <c r="EM38">
        <f>EM37*IF($C37=47,0,1)</f>
        <v/>
      </c>
      <c r="EN38">
        <f>EN37*IF($C37=48,0,1)</f>
        <v/>
      </c>
      <c r="EO38">
        <f>EO37*IF($C37=49,0,1)</f>
        <v/>
      </c>
      <c r="EP38">
        <f>EP37*IF($C37=50,0,1)</f>
        <v/>
      </c>
      <c r="EQ38">
        <f>EQ37*IF($C37=51,0,1)</f>
        <v/>
      </c>
      <c r="ER38">
        <f>ER37*IF($C37=52,0,1)</f>
        <v/>
      </c>
      <c r="ES38">
        <f>ES37*IF($C37=53,0,1)</f>
        <v/>
      </c>
      <c r="ET38">
        <f>ET37*IF($C37=54,0,1)</f>
        <v/>
      </c>
      <c r="EU38">
        <f>EU37*IF($C37=55,0,1)</f>
        <v/>
      </c>
      <c r="EV38">
        <f>EV37*IF($C37=56,0,1)</f>
        <v/>
      </c>
      <c r="EW38">
        <f>EW37*IF($C37=57,0,1)</f>
        <v/>
      </c>
      <c r="EX38">
        <f>EX37*IF($C37=58,0,1)</f>
        <v/>
      </c>
      <c r="EY38">
        <f>EY37*IF($C37=59,0,1)</f>
        <v/>
      </c>
      <c r="EZ38">
        <f>EZ37*IF($C37=60,0,1)</f>
        <v/>
      </c>
      <c r="FA38">
        <f>FA37*IF($C37=61,0,1)</f>
        <v/>
      </c>
      <c r="FB38">
        <f>FB37*IF($C37=62,0,1)</f>
        <v/>
      </c>
      <c r="FC38">
        <f>FC37*IF($C37=63,0,1)</f>
        <v/>
      </c>
      <c r="FD38">
        <f>FD37*IF($C37=64,0,1)</f>
        <v/>
      </c>
      <c r="FE38">
        <f>FE37*IF($C37=65,0,1)</f>
        <v/>
      </c>
      <c r="FF38">
        <f>FF37*IF($C37=66,0,1)</f>
        <v/>
      </c>
      <c r="FG38">
        <f>FG37*IF($C37=67,0,1)</f>
        <v/>
      </c>
      <c r="FH38">
        <f>FH37*IF($C37=68,0,1)</f>
        <v/>
      </c>
      <c r="FI38">
        <f>FI37*IF($C37=69,0,1)</f>
        <v/>
      </c>
      <c r="FJ38">
        <f>FJ37*IF($C37=70,0,1)</f>
        <v/>
      </c>
      <c r="FK38">
        <f>FK37*IF($C37=71,0,1)</f>
        <v/>
      </c>
      <c r="FL38">
        <f>FL37*IF($C37=72,0,1)</f>
        <v/>
      </c>
      <c r="FM38">
        <f>FM37*IF($C37=73,0,1)</f>
        <v/>
      </c>
      <c r="FN38">
        <f>FN37*IF($C37=74,0,1)</f>
        <v/>
      </c>
      <c r="FO38">
        <f>FO37*IF($C37=75,0,1)</f>
        <v/>
      </c>
      <c r="FP38">
        <f>FP37*IF($C37=76,0,1)</f>
        <v/>
      </c>
      <c r="FQ38">
        <f>FQ37*IF($C37=77,0,1)</f>
        <v/>
      </c>
      <c r="FR38">
        <f>FR37*IF($C37=78,0,1)</f>
        <v/>
      </c>
      <c r="FS38">
        <f>FS37*IF($C37=79,0,1)</f>
        <v/>
      </c>
      <c r="FT38">
        <f>FT37*IF($C37=80,0,1)</f>
        <v/>
      </c>
      <c r="FU38">
        <f>FU37*IF($C37=81,0,1)</f>
        <v/>
      </c>
      <c r="FV38">
        <f>FV37*IF($C37=82,0,1)</f>
        <v/>
      </c>
      <c r="FW38">
        <f>FW37*IF($C37=83,0,1)</f>
        <v/>
      </c>
      <c r="FX38">
        <f>FX37*IF($C37=84,0,1)</f>
        <v/>
      </c>
      <c r="FY38">
        <f>FY37*IF($C37=85,0,1)</f>
        <v/>
      </c>
      <c r="FZ38">
        <f>FZ37*IF($C37=86,0,1)</f>
        <v/>
      </c>
      <c r="GA38">
        <f>GA37*IF($C37=87,0,1)</f>
        <v/>
      </c>
      <c r="GB38">
        <f>GB37*IF($C37=88,0,1)</f>
        <v/>
      </c>
      <c r="GC38">
        <f>GC37*IF($C37=89,0,1)</f>
        <v/>
      </c>
      <c r="GD38">
        <f>GD37*IF($C37=90,0,1)</f>
        <v/>
      </c>
      <c r="GE38">
        <f>GE37*IF($C37=91,0,1)</f>
        <v/>
      </c>
      <c r="GF38">
        <f>GF37*IF($C37=92,0,1)</f>
        <v/>
      </c>
      <c r="GG38">
        <f>GG37*IF($C37=93,0,1)</f>
        <v/>
      </c>
      <c r="GH38">
        <f>GH37*IF($C37=94,0,1)</f>
        <v/>
      </c>
      <c r="GI38">
        <f>GI37*IF($C37=95,0,1)</f>
        <v/>
      </c>
      <c r="GJ38">
        <f>GJ37*IF($C37=96,0,1)</f>
        <v/>
      </c>
      <c r="GK38">
        <f>GK37*IF($C37=97,0,1)</f>
        <v/>
      </c>
      <c r="GL38">
        <f>GL37*IF($C37=98,0,1)</f>
        <v/>
      </c>
      <c r="GM38">
        <f>GM37*IF($C37=99,0,1)</f>
        <v/>
      </c>
      <c r="GN38">
        <f>GN37*IF($C37=100,0,1)</f>
        <v/>
      </c>
      <c r="GO38">
        <f>GO37*IF($C37=101,0,1)</f>
        <v/>
      </c>
      <c r="GP38">
        <f>GP37*IF($C37=102,0,1)</f>
        <v/>
      </c>
      <c r="GQ38">
        <f>GQ37*IF($C37=103,0,1)</f>
        <v/>
      </c>
      <c r="GR38">
        <f>GR37*IF($C37=104,0,1)</f>
        <v/>
      </c>
      <c r="GS38">
        <f>GS37*IF($C37=105,0,1)</f>
        <v/>
      </c>
      <c r="GT38">
        <f>GT37*IF($C37=106,0,1)</f>
        <v/>
      </c>
      <c r="GU38">
        <f>GU37*IF($C37=107,0,1)</f>
        <v/>
      </c>
      <c r="GV38">
        <f>GV37*IF($C37=108,0,1)</f>
        <v/>
      </c>
      <c r="GW38">
        <f>GW37*IF($C37=109,0,1)</f>
        <v/>
      </c>
      <c r="GX38">
        <f>GX37*IF($C37=110,0,1)</f>
        <v/>
      </c>
      <c r="GY38">
        <f>GY37*IF($C37=111,0,1)</f>
        <v/>
      </c>
      <c r="GZ38">
        <f>GZ37*IF($C37=112,0,1)</f>
        <v/>
      </c>
      <c r="HA38">
        <f>HA37*IF($C37=113,0,1)</f>
        <v/>
      </c>
      <c r="HB38">
        <f>HB37*IF($C37=114,0,1)</f>
        <v/>
      </c>
      <c r="HC38">
        <f>HC37*IF($C37=115,0,1)</f>
        <v/>
      </c>
      <c r="HD38">
        <f>HD37*IF($C37=116,0,1)</f>
        <v/>
      </c>
      <c r="HE38">
        <f>HE37*IF($C37=117,0,1)</f>
        <v/>
      </c>
      <c r="HF38">
        <f>HF37*IF($C37=118,0,1)</f>
        <v/>
      </c>
      <c r="HG38">
        <f>HG37*IF($C37=119,0,1)</f>
        <v/>
      </c>
      <c r="HH38">
        <f>HH37*IF($C37=120,0,1)</f>
        <v/>
      </c>
      <c r="HJ38">
        <f>IF($B38=0,1000000,IF(INDEX('計算A'!$D$60:$DS$104,$B38,1)*CS38=1,'計算A'!D$6,1000000))</f>
        <v/>
      </c>
      <c r="HK38">
        <f>IF($B38=0,1000000,IF(INDEX('計算A'!$D$60:$DS$104,$B38,2)*CT38=1,'計算A'!E$6,1000000))</f>
        <v/>
      </c>
      <c r="HL38">
        <f>IF($B38=0,1000000,IF(INDEX('計算A'!$D$60:$DS$104,$B38,3)*CU38=1,'計算A'!F$6,1000000))</f>
        <v/>
      </c>
      <c r="HM38">
        <f>IF($B38=0,1000000,IF(INDEX('計算A'!$D$60:$DS$104,$B38,4)*CV38=1,'計算A'!G$6,1000000))</f>
        <v/>
      </c>
      <c r="HN38">
        <f>IF($B38=0,1000000,IF(INDEX('計算A'!$D$60:$DS$104,$B38,5)*CW38=1,'計算A'!H$6,1000000))</f>
        <v/>
      </c>
      <c r="HO38">
        <f>IF($B38=0,1000000,IF(INDEX('計算A'!$D$60:$DS$104,$B38,6)*CX38=1,'計算A'!I$6,1000000))</f>
        <v/>
      </c>
      <c r="HP38">
        <f>IF($B38=0,1000000,IF(INDEX('計算A'!$D$60:$DS$104,$B38,7)*CY38=1,'計算A'!J$6,1000000))</f>
        <v/>
      </c>
      <c r="HQ38">
        <f>IF($B38=0,1000000,IF(INDEX('計算A'!$D$60:$DS$104,$B38,8)*CZ38=1,'計算A'!K$6,1000000))</f>
        <v/>
      </c>
      <c r="HR38">
        <f>IF($B38=0,1000000,IF(INDEX('計算A'!$D$60:$DS$104,$B38,9)*DA38=1,'計算A'!L$6,1000000))</f>
        <v/>
      </c>
      <c r="HS38">
        <f>IF($B38=0,1000000,IF(INDEX('計算A'!$D$60:$DS$104,$B38,10)*DB38=1,'計算A'!M$6,1000000))</f>
        <v/>
      </c>
      <c r="HT38">
        <f>IF($B38=0,1000000,IF(INDEX('計算A'!$D$60:$DS$104,$B38,11)*DC38=1,'計算A'!N$6,1000000))</f>
        <v/>
      </c>
      <c r="HU38">
        <f>IF($B38=0,1000000,IF(INDEX('計算A'!$D$60:$DS$104,$B38,12)*DD38=1,'計算A'!O$6,1000000))</f>
        <v/>
      </c>
      <c r="HV38">
        <f>IF($B38=0,1000000,IF(INDEX('計算A'!$D$60:$DS$104,$B38,13)*DE38=1,'計算A'!P$6,1000000))</f>
        <v/>
      </c>
      <c r="HW38">
        <f>IF($B38=0,1000000,IF(INDEX('計算A'!$D$60:$DS$104,$B38,14)*DF38=1,'計算A'!Q$6,1000000))</f>
        <v/>
      </c>
      <c r="HX38">
        <f>IF($B38=0,1000000,IF(INDEX('計算A'!$D$60:$DS$104,$B38,15)*DG38=1,'計算A'!R$6,1000000))</f>
        <v/>
      </c>
      <c r="HY38">
        <f>IF($B38=0,1000000,IF(INDEX('計算A'!$D$60:$DS$104,$B38,16)*DH38=1,'計算A'!S$6,1000000))</f>
        <v/>
      </c>
      <c r="HZ38">
        <f>IF($B38=0,1000000,IF(INDEX('計算A'!$D$60:$DS$104,$B38,17)*DI38=1,'計算A'!T$6,1000000))</f>
        <v/>
      </c>
      <c r="IA38">
        <f>IF($B38=0,1000000,IF(INDEX('計算A'!$D$60:$DS$104,$B38,18)*DJ38=1,'計算A'!U$6,1000000))</f>
        <v/>
      </c>
      <c r="IB38">
        <f>IF($B38=0,1000000,IF(INDEX('計算A'!$D$60:$DS$104,$B38,19)*DK38=1,'計算A'!V$6,1000000))</f>
        <v/>
      </c>
      <c r="IC38">
        <f>IF($B38=0,1000000,IF(INDEX('計算A'!$D$60:$DS$104,$B38,20)*DL38=1,'計算A'!W$6,1000000))</f>
        <v/>
      </c>
      <c r="ID38">
        <f>IF($B38=0,1000000,IF(INDEX('計算A'!$D$60:$DS$104,$B38,21)*DM38=1,'計算A'!X$6,1000000))</f>
        <v/>
      </c>
      <c r="IE38">
        <f>IF($B38=0,1000000,IF(INDEX('計算A'!$D$60:$DS$104,$B38,22)*DN38=1,'計算A'!Y$6,1000000))</f>
        <v/>
      </c>
      <c r="IF38">
        <f>IF($B38=0,1000000,IF(INDEX('計算A'!$D$60:$DS$104,$B38,23)*DO38=1,'計算A'!Z$6,1000000))</f>
        <v/>
      </c>
      <c r="IG38">
        <f>IF($B38=0,1000000,IF(INDEX('計算A'!$D$60:$DS$104,$B38,24)*DP38=1,'計算A'!AA$6,1000000))</f>
        <v/>
      </c>
      <c r="IH38">
        <f>IF($B38=0,1000000,IF(INDEX('計算A'!$D$60:$DS$104,$B38,25)*DQ38=1,'計算A'!AB$6,1000000))</f>
        <v/>
      </c>
      <c r="II38">
        <f>IF($B38=0,1000000,IF(INDEX('計算A'!$D$60:$DS$104,$B38,26)*DR38=1,'計算A'!AC$6,1000000))</f>
        <v/>
      </c>
      <c r="IJ38">
        <f>IF($B38=0,1000000,IF(INDEX('計算A'!$D$60:$DS$104,$B38,27)*DS38=1,'計算A'!AD$6,1000000))</f>
        <v/>
      </c>
      <c r="IK38">
        <f>IF($B38=0,1000000,IF(INDEX('計算A'!$D$60:$DS$104,$B38,28)*DT38=1,'計算A'!AE$6,1000000))</f>
        <v/>
      </c>
      <c r="IL38">
        <f>IF($B38=0,1000000,IF(INDEX('計算A'!$D$60:$DS$104,$B38,29)*DU38=1,'計算A'!AF$6,1000000))</f>
        <v/>
      </c>
      <c r="IM38">
        <f>IF($B38=0,1000000,IF(INDEX('計算A'!$D$60:$DS$104,$B38,30)*DV38=1,'計算A'!AG$6,1000000))</f>
        <v/>
      </c>
      <c r="IN38">
        <f>IF($B38=0,1000000,IF(INDEX('計算A'!$D$60:$DS$104,$B38,31)*DW38=1,'計算A'!AH$6,1000000))</f>
        <v/>
      </c>
      <c r="IO38">
        <f>IF($B38=0,1000000,IF(INDEX('計算A'!$D$60:$DS$104,$B38,32)*DX38=1,'計算A'!AI$6,1000000))</f>
        <v/>
      </c>
      <c r="IP38">
        <f>IF($B38=0,1000000,IF(INDEX('計算A'!$D$60:$DS$104,$B38,33)*DY38=1,'計算A'!AJ$6,1000000))</f>
        <v/>
      </c>
      <c r="IQ38">
        <f>IF($B38=0,1000000,IF(INDEX('計算A'!$D$60:$DS$104,$B38,34)*DZ38=1,'計算A'!AK$6,1000000))</f>
        <v/>
      </c>
      <c r="IR38">
        <f>IF($B38=0,1000000,IF(INDEX('計算A'!$D$60:$DS$104,$B38,35)*EA38=1,'計算A'!AL$6,1000000))</f>
        <v/>
      </c>
      <c r="IS38">
        <f>IF($B38=0,1000000,IF(INDEX('計算A'!$D$60:$DS$104,$B38,36)*EB38=1,'計算A'!AM$6,1000000))</f>
        <v/>
      </c>
      <c r="IT38">
        <f>IF($B38=0,1000000,IF(INDEX('計算A'!$D$60:$DS$104,$B38,37)*EC38=1,'計算A'!AN$6,1000000))</f>
        <v/>
      </c>
      <c r="IU38">
        <f>IF($B38=0,1000000,IF(INDEX('計算A'!$D$60:$DS$104,$B38,38)*ED38=1,'計算A'!AO$6,1000000))</f>
        <v/>
      </c>
      <c r="IV38">
        <f>IF($B38=0,1000000,IF(INDEX('計算A'!$D$60:$DS$104,$B38,39)*EE38=1,'計算A'!AP$6,1000000))</f>
        <v/>
      </c>
      <c r="IW38">
        <f>IF($B38=0,1000000,IF(INDEX('計算A'!$D$60:$DS$104,$B38,40)*EF38=1,'計算A'!AQ$6,1000000))</f>
        <v/>
      </c>
      <c r="IX38">
        <f>IF($B38=0,1000000,IF(INDEX('計算A'!$D$60:$DS$104,$B38,41)*EG38=1,'計算A'!AR$6,1000000))</f>
        <v/>
      </c>
      <c r="IY38">
        <f>IF($B38=0,1000000,IF(INDEX('計算A'!$D$60:$DS$104,$B38,42)*EH38=1,'計算A'!AS$6,1000000))</f>
        <v/>
      </c>
      <c r="IZ38">
        <f>IF($B38=0,1000000,IF(INDEX('計算A'!$D$60:$DS$104,$B38,43)*EI38=1,'計算A'!AT$6,1000000))</f>
        <v/>
      </c>
      <c r="JA38">
        <f>IF($B38=0,1000000,IF(INDEX('計算A'!$D$60:$DS$104,$B38,44)*EJ38=1,'計算A'!AU$6,1000000))</f>
        <v/>
      </c>
      <c r="JB38">
        <f>IF($B38=0,1000000,IF(INDEX('計算A'!$D$60:$DS$104,$B38,45)*EK38=1,'計算A'!AV$6,1000000))</f>
        <v/>
      </c>
      <c r="JC38">
        <f>IF($B38=0,1000000,IF(INDEX('計算A'!$D$60:$DS$104,$B38,46)*EL38=1,'計算A'!AW$6,1000000))</f>
        <v/>
      </c>
      <c r="JD38">
        <f>IF($B38=0,1000000,IF(INDEX('計算A'!$D$60:$DS$104,$B38,47)*EM38=1,'計算A'!AX$6,1000000))</f>
        <v/>
      </c>
      <c r="JE38">
        <f>IF($B38=0,1000000,IF(INDEX('計算A'!$D$60:$DS$104,$B38,48)*EN38=1,'計算A'!AY$6,1000000))</f>
        <v/>
      </c>
      <c r="JF38">
        <f>IF($B38=0,1000000,IF(INDEX('計算A'!$D$60:$DS$104,$B38,49)*EO38=1,'計算A'!AZ$6,1000000))</f>
        <v/>
      </c>
      <c r="JG38">
        <f>IF($B38=0,1000000,IF(INDEX('計算A'!$D$60:$DS$104,$B38,50)*EP38=1,'計算A'!BA$6,1000000))</f>
        <v/>
      </c>
      <c r="JH38">
        <f>IF($B38=0,1000000,IF(INDEX('計算A'!$D$60:$DS$104,$B38,51)*EQ38=1,'計算A'!BB$6,1000000))</f>
        <v/>
      </c>
      <c r="JI38">
        <f>IF($B38=0,1000000,IF(INDEX('計算A'!$D$60:$DS$104,$B38,52)*ER38=1,'計算A'!BC$6,1000000))</f>
        <v/>
      </c>
      <c r="JJ38">
        <f>IF($B38=0,1000000,IF(INDEX('計算A'!$D$60:$DS$104,$B38,53)*ES38=1,'計算A'!BD$6,1000000))</f>
        <v/>
      </c>
      <c r="JK38">
        <f>IF($B38=0,1000000,IF(INDEX('計算A'!$D$60:$DS$104,$B38,54)*ET38=1,'計算A'!BE$6,1000000))</f>
        <v/>
      </c>
      <c r="JL38">
        <f>IF($B38=0,1000000,IF(INDEX('計算A'!$D$60:$DS$104,$B38,55)*EU38=1,'計算A'!BF$6,1000000))</f>
        <v/>
      </c>
      <c r="JM38">
        <f>IF($B38=0,1000000,IF(INDEX('計算A'!$D$60:$DS$104,$B38,56)*EV38=1,'計算A'!BG$6,1000000))</f>
        <v/>
      </c>
      <c r="JN38">
        <f>IF($B38=0,1000000,IF(INDEX('計算A'!$D$60:$DS$104,$B38,57)*EW38=1,'計算A'!BH$6,1000000))</f>
        <v/>
      </c>
      <c r="JO38">
        <f>IF($B38=0,1000000,IF(INDEX('計算A'!$D$60:$DS$104,$B38,58)*EX38=1,'計算A'!BI$6,1000000))</f>
        <v/>
      </c>
      <c r="JP38">
        <f>IF($B38=0,1000000,IF(INDEX('計算A'!$D$60:$DS$104,$B38,59)*EY38=1,'計算A'!BJ$6,1000000))</f>
        <v/>
      </c>
      <c r="JQ38">
        <f>IF($B38=0,1000000,IF(INDEX('計算A'!$D$60:$DS$104,$B38,60)*EZ38=1,'計算A'!BK$6,1000000))</f>
        <v/>
      </c>
      <c r="JR38">
        <f>IF($B38=0,1000000,IF(INDEX('計算A'!$D$60:$DS$104,$B38,61)*FA38=1,'計算A'!BL$6,1000000))</f>
        <v/>
      </c>
      <c r="JS38">
        <f>IF($B38=0,1000000,IF(INDEX('計算A'!$D$60:$DS$104,$B38,62)*FB38=1,'計算A'!BM$6,1000000))</f>
        <v/>
      </c>
      <c r="JT38">
        <f>IF($B38=0,1000000,IF(INDEX('計算A'!$D$60:$DS$104,$B38,63)*FC38=1,'計算A'!BN$6,1000000))</f>
        <v/>
      </c>
      <c r="JU38">
        <f>IF($B38=0,1000000,IF(INDEX('計算A'!$D$60:$DS$104,$B38,64)*FD38=1,'計算A'!BO$6,1000000))</f>
        <v/>
      </c>
      <c r="JV38">
        <f>IF($B38=0,1000000,IF(INDEX('計算A'!$D$60:$DS$104,$B38,65)*FE38=1,'計算A'!BP$6,1000000))</f>
        <v/>
      </c>
      <c r="JW38">
        <f>IF($B38=0,1000000,IF(INDEX('計算A'!$D$60:$DS$104,$B38,66)*FF38=1,'計算A'!BQ$6,1000000))</f>
        <v/>
      </c>
      <c r="JX38">
        <f>IF($B38=0,1000000,IF(INDEX('計算A'!$D$60:$DS$104,$B38,67)*FG38=1,'計算A'!BR$6,1000000))</f>
        <v/>
      </c>
      <c r="JY38">
        <f>IF($B38=0,1000000,IF(INDEX('計算A'!$D$60:$DS$104,$B38,68)*FH38=1,'計算A'!BS$6,1000000))</f>
        <v/>
      </c>
      <c r="JZ38">
        <f>IF($B38=0,1000000,IF(INDEX('計算A'!$D$60:$DS$104,$B38,69)*FI38=1,'計算A'!BT$6,1000000))</f>
        <v/>
      </c>
      <c r="KA38">
        <f>IF($B38=0,1000000,IF(INDEX('計算A'!$D$60:$DS$104,$B38,70)*FJ38=1,'計算A'!BU$6,1000000))</f>
        <v/>
      </c>
      <c r="KB38">
        <f>IF($B38=0,1000000,IF(INDEX('計算A'!$D$60:$DS$104,$B38,71)*FK38=1,'計算A'!BV$6,1000000))</f>
        <v/>
      </c>
      <c r="KC38">
        <f>IF($B38=0,1000000,IF(INDEX('計算A'!$D$60:$DS$104,$B38,72)*FL38=1,'計算A'!BW$6,1000000))</f>
        <v/>
      </c>
      <c r="KD38">
        <f>IF($B38=0,1000000,IF(INDEX('計算A'!$D$60:$DS$104,$B38,73)*FM38=1,'計算A'!BX$6,1000000))</f>
        <v/>
      </c>
      <c r="KE38">
        <f>IF($B38=0,1000000,IF(INDEX('計算A'!$D$60:$DS$104,$B38,74)*FN38=1,'計算A'!BY$6,1000000))</f>
        <v/>
      </c>
      <c r="KF38">
        <f>IF($B38=0,1000000,IF(INDEX('計算A'!$D$60:$DS$104,$B38,75)*FO38=1,'計算A'!BZ$6,1000000))</f>
        <v/>
      </c>
      <c r="KG38">
        <f>IF($B38=0,1000000,IF(INDEX('計算A'!$D$60:$DS$104,$B38,76)*FP38=1,'計算A'!CA$6,1000000))</f>
        <v/>
      </c>
      <c r="KH38">
        <f>IF($B38=0,1000000,IF(INDEX('計算A'!$D$60:$DS$104,$B38,77)*FQ38=1,'計算A'!CB$6,1000000))</f>
        <v/>
      </c>
      <c r="KI38">
        <f>IF($B38=0,1000000,IF(INDEX('計算A'!$D$60:$DS$104,$B38,78)*FR38=1,'計算A'!CC$6,1000000))</f>
        <v/>
      </c>
      <c r="KJ38">
        <f>IF($B38=0,1000000,IF(INDEX('計算A'!$D$60:$DS$104,$B38,79)*FS38=1,'計算A'!CD$6,1000000))</f>
        <v/>
      </c>
      <c r="KK38">
        <f>IF($B38=0,1000000,IF(INDEX('計算A'!$D$60:$DS$104,$B38,80)*FT38=1,'計算A'!CE$6,1000000))</f>
        <v/>
      </c>
      <c r="KL38">
        <f>IF($B38=0,1000000,IF(INDEX('計算A'!$D$60:$DS$104,$B38,81)*FU38=1,'計算A'!CF$6,1000000))</f>
        <v/>
      </c>
      <c r="KM38">
        <f>IF($B38=0,1000000,IF(INDEX('計算A'!$D$60:$DS$104,$B38,82)*FV38=1,'計算A'!CG$6,1000000))</f>
        <v/>
      </c>
      <c r="KN38">
        <f>IF($B38=0,1000000,IF(INDEX('計算A'!$D$60:$DS$104,$B38,83)*FW38=1,'計算A'!CH$6,1000000))</f>
        <v/>
      </c>
      <c r="KO38">
        <f>IF($B38=0,1000000,IF(INDEX('計算A'!$D$60:$DS$104,$B38,84)*FX38=1,'計算A'!CI$6,1000000))</f>
        <v/>
      </c>
      <c r="KP38">
        <f>IF($B38=0,1000000,IF(INDEX('計算A'!$D$60:$DS$104,$B38,85)*FY38=1,'計算A'!CJ$6,1000000))</f>
        <v/>
      </c>
      <c r="KQ38">
        <f>IF($B38=0,1000000,IF(INDEX('計算A'!$D$60:$DS$104,$B38,86)*FZ38=1,'計算A'!CK$6,1000000))</f>
        <v/>
      </c>
      <c r="KR38">
        <f>IF($B38=0,1000000,IF(INDEX('計算A'!$D$60:$DS$104,$B38,87)*GA38=1,'計算A'!CL$6,1000000))</f>
        <v/>
      </c>
      <c r="KS38">
        <f>IF($B38=0,1000000,IF(INDEX('計算A'!$D$60:$DS$104,$B38,88)*GB38=1,'計算A'!CM$6,1000000))</f>
        <v/>
      </c>
      <c r="KT38">
        <f>IF($B38=0,1000000,IF(INDEX('計算A'!$D$60:$DS$104,$B38,89)*GC38=1,'計算A'!CN$6,1000000))</f>
        <v/>
      </c>
      <c r="KU38">
        <f>IF($B38=0,1000000,IF(INDEX('計算A'!$D$60:$DS$104,$B38,90)*GD38=1,'計算A'!CO$6,1000000))</f>
        <v/>
      </c>
      <c r="KV38">
        <f>IF($B38=0,1000000,IF(INDEX('計算A'!$D$60:$DS$104,$B38,91)*GE38=1,'計算A'!CP$6,1000000))</f>
        <v/>
      </c>
      <c r="KW38">
        <f>IF($B38=0,1000000,IF(INDEX('計算A'!$D$60:$DS$104,$B38,92)*GF38=1,'計算A'!CQ$6,1000000))</f>
        <v/>
      </c>
      <c r="KX38">
        <f>IF($B38=0,1000000,IF(INDEX('計算A'!$D$60:$DS$104,$B38,93)*GG38=1,'計算A'!CR$6,1000000))</f>
        <v/>
      </c>
      <c r="KY38">
        <f>IF($B38=0,1000000,IF(INDEX('計算A'!$D$60:$DS$104,$B38,94)*GH38=1,'計算A'!CS$6,1000000))</f>
        <v/>
      </c>
      <c r="KZ38">
        <f>IF($B38=0,1000000,IF(INDEX('計算A'!$D$60:$DS$104,$B38,95)*GI38=1,'計算A'!CT$6,1000000))</f>
        <v/>
      </c>
      <c r="LA38">
        <f>IF($B38=0,1000000,IF(INDEX('計算A'!$D$60:$DS$104,$B38,96)*GJ38=1,'計算A'!CU$6,1000000))</f>
        <v/>
      </c>
      <c r="LB38">
        <f>IF($B38=0,1000000,IF(INDEX('計算A'!$D$60:$DS$104,$B38,97)*GK38=1,'計算A'!CV$6,1000000))</f>
        <v/>
      </c>
      <c r="LC38">
        <f>IF($B38=0,1000000,IF(INDEX('計算A'!$D$60:$DS$104,$B38,98)*GL38=1,'計算A'!CW$6,1000000))</f>
        <v/>
      </c>
      <c r="LD38">
        <f>IF($B38=0,1000000,IF(INDEX('計算A'!$D$60:$DS$104,$B38,99)*GM38=1,'計算A'!CX$6,1000000))</f>
        <v/>
      </c>
      <c r="LE38">
        <f>IF($B38=0,1000000,IF(INDEX('計算A'!$D$60:$DS$104,$B38,100)*GN38=1,'計算A'!CY$6,1000000))</f>
        <v/>
      </c>
      <c r="LF38">
        <f>IF($B38=0,1000000,IF(INDEX('計算A'!$D$60:$DS$104,$B38,101)*GO38=1,'計算A'!CZ$6,1000000))</f>
        <v/>
      </c>
      <c r="LG38">
        <f>IF($B38=0,1000000,IF(INDEX('計算A'!$D$60:$DS$104,$B38,102)*GP38=1,'計算A'!DA$6,1000000))</f>
        <v/>
      </c>
      <c r="LH38">
        <f>IF($B38=0,1000000,IF(INDEX('計算A'!$D$60:$DS$104,$B38,103)*GQ38=1,'計算A'!DB$6,1000000))</f>
        <v/>
      </c>
      <c r="LI38">
        <f>IF($B38=0,1000000,IF(INDEX('計算A'!$D$60:$DS$104,$B38,104)*GR38=1,'計算A'!DC$6,1000000))</f>
        <v/>
      </c>
      <c r="LJ38">
        <f>IF($B38=0,1000000,IF(INDEX('計算A'!$D$60:$DS$104,$B38,105)*GS38=1,'計算A'!DD$6,1000000))</f>
        <v/>
      </c>
      <c r="LK38">
        <f>IF($B38=0,1000000,IF(INDEX('計算A'!$D$60:$DS$104,$B38,106)*GT38=1,'計算A'!DE$6,1000000))</f>
        <v/>
      </c>
      <c r="LL38">
        <f>IF($B38=0,1000000,IF(INDEX('計算A'!$D$60:$DS$104,$B38,107)*GU38=1,'計算A'!DF$6,1000000))</f>
        <v/>
      </c>
      <c r="LM38">
        <f>IF($B38=0,1000000,IF(INDEX('計算A'!$D$60:$DS$104,$B38,108)*GV38=1,'計算A'!DG$6,1000000))</f>
        <v/>
      </c>
      <c r="LN38">
        <f>IF($B38=0,1000000,IF(INDEX('計算A'!$D$60:$DS$104,$B38,109)*GW38=1,'計算A'!DH$6,1000000))</f>
        <v/>
      </c>
      <c r="LO38">
        <f>IF($B38=0,1000000,IF(INDEX('計算A'!$D$60:$DS$104,$B38,110)*GX38=1,'計算A'!DI$6,1000000))</f>
        <v/>
      </c>
      <c r="LP38">
        <f>IF($B38=0,1000000,IF(INDEX('計算A'!$D$60:$DS$104,$B38,111)*GY38=1,'計算A'!DJ$6,1000000))</f>
        <v/>
      </c>
      <c r="LQ38">
        <f>IF($B38=0,1000000,IF(INDEX('計算A'!$D$60:$DS$104,$B38,112)*GZ38=1,'計算A'!DK$6,1000000))</f>
        <v/>
      </c>
      <c r="LR38">
        <f>IF($B38=0,1000000,IF(INDEX('計算A'!$D$60:$DS$104,$B38,113)*HA38=1,'計算A'!DL$6,1000000))</f>
        <v/>
      </c>
      <c r="LS38">
        <f>IF($B38=0,1000000,IF(INDEX('計算A'!$D$60:$DS$104,$B38,114)*HB38=1,'計算A'!DM$6,1000000))</f>
        <v/>
      </c>
      <c r="LT38">
        <f>IF($B38=0,1000000,IF(INDEX('計算A'!$D$60:$DS$104,$B38,115)*HC38=1,'計算A'!DN$6,1000000))</f>
        <v/>
      </c>
      <c r="LU38">
        <f>IF($B38=0,1000000,IF(INDEX('計算A'!$D$60:$DS$104,$B38,116)*HD38=1,'計算A'!DO$6,1000000))</f>
        <v/>
      </c>
      <c r="LV38">
        <f>IF($B38=0,1000000,IF(INDEX('計算A'!$D$60:$DS$104,$B38,117)*HE38=1,'計算A'!DP$6,1000000))</f>
        <v/>
      </c>
      <c r="LW38">
        <f>IF($B38=0,1000000,IF(INDEX('計算A'!$D$60:$DS$104,$B38,118)*HF38=1,'計算A'!DQ$6,1000000))</f>
        <v/>
      </c>
      <c r="LX38">
        <f>IF($B38=0,1000000,IF(INDEX('計算A'!$D$60:$DS$104,$B38,119)*HG38=1,'計算A'!DR$6,1000000))</f>
        <v/>
      </c>
      <c r="LY38">
        <f>IF($B38=0,1000000,IF(INDEX('計算A'!$D$60:$DS$104,$B38,120)*HH38=1,'計算A'!DS$6,1000000))</f>
        <v/>
      </c>
    </row>
    <row r="39">
      <c r="A39" t="n">
        <v>37</v>
      </c>
      <c r="B39">
        <f>IF(MIN(AY39:CQ39)&gt;=1000000,0,MATCH(MIN(AY39:CQ39),AY39:CQ39,0))</f>
        <v/>
      </c>
      <c r="C39">
        <f>IF(MIN(HJ39:LY39)&gt;=1000000,0,MATCH(MIN(HJ39:LY39),HJ39:LY39,0))</f>
        <v/>
      </c>
      <c r="D39">
        <f>IF(C39&gt;0,INDEX('計算A'!$D$5:$DS$5,C39),0)</f>
        <v/>
      </c>
      <c r="E39">
        <f>MAX(E38,IF($B38=1,1,0))</f>
        <v/>
      </c>
      <c r="F39">
        <f>MAX(F38,IF($B38=2,1,0))</f>
        <v/>
      </c>
      <c r="G39">
        <f>MAX(G38,IF($B38=3,1,0))</f>
        <v/>
      </c>
      <c r="H39">
        <f>MAX(H38,IF($B38=4,1,0))</f>
        <v/>
      </c>
      <c r="I39">
        <f>MAX(I38,IF($B38=5,1,0))</f>
        <v/>
      </c>
      <c r="J39">
        <f>MAX(J38,IF($B38=6,1,0))</f>
        <v/>
      </c>
      <c r="K39">
        <f>MAX(K38,IF($B38=7,1,0))</f>
        <v/>
      </c>
      <c r="L39">
        <f>MAX(L38,IF($B38=8,1,0))</f>
        <v/>
      </c>
      <c r="M39">
        <f>MAX(M38,IF($B38=9,1,0))</f>
        <v/>
      </c>
      <c r="N39">
        <f>MAX(N38,IF($B38=10,1,0))</f>
        <v/>
      </c>
      <c r="O39">
        <f>MAX(O38,IF($B38=11,1,0))</f>
        <v/>
      </c>
      <c r="P39">
        <f>MAX(P38,IF($B38=12,1,0))</f>
        <v/>
      </c>
      <c r="Q39">
        <f>MAX(Q38,IF($B38=13,1,0))</f>
        <v/>
      </c>
      <c r="R39">
        <f>MAX(R38,IF($B38=14,1,0))</f>
        <v/>
      </c>
      <c r="S39">
        <f>MAX(S38,IF($B38=15,1,0))</f>
        <v/>
      </c>
      <c r="T39">
        <f>MAX(T38,IF($B38=16,1,0))</f>
        <v/>
      </c>
      <c r="U39">
        <f>MAX(U38,IF($B38=17,1,0))</f>
        <v/>
      </c>
      <c r="V39">
        <f>MAX(V38,IF($B38=18,1,0))</f>
        <v/>
      </c>
      <c r="W39">
        <f>MAX(W38,IF($B38=19,1,0))</f>
        <v/>
      </c>
      <c r="X39">
        <f>MAX(X38,IF($B38=20,1,0))</f>
        <v/>
      </c>
      <c r="Y39">
        <f>MAX(Y38,IF($B38=21,1,0))</f>
        <v/>
      </c>
      <c r="Z39">
        <f>MAX(Z38,IF($B38=22,1,0))</f>
        <v/>
      </c>
      <c r="AA39">
        <f>MAX(AA38,IF($B38=23,1,0))</f>
        <v/>
      </c>
      <c r="AB39">
        <f>MAX(AB38,IF($B38=24,1,0))</f>
        <v/>
      </c>
      <c r="AC39">
        <f>MAX(AC38,IF($B38=25,1,0))</f>
        <v/>
      </c>
      <c r="AD39">
        <f>MAX(AD38,IF($B38=26,1,0))</f>
        <v/>
      </c>
      <c r="AE39">
        <f>MAX(AE38,IF($B38=27,1,0))</f>
        <v/>
      </c>
      <c r="AF39">
        <f>MAX(AF38,IF($B38=28,1,0))</f>
        <v/>
      </c>
      <c r="AG39">
        <f>MAX(AG38,IF($B38=29,1,0))</f>
        <v/>
      </c>
      <c r="AH39">
        <f>MAX(AH38,IF($B38=30,1,0))</f>
        <v/>
      </c>
      <c r="AI39">
        <f>MAX(AI38,IF($B38=31,1,0))</f>
        <v/>
      </c>
      <c r="AJ39">
        <f>MAX(AJ38,IF($B38=32,1,0))</f>
        <v/>
      </c>
      <c r="AK39">
        <f>MAX(AK38,IF($B38=33,1,0))</f>
        <v/>
      </c>
      <c r="AL39">
        <f>MAX(AL38,IF($B38=34,1,0))</f>
        <v/>
      </c>
      <c r="AM39">
        <f>MAX(AM38,IF($B38=35,1,0))</f>
        <v/>
      </c>
      <c r="AN39">
        <f>MAX(AN38,IF($B38=36,1,0))</f>
        <v/>
      </c>
      <c r="AO39">
        <f>MAX(AO38,IF($B38=37,1,0))</f>
        <v/>
      </c>
      <c r="AP39">
        <f>MAX(AP38,IF($B38=38,1,0))</f>
        <v/>
      </c>
      <c r="AQ39">
        <f>MAX(AQ38,IF($B38=39,1,0))</f>
        <v/>
      </c>
      <c r="AR39">
        <f>MAX(AR38,IF($B38=40,1,0))</f>
        <v/>
      </c>
      <c r="AS39">
        <f>MAX(AS38,IF($B38=41,1,0))</f>
        <v/>
      </c>
      <c r="AT39">
        <f>MAX(AT38,IF($B38=42,1,0))</f>
        <v/>
      </c>
      <c r="AU39">
        <f>MAX(AU38,IF($B38=43,1,0))</f>
        <v/>
      </c>
      <c r="AV39">
        <f>MAX(AV38,IF($B38=44,1,0))</f>
        <v/>
      </c>
      <c r="AW39">
        <f>MAX(AW38,IF($B38=45,1,0))</f>
        <v/>
      </c>
      <c r="AY39">
        <f>IF(E39=1,1000000,SUMPRODUCT('計算A'!$D$60:$DS$60,$CS39:$HH39)*1000+1)</f>
        <v/>
      </c>
      <c r="AZ39">
        <f>IF(F39=1,1000000,SUMPRODUCT('計算A'!$D$61:$DS$61,$CS39:$HH39)*1000+2)</f>
        <v/>
      </c>
      <c r="BA39">
        <f>IF(G39=1,1000000,SUMPRODUCT('計算A'!$D$62:$DS$62,$CS39:$HH39)*1000+3)</f>
        <v/>
      </c>
      <c r="BB39">
        <f>IF(H39=1,1000000,SUMPRODUCT('計算A'!$D$63:$DS$63,$CS39:$HH39)*1000+4)</f>
        <v/>
      </c>
      <c r="BC39">
        <f>IF(I39=1,1000000,SUMPRODUCT('計算A'!$D$64:$DS$64,$CS39:$HH39)*1000+5)</f>
        <v/>
      </c>
      <c r="BD39">
        <f>IF(J39=1,1000000,SUMPRODUCT('計算A'!$D$65:$DS$65,$CS39:$HH39)*1000+6)</f>
        <v/>
      </c>
      <c r="BE39">
        <f>IF(K39=1,1000000,SUMPRODUCT('計算A'!$D$66:$DS$66,$CS39:$HH39)*1000+7)</f>
        <v/>
      </c>
      <c r="BF39">
        <f>IF(L39=1,1000000,SUMPRODUCT('計算A'!$D$67:$DS$67,$CS39:$HH39)*1000+8)</f>
        <v/>
      </c>
      <c r="BG39">
        <f>IF(M39=1,1000000,SUMPRODUCT('計算A'!$D$68:$DS$68,$CS39:$HH39)*1000+9)</f>
        <v/>
      </c>
      <c r="BH39">
        <f>IF(N39=1,1000000,SUMPRODUCT('計算A'!$D$69:$DS$69,$CS39:$HH39)*1000+10)</f>
        <v/>
      </c>
      <c r="BI39">
        <f>IF(O39=1,1000000,SUMPRODUCT('計算A'!$D$70:$DS$70,$CS39:$HH39)*1000+11)</f>
        <v/>
      </c>
      <c r="BJ39">
        <f>IF(P39=1,1000000,SUMPRODUCT('計算A'!$D$71:$DS$71,$CS39:$HH39)*1000+12)</f>
        <v/>
      </c>
      <c r="BK39">
        <f>IF(Q39=1,1000000,SUMPRODUCT('計算A'!$D$72:$DS$72,$CS39:$HH39)*1000+13)</f>
        <v/>
      </c>
      <c r="BL39">
        <f>IF(R39=1,1000000,SUMPRODUCT('計算A'!$D$73:$DS$73,$CS39:$HH39)*1000+14)</f>
        <v/>
      </c>
      <c r="BM39">
        <f>IF(S39=1,1000000,SUMPRODUCT('計算A'!$D$74:$DS$74,$CS39:$HH39)*1000+15)</f>
        <v/>
      </c>
      <c r="BN39">
        <f>IF(T39=1,1000000,SUMPRODUCT('計算A'!$D$75:$DS$75,$CS39:$HH39)*1000+16)</f>
        <v/>
      </c>
      <c r="BO39">
        <f>IF(U39=1,1000000,SUMPRODUCT('計算A'!$D$76:$DS$76,$CS39:$HH39)*1000+17)</f>
        <v/>
      </c>
      <c r="BP39">
        <f>IF(V39=1,1000000,SUMPRODUCT('計算A'!$D$77:$DS$77,$CS39:$HH39)*1000+18)</f>
        <v/>
      </c>
      <c r="BQ39">
        <f>IF(W39=1,1000000,SUMPRODUCT('計算A'!$D$78:$DS$78,$CS39:$HH39)*1000+19)</f>
        <v/>
      </c>
      <c r="BR39">
        <f>IF(X39=1,1000000,SUMPRODUCT('計算A'!$D$79:$DS$79,$CS39:$HH39)*1000+20)</f>
        <v/>
      </c>
      <c r="BS39">
        <f>IF(Y39=1,1000000,SUMPRODUCT('計算A'!$D$80:$DS$80,$CS39:$HH39)*1000+21)</f>
        <v/>
      </c>
      <c r="BT39">
        <f>IF(Z39=1,1000000,SUMPRODUCT('計算A'!$D$81:$DS$81,$CS39:$HH39)*1000+22)</f>
        <v/>
      </c>
      <c r="BU39">
        <f>IF(AA39=1,1000000,SUMPRODUCT('計算A'!$D$82:$DS$82,$CS39:$HH39)*1000+23)</f>
        <v/>
      </c>
      <c r="BV39">
        <f>IF(AB39=1,1000000,SUMPRODUCT('計算A'!$D$83:$DS$83,$CS39:$HH39)*1000+24)</f>
        <v/>
      </c>
      <c r="BW39">
        <f>IF(AC39=1,1000000,SUMPRODUCT('計算A'!$D$84:$DS$84,$CS39:$HH39)*1000+25)</f>
        <v/>
      </c>
      <c r="BX39">
        <f>IF(AD39=1,1000000,SUMPRODUCT('計算A'!$D$85:$DS$85,$CS39:$HH39)*1000+26)</f>
        <v/>
      </c>
      <c r="BY39">
        <f>IF(AE39=1,1000000,SUMPRODUCT('計算A'!$D$86:$DS$86,$CS39:$HH39)*1000+27)</f>
        <v/>
      </c>
      <c r="BZ39">
        <f>IF(AF39=1,1000000,SUMPRODUCT('計算A'!$D$87:$DS$87,$CS39:$HH39)*1000+28)</f>
        <v/>
      </c>
      <c r="CA39">
        <f>IF(AG39=1,1000000,SUMPRODUCT('計算A'!$D$88:$DS$88,$CS39:$HH39)*1000+29)</f>
        <v/>
      </c>
      <c r="CB39">
        <f>IF(AH39=1,1000000,SUMPRODUCT('計算A'!$D$89:$DS$89,$CS39:$HH39)*1000+30)</f>
        <v/>
      </c>
      <c r="CC39">
        <f>IF(AI39=1,1000000,SUMPRODUCT('計算A'!$D$90:$DS$90,$CS39:$HH39)*1000+31)</f>
        <v/>
      </c>
      <c r="CD39">
        <f>IF(AJ39=1,1000000,SUMPRODUCT('計算A'!$D$91:$DS$91,$CS39:$HH39)*1000+32)</f>
        <v/>
      </c>
      <c r="CE39">
        <f>IF(AK39=1,1000000,SUMPRODUCT('計算A'!$D$92:$DS$92,$CS39:$HH39)*1000+33)</f>
        <v/>
      </c>
      <c r="CF39">
        <f>IF(AL39=1,1000000,SUMPRODUCT('計算A'!$D$93:$DS$93,$CS39:$HH39)*1000+34)</f>
        <v/>
      </c>
      <c r="CG39">
        <f>IF(AM39=1,1000000,SUMPRODUCT('計算A'!$D$94:$DS$94,$CS39:$HH39)*1000+35)</f>
        <v/>
      </c>
      <c r="CH39">
        <f>IF(AN39=1,1000000,SUMPRODUCT('計算A'!$D$95:$DS$95,$CS39:$HH39)*1000+36)</f>
        <v/>
      </c>
      <c r="CI39">
        <f>IF(AO39=1,1000000,SUMPRODUCT('計算A'!$D$96:$DS$96,$CS39:$HH39)*1000+37)</f>
        <v/>
      </c>
      <c r="CJ39">
        <f>IF(AP39=1,1000000,SUMPRODUCT('計算A'!$D$97:$DS$97,$CS39:$HH39)*1000+38)</f>
        <v/>
      </c>
      <c r="CK39">
        <f>IF(AQ39=1,1000000,SUMPRODUCT('計算A'!$D$98:$DS$98,$CS39:$HH39)*1000+39)</f>
        <v/>
      </c>
      <c r="CL39">
        <f>IF(AR39=1,1000000,SUMPRODUCT('計算A'!$D$99:$DS$99,$CS39:$HH39)*1000+40)</f>
        <v/>
      </c>
      <c r="CM39">
        <f>IF(AS39=1,1000000,SUMPRODUCT('計算A'!$D$100:$DS$100,$CS39:$HH39)*1000+41)</f>
        <v/>
      </c>
      <c r="CN39">
        <f>IF(AT39=1,1000000,SUMPRODUCT('計算A'!$D$101:$DS$101,$CS39:$HH39)*1000+42)</f>
        <v/>
      </c>
      <c r="CO39">
        <f>IF(AU39=1,1000000,SUMPRODUCT('計算A'!$D$102:$DS$102,$CS39:$HH39)*1000+43)</f>
        <v/>
      </c>
      <c r="CP39">
        <f>IF(AV39=1,1000000,SUMPRODUCT('計算A'!$D$103:$DS$103,$CS39:$HH39)*1000+44)</f>
        <v/>
      </c>
      <c r="CQ39">
        <f>IF(AW39=1,1000000,SUMPRODUCT('計算A'!$D$104:$DS$104,$CS39:$HH39)*1000+45)</f>
        <v/>
      </c>
      <c r="CS39">
        <f>CS38*IF($C38=1,0,1)</f>
        <v/>
      </c>
      <c r="CT39">
        <f>CT38*IF($C38=2,0,1)</f>
        <v/>
      </c>
      <c r="CU39">
        <f>CU38*IF($C38=3,0,1)</f>
        <v/>
      </c>
      <c r="CV39">
        <f>CV38*IF($C38=4,0,1)</f>
        <v/>
      </c>
      <c r="CW39">
        <f>CW38*IF($C38=5,0,1)</f>
        <v/>
      </c>
      <c r="CX39">
        <f>CX38*IF($C38=6,0,1)</f>
        <v/>
      </c>
      <c r="CY39">
        <f>CY38*IF($C38=7,0,1)</f>
        <v/>
      </c>
      <c r="CZ39">
        <f>CZ38*IF($C38=8,0,1)</f>
        <v/>
      </c>
      <c r="DA39">
        <f>DA38*IF($C38=9,0,1)</f>
        <v/>
      </c>
      <c r="DB39">
        <f>DB38*IF($C38=10,0,1)</f>
        <v/>
      </c>
      <c r="DC39">
        <f>DC38*IF($C38=11,0,1)</f>
        <v/>
      </c>
      <c r="DD39">
        <f>DD38*IF($C38=12,0,1)</f>
        <v/>
      </c>
      <c r="DE39">
        <f>DE38*IF($C38=13,0,1)</f>
        <v/>
      </c>
      <c r="DF39">
        <f>DF38*IF($C38=14,0,1)</f>
        <v/>
      </c>
      <c r="DG39">
        <f>DG38*IF($C38=15,0,1)</f>
        <v/>
      </c>
      <c r="DH39">
        <f>DH38*IF($C38=16,0,1)</f>
        <v/>
      </c>
      <c r="DI39">
        <f>DI38*IF($C38=17,0,1)</f>
        <v/>
      </c>
      <c r="DJ39">
        <f>DJ38*IF($C38=18,0,1)</f>
        <v/>
      </c>
      <c r="DK39">
        <f>DK38*IF($C38=19,0,1)</f>
        <v/>
      </c>
      <c r="DL39">
        <f>DL38*IF($C38=20,0,1)</f>
        <v/>
      </c>
      <c r="DM39">
        <f>DM38*IF($C38=21,0,1)</f>
        <v/>
      </c>
      <c r="DN39">
        <f>DN38*IF($C38=22,0,1)</f>
        <v/>
      </c>
      <c r="DO39">
        <f>DO38*IF($C38=23,0,1)</f>
        <v/>
      </c>
      <c r="DP39">
        <f>DP38*IF($C38=24,0,1)</f>
        <v/>
      </c>
      <c r="DQ39">
        <f>DQ38*IF($C38=25,0,1)</f>
        <v/>
      </c>
      <c r="DR39">
        <f>DR38*IF($C38=26,0,1)</f>
        <v/>
      </c>
      <c r="DS39">
        <f>DS38*IF($C38=27,0,1)</f>
        <v/>
      </c>
      <c r="DT39">
        <f>DT38*IF($C38=28,0,1)</f>
        <v/>
      </c>
      <c r="DU39">
        <f>DU38*IF($C38=29,0,1)</f>
        <v/>
      </c>
      <c r="DV39">
        <f>DV38*IF($C38=30,0,1)</f>
        <v/>
      </c>
      <c r="DW39">
        <f>DW38*IF($C38=31,0,1)</f>
        <v/>
      </c>
      <c r="DX39">
        <f>DX38*IF($C38=32,0,1)</f>
        <v/>
      </c>
      <c r="DY39">
        <f>DY38*IF($C38=33,0,1)</f>
        <v/>
      </c>
      <c r="DZ39">
        <f>DZ38*IF($C38=34,0,1)</f>
        <v/>
      </c>
      <c r="EA39">
        <f>EA38*IF($C38=35,0,1)</f>
        <v/>
      </c>
      <c r="EB39">
        <f>EB38*IF($C38=36,0,1)</f>
        <v/>
      </c>
      <c r="EC39">
        <f>EC38*IF($C38=37,0,1)</f>
        <v/>
      </c>
      <c r="ED39">
        <f>ED38*IF($C38=38,0,1)</f>
        <v/>
      </c>
      <c r="EE39">
        <f>EE38*IF($C38=39,0,1)</f>
        <v/>
      </c>
      <c r="EF39">
        <f>EF38*IF($C38=40,0,1)</f>
        <v/>
      </c>
      <c r="EG39">
        <f>EG38*IF($C38=41,0,1)</f>
        <v/>
      </c>
      <c r="EH39">
        <f>EH38*IF($C38=42,0,1)</f>
        <v/>
      </c>
      <c r="EI39">
        <f>EI38*IF($C38=43,0,1)</f>
        <v/>
      </c>
      <c r="EJ39">
        <f>EJ38*IF($C38=44,0,1)</f>
        <v/>
      </c>
      <c r="EK39">
        <f>EK38*IF($C38=45,0,1)</f>
        <v/>
      </c>
      <c r="EL39">
        <f>EL38*IF($C38=46,0,1)</f>
        <v/>
      </c>
      <c r="EM39">
        <f>EM38*IF($C38=47,0,1)</f>
        <v/>
      </c>
      <c r="EN39">
        <f>EN38*IF($C38=48,0,1)</f>
        <v/>
      </c>
      <c r="EO39">
        <f>EO38*IF($C38=49,0,1)</f>
        <v/>
      </c>
      <c r="EP39">
        <f>EP38*IF($C38=50,0,1)</f>
        <v/>
      </c>
      <c r="EQ39">
        <f>EQ38*IF($C38=51,0,1)</f>
        <v/>
      </c>
      <c r="ER39">
        <f>ER38*IF($C38=52,0,1)</f>
        <v/>
      </c>
      <c r="ES39">
        <f>ES38*IF($C38=53,0,1)</f>
        <v/>
      </c>
      <c r="ET39">
        <f>ET38*IF($C38=54,0,1)</f>
        <v/>
      </c>
      <c r="EU39">
        <f>EU38*IF($C38=55,0,1)</f>
        <v/>
      </c>
      <c r="EV39">
        <f>EV38*IF($C38=56,0,1)</f>
        <v/>
      </c>
      <c r="EW39">
        <f>EW38*IF($C38=57,0,1)</f>
        <v/>
      </c>
      <c r="EX39">
        <f>EX38*IF($C38=58,0,1)</f>
        <v/>
      </c>
      <c r="EY39">
        <f>EY38*IF($C38=59,0,1)</f>
        <v/>
      </c>
      <c r="EZ39">
        <f>EZ38*IF($C38=60,0,1)</f>
        <v/>
      </c>
      <c r="FA39">
        <f>FA38*IF($C38=61,0,1)</f>
        <v/>
      </c>
      <c r="FB39">
        <f>FB38*IF($C38=62,0,1)</f>
        <v/>
      </c>
      <c r="FC39">
        <f>FC38*IF($C38=63,0,1)</f>
        <v/>
      </c>
      <c r="FD39">
        <f>FD38*IF($C38=64,0,1)</f>
        <v/>
      </c>
      <c r="FE39">
        <f>FE38*IF($C38=65,0,1)</f>
        <v/>
      </c>
      <c r="FF39">
        <f>FF38*IF($C38=66,0,1)</f>
        <v/>
      </c>
      <c r="FG39">
        <f>FG38*IF($C38=67,0,1)</f>
        <v/>
      </c>
      <c r="FH39">
        <f>FH38*IF($C38=68,0,1)</f>
        <v/>
      </c>
      <c r="FI39">
        <f>FI38*IF($C38=69,0,1)</f>
        <v/>
      </c>
      <c r="FJ39">
        <f>FJ38*IF($C38=70,0,1)</f>
        <v/>
      </c>
      <c r="FK39">
        <f>FK38*IF($C38=71,0,1)</f>
        <v/>
      </c>
      <c r="FL39">
        <f>FL38*IF($C38=72,0,1)</f>
        <v/>
      </c>
      <c r="FM39">
        <f>FM38*IF($C38=73,0,1)</f>
        <v/>
      </c>
      <c r="FN39">
        <f>FN38*IF($C38=74,0,1)</f>
        <v/>
      </c>
      <c r="FO39">
        <f>FO38*IF($C38=75,0,1)</f>
        <v/>
      </c>
      <c r="FP39">
        <f>FP38*IF($C38=76,0,1)</f>
        <v/>
      </c>
      <c r="FQ39">
        <f>FQ38*IF($C38=77,0,1)</f>
        <v/>
      </c>
      <c r="FR39">
        <f>FR38*IF($C38=78,0,1)</f>
        <v/>
      </c>
      <c r="FS39">
        <f>FS38*IF($C38=79,0,1)</f>
        <v/>
      </c>
      <c r="FT39">
        <f>FT38*IF($C38=80,0,1)</f>
        <v/>
      </c>
      <c r="FU39">
        <f>FU38*IF($C38=81,0,1)</f>
        <v/>
      </c>
      <c r="FV39">
        <f>FV38*IF($C38=82,0,1)</f>
        <v/>
      </c>
      <c r="FW39">
        <f>FW38*IF($C38=83,0,1)</f>
        <v/>
      </c>
      <c r="FX39">
        <f>FX38*IF($C38=84,0,1)</f>
        <v/>
      </c>
      <c r="FY39">
        <f>FY38*IF($C38=85,0,1)</f>
        <v/>
      </c>
      <c r="FZ39">
        <f>FZ38*IF($C38=86,0,1)</f>
        <v/>
      </c>
      <c r="GA39">
        <f>GA38*IF($C38=87,0,1)</f>
        <v/>
      </c>
      <c r="GB39">
        <f>GB38*IF($C38=88,0,1)</f>
        <v/>
      </c>
      <c r="GC39">
        <f>GC38*IF($C38=89,0,1)</f>
        <v/>
      </c>
      <c r="GD39">
        <f>GD38*IF($C38=90,0,1)</f>
        <v/>
      </c>
      <c r="GE39">
        <f>GE38*IF($C38=91,0,1)</f>
        <v/>
      </c>
      <c r="GF39">
        <f>GF38*IF($C38=92,0,1)</f>
        <v/>
      </c>
      <c r="GG39">
        <f>GG38*IF($C38=93,0,1)</f>
        <v/>
      </c>
      <c r="GH39">
        <f>GH38*IF($C38=94,0,1)</f>
        <v/>
      </c>
      <c r="GI39">
        <f>GI38*IF($C38=95,0,1)</f>
        <v/>
      </c>
      <c r="GJ39">
        <f>GJ38*IF($C38=96,0,1)</f>
        <v/>
      </c>
      <c r="GK39">
        <f>GK38*IF($C38=97,0,1)</f>
        <v/>
      </c>
      <c r="GL39">
        <f>GL38*IF($C38=98,0,1)</f>
        <v/>
      </c>
      <c r="GM39">
        <f>GM38*IF($C38=99,0,1)</f>
        <v/>
      </c>
      <c r="GN39">
        <f>GN38*IF($C38=100,0,1)</f>
        <v/>
      </c>
      <c r="GO39">
        <f>GO38*IF($C38=101,0,1)</f>
        <v/>
      </c>
      <c r="GP39">
        <f>GP38*IF($C38=102,0,1)</f>
        <v/>
      </c>
      <c r="GQ39">
        <f>GQ38*IF($C38=103,0,1)</f>
        <v/>
      </c>
      <c r="GR39">
        <f>GR38*IF($C38=104,0,1)</f>
        <v/>
      </c>
      <c r="GS39">
        <f>GS38*IF($C38=105,0,1)</f>
        <v/>
      </c>
      <c r="GT39">
        <f>GT38*IF($C38=106,0,1)</f>
        <v/>
      </c>
      <c r="GU39">
        <f>GU38*IF($C38=107,0,1)</f>
        <v/>
      </c>
      <c r="GV39">
        <f>GV38*IF($C38=108,0,1)</f>
        <v/>
      </c>
      <c r="GW39">
        <f>GW38*IF($C38=109,0,1)</f>
        <v/>
      </c>
      <c r="GX39">
        <f>GX38*IF($C38=110,0,1)</f>
        <v/>
      </c>
      <c r="GY39">
        <f>GY38*IF($C38=111,0,1)</f>
        <v/>
      </c>
      <c r="GZ39">
        <f>GZ38*IF($C38=112,0,1)</f>
        <v/>
      </c>
      <c r="HA39">
        <f>HA38*IF($C38=113,0,1)</f>
        <v/>
      </c>
      <c r="HB39">
        <f>HB38*IF($C38=114,0,1)</f>
        <v/>
      </c>
      <c r="HC39">
        <f>HC38*IF($C38=115,0,1)</f>
        <v/>
      </c>
      <c r="HD39">
        <f>HD38*IF($C38=116,0,1)</f>
        <v/>
      </c>
      <c r="HE39">
        <f>HE38*IF($C38=117,0,1)</f>
        <v/>
      </c>
      <c r="HF39">
        <f>HF38*IF($C38=118,0,1)</f>
        <v/>
      </c>
      <c r="HG39">
        <f>HG38*IF($C38=119,0,1)</f>
        <v/>
      </c>
      <c r="HH39">
        <f>HH38*IF($C38=120,0,1)</f>
        <v/>
      </c>
      <c r="HJ39">
        <f>IF($B39=0,1000000,IF(INDEX('計算A'!$D$60:$DS$104,$B39,1)*CS39=1,'計算A'!D$6,1000000))</f>
        <v/>
      </c>
      <c r="HK39">
        <f>IF($B39=0,1000000,IF(INDEX('計算A'!$D$60:$DS$104,$B39,2)*CT39=1,'計算A'!E$6,1000000))</f>
        <v/>
      </c>
      <c r="HL39">
        <f>IF($B39=0,1000000,IF(INDEX('計算A'!$D$60:$DS$104,$B39,3)*CU39=1,'計算A'!F$6,1000000))</f>
        <v/>
      </c>
      <c r="HM39">
        <f>IF($B39=0,1000000,IF(INDEX('計算A'!$D$60:$DS$104,$B39,4)*CV39=1,'計算A'!G$6,1000000))</f>
        <v/>
      </c>
      <c r="HN39">
        <f>IF($B39=0,1000000,IF(INDEX('計算A'!$D$60:$DS$104,$B39,5)*CW39=1,'計算A'!H$6,1000000))</f>
        <v/>
      </c>
      <c r="HO39">
        <f>IF($B39=0,1000000,IF(INDEX('計算A'!$D$60:$DS$104,$B39,6)*CX39=1,'計算A'!I$6,1000000))</f>
        <v/>
      </c>
      <c r="HP39">
        <f>IF($B39=0,1000000,IF(INDEX('計算A'!$D$60:$DS$104,$B39,7)*CY39=1,'計算A'!J$6,1000000))</f>
        <v/>
      </c>
      <c r="HQ39">
        <f>IF($B39=0,1000000,IF(INDEX('計算A'!$D$60:$DS$104,$B39,8)*CZ39=1,'計算A'!K$6,1000000))</f>
        <v/>
      </c>
      <c r="HR39">
        <f>IF($B39=0,1000000,IF(INDEX('計算A'!$D$60:$DS$104,$B39,9)*DA39=1,'計算A'!L$6,1000000))</f>
        <v/>
      </c>
      <c r="HS39">
        <f>IF($B39=0,1000000,IF(INDEX('計算A'!$D$60:$DS$104,$B39,10)*DB39=1,'計算A'!M$6,1000000))</f>
        <v/>
      </c>
      <c r="HT39">
        <f>IF($B39=0,1000000,IF(INDEX('計算A'!$D$60:$DS$104,$B39,11)*DC39=1,'計算A'!N$6,1000000))</f>
        <v/>
      </c>
      <c r="HU39">
        <f>IF($B39=0,1000000,IF(INDEX('計算A'!$D$60:$DS$104,$B39,12)*DD39=1,'計算A'!O$6,1000000))</f>
        <v/>
      </c>
      <c r="HV39">
        <f>IF($B39=0,1000000,IF(INDEX('計算A'!$D$60:$DS$104,$B39,13)*DE39=1,'計算A'!P$6,1000000))</f>
        <v/>
      </c>
      <c r="HW39">
        <f>IF($B39=0,1000000,IF(INDEX('計算A'!$D$60:$DS$104,$B39,14)*DF39=1,'計算A'!Q$6,1000000))</f>
        <v/>
      </c>
      <c r="HX39">
        <f>IF($B39=0,1000000,IF(INDEX('計算A'!$D$60:$DS$104,$B39,15)*DG39=1,'計算A'!R$6,1000000))</f>
        <v/>
      </c>
      <c r="HY39">
        <f>IF($B39=0,1000000,IF(INDEX('計算A'!$D$60:$DS$104,$B39,16)*DH39=1,'計算A'!S$6,1000000))</f>
        <v/>
      </c>
      <c r="HZ39">
        <f>IF($B39=0,1000000,IF(INDEX('計算A'!$D$60:$DS$104,$B39,17)*DI39=1,'計算A'!T$6,1000000))</f>
        <v/>
      </c>
      <c r="IA39">
        <f>IF($B39=0,1000000,IF(INDEX('計算A'!$D$60:$DS$104,$B39,18)*DJ39=1,'計算A'!U$6,1000000))</f>
        <v/>
      </c>
      <c r="IB39">
        <f>IF($B39=0,1000000,IF(INDEX('計算A'!$D$60:$DS$104,$B39,19)*DK39=1,'計算A'!V$6,1000000))</f>
        <v/>
      </c>
      <c r="IC39">
        <f>IF($B39=0,1000000,IF(INDEX('計算A'!$D$60:$DS$104,$B39,20)*DL39=1,'計算A'!W$6,1000000))</f>
        <v/>
      </c>
      <c r="ID39">
        <f>IF($B39=0,1000000,IF(INDEX('計算A'!$D$60:$DS$104,$B39,21)*DM39=1,'計算A'!X$6,1000000))</f>
        <v/>
      </c>
      <c r="IE39">
        <f>IF($B39=0,1000000,IF(INDEX('計算A'!$D$60:$DS$104,$B39,22)*DN39=1,'計算A'!Y$6,1000000))</f>
        <v/>
      </c>
      <c r="IF39">
        <f>IF($B39=0,1000000,IF(INDEX('計算A'!$D$60:$DS$104,$B39,23)*DO39=1,'計算A'!Z$6,1000000))</f>
        <v/>
      </c>
      <c r="IG39">
        <f>IF($B39=0,1000000,IF(INDEX('計算A'!$D$60:$DS$104,$B39,24)*DP39=1,'計算A'!AA$6,1000000))</f>
        <v/>
      </c>
      <c r="IH39">
        <f>IF($B39=0,1000000,IF(INDEX('計算A'!$D$60:$DS$104,$B39,25)*DQ39=1,'計算A'!AB$6,1000000))</f>
        <v/>
      </c>
      <c r="II39">
        <f>IF($B39=0,1000000,IF(INDEX('計算A'!$D$60:$DS$104,$B39,26)*DR39=1,'計算A'!AC$6,1000000))</f>
        <v/>
      </c>
      <c r="IJ39">
        <f>IF($B39=0,1000000,IF(INDEX('計算A'!$D$60:$DS$104,$B39,27)*DS39=1,'計算A'!AD$6,1000000))</f>
        <v/>
      </c>
      <c r="IK39">
        <f>IF($B39=0,1000000,IF(INDEX('計算A'!$D$60:$DS$104,$B39,28)*DT39=1,'計算A'!AE$6,1000000))</f>
        <v/>
      </c>
      <c r="IL39">
        <f>IF($B39=0,1000000,IF(INDEX('計算A'!$D$60:$DS$104,$B39,29)*DU39=1,'計算A'!AF$6,1000000))</f>
        <v/>
      </c>
      <c r="IM39">
        <f>IF($B39=0,1000000,IF(INDEX('計算A'!$D$60:$DS$104,$B39,30)*DV39=1,'計算A'!AG$6,1000000))</f>
        <v/>
      </c>
      <c r="IN39">
        <f>IF($B39=0,1000000,IF(INDEX('計算A'!$D$60:$DS$104,$B39,31)*DW39=1,'計算A'!AH$6,1000000))</f>
        <v/>
      </c>
      <c r="IO39">
        <f>IF($B39=0,1000000,IF(INDEX('計算A'!$D$60:$DS$104,$B39,32)*DX39=1,'計算A'!AI$6,1000000))</f>
        <v/>
      </c>
      <c r="IP39">
        <f>IF($B39=0,1000000,IF(INDEX('計算A'!$D$60:$DS$104,$B39,33)*DY39=1,'計算A'!AJ$6,1000000))</f>
        <v/>
      </c>
      <c r="IQ39">
        <f>IF($B39=0,1000000,IF(INDEX('計算A'!$D$60:$DS$104,$B39,34)*DZ39=1,'計算A'!AK$6,1000000))</f>
        <v/>
      </c>
      <c r="IR39">
        <f>IF($B39=0,1000000,IF(INDEX('計算A'!$D$60:$DS$104,$B39,35)*EA39=1,'計算A'!AL$6,1000000))</f>
        <v/>
      </c>
      <c r="IS39">
        <f>IF($B39=0,1000000,IF(INDEX('計算A'!$D$60:$DS$104,$B39,36)*EB39=1,'計算A'!AM$6,1000000))</f>
        <v/>
      </c>
      <c r="IT39">
        <f>IF($B39=0,1000000,IF(INDEX('計算A'!$D$60:$DS$104,$B39,37)*EC39=1,'計算A'!AN$6,1000000))</f>
        <v/>
      </c>
      <c r="IU39">
        <f>IF($B39=0,1000000,IF(INDEX('計算A'!$D$60:$DS$104,$B39,38)*ED39=1,'計算A'!AO$6,1000000))</f>
        <v/>
      </c>
      <c r="IV39">
        <f>IF($B39=0,1000000,IF(INDEX('計算A'!$D$60:$DS$104,$B39,39)*EE39=1,'計算A'!AP$6,1000000))</f>
        <v/>
      </c>
      <c r="IW39">
        <f>IF($B39=0,1000000,IF(INDEX('計算A'!$D$60:$DS$104,$B39,40)*EF39=1,'計算A'!AQ$6,1000000))</f>
        <v/>
      </c>
      <c r="IX39">
        <f>IF($B39=0,1000000,IF(INDEX('計算A'!$D$60:$DS$104,$B39,41)*EG39=1,'計算A'!AR$6,1000000))</f>
        <v/>
      </c>
      <c r="IY39">
        <f>IF($B39=0,1000000,IF(INDEX('計算A'!$D$60:$DS$104,$B39,42)*EH39=1,'計算A'!AS$6,1000000))</f>
        <v/>
      </c>
      <c r="IZ39">
        <f>IF($B39=0,1000000,IF(INDEX('計算A'!$D$60:$DS$104,$B39,43)*EI39=1,'計算A'!AT$6,1000000))</f>
        <v/>
      </c>
      <c r="JA39">
        <f>IF($B39=0,1000000,IF(INDEX('計算A'!$D$60:$DS$104,$B39,44)*EJ39=1,'計算A'!AU$6,1000000))</f>
        <v/>
      </c>
      <c r="JB39">
        <f>IF($B39=0,1000000,IF(INDEX('計算A'!$D$60:$DS$104,$B39,45)*EK39=1,'計算A'!AV$6,1000000))</f>
        <v/>
      </c>
      <c r="JC39">
        <f>IF($B39=0,1000000,IF(INDEX('計算A'!$D$60:$DS$104,$B39,46)*EL39=1,'計算A'!AW$6,1000000))</f>
        <v/>
      </c>
      <c r="JD39">
        <f>IF($B39=0,1000000,IF(INDEX('計算A'!$D$60:$DS$104,$B39,47)*EM39=1,'計算A'!AX$6,1000000))</f>
        <v/>
      </c>
      <c r="JE39">
        <f>IF($B39=0,1000000,IF(INDEX('計算A'!$D$60:$DS$104,$B39,48)*EN39=1,'計算A'!AY$6,1000000))</f>
        <v/>
      </c>
      <c r="JF39">
        <f>IF($B39=0,1000000,IF(INDEX('計算A'!$D$60:$DS$104,$B39,49)*EO39=1,'計算A'!AZ$6,1000000))</f>
        <v/>
      </c>
      <c r="JG39">
        <f>IF($B39=0,1000000,IF(INDEX('計算A'!$D$60:$DS$104,$B39,50)*EP39=1,'計算A'!BA$6,1000000))</f>
        <v/>
      </c>
      <c r="JH39">
        <f>IF($B39=0,1000000,IF(INDEX('計算A'!$D$60:$DS$104,$B39,51)*EQ39=1,'計算A'!BB$6,1000000))</f>
        <v/>
      </c>
      <c r="JI39">
        <f>IF($B39=0,1000000,IF(INDEX('計算A'!$D$60:$DS$104,$B39,52)*ER39=1,'計算A'!BC$6,1000000))</f>
        <v/>
      </c>
      <c r="JJ39">
        <f>IF($B39=0,1000000,IF(INDEX('計算A'!$D$60:$DS$104,$B39,53)*ES39=1,'計算A'!BD$6,1000000))</f>
        <v/>
      </c>
      <c r="JK39">
        <f>IF($B39=0,1000000,IF(INDEX('計算A'!$D$60:$DS$104,$B39,54)*ET39=1,'計算A'!BE$6,1000000))</f>
        <v/>
      </c>
      <c r="JL39">
        <f>IF($B39=0,1000000,IF(INDEX('計算A'!$D$60:$DS$104,$B39,55)*EU39=1,'計算A'!BF$6,1000000))</f>
        <v/>
      </c>
      <c r="JM39">
        <f>IF($B39=0,1000000,IF(INDEX('計算A'!$D$60:$DS$104,$B39,56)*EV39=1,'計算A'!BG$6,1000000))</f>
        <v/>
      </c>
      <c r="JN39">
        <f>IF($B39=0,1000000,IF(INDEX('計算A'!$D$60:$DS$104,$B39,57)*EW39=1,'計算A'!BH$6,1000000))</f>
        <v/>
      </c>
      <c r="JO39">
        <f>IF($B39=0,1000000,IF(INDEX('計算A'!$D$60:$DS$104,$B39,58)*EX39=1,'計算A'!BI$6,1000000))</f>
        <v/>
      </c>
      <c r="JP39">
        <f>IF($B39=0,1000000,IF(INDEX('計算A'!$D$60:$DS$104,$B39,59)*EY39=1,'計算A'!BJ$6,1000000))</f>
        <v/>
      </c>
      <c r="JQ39">
        <f>IF($B39=0,1000000,IF(INDEX('計算A'!$D$60:$DS$104,$B39,60)*EZ39=1,'計算A'!BK$6,1000000))</f>
        <v/>
      </c>
      <c r="JR39">
        <f>IF($B39=0,1000000,IF(INDEX('計算A'!$D$60:$DS$104,$B39,61)*FA39=1,'計算A'!BL$6,1000000))</f>
        <v/>
      </c>
      <c r="JS39">
        <f>IF($B39=0,1000000,IF(INDEX('計算A'!$D$60:$DS$104,$B39,62)*FB39=1,'計算A'!BM$6,1000000))</f>
        <v/>
      </c>
      <c r="JT39">
        <f>IF($B39=0,1000000,IF(INDEX('計算A'!$D$60:$DS$104,$B39,63)*FC39=1,'計算A'!BN$6,1000000))</f>
        <v/>
      </c>
      <c r="JU39">
        <f>IF($B39=0,1000000,IF(INDEX('計算A'!$D$60:$DS$104,$B39,64)*FD39=1,'計算A'!BO$6,1000000))</f>
        <v/>
      </c>
      <c r="JV39">
        <f>IF($B39=0,1000000,IF(INDEX('計算A'!$D$60:$DS$104,$B39,65)*FE39=1,'計算A'!BP$6,1000000))</f>
        <v/>
      </c>
      <c r="JW39">
        <f>IF($B39=0,1000000,IF(INDEX('計算A'!$D$60:$DS$104,$B39,66)*FF39=1,'計算A'!BQ$6,1000000))</f>
        <v/>
      </c>
      <c r="JX39">
        <f>IF($B39=0,1000000,IF(INDEX('計算A'!$D$60:$DS$104,$B39,67)*FG39=1,'計算A'!BR$6,1000000))</f>
        <v/>
      </c>
      <c r="JY39">
        <f>IF($B39=0,1000000,IF(INDEX('計算A'!$D$60:$DS$104,$B39,68)*FH39=1,'計算A'!BS$6,1000000))</f>
        <v/>
      </c>
      <c r="JZ39">
        <f>IF($B39=0,1000000,IF(INDEX('計算A'!$D$60:$DS$104,$B39,69)*FI39=1,'計算A'!BT$6,1000000))</f>
        <v/>
      </c>
      <c r="KA39">
        <f>IF($B39=0,1000000,IF(INDEX('計算A'!$D$60:$DS$104,$B39,70)*FJ39=1,'計算A'!BU$6,1000000))</f>
        <v/>
      </c>
      <c r="KB39">
        <f>IF($B39=0,1000000,IF(INDEX('計算A'!$D$60:$DS$104,$B39,71)*FK39=1,'計算A'!BV$6,1000000))</f>
        <v/>
      </c>
      <c r="KC39">
        <f>IF($B39=0,1000000,IF(INDEX('計算A'!$D$60:$DS$104,$B39,72)*FL39=1,'計算A'!BW$6,1000000))</f>
        <v/>
      </c>
      <c r="KD39">
        <f>IF($B39=0,1000000,IF(INDEX('計算A'!$D$60:$DS$104,$B39,73)*FM39=1,'計算A'!BX$6,1000000))</f>
        <v/>
      </c>
      <c r="KE39">
        <f>IF($B39=0,1000000,IF(INDEX('計算A'!$D$60:$DS$104,$B39,74)*FN39=1,'計算A'!BY$6,1000000))</f>
        <v/>
      </c>
      <c r="KF39">
        <f>IF($B39=0,1000000,IF(INDEX('計算A'!$D$60:$DS$104,$B39,75)*FO39=1,'計算A'!BZ$6,1000000))</f>
        <v/>
      </c>
      <c r="KG39">
        <f>IF($B39=0,1000000,IF(INDEX('計算A'!$D$60:$DS$104,$B39,76)*FP39=1,'計算A'!CA$6,1000000))</f>
        <v/>
      </c>
      <c r="KH39">
        <f>IF($B39=0,1000000,IF(INDEX('計算A'!$D$60:$DS$104,$B39,77)*FQ39=1,'計算A'!CB$6,1000000))</f>
        <v/>
      </c>
      <c r="KI39">
        <f>IF($B39=0,1000000,IF(INDEX('計算A'!$D$60:$DS$104,$B39,78)*FR39=1,'計算A'!CC$6,1000000))</f>
        <v/>
      </c>
      <c r="KJ39">
        <f>IF($B39=0,1000000,IF(INDEX('計算A'!$D$60:$DS$104,$B39,79)*FS39=1,'計算A'!CD$6,1000000))</f>
        <v/>
      </c>
      <c r="KK39">
        <f>IF($B39=0,1000000,IF(INDEX('計算A'!$D$60:$DS$104,$B39,80)*FT39=1,'計算A'!CE$6,1000000))</f>
        <v/>
      </c>
      <c r="KL39">
        <f>IF($B39=0,1000000,IF(INDEX('計算A'!$D$60:$DS$104,$B39,81)*FU39=1,'計算A'!CF$6,1000000))</f>
        <v/>
      </c>
      <c r="KM39">
        <f>IF($B39=0,1000000,IF(INDEX('計算A'!$D$60:$DS$104,$B39,82)*FV39=1,'計算A'!CG$6,1000000))</f>
        <v/>
      </c>
      <c r="KN39">
        <f>IF($B39=0,1000000,IF(INDEX('計算A'!$D$60:$DS$104,$B39,83)*FW39=1,'計算A'!CH$6,1000000))</f>
        <v/>
      </c>
      <c r="KO39">
        <f>IF($B39=0,1000000,IF(INDEX('計算A'!$D$60:$DS$104,$B39,84)*FX39=1,'計算A'!CI$6,1000000))</f>
        <v/>
      </c>
      <c r="KP39">
        <f>IF($B39=0,1000000,IF(INDEX('計算A'!$D$60:$DS$104,$B39,85)*FY39=1,'計算A'!CJ$6,1000000))</f>
        <v/>
      </c>
      <c r="KQ39">
        <f>IF($B39=0,1000000,IF(INDEX('計算A'!$D$60:$DS$104,$B39,86)*FZ39=1,'計算A'!CK$6,1000000))</f>
        <v/>
      </c>
      <c r="KR39">
        <f>IF($B39=0,1000000,IF(INDEX('計算A'!$D$60:$DS$104,$B39,87)*GA39=1,'計算A'!CL$6,1000000))</f>
        <v/>
      </c>
      <c r="KS39">
        <f>IF($B39=0,1000000,IF(INDEX('計算A'!$D$60:$DS$104,$B39,88)*GB39=1,'計算A'!CM$6,1000000))</f>
        <v/>
      </c>
      <c r="KT39">
        <f>IF($B39=0,1000000,IF(INDEX('計算A'!$D$60:$DS$104,$B39,89)*GC39=1,'計算A'!CN$6,1000000))</f>
        <v/>
      </c>
      <c r="KU39">
        <f>IF($B39=0,1000000,IF(INDEX('計算A'!$D$60:$DS$104,$B39,90)*GD39=1,'計算A'!CO$6,1000000))</f>
        <v/>
      </c>
      <c r="KV39">
        <f>IF($B39=0,1000000,IF(INDEX('計算A'!$D$60:$DS$104,$B39,91)*GE39=1,'計算A'!CP$6,1000000))</f>
        <v/>
      </c>
      <c r="KW39">
        <f>IF($B39=0,1000000,IF(INDEX('計算A'!$D$60:$DS$104,$B39,92)*GF39=1,'計算A'!CQ$6,1000000))</f>
        <v/>
      </c>
      <c r="KX39">
        <f>IF($B39=0,1000000,IF(INDEX('計算A'!$D$60:$DS$104,$B39,93)*GG39=1,'計算A'!CR$6,1000000))</f>
        <v/>
      </c>
      <c r="KY39">
        <f>IF($B39=0,1000000,IF(INDEX('計算A'!$D$60:$DS$104,$B39,94)*GH39=1,'計算A'!CS$6,1000000))</f>
        <v/>
      </c>
      <c r="KZ39">
        <f>IF($B39=0,1000000,IF(INDEX('計算A'!$D$60:$DS$104,$B39,95)*GI39=1,'計算A'!CT$6,1000000))</f>
        <v/>
      </c>
      <c r="LA39">
        <f>IF($B39=0,1000000,IF(INDEX('計算A'!$D$60:$DS$104,$B39,96)*GJ39=1,'計算A'!CU$6,1000000))</f>
        <v/>
      </c>
      <c r="LB39">
        <f>IF($B39=0,1000000,IF(INDEX('計算A'!$D$60:$DS$104,$B39,97)*GK39=1,'計算A'!CV$6,1000000))</f>
        <v/>
      </c>
      <c r="LC39">
        <f>IF($B39=0,1000000,IF(INDEX('計算A'!$D$60:$DS$104,$B39,98)*GL39=1,'計算A'!CW$6,1000000))</f>
        <v/>
      </c>
      <c r="LD39">
        <f>IF($B39=0,1000000,IF(INDEX('計算A'!$D$60:$DS$104,$B39,99)*GM39=1,'計算A'!CX$6,1000000))</f>
        <v/>
      </c>
      <c r="LE39">
        <f>IF($B39=0,1000000,IF(INDEX('計算A'!$D$60:$DS$104,$B39,100)*GN39=1,'計算A'!CY$6,1000000))</f>
        <v/>
      </c>
      <c r="LF39">
        <f>IF($B39=0,1000000,IF(INDEX('計算A'!$D$60:$DS$104,$B39,101)*GO39=1,'計算A'!CZ$6,1000000))</f>
        <v/>
      </c>
      <c r="LG39">
        <f>IF($B39=0,1000000,IF(INDEX('計算A'!$D$60:$DS$104,$B39,102)*GP39=1,'計算A'!DA$6,1000000))</f>
        <v/>
      </c>
      <c r="LH39">
        <f>IF($B39=0,1000000,IF(INDEX('計算A'!$D$60:$DS$104,$B39,103)*GQ39=1,'計算A'!DB$6,1000000))</f>
        <v/>
      </c>
      <c r="LI39">
        <f>IF($B39=0,1000000,IF(INDEX('計算A'!$D$60:$DS$104,$B39,104)*GR39=1,'計算A'!DC$6,1000000))</f>
        <v/>
      </c>
      <c r="LJ39">
        <f>IF($B39=0,1000000,IF(INDEX('計算A'!$D$60:$DS$104,$B39,105)*GS39=1,'計算A'!DD$6,1000000))</f>
        <v/>
      </c>
      <c r="LK39">
        <f>IF($B39=0,1000000,IF(INDEX('計算A'!$D$60:$DS$104,$B39,106)*GT39=1,'計算A'!DE$6,1000000))</f>
        <v/>
      </c>
      <c r="LL39">
        <f>IF($B39=0,1000000,IF(INDEX('計算A'!$D$60:$DS$104,$B39,107)*GU39=1,'計算A'!DF$6,1000000))</f>
        <v/>
      </c>
      <c r="LM39">
        <f>IF($B39=0,1000000,IF(INDEX('計算A'!$D$60:$DS$104,$B39,108)*GV39=1,'計算A'!DG$6,1000000))</f>
        <v/>
      </c>
      <c r="LN39">
        <f>IF($B39=0,1000000,IF(INDEX('計算A'!$D$60:$DS$104,$B39,109)*GW39=1,'計算A'!DH$6,1000000))</f>
        <v/>
      </c>
      <c r="LO39">
        <f>IF($B39=0,1000000,IF(INDEX('計算A'!$D$60:$DS$104,$B39,110)*GX39=1,'計算A'!DI$6,1000000))</f>
        <v/>
      </c>
      <c r="LP39">
        <f>IF($B39=0,1000000,IF(INDEX('計算A'!$D$60:$DS$104,$B39,111)*GY39=1,'計算A'!DJ$6,1000000))</f>
        <v/>
      </c>
      <c r="LQ39">
        <f>IF($B39=0,1000000,IF(INDEX('計算A'!$D$60:$DS$104,$B39,112)*GZ39=1,'計算A'!DK$6,1000000))</f>
        <v/>
      </c>
      <c r="LR39">
        <f>IF($B39=0,1000000,IF(INDEX('計算A'!$D$60:$DS$104,$B39,113)*HA39=1,'計算A'!DL$6,1000000))</f>
        <v/>
      </c>
      <c r="LS39">
        <f>IF($B39=0,1000000,IF(INDEX('計算A'!$D$60:$DS$104,$B39,114)*HB39=1,'計算A'!DM$6,1000000))</f>
        <v/>
      </c>
      <c r="LT39">
        <f>IF($B39=0,1000000,IF(INDEX('計算A'!$D$60:$DS$104,$B39,115)*HC39=1,'計算A'!DN$6,1000000))</f>
        <v/>
      </c>
      <c r="LU39">
        <f>IF($B39=0,1000000,IF(INDEX('計算A'!$D$60:$DS$104,$B39,116)*HD39=1,'計算A'!DO$6,1000000))</f>
        <v/>
      </c>
      <c r="LV39">
        <f>IF($B39=0,1000000,IF(INDEX('計算A'!$D$60:$DS$104,$B39,117)*HE39=1,'計算A'!DP$6,1000000))</f>
        <v/>
      </c>
      <c r="LW39">
        <f>IF($B39=0,1000000,IF(INDEX('計算A'!$D$60:$DS$104,$B39,118)*HF39=1,'計算A'!DQ$6,1000000))</f>
        <v/>
      </c>
      <c r="LX39">
        <f>IF($B39=0,1000000,IF(INDEX('計算A'!$D$60:$DS$104,$B39,119)*HG39=1,'計算A'!DR$6,1000000))</f>
        <v/>
      </c>
      <c r="LY39">
        <f>IF($B39=0,1000000,IF(INDEX('計算A'!$D$60:$DS$104,$B39,120)*HH39=1,'計算A'!DS$6,1000000))</f>
        <v/>
      </c>
    </row>
    <row r="40">
      <c r="A40" t="n">
        <v>38</v>
      </c>
      <c r="B40">
        <f>IF(MIN(AY40:CQ40)&gt;=1000000,0,MATCH(MIN(AY40:CQ40),AY40:CQ40,0))</f>
        <v/>
      </c>
      <c r="C40">
        <f>IF(MIN(HJ40:LY40)&gt;=1000000,0,MATCH(MIN(HJ40:LY40),HJ40:LY40,0))</f>
        <v/>
      </c>
      <c r="D40">
        <f>IF(C40&gt;0,INDEX('計算A'!$D$5:$DS$5,C40),0)</f>
        <v/>
      </c>
      <c r="E40">
        <f>MAX(E39,IF($B39=1,1,0))</f>
        <v/>
      </c>
      <c r="F40">
        <f>MAX(F39,IF($B39=2,1,0))</f>
        <v/>
      </c>
      <c r="G40">
        <f>MAX(G39,IF($B39=3,1,0))</f>
        <v/>
      </c>
      <c r="H40">
        <f>MAX(H39,IF($B39=4,1,0))</f>
        <v/>
      </c>
      <c r="I40">
        <f>MAX(I39,IF($B39=5,1,0))</f>
        <v/>
      </c>
      <c r="J40">
        <f>MAX(J39,IF($B39=6,1,0))</f>
        <v/>
      </c>
      <c r="K40">
        <f>MAX(K39,IF($B39=7,1,0))</f>
        <v/>
      </c>
      <c r="L40">
        <f>MAX(L39,IF($B39=8,1,0))</f>
        <v/>
      </c>
      <c r="M40">
        <f>MAX(M39,IF($B39=9,1,0))</f>
        <v/>
      </c>
      <c r="N40">
        <f>MAX(N39,IF($B39=10,1,0))</f>
        <v/>
      </c>
      <c r="O40">
        <f>MAX(O39,IF($B39=11,1,0))</f>
        <v/>
      </c>
      <c r="P40">
        <f>MAX(P39,IF($B39=12,1,0))</f>
        <v/>
      </c>
      <c r="Q40">
        <f>MAX(Q39,IF($B39=13,1,0))</f>
        <v/>
      </c>
      <c r="R40">
        <f>MAX(R39,IF($B39=14,1,0))</f>
        <v/>
      </c>
      <c r="S40">
        <f>MAX(S39,IF($B39=15,1,0))</f>
        <v/>
      </c>
      <c r="T40">
        <f>MAX(T39,IF($B39=16,1,0))</f>
        <v/>
      </c>
      <c r="U40">
        <f>MAX(U39,IF($B39=17,1,0))</f>
        <v/>
      </c>
      <c r="V40">
        <f>MAX(V39,IF($B39=18,1,0))</f>
        <v/>
      </c>
      <c r="W40">
        <f>MAX(W39,IF($B39=19,1,0))</f>
        <v/>
      </c>
      <c r="X40">
        <f>MAX(X39,IF($B39=20,1,0))</f>
        <v/>
      </c>
      <c r="Y40">
        <f>MAX(Y39,IF($B39=21,1,0))</f>
        <v/>
      </c>
      <c r="Z40">
        <f>MAX(Z39,IF($B39=22,1,0))</f>
        <v/>
      </c>
      <c r="AA40">
        <f>MAX(AA39,IF($B39=23,1,0))</f>
        <v/>
      </c>
      <c r="AB40">
        <f>MAX(AB39,IF($B39=24,1,0))</f>
        <v/>
      </c>
      <c r="AC40">
        <f>MAX(AC39,IF($B39=25,1,0))</f>
        <v/>
      </c>
      <c r="AD40">
        <f>MAX(AD39,IF($B39=26,1,0))</f>
        <v/>
      </c>
      <c r="AE40">
        <f>MAX(AE39,IF($B39=27,1,0))</f>
        <v/>
      </c>
      <c r="AF40">
        <f>MAX(AF39,IF($B39=28,1,0))</f>
        <v/>
      </c>
      <c r="AG40">
        <f>MAX(AG39,IF($B39=29,1,0))</f>
        <v/>
      </c>
      <c r="AH40">
        <f>MAX(AH39,IF($B39=30,1,0))</f>
        <v/>
      </c>
      <c r="AI40">
        <f>MAX(AI39,IF($B39=31,1,0))</f>
        <v/>
      </c>
      <c r="AJ40">
        <f>MAX(AJ39,IF($B39=32,1,0))</f>
        <v/>
      </c>
      <c r="AK40">
        <f>MAX(AK39,IF($B39=33,1,0))</f>
        <v/>
      </c>
      <c r="AL40">
        <f>MAX(AL39,IF($B39=34,1,0))</f>
        <v/>
      </c>
      <c r="AM40">
        <f>MAX(AM39,IF($B39=35,1,0))</f>
        <v/>
      </c>
      <c r="AN40">
        <f>MAX(AN39,IF($B39=36,1,0))</f>
        <v/>
      </c>
      <c r="AO40">
        <f>MAX(AO39,IF($B39=37,1,0))</f>
        <v/>
      </c>
      <c r="AP40">
        <f>MAX(AP39,IF($B39=38,1,0))</f>
        <v/>
      </c>
      <c r="AQ40">
        <f>MAX(AQ39,IF($B39=39,1,0))</f>
        <v/>
      </c>
      <c r="AR40">
        <f>MAX(AR39,IF($B39=40,1,0))</f>
        <v/>
      </c>
      <c r="AS40">
        <f>MAX(AS39,IF($B39=41,1,0))</f>
        <v/>
      </c>
      <c r="AT40">
        <f>MAX(AT39,IF($B39=42,1,0))</f>
        <v/>
      </c>
      <c r="AU40">
        <f>MAX(AU39,IF($B39=43,1,0))</f>
        <v/>
      </c>
      <c r="AV40">
        <f>MAX(AV39,IF($B39=44,1,0))</f>
        <v/>
      </c>
      <c r="AW40">
        <f>MAX(AW39,IF($B39=45,1,0))</f>
        <v/>
      </c>
      <c r="AY40">
        <f>IF(E40=1,1000000,SUMPRODUCT('計算A'!$D$60:$DS$60,$CS40:$HH40)*1000+1)</f>
        <v/>
      </c>
      <c r="AZ40">
        <f>IF(F40=1,1000000,SUMPRODUCT('計算A'!$D$61:$DS$61,$CS40:$HH40)*1000+2)</f>
        <v/>
      </c>
      <c r="BA40">
        <f>IF(G40=1,1000000,SUMPRODUCT('計算A'!$D$62:$DS$62,$CS40:$HH40)*1000+3)</f>
        <v/>
      </c>
      <c r="BB40">
        <f>IF(H40=1,1000000,SUMPRODUCT('計算A'!$D$63:$DS$63,$CS40:$HH40)*1000+4)</f>
        <v/>
      </c>
      <c r="BC40">
        <f>IF(I40=1,1000000,SUMPRODUCT('計算A'!$D$64:$DS$64,$CS40:$HH40)*1000+5)</f>
        <v/>
      </c>
      <c r="BD40">
        <f>IF(J40=1,1000000,SUMPRODUCT('計算A'!$D$65:$DS$65,$CS40:$HH40)*1000+6)</f>
        <v/>
      </c>
      <c r="BE40">
        <f>IF(K40=1,1000000,SUMPRODUCT('計算A'!$D$66:$DS$66,$CS40:$HH40)*1000+7)</f>
        <v/>
      </c>
      <c r="BF40">
        <f>IF(L40=1,1000000,SUMPRODUCT('計算A'!$D$67:$DS$67,$CS40:$HH40)*1000+8)</f>
        <v/>
      </c>
      <c r="BG40">
        <f>IF(M40=1,1000000,SUMPRODUCT('計算A'!$D$68:$DS$68,$CS40:$HH40)*1000+9)</f>
        <v/>
      </c>
      <c r="BH40">
        <f>IF(N40=1,1000000,SUMPRODUCT('計算A'!$D$69:$DS$69,$CS40:$HH40)*1000+10)</f>
        <v/>
      </c>
      <c r="BI40">
        <f>IF(O40=1,1000000,SUMPRODUCT('計算A'!$D$70:$DS$70,$CS40:$HH40)*1000+11)</f>
        <v/>
      </c>
      <c r="BJ40">
        <f>IF(P40=1,1000000,SUMPRODUCT('計算A'!$D$71:$DS$71,$CS40:$HH40)*1000+12)</f>
        <v/>
      </c>
      <c r="BK40">
        <f>IF(Q40=1,1000000,SUMPRODUCT('計算A'!$D$72:$DS$72,$CS40:$HH40)*1000+13)</f>
        <v/>
      </c>
      <c r="BL40">
        <f>IF(R40=1,1000000,SUMPRODUCT('計算A'!$D$73:$DS$73,$CS40:$HH40)*1000+14)</f>
        <v/>
      </c>
      <c r="BM40">
        <f>IF(S40=1,1000000,SUMPRODUCT('計算A'!$D$74:$DS$74,$CS40:$HH40)*1000+15)</f>
        <v/>
      </c>
      <c r="BN40">
        <f>IF(T40=1,1000000,SUMPRODUCT('計算A'!$D$75:$DS$75,$CS40:$HH40)*1000+16)</f>
        <v/>
      </c>
      <c r="BO40">
        <f>IF(U40=1,1000000,SUMPRODUCT('計算A'!$D$76:$DS$76,$CS40:$HH40)*1000+17)</f>
        <v/>
      </c>
      <c r="BP40">
        <f>IF(V40=1,1000000,SUMPRODUCT('計算A'!$D$77:$DS$77,$CS40:$HH40)*1000+18)</f>
        <v/>
      </c>
      <c r="BQ40">
        <f>IF(W40=1,1000000,SUMPRODUCT('計算A'!$D$78:$DS$78,$CS40:$HH40)*1000+19)</f>
        <v/>
      </c>
      <c r="BR40">
        <f>IF(X40=1,1000000,SUMPRODUCT('計算A'!$D$79:$DS$79,$CS40:$HH40)*1000+20)</f>
        <v/>
      </c>
      <c r="BS40">
        <f>IF(Y40=1,1000000,SUMPRODUCT('計算A'!$D$80:$DS$80,$CS40:$HH40)*1000+21)</f>
        <v/>
      </c>
      <c r="BT40">
        <f>IF(Z40=1,1000000,SUMPRODUCT('計算A'!$D$81:$DS$81,$CS40:$HH40)*1000+22)</f>
        <v/>
      </c>
      <c r="BU40">
        <f>IF(AA40=1,1000000,SUMPRODUCT('計算A'!$D$82:$DS$82,$CS40:$HH40)*1000+23)</f>
        <v/>
      </c>
      <c r="BV40">
        <f>IF(AB40=1,1000000,SUMPRODUCT('計算A'!$D$83:$DS$83,$CS40:$HH40)*1000+24)</f>
        <v/>
      </c>
      <c r="BW40">
        <f>IF(AC40=1,1000000,SUMPRODUCT('計算A'!$D$84:$DS$84,$CS40:$HH40)*1000+25)</f>
        <v/>
      </c>
      <c r="BX40">
        <f>IF(AD40=1,1000000,SUMPRODUCT('計算A'!$D$85:$DS$85,$CS40:$HH40)*1000+26)</f>
        <v/>
      </c>
      <c r="BY40">
        <f>IF(AE40=1,1000000,SUMPRODUCT('計算A'!$D$86:$DS$86,$CS40:$HH40)*1000+27)</f>
        <v/>
      </c>
      <c r="BZ40">
        <f>IF(AF40=1,1000000,SUMPRODUCT('計算A'!$D$87:$DS$87,$CS40:$HH40)*1000+28)</f>
        <v/>
      </c>
      <c r="CA40">
        <f>IF(AG40=1,1000000,SUMPRODUCT('計算A'!$D$88:$DS$88,$CS40:$HH40)*1000+29)</f>
        <v/>
      </c>
      <c r="CB40">
        <f>IF(AH40=1,1000000,SUMPRODUCT('計算A'!$D$89:$DS$89,$CS40:$HH40)*1000+30)</f>
        <v/>
      </c>
      <c r="CC40">
        <f>IF(AI40=1,1000000,SUMPRODUCT('計算A'!$D$90:$DS$90,$CS40:$HH40)*1000+31)</f>
        <v/>
      </c>
      <c r="CD40">
        <f>IF(AJ40=1,1000000,SUMPRODUCT('計算A'!$D$91:$DS$91,$CS40:$HH40)*1000+32)</f>
        <v/>
      </c>
      <c r="CE40">
        <f>IF(AK40=1,1000000,SUMPRODUCT('計算A'!$D$92:$DS$92,$CS40:$HH40)*1000+33)</f>
        <v/>
      </c>
      <c r="CF40">
        <f>IF(AL40=1,1000000,SUMPRODUCT('計算A'!$D$93:$DS$93,$CS40:$HH40)*1000+34)</f>
        <v/>
      </c>
      <c r="CG40">
        <f>IF(AM40=1,1000000,SUMPRODUCT('計算A'!$D$94:$DS$94,$CS40:$HH40)*1000+35)</f>
        <v/>
      </c>
      <c r="CH40">
        <f>IF(AN40=1,1000000,SUMPRODUCT('計算A'!$D$95:$DS$95,$CS40:$HH40)*1000+36)</f>
        <v/>
      </c>
      <c r="CI40">
        <f>IF(AO40=1,1000000,SUMPRODUCT('計算A'!$D$96:$DS$96,$CS40:$HH40)*1000+37)</f>
        <v/>
      </c>
      <c r="CJ40">
        <f>IF(AP40=1,1000000,SUMPRODUCT('計算A'!$D$97:$DS$97,$CS40:$HH40)*1000+38)</f>
        <v/>
      </c>
      <c r="CK40">
        <f>IF(AQ40=1,1000000,SUMPRODUCT('計算A'!$D$98:$DS$98,$CS40:$HH40)*1000+39)</f>
        <v/>
      </c>
      <c r="CL40">
        <f>IF(AR40=1,1000000,SUMPRODUCT('計算A'!$D$99:$DS$99,$CS40:$HH40)*1000+40)</f>
        <v/>
      </c>
      <c r="CM40">
        <f>IF(AS40=1,1000000,SUMPRODUCT('計算A'!$D$100:$DS$100,$CS40:$HH40)*1000+41)</f>
        <v/>
      </c>
      <c r="CN40">
        <f>IF(AT40=1,1000000,SUMPRODUCT('計算A'!$D$101:$DS$101,$CS40:$HH40)*1000+42)</f>
        <v/>
      </c>
      <c r="CO40">
        <f>IF(AU40=1,1000000,SUMPRODUCT('計算A'!$D$102:$DS$102,$CS40:$HH40)*1000+43)</f>
        <v/>
      </c>
      <c r="CP40">
        <f>IF(AV40=1,1000000,SUMPRODUCT('計算A'!$D$103:$DS$103,$CS40:$HH40)*1000+44)</f>
        <v/>
      </c>
      <c r="CQ40">
        <f>IF(AW40=1,1000000,SUMPRODUCT('計算A'!$D$104:$DS$104,$CS40:$HH40)*1000+45)</f>
        <v/>
      </c>
      <c r="CS40">
        <f>CS39*IF($C39=1,0,1)</f>
        <v/>
      </c>
      <c r="CT40">
        <f>CT39*IF($C39=2,0,1)</f>
        <v/>
      </c>
      <c r="CU40">
        <f>CU39*IF($C39=3,0,1)</f>
        <v/>
      </c>
      <c r="CV40">
        <f>CV39*IF($C39=4,0,1)</f>
        <v/>
      </c>
      <c r="CW40">
        <f>CW39*IF($C39=5,0,1)</f>
        <v/>
      </c>
      <c r="CX40">
        <f>CX39*IF($C39=6,0,1)</f>
        <v/>
      </c>
      <c r="CY40">
        <f>CY39*IF($C39=7,0,1)</f>
        <v/>
      </c>
      <c r="CZ40">
        <f>CZ39*IF($C39=8,0,1)</f>
        <v/>
      </c>
      <c r="DA40">
        <f>DA39*IF($C39=9,0,1)</f>
        <v/>
      </c>
      <c r="DB40">
        <f>DB39*IF($C39=10,0,1)</f>
        <v/>
      </c>
      <c r="DC40">
        <f>DC39*IF($C39=11,0,1)</f>
        <v/>
      </c>
      <c r="DD40">
        <f>DD39*IF($C39=12,0,1)</f>
        <v/>
      </c>
      <c r="DE40">
        <f>DE39*IF($C39=13,0,1)</f>
        <v/>
      </c>
      <c r="DF40">
        <f>DF39*IF($C39=14,0,1)</f>
        <v/>
      </c>
      <c r="DG40">
        <f>DG39*IF($C39=15,0,1)</f>
        <v/>
      </c>
      <c r="DH40">
        <f>DH39*IF($C39=16,0,1)</f>
        <v/>
      </c>
      <c r="DI40">
        <f>DI39*IF($C39=17,0,1)</f>
        <v/>
      </c>
      <c r="DJ40">
        <f>DJ39*IF($C39=18,0,1)</f>
        <v/>
      </c>
      <c r="DK40">
        <f>DK39*IF($C39=19,0,1)</f>
        <v/>
      </c>
      <c r="DL40">
        <f>DL39*IF($C39=20,0,1)</f>
        <v/>
      </c>
      <c r="DM40">
        <f>DM39*IF($C39=21,0,1)</f>
        <v/>
      </c>
      <c r="DN40">
        <f>DN39*IF($C39=22,0,1)</f>
        <v/>
      </c>
      <c r="DO40">
        <f>DO39*IF($C39=23,0,1)</f>
        <v/>
      </c>
      <c r="DP40">
        <f>DP39*IF($C39=24,0,1)</f>
        <v/>
      </c>
      <c r="DQ40">
        <f>DQ39*IF($C39=25,0,1)</f>
        <v/>
      </c>
      <c r="DR40">
        <f>DR39*IF($C39=26,0,1)</f>
        <v/>
      </c>
      <c r="DS40">
        <f>DS39*IF($C39=27,0,1)</f>
        <v/>
      </c>
      <c r="DT40">
        <f>DT39*IF($C39=28,0,1)</f>
        <v/>
      </c>
      <c r="DU40">
        <f>DU39*IF($C39=29,0,1)</f>
        <v/>
      </c>
      <c r="DV40">
        <f>DV39*IF($C39=30,0,1)</f>
        <v/>
      </c>
      <c r="DW40">
        <f>DW39*IF($C39=31,0,1)</f>
        <v/>
      </c>
      <c r="DX40">
        <f>DX39*IF($C39=32,0,1)</f>
        <v/>
      </c>
      <c r="DY40">
        <f>DY39*IF($C39=33,0,1)</f>
        <v/>
      </c>
      <c r="DZ40">
        <f>DZ39*IF($C39=34,0,1)</f>
        <v/>
      </c>
      <c r="EA40">
        <f>EA39*IF($C39=35,0,1)</f>
        <v/>
      </c>
      <c r="EB40">
        <f>EB39*IF($C39=36,0,1)</f>
        <v/>
      </c>
      <c r="EC40">
        <f>EC39*IF($C39=37,0,1)</f>
        <v/>
      </c>
      <c r="ED40">
        <f>ED39*IF($C39=38,0,1)</f>
        <v/>
      </c>
      <c r="EE40">
        <f>EE39*IF($C39=39,0,1)</f>
        <v/>
      </c>
      <c r="EF40">
        <f>EF39*IF($C39=40,0,1)</f>
        <v/>
      </c>
      <c r="EG40">
        <f>EG39*IF($C39=41,0,1)</f>
        <v/>
      </c>
      <c r="EH40">
        <f>EH39*IF($C39=42,0,1)</f>
        <v/>
      </c>
      <c r="EI40">
        <f>EI39*IF($C39=43,0,1)</f>
        <v/>
      </c>
      <c r="EJ40">
        <f>EJ39*IF($C39=44,0,1)</f>
        <v/>
      </c>
      <c r="EK40">
        <f>EK39*IF($C39=45,0,1)</f>
        <v/>
      </c>
      <c r="EL40">
        <f>EL39*IF($C39=46,0,1)</f>
        <v/>
      </c>
      <c r="EM40">
        <f>EM39*IF($C39=47,0,1)</f>
        <v/>
      </c>
      <c r="EN40">
        <f>EN39*IF($C39=48,0,1)</f>
        <v/>
      </c>
      <c r="EO40">
        <f>EO39*IF($C39=49,0,1)</f>
        <v/>
      </c>
      <c r="EP40">
        <f>EP39*IF($C39=50,0,1)</f>
        <v/>
      </c>
      <c r="EQ40">
        <f>EQ39*IF($C39=51,0,1)</f>
        <v/>
      </c>
      <c r="ER40">
        <f>ER39*IF($C39=52,0,1)</f>
        <v/>
      </c>
      <c r="ES40">
        <f>ES39*IF($C39=53,0,1)</f>
        <v/>
      </c>
      <c r="ET40">
        <f>ET39*IF($C39=54,0,1)</f>
        <v/>
      </c>
      <c r="EU40">
        <f>EU39*IF($C39=55,0,1)</f>
        <v/>
      </c>
      <c r="EV40">
        <f>EV39*IF($C39=56,0,1)</f>
        <v/>
      </c>
      <c r="EW40">
        <f>EW39*IF($C39=57,0,1)</f>
        <v/>
      </c>
      <c r="EX40">
        <f>EX39*IF($C39=58,0,1)</f>
        <v/>
      </c>
      <c r="EY40">
        <f>EY39*IF($C39=59,0,1)</f>
        <v/>
      </c>
      <c r="EZ40">
        <f>EZ39*IF($C39=60,0,1)</f>
        <v/>
      </c>
      <c r="FA40">
        <f>FA39*IF($C39=61,0,1)</f>
        <v/>
      </c>
      <c r="FB40">
        <f>FB39*IF($C39=62,0,1)</f>
        <v/>
      </c>
      <c r="FC40">
        <f>FC39*IF($C39=63,0,1)</f>
        <v/>
      </c>
      <c r="FD40">
        <f>FD39*IF($C39=64,0,1)</f>
        <v/>
      </c>
      <c r="FE40">
        <f>FE39*IF($C39=65,0,1)</f>
        <v/>
      </c>
      <c r="FF40">
        <f>FF39*IF($C39=66,0,1)</f>
        <v/>
      </c>
      <c r="FG40">
        <f>FG39*IF($C39=67,0,1)</f>
        <v/>
      </c>
      <c r="FH40">
        <f>FH39*IF($C39=68,0,1)</f>
        <v/>
      </c>
      <c r="FI40">
        <f>FI39*IF($C39=69,0,1)</f>
        <v/>
      </c>
      <c r="FJ40">
        <f>FJ39*IF($C39=70,0,1)</f>
        <v/>
      </c>
      <c r="FK40">
        <f>FK39*IF($C39=71,0,1)</f>
        <v/>
      </c>
      <c r="FL40">
        <f>FL39*IF($C39=72,0,1)</f>
        <v/>
      </c>
      <c r="FM40">
        <f>FM39*IF($C39=73,0,1)</f>
        <v/>
      </c>
      <c r="FN40">
        <f>FN39*IF($C39=74,0,1)</f>
        <v/>
      </c>
      <c r="FO40">
        <f>FO39*IF($C39=75,0,1)</f>
        <v/>
      </c>
      <c r="FP40">
        <f>FP39*IF($C39=76,0,1)</f>
        <v/>
      </c>
      <c r="FQ40">
        <f>FQ39*IF($C39=77,0,1)</f>
        <v/>
      </c>
      <c r="FR40">
        <f>FR39*IF($C39=78,0,1)</f>
        <v/>
      </c>
      <c r="FS40">
        <f>FS39*IF($C39=79,0,1)</f>
        <v/>
      </c>
      <c r="FT40">
        <f>FT39*IF($C39=80,0,1)</f>
        <v/>
      </c>
      <c r="FU40">
        <f>FU39*IF($C39=81,0,1)</f>
        <v/>
      </c>
      <c r="FV40">
        <f>FV39*IF($C39=82,0,1)</f>
        <v/>
      </c>
      <c r="FW40">
        <f>FW39*IF($C39=83,0,1)</f>
        <v/>
      </c>
      <c r="FX40">
        <f>FX39*IF($C39=84,0,1)</f>
        <v/>
      </c>
      <c r="FY40">
        <f>FY39*IF($C39=85,0,1)</f>
        <v/>
      </c>
      <c r="FZ40">
        <f>FZ39*IF($C39=86,0,1)</f>
        <v/>
      </c>
      <c r="GA40">
        <f>GA39*IF($C39=87,0,1)</f>
        <v/>
      </c>
      <c r="GB40">
        <f>GB39*IF($C39=88,0,1)</f>
        <v/>
      </c>
      <c r="GC40">
        <f>GC39*IF($C39=89,0,1)</f>
        <v/>
      </c>
      <c r="GD40">
        <f>GD39*IF($C39=90,0,1)</f>
        <v/>
      </c>
      <c r="GE40">
        <f>GE39*IF($C39=91,0,1)</f>
        <v/>
      </c>
      <c r="GF40">
        <f>GF39*IF($C39=92,0,1)</f>
        <v/>
      </c>
      <c r="GG40">
        <f>GG39*IF($C39=93,0,1)</f>
        <v/>
      </c>
      <c r="GH40">
        <f>GH39*IF($C39=94,0,1)</f>
        <v/>
      </c>
      <c r="GI40">
        <f>GI39*IF($C39=95,0,1)</f>
        <v/>
      </c>
      <c r="GJ40">
        <f>GJ39*IF($C39=96,0,1)</f>
        <v/>
      </c>
      <c r="GK40">
        <f>GK39*IF($C39=97,0,1)</f>
        <v/>
      </c>
      <c r="GL40">
        <f>GL39*IF($C39=98,0,1)</f>
        <v/>
      </c>
      <c r="GM40">
        <f>GM39*IF($C39=99,0,1)</f>
        <v/>
      </c>
      <c r="GN40">
        <f>GN39*IF($C39=100,0,1)</f>
        <v/>
      </c>
      <c r="GO40">
        <f>GO39*IF($C39=101,0,1)</f>
        <v/>
      </c>
      <c r="GP40">
        <f>GP39*IF($C39=102,0,1)</f>
        <v/>
      </c>
      <c r="GQ40">
        <f>GQ39*IF($C39=103,0,1)</f>
        <v/>
      </c>
      <c r="GR40">
        <f>GR39*IF($C39=104,0,1)</f>
        <v/>
      </c>
      <c r="GS40">
        <f>GS39*IF($C39=105,0,1)</f>
        <v/>
      </c>
      <c r="GT40">
        <f>GT39*IF($C39=106,0,1)</f>
        <v/>
      </c>
      <c r="GU40">
        <f>GU39*IF($C39=107,0,1)</f>
        <v/>
      </c>
      <c r="GV40">
        <f>GV39*IF($C39=108,0,1)</f>
        <v/>
      </c>
      <c r="GW40">
        <f>GW39*IF($C39=109,0,1)</f>
        <v/>
      </c>
      <c r="GX40">
        <f>GX39*IF($C39=110,0,1)</f>
        <v/>
      </c>
      <c r="GY40">
        <f>GY39*IF($C39=111,0,1)</f>
        <v/>
      </c>
      <c r="GZ40">
        <f>GZ39*IF($C39=112,0,1)</f>
        <v/>
      </c>
      <c r="HA40">
        <f>HA39*IF($C39=113,0,1)</f>
        <v/>
      </c>
      <c r="HB40">
        <f>HB39*IF($C39=114,0,1)</f>
        <v/>
      </c>
      <c r="HC40">
        <f>HC39*IF($C39=115,0,1)</f>
        <v/>
      </c>
      <c r="HD40">
        <f>HD39*IF($C39=116,0,1)</f>
        <v/>
      </c>
      <c r="HE40">
        <f>HE39*IF($C39=117,0,1)</f>
        <v/>
      </c>
      <c r="HF40">
        <f>HF39*IF($C39=118,0,1)</f>
        <v/>
      </c>
      <c r="HG40">
        <f>HG39*IF($C39=119,0,1)</f>
        <v/>
      </c>
      <c r="HH40">
        <f>HH39*IF($C39=120,0,1)</f>
        <v/>
      </c>
      <c r="HJ40">
        <f>IF($B40=0,1000000,IF(INDEX('計算A'!$D$60:$DS$104,$B40,1)*CS40=1,'計算A'!D$6,1000000))</f>
        <v/>
      </c>
      <c r="HK40">
        <f>IF($B40=0,1000000,IF(INDEX('計算A'!$D$60:$DS$104,$B40,2)*CT40=1,'計算A'!E$6,1000000))</f>
        <v/>
      </c>
      <c r="HL40">
        <f>IF($B40=0,1000000,IF(INDEX('計算A'!$D$60:$DS$104,$B40,3)*CU40=1,'計算A'!F$6,1000000))</f>
        <v/>
      </c>
      <c r="HM40">
        <f>IF($B40=0,1000000,IF(INDEX('計算A'!$D$60:$DS$104,$B40,4)*CV40=1,'計算A'!G$6,1000000))</f>
        <v/>
      </c>
      <c r="HN40">
        <f>IF($B40=0,1000000,IF(INDEX('計算A'!$D$60:$DS$104,$B40,5)*CW40=1,'計算A'!H$6,1000000))</f>
        <v/>
      </c>
      <c r="HO40">
        <f>IF($B40=0,1000000,IF(INDEX('計算A'!$D$60:$DS$104,$B40,6)*CX40=1,'計算A'!I$6,1000000))</f>
        <v/>
      </c>
      <c r="HP40">
        <f>IF($B40=0,1000000,IF(INDEX('計算A'!$D$60:$DS$104,$B40,7)*CY40=1,'計算A'!J$6,1000000))</f>
        <v/>
      </c>
      <c r="HQ40">
        <f>IF($B40=0,1000000,IF(INDEX('計算A'!$D$60:$DS$104,$B40,8)*CZ40=1,'計算A'!K$6,1000000))</f>
        <v/>
      </c>
      <c r="HR40">
        <f>IF($B40=0,1000000,IF(INDEX('計算A'!$D$60:$DS$104,$B40,9)*DA40=1,'計算A'!L$6,1000000))</f>
        <v/>
      </c>
      <c r="HS40">
        <f>IF($B40=0,1000000,IF(INDEX('計算A'!$D$60:$DS$104,$B40,10)*DB40=1,'計算A'!M$6,1000000))</f>
        <v/>
      </c>
      <c r="HT40">
        <f>IF($B40=0,1000000,IF(INDEX('計算A'!$D$60:$DS$104,$B40,11)*DC40=1,'計算A'!N$6,1000000))</f>
        <v/>
      </c>
      <c r="HU40">
        <f>IF($B40=0,1000000,IF(INDEX('計算A'!$D$60:$DS$104,$B40,12)*DD40=1,'計算A'!O$6,1000000))</f>
        <v/>
      </c>
      <c r="HV40">
        <f>IF($B40=0,1000000,IF(INDEX('計算A'!$D$60:$DS$104,$B40,13)*DE40=1,'計算A'!P$6,1000000))</f>
        <v/>
      </c>
      <c r="HW40">
        <f>IF($B40=0,1000000,IF(INDEX('計算A'!$D$60:$DS$104,$B40,14)*DF40=1,'計算A'!Q$6,1000000))</f>
        <v/>
      </c>
      <c r="HX40">
        <f>IF($B40=0,1000000,IF(INDEX('計算A'!$D$60:$DS$104,$B40,15)*DG40=1,'計算A'!R$6,1000000))</f>
        <v/>
      </c>
      <c r="HY40">
        <f>IF($B40=0,1000000,IF(INDEX('計算A'!$D$60:$DS$104,$B40,16)*DH40=1,'計算A'!S$6,1000000))</f>
        <v/>
      </c>
      <c r="HZ40">
        <f>IF($B40=0,1000000,IF(INDEX('計算A'!$D$60:$DS$104,$B40,17)*DI40=1,'計算A'!T$6,1000000))</f>
        <v/>
      </c>
      <c r="IA40">
        <f>IF($B40=0,1000000,IF(INDEX('計算A'!$D$60:$DS$104,$B40,18)*DJ40=1,'計算A'!U$6,1000000))</f>
        <v/>
      </c>
      <c r="IB40">
        <f>IF($B40=0,1000000,IF(INDEX('計算A'!$D$60:$DS$104,$B40,19)*DK40=1,'計算A'!V$6,1000000))</f>
        <v/>
      </c>
      <c r="IC40">
        <f>IF($B40=0,1000000,IF(INDEX('計算A'!$D$60:$DS$104,$B40,20)*DL40=1,'計算A'!W$6,1000000))</f>
        <v/>
      </c>
      <c r="ID40">
        <f>IF($B40=0,1000000,IF(INDEX('計算A'!$D$60:$DS$104,$B40,21)*DM40=1,'計算A'!X$6,1000000))</f>
        <v/>
      </c>
      <c r="IE40">
        <f>IF($B40=0,1000000,IF(INDEX('計算A'!$D$60:$DS$104,$B40,22)*DN40=1,'計算A'!Y$6,1000000))</f>
        <v/>
      </c>
      <c r="IF40">
        <f>IF($B40=0,1000000,IF(INDEX('計算A'!$D$60:$DS$104,$B40,23)*DO40=1,'計算A'!Z$6,1000000))</f>
        <v/>
      </c>
      <c r="IG40">
        <f>IF($B40=0,1000000,IF(INDEX('計算A'!$D$60:$DS$104,$B40,24)*DP40=1,'計算A'!AA$6,1000000))</f>
        <v/>
      </c>
      <c r="IH40">
        <f>IF($B40=0,1000000,IF(INDEX('計算A'!$D$60:$DS$104,$B40,25)*DQ40=1,'計算A'!AB$6,1000000))</f>
        <v/>
      </c>
      <c r="II40">
        <f>IF($B40=0,1000000,IF(INDEX('計算A'!$D$60:$DS$104,$B40,26)*DR40=1,'計算A'!AC$6,1000000))</f>
        <v/>
      </c>
      <c r="IJ40">
        <f>IF($B40=0,1000000,IF(INDEX('計算A'!$D$60:$DS$104,$B40,27)*DS40=1,'計算A'!AD$6,1000000))</f>
        <v/>
      </c>
      <c r="IK40">
        <f>IF($B40=0,1000000,IF(INDEX('計算A'!$D$60:$DS$104,$B40,28)*DT40=1,'計算A'!AE$6,1000000))</f>
        <v/>
      </c>
      <c r="IL40">
        <f>IF($B40=0,1000000,IF(INDEX('計算A'!$D$60:$DS$104,$B40,29)*DU40=1,'計算A'!AF$6,1000000))</f>
        <v/>
      </c>
      <c r="IM40">
        <f>IF($B40=0,1000000,IF(INDEX('計算A'!$D$60:$DS$104,$B40,30)*DV40=1,'計算A'!AG$6,1000000))</f>
        <v/>
      </c>
      <c r="IN40">
        <f>IF($B40=0,1000000,IF(INDEX('計算A'!$D$60:$DS$104,$B40,31)*DW40=1,'計算A'!AH$6,1000000))</f>
        <v/>
      </c>
      <c r="IO40">
        <f>IF($B40=0,1000000,IF(INDEX('計算A'!$D$60:$DS$104,$B40,32)*DX40=1,'計算A'!AI$6,1000000))</f>
        <v/>
      </c>
      <c r="IP40">
        <f>IF($B40=0,1000000,IF(INDEX('計算A'!$D$60:$DS$104,$B40,33)*DY40=1,'計算A'!AJ$6,1000000))</f>
        <v/>
      </c>
      <c r="IQ40">
        <f>IF($B40=0,1000000,IF(INDEX('計算A'!$D$60:$DS$104,$B40,34)*DZ40=1,'計算A'!AK$6,1000000))</f>
        <v/>
      </c>
      <c r="IR40">
        <f>IF($B40=0,1000000,IF(INDEX('計算A'!$D$60:$DS$104,$B40,35)*EA40=1,'計算A'!AL$6,1000000))</f>
        <v/>
      </c>
      <c r="IS40">
        <f>IF($B40=0,1000000,IF(INDEX('計算A'!$D$60:$DS$104,$B40,36)*EB40=1,'計算A'!AM$6,1000000))</f>
        <v/>
      </c>
      <c r="IT40">
        <f>IF($B40=0,1000000,IF(INDEX('計算A'!$D$60:$DS$104,$B40,37)*EC40=1,'計算A'!AN$6,1000000))</f>
        <v/>
      </c>
      <c r="IU40">
        <f>IF($B40=0,1000000,IF(INDEX('計算A'!$D$60:$DS$104,$B40,38)*ED40=1,'計算A'!AO$6,1000000))</f>
        <v/>
      </c>
      <c r="IV40">
        <f>IF($B40=0,1000000,IF(INDEX('計算A'!$D$60:$DS$104,$B40,39)*EE40=1,'計算A'!AP$6,1000000))</f>
        <v/>
      </c>
      <c r="IW40">
        <f>IF($B40=0,1000000,IF(INDEX('計算A'!$D$60:$DS$104,$B40,40)*EF40=1,'計算A'!AQ$6,1000000))</f>
        <v/>
      </c>
      <c r="IX40">
        <f>IF($B40=0,1000000,IF(INDEX('計算A'!$D$60:$DS$104,$B40,41)*EG40=1,'計算A'!AR$6,1000000))</f>
        <v/>
      </c>
      <c r="IY40">
        <f>IF($B40=0,1000000,IF(INDEX('計算A'!$D$60:$DS$104,$B40,42)*EH40=1,'計算A'!AS$6,1000000))</f>
        <v/>
      </c>
      <c r="IZ40">
        <f>IF($B40=0,1000000,IF(INDEX('計算A'!$D$60:$DS$104,$B40,43)*EI40=1,'計算A'!AT$6,1000000))</f>
        <v/>
      </c>
      <c r="JA40">
        <f>IF($B40=0,1000000,IF(INDEX('計算A'!$D$60:$DS$104,$B40,44)*EJ40=1,'計算A'!AU$6,1000000))</f>
        <v/>
      </c>
      <c r="JB40">
        <f>IF($B40=0,1000000,IF(INDEX('計算A'!$D$60:$DS$104,$B40,45)*EK40=1,'計算A'!AV$6,1000000))</f>
        <v/>
      </c>
      <c r="JC40">
        <f>IF($B40=0,1000000,IF(INDEX('計算A'!$D$60:$DS$104,$B40,46)*EL40=1,'計算A'!AW$6,1000000))</f>
        <v/>
      </c>
      <c r="JD40">
        <f>IF($B40=0,1000000,IF(INDEX('計算A'!$D$60:$DS$104,$B40,47)*EM40=1,'計算A'!AX$6,1000000))</f>
        <v/>
      </c>
      <c r="JE40">
        <f>IF($B40=0,1000000,IF(INDEX('計算A'!$D$60:$DS$104,$B40,48)*EN40=1,'計算A'!AY$6,1000000))</f>
        <v/>
      </c>
      <c r="JF40">
        <f>IF($B40=0,1000000,IF(INDEX('計算A'!$D$60:$DS$104,$B40,49)*EO40=1,'計算A'!AZ$6,1000000))</f>
        <v/>
      </c>
      <c r="JG40">
        <f>IF($B40=0,1000000,IF(INDEX('計算A'!$D$60:$DS$104,$B40,50)*EP40=1,'計算A'!BA$6,1000000))</f>
        <v/>
      </c>
      <c r="JH40">
        <f>IF($B40=0,1000000,IF(INDEX('計算A'!$D$60:$DS$104,$B40,51)*EQ40=1,'計算A'!BB$6,1000000))</f>
        <v/>
      </c>
      <c r="JI40">
        <f>IF($B40=0,1000000,IF(INDEX('計算A'!$D$60:$DS$104,$B40,52)*ER40=1,'計算A'!BC$6,1000000))</f>
        <v/>
      </c>
      <c r="JJ40">
        <f>IF($B40=0,1000000,IF(INDEX('計算A'!$D$60:$DS$104,$B40,53)*ES40=1,'計算A'!BD$6,1000000))</f>
        <v/>
      </c>
      <c r="JK40">
        <f>IF($B40=0,1000000,IF(INDEX('計算A'!$D$60:$DS$104,$B40,54)*ET40=1,'計算A'!BE$6,1000000))</f>
        <v/>
      </c>
      <c r="JL40">
        <f>IF($B40=0,1000000,IF(INDEX('計算A'!$D$60:$DS$104,$B40,55)*EU40=1,'計算A'!BF$6,1000000))</f>
        <v/>
      </c>
      <c r="JM40">
        <f>IF($B40=0,1000000,IF(INDEX('計算A'!$D$60:$DS$104,$B40,56)*EV40=1,'計算A'!BG$6,1000000))</f>
        <v/>
      </c>
      <c r="JN40">
        <f>IF($B40=0,1000000,IF(INDEX('計算A'!$D$60:$DS$104,$B40,57)*EW40=1,'計算A'!BH$6,1000000))</f>
        <v/>
      </c>
      <c r="JO40">
        <f>IF($B40=0,1000000,IF(INDEX('計算A'!$D$60:$DS$104,$B40,58)*EX40=1,'計算A'!BI$6,1000000))</f>
        <v/>
      </c>
      <c r="JP40">
        <f>IF($B40=0,1000000,IF(INDEX('計算A'!$D$60:$DS$104,$B40,59)*EY40=1,'計算A'!BJ$6,1000000))</f>
        <v/>
      </c>
      <c r="JQ40">
        <f>IF($B40=0,1000000,IF(INDEX('計算A'!$D$60:$DS$104,$B40,60)*EZ40=1,'計算A'!BK$6,1000000))</f>
        <v/>
      </c>
      <c r="JR40">
        <f>IF($B40=0,1000000,IF(INDEX('計算A'!$D$60:$DS$104,$B40,61)*FA40=1,'計算A'!BL$6,1000000))</f>
        <v/>
      </c>
      <c r="JS40">
        <f>IF($B40=0,1000000,IF(INDEX('計算A'!$D$60:$DS$104,$B40,62)*FB40=1,'計算A'!BM$6,1000000))</f>
        <v/>
      </c>
      <c r="JT40">
        <f>IF($B40=0,1000000,IF(INDEX('計算A'!$D$60:$DS$104,$B40,63)*FC40=1,'計算A'!BN$6,1000000))</f>
        <v/>
      </c>
      <c r="JU40">
        <f>IF($B40=0,1000000,IF(INDEX('計算A'!$D$60:$DS$104,$B40,64)*FD40=1,'計算A'!BO$6,1000000))</f>
        <v/>
      </c>
      <c r="JV40">
        <f>IF($B40=0,1000000,IF(INDEX('計算A'!$D$60:$DS$104,$B40,65)*FE40=1,'計算A'!BP$6,1000000))</f>
        <v/>
      </c>
      <c r="JW40">
        <f>IF($B40=0,1000000,IF(INDEX('計算A'!$D$60:$DS$104,$B40,66)*FF40=1,'計算A'!BQ$6,1000000))</f>
        <v/>
      </c>
      <c r="JX40">
        <f>IF($B40=0,1000000,IF(INDEX('計算A'!$D$60:$DS$104,$B40,67)*FG40=1,'計算A'!BR$6,1000000))</f>
        <v/>
      </c>
      <c r="JY40">
        <f>IF($B40=0,1000000,IF(INDEX('計算A'!$D$60:$DS$104,$B40,68)*FH40=1,'計算A'!BS$6,1000000))</f>
        <v/>
      </c>
      <c r="JZ40">
        <f>IF($B40=0,1000000,IF(INDEX('計算A'!$D$60:$DS$104,$B40,69)*FI40=1,'計算A'!BT$6,1000000))</f>
        <v/>
      </c>
      <c r="KA40">
        <f>IF($B40=0,1000000,IF(INDEX('計算A'!$D$60:$DS$104,$B40,70)*FJ40=1,'計算A'!BU$6,1000000))</f>
        <v/>
      </c>
      <c r="KB40">
        <f>IF($B40=0,1000000,IF(INDEX('計算A'!$D$60:$DS$104,$B40,71)*FK40=1,'計算A'!BV$6,1000000))</f>
        <v/>
      </c>
      <c r="KC40">
        <f>IF($B40=0,1000000,IF(INDEX('計算A'!$D$60:$DS$104,$B40,72)*FL40=1,'計算A'!BW$6,1000000))</f>
        <v/>
      </c>
      <c r="KD40">
        <f>IF($B40=0,1000000,IF(INDEX('計算A'!$D$60:$DS$104,$B40,73)*FM40=1,'計算A'!BX$6,1000000))</f>
        <v/>
      </c>
      <c r="KE40">
        <f>IF($B40=0,1000000,IF(INDEX('計算A'!$D$60:$DS$104,$B40,74)*FN40=1,'計算A'!BY$6,1000000))</f>
        <v/>
      </c>
      <c r="KF40">
        <f>IF($B40=0,1000000,IF(INDEX('計算A'!$D$60:$DS$104,$B40,75)*FO40=1,'計算A'!BZ$6,1000000))</f>
        <v/>
      </c>
      <c r="KG40">
        <f>IF($B40=0,1000000,IF(INDEX('計算A'!$D$60:$DS$104,$B40,76)*FP40=1,'計算A'!CA$6,1000000))</f>
        <v/>
      </c>
      <c r="KH40">
        <f>IF($B40=0,1000000,IF(INDEX('計算A'!$D$60:$DS$104,$B40,77)*FQ40=1,'計算A'!CB$6,1000000))</f>
        <v/>
      </c>
      <c r="KI40">
        <f>IF($B40=0,1000000,IF(INDEX('計算A'!$D$60:$DS$104,$B40,78)*FR40=1,'計算A'!CC$6,1000000))</f>
        <v/>
      </c>
      <c r="KJ40">
        <f>IF($B40=0,1000000,IF(INDEX('計算A'!$D$60:$DS$104,$B40,79)*FS40=1,'計算A'!CD$6,1000000))</f>
        <v/>
      </c>
      <c r="KK40">
        <f>IF($B40=0,1000000,IF(INDEX('計算A'!$D$60:$DS$104,$B40,80)*FT40=1,'計算A'!CE$6,1000000))</f>
        <v/>
      </c>
      <c r="KL40">
        <f>IF($B40=0,1000000,IF(INDEX('計算A'!$D$60:$DS$104,$B40,81)*FU40=1,'計算A'!CF$6,1000000))</f>
        <v/>
      </c>
      <c r="KM40">
        <f>IF($B40=0,1000000,IF(INDEX('計算A'!$D$60:$DS$104,$B40,82)*FV40=1,'計算A'!CG$6,1000000))</f>
        <v/>
      </c>
      <c r="KN40">
        <f>IF($B40=0,1000000,IF(INDEX('計算A'!$D$60:$DS$104,$B40,83)*FW40=1,'計算A'!CH$6,1000000))</f>
        <v/>
      </c>
      <c r="KO40">
        <f>IF($B40=0,1000000,IF(INDEX('計算A'!$D$60:$DS$104,$B40,84)*FX40=1,'計算A'!CI$6,1000000))</f>
        <v/>
      </c>
      <c r="KP40">
        <f>IF($B40=0,1000000,IF(INDEX('計算A'!$D$60:$DS$104,$B40,85)*FY40=1,'計算A'!CJ$6,1000000))</f>
        <v/>
      </c>
      <c r="KQ40">
        <f>IF($B40=0,1000000,IF(INDEX('計算A'!$D$60:$DS$104,$B40,86)*FZ40=1,'計算A'!CK$6,1000000))</f>
        <v/>
      </c>
      <c r="KR40">
        <f>IF($B40=0,1000000,IF(INDEX('計算A'!$D$60:$DS$104,$B40,87)*GA40=1,'計算A'!CL$6,1000000))</f>
        <v/>
      </c>
      <c r="KS40">
        <f>IF($B40=0,1000000,IF(INDEX('計算A'!$D$60:$DS$104,$B40,88)*GB40=1,'計算A'!CM$6,1000000))</f>
        <v/>
      </c>
      <c r="KT40">
        <f>IF($B40=0,1000000,IF(INDEX('計算A'!$D$60:$DS$104,$B40,89)*GC40=1,'計算A'!CN$6,1000000))</f>
        <v/>
      </c>
      <c r="KU40">
        <f>IF($B40=0,1000000,IF(INDEX('計算A'!$D$60:$DS$104,$B40,90)*GD40=1,'計算A'!CO$6,1000000))</f>
        <v/>
      </c>
      <c r="KV40">
        <f>IF($B40=0,1000000,IF(INDEX('計算A'!$D$60:$DS$104,$B40,91)*GE40=1,'計算A'!CP$6,1000000))</f>
        <v/>
      </c>
      <c r="KW40">
        <f>IF($B40=0,1000000,IF(INDEX('計算A'!$D$60:$DS$104,$B40,92)*GF40=1,'計算A'!CQ$6,1000000))</f>
        <v/>
      </c>
      <c r="KX40">
        <f>IF($B40=0,1000000,IF(INDEX('計算A'!$D$60:$DS$104,$B40,93)*GG40=1,'計算A'!CR$6,1000000))</f>
        <v/>
      </c>
      <c r="KY40">
        <f>IF($B40=0,1000000,IF(INDEX('計算A'!$D$60:$DS$104,$B40,94)*GH40=1,'計算A'!CS$6,1000000))</f>
        <v/>
      </c>
      <c r="KZ40">
        <f>IF($B40=0,1000000,IF(INDEX('計算A'!$D$60:$DS$104,$B40,95)*GI40=1,'計算A'!CT$6,1000000))</f>
        <v/>
      </c>
      <c r="LA40">
        <f>IF($B40=0,1000000,IF(INDEX('計算A'!$D$60:$DS$104,$B40,96)*GJ40=1,'計算A'!CU$6,1000000))</f>
        <v/>
      </c>
      <c r="LB40">
        <f>IF($B40=0,1000000,IF(INDEX('計算A'!$D$60:$DS$104,$B40,97)*GK40=1,'計算A'!CV$6,1000000))</f>
        <v/>
      </c>
      <c r="LC40">
        <f>IF($B40=0,1000000,IF(INDEX('計算A'!$D$60:$DS$104,$B40,98)*GL40=1,'計算A'!CW$6,1000000))</f>
        <v/>
      </c>
      <c r="LD40">
        <f>IF($B40=0,1000000,IF(INDEX('計算A'!$D$60:$DS$104,$B40,99)*GM40=1,'計算A'!CX$6,1000000))</f>
        <v/>
      </c>
      <c r="LE40">
        <f>IF($B40=0,1000000,IF(INDEX('計算A'!$D$60:$DS$104,$B40,100)*GN40=1,'計算A'!CY$6,1000000))</f>
        <v/>
      </c>
      <c r="LF40">
        <f>IF($B40=0,1000000,IF(INDEX('計算A'!$D$60:$DS$104,$B40,101)*GO40=1,'計算A'!CZ$6,1000000))</f>
        <v/>
      </c>
      <c r="LG40">
        <f>IF($B40=0,1000000,IF(INDEX('計算A'!$D$60:$DS$104,$B40,102)*GP40=1,'計算A'!DA$6,1000000))</f>
        <v/>
      </c>
      <c r="LH40">
        <f>IF($B40=0,1000000,IF(INDEX('計算A'!$D$60:$DS$104,$B40,103)*GQ40=1,'計算A'!DB$6,1000000))</f>
        <v/>
      </c>
      <c r="LI40">
        <f>IF($B40=0,1000000,IF(INDEX('計算A'!$D$60:$DS$104,$B40,104)*GR40=1,'計算A'!DC$6,1000000))</f>
        <v/>
      </c>
      <c r="LJ40">
        <f>IF($B40=0,1000000,IF(INDEX('計算A'!$D$60:$DS$104,$B40,105)*GS40=1,'計算A'!DD$6,1000000))</f>
        <v/>
      </c>
      <c r="LK40">
        <f>IF($B40=0,1000000,IF(INDEX('計算A'!$D$60:$DS$104,$B40,106)*GT40=1,'計算A'!DE$6,1000000))</f>
        <v/>
      </c>
      <c r="LL40">
        <f>IF($B40=0,1000000,IF(INDEX('計算A'!$D$60:$DS$104,$B40,107)*GU40=1,'計算A'!DF$6,1000000))</f>
        <v/>
      </c>
      <c r="LM40">
        <f>IF($B40=0,1000000,IF(INDEX('計算A'!$D$60:$DS$104,$B40,108)*GV40=1,'計算A'!DG$6,1000000))</f>
        <v/>
      </c>
      <c r="LN40">
        <f>IF($B40=0,1000000,IF(INDEX('計算A'!$D$60:$DS$104,$B40,109)*GW40=1,'計算A'!DH$6,1000000))</f>
        <v/>
      </c>
      <c r="LO40">
        <f>IF($B40=0,1000000,IF(INDEX('計算A'!$D$60:$DS$104,$B40,110)*GX40=1,'計算A'!DI$6,1000000))</f>
        <v/>
      </c>
      <c r="LP40">
        <f>IF($B40=0,1000000,IF(INDEX('計算A'!$D$60:$DS$104,$B40,111)*GY40=1,'計算A'!DJ$6,1000000))</f>
        <v/>
      </c>
      <c r="LQ40">
        <f>IF($B40=0,1000000,IF(INDEX('計算A'!$D$60:$DS$104,$B40,112)*GZ40=1,'計算A'!DK$6,1000000))</f>
        <v/>
      </c>
      <c r="LR40">
        <f>IF($B40=0,1000000,IF(INDEX('計算A'!$D$60:$DS$104,$B40,113)*HA40=1,'計算A'!DL$6,1000000))</f>
        <v/>
      </c>
      <c r="LS40">
        <f>IF($B40=0,1000000,IF(INDEX('計算A'!$D$60:$DS$104,$B40,114)*HB40=1,'計算A'!DM$6,1000000))</f>
        <v/>
      </c>
      <c r="LT40">
        <f>IF($B40=0,1000000,IF(INDEX('計算A'!$D$60:$DS$104,$B40,115)*HC40=1,'計算A'!DN$6,1000000))</f>
        <v/>
      </c>
      <c r="LU40">
        <f>IF($B40=0,1000000,IF(INDEX('計算A'!$D$60:$DS$104,$B40,116)*HD40=1,'計算A'!DO$6,1000000))</f>
        <v/>
      </c>
      <c r="LV40">
        <f>IF($B40=0,1000000,IF(INDEX('計算A'!$D$60:$DS$104,$B40,117)*HE40=1,'計算A'!DP$6,1000000))</f>
        <v/>
      </c>
      <c r="LW40">
        <f>IF($B40=0,1000000,IF(INDEX('計算A'!$D$60:$DS$104,$B40,118)*HF40=1,'計算A'!DQ$6,1000000))</f>
        <v/>
      </c>
      <c r="LX40">
        <f>IF($B40=0,1000000,IF(INDEX('計算A'!$D$60:$DS$104,$B40,119)*HG40=1,'計算A'!DR$6,1000000))</f>
        <v/>
      </c>
      <c r="LY40">
        <f>IF($B40=0,1000000,IF(INDEX('計算A'!$D$60:$DS$104,$B40,120)*HH40=1,'計算A'!DS$6,1000000))</f>
        <v/>
      </c>
    </row>
    <row r="41">
      <c r="A41" t="n">
        <v>39</v>
      </c>
      <c r="B41">
        <f>IF(MIN(AY41:CQ41)&gt;=1000000,0,MATCH(MIN(AY41:CQ41),AY41:CQ41,0))</f>
        <v/>
      </c>
      <c r="C41">
        <f>IF(MIN(HJ41:LY41)&gt;=1000000,0,MATCH(MIN(HJ41:LY41),HJ41:LY41,0))</f>
        <v/>
      </c>
      <c r="D41">
        <f>IF(C41&gt;0,INDEX('計算A'!$D$5:$DS$5,C41),0)</f>
        <v/>
      </c>
      <c r="E41">
        <f>MAX(E40,IF($B40=1,1,0))</f>
        <v/>
      </c>
      <c r="F41">
        <f>MAX(F40,IF($B40=2,1,0))</f>
        <v/>
      </c>
      <c r="G41">
        <f>MAX(G40,IF($B40=3,1,0))</f>
        <v/>
      </c>
      <c r="H41">
        <f>MAX(H40,IF($B40=4,1,0))</f>
        <v/>
      </c>
      <c r="I41">
        <f>MAX(I40,IF($B40=5,1,0))</f>
        <v/>
      </c>
      <c r="J41">
        <f>MAX(J40,IF($B40=6,1,0))</f>
        <v/>
      </c>
      <c r="K41">
        <f>MAX(K40,IF($B40=7,1,0))</f>
        <v/>
      </c>
      <c r="L41">
        <f>MAX(L40,IF($B40=8,1,0))</f>
        <v/>
      </c>
      <c r="M41">
        <f>MAX(M40,IF($B40=9,1,0))</f>
        <v/>
      </c>
      <c r="N41">
        <f>MAX(N40,IF($B40=10,1,0))</f>
        <v/>
      </c>
      <c r="O41">
        <f>MAX(O40,IF($B40=11,1,0))</f>
        <v/>
      </c>
      <c r="P41">
        <f>MAX(P40,IF($B40=12,1,0))</f>
        <v/>
      </c>
      <c r="Q41">
        <f>MAX(Q40,IF($B40=13,1,0))</f>
        <v/>
      </c>
      <c r="R41">
        <f>MAX(R40,IF($B40=14,1,0))</f>
        <v/>
      </c>
      <c r="S41">
        <f>MAX(S40,IF($B40=15,1,0))</f>
        <v/>
      </c>
      <c r="T41">
        <f>MAX(T40,IF($B40=16,1,0))</f>
        <v/>
      </c>
      <c r="U41">
        <f>MAX(U40,IF($B40=17,1,0))</f>
        <v/>
      </c>
      <c r="V41">
        <f>MAX(V40,IF($B40=18,1,0))</f>
        <v/>
      </c>
      <c r="W41">
        <f>MAX(W40,IF($B40=19,1,0))</f>
        <v/>
      </c>
      <c r="X41">
        <f>MAX(X40,IF($B40=20,1,0))</f>
        <v/>
      </c>
      <c r="Y41">
        <f>MAX(Y40,IF($B40=21,1,0))</f>
        <v/>
      </c>
      <c r="Z41">
        <f>MAX(Z40,IF($B40=22,1,0))</f>
        <v/>
      </c>
      <c r="AA41">
        <f>MAX(AA40,IF($B40=23,1,0))</f>
        <v/>
      </c>
      <c r="AB41">
        <f>MAX(AB40,IF($B40=24,1,0))</f>
        <v/>
      </c>
      <c r="AC41">
        <f>MAX(AC40,IF($B40=25,1,0))</f>
        <v/>
      </c>
      <c r="AD41">
        <f>MAX(AD40,IF($B40=26,1,0))</f>
        <v/>
      </c>
      <c r="AE41">
        <f>MAX(AE40,IF($B40=27,1,0))</f>
        <v/>
      </c>
      <c r="AF41">
        <f>MAX(AF40,IF($B40=28,1,0))</f>
        <v/>
      </c>
      <c r="AG41">
        <f>MAX(AG40,IF($B40=29,1,0))</f>
        <v/>
      </c>
      <c r="AH41">
        <f>MAX(AH40,IF($B40=30,1,0))</f>
        <v/>
      </c>
      <c r="AI41">
        <f>MAX(AI40,IF($B40=31,1,0))</f>
        <v/>
      </c>
      <c r="AJ41">
        <f>MAX(AJ40,IF($B40=32,1,0))</f>
        <v/>
      </c>
      <c r="AK41">
        <f>MAX(AK40,IF($B40=33,1,0))</f>
        <v/>
      </c>
      <c r="AL41">
        <f>MAX(AL40,IF($B40=34,1,0))</f>
        <v/>
      </c>
      <c r="AM41">
        <f>MAX(AM40,IF($B40=35,1,0))</f>
        <v/>
      </c>
      <c r="AN41">
        <f>MAX(AN40,IF($B40=36,1,0))</f>
        <v/>
      </c>
      <c r="AO41">
        <f>MAX(AO40,IF($B40=37,1,0))</f>
        <v/>
      </c>
      <c r="AP41">
        <f>MAX(AP40,IF($B40=38,1,0))</f>
        <v/>
      </c>
      <c r="AQ41">
        <f>MAX(AQ40,IF($B40=39,1,0))</f>
        <v/>
      </c>
      <c r="AR41">
        <f>MAX(AR40,IF($B40=40,1,0))</f>
        <v/>
      </c>
      <c r="AS41">
        <f>MAX(AS40,IF($B40=41,1,0))</f>
        <v/>
      </c>
      <c r="AT41">
        <f>MAX(AT40,IF($B40=42,1,0))</f>
        <v/>
      </c>
      <c r="AU41">
        <f>MAX(AU40,IF($B40=43,1,0))</f>
        <v/>
      </c>
      <c r="AV41">
        <f>MAX(AV40,IF($B40=44,1,0))</f>
        <v/>
      </c>
      <c r="AW41">
        <f>MAX(AW40,IF($B40=45,1,0))</f>
        <v/>
      </c>
      <c r="AY41">
        <f>IF(E41=1,1000000,SUMPRODUCT('計算A'!$D$60:$DS$60,$CS41:$HH41)*1000+1)</f>
        <v/>
      </c>
      <c r="AZ41">
        <f>IF(F41=1,1000000,SUMPRODUCT('計算A'!$D$61:$DS$61,$CS41:$HH41)*1000+2)</f>
        <v/>
      </c>
      <c r="BA41">
        <f>IF(G41=1,1000000,SUMPRODUCT('計算A'!$D$62:$DS$62,$CS41:$HH41)*1000+3)</f>
        <v/>
      </c>
      <c r="BB41">
        <f>IF(H41=1,1000000,SUMPRODUCT('計算A'!$D$63:$DS$63,$CS41:$HH41)*1000+4)</f>
        <v/>
      </c>
      <c r="BC41">
        <f>IF(I41=1,1000000,SUMPRODUCT('計算A'!$D$64:$DS$64,$CS41:$HH41)*1000+5)</f>
        <v/>
      </c>
      <c r="BD41">
        <f>IF(J41=1,1000000,SUMPRODUCT('計算A'!$D$65:$DS$65,$CS41:$HH41)*1000+6)</f>
        <v/>
      </c>
      <c r="BE41">
        <f>IF(K41=1,1000000,SUMPRODUCT('計算A'!$D$66:$DS$66,$CS41:$HH41)*1000+7)</f>
        <v/>
      </c>
      <c r="BF41">
        <f>IF(L41=1,1000000,SUMPRODUCT('計算A'!$D$67:$DS$67,$CS41:$HH41)*1000+8)</f>
        <v/>
      </c>
      <c r="BG41">
        <f>IF(M41=1,1000000,SUMPRODUCT('計算A'!$D$68:$DS$68,$CS41:$HH41)*1000+9)</f>
        <v/>
      </c>
      <c r="BH41">
        <f>IF(N41=1,1000000,SUMPRODUCT('計算A'!$D$69:$DS$69,$CS41:$HH41)*1000+10)</f>
        <v/>
      </c>
      <c r="BI41">
        <f>IF(O41=1,1000000,SUMPRODUCT('計算A'!$D$70:$DS$70,$CS41:$HH41)*1000+11)</f>
        <v/>
      </c>
      <c r="BJ41">
        <f>IF(P41=1,1000000,SUMPRODUCT('計算A'!$D$71:$DS$71,$CS41:$HH41)*1000+12)</f>
        <v/>
      </c>
      <c r="BK41">
        <f>IF(Q41=1,1000000,SUMPRODUCT('計算A'!$D$72:$DS$72,$CS41:$HH41)*1000+13)</f>
        <v/>
      </c>
      <c r="BL41">
        <f>IF(R41=1,1000000,SUMPRODUCT('計算A'!$D$73:$DS$73,$CS41:$HH41)*1000+14)</f>
        <v/>
      </c>
      <c r="BM41">
        <f>IF(S41=1,1000000,SUMPRODUCT('計算A'!$D$74:$DS$74,$CS41:$HH41)*1000+15)</f>
        <v/>
      </c>
      <c r="BN41">
        <f>IF(T41=1,1000000,SUMPRODUCT('計算A'!$D$75:$DS$75,$CS41:$HH41)*1000+16)</f>
        <v/>
      </c>
      <c r="BO41">
        <f>IF(U41=1,1000000,SUMPRODUCT('計算A'!$D$76:$DS$76,$CS41:$HH41)*1000+17)</f>
        <v/>
      </c>
      <c r="BP41">
        <f>IF(V41=1,1000000,SUMPRODUCT('計算A'!$D$77:$DS$77,$CS41:$HH41)*1000+18)</f>
        <v/>
      </c>
      <c r="BQ41">
        <f>IF(W41=1,1000000,SUMPRODUCT('計算A'!$D$78:$DS$78,$CS41:$HH41)*1000+19)</f>
        <v/>
      </c>
      <c r="BR41">
        <f>IF(X41=1,1000000,SUMPRODUCT('計算A'!$D$79:$DS$79,$CS41:$HH41)*1000+20)</f>
        <v/>
      </c>
      <c r="BS41">
        <f>IF(Y41=1,1000000,SUMPRODUCT('計算A'!$D$80:$DS$80,$CS41:$HH41)*1000+21)</f>
        <v/>
      </c>
      <c r="BT41">
        <f>IF(Z41=1,1000000,SUMPRODUCT('計算A'!$D$81:$DS$81,$CS41:$HH41)*1000+22)</f>
        <v/>
      </c>
      <c r="BU41">
        <f>IF(AA41=1,1000000,SUMPRODUCT('計算A'!$D$82:$DS$82,$CS41:$HH41)*1000+23)</f>
        <v/>
      </c>
      <c r="BV41">
        <f>IF(AB41=1,1000000,SUMPRODUCT('計算A'!$D$83:$DS$83,$CS41:$HH41)*1000+24)</f>
        <v/>
      </c>
      <c r="BW41">
        <f>IF(AC41=1,1000000,SUMPRODUCT('計算A'!$D$84:$DS$84,$CS41:$HH41)*1000+25)</f>
        <v/>
      </c>
      <c r="BX41">
        <f>IF(AD41=1,1000000,SUMPRODUCT('計算A'!$D$85:$DS$85,$CS41:$HH41)*1000+26)</f>
        <v/>
      </c>
      <c r="BY41">
        <f>IF(AE41=1,1000000,SUMPRODUCT('計算A'!$D$86:$DS$86,$CS41:$HH41)*1000+27)</f>
        <v/>
      </c>
      <c r="BZ41">
        <f>IF(AF41=1,1000000,SUMPRODUCT('計算A'!$D$87:$DS$87,$CS41:$HH41)*1000+28)</f>
        <v/>
      </c>
      <c r="CA41">
        <f>IF(AG41=1,1000000,SUMPRODUCT('計算A'!$D$88:$DS$88,$CS41:$HH41)*1000+29)</f>
        <v/>
      </c>
      <c r="CB41">
        <f>IF(AH41=1,1000000,SUMPRODUCT('計算A'!$D$89:$DS$89,$CS41:$HH41)*1000+30)</f>
        <v/>
      </c>
      <c r="CC41">
        <f>IF(AI41=1,1000000,SUMPRODUCT('計算A'!$D$90:$DS$90,$CS41:$HH41)*1000+31)</f>
        <v/>
      </c>
      <c r="CD41">
        <f>IF(AJ41=1,1000000,SUMPRODUCT('計算A'!$D$91:$DS$91,$CS41:$HH41)*1000+32)</f>
        <v/>
      </c>
      <c r="CE41">
        <f>IF(AK41=1,1000000,SUMPRODUCT('計算A'!$D$92:$DS$92,$CS41:$HH41)*1000+33)</f>
        <v/>
      </c>
      <c r="CF41">
        <f>IF(AL41=1,1000000,SUMPRODUCT('計算A'!$D$93:$DS$93,$CS41:$HH41)*1000+34)</f>
        <v/>
      </c>
      <c r="CG41">
        <f>IF(AM41=1,1000000,SUMPRODUCT('計算A'!$D$94:$DS$94,$CS41:$HH41)*1000+35)</f>
        <v/>
      </c>
      <c r="CH41">
        <f>IF(AN41=1,1000000,SUMPRODUCT('計算A'!$D$95:$DS$95,$CS41:$HH41)*1000+36)</f>
        <v/>
      </c>
      <c r="CI41">
        <f>IF(AO41=1,1000000,SUMPRODUCT('計算A'!$D$96:$DS$96,$CS41:$HH41)*1000+37)</f>
        <v/>
      </c>
      <c r="CJ41">
        <f>IF(AP41=1,1000000,SUMPRODUCT('計算A'!$D$97:$DS$97,$CS41:$HH41)*1000+38)</f>
        <v/>
      </c>
      <c r="CK41">
        <f>IF(AQ41=1,1000000,SUMPRODUCT('計算A'!$D$98:$DS$98,$CS41:$HH41)*1000+39)</f>
        <v/>
      </c>
      <c r="CL41">
        <f>IF(AR41=1,1000000,SUMPRODUCT('計算A'!$D$99:$DS$99,$CS41:$HH41)*1000+40)</f>
        <v/>
      </c>
      <c r="CM41">
        <f>IF(AS41=1,1000000,SUMPRODUCT('計算A'!$D$100:$DS$100,$CS41:$HH41)*1000+41)</f>
        <v/>
      </c>
      <c r="CN41">
        <f>IF(AT41=1,1000000,SUMPRODUCT('計算A'!$D$101:$DS$101,$CS41:$HH41)*1000+42)</f>
        <v/>
      </c>
      <c r="CO41">
        <f>IF(AU41=1,1000000,SUMPRODUCT('計算A'!$D$102:$DS$102,$CS41:$HH41)*1000+43)</f>
        <v/>
      </c>
      <c r="CP41">
        <f>IF(AV41=1,1000000,SUMPRODUCT('計算A'!$D$103:$DS$103,$CS41:$HH41)*1000+44)</f>
        <v/>
      </c>
      <c r="CQ41">
        <f>IF(AW41=1,1000000,SUMPRODUCT('計算A'!$D$104:$DS$104,$CS41:$HH41)*1000+45)</f>
        <v/>
      </c>
      <c r="CS41">
        <f>CS40*IF($C40=1,0,1)</f>
        <v/>
      </c>
      <c r="CT41">
        <f>CT40*IF($C40=2,0,1)</f>
        <v/>
      </c>
      <c r="CU41">
        <f>CU40*IF($C40=3,0,1)</f>
        <v/>
      </c>
      <c r="CV41">
        <f>CV40*IF($C40=4,0,1)</f>
        <v/>
      </c>
      <c r="CW41">
        <f>CW40*IF($C40=5,0,1)</f>
        <v/>
      </c>
      <c r="CX41">
        <f>CX40*IF($C40=6,0,1)</f>
        <v/>
      </c>
      <c r="CY41">
        <f>CY40*IF($C40=7,0,1)</f>
        <v/>
      </c>
      <c r="CZ41">
        <f>CZ40*IF($C40=8,0,1)</f>
        <v/>
      </c>
      <c r="DA41">
        <f>DA40*IF($C40=9,0,1)</f>
        <v/>
      </c>
      <c r="DB41">
        <f>DB40*IF($C40=10,0,1)</f>
        <v/>
      </c>
      <c r="DC41">
        <f>DC40*IF($C40=11,0,1)</f>
        <v/>
      </c>
      <c r="DD41">
        <f>DD40*IF($C40=12,0,1)</f>
        <v/>
      </c>
      <c r="DE41">
        <f>DE40*IF($C40=13,0,1)</f>
        <v/>
      </c>
      <c r="DF41">
        <f>DF40*IF($C40=14,0,1)</f>
        <v/>
      </c>
      <c r="DG41">
        <f>DG40*IF($C40=15,0,1)</f>
        <v/>
      </c>
      <c r="DH41">
        <f>DH40*IF($C40=16,0,1)</f>
        <v/>
      </c>
      <c r="DI41">
        <f>DI40*IF($C40=17,0,1)</f>
        <v/>
      </c>
      <c r="DJ41">
        <f>DJ40*IF($C40=18,0,1)</f>
        <v/>
      </c>
      <c r="DK41">
        <f>DK40*IF($C40=19,0,1)</f>
        <v/>
      </c>
      <c r="DL41">
        <f>DL40*IF($C40=20,0,1)</f>
        <v/>
      </c>
      <c r="DM41">
        <f>DM40*IF($C40=21,0,1)</f>
        <v/>
      </c>
      <c r="DN41">
        <f>DN40*IF($C40=22,0,1)</f>
        <v/>
      </c>
      <c r="DO41">
        <f>DO40*IF($C40=23,0,1)</f>
        <v/>
      </c>
      <c r="DP41">
        <f>DP40*IF($C40=24,0,1)</f>
        <v/>
      </c>
      <c r="DQ41">
        <f>DQ40*IF($C40=25,0,1)</f>
        <v/>
      </c>
      <c r="DR41">
        <f>DR40*IF($C40=26,0,1)</f>
        <v/>
      </c>
      <c r="DS41">
        <f>DS40*IF($C40=27,0,1)</f>
        <v/>
      </c>
      <c r="DT41">
        <f>DT40*IF($C40=28,0,1)</f>
        <v/>
      </c>
      <c r="DU41">
        <f>DU40*IF($C40=29,0,1)</f>
        <v/>
      </c>
      <c r="DV41">
        <f>DV40*IF($C40=30,0,1)</f>
        <v/>
      </c>
      <c r="DW41">
        <f>DW40*IF($C40=31,0,1)</f>
        <v/>
      </c>
      <c r="DX41">
        <f>DX40*IF($C40=32,0,1)</f>
        <v/>
      </c>
      <c r="DY41">
        <f>DY40*IF($C40=33,0,1)</f>
        <v/>
      </c>
      <c r="DZ41">
        <f>DZ40*IF($C40=34,0,1)</f>
        <v/>
      </c>
      <c r="EA41">
        <f>EA40*IF($C40=35,0,1)</f>
        <v/>
      </c>
      <c r="EB41">
        <f>EB40*IF($C40=36,0,1)</f>
        <v/>
      </c>
      <c r="EC41">
        <f>EC40*IF($C40=37,0,1)</f>
        <v/>
      </c>
      <c r="ED41">
        <f>ED40*IF($C40=38,0,1)</f>
        <v/>
      </c>
      <c r="EE41">
        <f>EE40*IF($C40=39,0,1)</f>
        <v/>
      </c>
      <c r="EF41">
        <f>EF40*IF($C40=40,0,1)</f>
        <v/>
      </c>
      <c r="EG41">
        <f>EG40*IF($C40=41,0,1)</f>
        <v/>
      </c>
      <c r="EH41">
        <f>EH40*IF($C40=42,0,1)</f>
        <v/>
      </c>
      <c r="EI41">
        <f>EI40*IF($C40=43,0,1)</f>
        <v/>
      </c>
      <c r="EJ41">
        <f>EJ40*IF($C40=44,0,1)</f>
        <v/>
      </c>
      <c r="EK41">
        <f>EK40*IF($C40=45,0,1)</f>
        <v/>
      </c>
      <c r="EL41">
        <f>EL40*IF($C40=46,0,1)</f>
        <v/>
      </c>
      <c r="EM41">
        <f>EM40*IF($C40=47,0,1)</f>
        <v/>
      </c>
      <c r="EN41">
        <f>EN40*IF($C40=48,0,1)</f>
        <v/>
      </c>
      <c r="EO41">
        <f>EO40*IF($C40=49,0,1)</f>
        <v/>
      </c>
      <c r="EP41">
        <f>EP40*IF($C40=50,0,1)</f>
        <v/>
      </c>
      <c r="EQ41">
        <f>EQ40*IF($C40=51,0,1)</f>
        <v/>
      </c>
      <c r="ER41">
        <f>ER40*IF($C40=52,0,1)</f>
        <v/>
      </c>
      <c r="ES41">
        <f>ES40*IF($C40=53,0,1)</f>
        <v/>
      </c>
      <c r="ET41">
        <f>ET40*IF($C40=54,0,1)</f>
        <v/>
      </c>
      <c r="EU41">
        <f>EU40*IF($C40=55,0,1)</f>
        <v/>
      </c>
      <c r="EV41">
        <f>EV40*IF($C40=56,0,1)</f>
        <v/>
      </c>
      <c r="EW41">
        <f>EW40*IF($C40=57,0,1)</f>
        <v/>
      </c>
      <c r="EX41">
        <f>EX40*IF($C40=58,0,1)</f>
        <v/>
      </c>
      <c r="EY41">
        <f>EY40*IF($C40=59,0,1)</f>
        <v/>
      </c>
      <c r="EZ41">
        <f>EZ40*IF($C40=60,0,1)</f>
        <v/>
      </c>
      <c r="FA41">
        <f>FA40*IF($C40=61,0,1)</f>
        <v/>
      </c>
      <c r="FB41">
        <f>FB40*IF($C40=62,0,1)</f>
        <v/>
      </c>
      <c r="FC41">
        <f>FC40*IF($C40=63,0,1)</f>
        <v/>
      </c>
      <c r="FD41">
        <f>FD40*IF($C40=64,0,1)</f>
        <v/>
      </c>
      <c r="FE41">
        <f>FE40*IF($C40=65,0,1)</f>
        <v/>
      </c>
      <c r="FF41">
        <f>FF40*IF($C40=66,0,1)</f>
        <v/>
      </c>
      <c r="FG41">
        <f>FG40*IF($C40=67,0,1)</f>
        <v/>
      </c>
      <c r="FH41">
        <f>FH40*IF($C40=68,0,1)</f>
        <v/>
      </c>
      <c r="FI41">
        <f>FI40*IF($C40=69,0,1)</f>
        <v/>
      </c>
      <c r="FJ41">
        <f>FJ40*IF($C40=70,0,1)</f>
        <v/>
      </c>
      <c r="FK41">
        <f>FK40*IF($C40=71,0,1)</f>
        <v/>
      </c>
      <c r="FL41">
        <f>FL40*IF($C40=72,0,1)</f>
        <v/>
      </c>
      <c r="FM41">
        <f>FM40*IF($C40=73,0,1)</f>
        <v/>
      </c>
      <c r="FN41">
        <f>FN40*IF($C40=74,0,1)</f>
        <v/>
      </c>
      <c r="FO41">
        <f>FO40*IF($C40=75,0,1)</f>
        <v/>
      </c>
      <c r="FP41">
        <f>FP40*IF($C40=76,0,1)</f>
        <v/>
      </c>
      <c r="FQ41">
        <f>FQ40*IF($C40=77,0,1)</f>
        <v/>
      </c>
      <c r="FR41">
        <f>FR40*IF($C40=78,0,1)</f>
        <v/>
      </c>
      <c r="FS41">
        <f>FS40*IF($C40=79,0,1)</f>
        <v/>
      </c>
      <c r="FT41">
        <f>FT40*IF($C40=80,0,1)</f>
        <v/>
      </c>
      <c r="FU41">
        <f>FU40*IF($C40=81,0,1)</f>
        <v/>
      </c>
      <c r="FV41">
        <f>FV40*IF($C40=82,0,1)</f>
        <v/>
      </c>
      <c r="FW41">
        <f>FW40*IF($C40=83,0,1)</f>
        <v/>
      </c>
      <c r="FX41">
        <f>FX40*IF($C40=84,0,1)</f>
        <v/>
      </c>
      <c r="FY41">
        <f>FY40*IF($C40=85,0,1)</f>
        <v/>
      </c>
      <c r="FZ41">
        <f>FZ40*IF($C40=86,0,1)</f>
        <v/>
      </c>
      <c r="GA41">
        <f>GA40*IF($C40=87,0,1)</f>
        <v/>
      </c>
      <c r="GB41">
        <f>GB40*IF($C40=88,0,1)</f>
        <v/>
      </c>
      <c r="GC41">
        <f>GC40*IF($C40=89,0,1)</f>
        <v/>
      </c>
      <c r="GD41">
        <f>GD40*IF($C40=90,0,1)</f>
        <v/>
      </c>
      <c r="GE41">
        <f>GE40*IF($C40=91,0,1)</f>
        <v/>
      </c>
      <c r="GF41">
        <f>GF40*IF($C40=92,0,1)</f>
        <v/>
      </c>
      <c r="GG41">
        <f>GG40*IF($C40=93,0,1)</f>
        <v/>
      </c>
      <c r="GH41">
        <f>GH40*IF($C40=94,0,1)</f>
        <v/>
      </c>
      <c r="GI41">
        <f>GI40*IF($C40=95,0,1)</f>
        <v/>
      </c>
      <c r="GJ41">
        <f>GJ40*IF($C40=96,0,1)</f>
        <v/>
      </c>
      <c r="GK41">
        <f>GK40*IF($C40=97,0,1)</f>
        <v/>
      </c>
      <c r="GL41">
        <f>GL40*IF($C40=98,0,1)</f>
        <v/>
      </c>
      <c r="GM41">
        <f>GM40*IF($C40=99,0,1)</f>
        <v/>
      </c>
      <c r="GN41">
        <f>GN40*IF($C40=100,0,1)</f>
        <v/>
      </c>
      <c r="GO41">
        <f>GO40*IF($C40=101,0,1)</f>
        <v/>
      </c>
      <c r="GP41">
        <f>GP40*IF($C40=102,0,1)</f>
        <v/>
      </c>
      <c r="GQ41">
        <f>GQ40*IF($C40=103,0,1)</f>
        <v/>
      </c>
      <c r="GR41">
        <f>GR40*IF($C40=104,0,1)</f>
        <v/>
      </c>
      <c r="GS41">
        <f>GS40*IF($C40=105,0,1)</f>
        <v/>
      </c>
      <c r="GT41">
        <f>GT40*IF($C40=106,0,1)</f>
        <v/>
      </c>
      <c r="GU41">
        <f>GU40*IF($C40=107,0,1)</f>
        <v/>
      </c>
      <c r="GV41">
        <f>GV40*IF($C40=108,0,1)</f>
        <v/>
      </c>
      <c r="GW41">
        <f>GW40*IF($C40=109,0,1)</f>
        <v/>
      </c>
      <c r="GX41">
        <f>GX40*IF($C40=110,0,1)</f>
        <v/>
      </c>
      <c r="GY41">
        <f>GY40*IF($C40=111,0,1)</f>
        <v/>
      </c>
      <c r="GZ41">
        <f>GZ40*IF($C40=112,0,1)</f>
        <v/>
      </c>
      <c r="HA41">
        <f>HA40*IF($C40=113,0,1)</f>
        <v/>
      </c>
      <c r="HB41">
        <f>HB40*IF($C40=114,0,1)</f>
        <v/>
      </c>
      <c r="HC41">
        <f>HC40*IF($C40=115,0,1)</f>
        <v/>
      </c>
      <c r="HD41">
        <f>HD40*IF($C40=116,0,1)</f>
        <v/>
      </c>
      <c r="HE41">
        <f>HE40*IF($C40=117,0,1)</f>
        <v/>
      </c>
      <c r="HF41">
        <f>HF40*IF($C40=118,0,1)</f>
        <v/>
      </c>
      <c r="HG41">
        <f>HG40*IF($C40=119,0,1)</f>
        <v/>
      </c>
      <c r="HH41">
        <f>HH40*IF($C40=120,0,1)</f>
        <v/>
      </c>
      <c r="HJ41">
        <f>IF($B41=0,1000000,IF(INDEX('計算A'!$D$60:$DS$104,$B41,1)*CS41=1,'計算A'!D$6,1000000))</f>
        <v/>
      </c>
      <c r="HK41">
        <f>IF($B41=0,1000000,IF(INDEX('計算A'!$D$60:$DS$104,$B41,2)*CT41=1,'計算A'!E$6,1000000))</f>
        <v/>
      </c>
      <c r="HL41">
        <f>IF($B41=0,1000000,IF(INDEX('計算A'!$D$60:$DS$104,$B41,3)*CU41=1,'計算A'!F$6,1000000))</f>
        <v/>
      </c>
      <c r="HM41">
        <f>IF($B41=0,1000000,IF(INDEX('計算A'!$D$60:$DS$104,$B41,4)*CV41=1,'計算A'!G$6,1000000))</f>
        <v/>
      </c>
      <c r="HN41">
        <f>IF($B41=0,1000000,IF(INDEX('計算A'!$D$60:$DS$104,$B41,5)*CW41=1,'計算A'!H$6,1000000))</f>
        <v/>
      </c>
      <c r="HO41">
        <f>IF($B41=0,1000000,IF(INDEX('計算A'!$D$60:$DS$104,$B41,6)*CX41=1,'計算A'!I$6,1000000))</f>
        <v/>
      </c>
      <c r="HP41">
        <f>IF($B41=0,1000000,IF(INDEX('計算A'!$D$60:$DS$104,$B41,7)*CY41=1,'計算A'!J$6,1000000))</f>
        <v/>
      </c>
      <c r="HQ41">
        <f>IF($B41=0,1000000,IF(INDEX('計算A'!$D$60:$DS$104,$B41,8)*CZ41=1,'計算A'!K$6,1000000))</f>
        <v/>
      </c>
      <c r="HR41">
        <f>IF($B41=0,1000000,IF(INDEX('計算A'!$D$60:$DS$104,$B41,9)*DA41=1,'計算A'!L$6,1000000))</f>
        <v/>
      </c>
      <c r="HS41">
        <f>IF($B41=0,1000000,IF(INDEX('計算A'!$D$60:$DS$104,$B41,10)*DB41=1,'計算A'!M$6,1000000))</f>
        <v/>
      </c>
      <c r="HT41">
        <f>IF($B41=0,1000000,IF(INDEX('計算A'!$D$60:$DS$104,$B41,11)*DC41=1,'計算A'!N$6,1000000))</f>
        <v/>
      </c>
      <c r="HU41">
        <f>IF($B41=0,1000000,IF(INDEX('計算A'!$D$60:$DS$104,$B41,12)*DD41=1,'計算A'!O$6,1000000))</f>
        <v/>
      </c>
      <c r="HV41">
        <f>IF($B41=0,1000000,IF(INDEX('計算A'!$D$60:$DS$104,$B41,13)*DE41=1,'計算A'!P$6,1000000))</f>
        <v/>
      </c>
      <c r="HW41">
        <f>IF($B41=0,1000000,IF(INDEX('計算A'!$D$60:$DS$104,$B41,14)*DF41=1,'計算A'!Q$6,1000000))</f>
        <v/>
      </c>
      <c r="HX41">
        <f>IF($B41=0,1000000,IF(INDEX('計算A'!$D$60:$DS$104,$B41,15)*DG41=1,'計算A'!R$6,1000000))</f>
        <v/>
      </c>
      <c r="HY41">
        <f>IF($B41=0,1000000,IF(INDEX('計算A'!$D$60:$DS$104,$B41,16)*DH41=1,'計算A'!S$6,1000000))</f>
        <v/>
      </c>
      <c r="HZ41">
        <f>IF($B41=0,1000000,IF(INDEX('計算A'!$D$60:$DS$104,$B41,17)*DI41=1,'計算A'!T$6,1000000))</f>
        <v/>
      </c>
      <c r="IA41">
        <f>IF($B41=0,1000000,IF(INDEX('計算A'!$D$60:$DS$104,$B41,18)*DJ41=1,'計算A'!U$6,1000000))</f>
        <v/>
      </c>
      <c r="IB41">
        <f>IF($B41=0,1000000,IF(INDEX('計算A'!$D$60:$DS$104,$B41,19)*DK41=1,'計算A'!V$6,1000000))</f>
        <v/>
      </c>
      <c r="IC41">
        <f>IF($B41=0,1000000,IF(INDEX('計算A'!$D$60:$DS$104,$B41,20)*DL41=1,'計算A'!W$6,1000000))</f>
        <v/>
      </c>
      <c r="ID41">
        <f>IF($B41=0,1000000,IF(INDEX('計算A'!$D$60:$DS$104,$B41,21)*DM41=1,'計算A'!X$6,1000000))</f>
        <v/>
      </c>
      <c r="IE41">
        <f>IF($B41=0,1000000,IF(INDEX('計算A'!$D$60:$DS$104,$B41,22)*DN41=1,'計算A'!Y$6,1000000))</f>
        <v/>
      </c>
      <c r="IF41">
        <f>IF($B41=0,1000000,IF(INDEX('計算A'!$D$60:$DS$104,$B41,23)*DO41=1,'計算A'!Z$6,1000000))</f>
        <v/>
      </c>
      <c r="IG41">
        <f>IF($B41=0,1000000,IF(INDEX('計算A'!$D$60:$DS$104,$B41,24)*DP41=1,'計算A'!AA$6,1000000))</f>
        <v/>
      </c>
      <c r="IH41">
        <f>IF($B41=0,1000000,IF(INDEX('計算A'!$D$60:$DS$104,$B41,25)*DQ41=1,'計算A'!AB$6,1000000))</f>
        <v/>
      </c>
      <c r="II41">
        <f>IF($B41=0,1000000,IF(INDEX('計算A'!$D$60:$DS$104,$B41,26)*DR41=1,'計算A'!AC$6,1000000))</f>
        <v/>
      </c>
      <c r="IJ41">
        <f>IF($B41=0,1000000,IF(INDEX('計算A'!$D$60:$DS$104,$B41,27)*DS41=1,'計算A'!AD$6,1000000))</f>
        <v/>
      </c>
      <c r="IK41">
        <f>IF($B41=0,1000000,IF(INDEX('計算A'!$D$60:$DS$104,$B41,28)*DT41=1,'計算A'!AE$6,1000000))</f>
        <v/>
      </c>
      <c r="IL41">
        <f>IF($B41=0,1000000,IF(INDEX('計算A'!$D$60:$DS$104,$B41,29)*DU41=1,'計算A'!AF$6,1000000))</f>
        <v/>
      </c>
      <c r="IM41">
        <f>IF($B41=0,1000000,IF(INDEX('計算A'!$D$60:$DS$104,$B41,30)*DV41=1,'計算A'!AG$6,1000000))</f>
        <v/>
      </c>
      <c r="IN41">
        <f>IF($B41=0,1000000,IF(INDEX('計算A'!$D$60:$DS$104,$B41,31)*DW41=1,'計算A'!AH$6,1000000))</f>
        <v/>
      </c>
      <c r="IO41">
        <f>IF($B41=0,1000000,IF(INDEX('計算A'!$D$60:$DS$104,$B41,32)*DX41=1,'計算A'!AI$6,1000000))</f>
        <v/>
      </c>
      <c r="IP41">
        <f>IF($B41=0,1000000,IF(INDEX('計算A'!$D$60:$DS$104,$B41,33)*DY41=1,'計算A'!AJ$6,1000000))</f>
        <v/>
      </c>
      <c r="IQ41">
        <f>IF($B41=0,1000000,IF(INDEX('計算A'!$D$60:$DS$104,$B41,34)*DZ41=1,'計算A'!AK$6,1000000))</f>
        <v/>
      </c>
      <c r="IR41">
        <f>IF($B41=0,1000000,IF(INDEX('計算A'!$D$60:$DS$104,$B41,35)*EA41=1,'計算A'!AL$6,1000000))</f>
        <v/>
      </c>
      <c r="IS41">
        <f>IF($B41=0,1000000,IF(INDEX('計算A'!$D$60:$DS$104,$B41,36)*EB41=1,'計算A'!AM$6,1000000))</f>
        <v/>
      </c>
      <c r="IT41">
        <f>IF($B41=0,1000000,IF(INDEX('計算A'!$D$60:$DS$104,$B41,37)*EC41=1,'計算A'!AN$6,1000000))</f>
        <v/>
      </c>
      <c r="IU41">
        <f>IF($B41=0,1000000,IF(INDEX('計算A'!$D$60:$DS$104,$B41,38)*ED41=1,'計算A'!AO$6,1000000))</f>
        <v/>
      </c>
      <c r="IV41">
        <f>IF($B41=0,1000000,IF(INDEX('計算A'!$D$60:$DS$104,$B41,39)*EE41=1,'計算A'!AP$6,1000000))</f>
        <v/>
      </c>
      <c r="IW41">
        <f>IF($B41=0,1000000,IF(INDEX('計算A'!$D$60:$DS$104,$B41,40)*EF41=1,'計算A'!AQ$6,1000000))</f>
        <v/>
      </c>
      <c r="IX41">
        <f>IF($B41=0,1000000,IF(INDEX('計算A'!$D$60:$DS$104,$B41,41)*EG41=1,'計算A'!AR$6,1000000))</f>
        <v/>
      </c>
      <c r="IY41">
        <f>IF($B41=0,1000000,IF(INDEX('計算A'!$D$60:$DS$104,$B41,42)*EH41=1,'計算A'!AS$6,1000000))</f>
        <v/>
      </c>
      <c r="IZ41">
        <f>IF($B41=0,1000000,IF(INDEX('計算A'!$D$60:$DS$104,$B41,43)*EI41=1,'計算A'!AT$6,1000000))</f>
        <v/>
      </c>
      <c r="JA41">
        <f>IF($B41=0,1000000,IF(INDEX('計算A'!$D$60:$DS$104,$B41,44)*EJ41=1,'計算A'!AU$6,1000000))</f>
        <v/>
      </c>
      <c r="JB41">
        <f>IF($B41=0,1000000,IF(INDEX('計算A'!$D$60:$DS$104,$B41,45)*EK41=1,'計算A'!AV$6,1000000))</f>
        <v/>
      </c>
      <c r="JC41">
        <f>IF($B41=0,1000000,IF(INDEX('計算A'!$D$60:$DS$104,$B41,46)*EL41=1,'計算A'!AW$6,1000000))</f>
        <v/>
      </c>
      <c r="JD41">
        <f>IF($B41=0,1000000,IF(INDEX('計算A'!$D$60:$DS$104,$B41,47)*EM41=1,'計算A'!AX$6,1000000))</f>
        <v/>
      </c>
      <c r="JE41">
        <f>IF($B41=0,1000000,IF(INDEX('計算A'!$D$60:$DS$104,$B41,48)*EN41=1,'計算A'!AY$6,1000000))</f>
        <v/>
      </c>
      <c r="JF41">
        <f>IF($B41=0,1000000,IF(INDEX('計算A'!$D$60:$DS$104,$B41,49)*EO41=1,'計算A'!AZ$6,1000000))</f>
        <v/>
      </c>
      <c r="JG41">
        <f>IF($B41=0,1000000,IF(INDEX('計算A'!$D$60:$DS$104,$B41,50)*EP41=1,'計算A'!BA$6,1000000))</f>
        <v/>
      </c>
      <c r="JH41">
        <f>IF($B41=0,1000000,IF(INDEX('計算A'!$D$60:$DS$104,$B41,51)*EQ41=1,'計算A'!BB$6,1000000))</f>
        <v/>
      </c>
      <c r="JI41">
        <f>IF($B41=0,1000000,IF(INDEX('計算A'!$D$60:$DS$104,$B41,52)*ER41=1,'計算A'!BC$6,1000000))</f>
        <v/>
      </c>
      <c r="JJ41">
        <f>IF($B41=0,1000000,IF(INDEX('計算A'!$D$60:$DS$104,$B41,53)*ES41=1,'計算A'!BD$6,1000000))</f>
        <v/>
      </c>
      <c r="JK41">
        <f>IF($B41=0,1000000,IF(INDEX('計算A'!$D$60:$DS$104,$B41,54)*ET41=1,'計算A'!BE$6,1000000))</f>
        <v/>
      </c>
      <c r="JL41">
        <f>IF($B41=0,1000000,IF(INDEX('計算A'!$D$60:$DS$104,$B41,55)*EU41=1,'計算A'!BF$6,1000000))</f>
        <v/>
      </c>
      <c r="JM41">
        <f>IF($B41=0,1000000,IF(INDEX('計算A'!$D$60:$DS$104,$B41,56)*EV41=1,'計算A'!BG$6,1000000))</f>
        <v/>
      </c>
      <c r="JN41">
        <f>IF($B41=0,1000000,IF(INDEX('計算A'!$D$60:$DS$104,$B41,57)*EW41=1,'計算A'!BH$6,1000000))</f>
        <v/>
      </c>
      <c r="JO41">
        <f>IF($B41=0,1000000,IF(INDEX('計算A'!$D$60:$DS$104,$B41,58)*EX41=1,'計算A'!BI$6,1000000))</f>
        <v/>
      </c>
      <c r="JP41">
        <f>IF($B41=0,1000000,IF(INDEX('計算A'!$D$60:$DS$104,$B41,59)*EY41=1,'計算A'!BJ$6,1000000))</f>
        <v/>
      </c>
      <c r="JQ41">
        <f>IF($B41=0,1000000,IF(INDEX('計算A'!$D$60:$DS$104,$B41,60)*EZ41=1,'計算A'!BK$6,1000000))</f>
        <v/>
      </c>
      <c r="JR41">
        <f>IF($B41=0,1000000,IF(INDEX('計算A'!$D$60:$DS$104,$B41,61)*FA41=1,'計算A'!BL$6,1000000))</f>
        <v/>
      </c>
      <c r="JS41">
        <f>IF($B41=0,1000000,IF(INDEX('計算A'!$D$60:$DS$104,$B41,62)*FB41=1,'計算A'!BM$6,1000000))</f>
        <v/>
      </c>
      <c r="JT41">
        <f>IF($B41=0,1000000,IF(INDEX('計算A'!$D$60:$DS$104,$B41,63)*FC41=1,'計算A'!BN$6,1000000))</f>
        <v/>
      </c>
      <c r="JU41">
        <f>IF($B41=0,1000000,IF(INDEX('計算A'!$D$60:$DS$104,$B41,64)*FD41=1,'計算A'!BO$6,1000000))</f>
        <v/>
      </c>
      <c r="JV41">
        <f>IF($B41=0,1000000,IF(INDEX('計算A'!$D$60:$DS$104,$B41,65)*FE41=1,'計算A'!BP$6,1000000))</f>
        <v/>
      </c>
      <c r="JW41">
        <f>IF($B41=0,1000000,IF(INDEX('計算A'!$D$60:$DS$104,$B41,66)*FF41=1,'計算A'!BQ$6,1000000))</f>
        <v/>
      </c>
      <c r="JX41">
        <f>IF($B41=0,1000000,IF(INDEX('計算A'!$D$60:$DS$104,$B41,67)*FG41=1,'計算A'!BR$6,1000000))</f>
        <v/>
      </c>
      <c r="JY41">
        <f>IF($B41=0,1000000,IF(INDEX('計算A'!$D$60:$DS$104,$B41,68)*FH41=1,'計算A'!BS$6,1000000))</f>
        <v/>
      </c>
      <c r="JZ41">
        <f>IF($B41=0,1000000,IF(INDEX('計算A'!$D$60:$DS$104,$B41,69)*FI41=1,'計算A'!BT$6,1000000))</f>
        <v/>
      </c>
      <c r="KA41">
        <f>IF($B41=0,1000000,IF(INDEX('計算A'!$D$60:$DS$104,$B41,70)*FJ41=1,'計算A'!BU$6,1000000))</f>
        <v/>
      </c>
      <c r="KB41">
        <f>IF($B41=0,1000000,IF(INDEX('計算A'!$D$60:$DS$104,$B41,71)*FK41=1,'計算A'!BV$6,1000000))</f>
        <v/>
      </c>
      <c r="KC41">
        <f>IF($B41=0,1000000,IF(INDEX('計算A'!$D$60:$DS$104,$B41,72)*FL41=1,'計算A'!BW$6,1000000))</f>
        <v/>
      </c>
      <c r="KD41">
        <f>IF($B41=0,1000000,IF(INDEX('計算A'!$D$60:$DS$104,$B41,73)*FM41=1,'計算A'!BX$6,1000000))</f>
        <v/>
      </c>
      <c r="KE41">
        <f>IF($B41=0,1000000,IF(INDEX('計算A'!$D$60:$DS$104,$B41,74)*FN41=1,'計算A'!BY$6,1000000))</f>
        <v/>
      </c>
      <c r="KF41">
        <f>IF($B41=0,1000000,IF(INDEX('計算A'!$D$60:$DS$104,$B41,75)*FO41=1,'計算A'!BZ$6,1000000))</f>
        <v/>
      </c>
      <c r="KG41">
        <f>IF($B41=0,1000000,IF(INDEX('計算A'!$D$60:$DS$104,$B41,76)*FP41=1,'計算A'!CA$6,1000000))</f>
        <v/>
      </c>
      <c r="KH41">
        <f>IF($B41=0,1000000,IF(INDEX('計算A'!$D$60:$DS$104,$B41,77)*FQ41=1,'計算A'!CB$6,1000000))</f>
        <v/>
      </c>
      <c r="KI41">
        <f>IF($B41=0,1000000,IF(INDEX('計算A'!$D$60:$DS$104,$B41,78)*FR41=1,'計算A'!CC$6,1000000))</f>
        <v/>
      </c>
      <c r="KJ41">
        <f>IF($B41=0,1000000,IF(INDEX('計算A'!$D$60:$DS$104,$B41,79)*FS41=1,'計算A'!CD$6,1000000))</f>
        <v/>
      </c>
      <c r="KK41">
        <f>IF($B41=0,1000000,IF(INDEX('計算A'!$D$60:$DS$104,$B41,80)*FT41=1,'計算A'!CE$6,1000000))</f>
        <v/>
      </c>
      <c r="KL41">
        <f>IF($B41=0,1000000,IF(INDEX('計算A'!$D$60:$DS$104,$B41,81)*FU41=1,'計算A'!CF$6,1000000))</f>
        <v/>
      </c>
      <c r="KM41">
        <f>IF($B41=0,1000000,IF(INDEX('計算A'!$D$60:$DS$104,$B41,82)*FV41=1,'計算A'!CG$6,1000000))</f>
        <v/>
      </c>
      <c r="KN41">
        <f>IF($B41=0,1000000,IF(INDEX('計算A'!$D$60:$DS$104,$B41,83)*FW41=1,'計算A'!CH$6,1000000))</f>
        <v/>
      </c>
      <c r="KO41">
        <f>IF($B41=0,1000000,IF(INDEX('計算A'!$D$60:$DS$104,$B41,84)*FX41=1,'計算A'!CI$6,1000000))</f>
        <v/>
      </c>
      <c r="KP41">
        <f>IF($B41=0,1000000,IF(INDEX('計算A'!$D$60:$DS$104,$B41,85)*FY41=1,'計算A'!CJ$6,1000000))</f>
        <v/>
      </c>
      <c r="KQ41">
        <f>IF($B41=0,1000000,IF(INDEX('計算A'!$D$60:$DS$104,$B41,86)*FZ41=1,'計算A'!CK$6,1000000))</f>
        <v/>
      </c>
      <c r="KR41">
        <f>IF($B41=0,1000000,IF(INDEX('計算A'!$D$60:$DS$104,$B41,87)*GA41=1,'計算A'!CL$6,1000000))</f>
        <v/>
      </c>
      <c r="KS41">
        <f>IF($B41=0,1000000,IF(INDEX('計算A'!$D$60:$DS$104,$B41,88)*GB41=1,'計算A'!CM$6,1000000))</f>
        <v/>
      </c>
      <c r="KT41">
        <f>IF($B41=0,1000000,IF(INDEX('計算A'!$D$60:$DS$104,$B41,89)*GC41=1,'計算A'!CN$6,1000000))</f>
        <v/>
      </c>
      <c r="KU41">
        <f>IF($B41=0,1000000,IF(INDEX('計算A'!$D$60:$DS$104,$B41,90)*GD41=1,'計算A'!CO$6,1000000))</f>
        <v/>
      </c>
      <c r="KV41">
        <f>IF($B41=0,1000000,IF(INDEX('計算A'!$D$60:$DS$104,$B41,91)*GE41=1,'計算A'!CP$6,1000000))</f>
        <v/>
      </c>
      <c r="KW41">
        <f>IF($B41=0,1000000,IF(INDEX('計算A'!$D$60:$DS$104,$B41,92)*GF41=1,'計算A'!CQ$6,1000000))</f>
        <v/>
      </c>
      <c r="KX41">
        <f>IF($B41=0,1000000,IF(INDEX('計算A'!$D$60:$DS$104,$B41,93)*GG41=1,'計算A'!CR$6,1000000))</f>
        <v/>
      </c>
      <c r="KY41">
        <f>IF($B41=0,1000000,IF(INDEX('計算A'!$D$60:$DS$104,$B41,94)*GH41=1,'計算A'!CS$6,1000000))</f>
        <v/>
      </c>
      <c r="KZ41">
        <f>IF($B41=0,1000000,IF(INDEX('計算A'!$D$60:$DS$104,$B41,95)*GI41=1,'計算A'!CT$6,1000000))</f>
        <v/>
      </c>
      <c r="LA41">
        <f>IF($B41=0,1000000,IF(INDEX('計算A'!$D$60:$DS$104,$B41,96)*GJ41=1,'計算A'!CU$6,1000000))</f>
        <v/>
      </c>
      <c r="LB41">
        <f>IF($B41=0,1000000,IF(INDEX('計算A'!$D$60:$DS$104,$B41,97)*GK41=1,'計算A'!CV$6,1000000))</f>
        <v/>
      </c>
      <c r="LC41">
        <f>IF($B41=0,1000000,IF(INDEX('計算A'!$D$60:$DS$104,$B41,98)*GL41=1,'計算A'!CW$6,1000000))</f>
        <v/>
      </c>
      <c r="LD41">
        <f>IF($B41=0,1000000,IF(INDEX('計算A'!$D$60:$DS$104,$B41,99)*GM41=1,'計算A'!CX$6,1000000))</f>
        <v/>
      </c>
      <c r="LE41">
        <f>IF($B41=0,1000000,IF(INDEX('計算A'!$D$60:$DS$104,$B41,100)*GN41=1,'計算A'!CY$6,1000000))</f>
        <v/>
      </c>
      <c r="LF41">
        <f>IF($B41=0,1000000,IF(INDEX('計算A'!$D$60:$DS$104,$B41,101)*GO41=1,'計算A'!CZ$6,1000000))</f>
        <v/>
      </c>
      <c r="LG41">
        <f>IF($B41=0,1000000,IF(INDEX('計算A'!$D$60:$DS$104,$B41,102)*GP41=1,'計算A'!DA$6,1000000))</f>
        <v/>
      </c>
      <c r="LH41">
        <f>IF($B41=0,1000000,IF(INDEX('計算A'!$D$60:$DS$104,$B41,103)*GQ41=1,'計算A'!DB$6,1000000))</f>
        <v/>
      </c>
      <c r="LI41">
        <f>IF($B41=0,1000000,IF(INDEX('計算A'!$D$60:$DS$104,$B41,104)*GR41=1,'計算A'!DC$6,1000000))</f>
        <v/>
      </c>
      <c r="LJ41">
        <f>IF($B41=0,1000000,IF(INDEX('計算A'!$D$60:$DS$104,$B41,105)*GS41=1,'計算A'!DD$6,1000000))</f>
        <v/>
      </c>
      <c r="LK41">
        <f>IF($B41=0,1000000,IF(INDEX('計算A'!$D$60:$DS$104,$B41,106)*GT41=1,'計算A'!DE$6,1000000))</f>
        <v/>
      </c>
      <c r="LL41">
        <f>IF($B41=0,1000000,IF(INDEX('計算A'!$D$60:$DS$104,$B41,107)*GU41=1,'計算A'!DF$6,1000000))</f>
        <v/>
      </c>
      <c r="LM41">
        <f>IF($B41=0,1000000,IF(INDEX('計算A'!$D$60:$DS$104,$B41,108)*GV41=1,'計算A'!DG$6,1000000))</f>
        <v/>
      </c>
      <c r="LN41">
        <f>IF($B41=0,1000000,IF(INDEX('計算A'!$D$60:$DS$104,$B41,109)*GW41=1,'計算A'!DH$6,1000000))</f>
        <v/>
      </c>
      <c r="LO41">
        <f>IF($B41=0,1000000,IF(INDEX('計算A'!$D$60:$DS$104,$B41,110)*GX41=1,'計算A'!DI$6,1000000))</f>
        <v/>
      </c>
      <c r="LP41">
        <f>IF($B41=0,1000000,IF(INDEX('計算A'!$D$60:$DS$104,$B41,111)*GY41=1,'計算A'!DJ$6,1000000))</f>
        <v/>
      </c>
      <c r="LQ41">
        <f>IF($B41=0,1000000,IF(INDEX('計算A'!$D$60:$DS$104,$B41,112)*GZ41=1,'計算A'!DK$6,1000000))</f>
        <v/>
      </c>
      <c r="LR41">
        <f>IF($B41=0,1000000,IF(INDEX('計算A'!$D$60:$DS$104,$B41,113)*HA41=1,'計算A'!DL$6,1000000))</f>
        <v/>
      </c>
      <c r="LS41">
        <f>IF($B41=0,1000000,IF(INDEX('計算A'!$D$60:$DS$104,$B41,114)*HB41=1,'計算A'!DM$6,1000000))</f>
        <v/>
      </c>
      <c r="LT41">
        <f>IF($B41=0,1000000,IF(INDEX('計算A'!$D$60:$DS$104,$B41,115)*HC41=1,'計算A'!DN$6,1000000))</f>
        <v/>
      </c>
      <c r="LU41">
        <f>IF($B41=0,1000000,IF(INDEX('計算A'!$D$60:$DS$104,$B41,116)*HD41=1,'計算A'!DO$6,1000000))</f>
        <v/>
      </c>
      <c r="LV41">
        <f>IF($B41=0,1000000,IF(INDEX('計算A'!$D$60:$DS$104,$B41,117)*HE41=1,'計算A'!DP$6,1000000))</f>
        <v/>
      </c>
      <c r="LW41">
        <f>IF($B41=0,1000000,IF(INDEX('計算A'!$D$60:$DS$104,$B41,118)*HF41=1,'計算A'!DQ$6,1000000))</f>
        <v/>
      </c>
      <c r="LX41">
        <f>IF($B41=0,1000000,IF(INDEX('計算A'!$D$60:$DS$104,$B41,119)*HG41=1,'計算A'!DR$6,1000000))</f>
        <v/>
      </c>
      <c r="LY41">
        <f>IF($B41=0,1000000,IF(INDEX('計算A'!$D$60:$DS$104,$B41,120)*HH41=1,'計算A'!DS$6,1000000))</f>
        <v/>
      </c>
    </row>
    <row r="42">
      <c r="A42" t="n">
        <v>40</v>
      </c>
      <c r="B42">
        <f>IF(MIN(AY42:CQ42)&gt;=1000000,0,MATCH(MIN(AY42:CQ42),AY42:CQ42,0))</f>
        <v/>
      </c>
      <c r="C42">
        <f>IF(MIN(HJ42:LY42)&gt;=1000000,0,MATCH(MIN(HJ42:LY42),HJ42:LY42,0))</f>
        <v/>
      </c>
      <c r="D42">
        <f>IF(C42&gt;0,INDEX('計算A'!$D$5:$DS$5,C42),0)</f>
        <v/>
      </c>
      <c r="E42">
        <f>MAX(E41,IF($B41=1,1,0))</f>
        <v/>
      </c>
      <c r="F42">
        <f>MAX(F41,IF($B41=2,1,0))</f>
        <v/>
      </c>
      <c r="G42">
        <f>MAX(G41,IF($B41=3,1,0))</f>
        <v/>
      </c>
      <c r="H42">
        <f>MAX(H41,IF($B41=4,1,0))</f>
        <v/>
      </c>
      <c r="I42">
        <f>MAX(I41,IF($B41=5,1,0))</f>
        <v/>
      </c>
      <c r="J42">
        <f>MAX(J41,IF($B41=6,1,0))</f>
        <v/>
      </c>
      <c r="K42">
        <f>MAX(K41,IF($B41=7,1,0))</f>
        <v/>
      </c>
      <c r="L42">
        <f>MAX(L41,IF($B41=8,1,0))</f>
        <v/>
      </c>
      <c r="M42">
        <f>MAX(M41,IF($B41=9,1,0))</f>
        <v/>
      </c>
      <c r="N42">
        <f>MAX(N41,IF($B41=10,1,0))</f>
        <v/>
      </c>
      <c r="O42">
        <f>MAX(O41,IF($B41=11,1,0))</f>
        <v/>
      </c>
      <c r="P42">
        <f>MAX(P41,IF($B41=12,1,0))</f>
        <v/>
      </c>
      <c r="Q42">
        <f>MAX(Q41,IF($B41=13,1,0))</f>
        <v/>
      </c>
      <c r="R42">
        <f>MAX(R41,IF($B41=14,1,0))</f>
        <v/>
      </c>
      <c r="S42">
        <f>MAX(S41,IF($B41=15,1,0))</f>
        <v/>
      </c>
      <c r="T42">
        <f>MAX(T41,IF($B41=16,1,0))</f>
        <v/>
      </c>
      <c r="U42">
        <f>MAX(U41,IF($B41=17,1,0))</f>
        <v/>
      </c>
      <c r="V42">
        <f>MAX(V41,IF($B41=18,1,0))</f>
        <v/>
      </c>
      <c r="W42">
        <f>MAX(W41,IF($B41=19,1,0))</f>
        <v/>
      </c>
      <c r="X42">
        <f>MAX(X41,IF($B41=20,1,0))</f>
        <v/>
      </c>
      <c r="Y42">
        <f>MAX(Y41,IF($B41=21,1,0))</f>
        <v/>
      </c>
      <c r="Z42">
        <f>MAX(Z41,IF($B41=22,1,0))</f>
        <v/>
      </c>
      <c r="AA42">
        <f>MAX(AA41,IF($B41=23,1,0))</f>
        <v/>
      </c>
      <c r="AB42">
        <f>MAX(AB41,IF($B41=24,1,0))</f>
        <v/>
      </c>
      <c r="AC42">
        <f>MAX(AC41,IF($B41=25,1,0))</f>
        <v/>
      </c>
      <c r="AD42">
        <f>MAX(AD41,IF($B41=26,1,0))</f>
        <v/>
      </c>
      <c r="AE42">
        <f>MAX(AE41,IF($B41=27,1,0))</f>
        <v/>
      </c>
      <c r="AF42">
        <f>MAX(AF41,IF($B41=28,1,0))</f>
        <v/>
      </c>
      <c r="AG42">
        <f>MAX(AG41,IF($B41=29,1,0))</f>
        <v/>
      </c>
      <c r="AH42">
        <f>MAX(AH41,IF($B41=30,1,0))</f>
        <v/>
      </c>
      <c r="AI42">
        <f>MAX(AI41,IF($B41=31,1,0))</f>
        <v/>
      </c>
      <c r="AJ42">
        <f>MAX(AJ41,IF($B41=32,1,0))</f>
        <v/>
      </c>
      <c r="AK42">
        <f>MAX(AK41,IF($B41=33,1,0))</f>
        <v/>
      </c>
      <c r="AL42">
        <f>MAX(AL41,IF($B41=34,1,0))</f>
        <v/>
      </c>
      <c r="AM42">
        <f>MAX(AM41,IF($B41=35,1,0))</f>
        <v/>
      </c>
      <c r="AN42">
        <f>MAX(AN41,IF($B41=36,1,0))</f>
        <v/>
      </c>
      <c r="AO42">
        <f>MAX(AO41,IF($B41=37,1,0))</f>
        <v/>
      </c>
      <c r="AP42">
        <f>MAX(AP41,IF($B41=38,1,0))</f>
        <v/>
      </c>
      <c r="AQ42">
        <f>MAX(AQ41,IF($B41=39,1,0))</f>
        <v/>
      </c>
      <c r="AR42">
        <f>MAX(AR41,IF($B41=40,1,0))</f>
        <v/>
      </c>
      <c r="AS42">
        <f>MAX(AS41,IF($B41=41,1,0))</f>
        <v/>
      </c>
      <c r="AT42">
        <f>MAX(AT41,IF($B41=42,1,0))</f>
        <v/>
      </c>
      <c r="AU42">
        <f>MAX(AU41,IF($B41=43,1,0))</f>
        <v/>
      </c>
      <c r="AV42">
        <f>MAX(AV41,IF($B41=44,1,0))</f>
        <v/>
      </c>
      <c r="AW42">
        <f>MAX(AW41,IF($B41=45,1,0))</f>
        <v/>
      </c>
      <c r="AY42">
        <f>IF(E42=1,1000000,SUMPRODUCT('計算A'!$D$60:$DS$60,$CS42:$HH42)*1000+1)</f>
        <v/>
      </c>
      <c r="AZ42">
        <f>IF(F42=1,1000000,SUMPRODUCT('計算A'!$D$61:$DS$61,$CS42:$HH42)*1000+2)</f>
        <v/>
      </c>
      <c r="BA42">
        <f>IF(G42=1,1000000,SUMPRODUCT('計算A'!$D$62:$DS$62,$CS42:$HH42)*1000+3)</f>
        <v/>
      </c>
      <c r="BB42">
        <f>IF(H42=1,1000000,SUMPRODUCT('計算A'!$D$63:$DS$63,$CS42:$HH42)*1000+4)</f>
        <v/>
      </c>
      <c r="BC42">
        <f>IF(I42=1,1000000,SUMPRODUCT('計算A'!$D$64:$DS$64,$CS42:$HH42)*1000+5)</f>
        <v/>
      </c>
      <c r="BD42">
        <f>IF(J42=1,1000000,SUMPRODUCT('計算A'!$D$65:$DS$65,$CS42:$HH42)*1000+6)</f>
        <v/>
      </c>
      <c r="BE42">
        <f>IF(K42=1,1000000,SUMPRODUCT('計算A'!$D$66:$DS$66,$CS42:$HH42)*1000+7)</f>
        <v/>
      </c>
      <c r="BF42">
        <f>IF(L42=1,1000000,SUMPRODUCT('計算A'!$D$67:$DS$67,$CS42:$HH42)*1000+8)</f>
        <v/>
      </c>
      <c r="BG42">
        <f>IF(M42=1,1000000,SUMPRODUCT('計算A'!$D$68:$DS$68,$CS42:$HH42)*1000+9)</f>
        <v/>
      </c>
      <c r="BH42">
        <f>IF(N42=1,1000000,SUMPRODUCT('計算A'!$D$69:$DS$69,$CS42:$HH42)*1000+10)</f>
        <v/>
      </c>
      <c r="BI42">
        <f>IF(O42=1,1000000,SUMPRODUCT('計算A'!$D$70:$DS$70,$CS42:$HH42)*1000+11)</f>
        <v/>
      </c>
      <c r="BJ42">
        <f>IF(P42=1,1000000,SUMPRODUCT('計算A'!$D$71:$DS$71,$CS42:$HH42)*1000+12)</f>
        <v/>
      </c>
      <c r="BK42">
        <f>IF(Q42=1,1000000,SUMPRODUCT('計算A'!$D$72:$DS$72,$CS42:$HH42)*1000+13)</f>
        <v/>
      </c>
      <c r="BL42">
        <f>IF(R42=1,1000000,SUMPRODUCT('計算A'!$D$73:$DS$73,$CS42:$HH42)*1000+14)</f>
        <v/>
      </c>
      <c r="BM42">
        <f>IF(S42=1,1000000,SUMPRODUCT('計算A'!$D$74:$DS$74,$CS42:$HH42)*1000+15)</f>
        <v/>
      </c>
      <c r="BN42">
        <f>IF(T42=1,1000000,SUMPRODUCT('計算A'!$D$75:$DS$75,$CS42:$HH42)*1000+16)</f>
        <v/>
      </c>
      <c r="BO42">
        <f>IF(U42=1,1000000,SUMPRODUCT('計算A'!$D$76:$DS$76,$CS42:$HH42)*1000+17)</f>
        <v/>
      </c>
      <c r="BP42">
        <f>IF(V42=1,1000000,SUMPRODUCT('計算A'!$D$77:$DS$77,$CS42:$HH42)*1000+18)</f>
        <v/>
      </c>
      <c r="BQ42">
        <f>IF(W42=1,1000000,SUMPRODUCT('計算A'!$D$78:$DS$78,$CS42:$HH42)*1000+19)</f>
        <v/>
      </c>
      <c r="BR42">
        <f>IF(X42=1,1000000,SUMPRODUCT('計算A'!$D$79:$DS$79,$CS42:$HH42)*1000+20)</f>
        <v/>
      </c>
      <c r="BS42">
        <f>IF(Y42=1,1000000,SUMPRODUCT('計算A'!$D$80:$DS$80,$CS42:$HH42)*1000+21)</f>
        <v/>
      </c>
      <c r="BT42">
        <f>IF(Z42=1,1000000,SUMPRODUCT('計算A'!$D$81:$DS$81,$CS42:$HH42)*1000+22)</f>
        <v/>
      </c>
      <c r="BU42">
        <f>IF(AA42=1,1000000,SUMPRODUCT('計算A'!$D$82:$DS$82,$CS42:$HH42)*1000+23)</f>
        <v/>
      </c>
      <c r="BV42">
        <f>IF(AB42=1,1000000,SUMPRODUCT('計算A'!$D$83:$DS$83,$CS42:$HH42)*1000+24)</f>
        <v/>
      </c>
      <c r="BW42">
        <f>IF(AC42=1,1000000,SUMPRODUCT('計算A'!$D$84:$DS$84,$CS42:$HH42)*1000+25)</f>
        <v/>
      </c>
      <c r="BX42">
        <f>IF(AD42=1,1000000,SUMPRODUCT('計算A'!$D$85:$DS$85,$CS42:$HH42)*1000+26)</f>
        <v/>
      </c>
      <c r="BY42">
        <f>IF(AE42=1,1000000,SUMPRODUCT('計算A'!$D$86:$DS$86,$CS42:$HH42)*1000+27)</f>
        <v/>
      </c>
      <c r="BZ42">
        <f>IF(AF42=1,1000000,SUMPRODUCT('計算A'!$D$87:$DS$87,$CS42:$HH42)*1000+28)</f>
        <v/>
      </c>
      <c r="CA42">
        <f>IF(AG42=1,1000000,SUMPRODUCT('計算A'!$D$88:$DS$88,$CS42:$HH42)*1000+29)</f>
        <v/>
      </c>
      <c r="CB42">
        <f>IF(AH42=1,1000000,SUMPRODUCT('計算A'!$D$89:$DS$89,$CS42:$HH42)*1000+30)</f>
        <v/>
      </c>
      <c r="CC42">
        <f>IF(AI42=1,1000000,SUMPRODUCT('計算A'!$D$90:$DS$90,$CS42:$HH42)*1000+31)</f>
        <v/>
      </c>
      <c r="CD42">
        <f>IF(AJ42=1,1000000,SUMPRODUCT('計算A'!$D$91:$DS$91,$CS42:$HH42)*1000+32)</f>
        <v/>
      </c>
      <c r="CE42">
        <f>IF(AK42=1,1000000,SUMPRODUCT('計算A'!$D$92:$DS$92,$CS42:$HH42)*1000+33)</f>
        <v/>
      </c>
      <c r="CF42">
        <f>IF(AL42=1,1000000,SUMPRODUCT('計算A'!$D$93:$DS$93,$CS42:$HH42)*1000+34)</f>
        <v/>
      </c>
      <c r="CG42">
        <f>IF(AM42=1,1000000,SUMPRODUCT('計算A'!$D$94:$DS$94,$CS42:$HH42)*1000+35)</f>
        <v/>
      </c>
      <c r="CH42">
        <f>IF(AN42=1,1000000,SUMPRODUCT('計算A'!$D$95:$DS$95,$CS42:$HH42)*1000+36)</f>
        <v/>
      </c>
      <c r="CI42">
        <f>IF(AO42=1,1000000,SUMPRODUCT('計算A'!$D$96:$DS$96,$CS42:$HH42)*1000+37)</f>
        <v/>
      </c>
      <c r="CJ42">
        <f>IF(AP42=1,1000000,SUMPRODUCT('計算A'!$D$97:$DS$97,$CS42:$HH42)*1000+38)</f>
        <v/>
      </c>
      <c r="CK42">
        <f>IF(AQ42=1,1000000,SUMPRODUCT('計算A'!$D$98:$DS$98,$CS42:$HH42)*1000+39)</f>
        <v/>
      </c>
      <c r="CL42">
        <f>IF(AR42=1,1000000,SUMPRODUCT('計算A'!$D$99:$DS$99,$CS42:$HH42)*1000+40)</f>
        <v/>
      </c>
      <c r="CM42">
        <f>IF(AS42=1,1000000,SUMPRODUCT('計算A'!$D$100:$DS$100,$CS42:$HH42)*1000+41)</f>
        <v/>
      </c>
      <c r="CN42">
        <f>IF(AT42=1,1000000,SUMPRODUCT('計算A'!$D$101:$DS$101,$CS42:$HH42)*1000+42)</f>
        <v/>
      </c>
      <c r="CO42">
        <f>IF(AU42=1,1000000,SUMPRODUCT('計算A'!$D$102:$DS$102,$CS42:$HH42)*1000+43)</f>
        <v/>
      </c>
      <c r="CP42">
        <f>IF(AV42=1,1000000,SUMPRODUCT('計算A'!$D$103:$DS$103,$CS42:$HH42)*1000+44)</f>
        <v/>
      </c>
      <c r="CQ42">
        <f>IF(AW42=1,1000000,SUMPRODUCT('計算A'!$D$104:$DS$104,$CS42:$HH42)*1000+45)</f>
        <v/>
      </c>
      <c r="CS42">
        <f>CS41*IF($C41=1,0,1)</f>
        <v/>
      </c>
      <c r="CT42">
        <f>CT41*IF($C41=2,0,1)</f>
        <v/>
      </c>
      <c r="CU42">
        <f>CU41*IF($C41=3,0,1)</f>
        <v/>
      </c>
      <c r="CV42">
        <f>CV41*IF($C41=4,0,1)</f>
        <v/>
      </c>
      <c r="CW42">
        <f>CW41*IF($C41=5,0,1)</f>
        <v/>
      </c>
      <c r="CX42">
        <f>CX41*IF($C41=6,0,1)</f>
        <v/>
      </c>
      <c r="CY42">
        <f>CY41*IF($C41=7,0,1)</f>
        <v/>
      </c>
      <c r="CZ42">
        <f>CZ41*IF($C41=8,0,1)</f>
        <v/>
      </c>
      <c r="DA42">
        <f>DA41*IF($C41=9,0,1)</f>
        <v/>
      </c>
      <c r="DB42">
        <f>DB41*IF($C41=10,0,1)</f>
        <v/>
      </c>
      <c r="DC42">
        <f>DC41*IF($C41=11,0,1)</f>
        <v/>
      </c>
      <c r="DD42">
        <f>DD41*IF($C41=12,0,1)</f>
        <v/>
      </c>
      <c r="DE42">
        <f>DE41*IF($C41=13,0,1)</f>
        <v/>
      </c>
      <c r="DF42">
        <f>DF41*IF($C41=14,0,1)</f>
        <v/>
      </c>
      <c r="DG42">
        <f>DG41*IF($C41=15,0,1)</f>
        <v/>
      </c>
      <c r="DH42">
        <f>DH41*IF($C41=16,0,1)</f>
        <v/>
      </c>
      <c r="DI42">
        <f>DI41*IF($C41=17,0,1)</f>
        <v/>
      </c>
      <c r="DJ42">
        <f>DJ41*IF($C41=18,0,1)</f>
        <v/>
      </c>
      <c r="DK42">
        <f>DK41*IF($C41=19,0,1)</f>
        <v/>
      </c>
      <c r="DL42">
        <f>DL41*IF($C41=20,0,1)</f>
        <v/>
      </c>
      <c r="DM42">
        <f>DM41*IF($C41=21,0,1)</f>
        <v/>
      </c>
      <c r="DN42">
        <f>DN41*IF($C41=22,0,1)</f>
        <v/>
      </c>
      <c r="DO42">
        <f>DO41*IF($C41=23,0,1)</f>
        <v/>
      </c>
      <c r="DP42">
        <f>DP41*IF($C41=24,0,1)</f>
        <v/>
      </c>
      <c r="DQ42">
        <f>DQ41*IF($C41=25,0,1)</f>
        <v/>
      </c>
      <c r="DR42">
        <f>DR41*IF($C41=26,0,1)</f>
        <v/>
      </c>
      <c r="DS42">
        <f>DS41*IF($C41=27,0,1)</f>
        <v/>
      </c>
      <c r="DT42">
        <f>DT41*IF($C41=28,0,1)</f>
        <v/>
      </c>
      <c r="DU42">
        <f>DU41*IF($C41=29,0,1)</f>
        <v/>
      </c>
      <c r="DV42">
        <f>DV41*IF($C41=30,0,1)</f>
        <v/>
      </c>
      <c r="DW42">
        <f>DW41*IF($C41=31,0,1)</f>
        <v/>
      </c>
      <c r="DX42">
        <f>DX41*IF($C41=32,0,1)</f>
        <v/>
      </c>
      <c r="DY42">
        <f>DY41*IF($C41=33,0,1)</f>
        <v/>
      </c>
      <c r="DZ42">
        <f>DZ41*IF($C41=34,0,1)</f>
        <v/>
      </c>
      <c r="EA42">
        <f>EA41*IF($C41=35,0,1)</f>
        <v/>
      </c>
      <c r="EB42">
        <f>EB41*IF($C41=36,0,1)</f>
        <v/>
      </c>
      <c r="EC42">
        <f>EC41*IF($C41=37,0,1)</f>
        <v/>
      </c>
      <c r="ED42">
        <f>ED41*IF($C41=38,0,1)</f>
        <v/>
      </c>
      <c r="EE42">
        <f>EE41*IF($C41=39,0,1)</f>
        <v/>
      </c>
      <c r="EF42">
        <f>EF41*IF($C41=40,0,1)</f>
        <v/>
      </c>
      <c r="EG42">
        <f>EG41*IF($C41=41,0,1)</f>
        <v/>
      </c>
      <c r="EH42">
        <f>EH41*IF($C41=42,0,1)</f>
        <v/>
      </c>
      <c r="EI42">
        <f>EI41*IF($C41=43,0,1)</f>
        <v/>
      </c>
      <c r="EJ42">
        <f>EJ41*IF($C41=44,0,1)</f>
        <v/>
      </c>
      <c r="EK42">
        <f>EK41*IF($C41=45,0,1)</f>
        <v/>
      </c>
      <c r="EL42">
        <f>EL41*IF($C41=46,0,1)</f>
        <v/>
      </c>
      <c r="EM42">
        <f>EM41*IF($C41=47,0,1)</f>
        <v/>
      </c>
      <c r="EN42">
        <f>EN41*IF($C41=48,0,1)</f>
        <v/>
      </c>
      <c r="EO42">
        <f>EO41*IF($C41=49,0,1)</f>
        <v/>
      </c>
      <c r="EP42">
        <f>EP41*IF($C41=50,0,1)</f>
        <v/>
      </c>
      <c r="EQ42">
        <f>EQ41*IF($C41=51,0,1)</f>
        <v/>
      </c>
      <c r="ER42">
        <f>ER41*IF($C41=52,0,1)</f>
        <v/>
      </c>
      <c r="ES42">
        <f>ES41*IF($C41=53,0,1)</f>
        <v/>
      </c>
      <c r="ET42">
        <f>ET41*IF($C41=54,0,1)</f>
        <v/>
      </c>
      <c r="EU42">
        <f>EU41*IF($C41=55,0,1)</f>
        <v/>
      </c>
      <c r="EV42">
        <f>EV41*IF($C41=56,0,1)</f>
        <v/>
      </c>
      <c r="EW42">
        <f>EW41*IF($C41=57,0,1)</f>
        <v/>
      </c>
      <c r="EX42">
        <f>EX41*IF($C41=58,0,1)</f>
        <v/>
      </c>
      <c r="EY42">
        <f>EY41*IF($C41=59,0,1)</f>
        <v/>
      </c>
      <c r="EZ42">
        <f>EZ41*IF($C41=60,0,1)</f>
        <v/>
      </c>
      <c r="FA42">
        <f>FA41*IF($C41=61,0,1)</f>
        <v/>
      </c>
      <c r="FB42">
        <f>FB41*IF($C41=62,0,1)</f>
        <v/>
      </c>
      <c r="FC42">
        <f>FC41*IF($C41=63,0,1)</f>
        <v/>
      </c>
      <c r="FD42">
        <f>FD41*IF($C41=64,0,1)</f>
        <v/>
      </c>
      <c r="FE42">
        <f>FE41*IF($C41=65,0,1)</f>
        <v/>
      </c>
      <c r="FF42">
        <f>FF41*IF($C41=66,0,1)</f>
        <v/>
      </c>
      <c r="FG42">
        <f>FG41*IF($C41=67,0,1)</f>
        <v/>
      </c>
      <c r="FH42">
        <f>FH41*IF($C41=68,0,1)</f>
        <v/>
      </c>
      <c r="FI42">
        <f>FI41*IF($C41=69,0,1)</f>
        <v/>
      </c>
      <c r="FJ42">
        <f>FJ41*IF($C41=70,0,1)</f>
        <v/>
      </c>
      <c r="FK42">
        <f>FK41*IF($C41=71,0,1)</f>
        <v/>
      </c>
      <c r="FL42">
        <f>FL41*IF($C41=72,0,1)</f>
        <v/>
      </c>
      <c r="FM42">
        <f>FM41*IF($C41=73,0,1)</f>
        <v/>
      </c>
      <c r="FN42">
        <f>FN41*IF($C41=74,0,1)</f>
        <v/>
      </c>
      <c r="FO42">
        <f>FO41*IF($C41=75,0,1)</f>
        <v/>
      </c>
      <c r="FP42">
        <f>FP41*IF($C41=76,0,1)</f>
        <v/>
      </c>
      <c r="FQ42">
        <f>FQ41*IF($C41=77,0,1)</f>
        <v/>
      </c>
      <c r="FR42">
        <f>FR41*IF($C41=78,0,1)</f>
        <v/>
      </c>
      <c r="FS42">
        <f>FS41*IF($C41=79,0,1)</f>
        <v/>
      </c>
      <c r="FT42">
        <f>FT41*IF($C41=80,0,1)</f>
        <v/>
      </c>
      <c r="FU42">
        <f>FU41*IF($C41=81,0,1)</f>
        <v/>
      </c>
      <c r="FV42">
        <f>FV41*IF($C41=82,0,1)</f>
        <v/>
      </c>
      <c r="FW42">
        <f>FW41*IF($C41=83,0,1)</f>
        <v/>
      </c>
      <c r="FX42">
        <f>FX41*IF($C41=84,0,1)</f>
        <v/>
      </c>
      <c r="FY42">
        <f>FY41*IF($C41=85,0,1)</f>
        <v/>
      </c>
      <c r="FZ42">
        <f>FZ41*IF($C41=86,0,1)</f>
        <v/>
      </c>
      <c r="GA42">
        <f>GA41*IF($C41=87,0,1)</f>
        <v/>
      </c>
      <c r="GB42">
        <f>GB41*IF($C41=88,0,1)</f>
        <v/>
      </c>
      <c r="GC42">
        <f>GC41*IF($C41=89,0,1)</f>
        <v/>
      </c>
      <c r="GD42">
        <f>GD41*IF($C41=90,0,1)</f>
        <v/>
      </c>
      <c r="GE42">
        <f>GE41*IF($C41=91,0,1)</f>
        <v/>
      </c>
      <c r="GF42">
        <f>GF41*IF($C41=92,0,1)</f>
        <v/>
      </c>
      <c r="GG42">
        <f>GG41*IF($C41=93,0,1)</f>
        <v/>
      </c>
      <c r="GH42">
        <f>GH41*IF($C41=94,0,1)</f>
        <v/>
      </c>
      <c r="GI42">
        <f>GI41*IF($C41=95,0,1)</f>
        <v/>
      </c>
      <c r="GJ42">
        <f>GJ41*IF($C41=96,0,1)</f>
        <v/>
      </c>
      <c r="GK42">
        <f>GK41*IF($C41=97,0,1)</f>
        <v/>
      </c>
      <c r="GL42">
        <f>GL41*IF($C41=98,0,1)</f>
        <v/>
      </c>
      <c r="GM42">
        <f>GM41*IF($C41=99,0,1)</f>
        <v/>
      </c>
      <c r="GN42">
        <f>GN41*IF($C41=100,0,1)</f>
        <v/>
      </c>
      <c r="GO42">
        <f>GO41*IF($C41=101,0,1)</f>
        <v/>
      </c>
      <c r="GP42">
        <f>GP41*IF($C41=102,0,1)</f>
        <v/>
      </c>
      <c r="GQ42">
        <f>GQ41*IF($C41=103,0,1)</f>
        <v/>
      </c>
      <c r="GR42">
        <f>GR41*IF($C41=104,0,1)</f>
        <v/>
      </c>
      <c r="GS42">
        <f>GS41*IF($C41=105,0,1)</f>
        <v/>
      </c>
      <c r="GT42">
        <f>GT41*IF($C41=106,0,1)</f>
        <v/>
      </c>
      <c r="GU42">
        <f>GU41*IF($C41=107,0,1)</f>
        <v/>
      </c>
      <c r="GV42">
        <f>GV41*IF($C41=108,0,1)</f>
        <v/>
      </c>
      <c r="GW42">
        <f>GW41*IF($C41=109,0,1)</f>
        <v/>
      </c>
      <c r="GX42">
        <f>GX41*IF($C41=110,0,1)</f>
        <v/>
      </c>
      <c r="GY42">
        <f>GY41*IF($C41=111,0,1)</f>
        <v/>
      </c>
      <c r="GZ42">
        <f>GZ41*IF($C41=112,0,1)</f>
        <v/>
      </c>
      <c r="HA42">
        <f>HA41*IF($C41=113,0,1)</f>
        <v/>
      </c>
      <c r="HB42">
        <f>HB41*IF($C41=114,0,1)</f>
        <v/>
      </c>
      <c r="HC42">
        <f>HC41*IF($C41=115,0,1)</f>
        <v/>
      </c>
      <c r="HD42">
        <f>HD41*IF($C41=116,0,1)</f>
        <v/>
      </c>
      <c r="HE42">
        <f>HE41*IF($C41=117,0,1)</f>
        <v/>
      </c>
      <c r="HF42">
        <f>HF41*IF($C41=118,0,1)</f>
        <v/>
      </c>
      <c r="HG42">
        <f>HG41*IF($C41=119,0,1)</f>
        <v/>
      </c>
      <c r="HH42">
        <f>HH41*IF($C41=120,0,1)</f>
        <v/>
      </c>
      <c r="HJ42">
        <f>IF($B42=0,1000000,IF(INDEX('計算A'!$D$60:$DS$104,$B42,1)*CS42=1,'計算A'!D$6,1000000))</f>
        <v/>
      </c>
      <c r="HK42">
        <f>IF($B42=0,1000000,IF(INDEX('計算A'!$D$60:$DS$104,$B42,2)*CT42=1,'計算A'!E$6,1000000))</f>
        <v/>
      </c>
      <c r="HL42">
        <f>IF($B42=0,1000000,IF(INDEX('計算A'!$D$60:$DS$104,$B42,3)*CU42=1,'計算A'!F$6,1000000))</f>
        <v/>
      </c>
      <c r="HM42">
        <f>IF($B42=0,1000000,IF(INDEX('計算A'!$D$60:$DS$104,$B42,4)*CV42=1,'計算A'!G$6,1000000))</f>
        <v/>
      </c>
      <c r="HN42">
        <f>IF($B42=0,1000000,IF(INDEX('計算A'!$D$60:$DS$104,$B42,5)*CW42=1,'計算A'!H$6,1000000))</f>
        <v/>
      </c>
      <c r="HO42">
        <f>IF($B42=0,1000000,IF(INDEX('計算A'!$D$60:$DS$104,$B42,6)*CX42=1,'計算A'!I$6,1000000))</f>
        <v/>
      </c>
      <c r="HP42">
        <f>IF($B42=0,1000000,IF(INDEX('計算A'!$D$60:$DS$104,$B42,7)*CY42=1,'計算A'!J$6,1000000))</f>
        <v/>
      </c>
      <c r="HQ42">
        <f>IF($B42=0,1000000,IF(INDEX('計算A'!$D$60:$DS$104,$B42,8)*CZ42=1,'計算A'!K$6,1000000))</f>
        <v/>
      </c>
      <c r="HR42">
        <f>IF($B42=0,1000000,IF(INDEX('計算A'!$D$60:$DS$104,$B42,9)*DA42=1,'計算A'!L$6,1000000))</f>
        <v/>
      </c>
      <c r="HS42">
        <f>IF($B42=0,1000000,IF(INDEX('計算A'!$D$60:$DS$104,$B42,10)*DB42=1,'計算A'!M$6,1000000))</f>
        <v/>
      </c>
      <c r="HT42">
        <f>IF($B42=0,1000000,IF(INDEX('計算A'!$D$60:$DS$104,$B42,11)*DC42=1,'計算A'!N$6,1000000))</f>
        <v/>
      </c>
      <c r="HU42">
        <f>IF($B42=0,1000000,IF(INDEX('計算A'!$D$60:$DS$104,$B42,12)*DD42=1,'計算A'!O$6,1000000))</f>
        <v/>
      </c>
      <c r="HV42">
        <f>IF($B42=0,1000000,IF(INDEX('計算A'!$D$60:$DS$104,$B42,13)*DE42=1,'計算A'!P$6,1000000))</f>
        <v/>
      </c>
      <c r="HW42">
        <f>IF($B42=0,1000000,IF(INDEX('計算A'!$D$60:$DS$104,$B42,14)*DF42=1,'計算A'!Q$6,1000000))</f>
        <v/>
      </c>
      <c r="HX42">
        <f>IF($B42=0,1000000,IF(INDEX('計算A'!$D$60:$DS$104,$B42,15)*DG42=1,'計算A'!R$6,1000000))</f>
        <v/>
      </c>
      <c r="HY42">
        <f>IF($B42=0,1000000,IF(INDEX('計算A'!$D$60:$DS$104,$B42,16)*DH42=1,'計算A'!S$6,1000000))</f>
        <v/>
      </c>
      <c r="HZ42">
        <f>IF($B42=0,1000000,IF(INDEX('計算A'!$D$60:$DS$104,$B42,17)*DI42=1,'計算A'!T$6,1000000))</f>
        <v/>
      </c>
      <c r="IA42">
        <f>IF($B42=0,1000000,IF(INDEX('計算A'!$D$60:$DS$104,$B42,18)*DJ42=1,'計算A'!U$6,1000000))</f>
        <v/>
      </c>
      <c r="IB42">
        <f>IF($B42=0,1000000,IF(INDEX('計算A'!$D$60:$DS$104,$B42,19)*DK42=1,'計算A'!V$6,1000000))</f>
        <v/>
      </c>
      <c r="IC42">
        <f>IF($B42=0,1000000,IF(INDEX('計算A'!$D$60:$DS$104,$B42,20)*DL42=1,'計算A'!W$6,1000000))</f>
        <v/>
      </c>
      <c r="ID42">
        <f>IF($B42=0,1000000,IF(INDEX('計算A'!$D$60:$DS$104,$B42,21)*DM42=1,'計算A'!X$6,1000000))</f>
        <v/>
      </c>
      <c r="IE42">
        <f>IF($B42=0,1000000,IF(INDEX('計算A'!$D$60:$DS$104,$B42,22)*DN42=1,'計算A'!Y$6,1000000))</f>
        <v/>
      </c>
      <c r="IF42">
        <f>IF($B42=0,1000000,IF(INDEX('計算A'!$D$60:$DS$104,$B42,23)*DO42=1,'計算A'!Z$6,1000000))</f>
        <v/>
      </c>
      <c r="IG42">
        <f>IF($B42=0,1000000,IF(INDEX('計算A'!$D$60:$DS$104,$B42,24)*DP42=1,'計算A'!AA$6,1000000))</f>
        <v/>
      </c>
      <c r="IH42">
        <f>IF($B42=0,1000000,IF(INDEX('計算A'!$D$60:$DS$104,$B42,25)*DQ42=1,'計算A'!AB$6,1000000))</f>
        <v/>
      </c>
      <c r="II42">
        <f>IF($B42=0,1000000,IF(INDEX('計算A'!$D$60:$DS$104,$B42,26)*DR42=1,'計算A'!AC$6,1000000))</f>
        <v/>
      </c>
      <c r="IJ42">
        <f>IF($B42=0,1000000,IF(INDEX('計算A'!$D$60:$DS$104,$B42,27)*DS42=1,'計算A'!AD$6,1000000))</f>
        <v/>
      </c>
      <c r="IK42">
        <f>IF($B42=0,1000000,IF(INDEX('計算A'!$D$60:$DS$104,$B42,28)*DT42=1,'計算A'!AE$6,1000000))</f>
        <v/>
      </c>
      <c r="IL42">
        <f>IF($B42=0,1000000,IF(INDEX('計算A'!$D$60:$DS$104,$B42,29)*DU42=1,'計算A'!AF$6,1000000))</f>
        <v/>
      </c>
      <c r="IM42">
        <f>IF($B42=0,1000000,IF(INDEX('計算A'!$D$60:$DS$104,$B42,30)*DV42=1,'計算A'!AG$6,1000000))</f>
        <v/>
      </c>
      <c r="IN42">
        <f>IF($B42=0,1000000,IF(INDEX('計算A'!$D$60:$DS$104,$B42,31)*DW42=1,'計算A'!AH$6,1000000))</f>
        <v/>
      </c>
      <c r="IO42">
        <f>IF($B42=0,1000000,IF(INDEX('計算A'!$D$60:$DS$104,$B42,32)*DX42=1,'計算A'!AI$6,1000000))</f>
        <v/>
      </c>
      <c r="IP42">
        <f>IF($B42=0,1000000,IF(INDEX('計算A'!$D$60:$DS$104,$B42,33)*DY42=1,'計算A'!AJ$6,1000000))</f>
        <v/>
      </c>
      <c r="IQ42">
        <f>IF($B42=0,1000000,IF(INDEX('計算A'!$D$60:$DS$104,$B42,34)*DZ42=1,'計算A'!AK$6,1000000))</f>
        <v/>
      </c>
      <c r="IR42">
        <f>IF($B42=0,1000000,IF(INDEX('計算A'!$D$60:$DS$104,$B42,35)*EA42=1,'計算A'!AL$6,1000000))</f>
        <v/>
      </c>
      <c r="IS42">
        <f>IF($B42=0,1000000,IF(INDEX('計算A'!$D$60:$DS$104,$B42,36)*EB42=1,'計算A'!AM$6,1000000))</f>
        <v/>
      </c>
      <c r="IT42">
        <f>IF($B42=0,1000000,IF(INDEX('計算A'!$D$60:$DS$104,$B42,37)*EC42=1,'計算A'!AN$6,1000000))</f>
        <v/>
      </c>
      <c r="IU42">
        <f>IF($B42=0,1000000,IF(INDEX('計算A'!$D$60:$DS$104,$B42,38)*ED42=1,'計算A'!AO$6,1000000))</f>
        <v/>
      </c>
      <c r="IV42">
        <f>IF($B42=0,1000000,IF(INDEX('計算A'!$D$60:$DS$104,$B42,39)*EE42=1,'計算A'!AP$6,1000000))</f>
        <v/>
      </c>
      <c r="IW42">
        <f>IF($B42=0,1000000,IF(INDEX('計算A'!$D$60:$DS$104,$B42,40)*EF42=1,'計算A'!AQ$6,1000000))</f>
        <v/>
      </c>
      <c r="IX42">
        <f>IF($B42=0,1000000,IF(INDEX('計算A'!$D$60:$DS$104,$B42,41)*EG42=1,'計算A'!AR$6,1000000))</f>
        <v/>
      </c>
      <c r="IY42">
        <f>IF($B42=0,1000000,IF(INDEX('計算A'!$D$60:$DS$104,$B42,42)*EH42=1,'計算A'!AS$6,1000000))</f>
        <v/>
      </c>
      <c r="IZ42">
        <f>IF($B42=0,1000000,IF(INDEX('計算A'!$D$60:$DS$104,$B42,43)*EI42=1,'計算A'!AT$6,1000000))</f>
        <v/>
      </c>
      <c r="JA42">
        <f>IF($B42=0,1000000,IF(INDEX('計算A'!$D$60:$DS$104,$B42,44)*EJ42=1,'計算A'!AU$6,1000000))</f>
        <v/>
      </c>
      <c r="JB42">
        <f>IF($B42=0,1000000,IF(INDEX('計算A'!$D$60:$DS$104,$B42,45)*EK42=1,'計算A'!AV$6,1000000))</f>
        <v/>
      </c>
      <c r="JC42">
        <f>IF($B42=0,1000000,IF(INDEX('計算A'!$D$60:$DS$104,$B42,46)*EL42=1,'計算A'!AW$6,1000000))</f>
        <v/>
      </c>
      <c r="JD42">
        <f>IF($B42=0,1000000,IF(INDEX('計算A'!$D$60:$DS$104,$B42,47)*EM42=1,'計算A'!AX$6,1000000))</f>
        <v/>
      </c>
      <c r="JE42">
        <f>IF($B42=0,1000000,IF(INDEX('計算A'!$D$60:$DS$104,$B42,48)*EN42=1,'計算A'!AY$6,1000000))</f>
        <v/>
      </c>
      <c r="JF42">
        <f>IF($B42=0,1000000,IF(INDEX('計算A'!$D$60:$DS$104,$B42,49)*EO42=1,'計算A'!AZ$6,1000000))</f>
        <v/>
      </c>
      <c r="JG42">
        <f>IF($B42=0,1000000,IF(INDEX('計算A'!$D$60:$DS$104,$B42,50)*EP42=1,'計算A'!BA$6,1000000))</f>
        <v/>
      </c>
      <c r="JH42">
        <f>IF($B42=0,1000000,IF(INDEX('計算A'!$D$60:$DS$104,$B42,51)*EQ42=1,'計算A'!BB$6,1000000))</f>
        <v/>
      </c>
      <c r="JI42">
        <f>IF($B42=0,1000000,IF(INDEX('計算A'!$D$60:$DS$104,$B42,52)*ER42=1,'計算A'!BC$6,1000000))</f>
        <v/>
      </c>
      <c r="JJ42">
        <f>IF($B42=0,1000000,IF(INDEX('計算A'!$D$60:$DS$104,$B42,53)*ES42=1,'計算A'!BD$6,1000000))</f>
        <v/>
      </c>
      <c r="JK42">
        <f>IF($B42=0,1000000,IF(INDEX('計算A'!$D$60:$DS$104,$B42,54)*ET42=1,'計算A'!BE$6,1000000))</f>
        <v/>
      </c>
      <c r="JL42">
        <f>IF($B42=0,1000000,IF(INDEX('計算A'!$D$60:$DS$104,$B42,55)*EU42=1,'計算A'!BF$6,1000000))</f>
        <v/>
      </c>
      <c r="JM42">
        <f>IF($B42=0,1000000,IF(INDEX('計算A'!$D$60:$DS$104,$B42,56)*EV42=1,'計算A'!BG$6,1000000))</f>
        <v/>
      </c>
      <c r="JN42">
        <f>IF($B42=0,1000000,IF(INDEX('計算A'!$D$60:$DS$104,$B42,57)*EW42=1,'計算A'!BH$6,1000000))</f>
        <v/>
      </c>
      <c r="JO42">
        <f>IF($B42=0,1000000,IF(INDEX('計算A'!$D$60:$DS$104,$B42,58)*EX42=1,'計算A'!BI$6,1000000))</f>
        <v/>
      </c>
      <c r="JP42">
        <f>IF($B42=0,1000000,IF(INDEX('計算A'!$D$60:$DS$104,$B42,59)*EY42=1,'計算A'!BJ$6,1000000))</f>
        <v/>
      </c>
      <c r="JQ42">
        <f>IF($B42=0,1000000,IF(INDEX('計算A'!$D$60:$DS$104,$B42,60)*EZ42=1,'計算A'!BK$6,1000000))</f>
        <v/>
      </c>
      <c r="JR42">
        <f>IF($B42=0,1000000,IF(INDEX('計算A'!$D$60:$DS$104,$B42,61)*FA42=1,'計算A'!BL$6,1000000))</f>
        <v/>
      </c>
      <c r="JS42">
        <f>IF($B42=0,1000000,IF(INDEX('計算A'!$D$60:$DS$104,$B42,62)*FB42=1,'計算A'!BM$6,1000000))</f>
        <v/>
      </c>
      <c r="JT42">
        <f>IF($B42=0,1000000,IF(INDEX('計算A'!$D$60:$DS$104,$B42,63)*FC42=1,'計算A'!BN$6,1000000))</f>
        <v/>
      </c>
      <c r="JU42">
        <f>IF($B42=0,1000000,IF(INDEX('計算A'!$D$60:$DS$104,$B42,64)*FD42=1,'計算A'!BO$6,1000000))</f>
        <v/>
      </c>
      <c r="JV42">
        <f>IF($B42=0,1000000,IF(INDEX('計算A'!$D$60:$DS$104,$B42,65)*FE42=1,'計算A'!BP$6,1000000))</f>
        <v/>
      </c>
      <c r="JW42">
        <f>IF($B42=0,1000000,IF(INDEX('計算A'!$D$60:$DS$104,$B42,66)*FF42=1,'計算A'!BQ$6,1000000))</f>
        <v/>
      </c>
      <c r="JX42">
        <f>IF($B42=0,1000000,IF(INDEX('計算A'!$D$60:$DS$104,$B42,67)*FG42=1,'計算A'!BR$6,1000000))</f>
        <v/>
      </c>
      <c r="JY42">
        <f>IF($B42=0,1000000,IF(INDEX('計算A'!$D$60:$DS$104,$B42,68)*FH42=1,'計算A'!BS$6,1000000))</f>
        <v/>
      </c>
      <c r="JZ42">
        <f>IF($B42=0,1000000,IF(INDEX('計算A'!$D$60:$DS$104,$B42,69)*FI42=1,'計算A'!BT$6,1000000))</f>
        <v/>
      </c>
      <c r="KA42">
        <f>IF($B42=0,1000000,IF(INDEX('計算A'!$D$60:$DS$104,$B42,70)*FJ42=1,'計算A'!BU$6,1000000))</f>
        <v/>
      </c>
      <c r="KB42">
        <f>IF($B42=0,1000000,IF(INDEX('計算A'!$D$60:$DS$104,$B42,71)*FK42=1,'計算A'!BV$6,1000000))</f>
        <v/>
      </c>
      <c r="KC42">
        <f>IF($B42=0,1000000,IF(INDEX('計算A'!$D$60:$DS$104,$B42,72)*FL42=1,'計算A'!BW$6,1000000))</f>
        <v/>
      </c>
      <c r="KD42">
        <f>IF($B42=0,1000000,IF(INDEX('計算A'!$D$60:$DS$104,$B42,73)*FM42=1,'計算A'!BX$6,1000000))</f>
        <v/>
      </c>
      <c r="KE42">
        <f>IF($B42=0,1000000,IF(INDEX('計算A'!$D$60:$DS$104,$B42,74)*FN42=1,'計算A'!BY$6,1000000))</f>
        <v/>
      </c>
      <c r="KF42">
        <f>IF($B42=0,1000000,IF(INDEX('計算A'!$D$60:$DS$104,$B42,75)*FO42=1,'計算A'!BZ$6,1000000))</f>
        <v/>
      </c>
      <c r="KG42">
        <f>IF($B42=0,1000000,IF(INDEX('計算A'!$D$60:$DS$104,$B42,76)*FP42=1,'計算A'!CA$6,1000000))</f>
        <v/>
      </c>
      <c r="KH42">
        <f>IF($B42=0,1000000,IF(INDEX('計算A'!$D$60:$DS$104,$B42,77)*FQ42=1,'計算A'!CB$6,1000000))</f>
        <v/>
      </c>
      <c r="KI42">
        <f>IF($B42=0,1000000,IF(INDEX('計算A'!$D$60:$DS$104,$B42,78)*FR42=1,'計算A'!CC$6,1000000))</f>
        <v/>
      </c>
      <c r="KJ42">
        <f>IF($B42=0,1000000,IF(INDEX('計算A'!$D$60:$DS$104,$B42,79)*FS42=1,'計算A'!CD$6,1000000))</f>
        <v/>
      </c>
      <c r="KK42">
        <f>IF($B42=0,1000000,IF(INDEX('計算A'!$D$60:$DS$104,$B42,80)*FT42=1,'計算A'!CE$6,1000000))</f>
        <v/>
      </c>
      <c r="KL42">
        <f>IF($B42=0,1000000,IF(INDEX('計算A'!$D$60:$DS$104,$B42,81)*FU42=1,'計算A'!CF$6,1000000))</f>
        <v/>
      </c>
      <c r="KM42">
        <f>IF($B42=0,1000000,IF(INDEX('計算A'!$D$60:$DS$104,$B42,82)*FV42=1,'計算A'!CG$6,1000000))</f>
        <v/>
      </c>
      <c r="KN42">
        <f>IF($B42=0,1000000,IF(INDEX('計算A'!$D$60:$DS$104,$B42,83)*FW42=1,'計算A'!CH$6,1000000))</f>
        <v/>
      </c>
      <c r="KO42">
        <f>IF($B42=0,1000000,IF(INDEX('計算A'!$D$60:$DS$104,$B42,84)*FX42=1,'計算A'!CI$6,1000000))</f>
        <v/>
      </c>
      <c r="KP42">
        <f>IF($B42=0,1000000,IF(INDEX('計算A'!$D$60:$DS$104,$B42,85)*FY42=1,'計算A'!CJ$6,1000000))</f>
        <v/>
      </c>
      <c r="KQ42">
        <f>IF($B42=0,1000000,IF(INDEX('計算A'!$D$60:$DS$104,$B42,86)*FZ42=1,'計算A'!CK$6,1000000))</f>
        <v/>
      </c>
      <c r="KR42">
        <f>IF($B42=0,1000000,IF(INDEX('計算A'!$D$60:$DS$104,$B42,87)*GA42=1,'計算A'!CL$6,1000000))</f>
        <v/>
      </c>
      <c r="KS42">
        <f>IF($B42=0,1000000,IF(INDEX('計算A'!$D$60:$DS$104,$B42,88)*GB42=1,'計算A'!CM$6,1000000))</f>
        <v/>
      </c>
      <c r="KT42">
        <f>IF($B42=0,1000000,IF(INDEX('計算A'!$D$60:$DS$104,$B42,89)*GC42=1,'計算A'!CN$6,1000000))</f>
        <v/>
      </c>
      <c r="KU42">
        <f>IF($B42=0,1000000,IF(INDEX('計算A'!$D$60:$DS$104,$B42,90)*GD42=1,'計算A'!CO$6,1000000))</f>
        <v/>
      </c>
      <c r="KV42">
        <f>IF($B42=0,1000000,IF(INDEX('計算A'!$D$60:$DS$104,$B42,91)*GE42=1,'計算A'!CP$6,1000000))</f>
        <v/>
      </c>
      <c r="KW42">
        <f>IF($B42=0,1000000,IF(INDEX('計算A'!$D$60:$DS$104,$B42,92)*GF42=1,'計算A'!CQ$6,1000000))</f>
        <v/>
      </c>
      <c r="KX42">
        <f>IF($B42=0,1000000,IF(INDEX('計算A'!$D$60:$DS$104,$B42,93)*GG42=1,'計算A'!CR$6,1000000))</f>
        <v/>
      </c>
      <c r="KY42">
        <f>IF($B42=0,1000000,IF(INDEX('計算A'!$D$60:$DS$104,$B42,94)*GH42=1,'計算A'!CS$6,1000000))</f>
        <v/>
      </c>
      <c r="KZ42">
        <f>IF($B42=0,1000000,IF(INDEX('計算A'!$D$60:$DS$104,$B42,95)*GI42=1,'計算A'!CT$6,1000000))</f>
        <v/>
      </c>
      <c r="LA42">
        <f>IF($B42=0,1000000,IF(INDEX('計算A'!$D$60:$DS$104,$B42,96)*GJ42=1,'計算A'!CU$6,1000000))</f>
        <v/>
      </c>
      <c r="LB42">
        <f>IF($B42=0,1000000,IF(INDEX('計算A'!$D$60:$DS$104,$B42,97)*GK42=1,'計算A'!CV$6,1000000))</f>
        <v/>
      </c>
      <c r="LC42">
        <f>IF($B42=0,1000000,IF(INDEX('計算A'!$D$60:$DS$104,$B42,98)*GL42=1,'計算A'!CW$6,1000000))</f>
        <v/>
      </c>
      <c r="LD42">
        <f>IF($B42=0,1000000,IF(INDEX('計算A'!$D$60:$DS$104,$B42,99)*GM42=1,'計算A'!CX$6,1000000))</f>
        <v/>
      </c>
      <c r="LE42">
        <f>IF($B42=0,1000000,IF(INDEX('計算A'!$D$60:$DS$104,$B42,100)*GN42=1,'計算A'!CY$6,1000000))</f>
        <v/>
      </c>
      <c r="LF42">
        <f>IF($B42=0,1000000,IF(INDEX('計算A'!$D$60:$DS$104,$B42,101)*GO42=1,'計算A'!CZ$6,1000000))</f>
        <v/>
      </c>
      <c r="LG42">
        <f>IF($B42=0,1000000,IF(INDEX('計算A'!$D$60:$DS$104,$B42,102)*GP42=1,'計算A'!DA$6,1000000))</f>
        <v/>
      </c>
      <c r="LH42">
        <f>IF($B42=0,1000000,IF(INDEX('計算A'!$D$60:$DS$104,$B42,103)*GQ42=1,'計算A'!DB$6,1000000))</f>
        <v/>
      </c>
      <c r="LI42">
        <f>IF($B42=0,1000000,IF(INDEX('計算A'!$D$60:$DS$104,$B42,104)*GR42=1,'計算A'!DC$6,1000000))</f>
        <v/>
      </c>
      <c r="LJ42">
        <f>IF($B42=0,1000000,IF(INDEX('計算A'!$D$60:$DS$104,$B42,105)*GS42=1,'計算A'!DD$6,1000000))</f>
        <v/>
      </c>
      <c r="LK42">
        <f>IF($B42=0,1000000,IF(INDEX('計算A'!$D$60:$DS$104,$B42,106)*GT42=1,'計算A'!DE$6,1000000))</f>
        <v/>
      </c>
      <c r="LL42">
        <f>IF($B42=0,1000000,IF(INDEX('計算A'!$D$60:$DS$104,$B42,107)*GU42=1,'計算A'!DF$6,1000000))</f>
        <v/>
      </c>
      <c r="LM42">
        <f>IF($B42=0,1000000,IF(INDEX('計算A'!$D$60:$DS$104,$B42,108)*GV42=1,'計算A'!DG$6,1000000))</f>
        <v/>
      </c>
      <c r="LN42">
        <f>IF($B42=0,1000000,IF(INDEX('計算A'!$D$60:$DS$104,$B42,109)*GW42=1,'計算A'!DH$6,1000000))</f>
        <v/>
      </c>
      <c r="LO42">
        <f>IF($B42=0,1000000,IF(INDEX('計算A'!$D$60:$DS$104,$B42,110)*GX42=1,'計算A'!DI$6,1000000))</f>
        <v/>
      </c>
      <c r="LP42">
        <f>IF($B42=0,1000000,IF(INDEX('計算A'!$D$60:$DS$104,$B42,111)*GY42=1,'計算A'!DJ$6,1000000))</f>
        <v/>
      </c>
      <c r="LQ42">
        <f>IF($B42=0,1000000,IF(INDEX('計算A'!$D$60:$DS$104,$B42,112)*GZ42=1,'計算A'!DK$6,1000000))</f>
        <v/>
      </c>
      <c r="LR42">
        <f>IF($B42=0,1000000,IF(INDEX('計算A'!$D$60:$DS$104,$B42,113)*HA42=1,'計算A'!DL$6,1000000))</f>
        <v/>
      </c>
      <c r="LS42">
        <f>IF($B42=0,1000000,IF(INDEX('計算A'!$D$60:$DS$104,$B42,114)*HB42=1,'計算A'!DM$6,1000000))</f>
        <v/>
      </c>
      <c r="LT42">
        <f>IF($B42=0,1000000,IF(INDEX('計算A'!$D$60:$DS$104,$B42,115)*HC42=1,'計算A'!DN$6,1000000))</f>
        <v/>
      </c>
      <c r="LU42">
        <f>IF($B42=0,1000000,IF(INDEX('計算A'!$D$60:$DS$104,$B42,116)*HD42=1,'計算A'!DO$6,1000000))</f>
        <v/>
      </c>
      <c r="LV42">
        <f>IF($B42=0,1000000,IF(INDEX('計算A'!$D$60:$DS$104,$B42,117)*HE42=1,'計算A'!DP$6,1000000))</f>
        <v/>
      </c>
      <c r="LW42">
        <f>IF($B42=0,1000000,IF(INDEX('計算A'!$D$60:$DS$104,$B42,118)*HF42=1,'計算A'!DQ$6,1000000))</f>
        <v/>
      </c>
      <c r="LX42">
        <f>IF($B42=0,1000000,IF(INDEX('計算A'!$D$60:$DS$104,$B42,119)*HG42=1,'計算A'!DR$6,1000000))</f>
        <v/>
      </c>
      <c r="LY42">
        <f>IF($B42=0,1000000,IF(INDEX('計算A'!$D$60:$DS$104,$B42,120)*HH42=1,'計算A'!DS$6,1000000))</f>
        <v/>
      </c>
    </row>
    <row r="43">
      <c r="A43" t="n">
        <v>41</v>
      </c>
      <c r="B43">
        <f>IF(MIN(AY43:CQ43)&gt;=1000000,0,MATCH(MIN(AY43:CQ43),AY43:CQ43,0))</f>
        <v/>
      </c>
      <c r="C43">
        <f>IF(MIN(HJ43:LY43)&gt;=1000000,0,MATCH(MIN(HJ43:LY43),HJ43:LY43,0))</f>
        <v/>
      </c>
      <c r="D43">
        <f>IF(C43&gt;0,INDEX('計算A'!$D$5:$DS$5,C43),0)</f>
        <v/>
      </c>
      <c r="E43">
        <f>MAX(E42,IF($B42=1,1,0))</f>
        <v/>
      </c>
      <c r="F43">
        <f>MAX(F42,IF($B42=2,1,0))</f>
        <v/>
      </c>
      <c r="G43">
        <f>MAX(G42,IF($B42=3,1,0))</f>
        <v/>
      </c>
      <c r="H43">
        <f>MAX(H42,IF($B42=4,1,0))</f>
        <v/>
      </c>
      <c r="I43">
        <f>MAX(I42,IF($B42=5,1,0))</f>
        <v/>
      </c>
      <c r="J43">
        <f>MAX(J42,IF($B42=6,1,0))</f>
        <v/>
      </c>
      <c r="K43">
        <f>MAX(K42,IF($B42=7,1,0))</f>
        <v/>
      </c>
      <c r="L43">
        <f>MAX(L42,IF($B42=8,1,0))</f>
        <v/>
      </c>
      <c r="M43">
        <f>MAX(M42,IF($B42=9,1,0))</f>
        <v/>
      </c>
      <c r="N43">
        <f>MAX(N42,IF($B42=10,1,0))</f>
        <v/>
      </c>
      <c r="O43">
        <f>MAX(O42,IF($B42=11,1,0))</f>
        <v/>
      </c>
      <c r="P43">
        <f>MAX(P42,IF($B42=12,1,0))</f>
        <v/>
      </c>
      <c r="Q43">
        <f>MAX(Q42,IF($B42=13,1,0))</f>
        <v/>
      </c>
      <c r="R43">
        <f>MAX(R42,IF($B42=14,1,0))</f>
        <v/>
      </c>
      <c r="S43">
        <f>MAX(S42,IF($B42=15,1,0))</f>
        <v/>
      </c>
      <c r="T43">
        <f>MAX(T42,IF($B42=16,1,0))</f>
        <v/>
      </c>
      <c r="U43">
        <f>MAX(U42,IF($B42=17,1,0))</f>
        <v/>
      </c>
      <c r="V43">
        <f>MAX(V42,IF($B42=18,1,0))</f>
        <v/>
      </c>
      <c r="W43">
        <f>MAX(W42,IF($B42=19,1,0))</f>
        <v/>
      </c>
      <c r="X43">
        <f>MAX(X42,IF($B42=20,1,0))</f>
        <v/>
      </c>
      <c r="Y43">
        <f>MAX(Y42,IF($B42=21,1,0))</f>
        <v/>
      </c>
      <c r="Z43">
        <f>MAX(Z42,IF($B42=22,1,0))</f>
        <v/>
      </c>
      <c r="AA43">
        <f>MAX(AA42,IF($B42=23,1,0))</f>
        <v/>
      </c>
      <c r="AB43">
        <f>MAX(AB42,IF($B42=24,1,0))</f>
        <v/>
      </c>
      <c r="AC43">
        <f>MAX(AC42,IF($B42=25,1,0))</f>
        <v/>
      </c>
      <c r="AD43">
        <f>MAX(AD42,IF($B42=26,1,0))</f>
        <v/>
      </c>
      <c r="AE43">
        <f>MAX(AE42,IF($B42=27,1,0))</f>
        <v/>
      </c>
      <c r="AF43">
        <f>MAX(AF42,IF($B42=28,1,0))</f>
        <v/>
      </c>
      <c r="AG43">
        <f>MAX(AG42,IF($B42=29,1,0))</f>
        <v/>
      </c>
      <c r="AH43">
        <f>MAX(AH42,IF($B42=30,1,0))</f>
        <v/>
      </c>
      <c r="AI43">
        <f>MAX(AI42,IF($B42=31,1,0))</f>
        <v/>
      </c>
      <c r="AJ43">
        <f>MAX(AJ42,IF($B42=32,1,0))</f>
        <v/>
      </c>
      <c r="AK43">
        <f>MAX(AK42,IF($B42=33,1,0))</f>
        <v/>
      </c>
      <c r="AL43">
        <f>MAX(AL42,IF($B42=34,1,0))</f>
        <v/>
      </c>
      <c r="AM43">
        <f>MAX(AM42,IF($B42=35,1,0))</f>
        <v/>
      </c>
      <c r="AN43">
        <f>MAX(AN42,IF($B42=36,1,0))</f>
        <v/>
      </c>
      <c r="AO43">
        <f>MAX(AO42,IF($B42=37,1,0))</f>
        <v/>
      </c>
      <c r="AP43">
        <f>MAX(AP42,IF($B42=38,1,0))</f>
        <v/>
      </c>
      <c r="AQ43">
        <f>MAX(AQ42,IF($B42=39,1,0))</f>
        <v/>
      </c>
      <c r="AR43">
        <f>MAX(AR42,IF($B42=40,1,0))</f>
        <v/>
      </c>
      <c r="AS43">
        <f>MAX(AS42,IF($B42=41,1,0))</f>
        <v/>
      </c>
      <c r="AT43">
        <f>MAX(AT42,IF($B42=42,1,0))</f>
        <v/>
      </c>
      <c r="AU43">
        <f>MAX(AU42,IF($B42=43,1,0))</f>
        <v/>
      </c>
      <c r="AV43">
        <f>MAX(AV42,IF($B42=44,1,0))</f>
        <v/>
      </c>
      <c r="AW43">
        <f>MAX(AW42,IF($B42=45,1,0))</f>
        <v/>
      </c>
      <c r="AY43">
        <f>IF(E43=1,1000000,SUMPRODUCT('計算A'!$D$60:$DS$60,$CS43:$HH43)*1000+1)</f>
        <v/>
      </c>
      <c r="AZ43">
        <f>IF(F43=1,1000000,SUMPRODUCT('計算A'!$D$61:$DS$61,$CS43:$HH43)*1000+2)</f>
        <v/>
      </c>
      <c r="BA43">
        <f>IF(G43=1,1000000,SUMPRODUCT('計算A'!$D$62:$DS$62,$CS43:$HH43)*1000+3)</f>
        <v/>
      </c>
      <c r="BB43">
        <f>IF(H43=1,1000000,SUMPRODUCT('計算A'!$D$63:$DS$63,$CS43:$HH43)*1000+4)</f>
        <v/>
      </c>
      <c r="BC43">
        <f>IF(I43=1,1000000,SUMPRODUCT('計算A'!$D$64:$DS$64,$CS43:$HH43)*1000+5)</f>
        <v/>
      </c>
      <c r="BD43">
        <f>IF(J43=1,1000000,SUMPRODUCT('計算A'!$D$65:$DS$65,$CS43:$HH43)*1000+6)</f>
        <v/>
      </c>
      <c r="BE43">
        <f>IF(K43=1,1000000,SUMPRODUCT('計算A'!$D$66:$DS$66,$CS43:$HH43)*1000+7)</f>
        <v/>
      </c>
      <c r="BF43">
        <f>IF(L43=1,1000000,SUMPRODUCT('計算A'!$D$67:$DS$67,$CS43:$HH43)*1000+8)</f>
        <v/>
      </c>
      <c r="BG43">
        <f>IF(M43=1,1000000,SUMPRODUCT('計算A'!$D$68:$DS$68,$CS43:$HH43)*1000+9)</f>
        <v/>
      </c>
      <c r="BH43">
        <f>IF(N43=1,1000000,SUMPRODUCT('計算A'!$D$69:$DS$69,$CS43:$HH43)*1000+10)</f>
        <v/>
      </c>
      <c r="BI43">
        <f>IF(O43=1,1000000,SUMPRODUCT('計算A'!$D$70:$DS$70,$CS43:$HH43)*1000+11)</f>
        <v/>
      </c>
      <c r="BJ43">
        <f>IF(P43=1,1000000,SUMPRODUCT('計算A'!$D$71:$DS$71,$CS43:$HH43)*1000+12)</f>
        <v/>
      </c>
      <c r="BK43">
        <f>IF(Q43=1,1000000,SUMPRODUCT('計算A'!$D$72:$DS$72,$CS43:$HH43)*1000+13)</f>
        <v/>
      </c>
      <c r="BL43">
        <f>IF(R43=1,1000000,SUMPRODUCT('計算A'!$D$73:$DS$73,$CS43:$HH43)*1000+14)</f>
        <v/>
      </c>
      <c r="BM43">
        <f>IF(S43=1,1000000,SUMPRODUCT('計算A'!$D$74:$DS$74,$CS43:$HH43)*1000+15)</f>
        <v/>
      </c>
      <c r="BN43">
        <f>IF(T43=1,1000000,SUMPRODUCT('計算A'!$D$75:$DS$75,$CS43:$HH43)*1000+16)</f>
        <v/>
      </c>
      <c r="BO43">
        <f>IF(U43=1,1000000,SUMPRODUCT('計算A'!$D$76:$DS$76,$CS43:$HH43)*1000+17)</f>
        <v/>
      </c>
      <c r="BP43">
        <f>IF(V43=1,1000000,SUMPRODUCT('計算A'!$D$77:$DS$77,$CS43:$HH43)*1000+18)</f>
        <v/>
      </c>
      <c r="BQ43">
        <f>IF(W43=1,1000000,SUMPRODUCT('計算A'!$D$78:$DS$78,$CS43:$HH43)*1000+19)</f>
        <v/>
      </c>
      <c r="BR43">
        <f>IF(X43=1,1000000,SUMPRODUCT('計算A'!$D$79:$DS$79,$CS43:$HH43)*1000+20)</f>
        <v/>
      </c>
      <c r="BS43">
        <f>IF(Y43=1,1000000,SUMPRODUCT('計算A'!$D$80:$DS$80,$CS43:$HH43)*1000+21)</f>
        <v/>
      </c>
      <c r="BT43">
        <f>IF(Z43=1,1000000,SUMPRODUCT('計算A'!$D$81:$DS$81,$CS43:$HH43)*1000+22)</f>
        <v/>
      </c>
      <c r="BU43">
        <f>IF(AA43=1,1000000,SUMPRODUCT('計算A'!$D$82:$DS$82,$CS43:$HH43)*1000+23)</f>
        <v/>
      </c>
      <c r="BV43">
        <f>IF(AB43=1,1000000,SUMPRODUCT('計算A'!$D$83:$DS$83,$CS43:$HH43)*1000+24)</f>
        <v/>
      </c>
      <c r="BW43">
        <f>IF(AC43=1,1000000,SUMPRODUCT('計算A'!$D$84:$DS$84,$CS43:$HH43)*1000+25)</f>
        <v/>
      </c>
      <c r="BX43">
        <f>IF(AD43=1,1000000,SUMPRODUCT('計算A'!$D$85:$DS$85,$CS43:$HH43)*1000+26)</f>
        <v/>
      </c>
      <c r="BY43">
        <f>IF(AE43=1,1000000,SUMPRODUCT('計算A'!$D$86:$DS$86,$CS43:$HH43)*1000+27)</f>
        <v/>
      </c>
      <c r="BZ43">
        <f>IF(AF43=1,1000000,SUMPRODUCT('計算A'!$D$87:$DS$87,$CS43:$HH43)*1000+28)</f>
        <v/>
      </c>
      <c r="CA43">
        <f>IF(AG43=1,1000000,SUMPRODUCT('計算A'!$D$88:$DS$88,$CS43:$HH43)*1000+29)</f>
        <v/>
      </c>
      <c r="CB43">
        <f>IF(AH43=1,1000000,SUMPRODUCT('計算A'!$D$89:$DS$89,$CS43:$HH43)*1000+30)</f>
        <v/>
      </c>
      <c r="CC43">
        <f>IF(AI43=1,1000000,SUMPRODUCT('計算A'!$D$90:$DS$90,$CS43:$HH43)*1000+31)</f>
        <v/>
      </c>
      <c r="CD43">
        <f>IF(AJ43=1,1000000,SUMPRODUCT('計算A'!$D$91:$DS$91,$CS43:$HH43)*1000+32)</f>
        <v/>
      </c>
      <c r="CE43">
        <f>IF(AK43=1,1000000,SUMPRODUCT('計算A'!$D$92:$DS$92,$CS43:$HH43)*1000+33)</f>
        <v/>
      </c>
      <c r="CF43">
        <f>IF(AL43=1,1000000,SUMPRODUCT('計算A'!$D$93:$DS$93,$CS43:$HH43)*1000+34)</f>
        <v/>
      </c>
      <c r="CG43">
        <f>IF(AM43=1,1000000,SUMPRODUCT('計算A'!$D$94:$DS$94,$CS43:$HH43)*1000+35)</f>
        <v/>
      </c>
      <c r="CH43">
        <f>IF(AN43=1,1000000,SUMPRODUCT('計算A'!$D$95:$DS$95,$CS43:$HH43)*1000+36)</f>
        <v/>
      </c>
      <c r="CI43">
        <f>IF(AO43=1,1000000,SUMPRODUCT('計算A'!$D$96:$DS$96,$CS43:$HH43)*1000+37)</f>
        <v/>
      </c>
      <c r="CJ43">
        <f>IF(AP43=1,1000000,SUMPRODUCT('計算A'!$D$97:$DS$97,$CS43:$HH43)*1000+38)</f>
        <v/>
      </c>
      <c r="CK43">
        <f>IF(AQ43=1,1000000,SUMPRODUCT('計算A'!$D$98:$DS$98,$CS43:$HH43)*1000+39)</f>
        <v/>
      </c>
      <c r="CL43">
        <f>IF(AR43=1,1000000,SUMPRODUCT('計算A'!$D$99:$DS$99,$CS43:$HH43)*1000+40)</f>
        <v/>
      </c>
      <c r="CM43">
        <f>IF(AS43=1,1000000,SUMPRODUCT('計算A'!$D$100:$DS$100,$CS43:$HH43)*1000+41)</f>
        <v/>
      </c>
      <c r="CN43">
        <f>IF(AT43=1,1000000,SUMPRODUCT('計算A'!$D$101:$DS$101,$CS43:$HH43)*1000+42)</f>
        <v/>
      </c>
      <c r="CO43">
        <f>IF(AU43=1,1000000,SUMPRODUCT('計算A'!$D$102:$DS$102,$CS43:$HH43)*1000+43)</f>
        <v/>
      </c>
      <c r="CP43">
        <f>IF(AV43=1,1000000,SUMPRODUCT('計算A'!$D$103:$DS$103,$CS43:$HH43)*1000+44)</f>
        <v/>
      </c>
      <c r="CQ43">
        <f>IF(AW43=1,1000000,SUMPRODUCT('計算A'!$D$104:$DS$104,$CS43:$HH43)*1000+45)</f>
        <v/>
      </c>
      <c r="CS43">
        <f>CS42*IF($C42=1,0,1)</f>
        <v/>
      </c>
      <c r="CT43">
        <f>CT42*IF($C42=2,0,1)</f>
        <v/>
      </c>
      <c r="CU43">
        <f>CU42*IF($C42=3,0,1)</f>
        <v/>
      </c>
      <c r="CV43">
        <f>CV42*IF($C42=4,0,1)</f>
        <v/>
      </c>
      <c r="CW43">
        <f>CW42*IF($C42=5,0,1)</f>
        <v/>
      </c>
      <c r="CX43">
        <f>CX42*IF($C42=6,0,1)</f>
        <v/>
      </c>
      <c r="CY43">
        <f>CY42*IF($C42=7,0,1)</f>
        <v/>
      </c>
      <c r="CZ43">
        <f>CZ42*IF($C42=8,0,1)</f>
        <v/>
      </c>
      <c r="DA43">
        <f>DA42*IF($C42=9,0,1)</f>
        <v/>
      </c>
      <c r="DB43">
        <f>DB42*IF($C42=10,0,1)</f>
        <v/>
      </c>
      <c r="DC43">
        <f>DC42*IF($C42=11,0,1)</f>
        <v/>
      </c>
      <c r="DD43">
        <f>DD42*IF($C42=12,0,1)</f>
        <v/>
      </c>
      <c r="DE43">
        <f>DE42*IF($C42=13,0,1)</f>
        <v/>
      </c>
      <c r="DF43">
        <f>DF42*IF($C42=14,0,1)</f>
        <v/>
      </c>
      <c r="DG43">
        <f>DG42*IF($C42=15,0,1)</f>
        <v/>
      </c>
      <c r="DH43">
        <f>DH42*IF($C42=16,0,1)</f>
        <v/>
      </c>
      <c r="DI43">
        <f>DI42*IF($C42=17,0,1)</f>
        <v/>
      </c>
      <c r="DJ43">
        <f>DJ42*IF($C42=18,0,1)</f>
        <v/>
      </c>
      <c r="DK43">
        <f>DK42*IF($C42=19,0,1)</f>
        <v/>
      </c>
      <c r="DL43">
        <f>DL42*IF($C42=20,0,1)</f>
        <v/>
      </c>
      <c r="DM43">
        <f>DM42*IF($C42=21,0,1)</f>
        <v/>
      </c>
      <c r="DN43">
        <f>DN42*IF($C42=22,0,1)</f>
        <v/>
      </c>
      <c r="DO43">
        <f>DO42*IF($C42=23,0,1)</f>
        <v/>
      </c>
      <c r="DP43">
        <f>DP42*IF($C42=24,0,1)</f>
        <v/>
      </c>
      <c r="DQ43">
        <f>DQ42*IF($C42=25,0,1)</f>
        <v/>
      </c>
      <c r="DR43">
        <f>DR42*IF($C42=26,0,1)</f>
        <v/>
      </c>
      <c r="DS43">
        <f>DS42*IF($C42=27,0,1)</f>
        <v/>
      </c>
      <c r="DT43">
        <f>DT42*IF($C42=28,0,1)</f>
        <v/>
      </c>
      <c r="DU43">
        <f>DU42*IF($C42=29,0,1)</f>
        <v/>
      </c>
      <c r="DV43">
        <f>DV42*IF($C42=30,0,1)</f>
        <v/>
      </c>
      <c r="DW43">
        <f>DW42*IF($C42=31,0,1)</f>
        <v/>
      </c>
      <c r="DX43">
        <f>DX42*IF($C42=32,0,1)</f>
        <v/>
      </c>
      <c r="DY43">
        <f>DY42*IF($C42=33,0,1)</f>
        <v/>
      </c>
      <c r="DZ43">
        <f>DZ42*IF($C42=34,0,1)</f>
        <v/>
      </c>
      <c r="EA43">
        <f>EA42*IF($C42=35,0,1)</f>
        <v/>
      </c>
      <c r="EB43">
        <f>EB42*IF($C42=36,0,1)</f>
        <v/>
      </c>
      <c r="EC43">
        <f>EC42*IF($C42=37,0,1)</f>
        <v/>
      </c>
      <c r="ED43">
        <f>ED42*IF($C42=38,0,1)</f>
        <v/>
      </c>
      <c r="EE43">
        <f>EE42*IF($C42=39,0,1)</f>
        <v/>
      </c>
      <c r="EF43">
        <f>EF42*IF($C42=40,0,1)</f>
        <v/>
      </c>
      <c r="EG43">
        <f>EG42*IF($C42=41,0,1)</f>
        <v/>
      </c>
      <c r="EH43">
        <f>EH42*IF($C42=42,0,1)</f>
        <v/>
      </c>
      <c r="EI43">
        <f>EI42*IF($C42=43,0,1)</f>
        <v/>
      </c>
      <c r="EJ43">
        <f>EJ42*IF($C42=44,0,1)</f>
        <v/>
      </c>
      <c r="EK43">
        <f>EK42*IF($C42=45,0,1)</f>
        <v/>
      </c>
      <c r="EL43">
        <f>EL42*IF($C42=46,0,1)</f>
        <v/>
      </c>
      <c r="EM43">
        <f>EM42*IF($C42=47,0,1)</f>
        <v/>
      </c>
      <c r="EN43">
        <f>EN42*IF($C42=48,0,1)</f>
        <v/>
      </c>
      <c r="EO43">
        <f>EO42*IF($C42=49,0,1)</f>
        <v/>
      </c>
      <c r="EP43">
        <f>EP42*IF($C42=50,0,1)</f>
        <v/>
      </c>
      <c r="EQ43">
        <f>EQ42*IF($C42=51,0,1)</f>
        <v/>
      </c>
      <c r="ER43">
        <f>ER42*IF($C42=52,0,1)</f>
        <v/>
      </c>
      <c r="ES43">
        <f>ES42*IF($C42=53,0,1)</f>
        <v/>
      </c>
      <c r="ET43">
        <f>ET42*IF($C42=54,0,1)</f>
        <v/>
      </c>
      <c r="EU43">
        <f>EU42*IF($C42=55,0,1)</f>
        <v/>
      </c>
      <c r="EV43">
        <f>EV42*IF($C42=56,0,1)</f>
        <v/>
      </c>
      <c r="EW43">
        <f>EW42*IF($C42=57,0,1)</f>
        <v/>
      </c>
      <c r="EX43">
        <f>EX42*IF($C42=58,0,1)</f>
        <v/>
      </c>
      <c r="EY43">
        <f>EY42*IF($C42=59,0,1)</f>
        <v/>
      </c>
      <c r="EZ43">
        <f>EZ42*IF($C42=60,0,1)</f>
        <v/>
      </c>
      <c r="FA43">
        <f>FA42*IF($C42=61,0,1)</f>
        <v/>
      </c>
      <c r="FB43">
        <f>FB42*IF($C42=62,0,1)</f>
        <v/>
      </c>
      <c r="FC43">
        <f>FC42*IF($C42=63,0,1)</f>
        <v/>
      </c>
      <c r="FD43">
        <f>FD42*IF($C42=64,0,1)</f>
        <v/>
      </c>
      <c r="FE43">
        <f>FE42*IF($C42=65,0,1)</f>
        <v/>
      </c>
      <c r="FF43">
        <f>FF42*IF($C42=66,0,1)</f>
        <v/>
      </c>
      <c r="FG43">
        <f>FG42*IF($C42=67,0,1)</f>
        <v/>
      </c>
      <c r="FH43">
        <f>FH42*IF($C42=68,0,1)</f>
        <v/>
      </c>
      <c r="FI43">
        <f>FI42*IF($C42=69,0,1)</f>
        <v/>
      </c>
      <c r="FJ43">
        <f>FJ42*IF($C42=70,0,1)</f>
        <v/>
      </c>
      <c r="FK43">
        <f>FK42*IF($C42=71,0,1)</f>
        <v/>
      </c>
      <c r="FL43">
        <f>FL42*IF($C42=72,0,1)</f>
        <v/>
      </c>
      <c r="FM43">
        <f>FM42*IF($C42=73,0,1)</f>
        <v/>
      </c>
      <c r="FN43">
        <f>FN42*IF($C42=74,0,1)</f>
        <v/>
      </c>
      <c r="FO43">
        <f>FO42*IF($C42=75,0,1)</f>
        <v/>
      </c>
      <c r="FP43">
        <f>FP42*IF($C42=76,0,1)</f>
        <v/>
      </c>
      <c r="FQ43">
        <f>FQ42*IF($C42=77,0,1)</f>
        <v/>
      </c>
      <c r="FR43">
        <f>FR42*IF($C42=78,0,1)</f>
        <v/>
      </c>
      <c r="FS43">
        <f>FS42*IF($C42=79,0,1)</f>
        <v/>
      </c>
      <c r="FT43">
        <f>FT42*IF($C42=80,0,1)</f>
        <v/>
      </c>
      <c r="FU43">
        <f>FU42*IF($C42=81,0,1)</f>
        <v/>
      </c>
      <c r="FV43">
        <f>FV42*IF($C42=82,0,1)</f>
        <v/>
      </c>
      <c r="FW43">
        <f>FW42*IF($C42=83,0,1)</f>
        <v/>
      </c>
      <c r="FX43">
        <f>FX42*IF($C42=84,0,1)</f>
        <v/>
      </c>
      <c r="FY43">
        <f>FY42*IF($C42=85,0,1)</f>
        <v/>
      </c>
      <c r="FZ43">
        <f>FZ42*IF($C42=86,0,1)</f>
        <v/>
      </c>
      <c r="GA43">
        <f>GA42*IF($C42=87,0,1)</f>
        <v/>
      </c>
      <c r="GB43">
        <f>GB42*IF($C42=88,0,1)</f>
        <v/>
      </c>
      <c r="GC43">
        <f>GC42*IF($C42=89,0,1)</f>
        <v/>
      </c>
      <c r="GD43">
        <f>GD42*IF($C42=90,0,1)</f>
        <v/>
      </c>
      <c r="GE43">
        <f>GE42*IF($C42=91,0,1)</f>
        <v/>
      </c>
      <c r="GF43">
        <f>GF42*IF($C42=92,0,1)</f>
        <v/>
      </c>
      <c r="GG43">
        <f>GG42*IF($C42=93,0,1)</f>
        <v/>
      </c>
      <c r="GH43">
        <f>GH42*IF($C42=94,0,1)</f>
        <v/>
      </c>
      <c r="GI43">
        <f>GI42*IF($C42=95,0,1)</f>
        <v/>
      </c>
      <c r="GJ43">
        <f>GJ42*IF($C42=96,0,1)</f>
        <v/>
      </c>
      <c r="GK43">
        <f>GK42*IF($C42=97,0,1)</f>
        <v/>
      </c>
      <c r="GL43">
        <f>GL42*IF($C42=98,0,1)</f>
        <v/>
      </c>
      <c r="GM43">
        <f>GM42*IF($C42=99,0,1)</f>
        <v/>
      </c>
      <c r="GN43">
        <f>GN42*IF($C42=100,0,1)</f>
        <v/>
      </c>
      <c r="GO43">
        <f>GO42*IF($C42=101,0,1)</f>
        <v/>
      </c>
      <c r="GP43">
        <f>GP42*IF($C42=102,0,1)</f>
        <v/>
      </c>
      <c r="GQ43">
        <f>GQ42*IF($C42=103,0,1)</f>
        <v/>
      </c>
      <c r="GR43">
        <f>GR42*IF($C42=104,0,1)</f>
        <v/>
      </c>
      <c r="GS43">
        <f>GS42*IF($C42=105,0,1)</f>
        <v/>
      </c>
      <c r="GT43">
        <f>GT42*IF($C42=106,0,1)</f>
        <v/>
      </c>
      <c r="GU43">
        <f>GU42*IF($C42=107,0,1)</f>
        <v/>
      </c>
      <c r="GV43">
        <f>GV42*IF($C42=108,0,1)</f>
        <v/>
      </c>
      <c r="GW43">
        <f>GW42*IF($C42=109,0,1)</f>
        <v/>
      </c>
      <c r="GX43">
        <f>GX42*IF($C42=110,0,1)</f>
        <v/>
      </c>
      <c r="GY43">
        <f>GY42*IF($C42=111,0,1)</f>
        <v/>
      </c>
      <c r="GZ43">
        <f>GZ42*IF($C42=112,0,1)</f>
        <v/>
      </c>
      <c r="HA43">
        <f>HA42*IF($C42=113,0,1)</f>
        <v/>
      </c>
      <c r="HB43">
        <f>HB42*IF($C42=114,0,1)</f>
        <v/>
      </c>
      <c r="HC43">
        <f>HC42*IF($C42=115,0,1)</f>
        <v/>
      </c>
      <c r="HD43">
        <f>HD42*IF($C42=116,0,1)</f>
        <v/>
      </c>
      <c r="HE43">
        <f>HE42*IF($C42=117,0,1)</f>
        <v/>
      </c>
      <c r="HF43">
        <f>HF42*IF($C42=118,0,1)</f>
        <v/>
      </c>
      <c r="HG43">
        <f>HG42*IF($C42=119,0,1)</f>
        <v/>
      </c>
      <c r="HH43">
        <f>HH42*IF($C42=120,0,1)</f>
        <v/>
      </c>
      <c r="HJ43">
        <f>IF($B43=0,1000000,IF(INDEX('計算A'!$D$60:$DS$104,$B43,1)*CS43=1,'計算A'!D$6,1000000))</f>
        <v/>
      </c>
      <c r="HK43">
        <f>IF($B43=0,1000000,IF(INDEX('計算A'!$D$60:$DS$104,$B43,2)*CT43=1,'計算A'!E$6,1000000))</f>
        <v/>
      </c>
      <c r="HL43">
        <f>IF($B43=0,1000000,IF(INDEX('計算A'!$D$60:$DS$104,$B43,3)*CU43=1,'計算A'!F$6,1000000))</f>
        <v/>
      </c>
      <c r="HM43">
        <f>IF($B43=0,1000000,IF(INDEX('計算A'!$D$60:$DS$104,$B43,4)*CV43=1,'計算A'!G$6,1000000))</f>
        <v/>
      </c>
      <c r="HN43">
        <f>IF($B43=0,1000000,IF(INDEX('計算A'!$D$60:$DS$104,$B43,5)*CW43=1,'計算A'!H$6,1000000))</f>
        <v/>
      </c>
      <c r="HO43">
        <f>IF($B43=0,1000000,IF(INDEX('計算A'!$D$60:$DS$104,$B43,6)*CX43=1,'計算A'!I$6,1000000))</f>
        <v/>
      </c>
      <c r="HP43">
        <f>IF($B43=0,1000000,IF(INDEX('計算A'!$D$60:$DS$104,$B43,7)*CY43=1,'計算A'!J$6,1000000))</f>
        <v/>
      </c>
      <c r="HQ43">
        <f>IF($B43=0,1000000,IF(INDEX('計算A'!$D$60:$DS$104,$B43,8)*CZ43=1,'計算A'!K$6,1000000))</f>
        <v/>
      </c>
      <c r="HR43">
        <f>IF($B43=0,1000000,IF(INDEX('計算A'!$D$60:$DS$104,$B43,9)*DA43=1,'計算A'!L$6,1000000))</f>
        <v/>
      </c>
      <c r="HS43">
        <f>IF($B43=0,1000000,IF(INDEX('計算A'!$D$60:$DS$104,$B43,10)*DB43=1,'計算A'!M$6,1000000))</f>
        <v/>
      </c>
      <c r="HT43">
        <f>IF($B43=0,1000000,IF(INDEX('計算A'!$D$60:$DS$104,$B43,11)*DC43=1,'計算A'!N$6,1000000))</f>
        <v/>
      </c>
      <c r="HU43">
        <f>IF($B43=0,1000000,IF(INDEX('計算A'!$D$60:$DS$104,$B43,12)*DD43=1,'計算A'!O$6,1000000))</f>
        <v/>
      </c>
      <c r="HV43">
        <f>IF($B43=0,1000000,IF(INDEX('計算A'!$D$60:$DS$104,$B43,13)*DE43=1,'計算A'!P$6,1000000))</f>
        <v/>
      </c>
      <c r="HW43">
        <f>IF($B43=0,1000000,IF(INDEX('計算A'!$D$60:$DS$104,$B43,14)*DF43=1,'計算A'!Q$6,1000000))</f>
        <v/>
      </c>
      <c r="HX43">
        <f>IF($B43=0,1000000,IF(INDEX('計算A'!$D$60:$DS$104,$B43,15)*DG43=1,'計算A'!R$6,1000000))</f>
        <v/>
      </c>
      <c r="HY43">
        <f>IF($B43=0,1000000,IF(INDEX('計算A'!$D$60:$DS$104,$B43,16)*DH43=1,'計算A'!S$6,1000000))</f>
        <v/>
      </c>
      <c r="HZ43">
        <f>IF($B43=0,1000000,IF(INDEX('計算A'!$D$60:$DS$104,$B43,17)*DI43=1,'計算A'!T$6,1000000))</f>
        <v/>
      </c>
      <c r="IA43">
        <f>IF($B43=0,1000000,IF(INDEX('計算A'!$D$60:$DS$104,$B43,18)*DJ43=1,'計算A'!U$6,1000000))</f>
        <v/>
      </c>
      <c r="IB43">
        <f>IF($B43=0,1000000,IF(INDEX('計算A'!$D$60:$DS$104,$B43,19)*DK43=1,'計算A'!V$6,1000000))</f>
        <v/>
      </c>
      <c r="IC43">
        <f>IF($B43=0,1000000,IF(INDEX('計算A'!$D$60:$DS$104,$B43,20)*DL43=1,'計算A'!W$6,1000000))</f>
        <v/>
      </c>
      <c r="ID43">
        <f>IF($B43=0,1000000,IF(INDEX('計算A'!$D$60:$DS$104,$B43,21)*DM43=1,'計算A'!X$6,1000000))</f>
        <v/>
      </c>
      <c r="IE43">
        <f>IF($B43=0,1000000,IF(INDEX('計算A'!$D$60:$DS$104,$B43,22)*DN43=1,'計算A'!Y$6,1000000))</f>
        <v/>
      </c>
      <c r="IF43">
        <f>IF($B43=0,1000000,IF(INDEX('計算A'!$D$60:$DS$104,$B43,23)*DO43=1,'計算A'!Z$6,1000000))</f>
        <v/>
      </c>
      <c r="IG43">
        <f>IF($B43=0,1000000,IF(INDEX('計算A'!$D$60:$DS$104,$B43,24)*DP43=1,'計算A'!AA$6,1000000))</f>
        <v/>
      </c>
      <c r="IH43">
        <f>IF($B43=0,1000000,IF(INDEX('計算A'!$D$60:$DS$104,$B43,25)*DQ43=1,'計算A'!AB$6,1000000))</f>
        <v/>
      </c>
      <c r="II43">
        <f>IF($B43=0,1000000,IF(INDEX('計算A'!$D$60:$DS$104,$B43,26)*DR43=1,'計算A'!AC$6,1000000))</f>
        <v/>
      </c>
      <c r="IJ43">
        <f>IF($B43=0,1000000,IF(INDEX('計算A'!$D$60:$DS$104,$B43,27)*DS43=1,'計算A'!AD$6,1000000))</f>
        <v/>
      </c>
      <c r="IK43">
        <f>IF($B43=0,1000000,IF(INDEX('計算A'!$D$60:$DS$104,$B43,28)*DT43=1,'計算A'!AE$6,1000000))</f>
        <v/>
      </c>
      <c r="IL43">
        <f>IF($B43=0,1000000,IF(INDEX('計算A'!$D$60:$DS$104,$B43,29)*DU43=1,'計算A'!AF$6,1000000))</f>
        <v/>
      </c>
      <c r="IM43">
        <f>IF($B43=0,1000000,IF(INDEX('計算A'!$D$60:$DS$104,$B43,30)*DV43=1,'計算A'!AG$6,1000000))</f>
        <v/>
      </c>
      <c r="IN43">
        <f>IF($B43=0,1000000,IF(INDEX('計算A'!$D$60:$DS$104,$B43,31)*DW43=1,'計算A'!AH$6,1000000))</f>
        <v/>
      </c>
      <c r="IO43">
        <f>IF($B43=0,1000000,IF(INDEX('計算A'!$D$60:$DS$104,$B43,32)*DX43=1,'計算A'!AI$6,1000000))</f>
        <v/>
      </c>
      <c r="IP43">
        <f>IF($B43=0,1000000,IF(INDEX('計算A'!$D$60:$DS$104,$B43,33)*DY43=1,'計算A'!AJ$6,1000000))</f>
        <v/>
      </c>
      <c r="IQ43">
        <f>IF($B43=0,1000000,IF(INDEX('計算A'!$D$60:$DS$104,$B43,34)*DZ43=1,'計算A'!AK$6,1000000))</f>
        <v/>
      </c>
      <c r="IR43">
        <f>IF($B43=0,1000000,IF(INDEX('計算A'!$D$60:$DS$104,$B43,35)*EA43=1,'計算A'!AL$6,1000000))</f>
        <v/>
      </c>
      <c r="IS43">
        <f>IF($B43=0,1000000,IF(INDEX('計算A'!$D$60:$DS$104,$B43,36)*EB43=1,'計算A'!AM$6,1000000))</f>
        <v/>
      </c>
      <c r="IT43">
        <f>IF($B43=0,1000000,IF(INDEX('計算A'!$D$60:$DS$104,$B43,37)*EC43=1,'計算A'!AN$6,1000000))</f>
        <v/>
      </c>
      <c r="IU43">
        <f>IF($B43=0,1000000,IF(INDEX('計算A'!$D$60:$DS$104,$B43,38)*ED43=1,'計算A'!AO$6,1000000))</f>
        <v/>
      </c>
      <c r="IV43">
        <f>IF($B43=0,1000000,IF(INDEX('計算A'!$D$60:$DS$104,$B43,39)*EE43=1,'計算A'!AP$6,1000000))</f>
        <v/>
      </c>
      <c r="IW43">
        <f>IF($B43=0,1000000,IF(INDEX('計算A'!$D$60:$DS$104,$B43,40)*EF43=1,'計算A'!AQ$6,1000000))</f>
        <v/>
      </c>
      <c r="IX43">
        <f>IF($B43=0,1000000,IF(INDEX('計算A'!$D$60:$DS$104,$B43,41)*EG43=1,'計算A'!AR$6,1000000))</f>
        <v/>
      </c>
      <c r="IY43">
        <f>IF($B43=0,1000000,IF(INDEX('計算A'!$D$60:$DS$104,$B43,42)*EH43=1,'計算A'!AS$6,1000000))</f>
        <v/>
      </c>
      <c r="IZ43">
        <f>IF($B43=0,1000000,IF(INDEX('計算A'!$D$60:$DS$104,$B43,43)*EI43=1,'計算A'!AT$6,1000000))</f>
        <v/>
      </c>
      <c r="JA43">
        <f>IF($B43=0,1000000,IF(INDEX('計算A'!$D$60:$DS$104,$B43,44)*EJ43=1,'計算A'!AU$6,1000000))</f>
        <v/>
      </c>
      <c r="JB43">
        <f>IF($B43=0,1000000,IF(INDEX('計算A'!$D$60:$DS$104,$B43,45)*EK43=1,'計算A'!AV$6,1000000))</f>
        <v/>
      </c>
      <c r="JC43">
        <f>IF($B43=0,1000000,IF(INDEX('計算A'!$D$60:$DS$104,$B43,46)*EL43=1,'計算A'!AW$6,1000000))</f>
        <v/>
      </c>
      <c r="JD43">
        <f>IF($B43=0,1000000,IF(INDEX('計算A'!$D$60:$DS$104,$B43,47)*EM43=1,'計算A'!AX$6,1000000))</f>
        <v/>
      </c>
      <c r="JE43">
        <f>IF($B43=0,1000000,IF(INDEX('計算A'!$D$60:$DS$104,$B43,48)*EN43=1,'計算A'!AY$6,1000000))</f>
        <v/>
      </c>
      <c r="JF43">
        <f>IF($B43=0,1000000,IF(INDEX('計算A'!$D$60:$DS$104,$B43,49)*EO43=1,'計算A'!AZ$6,1000000))</f>
        <v/>
      </c>
      <c r="JG43">
        <f>IF($B43=0,1000000,IF(INDEX('計算A'!$D$60:$DS$104,$B43,50)*EP43=1,'計算A'!BA$6,1000000))</f>
        <v/>
      </c>
      <c r="JH43">
        <f>IF($B43=0,1000000,IF(INDEX('計算A'!$D$60:$DS$104,$B43,51)*EQ43=1,'計算A'!BB$6,1000000))</f>
        <v/>
      </c>
      <c r="JI43">
        <f>IF($B43=0,1000000,IF(INDEX('計算A'!$D$60:$DS$104,$B43,52)*ER43=1,'計算A'!BC$6,1000000))</f>
        <v/>
      </c>
      <c r="JJ43">
        <f>IF($B43=0,1000000,IF(INDEX('計算A'!$D$60:$DS$104,$B43,53)*ES43=1,'計算A'!BD$6,1000000))</f>
        <v/>
      </c>
      <c r="JK43">
        <f>IF($B43=0,1000000,IF(INDEX('計算A'!$D$60:$DS$104,$B43,54)*ET43=1,'計算A'!BE$6,1000000))</f>
        <v/>
      </c>
      <c r="JL43">
        <f>IF($B43=0,1000000,IF(INDEX('計算A'!$D$60:$DS$104,$B43,55)*EU43=1,'計算A'!BF$6,1000000))</f>
        <v/>
      </c>
      <c r="JM43">
        <f>IF($B43=0,1000000,IF(INDEX('計算A'!$D$60:$DS$104,$B43,56)*EV43=1,'計算A'!BG$6,1000000))</f>
        <v/>
      </c>
      <c r="JN43">
        <f>IF($B43=0,1000000,IF(INDEX('計算A'!$D$60:$DS$104,$B43,57)*EW43=1,'計算A'!BH$6,1000000))</f>
        <v/>
      </c>
      <c r="JO43">
        <f>IF($B43=0,1000000,IF(INDEX('計算A'!$D$60:$DS$104,$B43,58)*EX43=1,'計算A'!BI$6,1000000))</f>
        <v/>
      </c>
      <c r="JP43">
        <f>IF($B43=0,1000000,IF(INDEX('計算A'!$D$60:$DS$104,$B43,59)*EY43=1,'計算A'!BJ$6,1000000))</f>
        <v/>
      </c>
      <c r="JQ43">
        <f>IF($B43=0,1000000,IF(INDEX('計算A'!$D$60:$DS$104,$B43,60)*EZ43=1,'計算A'!BK$6,1000000))</f>
        <v/>
      </c>
      <c r="JR43">
        <f>IF($B43=0,1000000,IF(INDEX('計算A'!$D$60:$DS$104,$B43,61)*FA43=1,'計算A'!BL$6,1000000))</f>
        <v/>
      </c>
      <c r="JS43">
        <f>IF($B43=0,1000000,IF(INDEX('計算A'!$D$60:$DS$104,$B43,62)*FB43=1,'計算A'!BM$6,1000000))</f>
        <v/>
      </c>
      <c r="JT43">
        <f>IF($B43=0,1000000,IF(INDEX('計算A'!$D$60:$DS$104,$B43,63)*FC43=1,'計算A'!BN$6,1000000))</f>
        <v/>
      </c>
      <c r="JU43">
        <f>IF($B43=0,1000000,IF(INDEX('計算A'!$D$60:$DS$104,$B43,64)*FD43=1,'計算A'!BO$6,1000000))</f>
        <v/>
      </c>
      <c r="JV43">
        <f>IF($B43=0,1000000,IF(INDEX('計算A'!$D$60:$DS$104,$B43,65)*FE43=1,'計算A'!BP$6,1000000))</f>
        <v/>
      </c>
      <c r="JW43">
        <f>IF($B43=0,1000000,IF(INDEX('計算A'!$D$60:$DS$104,$B43,66)*FF43=1,'計算A'!BQ$6,1000000))</f>
        <v/>
      </c>
      <c r="JX43">
        <f>IF($B43=0,1000000,IF(INDEX('計算A'!$D$60:$DS$104,$B43,67)*FG43=1,'計算A'!BR$6,1000000))</f>
        <v/>
      </c>
      <c r="JY43">
        <f>IF($B43=0,1000000,IF(INDEX('計算A'!$D$60:$DS$104,$B43,68)*FH43=1,'計算A'!BS$6,1000000))</f>
        <v/>
      </c>
      <c r="JZ43">
        <f>IF($B43=0,1000000,IF(INDEX('計算A'!$D$60:$DS$104,$B43,69)*FI43=1,'計算A'!BT$6,1000000))</f>
        <v/>
      </c>
      <c r="KA43">
        <f>IF($B43=0,1000000,IF(INDEX('計算A'!$D$60:$DS$104,$B43,70)*FJ43=1,'計算A'!BU$6,1000000))</f>
        <v/>
      </c>
      <c r="KB43">
        <f>IF($B43=0,1000000,IF(INDEX('計算A'!$D$60:$DS$104,$B43,71)*FK43=1,'計算A'!BV$6,1000000))</f>
        <v/>
      </c>
      <c r="KC43">
        <f>IF($B43=0,1000000,IF(INDEX('計算A'!$D$60:$DS$104,$B43,72)*FL43=1,'計算A'!BW$6,1000000))</f>
        <v/>
      </c>
      <c r="KD43">
        <f>IF($B43=0,1000000,IF(INDEX('計算A'!$D$60:$DS$104,$B43,73)*FM43=1,'計算A'!BX$6,1000000))</f>
        <v/>
      </c>
      <c r="KE43">
        <f>IF($B43=0,1000000,IF(INDEX('計算A'!$D$60:$DS$104,$B43,74)*FN43=1,'計算A'!BY$6,1000000))</f>
        <v/>
      </c>
      <c r="KF43">
        <f>IF($B43=0,1000000,IF(INDEX('計算A'!$D$60:$DS$104,$B43,75)*FO43=1,'計算A'!BZ$6,1000000))</f>
        <v/>
      </c>
      <c r="KG43">
        <f>IF($B43=0,1000000,IF(INDEX('計算A'!$D$60:$DS$104,$B43,76)*FP43=1,'計算A'!CA$6,1000000))</f>
        <v/>
      </c>
      <c r="KH43">
        <f>IF($B43=0,1000000,IF(INDEX('計算A'!$D$60:$DS$104,$B43,77)*FQ43=1,'計算A'!CB$6,1000000))</f>
        <v/>
      </c>
      <c r="KI43">
        <f>IF($B43=0,1000000,IF(INDEX('計算A'!$D$60:$DS$104,$B43,78)*FR43=1,'計算A'!CC$6,1000000))</f>
        <v/>
      </c>
      <c r="KJ43">
        <f>IF($B43=0,1000000,IF(INDEX('計算A'!$D$60:$DS$104,$B43,79)*FS43=1,'計算A'!CD$6,1000000))</f>
        <v/>
      </c>
      <c r="KK43">
        <f>IF($B43=0,1000000,IF(INDEX('計算A'!$D$60:$DS$104,$B43,80)*FT43=1,'計算A'!CE$6,1000000))</f>
        <v/>
      </c>
      <c r="KL43">
        <f>IF($B43=0,1000000,IF(INDEX('計算A'!$D$60:$DS$104,$B43,81)*FU43=1,'計算A'!CF$6,1000000))</f>
        <v/>
      </c>
      <c r="KM43">
        <f>IF($B43=0,1000000,IF(INDEX('計算A'!$D$60:$DS$104,$B43,82)*FV43=1,'計算A'!CG$6,1000000))</f>
        <v/>
      </c>
      <c r="KN43">
        <f>IF($B43=0,1000000,IF(INDEX('計算A'!$D$60:$DS$104,$B43,83)*FW43=1,'計算A'!CH$6,1000000))</f>
        <v/>
      </c>
      <c r="KO43">
        <f>IF($B43=0,1000000,IF(INDEX('計算A'!$D$60:$DS$104,$B43,84)*FX43=1,'計算A'!CI$6,1000000))</f>
        <v/>
      </c>
      <c r="KP43">
        <f>IF($B43=0,1000000,IF(INDEX('計算A'!$D$60:$DS$104,$B43,85)*FY43=1,'計算A'!CJ$6,1000000))</f>
        <v/>
      </c>
      <c r="KQ43">
        <f>IF($B43=0,1000000,IF(INDEX('計算A'!$D$60:$DS$104,$B43,86)*FZ43=1,'計算A'!CK$6,1000000))</f>
        <v/>
      </c>
      <c r="KR43">
        <f>IF($B43=0,1000000,IF(INDEX('計算A'!$D$60:$DS$104,$B43,87)*GA43=1,'計算A'!CL$6,1000000))</f>
        <v/>
      </c>
      <c r="KS43">
        <f>IF($B43=0,1000000,IF(INDEX('計算A'!$D$60:$DS$104,$B43,88)*GB43=1,'計算A'!CM$6,1000000))</f>
        <v/>
      </c>
      <c r="KT43">
        <f>IF($B43=0,1000000,IF(INDEX('計算A'!$D$60:$DS$104,$B43,89)*GC43=1,'計算A'!CN$6,1000000))</f>
        <v/>
      </c>
      <c r="KU43">
        <f>IF($B43=0,1000000,IF(INDEX('計算A'!$D$60:$DS$104,$B43,90)*GD43=1,'計算A'!CO$6,1000000))</f>
        <v/>
      </c>
      <c r="KV43">
        <f>IF($B43=0,1000000,IF(INDEX('計算A'!$D$60:$DS$104,$B43,91)*GE43=1,'計算A'!CP$6,1000000))</f>
        <v/>
      </c>
      <c r="KW43">
        <f>IF($B43=0,1000000,IF(INDEX('計算A'!$D$60:$DS$104,$B43,92)*GF43=1,'計算A'!CQ$6,1000000))</f>
        <v/>
      </c>
      <c r="KX43">
        <f>IF($B43=0,1000000,IF(INDEX('計算A'!$D$60:$DS$104,$B43,93)*GG43=1,'計算A'!CR$6,1000000))</f>
        <v/>
      </c>
      <c r="KY43">
        <f>IF($B43=0,1000000,IF(INDEX('計算A'!$D$60:$DS$104,$B43,94)*GH43=1,'計算A'!CS$6,1000000))</f>
        <v/>
      </c>
      <c r="KZ43">
        <f>IF($B43=0,1000000,IF(INDEX('計算A'!$D$60:$DS$104,$B43,95)*GI43=1,'計算A'!CT$6,1000000))</f>
        <v/>
      </c>
      <c r="LA43">
        <f>IF($B43=0,1000000,IF(INDEX('計算A'!$D$60:$DS$104,$B43,96)*GJ43=1,'計算A'!CU$6,1000000))</f>
        <v/>
      </c>
      <c r="LB43">
        <f>IF($B43=0,1000000,IF(INDEX('計算A'!$D$60:$DS$104,$B43,97)*GK43=1,'計算A'!CV$6,1000000))</f>
        <v/>
      </c>
      <c r="LC43">
        <f>IF($B43=0,1000000,IF(INDEX('計算A'!$D$60:$DS$104,$B43,98)*GL43=1,'計算A'!CW$6,1000000))</f>
        <v/>
      </c>
      <c r="LD43">
        <f>IF($B43=0,1000000,IF(INDEX('計算A'!$D$60:$DS$104,$B43,99)*GM43=1,'計算A'!CX$6,1000000))</f>
        <v/>
      </c>
      <c r="LE43">
        <f>IF($B43=0,1000000,IF(INDEX('計算A'!$D$60:$DS$104,$B43,100)*GN43=1,'計算A'!CY$6,1000000))</f>
        <v/>
      </c>
      <c r="LF43">
        <f>IF($B43=0,1000000,IF(INDEX('計算A'!$D$60:$DS$104,$B43,101)*GO43=1,'計算A'!CZ$6,1000000))</f>
        <v/>
      </c>
      <c r="LG43">
        <f>IF($B43=0,1000000,IF(INDEX('計算A'!$D$60:$DS$104,$B43,102)*GP43=1,'計算A'!DA$6,1000000))</f>
        <v/>
      </c>
      <c r="LH43">
        <f>IF($B43=0,1000000,IF(INDEX('計算A'!$D$60:$DS$104,$B43,103)*GQ43=1,'計算A'!DB$6,1000000))</f>
        <v/>
      </c>
      <c r="LI43">
        <f>IF($B43=0,1000000,IF(INDEX('計算A'!$D$60:$DS$104,$B43,104)*GR43=1,'計算A'!DC$6,1000000))</f>
        <v/>
      </c>
      <c r="LJ43">
        <f>IF($B43=0,1000000,IF(INDEX('計算A'!$D$60:$DS$104,$B43,105)*GS43=1,'計算A'!DD$6,1000000))</f>
        <v/>
      </c>
      <c r="LK43">
        <f>IF($B43=0,1000000,IF(INDEX('計算A'!$D$60:$DS$104,$B43,106)*GT43=1,'計算A'!DE$6,1000000))</f>
        <v/>
      </c>
      <c r="LL43">
        <f>IF($B43=0,1000000,IF(INDEX('計算A'!$D$60:$DS$104,$B43,107)*GU43=1,'計算A'!DF$6,1000000))</f>
        <v/>
      </c>
      <c r="LM43">
        <f>IF($B43=0,1000000,IF(INDEX('計算A'!$D$60:$DS$104,$B43,108)*GV43=1,'計算A'!DG$6,1000000))</f>
        <v/>
      </c>
      <c r="LN43">
        <f>IF($B43=0,1000000,IF(INDEX('計算A'!$D$60:$DS$104,$B43,109)*GW43=1,'計算A'!DH$6,1000000))</f>
        <v/>
      </c>
      <c r="LO43">
        <f>IF($B43=0,1000000,IF(INDEX('計算A'!$D$60:$DS$104,$B43,110)*GX43=1,'計算A'!DI$6,1000000))</f>
        <v/>
      </c>
      <c r="LP43">
        <f>IF($B43=0,1000000,IF(INDEX('計算A'!$D$60:$DS$104,$B43,111)*GY43=1,'計算A'!DJ$6,1000000))</f>
        <v/>
      </c>
      <c r="LQ43">
        <f>IF($B43=0,1000000,IF(INDEX('計算A'!$D$60:$DS$104,$B43,112)*GZ43=1,'計算A'!DK$6,1000000))</f>
        <v/>
      </c>
      <c r="LR43">
        <f>IF($B43=0,1000000,IF(INDEX('計算A'!$D$60:$DS$104,$B43,113)*HA43=1,'計算A'!DL$6,1000000))</f>
        <v/>
      </c>
      <c r="LS43">
        <f>IF($B43=0,1000000,IF(INDEX('計算A'!$D$60:$DS$104,$B43,114)*HB43=1,'計算A'!DM$6,1000000))</f>
        <v/>
      </c>
      <c r="LT43">
        <f>IF($B43=0,1000000,IF(INDEX('計算A'!$D$60:$DS$104,$B43,115)*HC43=1,'計算A'!DN$6,1000000))</f>
        <v/>
      </c>
      <c r="LU43">
        <f>IF($B43=0,1000000,IF(INDEX('計算A'!$D$60:$DS$104,$B43,116)*HD43=1,'計算A'!DO$6,1000000))</f>
        <v/>
      </c>
      <c r="LV43">
        <f>IF($B43=0,1000000,IF(INDEX('計算A'!$D$60:$DS$104,$B43,117)*HE43=1,'計算A'!DP$6,1000000))</f>
        <v/>
      </c>
      <c r="LW43">
        <f>IF($B43=0,1000000,IF(INDEX('計算A'!$D$60:$DS$104,$B43,118)*HF43=1,'計算A'!DQ$6,1000000))</f>
        <v/>
      </c>
      <c r="LX43">
        <f>IF($B43=0,1000000,IF(INDEX('計算A'!$D$60:$DS$104,$B43,119)*HG43=1,'計算A'!DR$6,1000000))</f>
        <v/>
      </c>
      <c r="LY43">
        <f>IF($B43=0,1000000,IF(INDEX('計算A'!$D$60:$DS$104,$B43,120)*HH43=1,'計算A'!DS$6,1000000))</f>
        <v/>
      </c>
    </row>
    <row r="44">
      <c r="A44" t="n">
        <v>42</v>
      </c>
      <c r="B44">
        <f>IF(MIN(AY44:CQ44)&gt;=1000000,0,MATCH(MIN(AY44:CQ44),AY44:CQ44,0))</f>
        <v/>
      </c>
      <c r="C44">
        <f>IF(MIN(HJ44:LY44)&gt;=1000000,0,MATCH(MIN(HJ44:LY44),HJ44:LY44,0))</f>
        <v/>
      </c>
      <c r="D44">
        <f>IF(C44&gt;0,INDEX('計算A'!$D$5:$DS$5,C44),0)</f>
        <v/>
      </c>
      <c r="E44">
        <f>MAX(E43,IF($B43=1,1,0))</f>
        <v/>
      </c>
      <c r="F44">
        <f>MAX(F43,IF($B43=2,1,0))</f>
        <v/>
      </c>
      <c r="G44">
        <f>MAX(G43,IF($B43=3,1,0))</f>
        <v/>
      </c>
      <c r="H44">
        <f>MAX(H43,IF($B43=4,1,0))</f>
        <v/>
      </c>
      <c r="I44">
        <f>MAX(I43,IF($B43=5,1,0))</f>
        <v/>
      </c>
      <c r="J44">
        <f>MAX(J43,IF($B43=6,1,0))</f>
        <v/>
      </c>
      <c r="K44">
        <f>MAX(K43,IF($B43=7,1,0))</f>
        <v/>
      </c>
      <c r="L44">
        <f>MAX(L43,IF($B43=8,1,0))</f>
        <v/>
      </c>
      <c r="M44">
        <f>MAX(M43,IF($B43=9,1,0))</f>
        <v/>
      </c>
      <c r="N44">
        <f>MAX(N43,IF($B43=10,1,0))</f>
        <v/>
      </c>
      <c r="O44">
        <f>MAX(O43,IF($B43=11,1,0))</f>
        <v/>
      </c>
      <c r="P44">
        <f>MAX(P43,IF($B43=12,1,0))</f>
        <v/>
      </c>
      <c r="Q44">
        <f>MAX(Q43,IF($B43=13,1,0))</f>
        <v/>
      </c>
      <c r="R44">
        <f>MAX(R43,IF($B43=14,1,0))</f>
        <v/>
      </c>
      <c r="S44">
        <f>MAX(S43,IF($B43=15,1,0))</f>
        <v/>
      </c>
      <c r="T44">
        <f>MAX(T43,IF($B43=16,1,0))</f>
        <v/>
      </c>
      <c r="U44">
        <f>MAX(U43,IF($B43=17,1,0))</f>
        <v/>
      </c>
      <c r="V44">
        <f>MAX(V43,IF($B43=18,1,0))</f>
        <v/>
      </c>
      <c r="W44">
        <f>MAX(W43,IF($B43=19,1,0))</f>
        <v/>
      </c>
      <c r="X44">
        <f>MAX(X43,IF($B43=20,1,0))</f>
        <v/>
      </c>
      <c r="Y44">
        <f>MAX(Y43,IF($B43=21,1,0))</f>
        <v/>
      </c>
      <c r="Z44">
        <f>MAX(Z43,IF($B43=22,1,0))</f>
        <v/>
      </c>
      <c r="AA44">
        <f>MAX(AA43,IF($B43=23,1,0))</f>
        <v/>
      </c>
      <c r="AB44">
        <f>MAX(AB43,IF($B43=24,1,0))</f>
        <v/>
      </c>
      <c r="AC44">
        <f>MAX(AC43,IF($B43=25,1,0))</f>
        <v/>
      </c>
      <c r="AD44">
        <f>MAX(AD43,IF($B43=26,1,0))</f>
        <v/>
      </c>
      <c r="AE44">
        <f>MAX(AE43,IF($B43=27,1,0))</f>
        <v/>
      </c>
      <c r="AF44">
        <f>MAX(AF43,IF($B43=28,1,0))</f>
        <v/>
      </c>
      <c r="AG44">
        <f>MAX(AG43,IF($B43=29,1,0))</f>
        <v/>
      </c>
      <c r="AH44">
        <f>MAX(AH43,IF($B43=30,1,0))</f>
        <v/>
      </c>
      <c r="AI44">
        <f>MAX(AI43,IF($B43=31,1,0))</f>
        <v/>
      </c>
      <c r="AJ44">
        <f>MAX(AJ43,IF($B43=32,1,0))</f>
        <v/>
      </c>
      <c r="AK44">
        <f>MAX(AK43,IF($B43=33,1,0))</f>
        <v/>
      </c>
      <c r="AL44">
        <f>MAX(AL43,IF($B43=34,1,0))</f>
        <v/>
      </c>
      <c r="AM44">
        <f>MAX(AM43,IF($B43=35,1,0))</f>
        <v/>
      </c>
      <c r="AN44">
        <f>MAX(AN43,IF($B43=36,1,0))</f>
        <v/>
      </c>
      <c r="AO44">
        <f>MAX(AO43,IF($B43=37,1,0))</f>
        <v/>
      </c>
      <c r="AP44">
        <f>MAX(AP43,IF($B43=38,1,0))</f>
        <v/>
      </c>
      <c r="AQ44">
        <f>MAX(AQ43,IF($B43=39,1,0))</f>
        <v/>
      </c>
      <c r="AR44">
        <f>MAX(AR43,IF($B43=40,1,0))</f>
        <v/>
      </c>
      <c r="AS44">
        <f>MAX(AS43,IF($B43=41,1,0))</f>
        <v/>
      </c>
      <c r="AT44">
        <f>MAX(AT43,IF($B43=42,1,0))</f>
        <v/>
      </c>
      <c r="AU44">
        <f>MAX(AU43,IF($B43=43,1,0))</f>
        <v/>
      </c>
      <c r="AV44">
        <f>MAX(AV43,IF($B43=44,1,0))</f>
        <v/>
      </c>
      <c r="AW44">
        <f>MAX(AW43,IF($B43=45,1,0))</f>
        <v/>
      </c>
      <c r="AY44">
        <f>IF(E44=1,1000000,SUMPRODUCT('計算A'!$D$60:$DS$60,$CS44:$HH44)*1000+1)</f>
        <v/>
      </c>
      <c r="AZ44">
        <f>IF(F44=1,1000000,SUMPRODUCT('計算A'!$D$61:$DS$61,$CS44:$HH44)*1000+2)</f>
        <v/>
      </c>
      <c r="BA44">
        <f>IF(G44=1,1000000,SUMPRODUCT('計算A'!$D$62:$DS$62,$CS44:$HH44)*1000+3)</f>
        <v/>
      </c>
      <c r="BB44">
        <f>IF(H44=1,1000000,SUMPRODUCT('計算A'!$D$63:$DS$63,$CS44:$HH44)*1000+4)</f>
        <v/>
      </c>
      <c r="BC44">
        <f>IF(I44=1,1000000,SUMPRODUCT('計算A'!$D$64:$DS$64,$CS44:$HH44)*1000+5)</f>
        <v/>
      </c>
      <c r="BD44">
        <f>IF(J44=1,1000000,SUMPRODUCT('計算A'!$D$65:$DS$65,$CS44:$HH44)*1000+6)</f>
        <v/>
      </c>
      <c r="BE44">
        <f>IF(K44=1,1000000,SUMPRODUCT('計算A'!$D$66:$DS$66,$CS44:$HH44)*1000+7)</f>
        <v/>
      </c>
      <c r="BF44">
        <f>IF(L44=1,1000000,SUMPRODUCT('計算A'!$D$67:$DS$67,$CS44:$HH44)*1000+8)</f>
        <v/>
      </c>
      <c r="BG44">
        <f>IF(M44=1,1000000,SUMPRODUCT('計算A'!$D$68:$DS$68,$CS44:$HH44)*1000+9)</f>
        <v/>
      </c>
      <c r="BH44">
        <f>IF(N44=1,1000000,SUMPRODUCT('計算A'!$D$69:$DS$69,$CS44:$HH44)*1000+10)</f>
        <v/>
      </c>
      <c r="BI44">
        <f>IF(O44=1,1000000,SUMPRODUCT('計算A'!$D$70:$DS$70,$CS44:$HH44)*1000+11)</f>
        <v/>
      </c>
      <c r="BJ44">
        <f>IF(P44=1,1000000,SUMPRODUCT('計算A'!$D$71:$DS$71,$CS44:$HH44)*1000+12)</f>
        <v/>
      </c>
      <c r="BK44">
        <f>IF(Q44=1,1000000,SUMPRODUCT('計算A'!$D$72:$DS$72,$CS44:$HH44)*1000+13)</f>
        <v/>
      </c>
      <c r="BL44">
        <f>IF(R44=1,1000000,SUMPRODUCT('計算A'!$D$73:$DS$73,$CS44:$HH44)*1000+14)</f>
        <v/>
      </c>
      <c r="BM44">
        <f>IF(S44=1,1000000,SUMPRODUCT('計算A'!$D$74:$DS$74,$CS44:$HH44)*1000+15)</f>
        <v/>
      </c>
      <c r="BN44">
        <f>IF(T44=1,1000000,SUMPRODUCT('計算A'!$D$75:$DS$75,$CS44:$HH44)*1000+16)</f>
        <v/>
      </c>
      <c r="BO44">
        <f>IF(U44=1,1000000,SUMPRODUCT('計算A'!$D$76:$DS$76,$CS44:$HH44)*1000+17)</f>
        <v/>
      </c>
      <c r="BP44">
        <f>IF(V44=1,1000000,SUMPRODUCT('計算A'!$D$77:$DS$77,$CS44:$HH44)*1000+18)</f>
        <v/>
      </c>
      <c r="BQ44">
        <f>IF(W44=1,1000000,SUMPRODUCT('計算A'!$D$78:$DS$78,$CS44:$HH44)*1000+19)</f>
        <v/>
      </c>
      <c r="BR44">
        <f>IF(X44=1,1000000,SUMPRODUCT('計算A'!$D$79:$DS$79,$CS44:$HH44)*1000+20)</f>
        <v/>
      </c>
      <c r="BS44">
        <f>IF(Y44=1,1000000,SUMPRODUCT('計算A'!$D$80:$DS$80,$CS44:$HH44)*1000+21)</f>
        <v/>
      </c>
      <c r="BT44">
        <f>IF(Z44=1,1000000,SUMPRODUCT('計算A'!$D$81:$DS$81,$CS44:$HH44)*1000+22)</f>
        <v/>
      </c>
      <c r="BU44">
        <f>IF(AA44=1,1000000,SUMPRODUCT('計算A'!$D$82:$DS$82,$CS44:$HH44)*1000+23)</f>
        <v/>
      </c>
      <c r="BV44">
        <f>IF(AB44=1,1000000,SUMPRODUCT('計算A'!$D$83:$DS$83,$CS44:$HH44)*1000+24)</f>
        <v/>
      </c>
      <c r="BW44">
        <f>IF(AC44=1,1000000,SUMPRODUCT('計算A'!$D$84:$DS$84,$CS44:$HH44)*1000+25)</f>
        <v/>
      </c>
      <c r="BX44">
        <f>IF(AD44=1,1000000,SUMPRODUCT('計算A'!$D$85:$DS$85,$CS44:$HH44)*1000+26)</f>
        <v/>
      </c>
      <c r="BY44">
        <f>IF(AE44=1,1000000,SUMPRODUCT('計算A'!$D$86:$DS$86,$CS44:$HH44)*1000+27)</f>
        <v/>
      </c>
      <c r="BZ44">
        <f>IF(AF44=1,1000000,SUMPRODUCT('計算A'!$D$87:$DS$87,$CS44:$HH44)*1000+28)</f>
        <v/>
      </c>
      <c r="CA44">
        <f>IF(AG44=1,1000000,SUMPRODUCT('計算A'!$D$88:$DS$88,$CS44:$HH44)*1000+29)</f>
        <v/>
      </c>
      <c r="CB44">
        <f>IF(AH44=1,1000000,SUMPRODUCT('計算A'!$D$89:$DS$89,$CS44:$HH44)*1000+30)</f>
        <v/>
      </c>
      <c r="CC44">
        <f>IF(AI44=1,1000000,SUMPRODUCT('計算A'!$D$90:$DS$90,$CS44:$HH44)*1000+31)</f>
        <v/>
      </c>
      <c r="CD44">
        <f>IF(AJ44=1,1000000,SUMPRODUCT('計算A'!$D$91:$DS$91,$CS44:$HH44)*1000+32)</f>
        <v/>
      </c>
      <c r="CE44">
        <f>IF(AK44=1,1000000,SUMPRODUCT('計算A'!$D$92:$DS$92,$CS44:$HH44)*1000+33)</f>
        <v/>
      </c>
      <c r="CF44">
        <f>IF(AL44=1,1000000,SUMPRODUCT('計算A'!$D$93:$DS$93,$CS44:$HH44)*1000+34)</f>
        <v/>
      </c>
      <c r="CG44">
        <f>IF(AM44=1,1000000,SUMPRODUCT('計算A'!$D$94:$DS$94,$CS44:$HH44)*1000+35)</f>
        <v/>
      </c>
      <c r="CH44">
        <f>IF(AN44=1,1000000,SUMPRODUCT('計算A'!$D$95:$DS$95,$CS44:$HH44)*1000+36)</f>
        <v/>
      </c>
      <c r="CI44">
        <f>IF(AO44=1,1000000,SUMPRODUCT('計算A'!$D$96:$DS$96,$CS44:$HH44)*1000+37)</f>
        <v/>
      </c>
      <c r="CJ44">
        <f>IF(AP44=1,1000000,SUMPRODUCT('計算A'!$D$97:$DS$97,$CS44:$HH44)*1000+38)</f>
        <v/>
      </c>
      <c r="CK44">
        <f>IF(AQ44=1,1000000,SUMPRODUCT('計算A'!$D$98:$DS$98,$CS44:$HH44)*1000+39)</f>
        <v/>
      </c>
      <c r="CL44">
        <f>IF(AR44=1,1000000,SUMPRODUCT('計算A'!$D$99:$DS$99,$CS44:$HH44)*1000+40)</f>
        <v/>
      </c>
      <c r="CM44">
        <f>IF(AS44=1,1000000,SUMPRODUCT('計算A'!$D$100:$DS$100,$CS44:$HH44)*1000+41)</f>
        <v/>
      </c>
      <c r="CN44">
        <f>IF(AT44=1,1000000,SUMPRODUCT('計算A'!$D$101:$DS$101,$CS44:$HH44)*1000+42)</f>
        <v/>
      </c>
      <c r="CO44">
        <f>IF(AU44=1,1000000,SUMPRODUCT('計算A'!$D$102:$DS$102,$CS44:$HH44)*1000+43)</f>
        <v/>
      </c>
      <c r="CP44">
        <f>IF(AV44=1,1000000,SUMPRODUCT('計算A'!$D$103:$DS$103,$CS44:$HH44)*1000+44)</f>
        <v/>
      </c>
      <c r="CQ44">
        <f>IF(AW44=1,1000000,SUMPRODUCT('計算A'!$D$104:$DS$104,$CS44:$HH44)*1000+45)</f>
        <v/>
      </c>
      <c r="CS44">
        <f>CS43*IF($C43=1,0,1)</f>
        <v/>
      </c>
      <c r="CT44">
        <f>CT43*IF($C43=2,0,1)</f>
        <v/>
      </c>
      <c r="CU44">
        <f>CU43*IF($C43=3,0,1)</f>
        <v/>
      </c>
      <c r="CV44">
        <f>CV43*IF($C43=4,0,1)</f>
        <v/>
      </c>
      <c r="CW44">
        <f>CW43*IF($C43=5,0,1)</f>
        <v/>
      </c>
      <c r="CX44">
        <f>CX43*IF($C43=6,0,1)</f>
        <v/>
      </c>
      <c r="CY44">
        <f>CY43*IF($C43=7,0,1)</f>
        <v/>
      </c>
      <c r="CZ44">
        <f>CZ43*IF($C43=8,0,1)</f>
        <v/>
      </c>
      <c r="DA44">
        <f>DA43*IF($C43=9,0,1)</f>
        <v/>
      </c>
      <c r="DB44">
        <f>DB43*IF($C43=10,0,1)</f>
        <v/>
      </c>
      <c r="DC44">
        <f>DC43*IF($C43=11,0,1)</f>
        <v/>
      </c>
      <c r="DD44">
        <f>DD43*IF($C43=12,0,1)</f>
        <v/>
      </c>
      <c r="DE44">
        <f>DE43*IF($C43=13,0,1)</f>
        <v/>
      </c>
      <c r="DF44">
        <f>DF43*IF($C43=14,0,1)</f>
        <v/>
      </c>
      <c r="DG44">
        <f>DG43*IF($C43=15,0,1)</f>
        <v/>
      </c>
      <c r="DH44">
        <f>DH43*IF($C43=16,0,1)</f>
        <v/>
      </c>
      <c r="DI44">
        <f>DI43*IF($C43=17,0,1)</f>
        <v/>
      </c>
      <c r="DJ44">
        <f>DJ43*IF($C43=18,0,1)</f>
        <v/>
      </c>
      <c r="DK44">
        <f>DK43*IF($C43=19,0,1)</f>
        <v/>
      </c>
      <c r="DL44">
        <f>DL43*IF($C43=20,0,1)</f>
        <v/>
      </c>
      <c r="DM44">
        <f>DM43*IF($C43=21,0,1)</f>
        <v/>
      </c>
      <c r="DN44">
        <f>DN43*IF($C43=22,0,1)</f>
        <v/>
      </c>
      <c r="DO44">
        <f>DO43*IF($C43=23,0,1)</f>
        <v/>
      </c>
      <c r="DP44">
        <f>DP43*IF($C43=24,0,1)</f>
        <v/>
      </c>
      <c r="DQ44">
        <f>DQ43*IF($C43=25,0,1)</f>
        <v/>
      </c>
      <c r="DR44">
        <f>DR43*IF($C43=26,0,1)</f>
        <v/>
      </c>
      <c r="DS44">
        <f>DS43*IF($C43=27,0,1)</f>
        <v/>
      </c>
      <c r="DT44">
        <f>DT43*IF($C43=28,0,1)</f>
        <v/>
      </c>
      <c r="DU44">
        <f>DU43*IF($C43=29,0,1)</f>
        <v/>
      </c>
      <c r="DV44">
        <f>DV43*IF($C43=30,0,1)</f>
        <v/>
      </c>
      <c r="DW44">
        <f>DW43*IF($C43=31,0,1)</f>
        <v/>
      </c>
      <c r="DX44">
        <f>DX43*IF($C43=32,0,1)</f>
        <v/>
      </c>
      <c r="DY44">
        <f>DY43*IF($C43=33,0,1)</f>
        <v/>
      </c>
      <c r="DZ44">
        <f>DZ43*IF($C43=34,0,1)</f>
        <v/>
      </c>
      <c r="EA44">
        <f>EA43*IF($C43=35,0,1)</f>
        <v/>
      </c>
      <c r="EB44">
        <f>EB43*IF($C43=36,0,1)</f>
        <v/>
      </c>
      <c r="EC44">
        <f>EC43*IF($C43=37,0,1)</f>
        <v/>
      </c>
      <c r="ED44">
        <f>ED43*IF($C43=38,0,1)</f>
        <v/>
      </c>
      <c r="EE44">
        <f>EE43*IF($C43=39,0,1)</f>
        <v/>
      </c>
      <c r="EF44">
        <f>EF43*IF($C43=40,0,1)</f>
        <v/>
      </c>
      <c r="EG44">
        <f>EG43*IF($C43=41,0,1)</f>
        <v/>
      </c>
      <c r="EH44">
        <f>EH43*IF($C43=42,0,1)</f>
        <v/>
      </c>
      <c r="EI44">
        <f>EI43*IF($C43=43,0,1)</f>
        <v/>
      </c>
      <c r="EJ44">
        <f>EJ43*IF($C43=44,0,1)</f>
        <v/>
      </c>
      <c r="EK44">
        <f>EK43*IF($C43=45,0,1)</f>
        <v/>
      </c>
      <c r="EL44">
        <f>EL43*IF($C43=46,0,1)</f>
        <v/>
      </c>
      <c r="EM44">
        <f>EM43*IF($C43=47,0,1)</f>
        <v/>
      </c>
      <c r="EN44">
        <f>EN43*IF($C43=48,0,1)</f>
        <v/>
      </c>
      <c r="EO44">
        <f>EO43*IF($C43=49,0,1)</f>
        <v/>
      </c>
      <c r="EP44">
        <f>EP43*IF($C43=50,0,1)</f>
        <v/>
      </c>
      <c r="EQ44">
        <f>EQ43*IF($C43=51,0,1)</f>
        <v/>
      </c>
      <c r="ER44">
        <f>ER43*IF($C43=52,0,1)</f>
        <v/>
      </c>
      <c r="ES44">
        <f>ES43*IF($C43=53,0,1)</f>
        <v/>
      </c>
      <c r="ET44">
        <f>ET43*IF($C43=54,0,1)</f>
        <v/>
      </c>
      <c r="EU44">
        <f>EU43*IF($C43=55,0,1)</f>
        <v/>
      </c>
      <c r="EV44">
        <f>EV43*IF($C43=56,0,1)</f>
        <v/>
      </c>
      <c r="EW44">
        <f>EW43*IF($C43=57,0,1)</f>
        <v/>
      </c>
      <c r="EX44">
        <f>EX43*IF($C43=58,0,1)</f>
        <v/>
      </c>
      <c r="EY44">
        <f>EY43*IF($C43=59,0,1)</f>
        <v/>
      </c>
      <c r="EZ44">
        <f>EZ43*IF($C43=60,0,1)</f>
        <v/>
      </c>
      <c r="FA44">
        <f>FA43*IF($C43=61,0,1)</f>
        <v/>
      </c>
      <c r="FB44">
        <f>FB43*IF($C43=62,0,1)</f>
        <v/>
      </c>
      <c r="FC44">
        <f>FC43*IF($C43=63,0,1)</f>
        <v/>
      </c>
      <c r="FD44">
        <f>FD43*IF($C43=64,0,1)</f>
        <v/>
      </c>
      <c r="FE44">
        <f>FE43*IF($C43=65,0,1)</f>
        <v/>
      </c>
      <c r="FF44">
        <f>FF43*IF($C43=66,0,1)</f>
        <v/>
      </c>
      <c r="FG44">
        <f>FG43*IF($C43=67,0,1)</f>
        <v/>
      </c>
      <c r="FH44">
        <f>FH43*IF($C43=68,0,1)</f>
        <v/>
      </c>
      <c r="FI44">
        <f>FI43*IF($C43=69,0,1)</f>
        <v/>
      </c>
      <c r="FJ44">
        <f>FJ43*IF($C43=70,0,1)</f>
        <v/>
      </c>
      <c r="FK44">
        <f>FK43*IF($C43=71,0,1)</f>
        <v/>
      </c>
      <c r="FL44">
        <f>FL43*IF($C43=72,0,1)</f>
        <v/>
      </c>
      <c r="FM44">
        <f>FM43*IF($C43=73,0,1)</f>
        <v/>
      </c>
      <c r="FN44">
        <f>FN43*IF($C43=74,0,1)</f>
        <v/>
      </c>
      <c r="FO44">
        <f>FO43*IF($C43=75,0,1)</f>
        <v/>
      </c>
      <c r="FP44">
        <f>FP43*IF($C43=76,0,1)</f>
        <v/>
      </c>
      <c r="FQ44">
        <f>FQ43*IF($C43=77,0,1)</f>
        <v/>
      </c>
      <c r="FR44">
        <f>FR43*IF($C43=78,0,1)</f>
        <v/>
      </c>
      <c r="FS44">
        <f>FS43*IF($C43=79,0,1)</f>
        <v/>
      </c>
      <c r="FT44">
        <f>FT43*IF($C43=80,0,1)</f>
        <v/>
      </c>
      <c r="FU44">
        <f>FU43*IF($C43=81,0,1)</f>
        <v/>
      </c>
      <c r="FV44">
        <f>FV43*IF($C43=82,0,1)</f>
        <v/>
      </c>
      <c r="FW44">
        <f>FW43*IF($C43=83,0,1)</f>
        <v/>
      </c>
      <c r="FX44">
        <f>FX43*IF($C43=84,0,1)</f>
        <v/>
      </c>
      <c r="FY44">
        <f>FY43*IF($C43=85,0,1)</f>
        <v/>
      </c>
      <c r="FZ44">
        <f>FZ43*IF($C43=86,0,1)</f>
        <v/>
      </c>
      <c r="GA44">
        <f>GA43*IF($C43=87,0,1)</f>
        <v/>
      </c>
      <c r="GB44">
        <f>GB43*IF($C43=88,0,1)</f>
        <v/>
      </c>
      <c r="GC44">
        <f>GC43*IF($C43=89,0,1)</f>
        <v/>
      </c>
      <c r="GD44">
        <f>GD43*IF($C43=90,0,1)</f>
        <v/>
      </c>
      <c r="GE44">
        <f>GE43*IF($C43=91,0,1)</f>
        <v/>
      </c>
      <c r="GF44">
        <f>GF43*IF($C43=92,0,1)</f>
        <v/>
      </c>
      <c r="GG44">
        <f>GG43*IF($C43=93,0,1)</f>
        <v/>
      </c>
      <c r="GH44">
        <f>GH43*IF($C43=94,0,1)</f>
        <v/>
      </c>
      <c r="GI44">
        <f>GI43*IF($C43=95,0,1)</f>
        <v/>
      </c>
      <c r="GJ44">
        <f>GJ43*IF($C43=96,0,1)</f>
        <v/>
      </c>
      <c r="GK44">
        <f>GK43*IF($C43=97,0,1)</f>
        <v/>
      </c>
      <c r="GL44">
        <f>GL43*IF($C43=98,0,1)</f>
        <v/>
      </c>
      <c r="GM44">
        <f>GM43*IF($C43=99,0,1)</f>
        <v/>
      </c>
      <c r="GN44">
        <f>GN43*IF($C43=100,0,1)</f>
        <v/>
      </c>
      <c r="GO44">
        <f>GO43*IF($C43=101,0,1)</f>
        <v/>
      </c>
      <c r="GP44">
        <f>GP43*IF($C43=102,0,1)</f>
        <v/>
      </c>
      <c r="GQ44">
        <f>GQ43*IF($C43=103,0,1)</f>
        <v/>
      </c>
      <c r="GR44">
        <f>GR43*IF($C43=104,0,1)</f>
        <v/>
      </c>
      <c r="GS44">
        <f>GS43*IF($C43=105,0,1)</f>
        <v/>
      </c>
      <c r="GT44">
        <f>GT43*IF($C43=106,0,1)</f>
        <v/>
      </c>
      <c r="GU44">
        <f>GU43*IF($C43=107,0,1)</f>
        <v/>
      </c>
      <c r="GV44">
        <f>GV43*IF($C43=108,0,1)</f>
        <v/>
      </c>
      <c r="GW44">
        <f>GW43*IF($C43=109,0,1)</f>
        <v/>
      </c>
      <c r="GX44">
        <f>GX43*IF($C43=110,0,1)</f>
        <v/>
      </c>
      <c r="GY44">
        <f>GY43*IF($C43=111,0,1)</f>
        <v/>
      </c>
      <c r="GZ44">
        <f>GZ43*IF($C43=112,0,1)</f>
        <v/>
      </c>
      <c r="HA44">
        <f>HA43*IF($C43=113,0,1)</f>
        <v/>
      </c>
      <c r="HB44">
        <f>HB43*IF($C43=114,0,1)</f>
        <v/>
      </c>
      <c r="HC44">
        <f>HC43*IF($C43=115,0,1)</f>
        <v/>
      </c>
      <c r="HD44">
        <f>HD43*IF($C43=116,0,1)</f>
        <v/>
      </c>
      <c r="HE44">
        <f>HE43*IF($C43=117,0,1)</f>
        <v/>
      </c>
      <c r="HF44">
        <f>HF43*IF($C43=118,0,1)</f>
        <v/>
      </c>
      <c r="HG44">
        <f>HG43*IF($C43=119,0,1)</f>
        <v/>
      </c>
      <c r="HH44">
        <f>HH43*IF($C43=120,0,1)</f>
        <v/>
      </c>
      <c r="HJ44">
        <f>IF($B44=0,1000000,IF(INDEX('計算A'!$D$60:$DS$104,$B44,1)*CS44=1,'計算A'!D$6,1000000))</f>
        <v/>
      </c>
      <c r="HK44">
        <f>IF($B44=0,1000000,IF(INDEX('計算A'!$D$60:$DS$104,$B44,2)*CT44=1,'計算A'!E$6,1000000))</f>
        <v/>
      </c>
      <c r="HL44">
        <f>IF($B44=0,1000000,IF(INDEX('計算A'!$D$60:$DS$104,$B44,3)*CU44=1,'計算A'!F$6,1000000))</f>
        <v/>
      </c>
      <c r="HM44">
        <f>IF($B44=0,1000000,IF(INDEX('計算A'!$D$60:$DS$104,$B44,4)*CV44=1,'計算A'!G$6,1000000))</f>
        <v/>
      </c>
      <c r="HN44">
        <f>IF($B44=0,1000000,IF(INDEX('計算A'!$D$60:$DS$104,$B44,5)*CW44=1,'計算A'!H$6,1000000))</f>
        <v/>
      </c>
      <c r="HO44">
        <f>IF($B44=0,1000000,IF(INDEX('計算A'!$D$60:$DS$104,$B44,6)*CX44=1,'計算A'!I$6,1000000))</f>
        <v/>
      </c>
      <c r="HP44">
        <f>IF($B44=0,1000000,IF(INDEX('計算A'!$D$60:$DS$104,$B44,7)*CY44=1,'計算A'!J$6,1000000))</f>
        <v/>
      </c>
      <c r="HQ44">
        <f>IF($B44=0,1000000,IF(INDEX('計算A'!$D$60:$DS$104,$B44,8)*CZ44=1,'計算A'!K$6,1000000))</f>
        <v/>
      </c>
      <c r="HR44">
        <f>IF($B44=0,1000000,IF(INDEX('計算A'!$D$60:$DS$104,$B44,9)*DA44=1,'計算A'!L$6,1000000))</f>
        <v/>
      </c>
      <c r="HS44">
        <f>IF($B44=0,1000000,IF(INDEX('計算A'!$D$60:$DS$104,$B44,10)*DB44=1,'計算A'!M$6,1000000))</f>
        <v/>
      </c>
      <c r="HT44">
        <f>IF($B44=0,1000000,IF(INDEX('計算A'!$D$60:$DS$104,$B44,11)*DC44=1,'計算A'!N$6,1000000))</f>
        <v/>
      </c>
      <c r="HU44">
        <f>IF($B44=0,1000000,IF(INDEX('計算A'!$D$60:$DS$104,$B44,12)*DD44=1,'計算A'!O$6,1000000))</f>
        <v/>
      </c>
      <c r="HV44">
        <f>IF($B44=0,1000000,IF(INDEX('計算A'!$D$60:$DS$104,$B44,13)*DE44=1,'計算A'!P$6,1000000))</f>
        <v/>
      </c>
      <c r="HW44">
        <f>IF($B44=0,1000000,IF(INDEX('計算A'!$D$60:$DS$104,$B44,14)*DF44=1,'計算A'!Q$6,1000000))</f>
        <v/>
      </c>
      <c r="HX44">
        <f>IF($B44=0,1000000,IF(INDEX('計算A'!$D$60:$DS$104,$B44,15)*DG44=1,'計算A'!R$6,1000000))</f>
        <v/>
      </c>
      <c r="HY44">
        <f>IF($B44=0,1000000,IF(INDEX('計算A'!$D$60:$DS$104,$B44,16)*DH44=1,'計算A'!S$6,1000000))</f>
        <v/>
      </c>
      <c r="HZ44">
        <f>IF($B44=0,1000000,IF(INDEX('計算A'!$D$60:$DS$104,$B44,17)*DI44=1,'計算A'!T$6,1000000))</f>
        <v/>
      </c>
      <c r="IA44">
        <f>IF($B44=0,1000000,IF(INDEX('計算A'!$D$60:$DS$104,$B44,18)*DJ44=1,'計算A'!U$6,1000000))</f>
        <v/>
      </c>
      <c r="IB44">
        <f>IF($B44=0,1000000,IF(INDEX('計算A'!$D$60:$DS$104,$B44,19)*DK44=1,'計算A'!V$6,1000000))</f>
        <v/>
      </c>
      <c r="IC44">
        <f>IF($B44=0,1000000,IF(INDEX('計算A'!$D$60:$DS$104,$B44,20)*DL44=1,'計算A'!W$6,1000000))</f>
        <v/>
      </c>
      <c r="ID44">
        <f>IF($B44=0,1000000,IF(INDEX('計算A'!$D$60:$DS$104,$B44,21)*DM44=1,'計算A'!X$6,1000000))</f>
        <v/>
      </c>
      <c r="IE44">
        <f>IF($B44=0,1000000,IF(INDEX('計算A'!$D$60:$DS$104,$B44,22)*DN44=1,'計算A'!Y$6,1000000))</f>
        <v/>
      </c>
      <c r="IF44">
        <f>IF($B44=0,1000000,IF(INDEX('計算A'!$D$60:$DS$104,$B44,23)*DO44=1,'計算A'!Z$6,1000000))</f>
        <v/>
      </c>
      <c r="IG44">
        <f>IF($B44=0,1000000,IF(INDEX('計算A'!$D$60:$DS$104,$B44,24)*DP44=1,'計算A'!AA$6,1000000))</f>
        <v/>
      </c>
      <c r="IH44">
        <f>IF($B44=0,1000000,IF(INDEX('計算A'!$D$60:$DS$104,$B44,25)*DQ44=1,'計算A'!AB$6,1000000))</f>
        <v/>
      </c>
      <c r="II44">
        <f>IF($B44=0,1000000,IF(INDEX('計算A'!$D$60:$DS$104,$B44,26)*DR44=1,'計算A'!AC$6,1000000))</f>
        <v/>
      </c>
      <c r="IJ44">
        <f>IF($B44=0,1000000,IF(INDEX('計算A'!$D$60:$DS$104,$B44,27)*DS44=1,'計算A'!AD$6,1000000))</f>
        <v/>
      </c>
      <c r="IK44">
        <f>IF($B44=0,1000000,IF(INDEX('計算A'!$D$60:$DS$104,$B44,28)*DT44=1,'計算A'!AE$6,1000000))</f>
        <v/>
      </c>
      <c r="IL44">
        <f>IF($B44=0,1000000,IF(INDEX('計算A'!$D$60:$DS$104,$B44,29)*DU44=1,'計算A'!AF$6,1000000))</f>
        <v/>
      </c>
      <c r="IM44">
        <f>IF($B44=0,1000000,IF(INDEX('計算A'!$D$60:$DS$104,$B44,30)*DV44=1,'計算A'!AG$6,1000000))</f>
        <v/>
      </c>
      <c r="IN44">
        <f>IF($B44=0,1000000,IF(INDEX('計算A'!$D$60:$DS$104,$B44,31)*DW44=1,'計算A'!AH$6,1000000))</f>
        <v/>
      </c>
      <c r="IO44">
        <f>IF($B44=0,1000000,IF(INDEX('計算A'!$D$60:$DS$104,$B44,32)*DX44=1,'計算A'!AI$6,1000000))</f>
        <v/>
      </c>
      <c r="IP44">
        <f>IF($B44=0,1000000,IF(INDEX('計算A'!$D$60:$DS$104,$B44,33)*DY44=1,'計算A'!AJ$6,1000000))</f>
        <v/>
      </c>
      <c r="IQ44">
        <f>IF($B44=0,1000000,IF(INDEX('計算A'!$D$60:$DS$104,$B44,34)*DZ44=1,'計算A'!AK$6,1000000))</f>
        <v/>
      </c>
      <c r="IR44">
        <f>IF($B44=0,1000000,IF(INDEX('計算A'!$D$60:$DS$104,$B44,35)*EA44=1,'計算A'!AL$6,1000000))</f>
        <v/>
      </c>
      <c r="IS44">
        <f>IF($B44=0,1000000,IF(INDEX('計算A'!$D$60:$DS$104,$B44,36)*EB44=1,'計算A'!AM$6,1000000))</f>
        <v/>
      </c>
      <c r="IT44">
        <f>IF($B44=0,1000000,IF(INDEX('計算A'!$D$60:$DS$104,$B44,37)*EC44=1,'計算A'!AN$6,1000000))</f>
        <v/>
      </c>
      <c r="IU44">
        <f>IF($B44=0,1000000,IF(INDEX('計算A'!$D$60:$DS$104,$B44,38)*ED44=1,'計算A'!AO$6,1000000))</f>
        <v/>
      </c>
      <c r="IV44">
        <f>IF($B44=0,1000000,IF(INDEX('計算A'!$D$60:$DS$104,$B44,39)*EE44=1,'計算A'!AP$6,1000000))</f>
        <v/>
      </c>
      <c r="IW44">
        <f>IF($B44=0,1000000,IF(INDEX('計算A'!$D$60:$DS$104,$B44,40)*EF44=1,'計算A'!AQ$6,1000000))</f>
        <v/>
      </c>
      <c r="IX44">
        <f>IF($B44=0,1000000,IF(INDEX('計算A'!$D$60:$DS$104,$B44,41)*EG44=1,'計算A'!AR$6,1000000))</f>
        <v/>
      </c>
      <c r="IY44">
        <f>IF($B44=0,1000000,IF(INDEX('計算A'!$D$60:$DS$104,$B44,42)*EH44=1,'計算A'!AS$6,1000000))</f>
        <v/>
      </c>
      <c r="IZ44">
        <f>IF($B44=0,1000000,IF(INDEX('計算A'!$D$60:$DS$104,$B44,43)*EI44=1,'計算A'!AT$6,1000000))</f>
        <v/>
      </c>
      <c r="JA44">
        <f>IF($B44=0,1000000,IF(INDEX('計算A'!$D$60:$DS$104,$B44,44)*EJ44=1,'計算A'!AU$6,1000000))</f>
        <v/>
      </c>
      <c r="JB44">
        <f>IF($B44=0,1000000,IF(INDEX('計算A'!$D$60:$DS$104,$B44,45)*EK44=1,'計算A'!AV$6,1000000))</f>
        <v/>
      </c>
      <c r="JC44">
        <f>IF($B44=0,1000000,IF(INDEX('計算A'!$D$60:$DS$104,$B44,46)*EL44=1,'計算A'!AW$6,1000000))</f>
        <v/>
      </c>
      <c r="JD44">
        <f>IF($B44=0,1000000,IF(INDEX('計算A'!$D$60:$DS$104,$B44,47)*EM44=1,'計算A'!AX$6,1000000))</f>
        <v/>
      </c>
      <c r="JE44">
        <f>IF($B44=0,1000000,IF(INDEX('計算A'!$D$60:$DS$104,$B44,48)*EN44=1,'計算A'!AY$6,1000000))</f>
        <v/>
      </c>
      <c r="JF44">
        <f>IF($B44=0,1000000,IF(INDEX('計算A'!$D$60:$DS$104,$B44,49)*EO44=1,'計算A'!AZ$6,1000000))</f>
        <v/>
      </c>
      <c r="JG44">
        <f>IF($B44=0,1000000,IF(INDEX('計算A'!$D$60:$DS$104,$B44,50)*EP44=1,'計算A'!BA$6,1000000))</f>
        <v/>
      </c>
      <c r="JH44">
        <f>IF($B44=0,1000000,IF(INDEX('計算A'!$D$60:$DS$104,$B44,51)*EQ44=1,'計算A'!BB$6,1000000))</f>
        <v/>
      </c>
      <c r="JI44">
        <f>IF($B44=0,1000000,IF(INDEX('計算A'!$D$60:$DS$104,$B44,52)*ER44=1,'計算A'!BC$6,1000000))</f>
        <v/>
      </c>
      <c r="JJ44">
        <f>IF($B44=0,1000000,IF(INDEX('計算A'!$D$60:$DS$104,$B44,53)*ES44=1,'計算A'!BD$6,1000000))</f>
        <v/>
      </c>
      <c r="JK44">
        <f>IF($B44=0,1000000,IF(INDEX('計算A'!$D$60:$DS$104,$B44,54)*ET44=1,'計算A'!BE$6,1000000))</f>
        <v/>
      </c>
      <c r="JL44">
        <f>IF($B44=0,1000000,IF(INDEX('計算A'!$D$60:$DS$104,$B44,55)*EU44=1,'計算A'!BF$6,1000000))</f>
        <v/>
      </c>
      <c r="JM44">
        <f>IF($B44=0,1000000,IF(INDEX('計算A'!$D$60:$DS$104,$B44,56)*EV44=1,'計算A'!BG$6,1000000))</f>
        <v/>
      </c>
      <c r="JN44">
        <f>IF($B44=0,1000000,IF(INDEX('計算A'!$D$60:$DS$104,$B44,57)*EW44=1,'計算A'!BH$6,1000000))</f>
        <v/>
      </c>
      <c r="JO44">
        <f>IF($B44=0,1000000,IF(INDEX('計算A'!$D$60:$DS$104,$B44,58)*EX44=1,'計算A'!BI$6,1000000))</f>
        <v/>
      </c>
      <c r="JP44">
        <f>IF($B44=0,1000000,IF(INDEX('計算A'!$D$60:$DS$104,$B44,59)*EY44=1,'計算A'!BJ$6,1000000))</f>
        <v/>
      </c>
      <c r="JQ44">
        <f>IF($B44=0,1000000,IF(INDEX('計算A'!$D$60:$DS$104,$B44,60)*EZ44=1,'計算A'!BK$6,1000000))</f>
        <v/>
      </c>
      <c r="JR44">
        <f>IF($B44=0,1000000,IF(INDEX('計算A'!$D$60:$DS$104,$B44,61)*FA44=1,'計算A'!BL$6,1000000))</f>
        <v/>
      </c>
      <c r="JS44">
        <f>IF($B44=0,1000000,IF(INDEX('計算A'!$D$60:$DS$104,$B44,62)*FB44=1,'計算A'!BM$6,1000000))</f>
        <v/>
      </c>
      <c r="JT44">
        <f>IF($B44=0,1000000,IF(INDEX('計算A'!$D$60:$DS$104,$B44,63)*FC44=1,'計算A'!BN$6,1000000))</f>
        <v/>
      </c>
      <c r="JU44">
        <f>IF($B44=0,1000000,IF(INDEX('計算A'!$D$60:$DS$104,$B44,64)*FD44=1,'計算A'!BO$6,1000000))</f>
        <v/>
      </c>
      <c r="JV44">
        <f>IF($B44=0,1000000,IF(INDEX('計算A'!$D$60:$DS$104,$B44,65)*FE44=1,'計算A'!BP$6,1000000))</f>
        <v/>
      </c>
      <c r="JW44">
        <f>IF($B44=0,1000000,IF(INDEX('計算A'!$D$60:$DS$104,$B44,66)*FF44=1,'計算A'!BQ$6,1000000))</f>
        <v/>
      </c>
      <c r="JX44">
        <f>IF($B44=0,1000000,IF(INDEX('計算A'!$D$60:$DS$104,$B44,67)*FG44=1,'計算A'!BR$6,1000000))</f>
        <v/>
      </c>
      <c r="JY44">
        <f>IF($B44=0,1000000,IF(INDEX('計算A'!$D$60:$DS$104,$B44,68)*FH44=1,'計算A'!BS$6,1000000))</f>
        <v/>
      </c>
      <c r="JZ44">
        <f>IF($B44=0,1000000,IF(INDEX('計算A'!$D$60:$DS$104,$B44,69)*FI44=1,'計算A'!BT$6,1000000))</f>
        <v/>
      </c>
      <c r="KA44">
        <f>IF($B44=0,1000000,IF(INDEX('計算A'!$D$60:$DS$104,$B44,70)*FJ44=1,'計算A'!BU$6,1000000))</f>
        <v/>
      </c>
      <c r="KB44">
        <f>IF($B44=0,1000000,IF(INDEX('計算A'!$D$60:$DS$104,$B44,71)*FK44=1,'計算A'!BV$6,1000000))</f>
        <v/>
      </c>
      <c r="KC44">
        <f>IF($B44=0,1000000,IF(INDEX('計算A'!$D$60:$DS$104,$B44,72)*FL44=1,'計算A'!BW$6,1000000))</f>
        <v/>
      </c>
      <c r="KD44">
        <f>IF($B44=0,1000000,IF(INDEX('計算A'!$D$60:$DS$104,$B44,73)*FM44=1,'計算A'!BX$6,1000000))</f>
        <v/>
      </c>
      <c r="KE44">
        <f>IF($B44=0,1000000,IF(INDEX('計算A'!$D$60:$DS$104,$B44,74)*FN44=1,'計算A'!BY$6,1000000))</f>
        <v/>
      </c>
      <c r="KF44">
        <f>IF($B44=0,1000000,IF(INDEX('計算A'!$D$60:$DS$104,$B44,75)*FO44=1,'計算A'!BZ$6,1000000))</f>
        <v/>
      </c>
      <c r="KG44">
        <f>IF($B44=0,1000000,IF(INDEX('計算A'!$D$60:$DS$104,$B44,76)*FP44=1,'計算A'!CA$6,1000000))</f>
        <v/>
      </c>
      <c r="KH44">
        <f>IF($B44=0,1000000,IF(INDEX('計算A'!$D$60:$DS$104,$B44,77)*FQ44=1,'計算A'!CB$6,1000000))</f>
        <v/>
      </c>
      <c r="KI44">
        <f>IF($B44=0,1000000,IF(INDEX('計算A'!$D$60:$DS$104,$B44,78)*FR44=1,'計算A'!CC$6,1000000))</f>
        <v/>
      </c>
      <c r="KJ44">
        <f>IF($B44=0,1000000,IF(INDEX('計算A'!$D$60:$DS$104,$B44,79)*FS44=1,'計算A'!CD$6,1000000))</f>
        <v/>
      </c>
      <c r="KK44">
        <f>IF($B44=0,1000000,IF(INDEX('計算A'!$D$60:$DS$104,$B44,80)*FT44=1,'計算A'!CE$6,1000000))</f>
        <v/>
      </c>
      <c r="KL44">
        <f>IF($B44=0,1000000,IF(INDEX('計算A'!$D$60:$DS$104,$B44,81)*FU44=1,'計算A'!CF$6,1000000))</f>
        <v/>
      </c>
      <c r="KM44">
        <f>IF($B44=0,1000000,IF(INDEX('計算A'!$D$60:$DS$104,$B44,82)*FV44=1,'計算A'!CG$6,1000000))</f>
        <v/>
      </c>
      <c r="KN44">
        <f>IF($B44=0,1000000,IF(INDEX('計算A'!$D$60:$DS$104,$B44,83)*FW44=1,'計算A'!CH$6,1000000))</f>
        <v/>
      </c>
      <c r="KO44">
        <f>IF($B44=0,1000000,IF(INDEX('計算A'!$D$60:$DS$104,$B44,84)*FX44=1,'計算A'!CI$6,1000000))</f>
        <v/>
      </c>
      <c r="KP44">
        <f>IF($B44=0,1000000,IF(INDEX('計算A'!$D$60:$DS$104,$B44,85)*FY44=1,'計算A'!CJ$6,1000000))</f>
        <v/>
      </c>
      <c r="KQ44">
        <f>IF($B44=0,1000000,IF(INDEX('計算A'!$D$60:$DS$104,$B44,86)*FZ44=1,'計算A'!CK$6,1000000))</f>
        <v/>
      </c>
      <c r="KR44">
        <f>IF($B44=0,1000000,IF(INDEX('計算A'!$D$60:$DS$104,$B44,87)*GA44=1,'計算A'!CL$6,1000000))</f>
        <v/>
      </c>
      <c r="KS44">
        <f>IF($B44=0,1000000,IF(INDEX('計算A'!$D$60:$DS$104,$B44,88)*GB44=1,'計算A'!CM$6,1000000))</f>
        <v/>
      </c>
      <c r="KT44">
        <f>IF($B44=0,1000000,IF(INDEX('計算A'!$D$60:$DS$104,$B44,89)*GC44=1,'計算A'!CN$6,1000000))</f>
        <v/>
      </c>
      <c r="KU44">
        <f>IF($B44=0,1000000,IF(INDEX('計算A'!$D$60:$DS$104,$B44,90)*GD44=1,'計算A'!CO$6,1000000))</f>
        <v/>
      </c>
      <c r="KV44">
        <f>IF($B44=0,1000000,IF(INDEX('計算A'!$D$60:$DS$104,$B44,91)*GE44=1,'計算A'!CP$6,1000000))</f>
        <v/>
      </c>
      <c r="KW44">
        <f>IF($B44=0,1000000,IF(INDEX('計算A'!$D$60:$DS$104,$B44,92)*GF44=1,'計算A'!CQ$6,1000000))</f>
        <v/>
      </c>
      <c r="KX44">
        <f>IF($B44=0,1000000,IF(INDEX('計算A'!$D$60:$DS$104,$B44,93)*GG44=1,'計算A'!CR$6,1000000))</f>
        <v/>
      </c>
      <c r="KY44">
        <f>IF($B44=0,1000000,IF(INDEX('計算A'!$D$60:$DS$104,$B44,94)*GH44=1,'計算A'!CS$6,1000000))</f>
        <v/>
      </c>
      <c r="KZ44">
        <f>IF($B44=0,1000000,IF(INDEX('計算A'!$D$60:$DS$104,$B44,95)*GI44=1,'計算A'!CT$6,1000000))</f>
        <v/>
      </c>
      <c r="LA44">
        <f>IF($B44=0,1000000,IF(INDEX('計算A'!$D$60:$DS$104,$B44,96)*GJ44=1,'計算A'!CU$6,1000000))</f>
        <v/>
      </c>
      <c r="LB44">
        <f>IF($B44=0,1000000,IF(INDEX('計算A'!$D$60:$DS$104,$B44,97)*GK44=1,'計算A'!CV$6,1000000))</f>
        <v/>
      </c>
      <c r="LC44">
        <f>IF($B44=0,1000000,IF(INDEX('計算A'!$D$60:$DS$104,$B44,98)*GL44=1,'計算A'!CW$6,1000000))</f>
        <v/>
      </c>
      <c r="LD44">
        <f>IF($B44=0,1000000,IF(INDEX('計算A'!$D$60:$DS$104,$B44,99)*GM44=1,'計算A'!CX$6,1000000))</f>
        <v/>
      </c>
      <c r="LE44">
        <f>IF($B44=0,1000000,IF(INDEX('計算A'!$D$60:$DS$104,$B44,100)*GN44=1,'計算A'!CY$6,1000000))</f>
        <v/>
      </c>
      <c r="LF44">
        <f>IF($B44=0,1000000,IF(INDEX('計算A'!$D$60:$DS$104,$B44,101)*GO44=1,'計算A'!CZ$6,1000000))</f>
        <v/>
      </c>
      <c r="LG44">
        <f>IF($B44=0,1000000,IF(INDEX('計算A'!$D$60:$DS$104,$B44,102)*GP44=1,'計算A'!DA$6,1000000))</f>
        <v/>
      </c>
      <c r="LH44">
        <f>IF($B44=0,1000000,IF(INDEX('計算A'!$D$60:$DS$104,$B44,103)*GQ44=1,'計算A'!DB$6,1000000))</f>
        <v/>
      </c>
      <c r="LI44">
        <f>IF($B44=0,1000000,IF(INDEX('計算A'!$D$60:$DS$104,$B44,104)*GR44=1,'計算A'!DC$6,1000000))</f>
        <v/>
      </c>
      <c r="LJ44">
        <f>IF($B44=0,1000000,IF(INDEX('計算A'!$D$60:$DS$104,$B44,105)*GS44=1,'計算A'!DD$6,1000000))</f>
        <v/>
      </c>
      <c r="LK44">
        <f>IF($B44=0,1000000,IF(INDEX('計算A'!$D$60:$DS$104,$B44,106)*GT44=1,'計算A'!DE$6,1000000))</f>
        <v/>
      </c>
      <c r="LL44">
        <f>IF($B44=0,1000000,IF(INDEX('計算A'!$D$60:$DS$104,$B44,107)*GU44=1,'計算A'!DF$6,1000000))</f>
        <v/>
      </c>
      <c r="LM44">
        <f>IF($B44=0,1000000,IF(INDEX('計算A'!$D$60:$DS$104,$B44,108)*GV44=1,'計算A'!DG$6,1000000))</f>
        <v/>
      </c>
      <c r="LN44">
        <f>IF($B44=0,1000000,IF(INDEX('計算A'!$D$60:$DS$104,$B44,109)*GW44=1,'計算A'!DH$6,1000000))</f>
        <v/>
      </c>
      <c r="LO44">
        <f>IF($B44=0,1000000,IF(INDEX('計算A'!$D$60:$DS$104,$B44,110)*GX44=1,'計算A'!DI$6,1000000))</f>
        <v/>
      </c>
      <c r="LP44">
        <f>IF($B44=0,1000000,IF(INDEX('計算A'!$D$60:$DS$104,$B44,111)*GY44=1,'計算A'!DJ$6,1000000))</f>
        <v/>
      </c>
      <c r="LQ44">
        <f>IF($B44=0,1000000,IF(INDEX('計算A'!$D$60:$DS$104,$B44,112)*GZ44=1,'計算A'!DK$6,1000000))</f>
        <v/>
      </c>
      <c r="LR44">
        <f>IF($B44=0,1000000,IF(INDEX('計算A'!$D$60:$DS$104,$B44,113)*HA44=1,'計算A'!DL$6,1000000))</f>
        <v/>
      </c>
      <c r="LS44">
        <f>IF($B44=0,1000000,IF(INDEX('計算A'!$D$60:$DS$104,$B44,114)*HB44=1,'計算A'!DM$6,1000000))</f>
        <v/>
      </c>
      <c r="LT44">
        <f>IF($B44=0,1000000,IF(INDEX('計算A'!$D$60:$DS$104,$B44,115)*HC44=1,'計算A'!DN$6,1000000))</f>
        <v/>
      </c>
      <c r="LU44">
        <f>IF($B44=0,1000000,IF(INDEX('計算A'!$D$60:$DS$104,$B44,116)*HD44=1,'計算A'!DO$6,1000000))</f>
        <v/>
      </c>
      <c r="LV44">
        <f>IF($B44=0,1000000,IF(INDEX('計算A'!$D$60:$DS$104,$B44,117)*HE44=1,'計算A'!DP$6,1000000))</f>
        <v/>
      </c>
      <c r="LW44">
        <f>IF($B44=0,1000000,IF(INDEX('計算A'!$D$60:$DS$104,$B44,118)*HF44=1,'計算A'!DQ$6,1000000))</f>
        <v/>
      </c>
      <c r="LX44">
        <f>IF($B44=0,1000000,IF(INDEX('計算A'!$D$60:$DS$104,$B44,119)*HG44=1,'計算A'!DR$6,1000000))</f>
        <v/>
      </c>
      <c r="LY44">
        <f>IF($B44=0,1000000,IF(INDEX('計算A'!$D$60:$DS$104,$B44,120)*HH44=1,'計算A'!DS$6,1000000))</f>
        <v/>
      </c>
    </row>
    <row r="45">
      <c r="A45" t="n">
        <v>43</v>
      </c>
      <c r="B45">
        <f>IF(MIN(AY45:CQ45)&gt;=1000000,0,MATCH(MIN(AY45:CQ45),AY45:CQ45,0))</f>
        <v/>
      </c>
      <c r="C45">
        <f>IF(MIN(HJ45:LY45)&gt;=1000000,0,MATCH(MIN(HJ45:LY45),HJ45:LY45,0))</f>
        <v/>
      </c>
      <c r="D45">
        <f>IF(C45&gt;0,INDEX('計算A'!$D$5:$DS$5,C45),0)</f>
        <v/>
      </c>
      <c r="E45">
        <f>MAX(E44,IF($B44=1,1,0))</f>
        <v/>
      </c>
      <c r="F45">
        <f>MAX(F44,IF($B44=2,1,0))</f>
        <v/>
      </c>
      <c r="G45">
        <f>MAX(G44,IF($B44=3,1,0))</f>
        <v/>
      </c>
      <c r="H45">
        <f>MAX(H44,IF($B44=4,1,0))</f>
        <v/>
      </c>
      <c r="I45">
        <f>MAX(I44,IF($B44=5,1,0))</f>
        <v/>
      </c>
      <c r="J45">
        <f>MAX(J44,IF($B44=6,1,0))</f>
        <v/>
      </c>
      <c r="K45">
        <f>MAX(K44,IF($B44=7,1,0))</f>
        <v/>
      </c>
      <c r="L45">
        <f>MAX(L44,IF($B44=8,1,0))</f>
        <v/>
      </c>
      <c r="M45">
        <f>MAX(M44,IF($B44=9,1,0))</f>
        <v/>
      </c>
      <c r="N45">
        <f>MAX(N44,IF($B44=10,1,0))</f>
        <v/>
      </c>
      <c r="O45">
        <f>MAX(O44,IF($B44=11,1,0))</f>
        <v/>
      </c>
      <c r="P45">
        <f>MAX(P44,IF($B44=12,1,0))</f>
        <v/>
      </c>
      <c r="Q45">
        <f>MAX(Q44,IF($B44=13,1,0))</f>
        <v/>
      </c>
      <c r="R45">
        <f>MAX(R44,IF($B44=14,1,0))</f>
        <v/>
      </c>
      <c r="S45">
        <f>MAX(S44,IF($B44=15,1,0))</f>
        <v/>
      </c>
      <c r="T45">
        <f>MAX(T44,IF($B44=16,1,0))</f>
        <v/>
      </c>
      <c r="U45">
        <f>MAX(U44,IF($B44=17,1,0))</f>
        <v/>
      </c>
      <c r="V45">
        <f>MAX(V44,IF($B44=18,1,0))</f>
        <v/>
      </c>
      <c r="W45">
        <f>MAX(W44,IF($B44=19,1,0))</f>
        <v/>
      </c>
      <c r="X45">
        <f>MAX(X44,IF($B44=20,1,0))</f>
        <v/>
      </c>
      <c r="Y45">
        <f>MAX(Y44,IF($B44=21,1,0))</f>
        <v/>
      </c>
      <c r="Z45">
        <f>MAX(Z44,IF($B44=22,1,0))</f>
        <v/>
      </c>
      <c r="AA45">
        <f>MAX(AA44,IF($B44=23,1,0))</f>
        <v/>
      </c>
      <c r="AB45">
        <f>MAX(AB44,IF($B44=24,1,0))</f>
        <v/>
      </c>
      <c r="AC45">
        <f>MAX(AC44,IF($B44=25,1,0))</f>
        <v/>
      </c>
      <c r="AD45">
        <f>MAX(AD44,IF($B44=26,1,0))</f>
        <v/>
      </c>
      <c r="AE45">
        <f>MAX(AE44,IF($B44=27,1,0))</f>
        <v/>
      </c>
      <c r="AF45">
        <f>MAX(AF44,IF($B44=28,1,0))</f>
        <v/>
      </c>
      <c r="AG45">
        <f>MAX(AG44,IF($B44=29,1,0))</f>
        <v/>
      </c>
      <c r="AH45">
        <f>MAX(AH44,IF($B44=30,1,0))</f>
        <v/>
      </c>
      <c r="AI45">
        <f>MAX(AI44,IF($B44=31,1,0))</f>
        <v/>
      </c>
      <c r="AJ45">
        <f>MAX(AJ44,IF($B44=32,1,0))</f>
        <v/>
      </c>
      <c r="AK45">
        <f>MAX(AK44,IF($B44=33,1,0))</f>
        <v/>
      </c>
      <c r="AL45">
        <f>MAX(AL44,IF($B44=34,1,0))</f>
        <v/>
      </c>
      <c r="AM45">
        <f>MAX(AM44,IF($B44=35,1,0))</f>
        <v/>
      </c>
      <c r="AN45">
        <f>MAX(AN44,IF($B44=36,1,0))</f>
        <v/>
      </c>
      <c r="AO45">
        <f>MAX(AO44,IF($B44=37,1,0))</f>
        <v/>
      </c>
      <c r="AP45">
        <f>MAX(AP44,IF($B44=38,1,0))</f>
        <v/>
      </c>
      <c r="AQ45">
        <f>MAX(AQ44,IF($B44=39,1,0))</f>
        <v/>
      </c>
      <c r="AR45">
        <f>MAX(AR44,IF($B44=40,1,0))</f>
        <v/>
      </c>
      <c r="AS45">
        <f>MAX(AS44,IF($B44=41,1,0))</f>
        <v/>
      </c>
      <c r="AT45">
        <f>MAX(AT44,IF($B44=42,1,0))</f>
        <v/>
      </c>
      <c r="AU45">
        <f>MAX(AU44,IF($B44=43,1,0))</f>
        <v/>
      </c>
      <c r="AV45">
        <f>MAX(AV44,IF($B44=44,1,0))</f>
        <v/>
      </c>
      <c r="AW45">
        <f>MAX(AW44,IF($B44=45,1,0))</f>
        <v/>
      </c>
      <c r="AY45">
        <f>IF(E45=1,1000000,SUMPRODUCT('計算A'!$D$60:$DS$60,$CS45:$HH45)*1000+1)</f>
        <v/>
      </c>
      <c r="AZ45">
        <f>IF(F45=1,1000000,SUMPRODUCT('計算A'!$D$61:$DS$61,$CS45:$HH45)*1000+2)</f>
        <v/>
      </c>
      <c r="BA45">
        <f>IF(G45=1,1000000,SUMPRODUCT('計算A'!$D$62:$DS$62,$CS45:$HH45)*1000+3)</f>
        <v/>
      </c>
      <c r="BB45">
        <f>IF(H45=1,1000000,SUMPRODUCT('計算A'!$D$63:$DS$63,$CS45:$HH45)*1000+4)</f>
        <v/>
      </c>
      <c r="BC45">
        <f>IF(I45=1,1000000,SUMPRODUCT('計算A'!$D$64:$DS$64,$CS45:$HH45)*1000+5)</f>
        <v/>
      </c>
      <c r="BD45">
        <f>IF(J45=1,1000000,SUMPRODUCT('計算A'!$D$65:$DS$65,$CS45:$HH45)*1000+6)</f>
        <v/>
      </c>
      <c r="BE45">
        <f>IF(K45=1,1000000,SUMPRODUCT('計算A'!$D$66:$DS$66,$CS45:$HH45)*1000+7)</f>
        <v/>
      </c>
      <c r="BF45">
        <f>IF(L45=1,1000000,SUMPRODUCT('計算A'!$D$67:$DS$67,$CS45:$HH45)*1000+8)</f>
        <v/>
      </c>
      <c r="BG45">
        <f>IF(M45=1,1000000,SUMPRODUCT('計算A'!$D$68:$DS$68,$CS45:$HH45)*1000+9)</f>
        <v/>
      </c>
      <c r="BH45">
        <f>IF(N45=1,1000000,SUMPRODUCT('計算A'!$D$69:$DS$69,$CS45:$HH45)*1000+10)</f>
        <v/>
      </c>
      <c r="BI45">
        <f>IF(O45=1,1000000,SUMPRODUCT('計算A'!$D$70:$DS$70,$CS45:$HH45)*1000+11)</f>
        <v/>
      </c>
      <c r="BJ45">
        <f>IF(P45=1,1000000,SUMPRODUCT('計算A'!$D$71:$DS$71,$CS45:$HH45)*1000+12)</f>
        <v/>
      </c>
      <c r="BK45">
        <f>IF(Q45=1,1000000,SUMPRODUCT('計算A'!$D$72:$DS$72,$CS45:$HH45)*1000+13)</f>
        <v/>
      </c>
      <c r="BL45">
        <f>IF(R45=1,1000000,SUMPRODUCT('計算A'!$D$73:$DS$73,$CS45:$HH45)*1000+14)</f>
        <v/>
      </c>
      <c r="BM45">
        <f>IF(S45=1,1000000,SUMPRODUCT('計算A'!$D$74:$DS$74,$CS45:$HH45)*1000+15)</f>
        <v/>
      </c>
      <c r="BN45">
        <f>IF(T45=1,1000000,SUMPRODUCT('計算A'!$D$75:$DS$75,$CS45:$HH45)*1000+16)</f>
        <v/>
      </c>
      <c r="BO45">
        <f>IF(U45=1,1000000,SUMPRODUCT('計算A'!$D$76:$DS$76,$CS45:$HH45)*1000+17)</f>
        <v/>
      </c>
      <c r="BP45">
        <f>IF(V45=1,1000000,SUMPRODUCT('計算A'!$D$77:$DS$77,$CS45:$HH45)*1000+18)</f>
        <v/>
      </c>
      <c r="BQ45">
        <f>IF(W45=1,1000000,SUMPRODUCT('計算A'!$D$78:$DS$78,$CS45:$HH45)*1000+19)</f>
        <v/>
      </c>
      <c r="BR45">
        <f>IF(X45=1,1000000,SUMPRODUCT('計算A'!$D$79:$DS$79,$CS45:$HH45)*1000+20)</f>
        <v/>
      </c>
      <c r="BS45">
        <f>IF(Y45=1,1000000,SUMPRODUCT('計算A'!$D$80:$DS$80,$CS45:$HH45)*1000+21)</f>
        <v/>
      </c>
      <c r="BT45">
        <f>IF(Z45=1,1000000,SUMPRODUCT('計算A'!$D$81:$DS$81,$CS45:$HH45)*1000+22)</f>
        <v/>
      </c>
      <c r="BU45">
        <f>IF(AA45=1,1000000,SUMPRODUCT('計算A'!$D$82:$DS$82,$CS45:$HH45)*1000+23)</f>
        <v/>
      </c>
      <c r="BV45">
        <f>IF(AB45=1,1000000,SUMPRODUCT('計算A'!$D$83:$DS$83,$CS45:$HH45)*1000+24)</f>
        <v/>
      </c>
      <c r="BW45">
        <f>IF(AC45=1,1000000,SUMPRODUCT('計算A'!$D$84:$DS$84,$CS45:$HH45)*1000+25)</f>
        <v/>
      </c>
      <c r="BX45">
        <f>IF(AD45=1,1000000,SUMPRODUCT('計算A'!$D$85:$DS$85,$CS45:$HH45)*1000+26)</f>
        <v/>
      </c>
      <c r="BY45">
        <f>IF(AE45=1,1000000,SUMPRODUCT('計算A'!$D$86:$DS$86,$CS45:$HH45)*1000+27)</f>
        <v/>
      </c>
      <c r="BZ45">
        <f>IF(AF45=1,1000000,SUMPRODUCT('計算A'!$D$87:$DS$87,$CS45:$HH45)*1000+28)</f>
        <v/>
      </c>
      <c r="CA45">
        <f>IF(AG45=1,1000000,SUMPRODUCT('計算A'!$D$88:$DS$88,$CS45:$HH45)*1000+29)</f>
        <v/>
      </c>
      <c r="CB45">
        <f>IF(AH45=1,1000000,SUMPRODUCT('計算A'!$D$89:$DS$89,$CS45:$HH45)*1000+30)</f>
        <v/>
      </c>
      <c r="CC45">
        <f>IF(AI45=1,1000000,SUMPRODUCT('計算A'!$D$90:$DS$90,$CS45:$HH45)*1000+31)</f>
        <v/>
      </c>
      <c r="CD45">
        <f>IF(AJ45=1,1000000,SUMPRODUCT('計算A'!$D$91:$DS$91,$CS45:$HH45)*1000+32)</f>
        <v/>
      </c>
      <c r="CE45">
        <f>IF(AK45=1,1000000,SUMPRODUCT('計算A'!$D$92:$DS$92,$CS45:$HH45)*1000+33)</f>
        <v/>
      </c>
      <c r="CF45">
        <f>IF(AL45=1,1000000,SUMPRODUCT('計算A'!$D$93:$DS$93,$CS45:$HH45)*1000+34)</f>
        <v/>
      </c>
      <c r="CG45">
        <f>IF(AM45=1,1000000,SUMPRODUCT('計算A'!$D$94:$DS$94,$CS45:$HH45)*1000+35)</f>
        <v/>
      </c>
      <c r="CH45">
        <f>IF(AN45=1,1000000,SUMPRODUCT('計算A'!$D$95:$DS$95,$CS45:$HH45)*1000+36)</f>
        <v/>
      </c>
      <c r="CI45">
        <f>IF(AO45=1,1000000,SUMPRODUCT('計算A'!$D$96:$DS$96,$CS45:$HH45)*1000+37)</f>
        <v/>
      </c>
      <c r="CJ45">
        <f>IF(AP45=1,1000000,SUMPRODUCT('計算A'!$D$97:$DS$97,$CS45:$HH45)*1000+38)</f>
        <v/>
      </c>
      <c r="CK45">
        <f>IF(AQ45=1,1000000,SUMPRODUCT('計算A'!$D$98:$DS$98,$CS45:$HH45)*1000+39)</f>
        <v/>
      </c>
      <c r="CL45">
        <f>IF(AR45=1,1000000,SUMPRODUCT('計算A'!$D$99:$DS$99,$CS45:$HH45)*1000+40)</f>
        <v/>
      </c>
      <c r="CM45">
        <f>IF(AS45=1,1000000,SUMPRODUCT('計算A'!$D$100:$DS$100,$CS45:$HH45)*1000+41)</f>
        <v/>
      </c>
      <c r="CN45">
        <f>IF(AT45=1,1000000,SUMPRODUCT('計算A'!$D$101:$DS$101,$CS45:$HH45)*1000+42)</f>
        <v/>
      </c>
      <c r="CO45">
        <f>IF(AU45=1,1000000,SUMPRODUCT('計算A'!$D$102:$DS$102,$CS45:$HH45)*1000+43)</f>
        <v/>
      </c>
      <c r="CP45">
        <f>IF(AV45=1,1000000,SUMPRODUCT('計算A'!$D$103:$DS$103,$CS45:$HH45)*1000+44)</f>
        <v/>
      </c>
      <c r="CQ45">
        <f>IF(AW45=1,1000000,SUMPRODUCT('計算A'!$D$104:$DS$104,$CS45:$HH45)*1000+45)</f>
        <v/>
      </c>
      <c r="CS45">
        <f>CS44*IF($C44=1,0,1)</f>
        <v/>
      </c>
      <c r="CT45">
        <f>CT44*IF($C44=2,0,1)</f>
        <v/>
      </c>
      <c r="CU45">
        <f>CU44*IF($C44=3,0,1)</f>
        <v/>
      </c>
      <c r="CV45">
        <f>CV44*IF($C44=4,0,1)</f>
        <v/>
      </c>
      <c r="CW45">
        <f>CW44*IF($C44=5,0,1)</f>
        <v/>
      </c>
      <c r="CX45">
        <f>CX44*IF($C44=6,0,1)</f>
        <v/>
      </c>
      <c r="CY45">
        <f>CY44*IF($C44=7,0,1)</f>
        <v/>
      </c>
      <c r="CZ45">
        <f>CZ44*IF($C44=8,0,1)</f>
        <v/>
      </c>
      <c r="DA45">
        <f>DA44*IF($C44=9,0,1)</f>
        <v/>
      </c>
      <c r="DB45">
        <f>DB44*IF($C44=10,0,1)</f>
        <v/>
      </c>
      <c r="DC45">
        <f>DC44*IF($C44=11,0,1)</f>
        <v/>
      </c>
      <c r="DD45">
        <f>DD44*IF($C44=12,0,1)</f>
        <v/>
      </c>
      <c r="DE45">
        <f>DE44*IF($C44=13,0,1)</f>
        <v/>
      </c>
      <c r="DF45">
        <f>DF44*IF($C44=14,0,1)</f>
        <v/>
      </c>
      <c r="DG45">
        <f>DG44*IF($C44=15,0,1)</f>
        <v/>
      </c>
      <c r="DH45">
        <f>DH44*IF($C44=16,0,1)</f>
        <v/>
      </c>
      <c r="DI45">
        <f>DI44*IF($C44=17,0,1)</f>
        <v/>
      </c>
      <c r="DJ45">
        <f>DJ44*IF($C44=18,0,1)</f>
        <v/>
      </c>
      <c r="DK45">
        <f>DK44*IF($C44=19,0,1)</f>
        <v/>
      </c>
      <c r="DL45">
        <f>DL44*IF($C44=20,0,1)</f>
        <v/>
      </c>
      <c r="DM45">
        <f>DM44*IF($C44=21,0,1)</f>
        <v/>
      </c>
      <c r="DN45">
        <f>DN44*IF($C44=22,0,1)</f>
        <v/>
      </c>
      <c r="DO45">
        <f>DO44*IF($C44=23,0,1)</f>
        <v/>
      </c>
      <c r="DP45">
        <f>DP44*IF($C44=24,0,1)</f>
        <v/>
      </c>
      <c r="DQ45">
        <f>DQ44*IF($C44=25,0,1)</f>
        <v/>
      </c>
      <c r="DR45">
        <f>DR44*IF($C44=26,0,1)</f>
        <v/>
      </c>
      <c r="DS45">
        <f>DS44*IF($C44=27,0,1)</f>
        <v/>
      </c>
      <c r="DT45">
        <f>DT44*IF($C44=28,0,1)</f>
        <v/>
      </c>
      <c r="DU45">
        <f>DU44*IF($C44=29,0,1)</f>
        <v/>
      </c>
      <c r="DV45">
        <f>DV44*IF($C44=30,0,1)</f>
        <v/>
      </c>
      <c r="DW45">
        <f>DW44*IF($C44=31,0,1)</f>
        <v/>
      </c>
      <c r="DX45">
        <f>DX44*IF($C44=32,0,1)</f>
        <v/>
      </c>
      <c r="DY45">
        <f>DY44*IF($C44=33,0,1)</f>
        <v/>
      </c>
      <c r="DZ45">
        <f>DZ44*IF($C44=34,0,1)</f>
        <v/>
      </c>
      <c r="EA45">
        <f>EA44*IF($C44=35,0,1)</f>
        <v/>
      </c>
      <c r="EB45">
        <f>EB44*IF($C44=36,0,1)</f>
        <v/>
      </c>
      <c r="EC45">
        <f>EC44*IF($C44=37,0,1)</f>
        <v/>
      </c>
      <c r="ED45">
        <f>ED44*IF($C44=38,0,1)</f>
        <v/>
      </c>
      <c r="EE45">
        <f>EE44*IF($C44=39,0,1)</f>
        <v/>
      </c>
      <c r="EF45">
        <f>EF44*IF($C44=40,0,1)</f>
        <v/>
      </c>
      <c r="EG45">
        <f>EG44*IF($C44=41,0,1)</f>
        <v/>
      </c>
      <c r="EH45">
        <f>EH44*IF($C44=42,0,1)</f>
        <v/>
      </c>
      <c r="EI45">
        <f>EI44*IF($C44=43,0,1)</f>
        <v/>
      </c>
      <c r="EJ45">
        <f>EJ44*IF($C44=44,0,1)</f>
        <v/>
      </c>
      <c r="EK45">
        <f>EK44*IF($C44=45,0,1)</f>
        <v/>
      </c>
      <c r="EL45">
        <f>EL44*IF($C44=46,0,1)</f>
        <v/>
      </c>
      <c r="EM45">
        <f>EM44*IF($C44=47,0,1)</f>
        <v/>
      </c>
      <c r="EN45">
        <f>EN44*IF($C44=48,0,1)</f>
        <v/>
      </c>
      <c r="EO45">
        <f>EO44*IF($C44=49,0,1)</f>
        <v/>
      </c>
      <c r="EP45">
        <f>EP44*IF($C44=50,0,1)</f>
        <v/>
      </c>
      <c r="EQ45">
        <f>EQ44*IF($C44=51,0,1)</f>
        <v/>
      </c>
      <c r="ER45">
        <f>ER44*IF($C44=52,0,1)</f>
        <v/>
      </c>
      <c r="ES45">
        <f>ES44*IF($C44=53,0,1)</f>
        <v/>
      </c>
      <c r="ET45">
        <f>ET44*IF($C44=54,0,1)</f>
        <v/>
      </c>
      <c r="EU45">
        <f>EU44*IF($C44=55,0,1)</f>
        <v/>
      </c>
      <c r="EV45">
        <f>EV44*IF($C44=56,0,1)</f>
        <v/>
      </c>
      <c r="EW45">
        <f>EW44*IF($C44=57,0,1)</f>
        <v/>
      </c>
      <c r="EX45">
        <f>EX44*IF($C44=58,0,1)</f>
        <v/>
      </c>
      <c r="EY45">
        <f>EY44*IF($C44=59,0,1)</f>
        <v/>
      </c>
      <c r="EZ45">
        <f>EZ44*IF($C44=60,0,1)</f>
        <v/>
      </c>
      <c r="FA45">
        <f>FA44*IF($C44=61,0,1)</f>
        <v/>
      </c>
      <c r="FB45">
        <f>FB44*IF($C44=62,0,1)</f>
        <v/>
      </c>
      <c r="FC45">
        <f>FC44*IF($C44=63,0,1)</f>
        <v/>
      </c>
      <c r="FD45">
        <f>FD44*IF($C44=64,0,1)</f>
        <v/>
      </c>
      <c r="FE45">
        <f>FE44*IF($C44=65,0,1)</f>
        <v/>
      </c>
      <c r="FF45">
        <f>FF44*IF($C44=66,0,1)</f>
        <v/>
      </c>
      <c r="FG45">
        <f>FG44*IF($C44=67,0,1)</f>
        <v/>
      </c>
      <c r="FH45">
        <f>FH44*IF($C44=68,0,1)</f>
        <v/>
      </c>
      <c r="FI45">
        <f>FI44*IF($C44=69,0,1)</f>
        <v/>
      </c>
      <c r="FJ45">
        <f>FJ44*IF($C44=70,0,1)</f>
        <v/>
      </c>
      <c r="FK45">
        <f>FK44*IF($C44=71,0,1)</f>
        <v/>
      </c>
      <c r="FL45">
        <f>FL44*IF($C44=72,0,1)</f>
        <v/>
      </c>
      <c r="FM45">
        <f>FM44*IF($C44=73,0,1)</f>
        <v/>
      </c>
      <c r="FN45">
        <f>FN44*IF($C44=74,0,1)</f>
        <v/>
      </c>
      <c r="FO45">
        <f>FO44*IF($C44=75,0,1)</f>
        <v/>
      </c>
      <c r="FP45">
        <f>FP44*IF($C44=76,0,1)</f>
        <v/>
      </c>
      <c r="FQ45">
        <f>FQ44*IF($C44=77,0,1)</f>
        <v/>
      </c>
      <c r="FR45">
        <f>FR44*IF($C44=78,0,1)</f>
        <v/>
      </c>
      <c r="FS45">
        <f>FS44*IF($C44=79,0,1)</f>
        <v/>
      </c>
      <c r="FT45">
        <f>FT44*IF($C44=80,0,1)</f>
        <v/>
      </c>
      <c r="FU45">
        <f>FU44*IF($C44=81,0,1)</f>
        <v/>
      </c>
      <c r="FV45">
        <f>FV44*IF($C44=82,0,1)</f>
        <v/>
      </c>
      <c r="FW45">
        <f>FW44*IF($C44=83,0,1)</f>
        <v/>
      </c>
      <c r="FX45">
        <f>FX44*IF($C44=84,0,1)</f>
        <v/>
      </c>
      <c r="FY45">
        <f>FY44*IF($C44=85,0,1)</f>
        <v/>
      </c>
      <c r="FZ45">
        <f>FZ44*IF($C44=86,0,1)</f>
        <v/>
      </c>
      <c r="GA45">
        <f>GA44*IF($C44=87,0,1)</f>
        <v/>
      </c>
      <c r="GB45">
        <f>GB44*IF($C44=88,0,1)</f>
        <v/>
      </c>
      <c r="GC45">
        <f>GC44*IF($C44=89,0,1)</f>
        <v/>
      </c>
      <c r="GD45">
        <f>GD44*IF($C44=90,0,1)</f>
        <v/>
      </c>
      <c r="GE45">
        <f>GE44*IF($C44=91,0,1)</f>
        <v/>
      </c>
      <c r="GF45">
        <f>GF44*IF($C44=92,0,1)</f>
        <v/>
      </c>
      <c r="GG45">
        <f>GG44*IF($C44=93,0,1)</f>
        <v/>
      </c>
      <c r="GH45">
        <f>GH44*IF($C44=94,0,1)</f>
        <v/>
      </c>
      <c r="GI45">
        <f>GI44*IF($C44=95,0,1)</f>
        <v/>
      </c>
      <c r="GJ45">
        <f>GJ44*IF($C44=96,0,1)</f>
        <v/>
      </c>
      <c r="GK45">
        <f>GK44*IF($C44=97,0,1)</f>
        <v/>
      </c>
      <c r="GL45">
        <f>GL44*IF($C44=98,0,1)</f>
        <v/>
      </c>
      <c r="GM45">
        <f>GM44*IF($C44=99,0,1)</f>
        <v/>
      </c>
      <c r="GN45">
        <f>GN44*IF($C44=100,0,1)</f>
        <v/>
      </c>
      <c r="GO45">
        <f>GO44*IF($C44=101,0,1)</f>
        <v/>
      </c>
      <c r="GP45">
        <f>GP44*IF($C44=102,0,1)</f>
        <v/>
      </c>
      <c r="GQ45">
        <f>GQ44*IF($C44=103,0,1)</f>
        <v/>
      </c>
      <c r="GR45">
        <f>GR44*IF($C44=104,0,1)</f>
        <v/>
      </c>
      <c r="GS45">
        <f>GS44*IF($C44=105,0,1)</f>
        <v/>
      </c>
      <c r="GT45">
        <f>GT44*IF($C44=106,0,1)</f>
        <v/>
      </c>
      <c r="GU45">
        <f>GU44*IF($C44=107,0,1)</f>
        <v/>
      </c>
      <c r="GV45">
        <f>GV44*IF($C44=108,0,1)</f>
        <v/>
      </c>
      <c r="GW45">
        <f>GW44*IF($C44=109,0,1)</f>
        <v/>
      </c>
      <c r="GX45">
        <f>GX44*IF($C44=110,0,1)</f>
        <v/>
      </c>
      <c r="GY45">
        <f>GY44*IF($C44=111,0,1)</f>
        <v/>
      </c>
      <c r="GZ45">
        <f>GZ44*IF($C44=112,0,1)</f>
        <v/>
      </c>
      <c r="HA45">
        <f>HA44*IF($C44=113,0,1)</f>
        <v/>
      </c>
      <c r="HB45">
        <f>HB44*IF($C44=114,0,1)</f>
        <v/>
      </c>
      <c r="HC45">
        <f>HC44*IF($C44=115,0,1)</f>
        <v/>
      </c>
      <c r="HD45">
        <f>HD44*IF($C44=116,0,1)</f>
        <v/>
      </c>
      <c r="HE45">
        <f>HE44*IF($C44=117,0,1)</f>
        <v/>
      </c>
      <c r="HF45">
        <f>HF44*IF($C44=118,0,1)</f>
        <v/>
      </c>
      <c r="HG45">
        <f>HG44*IF($C44=119,0,1)</f>
        <v/>
      </c>
      <c r="HH45">
        <f>HH44*IF($C44=120,0,1)</f>
        <v/>
      </c>
      <c r="HJ45">
        <f>IF($B45=0,1000000,IF(INDEX('計算A'!$D$60:$DS$104,$B45,1)*CS45=1,'計算A'!D$6,1000000))</f>
        <v/>
      </c>
      <c r="HK45">
        <f>IF($B45=0,1000000,IF(INDEX('計算A'!$D$60:$DS$104,$B45,2)*CT45=1,'計算A'!E$6,1000000))</f>
        <v/>
      </c>
      <c r="HL45">
        <f>IF($B45=0,1000000,IF(INDEX('計算A'!$D$60:$DS$104,$B45,3)*CU45=1,'計算A'!F$6,1000000))</f>
        <v/>
      </c>
      <c r="HM45">
        <f>IF($B45=0,1000000,IF(INDEX('計算A'!$D$60:$DS$104,$B45,4)*CV45=1,'計算A'!G$6,1000000))</f>
        <v/>
      </c>
      <c r="HN45">
        <f>IF($B45=0,1000000,IF(INDEX('計算A'!$D$60:$DS$104,$B45,5)*CW45=1,'計算A'!H$6,1000000))</f>
        <v/>
      </c>
      <c r="HO45">
        <f>IF($B45=0,1000000,IF(INDEX('計算A'!$D$60:$DS$104,$B45,6)*CX45=1,'計算A'!I$6,1000000))</f>
        <v/>
      </c>
      <c r="HP45">
        <f>IF($B45=0,1000000,IF(INDEX('計算A'!$D$60:$DS$104,$B45,7)*CY45=1,'計算A'!J$6,1000000))</f>
        <v/>
      </c>
      <c r="HQ45">
        <f>IF($B45=0,1000000,IF(INDEX('計算A'!$D$60:$DS$104,$B45,8)*CZ45=1,'計算A'!K$6,1000000))</f>
        <v/>
      </c>
      <c r="HR45">
        <f>IF($B45=0,1000000,IF(INDEX('計算A'!$D$60:$DS$104,$B45,9)*DA45=1,'計算A'!L$6,1000000))</f>
        <v/>
      </c>
      <c r="HS45">
        <f>IF($B45=0,1000000,IF(INDEX('計算A'!$D$60:$DS$104,$B45,10)*DB45=1,'計算A'!M$6,1000000))</f>
        <v/>
      </c>
      <c r="HT45">
        <f>IF($B45=0,1000000,IF(INDEX('計算A'!$D$60:$DS$104,$B45,11)*DC45=1,'計算A'!N$6,1000000))</f>
        <v/>
      </c>
      <c r="HU45">
        <f>IF($B45=0,1000000,IF(INDEX('計算A'!$D$60:$DS$104,$B45,12)*DD45=1,'計算A'!O$6,1000000))</f>
        <v/>
      </c>
      <c r="HV45">
        <f>IF($B45=0,1000000,IF(INDEX('計算A'!$D$60:$DS$104,$B45,13)*DE45=1,'計算A'!P$6,1000000))</f>
        <v/>
      </c>
      <c r="HW45">
        <f>IF($B45=0,1000000,IF(INDEX('計算A'!$D$60:$DS$104,$B45,14)*DF45=1,'計算A'!Q$6,1000000))</f>
        <v/>
      </c>
      <c r="HX45">
        <f>IF($B45=0,1000000,IF(INDEX('計算A'!$D$60:$DS$104,$B45,15)*DG45=1,'計算A'!R$6,1000000))</f>
        <v/>
      </c>
      <c r="HY45">
        <f>IF($B45=0,1000000,IF(INDEX('計算A'!$D$60:$DS$104,$B45,16)*DH45=1,'計算A'!S$6,1000000))</f>
        <v/>
      </c>
      <c r="HZ45">
        <f>IF($B45=0,1000000,IF(INDEX('計算A'!$D$60:$DS$104,$B45,17)*DI45=1,'計算A'!T$6,1000000))</f>
        <v/>
      </c>
      <c r="IA45">
        <f>IF($B45=0,1000000,IF(INDEX('計算A'!$D$60:$DS$104,$B45,18)*DJ45=1,'計算A'!U$6,1000000))</f>
        <v/>
      </c>
      <c r="IB45">
        <f>IF($B45=0,1000000,IF(INDEX('計算A'!$D$60:$DS$104,$B45,19)*DK45=1,'計算A'!V$6,1000000))</f>
        <v/>
      </c>
      <c r="IC45">
        <f>IF($B45=0,1000000,IF(INDEX('計算A'!$D$60:$DS$104,$B45,20)*DL45=1,'計算A'!W$6,1000000))</f>
        <v/>
      </c>
      <c r="ID45">
        <f>IF($B45=0,1000000,IF(INDEX('計算A'!$D$60:$DS$104,$B45,21)*DM45=1,'計算A'!X$6,1000000))</f>
        <v/>
      </c>
      <c r="IE45">
        <f>IF($B45=0,1000000,IF(INDEX('計算A'!$D$60:$DS$104,$B45,22)*DN45=1,'計算A'!Y$6,1000000))</f>
        <v/>
      </c>
      <c r="IF45">
        <f>IF($B45=0,1000000,IF(INDEX('計算A'!$D$60:$DS$104,$B45,23)*DO45=1,'計算A'!Z$6,1000000))</f>
        <v/>
      </c>
      <c r="IG45">
        <f>IF($B45=0,1000000,IF(INDEX('計算A'!$D$60:$DS$104,$B45,24)*DP45=1,'計算A'!AA$6,1000000))</f>
        <v/>
      </c>
      <c r="IH45">
        <f>IF($B45=0,1000000,IF(INDEX('計算A'!$D$60:$DS$104,$B45,25)*DQ45=1,'計算A'!AB$6,1000000))</f>
        <v/>
      </c>
      <c r="II45">
        <f>IF($B45=0,1000000,IF(INDEX('計算A'!$D$60:$DS$104,$B45,26)*DR45=1,'計算A'!AC$6,1000000))</f>
        <v/>
      </c>
      <c r="IJ45">
        <f>IF($B45=0,1000000,IF(INDEX('計算A'!$D$60:$DS$104,$B45,27)*DS45=1,'計算A'!AD$6,1000000))</f>
        <v/>
      </c>
      <c r="IK45">
        <f>IF($B45=0,1000000,IF(INDEX('計算A'!$D$60:$DS$104,$B45,28)*DT45=1,'計算A'!AE$6,1000000))</f>
        <v/>
      </c>
      <c r="IL45">
        <f>IF($B45=0,1000000,IF(INDEX('計算A'!$D$60:$DS$104,$B45,29)*DU45=1,'計算A'!AF$6,1000000))</f>
        <v/>
      </c>
      <c r="IM45">
        <f>IF($B45=0,1000000,IF(INDEX('計算A'!$D$60:$DS$104,$B45,30)*DV45=1,'計算A'!AG$6,1000000))</f>
        <v/>
      </c>
      <c r="IN45">
        <f>IF($B45=0,1000000,IF(INDEX('計算A'!$D$60:$DS$104,$B45,31)*DW45=1,'計算A'!AH$6,1000000))</f>
        <v/>
      </c>
      <c r="IO45">
        <f>IF($B45=0,1000000,IF(INDEX('計算A'!$D$60:$DS$104,$B45,32)*DX45=1,'計算A'!AI$6,1000000))</f>
        <v/>
      </c>
      <c r="IP45">
        <f>IF($B45=0,1000000,IF(INDEX('計算A'!$D$60:$DS$104,$B45,33)*DY45=1,'計算A'!AJ$6,1000000))</f>
        <v/>
      </c>
      <c r="IQ45">
        <f>IF($B45=0,1000000,IF(INDEX('計算A'!$D$60:$DS$104,$B45,34)*DZ45=1,'計算A'!AK$6,1000000))</f>
        <v/>
      </c>
      <c r="IR45">
        <f>IF($B45=0,1000000,IF(INDEX('計算A'!$D$60:$DS$104,$B45,35)*EA45=1,'計算A'!AL$6,1000000))</f>
        <v/>
      </c>
      <c r="IS45">
        <f>IF($B45=0,1000000,IF(INDEX('計算A'!$D$60:$DS$104,$B45,36)*EB45=1,'計算A'!AM$6,1000000))</f>
        <v/>
      </c>
      <c r="IT45">
        <f>IF($B45=0,1000000,IF(INDEX('計算A'!$D$60:$DS$104,$B45,37)*EC45=1,'計算A'!AN$6,1000000))</f>
        <v/>
      </c>
      <c r="IU45">
        <f>IF($B45=0,1000000,IF(INDEX('計算A'!$D$60:$DS$104,$B45,38)*ED45=1,'計算A'!AO$6,1000000))</f>
        <v/>
      </c>
      <c r="IV45">
        <f>IF($B45=0,1000000,IF(INDEX('計算A'!$D$60:$DS$104,$B45,39)*EE45=1,'計算A'!AP$6,1000000))</f>
        <v/>
      </c>
      <c r="IW45">
        <f>IF($B45=0,1000000,IF(INDEX('計算A'!$D$60:$DS$104,$B45,40)*EF45=1,'計算A'!AQ$6,1000000))</f>
        <v/>
      </c>
      <c r="IX45">
        <f>IF($B45=0,1000000,IF(INDEX('計算A'!$D$60:$DS$104,$B45,41)*EG45=1,'計算A'!AR$6,1000000))</f>
        <v/>
      </c>
      <c r="IY45">
        <f>IF($B45=0,1000000,IF(INDEX('計算A'!$D$60:$DS$104,$B45,42)*EH45=1,'計算A'!AS$6,1000000))</f>
        <v/>
      </c>
      <c r="IZ45">
        <f>IF($B45=0,1000000,IF(INDEX('計算A'!$D$60:$DS$104,$B45,43)*EI45=1,'計算A'!AT$6,1000000))</f>
        <v/>
      </c>
      <c r="JA45">
        <f>IF($B45=0,1000000,IF(INDEX('計算A'!$D$60:$DS$104,$B45,44)*EJ45=1,'計算A'!AU$6,1000000))</f>
        <v/>
      </c>
      <c r="JB45">
        <f>IF($B45=0,1000000,IF(INDEX('計算A'!$D$60:$DS$104,$B45,45)*EK45=1,'計算A'!AV$6,1000000))</f>
        <v/>
      </c>
      <c r="JC45">
        <f>IF($B45=0,1000000,IF(INDEX('計算A'!$D$60:$DS$104,$B45,46)*EL45=1,'計算A'!AW$6,1000000))</f>
        <v/>
      </c>
      <c r="JD45">
        <f>IF($B45=0,1000000,IF(INDEX('計算A'!$D$60:$DS$104,$B45,47)*EM45=1,'計算A'!AX$6,1000000))</f>
        <v/>
      </c>
      <c r="JE45">
        <f>IF($B45=0,1000000,IF(INDEX('計算A'!$D$60:$DS$104,$B45,48)*EN45=1,'計算A'!AY$6,1000000))</f>
        <v/>
      </c>
      <c r="JF45">
        <f>IF($B45=0,1000000,IF(INDEX('計算A'!$D$60:$DS$104,$B45,49)*EO45=1,'計算A'!AZ$6,1000000))</f>
        <v/>
      </c>
      <c r="JG45">
        <f>IF($B45=0,1000000,IF(INDEX('計算A'!$D$60:$DS$104,$B45,50)*EP45=1,'計算A'!BA$6,1000000))</f>
        <v/>
      </c>
      <c r="JH45">
        <f>IF($B45=0,1000000,IF(INDEX('計算A'!$D$60:$DS$104,$B45,51)*EQ45=1,'計算A'!BB$6,1000000))</f>
        <v/>
      </c>
      <c r="JI45">
        <f>IF($B45=0,1000000,IF(INDEX('計算A'!$D$60:$DS$104,$B45,52)*ER45=1,'計算A'!BC$6,1000000))</f>
        <v/>
      </c>
      <c r="JJ45">
        <f>IF($B45=0,1000000,IF(INDEX('計算A'!$D$60:$DS$104,$B45,53)*ES45=1,'計算A'!BD$6,1000000))</f>
        <v/>
      </c>
      <c r="JK45">
        <f>IF($B45=0,1000000,IF(INDEX('計算A'!$D$60:$DS$104,$B45,54)*ET45=1,'計算A'!BE$6,1000000))</f>
        <v/>
      </c>
      <c r="JL45">
        <f>IF($B45=0,1000000,IF(INDEX('計算A'!$D$60:$DS$104,$B45,55)*EU45=1,'計算A'!BF$6,1000000))</f>
        <v/>
      </c>
      <c r="JM45">
        <f>IF($B45=0,1000000,IF(INDEX('計算A'!$D$60:$DS$104,$B45,56)*EV45=1,'計算A'!BG$6,1000000))</f>
        <v/>
      </c>
      <c r="JN45">
        <f>IF($B45=0,1000000,IF(INDEX('計算A'!$D$60:$DS$104,$B45,57)*EW45=1,'計算A'!BH$6,1000000))</f>
        <v/>
      </c>
      <c r="JO45">
        <f>IF($B45=0,1000000,IF(INDEX('計算A'!$D$60:$DS$104,$B45,58)*EX45=1,'計算A'!BI$6,1000000))</f>
        <v/>
      </c>
      <c r="JP45">
        <f>IF($B45=0,1000000,IF(INDEX('計算A'!$D$60:$DS$104,$B45,59)*EY45=1,'計算A'!BJ$6,1000000))</f>
        <v/>
      </c>
      <c r="JQ45">
        <f>IF($B45=0,1000000,IF(INDEX('計算A'!$D$60:$DS$104,$B45,60)*EZ45=1,'計算A'!BK$6,1000000))</f>
        <v/>
      </c>
      <c r="JR45">
        <f>IF($B45=0,1000000,IF(INDEX('計算A'!$D$60:$DS$104,$B45,61)*FA45=1,'計算A'!BL$6,1000000))</f>
        <v/>
      </c>
      <c r="JS45">
        <f>IF($B45=0,1000000,IF(INDEX('計算A'!$D$60:$DS$104,$B45,62)*FB45=1,'計算A'!BM$6,1000000))</f>
        <v/>
      </c>
      <c r="JT45">
        <f>IF($B45=0,1000000,IF(INDEX('計算A'!$D$60:$DS$104,$B45,63)*FC45=1,'計算A'!BN$6,1000000))</f>
        <v/>
      </c>
      <c r="JU45">
        <f>IF($B45=0,1000000,IF(INDEX('計算A'!$D$60:$DS$104,$B45,64)*FD45=1,'計算A'!BO$6,1000000))</f>
        <v/>
      </c>
      <c r="JV45">
        <f>IF($B45=0,1000000,IF(INDEX('計算A'!$D$60:$DS$104,$B45,65)*FE45=1,'計算A'!BP$6,1000000))</f>
        <v/>
      </c>
      <c r="JW45">
        <f>IF($B45=0,1000000,IF(INDEX('計算A'!$D$60:$DS$104,$B45,66)*FF45=1,'計算A'!BQ$6,1000000))</f>
        <v/>
      </c>
      <c r="JX45">
        <f>IF($B45=0,1000000,IF(INDEX('計算A'!$D$60:$DS$104,$B45,67)*FG45=1,'計算A'!BR$6,1000000))</f>
        <v/>
      </c>
      <c r="JY45">
        <f>IF($B45=0,1000000,IF(INDEX('計算A'!$D$60:$DS$104,$B45,68)*FH45=1,'計算A'!BS$6,1000000))</f>
        <v/>
      </c>
      <c r="JZ45">
        <f>IF($B45=0,1000000,IF(INDEX('計算A'!$D$60:$DS$104,$B45,69)*FI45=1,'計算A'!BT$6,1000000))</f>
        <v/>
      </c>
      <c r="KA45">
        <f>IF($B45=0,1000000,IF(INDEX('計算A'!$D$60:$DS$104,$B45,70)*FJ45=1,'計算A'!BU$6,1000000))</f>
        <v/>
      </c>
      <c r="KB45">
        <f>IF($B45=0,1000000,IF(INDEX('計算A'!$D$60:$DS$104,$B45,71)*FK45=1,'計算A'!BV$6,1000000))</f>
        <v/>
      </c>
      <c r="KC45">
        <f>IF($B45=0,1000000,IF(INDEX('計算A'!$D$60:$DS$104,$B45,72)*FL45=1,'計算A'!BW$6,1000000))</f>
        <v/>
      </c>
      <c r="KD45">
        <f>IF($B45=0,1000000,IF(INDEX('計算A'!$D$60:$DS$104,$B45,73)*FM45=1,'計算A'!BX$6,1000000))</f>
        <v/>
      </c>
      <c r="KE45">
        <f>IF($B45=0,1000000,IF(INDEX('計算A'!$D$60:$DS$104,$B45,74)*FN45=1,'計算A'!BY$6,1000000))</f>
        <v/>
      </c>
      <c r="KF45">
        <f>IF($B45=0,1000000,IF(INDEX('計算A'!$D$60:$DS$104,$B45,75)*FO45=1,'計算A'!BZ$6,1000000))</f>
        <v/>
      </c>
      <c r="KG45">
        <f>IF($B45=0,1000000,IF(INDEX('計算A'!$D$60:$DS$104,$B45,76)*FP45=1,'計算A'!CA$6,1000000))</f>
        <v/>
      </c>
      <c r="KH45">
        <f>IF($B45=0,1000000,IF(INDEX('計算A'!$D$60:$DS$104,$B45,77)*FQ45=1,'計算A'!CB$6,1000000))</f>
        <v/>
      </c>
      <c r="KI45">
        <f>IF($B45=0,1000000,IF(INDEX('計算A'!$D$60:$DS$104,$B45,78)*FR45=1,'計算A'!CC$6,1000000))</f>
        <v/>
      </c>
      <c r="KJ45">
        <f>IF($B45=0,1000000,IF(INDEX('計算A'!$D$60:$DS$104,$B45,79)*FS45=1,'計算A'!CD$6,1000000))</f>
        <v/>
      </c>
      <c r="KK45">
        <f>IF($B45=0,1000000,IF(INDEX('計算A'!$D$60:$DS$104,$B45,80)*FT45=1,'計算A'!CE$6,1000000))</f>
        <v/>
      </c>
      <c r="KL45">
        <f>IF($B45=0,1000000,IF(INDEX('計算A'!$D$60:$DS$104,$B45,81)*FU45=1,'計算A'!CF$6,1000000))</f>
        <v/>
      </c>
      <c r="KM45">
        <f>IF($B45=0,1000000,IF(INDEX('計算A'!$D$60:$DS$104,$B45,82)*FV45=1,'計算A'!CG$6,1000000))</f>
        <v/>
      </c>
      <c r="KN45">
        <f>IF($B45=0,1000000,IF(INDEX('計算A'!$D$60:$DS$104,$B45,83)*FW45=1,'計算A'!CH$6,1000000))</f>
        <v/>
      </c>
      <c r="KO45">
        <f>IF($B45=0,1000000,IF(INDEX('計算A'!$D$60:$DS$104,$B45,84)*FX45=1,'計算A'!CI$6,1000000))</f>
        <v/>
      </c>
      <c r="KP45">
        <f>IF($B45=0,1000000,IF(INDEX('計算A'!$D$60:$DS$104,$B45,85)*FY45=1,'計算A'!CJ$6,1000000))</f>
        <v/>
      </c>
      <c r="KQ45">
        <f>IF($B45=0,1000000,IF(INDEX('計算A'!$D$60:$DS$104,$B45,86)*FZ45=1,'計算A'!CK$6,1000000))</f>
        <v/>
      </c>
      <c r="KR45">
        <f>IF($B45=0,1000000,IF(INDEX('計算A'!$D$60:$DS$104,$B45,87)*GA45=1,'計算A'!CL$6,1000000))</f>
        <v/>
      </c>
      <c r="KS45">
        <f>IF($B45=0,1000000,IF(INDEX('計算A'!$D$60:$DS$104,$B45,88)*GB45=1,'計算A'!CM$6,1000000))</f>
        <v/>
      </c>
      <c r="KT45">
        <f>IF($B45=0,1000000,IF(INDEX('計算A'!$D$60:$DS$104,$B45,89)*GC45=1,'計算A'!CN$6,1000000))</f>
        <v/>
      </c>
      <c r="KU45">
        <f>IF($B45=0,1000000,IF(INDEX('計算A'!$D$60:$DS$104,$B45,90)*GD45=1,'計算A'!CO$6,1000000))</f>
        <v/>
      </c>
      <c r="KV45">
        <f>IF($B45=0,1000000,IF(INDEX('計算A'!$D$60:$DS$104,$B45,91)*GE45=1,'計算A'!CP$6,1000000))</f>
        <v/>
      </c>
      <c r="KW45">
        <f>IF($B45=0,1000000,IF(INDEX('計算A'!$D$60:$DS$104,$B45,92)*GF45=1,'計算A'!CQ$6,1000000))</f>
        <v/>
      </c>
      <c r="KX45">
        <f>IF($B45=0,1000000,IF(INDEX('計算A'!$D$60:$DS$104,$B45,93)*GG45=1,'計算A'!CR$6,1000000))</f>
        <v/>
      </c>
      <c r="KY45">
        <f>IF($B45=0,1000000,IF(INDEX('計算A'!$D$60:$DS$104,$B45,94)*GH45=1,'計算A'!CS$6,1000000))</f>
        <v/>
      </c>
      <c r="KZ45">
        <f>IF($B45=0,1000000,IF(INDEX('計算A'!$D$60:$DS$104,$B45,95)*GI45=1,'計算A'!CT$6,1000000))</f>
        <v/>
      </c>
      <c r="LA45">
        <f>IF($B45=0,1000000,IF(INDEX('計算A'!$D$60:$DS$104,$B45,96)*GJ45=1,'計算A'!CU$6,1000000))</f>
        <v/>
      </c>
      <c r="LB45">
        <f>IF($B45=0,1000000,IF(INDEX('計算A'!$D$60:$DS$104,$B45,97)*GK45=1,'計算A'!CV$6,1000000))</f>
        <v/>
      </c>
      <c r="LC45">
        <f>IF($B45=0,1000000,IF(INDEX('計算A'!$D$60:$DS$104,$B45,98)*GL45=1,'計算A'!CW$6,1000000))</f>
        <v/>
      </c>
      <c r="LD45">
        <f>IF($B45=0,1000000,IF(INDEX('計算A'!$D$60:$DS$104,$B45,99)*GM45=1,'計算A'!CX$6,1000000))</f>
        <v/>
      </c>
      <c r="LE45">
        <f>IF($B45=0,1000000,IF(INDEX('計算A'!$D$60:$DS$104,$B45,100)*GN45=1,'計算A'!CY$6,1000000))</f>
        <v/>
      </c>
      <c r="LF45">
        <f>IF($B45=0,1000000,IF(INDEX('計算A'!$D$60:$DS$104,$B45,101)*GO45=1,'計算A'!CZ$6,1000000))</f>
        <v/>
      </c>
      <c r="LG45">
        <f>IF($B45=0,1000000,IF(INDEX('計算A'!$D$60:$DS$104,$B45,102)*GP45=1,'計算A'!DA$6,1000000))</f>
        <v/>
      </c>
      <c r="LH45">
        <f>IF($B45=0,1000000,IF(INDEX('計算A'!$D$60:$DS$104,$B45,103)*GQ45=1,'計算A'!DB$6,1000000))</f>
        <v/>
      </c>
      <c r="LI45">
        <f>IF($B45=0,1000000,IF(INDEX('計算A'!$D$60:$DS$104,$B45,104)*GR45=1,'計算A'!DC$6,1000000))</f>
        <v/>
      </c>
      <c r="LJ45">
        <f>IF($B45=0,1000000,IF(INDEX('計算A'!$D$60:$DS$104,$B45,105)*GS45=1,'計算A'!DD$6,1000000))</f>
        <v/>
      </c>
      <c r="LK45">
        <f>IF($B45=0,1000000,IF(INDEX('計算A'!$D$60:$DS$104,$B45,106)*GT45=1,'計算A'!DE$6,1000000))</f>
        <v/>
      </c>
      <c r="LL45">
        <f>IF($B45=0,1000000,IF(INDEX('計算A'!$D$60:$DS$104,$B45,107)*GU45=1,'計算A'!DF$6,1000000))</f>
        <v/>
      </c>
      <c r="LM45">
        <f>IF($B45=0,1000000,IF(INDEX('計算A'!$D$60:$DS$104,$B45,108)*GV45=1,'計算A'!DG$6,1000000))</f>
        <v/>
      </c>
      <c r="LN45">
        <f>IF($B45=0,1000000,IF(INDEX('計算A'!$D$60:$DS$104,$B45,109)*GW45=1,'計算A'!DH$6,1000000))</f>
        <v/>
      </c>
      <c r="LO45">
        <f>IF($B45=0,1000000,IF(INDEX('計算A'!$D$60:$DS$104,$B45,110)*GX45=1,'計算A'!DI$6,1000000))</f>
        <v/>
      </c>
      <c r="LP45">
        <f>IF($B45=0,1000000,IF(INDEX('計算A'!$D$60:$DS$104,$B45,111)*GY45=1,'計算A'!DJ$6,1000000))</f>
        <v/>
      </c>
      <c r="LQ45">
        <f>IF($B45=0,1000000,IF(INDEX('計算A'!$D$60:$DS$104,$B45,112)*GZ45=1,'計算A'!DK$6,1000000))</f>
        <v/>
      </c>
      <c r="LR45">
        <f>IF($B45=0,1000000,IF(INDEX('計算A'!$D$60:$DS$104,$B45,113)*HA45=1,'計算A'!DL$6,1000000))</f>
        <v/>
      </c>
      <c r="LS45">
        <f>IF($B45=0,1000000,IF(INDEX('計算A'!$D$60:$DS$104,$B45,114)*HB45=1,'計算A'!DM$6,1000000))</f>
        <v/>
      </c>
      <c r="LT45">
        <f>IF($B45=0,1000000,IF(INDEX('計算A'!$D$60:$DS$104,$B45,115)*HC45=1,'計算A'!DN$6,1000000))</f>
        <v/>
      </c>
      <c r="LU45">
        <f>IF($B45=0,1000000,IF(INDEX('計算A'!$D$60:$DS$104,$B45,116)*HD45=1,'計算A'!DO$6,1000000))</f>
        <v/>
      </c>
      <c r="LV45">
        <f>IF($B45=0,1000000,IF(INDEX('計算A'!$D$60:$DS$104,$B45,117)*HE45=1,'計算A'!DP$6,1000000))</f>
        <v/>
      </c>
      <c r="LW45">
        <f>IF($B45=0,1000000,IF(INDEX('計算A'!$D$60:$DS$104,$B45,118)*HF45=1,'計算A'!DQ$6,1000000))</f>
        <v/>
      </c>
      <c r="LX45">
        <f>IF($B45=0,1000000,IF(INDEX('計算A'!$D$60:$DS$104,$B45,119)*HG45=1,'計算A'!DR$6,1000000))</f>
        <v/>
      </c>
      <c r="LY45">
        <f>IF($B45=0,1000000,IF(INDEX('計算A'!$D$60:$DS$104,$B45,120)*HH45=1,'計算A'!DS$6,1000000))</f>
        <v/>
      </c>
    </row>
    <row r="46">
      <c r="A46" t="n">
        <v>44</v>
      </c>
      <c r="B46">
        <f>IF(MIN(AY46:CQ46)&gt;=1000000,0,MATCH(MIN(AY46:CQ46),AY46:CQ46,0))</f>
        <v/>
      </c>
      <c r="C46">
        <f>IF(MIN(HJ46:LY46)&gt;=1000000,0,MATCH(MIN(HJ46:LY46),HJ46:LY46,0))</f>
        <v/>
      </c>
      <c r="D46">
        <f>IF(C46&gt;0,INDEX('計算A'!$D$5:$DS$5,C46),0)</f>
        <v/>
      </c>
      <c r="E46">
        <f>MAX(E45,IF($B45=1,1,0))</f>
        <v/>
      </c>
      <c r="F46">
        <f>MAX(F45,IF($B45=2,1,0))</f>
        <v/>
      </c>
      <c r="G46">
        <f>MAX(G45,IF($B45=3,1,0))</f>
        <v/>
      </c>
      <c r="H46">
        <f>MAX(H45,IF($B45=4,1,0))</f>
        <v/>
      </c>
      <c r="I46">
        <f>MAX(I45,IF($B45=5,1,0))</f>
        <v/>
      </c>
      <c r="J46">
        <f>MAX(J45,IF($B45=6,1,0))</f>
        <v/>
      </c>
      <c r="K46">
        <f>MAX(K45,IF($B45=7,1,0))</f>
        <v/>
      </c>
      <c r="L46">
        <f>MAX(L45,IF($B45=8,1,0))</f>
        <v/>
      </c>
      <c r="M46">
        <f>MAX(M45,IF($B45=9,1,0))</f>
        <v/>
      </c>
      <c r="N46">
        <f>MAX(N45,IF($B45=10,1,0))</f>
        <v/>
      </c>
      <c r="O46">
        <f>MAX(O45,IF($B45=11,1,0))</f>
        <v/>
      </c>
      <c r="P46">
        <f>MAX(P45,IF($B45=12,1,0))</f>
        <v/>
      </c>
      <c r="Q46">
        <f>MAX(Q45,IF($B45=13,1,0))</f>
        <v/>
      </c>
      <c r="R46">
        <f>MAX(R45,IF($B45=14,1,0))</f>
        <v/>
      </c>
      <c r="S46">
        <f>MAX(S45,IF($B45=15,1,0))</f>
        <v/>
      </c>
      <c r="T46">
        <f>MAX(T45,IF($B45=16,1,0))</f>
        <v/>
      </c>
      <c r="U46">
        <f>MAX(U45,IF($B45=17,1,0))</f>
        <v/>
      </c>
      <c r="V46">
        <f>MAX(V45,IF($B45=18,1,0))</f>
        <v/>
      </c>
      <c r="W46">
        <f>MAX(W45,IF($B45=19,1,0))</f>
        <v/>
      </c>
      <c r="X46">
        <f>MAX(X45,IF($B45=20,1,0))</f>
        <v/>
      </c>
      <c r="Y46">
        <f>MAX(Y45,IF($B45=21,1,0))</f>
        <v/>
      </c>
      <c r="Z46">
        <f>MAX(Z45,IF($B45=22,1,0))</f>
        <v/>
      </c>
      <c r="AA46">
        <f>MAX(AA45,IF($B45=23,1,0))</f>
        <v/>
      </c>
      <c r="AB46">
        <f>MAX(AB45,IF($B45=24,1,0))</f>
        <v/>
      </c>
      <c r="AC46">
        <f>MAX(AC45,IF($B45=25,1,0))</f>
        <v/>
      </c>
      <c r="AD46">
        <f>MAX(AD45,IF($B45=26,1,0))</f>
        <v/>
      </c>
      <c r="AE46">
        <f>MAX(AE45,IF($B45=27,1,0))</f>
        <v/>
      </c>
      <c r="AF46">
        <f>MAX(AF45,IF($B45=28,1,0))</f>
        <v/>
      </c>
      <c r="AG46">
        <f>MAX(AG45,IF($B45=29,1,0))</f>
        <v/>
      </c>
      <c r="AH46">
        <f>MAX(AH45,IF($B45=30,1,0))</f>
        <v/>
      </c>
      <c r="AI46">
        <f>MAX(AI45,IF($B45=31,1,0))</f>
        <v/>
      </c>
      <c r="AJ46">
        <f>MAX(AJ45,IF($B45=32,1,0))</f>
        <v/>
      </c>
      <c r="AK46">
        <f>MAX(AK45,IF($B45=33,1,0))</f>
        <v/>
      </c>
      <c r="AL46">
        <f>MAX(AL45,IF($B45=34,1,0))</f>
        <v/>
      </c>
      <c r="AM46">
        <f>MAX(AM45,IF($B45=35,1,0))</f>
        <v/>
      </c>
      <c r="AN46">
        <f>MAX(AN45,IF($B45=36,1,0))</f>
        <v/>
      </c>
      <c r="AO46">
        <f>MAX(AO45,IF($B45=37,1,0))</f>
        <v/>
      </c>
      <c r="AP46">
        <f>MAX(AP45,IF($B45=38,1,0))</f>
        <v/>
      </c>
      <c r="AQ46">
        <f>MAX(AQ45,IF($B45=39,1,0))</f>
        <v/>
      </c>
      <c r="AR46">
        <f>MAX(AR45,IF($B45=40,1,0))</f>
        <v/>
      </c>
      <c r="AS46">
        <f>MAX(AS45,IF($B45=41,1,0))</f>
        <v/>
      </c>
      <c r="AT46">
        <f>MAX(AT45,IF($B45=42,1,0))</f>
        <v/>
      </c>
      <c r="AU46">
        <f>MAX(AU45,IF($B45=43,1,0))</f>
        <v/>
      </c>
      <c r="AV46">
        <f>MAX(AV45,IF($B45=44,1,0))</f>
        <v/>
      </c>
      <c r="AW46">
        <f>MAX(AW45,IF($B45=45,1,0))</f>
        <v/>
      </c>
      <c r="AY46">
        <f>IF(E46=1,1000000,SUMPRODUCT('計算A'!$D$60:$DS$60,$CS46:$HH46)*1000+1)</f>
        <v/>
      </c>
      <c r="AZ46">
        <f>IF(F46=1,1000000,SUMPRODUCT('計算A'!$D$61:$DS$61,$CS46:$HH46)*1000+2)</f>
        <v/>
      </c>
      <c r="BA46">
        <f>IF(G46=1,1000000,SUMPRODUCT('計算A'!$D$62:$DS$62,$CS46:$HH46)*1000+3)</f>
        <v/>
      </c>
      <c r="BB46">
        <f>IF(H46=1,1000000,SUMPRODUCT('計算A'!$D$63:$DS$63,$CS46:$HH46)*1000+4)</f>
        <v/>
      </c>
      <c r="BC46">
        <f>IF(I46=1,1000000,SUMPRODUCT('計算A'!$D$64:$DS$64,$CS46:$HH46)*1000+5)</f>
        <v/>
      </c>
      <c r="BD46">
        <f>IF(J46=1,1000000,SUMPRODUCT('計算A'!$D$65:$DS$65,$CS46:$HH46)*1000+6)</f>
        <v/>
      </c>
      <c r="BE46">
        <f>IF(K46=1,1000000,SUMPRODUCT('計算A'!$D$66:$DS$66,$CS46:$HH46)*1000+7)</f>
        <v/>
      </c>
      <c r="BF46">
        <f>IF(L46=1,1000000,SUMPRODUCT('計算A'!$D$67:$DS$67,$CS46:$HH46)*1000+8)</f>
        <v/>
      </c>
      <c r="BG46">
        <f>IF(M46=1,1000000,SUMPRODUCT('計算A'!$D$68:$DS$68,$CS46:$HH46)*1000+9)</f>
        <v/>
      </c>
      <c r="BH46">
        <f>IF(N46=1,1000000,SUMPRODUCT('計算A'!$D$69:$DS$69,$CS46:$HH46)*1000+10)</f>
        <v/>
      </c>
      <c r="BI46">
        <f>IF(O46=1,1000000,SUMPRODUCT('計算A'!$D$70:$DS$70,$CS46:$HH46)*1000+11)</f>
        <v/>
      </c>
      <c r="BJ46">
        <f>IF(P46=1,1000000,SUMPRODUCT('計算A'!$D$71:$DS$71,$CS46:$HH46)*1000+12)</f>
        <v/>
      </c>
      <c r="BK46">
        <f>IF(Q46=1,1000000,SUMPRODUCT('計算A'!$D$72:$DS$72,$CS46:$HH46)*1000+13)</f>
        <v/>
      </c>
      <c r="BL46">
        <f>IF(R46=1,1000000,SUMPRODUCT('計算A'!$D$73:$DS$73,$CS46:$HH46)*1000+14)</f>
        <v/>
      </c>
      <c r="BM46">
        <f>IF(S46=1,1000000,SUMPRODUCT('計算A'!$D$74:$DS$74,$CS46:$HH46)*1000+15)</f>
        <v/>
      </c>
      <c r="BN46">
        <f>IF(T46=1,1000000,SUMPRODUCT('計算A'!$D$75:$DS$75,$CS46:$HH46)*1000+16)</f>
        <v/>
      </c>
      <c r="BO46">
        <f>IF(U46=1,1000000,SUMPRODUCT('計算A'!$D$76:$DS$76,$CS46:$HH46)*1000+17)</f>
        <v/>
      </c>
      <c r="BP46">
        <f>IF(V46=1,1000000,SUMPRODUCT('計算A'!$D$77:$DS$77,$CS46:$HH46)*1000+18)</f>
        <v/>
      </c>
      <c r="BQ46">
        <f>IF(W46=1,1000000,SUMPRODUCT('計算A'!$D$78:$DS$78,$CS46:$HH46)*1000+19)</f>
        <v/>
      </c>
      <c r="BR46">
        <f>IF(X46=1,1000000,SUMPRODUCT('計算A'!$D$79:$DS$79,$CS46:$HH46)*1000+20)</f>
        <v/>
      </c>
      <c r="BS46">
        <f>IF(Y46=1,1000000,SUMPRODUCT('計算A'!$D$80:$DS$80,$CS46:$HH46)*1000+21)</f>
        <v/>
      </c>
      <c r="BT46">
        <f>IF(Z46=1,1000000,SUMPRODUCT('計算A'!$D$81:$DS$81,$CS46:$HH46)*1000+22)</f>
        <v/>
      </c>
      <c r="BU46">
        <f>IF(AA46=1,1000000,SUMPRODUCT('計算A'!$D$82:$DS$82,$CS46:$HH46)*1000+23)</f>
        <v/>
      </c>
      <c r="BV46">
        <f>IF(AB46=1,1000000,SUMPRODUCT('計算A'!$D$83:$DS$83,$CS46:$HH46)*1000+24)</f>
        <v/>
      </c>
      <c r="BW46">
        <f>IF(AC46=1,1000000,SUMPRODUCT('計算A'!$D$84:$DS$84,$CS46:$HH46)*1000+25)</f>
        <v/>
      </c>
      <c r="BX46">
        <f>IF(AD46=1,1000000,SUMPRODUCT('計算A'!$D$85:$DS$85,$CS46:$HH46)*1000+26)</f>
        <v/>
      </c>
      <c r="BY46">
        <f>IF(AE46=1,1000000,SUMPRODUCT('計算A'!$D$86:$DS$86,$CS46:$HH46)*1000+27)</f>
        <v/>
      </c>
      <c r="BZ46">
        <f>IF(AF46=1,1000000,SUMPRODUCT('計算A'!$D$87:$DS$87,$CS46:$HH46)*1000+28)</f>
        <v/>
      </c>
      <c r="CA46">
        <f>IF(AG46=1,1000000,SUMPRODUCT('計算A'!$D$88:$DS$88,$CS46:$HH46)*1000+29)</f>
        <v/>
      </c>
      <c r="CB46">
        <f>IF(AH46=1,1000000,SUMPRODUCT('計算A'!$D$89:$DS$89,$CS46:$HH46)*1000+30)</f>
        <v/>
      </c>
      <c r="CC46">
        <f>IF(AI46=1,1000000,SUMPRODUCT('計算A'!$D$90:$DS$90,$CS46:$HH46)*1000+31)</f>
        <v/>
      </c>
      <c r="CD46">
        <f>IF(AJ46=1,1000000,SUMPRODUCT('計算A'!$D$91:$DS$91,$CS46:$HH46)*1000+32)</f>
        <v/>
      </c>
      <c r="CE46">
        <f>IF(AK46=1,1000000,SUMPRODUCT('計算A'!$D$92:$DS$92,$CS46:$HH46)*1000+33)</f>
        <v/>
      </c>
      <c r="CF46">
        <f>IF(AL46=1,1000000,SUMPRODUCT('計算A'!$D$93:$DS$93,$CS46:$HH46)*1000+34)</f>
        <v/>
      </c>
      <c r="CG46">
        <f>IF(AM46=1,1000000,SUMPRODUCT('計算A'!$D$94:$DS$94,$CS46:$HH46)*1000+35)</f>
        <v/>
      </c>
      <c r="CH46">
        <f>IF(AN46=1,1000000,SUMPRODUCT('計算A'!$D$95:$DS$95,$CS46:$HH46)*1000+36)</f>
        <v/>
      </c>
      <c r="CI46">
        <f>IF(AO46=1,1000000,SUMPRODUCT('計算A'!$D$96:$DS$96,$CS46:$HH46)*1000+37)</f>
        <v/>
      </c>
      <c r="CJ46">
        <f>IF(AP46=1,1000000,SUMPRODUCT('計算A'!$D$97:$DS$97,$CS46:$HH46)*1000+38)</f>
        <v/>
      </c>
      <c r="CK46">
        <f>IF(AQ46=1,1000000,SUMPRODUCT('計算A'!$D$98:$DS$98,$CS46:$HH46)*1000+39)</f>
        <v/>
      </c>
      <c r="CL46">
        <f>IF(AR46=1,1000000,SUMPRODUCT('計算A'!$D$99:$DS$99,$CS46:$HH46)*1000+40)</f>
        <v/>
      </c>
      <c r="CM46">
        <f>IF(AS46=1,1000000,SUMPRODUCT('計算A'!$D$100:$DS$100,$CS46:$HH46)*1000+41)</f>
        <v/>
      </c>
      <c r="CN46">
        <f>IF(AT46=1,1000000,SUMPRODUCT('計算A'!$D$101:$DS$101,$CS46:$HH46)*1000+42)</f>
        <v/>
      </c>
      <c r="CO46">
        <f>IF(AU46=1,1000000,SUMPRODUCT('計算A'!$D$102:$DS$102,$CS46:$HH46)*1000+43)</f>
        <v/>
      </c>
      <c r="CP46">
        <f>IF(AV46=1,1000000,SUMPRODUCT('計算A'!$D$103:$DS$103,$CS46:$HH46)*1000+44)</f>
        <v/>
      </c>
      <c r="CQ46">
        <f>IF(AW46=1,1000000,SUMPRODUCT('計算A'!$D$104:$DS$104,$CS46:$HH46)*1000+45)</f>
        <v/>
      </c>
      <c r="CS46">
        <f>CS45*IF($C45=1,0,1)</f>
        <v/>
      </c>
      <c r="CT46">
        <f>CT45*IF($C45=2,0,1)</f>
        <v/>
      </c>
      <c r="CU46">
        <f>CU45*IF($C45=3,0,1)</f>
        <v/>
      </c>
      <c r="CV46">
        <f>CV45*IF($C45=4,0,1)</f>
        <v/>
      </c>
      <c r="CW46">
        <f>CW45*IF($C45=5,0,1)</f>
        <v/>
      </c>
      <c r="CX46">
        <f>CX45*IF($C45=6,0,1)</f>
        <v/>
      </c>
      <c r="CY46">
        <f>CY45*IF($C45=7,0,1)</f>
        <v/>
      </c>
      <c r="CZ46">
        <f>CZ45*IF($C45=8,0,1)</f>
        <v/>
      </c>
      <c r="DA46">
        <f>DA45*IF($C45=9,0,1)</f>
        <v/>
      </c>
      <c r="DB46">
        <f>DB45*IF($C45=10,0,1)</f>
        <v/>
      </c>
      <c r="DC46">
        <f>DC45*IF($C45=11,0,1)</f>
        <v/>
      </c>
      <c r="DD46">
        <f>DD45*IF($C45=12,0,1)</f>
        <v/>
      </c>
      <c r="DE46">
        <f>DE45*IF($C45=13,0,1)</f>
        <v/>
      </c>
      <c r="DF46">
        <f>DF45*IF($C45=14,0,1)</f>
        <v/>
      </c>
      <c r="DG46">
        <f>DG45*IF($C45=15,0,1)</f>
        <v/>
      </c>
      <c r="DH46">
        <f>DH45*IF($C45=16,0,1)</f>
        <v/>
      </c>
      <c r="DI46">
        <f>DI45*IF($C45=17,0,1)</f>
        <v/>
      </c>
      <c r="DJ46">
        <f>DJ45*IF($C45=18,0,1)</f>
        <v/>
      </c>
      <c r="DK46">
        <f>DK45*IF($C45=19,0,1)</f>
        <v/>
      </c>
      <c r="DL46">
        <f>DL45*IF($C45=20,0,1)</f>
        <v/>
      </c>
      <c r="DM46">
        <f>DM45*IF($C45=21,0,1)</f>
        <v/>
      </c>
      <c r="DN46">
        <f>DN45*IF($C45=22,0,1)</f>
        <v/>
      </c>
      <c r="DO46">
        <f>DO45*IF($C45=23,0,1)</f>
        <v/>
      </c>
      <c r="DP46">
        <f>DP45*IF($C45=24,0,1)</f>
        <v/>
      </c>
      <c r="DQ46">
        <f>DQ45*IF($C45=25,0,1)</f>
        <v/>
      </c>
      <c r="DR46">
        <f>DR45*IF($C45=26,0,1)</f>
        <v/>
      </c>
      <c r="DS46">
        <f>DS45*IF($C45=27,0,1)</f>
        <v/>
      </c>
      <c r="DT46">
        <f>DT45*IF($C45=28,0,1)</f>
        <v/>
      </c>
      <c r="DU46">
        <f>DU45*IF($C45=29,0,1)</f>
        <v/>
      </c>
      <c r="DV46">
        <f>DV45*IF($C45=30,0,1)</f>
        <v/>
      </c>
      <c r="DW46">
        <f>DW45*IF($C45=31,0,1)</f>
        <v/>
      </c>
      <c r="DX46">
        <f>DX45*IF($C45=32,0,1)</f>
        <v/>
      </c>
      <c r="DY46">
        <f>DY45*IF($C45=33,0,1)</f>
        <v/>
      </c>
      <c r="DZ46">
        <f>DZ45*IF($C45=34,0,1)</f>
        <v/>
      </c>
      <c r="EA46">
        <f>EA45*IF($C45=35,0,1)</f>
        <v/>
      </c>
      <c r="EB46">
        <f>EB45*IF($C45=36,0,1)</f>
        <v/>
      </c>
      <c r="EC46">
        <f>EC45*IF($C45=37,0,1)</f>
        <v/>
      </c>
      <c r="ED46">
        <f>ED45*IF($C45=38,0,1)</f>
        <v/>
      </c>
      <c r="EE46">
        <f>EE45*IF($C45=39,0,1)</f>
        <v/>
      </c>
      <c r="EF46">
        <f>EF45*IF($C45=40,0,1)</f>
        <v/>
      </c>
      <c r="EG46">
        <f>EG45*IF($C45=41,0,1)</f>
        <v/>
      </c>
      <c r="EH46">
        <f>EH45*IF($C45=42,0,1)</f>
        <v/>
      </c>
      <c r="EI46">
        <f>EI45*IF($C45=43,0,1)</f>
        <v/>
      </c>
      <c r="EJ46">
        <f>EJ45*IF($C45=44,0,1)</f>
        <v/>
      </c>
      <c r="EK46">
        <f>EK45*IF($C45=45,0,1)</f>
        <v/>
      </c>
      <c r="EL46">
        <f>EL45*IF($C45=46,0,1)</f>
        <v/>
      </c>
      <c r="EM46">
        <f>EM45*IF($C45=47,0,1)</f>
        <v/>
      </c>
      <c r="EN46">
        <f>EN45*IF($C45=48,0,1)</f>
        <v/>
      </c>
      <c r="EO46">
        <f>EO45*IF($C45=49,0,1)</f>
        <v/>
      </c>
      <c r="EP46">
        <f>EP45*IF($C45=50,0,1)</f>
        <v/>
      </c>
      <c r="EQ46">
        <f>EQ45*IF($C45=51,0,1)</f>
        <v/>
      </c>
      <c r="ER46">
        <f>ER45*IF($C45=52,0,1)</f>
        <v/>
      </c>
      <c r="ES46">
        <f>ES45*IF($C45=53,0,1)</f>
        <v/>
      </c>
      <c r="ET46">
        <f>ET45*IF($C45=54,0,1)</f>
        <v/>
      </c>
      <c r="EU46">
        <f>EU45*IF($C45=55,0,1)</f>
        <v/>
      </c>
      <c r="EV46">
        <f>EV45*IF($C45=56,0,1)</f>
        <v/>
      </c>
      <c r="EW46">
        <f>EW45*IF($C45=57,0,1)</f>
        <v/>
      </c>
      <c r="EX46">
        <f>EX45*IF($C45=58,0,1)</f>
        <v/>
      </c>
      <c r="EY46">
        <f>EY45*IF($C45=59,0,1)</f>
        <v/>
      </c>
      <c r="EZ46">
        <f>EZ45*IF($C45=60,0,1)</f>
        <v/>
      </c>
      <c r="FA46">
        <f>FA45*IF($C45=61,0,1)</f>
        <v/>
      </c>
      <c r="FB46">
        <f>FB45*IF($C45=62,0,1)</f>
        <v/>
      </c>
      <c r="FC46">
        <f>FC45*IF($C45=63,0,1)</f>
        <v/>
      </c>
      <c r="FD46">
        <f>FD45*IF($C45=64,0,1)</f>
        <v/>
      </c>
      <c r="FE46">
        <f>FE45*IF($C45=65,0,1)</f>
        <v/>
      </c>
      <c r="FF46">
        <f>FF45*IF($C45=66,0,1)</f>
        <v/>
      </c>
      <c r="FG46">
        <f>FG45*IF($C45=67,0,1)</f>
        <v/>
      </c>
      <c r="FH46">
        <f>FH45*IF($C45=68,0,1)</f>
        <v/>
      </c>
      <c r="FI46">
        <f>FI45*IF($C45=69,0,1)</f>
        <v/>
      </c>
      <c r="FJ46">
        <f>FJ45*IF($C45=70,0,1)</f>
        <v/>
      </c>
      <c r="FK46">
        <f>FK45*IF($C45=71,0,1)</f>
        <v/>
      </c>
      <c r="FL46">
        <f>FL45*IF($C45=72,0,1)</f>
        <v/>
      </c>
      <c r="FM46">
        <f>FM45*IF($C45=73,0,1)</f>
        <v/>
      </c>
      <c r="FN46">
        <f>FN45*IF($C45=74,0,1)</f>
        <v/>
      </c>
      <c r="FO46">
        <f>FO45*IF($C45=75,0,1)</f>
        <v/>
      </c>
      <c r="FP46">
        <f>FP45*IF($C45=76,0,1)</f>
        <v/>
      </c>
      <c r="FQ46">
        <f>FQ45*IF($C45=77,0,1)</f>
        <v/>
      </c>
      <c r="FR46">
        <f>FR45*IF($C45=78,0,1)</f>
        <v/>
      </c>
      <c r="FS46">
        <f>FS45*IF($C45=79,0,1)</f>
        <v/>
      </c>
      <c r="FT46">
        <f>FT45*IF($C45=80,0,1)</f>
        <v/>
      </c>
      <c r="FU46">
        <f>FU45*IF($C45=81,0,1)</f>
        <v/>
      </c>
      <c r="FV46">
        <f>FV45*IF($C45=82,0,1)</f>
        <v/>
      </c>
      <c r="FW46">
        <f>FW45*IF($C45=83,0,1)</f>
        <v/>
      </c>
      <c r="FX46">
        <f>FX45*IF($C45=84,0,1)</f>
        <v/>
      </c>
      <c r="FY46">
        <f>FY45*IF($C45=85,0,1)</f>
        <v/>
      </c>
      <c r="FZ46">
        <f>FZ45*IF($C45=86,0,1)</f>
        <v/>
      </c>
      <c r="GA46">
        <f>GA45*IF($C45=87,0,1)</f>
        <v/>
      </c>
      <c r="GB46">
        <f>GB45*IF($C45=88,0,1)</f>
        <v/>
      </c>
      <c r="GC46">
        <f>GC45*IF($C45=89,0,1)</f>
        <v/>
      </c>
      <c r="GD46">
        <f>GD45*IF($C45=90,0,1)</f>
        <v/>
      </c>
      <c r="GE46">
        <f>GE45*IF($C45=91,0,1)</f>
        <v/>
      </c>
      <c r="GF46">
        <f>GF45*IF($C45=92,0,1)</f>
        <v/>
      </c>
      <c r="GG46">
        <f>GG45*IF($C45=93,0,1)</f>
        <v/>
      </c>
      <c r="GH46">
        <f>GH45*IF($C45=94,0,1)</f>
        <v/>
      </c>
      <c r="GI46">
        <f>GI45*IF($C45=95,0,1)</f>
        <v/>
      </c>
      <c r="GJ46">
        <f>GJ45*IF($C45=96,0,1)</f>
        <v/>
      </c>
      <c r="GK46">
        <f>GK45*IF($C45=97,0,1)</f>
        <v/>
      </c>
      <c r="GL46">
        <f>GL45*IF($C45=98,0,1)</f>
        <v/>
      </c>
      <c r="GM46">
        <f>GM45*IF($C45=99,0,1)</f>
        <v/>
      </c>
      <c r="GN46">
        <f>GN45*IF($C45=100,0,1)</f>
        <v/>
      </c>
      <c r="GO46">
        <f>GO45*IF($C45=101,0,1)</f>
        <v/>
      </c>
      <c r="GP46">
        <f>GP45*IF($C45=102,0,1)</f>
        <v/>
      </c>
      <c r="GQ46">
        <f>GQ45*IF($C45=103,0,1)</f>
        <v/>
      </c>
      <c r="GR46">
        <f>GR45*IF($C45=104,0,1)</f>
        <v/>
      </c>
      <c r="GS46">
        <f>GS45*IF($C45=105,0,1)</f>
        <v/>
      </c>
      <c r="GT46">
        <f>GT45*IF($C45=106,0,1)</f>
        <v/>
      </c>
      <c r="GU46">
        <f>GU45*IF($C45=107,0,1)</f>
        <v/>
      </c>
      <c r="GV46">
        <f>GV45*IF($C45=108,0,1)</f>
        <v/>
      </c>
      <c r="GW46">
        <f>GW45*IF($C45=109,0,1)</f>
        <v/>
      </c>
      <c r="GX46">
        <f>GX45*IF($C45=110,0,1)</f>
        <v/>
      </c>
      <c r="GY46">
        <f>GY45*IF($C45=111,0,1)</f>
        <v/>
      </c>
      <c r="GZ46">
        <f>GZ45*IF($C45=112,0,1)</f>
        <v/>
      </c>
      <c r="HA46">
        <f>HA45*IF($C45=113,0,1)</f>
        <v/>
      </c>
      <c r="HB46">
        <f>HB45*IF($C45=114,0,1)</f>
        <v/>
      </c>
      <c r="HC46">
        <f>HC45*IF($C45=115,0,1)</f>
        <v/>
      </c>
      <c r="HD46">
        <f>HD45*IF($C45=116,0,1)</f>
        <v/>
      </c>
      <c r="HE46">
        <f>HE45*IF($C45=117,0,1)</f>
        <v/>
      </c>
      <c r="HF46">
        <f>HF45*IF($C45=118,0,1)</f>
        <v/>
      </c>
      <c r="HG46">
        <f>HG45*IF($C45=119,0,1)</f>
        <v/>
      </c>
      <c r="HH46">
        <f>HH45*IF($C45=120,0,1)</f>
        <v/>
      </c>
      <c r="HJ46">
        <f>IF($B46=0,1000000,IF(INDEX('計算A'!$D$60:$DS$104,$B46,1)*CS46=1,'計算A'!D$6,1000000))</f>
        <v/>
      </c>
      <c r="HK46">
        <f>IF($B46=0,1000000,IF(INDEX('計算A'!$D$60:$DS$104,$B46,2)*CT46=1,'計算A'!E$6,1000000))</f>
        <v/>
      </c>
      <c r="HL46">
        <f>IF($B46=0,1000000,IF(INDEX('計算A'!$D$60:$DS$104,$B46,3)*CU46=1,'計算A'!F$6,1000000))</f>
        <v/>
      </c>
      <c r="HM46">
        <f>IF($B46=0,1000000,IF(INDEX('計算A'!$D$60:$DS$104,$B46,4)*CV46=1,'計算A'!G$6,1000000))</f>
        <v/>
      </c>
      <c r="HN46">
        <f>IF($B46=0,1000000,IF(INDEX('計算A'!$D$60:$DS$104,$B46,5)*CW46=1,'計算A'!H$6,1000000))</f>
        <v/>
      </c>
      <c r="HO46">
        <f>IF($B46=0,1000000,IF(INDEX('計算A'!$D$60:$DS$104,$B46,6)*CX46=1,'計算A'!I$6,1000000))</f>
        <v/>
      </c>
      <c r="HP46">
        <f>IF($B46=0,1000000,IF(INDEX('計算A'!$D$60:$DS$104,$B46,7)*CY46=1,'計算A'!J$6,1000000))</f>
        <v/>
      </c>
      <c r="HQ46">
        <f>IF($B46=0,1000000,IF(INDEX('計算A'!$D$60:$DS$104,$B46,8)*CZ46=1,'計算A'!K$6,1000000))</f>
        <v/>
      </c>
      <c r="HR46">
        <f>IF($B46=0,1000000,IF(INDEX('計算A'!$D$60:$DS$104,$B46,9)*DA46=1,'計算A'!L$6,1000000))</f>
        <v/>
      </c>
      <c r="HS46">
        <f>IF($B46=0,1000000,IF(INDEX('計算A'!$D$60:$DS$104,$B46,10)*DB46=1,'計算A'!M$6,1000000))</f>
        <v/>
      </c>
      <c r="HT46">
        <f>IF($B46=0,1000000,IF(INDEX('計算A'!$D$60:$DS$104,$B46,11)*DC46=1,'計算A'!N$6,1000000))</f>
        <v/>
      </c>
      <c r="HU46">
        <f>IF($B46=0,1000000,IF(INDEX('計算A'!$D$60:$DS$104,$B46,12)*DD46=1,'計算A'!O$6,1000000))</f>
        <v/>
      </c>
      <c r="HV46">
        <f>IF($B46=0,1000000,IF(INDEX('計算A'!$D$60:$DS$104,$B46,13)*DE46=1,'計算A'!P$6,1000000))</f>
        <v/>
      </c>
      <c r="HW46">
        <f>IF($B46=0,1000000,IF(INDEX('計算A'!$D$60:$DS$104,$B46,14)*DF46=1,'計算A'!Q$6,1000000))</f>
        <v/>
      </c>
      <c r="HX46">
        <f>IF($B46=0,1000000,IF(INDEX('計算A'!$D$60:$DS$104,$B46,15)*DG46=1,'計算A'!R$6,1000000))</f>
        <v/>
      </c>
      <c r="HY46">
        <f>IF($B46=0,1000000,IF(INDEX('計算A'!$D$60:$DS$104,$B46,16)*DH46=1,'計算A'!S$6,1000000))</f>
        <v/>
      </c>
      <c r="HZ46">
        <f>IF($B46=0,1000000,IF(INDEX('計算A'!$D$60:$DS$104,$B46,17)*DI46=1,'計算A'!T$6,1000000))</f>
        <v/>
      </c>
      <c r="IA46">
        <f>IF($B46=0,1000000,IF(INDEX('計算A'!$D$60:$DS$104,$B46,18)*DJ46=1,'計算A'!U$6,1000000))</f>
        <v/>
      </c>
      <c r="IB46">
        <f>IF($B46=0,1000000,IF(INDEX('計算A'!$D$60:$DS$104,$B46,19)*DK46=1,'計算A'!V$6,1000000))</f>
        <v/>
      </c>
      <c r="IC46">
        <f>IF($B46=0,1000000,IF(INDEX('計算A'!$D$60:$DS$104,$B46,20)*DL46=1,'計算A'!W$6,1000000))</f>
        <v/>
      </c>
      <c r="ID46">
        <f>IF($B46=0,1000000,IF(INDEX('計算A'!$D$60:$DS$104,$B46,21)*DM46=1,'計算A'!X$6,1000000))</f>
        <v/>
      </c>
      <c r="IE46">
        <f>IF($B46=0,1000000,IF(INDEX('計算A'!$D$60:$DS$104,$B46,22)*DN46=1,'計算A'!Y$6,1000000))</f>
        <v/>
      </c>
      <c r="IF46">
        <f>IF($B46=0,1000000,IF(INDEX('計算A'!$D$60:$DS$104,$B46,23)*DO46=1,'計算A'!Z$6,1000000))</f>
        <v/>
      </c>
      <c r="IG46">
        <f>IF($B46=0,1000000,IF(INDEX('計算A'!$D$60:$DS$104,$B46,24)*DP46=1,'計算A'!AA$6,1000000))</f>
        <v/>
      </c>
      <c r="IH46">
        <f>IF($B46=0,1000000,IF(INDEX('計算A'!$D$60:$DS$104,$B46,25)*DQ46=1,'計算A'!AB$6,1000000))</f>
        <v/>
      </c>
      <c r="II46">
        <f>IF($B46=0,1000000,IF(INDEX('計算A'!$D$60:$DS$104,$B46,26)*DR46=1,'計算A'!AC$6,1000000))</f>
        <v/>
      </c>
      <c r="IJ46">
        <f>IF($B46=0,1000000,IF(INDEX('計算A'!$D$60:$DS$104,$B46,27)*DS46=1,'計算A'!AD$6,1000000))</f>
        <v/>
      </c>
      <c r="IK46">
        <f>IF($B46=0,1000000,IF(INDEX('計算A'!$D$60:$DS$104,$B46,28)*DT46=1,'計算A'!AE$6,1000000))</f>
        <v/>
      </c>
      <c r="IL46">
        <f>IF($B46=0,1000000,IF(INDEX('計算A'!$D$60:$DS$104,$B46,29)*DU46=1,'計算A'!AF$6,1000000))</f>
        <v/>
      </c>
      <c r="IM46">
        <f>IF($B46=0,1000000,IF(INDEX('計算A'!$D$60:$DS$104,$B46,30)*DV46=1,'計算A'!AG$6,1000000))</f>
        <v/>
      </c>
      <c r="IN46">
        <f>IF($B46=0,1000000,IF(INDEX('計算A'!$D$60:$DS$104,$B46,31)*DW46=1,'計算A'!AH$6,1000000))</f>
        <v/>
      </c>
      <c r="IO46">
        <f>IF($B46=0,1000000,IF(INDEX('計算A'!$D$60:$DS$104,$B46,32)*DX46=1,'計算A'!AI$6,1000000))</f>
        <v/>
      </c>
      <c r="IP46">
        <f>IF($B46=0,1000000,IF(INDEX('計算A'!$D$60:$DS$104,$B46,33)*DY46=1,'計算A'!AJ$6,1000000))</f>
        <v/>
      </c>
      <c r="IQ46">
        <f>IF($B46=0,1000000,IF(INDEX('計算A'!$D$60:$DS$104,$B46,34)*DZ46=1,'計算A'!AK$6,1000000))</f>
        <v/>
      </c>
      <c r="IR46">
        <f>IF($B46=0,1000000,IF(INDEX('計算A'!$D$60:$DS$104,$B46,35)*EA46=1,'計算A'!AL$6,1000000))</f>
        <v/>
      </c>
      <c r="IS46">
        <f>IF($B46=0,1000000,IF(INDEX('計算A'!$D$60:$DS$104,$B46,36)*EB46=1,'計算A'!AM$6,1000000))</f>
        <v/>
      </c>
      <c r="IT46">
        <f>IF($B46=0,1000000,IF(INDEX('計算A'!$D$60:$DS$104,$B46,37)*EC46=1,'計算A'!AN$6,1000000))</f>
        <v/>
      </c>
      <c r="IU46">
        <f>IF($B46=0,1000000,IF(INDEX('計算A'!$D$60:$DS$104,$B46,38)*ED46=1,'計算A'!AO$6,1000000))</f>
        <v/>
      </c>
      <c r="IV46">
        <f>IF($B46=0,1000000,IF(INDEX('計算A'!$D$60:$DS$104,$B46,39)*EE46=1,'計算A'!AP$6,1000000))</f>
        <v/>
      </c>
      <c r="IW46">
        <f>IF($B46=0,1000000,IF(INDEX('計算A'!$D$60:$DS$104,$B46,40)*EF46=1,'計算A'!AQ$6,1000000))</f>
        <v/>
      </c>
      <c r="IX46">
        <f>IF($B46=0,1000000,IF(INDEX('計算A'!$D$60:$DS$104,$B46,41)*EG46=1,'計算A'!AR$6,1000000))</f>
        <v/>
      </c>
      <c r="IY46">
        <f>IF($B46=0,1000000,IF(INDEX('計算A'!$D$60:$DS$104,$B46,42)*EH46=1,'計算A'!AS$6,1000000))</f>
        <v/>
      </c>
      <c r="IZ46">
        <f>IF($B46=0,1000000,IF(INDEX('計算A'!$D$60:$DS$104,$B46,43)*EI46=1,'計算A'!AT$6,1000000))</f>
        <v/>
      </c>
      <c r="JA46">
        <f>IF($B46=0,1000000,IF(INDEX('計算A'!$D$60:$DS$104,$B46,44)*EJ46=1,'計算A'!AU$6,1000000))</f>
        <v/>
      </c>
      <c r="JB46">
        <f>IF($B46=0,1000000,IF(INDEX('計算A'!$D$60:$DS$104,$B46,45)*EK46=1,'計算A'!AV$6,1000000))</f>
        <v/>
      </c>
      <c r="JC46">
        <f>IF($B46=0,1000000,IF(INDEX('計算A'!$D$60:$DS$104,$B46,46)*EL46=1,'計算A'!AW$6,1000000))</f>
        <v/>
      </c>
      <c r="JD46">
        <f>IF($B46=0,1000000,IF(INDEX('計算A'!$D$60:$DS$104,$B46,47)*EM46=1,'計算A'!AX$6,1000000))</f>
        <v/>
      </c>
      <c r="JE46">
        <f>IF($B46=0,1000000,IF(INDEX('計算A'!$D$60:$DS$104,$B46,48)*EN46=1,'計算A'!AY$6,1000000))</f>
        <v/>
      </c>
      <c r="JF46">
        <f>IF($B46=0,1000000,IF(INDEX('計算A'!$D$60:$DS$104,$B46,49)*EO46=1,'計算A'!AZ$6,1000000))</f>
        <v/>
      </c>
      <c r="JG46">
        <f>IF($B46=0,1000000,IF(INDEX('計算A'!$D$60:$DS$104,$B46,50)*EP46=1,'計算A'!BA$6,1000000))</f>
        <v/>
      </c>
      <c r="JH46">
        <f>IF($B46=0,1000000,IF(INDEX('計算A'!$D$60:$DS$104,$B46,51)*EQ46=1,'計算A'!BB$6,1000000))</f>
        <v/>
      </c>
      <c r="JI46">
        <f>IF($B46=0,1000000,IF(INDEX('計算A'!$D$60:$DS$104,$B46,52)*ER46=1,'計算A'!BC$6,1000000))</f>
        <v/>
      </c>
      <c r="JJ46">
        <f>IF($B46=0,1000000,IF(INDEX('計算A'!$D$60:$DS$104,$B46,53)*ES46=1,'計算A'!BD$6,1000000))</f>
        <v/>
      </c>
      <c r="JK46">
        <f>IF($B46=0,1000000,IF(INDEX('計算A'!$D$60:$DS$104,$B46,54)*ET46=1,'計算A'!BE$6,1000000))</f>
        <v/>
      </c>
      <c r="JL46">
        <f>IF($B46=0,1000000,IF(INDEX('計算A'!$D$60:$DS$104,$B46,55)*EU46=1,'計算A'!BF$6,1000000))</f>
        <v/>
      </c>
      <c r="JM46">
        <f>IF($B46=0,1000000,IF(INDEX('計算A'!$D$60:$DS$104,$B46,56)*EV46=1,'計算A'!BG$6,1000000))</f>
        <v/>
      </c>
      <c r="JN46">
        <f>IF($B46=0,1000000,IF(INDEX('計算A'!$D$60:$DS$104,$B46,57)*EW46=1,'計算A'!BH$6,1000000))</f>
        <v/>
      </c>
      <c r="JO46">
        <f>IF($B46=0,1000000,IF(INDEX('計算A'!$D$60:$DS$104,$B46,58)*EX46=1,'計算A'!BI$6,1000000))</f>
        <v/>
      </c>
      <c r="JP46">
        <f>IF($B46=0,1000000,IF(INDEX('計算A'!$D$60:$DS$104,$B46,59)*EY46=1,'計算A'!BJ$6,1000000))</f>
        <v/>
      </c>
      <c r="JQ46">
        <f>IF($B46=0,1000000,IF(INDEX('計算A'!$D$60:$DS$104,$B46,60)*EZ46=1,'計算A'!BK$6,1000000))</f>
        <v/>
      </c>
      <c r="JR46">
        <f>IF($B46=0,1000000,IF(INDEX('計算A'!$D$60:$DS$104,$B46,61)*FA46=1,'計算A'!BL$6,1000000))</f>
        <v/>
      </c>
      <c r="JS46">
        <f>IF($B46=0,1000000,IF(INDEX('計算A'!$D$60:$DS$104,$B46,62)*FB46=1,'計算A'!BM$6,1000000))</f>
        <v/>
      </c>
      <c r="JT46">
        <f>IF($B46=0,1000000,IF(INDEX('計算A'!$D$60:$DS$104,$B46,63)*FC46=1,'計算A'!BN$6,1000000))</f>
        <v/>
      </c>
      <c r="JU46">
        <f>IF($B46=0,1000000,IF(INDEX('計算A'!$D$60:$DS$104,$B46,64)*FD46=1,'計算A'!BO$6,1000000))</f>
        <v/>
      </c>
      <c r="JV46">
        <f>IF($B46=0,1000000,IF(INDEX('計算A'!$D$60:$DS$104,$B46,65)*FE46=1,'計算A'!BP$6,1000000))</f>
        <v/>
      </c>
      <c r="JW46">
        <f>IF($B46=0,1000000,IF(INDEX('計算A'!$D$60:$DS$104,$B46,66)*FF46=1,'計算A'!BQ$6,1000000))</f>
        <v/>
      </c>
      <c r="JX46">
        <f>IF($B46=0,1000000,IF(INDEX('計算A'!$D$60:$DS$104,$B46,67)*FG46=1,'計算A'!BR$6,1000000))</f>
        <v/>
      </c>
      <c r="JY46">
        <f>IF($B46=0,1000000,IF(INDEX('計算A'!$D$60:$DS$104,$B46,68)*FH46=1,'計算A'!BS$6,1000000))</f>
        <v/>
      </c>
      <c r="JZ46">
        <f>IF($B46=0,1000000,IF(INDEX('計算A'!$D$60:$DS$104,$B46,69)*FI46=1,'計算A'!BT$6,1000000))</f>
        <v/>
      </c>
      <c r="KA46">
        <f>IF($B46=0,1000000,IF(INDEX('計算A'!$D$60:$DS$104,$B46,70)*FJ46=1,'計算A'!BU$6,1000000))</f>
        <v/>
      </c>
      <c r="KB46">
        <f>IF($B46=0,1000000,IF(INDEX('計算A'!$D$60:$DS$104,$B46,71)*FK46=1,'計算A'!BV$6,1000000))</f>
        <v/>
      </c>
      <c r="KC46">
        <f>IF($B46=0,1000000,IF(INDEX('計算A'!$D$60:$DS$104,$B46,72)*FL46=1,'計算A'!BW$6,1000000))</f>
        <v/>
      </c>
      <c r="KD46">
        <f>IF($B46=0,1000000,IF(INDEX('計算A'!$D$60:$DS$104,$B46,73)*FM46=1,'計算A'!BX$6,1000000))</f>
        <v/>
      </c>
      <c r="KE46">
        <f>IF($B46=0,1000000,IF(INDEX('計算A'!$D$60:$DS$104,$B46,74)*FN46=1,'計算A'!BY$6,1000000))</f>
        <v/>
      </c>
      <c r="KF46">
        <f>IF($B46=0,1000000,IF(INDEX('計算A'!$D$60:$DS$104,$B46,75)*FO46=1,'計算A'!BZ$6,1000000))</f>
        <v/>
      </c>
      <c r="KG46">
        <f>IF($B46=0,1000000,IF(INDEX('計算A'!$D$60:$DS$104,$B46,76)*FP46=1,'計算A'!CA$6,1000000))</f>
        <v/>
      </c>
      <c r="KH46">
        <f>IF($B46=0,1000000,IF(INDEX('計算A'!$D$60:$DS$104,$B46,77)*FQ46=1,'計算A'!CB$6,1000000))</f>
        <v/>
      </c>
      <c r="KI46">
        <f>IF($B46=0,1000000,IF(INDEX('計算A'!$D$60:$DS$104,$B46,78)*FR46=1,'計算A'!CC$6,1000000))</f>
        <v/>
      </c>
      <c r="KJ46">
        <f>IF($B46=0,1000000,IF(INDEX('計算A'!$D$60:$DS$104,$B46,79)*FS46=1,'計算A'!CD$6,1000000))</f>
        <v/>
      </c>
      <c r="KK46">
        <f>IF($B46=0,1000000,IF(INDEX('計算A'!$D$60:$DS$104,$B46,80)*FT46=1,'計算A'!CE$6,1000000))</f>
        <v/>
      </c>
      <c r="KL46">
        <f>IF($B46=0,1000000,IF(INDEX('計算A'!$D$60:$DS$104,$B46,81)*FU46=1,'計算A'!CF$6,1000000))</f>
        <v/>
      </c>
      <c r="KM46">
        <f>IF($B46=0,1000000,IF(INDEX('計算A'!$D$60:$DS$104,$B46,82)*FV46=1,'計算A'!CG$6,1000000))</f>
        <v/>
      </c>
      <c r="KN46">
        <f>IF($B46=0,1000000,IF(INDEX('計算A'!$D$60:$DS$104,$B46,83)*FW46=1,'計算A'!CH$6,1000000))</f>
        <v/>
      </c>
      <c r="KO46">
        <f>IF($B46=0,1000000,IF(INDEX('計算A'!$D$60:$DS$104,$B46,84)*FX46=1,'計算A'!CI$6,1000000))</f>
        <v/>
      </c>
      <c r="KP46">
        <f>IF($B46=0,1000000,IF(INDEX('計算A'!$D$60:$DS$104,$B46,85)*FY46=1,'計算A'!CJ$6,1000000))</f>
        <v/>
      </c>
      <c r="KQ46">
        <f>IF($B46=0,1000000,IF(INDEX('計算A'!$D$60:$DS$104,$B46,86)*FZ46=1,'計算A'!CK$6,1000000))</f>
        <v/>
      </c>
      <c r="KR46">
        <f>IF($B46=0,1000000,IF(INDEX('計算A'!$D$60:$DS$104,$B46,87)*GA46=1,'計算A'!CL$6,1000000))</f>
        <v/>
      </c>
      <c r="KS46">
        <f>IF($B46=0,1000000,IF(INDEX('計算A'!$D$60:$DS$104,$B46,88)*GB46=1,'計算A'!CM$6,1000000))</f>
        <v/>
      </c>
      <c r="KT46">
        <f>IF($B46=0,1000000,IF(INDEX('計算A'!$D$60:$DS$104,$B46,89)*GC46=1,'計算A'!CN$6,1000000))</f>
        <v/>
      </c>
      <c r="KU46">
        <f>IF($B46=0,1000000,IF(INDEX('計算A'!$D$60:$DS$104,$B46,90)*GD46=1,'計算A'!CO$6,1000000))</f>
        <v/>
      </c>
      <c r="KV46">
        <f>IF($B46=0,1000000,IF(INDEX('計算A'!$D$60:$DS$104,$B46,91)*GE46=1,'計算A'!CP$6,1000000))</f>
        <v/>
      </c>
      <c r="KW46">
        <f>IF($B46=0,1000000,IF(INDEX('計算A'!$D$60:$DS$104,$B46,92)*GF46=1,'計算A'!CQ$6,1000000))</f>
        <v/>
      </c>
      <c r="KX46">
        <f>IF($B46=0,1000000,IF(INDEX('計算A'!$D$60:$DS$104,$B46,93)*GG46=1,'計算A'!CR$6,1000000))</f>
        <v/>
      </c>
      <c r="KY46">
        <f>IF($B46=0,1000000,IF(INDEX('計算A'!$D$60:$DS$104,$B46,94)*GH46=1,'計算A'!CS$6,1000000))</f>
        <v/>
      </c>
      <c r="KZ46">
        <f>IF($B46=0,1000000,IF(INDEX('計算A'!$D$60:$DS$104,$B46,95)*GI46=1,'計算A'!CT$6,1000000))</f>
        <v/>
      </c>
      <c r="LA46">
        <f>IF($B46=0,1000000,IF(INDEX('計算A'!$D$60:$DS$104,$B46,96)*GJ46=1,'計算A'!CU$6,1000000))</f>
        <v/>
      </c>
      <c r="LB46">
        <f>IF($B46=0,1000000,IF(INDEX('計算A'!$D$60:$DS$104,$B46,97)*GK46=1,'計算A'!CV$6,1000000))</f>
        <v/>
      </c>
      <c r="LC46">
        <f>IF($B46=0,1000000,IF(INDEX('計算A'!$D$60:$DS$104,$B46,98)*GL46=1,'計算A'!CW$6,1000000))</f>
        <v/>
      </c>
      <c r="LD46">
        <f>IF($B46=0,1000000,IF(INDEX('計算A'!$D$60:$DS$104,$B46,99)*GM46=1,'計算A'!CX$6,1000000))</f>
        <v/>
      </c>
      <c r="LE46">
        <f>IF($B46=0,1000000,IF(INDEX('計算A'!$D$60:$DS$104,$B46,100)*GN46=1,'計算A'!CY$6,1000000))</f>
        <v/>
      </c>
      <c r="LF46">
        <f>IF($B46=0,1000000,IF(INDEX('計算A'!$D$60:$DS$104,$B46,101)*GO46=1,'計算A'!CZ$6,1000000))</f>
        <v/>
      </c>
      <c r="LG46">
        <f>IF($B46=0,1000000,IF(INDEX('計算A'!$D$60:$DS$104,$B46,102)*GP46=1,'計算A'!DA$6,1000000))</f>
        <v/>
      </c>
      <c r="LH46">
        <f>IF($B46=0,1000000,IF(INDEX('計算A'!$D$60:$DS$104,$B46,103)*GQ46=1,'計算A'!DB$6,1000000))</f>
        <v/>
      </c>
      <c r="LI46">
        <f>IF($B46=0,1000000,IF(INDEX('計算A'!$D$60:$DS$104,$B46,104)*GR46=1,'計算A'!DC$6,1000000))</f>
        <v/>
      </c>
      <c r="LJ46">
        <f>IF($B46=0,1000000,IF(INDEX('計算A'!$D$60:$DS$104,$B46,105)*GS46=1,'計算A'!DD$6,1000000))</f>
        <v/>
      </c>
      <c r="LK46">
        <f>IF($B46=0,1000000,IF(INDEX('計算A'!$D$60:$DS$104,$B46,106)*GT46=1,'計算A'!DE$6,1000000))</f>
        <v/>
      </c>
      <c r="LL46">
        <f>IF($B46=0,1000000,IF(INDEX('計算A'!$D$60:$DS$104,$B46,107)*GU46=1,'計算A'!DF$6,1000000))</f>
        <v/>
      </c>
      <c r="LM46">
        <f>IF($B46=0,1000000,IF(INDEX('計算A'!$D$60:$DS$104,$B46,108)*GV46=1,'計算A'!DG$6,1000000))</f>
        <v/>
      </c>
      <c r="LN46">
        <f>IF($B46=0,1000000,IF(INDEX('計算A'!$D$60:$DS$104,$B46,109)*GW46=1,'計算A'!DH$6,1000000))</f>
        <v/>
      </c>
      <c r="LO46">
        <f>IF($B46=0,1000000,IF(INDEX('計算A'!$D$60:$DS$104,$B46,110)*GX46=1,'計算A'!DI$6,1000000))</f>
        <v/>
      </c>
      <c r="LP46">
        <f>IF($B46=0,1000000,IF(INDEX('計算A'!$D$60:$DS$104,$B46,111)*GY46=1,'計算A'!DJ$6,1000000))</f>
        <v/>
      </c>
      <c r="LQ46">
        <f>IF($B46=0,1000000,IF(INDEX('計算A'!$D$60:$DS$104,$B46,112)*GZ46=1,'計算A'!DK$6,1000000))</f>
        <v/>
      </c>
      <c r="LR46">
        <f>IF($B46=0,1000000,IF(INDEX('計算A'!$D$60:$DS$104,$B46,113)*HA46=1,'計算A'!DL$6,1000000))</f>
        <v/>
      </c>
      <c r="LS46">
        <f>IF($B46=0,1000000,IF(INDEX('計算A'!$D$60:$DS$104,$B46,114)*HB46=1,'計算A'!DM$6,1000000))</f>
        <v/>
      </c>
      <c r="LT46">
        <f>IF($B46=0,1000000,IF(INDEX('計算A'!$D$60:$DS$104,$B46,115)*HC46=1,'計算A'!DN$6,1000000))</f>
        <v/>
      </c>
      <c r="LU46">
        <f>IF($B46=0,1000000,IF(INDEX('計算A'!$D$60:$DS$104,$B46,116)*HD46=1,'計算A'!DO$6,1000000))</f>
        <v/>
      </c>
      <c r="LV46">
        <f>IF($B46=0,1000000,IF(INDEX('計算A'!$D$60:$DS$104,$B46,117)*HE46=1,'計算A'!DP$6,1000000))</f>
        <v/>
      </c>
      <c r="LW46">
        <f>IF($B46=0,1000000,IF(INDEX('計算A'!$D$60:$DS$104,$B46,118)*HF46=1,'計算A'!DQ$6,1000000))</f>
        <v/>
      </c>
      <c r="LX46">
        <f>IF($B46=0,1000000,IF(INDEX('計算A'!$D$60:$DS$104,$B46,119)*HG46=1,'計算A'!DR$6,1000000))</f>
        <v/>
      </c>
      <c r="LY46">
        <f>IF($B46=0,1000000,IF(INDEX('計算A'!$D$60:$DS$104,$B46,120)*HH46=1,'計算A'!DS$6,1000000))</f>
        <v/>
      </c>
    </row>
    <row r="47">
      <c r="A47" t="n">
        <v>45</v>
      </c>
      <c r="B47">
        <f>IF(MIN(AY47:CQ47)&gt;=1000000,0,MATCH(MIN(AY47:CQ47),AY47:CQ47,0))</f>
        <v/>
      </c>
      <c r="C47">
        <f>IF(MIN(HJ47:LY47)&gt;=1000000,0,MATCH(MIN(HJ47:LY47),HJ47:LY47,0))</f>
        <v/>
      </c>
      <c r="D47">
        <f>IF(C47&gt;0,INDEX('計算A'!$D$5:$DS$5,C47),0)</f>
        <v/>
      </c>
      <c r="E47">
        <f>MAX(E46,IF($B46=1,1,0))</f>
        <v/>
      </c>
      <c r="F47">
        <f>MAX(F46,IF($B46=2,1,0))</f>
        <v/>
      </c>
      <c r="G47">
        <f>MAX(G46,IF($B46=3,1,0))</f>
        <v/>
      </c>
      <c r="H47">
        <f>MAX(H46,IF($B46=4,1,0))</f>
        <v/>
      </c>
      <c r="I47">
        <f>MAX(I46,IF($B46=5,1,0))</f>
        <v/>
      </c>
      <c r="J47">
        <f>MAX(J46,IF($B46=6,1,0))</f>
        <v/>
      </c>
      <c r="K47">
        <f>MAX(K46,IF($B46=7,1,0))</f>
        <v/>
      </c>
      <c r="L47">
        <f>MAX(L46,IF($B46=8,1,0))</f>
        <v/>
      </c>
      <c r="M47">
        <f>MAX(M46,IF($B46=9,1,0))</f>
        <v/>
      </c>
      <c r="N47">
        <f>MAX(N46,IF($B46=10,1,0))</f>
        <v/>
      </c>
      <c r="O47">
        <f>MAX(O46,IF($B46=11,1,0))</f>
        <v/>
      </c>
      <c r="P47">
        <f>MAX(P46,IF($B46=12,1,0))</f>
        <v/>
      </c>
      <c r="Q47">
        <f>MAX(Q46,IF($B46=13,1,0))</f>
        <v/>
      </c>
      <c r="R47">
        <f>MAX(R46,IF($B46=14,1,0))</f>
        <v/>
      </c>
      <c r="S47">
        <f>MAX(S46,IF($B46=15,1,0))</f>
        <v/>
      </c>
      <c r="T47">
        <f>MAX(T46,IF($B46=16,1,0))</f>
        <v/>
      </c>
      <c r="U47">
        <f>MAX(U46,IF($B46=17,1,0))</f>
        <v/>
      </c>
      <c r="V47">
        <f>MAX(V46,IF($B46=18,1,0))</f>
        <v/>
      </c>
      <c r="W47">
        <f>MAX(W46,IF($B46=19,1,0))</f>
        <v/>
      </c>
      <c r="X47">
        <f>MAX(X46,IF($B46=20,1,0))</f>
        <v/>
      </c>
      <c r="Y47">
        <f>MAX(Y46,IF($B46=21,1,0))</f>
        <v/>
      </c>
      <c r="Z47">
        <f>MAX(Z46,IF($B46=22,1,0))</f>
        <v/>
      </c>
      <c r="AA47">
        <f>MAX(AA46,IF($B46=23,1,0))</f>
        <v/>
      </c>
      <c r="AB47">
        <f>MAX(AB46,IF($B46=24,1,0))</f>
        <v/>
      </c>
      <c r="AC47">
        <f>MAX(AC46,IF($B46=25,1,0))</f>
        <v/>
      </c>
      <c r="AD47">
        <f>MAX(AD46,IF($B46=26,1,0))</f>
        <v/>
      </c>
      <c r="AE47">
        <f>MAX(AE46,IF($B46=27,1,0))</f>
        <v/>
      </c>
      <c r="AF47">
        <f>MAX(AF46,IF($B46=28,1,0))</f>
        <v/>
      </c>
      <c r="AG47">
        <f>MAX(AG46,IF($B46=29,1,0))</f>
        <v/>
      </c>
      <c r="AH47">
        <f>MAX(AH46,IF($B46=30,1,0))</f>
        <v/>
      </c>
      <c r="AI47">
        <f>MAX(AI46,IF($B46=31,1,0))</f>
        <v/>
      </c>
      <c r="AJ47">
        <f>MAX(AJ46,IF($B46=32,1,0))</f>
        <v/>
      </c>
      <c r="AK47">
        <f>MAX(AK46,IF($B46=33,1,0))</f>
        <v/>
      </c>
      <c r="AL47">
        <f>MAX(AL46,IF($B46=34,1,0))</f>
        <v/>
      </c>
      <c r="AM47">
        <f>MAX(AM46,IF($B46=35,1,0))</f>
        <v/>
      </c>
      <c r="AN47">
        <f>MAX(AN46,IF($B46=36,1,0))</f>
        <v/>
      </c>
      <c r="AO47">
        <f>MAX(AO46,IF($B46=37,1,0))</f>
        <v/>
      </c>
      <c r="AP47">
        <f>MAX(AP46,IF($B46=38,1,0))</f>
        <v/>
      </c>
      <c r="AQ47">
        <f>MAX(AQ46,IF($B46=39,1,0))</f>
        <v/>
      </c>
      <c r="AR47">
        <f>MAX(AR46,IF($B46=40,1,0))</f>
        <v/>
      </c>
      <c r="AS47">
        <f>MAX(AS46,IF($B46=41,1,0))</f>
        <v/>
      </c>
      <c r="AT47">
        <f>MAX(AT46,IF($B46=42,1,0))</f>
        <v/>
      </c>
      <c r="AU47">
        <f>MAX(AU46,IF($B46=43,1,0))</f>
        <v/>
      </c>
      <c r="AV47">
        <f>MAX(AV46,IF($B46=44,1,0))</f>
        <v/>
      </c>
      <c r="AW47">
        <f>MAX(AW46,IF($B46=45,1,0))</f>
        <v/>
      </c>
      <c r="AY47">
        <f>IF(E47=1,1000000,SUMPRODUCT('計算A'!$D$60:$DS$60,$CS47:$HH47)*1000+1)</f>
        <v/>
      </c>
      <c r="AZ47">
        <f>IF(F47=1,1000000,SUMPRODUCT('計算A'!$D$61:$DS$61,$CS47:$HH47)*1000+2)</f>
        <v/>
      </c>
      <c r="BA47">
        <f>IF(G47=1,1000000,SUMPRODUCT('計算A'!$D$62:$DS$62,$CS47:$HH47)*1000+3)</f>
        <v/>
      </c>
      <c r="BB47">
        <f>IF(H47=1,1000000,SUMPRODUCT('計算A'!$D$63:$DS$63,$CS47:$HH47)*1000+4)</f>
        <v/>
      </c>
      <c r="BC47">
        <f>IF(I47=1,1000000,SUMPRODUCT('計算A'!$D$64:$DS$64,$CS47:$HH47)*1000+5)</f>
        <v/>
      </c>
      <c r="BD47">
        <f>IF(J47=1,1000000,SUMPRODUCT('計算A'!$D$65:$DS$65,$CS47:$HH47)*1000+6)</f>
        <v/>
      </c>
      <c r="BE47">
        <f>IF(K47=1,1000000,SUMPRODUCT('計算A'!$D$66:$DS$66,$CS47:$HH47)*1000+7)</f>
        <v/>
      </c>
      <c r="BF47">
        <f>IF(L47=1,1000000,SUMPRODUCT('計算A'!$D$67:$DS$67,$CS47:$HH47)*1000+8)</f>
        <v/>
      </c>
      <c r="BG47">
        <f>IF(M47=1,1000000,SUMPRODUCT('計算A'!$D$68:$DS$68,$CS47:$HH47)*1000+9)</f>
        <v/>
      </c>
      <c r="BH47">
        <f>IF(N47=1,1000000,SUMPRODUCT('計算A'!$D$69:$DS$69,$CS47:$HH47)*1000+10)</f>
        <v/>
      </c>
      <c r="BI47">
        <f>IF(O47=1,1000000,SUMPRODUCT('計算A'!$D$70:$DS$70,$CS47:$HH47)*1000+11)</f>
        <v/>
      </c>
      <c r="BJ47">
        <f>IF(P47=1,1000000,SUMPRODUCT('計算A'!$D$71:$DS$71,$CS47:$HH47)*1000+12)</f>
        <v/>
      </c>
      <c r="BK47">
        <f>IF(Q47=1,1000000,SUMPRODUCT('計算A'!$D$72:$DS$72,$CS47:$HH47)*1000+13)</f>
        <v/>
      </c>
      <c r="BL47">
        <f>IF(R47=1,1000000,SUMPRODUCT('計算A'!$D$73:$DS$73,$CS47:$HH47)*1000+14)</f>
        <v/>
      </c>
      <c r="BM47">
        <f>IF(S47=1,1000000,SUMPRODUCT('計算A'!$D$74:$DS$74,$CS47:$HH47)*1000+15)</f>
        <v/>
      </c>
      <c r="BN47">
        <f>IF(T47=1,1000000,SUMPRODUCT('計算A'!$D$75:$DS$75,$CS47:$HH47)*1000+16)</f>
        <v/>
      </c>
      <c r="BO47">
        <f>IF(U47=1,1000000,SUMPRODUCT('計算A'!$D$76:$DS$76,$CS47:$HH47)*1000+17)</f>
        <v/>
      </c>
      <c r="BP47">
        <f>IF(V47=1,1000000,SUMPRODUCT('計算A'!$D$77:$DS$77,$CS47:$HH47)*1000+18)</f>
        <v/>
      </c>
      <c r="BQ47">
        <f>IF(W47=1,1000000,SUMPRODUCT('計算A'!$D$78:$DS$78,$CS47:$HH47)*1000+19)</f>
        <v/>
      </c>
      <c r="BR47">
        <f>IF(X47=1,1000000,SUMPRODUCT('計算A'!$D$79:$DS$79,$CS47:$HH47)*1000+20)</f>
        <v/>
      </c>
      <c r="BS47">
        <f>IF(Y47=1,1000000,SUMPRODUCT('計算A'!$D$80:$DS$80,$CS47:$HH47)*1000+21)</f>
        <v/>
      </c>
      <c r="BT47">
        <f>IF(Z47=1,1000000,SUMPRODUCT('計算A'!$D$81:$DS$81,$CS47:$HH47)*1000+22)</f>
        <v/>
      </c>
      <c r="BU47">
        <f>IF(AA47=1,1000000,SUMPRODUCT('計算A'!$D$82:$DS$82,$CS47:$HH47)*1000+23)</f>
        <v/>
      </c>
      <c r="BV47">
        <f>IF(AB47=1,1000000,SUMPRODUCT('計算A'!$D$83:$DS$83,$CS47:$HH47)*1000+24)</f>
        <v/>
      </c>
      <c r="BW47">
        <f>IF(AC47=1,1000000,SUMPRODUCT('計算A'!$D$84:$DS$84,$CS47:$HH47)*1000+25)</f>
        <v/>
      </c>
      <c r="BX47">
        <f>IF(AD47=1,1000000,SUMPRODUCT('計算A'!$D$85:$DS$85,$CS47:$HH47)*1000+26)</f>
        <v/>
      </c>
      <c r="BY47">
        <f>IF(AE47=1,1000000,SUMPRODUCT('計算A'!$D$86:$DS$86,$CS47:$HH47)*1000+27)</f>
        <v/>
      </c>
      <c r="BZ47">
        <f>IF(AF47=1,1000000,SUMPRODUCT('計算A'!$D$87:$DS$87,$CS47:$HH47)*1000+28)</f>
        <v/>
      </c>
      <c r="CA47">
        <f>IF(AG47=1,1000000,SUMPRODUCT('計算A'!$D$88:$DS$88,$CS47:$HH47)*1000+29)</f>
        <v/>
      </c>
      <c r="CB47">
        <f>IF(AH47=1,1000000,SUMPRODUCT('計算A'!$D$89:$DS$89,$CS47:$HH47)*1000+30)</f>
        <v/>
      </c>
      <c r="CC47">
        <f>IF(AI47=1,1000000,SUMPRODUCT('計算A'!$D$90:$DS$90,$CS47:$HH47)*1000+31)</f>
        <v/>
      </c>
      <c r="CD47">
        <f>IF(AJ47=1,1000000,SUMPRODUCT('計算A'!$D$91:$DS$91,$CS47:$HH47)*1000+32)</f>
        <v/>
      </c>
      <c r="CE47">
        <f>IF(AK47=1,1000000,SUMPRODUCT('計算A'!$D$92:$DS$92,$CS47:$HH47)*1000+33)</f>
        <v/>
      </c>
      <c r="CF47">
        <f>IF(AL47=1,1000000,SUMPRODUCT('計算A'!$D$93:$DS$93,$CS47:$HH47)*1000+34)</f>
        <v/>
      </c>
      <c r="CG47">
        <f>IF(AM47=1,1000000,SUMPRODUCT('計算A'!$D$94:$DS$94,$CS47:$HH47)*1000+35)</f>
        <v/>
      </c>
      <c r="CH47">
        <f>IF(AN47=1,1000000,SUMPRODUCT('計算A'!$D$95:$DS$95,$CS47:$HH47)*1000+36)</f>
        <v/>
      </c>
      <c r="CI47">
        <f>IF(AO47=1,1000000,SUMPRODUCT('計算A'!$D$96:$DS$96,$CS47:$HH47)*1000+37)</f>
        <v/>
      </c>
      <c r="CJ47">
        <f>IF(AP47=1,1000000,SUMPRODUCT('計算A'!$D$97:$DS$97,$CS47:$HH47)*1000+38)</f>
        <v/>
      </c>
      <c r="CK47">
        <f>IF(AQ47=1,1000000,SUMPRODUCT('計算A'!$D$98:$DS$98,$CS47:$HH47)*1000+39)</f>
        <v/>
      </c>
      <c r="CL47">
        <f>IF(AR47=1,1000000,SUMPRODUCT('計算A'!$D$99:$DS$99,$CS47:$HH47)*1000+40)</f>
        <v/>
      </c>
      <c r="CM47">
        <f>IF(AS47=1,1000000,SUMPRODUCT('計算A'!$D$100:$DS$100,$CS47:$HH47)*1000+41)</f>
        <v/>
      </c>
      <c r="CN47">
        <f>IF(AT47=1,1000000,SUMPRODUCT('計算A'!$D$101:$DS$101,$CS47:$HH47)*1000+42)</f>
        <v/>
      </c>
      <c r="CO47">
        <f>IF(AU47=1,1000000,SUMPRODUCT('計算A'!$D$102:$DS$102,$CS47:$HH47)*1000+43)</f>
        <v/>
      </c>
      <c r="CP47">
        <f>IF(AV47=1,1000000,SUMPRODUCT('計算A'!$D$103:$DS$103,$CS47:$HH47)*1000+44)</f>
        <v/>
      </c>
      <c r="CQ47">
        <f>IF(AW47=1,1000000,SUMPRODUCT('計算A'!$D$104:$DS$104,$CS47:$HH47)*1000+45)</f>
        <v/>
      </c>
      <c r="CS47">
        <f>CS46*IF($C46=1,0,1)</f>
        <v/>
      </c>
      <c r="CT47">
        <f>CT46*IF($C46=2,0,1)</f>
        <v/>
      </c>
      <c r="CU47">
        <f>CU46*IF($C46=3,0,1)</f>
        <v/>
      </c>
      <c r="CV47">
        <f>CV46*IF($C46=4,0,1)</f>
        <v/>
      </c>
      <c r="CW47">
        <f>CW46*IF($C46=5,0,1)</f>
        <v/>
      </c>
      <c r="CX47">
        <f>CX46*IF($C46=6,0,1)</f>
        <v/>
      </c>
      <c r="CY47">
        <f>CY46*IF($C46=7,0,1)</f>
        <v/>
      </c>
      <c r="CZ47">
        <f>CZ46*IF($C46=8,0,1)</f>
        <v/>
      </c>
      <c r="DA47">
        <f>DA46*IF($C46=9,0,1)</f>
        <v/>
      </c>
      <c r="DB47">
        <f>DB46*IF($C46=10,0,1)</f>
        <v/>
      </c>
      <c r="DC47">
        <f>DC46*IF($C46=11,0,1)</f>
        <v/>
      </c>
      <c r="DD47">
        <f>DD46*IF($C46=12,0,1)</f>
        <v/>
      </c>
      <c r="DE47">
        <f>DE46*IF($C46=13,0,1)</f>
        <v/>
      </c>
      <c r="DF47">
        <f>DF46*IF($C46=14,0,1)</f>
        <v/>
      </c>
      <c r="DG47">
        <f>DG46*IF($C46=15,0,1)</f>
        <v/>
      </c>
      <c r="DH47">
        <f>DH46*IF($C46=16,0,1)</f>
        <v/>
      </c>
      <c r="DI47">
        <f>DI46*IF($C46=17,0,1)</f>
        <v/>
      </c>
      <c r="DJ47">
        <f>DJ46*IF($C46=18,0,1)</f>
        <v/>
      </c>
      <c r="DK47">
        <f>DK46*IF($C46=19,0,1)</f>
        <v/>
      </c>
      <c r="DL47">
        <f>DL46*IF($C46=20,0,1)</f>
        <v/>
      </c>
      <c r="DM47">
        <f>DM46*IF($C46=21,0,1)</f>
        <v/>
      </c>
      <c r="DN47">
        <f>DN46*IF($C46=22,0,1)</f>
        <v/>
      </c>
      <c r="DO47">
        <f>DO46*IF($C46=23,0,1)</f>
        <v/>
      </c>
      <c r="DP47">
        <f>DP46*IF($C46=24,0,1)</f>
        <v/>
      </c>
      <c r="DQ47">
        <f>DQ46*IF($C46=25,0,1)</f>
        <v/>
      </c>
      <c r="DR47">
        <f>DR46*IF($C46=26,0,1)</f>
        <v/>
      </c>
      <c r="DS47">
        <f>DS46*IF($C46=27,0,1)</f>
        <v/>
      </c>
      <c r="DT47">
        <f>DT46*IF($C46=28,0,1)</f>
        <v/>
      </c>
      <c r="DU47">
        <f>DU46*IF($C46=29,0,1)</f>
        <v/>
      </c>
      <c r="DV47">
        <f>DV46*IF($C46=30,0,1)</f>
        <v/>
      </c>
      <c r="DW47">
        <f>DW46*IF($C46=31,0,1)</f>
        <v/>
      </c>
      <c r="DX47">
        <f>DX46*IF($C46=32,0,1)</f>
        <v/>
      </c>
      <c r="DY47">
        <f>DY46*IF($C46=33,0,1)</f>
        <v/>
      </c>
      <c r="DZ47">
        <f>DZ46*IF($C46=34,0,1)</f>
        <v/>
      </c>
      <c r="EA47">
        <f>EA46*IF($C46=35,0,1)</f>
        <v/>
      </c>
      <c r="EB47">
        <f>EB46*IF($C46=36,0,1)</f>
        <v/>
      </c>
      <c r="EC47">
        <f>EC46*IF($C46=37,0,1)</f>
        <v/>
      </c>
      <c r="ED47">
        <f>ED46*IF($C46=38,0,1)</f>
        <v/>
      </c>
      <c r="EE47">
        <f>EE46*IF($C46=39,0,1)</f>
        <v/>
      </c>
      <c r="EF47">
        <f>EF46*IF($C46=40,0,1)</f>
        <v/>
      </c>
      <c r="EG47">
        <f>EG46*IF($C46=41,0,1)</f>
        <v/>
      </c>
      <c r="EH47">
        <f>EH46*IF($C46=42,0,1)</f>
        <v/>
      </c>
      <c r="EI47">
        <f>EI46*IF($C46=43,0,1)</f>
        <v/>
      </c>
      <c r="EJ47">
        <f>EJ46*IF($C46=44,0,1)</f>
        <v/>
      </c>
      <c r="EK47">
        <f>EK46*IF($C46=45,0,1)</f>
        <v/>
      </c>
      <c r="EL47">
        <f>EL46*IF($C46=46,0,1)</f>
        <v/>
      </c>
      <c r="EM47">
        <f>EM46*IF($C46=47,0,1)</f>
        <v/>
      </c>
      <c r="EN47">
        <f>EN46*IF($C46=48,0,1)</f>
        <v/>
      </c>
      <c r="EO47">
        <f>EO46*IF($C46=49,0,1)</f>
        <v/>
      </c>
      <c r="EP47">
        <f>EP46*IF($C46=50,0,1)</f>
        <v/>
      </c>
      <c r="EQ47">
        <f>EQ46*IF($C46=51,0,1)</f>
        <v/>
      </c>
      <c r="ER47">
        <f>ER46*IF($C46=52,0,1)</f>
        <v/>
      </c>
      <c r="ES47">
        <f>ES46*IF($C46=53,0,1)</f>
        <v/>
      </c>
      <c r="ET47">
        <f>ET46*IF($C46=54,0,1)</f>
        <v/>
      </c>
      <c r="EU47">
        <f>EU46*IF($C46=55,0,1)</f>
        <v/>
      </c>
      <c r="EV47">
        <f>EV46*IF($C46=56,0,1)</f>
        <v/>
      </c>
      <c r="EW47">
        <f>EW46*IF($C46=57,0,1)</f>
        <v/>
      </c>
      <c r="EX47">
        <f>EX46*IF($C46=58,0,1)</f>
        <v/>
      </c>
      <c r="EY47">
        <f>EY46*IF($C46=59,0,1)</f>
        <v/>
      </c>
      <c r="EZ47">
        <f>EZ46*IF($C46=60,0,1)</f>
        <v/>
      </c>
      <c r="FA47">
        <f>FA46*IF($C46=61,0,1)</f>
        <v/>
      </c>
      <c r="FB47">
        <f>FB46*IF($C46=62,0,1)</f>
        <v/>
      </c>
      <c r="FC47">
        <f>FC46*IF($C46=63,0,1)</f>
        <v/>
      </c>
      <c r="FD47">
        <f>FD46*IF($C46=64,0,1)</f>
        <v/>
      </c>
      <c r="FE47">
        <f>FE46*IF($C46=65,0,1)</f>
        <v/>
      </c>
      <c r="FF47">
        <f>FF46*IF($C46=66,0,1)</f>
        <v/>
      </c>
      <c r="FG47">
        <f>FG46*IF($C46=67,0,1)</f>
        <v/>
      </c>
      <c r="FH47">
        <f>FH46*IF($C46=68,0,1)</f>
        <v/>
      </c>
      <c r="FI47">
        <f>FI46*IF($C46=69,0,1)</f>
        <v/>
      </c>
      <c r="FJ47">
        <f>FJ46*IF($C46=70,0,1)</f>
        <v/>
      </c>
      <c r="FK47">
        <f>FK46*IF($C46=71,0,1)</f>
        <v/>
      </c>
      <c r="FL47">
        <f>FL46*IF($C46=72,0,1)</f>
        <v/>
      </c>
      <c r="FM47">
        <f>FM46*IF($C46=73,0,1)</f>
        <v/>
      </c>
      <c r="FN47">
        <f>FN46*IF($C46=74,0,1)</f>
        <v/>
      </c>
      <c r="FO47">
        <f>FO46*IF($C46=75,0,1)</f>
        <v/>
      </c>
      <c r="FP47">
        <f>FP46*IF($C46=76,0,1)</f>
        <v/>
      </c>
      <c r="FQ47">
        <f>FQ46*IF($C46=77,0,1)</f>
        <v/>
      </c>
      <c r="FR47">
        <f>FR46*IF($C46=78,0,1)</f>
        <v/>
      </c>
      <c r="FS47">
        <f>FS46*IF($C46=79,0,1)</f>
        <v/>
      </c>
      <c r="FT47">
        <f>FT46*IF($C46=80,0,1)</f>
        <v/>
      </c>
      <c r="FU47">
        <f>FU46*IF($C46=81,0,1)</f>
        <v/>
      </c>
      <c r="FV47">
        <f>FV46*IF($C46=82,0,1)</f>
        <v/>
      </c>
      <c r="FW47">
        <f>FW46*IF($C46=83,0,1)</f>
        <v/>
      </c>
      <c r="FX47">
        <f>FX46*IF($C46=84,0,1)</f>
        <v/>
      </c>
      <c r="FY47">
        <f>FY46*IF($C46=85,0,1)</f>
        <v/>
      </c>
      <c r="FZ47">
        <f>FZ46*IF($C46=86,0,1)</f>
        <v/>
      </c>
      <c r="GA47">
        <f>GA46*IF($C46=87,0,1)</f>
        <v/>
      </c>
      <c r="GB47">
        <f>GB46*IF($C46=88,0,1)</f>
        <v/>
      </c>
      <c r="GC47">
        <f>GC46*IF($C46=89,0,1)</f>
        <v/>
      </c>
      <c r="GD47">
        <f>GD46*IF($C46=90,0,1)</f>
        <v/>
      </c>
      <c r="GE47">
        <f>GE46*IF($C46=91,0,1)</f>
        <v/>
      </c>
      <c r="GF47">
        <f>GF46*IF($C46=92,0,1)</f>
        <v/>
      </c>
      <c r="GG47">
        <f>GG46*IF($C46=93,0,1)</f>
        <v/>
      </c>
      <c r="GH47">
        <f>GH46*IF($C46=94,0,1)</f>
        <v/>
      </c>
      <c r="GI47">
        <f>GI46*IF($C46=95,0,1)</f>
        <v/>
      </c>
      <c r="GJ47">
        <f>GJ46*IF($C46=96,0,1)</f>
        <v/>
      </c>
      <c r="GK47">
        <f>GK46*IF($C46=97,0,1)</f>
        <v/>
      </c>
      <c r="GL47">
        <f>GL46*IF($C46=98,0,1)</f>
        <v/>
      </c>
      <c r="GM47">
        <f>GM46*IF($C46=99,0,1)</f>
        <v/>
      </c>
      <c r="GN47">
        <f>GN46*IF($C46=100,0,1)</f>
        <v/>
      </c>
      <c r="GO47">
        <f>GO46*IF($C46=101,0,1)</f>
        <v/>
      </c>
      <c r="GP47">
        <f>GP46*IF($C46=102,0,1)</f>
        <v/>
      </c>
      <c r="GQ47">
        <f>GQ46*IF($C46=103,0,1)</f>
        <v/>
      </c>
      <c r="GR47">
        <f>GR46*IF($C46=104,0,1)</f>
        <v/>
      </c>
      <c r="GS47">
        <f>GS46*IF($C46=105,0,1)</f>
        <v/>
      </c>
      <c r="GT47">
        <f>GT46*IF($C46=106,0,1)</f>
        <v/>
      </c>
      <c r="GU47">
        <f>GU46*IF($C46=107,0,1)</f>
        <v/>
      </c>
      <c r="GV47">
        <f>GV46*IF($C46=108,0,1)</f>
        <v/>
      </c>
      <c r="GW47">
        <f>GW46*IF($C46=109,0,1)</f>
        <v/>
      </c>
      <c r="GX47">
        <f>GX46*IF($C46=110,0,1)</f>
        <v/>
      </c>
      <c r="GY47">
        <f>GY46*IF($C46=111,0,1)</f>
        <v/>
      </c>
      <c r="GZ47">
        <f>GZ46*IF($C46=112,0,1)</f>
        <v/>
      </c>
      <c r="HA47">
        <f>HA46*IF($C46=113,0,1)</f>
        <v/>
      </c>
      <c r="HB47">
        <f>HB46*IF($C46=114,0,1)</f>
        <v/>
      </c>
      <c r="HC47">
        <f>HC46*IF($C46=115,0,1)</f>
        <v/>
      </c>
      <c r="HD47">
        <f>HD46*IF($C46=116,0,1)</f>
        <v/>
      </c>
      <c r="HE47">
        <f>HE46*IF($C46=117,0,1)</f>
        <v/>
      </c>
      <c r="HF47">
        <f>HF46*IF($C46=118,0,1)</f>
        <v/>
      </c>
      <c r="HG47">
        <f>HG46*IF($C46=119,0,1)</f>
        <v/>
      </c>
      <c r="HH47">
        <f>HH46*IF($C46=120,0,1)</f>
        <v/>
      </c>
      <c r="HJ47">
        <f>IF($B47=0,1000000,IF(INDEX('計算A'!$D$60:$DS$104,$B47,1)*CS47=1,'計算A'!D$6,1000000))</f>
        <v/>
      </c>
      <c r="HK47">
        <f>IF($B47=0,1000000,IF(INDEX('計算A'!$D$60:$DS$104,$B47,2)*CT47=1,'計算A'!E$6,1000000))</f>
        <v/>
      </c>
      <c r="HL47">
        <f>IF($B47=0,1000000,IF(INDEX('計算A'!$D$60:$DS$104,$B47,3)*CU47=1,'計算A'!F$6,1000000))</f>
        <v/>
      </c>
      <c r="HM47">
        <f>IF($B47=0,1000000,IF(INDEX('計算A'!$D$60:$DS$104,$B47,4)*CV47=1,'計算A'!G$6,1000000))</f>
        <v/>
      </c>
      <c r="HN47">
        <f>IF($B47=0,1000000,IF(INDEX('計算A'!$D$60:$DS$104,$B47,5)*CW47=1,'計算A'!H$6,1000000))</f>
        <v/>
      </c>
      <c r="HO47">
        <f>IF($B47=0,1000000,IF(INDEX('計算A'!$D$60:$DS$104,$B47,6)*CX47=1,'計算A'!I$6,1000000))</f>
        <v/>
      </c>
      <c r="HP47">
        <f>IF($B47=0,1000000,IF(INDEX('計算A'!$D$60:$DS$104,$B47,7)*CY47=1,'計算A'!J$6,1000000))</f>
        <v/>
      </c>
      <c r="HQ47">
        <f>IF($B47=0,1000000,IF(INDEX('計算A'!$D$60:$DS$104,$B47,8)*CZ47=1,'計算A'!K$6,1000000))</f>
        <v/>
      </c>
      <c r="HR47">
        <f>IF($B47=0,1000000,IF(INDEX('計算A'!$D$60:$DS$104,$B47,9)*DA47=1,'計算A'!L$6,1000000))</f>
        <v/>
      </c>
      <c r="HS47">
        <f>IF($B47=0,1000000,IF(INDEX('計算A'!$D$60:$DS$104,$B47,10)*DB47=1,'計算A'!M$6,1000000))</f>
        <v/>
      </c>
      <c r="HT47">
        <f>IF($B47=0,1000000,IF(INDEX('計算A'!$D$60:$DS$104,$B47,11)*DC47=1,'計算A'!N$6,1000000))</f>
        <v/>
      </c>
      <c r="HU47">
        <f>IF($B47=0,1000000,IF(INDEX('計算A'!$D$60:$DS$104,$B47,12)*DD47=1,'計算A'!O$6,1000000))</f>
        <v/>
      </c>
      <c r="HV47">
        <f>IF($B47=0,1000000,IF(INDEX('計算A'!$D$60:$DS$104,$B47,13)*DE47=1,'計算A'!P$6,1000000))</f>
        <v/>
      </c>
      <c r="HW47">
        <f>IF($B47=0,1000000,IF(INDEX('計算A'!$D$60:$DS$104,$B47,14)*DF47=1,'計算A'!Q$6,1000000))</f>
        <v/>
      </c>
      <c r="HX47">
        <f>IF($B47=0,1000000,IF(INDEX('計算A'!$D$60:$DS$104,$B47,15)*DG47=1,'計算A'!R$6,1000000))</f>
        <v/>
      </c>
      <c r="HY47">
        <f>IF($B47=0,1000000,IF(INDEX('計算A'!$D$60:$DS$104,$B47,16)*DH47=1,'計算A'!S$6,1000000))</f>
        <v/>
      </c>
      <c r="HZ47">
        <f>IF($B47=0,1000000,IF(INDEX('計算A'!$D$60:$DS$104,$B47,17)*DI47=1,'計算A'!T$6,1000000))</f>
        <v/>
      </c>
      <c r="IA47">
        <f>IF($B47=0,1000000,IF(INDEX('計算A'!$D$60:$DS$104,$B47,18)*DJ47=1,'計算A'!U$6,1000000))</f>
        <v/>
      </c>
      <c r="IB47">
        <f>IF($B47=0,1000000,IF(INDEX('計算A'!$D$60:$DS$104,$B47,19)*DK47=1,'計算A'!V$6,1000000))</f>
        <v/>
      </c>
      <c r="IC47">
        <f>IF($B47=0,1000000,IF(INDEX('計算A'!$D$60:$DS$104,$B47,20)*DL47=1,'計算A'!W$6,1000000))</f>
        <v/>
      </c>
      <c r="ID47">
        <f>IF($B47=0,1000000,IF(INDEX('計算A'!$D$60:$DS$104,$B47,21)*DM47=1,'計算A'!X$6,1000000))</f>
        <v/>
      </c>
      <c r="IE47">
        <f>IF($B47=0,1000000,IF(INDEX('計算A'!$D$60:$DS$104,$B47,22)*DN47=1,'計算A'!Y$6,1000000))</f>
        <v/>
      </c>
      <c r="IF47">
        <f>IF($B47=0,1000000,IF(INDEX('計算A'!$D$60:$DS$104,$B47,23)*DO47=1,'計算A'!Z$6,1000000))</f>
        <v/>
      </c>
      <c r="IG47">
        <f>IF($B47=0,1000000,IF(INDEX('計算A'!$D$60:$DS$104,$B47,24)*DP47=1,'計算A'!AA$6,1000000))</f>
        <v/>
      </c>
      <c r="IH47">
        <f>IF($B47=0,1000000,IF(INDEX('計算A'!$D$60:$DS$104,$B47,25)*DQ47=1,'計算A'!AB$6,1000000))</f>
        <v/>
      </c>
      <c r="II47">
        <f>IF($B47=0,1000000,IF(INDEX('計算A'!$D$60:$DS$104,$B47,26)*DR47=1,'計算A'!AC$6,1000000))</f>
        <v/>
      </c>
      <c r="IJ47">
        <f>IF($B47=0,1000000,IF(INDEX('計算A'!$D$60:$DS$104,$B47,27)*DS47=1,'計算A'!AD$6,1000000))</f>
        <v/>
      </c>
      <c r="IK47">
        <f>IF($B47=0,1000000,IF(INDEX('計算A'!$D$60:$DS$104,$B47,28)*DT47=1,'計算A'!AE$6,1000000))</f>
        <v/>
      </c>
      <c r="IL47">
        <f>IF($B47=0,1000000,IF(INDEX('計算A'!$D$60:$DS$104,$B47,29)*DU47=1,'計算A'!AF$6,1000000))</f>
        <v/>
      </c>
      <c r="IM47">
        <f>IF($B47=0,1000000,IF(INDEX('計算A'!$D$60:$DS$104,$B47,30)*DV47=1,'計算A'!AG$6,1000000))</f>
        <v/>
      </c>
      <c r="IN47">
        <f>IF($B47=0,1000000,IF(INDEX('計算A'!$D$60:$DS$104,$B47,31)*DW47=1,'計算A'!AH$6,1000000))</f>
        <v/>
      </c>
      <c r="IO47">
        <f>IF($B47=0,1000000,IF(INDEX('計算A'!$D$60:$DS$104,$B47,32)*DX47=1,'計算A'!AI$6,1000000))</f>
        <v/>
      </c>
      <c r="IP47">
        <f>IF($B47=0,1000000,IF(INDEX('計算A'!$D$60:$DS$104,$B47,33)*DY47=1,'計算A'!AJ$6,1000000))</f>
        <v/>
      </c>
      <c r="IQ47">
        <f>IF($B47=0,1000000,IF(INDEX('計算A'!$D$60:$DS$104,$B47,34)*DZ47=1,'計算A'!AK$6,1000000))</f>
        <v/>
      </c>
      <c r="IR47">
        <f>IF($B47=0,1000000,IF(INDEX('計算A'!$D$60:$DS$104,$B47,35)*EA47=1,'計算A'!AL$6,1000000))</f>
        <v/>
      </c>
      <c r="IS47">
        <f>IF($B47=0,1000000,IF(INDEX('計算A'!$D$60:$DS$104,$B47,36)*EB47=1,'計算A'!AM$6,1000000))</f>
        <v/>
      </c>
      <c r="IT47">
        <f>IF($B47=0,1000000,IF(INDEX('計算A'!$D$60:$DS$104,$B47,37)*EC47=1,'計算A'!AN$6,1000000))</f>
        <v/>
      </c>
      <c r="IU47">
        <f>IF($B47=0,1000000,IF(INDEX('計算A'!$D$60:$DS$104,$B47,38)*ED47=1,'計算A'!AO$6,1000000))</f>
        <v/>
      </c>
      <c r="IV47">
        <f>IF($B47=0,1000000,IF(INDEX('計算A'!$D$60:$DS$104,$B47,39)*EE47=1,'計算A'!AP$6,1000000))</f>
        <v/>
      </c>
      <c r="IW47">
        <f>IF($B47=0,1000000,IF(INDEX('計算A'!$D$60:$DS$104,$B47,40)*EF47=1,'計算A'!AQ$6,1000000))</f>
        <v/>
      </c>
      <c r="IX47">
        <f>IF($B47=0,1000000,IF(INDEX('計算A'!$D$60:$DS$104,$B47,41)*EG47=1,'計算A'!AR$6,1000000))</f>
        <v/>
      </c>
      <c r="IY47">
        <f>IF($B47=0,1000000,IF(INDEX('計算A'!$D$60:$DS$104,$B47,42)*EH47=1,'計算A'!AS$6,1000000))</f>
        <v/>
      </c>
      <c r="IZ47">
        <f>IF($B47=0,1000000,IF(INDEX('計算A'!$D$60:$DS$104,$B47,43)*EI47=1,'計算A'!AT$6,1000000))</f>
        <v/>
      </c>
      <c r="JA47">
        <f>IF($B47=0,1000000,IF(INDEX('計算A'!$D$60:$DS$104,$B47,44)*EJ47=1,'計算A'!AU$6,1000000))</f>
        <v/>
      </c>
      <c r="JB47">
        <f>IF($B47=0,1000000,IF(INDEX('計算A'!$D$60:$DS$104,$B47,45)*EK47=1,'計算A'!AV$6,1000000))</f>
        <v/>
      </c>
      <c r="JC47">
        <f>IF($B47=0,1000000,IF(INDEX('計算A'!$D$60:$DS$104,$B47,46)*EL47=1,'計算A'!AW$6,1000000))</f>
        <v/>
      </c>
      <c r="JD47">
        <f>IF($B47=0,1000000,IF(INDEX('計算A'!$D$60:$DS$104,$B47,47)*EM47=1,'計算A'!AX$6,1000000))</f>
        <v/>
      </c>
      <c r="JE47">
        <f>IF($B47=0,1000000,IF(INDEX('計算A'!$D$60:$DS$104,$B47,48)*EN47=1,'計算A'!AY$6,1000000))</f>
        <v/>
      </c>
      <c r="JF47">
        <f>IF($B47=0,1000000,IF(INDEX('計算A'!$D$60:$DS$104,$B47,49)*EO47=1,'計算A'!AZ$6,1000000))</f>
        <v/>
      </c>
      <c r="JG47">
        <f>IF($B47=0,1000000,IF(INDEX('計算A'!$D$60:$DS$104,$B47,50)*EP47=1,'計算A'!BA$6,1000000))</f>
        <v/>
      </c>
      <c r="JH47">
        <f>IF($B47=0,1000000,IF(INDEX('計算A'!$D$60:$DS$104,$B47,51)*EQ47=1,'計算A'!BB$6,1000000))</f>
        <v/>
      </c>
      <c r="JI47">
        <f>IF($B47=0,1000000,IF(INDEX('計算A'!$D$60:$DS$104,$B47,52)*ER47=1,'計算A'!BC$6,1000000))</f>
        <v/>
      </c>
      <c r="JJ47">
        <f>IF($B47=0,1000000,IF(INDEX('計算A'!$D$60:$DS$104,$B47,53)*ES47=1,'計算A'!BD$6,1000000))</f>
        <v/>
      </c>
      <c r="JK47">
        <f>IF($B47=0,1000000,IF(INDEX('計算A'!$D$60:$DS$104,$B47,54)*ET47=1,'計算A'!BE$6,1000000))</f>
        <v/>
      </c>
      <c r="JL47">
        <f>IF($B47=0,1000000,IF(INDEX('計算A'!$D$60:$DS$104,$B47,55)*EU47=1,'計算A'!BF$6,1000000))</f>
        <v/>
      </c>
      <c r="JM47">
        <f>IF($B47=0,1000000,IF(INDEX('計算A'!$D$60:$DS$104,$B47,56)*EV47=1,'計算A'!BG$6,1000000))</f>
        <v/>
      </c>
      <c r="JN47">
        <f>IF($B47=0,1000000,IF(INDEX('計算A'!$D$60:$DS$104,$B47,57)*EW47=1,'計算A'!BH$6,1000000))</f>
        <v/>
      </c>
      <c r="JO47">
        <f>IF($B47=0,1000000,IF(INDEX('計算A'!$D$60:$DS$104,$B47,58)*EX47=1,'計算A'!BI$6,1000000))</f>
        <v/>
      </c>
      <c r="JP47">
        <f>IF($B47=0,1000000,IF(INDEX('計算A'!$D$60:$DS$104,$B47,59)*EY47=1,'計算A'!BJ$6,1000000))</f>
        <v/>
      </c>
      <c r="JQ47">
        <f>IF($B47=0,1000000,IF(INDEX('計算A'!$D$60:$DS$104,$B47,60)*EZ47=1,'計算A'!BK$6,1000000))</f>
        <v/>
      </c>
      <c r="JR47">
        <f>IF($B47=0,1000000,IF(INDEX('計算A'!$D$60:$DS$104,$B47,61)*FA47=1,'計算A'!BL$6,1000000))</f>
        <v/>
      </c>
      <c r="JS47">
        <f>IF($B47=0,1000000,IF(INDEX('計算A'!$D$60:$DS$104,$B47,62)*FB47=1,'計算A'!BM$6,1000000))</f>
        <v/>
      </c>
      <c r="JT47">
        <f>IF($B47=0,1000000,IF(INDEX('計算A'!$D$60:$DS$104,$B47,63)*FC47=1,'計算A'!BN$6,1000000))</f>
        <v/>
      </c>
      <c r="JU47">
        <f>IF($B47=0,1000000,IF(INDEX('計算A'!$D$60:$DS$104,$B47,64)*FD47=1,'計算A'!BO$6,1000000))</f>
        <v/>
      </c>
      <c r="JV47">
        <f>IF($B47=0,1000000,IF(INDEX('計算A'!$D$60:$DS$104,$B47,65)*FE47=1,'計算A'!BP$6,1000000))</f>
        <v/>
      </c>
      <c r="JW47">
        <f>IF($B47=0,1000000,IF(INDEX('計算A'!$D$60:$DS$104,$B47,66)*FF47=1,'計算A'!BQ$6,1000000))</f>
        <v/>
      </c>
      <c r="JX47">
        <f>IF($B47=0,1000000,IF(INDEX('計算A'!$D$60:$DS$104,$B47,67)*FG47=1,'計算A'!BR$6,1000000))</f>
        <v/>
      </c>
      <c r="JY47">
        <f>IF($B47=0,1000000,IF(INDEX('計算A'!$D$60:$DS$104,$B47,68)*FH47=1,'計算A'!BS$6,1000000))</f>
        <v/>
      </c>
      <c r="JZ47">
        <f>IF($B47=0,1000000,IF(INDEX('計算A'!$D$60:$DS$104,$B47,69)*FI47=1,'計算A'!BT$6,1000000))</f>
        <v/>
      </c>
      <c r="KA47">
        <f>IF($B47=0,1000000,IF(INDEX('計算A'!$D$60:$DS$104,$B47,70)*FJ47=1,'計算A'!BU$6,1000000))</f>
        <v/>
      </c>
      <c r="KB47">
        <f>IF($B47=0,1000000,IF(INDEX('計算A'!$D$60:$DS$104,$B47,71)*FK47=1,'計算A'!BV$6,1000000))</f>
        <v/>
      </c>
      <c r="KC47">
        <f>IF($B47=0,1000000,IF(INDEX('計算A'!$D$60:$DS$104,$B47,72)*FL47=1,'計算A'!BW$6,1000000))</f>
        <v/>
      </c>
      <c r="KD47">
        <f>IF($B47=0,1000000,IF(INDEX('計算A'!$D$60:$DS$104,$B47,73)*FM47=1,'計算A'!BX$6,1000000))</f>
        <v/>
      </c>
      <c r="KE47">
        <f>IF($B47=0,1000000,IF(INDEX('計算A'!$D$60:$DS$104,$B47,74)*FN47=1,'計算A'!BY$6,1000000))</f>
        <v/>
      </c>
      <c r="KF47">
        <f>IF($B47=0,1000000,IF(INDEX('計算A'!$D$60:$DS$104,$B47,75)*FO47=1,'計算A'!BZ$6,1000000))</f>
        <v/>
      </c>
      <c r="KG47">
        <f>IF($B47=0,1000000,IF(INDEX('計算A'!$D$60:$DS$104,$B47,76)*FP47=1,'計算A'!CA$6,1000000))</f>
        <v/>
      </c>
      <c r="KH47">
        <f>IF($B47=0,1000000,IF(INDEX('計算A'!$D$60:$DS$104,$B47,77)*FQ47=1,'計算A'!CB$6,1000000))</f>
        <v/>
      </c>
      <c r="KI47">
        <f>IF($B47=0,1000000,IF(INDEX('計算A'!$D$60:$DS$104,$B47,78)*FR47=1,'計算A'!CC$6,1000000))</f>
        <v/>
      </c>
      <c r="KJ47">
        <f>IF($B47=0,1000000,IF(INDEX('計算A'!$D$60:$DS$104,$B47,79)*FS47=1,'計算A'!CD$6,1000000))</f>
        <v/>
      </c>
      <c r="KK47">
        <f>IF($B47=0,1000000,IF(INDEX('計算A'!$D$60:$DS$104,$B47,80)*FT47=1,'計算A'!CE$6,1000000))</f>
        <v/>
      </c>
      <c r="KL47">
        <f>IF($B47=0,1000000,IF(INDEX('計算A'!$D$60:$DS$104,$B47,81)*FU47=1,'計算A'!CF$6,1000000))</f>
        <v/>
      </c>
      <c r="KM47">
        <f>IF($B47=0,1000000,IF(INDEX('計算A'!$D$60:$DS$104,$B47,82)*FV47=1,'計算A'!CG$6,1000000))</f>
        <v/>
      </c>
      <c r="KN47">
        <f>IF($B47=0,1000000,IF(INDEX('計算A'!$D$60:$DS$104,$B47,83)*FW47=1,'計算A'!CH$6,1000000))</f>
        <v/>
      </c>
      <c r="KO47">
        <f>IF($B47=0,1000000,IF(INDEX('計算A'!$D$60:$DS$104,$B47,84)*FX47=1,'計算A'!CI$6,1000000))</f>
        <v/>
      </c>
      <c r="KP47">
        <f>IF($B47=0,1000000,IF(INDEX('計算A'!$D$60:$DS$104,$B47,85)*FY47=1,'計算A'!CJ$6,1000000))</f>
        <v/>
      </c>
      <c r="KQ47">
        <f>IF($B47=0,1000000,IF(INDEX('計算A'!$D$60:$DS$104,$B47,86)*FZ47=1,'計算A'!CK$6,1000000))</f>
        <v/>
      </c>
      <c r="KR47">
        <f>IF($B47=0,1000000,IF(INDEX('計算A'!$D$60:$DS$104,$B47,87)*GA47=1,'計算A'!CL$6,1000000))</f>
        <v/>
      </c>
      <c r="KS47">
        <f>IF($B47=0,1000000,IF(INDEX('計算A'!$D$60:$DS$104,$B47,88)*GB47=1,'計算A'!CM$6,1000000))</f>
        <v/>
      </c>
      <c r="KT47">
        <f>IF($B47=0,1000000,IF(INDEX('計算A'!$D$60:$DS$104,$B47,89)*GC47=1,'計算A'!CN$6,1000000))</f>
        <v/>
      </c>
      <c r="KU47">
        <f>IF($B47=0,1000000,IF(INDEX('計算A'!$D$60:$DS$104,$B47,90)*GD47=1,'計算A'!CO$6,1000000))</f>
        <v/>
      </c>
      <c r="KV47">
        <f>IF($B47=0,1000000,IF(INDEX('計算A'!$D$60:$DS$104,$B47,91)*GE47=1,'計算A'!CP$6,1000000))</f>
        <v/>
      </c>
      <c r="KW47">
        <f>IF($B47=0,1000000,IF(INDEX('計算A'!$D$60:$DS$104,$B47,92)*GF47=1,'計算A'!CQ$6,1000000))</f>
        <v/>
      </c>
      <c r="KX47">
        <f>IF($B47=0,1000000,IF(INDEX('計算A'!$D$60:$DS$104,$B47,93)*GG47=1,'計算A'!CR$6,1000000))</f>
        <v/>
      </c>
      <c r="KY47">
        <f>IF($B47=0,1000000,IF(INDEX('計算A'!$D$60:$DS$104,$B47,94)*GH47=1,'計算A'!CS$6,1000000))</f>
        <v/>
      </c>
      <c r="KZ47">
        <f>IF($B47=0,1000000,IF(INDEX('計算A'!$D$60:$DS$104,$B47,95)*GI47=1,'計算A'!CT$6,1000000))</f>
        <v/>
      </c>
      <c r="LA47">
        <f>IF($B47=0,1000000,IF(INDEX('計算A'!$D$60:$DS$104,$B47,96)*GJ47=1,'計算A'!CU$6,1000000))</f>
        <v/>
      </c>
      <c r="LB47">
        <f>IF($B47=0,1000000,IF(INDEX('計算A'!$D$60:$DS$104,$B47,97)*GK47=1,'計算A'!CV$6,1000000))</f>
        <v/>
      </c>
      <c r="LC47">
        <f>IF($B47=0,1000000,IF(INDEX('計算A'!$D$60:$DS$104,$B47,98)*GL47=1,'計算A'!CW$6,1000000))</f>
        <v/>
      </c>
      <c r="LD47">
        <f>IF($B47=0,1000000,IF(INDEX('計算A'!$D$60:$DS$104,$B47,99)*GM47=1,'計算A'!CX$6,1000000))</f>
        <v/>
      </c>
      <c r="LE47">
        <f>IF($B47=0,1000000,IF(INDEX('計算A'!$D$60:$DS$104,$B47,100)*GN47=1,'計算A'!CY$6,1000000))</f>
        <v/>
      </c>
      <c r="LF47">
        <f>IF($B47=0,1000000,IF(INDEX('計算A'!$D$60:$DS$104,$B47,101)*GO47=1,'計算A'!CZ$6,1000000))</f>
        <v/>
      </c>
      <c r="LG47">
        <f>IF($B47=0,1000000,IF(INDEX('計算A'!$D$60:$DS$104,$B47,102)*GP47=1,'計算A'!DA$6,1000000))</f>
        <v/>
      </c>
      <c r="LH47">
        <f>IF($B47=0,1000000,IF(INDEX('計算A'!$D$60:$DS$104,$B47,103)*GQ47=1,'計算A'!DB$6,1000000))</f>
        <v/>
      </c>
      <c r="LI47">
        <f>IF($B47=0,1000000,IF(INDEX('計算A'!$D$60:$DS$104,$B47,104)*GR47=1,'計算A'!DC$6,1000000))</f>
        <v/>
      </c>
      <c r="LJ47">
        <f>IF($B47=0,1000000,IF(INDEX('計算A'!$D$60:$DS$104,$B47,105)*GS47=1,'計算A'!DD$6,1000000))</f>
        <v/>
      </c>
      <c r="LK47">
        <f>IF($B47=0,1000000,IF(INDEX('計算A'!$D$60:$DS$104,$B47,106)*GT47=1,'計算A'!DE$6,1000000))</f>
        <v/>
      </c>
      <c r="LL47">
        <f>IF($B47=0,1000000,IF(INDEX('計算A'!$D$60:$DS$104,$B47,107)*GU47=1,'計算A'!DF$6,1000000))</f>
        <v/>
      </c>
      <c r="LM47">
        <f>IF($B47=0,1000000,IF(INDEX('計算A'!$D$60:$DS$104,$B47,108)*GV47=1,'計算A'!DG$6,1000000))</f>
        <v/>
      </c>
      <c r="LN47">
        <f>IF($B47=0,1000000,IF(INDEX('計算A'!$D$60:$DS$104,$B47,109)*GW47=1,'計算A'!DH$6,1000000))</f>
        <v/>
      </c>
      <c r="LO47">
        <f>IF($B47=0,1000000,IF(INDEX('計算A'!$D$60:$DS$104,$B47,110)*GX47=1,'計算A'!DI$6,1000000))</f>
        <v/>
      </c>
      <c r="LP47">
        <f>IF($B47=0,1000000,IF(INDEX('計算A'!$D$60:$DS$104,$B47,111)*GY47=1,'計算A'!DJ$6,1000000))</f>
        <v/>
      </c>
      <c r="LQ47">
        <f>IF($B47=0,1000000,IF(INDEX('計算A'!$D$60:$DS$104,$B47,112)*GZ47=1,'計算A'!DK$6,1000000))</f>
        <v/>
      </c>
      <c r="LR47">
        <f>IF($B47=0,1000000,IF(INDEX('計算A'!$D$60:$DS$104,$B47,113)*HA47=1,'計算A'!DL$6,1000000))</f>
        <v/>
      </c>
      <c r="LS47">
        <f>IF($B47=0,1000000,IF(INDEX('計算A'!$D$60:$DS$104,$B47,114)*HB47=1,'計算A'!DM$6,1000000))</f>
        <v/>
      </c>
      <c r="LT47">
        <f>IF($B47=0,1000000,IF(INDEX('計算A'!$D$60:$DS$104,$B47,115)*HC47=1,'計算A'!DN$6,1000000))</f>
        <v/>
      </c>
      <c r="LU47">
        <f>IF($B47=0,1000000,IF(INDEX('計算A'!$D$60:$DS$104,$B47,116)*HD47=1,'計算A'!DO$6,1000000))</f>
        <v/>
      </c>
      <c r="LV47">
        <f>IF($B47=0,1000000,IF(INDEX('計算A'!$D$60:$DS$104,$B47,117)*HE47=1,'計算A'!DP$6,1000000))</f>
        <v/>
      </c>
      <c r="LW47">
        <f>IF($B47=0,1000000,IF(INDEX('計算A'!$D$60:$DS$104,$B47,118)*HF47=1,'計算A'!DQ$6,1000000))</f>
        <v/>
      </c>
      <c r="LX47">
        <f>IF($B47=0,1000000,IF(INDEX('計算A'!$D$60:$DS$104,$B47,119)*HG47=1,'計算A'!DR$6,1000000))</f>
        <v/>
      </c>
      <c r="LY47">
        <f>IF($B47=0,1000000,IF(INDEX('計算A'!$D$60:$DS$104,$B47,120)*HH47=1,'計算A'!DS$6,1000000))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2026-10-22T02:00:23Z</dcterms:created>
  <dcterms:modified xmlns:dcterms="http://purl.org/dc/terms/" xmlns:xsi="http://www.w3.org/2001/XMLSchema-instance" xsi:type="dcterms:W3CDTF">2026-10-22T02:00:23Z</dcterms:modified>
</cp:coreProperties>
</file>